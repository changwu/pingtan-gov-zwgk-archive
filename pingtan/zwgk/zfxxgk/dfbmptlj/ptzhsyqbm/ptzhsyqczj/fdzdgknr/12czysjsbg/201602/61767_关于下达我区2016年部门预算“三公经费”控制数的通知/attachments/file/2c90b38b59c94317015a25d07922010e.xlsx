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60" windowWidth="2130" windowHeight="1470"/>
  </bookViews>
  <sheets>
    <sheet name="部门预算汇总表（单位汇总）" sheetId="4" r:id="rId1"/>
  </sheets>
  <definedNames>
    <definedName name="_xlnm.Print_Titles" localSheetId="0">'部门预算汇总表（单位汇总）'!$1:$5</definedName>
  </definedNames>
  <calcPr calcId="125725"/>
</workbook>
</file>

<file path=xl/calcChain.xml><?xml version="1.0" encoding="utf-8"?>
<calcChain xmlns="http://schemas.openxmlformats.org/spreadsheetml/2006/main">
  <c r="C6" i="4"/>
  <c r="D6"/>
  <c r="E6"/>
  <c r="F6"/>
  <c r="G6"/>
  <c r="B6"/>
  <c r="G239"/>
  <c r="G131"/>
  <c r="D91"/>
  <c r="G91" s="1"/>
  <c r="D47"/>
  <c r="G47" s="1"/>
  <c r="D45"/>
  <c r="G45" s="1"/>
  <c r="D226"/>
  <c r="G226" s="1"/>
  <c r="D223"/>
  <c r="G223" s="1"/>
  <c r="D222"/>
  <c r="G222" s="1"/>
  <c r="D221"/>
  <c r="G221" s="1"/>
  <c r="D219"/>
  <c r="G219" s="1"/>
  <c r="D216"/>
  <c r="G216" s="1"/>
  <c r="D125"/>
  <c r="G125" s="1"/>
  <c r="D117"/>
  <c r="G117" s="1"/>
  <c r="D84"/>
  <c r="G84" s="1"/>
  <c r="D83"/>
  <c r="G83" s="1"/>
  <c r="D81"/>
  <c r="G81" s="1"/>
  <c r="D78"/>
  <c r="G78" s="1"/>
  <c r="D77"/>
  <c r="G77" s="1"/>
  <c r="D59"/>
  <c r="G59" s="1"/>
  <c r="D58"/>
  <c r="G58" s="1"/>
  <c r="D57"/>
  <c r="G57" s="1"/>
  <c r="D56"/>
  <c r="G56" s="1"/>
  <c r="D53"/>
  <c r="G53" s="1"/>
  <c r="D43"/>
  <c r="G43" s="1"/>
  <c r="D20"/>
  <c r="G20" s="1"/>
  <c r="D11"/>
  <c r="G11" s="1"/>
  <c r="D9"/>
  <c r="G9" s="1"/>
  <c r="D8"/>
  <c r="G8" s="1"/>
  <c r="D7"/>
  <c r="G7" s="1"/>
  <c r="D10"/>
  <c r="G10" s="1"/>
  <c r="D12"/>
  <c r="G12" s="1"/>
  <c r="D13"/>
  <c r="G13" s="1"/>
  <c r="D14"/>
  <c r="G14" s="1"/>
  <c r="D15"/>
  <c r="G15" s="1"/>
  <c r="D16"/>
  <c r="G16" s="1"/>
  <c r="D17"/>
  <c r="G17" s="1"/>
  <c r="D18"/>
  <c r="G18" s="1"/>
  <c r="D19"/>
  <c r="G19" s="1"/>
  <c r="D21"/>
  <c r="G21" s="1"/>
  <c r="D22"/>
  <c r="G22" s="1"/>
  <c r="D23"/>
  <c r="G23" s="1"/>
  <c r="D24"/>
  <c r="G24" s="1"/>
  <c r="D25"/>
  <c r="G25" s="1"/>
  <c r="D26"/>
  <c r="G26" s="1"/>
  <c r="D27"/>
  <c r="G27" s="1"/>
  <c r="D28"/>
  <c r="G28" s="1"/>
  <c r="D29"/>
  <c r="G29" s="1"/>
  <c r="D30"/>
  <c r="G30" s="1"/>
  <c r="D31"/>
  <c r="G31" s="1"/>
  <c r="D32"/>
  <c r="G32" s="1"/>
  <c r="D33"/>
  <c r="G33" s="1"/>
  <c r="D34"/>
  <c r="G34" s="1"/>
  <c r="D35"/>
  <c r="G35" s="1"/>
  <c r="D36"/>
  <c r="G36" s="1"/>
  <c r="D37"/>
  <c r="G37" s="1"/>
  <c r="D38"/>
  <c r="G38" s="1"/>
  <c r="D39"/>
  <c r="G39" s="1"/>
  <c r="D40"/>
  <c r="G40" s="1"/>
  <c r="D41"/>
  <c r="G41" s="1"/>
  <c r="D42"/>
  <c r="G42" s="1"/>
  <c r="D44"/>
  <c r="G44" s="1"/>
  <c r="D46"/>
  <c r="G46" s="1"/>
  <c r="D48"/>
  <c r="G48" s="1"/>
  <c r="D49"/>
  <c r="G49" s="1"/>
  <c r="D50"/>
  <c r="G50" s="1"/>
  <c r="D51"/>
  <c r="G51" s="1"/>
  <c r="D52"/>
  <c r="G52" s="1"/>
  <c r="D54"/>
  <c r="G54" s="1"/>
  <c r="D55"/>
  <c r="G55" s="1"/>
  <c r="D60"/>
  <c r="G60" s="1"/>
  <c r="D61"/>
  <c r="G61" s="1"/>
  <c r="D62"/>
  <c r="G62" s="1"/>
  <c r="D63"/>
  <c r="G63" s="1"/>
  <c r="D64"/>
  <c r="G64" s="1"/>
  <c r="D65"/>
  <c r="G65" s="1"/>
  <c r="D66"/>
  <c r="G66" s="1"/>
  <c r="D67"/>
  <c r="G67" s="1"/>
  <c r="D68"/>
  <c r="G68" s="1"/>
  <c r="D69"/>
  <c r="G69" s="1"/>
  <c r="D70"/>
  <c r="G70" s="1"/>
  <c r="D71"/>
  <c r="G71" s="1"/>
  <c r="D72"/>
  <c r="G72" s="1"/>
  <c r="D73"/>
  <c r="G73" s="1"/>
  <c r="D74"/>
  <c r="G74" s="1"/>
  <c r="D75"/>
  <c r="G75" s="1"/>
  <c r="D76"/>
  <c r="G76" s="1"/>
  <c r="D79"/>
  <c r="G79" s="1"/>
  <c r="D80"/>
  <c r="G80" s="1"/>
  <c r="D82"/>
  <c r="G82" s="1"/>
  <c r="D85"/>
  <c r="G85" s="1"/>
  <c r="D86"/>
  <c r="G86" s="1"/>
  <c r="D87"/>
  <c r="G87" s="1"/>
  <c r="D88"/>
  <c r="G88" s="1"/>
  <c r="D89"/>
  <c r="G89" s="1"/>
  <c r="D90"/>
  <c r="G90" s="1"/>
  <c r="D92"/>
  <c r="G92" s="1"/>
  <c r="D93"/>
  <c r="G93" s="1"/>
  <c r="D94"/>
  <c r="G94" s="1"/>
  <c r="D95"/>
  <c r="G95" s="1"/>
  <c r="D96"/>
  <c r="G96" s="1"/>
  <c r="D97"/>
  <c r="G97" s="1"/>
  <c r="D98"/>
  <c r="G98" s="1"/>
  <c r="D99"/>
  <c r="G99" s="1"/>
  <c r="D100"/>
  <c r="G100" s="1"/>
  <c r="D101"/>
  <c r="G101" s="1"/>
  <c r="D102"/>
  <c r="G102" s="1"/>
  <c r="D103"/>
  <c r="G103" s="1"/>
  <c r="D104"/>
  <c r="G104" s="1"/>
  <c r="D105"/>
  <c r="G105" s="1"/>
  <c r="D106"/>
  <c r="G106" s="1"/>
  <c r="D107"/>
  <c r="G107" s="1"/>
  <c r="D108"/>
  <c r="G108" s="1"/>
  <c r="D109"/>
  <c r="G109" s="1"/>
  <c r="D110"/>
  <c r="G110" s="1"/>
  <c r="D111"/>
  <c r="G111" s="1"/>
  <c r="D112"/>
  <c r="G112" s="1"/>
  <c r="D113"/>
  <c r="G113" s="1"/>
  <c r="D114"/>
  <c r="G114" s="1"/>
  <c r="D115"/>
  <c r="G115" s="1"/>
  <c r="D116"/>
  <c r="G116" s="1"/>
  <c r="D118"/>
  <c r="G118" s="1"/>
  <c r="D119"/>
  <c r="G119" s="1"/>
  <c r="D120"/>
  <c r="G120" s="1"/>
  <c r="D121"/>
  <c r="G121" s="1"/>
  <c r="D122"/>
  <c r="G122" s="1"/>
  <c r="D123"/>
  <c r="G123" s="1"/>
  <c r="D124"/>
  <c r="G124" s="1"/>
  <c r="D126"/>
  <c r="G126" s="1"/>
  <c r="D127"/>
  <c r="G127" s="1"/>
  <c r="D128"/>
  <c r="G128" s="1"/>
  <c r="D129"/>
  <c r="G129" s="1"/>
  <c r="D130"/>
  <c r="G130" s="1"/>
  <c r="D132"/>
  <c r="G132" s="1"/>
  <c r="D133"/>
  <c r="G133" s="1"/>
  <c r="D134"/>
  <c r="G134" s="1"/>
  <c r="D135"/>
  <c r="G135" s="1"/>
  <c r="D136"/>
  <c r="G136" s="1"/>
  <c r="D137"/>
  <c r="G137" s="1"/>
  <c r="D138"/>
  <c r="G138" s="1"/>
  <c r="D139"/>
  <c r="G139" s="1"/>
  <c r="D140"/>
  <c r="G140" s="1"/>
  <c r="D141"/>
  <c r="G141" s="1"/>
  <c r="D142"/>
  <c r="G142" s="1"/>
  <c r="D143"/>
  <c r="G143" s="1"/>
  <c r="D144"/>
  <c r="G144" s="1"/>
  <c r="D145"/>
  <c r="G145" s="1"/>
  <c r="D146"/>
  <c r="G146" s="1"/>
  <c r="D147"/>
  <c r="G147" s="1"/>
  <c r="D148"/>
  <c r="G148" s="1"/>
  <c r="D149"/>
  <c r="G149" s="1"/>
  <c r="D150"/>
  <c r="G150" s="1"/>
  <c r="D151"/>
  <c r="G151" s="1"/>
  <c r="D152"/>
  <c r="G152" s="1"/>
  <c r="D153"/>
  <c r="G153" s="1"/>
  <c r="D154"/>
  <c r="G154" s="1"/>
  <c r="D155"/>
  <c r="G155" s="1"/>
  <c r="D156"/>
  <c r="G156" s="1"/>
  <c r="D157"/>
  <c r="G157" s="1"/>
  <c r="D158"/>
  <c r="G158" s="1"/>
  <c r="D159"/>
  <c r="G159" s="1"/>
  <c r="D160"/>
  <c r="G160" s="1"/>
  <c r="D161"/>
  <c r="G161" s="1"/>
  <c r="D162"/>
  <c r="G162" s="1"/>
  <c r="D163"/>
  <c r="G163" s="1"/>
  <c r="D164"/>
  <c r="G164" s="1"/>
  <c r="D165"/>
  <c r="G165" s="1"/>
  <c r="D166"/>
  <c r="G166" s="1"/>
  <c r="D167"/>
  <c r="G167" s="1"/>
  <c r="D168"/>
  <c r="G168" s="1"/>
  <c r="D169"/>
  <c r="G169" s="1"/>
  <c r="D170"/>
  <c r="G170" s="1"/>
  <c r="D171"/>
  <c r="G171" s="1"/>
  <c r="D172"/>
  <c r="G172" s="1"/>
  <c r="D173"/>
  <c r="G173" s="1"/>
  <c r="D174"/>
  <c r="G174" s="1"/>
  <c r="D175"/>
  <c r="G175" s="1"/>
  <c r="D176"/>
  <c r="G176" s="1"/>
  <c r="D177"/>
  <c r="G177" s="1"/>
  <c r="D178"/>
  <c r="G178" s="1"/>
  <c r="D179"/>
  <c r="G179" s="1"/>
  <c r="D180"/>
  <c r="G180" s="1"/>
  <c r="D181"/>
  <c r="G181" s="1"/>
  <c r="D182"/>
  <c r="G182" s="1"/>
  <c r="D183"/>
  <c r="G183" s="1"/>
  <c r="D184"/>
  <c r="G184" s="1"/>
  <c r="D185"/>
  <c r="G185" s="1"/>
  <c r="D186"/>
  <c r="G186" s="1"/>
  <c r="D187"/>
  <c r="G187" s="1"/>
  <c r="D188"/>
  <c r="G188" s="1"/>
  <c r="D189"/>
  <c r="G189" s="1"/>
  <c r="D190"/>
  <c r="G190" s="1"/>
  <c r="D191"/>
  <c r="G191" s="1"/>
  <c r="D192"/>
  <c r="G192" s="1"/>
  <c r="D193"/>
  <c r="G193" s="1"/>
  <c r="D194"/>
  <c r="G194" s="1"/>
  <c r="D195"/>
  <c r="G195" s="1"/>
  <c r="D196"/>
  <c r="G196" s="1"/>
  <c r="D197"/>
  <c r="G197" s="1"/>
  <c r="D198"/>
  <c r="G198" s="1"/>
  <c r="D199"/>
  <c r="G199" s="1"/>
  <c r="D200"/>
  <c r="G200" s="1"/>
  <c r="D201"/>
  <c r="G201" s="1"/>
  <c r="D202"/>
  <c r="G202" s="1"/>
  <c r="D203"/>
  <c r="G203" s="1"/>
  <c r="D204"/>
  <c r="G204" s="1"/>
  <c r="D205"/>
  <c r="G205" s="1"/>
  <c r="D206"/>
  <c r="G206" s="1"/>
  <c r="D207"/>
  <c r="G207" s="1"/>
  <c r="D208"/>
  <c r="G208" s="1"/>
  <c r="D209"/>
  <c r="G209" s="1"/>
  <c r="D210"/>
  <c r="G210" s="1"/>
  <c r="D211"/>
  <c r="G211" s="1"/>
  <c r="D212"/>
  <c r="G212" s="1"/>
  <c r="D213"/>
  <c r="G213" s="1"/>
  <c r="D214"/>
  <c r="G214" s="1"/>
  <c r="D215"/>
  <c r="G215" s="1"/>
  <c r="D217"/>
  <c r="G217" s="1"/>
  <c r="D218"/>
  <c r="G218" s="1"/>
  <c r="D220"/>
  <c r="G220" s="1"/>
  <c r="D224"/>
  <c r="G224" s="1"/>
  <c r="D225"/>
  <c r="G225" s="1"/>
  <c r="D227"/>
  <c r="G227" s="1"/>
  <c r="D228"/>
  <c r="G228" s="1"/>
  <c r="D229"/>
  <c r="G229" s="1"/>
  <c r="D230"/>
  <c r="G230" s="1"/>
  <c r="D231"/>
  <c r="G231" s="1"/>
  <c r="D232"/>
  <c r="G232" s="1"/>
  <c r="D233"/>
  <c r="G233" s="1"/>
  <c r="D234"/>
  <c r="G234" s="1"/>
  <c r="D235"/>
  <c r="G235" s="1"/>
  <c r="D236"/>
  <c r="G236" s="1"/>
  <c r="D237"/>
  <c r="G237" s="1"/>
  <c r="D238"/>
  <c r="G238" s="1"/>
</calcChain>
</file>

<file path=xl/sharedStrings.xml><?xml version="1.0" encoding="utf-8"?>
<sst xmlns="http://schemas.openxmlformats.org/spreadsheetml/2006/main" count="246" uniqueCount="246">
  <si>
    <t>平潭县人大</t>
  </si>
  <si>
    <t>平潭县政协</t>
  </si>
  <si>
    <t>平潭综合实验区纪工委本级</t>
  </si>
  <si>
    <t>平潭综合实验区机关效能办</t>
  </si>
  <si>
    <t>平潭综合实验区党史方志研究中心</t>
  </si>
  <si>
    <t>平潭综合实验区司法办公室</t>
  </si>
  <si>
    <t>平潭综合实验区办公室行政后勤服务中心</t>
  </si>
  <si>
    <t>平潭综合实验区信访局</t>
  </si>
  <si>
    <t>平潭综合实验区机要局</t>
  </si>
  <si>
    <t>平潭综合实验区档案局</t>
  </si>
  <si>
    <t>平潭综合实验区政法办</t>
  </si>
  <si>
    <t>平潭县公证处</t>
  </si>
  <si>
    <t>平潭综合实验区党群工作部本级</t>
  </si>
  <si>
    <t>平潭县关工委</t>
  </si>
  <si>
    <t>平潭县老年学校</t>
  </si>
  <si>
    <t>平潭县离休干部活动中心</t>
  </si>
  <si>
    <t>平潭县退休干部活动中心</t>
  </si>
  <si>
    <t>平潭县工商业联合会</t>
  </si>
  <si>
    <t>平潭县委党校</t>
  </si>
  <si>
    <t>共青团平潭县委员会</t>
  </si>
  <si>
    <t>平潭县事业单位登记管理局</t>
  </si>
  <si>
    <t>平潭县妇联</t>
  </si>
  <si>
    <t>平潭县总工会</t>
  </si>
  <si>
    <t>平潭县人事人才公共服务中心</t>
  </si>
  <si>
    <t>平潭县劳动就业管理中心</t>
  </si>
  <si>
    <t>平潭综合实验区干部人事信息中心</t>
  </si>
  <si>
    <t>平潭县青少年宫</t>
  </si>
  <si>
    <t>省驻岚挂职办</t>
  </si>
  <si>
    <t>平潭县文联</t>
  </si>
  <si>
    <t>平潭综合实验区人力资源公共服务中心</t>
  </si>
  <si>
    <t>平潭区关工委</t>
  </si>
  <si>
    <t>平潭综合实验区事业单位登记管理局</t>
  </si>
  <si>
    <t>平潭综合实验区网络安全和信息化办公室</t>
  </si>
  <si>
    <t>中共平潭区直机关工作委员会</t>
  </si>
  <si>
    <t>平潭互联网中心</t>
  </si>
  <si>
    <t>平潭综合实验区台湾工作部本级</t>
  </si>
  <si>
    <t>平潭县归国华侨联合会</t>
  </si>
  <si>
    <t>平潭综合实验区行政服务中心</t>
  </si>
  <si>
    <t>平潭综合实验区招标投标中心</t>
  </si>
  <si>
    <t>平潭综合实验区综合执法局本级</t>
  </si>
  <si>
    <t>平潭综合实验区安监局</t>
  </si>
  <si>
    <t>安全生产执法支队</t>
  </si>
  <si>
    <t>安全生产综合服务中心</t>
  </si>
  <si>
    <t>平潭综合实验区海洋与渔业执法支队</t>
  </si>
  <si>
    <t>平潭综合实验区安全生产委员会办公室</t>
  </si>
  <si>
    <t>平潭综合实验区公安局本级</t>
  </si>
  <si>
    <t>平潭综合实验区看守所</t>
  </si>
  <si>
    <t>平潭综合实验区拘留所</t>
  </si>
  <si>
    <t>平潭县法院</t>
  </si>
  <si>
    <t>平潭县检察院</t>
  </si>
  <si>
    <t>中国人民解放军福建省平潭县人民武装部</t>
  </si>
  <si>
    <t>平潭综合实验区经济发展局本级</t>
  </si>
  <si>
    <t>平潭综合实验区统计局</t>
  </si>
  <si>
    <t>平潭综合实验区经济社会调查队</t>
  </si>
  <si>
    <t>平潭县水政监察大队</t>
  </si>
  <si>
    <t>平潭综合实验区农业机械管理站</t>
  </si>
  <si>
    <t>平潭县农业区划委员会办公室</t>
  </si>
  <si>
    <t>平潭县供销合作社联合社</t>
  </si>
  <si>
    <t>平潭综合实验区口岸工作办公室</t>
  </si>
  <si>
    <t>平潭综合实验区重点项目建设管理办公室</t>
  </si>
  <si>
    <t>平潭综合实验区管委会防汛抗旱指挥部办公室</t>
  </si>
  <si>
    <t>平潭综合实验区重大水利项目前期工作领导小组办公室</t>
  </si>
  <si>
    <t>平潭县市场服务中心</t>
  </si>
  <si>
    <t>平潭综合实验区海洋与渔业技术中心</t>
  </si>
  <si>
    <t>平潭综合实验区水利综合服务中心</t>
  </si>
  <si>
    <t>平潭综合实验区农业技术服务中心</t>
  </si>
  <si>
    <t>平潭综合实验区动物卫生监督所</t>
  </si>
  <si>
    <t>平潭综合实验区农村经营管理中心</t>
  </si>
  <si>
    <t>平潭区旅游管理服务中心</t>
  </si>
  <si>
    <t>平潭综合实验区招商局本级</t>
  </si>
  <si>
    <t>平潭综合实验区市场监督管理局本级</t>
  </si>
  <si>
    <t>平潭县卫生监督所</t>
  </si>
  <si>
    <t>平潭综合实验区检验检测认证中心</t>
  </si>
  <si>
    <t>平潭综合实验区行政审批局本级</t>
  </si>
  <si>
    <t>平潭综合实验区马上办办公室</t>
  </si>
  <si>
    <t>平潭综合实验区环境与国土资源局本级</t>
  </si>
  <si>
    <t>平潭综合实验区环境与国土资源局地理测绘信息中心</t>
  </si>
  <si>
    <t>平潭综合实验区地灾防治与环境事故应急中心</t>
  </si>
  <si>
    <t>平潭综合实验区土地储备中心</t>
  </si>
  <si>
    <t>平潭综合实验区环境监测站</t>
  </si>
  <si>
    <t>平潭综合实验区房地产交易中心</t>
  </si>
  <si>
    <t>平潭综合实验区规划局</t>
  </si>
  <si>
    <t>平谭综合实验区规划编制研究中心</t>
  </si>
  <si>
    <t>平潭综合实验区交通与建设局本级</t>
  </si>
  <si>
    <t>平潭综合实验区住房保障办</t>
  </si>
  <si>
    <t>平潭综合实验区森林公安局</t>
  </si>
  <si>
    <t>平潭综合实验区住房公积金管理中心</t>
  </si>
  <si>
    <t>平潭综合实验区公路管理局</t>
  </si>
  <si>
    <t>平潭综合实验区人防办</t>
  </si>
  <si>
    <t>平潭县交通运输管理所</t>
  </si>
  <si>
    <t>平潭县地震办</t>
  </si>
  <si>
    <t>福建省平潭国有防护林场</t>
  </si>
  <si>
    <t>平潭县轮渡管理处</t>
  </si>
  <si>
    <t>平潭综合实验区森林与园林管理局</t>
  </si>
  <si>
    <t>平潭综合实验区交通与建设工程质量安全监督站</t>
  </si>
  <si>
    <t>平潭综合实验区交通与建设工程质量安全标准化办公室</t>
  </si>
  <si>
    <t>平潭县环卫所</t>
  </si>
  <si>
    <t>平潭县绿化委员会办公室</t>
  </si>
  <si>
    <t>平潭县森林防火指挥部办公室</t>
  </si>
  <si>
    <t>平潭县林业资源林政管理站</t>
  </si>
  <si>
    <t>平潭县林业规划队</t>
  </si>
  <si>
    <t>平潭县林业技术指导站</t>
  </si>
  <si>
    <t>平潭县森林病虫害防治站</t>
  </si>
  <si>
    <t>平潭县乡镇林业站</t>
  </si>
  <si>
    <t>平潭县苗圃</t>
  </si>
  <si>
    <t>平潭县园林管理处</t>
  </si>
  <si>
    <t>平潭区工程渣土运输车辆整治工作领导小组办公室</t>
  </si>
  <si>
    <t>平潭综合实验区宜居环境建设指挥部</t>
  </si>
  <si>
    <t>平潭区环境卫生综合整治活动领导小组办公室</t>
  </si>
  <si>
    <t>平潭综合实验区财政金融局本级</t>
  </si>
  <si>
    <t>平潭综合实验区国有资产管理局</t>
  </si>
  <si>
    <t>平潭综合实验区国库支付中心</t>
  </si>
  <si>
    <t>平潭综合实验区政府采购办公室</t>
  </si>
  <si>
    <t>平潭综合实验区财政投资评审中心</t>
  </si>
  <si>
    <t>平潭县乡镇财政监督管理办公室</t>
  </si>
  <si>
    <t>平潭综合实验区金融工作办公室</t>
  </si>
  <si>
    <t>平潭区政府和社会资本合作（PPP）管理中心</t>
  </si>
  <si>
    <t>平潭综合实验区社会事业局本级</t>
  </si>
  <si>
    <t>平潭县军队离退休干部休养所</t>
  </si>
  <si>
    <t>平潭县殡葬管理所</t>
  </si>
  <si>
    <t>平潭县福利院</t>
  </si>
  <si>
    <t>平潭少体校</t>
  </si>
  <si>
    <t>平潭县文化馆</t>
  </si>
  <si>
    <t>平潭县计划生育服务站</t>
  </si>
  <si>
    <t>平潭县进修学校</t>
  </si>
  <si>
    <t>平潭县职业中专</t>
  </si>
  <si>
    <t>平潭县第一中学</t>
  </si>
  <si>
    <t>平潭县第二中学</t>
  </si>
  <si>
    <t>平潭县第三中学</t>
  </si>
  <si>
    <t>平潭县流水中学</t>
  </si>
  <si>
    <t>平潭县城关中学</t>
  </si>
  <si>
    <t>平潭县城南学校</t>
  </si>
  <si>
    <t>平潭县强兴中学</t>
  </si>
  <si>
    <t>平潭县潭东中学</t>
  </si>
  <si>
    <t>平潭县龙南中学</t>
  </si>
  <si>
    <t>平潭县北厝中学</t>
  </si>
  <si>
    <t>平潭县屿头中学</t>
  </si>
  <si>
    <t>平潭县苏沃中学</t>
  </si>
  <si>
    <t>平潭县渔限学校</t>
  </si>
  <si>
    <t>平潭县芦洋学校</t>
  </si>
  <si>
    <t>平潭县国彩中学</t>
  </si>
  <si>
    <t>平潭县中楼中学</t>
  </si>
  <si>
    <t>平潭县裕建初级中学</t>
  </si>
  <si>
    <t>平潭县思源中学</t>
  </si>
  <si>
    <t>平潭县东庠学校</t>
  </si>
  <si>
    <t>平潭县草屿中学</t>
  </si>
  <si>
    <t>平潭县实验小学</t>
  </si>
  <si>
    <t>平潭县城中小学</t>
  </si>
  <si>
    <t>平潭县城东小学</t>
  </si>
  <si>
    <t>平潭县城北小学</t>
  </si>
  <si>
    <t>平潭县城关小学</t>
  </si>
  <si>
    <t>平潭县北门小学</t>
  </si>
  <si>
    <t>平潭县流水中心小学</t>
  </si>
  <si>
    <t>平潭县敖东中心小学</t>
  </si>
  <si>
    <t>平潭县澳前中心校</t>
  </si>
  <si>
    <t>平潭县白青小学</t>
  </si>
  <si>
    <t>平潭县岚城中心校</t>
  </si>
  <si>
    <t>平潭县北厝中心小学</t>
  </si>
  <si>
    <t>平潭县大练学区</t>
  </si>
  <si>
    <t>平潭县苏澳镇中心小学</t>
  </si>
  <si>
    <t>平潭县屿头中心小学</t>
  </si>
  <si>
    <t>平潭县平原镇中心小学</t>
  </si>
  <si>
    <t>平潭县中楼学区</t>
  </si>
  <si>
    <t>平潭县南海中心小学</t>
  </si>
  <si>
    <t>平潭县特殊教育学校</t>
  </si>
  <si>
    <t>平潭县实验幼儿园</t>
  </si>
  <si>
    <t>平潭县城关幼儿园</t>
  </si>
  <si>
    <t>平潭县流水中心幼儿园</t>
  </si>
  <si>
    <t>平潭县北厝中心幼儿园</t>
  </si>
  <si>
    <t>平潭县敖东幼儿园</t>
  </si>
  <si>
    <t>平潭县中楼乡中心幼儿园</t>
  </si>
  <si>
    <t>平潭县红十字会</t>
  </si>
  <si>
    <t>平潭县妇幼保健所</t>
  </si>
  <si>
    <t>平潭县皮肤病性病防治院</t>
  </si>
  <si>
    <t>平潭县医院</t>
  </si>
  <si>
    <t>平潭县潭城镇社区卫生服务中心</t>
  </si>
  <si>
    <t>平潭县屿头乡卫生院</t>
  </si>
  <si>
    <t>平潭县大练乡卫生院</t>
  </si>
  <si>
    <t>平潭县苏澳卫生院</t>
  </si>
  <si>
    <t>平潭县平原镇中心卫生院</t>
  </si>
  <si>
    <t>平潭县中楼乡卫生院</t>
  </si>
  <si>
    <t>平潭县白青乡卫生院</t>
  </si>
  <si>
    <t>平潭县流水镇中心卫生院</t>
  </si>
  <si>
    <t>平潭县东庠乡卫生院</t>
  </si>
  <si>
    <t>平潭县岚城乡卫生院</t>
  </si>
  <si>
    <t>平潭县澳前镇卫生院</t>
  </si>
  <si>
    <t>平潭县北厝镇卫生院</t>
  </si>
  <si>
    <t>平潭县敖东镇中心卫生院</t>
  </si>
  <si>
    <t>平潭县南海乡卫生院</t>
  </si>
  <si>
    <t>平潭县南海乡塘屿卫生院</t>
  </si>
  <si>
    <t>平潭县科协</t>
  </si>
  <si>
    <t>平潭县老龄工作委员会</t>
  </si>
  <si>
    <t>平潭县计生协会</t>
  </si>
  <si>
    <t>平潭县残疾联合会</t>
  </si>
  <si>
    <t>平潭县疾病预防控制中心</t>
  </si>
  <si>
    <t>澳前中心幼儿园</t>
  </si>
  <si>
    <t>屿头中心幼儿园</t>
  </si>
  <si>
    <t>海峡儿童学园</t>
  </si>
  <si>
    <t>平潭综合实验区教育考试中心</t>
  </si>
  <si>
    <t>平潭综合实验区教育局</t>
  </si>
  <si>
    <t>平潭综合实验区卫生和计划生育局</t>
  </si>
  <si>
    <t>平潭第二实验小学</t>
  </si>
  <si>
    <t>平潭第二实验幼儿园</t>
  </si>
  <si>
    <t>平潭综合实验区教育督导室</t>
  </si>
  <si>
    <t>平潭区社会事业公共服务中心</t>
  </si>
  <si>
    <t>平潭区广播电视服务中心</t>
  </si>
  <si>
    <t>平潭区社会保障服务中心</t>
  </si>
  <si>
    <t>平潭综合实验区传媒中心本级</t>
  </si>
  <si>
    <t>平潭广播电视台</t>
  </si>
  <si>
    <t>平潭时报社</t>
  </si>
  <si>
    <t>平潭综合实验区金井湾片区开发管理局本级</t>
  </si>
  <si>
    <t>金井湾大道建设指挥部</t>
  </si>
  <si>
    <t>平潭综合实验区岚城片区开发管理局本级</t>
  </si>
  <si>
    <t>平潭综合实验区澳前片区开发管理局本级</t>
  </si>
  <si>
    <t>平潭区自贸试验区综合事务协调办公室本级</t>
  </si>
  <si>
    <t>自贸区平潭片区海峡两岸电子商务服务中心</t>
  </si>
  <si>
    <t>平潭跨境贸易电子商务办公室</t>
  </si>
  <si>
    <t>平潭综合实验区流水片区开发管理局</t>
  </si>
  <si>
    <t>福建师范大学平潭附属中学筹建工作领导小组办公室</t>
  </si>
  <si>
    <t>福平铁路（平潭）项目建设指挥部</t>
  </si>
  <si>
    <t>平潭综合实验区铁路建设指挥部办公室</t>
  </si>
  <si>
    <t>平潭综合实验区环岛公路指挥部</t>
  </si>
  <si>
    <t>平潭综合实验区海水淡化项目筹建领导小组</t>
  </si>
  <si>
    <t>平潭综合实验区三甲医院建设指挥部</t>
  </si>
  <si>
    <t>平潭生活垃圾焚烧发电项目筹建指挥部</t>
  </si>
  <si>
    <t>平潭市政工程指挥部</t>
  </si>
  <si>
    <t>平潭海洋大学筹建办公室</t>
  </si>
  <si>
    <t>平潭综合实验区粮食园区建设指挥部</t>
  </si>
  <si>
    <t>平潭综合实验区土地房屋征收安置工作领导小组办公室</t>
  </si>
  <si>
    <t>福建信息职业技术学院平潭校区建设项目领导小组</t>
  </si>
  <si>
    <t>预算代码</t>
  </si>
  <si>
    <t>定额公用经费</t>
  </si>
  <si>
    <t>专项业务费</t>
  </si>
  <si>
    <t>**</t>
  </si>
  <si>
    <t>出国境经费控制数</t>
    <phoneticPr fontId="1" type="noConversion"/>
  </si>
  <si>
    <t>车辆经费控制数</t>
    <phoneticPr fontId="1" type="noConversion"/>
  </si>
  <si>
    <t>公务接待费控制数</t>
    <phoneticPr fontId="1" type="noConversion"/>
  </si>
  <si>
    <t>平潭县图书馆</t>
    <phoneticPr fontId="1" type="noConversion"/>
  </si>
  <si>
    <t>平潭综合实验区党工委管委会办公室本级（含驻京办）</t>
    <phoneticPr fontId="1" type="noConversion"/>
  </si>
  <si>
    <t>“三公经费”合计控制数</t>
    <phoneticPr fontId="1" type="noConversion"/>
  </si>
  <si>
    <t>合        计</t>
    <phoneticPr fontId="1" type="noConversion"/>
  </si>
  <si>
    <t>2016-1-30           单位：万元</t>
    <phoneticPr fontId="1" type="noConversion"/>
  </si>
  <si>
    <t>3=（1+2）*0.08/0.12</t>
    <phoneticPr fontId="1" type="noConversion"/>
  </si>
  <si>
    <t>平潭气象局</t>
    <phoneticPr fontId="1" type="noConversion"/>
  </si>
  <si>
    <t>平潭2016年部门预算“三公经费”控制数计算表</t>
    <phoneticPr fontId="1" type="noConversion"/>
  </si>
  <si>
    <t>备注：1.公务接待费按定额公务费与专项业务费之和与一定比例的控制线计算确定，其中：专项业务费不含项目性较强的各类专项经费；区（县）直一级预算单位的接待费控制线按12%，其他二级预算单位按8%控制；2.出国境经费160万元中不含已安排在其他相关区直一级预算单位专项业务经费中所包含的10万元经费；3.车辆经费预算数1004.3万元，是各单位根据区公务用车管理工作领导小组核定的实际车编数编制的预算数。</t>
    <phoneticPr fontId="1" type="noConversion"/>
  </si>
</sst>
</file>

<file path=xl/styles.xml><?xml version="1.0" encoding="utf-8"?>
<styleSheet xmlns="http://schemas.openxmlformats.org/spreadsheetml/2006/main">
  <numFmts count="1">
    <numFmt numFmtId="176" formatCode="0.00_);[Red]\(0.00\)"/>
  </numFmts>
  <fonts count="7">
    <font>
      <sz val="11"/>
      <color theme="1"/>
      <name val="宋体"/>
      <charset val="134"/>
    </font>
    <font>
      <sz val="9"/>
      <name val="宋体"/>
      <family val="3"/>
      <charset val="134"/>
    </font>
    <font>
      <sz val="11"/>
      <color rgb="FFFF0000"/>
      <name val="宋体"/>
      <family val="3"/>
      <charset val="134"/>
    </font>
    <font>
      <sz val="11"/>
      <name val="宋体"/>
      <family val="3"/>
      <charset val="134"/>
    </font>
    <font>
      <b/>
      <sz val="11"/>
      <color theme="1"/>
      <name val="宋体"/>
      <family val="3"/>
      <charset val="134"/>
    </font>
    <font>
      <b/>
      <sz val="20"/>
      <color theme="1"/>
      <name val="宋体"/>
      <family val="3"/>
      <charset val="134"/>
    </font>
    <font>
      <sz val="12"/>
      <color theme="1"/>
      <name val="宋体"/>
      <family val="3"/>
      <charset val="134"/>
    </font>
  </fonts>
  <fills count="2">
    <fill>
      <patternFill patternType="none"/>
    </fill>
    <fill>
      <patternFill patternType="gray125"/>
    </fill>
  </fills>
  <borders count="12">
    <border>
      <left/>
      <right/>
      <top/>
      <bottom/>
      <diagonal/>
    </border>
    <border>
      <left style="thin">
        <color indexed="0"/>
      </left>
      <right style="thin">
        <color indexed="0"/>
      </right>
      <top style="thin">
        <color indexed="0"/>
      </top>
      <bottom style="thin">
        <color indexed="0"/>
      </bottom>
      <diagonal/>
    </border>
    <border>
      <left style="thin">
        <color indexed="64"/>
      </left>
      <right style="thin">
        <color indexed="64"/>
      </right>
      <top style="thin">
        <color indexed="64"/>
      </top>
      <bottom style="thin">
        <color indexed="64"/>
      </bottom>
      <diagonal/>
    </border>
    <border>
      <left style="thin">
        <color indexed="0"/>
      </left>
      <right style="thin">
        <color indexed="0"/>
      </right>
      <top style="thin">
        <color indexed="0"/>
      </top>
      <bottom/>
      <diagonal/>
    </border>
    <border>
      <left style="thin">
        <color indexed="0"/>
      </left>
      <right style="thin">
        <color indexed="0"/>
      </right>
      <top/>
      <bottom style="thin">
        <color indexed="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0"/>
      </left>
      <right style="thin">
        <color indexed="0"/>
      </right>
      <top/>
      <bottom style="thin">
        <color indexed="64"/>
      </bottom>
      <diagonal/>
    </border>
  </borders>
  <cellStyleXfs count="1">
    <xf numFmtId="0" fontId="0" fillId="0" borderId="0">
      <alignment vertical="center"/>
    </xf>
  </cellStyleXfs>
  <cellXfs count="40">
    <xf numFmtId="0" fontId="0" fillId="0" borderId="0" xfId="0">
      <alignment vertical="center"/>
    </xf>
    <xf numFmtId="0" fontId="0" fillId="0" borderId="0" xfId="0" applyAlignment="1">
      <alignment horizontal="center" vertical="center"/>
    </xf>
    <xf numFmtId="0" fontId="0" fillId="0" borderId="0" xfId="0">
      <alignment vertical="center"/>
    </xf>
    <xf numFmtId="0" fontId="0" fillId="0" borderId="1" xfId="0" applyBorder="1" applyAlignment="1">
      <alignment horizontal="center" vertical="center"/>
    </xf>
    <xf numFmtId="0" fontId="0" fillId="0" borderId="0" xfId="0" applyAlignment="1">
      <alignment vertical="center" wrapText="1"/>
    </xf>
    <xf numFmtId="0" fontId="0" fillId="0" borderId="1" xfId="0" applyBorder="1" applyAlignment="1">
      <alignment horizontal="center" vertical="center" wrapText="1"/>
    </xf>
    <xf numFmtId="49" fontId="0" fillId="0" borderId="1" xfId="0" applyNumberFormat="1" applyFill="1" applyBorder="1" applyAlignment="1">
      <alignment horizontal="left" vertical="center" wrapText="1"/>
    </xf>
    <xf numFmtId="0" fontId="0" fillId="0" borderId="6" xfId="0" applyBorder="1" applyAlignment="1">
      <alignment horizontal="center" vertical="center" wrapText="1"/>
    </xf>
    <xf numFmtId="0" fontId="4" fillId="0" borderId="0" xfId="0" applyFont="1">
      <alignment vertical="center"/>
    </xf>
    <xf numFmtId="49" fontId="4" fillId="0" borderId="1" xfId="0" applyNumberFormat="1" applyFont="1" applyFill="1" applyBorder="1" applyAlignment="1">
      <alignment horizontal="left" vertical="center" wrapText="1"/>
    </xf>
    <xf numFmtId="0" fontId="4" fillId="0" borderId="0" xfId="0" applyFont="1" applyFill="1">
      <alignment vertical="center"/>
    </xf>
    <xf numFmtId="176" fontId="4" fillId="0" borderId="2" xfId="0" applyNumberFormat="1" applyFont="1" applyFill="1" applyBorder="1" applyAlignment="1">
      <alignment horizontal="center" vertical="center"/>
    </xf>
    <xf numFmtId="4" fontId="4" fillId="0" borderId="2" xfId="0" applyNumberFormat="1" applyFont="1" applyFill="1" applyBorder="1" applyAlignment="1">
      <alignment horizontal="center" vertical="center"/>
    </xf>
    <xf numFmtId="4" fontId="0" fillId="0" borderId="2" xfId="0" applyNumberFormat="1" applyFill="1" applyBorder="1" applyAlignment="1">
      <alignment horizontal="center" vertical="center"/>
    </xf>
    <xf numFmtId="176" fontId="0" fillId="0" borderId="2" xfId="0" applyNumberFormat="1" applyFill="1" applyBorder="1" applyAlignment="1">
      <alignment horizontal="center" vertical="center"/>
    </xf>
    <xf numFmtId="176" fontId="2" fillId="0" borderId="2" xfId="0" applyNumberFormat="1" applyFont="1" applyFill="1" applyBorder="1" applyAlignment="1">
      <alignment horizontal="center" vertical="center"/>
    </xf>
    <xf numFmtId="176" fontId="3" fillId="0" borderId="2" xfId="0" applyNumberFormat="1" applyFont="1" applyFill="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wrapText="1"/>
    </xf>
    <xf numFmtId="0" fontId="5"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4" fillId="0" borderId="5" xfId="0" applyFont="1" applyBorder="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0" fillId="0" borderId="8" xfId="0" applyBorder="1" applyAlignment="1">
      <alignment horizontal="center" vertical="center" wrapText="1"/>
    </xf>
    <xf numFmtId="0" fontId="4" fillId="0" borderId="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176" fontId="4" fillId="0" borderId="2" xfId="0" applyNumberFormat="1" applyFont="1" applyFill="1" applyBorder="1" applyAlignment="1">
      <alignment horizontal="center" vertical="center" wrapText="1"/>
    </xf>
    <xf numFmtId="49" fontId="0" fillId="0" borderId="3" xfId="0" applyNumberFormat="1" applyFill="1" applyBorder="1" applyAlignment="1">
      <alignment horizontal="left" vertical="center" wrapText="1"/>
    </xf>
    <xf numFmtId="4" fontId="0" fillId="0" borderId="5" xfId="0" applyNumberFormat="1" applyFill="1" applyBorder="1" applyAlignment="1">
      <alignment horizontal="center" vertical="center"/>
    </xf>
    <xf numFmtId="176" fontId="0" fillId="0" borderId="5" xfId="0" applyNumberFormat="1" applyFill="1" applyBorder="1" applyAlignment="1">
      <alignment horizontal="center" vertical="center"/>
    </xf>
    <xf numFmtId="176" fontId="4" fillId="0" borderId="5" xfId="0" applyNumberFormat="1" applyFont="1" applyFill="1" applyBorder="1" applyAlignment="1">
      <alignment horizontal="center" vertical="center"/>
    </xf>
    <xf numFmtId="49" fontId="0" fillId="0" borderId="2" xfId="0" applyNumberFormat="1" applyFill="1" applyBorder="1" applyAlignment="1">
      <alignment horizontal="left" vertical="center" wrapText="1"/>
    </xf>
    <xf numFmtId="0" fontId="5" fillId="0" borderId="0" xfId="0" applyFont="1" applyAlignment="1">
      <alignment horizontal="center" vertical="center" wrapText="1"/>
    </xf>
    <xf numFmtId="31" fontId="6" fillId="0" borderId="0" xfId="0" applyNumberFormat="1" applyFont="1" applyBorder="1" applyAlignment="1">
      <alignment horizontal="center" vertical="center" wrapText="1"/>
    </xf>
    <xf numFmtId="0" fontId="0" fillId="0" borderId="0" xfId="0" applyNumberFormat="1" applyAlignment="1">
      <alignment horizontal="left" vertical="top" wrapText="1"/>
    </xf>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2032"/>
  <sheetViews>
    <sheetView showGridLines="0" showZeros="0" tabSelected="1" topLeftCell="A230" workbookViewId="0">
      <selection activeCell="A243" sqref="A243"/>
    </sheetView>
  </sheetViews>
  <sheetFormatPr defaultRowHeight="13.5"/>
  <cols>
    <col min="1" max="1" width="39.25" style="4" customWidth="1"/>
    <col min="2" max="2" width="14.25" style="1" customWidth="1"/>
    <col min="3" max="3" width="14.875" style="1" customWidth="1"/>
    <col min="4" max="4" width="12.375" style="17" customWidth="1"/>
    <col min="5" max="5" width="10.125" style="17" customWidth="1"/>
    <col min="6" max="6" width="11.5" style="17" customWidth="1"/>
    <col min="7" max="7" width="18.625" style="1" customWidth="1"/>
  </cols>
  <sheetData>
    <row r="1" spans="1:7" s="2" customFormat="1" ht="36" customHeight="1">
      <c r="A1" s="37" t="s">
        <v>244</v>
      </c>
      <c r="B1" s="37"/>
      <c r="C1" s="37"/>
      <c r="D1" s="37"/>
      <c r="E1" s="37"/>
      <c r="F1" s="37"/>
      <c r="G1" s="37"/>
    </row>
    <row r="2" spans="1:7" s="2" customFormat="1" ht="18.75" customHeight="1">
      <c r="A2" s="19"/>
      <c r="B2" s="38" t="s">
        <v>241</v>
      </c>
      <c r="C2" s="38"/>
      <c r="D2" s="38"/>
      <c r="E2" s="38"/>
      <c r="F2" s="38"/>
      <c r="G2" s="38"/>
    </row>
    <row r="3" spans="1:7" ht="40.5" customHeight="1">
      <c r="A3" s="20" t="s">
        <v>230</v>
      </c>
      <c r="B3" s="22" t="s">
        <v>231</v>
      </c>
      <c r="C3" s="23" t="s">
        <v>232</v>
      </c>
      <c r="D3" s="24" t="s">
        <v>236</v>
      </c>
      <c r="E3" s="24" t="s">
        <v>235</v>
      </c>
      <c r="F3" s="25" t="s">
        <v>234</v>
      </c>
      <c r="G3" s="26" t="s">
        <v>239</v>
      </c>
    </row>
    <row r="4" spans="1:7" ht="6" hidden="1" customHeight="1">
      <c r="A4" s="21"/>
      <c r="B4" s="27"/>
      <c r="C4" s="7"/>
      <c r="D4" s="28"/>
      <c r="E4" s="28"/>
      <c r="F4" s="29"/>
      <c r="G4" s="30"/>
    </row>
    <row r="5" spans="1:7" s="1" customFormat="1" ht="30.75" customHeight="1">
      <c r="A5" s="5" t="s">
        <v>233</v>
      </c>
      <c r="B5" s="3">
        <v>1</v>
      </c>
      <c r="C5" s="11">
        <v>2</v>
      </c>
      <c r="D5" s="31" t="s">
        <v>242</v>
      </c>
      <c r="E5" s="11">
        <v>4</v>
      </c>
      <c r="F5" s="11">
        <v>5</v>
      </c>
      <c r="G5" s="11">
        <v>6</v>
      </c>
    </row>
    <row r="6" spans="1:7" s="17" customFormat="1" ht="24.75" customHeight="1">
      <c r="A6" s="18" t="s">
        <v>240</v>
      </c>
      <c r="B6" s="11">
        <f>SUM(B7:B239)</f>
        <v>4015.9700000000012</v>
      </c>
      <c r="C6" s="11">
        <f t="shared" ref="C6:G6" si="0">SUM(C7:C239)</f>
        <v>6449.8600000000006</v>
      </c>
      <c r="D6" s="11">
        <f t="shared" si="0"/>
        <v>1103.9059999999995</v>
      </c>
      <c r="E6" s="11">
        <f t="shared" si="0"/>
        <v>1004.299999999999</v>
      </c>
      <c r="F6" s="11">
        <f t="shared" si="0"/>
        <v>160</v>
      </c>
      <c r="G6" s="11">
        <f t="shared" si="0"/>
        <v>2268.2060000000006</v>
      </c>
    </row>
    <row r="7" spans="1:7" s="10" customFormat="1" ht="19.5" customHeight="1">
      <c r="A7" s="9" t="s">
        <v>0</v>
      </c>
      <c r="B7" s="12">
        <v>16.25</v>
      </c>
      <c r="C7" s="11">
        <v>95</v>
      </c>
      <c r="D7" s="11">
        <f>(B7+C7)*0.12</f>
        <v>13.35</v>
      </c>
      <c r="E7" s="11">
        <v>38</v>
      </c>
      <c r="F7" s="11"/>
      <c r="G7" s="11">
        <f>SUM(D7:F7)</f>
        <v>51.35</v>
      </c>
    </row>
    <row r="8" spans="1:7" s="8" customFormat="1" ht="19.5" customHeight="1">
      <c r="A8" s="9" t="s">
        <v>1</v>
      </c>
      <c r="B8" s="12">
        <v>12.35</v>
      </c>
      <c r="C8" s="11">
        <v>27</v>
      </c>
      <c r="D8" s="11">
        <f>(B8+C8)*0.12</f>
        <v>4.7220000000000004</v>
      </c>
      <c r="E8" s="11">
        <v>22.8</v>
      </c>
      <c r="F8" s="11"/>
      <c r="G8" s="11">
        <f t="shared" ref="G8:G71" si="1">SUM(D8:F8)</f>
        <v>27.522000000000002</v>
      </c>
    </row>
    <row r="9" spans="1:7" s="8" customFormat="1" ht="19.5" customHeight="1">
      <c r="A9" s="9" t="s">
        <v>2</v>
      </c>
      <c r="B9" s="12">
        <v>130</v>
      </c>
      <c r="C9" s="11">
        <v>100</v>
      </c>
      <c r="D9" s="11">
        <f>(B9+C9)*0.12</f>
        <v>27.599999999999998</v>
      </c>
      <c r="E9" s="11">
        <v>0</v>
      </c>
      <c r="F9" s="11"/>
      <c r="G9" s="11">
        <f t="shared" si="1"/>
        <v>27.599999999999998</v>
      </c>
    </row>
    <row r="10" spans="1:7" ht="19.5" customHeight="1">
      <c r="A10" s="6" t="s">
        <v>3</v>
      </c>
      <c r="B10" s="13">
        <v>4.55</v>
      </c>
      <c r="C10" s="14"/>
      <c r="D10" s="11">
        <f t="shared" ref="D10:D70" si="2">(B10+C10)*0.08</f>
        <v>0.36399999999999999</v>
      </c>
      <c r="E10" s="11">
        <v>3.8</v>
      </c>
      <c r="F10" s="11"/>
      <c r="G10" s="11">
        <f t="shared" si="1"/>
        <v>4.1639999999999997</v>
      </c>
    </row>
    <row r="11" spans="1:7" s="8" customFormat="1" ht="39" customHeight="1">
      <c r="A11" s="9" t="s">
        <v>238</v>
      </c>
      <c r="B11" s="12">
        <v>40.299999999999997</v>
      </c>
      <c r="C11" s="11">
        <v>520</v>
      </c>
      <c r="D11" s="11">
        <f>(B11+C11)*0.12</f>
        <v>67.23599999999999</v>
      </c>
      <c r="E11" s="11">
        <v>97.6</v>
      </c>
      <c r="F11" s="11">
        <v>100</v>
      </c>
      <c r="G11" s="11">
        <f t="shared" si="1"/>
        <v>264.83600000000001</v>
      </c>
    </row>
    <row r="12" spans="1:7" ht="19.5" customHeight="1">
      <c r="A12" s="6" t="s">
        <v>4</v>
      </c>
      <c r="B12" s="13">
        <v>4.25</v>
      </c>
      <c r="C12" s="14">
        <v>10</v>
      </c>
      <c r="D12" s="11">
        <f t="shared" si="2"/>
        <v>1.1400000000000001</v>
      </c>
      <c r="E12" s="11">
        <v>0</v>
      </c>
      <c r="F12" s="11"/>
      <c r="G12" s="11">
        <f t="shared" si="1"/>
        <v>1.1400000000000001</v>
      </c>
    </row>
    <row r="13" spans="1:7" ht="19.5" customHeight="1">
      <c r="A13" s="6" t="s">
        <v>5</v>
      </c>
      <c r="B13" s="13">
        <v>74.099999999999994</v>
      </c>
      <c r="C13" s="14">
        <v>21</v>
      </c>
      <c r="D13" s="11">
        <f t="shared" si="2"/>
        <v>7.6079999999999997</v>
      </c>
      <c r="E13" s="11">
        <v>0</v>
      </c>
      <c r="F13" s="11"/>
      <c r="G13" s="11">
        <f t="shared" si="1"/>
        <v>7.6079999999999997</v>
      </c>
    </row>
    <row r="14" spans="1:7" ht="19.5" customHeight="1">
      <c r="A14" s="6" t="s">
        <v>6</v>
      </c>
      <c r="B14" s="13">
        <v>23.65</v>
      </c>
      <c r="C14" s="14">
        <v>5</v>
      </c>
      <c r="D14" s="11">
        <f t="shared" si="2"/>
        <v>2.2919999999999998</v>
      </c>
      <c r="E14" s="11">
        <v>10.8</v>
      </c>
      <c r="F14" s="11"/>
      <c r="G14" s="11">
        <f t="shared" si="1"/>
        <v>13.092000000000001</v>
      </c>
    </row>
    <row r="15" spans="1:7" ht="19.5" customHeight="1">
      <c r="A15" s="6" t="s">
        <v>7</v>
      </c>
      <c r="B15" s="13">
        <v>4.55</v>
      </c>
      <c r="C15" s="14">
        <v>5</v>
      </c>
      <c r="D15" s="11">
        <f t="shared" si="2"/>
        <v>0.76400000000000012</v>
      </c>
      <c r="E15" s="11">
        <v>3.8</v>
      </c>
      <c r="F15" s="11"/>
      <c r="G15" s="11">
        <f t="shared" si="1"/>
        <v>4.5640000000000001</v>
      </c>
    </row>
    <row r="16" spans="1:7" ht="19.5" customHeight="1">
      <c r="A16" s="6" t="s">
        <v>8</v>
      </c>
      <c r="B16" s="13">
        <v>3.9</v>
      </c>
      <c r="C16" s="14">
        <v>5</v>
      </c>
      <c r="D16" s="11">
        <f t="shared" si="2"/>
        <v>0.71200000000000008</v>
      </c>
      <c r="E16" s="11">
        <v>3.8</v>
      </c>
      <c r="F16" s="11"/>
      <c r="G16" s="11">
        <f t="shared" si="1"/>
        <v>4.5119999999999996</v>
      </c>
    </row>
    <row r="17" spans="1:7" ht="19.5" customHeight="1">
      <c r="A17" s="6" t="s">
        <v>9</v>
      </c>
      <c r="B17" s="13">
        <v>9.1</v>
      </c>
      <c r="C17" s="14"/>
      <c r="D17" s="11">
        <f t="shared" si="2"/>
        <v>0.72799999999999998</v>
      </c>
      <c r="E17" s="11">
        <v>3.8</v>
      </c>
      <c r="F17" s="11"/>
      <c r="G17" s="11">
        <f t="shared" si="1"/>
        <v>4.5279999999999996</v>
      </c>
    </row>
    <row r="18" spans="1:7" ht="19.5" customHeight="1">
      <c r="A18" s="6" t="s">
        <v>10</v>
      </c>
      <c r="B18" s="13">
        <v>3.9</v>
      </c>
      <c r="C18" s="14">
        <v>0</v>
      </c>
      <c r="D18" s="11">
        <f t="shared" si="2"/>
        <v>0.312</v>
      </c>
      <c r="E18" s="11">
        <v>3.8</v>
      </c>
      <c r="F18" s="11"/>
      <c r="G18" s="11">
        <f t="shared" si="1"/>
        <v>4.1120000000000001</v>
      </c>
    </row>
    <row r="19" spans="1:7" ht="19.5" customHeight="1">
      <c r="A19" s="6" t="s">
        <v>11</v>
      </c>
      <c r="B19" s="13">
        <v>7.15</v>
      </c>
      <c r="C19" s="14"/>
      <c r="D19" s="11">
        <f t="shared" si="2"/>
        <v>0.57200000000000006</v>
      </c>
      <c r="E19" s="11">
        <v>3.8</v>
      </c>
      <c r="F19" s="11"/>
      <c r="G19" s="11">
        <f t="shared" si="1"/>
        <v>4.3719999999999999</v>
      </c>
    </row>
    <row r="20" spans="1:7" s="8" customFormat="1" ht="19.5" customHeight="1">
      <c r="A20" s="9" t="s">
        <v>12</v>
      </c>
      <c r="B20" s="12">
        <v>118.66</v>
      </c>
      <c r="C20" s="11">
        <v>176.6</v>
      </c>
      <c r="D20" s="11">
        <f>(B20+C20)*0.12</f>
        <v>35.431199999999997</v>
      </c>
      <c r="E20" s="11">
        <v>47.6</v>
      </c>
      <c r="F20" s="11"/>
      <c r="G20" s="11">
        <f t="shared" si="1"/>
        <v>83.031199999999998</v>
      </c>
    </row>
    <row r="21" spans="1:7" ht="19.5" customHeight="1">
      <c r="A21" s="6" t="s">
        <v>13</v>
      </c>
      <c r="B21" s="13">
        <v>0.65</v>
      </c>
      <c r="C21" s="14">
        <v>10</v>
      </c>
      <c r="D21" s="11">
        <f t="shared" si="2"/>
        <v>0.85200000000000009</v>
      </c>
      <c r="E21" s="11">
        <v>0</v>
      </c>
      <c r="F21" s="11"/>
      <c r="G21" s="11">
        <f t="shared" si="1"/>
        <v>0.85200000000000009</v>
      </c>
    </row>
    <row r="22" spans="1:7" ht="20.25" customHeight="1">
      <c r="A22" s="6" t="s">
        <v>14</v>
      </c>
      <c r="B22" s="13">
        <v>1.3</v>
      </c>
      <c r="C22" s="14">
        <v>10</v>
      </c>
      <c r="D22" s="11">
        <f t="shared" si="2"/>
        <v>0.90400000000000003</v>
      </c>
      <c r="E22" s="11">
        <v>0</v>
      </c>
      <c r="F22" s="11"/>
      <c r="G22" s="11">
        <f t="shared" si="1"/>
        <v>0.90400000000000003</v>
      </c>
    </row>
    <row r="23" spans="1:7" ht="19.5" customHeight="1">
      <c r="A23" s="6" t="s">
        <v>15</v>
      </c>
      <c r="B23" s="13">
        <v>3.9</v>
      </c>
      <c r="C23" s="14">
        <v>10</v>
      </c>
      <c r="D23" s="11">
        <f t="shared" si="2"/>
        <v>1.1120000000000001</v>
      </c>
      <c r="E23" s="11">
        <v>0</v>
      </c>
      <c r="F23" s="11"/>
      <c r="G23" s="11">
        <f t="shared" si="1"/>
        <v>1.1120000000000001</v>
      </c>
    </row>
    <row r="24" spans="1:7" ht="19.5" customHeight="1">
      <c r="A24" s="6" t="s">
        <v>16</v>
      </c>
      <c r="B24" s="13">
        <v>3.3</v>
      </c>
      <c r="C24" s="14">
        <v>10</v>
      </c>
      <c r="D24" s="11">
        <f t="shared" si="2"/>
        <v>1.0640000000000001</v>
      </c>
      <c r="E24" s="11">
        <v>0</v>
      </c>
      <c r="F24" s="11"/>
      <c r="G24" s="11">
        <f t="shared" si="1"/>
        <v>1.0640000000000001</v>
      </c>
    </row>
    <row r="25" spans="1:7" ht="19.5" customHeight="1">
      <c r="A25" s="6" t="s">
        <v>17</v>
      </c>
      <c r="B25" s="13">
        <v>2.6</v>
      </c>
      <c r="C25" s="14">
        <v>4</v>
      </c>
      <c r="D25" s="11">
        <f t="shared" si="2"/>
        <v>0.52800000000000002</v>
      </c>
      <c r="E25" s="11">
        <v>3.8</v>
      </c>
      <c r="F25" s="11"/>
      <c r="G25" s="11">
        <f t="shared" si="1"/>
        <v>4.3279999999999994</v>
      </c>
    </row>
    <row r="26" spans="1:7" ht="19.5" customHeight="1">
      <c r="A26" s="6" t="s">
        <v>18</v>
      </c>
      <c r="B26" s="13">
        <v>12.35</v>
      </c>
      <c r="C26" s="14">
        <v>5.7</v>
      </c>
      <c r="D26" s="11">
        <f t="shared" si="2"/>
        <v>1.4440000000000002</v>
      </c>
      <c r="E26" s="11">
        <v>0</v>
      </c>
      <c r="F26" s="11"/>
      <c r="G26" s="11">
        <f t="shared" si="1"/>
        <v>1.4440000000000002</v>
      </c>
    </row>
    <row r="27" spans="1:7" ht="19.5" customHeight="1">
      <c r="A27" s="6" t="s">
        <v>19</v>
      </c>
      <c r="B27" s="13">
        <v>1.95</v>
      </c>
      <c r="C27" s="15"/>
      <c r="D27" s="11">
        <f t="shared" si="2"/>
        <v>0.156</v>
      </c>
      <c r="E27" s="11">
        <v>0</v>
      </c>
      <c r="F27" s="11"/>
      <c r="G27" s="11">
        <f t="shared" si="1"/>
        <v>0.156</v>
      </c>
    </row>
    <row r="28" spans="1:7" ht="19.5" customHeight="1">
      <c r="A28" s="6" t="s">
        <v>20</v>
      </c>
      <c r="B28" s="13">
        <v>1.3</v>
      </c>
      <c r="C28" s="15"/>
      <c r="D28" s="11">
        <f t="shared" si="2"/>
        <v>0.10400000000000001</v>
      </c>
      <c r="E28" s="11">
        <v>0</v>
      </c>
      <c r="F28" s="11"/>
      <c r="G28" s="11">
        <f t="shared" si="1"/>
        <v>0.10400000000000001</v>
      </c>
    </row>
    <row r="29" spans="1:7" ht="19.5" customHeight="1">
      <c r="A29" s="6" t="s">
        <v>21</v>
      </c>
      <c r="B29" s="13">
        <v>1.95</v>
      </c>
      <c r="C29" s="15"/>
      <c r="D29" s="11">
        <f t="shared" si="2"/>
        <v>0.156</v>
      </c>
      <c r="E29" s="11">
        <v>3.8</v>
      </c>
      <c r="F29" s="11"/>
      <c r="G29" s="11">
        <f t="shared" si="1"/>
        <v>3.956</v>
      </c>
    </row>
    <row r="30" spans="1:7" ht="19.5" customHeight="1">
      <c r="A30" s="6" t="s">
        <v>22</v>
      </c>
      <c r="B30" s="13">
        <v>4.1500000000000004</v>
      </c>
      <c r="C30" s="15"/>
      <c r="D30" s="11">
        <f t="shared" si="2"/>
        <v>0.33200000000000002</v>
      </c>
      <c r="E30" s="11">
        <v>3.8</v>
      </c>
      <c r="F30" s="11"/>
      <c r="G30" s="11">
        <f t="shared" si="1"/>
        <v>4.1319999999999997</v>
      </c>
    </row>
    <row r="31" spans="1:7" ht="19.5" customHeight="1">
      <c r="A31" s="6" t="s">
        <v>23</v>
      </c>
      <c r="B31" s="13">
        <v>2.6</v>
      </c>
      <c r="C31" s="14">
        <v>20</v>
      </c>
      <c r="D31" s="11">
        <f t="shared" si="2"/>
        <v>1.8080000000000001</v>
      </c>
      <c r="E31" s="11">
        <v>0</v>
      </c>
      <c r="F31" s="11"/>
      <c r="G31" s="11">
        <f t="shared" si="1"/>
        <v>1.8080000000000001</v>
      </c>
    </row>
    <row r="32" spans="1:7" ht="19.5" customHeight="1">
      <c r="A32" s="6" t="s">
        <v>24</v>
      </c>
      <c r="B32" s="13">
        <v>11</v>
      </c>
      <c r="C32" s="14">
        <v>15</v>
      </c>
      <c r="D32" s="11">
        <f t="shared" si="2"/>
        <v>2.08</v>
      </c>
      <c r="E32" s="11">
        <v>4</v>
      </c>
      <c r="F32" s="11"/>
      <c r="G32" s="11">
        <f t="shared" si="1"/>
        <v>6.08</v>
      </c>
    </row>
    <row r="33" spans="1:7" ht="19.5" customHeight="1">
      <c r="A33" s="6" t="s">
        <v>25</v>
      </c>
      <c r="B33" s="13">
        <v>1.1000000000000001</v>
      </c>
      <c r="C33" s="14">
        <v>0</v>
      </c>
      <c r="D33" s="11">
        <f t="shared" si="2"/>
        <v>8.8000000000000009E-2</v>
      </c>
      <c r="E33" s="11">
        <v>0</v>
      </c>
      <c r="F33" s="11"/>
      <c r="G33" s="11">
        <f t="shared" si="1"/>
        <v>8.8000000000000009E-2</v>
      </c>
    </row>
    <row r="34" spans="1:7" ht="19.5" customHeight="1">
      <c r="A34" s="6" t="s">
        <v>26</v>
      </c>
      <c r="B34" s="13">
        <v>1.65</v>
      </c>
      <c r="C34" s="14"/>
      <c r="D34" s="11">
        <f t="shared" si="2"/>
        <v>0.13200000000000001</v>
      </c>
      <c r="E34" s="11">
        <v>0</v>
      </c>
      <c r="F34" s="11"/>
      <c r="G34" s="11">
        <f t="shared" si="1"/>
        <v>0.13200000000000001</v>
      </c>
    </row>
    <row r="35" spans="1:7" ht="19.5" customHeight="1">
      <c r="A35" s="6" t="s">
        <v>27</v>
      </c>
      <c r="B35" s="13">
        <v>3.9</v>
      </c>
      <c r="C35" s="14">
        <v>20</v>
      </c>
      <c r="D35" s="11">
        <f t="shared" si="2"/>
        <v>1.9119999999999999</v>
      </c>
      <c r="E35" s="11">
        <v>0</v>
      </c>
      <c r="F35" s="11"/>
      <c r="G35" s="11">
        <f t="shared" si="1"/>
        <v>1.9119999999999999</v>
      </c>
    </row>
    <row r="36" spans="1:7" ht="19.5" customHeight="1">
      <c r="A36" s="6" t="s">
        <v>28</v>
      </c>
      <c r="B36" s="13">
        <v>0</v>
      </c>
      <c r="C36" s="14">
        <v>5</v>
      </c>
      <c r="D36" s="11">
        <f t="shared" si="2"/>
        <v>0.4</v>
      </c>
      <c r="E36" s="11">
        <v>0</v>
      </c>
      <c r="F36" s="11"/>
      <c r="G36" s="11">
        <f t="shared" si="1"/>
        <v>0.4</v>
      </c>
    </row>
    <row r="37" spans="1:7" ht="19.5" customHeight="1">
      <c r="A37" s="6" t="s">
        <v>29</v>
      </c>
      <c r="B37" s="13">
        <v>2.2000000000000002</v>
      </c>
      <c r="C37" s="14">
        <v>0</v>
      </c>
      <c r="D37" s="11">
        <f t="shared" si="2"/>
        <v>0.17600000000000002</v>
      </c>
      <c r="E37" s="11">
        <v>0</v>
      </c>
      <c r="F37" s="11"/>
      <c r="G37" s="11">
        <f t="shared" si="1"/>
        <v>0.17600000000000002</v>
      </c>
    </row>
    <row r="38" spans="1:7" ht="19.5" customHeight="1">
      <c r="A38" s="6" t="s">
        <v>30</v>
      </c>
      <c r="B38" s="13">
        <v>0</v>
      </c>
      <c r="C38" s="14">
        <v>10</v>
      </c>
      <c r="D38" s="11">
        <f t="shared" si="2"/>
        <v>0.8</v>
      </c>
      <c r="E38" s="11">
        <v>3.8</v>
      </c>
      <c r="F38" s="11"/>
      <c r="G38" s="11">
        <f t="shared" si="1"/>
        <v>4.5999999999999996</v>
      </c>
    </row>
    <row r="39" spans="1:7" ht="19.5" customHeight="1">
      <c r="A39" s="6" t="s">
        <v>31</v>
      </c>
      <c r="B39" s="13">
        <v>1.1000000000000001</v>
      </c>
      <c r="C39" s="14">
        <v>0</v>
      </c>
      <c r="D39" s="11">
        <f t="shared" si="2"/>
        <v>8.8000000000000009E-2</v>
      </c>
      <c r="E39" s="11">
        <v>0</v>
      </c>
      <c r="F39" s="11"/>
      <c r="G39" s="11">
        <f t="shared" si="1"/>
        <v>8.8000000000000009E-2</v>
      </c>
    </row>
    <row r="40" spans="1:7" ht="19.5" customHeight="1">
      <c r="A40" s="6" t="s">
        <v>32</v>
      </c>
      <c r="B40" s="13">
        <v>0</v>
      </c>
      <c r="C40" s="14">
        <v>20</v>
      </c>
      <c r="D40" s="11">
        <f t="shared" si="2"/>
        <v>1.6</v>
      </c>
      <c r="E40" s="11">
        <v>0</v>
      </c>
      <c r="F40" s="11"/>
      <c r="G40" s="11">
        <f t="shared" si="1"/>
        <v>1.6</v>
      </c>
    </row>
    <row r="41" spans="1:7" ht="19.5" customHeight="1">
      <c r="A41" s="6" t="s">
        <v>33</v>
      </c>
      <c r="B41" s="13">
        <v>2.6</v>
      </c>
      <c r="C41" s="14"/>
      <c r="D41" s="11">
        <f t="shared" si="2"/>
        <v>0.20800000000000002</v>
      </c>
      <c r="E41" s="11">
        <v>0</v>
      </c>
      <c r="F41" s="11"/>
      <c r="G41" s="11">
        <f t="shared" si="1"/>
        <v>0.20800000000000002</v>
      </c>
    </row>
    <row r="42" spans="1:7" ht="19.5" customHeight="1">
      <c r="A42" s="6" t="s">
        <v>34</v>
      </c>
      <c r="B42" s="13">
        <v>0</v>
      </c>
      <c r="C42" s="14">
        <v>20</v>
      </c>
      <c r="D42" s="11">
        <f t="shared" si="2"/>
        <v>1.6</v>
      </c>
      <c r="E42" s="11">
        <v>0</v>
      </c>
      <c r="F42" s="11"/>
      <c r="G42" s="11">
        <f t="shared" si="1"/>
        <v>1.6</v>
      </c>
    </row>
    <row r="43" spans="1:7" s="8" customFormat="1" ht="19.5" customHeight="1">
      <c r="A43" s="9" t="s">
        <v>35</v>
      </c>
      <c r="B43" s="12">
        <v>15</v>
      </c>
      <c r="C43" s="11">
        <v>145</v>
      </c>
      <c r="D43" s="11">
        <f>(B43+C43)*0.12</f>
        <v>19.2</v>
      </c>
      <c r="E43" s="11">
        <v>23.8</v>
      </c>
      <c r="F43" s="11">
        <v>50</v>
      </c>
      <c r="G43" s="11">
        <f t="shared" si="1"/>
        <v>93</v>
      </c>
    </row>
    <row r="44" spans="1:7" ht="19.5" customHeight="1">
      <c r="A44" s="6" t="s">
        <v>36</v>
      </c>
      <c r="B44" s="13">
        <v>0.65</v>
      </c>
      <c r="C44" s="14">
        <v>10</v>
      </c>
      <c r="D44" s="11">
        <f t="shared" si="2"/>
        <v>0.85200000000000009</v>
      </c>
      <c r="E44" s="11">
        <v>3.8</v>
      </c>
      <c r="F44" s="11"/>
      <c r="G44" s="11">
        <f t="shared" si="1"/>
        <v>4.6520000000000001</v>
      </c>
    </row>
    <row r="45" spans="1:7" s="8" customFormat="1" ht="19.5" customHeight="1">
      <c r="A45" s="9" t="s">
        <v>37</v>
      </c>
      <c r="B45" s="12">
        <v>0.55000000000000004</v>
      </c>
      <c r="C45" s="11">
        <v>50</v>
      </c>
      <c r="D45" s="11">
        <f>(B45+C45)*0.12</f>
        <v>6.0659999999999998</v>
      </c>
      <c r="E45" s="11">
        <v>9.6</v>
      </c>
      <c r="F45" s="11"/>
      <c r="G45" s="11">
        <f t="shared" si="1"/>
        <v>15.666</v>
      </c>
    </row>
    <row r="46" spans="1:7" ht="19.5" customHeight="1">
      <c r="A46" s="6" t="s">
        <v>38</v>
      </c>
      <c r="B46" s="13">
        <v>6.6</v>
      </c>
      <c r="C46" s="14"/>
      <c r="D46" s="11">
        <f t="shared" si="2"/>
        <v>0.52800000000000002</v>
      </c>
      <c r="E46" s="11">
        <v>0</v>
      </c>
      <c r="F46" s="11"/>
      <c r="G46" s="11">
        <f t="shared" si="1"/>
        <v>0.52800000000000002</v>
      </c>
    </row>
    <row r="47" spans="1:7" s="8" customFormat="1" ht="19.5" customHeight="1">
      <c r="A47" s="9" t="s">
        <v>39</v>
      </c>
      <c r="B47" s="12">
        <v>58.8</v>
      </c>
      <c r="C47" s="11">
        <v>150</v>
      </c>
      <c r="D47" s="11">
        <f>(B47+C47)*0.12</f>
        <v>25.056000000000001</v>
      </c>
      <c r="E47" s="11">
        <v>103.5</v>
      </c>
      <c r="F47" s="11"/>
      <c r="G47" s="11">
        <f t="shared" si="1"/>
        <v>128.55600000000001</v>
      </c>
    </row>
    <row r="48" spans="1:7" ht="19.5" customHeight="1">
      <c r="A48" s="6" t="s">
        <v>40</v>
      </c>
      <c r="B48" s="13">
        <v>2.8</v>
      </c>
      <c r="C48" s="14">
        <v>5</v>
      </c>
      <c r="D48" s="11">
        <f t="shared" si="2"/>
        <v>0.624</v>
      </c>
      <c r="E48" s="11">
        <v>4</v>
      </c>
      <c r="F48" s="11"/>
      <c r="G48" s="11">
        <f t="shared" si="1"/>
        <v>4.6239999999999997</v>
      </c>
    </row>
    <row r="49" spans="1:7" ht="19.5" customHeight="1">
      <c r="A49" s="6" t="s">
        <v>41</v>
      </c>
      <c r="B49" s="13">
        <v>7</v>
      </c>
      <c r="C49" s="14">
        <v>15</v>
      </c>
      <c r="D49" s="11">
        <f t="shared" si="2"/>
        <v>1.76</v>
      </c>
      <c r="E49" s="11">
        <v>4</v>
      </c>
      <c r="F49" s="11"/>
      <c r="G49" s="11">
        <f t="shared" si="1"/>
        <v>5.76</v>
      </c>
    </row>
    <row r="50" spans="1:7" ht="19.5" customHeight="1">
      <c r="A50" s="6" t="s">
        <v>42</v>
      </c>
      <c r="B50" s="13">
        <v>1.4</v>
      </c>
      <c r="C50" s="14"/>
      <c r="D50" s="11">
        <f t="shared" si="2"/>
        <v>0.11199999999999999</v>
      </c>
      <c r="E50" s="11">
        <v>0</v>
      </c>
      <c r="F50" s="11"/>
      <c r="G50" s="11">
        <f t="shared" si="1"/>
        <v>0.11199999999999999</v>
      </c>
    </row>
    <row r="51" spans="1:7" ht="19.5" customHeight="1">
      <c r="A51" s="6" t="s">
        <v>43</v>
      </c>
      <c r="B51" s="13">
        <v>40.6</v>
      </c>
      <c r="C51" s="14">
        <v>55</v>
      </c>
      <c r="D51" s="11">
        <f t="shared" si="2"/>
        <v>7.6479999999999997</v>
      </c>
      <c r="E51" s="11">
        <v>22.8</v>
      </c>
      <c r="F51" s="11"/>
      <c r="G51" s="11">
        <f t="shared" si="1"/>
        <v>30.448</v>
      </c>
    </row>
    <row r="52" spans="1:7" ht="19.5" customHeight="1">
      <c r="A52" s="6" t="s">
        <v>44</v>
      </c>
      <c r="B52" s="13">
        <v>0</v>
      </c>
      <c r="C52" s="14">
        <v>20</v>
      </c>
      <c r="D52" s="11">
        <f t="shared" si="2"/>
        <v>1.6</v>
      </c>
      <c r="E52" s="11">
        <v>0</v>
      </c>
      <c r="F52" s="11"/>
      <c r="G52" s="11">
        <f t="shared" si="1"/>
        <v>1.6</v>
      </c>
    </row>
    <row r="53" spans="1:7" s="8" customFormat="1" ht="19.5" customHeight="1">
      <c r="A53" s="9" t="s">
        <v>45</v>
      </c>
      <c r="B53" s="12">
        <v>1275</v>
      </c>
      <c r="C53" s="11"/>
      <c r="D53" s="11">
        <f>(B53+C53)*0.12</f>
        <v>153</v>
      </c>
      <c r="E53" s="11">
        <v>0</v>
      </c>
      <c r="F53" s="11"/>
      <c r="G53" s="11">
        <f t="shared" si="1"/>
        <v>153</v>
      </c>
    </row>
    <row r="54" spans="1:7" ht="19.5" customHeight="1">
      <c r="A54" s="6" t="s">
        <v>46</v>
      </c>
      <c r="B54" s="13">
        <v>0</v>
      </c>
      <c r="C54" s="14"/>
      <c r="D54" s="11">
        <f t="shared" si="2"/>
        <v>0</v>
      </c>
      <c r="E54" s="11">
        <v>0</v>
      </c>
      <c r="F54" s="11"/>
      <c r="G54" s="11">
        <f t="shared" si="1"/>
        <v>0</v>
      </c>
    </row>
    <row r="55" spans="1:7" ht="19.5" customHeight="1">
      <c r="A55" s="6" t="s">
        <v>47</v>
      </c>
      <c r="B55" s="13">
        <v>0</v>
      </c>
      <c r="C55" s="14"/>
      <c r="D55" s="11">
        <f t="shared" si="2"/>
        <v>0</v>
      </c>
      <c r="E55" s="11">
        <v>0</v>
      </c>
      <c r="F55" s="11"/>
      <c r="G55" s="11">
        <f t="shared" si="1"/>
        <v>0</v>
      </c>
    </row>
    <row r="56" spans="1:7" s="8" customFormat="1" ht="19.5" customHeight="1">
      <c r="A56" s="9" t="s">
        <v>48</v>
      </c>
      <c r="B56" s="12">
        <v>121.8</v>
      </c>
      <c r="C56" s="11"/>
      <c r="D56" s="11">
        <f>(B56+C56)*0.12</f>
        <v>14.616</v>
      </c>
      <c r="E56" s="11">
        <v>0</v>
      </c>
      <c r="F56" s="11"/>
      <c r="G56" s="11">
        <f t="shared" si="1"/>
        <v>14.616</v>
      </c>
    </row>
    <row r="57" spans="1:7" s="8" customFormat="1" ht="19.5" customHeight="1">
      <c r="A57" s="9" t="s">
        <v>49</v>
      </c>
      <c r="B57" s="12">
        <v>226.2</v>
      </c>
      <c r="C57" s="11">
        <v>80.48</v>
      </c>
      <c r="D57" s="11">
        <f>(B57+C57)*0.12</f>
        <v>36.801600000000001</v>
      </c>
      <c r="E57" s="11">
        <v>0</v>
      </c>
      <c r="F57" s="11"/>
      <c r="G57" s="11">
        <f t="shared" si="1"/>
        <v>36.801600000000001</v>
      </c>
    </row>
    <row r="58" spans="1:7" s="8" customFormat="1" ht="19.5" customHeight="1">
      <c r="A58" s="9" t="s">
        <v>50</v>
      </c>
      <c r="B58" s="12">
        <v>7.8</v>
      </c>
      <c r="C58" s="11">
        <v>18</v>
      </c>
      <c r="D58" s="11">
        <f>(B58+C58)*0.12</f>
        <v>3.0960000000000001</v>
      </c>
      <c r="E58" s="11">
        <v>7.6</v>
      </c>
      <c r="F58" s="11"/>
      <c r="G58" s="11">
        <f t="shared" si="1"/>
        <v>10.696</v>
      </c>
    </row>
    <row r="59" spans="1:7" s="8" customFormat="1" ht="19.5" customHeight="1">
      <c r="A59" s="9" t="s">
        <v>51</v>
      </c>
      <c r="B59" s="12">
        <v>118.9</v>
      </c>
      <c r="C59" s="11">
        <v>380</v>
      </c>
      <c r="D59" s="11">
        <f>(B59+C59)*0.12</f>
        <v>59.867999999999995</v>
      </c>
      <c r="E59" s="11">
        <v>24.8</v>
      </c>
      <c r="F59" s="11"/>
      <c r="G59" s="11">
        <f t="shared" si="1"/>
        <v>84.667999999999992</v>
      </c>
    </row>
    <row r="60" spans="1:7" ht="19.5" customHeight="1">
      <c r="A60" s="6" t="s">
        <v>52</v>
      </c>
      <c r="B60" s="13">
        <v>5.2</v>
      </c>
      <c r="C60" s="14">
        <v>35</v>
      </c>
      <c r="D60" s="11">
        <f t="shared" si="2"/>
        <v>3.2160000000000002</v>
      </c>
      <c r="E60" s="11">
        <v>11.4</v>
      </c>
      <c r="F60" s="11"/>
      <c r="G60" s="11">
        <f t="shared" si="1"/>
        <v>14.616</v>
      </c>
    </row>
    <row r="61" spans="1:7" ht="19.5" customHeight="1">
      <c r="A61" s="6" t="s">
        <v>53</v>
      </c>
      <c r="B61" s="13">
        <v>9.9</v>
      </c>
      <c r="C61" s="14">
        <v>5</v>
      </c>
      <c r="D61" s="11">
        <f t="shared" si="2"/>
        <v>1.1919999999999999</v>
      </c>
      <c r="E61" s="11">
        <v>0</v>
      </c>
      <c r="F61" s="11"/>
      <c r="G61" s="11">
        <f t="shared" si="1"/>
        <v>1.1919999999999999</v>
      </c>
    </row>
    <row r="62" spans="1:7" ht="19.5" customHeight="1">
      <c r="A62" s="6" t="s">
        <v>54</v>
      </c>
      <c r="B62" s="13">
        <v>3.25</v>
      </c>
      <c r="C62" s="14">
        <v>0</v>
      </c>
      <c r="D62" s="11">
        <f t="shared" si="2"/>
        <v>0.26</v>
      </c>
      <c r="E62" s="11">
        <v>0</v>
      </c>
      <c r="F62" s="11"/>
      <c r="G62" s="11">
        <f t="shared" si="1"/>
        <v>0.26</v>
      </c>
    </row>
    <row r="63" spans="1:7" ht="19.5" customHeight="1">
      <c r="A63" s="6" t="s">
        <v>55</v>
      </c>
      <c r="B63" s="13">
        <v>12.35</v>
      </c>
      <c r="C63" s="14"/>
      <c r="D63" s="11">
        <f t="shared" si="2"/>
        <v>0.98799999999999999</v>
      </c>
      <c r="E63" s="11">
        <v>3.8</v>
      </c>
      <c r="F63" s="11"/>
      <c r="G63" s="11">
        <f t="shared" si="1"/>
        <v>4.7880000000000003</v>
      </c>
    </row>
    <row r="64" spans="1:7" ht="19.5" customHeight="1">
      <c r="A64" s="6" t="s">
        <v>56</v>
      </c>
      <c r="B64" s="13">
        <v>2.6</v>
      </c>
      <c r="C64" s="14">
        <v>0</v>
      </c>
      <c r="D64" s="11">
        <f t="shared" si="2"/>
        <v>0.20800000000000002</v>
      </c>
      <c r="E64" s="11">
        <v>0</v>
      </c>
      <c r="F64" s="11"/>
      <c r="G64" s="11">
        <f t="shared" si="1"/>
        <v>0.20800000000000002</v>
      </c>
    </row>
    <row r="65" spans="1:7" ht="19.5" customHeight="1">
      <c r="A65" s="6" t="s">
        <v>57</v>
      </c>
      <c r="B65" s="13">
        <v>9.75</v>
      </c>
      <c r="C65" s="14">
        <v>5</v>
      </c>
      <c r="D65" s="11">
        <f t="shared" si="2"/>
        <v>1.18</v>
      </c>
      <c r="E65" s="11">
        <v>0</v>
      </c>
      <c r="F65" s="11"/>
      <c r="G65" s="11">
        <f t="shared" si="1"/>
        <v>1.18</v>
      </c>
    </row>
    <row r="66" spans="1:7" ht="19.5" customHeight="1">
      <c r="A66" s="6" t="s">
        <v>58</v>
      </c>
      <c r="B66" s="13">
        <v>6.5</v>
      </c>
      <c r="C66" s="14">
        <v>30</v>
      </c>
      <c r="D66" s="11">
        <f t="shared" si="2"/>
        <v>2.92</v>
      </c>
      <c r="E66" s="11">
        <v>3.8</v>
      </c>
      <c r="F66" s="11"/>
      <c r="G66" s="11">
        <f t="shared" si="1"/>
        <v>6.72</v>
      </c>
    </row>
    <row r="67" spans="1:7" ht="19.5" customHeight="1">
      <c r="A67" s="6" t="s">
        <v>59</v>
      </c>
      <c r="B67" s="13">
        <v>1.3</v>
      </c>
      <c r="C67" s="14">
        <v>50</v>
      </c>
      <c r="D67" s="11">
        <f t="shared" si="2"/>
        <v>4.1040000000000001</v>
      </c>
      <c r="E67" s="11">
        <v>3.8</v>
      </c>
      <c r="F67" s="11"/>
      <c r="G67" s="11">
        <f t="shared" si="1"/>
        <v>7.9039999999999999</v>
      </c>
    </row>
    <row r="68" spans="1:7" ht="26.25" customHeight="1">
      <c r="A68" s="6" t="s">
        <v>60</v>
      </c>
      <c r="B68" s="13">
        <v>2.6</v>
      </c>
      <c r="C68" s="14">
        <v>0</v>
      </c>
      <c r="D68" s="11">
        <f t="shared" si="2"/>
        <v>0.20800000000000002</v>
      </c>
      <c r="E68" s="11">
        <v>4.8</v>
      </c>
      <c r="F68" s="11"/>
      <c r="G68" s="11">
        <f t="shared" si="1"/>
        <v>5.008</v>
      </c>
    </row>
    <row r="69" spans="1:7" ht="30" customHeight="1">
      <c r="A69" s="6" t="s">
        <v>61</v>
      </c>
      <c r="B69" s="13">
        <v>0</v>
      </c>
      <c r="C69" s="14">
        <v>25</v>
      </c>
      <c r="D69" s="11">
        <f t="shared" si="2"/>
        <v>2</v>
      </c>
      <c r="E69" s="11">
        <v>0</v>
      </c>
      <c r="F69" s="11"/>
      <c r="G69" s="11">
        <f t="shared" si="1"/>
        <v>2</v>
      </c>
    </row>
    <row r="70" spans="1:7" ht="19.5" customHeight="1">
      <c r="A70" s="6" t="s">
        <v>62</v>
      </c>
      <c r="B70" s="13">
        <v>12.65</v>
      </c>
      <c r="C70" s="14">
        <v>15</v>
      </c>
      <c r="D70" s="11">
        <f t="shared" si="2"/>
        <v>2.2119999999999997</v>
      </c>
      <c r="E70" s="11">
        <v>0</v>
      </c>
      <c r="F70" s="11"/>
      <c r="G70" s="11">
        <f t="shared" si="1"/>
        <v>2.2119999999999997</v>
      </c>
    </row>
    <row r="71" spans="1:7" ht="19.5" customHeight="1">
      <c r="A71" s="6" t="s">
        <v>63</v>
      </c>
      <c r="B71" s="13">
        <v>7.15</v>
      </c>
      <c r="C71" s="14">
        <v>9.6</v>
      </c>
      <c r="D71" s="11">
        <f t="shared" ref="D71:D135" si="3">(B71+C71)*0.08</f>
        <v>1.34</v>
      </c>
      <c r="E71" s="11">
        <v>0</v>
      </c>
      <c r="F71" s="11"/>
      <c r="G71" s="11">
        <f t="shared" si="1"/>
        <v>1.34</v>
      </c>
    </row>
    <row r="72" spans="1:7" ht="19.5" customHeight="1">
      <c r="A72" s="6" t="s">
        <v>64</v>
      </c>
      <c r="B72" s="13">
        <v>41.25</v>
      </c>
      <c r="C72" s="14">
        <v>6</v>
      </c>
      <c r="D72" s="11">
        <f t="shared" si="3"/>
        <v>3.7800000000000002</v>
      </c>
      <c r="E72" s="11">
        <v>0</v>
      </c>
      <c r="F72" s="11"/>
      <c r="G72" s="11">
        <f t="shared" ref="G72:G135" si="4">SUM(D72:F72)</f>
        <v>3.7800000000000002</v>
      </c>
    </row>
    <row r="73" spans="1:7" ht="19.5" customHeight="1">
      <c r="A73" s="6" t="s">
        <v>65</v>
      </c>
      <c r="B73" s="13">
        <v>15.4</v>
      </c>
      <c r="C73" s="14">
        <v>18</v>
      </c>
      <c r="D73" s="11">
        <f t="shared" si="3"/>
        <v>2.6720000000000002</v>
      </c>
      <c r="E73" s="11">
        <v>0</v>
      </c>
      <c r="F73" s="11"/>
      <c r="G73" s="11">
        <f t="shared" si="4"/>
        <v>2.6720000000000002</v>
      </c>
    </row>
    <row r="74" spans="1:7" ht="19.5" customHeight="1">
      <c r="A74" s="6" t="s">
        <v>66</v>
      </c>
      <c r="B74" s="13">
        <v>6.05</v>
      </c>
      <c r="C74" s="14">
        <v>0</v>
      </c>
      <c r="D74" s="11">
        <f t="shared" si="3"/>
        <v>0.48399999999999999</v>
      </c>
      <c r="E74" s="11">
        <v>3.8</v>
      </c>
      <c r="F74" s="11"/>
      <c r="G74" s="11">
        <f t="shared" si="4"/>
        <v>4.2839999999999998</v>
      </c>
    </row>
    <row r="75" spans="1:7" ht="19.5" customHeight="1">
      <c r="A75" s="6" t="s">
        <v>67</v>
      </c>
      <c r="B75" s="13">
        <v>6.6</v>
      </c>
      <c r="C75" s="14">
        <v>15</v>
      </c>
      <c r="D75" s="11">
        <f t="shared" si="3"/>
        <v>1.7280000000000002</v>
      </c>
      <c r="E75" s="11">
        <v>0</v>
      </c>
      <c r="F75" s="11"/>
      <c r="G75" s="11">
        <f t="shared" si="4"/>
        <v>1.7280000000000002</v>
      </c>
    </row>
    <row r="76" spans="1:7" ht="19.5" customHeight="1">
      <c r="A76" s="6" t="s">
        <v>68</v>
      </c>
      <c r="B76" s="13">
        <v>7.5</v>
      </c>
      <c r="C76" s="14">
        <v>5</v>
      </c>
      <c r="D76" s="11">
        <f t="shared" si="3"/>
        <v>1</v>
      </c>
      <c r="E76" s="11">
        <v>7.6</v>
      </c>
      <c r="F76" s="11"/>
      <c r="G76" s="11">
        <f t="shared" si="4"/>
        <v>8.6</v>
      </c>
    </row>
    <row r="77" spans="1:7" s="8" customFormat="1" ht="19.5" customHeight="1">
      <c r="A77" s="9" t="s">
        <v>69</v>
      </c>
      <c r="B77" s="12">
        <v>3.85</v>
      </c>
      <c r="C77" s="11">
        <v>0</v>
      </c>
      <c r="D77" s="11">
        <f>(B77+C77)*0.12</f>
        <v>0.46199999999999997</v>
      </c>
      <c r="E77" s="11">
        <v>7.6</v>
      </c>
      <c r="F77" s="11">
        <v>10</v>
      </c>
      <c r="G77" s="11">
        <f t="shared" si="4"/>
        <v>18.061999999999998</v>
      </c>
    </row>
    <row r="78" spans="1:7" s="8" customFormat="1" ht="19.5" customHeight="1">
      <c r="A78" s="9" t="s">
        <v>70</v>
      </c>
      <c r="B78" s="12">
        <v>87.75</v>
      </c>
      <c r="C78" s="11">
        <v>200</v>
      </c>
      <c r="D78" s="11">
        <f>(B78+C78)*0.12</f>
        <v>34.53</v>
      </c>
      <c r="E78" s="11">
        <v>76.8</v>
      </c>
      <c r="F78" s="11"/>
      <c r="G78" s="11">
        <f t="shared" si="4"/>
        <v>111.33</v>
      </c>
    </row>
    <row r="79" spans="1:7" ht="19.5" customHeight="1">
      <c r="A79" s="6" t="s">
        <v>71</v>
      </c>
      <c r="B79" s="13">
        <v>14.3</v>
      </c>
      <c r="C79" s="14">
        <v>15</v>
      </c>
      <c r="D79" s="11">
        <f t="shared" si="3"/>
        <v>2.3440000000000003</v>
      </c>
      <c r="E79" s="11">
        <v>7.6</v>
      </c>
      <c r="F79" s="11"/>
      <c r="G79" s="11">
        <f t="shared" si="4"/>
        <v>9.9439999999999991</v>
      </c>
    </row>
    <row r="80" spans="1:7" ht="19.5" customHeight="1">
      <c r="A80" s="6" t="s">
        <v>72</v>
      </c>
      <c r="B80" s="13">
        <v>4.95</v>
      </c>
      <c r="C80" s="14"/>
      <c r="D80" s="11">
        <f t="shared" si="3"/>
        <v>0.39600000000000002</v>
      </c>
      <c r="E80" s="11">
        <v>3.8</v>
      </c>
      <c r="F80" s="11"/>
      <c r="G80" s="11">
        <f t="shared" si="4"/>
        <v>4.1959999999999997</v>
      </c>
    </row>
    <row r="81" spans="1:7" s="8" customFormat="1" ht="19.5" customHeight="1">
      <c r="A81" s="9" t="s">
        <v>73</v>
      </c>
      <c r="B81" s="12">
        <v>5.85</v>
      </c>
      <c r="C81" s="11">
        <v>100</v>
      </c>
      <c r="D81" s="11">
        <f>(B81+C81)*0.12</f>
        <v>12.701999999999998</v>
      </c>
      <c r="E81" s="11">
        <v>0</v>
      </c>
      <c r="F81" s="11"/>
      <c r="G81" s="11">
        <f t="shared" si="4"/>
        <v>12.701999999999998</v>
      </c>
    </row>
    <row r="82" spans="1:7" ht="19.5" customHeight="1">
      <c r="A82" s="6" t="s">
        <v>74</v>
      </c>
      <c r="B82" s="13">
        <v>0</v>
      </c>
      <c r="C82" s="14">
        <v>50</v>
      </c>
      <c r="D82" s="11">
        <f t="shared" si="3"/>
        <v>4</v>
      </c>
      <c r="E82" s="11">
        <v>0</v>
      </c>
      <c r="F82" s="11"/>
      <c r="G82" s="11">
        <f t="shared" si="4"/>
        <v>4</v>
      </c>
    </row>
    <row r="83" spans="1:7" s="8" customFormat="1" ht="19.5" customHeight="1">
      <c r="A83" s="9" t="s">
        <v>75</v>
      </c>
      <c r="B83" s="12">
        <v>77.349999999999994</v>
      </c>
      <c r="C83" s="11">
        <v>150</v>
      </c>
      <c r="D83" s="11">
        <f>(B83+C83)*0.12</f>
        <v>27.282</v>
      </c>
      <c r="E83" s="11">
        <v>23.8</v>
      </c>
      <c r="F83" s="11"/>
      <c r="G83" s="11">
        <f t="shared" si="4"/>
        <v>51.082000000000001</v>
      </c>
    </row>
    <row r="84" spans="1:7" ht="30" customHeight="1">
      <c r="A84" s="6" t="s">
        <v>76</v>
      </c>
      <c r="B84" s="13">
        <v>2.2000000000000002</v>
      </c>
      <c r="C84" s="14">
        <v>5</v>
      </c>
      <c r="D84" s="11">
        <f>(B84+C84)*0.08</f>
        <v>0.57600000000000007</v>
      </c>
      <c r="E84" s="11">
        <v>0</v>
      </c>
      <c r="F84" s="11"/>
      <c r="G84" s="11">
        <f t="shared" si="4"/>
        <v>0.57600000000000007</v>
      </c>
    </row>
    <row r="85" spans="1:7" ht="27" customHeight="1">
      <c r="A85" s="6" t="s">
        <v>77</v>
      </c>
      <c r="B85" s="13">
        <v>1.65</v>
      </c>
      <c r="C85" s="14">
        <v>5</v>
      </c>
      <c r="D85" s="11">
        <f t="shared" si="3"/>
        <v>0.53200000000000003</v>
      </c>
      <c r="E85" s="11">
        <v>0</v>
      </c>
      <c r="F85" s="11"/>
      <c r="G85" s="11">
        <f t="shared" si="4"/>
        <v>0.53200000000000003</v>
      </c>
    </row>
    <row r="86" spans="1:7" ht="19.5" customHeight="1">
      <c r="A86" s="6" t="s">
        <v>78</v>
      </c>
      <c r="B86" s="13">
        <v>3.3</v>
      </c>
      <c r="C86" s="14">
        <v>45</v>
      </c>
      <c r="D86" s="11">
        <f t="shared" si="3"/>
        <v>3.8639999999999999</v>
      </c>
      <c r="E86" s="11">
        <v>7.6</v>
      </c>
      <c r="F86" s="11"/>
      <c r="G86" s="11">
        <f t="shared" si="4"/>
        <v>11.463999999999999</v>
      </c>
    </row>
    <row r="87" spans="1:7" ht="19.5" customHeight="1">
      <c r="A87" s="6" t="s">
        <v>79</v>
      </c>
      <c r="B87" s="13">
        <v>2.75</v>
      </c>
      <c r="C87" s="14">
        <v>30</v>
      </c>
      <c r="D87" s="11">
        <f t="shared" si="3"/>
        <v>2.62</v>
      </c>
      <c r="E87" s="11">
        <v>7.6</v>
      </c>
      <c r="F87" s="11"/>
      <c r="G87" s="11">
        <f t="shared" si="4"/>
        <v>10.219999999999999</v>
      </c>
    </row>
    <row r="88" spans="1:7" ht="19.5" customHeight="1">
      <c r="A88" s="6" t="s">
        <v>80</v>
      </c>
      <c r="B88" s="13">
        <v>17.05</v>
      </c>
      <c r="C88" s="14">
        <v>80</v>
      </c>
      <c r="D88" s="11">
        <f t="shared" si="3"/>
        <v>7.7640000000000002</v>
      </c>
      <c r="E88" s="11">
        <v>7.6</v>
      </c>
      <c r="F88" s="11"/>
      <c r="G88" s="11">
        <f t="shared" si="4"/>
        <v>15.364000000000001</v>
      </c>
    </row>
    <row r="89" spans="1:7" ht="19.5" customHeight="1">
      <c r="A89" s="6" t="s">
        <v>81</v>
      </c>
      <c r="B89" s="13">
        <v>11.05</v>
      </c>
      <c r="C89" s="14">
        <v>80</v>
      </c>
      <c r="D89" s="11">
        <f t="shared" si="3"/>
        <v>7.2839999999999998</v>
      </c>
      <c r="E89" s="11">
        <v>7.6</v>
      </c>
      <c r="F89" s="11"/>
      <c r="G89" s="11">
        <f t="shared" si="4"/>
        <v>14.884</v>
      </c>
    </row>
    <row r="90" spans="1:7" ht="19.5" customHeight="1">
      <c r="A90" s="6" t="s">
        <v>82</v>
      </c>
      <c r="B90" s="13">
        <v>5.55</v>
      </c>
      <c r="C90" s="14">
        <v>0</v>
      </c>
      <c r="D90" s="11">
        <f t="shared" si="3"/>
        <v>0.44400000000000001</v>
      </c>
      <c r="E90" s="11">
        <v>0</v>
      </c>
      <c r="F90" s="11"/>
      <c r="G90" s="11">
        <f t="shared" si="4"/>
        <v>0.44400000000000001</v>
      </c>
    </row>
    <row r="91" spans="1:7" s="8" customFormat="1" ht="19.5" customHeight="1">
      <c r="A91" s="9" t="s">
        <v>83</v>
      </c>
      <c r="B91" s="12">
        <v>40.299999999999997</v>
      </c>
      <c r="C91" s="11">
        <v>150</v>
      </c>
      <c r="D91" s="11">
        <f>(B91+C91)*0.12</f>
        <v>22.836000000000002</v>
      </c>
      <c r="E91" s="11">
        <v>22.8</v>
      </c>
      <c r="F91" s="11"/>
      <c r="G91" s="11">
        <f t="shared" si="4"/>
        <v>45.636000000000003</v>
      </c>
    </row>
    <row r="92" spans="1:7" ht="19.5" customHeight="1">
      <c r="A92" s="6" t="s">
        <v>84</v>
      </c>
      <c r="B92" s="13">
        <v>0</v>
      </c>
      <c r="C92" s="14">
        <v>20</v>
      </c>
      <c r="D92" s="11">
        <f t="shared" si="3"/>
        <v>1.6</v>
      </c>
      <c r="E92" s="11">
        <v>3.8</v>
      </c>
      <c r="F92" s="11"/>
      <c r="G92" s="11">
        <f t="shared" si="4"/>
        <v>5.4</v>
      </c>
    </row>
    <row r="93" spans="1:7" ht="19.5" customHeight="1">
      <c r="A93" s="6" t="s">
        <v>85</v>
      </c>
      <c r="B93" s="13">
        <v>24</v>
      </c>
      <c r="C93" s="14">
        <v>0</v>
      </c>
      <c r="D93" s="11">
        <f t="shared" si="3"/>
        <v>1.92</v>
      </c>
      <c r="E93" s="11">
        <v>0</v>
      </c>
      <c r="F93" s="11"/>
      <c r="G93" s="11">
        <f t="shared" si="4"/>
        <v>1.92</v>
      </c>
    </row>
    <row r="94" spans="1:7" ht="19.5" customHeight="1">
      <c r="A94" s="6" t="s">
        <v>86</v>
      </c>
      <c r="B94" s="13">
        <v>4.4000000000000004</v>
      </c>
      <c r="C94" s="14">
        <v>20</v>
      </c>
      <c r="D94" s="11">
        <f t="shared" si="3"/>
        <v>1.952</v>
      </c>
      <c r="E94" s="11">
        <v>0</v>
      </c>
      <c r="F94" s="11"/>
      <c r="G94" s="11">
        <f t="shared" si="4"/>
        <v>1.952</v>
      </c>
    </row>
    <row r="95" spans="1:7" ht="19.5" customHeight="1">
      <c r="A95" s="6" t="s">
        <v>87</v>
      </c>
      <c r="B95" s="13">
        <v>1.65</v>
      </c>
      <c r="C95" s="15"/>
      <c r="D95" s="11">
        <f t="shared" si="3"/>
        <v>0.13200000000000001</v>
      </c>
      <c r="E95" s="11">
        <v>0</v>
      </c>
      <c r="F95" s="11"/>
      <c r="G95" s="11">
        <f t="shared" si="4"/>
        <v>0.13200000000000001</v>
      </c>
    </row>
    <row r="96" spans="1:7" ht="19.5" customHeight="1">
      <c r="A96" s="6" t="s">
        <v>88</v>
      </c>
      <c r="B96" s="13">
        <v>2.6</v>
      </c>
      <c r="C96" s="14">
        <v>18</v>
      </c>
      <c r="D96" s="11">
        <f t="shared" si="3"/>
        <v>1.6480000000000001</v>
      </c>
      <c r="E96" s="11">
        <v>3.8</v>
      </c>
      <c r="F96" s="11"/>
      <c r="G96" s="11">
        <f t="shared" si="4"/>
        <v>5.4480000000000004</v>
      </c>
    </row>
    <row r="97" spans="1:7" ht="19.5" customHeight="1">
      <c r="A97" s="6" t="s">
        <v>89</v>
      </c>
      <c r="B97" s="13">
        <v>26.25</v>
      </c>
      <c r="C97" s="14">
        <v>0</v>
      </c>
      <c r="D97" s="11">
        <f t="shared" si="3"/>
        <v>2.1</v>
      </c>
      <c r="E97" s="11">
        <v>0</v>
      </c>
      <c r="F97" s="11"/>
      <c r="G97" s="11">
        <f t="shared" si="4"/>
        <v>2.1</v>
      </c>
    </row>
    <row r="98" spans="1:7" ht="19.5" customHeight="1">
      <c r="A98" s="6" t="s">
        <v>90</v>
      </c>
      <c r="B98" s="13">
        <v>2.2000000000000002</v>
      </c>
      <c r="C98" s="14"/>
      <c r="D98" s="11">
        <f t="shared" si="3"/>
        <v>0.17600000000000002</v>
      </c>
      <c r="E98" s="11">
        <v>0</v>
      </c>
      <c r="F98" s="11"/>
      <c r="G98" s="11">
        <f t="shared" si="4"/>
        <v>0.17600000000000002</v>
      </c>
    </row>
    <row r="99" spans="1:7" ht="19.5" customHeight="1">
      <c r="A99" s="6" t="s">
        <v>91</v>
      </c>
      <c r="B99" s="13">
        <v>9.15</v>
      </c>
      <c r="C99" s="14">
        <v>50</v>
      </c>
      <c r="D99" s="11">
        <f t="shared" si="3"/>
        <v>4.7320000000000002</v>
      </c>
      <c r="E99" s="11">
        <v>7.6</v>
      </c>
      <c r="F99" s="11"/>
      <c r="G99" s="11">
        <f t="shared" si="4"/>
        <v>12.332000000000001</v>
      </c>
    </row>
    <row r="100" spans="1:7" ht="19.5" customHeight="1">
      <c r="A100" s="6" t="s">
        <v>92</v>
      </c>
      <c r="B100" s="13">
        <v>27.5</v>
      </c>
      <c r="C100" s="14">
        <v>0</v>
      </c>
      <c r="D100" s="11">
        <f t="shared" si="3"/>
        <v>2.2000000000000002</v>
      </c>
      <c r="E100" s="11">
        <v>0</v>
      </c>
      <c r="F100" s="11"/>
      <c r="G100" s="11">
        <f t="shared" si="4"/>
        <v>2.2000000000000002</v>
      </c>
    </row>
    <row r="101" spans="1:7" ht="19.5" customHeight="1">
      <c r="A101" s="6" t="s">
        <v>93</v>
      </c>
      <c r="B101" s="13">
        <v>3.25</v>
      </c>
      <c r="C101" s="14"/>
      <c r="D101" s="11">
        <f t="shared" si="3"/>
        <v>0.26</v>
      </c>
      <c r="E101" s="11">
        <v>7.6</v>
      </c>
      <c r="F101" s="11"/>
      <c r="G101" s="11">
        <f t="shared" si="4"/>
        <v>7.8599999999999994</v>
      </c>
    </row>
    <row r="102" spans="1:7" ht="30.75" customHeight="1">
      <c r="A102" s="6" t="s">
        <v>94</v>
      </c>
      <c r="B102" s="13">
        <v>9.9</v>
      </c>
      <c r="C102" s="14">
        <v>20</v>
      </c>
      <c r="D102" s="11">
        <f t="shared" si="3"/>
        <v>2.3919999999999999</v>
      </c>
      <c r="E102" s="11">
        <v>19</v>
      </c>
      <c r="F102" s="11"/>
      <c r="G102" s="11">
        <f t="shared" si="4"/>
        <v>21.391999999999999</v>
      </c>
    </row>
    <row r="103" spans="1:7" ht="28.5" customHeight="1">
      <c r="A103" s="6" t="s">
        <v>95</v>
      </c>
      <c r="B103" s="13">
        <v>0</v>
      </c>
      <c r="C103" s="14">
        <v>15</v>
      </c>
      <c r="D103" s="11">
        <f t="shared" si="3"/>
        <v>1.2</v>
      </c>
      <c r="E103" s="11">
        <v>7.6</v>
      </c>
      <c r="F103" s="11"/>
      <c r="G103" s="11">
        <f t="shared" si="4"/>
        <v>8.7999999999999989</v>
      </c>
    </row>
    <row r="104" spans="1:7" ht="19.5" customHeight="1">
      <c r="A104" s="6" t="s">
        <v>96</v>
      </c>
      <c r="B104" s="13">
        <v>12.5</v>
      </c>
      <c r="C104" s="14">
        <v>10</v>
      </c>
      <c r="D104" s="11">
        <f t="shared" si="3"/>
        <v>1.8</v>
      </c>
      <c r="E104" s="11">
        <v>0</v>
      </c>
      <c r="F104" s="11"/>
      <c r="G104" s="11">
        <f t="shared" si="4"/>
        <v>1.8</v>
      </c>
    </row>
    <row r="105" spans="1:7" ht="19.5" customHeight="1">
      <c r="A105" s="6" t="s">
        <v>97</v>
      </c>
      <c r="B105" s="13">
        <v>2.6</v>
      </c>
      <c r="C105" s="14">
        <v>0</v>
      </c>
      <c r="D105" s="11">
        <f t="shared" si="3"/>
        <v>0.20800000000000002</v>
      </c>
      <c r="E105" s="11">
        <v>0</v>
      </c>
      <c r="F105" s="11"/>
      <c r="G105" s="11">
        <f t="shared" si="4"/>
        <v>0.20800000000000002</v>
      </c>
    </row>
    <row r="106" spans="1:7" ht="19.5" customHeight="1">
      <c r="A106" s="6" t="s">
        <v>98</v>
      </c>
      <c r="B106" s="13">
        <v>4.55</v>
      </c>
      <c r="C106" s="14">
        <v>0</v>
      </c>
      <c r="D106" s="11">
        <f t="shared" si="3"/>
        <v>0.36399999999999999</v>
      </c>
      <c r="E106" s="11">
        <v>3.8</v>
      </c>
      <c r="F106" s="11"/>
      <c r="G106" s="11">
        <f t="shared" si="4"/>
        <v>4.1639999999999997</v>
      </c>
    </row>
    <row r="107" spans="1:7" ht="19.5" customHeight="1">
      <c r="A107" s="6" t="s">
        <v>99</v>
      </c>
      <c r="B107" s="13">
        <v>1.95</v>
      </c>
      <c r="C107" s="14">
        <v>0</v>
      </c>
      <c r="D107" s="11">
        <f t="shared" si="3"/>
        <v>0.156</v>
      </c>
      <c r="E107" s="11">
        <v>0</v>
      </c>
      <c r="F107" s="11"/>
      <c r="G107" s="11">
        <f t="shared" si="4"/>
        <v>0.156</v>
      </c>
    </row>
    <row r="108" spans="1:7" ht="19.5" customHeight="1">
      <c r="A108" s="6" t="s">
        <v>100</v>
      </c>
      <c r="B108" s="13">
        <v>3.3</v>
      </c>
      <c r="C108" s="14">
        <v>0</v>
      </c>
      <c r="D108" s="11">
        <f t="shared" si="3"/>
        <v>0.26400000000000001</v>
      </c>
      <c r="E108" s="11">
        <v>0</v>
      </c>
      <c r="F108" s="11"/>
      <c r="G108" s="11">
        <f t="shared" si="4"/>
        <v>0.26400000000000001</v>
      </c>
    </row>
    <row r="109" spans="1:7" ht="19.5" customHeight="1">
      <c r="A109" s="6" t="s">
        <v>101</v>
      </c>
      <c r="B109" s="13">
        <v>4.4000000000000004</v>
      </c>
      <c r="C109" s="14">
        <v>0</v>
      </c>
      <c r="D109" s="11">
        <f t="shared" si="3"/>
        <v>0.35200000000000004</v>
      </c>
      <c r="E109" s="11">
        <v>0</v>
      </c>
      <c r="F109" s="11"/>
      <c r="G109" s="11">
        <f t="shared" si="4"/>
        <v>0.35200000000000004</v>
      </c>
    </row>
    <row r="110" spans="1:7" ht="19.5" customHeight="1">
      <c r="A110" s="6" t="s">
        <v>102</v>
      </c>
      <c r="B110" s="13">
        <v>1.65</v>
      </c>
      <c r="C110" s="14">
        <v>0</v>
      </c>
      <c r="D110" s="11">
        <f t="shared" si="3"/>
        <v>0.13200000000000001</v>
      </c>
      <c r="E110" s="11">
        <v>0</v>
      </c>
      <c r="F110" s="11"/>
      <c r="G110" s="11">
        <f t="shared" si="4"/>
        <v>0.13200000000000001</v>
      </c>
    </row>
    <row r="111" spans="1:7" ht="19.5" customHeight="1">
      <c r="A111" s="6" t="s">
        <v>103</v>
      </c>
      <c r="B111" s="13">
        <v>6.6</v>
      </c>
      <c r="C111" s="14">
        <v>0</v>
      </c>
      <c r="D111" s="11">
        <f t="shared" si="3"/>
        <v>0.52800000000000002</v>
      </c>
      <c r="E111" s="11">
        <v>0</v>
      </c>
      <c r="F111" s="11"/>
      <c r="G111" s="11">
        <f t="shared" si="4"/>
        <v>0.52800000000000002</v>
      </c>
    </row>
    <row r="112" spans="1:7" ht="19.5" customHeight="1">
      <c r="A112" s="6" t="s">
        <v>104</v>
      </c>
      <c r="B112" s="13">
        <v>5.05</v>
      </c>
      <c r="C112" s="14"/>
      <c r="D112" s="11">
        <f t="shared" si="3"/>
        <v>0.40399999999999997</v>
      </c>
      <c r="E112" s="11">
        <v>0</v>
      </c>
      <c r="F112" s="11"/>
      <c r="G112" s="11">
        <f t="shared" si="4"/>
        <v>0.40399999999999997</v>
      </c>
    </row>
    <row r="113" spans="1:7" ht="19.5" customHeight="1">
      <c r="A113" s="6" t="s">
        <v>105</v>
      </c>
      <c r="B113" s="13">
        <v>6.05</v>
      </c>
      <c r="C113" s="14">
        <v>0</v>
      </c>
      <c r="D113" s="11">
        <f t="shared" si="3"/>
        <v>0.48399999999999999</v>
      </c>
      <c r="E113" s="11">
        <v>0</v>
      </c>
      <c r="F113" s="11"/>
      <c r="G113" s="11">
        <f t="shared" si="4"/>
        <v>0.48399999999999999</v>
      </c>
    </row>
    <row r="114" spans="1:7" ht="28.5" customHeight="1">
      <c r="A114" s="6" t="s">
        <v>106</v>
      </c>
      <c r="B114" s="13">
        <v>0</v>
      </c>
      <c r="C114" s="14">
        <v>25</v>
      </c>
      <c r="D114" s="11">
        <f t="shared" si="3"/>
        <v>2</v>
      </c>
      <c r="E114" s="11">
        <v>11.4</v>
      </c>
      <c r="F114" s="11"/>
      <c r="G114" s="11">
        <f t="shared" si="4"/>
        <v>13.4</v>
      </c>
    </row>
    <row r="115" spans="1:7" ht="19.5" customHeight="1">
      <c r="A115" s="6" t="s">
        <v>107</v>
      </c>
      <c r="B115" s="13">
        <v>0</v>
      </c>
      <c r="C115" s="14">
        <v>10</v>
      </c>
      <c r="D115" s="11">
        <f t="shared" si="3"/>
        <v>0.8</v>
      </c>
      <c r="E115" s="11">
        <v>3.8</v>
      </c>
      <c r="F115" s="11"/>
      <c r="G115" s="11">
        <f t="shared" si="4"/>
        <v>4.5999999999999996</v>
      </c>
    </row>
    <row r="116" spans="1:7" ht="19.5" customHeight="1">
      <c r="A116" s="6" t="s">
        <v>108</v>
      </c>
      <c r="B116" s="13">
        <v>0</v>
      </c>
      <c r="C116" s="14">
        <v>20</v>
      </c>
      <c r="D116" s="11">
        <f t="shared" si="3"/>
        <v>1.6</v>
      </c>
      <c r="E116" s="11">
        <v>3.8</v>
      </c>
      <c r="F116" s="11"/>
      <c r="G116" s="11">
        <f t="shared" si="4"/>
        <v>5.4</v>
      </c>
    </row>
    <row r="117" spans="1:7" s="8" customFormat="1" ht="19.5" customHeight="1">
      <c r="A117" s="9" t="s">
        <v>109</v>
      </c>
      <c r="B117" s="12">
        <v>39.65</v>
      </c>
      <c r="C117" s="11">
        <v>150</v>
      </c>
      <c r="D117" s="11">
        <f>(B117+C117)*0.12</f>
        <v>22.757999999999999</v>
      </c>
      <c r="E117" s="11">
        <v>11.4</v>
      </c>
      <c r="F117" s="11"/>
      <c r="G117" s="11">
        <f t="shared" si="4"/>
        <v>34.158000000000001</v>
      </c>
    </row>
    <row r="118" spans="1:7" ht="19.5" customHeight="1">
      <c r="A118" s="6" t="s">
        <v>110</v>
      </c>
      <c r="B118" s="13">
        <v>0</v>
      </c>
      <c r="C118" s="14">
        <v>30</v>
      </c>
      <c r="D118" s="11">
        <f t="shared" si="3"/>
        <v>2.4</v>
      </c>
      <c r="E118" s="11">
        <v>4.8</v>
      </c>
      <c r="F118" s="11"/>
      <c r="G118" s="11">
        <f t="shared" si="4"/>
        <v>7.1999999999999993</v>
      </c>
    </row>
    <row r="119" spans="1:7" ht="19.5" customHeight="1">
      <c r="A119" s="6" t="s">
        <v>111</v>
      </c>
      <c r="B119" s="13">
        <v>18.3</v>
      </c>
      <c r="C119" s="14">
        <v>80</v>
      </c>
      <c r="D119" s="11">
        <f t="shared" si="3"/>
        <v>7.8639999999999999</v>
      </c>
      <c r="E119" s="11">
        <v>3.8</v>
      </c>
      <c r="F119" s="11"/>
      <c r="G119" s="11">
        <f t="shared" si="4"/>
        <v>11.664</v>
      </c>
    </row>
    <row r="120" spans="1:7" ht="19.5" customHeight="1">
      <c r="A120" s="6" t="s">
        <v>112</v>
      </c>
      <c r="B120" s="13">
        <v>0</v>
      </c>
      <c r="C120" s="14">
        <v>35</v>
      </c>
      <c r="D120" s="11">
        <f t="shared" si="3"/>
        <v>2.8000000000000003</v>
      </c>
      <c r="E120" s="11">
        <v>0</v>
      </c>
      <c r="F120" s="11"/>
      <c r="G120" s="11">
        <f t="shared" si="4"/>
        <v>2.8000000000000003</v>
      </c>
    </row>
    <row r="121" spans="1:7" ht="19.5" customHeight="1">
      <c r="A121" s="6" t="s">
        <v>113</v>
      </c>
      <c r="B121" s="13">
        <v>4.4000000000000004</v>
      </c>
      <c r="C121" s="14">
        <v>40</v>
      </c>
      <c r="D121" s="11">
        <f t="shared" si="3"/>
        <v>3.552</v>
      </c>
      <c r="E121" s="11">
        <v>0</v>
      </c>
      <c r="F121" s="11"/>
      <c r="G121" s="11">
        <f t="shared" si="4"/>
        <v>3.552</v>
      </c>
    </row>
    <row r="122" spans="1:7" ht="19.5" customHeight="1">
      <c r="A122" s="6" t="s">
        <v>114</v>
      </c>
      <c r="B122" s="13">
        <v>5.5</v>
      </c>
      <c r="C122" s="14">
        <v>10</v>
      </c>
      <c r="D122" s="11">
        <f t="shared" si="3"/>
        <v>1.24</v>
      </c>
      <c r="E122" s="11">
        <v>0</v>
      </c>
      <c r="F122" s="11"/>
      <c r="G122" s="11">
        <f t="shared" si="4"/>
        <v>1.24</v>
      </c>
    </row>
    <row r="123" spans="1:7" ht="19.5" customHeight="1">
      <c r="A123" s="6" t="s">
        <v>115</v>
      </c>
      <c r="B123" s="13">
        <v>0</v>
      </c>
      <c r="C123" s="14">
        <v>60</v>
      </c>
      <c r="D123" s="11">
        <f t="shared" si="3"/>
        <v>4.8</v>
      </c>
      <c r="E123" s="11">
        <v>0</v>
      </c>
      <c r="F123" s="11"/>
      <c r="G123" s="11">
        <f t="shared" si="4"/>
        <v>4.8</v>
      </c>
    </row>
    <row r="124" spans="1:7" ht="19.5" customHeight="1">
      <c r="A124" s="6" t="s">
        <v>116</v>
      </c>
      <c r="B124" s="13">
        <v>0</v>
      </c>
      <c r="C124" s="14">
        <v>30</v>
      </c>
      <c r="D124" s="11">
        <f t="shared" si="3"/>
        <v>2.4</v>
      </c>
      <c r="E124" s="11">
        <v>0</v>
      </c>
      <c r="F124" s="11"/>
      <c r="G124" s="11">
        <f t="shared" si="4"/>
        <v>2.4</v>
      </c>
    </row>
    <row r="125" spans="1:7" s="8" customFormat="1" ht="19.5" customHeight="1">
      <c r="A125" s="9" t="s">
        <v>117</v>
      </c>
      <c r="B125" s="12">
        <v>34.950000000000003</v>
      </c>
      <c r="C125" s="11">
        <v>325</v>
      </c>
      <c r="D125" s="11">
        <f>(B125+C125)*0.12</f>
        <v>43.193999999999996</v>
      </c>
      <c r="E125" s="11">
        <v>23.8</v>
      </c>
      <c r="F125" s="11"/>
      <c r="G125" s="11">
        <f t="shared" si="4"/>
        <v>66.994</v>
      </c>
    </row>
    <row r="126" spans="1:7" ht="19.5" customHeight="1">
      <c r="A126" s="6" t="s">
        <v>118</v>
      </c>
      <c r="B126" s="13">
        <v>2.2000000000000002</v>
      </c>
      <c r="C126" s="14"/>
      <c r="D126" s="11">
        <f t="shared" si="3"/>
        <v>0.17600000000000002</v>
      </c>
      <c r="E126" s="11">
        <v>7.6</v>
      </c>
      <c r="F126" s="11"/>
      <c r="G126" s="11">
        <f t="shared" si="4"/>
        <v>7.7759999999999998</v>
      </c>
    </row>
    <row r="127" spans="1:7" ht="19.5" customHeight="1">
      <c r="A127" s="6" t="s">
        <v>119</v>
      </c>
      <c r="B127" s="13">
        <v>4.75</v>
      </c>
      <c r="C127" s="14">
        <v>5</v>
      </c>
      <c r="D127" s="11">
        <f t="shared" si="3"/>
        <v>0.78</v>
      </c>
      <c r="E127" s="11">
        <v>3.8</v>
      </c>
      <c r="F127" s="11"/>
      <c r="G127" s="11">
        <f t="shared" si="4"/>
        <v>4.58</v>
      </c>
    </row>
    <row r="128" spans="1:7" ht="19.5" customHeight="1">
      <c r="A128" s="6" t="s">
        <v>120</v>
      </c>
      <c r="B128" s="13">
        <v>3.3</v>
      </c>
      <c r="C128" s="14">
        <v>16.760000000000002</v>
      </c>
      <c r="D128" s="11">
        <f t="shared" si="3"/>
        <v>1.6048000000000002</v>
      </c>
      <c r="E128" s="11">
        <v>3.8</v>
      </c>
      <c r="F128" s="11"/>
      <c r="G128" s="11">
        <f t="shared" si="4"/>
        <v>5.4047999999999998</v>
      </c>
    </row>
    <row r="129" spans="1:7" ht="19.5" customHeight="1">
      <c r="A129" s="6" t="s">
        <v>121</v>
      </c>
      <c r="B129" s="13">
        <v>8.25</v>
      </c>
      <c r="C129" s="14">
        <v>5.6</v>
      </c>
      <c r="D129" s="11">
        <f t="shared" si="3"/>
        <v>1.1080000000000001</v>
      </c>
      <c r="E129" s="11">
        <v>0</v>
      </c>
      <c r="F129" s="11"/>
      <c r="G129" s="11">
        <f t="shared" si="4"/>
        <v>1.1080000000000001</v>
      </c>
    </row>
    <row r="130" spans="1:7" ht="19.5" customHeight="1">
      <c r="A130" s="6" t="s">
        <v>122</v>
      </c>
      <c r="B130" s="13">
        <v>2.75</v>
      </c>
      <c r="C130" s="14">
        <v>13.4</v>
      </c>
      <c r="D130" s="11">
        <f t="shared" si="3"/>
        <v>1.2919999999999998</v>
      </c>
      <c r="E130" s="11">
        <v>0</v>
      </c>
      <c r="F130" s="11"/>
      <c r="G130" s="11">
        <f t="shared" si="4"/>
        <v>1.2919999999999998</v>
      </c>
    </row>
    <row r="131" spans="1:7" s="2" customFormat="1" ht="19.5" customHeight="1">
      <c r="A131" s="6" t="s">
        <v>237</v>
      </c>
      <c r="B131" s="13">
        <v>4.95</v>
      </c>
      <c r="C131" s="14"/>
      <c r="D131" s="11"/>
      <c r="E131" s="11"/>
      <c r="F131" s="11"/>
      <c r="G131" s="11">
        <f t="shared" si="4"/>
        <v>0</v>
      </c>
    </row>
    <row r="132" spans="1:7" ht="19.5" customHeight="1">
      <c r="A132" s="6" t="s">
        <v>123</v>
      </c>
      <c r="B132" s="13">
        <v>11</v>
      </c>
      <c r="C132" s="14">
        <v>5</v>
      </c>
      <c r="D132" s="11">
        <f t="shared" si="3"/>
        <v>1.28</v>
      </c>
      <c r="E132" s="11">
        <v>0</v>
      </c>
      <c r="F132" s="11"/>
      <c r="G132" s="11">
        <f t="shared" si="4"/>
        <v>1.28</v>
      </c>
    </row>
    <row r="133" spans="1:7" ht="19.5" customHeight="1">
      <c r="A133" s="6" t="s">
        <v>124</v>
      </c>
      <c r="B133" s="13">
        <v>19.25</v>
      </c>
      <c r="C133" s="14">
        <v>14</v>
      </c>
      <c r="D133" s="11">
        <f t="shared" si="3"/>
        <v>2.66</v>
      </c>
      <c r="E133" s="11">
        <v>0</v>
      </c>
      <c r="F133" s="11"/>
      <c r="G133" s="11">
        <f t="shared" si="4"/>
        <v>2.66</v>
      </c>
    </row>
    <row r="134" spans="1:7" ht="19.5" customHeight="1">
      <c r="A134" s="6" t="s">
        <v>125</v>
      </c>
      <c r="B134" s="13">
        <v>5.08</v>
      </c>
      <c r="C134" s="14">
        <v>0</v>
      </c>
      <c r="D134" s="11">
        <f t="shared" si="3"/>
        <v>0.40640000000000004</v>
      </c>
      <c r="E134" s="11">
        <v>0</v>
      </c>
      <c r="F134" s="11"/>
      <c r="G134" s="11">
        <f t="shared" si="4"/>
        <v>0.40640000000000004</v>
      </c>
    </row>
    <row r="135" spans="1:7" ht="19.5" customHeight="1">
      <c r="A135" s="6" t="s">
        <v>126</v>
      </c>
      <c r="B135" s="13">
        <v>27.78</v>
      </c>
      <c r="C135" s="14">
        <v>0</v>
      </c>
      <c r="D135" s="11">
        <f t="shared" si="3"/>
        <v>2.2223999999999999</v>
      </c>
      <c r="E135" s="11">
        <v>0</v>
      </c>
      <c r="F135" s="11"/>
      <c r="G135" s="11">
        <f t="shared" si="4"/>
        <v>2.2223999999999999</v>
      </c>
    </row>
    <row r="136" spans="1:7" ht="19.5" customHeight="1">
      <c r="A136" s="6" t="s">
        <v>127</v>
      </c>
      <c r="B136" s="13">
        <v>9.18</v>
      </c>
      <c r="C136" s="14">
        <v>0</v>
      </c>
      <c r="D136" s="11">
        <f t="shared" ref="D136:D199" si="5">(B136+C136)*0.08</f>
        <v>0.73439999999999994</v>
      </c>
      <c r="E136" s="11">
        <v>0</v>
      </c>
      <c r="F136" s="11"/>
      <c r="G136" s="11">
        <f t="shared" ref="G136:G199" si="6">SUM(D136:F136)</f>
        <v>0.73439999999999994</v>
      </c>
    </row>
    <row r="137" spans="1:7" ht="19.5" customHeight="1">
      <c r="A137" s="6" t="s">
        <v>128</v>
      </c>
      <c r="B137" s="13">
        <v>11.93</v>
      </c>
      <c r="C137" s="14">
        <v>0</v>
      </c>
      <c r="D137" s="11">
        <f t="shared" si="5"/>
        <v>0.95440000000000003</v>
      </c>
      <c r="E137" s="11">
        <v>0</v>
      </c>
      <c r="F137" s="11"/>
      <c r="G137" s="11">
        <f t="shared" si="6"/>
        <v>0.95440000000000003</v>
      </c>
    </row>
    <row r="138" spans="1:7" ht="19.5" customHeight="1">
      <c r="A138" s="6" t="s">
        <v>129</v>
      </c>
      <c r="B138" s="13">
        <v>13.56</v>
      </c>
      <c r="C138" s="14">
        <v>0</v>
      </c>
      <c r="D138" s="11">
        <f t="shared" si="5"/>
        <v>1.0848</v>
      </c>
      <c r="E138" s="11">
        <v>0</v>
      </c>
      <c r="F138" s="11"/>
      <c r="G138" s="11">
        <f t="shared" si="6"/>
        <v>1.0848</v>
      </c>
    </row>
    <row r="139" spans="1:7" ht="19.5" customHeight="1">
      <c r="A139" s="6" t="s">
        <v>130</v>
      </c>
      <c r="B139" s="13">
        <v>26.83</v>
      </c>
      <c r="C139" s="14">
        <v>0</v>
      </c>
      <c r="D139" s="11">
        <f t="shared" si="5"/>
        <v>2.1463999999999999</v>
      </c>
      <c r="E139" s="11">
        <v>0</v>
      </c>
      <c r="F139" s="11"/>
      <c r="G139" s="11">
        <f t="shared" si="6"/>
        <v>2.1463999999999999</v>
      </c>
    </row>
    <row r="140" spans="1:7" ht="19.5" customHeight="1">
      <c r="A140" s="6" t="s">
        <v>131</v>
      </c>
      <c r="B140" s="13">
        <v>10.88</v>
      </c>
      <c r="C140" s="14">
        <v>1.6</v>
      </c>
      <c r="D140" s="11">
        <f t="shared" si="5"/>
        <v>0.99840000000000007</v>
      </c>
      <c r="E140" s="11">
        <v>0</v>
      </c>
      <c r="F140" s="11"/>
      <c r="G140" s="11">
        <f t="shared" si="6"/>
        <v>0.99840000000000007</v>
      </c>
    </row>
    <row r="141" spans="1:7" ht="19.5" customHeight="1">
      <c r="A141" s="6" t="s">
        <v>132</v>
      </c>
      <c r="B141" s="13">
        <v>6.88</v>
      </c>
      <c r="C141" s="14">
        <v>0</v>
      </c>
      <c r="D141" s="11">
        <f t="shared" si="5"/>
        <v>0.5504</v>
      </c>
      <c r="E141" s="11">
        <v>0</v>
      </c>
      <c r="F141" s="11"/>
      <c r="G141" s="11">
        <f t="shared" si="6"/>
        <v>0.5504</v>
      </c>
    </row>
    <row r="142" spans="1:7" ht="19.5" customHeight="1">
      <c r="A142" s="6" t="s">
        <v>133</v>
      </c>
      <c r="B142" s="13">
        <v>2.69</v>
      </c>
      <c r="C142" s="14">
        <v>0</v>
      </c>
      <c r="D142" s="11">
        <f t="shared" si="5"/>
        <v>0.2152</v>
      </c>
      <c r="E142" s="11">
        <v>0</v>
      </c>
      <c r="F142" s="11"/>
      <c r="G142" s="11">
        <f t="shared" si="6"/>
        <v>0.2152</v>
      </c>
    </row>
    <row r="143" spans="1:7" ht="19.5" customHeight="1">
      <c r="A143" s="6" t="s">
        <v>134</v>
      </c>
      <c r="B143" s="13">
        <v>2.34</v>
      </c>
      <c r="C143" s="14">
        <v>0</v>
      </c>
      <c r="D143" s="11">
        <f t="shared" si="5"/>
        <v>0.18720000000000001</v>
      </c>
      <c r="E143" s="11">
        <v>0</v>
      </c>
      <c r="F143" s="11"/>
      <c r="G143" s="11">
        <f t="shared" si="6"/>
        <v>0.18720000000000001</v>
      </c>
    </row>
    <row r="144" spans="1:7" ht="19.5" customHeight="1">
      <c r="A144" s="6" t="s">
        <v>135</v>
      </c>
      <c r="B144" s="13">
        <v>2.33</v>
      </c>
      <c r="C144" s="14">
        <v>0</v>
      </c>
      <c r="D144" s="11">
        <f t="shared" si="5"/>
        <v>0.18640000000000001</v>
      </c>
      <c r="E144" s="11">
        <v>0</v>
      </c>
      <c r="F144" s="11"/>
      <c r="G144" s="11">
        <f t="shared" si="6"/>
        <v>0.18640000000000001</v>
      </c>
    </row>
    <row r="145" spans="1:7" ht="19.5" customHeight="1">
      <c r="A145" s="6" t="s">
        <v>136</v>
      </c>
      <c r="B145" s="13">
        <v>3.16</v>
      </c>
      <c r="C145" s="14">
        <v>0</v>
      </c>
      <c r="D145" s="11">
        <f t="shared" si="5"/>
        <v>0.25280000000000002</v>
      </c>
      <c r="E145" s="11">
        <v>0</v>
      </c>
      <c r="F145" s="11"/>
      <c r="G145" s="11">
        <f t="shared" si="6"/>
        <v>0.25280000000000002</v>
      </c>
    </row>
    <row r="146" spans="1:7" ht="19.5" customHeight="1">
      <c r="A146" s="6" t="s">
        <v>137</v>
      </c>
      <c r="B146" s="13">
        <v>1.88</v>
      </c>
      <c r="C146" s="14">
        <v>0</v>
      </c>
      <c r="D146" s="11">
        <f t="shared" si="5"/>
        <v>0.15040000000000001</v>
      </c>
      <c r="E146" s="11">
        <v>0</v>
      </c>
      <c r="F146" s="11"/>
      <c r="G146" s="11">
        <f t="shared" si="6"/>
        <v>0.15040000000000001</v>
      </c>
    </row>
    <row r="147" spans="1:7" ht="19.5" customHeight="1">
      <c r="A147" s="6" t="s">
        <v>138</v>
      </c>
      <c r="B147" s="13">
        <v>1.19</v>
      </c>
      <c r="C147" s="14">
        <v>0</v>
      </c>
      <c r="D147" s="11">
        <f t="shared" si="5"/>
        <v>9.5199999999999993E-2</v>
      </c>
      <c r="E147" s="11">
        <v>0</v>
      </c>
      <c r="F147" s="11"/>
      <c r="G147" s="11">
        <f t="shared" si="6"/>
        <v>9.5199999999999993E-2</v>
      </c>
    </row>
    <row r="148" spans="1:7" ht="19.5" customHeight="1">
      <c r="A148" s="6" t="s">
        <v>139</v>
      </c>
      <c r="B148" s="13">
        <v>1.69</v>
      </c>
      <c r="C148" s="14">
        <v>0</v>
      </c>
      <c r="D148" s="11">
        <f t="shared" si="5"/>
        <v>0.13519999999999999</v>
      </c>
      <c r="E148" s="11">
        <v>0</v>
      </c>
      <c r="F148" s="11"/>
      <c r="G148" s="11">
        <f t="shared" si="6"/>
        <v>0.13519999999999999</v>
      </c>
    </row>
    <row r="149" spans="1:7" ht="19.5" customHeight="1">
      <c r="A149" s="6" t="s">
        <v>140</v>
      </c>
      <c r="B149" s="13">
        <v>1.2</v>
      </c>
      <c r="C149" s="14">
        <v>0</v>
      </c>
      <c r="D149" s="11">
        <f t="shared" si="5"/>
        <v>9.6000000000000002E-2</v>
      </c>
      <c r="E149" s="11">
        <v>0</v>
      </c>
      <c r="F149" s="11"/>
      <c r="G149" s="11">
        <f t="shared" si="6"/>
        <v>9.6000000000000002E-2</v>
      </c>
    </row>
    <row r="150" spans="1:7" ht="19.5" customHeight="1">
      <c r="A150" s="6" t="s">
        <v>141</v>
      </c>
      <c r="B150" s="13">
        <v>2.19</v>
      </c>
      <c r="C150" s="14">
        <v>0</v>
      </c>
      <c r="D150" s="11">
        <f t="shared" si="5"/>
        <v>0.17519999999999999</v>
      </c>
      <c r="E150" s="11">
        <v>0</v>
      </c>
      <c r="F150" s="11"/>
      <c r="G150" s="11">
        <f t="shared" si="6"/>
        <v>0.17519999999999999</v>
      </c>
    </row>
    <row r="151" spans="1:7" ht="19.5" customHeight="1">
      <c r="A151" s="6" t="s">
        <v>142</v>
      </c>
      <c r="B151" s="13">
        <v>0.7</v>
      </c>
      <c r="C151" s="14">
        <v>0</v>
      </c>
      <c r="D151" s="11">
        <f t="shared" si="5"/>
        <v>5.5999999999999994E-2</v>
      </c>
      <c r="E151" s="11">
        <v>0</v>
      </c>
      <c r="F151" s="11"/>
      <c r="G151" s="11">
        <f t="shared" si="6"/>
        <v>5.5999999999999994E-2</v>
      </c>
    </row>
    <row r="152" spans="1:7" ht="19.5" customHeight="1">
      <c r="A152" s="6" t="s">
        <v>143</v>
      </c>
      <c r="B152" s="13">
        <v>1.44</v>
      </c>
      <c r="C152" s="14">
        <v>0</v>
      </c>
      <c r="D152" s="11">
        <f t="shared" si="5"/>
        <v>0.1152</v>
      </c>
      <c r="E152" s="11">
        <v>0</v>
      </c>
      <c r="F152" s="11"/>
      <c r="G152" s="11">
        <f t="shared" si="6"/>
        <v>0.1152</v>
      </c>
    </row>
    <row r="153" spans="1:7" ht="19.5" customHeight="1">
      <c r="A153" s="6" t="s">
        <v>144</v>
      </c>
      <c r="B153" s="13">
        <v>2.09</v>
      </c>
      <c r="C153" s="14"/>
      <c r="D153" s="11">
        <f t="shared" si="5"/>
        <v>0.16719999999999999</v>
      </c>
      <c r="E153" s="11">
        <v>0</v>
      </c>
      <c r="F153" s="11"/>
      <c r="G153" s="11">
        <f t="shared" si="6"/>
        <v>0.16719999999999999</v>
      </c>
    </row>
    <row r="154" spans="1:7" ht="19.5" customHeight="1">
      <c r="A154" s="6" t="s">
        <v>145</v>
      </c>
      <c r="B154" s="13">
        <v>1.24</v>
      </c>
      <c r="C154" s="14">
        <v>0</v>
      </c>
      <c r="D154" s="11">
        <f t="shared" si="5"/>
        <v>9.9199999999999997E-2</v>
      </c>
      <c r="E154" s="11">
        <v>0</v>
      </c>
      <c r="F154" s="11"/>
      <c r="G154" s="11">
        <f t="shared" si="6"/>
        <v>9.9199999999999997E-2</v>
      </c>
    </row>
    <row r="155" spans="1:7" ht="19.5" customHeight="1">
      <c r="A155" s="6" t="s">
        <v>146</v>
      </c>
      <c r="B155" s="13">
        <v>14.44</v>
      </c>
      <c r="C155" s="14">
        <v>0</v>
      </c>
      <c r="D155" s="11">
        <f t="shared" si="5"/>
        <v>1.1552</v>
      </c>
      <c r="E155" s="11">
        <v>0</v>
      </c>
      <c r="F155" s="11"/>
      <c r="G155" s="11">
        <f t="shared" si="6"/>
        <v>1.1552</v>
      </c>
    </row>
    <row r="156" spans="1:7" ht="19.5" customHeight="1">
      <c r="A156" s="6" t="s">
        <v>147</v>
      </c>
      <c r="B156" s="13">
        <v>19.399999999999999</v>
      </c>
      <c r="C156" s="14">
        <v>0.32</v>
      </c>
      <c r="D156" s="11">
        <f t="shared" si="5"/>
        <v>1.5775999999999999</v>
      </c>
      <c r="E156" s="11">
        <v>0</v>
      </c>
      <c r="F156" s="11"/>
      <c r="G156" s="11">
        <f t="shared" si="6"/>
        <v>1.5775999999999999</v>
      </c>
    </row>
    <row r="157" spans="1:7" ht="19.5" customHeight="1">
      <c r="A157" s="6" t="s">
        <v>148</v>
      </c>
      <c r="B157" s="13">
        <v>18.36</v>
      </c>
      <c r="C157" s="14">
        <v>12.8</v>
      </c>
      <c r="D157" s="11">
        <f t="shared" si="5"/>
        <v>2.4927999999999999</v>
      </c>
      <c r="E157" s="11">
        <v>0</v>
      </c>
      <c r="F157" s="11"/>
      <c r="G157" s="11">
        <f t="shared" si="6"/>
        <v>2.4927999999999999</v>
      </c>
    </row>
    <row r="158" spans="1:7" ht="19.5" customHeight="1">
      <c r="A158" s="6" t="s">
        <v>149</v>
      </c>
      <c r="B158" s="13">
        <v>8.65</v>
      </c>
      <c r="C158" s="14">
        <v>0</v>
      </c>
      <c r="D158" s="11">
        <f t="shared" si="5"/>
        <v>0.69200000000000006</v>
      </c>
      <c r="E158" s="11">
        <v>0</v>
      </c>
      <c r="F158" s="11"/>
      <c r="G158" s="11">
        <f t="shared" si="6"/>
        <v>0.69200000000000006</v>
      </c>
    </row>
    <row r="159" spans="1:7" ht="19.5" customHeight="1">
      <c r="A159" s="6" t="s">
        <v>150</v>
      </c>
      <c r="B159" s="13">
        <v>9.44</v>
      </c>
      <c r="C159" s="14">
        <v>0</v>
      </c>
      <c r="D159" s="11">
        <f t="shared" si="5"/>
        <v>0.75519999999999998</v>
      </c>
      <c r="E159" s="11">
        <v>0</v>
      </c>
      <c r="F159" s="11"/>
      <c r="G159" s="11">
        <f t="shared" si="6"/>
        <v>0.75519999999999998</v>
      </c>
    </row>
    <row r="160" spans="1:7" ht="19.5" customHeight="1">
      <c r="A160" s="6" t="s">
        <v>151</v>
      </c>
      <c r="B160" s="13">
        <v>4.25</v>
      </c>
      <c r="C160" s="14">
        <v>0</v>
      </c>
      <c r="D160" s="11">
        <f t="shared" si="5"/>
        <v>0.34</v>
      </c>
      <c r="E160" s="11">
        <v>0</v>
      </c>
      <c r="F160" s="11"/>
      <c r="G160" s="11">
        <f t="shared" si="6"/>
        <v>0.34</v>
      </c>
    </row>
    <row r="161" spans="1:7" ht="19.5" customHeight="1">
      <c r="A161" s="6" t="s">
        <v>152</v>
      </c>
      <c r="B161" s="13">
        <v>13.01</v>
      </c>
      <c r="C161" s="14">
        <v>0</v>
      </c>
      <c r="D161" s="11">
        <f t="shared" si="5"/>
        <v>1.0407999999999999</v>
      </c>
      <c r="E161" s="11">
        <v>0</v>
      </c>
      <c r="F161" s="11"/>
      <c r="G161" s="11">
        <f t="shared" si="6"/>
        <v>1.0407999999999999</v>
      </c>
    </row>
    <row r="162" spans="1:7" ht="19.5" customHeight="1">
      <c r="A162" s="6" t="s">
        <v>153</v>
      </c>
      <c r="B162" s="13">
        <v>7.18</v>
      </c>
      <c r="C162" s="14">
        <v>0</v>
      </c>
      <c r="D162" s="11">
        <f t="shared" si="5"/>
        <v>0.57440000000000002</v>
      </c>
      <c r="E162" s="11">
        <v>0</v>
      </c>
      <c r="F162" s="11"/>
      <c r="G162" s="11">
        <f t="shared" si="6"/>
        <v>0.57440000000000002</v>
      </c>
    </row>
    <row r="163" spans="1:7" ht="19.5" customHeight="1">
      <c r="A163" s="6" t="s">
        <v>154</v>
      </c>
      <c r="B163" s="13">
        <v>19.829999999999998</v>
      </c>
      <c r="C163" s="14">
        <v>0</v>
      </c>
      <c r="D163" s="11">
        <f t="shared" si="5"/>
        <v>1.5863999999999998</v>
      </c>
      <c r="E163" s="11">
        <v>0</v>
      </c>
      <c r="F163" s="11"/>
      <c r="G163" s="11">
        <f t="shared" si="6"/>
        <v>1.5863999999999998</v>
      </c>
    </row>
    <row r="164" spans="1:7" ht="19.5" customHeight="1">
      <c r="A164" s="6" t="s">
        <v>155</v>
      </c>
      <c r="B164" s="13">
        <v>1.68</v>
      </c>
      <c r="C164" s="14">
        <v>0</v>
      </c>
      <c r="D164" s="11">
        <f t="shared" si="5"/>
        <v>0.13439999999999999</v>
      </c>
      <c r="E164" s="11">
        <v>0</v>
      </c>
      <c r="F164" s="11"/>
      <c r="G164" s="11">
        <f t="shared" si="6"/>
        <v>0.13439999999999999</v>
      </c>
    </row>
    <row r="165" spans="1:7" ht="19.5" customHeight="1">
      <c r="A165" s="6" t="s">
        <v>156</v>
      </c>
      <c r="B165" s="13">
        <v>19.89</v>
      </c>
      <c r="C165" s="14">
        <v>0</v>
      </c>
      <c r="D165" s="11">
        <f t="shared" si="5"/>
        <v>1.5912000000000002</v>
      </c>
      <c r="E165" s="11">
        <v>0</v>
      </c>
      <c r="F165" s="11"/>
      <c r="G165" s="11">
        <f t="shared" si="6"/>
        <v>1.5912000000000002</v>
      </c>
    </row>
    <row r="166" spans="1:7" ht="19.5" customHeight="1">
      <c r="A166" s="6" t="s">
        <v>157</v>
      </c>
      <c r="B166" s="13">
        <v>6.2</v>
      </c>
      <c r="C166" s="14">
        <v>0</v>
      </c>
      <c r="D166" s="11">
        <f t="shared" si="5"/>
        <v>0.49600000000000005</v>
      </c>
      <c r="E166" s="11">
        <v>0</v>
      </c>
      <c r="F166" s="11"/>
      <c r="G166" s="11">
        <f t="shared" si="6"/>
        <v>0.49600000000000005</v>
      </c>
    </row>
    <row r="167" spans="1:7" ht="19.5" customHeight="1">
      <c r="A167" s="6" t="s">
        <v>158</v>
      </c>
      <c r="B167" s="13">
        <v>0.69</v>
      </c>
      <c r="C167" s="14">
        <v>0</v>
      </c>
      <c r="D167" s="11">
        <f t="shared" si="5"/>
        <v>5.5199999999999999E-2</v>
      </c>
      <c r="E167" s="11">
        <v>0</v>
      </c>
      <c r="F167" s="11"/>
      <c r="G167" s="11">
        <f t="shared" si="6"/>
        <v>5.5199999999999999E-2</v>
      </c>
    </row>
    <row r="168" spans="1:7" ht="19.5" customHeight="1">
      <c r="A168" s="6" t="s">
        <v>159</v>
      </c>
      <c r="B168" s="13">
        <v>2.56</v>
      </c>
      <c r="C168" s="14">
        <v>0</v>
      </c>
      <c r="D168" s="11">
        <f t="shared" si="5"/>
        <v>0.20480000000000001</v>
      </c>
      <c r="E168" s="11">
        <v>0</v>
      </c>
      <c r="F168" s="11"/>
      <c r="G168" s="11">
        <f t="shared" si="6"/>
        <v>0.20480000000000001</v>
      </c>
    </row>
    <row r="169" spans="1:7" ht="19.5" customHeight="1">
      <c r="A169" s="6" t="s">
        <v>160</v>
      </c>
      <c r="B169" s="13">
        <v>5.07</v>
      </c>
      <c r="C169" s="14">
        <v>0</v>
      </c>
      <c r="D169" s="11">
        <f t="shared" si="5"/>
        <v>0.40560000000000002</v>
      </c>
      <c r="E169" s="11">
        <v>0</v>
      </c>
      <c r="F169" s="11"/>
      <c r="G169" s="11">
        <f t="shared" si="6"/>
        <v>0.40560000000000002</v>
      </c>
    </row>
    <row r="170" spans="1:7" ht="19.5" customHeight="1">
      <c r="A170" s="6" t="s">
        <v>161</v>
      </c>
      <c r="B170" s="13">
        <v>6.61</v>
      </c>
      <c r="C170" s="14">
        <v>0</v>
      </c>
      <c r="D170" s="11">
        <f t="shared" si="5"/>
        <v>0.52880000000000005</v>
      </c>
      <c r="E170" s="11">
        <v>0</v>
      </c>
      <c r="F170" s="11"/>
      <c r="G170" s="11">
        <f t="shared" si="6"/>
        <v>0.52880000000000005</v>
      </c>
    </row>
    <row r="171" spans="1:7" ht="19.5" customHeight="1">
      <c r="A171" s="6" t="s">
        <v>162</v>
      </c>
      <c r="B171" s="13">
        <v>3.34</v>
      </c>
      <c r="C171" s="14">
        <v>0</v>
      </c>
      <c r="D171" s="11">
        <f t="shared" si="5"/>
        <v>0.26719999999999999</v>
      </c>
      <c r="E171" s="11">
        <v>0</v>
      </c>
      <c r="F171" s="11"/>
      <c r="G171" s="11">
        <f t="shared" si="6"/>
        <v>0.26719999999999999</v>
      </c>
    </row>
    <row r="172" spans="1:7" ht="19.5" customHeight="1">
      <c r="A172" s="6" t="s">
        <v>163</v>
      </c>
      <c r="B172" s="13">
        <v>1.97</v>
      </c>
      <c r="C172" s="14">
        <v>0</v>
      </c>
      <c r="D172" s="11">
        <f t="shared" si="5"/>
        <v>0.15759999999999999</v>
      </c>
      <c r="E172" s="11">
        <v>0</v>
      </c>
      <c r="F172" s="11"/>
      <c r="G172" s="11">
        <f t="shared" si="6"/>
        <v>0.15759999999999999</v>
      </c>
    </row>
    <row r="173" spans="1:7" ht="19.5" customHeight="1">
      <c r="A173" s="6" t="s">
        <v>164</v>
      </c>
      <c r="B173" s="13">
        <v>0.85</v>
      </c>
      <c r="C173" s="14">
        <v>0</v>
      </c>
      <c r="D173" s="11">
        <f t="shared" si="5"/>
        <v>6.8000000000000005E-2</v>
      </c>
      <c r="E173" s="11">
        <v>0</v>
      </c>
      <c r="F173" s="11"/>
      <c r="G173" s="11">
        <f t="shared" si="6"/>
        <v>6.8000000000000005E-2</v>
      </c>
    </row>
    <row r="174" spans="1:7" ht="19.5" customHeight="1">
      <c r="A174" s="6" t="s">
        <v>165</v>
      </c>
      <c r="B174" s="13">
        <v>0.73</v>
      </c>
      <c r="C174" s="14">
        <v>30</v>
      </c>
      <c r="D174" s="11">
        <f t="shared" si="5"/>
        <v>2.4584000000000001</v>
      </c>
      <c r="E174" s="11">
        <v>0</v>
      </c>
      <c r="F174" s="11"/>
      <c r="G174" s="11">
        <f t="shared" si="6"/>
        <v>2.4584000000000001</v>
      </c>
    </row>
    <row r="175" spans="1:7" ht="19.5" customHeight="1">
      <c r="A175" s="6" t="s">
        <v>166</v>
      </c>
      <c r="B175" s="13">
        <v>0.94</v>
      </c>
      <c r="C175" s="14">
        <v>30</v>
      </c>
      <c r="D175" s="11">
        <f t="shared" si="5"/>
        <v>2.4752000000000001</v>
      </c>
      <c r="E175" s="11">
        <v>0</v>
      </c>
      <c r="F175" s="11"/>
      <c r="G175" s="11">
        <f t="shared" si="6"/>
        <v>2.4752000000000001</v>
      </c>
    </row>
    <row r="176" spans="1:7" ht="19.5" customHeight="1">
      <c r="A176" s="6" t="s">
        <v>167</v>
      </c>
      <c r="B176" s="13">
        <v>0.41</v>
      </c>
      <c r="C176" s="14">
        <v>30</v>
      </c>
      <c r="D176" s="11">
        <f t="shared" si="5"/>
        <v>2.4327999999999999</v>
      </c>
      <c r="E176" s="11">
        <v>0</v>
      </c>
      <c r="F176" s="11"/>
      <c r="G176" s="11">
        <f t="shared" si="6"/>
        <v>2.4327999999999999</v>
      </c>
    </row>
    <row r="177" spans="1:7" ht="19.5" customHeight="1">
      <c r="A177" s="6" t="s">
        <v>168</v>
      </c>
      <c r="B177" s="13">
        <v>0.32</v>
      </c>
      <c r="C177" s="14">
        <v>20</v>
      </c>
      <c r="D177" s="11">
        <f t="shared" si="5"/>
        <v>1.6256000000000002</v>
      </c>
      <c r="E177" s="11">
        <v>0</v>
      </c>
      <c r="F177" s="11"/>
      <c r="G177" s="11">
        <f t="shared" si="6"/>
        <v>1.6256000000000002</v>
      </c>
    </row>
    <row r="178" spans="1:7" ht="19.5" customHeight="1">
      <c r="A178" s="6" t="s">
        <v>169</v>
      </c>
      <c r="B178" s="13">
        <v>0.28999999999999998</v>
      </c>
      <c r="C178" s="14">
        <v>25</v>
      </c>
      <c r="D178" s="11">
        <f t="shared" si="5"/>
        <v>2.0232000000000001</v>
      </c>
      <c r="E178" s="11">
        <v>0</v>
      </c>
      <c r="F178" s="11"/>
      <c r="G178" s="11">
        <f t="shared" si="6"/>
        <v>2.0232000000000001</v>
      </c>
    </row>
    <row r="179" spans="1:7" ht="19.5" customHeight="1">
      <c r="A179" s="6" t="s">
        <v>170</v>
      </c>
      <c r="B179" s="13">
        <v>0.18</v>
      </c>
      <c r="C179" s="14">
        <v>23</v>
      </c>
      <c r="D179" s="11">
        <f t="shared" si="5"/>
        <v>1.8544</v>
      </c>
      <c r="E179" s="11">
        <v>0</v>
      </c>
      <c r="F179" s="11"/>
      <c r="G179" s="11">
        <f t="shared" si="6"/>
        <v>1.8544</v>
      </c>
    </row>
    <row r="180" spans="1:7" ht="19.5" customHeight="1">
      <c r="A180" s="6" t="s">
        <v>171</v>
      </c>
      <c r="B180" s="13">
        <v>1.3</v>
      </c>
      <c r="C180" s="14">
        <v>10</v>
      </c>
      <c r="D180" s="11">
        <f t="shared" si="5"/>
        <v>0.90400000000000003</v>
      </c>
      <c r="E180" s="11">
        <v>0</v>
      </c>
      <c r="F180" s="11"/>
      <c r="G180" s="11">
        <f t="shared" si="6"/>
        <v>0.90400000000000003</v>
      </c>
    </row>
    <row r="181" spans="1:7" ht="19.5" customHeight="1">
      <c r="A181" s="6" t="s">
        <v>172</v>
      </c>
      <c r="B181" s="13">
        <v>16.5</v>
      </c>
      <c r="C181" s="14"/>
      <c r="D181" s="11">
        <f t="shared" si="5"/>
        <v>1.32</v>
      </c>
      <c r="E181" s="11">
        <v>3.8</v>
      </c>
      <c r="F181" s="11"/>
      <c r="G181" s="11">
        <f t="shared" si="6"/>
        <v>5.12</v>
      </c>
    </row>
    <row r="182" spans="1:7" ht="19.5" customHeight="1">
      <c r="A182" s="6" t="s">
        <v>173</v>
      </c>
      <c r="B182" s="13">
        <v>17.05</v>
      </c>
      <c r="C182" s="14"/>
      <c r="D182" s="11">
        <f t="shared" si="5"/>
        <v>1.3640000000000001</v>
      </c>
      <c r="E182" s="11">
        <v>3.8</v>
      </c>
      <c r="F182" s="11"/>
      <c r="G182" s="11">
        <f t="shared" si="6"/>
        <v>5.1639999999999997</v>
      </c>
    </row>
    <row r="183" spans="1:7" ht="19.5" customHeight="1">
      <c r="A183" s="6" t="s">
        <v>174</v>
      </c>
      <c r="B183" s="13">
        <v>0</v>
      </c>
      <c r="C183" s="14"/>
      <c r="D183" s="11">
        <f t="shared" si="5"/>
        <v>0</v>
      </c>
      <c r="E183" s="11">
        <v>0</v>
      </c>
      <c r="F183" s="11"/>
      <c r="G183" s="11">
        <f t="shared" si="6"/>
        <v>0</v>
      </c>
    </row>
    <row r="184" spans="1:7" ht="19.5" customHeight="1">
      <c r="A184" s="6" t="s">
        <v>175</v>
      </c>
      <c r="B184" s="13">
        <v>25.3</v>
      </c>
      <c r="C184" s="14"/>
      <c r="D184" s="11">
        <f t="shared" si="5"/>
        <v>2.024</v>
      </c>
      <c r="E184" s="11">
        <v>0</v>
      </c>
      <c r="F184" s="11"/>
      <c r="G184" s="11">
        <f t="shared" si="6"/>
        <v>2.024</v>
      </c>
    </row>
    <row r="185" spans="1:7" ht="18.75" customHeight="1">
      <c r="A185" s="6" t="s">
        <v>176</v>
      </c>
      <c r="B185" s="13">
        <v>8.8000000000000007</v>
      </c>
      <c r="C185" s="15"/>
      <c r="D185" s="11">
        <f t="shared" si="5"/>
        <v>0.70400000000000007</v>
      </c>
      <c r="E185" s="11">
        <v>0</v>
      </c>
      <c r="F185" s="11"/>
      <c r="G185" s="11">
        <f t="shared" si="6"/>
        <v>0.70400000000000007</v>
      </c>
    </row>
    <row r="186" spans="1:7" ht="19.5" customHeight="1">
      <c r="A186" s="6" t="s">
        <v>177</v>
      </c>
      <c r="B186" s="13">
        <v>9.9</v>
      </c>
      <c r="C186" s="15"/>
      <c r="D186" s="11">
        <f t="shared" si="5"/>
        <v>0.79200000000000004</v>
      </c>
      <c r="E186" s="11">
        <v>0</v>
      </c>
      <c r="F186" s="11"/>
      <c r="G186" s="11">
        <f t="shared" si="6"/>
        <v>0.79200000000000004</v>
      </c>
    </row>
    <row r="187" spans="1:7" ht="19.5" customHeight="1">
      <c r="A187" s="6" t="s">
        <v>178</v>
      </c>
      <c r="B187" s="13">
        <v>19.8</v>
      </c>
      <c r="C187" s="15"/>
      <c r="D187" s="11">
        <f t="shared" si="5"/>
        <v>1.5840000000000001</v>
      </c>
      <c r="E187" s="11">
        <v>0</v>
      </c>
      <c r="F187" s="11"/>
      <c r="G187" s="11">
        <f t="shared" si="6"/>
        <v>1.5840000000000001</v>
      </c>
    </row>
    <row r="188" spans="1:7" ht="19.5" customHeight="1">
      <c r="A188" s="6" t="s">
        <v>179</v>
      </c>
      <c r="B188" s="13">
        <v>15.95</v>
      </c>
      <c r="C188" s="15"/>
      <c r="D188" s="11">
        <f t="shared" si="5"/>
        <v>1.276</v>
      </c>
      <c r="E188" s="11">
        <v>4.8</v>
      </c>
      <c r="F188" s="11"/>
      <c r="G188" s="11">
        <f t="shared" si="6"/>
        <v>6.0759999999999996</v>
      </c>
    </row>
    <row r="189" spans="1:7" ht="19.5" customHeight="1">
      <c r="A189" s="6" t="s">
        <v>180</v>
      </c>
      <c r="B189" s="13">
        <v>15.95</v>
      </c>
      <c r="C189" s="15"/>
      <c r="D189" s="11">
        <f t="shared" si="5"/>
        <v>1.276</v>
      </c>
      <c r="E189" s="11">
        <v>0</v>
      </c>
      <c r="F189" s="11"/>
      <c r="G189" s="11">
        <f t="shared" si="6"/>
        <v>1.276</v>
      </c>
    </row>
    <row r="190" spans="1:7" ht="19.5" customHeight="1">
      <c r="A190" s="6" t="s">
        <v>181</v>
      </c>
      <c r="B190" s="13">
        <v>12.65</v>
      </c>
      <c r="C190" s="15"/>
      <c r="D190" s="11">
        <f t="shared" si="5"/>
        <v>1.012</v>
      </c>
      <c r="E190" s="11">
        <v>0</v>
      </c>
      <c r="F190" s="11"/>
      <c r="G190" s="11">
        <f t="shared" si="6"/>
        <v>1.012</v>
      </c>
    </row>
    <row r="191" spans="1:7" ht="19.5" customHeight="1">
      <c r="A191" s="6" t="s">
        <v>182</v>
      </c>
      <c r="B191" s="13">
        <v>24.75</v>
      </c>
      <c r="C191" s="15"/>
      <c r="D191" s="11">
        <f t="shared" si="5"/>
        <v>1.98</v>
      </c>
      <c r="E191" s="11">
        <v>4.8</v>
      </c>
      <c r="F191" s="11"/>
      <c r="G191" s="11">
        <f t="shared" si="6"/>
        <v>6.7799999999999994</v>
      </c>
    </row>
    <row r="192" spans="1:7" ht="19.5" customHeight="1">
      <c r="A192" s="6" t="s">
        <v>183</v>
      </c>
      <c r="B192" s="13">
        <v>9.35</v>
      </c>
      <c r="C192" s="15"/>
      <c r="D192" s="11">
        <f t="shared" si="5"/>
        <v>0.748</v>
      </c>
      <c r="E192" s="11">
        <v>0</v>
      </c>
      <c r="F192" s="11"/>
      <c r="G192" s="11">
        <f t="shared" si="6"/>
        <v>0.748</v>
      </c>
    </row>
    <row r="193" spans="1:7" ht="19.5" customHeight="1">
      <c r="A193" s="6" t="s">
        <v>184</v>
      </c>
      <c r="B193" s="13">
        <v>1.93</v>
      </c>
      <c r="C193" s="15"/>
      <c r="D193" s="11">
        <f t="shared" si="5"/>
        <v>0.15440000000000001</v>
      </c>
      <c r="E193" s="11">
        <v>0</v>
      </c>
      <c r="F193" s="11"/>
      <c r="G193" s="11">
        <f t="shared" si="6"/>
        <v>0.15440000000000001</v>
      </c>
    </row>
    <row r="194" spans="1:7" ht="19.5" customHeight="1">
      <c r="A194" s="6" t="s">
        <v>185</v>
      </c>
      <c r="B194" s="13">
        <v>23.1</v>
      </c>
      <c r="C194" s="15"/>
      <c r="D194" s="11">
        <f t="shared" si="5"/>
        <v>1.8480000000000001</v>
      </c>
      <c r="E194" s="11">
        <v>0</v>
      </c>
      <c r="F194" s="11"/>
      <c r="G194" s="11">
        <f t="shared" si="6"/>
        <v>1.8480000000000001</v>
      </c>
    </row>
    <row r="195" spans="1:7" ht="19.5" customHeight="1">
      <c r="A195" s="6" t="s">
        <v>186</v>
      </c>
      <c r="B195" s="13">
        <v>28.6</v>
      </c>
      <c r="C195" s="15"/>
      <c r="D195" s="11">
        <f t="shared" si="5"/>
        <v>2.2880000000000003</v>
      </c>
      <c r="E195" s="11">
        <v>4.8</v>
      </c>
      <c r="F195" s="11"/>
      <c r="G195" s="11">
        <f t="shared" si="6"/>
        <v>7.0880000000000001</v>
      </c>
    </row>
    <row r="196" spans="1:7" ht="21" customHeight="1">
      <c r="A196" s="6" t="s">
        <v>187</v>
      </c>
      <c r="B196" s="13">
        <v>20.9</v>
      </c>
      <c r="C196" s="15"/>
      <c r="D196" s="11">
        <f t="shared" si="5"/>
        <v>1.6719999999999999</v>
      </c>
      <c r="E196" s="11">
        <v>0</v>
      </c>
      <c r="F196" s="11"/>
      <c r="G196" s="11">
        <f t="shared" si="6"/>
        <v>1.6719999999999999</v>
      </c>
    </row>
    <row r="197" spans="1:7" ht="19.5" customHeight="1">
      <c r="A197" s="6" t="s">
        <v>188</v>
      </c>
      <c r="B197" s="13">
        <v>9.35</v>
      </c>
      <c r="C197" s="15"/>
      <c r="D197" s="11">
        <f t="shared" si="5"/>
        <v>0.748</v>
      </c>
      <c r="E197" s="11">
        <v>0</v>
      </c>
      <c r="F197" s="11"/>
      <c r="G197" s="11">
        <f t="shared" si="6"/>
        <v>0.748</v>
      </c>
    </row>
    <row r="198" spans="1:7" ht="19.5" customHeight="1">
      <c r="A198" s="6" t="s">
        <v>189</v>
      </c>
      <c r="B198" s="13">
        <v>9.9</v>
      </c>
      <c r="C198" s="15"/>
      <c r="D198" s="11">
        <f t="shared" si="5"/>
        <v>0.79200000000000004</v>
      </c>
      <c r="E198" s="11">
        <v>0</v>
      </c>
      <c r="F198" s="11"/>
      <c r="G198" s="11">
        <f t="shared" si="6"/>
        <v>0.79200000000000004</v>
      </c>
    </row>
    <row r="199" spans="1:7" ht="19.5" customHeight="1">
      <c r="A199" s="6" t="s">
        <v>190</v>
      </c>
      <c r="B199" s="13">
        <v>3.25</v>
      </c>
      <c r="C199" s="14"/>
      <c r="D199" s="11">
        <f t="shared" si="5"/>
        <v>0.26</v>
      </c>
      <c r="E199" s="11">
        <v>3.8</v>
      </c>
      <c r="F199" s="11"/>
      <c r="G199" s="11">
        <f t="shared" si="6"/>
        <v>4.0599999999999996</v>
      </c>
    </row>
    <row r="200" spans="1:7" ht="19.5" customHeight="1">
      <c r="A200" s="6" t="s">
        <v>191</v>
      </c>
      <c r="B200" s="13">
        <v>0.65</v>
      </c>
      <c r="C200" s="14">
        <v>10</v>
      </c>
      <c r="D200" s="11">
        <f t="shared" ref="D200:D238" si="7">(B200+C200)*0.08</f>
        <v>0.85200000000000009</v>
      </c>
      <c r="E200" s="11">
        <v>3.8</v>
      </c>
      <c r="F200" s="11"/>
      <c r="G200" s="11">
        <f t="shared" ref="G200:G239" si="8">SUM(D200:F200)</f>
        <v>4.6520000000000001</v>
      </c>
    </row>
    <row r="201" spans="1:7" ht="19.5" customHeight="1">
      <c r="A201" s="6" t="s">
        <v>192</v>
      </c>
      <c r="B201" s="13">
        <v>3.9</v>
      </c>
      <c r="C201" s="14"/>
      <c r="D201" s="11">
        <f t="shared" si="7"/>
        <v>0.312</v>
      </c>
      <c r="E201" s="11">
        <v>8.8000000000000007</v>
      </c>
      <c r="F201" s="11"/>
      <c r="G201" s="11">
        <f t="shared" si="8"/>
        <v>9.1120000000000001</v>
      </c>
    </row>
    <row r="202" spans="1:7" ht="19.5" customHeight="1">
      <c r="A202" s="6" t="s">
        <v>193</v>
      </c>
      <c r="B202" s="13">
        <v>1.95</v>
      </c>
      <c r="C202" s="14"/>
      <c r="D202" s="11">
        <f t="shared" si="7"/>
        <v>0.156</v>
      </c>
      <c r="E202" s="11">
        <v>3.8</v>
      </c>
      <c r="F202" s="11"/>
      <c r="G202" s="11">
        <f t="shared" si="8"/>
        <v>3.956</v>
      </c>
    </row>
    <row r="203" spans="1:7" ht="19.5" customHeight="1">
      <c r="A203" s="6" t="s">
        <v>194</v>
      </c>
      <c r="B203" s="13">
        <v>22</v>
      </c>
      <c r="C203" s="14"/>
      <c r="D203" s="11">
        <f t="shared" si="7"/>
        <v>1.76</v>
      </c>
      <c r="E203" s="11">
        <v>7.6</v>
      </c>
      <c r="F203" s="11"/>
      <c r="G203" s="11">
        <f t="shared" si="8"/>
        <v>9.36</v>
      </c>
    </row>
    <row r="204" spans="1:7" ht="19.5" customHeight="1">
      <c r="A204" s="6" t="s">
        <v>195</v>
      </c>
      <c r="B204" s="13">
        <v>0.23</v>
      </c>
      <c r="C204" s="14">
        <v>22</v>
      </c>
      <c r="D204" s="11">
        <f t="shared" si="7"/>
        <v>1.7784</v>
      </c>
      <c r="E204" s="11">
        <v>0</v>
      </c>
      <c r="F204" s="11"/>
      <c r="G204" s="11">
        <f t="shared" si="8"/>
        <v>1.7784</v>
      </c>
    </row>
    <row r="205" spans="1:7" ht="19.5" customHeight="1">
      <c r="A205" s="6" t="s">
        <v>196</v>
      </c>
      <c r="B205" s="13">
        <v>0.11</v>
      </c>
      <c r="C205" s="14">
        <v>10</v>
      </c>
      <c r="D205" s="11">
        <f t="shared" si="7"/>
        <v>0.80879999999999996</v>
      </c>
      <c r="E205" s="11">
        <v>0</v>
      </c>
      <c r="F205" s="11"/>
      <c r="G205" s="11">
        <f t="shared" si="8"/>
        <v>0.80879999999999996</v>
      </c>
    </row>
    <row r="206" spans="1:7" ht="19.5" customHeight="1">
      <c r="A206" s="6" t="s">
        <v>197</v>
      </c>
      <c r="B206" s="13">
        <v>0.23</v>
      </c>
      <c r="C206" s="14">
        <v>40</v>
      </c>
      <c r="D206" s="11">
        <f t="shared" si="7"/>
        <v>3.2183999999999999</v>
      </c>
      <c r="E206" s="11">
        <v>0</v>
      </c>
      <c r="F206" s="11"/>
      <c r="G206" s="11">
        <f t="shared" si="8"/>
        <v>3.2183999999999999</v>
      </c>
    </row>
    <row r="207" spans="1:7" ht="19.5" customHeight="1">
      <c r="A207" s="6" t="s">
        <v>198</v>
      </c>
      <c r="B207" s="13">
        <v>4.95</v>
      </c>
      <c r="C207" s="16">
        <v>22</v>
      </c>
      <c r="D207" s="11">
        <f t="shared" si="7"/>
        <v>2.1560000000000001</v>
      </c>
      <c r="E207" s="11">
        <v>0</v>
      </c>
      <c r="F207" s="11"/>
      <c r="G207" s="11">
        <f t="shared" si="8"/>
        <v>2.1560000000000001</v>
      </c>
    </row>
    <row r="208" spans="1:7" ht="19.5" customHeight="1">
      <c r="A208" s="6" t="s">
        <v>199</v>
      </c>
      <c r="B208" s="13">
        <v>29.19</v>
      </c>
      <c r="C208" s="14">
        <v>10</v>
      </c>
      <c r="D208" s="11">
        <f t="shared" si="7"/>
        <v>3.1351999999999998</v>
      </c>
      <c r="E208" s="11">
        <v>7.6</v>
      </c>
      <c r="F208" s="11"/>
      <c r="G208" s="11">
        <f t="shared" si="8"/>
        <v>10.735199999999999</v>
      </c>
    </row>
    <row r="209" spans="1:7" ht="19.5" customHeight="1">
      <c r="A209" s="6" t="s">
        <v>200</v>
      </c>
      <c r="B209" s="13">
        <v>11.7</v>
      </c>
      <c r="C209" s="14">
        <v>6</v>
      </c>
      <c r="D209" s="11">
        <f t="shared" si="7"/>
        <v>1.4159999999999999</v>
      </c>
      <c r="E209" s="11">
        <v>11.4</v>
      </c>
      <c r="F209" s="11"/>
      <c r="G209" s="11">
        <f t="shared" si="8"/>
        <v>12.816000000000001</v>
      </c>
    </row>
    <row r="210" spans="1:7" ht="19.5" customHeight="1">
      <c r="A210" s="6" t="s">
        <v>201</v>
      </c>
      <c r="B210" s="13">
        <v>2.79</v>
      </c>
      <c r="C210" s="14">
        <v>0</v>
      </c>
      <c r="D210" s="11">
        <f t="shared" si="7"/>
        <v>0.22320000000000001</v>
      </c>
      <c r="E210" s="11">
        <v>0</v>
      </c>
      <c r="F210" s="11"/>
      <c r="G210" s="11">
        <f t="shared" si="8"/>
        <v>0.22320000000000001</v>
      </c>
    </row>
    <row r="211" spans="1:7" ht="19.5" customHeight="1">
      <c r="A211" s="6" t="s">
        <v>202</v>
      </c>
      <c r="B211" s="13">
        <v>0.18</v>
      </c>
      <c r="C211" s="14">
        <v>30</v>
      </c>
      <c r="D211" s="11">
        <f t="shared" si="7"/>
        <v>2.4144000000000001</v>
      </c>
      <c r="E211" s="11">
        <v>0</v>
      </c>
      <c r="F211" s="11"/>
      <c r="G211" s="11">
        <f t="shared" si="8"/>
        <v>2.4144000000000001</v>
      </c>
    </row>
    <row r="212" spans="1:7" ht="19.5" customHeight="1">
      <c r="A212" s="6" t="s">
        <v>203</v>
      </c>
      <c r="B212" s="13">
        <v>4.95</v>
      </c>
      <c r="C212" s="14">
        <v>20</v>
      </c>
      <c r="D212" s="11">
        <f t="shared" si="7"/>
        <v>1.996</v>
      </c>
      <c r="E212" s="11">
        <v>0</v>
      </c>
      <c r="F212" s="11"/>
      <c r="G212" s="11">
        <f t="shared" si="8"/>
        <v>1.996</v>
      </c>
    </row>
    <row r="213" spans="1:7" ht="19.5" customHeight="1">
      <c r="A213" s="6" t="s">
        <v>204</v>
      </c>
      <c r="B213" s="13">
        <v>6.05</v>
      </c>
      <c r="C213" s="14">
        <v>30</v>
      </c>
      <c r="D213" s="11">
        <f t="shared" si="7"/>
        <v>2.8839999999999999</v>
      </c>
      <c r="E213" s="11">
        <v>0</v>
      </c>
      <c r="F213" s="11"/>
      <c r="G213" s="11">
        <f t="shared" si="8"/>
        <v>2.8839999999999999</v>
      </c>
    </row>
    <row r="214" spans="1:7" ht="19.5" customHeight="1">
      <c r="A214" s="6" t="s">
        <v>205</v>
      </c>
      <c r="B214" s="13">
        <v>23.75</v>
      </c>
      <c r="C214" s="14">
        <v>8</v>
      </c>
      <c r="D214" s="11">
        <f t="shared" si="7"/>
        <v>2.54</v>
      </c>
      <c r="E214" s="11">
        <v>3.8</v>
      </c>
      <c r="F214" s="11"/>
      <c r="G214" s="11">
        <f t="shared" si="8"/>
        <v>6.34</v>
      </c>
    </row>
    <row r="215" spans="1:7" ht="19.5" customHeight="1">
      <c r="A215" s="6" t="s">
        <v>206</v>
      </c>
      <c r="B215" s="13">
        <v>24.2</v>
      </c>
      <c r="C215" s="14">
        <v>50</v>
      </c>
      <c r="D215" s="11">
        <f t="shared" si="7"/>
        <v>5.9359999999999999</v>
      </c>
      <c r="E215" s="11">
        <v>13.8</v>
      </c>
      <c r="F215" s="11"/>
      <c r="G215" s="11">
        <f t="shared" si="8"/>
        <v>19.736000000000001</v>
      </c>
    </row>
    <row r="216" spans="1:7" s="8" customFormat="1" ht="19.5" customHeight="1">
      <c r="A216" s="9" t="s">
        <v>207</v>
      </c>
      <c r="B216" s="12">
        <v>12.1</v>
      </c>
      <c r="C216" s="11">
        <v>10</v>
      </c>
      <c r="D216" s="11">
        <f>(B216+C216)*0.12</f>
        <v>2.6520000000000001</v>
      </c>
      <c r="E216" s="11">
        <v>22.8</v>
      </c>
      <c r="F216" s="11"/>
      <c r="G216" s="11">
        <f t="shared" si="8"/>
        <v>25.452000000000002</v>
      </c>
    </row>
    <row r="217" spans="1:7" ht="19.5" customHeight="1">
      <c r="A217" s="6" t="s">
        <v>208</v>
      </c>
      <c r="B217" s="13">
        <v>47.3</v>
      </c>
      <c r="C217" s="14"/>
      <c r="D217" s="11">
        <f t="shared" si="7"/>
        <v>3.7839999999999998</v>
      </c>
      <c r="E217" s="11">
        <v>0</v>
      </c>
      <c r="F217" s="11"/>
      <c r="G217" s="11">
        <f t="shared" si="8"/>
        <v>3.7839999999999998</v>
      </c>
    </row>
    <row r="218" spans="1:7" ht="19.5" customHeight="1">
      <c r="A218" s="6" t="s">
        <v>209</v>
      </c>
      <c r="B218" s="13">
        <v>25.3</v>
      </c>
      <c r="C218" s="14">
        <v>0</v>
      </c>
      <c r="D218" s="11">
        <f t="shared" si="7"/>
        <v>2.024</v>
      </c>
      <c r="E218" s="11">
        <v>3.8</v>
      </c>
      <c r="F218" s="11"/>
      <c r="G218" s="11">
        <f t="shared" si="8"/>
        <v>5.8239999999999998</v>
      </c>
    </row>
    <row r="219" spans="1:7" s="8" customFormat="1" ht="19.5" customHeight="1">
      <c r="A219" s="9" t="s">
        <v>210</v>
      </c>
      <c r="B219" s="12">
        <v>22.75</v>
      </c>
      <c r="C219" s="11">
        <v>300</v>
      </c>
      <c r="D219" s="11">
        <f>(B219+C219)*0.12</f>
        <v>38.729999999999997</v>
      </c>
      <c r="E219" s="11">
        <v>15.2</v>
      </c>
      <c r="F219" s="11"/>
      <c r="G219" s="11">
        <f t="shared" si="8"/>
        <v>53.929999999999993</v>
      </c>
    </row>
    <row r="220" spans="1:7" ht="19.5" customHeight="1">
      <c r="A220" s="6" t="s">
        <v>211</v>
      </c>
      <c r="B220" s="13">
        <v>0</v>
      </c>
      <c r="C220" s="14">
        <v>20</v>
      </c>
      <c r="D220" s="11">
        <f t="shared" si="7"/>
        <v>1.6</v>
      </c>
      <c r="E220" s="11">
        <v>0</v>
      </c>
      <c r="F220" s="11"/>
      <c r="G220" s="11">
        <f t="shared" si="8"/>
        <v>1.6</v>
      </c>
    </row>
    <row r="221" spans="1:7" s="8" customFormat="1" ht="19.5" customHeight="1">
      <c r="A221" s="9" t="s">
        <v>212</v>
      </c>
      <c r="B221" s="12">
        <v>15.6</v>
      </c>
      <c r="C221" s="11">
        <v>300</v>
      </c>
      <c r="D221" s="11">
        <f>(B221+C221)*0.12</f>
        <v>37.872</v>
      </c>
      <c r="E221" s="11">
        <v>22.8</v>
      </c>
      <c r="F221" s="11"/>
      <c r="G221" s="11">
        <f t="shared" si="8"/>
        <v>60.671999999999997</v>
      </c>
    </row>
    <row r="222" spans="1:7" s="8" customFormat="1" ht="18.75" customHeight="1">
      <c r="A222" s="9" t="s">
        <v>213</v>
      </c>
      <c r="B222" s="12">
        <v>16.25</v>
      </c>
      <c r="C222" s="11">
        <v>300</v>
      </c>
      <c r="D222" s="11">
        <f>(B222+C222)*0.12</f>
        <v>37.949999999999996</v>
      </c>
      <c r="E222" s="11">
        <v>23.8</v>
      </c>
      <c r="F222" s="11"/>
      <c r="G222" s="11">
        <f t="shared" si="8"/>
        <v>61.75</v>
      </c>
    </row>
    <row r="223" spans="1:7" s="8" customFormat="1" ht="19.5" customHeight="1">
      <c r="A223" s="9" t="s">
        <v>214</v>
      </c>
      <c r="B223" s="12">
        <v>20.8</v>
      </c>
      <c r="C223" s="11">
        <v>130</v>
      </c>
      <c r="D223" s="11">
        <f>(B223+C223)*0.12</f>
        <v>18.096</v>
      </c>
      <c r="E223" s="11">
        <v>12.4</v>
      </c>
      <c r="F223" s="11"/>
      <c r="G223" s="11">
        <f t="shared" si="8"/>
        <v>30.496000000000002</v>
      </c>
    </row>
    <row r="224" spans="1:7" ht="19.5" customHeight="1">
      <c r="A224" s="6" t="s">
        <v>215</v>
      </c>
      <c r="B224" s="13">
        <v>0</v>
      </c>
      <c r="C224" s="14">
        <v>50</v>
      </c>
      <c r="D224" s="11">
        <f t="shared" si="7"/>
        <v>4</v>
      </c>
      <c r="E224" s="11">
        <v>0</v>
      </c>
      <c r="F224" s="11"/>
      <c r="G224" s="11">
        <f t="shared" si="8"/>
        <v>4</v>
      </c>
    </row>
    <row r="225" spans="1:7" ht="19.5" customHeight="1">
      <c r="A225" s="6" t="s">
        <v>216</v>
      </c>
      <c r="B225" s="13">
        <v>0</v>
      </c>
      <c r="C225" s="14">
        <v>50</v>
      </c>
      <c r="D225" s="11">
        <f t="shared" si="7"/>
        <v>4</v>
      </c>
      <c r="E225" s="11">
        <v>0</v>
      </c>
      <c r="F225" s="11"/>
      <c r="G225" s="11">
        <f t="shared" si="8"/>
        <v>4</v>
      </c>
    </row>
    <row r="226" spans="1:7" s="8" customFormat="1" ht="19.5" customHeight="1">
      <c r="A226" s="9" t="s">
        <v>217</v>
      </c>
      <c r="B226" s="12">
        <v>0</v>
      </c>
      <c r="C226" s="11">
        <v>300</v>
      </c>
      <c r="D226" s="11">
        <f>(B226+C226)*0.12</f>
        <v>36</v>
      </c>
      <c r="E226" s="11">
        <v>0</v>
      </c>
      <c r="F226" s="11"/>
      <c r="G226" s="11">
        <f t="shared" si="8"/>
        <v>36</v>
      </c>
    </row>
    <row r="227" spans="1:7" ht="29.25" customHeight="1">
      <c r="A227" s="6" t="s">
        <v>218</v>
      </c>
      <c r="B227" s="13">
        <v>0</v>
      </c>
      <c r="C227" s="14">
        <v>30</v>
      </c>
      <c r="D227" s="11">
        <f t="shared" si="7"/>
        <v>2.4</v>
      </c>
      <c r="E227" s="11">
        <v>0</v>
      </c>
      <c r="F227" s="11"/>
      <c r="G227" s="11">
        <f t="shared" si="8"/>
        <v>2.4</v>
      </c>
    </row>
    <row r="228" spans="1:7" ht="19.5" customHeight="1">
      <c r="A228" s="6" t="s">
        <v>219</v>
      </c>
      <c r="B228" s="13">
        <v>0</v>
      </c>
      <c r="C228" s="14">
        <v>50</v>
      </c>
      <c r="D228" s="11">
        <f t="shared" si="7"/>
        <v>4</v>
      </c>
      <c r="E228" s="11">
        <v>0</v>
      </c>
      <c r="F228" s="11"/>
      <c r="G228" s="11">
        <f t="shared" si="8"/>
        <v>4</v>
      </c>
    </row>
    <row r="229" spans="1:7" ht="19.5" customHeight="1">
      <c r="A229" s="6" t="s">
        <v>220</v>
      </c>
      <c r="B229" s="13">
        <v>0</v>
      </c>
      <c r="C229" s="14">
        <v>20</v>
      </c>
      <c r="D229" s="11">
        <f t="shared" si="7"/>
        <v>1.6</v>
      </c>
      <c r="E229" s="11">
        <v>0</v>
      </c>
      <c r="F229" s="11"/>
      <c r="G229" s="11">
        <f t="shared" si="8"/>
        <v>1.6</v>
      </c>
    </row>
    <row r="230" spans="1:7" ht="19.5" customHeight="1">
      <c r="A230" s="6" t="s">
        <v>221</v>
      </c>
      <c r="B230" s="13">
        <v>0</v>
      </c>
      <c r="C230" s="14">
        <v>20</v>
      </c>
      <c r="D230" s="11">
        <f t="shared" si="7"/>
        <v>1.6</v>
      </c>
      <c r="E230" s="11">
        <v>0</v>
      </c>
      <c r="F230" s="11"/>
      <c r="G230" s="11">
        <f t="shared" si="8"/>
        <v>1.6</v>
      </c>
    </row>
    <row r="231" spans="1:7" ht="19.5" customHeight="1">
      <c r="A231" s="6" t="s">
        <v>222</v>
      </c>
      <c r="B231" s="13">
        <v>0</v>
      </c>
      <c r="C231" s="14">
        <v>30</v>
      </c>
      <c r="D231" s="11">
        <f t="shared" si="7"/>
        <v>2.4</v>
      </c>
      <c r="E231" s="11">
        <v>0</v>
      </c>
      <c r="F231" s="11"/>
      <c r="G231" s="11">
        <f t="shared" si="8"/>
        <v>2.4</v>
      </c>
    </row>
    <row r="232" spans="1:7" ht="19.5" customHeight="1">
      <c r="A232" s="6" t="s">
        <v>223</v>
      </c>
      <c r="B232" s="13">
        <v>0</v>
      </c>
      <c r="C232" s="14">
        <v>30</v>
      </c>
      <c r="D232" s="11">
        <f t="shared" si="7"/>
        <v>2.4</v>
      </c>
      <c r="E232" s="11">
        <v>0</v>
      </c>
      <c r="F232" s="11"/>
      <c r="G232" s="11">
        <f t="shared" si="8"/>
        <v>2.4</v>
      </c>
    </row>
    <row r="233" spans="1:7" ht="19.5" customHeight="1">
      <c r="A233" s="6" t="s">
        <v>224</v>
      </c>
      <c r="B233" s="13">
        <v>0</v>
      </c>
      <c r="C233" s="14">
        <v>25</v>
      </c>
      <c r="D233" s="11">
        <f t="shared" si="7"/>
        <v>2</v>
      </c>
      <c r="E233" s="11">
        <v>0</v>
      </c>
      <c r="F233" s="11"/>
      <c r="G233" s="11">
        <f t="shared" si="8"/>
        <v>2</v>
      </c>
    </row>
    <row r="234" spans="1:7" ht="19.5" customHeight="1">
      <c r="A234" s="6" t="s">
        <v>225</v>
      </c>
      <c r="B234" s="13">
        <v>0</v>
      </c>
      <c r="C234" s="14">
        <v>20</v>
      </c>
      <c r="D234" s="11">
        <f t="shared" si="7"/>
        <v>1.6</v>
      </c>
      <c r="E234" s="11">
        <v>0</v>
      </c>
      <c r="F234" s="11"/>
      <c r="G234" s="11">
        <f t="shared" si="8"/>
        <v>1.6</v>
      </c>
    </row>
    <row r="235" spans="1:7" ht="19.5" customHeight="1">
      <c r="A235" s="6" t="s">
        <v>226</v>
      </c>
      <c r="B235" s="13">
        <v>0</v>
      </c>
      <c r="C235" s="14">
        <v>20</v>
      </c>
      <c r="D235" s="11">
        <f t="shared" si="7"/>
        <v>1.6</v>
      </c>
      <c r="E235" s="11">
        <v>0</v>
      </c>
      <c r="F235" s="11"/>
      <c r="G235" s="11">
        <f t="shared" si="8"/>
        <v>1.6</v>
      </c>
    </row>
    <row r="236" spans="1:7" ht="19.5" customHeight="1">
      <c r="A236" s="6" t="s">
        <v>227</v>
      </c>
      <c r="B236" s="13">
        <v>0</v>
      </c>
      <c r="C236" s="14">
        <v>25</v>
      </c>
      <c r="D236" s="11">
        <f t="shared" si="7"/>
        <v>2</v>
      </c>
      <c r="E236" s="11">
        <v>3.8</v>
      </c>
      <c r="F236" s="11"/>
      <c r="G236" s="11">
        <f t="shared" si="8"/>
        <v>5.8</v>
      </c>
    </row>
    <row r="237" spans="1:7" ht="30" customHeight="1">
      <c r="A237" s="6" t="s">
        <v>228</v>
      </c>
      <c r="B237" s="13">
        <v>0</v>
      </c>
      <c r="C237" s="14">
        <v>50</v>
      </c>
      <c r="D237" s="11">
        <f t="shared" si="7"/>
        <v>4</v>
      </c>
      <c r="E237" s="11">
        <v>3.8</v>
      </c>
      <c r="F237" s="11"/>
      <c r="G237" s="11">
        <f t="shared" si="8"/>
        <v>7.8</v>
      </c>
    </row>
    <row r="238" spans="1:7" ht="32.25" customHeight="1">
      <c r="A238" s="32" t="s">
        <v>229</v>
      </c>
      <c r="B238" s="33">
        <v>0</v>
      </c>
      <c r="C238" s="34">
        <v>20</v>
      </c>
      <c r="D238" s="35">
        <f t="shared" si="7"/>
        <v>1.6</v>
      </c>
      <c r="E238" s="35">
        <v>0</v>
      </c>
      <c r="F238" s="35"/>
      <c r="G238" s="35">
        <f t="shared" si="8"/>
        <v>1.6</v>
      </c>
    </row>
    <row r="239" spans="1:7" s="2" customFormat="1" ht="32.25" customHeight="1">
      <c r="A239" s="36" t="s">
        <v>243</v>
      </c>
      <c r="B239" s="13"/>
      <c r="C239" s="14"/>
      <c r="D239" s="11"/>
      <c r="E239" s="11">
        <v>3.8</v>
      </c>
      <c r="F239" s="11"/>
      <c r="G239" s="11">
        <f t="shared" si="8"/>
        <v>3.8</v>
      </c>
    </row>
    <row r="240" spans="1:7" ht="52.5" customHeight="1">
      <c r="A240" s="39" t="s">
        <v>245</v>
      </c>
      <c r="B240" s="39"/>
      <c r="C240" s="39"/>
      <c r="D240" s="39"/>
      <c r="E240" s="39"/>
      <c r="F240" s="39"/>
      <c r="G240" s="39"/>
    </row>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row r="1001" ht="19.5" customHeight="1"/>
    <row r="1002" ht="19.5" customHeight="1"/>
    <row r="1003" ht="19.5" customHeight="1"/>
    <row r="1004" ht="19.5" customHeight="1"/>
    <row r="1005" ht="19.5" customHeight="1"/>
    <row r="1006" ht="19.5" customHeight="1"/>
    <row r="1007" ht="19.5" customHeight="1"/>
    <row r="1008" ht="19.5" customHeight="1"/>
    <row r="1009" ht="19.5" customHeight="1"/>
    <row r="1010" ht="19.5" customHeight="1"/>
    <row r="1011" ht="19.5" customHeight="1"/>
    <row r="1012" ht="19.5" customHeight="1"/>
    <row r="1013" ht="19.5" customHeight="1"/>
    <row r="1014" ht="19.5" customHeight="1"/>
    <row r="1015" ht="19.5" customHeight="1"/>
    <row r="1016" ht="19.5" customHeight="1"/>
    <row r="1017" ht="19.5" customHeight="1"/>
    <row r="1018" ht="19.5" customHeight="1"/>
    <row r="1019" ht="19.5" customHeight="1"/>
    <row r="1020" ht="19.5" customHeight="1"/>
    <row r="1021" ht="19.5" customHeight="1"/>
    <row r="1022" ht="19.5" customHeight="1"/>
    <row r="1023" ht="19.5" customHeight="1"/>
    <row r="1024" ht="19.5" customHeight="1"/>
    <row r="1025" ht="19.5" customHeight="1"/>
    <row r="1026" ht="19.5" customHeight="1"/>
    <row r="1027" ht="19.5" customHeight="1"/>
    <row r="1028" ht="19.5" customHeight="1"/>
    <row r="1029" ht="19.5" customHeight="1"/>
    <row r="1030" ht="19.5" customHeight="1"/>
    <row r="1031" ht="19.5" customHeight="1"/>
    <row r="1032" ht="19.5" customHeight="1"/>
    <row r="1033" ht="19.5" customHeight="1"/>
    <row r="1034" ht="19.5" customHeight="1"/>
    <row r="1035" ht="19.5" customHeight="1"/>
    <row r="1036" ht="19.5" customHeight="1"/>
    <row r="1037" ht="19.5" customHeight="1"/>
    <row r="1038" ht="19.5" customHeight="1"/>
    <row r="1039" ht="19.5" customHeight="1"/>
    <row r="1040" ht="19.5" customHeight="1"/>
    <row r="1041" ht="19.5" customHeight="1"/>
    <row r="1042" ht="19.5" customHeight="1"/>
    <row r="1043" ht="19.5" customHeight="1"/>
    <row r="1044" ht="19.5" customHeight="1"/>
    <row r="1045" ht="19.5" customHeight="1"/>
    <row r="1046" ht="19.5" customHeight="1"/>
    <row r="1047" ht="19.5" customHeight="1"/>
    <row r="1048" ht="19.5" customHeight="1"/>
    <row r="1049" ht="19.5" customHeight="1"/>
    <row r="1050" ht="19.5" customHeight="1"/>
    <row r="1051" ht="19.5" customHeight="1"/>
    <row r="1052" ht="19.5" customHeight="1"/>
    <row r="1053" ht="19.5" customHeight="1"/>
    <row r="1054" ht="19.5" customHeight="1"/>
    <row r="1055" ht="19.5" customHeight="1"/>
    <row r="1056" ht="19.5" customHeight="1"/>
    <row r="1057" ht="19.5" customHeight="1"/>
    <row r="1058" ht="19.5" customHeight="1"/>
    <row r="1059" ht="19.5" customHeight="1"/>
    <row r="1060" ht="19.5" customHeight="1"/>
    <row r="1061" ht="19.5" customHeight="1"/>
    <row r="1062" ht="19.5" customHeight="1"/>
    <row r="1063" ht="19.5" customHeight="1"/>
    <row r="1064" ht="19.5" customHeight="1"/>
    <row r="1065" ht="19.5" customHeight="1"/>
    <row r="1066" ht="19.5" customHeight="1"/>
    <row r="1067" ht="19.5" customHeight="1"/>
    <row r="1068" ht="19.5" customHeight="1"/>
    <row r="1069" ht="19.5" customHeight="1"/>
    <row r="1070" ht="19.5" customHeight="1"/>
    <row r="1071" ht="19.5" customHeight="1"/>
    <row r="1072" ht="19.5" customHeight="1"/>
    <row r="1073" ht="19.5" customHeight="1"/>
    <row r="1074" ht="19.5" customHeight="1"/>
    <row r="1075" ht="19.5" customHeight="1"/>
    <row r="1076" ht="19.5" customHeight="1"/>
    <row r="1077" ht="19.5" customHeight="1"/>
    <row r="1078" ht="19.5" customHeight="1"/>
    <row r="1079" ht="19.5" customHeight="1"/>
    <row r="1080" ht="19.5" customHeight="1"/>
    <row r="1081" ht="19.5" customHeight="1"/>
    <row r="1082" ht="19.5" customHeight="1"/>
    <row r="1083" ht="19.5" customHeight="1"/>
    <row r="1084" ht="19.5" customHeight="1"/>
    <row r="1085" ht="19.5" customHeight="1"/>
    <row r="1086" ht="19.5" customHeight="1"/>
    <row r="1087" ht="19.5" customHeight="1"/>
    <row r="1088" ht="19.5" customHeight="1"/>
    <row r="1089" ht="19.5" customHeight="1"/>
    <row r="1090" ht="19.5" customHeight="1"/>
    <row r="1091" ht="19.5" customHeight="1"/>
    <row r="1092" ht="19.5" customHeight="1"/>
    <row r="1093" ht="19.5" customHeight="1"/>
    <row r="1094" ht="19.5" customHeight="1"/>
    <row r="1095" ht="19.5" customHeight="1"/>
    <row r="1096" ht="19.5" customHeight="1"/>
    <row r="1097" ht="19.5" customHeight="1"/>
    <row r="1098" ht="19.5" customHeight="1"/>
    <row r="1099" ht="19.5" customHeight="1"/>
    <row r="1100" ht="19.5" customHeight="1"/>
    <row r="1101" ht="19.5" customHeight="1"/>
    <row r="1102" ht="19.5" customHeight="1"/>
    <row r="1103" ht="19.5" customHeight="1"/>
    <row r="1104" ht="19.5" customHeight="1"/>
    <row r="1105" ht="19.5" customHeight="1"/>
    <row r="1106" ht="19.5" customHeight="1"/>
    <row r="1107" ht="19.5" customHeight="1"/>
    <row r="1108" ht="19.5" customHeight="1"/>
    <row r="1109" ht="19.5" customHeight="1"/>
    <row r="1110" ht="19.5" customHeight="1"/>
    <row r="1111" ht="19.5" customHeight="1"/>
    <row r="1112" ht="19.5" customHeight="1"/>
    <row r="1113" ht="19.5" customHeight="1"/>
    <row r="1114" ht="19.5" customHeight="1"/>
    <row r="1115" ht="19.5" customHeight="1"/>
    <row r="1116" ht="19.5" customHeight="1"/>
    <row r="1117" ht="19.5" customHeight="1"/>
    <row r="1118" ht="19.5" customHeight="1"/>
    <row r="1119" ht="19.5" customHeight="1"/>
    <row r="1120" ht="19.5" customHeight="1"/>
    <row r="1121" ht="19.5" customHeight="1"/>
    <row r="1122" ht="19.5" customHeight="1"/>
    <row r="1123" ht="19.5" customHeight="1"/>
    <row r="1124" ht="19.5" customHeight="1"/>
    <row r="1125" ht="19.5" customHeight="1"/>
    <row r="1126" ht="19.5" customHeight="1"/>
    <row r="1127" ht="19.5" customHeight="1"/>
    <row r="1128" ht="19.5" customHeight="1"/>
    <row r="1129" ht="19.5" customHeight="1"/>
    <row r="1130" ht="19.5" customHeight="1"/>
    <row r="1131" ht="19.5" customHeight="1"/>
    <row r="1132" ht="19.5" customHeight="1"/>
    <row r="1133" ht="19.5" customHeight="1"/>
    <row r="1134" ht="19.5" customHeight="1"/>
    <row r="1135" ht="19.5" customHeight="1"/>
    <row r="1136" ht="19.5" customHeight="1"/>
    <row r="1137" ht="19.5" customHeight="1"/>
    <row r="1138" ht="19.5" customHeight="1"/>
    <row r="1139" ht="19.5" customHeight="1"/>
    <row r="1140" ht="19.5" customHeight="1"/>
    <row r="1141" ht="19.5" customHeight="1"/>
    <row r="1142" ht="19.5" customHeight="1"/>
    <row r="1143" ht="19.5" customHeight="1"/>
    <row r="1144" ht="19.5" customHeight="1"/>
    <row r="1145" ht="19.5" customHeight="1"/>
    <row r="1146" ht="19.5" customHeight="1"/>
    <row r="1147" ht="19.5" customHeight="1"/>
    <row r="1148" ht="19.5" customHeight="1"/>
    <row r="1149" ht="19.5" customHeight="1"/>
    <row r="1150" ht="19.5" customHeight="1"/>
    <row r="1151" ht="19.5" customHeight="1"/>
    <row r="1152" ht="19.5" customHeight="1"/>
    <row r="1153" ht="19.5" customHeight="1"/>
    <row r="1154" ht="19.5" customHeight="1"/>
    <row r="1155" ht="19.5" customHeight="1"/>
    <row r="1156" ht="19.5" customHeight="1"/>
    <row r="1157" ht="19.5" customHeight="1"/>
    <row r="1158" ht="19.5" customHeight="1"/>
    <row r="1159" ht="19.5" customHeight="1"/>
    <row r="1160" ht="19.5" customHeight="1"/>
    <row r="1161" ht="19.5" customHeight="1"/>
    <row r="1162" ht="19.5" customHeight="1"/>
    <row r="1163" ht="19.5" customHeight="1"/>
    <row r="1164" ht="19.5" customHeight="1"/>
    <row r="1165" ht="19.5" customHeight="1"/>
    <row r="1166" ht="19.5" customHeight="1"/>
    <row r="1167" ht="19.5" customHeight="1"/>
    <row r="1168" ht="19.5" customHeight="1"/>
    <row r="1169" ht="19.5" customHeight="1"/>
    <row r="1170" ht="19.5" customHeight="1"/>
    <row r="1171" ht="19.5" customHeight="1"/>
    <row r="1172" ht="19.5" customHeight="1"/>
    <row r="1173" ht="19.5" customHeight="1"/>
    <row r="1174" ht="19.5" customHeight="1"/>
    <row r="1175" ht="19.5" customHeight="1"/>
    <row r="1176" ht="19.5" customHeight="1"/>
    <row r="1177" ht="19.5" customHeight="1"/>
    <row r="1178" ht="19.5" customHeight="1"/>
    <row r="1179" ht="19.5" customHeight="1"/>
    <row r="1180" ht="19.5" customHeight="1"/>
    <row r="1181" ht="19.5" customHeight="1"/>
    <row r="1182" ht="19.5" customHeight="1"/>
    <row r="1183" ht="19.5" customHeight="1"/>
    <row r="1184" ht="19.5" customHeight="1"/>
    <row r="1185" ht="19.5" customHeight="1"/>
    <row r="1186" ht="19.5" customHeight="1"/>
    <row r="1187" ht="19.5" customHeight="1"/>
    <row r="1188" ht="19.5" customHeight="1"/>
    <row r="1189" ht="19.5" customHeight="1"/>
    <row r="1190" ht="19.5" customHeight="1"/>
    <row r="1191" ht="19.5" customHeight="1"/>
    <row r="1192" ht="19.5" customHeight="1"/>
    <row r="1193" ht="19.5" customHeight="1"/>
    <row r="1194" ht="19.5" customHeight="1"/>
    <row r="1195" ht="19.5" customHeight="1"/>
    <row r="1196" ht="19.5" customHeight="1"/>
    <row r="1197" ht="19.5" customHeight="1"/>
    <row r="1198" ht="19.5" customHeight="1"/>
    <row r="1199" ht="19.5" customHeight="1"/>
    <row r="1200" ht="19.5" customHeight="1"/>
    <row r="1201" ht="19.5" customHeight="1"/>
    <row r="1202" ht="19.5" customHeight="1"/>
    <row r="1203" ht="19.5" customHeight="1"/>
    <row r="1204" ht="19.5" customHeight="1"/>
    <row r="1205" ht="19.5" customHeight="1"/>
    <row r="1206" ht="19.5" customHeight="1"/>
    <row r="1207" ht="19.5" customHeight="1"/>
    <row r="1208" ht="19.5" customHeight="1"/>
    <row r="1209" ht="19.5" customHeight="1"/>
    <row r="1210" ht="19.5" customHeight="1"/>
    <row r="1211" ht="19.5" customHeight="1"/>
    <row r="1212" ht="19.5" customHeight="1"/>
    <row r="1213" ht="19.5" customHeight="1"/>
    <row r="1214" ht="19.5" customHeight="1"/>
    <row r="1215" ht="19.5" customHeight="1"/>
    <row r="1216" ht="19.5" customHeight="1"/>
    <row r="1217" ht="19.5" customHeight="1"/>
    <row r="1218" ht="19.5" customHeight="1"/>
    <row r="1219" ht="19.5" customHeight="1"/>
    <row r="1220" ht="19.5" customHeight="1"/>
    <row r="1221" ht="19.5" customHeight="1"/>
    <row r="1222" ht="19.5" customHeight="1"/>
    <row r="1223" ht="19.5" customHeight="1"/>
    <row r="1224" ht="19.5" customHeight="1"/>
    <row r="1225" ht="19.5" customHeight="1"/>
    <row r="1226" ht="19.5" customHeight="1"/>
    <row r="1227" ht="19.5" customHeight="1"/>
    <row r="1228" ht="19.5" customHeight="1"/>
    <row r="1229" ht="19.5" customHeight="1"/>
    <row r="1230" ht="19.5" customHeight="1"/>
    <row r="1231" ht="19.5" customHeight="1"/>
    <row r="1232" ht="19.5" customHeight="1"/>
    <row r="1233" ht="19.5" customHeight="1"/>
    <row r="1234" ht="19.5" customHeight="1"/>
    <row r="1235" ht="19.5" customHeight="1"/>
    <row r="1236" ht="19.5" customHeight="1"/>
    <row r="1237" ht="19.5" customHeight="1"/>
    <row r="1238" ht="19.5" customHeight="1"/>
    <row r="1239" ht="19.5" customHeight="1"/>
    <row r="1240" ht="19.5" customHeight="1"/>
    <row r="1241" ht="19.5" customHeight="1"/>
    <row r="1242" ht="19.5" customHeight="1"/>
    <row r="1243" ht="19.5" customHeight="1"/>
    <row r="1244" ht="19.5" customHeight="1"/>
    <row r="1245" ht="19.5" customHeight="1"/>
    <row r="1246" ht="19.5" customHeight="1"/>
    <row r="1247" ht="19.5" customHeight="1"/>
    <row r="1248" ht="19.5" customHeight="1"/>
    <row r="1249" ht="19.5" customHeight="1"/>
    <row r="1250" ht="19.5" customHeight="1"/>
    <row r="1251" ht="19.5" customHeight="1"/>
    <row r="1252" ht="19.5" customHeight="1"/>
    <row r="1253" ht="19.5" customHeight="1"/>
    <row r="1254" ht="19.5" customHeight="1"/>
    <row r="1255" ht="19.5" customHeight="1"/>
    <row r="1256" ht="19.5" customHeight="1"/>
    <row r="1257" ht="19.5" customHeight="1"/>
    <row r="1258" ht="19.5" customHeight="1"/>
    <row r="1259" ht="19.5" customHeight="1"/>
    <row r="1260" ht="19.5" customHeight="1"/>
    <row r="1261" ht="19.5" customHeight="1"/>
    <row r="1262" ht="19.5" customHeight="1"/>
    <row r="1263" ht="19.5" customHeight="1"/>
    <row r="1264" ht="19.5" customHeight="1"/>
    <row r="1265" ht="19.5" customHeight="1"/>
    <row r="1266" ht="19.5" customHeight="1"/>
    <row r="1267" ht="19.5" customHeight="1"/>
    <row r="1268" ht="19.5" customHeight="1"/>
    <row r="1269" ht="19.5" customHeight="1"/>
    <row r="1270" ht="19.5" customHeight="1"/>
    <row r="1271" ht="19.5" customHeight="1"/>
    <row r="1272" ht="19.5" customHeight="1"/>
    <row r="1273" ht="19.5" customHeight="1"/>
    <row r="1274" ht="19.5" customHeight="1"/>
    <row r="1275" ht="19.5" customHeight="1"/>
    <row r="1276" ht="19.5" customHeight="1"/>
    <row r="1277" ht="19.5" customHeight="1"/>
    <row r="1278" ht="19.5" customHeight="1"/>
    <row r="1279" ht="19.5" customHeight="1"/>
    <row r="1280" ht="19.5" customHeight="1"/>
    <row r="1281" ht="19.5" customHeight="1"/>
    <row r="1282" ht="19.5" customHeight="1"/>
    <row r="1283" ht="19.5" customHeight="1"/>
    <row r="1284" ht="19.5" customHeight="1"/>
    <row r="1285" ht="19.5" customHeight="1"/>
    <row r="1286" ht="19.5" customHeight="1"/>
    <row r="1287" ht="19.5" customHeight="1"/>
    <row r="1288" ht="19.5" customHeight="1"/>
    <row r="1289" ht="19.5" customHeight="1"/>
    <row r="1290" ht="19.5" customHeight="1"/>
    <row r="1291" ht="19.5" customHeight="1"/>
    <row r="1292" ht="19.5" customHeight="1"/>
    <row r="1293" ht="19.5" customHeight="1"/>
    <row r="1294" ht="19.5" customHeight="1"/>
    <row r="1295" ht="19.5" customHeight="1"/>
    <row r="1296" ht="19.5" customHeight="1"/>
    <row r="1297" ht="19.5" customHeight="1"/>
    <row r="1298" ht="19.5" customHeight="1"/>
    <row r="1299" ht="19.5" customHeight="1"/>
    <row r="1300" ht="19.5" customHeight="1"/>
    <row r="1301" ht="19.5" customHeight="1"/>
    <row r="1302" ht="19.5" customHeight="1"/>
    <row r="1303" ht="19.5" customHeight="1"/>
    <row r="1304" ht="19.5" customHeight="1"/>
    <row r="1305" ht="19.5" customHeight="1"/>
    <row r="1306" ht="19.5" customHeight="1"/>
    <row r="1307" ht="19.5" customHeight="1"/>
    <row r="1308" ht="19.5" customHeight="1"/>
    <row r="1309" ht="19.5" customHeight="1"/>
    <row r="1310" ht="19.5" customHeight="1"/>
    <row r="1311" ht="19.5" customHeight="1"/>
    <row r="1312" ht="19.5" customHeight="1"/>
    <row r="1313" ht="19.5" customHeight="1"/>
    <row r="1314" ht="19.5" customHeight="1"/>
    <row r="1315" ht="19.5" customHeight="1"/>
    <row r="1316" ht="19.5" customHeight="1"/>
    <row r="1317" ht="19.5" customHeight="1"/>
    <row r="1318" ht="19.5" customHeight="1"/>
    <row r="1319" ht="19.5" customHeight="1"/>
    <row r="1320" ht="19.5" customHeight="1"/>
    <row r="1321" ht="19.5" customHeight="1"/>
    <row r="1322" ht="19.5" customHeight="1"/>
    <row r="1323" ht="19.5" customHeight="1"/>
    <row r="1324" ht="19.5" customHeight="1"/>
    <row r="1325" ht="19.5" customHeight="1"/>
    <row r="1326" ht="19.5" customHeight="1"/>
    <row r="1327" ht="19.5" customHeight="1"/>
    <row r="1328" ht="19.5" customHeight="1"/>
    <row r="1329" ht="19.5" customHeight="1"/>
    <row r="1330" ht="19.5" customHeight="1"/>
    <row r="1331" ht="19.5" customHeight="1"/>
    <row r="1332" ht="19.5" customHeight="1"/>
    <row r="1333" ht="19.5" customHeight="1"/>
    <row r="1334" ht="19.5" customHeight="1"/>
    <row r="1335" ht="19.5" customHeight="1"/>
    <row r="1336" ht="19.5" customHeight="1"/>
    <row r="1337" ht="19.5" customHeight="1"/>
    <row r="1338" ht="19.5" customHeight="1"/>
    <row r="1339" ht="19.5" customHeight="1"/>
    <row r="1340" ht="19.5" customHeight="1"/>
    <row r="1341" ht="19.5" customHeight="1"/>
    <row r="1342" ht="19.5" customHeight="1"/>
    <row r="1343" ht="19.5" customHeight="1"/>
    <row r="1344" ht="19.5" customHeight="1"/>
    <row r="1345" ht="19.5" customHeight="1"/>
    <row r="1346" ht="19.5" customHeight="1"/>
    <row r="1347" ht="19.5" customHeight="1"/>
    <row r="1348" ht="19.5" customHeight="1"/>
    <row r="1349" ht="19.5" customHeight="1"/>
    <row r="1350" ht="19.5" customHeight="1"/>
    <row r="1351" ht="19.5" customHeight="1"/>
    <row r="1352" ht="19.5" customHeight="1"/>
    <row r="1353" ht="19.5" customHeight="1"/>
    <row r="1354" ht="19.5" customHeight="1"/>
    <row r="1355" ht="19.5" customHeight="1"/>
    <row r="1356" ht="19.5" customHeight="1"/>
    <row r="1357" ht="19.5" customHeight="1"/>
    <row r="1358" ht="19.5" customHeight="1"/>
    <row r="1359" ht="19.5" customHeight="1"/>
    <row r="1360" ht="19.5" customHeight="1"/>
    <row r="1361" ht="19.5" customHeight="1"/>
    <row r="1362" ht="19.5" customHeight="1"/>
    <row r="1363" ht="19.5" customHeight="1"/>
    <row r="1364" ht="19.5" customHeight="1"/>
    <row r="1365" ht="19.5" customHeight="1"/>
    <row r="1366" ht="19.5" customHeight="1"/>
    <row r="1367" ht="19.5" customHeight="1"/>
    <row r="1368" ht="19.5" customHeight="1"/>
    <row r="1369" ht="19.5" customHeight="1"/>
    <row r="1370" ht="19.5" customHeight="1"/>
    <row r="1371" ht="19.5" customHeight="1"/>
    <row r="1372" ht="19.5" customHeight="1"/>
    <row r="1373" ht="19.5" customHeight="1"/>
    <row r="1374" ht="19.5" customHeight="1"/>
    <row r="1375" ht="19.5" customHeight="1"/>
    <row r="1376" ht="19.5" customHeight="1"/>
    <row r="1377" ht="19.5" customHeight="1"/>
    <row r="1378" ht="19.5" customHeight="1"/>
    <row r="1379" ht="19.5" customHeight="1"/>
    <row r="1380" ht="19.5" customHeight="1"/>
    <row r="1381" ht="19.5" customHeight="1"/>
    <row r="1382" ht="19.5" customHeight="1"/>
    <row r="1383" ht="19.5" customHeight="1"/>
    <row r="1384" ht="19.5" customHeight="1"/>
    <row r="1385" ht="19.5" customHeight="1"/>
    <row r="1386" ht="19.5" customHeight="1"/>
    <row r="1387" ht="19.5" customHeight="1"/>
    <row r="1388" ht="19.5" customHeight="1"/>
    <row r="1389" ht="19.5" customHeight="1"/>
    <row r="1390" ht="19.5" customHeight="1"/>
    <row r="1391" ht="19.5" customHeight="1"/>
    <row r="1392" ht="19.5" customHeight="1"/>
    <row r="1393" ht="19.5" customHeight="1"/>
    <row r="1394" ht="19.5" customHeight="1"/>
    <row r="1395" ht="19.5" customHeight="1"/>
    <row r="1396" ht="19.5" customHeight="1"/>
    <row r="1397" ht="19.5" customHeight="1"/>
    <row r="1398" ht="19.5" customHeight="1"/>
    <row r="1399" ht="19.5" customHeight="1"/>
    <row r="1400" ht="19.5" customHeight="1"/>
    <row r="1401" ht="19.5" customHeight="1"/>
    <row r="1402" ht="19.5" customHeight="1"/>
    <row r="1403" ht="19.5" customHeight="1"/>
    <row r="1404" ht="19.5" customHeight="1"/>
    <row r="1405" ht="19.5" customHeight="1"/>
    <row r="1406" ht="19.5" customHeight="1"/>
    <row r="1407" ht="19.5" customHeight="1"/>
    <row r="1408" ht="19.5" customHeight="1"/>
    <row r="1409" ht="19.5" customHeight="1"/>
    <row r="1410" ht="19.5" customHeight="1"/>
    <row r="1411" ht="19.5" customHeight="1"/>
    <row r="1412" ht="19.5" customHeight="1"/>
    <row r="1413" ht="19.5" customHeight="1"/>
    <row r="1414" ht="19.5" customHeight="1"/>
    <row r="1415" ht="19.5" customHeight="1"/>
    <row r="1416" ht="19.5" customHeight="1"/>
    <row r="1417" ht="19.5" customHeight="1"/>
    <row r="1418" ht="19.5" customHeight="1"/>
    <row r="1419" ht="19.5" customHeight="1"/>
    <row r="1420" ht="19.5" customHeight="1"/>
    <row r="1421" ht="19.5" customHeight="1"/>
    <row r="1422" ht="19.5" customHeight="1"/>
    <row r="1423" ht="19.5" customHeight="1"/>
    <row r="1424" ht="19.5" customHeight="1"/>
    <row r="1425" ht="19.5" customHeight="1"/>
    <row r="1426" ht="19.5" customHeight="1"/>
    <row r="1427" ht="19.5" customHeight="1"/>
    <row r="1428" ht="19.5" customHeight="1"/>
    <row r="1429" ht="19.5" customHeight="1"/>
    <row r="1430" ht="19.5" customHeight="1"/>
    <row r="1431" ht="19.5" customHeight="1"/>
    <row r="1432" ht="19.5" customHeight="1"/>
    <row r="1433" ht="19.5" customHeight="1"/>
    <row r="1434" ht="19.5" customHeight="1"/>
    <row r="1435" ht="19.5" customHeight="1"/>
    <row r="1436" ht="19.5" customHeight="1"/>
    <row r="1437" ht="19.5" customHeight="1"/>
    <row r="1438" ht="19.5" customHeight="1"/>
    <row r="1439" ht="19.5" customHeight="1"/>
    <row r="1440" ht="19.5" customHeight="1"/>
    <row r="1441" ht="19.5" customHeight="1"/>
    <row r="1442" ht="19.5" customHeight="1"/>
    <row r="1443" ht="19.5" customHeight="1"/>
    <row r="1444" ht="19.5" customHeight="1"/>
    <row r="1445" ht="19.5" customHeight="1"/>
    <row r="1446" ht="19.5" customHeight="1"/>
    <row r="1447" ht="19.5" customHeight="1"/>
    <row r="1448" ht="19.5" customHeight="1"/>
    <row r="1449" ht="19.5" customHeight="1"/>
    <row r="1450" ht="19.5" customHeight="1"/>
    <row r="1451" ht="19.5" customHeight="1"/>
    <row r="1452" ht="19.5" customHeight="1"/>
    <row r="1453" ht="19.5" customHeight="1"/>
    <row r="1454" ht="19.5" customHeight="1"/>
    <row r="1455" ht="19.5" customHeight="1"/>
    <row r="1456" ht="19.5" customHeight="1"/>
    <row r="1457" ht="19.5" customHeight="1"/>
    <row r="1458" ht="19.5" customHeight="1"/>
    <row r="1459" ht="19.5" customHeight="1"/>
    <row r="1460" ht="19.5" customHeight="1"/>
    <row r="1461" ht="19.5" customHeight="1"/>
    <row r="1462" ht="19.5" customHeight="1"/>
    <row r="1463" ht="19.5" customHeight="1"/>
    <row r="1464" ht="19.5" customHeight="1"/>
    <row r="1465" ht="19.5" customHeight="1"/>
    <row r="1466" ht="19.5" customHeight="1"/>
    <row r="1467" ht="19.5" customHeight="1"/>
    <row r="1468" ht="19.5" customHeight="1"/>
    <row r="1469" ht="19.5" customHeight="1"/>
    <row r="1470" ht="19.5" customHeight="1"/>
    <row r="1471" ht="19.5" customHeight="1"/>
    <row r="1472" ht="19.5" customHeight="1"/>
    <row r="1473" ht="19.5" customHeight="1"/>
    <row r="1474" ht="19.5" customHeight="1"/>
    <row r="1475" ht="19.5" customHeight="1"/>
    <row r="1476" ht="19.5" customHeight="1"/>
    <row r="1477" ht="19.5" customHeight="1"/>
    <row r="1478" ht="19.5" customHeight="1"/>
    <row r="1479" ht="19.5" customHeight="1"/>
    <row r="1480" ht="19.5" customHeight="1"/>
    <row r="1481" ht="19.5" customHeight="1"/>
    <row r="1482" ht="19.5" customHeight="1"/>
    <row r="1483" ht="19.5" customHeight="1"/>
    <row r="1484" ht="19.5" customHeight="1"/>
    <row r="1485" ht="19.5" customHeight="1"/>
    <row r="1486" ht="19.5" customHeight="1"/>
    <row r="1487" ht="19.5" customHeight="1"/>
    <row r="1488" ht="19.5" customHeight="1"/>
    <row r="1489" ht="19.5" customHeight="1"/>
    <row r="1490" ht="19.5" customHeight="1"/>
    <row r="1491" ht="19.5" customHeight="1"/>
    <row r="1492" ht="19.5" customHeight="1"/>
    <row r="1493" ht="19.5" customHeight="1"/>
    <row r="1494" ht="19.5" customHeight="1"/>
    <row r="1495" ht="19.5" customHeight="1"/>
    <row r="1496" ht="19.5" customHeight="1"/>
    <row r="1497" ht="19.5" customHeight="1"/>
    <row r="1498" ht="19.5" customHeight="1"/>
    <row r="1499" ht="19.5" customHeight="1"/>
    <row r="1500" ht="19.5" customHeight="1"/>
    <row r="1501" ht="19.5" customHeight="1"/>
    <row r="1502" ht="19.5" customHeight="1"/>
    <row r="1503" ht="19.5" customHeight="1"/>
    <row r="1504" ht="19.5" customHeight="1"/>
    <row r="1505" ht="19.5" customHeight="1"/>
    <row r="1506" ht="19.5" customHeight="1"/>
    <row r="1507" ht="19.5" customHeight="1"/>
    <row r="1508" ht="19.5" customHeight="1"/>
    <row r="1509" ht="19.5" customHeight="1"/>
    <row r="1510" ht="19.5" customHeight="1"/>
    <row r="1511" ht="19.5" customHeight="1"/>
    <row r="1512" ht="19.5" customHeight="1"/>
    <row r="1513" ht="19.5" customHeight="1"/>
    <row r="1514" ht="19.5" customHeight="1"/>
    <row r="1515" ht="19.5" customHeight="1"/>
    <row r="1516" ht="19.5" customHeight="1"/>
    <row r="1517" ht="19.5" customHeight="1"/>
    <row r="1518" ht="19.5" customHeight="1"/>
    <row r="1519" ht="19.5" customHeight="1"/>
    <row r="1520" ht="19.5" customHeight="1"/>
    <row r="1521" ht="19.5" customHeight="1"/>
    <row r="1522" ht="19.5" customHeight="1"/>
    <row r="1523" ht="19.5" customHeight="1"/>
    <row r="1524" ht="19.5" customHeight="1"/>
    <row r="1525" ht="19.5" customHeight="1"/>
    <row r="1526" ht="19.5" customHeight="1"/>
    <row r="1527" ht="19.5" customHeight="1"/>
    <row r="1528" ht="19.5" customHeight="1"/>
    <row r="1529" ht="19.5" customHeight="1"/>
    <row r="1530" ht="19.5" customHeight="1"/>
    <row r="1531" ht="19.5" customHeight="1"/>
    <row r="1532" ht="19.5" customHeight="1"/>
    <row r="1533" ht="19.5" customHeight="1"/>
    <row r="1534" ht="19.5" customHeight="1"/>
    <row r="1535" ht="19.5" customHeight="1"/>
    <row r="1536" ht="19.5" customHeight="1"/>
    <row r="1537" ht="19.5" customHeight="1"/>
    <row r="1538" ht="19.5" customHeight="1"/>
    <row r="1539" ht="19.5" customHeight="1"/>
    <row r="1540" ht="19.5" customHeight="1"/>
    <row r="1541" ht="19.5" customHeight="1"/>
    <row r="1542" ht="19.5" customHeight="1"/>
    <row r="1543" ht="19.5" customHeight="1"/>
    <row r="1544" ht="19.5" customHeight="1"/>
    <row r="1545" ht="19.5" customHeight="1"/>
    <row r="1546" ht="19.5" customHeight="1"/>
    <row r="1547" ht="19.5" customHeight="1"/>
    <row r="1548" ht="19.5" customHeight="1"/>
    <row r="1549" ht="19.5" customHeight="1"/>
    <row r="1550" ht="19.5" customHeight="1"/>
    <row r="1551" ht="19.5" customHeight="1"/>
    <row r="1552" ht="19.5" customHeight="1"/>
    <row r="1553" ht="19.5" customHeight="1"/>
    <row r="1554" ht="19.5" customHeight="1"/>
    <row r="1555" ht="19.5" customHeight="1"/>
    <row r="1556" ht="19.5" customHeight="1"/>
    <row r="1557" ht="19.5" customHeight="1"/>
    <row r="1558" ht="19.5" customHeight="1"/>
    <row r="1559" ht="19.5" customHeight="1"/>
    <row r="1560" ht="19.5" customHeight="1"/>
    <row r="1561" ht="19.5" customHeight="1"/>
    <row r="1562" ht="19.5" customHeight="1"/>
    <row r="1563" ht="19.5" customHeight="1"/>
    <row r="1564" ht="19.5" customHeight="1"/>
    <row r="1565" ht="19.5" customHeight="1"/>
    <row r="1566" ht="19.5" customHeight="1"/>
    <row r="1567" ht="19.5" customHeight="1"/>
    <row r="1568" ht="19.5" customHeight="1"/>
    <row r="1569" ht="19.5" customHeight="1"/>
    <row r="1570" ht="19.5" customHeight="1"/>
    <row r="1571" ht="19.5" customHeight="1"/>
    <row r="1572" ht="19.5" customHeight="1"/>
    <row r="1573" ht="19.5" customHeight="1"/>
    <row r="1574" ht="19.5" customHeight="1"/>
    <row r="1575" ht="19.5" customHeight="1"/>
    <row r="1576" ht="19.5" customHeight="1"/>
    <row r="1577" ht="19.5" customHeight="1"/>
    <row r="1578" ht="19.5" customHeight="1"/>
    <row r="1579" ht="19.5" customHeight="1"/>
    <row r="1580" ht="19.5" customHeight="1"/>
    <row r="1581" ht="19.5" customHeight="1"/>
    <row r="1582" ht="19.5" customHeight="1"/>
    <row r="1583" ht="19.5" customHeight="1"/>
    <row r="1584" ht="19.5" customHeight="1"/>
    <row r="1585" ht="19.5" customHeight="1"/>
    <row r="1586" ht="19.5" customHeight="1"/>
    <row r="1587" ht="19.5" customHeight="1"/>
    <row r="1588" ht="19.5" customHeight="1"/>
    <row r="1589" ht="19.5" customHeight="1"/>
    <row r="1590" ht="19.5" customHeight="1"/>
    <row r="1591" ht="19.5" customHeight="1"/>
    <row r="1592" ht="19.5" customHeight="1"/>
    <row r="1593" ht="19.5" customHeight="1"/>
    <row r="1594" ht="19.5" customHeight="1"/>
    <row r="1595" ht="19.5" customHeight="1"/>
    <row r="1596" ht="19.5" customHeight="1"/>
    <row r="1597" ht="19.5" customHeight="1"/>
    <row r="1598" ht="19.5" customHeight="1"/>
    <row r="1599" ht="19.5" customHeight="1"/>
    <row r="1600" ht="19.5" customHeight="1"/>
    <row r="1601" ht="19.5" customHeight="1"/>
    <row r="1602" ht="19.5" customHeight="1"/>
    <row r="1603" ht="19.5" customHeight="1"/>
    <row r="1604" ht="19.5" customHeight="1"/>
    <row r="1605" ht="19.5" customHeight="1"/>
    <row r="1606" ht="19.5" customHeight="1"/>
    <row r="1607" ht="19.5" customHeight="1"/>
    <row r="1608" ht="19.5" customHeight="1"/>
    <row r="1609" ht="19.5" customHeight="1"/>
    <row r="1610" ht="19.5" customHeight="1"/>
    <row r="1611" ht="19.5" customHeight="1"/>
    <row r="1612" ht="19.5" customHeight="1"/>
    <row r="1613" ht="19.5" customHeight="1"/>
    <row r="1614" ht="19.5" customHeight="1"/>
    <row r="1615" ht="19.5" customHeight="1"/>
    <row r="1616" ht="19.5" customHeight="1"/>
    <row r="1617" ht="19.5" customHeight="1"/>
    <row r="1618" ht="19.5" customHeight="1"/>
    <row r="1619" ht="19.5" customHeight="1"/>
    <row r="1620" ht="19.5" customHeight="1"/>
    <row r="1621" ht="19.5" customHeight="1"/>
    <row r="1622" ht="19.5" customHeight="1"/>
    <row r="1623" ht="19.5" customHeight="1"/>
    <row r="1624" ht="19.5" customHeight="1"/>
    <row r="1625" ht="19.5" customHeight="1"/>
    <row r="1626" ht="19.5" customHeight="1"/>
    <row r="1627" ht="19.5" customHeight="1"/>
    <row r="1628" ht="19.5" customHeight="1"/>
    <row r="1629" ht="19.5" customHeight="1"/>
    <row r="1630" ht="19.5" customHeight="1"/>
    <row r="1631" ht="19.5" customHeight="1"/>
    <row r="1632" ht="19.5" customHeight="1"/>
    <row r="1633" ht="19.5" customHeight="1"/>
    <row r="1634" ht="19.5" customHeight="1"/>
    <row r="1635" ht="19.5" customHeight="1"/>
    <row r="1636" ht="19.5" customHeight="1"/>
    <row r="1637" ht="19.5" customHeight="1"/>
    <row r="1638" ht="19.5" customHeight="1"/>
    <row r="1639" ht="19.5" customHeight="1"/>
    <row r="1640" ht="19.5" customHeight="1"/>
    <row r="1641" ht="19.5" customHeight="1"/>
    <row r="1642" ht="19.5" customHeight="1"/>
    <row r="1643" ht="19.5" customHeight="1"/>
    <row r="1644" ht="19.5" customHeight="1"/>
    <row r="1645" ht="19.5" customHeight="1"/>
    <row r="1646" ht="19.5" customHeight="1"/>
    <row r="1647" ht="19.5" customHeight="1"/>
    <row r="1648" ht="19.5" customHeight="1"/>
    <row r="1649" ht="19.5" customHeight="1"/>
    <row r="1650" ht="19.5" customHeight="1"/>
    <row r="1651" ht="19.5" customHeight="1"/>
    <row r="1652" ht="19.5" customHeight="1"/>
    <row r="1653" ht="19.5" customHeight="1"/>
    <row r="1654" ht="19.5" customHeight="1"/>
    <row r="1655" ht="19.5" customHeight="1"/>
    <row r="1656" ht="19.5" customHeight="1"/>
    <row r="1657" ht="19.5" customHeight="1"/>
    <row r="1658" ht="19.5" customHeight="1"/>
    <row r="1659" ht="19.5" customHeight="1"/>
    <row r="1660" ht="19.5" customHeight="1"/>
    <row r="1661" ht="19.5" customHeight="1"/>
    <row r="1662" ht="19.5" customHeight="1"/>
    <row r="1663" ht="19.5" customHeight="1"/>
    <row r="1664" ht="19.5" customHeight="1"/>
    <row r="1665" ht="19.5" customHeight="1"/>
    <row r="1666" ht="19.5" customHeight="1"/>
    <row r="1667" ht="19.5" customHeight="1"/>
    <row r="1668" ht="19.5" customHeight="1"/>
    <row r="1669" ht="19.5" customHeight="1"/>
    <row r="1670" ht="19.5" customHeight="1"/>
    <row r="1671" ht="19.5" customHeight="1"/>
    <row r="1672" ht="19.5" customHeight="1"/>
    <row r="1673" ht="19.5" customHeight="1"/>
    <row r="1674" ht="19.5" customHeight="1"/>
    <row r="1675" ht="19.5" customHeight="1"/>
    <row r="1676" ht="19.5" customHeight="1"/>
    <row r="1677" ht="19.5" customHeight="1"/>
    <row r="1678" ht="19.5" customHeight="1"/>
    <row r="1679" ht="19.5" customHeight="1"/>
    <row r="1680" ht="19.5" customHeight="1"/>
    <row r="1681" ht="19.5" customHeight="1"/>
    <row r="1682" ht="19.5" customHeight="1"/>
    <row r="1683" ht="19.5" customHeight="1"/>
    <row r="1684" ht="19.5" customHeight="1"/>
    <row r="1685" ht="19.5" customHeight="1"/>
    <row r="1686" ht="19.5" customHeight="1"/>
    <row r="1687" ht="19.5" customHeight="1"/>
    <row r="1688" ht="19.5" customHeight="1"/>
    <row r="1689" ht="19.5" customHeight="1"/>
    <row r="1690" ht="19.5" customHeight="1"/>
    <row r="1691" ht="19.5" customHeight="1"/>
    <row r="1692" ht="19.5" customHeight="1"/>
    <row r="1693" ht="19.5" customHeight="1"/>
    <row r="1694" ht="19.5" customHeight="1"/>
    <row r="1695" ht="19.5" customHeight="1"/>
    <row r="1696" ht="19.5" customHeight="1"/>
    <row r="1697" ht="19.5" customHeight="1"/>
    <row r="1698" ht="19.5" customHeight="1"/>
    <row r="1699" ht="19.5" customHeight="1"/>
    <row r="1700" ht="19.5" customHeight="1"/>
    <row r="1701" ht="19.5" customHeight="1"/>
    <row r="1702" ht="19.5" customHeight="1"/>
    <row r="1703" ht="19.5" customHeight="1"/>
    <row r="1704" ht="19.5" customHeight="1"/>
    <row r="1705" ht="19.5" customHeight="1"/>
    <row r="1706" ht="19.5" customHeight="1"/>
    <row r="1707" ht="19.5" customHeight="1"/>
    <row r="1708" ht="19.5" customHeight="1"/>
    <row r="1709" ht="19.5" customHeight="1"/>
    <row r="1710" ht="19.5" customHeight="1"/>
    <row r="1711" ht="19.5" customHeight="1"/>
    <row r="1712" ht="19.5" customHeight="1"/>
    <row r="1713" ht="19.5" customHeight="1"/>
    <row r="1714" ht="19.5" customHeight="1"/>
    <row r="1715" ht="19.5" customHeight="1"/>
    <row r="1716" ht="19.5" customHeight="1"/>
    <row r="1717" ht="19.5" customHeight="1"/>
    <row r="1718" ht="19.5" customHeight="1"/>
    <row r="1719" ht="19.5" customHeight="1"/>
    <row r="1720" ht="19.5" customHeight="1"/>
    <row r="1721" ht="19.5" customHeight="1"/>
    <row r="1722" ht="19.5" customHeight="1"/>
    <row r="1723" ht="19.5" customHeight="1"/>
    <row r="1724" ht="19.5" customHeight="1"/>
    <row r="1725" ht="19.5" customHeight="1"/>
    <row r="1726" ht="19.5" customHeight="1"/>
    <row r="1727" ht="19.5" customHeight="1"/>
    <row r="1728" ht="19.5" customHeight="1"/>
    <row r="1729" ht="19.5" customHeight="1"/>
    <row r="1730" ht="19.5" customHeight="1"/>
    <row r="1731" ht="19.5" customHeight="1"/>
    <row r="1732" ht="19.5" customHeight="1"/>
    <row r="1733" ht="19.5" customHeight="1"/>
    <row r="1734" ht="19.5" customHeight="1"/>
    <row r="1735" ht="19.5" customHeight="1"/>
    <row r="1736" ht="19.5" customHeight="1"/>
    <row r="1737" ht="19.5" customHeight="1"/>
    <row r="1738" ht="19.5" customHeight="1"/>
    <row r="1739" ht="19.5" customHeight="1"/>
    <row r="1740" ht="19.5" customHeight="1"/>
    <row r="1741" ht="19.5" customHeight="1"/>
    <row r="1742" ht="19.5" customHeight="1"/>
    <row r="1743" ht="19.5" customHeight="1"/>
    <row r="1744" ht="19.5" customHeight="1"/>
    <row r="1745" ht="19.5" customHeight="1"/>
    <row r="1746" ht="19.5" customHeight="1"/>
    <row r="1747" ht="19.5" customHeight="1"/>
    <row r="1748" ht="19.5" customHeight="1"/>
    <row r="1749" ht="19.5" customHeight="1"/>
    <row r="1750" ht="19.5" customHeight="1"/>
    <row r="1751" ht="19.5" customHeight="1"/>
    <row r="1752" ht="19.5" customHeight="1"/>
    <row r="1753" ht="19.5" customHeight="1"/>
    <row r="1754" ht="19.5" customHeight="1"/>
    <row r="1755" ht="19.5" customHeight="1"/>
    <row r="1756" ht="19.5" customHeight="1"/>
    <row r="1757" ht="19.5" customHeight="1"/>
    <row r="1758" ht="19.5" customHeight="1"/>
    <row r="1759" ht="19.5" customHeight="1"/>
    <row r="1760" ht="19.5" customHeight="1"/>
    <row r="1761" ht="19.5" customHeight="1"/>
    <row r="1762" ht="19.5" customHeight="1"/>
    <row r="1763" ht="19.5" customHeight="1"/>
    <row r="1764" ht="19.5" customHeight="1"/>
    <row r="1765" ht="19.5" customHeight="1"/>
    <row r="1766" ht="19.5" customHeight="1"/>
    <row r="1767" ht="19.5" customHeight="1"/>
    <row r="1768" ht="19.5" customHeight="1"/>
    <row r="1769" ht="19.5" customHeight="1"/>
    <row r="1770" ht="19.5" customHeight="1"/>
    <row r="1771" ht="19.5" customHeight="1"/>
    <row r="1772" ht="19.5" customHeight="1"/>
    <row r="1773" ht="19.5" customHeight="1"/>
    <row r="1774" ht="19.5" customHeight="1"/>
    <row r="1775" ht="19.5" customHeight="1"/>
    <row r="1776" ht="19.5" customHeight="1"/>
    <row r="1777" ht="19.5" customHeight="1"/>
    <row r="1778" ht="19.5" customHeight="1"/>
    <row r="1779" ht="19.5" customHeight="1"/>
    <row r="1780" ht="19.5" customHeight="1"/>
    <row r="1781" ht="19.5" customHeight="1"/>
    <row r="1782" ht="19.5" customHeight="1"/>
    <row r="1783" ht="19.5" customHeight="1"/>
    <row r="1784" ht="19.5" customHeight="1"/>
    <row r="1785" ht="19.5" customHeight="1"/>
    <row r="1786" ht="19.5" customHeight="1"/>
    <row r="1787" ht="19.5" customHeight="1"/>
    <row r="1788" ht="19.5" customHeight="1"/>
    <row r="1789" ht="19.5" customHeight="1"/>
    <row r="1790" ht="19.5" customHeight="1"/>
    <row r="1791" ht="19.5" customHeight="1"/>
    <row r="1792" ht="19.5" customHeight="1"/>
    <row r="1793" ht="19.5" customHeight="1"/>
    <row r="1794" ht="19.5" customHeight="1"/>
    <row r="1795" ht="19.5" customHeight="1"/>
    <row r="1796" ht="19.5" customHeight="1"/>
    <row r="1797" ht="19.5" customHeight="1"/>
    <row r="1798" ht="19.5" customHeight="1"/>
    <row r="1799" ht="19.5" customHeight="1"/>
    <row r="1800" ht="19.5" customHeight="1"/>
    <row r="1801" ht="19.5" customHeight="1"/>
    <row r="1802" ht="19.5" customHeight="1"/>
    <row r="1803" ht="19.5" customHeight="1"/>
    <row r="1804" ht="19.5" customHeight="1"/>
    <row r="1805" ht="19.5" customHeight="1"/>
    <row r="1806" ht="19.5" customHeight="1"/>
    <row r="1807" ht="19.5" customHeight="1"/>
    <row r="1808" ht="19.5" customHeight="1"/>
    <row r="1809" ht="19.5" customHeight="1"/>
    <row r="1810" ht="19.5" customHeight="1"/>
    <row r="1811" ht="19.5" customHeight="1"/>
    <row r="1812" ht="19.5" customHeight="1"/>
    <row r="1813" ht="19.5" customHeight="1"/>
    <row r="1814" ht="19.5" customHeight="1"/>
    <row r="1815" ht="19.5" customHeight="1"/>
    <row r="1816" ht="19.5" customHeight="1"/>
    <row r="1817" ht="19.5" customHeight="1"/>
    <row r="1818" ht="19.5" customHeight="1"/>
    <row r="1819" ht="19.5" customHeight="1"/>
    <row r="1820" ht="19.5" customHeight="1"/>
    <row r="1821" ht="19.5" customHeight="1"/>
    <row r="1822" ht="19.5" customHeight="1"/>
    <row r="1823" ht="19.5" customHeight="1"/>
    <row r="1824" ht="19.5" customHeight="1"/>
    <row r="1825" ht="19.5" customHeight="1"/>
    <row r="1826" ht="19.5" customHeight="1"/>
    <row r="1827" ht="19.5" customHeight="1"/>
    <row r="1828" ht="19.5" customHeight="1"/>
    <row r="1829" ht="19.5" customHeight="1"/>
    <row r="1830" ht="19.5" customHeight="1"/>
    <row r="1831" ht="19.5" customHeight="1"/>
    <row r="1832" ht="19.5" customHeight="1"/>
    <row r="1833" ht="19.5" customHeight="1"/>
    <row r="1834" ht="19.5" customHeight="1"/>
    <row r="1835" ht="19.5" customHeight="1"/>
    <row r="1836" ht="19.5" customHeight="1"/>
    <row r="1837" ht="19.5" customHeight="1"/>
    <row r="1838" ht="19.5" customHeight="1"/>
    <row r="1839" ht="19.5" customHeight="1"/>
    <row r="1840" ht="19.5" customHeight="1"/>
    <row r="1841" ht="19.5" customHeight="1"/>
    <row r="1842" ht="19.5" customHeight="1"/>
    <row r="1843" ht="19.5" customHeight="1"/>
    <row r="1844" ht="19.5" customHeight="1"/>
    <row r="1845" ht="19.5" customHeight="1"/>
    <row r="1846" ht="19.5" customHeight="1"/>
    <row r="1847" ht="19.5" customHeight="1"/>
    <row r="1848" ht="19.5" customHeight="1"/>
    <row r="1849" ht="19.5" customHeight="1"/>
    <row r="1850" ht="19.5" customHeight="1"/>
    <row r="1851" ht="19.5" customHeight="1"/>
    <row r="1852" ht="19.5" customHeight="1"/>
    <row r="1853" ht="19.5" customHeight="1"/>
    <row r="1854" ht="19.5" customHeight="1"/>
    <row r="1855" ht="19.5" customHeight="1"/>
    <row r="1856" ht="19.5" customHeight="1"/>
    <row r="1857" ht="19.5" customHeight="1"/>
    <row r="1858" ht="19.5" customHeight="1"/>
    <row r="1859" ht="19.5" customHeight="1"/>
    <row r="1860" ht="19.5" customHeight="1"/>
    <row r="1861" ht="19.5" customHeight="1"/>
    <row r="1862" ht="19.5" customHeight="1"/>
    <row r="1863" ht="19.5" customHeight="1"/>
    <row r="1864" ht="19.5" customHeight="1"/>
    <row r="1865" ht="19.5" customHeight="1"/>
    <row r="1866" ht="19.5" customHeight="1"/>
    <row r="1867" ht="19.5" customHeight="1"/>
    <row r="1868" ht="19.5" customHeight="1"/>
    <row r="1869" ht="19.5" customHeight="1"/>
    <row r="1870" ht="19.5" customHeight="1"/>
    <row r="1871" ht="19.5" customHeight="1"/>
    <row r="1872" ht="19.5" customHeight="1"/>
    <row r="1873" ht="19.5" customHeight="1"/>
    <row r="1874" ht="19.5" customHeight="1"/>
    <row r="1875" ht="19.5" customHeight="1"/>
    <row r="1876" ht="19.5" customHeight="1"/>
    <row r="1877" ht="19.5" customHeight="1"/>
    <row r="1878" ht="19.5" customHeight="1"/>
    <row r="1879" ht="19.5" customHeight="1"/>
    <row r="1880" ht="19.5" customHeight="1"/>
    <row r="1881" ht="19.5" customHeight="1"/>
    <row r="1882" ht="19.5" customHeight="1"/>
    <row r="1883" ht="19.5" customHeight="1"/>
    <row r="1884" ht="19.5" customHeight="1"/>
    <row r="1885" ht="19.5" customHeight="1"/>
    <row r="1886" ht="19.5" customHeight="1"/>
    <row r="1887" ht="19.5" customHeight="1"/>
    <row r="1888" ht="19.5" customHeight="1"/>
    <row r="1889" ht="19.5" customHeight="1"/>
    <row r="1890" ht="19.5" customHeight="1"/>
    <row r="1891" ht="19.5" customHeight="1"/>
    <row r="1892" ht="19.5" customHeight="1"/>
    <row r="1893" ht="19.5" customHeight="1"/>
    <row r="1894" ht="19.5" customHeight="1"/>
    <row r="1895" ht="19.5" customHeight="1"/>
    <row r="1896" ht="19.5" customHeight="1"/>
    <row r="1897" ht="19.5" customHeight="1"/>
    <row r="1898" ht="19.5" customHeight="1"/>
    <row r="1899" ht="19.5" customHeight="1"/>
    <row r="1900" ht="19.5" customHeight="1"/>
    <row r="1901" ht="19.5" customHeight="1"/>
    <row r="1902" ht="19.5" customHeight="1"/>
    <row r="1903" ht="19.5" customHeight="1"/>
    <row r="1904" ht="19.5" customHeight="1"/>
    <row r="1905" ht="19.5" customHeight="1"/>
    <row r="1906" ht="19.5" customHeight="1"/>
    <row r="1907" ht="19.5" customHeight="1"/>
    <row r="1908" ht="19.5" customHeight="1"/>
    <row r="1909" ht="19.5" customHeight="1"/>
    <row r="1910" ht="19.5" customHeight="1"/>
    <row r="1911" ht="19.5" customHeight="1"/>
    <row r="1912" ht="19.5" customHeight="1"/>
    <row r="1913" ht="19.5" customHeight="1"/>
    <row r="1914" ht="19.5" customHeight="1"/>
    <row r="1915" ht="19.5" customHeight="1"/>
    <row r="1916" ht="19.5" customHeight="1"/>
    <row r="1917" ht="19.5" customHeight="1"/>
    <row r="1918" ht="19.5" customHeight="1"/>
    <row r="1919" ht="19.5" customHeight="1"/>
    <row r="1920" ht="19.5" customHeight="1"/>
    <row r="1921" ht="19.5" customHeight="1"/>
    <row r="1922" ht="19.5" customHeight="1"/>
    <row r="1923" ht="19.5" customHeight="1"/>
    <row r="1924" ht="19.5" customHeight="1"/>
    <row r="1925" ht="19.5" customHeight="1"/>
    <row r="1926" ht="19.5" customHeight="1"/>
    <row r="1927" ht="19.5" customHeight="1"/>
    <row r="1928" ht="19.5" customHeight="1"/>
    <row r="1929" ht="19.5" customHeight="1"/>
    <row r="1930" ht="19.5" customHeight="1"/>
    <row r="1931" ht="19.5" customHeight="1"/>
    <row r="1932" ht="19.5" customHeight="1"/>
    <row r="1933" ht="19.5" customHeight="1"/>
    <row r="1934" ht="19.5" customHeight="1"/>
    <row r="1935" ht="19.5" customHeight="1"/>
    <row r="1936" ht="19.5" customHeight="1"/>
    <row r="1937" ht="19.5" customHeight="1"/>
    <row r="1938" ht="19.5" customHeight="1"/>
    <row r="1939" ht="19.5" customHeight="1"/>
    <row r="1940" ht="19.5" customHeight="1"/>
    <row r="1941" ht="19.5" customHeight="1"/>
    <row r="1942" ht="19.5" customHeight="1"/>
    <row r="1943" ht="19.5" customHeight="1"/>
    <row r="1944" ht="19.5" customHeight="1"/>
    <row r="1945" ht="19.5" customHeight="1"/>
    <row r="1946" ht="19.5" customHeight="1"/>
    <row r="1947" ht="19.5" customHeight="1"/>
    <row r="1948" ht="19.5" customHeight="1"/>
    <row r="1949" ht="19.5" customHeight="1"/>
    <row r="1950" ht="19.5" customHeight="1"/>
    <row r="1951" ht="19.5" customHeight="1"/>
    <row r="1952" ht="19.5" customHeight="1"/>
    <row r="1953" ht="19.5" customHeight="1"/>
    <row r="1954" ht="19.5" customHeight="1"/>
    <row r="1955" ht="19.5" customHeight="1"/>
    <row r="1956" ht="19.5" customHeight="1"/>
    <row r="1957" ht="19.5" customHeight="1"/>
    <row r="1958" ht="19.5" customHeight="1"/>
    <row r="1959" ht="19.5" customHeight="1"/>
    <row r="1960" ht="19.5" customHeight="1"/>
    <row r="1961" ht="19.5" customHeight="1"/>
    <row r="1962" ht="19.5" customHeight="1"/>
    <row r="1963" ht="19.5" customHeight="1"/>
    <row r="1964" ht="19.5" customHeight="1"/>
    <row r="1965" ht="19.5" customHeight="1"/>
    <row r="1966" ht="19.5" customHeight="1"/>
    <row r="1967" ht="19.5" customHeight="1"/>
    <row r="1968" ht="19.5" customHeight="1"/>
    <row r="1969" ht="19.5" customHeight="1"/>
    <row r="1970" ht="19.5" customHeight="1"/>
    <row r="1971" ht="19.5" customHeight="1"/>
    <row r="1972" ht="19.5" customHeight="1"/>
    <row r="1973" ht="19.5" customHeight="1"/>
    <row r="1974" ht="19.5" customHeight="1"/>
    <row r="1975" ht="19.5" customHeight="1"/>
    <row r="1976" ht="19.5" customHeight="1"/>
    <row r="1977" ht="19.5" customHeight="1"/>
    <row r="1978" ht="19.5" customHeight="1"/>
    <row r="1979" ht="19.5" customHeight="1"/>
    <row r="1980" ht="19.5" customHeight="1"/>
    <row r="1981" ht="19.5" customHeight="1"/>
    <row r="1982" ht="19.5" customHeight="1"/>
    <row r="1983" ht="19.5" customHeight="1"/>
    <row r="1984" ht="19.5" customHeight="1"/>
    <row r="1985" ht="19.5" customHeight="1"/>
    <row r="1986" ht="19.5" customHeight="1"/>
    <row r="1987" ht="19.5" customHeight="1"/>
    <row r="1988" ht="19.5" customHeight="1"/>
    <row r="1989" ht="19.5" customHeight="1"/>
    <row r="1990" ht="19.5" customHeight="1"/>
    <row r="1991" ht="19.5" customHeight="1"/>
    <row r="1992" ht="19.5" customHeight="1"/>
    <row r="1993" ht="19.5" customHeight="1"/>
    <row r="1994" ht="19.5" customHeight="1"/>
    <row r="1995" ht="19.5" customHeight="1"/>
    <row r="1996" ht="19.5" customHeight="1"/>
    <row r="1997" ht="19.5" customHeight="1"/>
    <row r="1998" ht="19.5" customHeight="1"/>
    <row r="1999" ht="19.5" customHeight="1"/>
    <row r="2000" ht="19.5" customHeight="1"/>
    <row r="2001" ht="19.5" customHeight="1"/>
    <row r="2002" ht="19.5" customHeight="1"/>
    <row r="2003" ht="19.5" customHeight="1"/>
    <row r="2004" ht="19.5" customHeight="1"/>
    <row r="2005" ht="19.5" customHeight="1"/>
    <row r="2006" ht="19.5" customHeight="1"/>
    <row r="2007" ht="19.5" customHeight="1"/>
    <row r="2008" ht="19.5" customHeight="1"/>
    <row r="2009" ht="19.5" customHeight="1"/>
    <row r="2010" ht="19.5" customHeight="1"/>
    <row r="2011" ht="19.5" customHeight="1"/>
    <row r="2012" ht="19.5" customHeight="1"/>
    <row r="2013" ht="19.5" customHeight="1"/>
    <row r="2014" ht="19.5" customHeight="1"/>
    <row r="2015" ht="19.5" customHeight="1"/>
    <row r="2016" ht="19.5" customHeight="1"/>
    <row r="2017" ht="19.5" customHeight="1"/>
    <row r="2018" ht="19.5" customHeight="1"/>
    <row r="2019" ht="19.5" customHeight="1"/>
    <row r="2020" ht="19.5" customHeight="1"/>
    <row r="2021" ht="19.5" customHeight="1"/>
    <row r="2022" ht="19.5" customHeight="1"/>
    <row r="2023" ht="19.5" customHeight="1"/>
    <row r="2024" ht="19.5" customHeight="1"/>
    <row r="2025" ht="19.5" customHeight="1"/>
    <row r="2026" ht="19.5" customHeight="1"/>
    <row r="2027" ht="19.5" customHeight="1"/>
    <row r="2028" ht="19.5" customHeight="1"/>
    <row r="2029" ht="19.5" customHeight="1"/>
    <row r="2030" ht="19.5" customHeight="1"/>
    <row r="2031" ht="19.5" customHeight="1"/>
    <row r="2032" ht="19.5" customHeight="1"/>
  </sheetData>
  <sheetProtection formatCells="0" formatColumns="0" formatRows="0"/>
  <mergeCells count="3">
    <mergeCell ref="A1:G1"/>
    <mergeCell ref="B2:G2"/>
    <mergeCell ref="A240:G240"/>
  </mergeCells>
  <phoneticPr fontId="1" type="noConversion"/>
  <pageMargins left="1.35" right="0.35433070866141736" top="0.62992125984251968" bottom="0.59055118110236227" header="0.31496062992125984" footer="0.31496062992125984"/>
  <pageSetup paperSize="9" orientation="landscape" verticalDpi="4294967293" r:id="rId1"/>
  <headerFooter alignWithMargins="0">
    <oddFooter>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部门预算汇总表（单位汇总）</vt:lpstr>
      <vt:lpstr>'部门预算汇总表（单位汇总）'!Print_Titles</vt:lpstr>
    </vt:vector>
  </TitlesOfParts>
  <Company>微软中国</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微软中国</dc:creator>
  <cp:lastModifiedBy>PTGC</cp:lastModifiedBy>
  <cp:lastPrinted>2016-01-27T03:34:25Z</cp:lastPrinted>
  <dcterms:created xsi:type="dcterms:W3CDTF">2014-10-28T03:00:17Z</dcterms:created>
  <dcterms:modified xsi:type="dcterms:W3CDTF">2016-01-27T09:07:43Z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ID">
    <vt:i4>2426742</vt:i4>
  </property>
</Properties>
</file>