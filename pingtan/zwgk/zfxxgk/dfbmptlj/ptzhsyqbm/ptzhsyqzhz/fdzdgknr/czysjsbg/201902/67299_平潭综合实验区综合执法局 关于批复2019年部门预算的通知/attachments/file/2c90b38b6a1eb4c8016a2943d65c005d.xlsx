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Q27" i="1"/>
  <c r="E27" s="1"/>
  <c r="Q26"/>
  <c r="E26" s="1"/>
  <c r="Q25"/>
  <c r="E25" s="1"/>
  <c r="Q24"/>
  <c r="E24" s="1"/>
  <c r="Q23"/>
  <c r="E23" s="1"/>
  <c r="Q22"/>
  <c r="E22" s="1"/>
  <c r="Q21"/>
  <c r="E21" s="1"/>
  <c r="Q20"/>
  <c r="E20" s="1"/>
  <c r="Q19"/>
  <c r="E19" s="1"/>
  <c r="Q18"/>
  <c r="E18" s="1"/>
  <c r="Q17"/>
  <c r="E17" s="1"/>
  <c r="Q16"/>
  <c r="E16" s="1"/>
  <c r="Q15"/>
  <c r="E15" s="1"/>
  <c r="Q14"/>
  <c r="E14" s="1"/>
  <c r="Q13"/>
  <c r="E13" s="1"/>
  <c r="Q12"/>
  <c r="E12" s="1"/>
  <c r="Q11"/>
  <c r="E11" s="1"/>
  <c r="Q10"/>
  <c r="E10" s="1"/>
  <c r="Q9"/>
  <c r="E9" s="1"/>
  <c r="Q8"/>
  <c r="E8" s="1"/>
  <c r="Q7"/>
  <c r="E7" s="1"/>
</calcChain>
</file>

<file path=xl/sharedStrings.xml><?xml version="1.0" encoding="utf-8"?>
<sst xmlns="http://schemas.openxmlformats.org/spreadsheetml/2006/main" count="97" uniqueCount="56">
  <si>
    <t>平潭2019年部门预算批复明细表</t>
    <phoneticPr fontId="3" type="noConversion"/>
  </si>
  <si>
    <t>时间：2019年1月13日</t>
    <phoneticPr fontId="3" type="noConversion"/>
  </si>
  <si>
    <t>预算代码</t>
  </si>
  <si>
    <t>单位名称</t>
  </si>
  <si>
    <t>项目名称</t>
  </si>
  <si>
    <t>总计</t>
  </si>
  <si>
    <t>公共财政预算支出小计</t>
  </si>
  <si>
    <t>公共财政预算支出</t>
  </si>
  <si>
    <t>人员经费</t>
  </si>
  <si>
    <t>对个人和家庭的补助支出</t>
  </si>
  <si>
    <t>公用经费</t>
  </si>
  <si>
    <t>合计</t>
  </si>
  <si>
    <t xml:space="preserve">在职人员工资及福利费 </t>
  </si>
  <si>
    <t>住房公积金</t>
  </si>
  <si>
    <t>提租补贴</t>
  </si>
  <si>
    <t>在职人员年金</t>
  </si>
  <si>
    <t>医社保生育失业工伤</t>
  </si>
  <si>
    <t>公务员医疗补助</t>
  </si>
  <si>
    <t>其他各类人员支出</t>
  </si>
  <si>
    <t>离退休（职）人员经费</t>
  </si>
  <si>
    <t>其他对个人和家庭补助支出</t>
  </si>
  <si>
    <t>离退休人员公务费</t>
  </si>
  <si>
    <t>误餐及通讯补贴</t>
  </si>
  <si>
    <t>定额公用经费</t>
  </si>
  <si>
    <t>车辆经费</t>
  </si>
  <si>
    <t>公车改革补贴</t>
  </si>
  <si>
    <t>小岛交通补贴</t>
  </si>
  <si>
    <t>工会经费</t>
  </si>
  <si>
    <t>其他公用支出</t>
  </si>
  <si>
    <t>专项业务费</t>
  </si>
  <si>
    <t>**</t>
  </si>
  <si>
    <t>108007</t>
  </si>
  <si>
    <t>平潭综合实验区交通综合执法支队</t>
  </si>
  <si>
    <t xml:space="preserve">      2140103</t>
  </si>
  <si>
    <t xml:space="preserve">      机关服务</t>
  </si>
  <si>
    <t>综合定额公用经费</t>
  </si>
  <si>
    <t>在职人员地方津补贴(含行业性津贴)</t>
  </si>
  <si>
    <t>医疗保障费</t>
  </si>
  <si>
    <t>在职人员基础性绩效工资</t>
  </si>
  <si>
    <t>专项业务费（执法办案费）</t>
  </si>
  <si>
    <t>一次性奖金</t>
  </si>
  <si>
    <t>平安综治奖</t>
  </si>
  <si>
    <t>在职人员生育保险</t>
  </si>
  <si>
    <t>在职人员工伤保险</t>
  </si>
  <si>
    <t>防暑降温费</t>
  </si>
  <si>
    <t>在职人员养老保险</t>
  </si>
  <si>
    <t>其他人员经费</t>
  </si>
  <si>
    <t>建设绩效奖</t>
  </si>
  <si>
    <t>基本工资</t>
  </si>
  <si>
    <t>在职人员医疗保险</t>
  </si>
  <si>
    <t xml:space="preserve">      2210202</t>
  </si>
  <si>
    <t xml:space="preserve">      提租补贴</t>
  </si>
  <si>
    <t>在职人员改革性补贴（提租补贴）</t>
  </si>
  <si>
    <t xml:space="preserve">      2210201</t>
  </si>
  <si>
    <t xml:space="preserve">      住房公积金</t>
  </si>
  <si>
    <t>在职人员住房公积金</t>
  </si>
</sst>
</file>

<file path=xl/styles.xml><?xml version="1.0" encoding="utf-8"?>
<styleSheet xmlns="http://schemas.openxmlformats.org/spreadsheetml/2006/main">
  <numFmts count="1">
    <numFmt numFmtId="176" formatCode="0.00_);\(0.00\)"/>
  </numFmts>
  <fonts count="7">
    <font>
      <sz val="11"/>
      <color theme="1"/>
      <name val="宋体"/>
      <family val="2"/>
      <charset val="134"/>
      <scheme val="minor"/>
    </font>
    <font>
      <b/>
      <sz val="20"/>
      <color indexed="8"/>
      <name val="宋体"/>
      <charset val="134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Continuous" vertical="center"/>
    </xf>
    <xf numFmtId="0" fontId="5" fillId="0" borderId="0" xfId="0" applyFont="1">
      <alignment vertical="center"/>
    </xf>
    <xf numFmtId="0" fontId="0" fillId="0" borderId="4" xfId="0" applyFont="1" applyBorder="1" applyAlignment="1">
      <alignment horizontal="centerContinuous" vertical="center" wrapText="1"/>
    </xf>
    <xf numFmtId="0" fontId="0" fillId="0" borderId="5" xfId="0" applyFont="1" applyBorder="1" applyAlignment="1">
      <alignment horizontal="centerContinuous" vertical="center" wrapText="1"/>
    </xf>
    <xf numFmtId="0" fontId="0" fillId="0" borderId="8" xfId="0" applyBorder="1" applyAlignment="1">
      <alignment horizontal="centerContinuous" vertical="center" wrapText="1"/>
    </xf>
    <xf numFmtId="0" fontId="0" fillId="0" borderId="9" xfId="0" applyBorder="1" applyAlignment="1">
      <alignment horizontal="centerContinuous" vertical="center" wrapText="1"/>
    </xf>
    <xf numFmtId="0" fontId="0" fillId="0" borderId="10" xfId="0" applyBorder="1" applyAlignment="1">
      <alignment horizontal="centerContinuous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3" xfId="0" applyNumberFormat="1" applyFill="1" applyBorder="1" applyAlignment="1">
      <alignment horizontal="left" vertical="center"/>
    </xf>
    <xf numFmtId="0" fontId="0" fillId="0" borderId="13" xfId="0" applyNumberFormat="1" applyFill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13" xfId="0" applyNumberFormat="1" applyFont="1" applyFill="1" applyBorder="1" applyAlignment="1">
      <alignment horizontal="right" vertical="center"/>
    </xf>
    <xf numFmtId="49" fontId="0" fillId="2" borderId="13" xfId="0" applyNumberFormat="1" applyFill="1" applyBorder="1" applyAlignment="1">
      <alignment horizontal="left" vertical="center"/>
    </xf>
    <xf numFmtId="0" fontId="0" fillId="2" borderId="13" xfId="0" applyNumberFormat="1" applyFill="1" applyBorder="1" applyAlignment="1">
      <alignment horizontal="left" vertical="center"/>
    </xf>
    <xf numFmtId="176" fontId="6" fillId="2" borderId="14" xfId="0" applyNumberFormat="1" applyFont="1" applyFill="1" applyBorder="1" applyAlignment="1">
      <alignment horizontal="right" vertical="center"/>
    </xf>
    <xf numFmtId="176" fontId="6" fillId="2" borderId="13" xfId="0" applyNumberFormat="1" applyFont="1" applyFill="1" applyBorder="1" applyAlignment="1">
      <alignment horizontal="right" vertical="center"/>
    </xf>
    <xf numFmtId="0" fontId="0" fillId="2" borderId="0" xfId="0" applyFill="1">
      <alignment vertical="center"/>
    </xf>
    <xf numFmtId="0" fontId="0" fillId="0" borderId="14" xfId="0" applyFont="1" applyBorder="1" applyAlignment="1">
      <alignment horizontal="centerContinuous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>
      <selection activeCell="P5" sqref="P5"/>
    </sheetView>
  </sheetViews>
  <sheetFormatPr defaultRowHeight="13.5"/>
  <cols>
    <col min="1" max="1" width="13.625" customWidth="1"/>
    <col min="2" max="2" width="14.375" customWidth="1"/>
    <col min="3" max="3" width="30.5" customWidth="1"/>
    <col min="4" max="4" width="7.5" customWidth="1"/>
    <col min="5" max="5" width="8" customWidth="1"/>
    <col min="6" max="7" width="7.25" customWidth="1"/>
    <col min="8" max="8" width="6" customWidth="1"/>
    <col min="9" max="9" width="5.5" customWidth="1"/>
    <col min="10" max="10" width="5.375" customWidth="1"/>
    <col min="11" max="11" width="6.375" customWidth="1"/>
    <col min="12" max="12" width="5.625" customWidth="1"/>
    <col min="13" max="13" width="6.375" customWidth="1"/>
    <col min="14" max="14" width="5.625" customWidth="1"/>
    <col min="15" max="15" width="5.75" customWidth="1"/>
    <col min="16" max="16" width="7.25" customWidth="1"/>
    <col min="17" max="17" width="6.5" customWidth="1"/>
    <col min="18" max="20" width="7.25" customWidth="1"/>
    <col min="21" max="21" width="5.75" customWidth="1"/>
    <col min="22" max="23" width="7.25" customWidth="1"/>
    <col min="24" max="24" width="5.625" customWidth="1"/>
    <col min="25" max="25" width="6.375" customWidth="1"/>
    <col min="26" max="26" width="7" customWidth="1"/>
  </cols>
  <sheetData>
    <row r="1" spans="1:26" ht="3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2" customFormat="1" ht="22.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1" customHeight="1">
      <c r="A3" s="18" t="s">
        <v>2</v>
      </c>
      <c r="B3" s="18" t="s">
        <v>3</v>
      </c>
      <c r="C3" s="21" t="s">
        <v>4</v>
      </c>
      <c r="D3" s="18" t="s">
        <v>5</v>
      </c>
      <c r="E3" s="22" t="s">
        <v>6</v>
      </c>
      <c r="F3" s="3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24" customHeight="1">
      <c r="A4" s="19"/>
      <c r="B4" s="19"/>
      <c r="C4" s="19"/>
      <c r="D4" s="19"/>
      <c r="E4" s="23"/>
      <c r="F4" s="5" t="s">
        <v>8</v>
      </c>
      <c r="G4" s="6"/>
      <c r="H4" s="6"/>
      <c r="I4" s="6"/>
      <c r="J4" s="6"/>
      <c r="K4" s="6"/>
      <c r="L4" s="6"/>
      <c r="M4" s="7"/>
      <c r="N4" s="15" t="s">
        <v>9</v>
      </c>
      <c r="O4" s="16"/>
      <c r="P4" s="16"/>
      <c r="Q4" s="33" t="s">
        <v>10</v>
      </c>
      <c r="R4" s="33"/>
      <c r="S4" s="33"/>
      <c r="T4" s="33"/>
      <c r="U4" s="33"/>
      <c r="V4" s="33"/>
      <c r="W4" s="33"/>
      <c r="X4" s="33"/>
      <c r="Y4" s="33"/>
      <c r="Z4" s="33"/>
    </row>
    <row r="5" spans="1:26" ht="69.75" customHeight="1">
      <c r="A5" s="20"/>
      <c r="B5" s="20"/>
      <c r="C5" s="20"/>
      <c r="D5" s="20"/>
      <c r="E5" s="24"/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  <c r="M5" s="9" t="s">
        <v>18</v>
      </c>
      <c r="N5" s="10" t="s">
        <v>11</v>
      </c>
      <c r="O5" s="10" t="s">
        <v>19</v>
      </c>
      <c r="P5" s="10" t="s">
        <v>20</v>
      </c>
      <c r="Q5" s="10" t="s">
        <v>11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0" t="s">
        <v>26</v>
      </c>
      <c r="X5" s="10" t="s">
        <v>27</v>
      </c>
      <c r="Y5" s="10" t="s">
        <v>28</v>
      </c>
      <c r="Z5" s="10" t="s">
        <v>29</v>
      </c>
    </row>
    <row r="6" spans="1:26" s="12" customFormat="1" ht="13.5" customHeight="1">
      <c r="A6" s="11" t="s">
        <v>30</v>
      </c>
      <c r="B6" s="11" t="s">
        <v>30</v>
      </c>
      <c r="C6" s="11" t="s">
        <v>30</v>
      </c>
      <c r="D6" s="11">
        <v>1</v>
      </c>
      <c r="E6" s="11">
        <v>2</v>
      </c>
      <c r="F6" s="11">
        <v>3</v>
      </c>
      <c r="G6" s="11">
        <v>4</v>
      </c>
      <c r="H6" s="11">
        <v>5</v>
      </c>
      <c r="I6" s="11">
        <v>6</v>
      </c>
      <c r="J6" s="11">
        <v>7</v>
      </c>
      <c r="K6" s="11">
        <v>8</v>
      </c>
      <c r="L6" s="11"/>
      <c r="M6" s="11">
        <v>9</v>
      </c>
      <c r="N6" s="11">
        <v>10</v>
      </c>
      <c r="O6" s="11">
        <v>12</v>
      </c>
      <c r="P6" s="34">
        <v>15</v>
      </c>
      <c r="Q6" s="11">
        <v>16</v>
      </c>
      <c r="R6" s="11"/>
      <c r="S6" s="11">
        <v>17</v>
      </c>
      <c r="T6" s="11">
        <v>18</v>
      </c>
      <c r="U6" s="11">
        <v>19</v>
      </c>
      <c r="V6" s="11">
        <v>21</v>
      </c>
      <c r="W6" s="11">
        <v>22</v>
      </c>
      <c r="X6" s="11">
        <v>23</v>
      </c>
      <c r="Y6" s="11">
        <v>25</v>
      </c>
      <c r="Z6" s="11">
        <v>26</v>
      </c>
    </row>
    <row r="7" spans="1:26" s="31" customFormat="1" ht="19.5" customHeight="1">
      <c r="A7" s="27" t="s">
        <v>31</v>
      </c>
      <c r="B7" s="28" t="s">
        <v>32</v>
      </c>
      <c r="C7" s="27"/>
      <c r="D7" s="29">
        <v>295.14999999999998</v>
      </c>
      <c r="E7" s="30">
        <f>F7+N7+Q7</f>
        <v>295.14999999999998</v>
      </c>
      <c r="F7" s="30">
        <v>260.2</v>
      </c>
      <c r="G7" s="30">
        <v>182.59</v>
      </c>
      <c r="H7" s="30">
        <v>24.18</v>
      </c>
      <c r="I7" s="30">
        <v>0</v>
      </c>
      <c r="J7" s="30">
        <v>0</v>
      </c>
      <c r="K7" s="30">
        <v>32.130000000000003</v>
      </c>
      <c r="L7" s="30">
        <v>7.8</v>
      </c>
      <c r="M7" s="30">
        <v>13.5</v>
      </c>
      <c r="N7" s="29">
        <v>0</v>
      </c>
      <c r="O7" s="29">
        <v>0</v>
      </c>
      <c r="P7" s="29">
        <v>0</v>
      </c>
      <c r="Q7" s="29">
        <f t="shared" ref="Q7:Q27" si="0">SUM(R7:Z7)</f>
        <v>34.950000000000003</v>
      </c>
      <c r="R7" s="29">
        <v>0</v>
      </c>
      <c r="S7" s="29">
        <v>4.95</v>
      </c>
      <c r="T7" s="29">
        <v>12.3</v>
      </c>
      <c r="U7" s="29">
        <v>0</v>
      </c>
      <c r="V7" s="29">
        <v>3.29</v>
      </c>
      <c r="W7" s="29">
        <v>0</v>
      </c>
      <c r="X7" s="29">
        <v>4.41</v>
      </c>
      <c r="Y7" s="29">
        <v>0</v>
      </c>
      <c r="Z7" s="29">
        <v>10</v>
      </c>
    </row>
    <row r="8" spans="1:26" ht="19.5" customHeight="1">
      <c r="A8" s="13" t="s">
        <v>33</v>
      </c>
      <c r="B8" s="14" t="s">
        <v>34</v>
      </c>
      <c r="C8" s="13" t="s">
        <v>25</v>
      </c>
      <c r="D8" s="25">
        <v>3.29</v>
      </c>
      <c r="E8" s="30">
        <f>F8+N8+Q8</f>
        <v>3.29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5">
        <v>0</v>
      </c>
      <c r="O8" s="25">
        <v>0</v>
      </c>
      <c r="P8" s="25">
        <v>0</v>
      </c>
      <c r="Q8" s="25">
        <f t="shared" si="0"/>
        <v>3.29</v>
      </c>
      <c r="R8" s="25">
        <v>0</v>
      </c>
      <c r="S8" s="25">
        <v>0</v>
      </c>
      <c r="T8" s="25">
        <v>0</v>
      </c>
      <c r="U8" s="25">
        <v>0</v>
      </c>
      <c r="V8" s="25">
        <v>3.29</v>
      </c>
      <c r="W8" s="25">
        <v>0</v>
      </c>
      <c r="X8" s="25">
        <v>0</v>
      </c>
      <c r="Y8" s="25">
        <v>0</v>
      </c>
      <c r="Z8" s="25">
        <v>0</v>
      </c>
    </row>
    <row r="9" spans="1:26" ht="19.5" customHeight="1">
      <c r="A9" s="13" t="s">
        <v>33</v>
      </c>
      <c r="B9" s="14" t="s">
        <v>34</v>
      </c>
      <c r="C9" s="13" t="s">
        <v>35</v>
      </c>
      <c r="D9" s="25">
        <v>12.3</v>
      </c>
      <c r="E9" s="30">
        <f>F9+N9+Q9</f>
        <v>12.3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5">
        <v>0</v>
      </c>
      <c r="O9" s="25">
        <v>0</v>
      </c>
      <c r="P9" s="25">
        <v>0</v>
      </c>
      <c r="Q9" s="25">
        <f t="shared" si="0"/>
        <v>12.3</v>
      </c>
      <c r="R9" s="25">
        <v>0</v>
      </c>
      <c r="S9" s="25">
        <v>0</v>
      </c>
      <c r="T9" s="25">
        <v>12.3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</row>
    <row r="10" spans="1:26" ht="19.5" customHeight="1">
      <c r="A10" s="13" t="s">
        <v>33</v>
      </c>
      <c r="B10" s="14" t="s">
        <v>34</v>
      </c>
      <c r="C10" s="13" t="s">
        <v>36</v>
      </c>
      <c r="D10" s="25">
        <v>52.37</v>
      </c>
      <c r="E10" s="30">
        <f>F10+N10+Q10</f>
        <v>52.37</v>
      </c>
      <c r="F10" s="26">
        <v>52.37</v>
      </c>
      <c r="G10" s="26">
        <v>52.37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5">
        <v>0</v>
      </c>
      <c r="O10" s="25">
        <v>0</v>
      </c>
      <c r="P10" s="25">
        <v>0</v>
      </c>
      <c r="Q10" s="25">
        <f t="shared" si="0"/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</row>
    <row r="11" spans="1:26" ht="19.5" customHeight="1">
      <c r="A11" s="13" t="s">
        <v>33</v>
      </c>
      <c r="B11" s="14" t="s">
        <v>34</v>
      </c>
      <c r="C11" s="13" t="s">
        <v>37</v>
      </c>
      <c r="D11" s="25">
        <v>7.8</v>
      </c>
      <c r="E11" s="30">
        <f>F11+N11+Q11</f>
        <v>7.8</v>
      </c>
      <c r="F11" s="26">
        <v>7.8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7.8</v>
      </c>
      <c r="M11" s="26">
        <v>0</v>
      </c>
      <c r="N11" s="25">
        <v>0</v>
      </c>
      <c r="O11" s="25">
        <v>0</v>
      </c>
      <c r="P11" s="25">
        <v>0</v>
      </c>
      <c r="Q11" s="25">
        <f t="shared" si="0"/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</row>
    <row r="12" spans="1:26" ht="19.5" customHeight="1">
      <c r="A12" s="13" t="s">
        <v>33</v>
      </c>
      <c r="B12" s="14" t="s">
        <v>34</v>
      </c>
      <c r="C12" s="13" t="s">
        <v>22</v>
      </c>
      <c r="D12" s="25">
        <v>4.95</v>
      </c>
      <c r="E12" s="30">
        <f>F12+N12+Q12</f>
        <v>4.95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5">
        <v>0</v>
      </c>
      <c r="O12" s="25">
        <v>0</v>
      </c>
      <c r="P12" s="25">
        <v>0</v>
      </c>
      <c r="Q12" s="25">
        <f t="shared" si="0"/>
        <v>4.95</v>
      </c>
      <c r="R12" s="25">
        <v>0</v>
      </c>
      <c r="S12" s="25">
        <v>4.95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</row>
    <row r="13" spans="1:26" ht="19.5" customHeight="1">
      <c r="A13" s="13" t="s">
        <v>33</v>
      </c>
      <c r="B13" s="14" t="s">
        <v>34</v>
      </c>
      <c r="C13" s="13" t="s">
        <v>38</v>
      </c>
      <c r="D13" s="25">
        <v>5.69</v>
      </c>
      <c r="E13" s="30">
        <f>F13+N13+Q13</f>
        <v>5.69</v>
      </c>
      <c r="F13" s="26">
        <v>5.69</v>
      </c>
      <c r="G13" s="26">
        <v>5.69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5">
        <v>0</v>
      </c>
      <c r="O13" s="25">
        <v>0</v>
      </c>
      <c r="P13" s="25">
        <v>0</v>
      </c>
      <c r="Q13" s="25">
        <f t="shared" si="0"/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</row>
    <row r="14" spans="1:26" ht="19.5" customHeight="1">
      <c r="A14" s="13" t="s">
        <v>33</v>
      </c>
      <c r="B14" s="14" t="s">
        <v>34</v>
      </c>
      <c r="C14" s="13" t="s">
        <v>39</v>
      </c>
      <c r="D14" s="25">
        <v>10</v>
      </c>
      <c r="E14" s="30">
        <f>F14+N14+Q14</f>
        <v>10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5">
        <v>0</v>
      </c>
      <c r="O14" s="25">
        <v>0</v>
      </c>
      <c r="P14" s="25">
        <v>0</v>
      </c>
      <c r="Q14" s="25">
        <f t="shared" si="0"/>
        <v>10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10</v>
      </c>
    </row>
    <row r="15" spans="1:26" ht="19.5" customHeight="1">
      <c r="A15" s="13" t="s">
        <v>33</v>
      </c>
      <c r="B15" s="14" t="s">
        <v>34</v>
      </c>
      <c r="C15" s="13" t="s">
        <v>40</v>
      </c>
      <c r="D15" s="25">
        <v>44.54</v>
      </c>
      <c r="E15" s="30">
        <f>F15+N15+Q15</f>
        <v>44.54</v>
      </c>
      <c r="F15" s="26">
        <v>44.54</v>
      </c>
      <c r="G15" s="26">
        <v>44.54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5">
        <v>0</v>
      </c>
      <c r="O15" s="25">
        <v>0</v>
      </c>
      <c r="P15" s="25">
        <v>0</v>
      </c>
      <c r="Q15" s="25">
        <f t="shared" si="0"/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</row>
    <row r="16" spans="1:26" ht="19.5" customHeight="1">
      <c r="A16" s="13" t="s">
        <v>33</v>
      </c>
      <c r="B16" s="14" t="s">
        <v>34</v>
      </c>
      <c r="C16" s="13" t="s">
        <v>41</v>
      </c>
      <c r="D16" s="25">
        <v>18.559999999999999</v>
      </c>
      <c r="E16" s="30">
        <f>F16+N16+Q16</f>
        <v>18.559999999999999</v>
      </c>
      <c r="F16" s="26">
        <v>18.559999999999999</v>
      </c>
      <c r="G16" s="26">
        <v>18.559999999999999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5">
        <v>0</v>
      </c>
      <c r="O16" s="25">
        <v>0</v>
      </c>
      <c r="P16" s="25">
        <v>0</v>
      </c>
      <c r="Q16" s="25">
        <f t="shared" si="0"/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</row>
    <row r="17" spans="1:26" ht="19.5" customHeight="1">
      <c r="A17" s="13" t="s">
        <v>33</v>
      </c>
      <c r="B17" s="14" t="s">
        <v>34</v>
      </c>
      <c r="C17" s="13" t="s">
        <v>42</v>
      </c>
      <c r="D17" s="25">
        <v>0.39</v>
      </c>
      <c r="E17" s="30">
        <f>F17+N17+Q17</f>
        <v>0.39</v>
      </c>
      <c r="F17" s="26">
        <v>0.39</v>
      </c>
      <c r="G17" s="26">
        <v>0</v>
      </c>
      <c r="H17" s="26">
        <v>0</v>
      </c>
      <c r="I17" s="26">
        <v>0</v>
      </c>
      <c r="J17" s="26">
        <v>0</v>
      </c>
      <c r="K17" s="26">
        <v>0.39</v>
      </c>
      <c r="L17" s="26">
        <v>0</v>
      </c>
      <c r="M17" s="26">
        <v>0</v>
      </c>
      <c r="N17" s="25">
        <v>0</v>
      </c>
      <c r="O17" s="25">
        <v>0</v>
      </c>
      <c r="P17" s="25">
        <v>0</v>
      </c>
      <c r="Q17" s="25">
        <f t="shared" si="0"/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</row>
    <row r="18" spans="1:26" ht="19.5" customHeight="1">
      <c r="A18" s="13" t="s">
        <v>33</v>
      </c>
      <c r="B18" s="14" t="s">
        <v>34</v>
      </c>
      <c r="C18" s="13" t="s">
        <v>43</v>
      </c>
      <c r="D18" s="25">
        <v>0.56000000000000005</v>
      </c>
      <c r="E18" s="30">
        <f>F18+N18+Q18</f>
        <v>0.56000000000000005</v>
      </c>
      <c r="F18" s="26">
        <v>0.56000000000000005</v>
      </c>
      <c r="G18" s="26">
        <v>0</v>
      </c>
      <c r="H18" s="26">
        <v>0</v>
      </c>
      <c r="I18" s="26">
        <v>0</v>
      </c>
      <c r="J18" s="26">
        <v>0</v>
      </c>
      <c r="K18" s="26">
        <v>0.56000000000000005</v>
      </c>
      <c r="L18" s="26">
        <v>0</v>
      </c>
      <c r="M18" s="26">
        <v>0</v>
      </c>
      <c r="N18" s="25">
        <v>0</v>
      </c>
      <c r="O18" s="25">
        <v>0</v>
      </c>
      <c r="P18" s="25">
        <v>0</v>
      </c>
      <c r="Q18" s="25">
        <f t="shared" si="0"/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</row>
    <row r="19" spans="1:26" ht="19.5" customHeight="1">
      <c r="A19" s="13" t="s">
        <v>33</v>
      </c>
      <c r="B19" s="14" t="s">
        <v>34</v>
      </c>
      <c r="C19" s="13" t="s">
        <v>27</v>
      </c>
      <c r="D19" s="25">
        <v>4.41</v>
      </c>
      <c r="E19" s="30">
        <f>F19+N19+Q19</f>
        <v>4.41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5">
        <v>0</v>
      </c>
      <c r="O19" s="25">
        <v>0</v>
      </c>
      <c r="P19" s="25">
        <v>0</v>
      </c>
      <c r="Q19" s="25">
        <f t="shared" si="0"/>
        <v>4.41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4.41</v>
      </c>
      <c r="Y19" s="25">
        <v>0</v>
      </c>
      <c r="Z19" s="25">
        <v>0</v>
      </c>
    </row>
    <row r="20" spans="1:26" ht="19.5" customHeight="1">
      <c r="A20" s="13" t="s">
        <v>33</v>
      </c>
      <c r="B20" s="14" t="s">
        <v>34</v>
      </c>
      <c r="C20" s="13" t="s">
        <v>44</v>
      </c>
      <c r="D20" s="25">
        <v>0.12</v>
      </c>
      <c r="E20" s="30">
        <f>F20+N20+Q20</f>
        <v>0.12</v>
      </c>
      <c r="F20" s="26">
        <v>0.12</v>
      </c>
      <c r="G20" s="26">
        <v>0.12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5">
        <v>0</v>
      </c>
      <c r="O20" s="25">
        <v>0</v>
      </c>
      <c r="P20" s="25">
        <v>0</v>
      </c>
      <c r="Q20" s="25">
        <f t="shared" si="0"/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</row>
    <row r="21" spans="1:26" ht="19.5" customHeight="1">
      <c r="A21" s="13" t="s">
        <v>33</v>
      </c>
      <c r="B21" s="14" t="s">
        <v>34</v>
      </c>
      <c r="C21" s="13" t="s">
        <v>45</v>
      </c>
      <c r="D21" s="25">
        <v>22.27</v>
      </c>
      <c r="E21" s="30">
        <f>F21+N21+Q21</f>
        <v>22.27</v>
      </c>
      <c r="F21" s="26">
        <v>22.27</v>
      </c>
      <c r="G21" s="26">
        <v>0</v>
      </c>
      <c r="H21" s="26">
        <v>0</v>
      </c>
      <c r="I21" s="26">
        <v>0</v>
      </c>
      <c r="J21" s="26">
        <v>0</v>
      </c>
      <c r="K21" s="26">
        <v>22.27</v>
      </c>
      <c r="L21" s="26">
        <v>0</v>
      </c>
      <c r="M21" s="26">
        <v>0</v>
      </c>
      <c r="N21" s="25">
        <v>0</v>
      </c>
      <c r="O21" s="25">
        <v>0</v>
      </c>
      <c r="P21" s="25">
        <v>0</v>
      </c>
      <c r="Q21" s="25">
        <f t="shared" si="0"/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</row>
    <row r="22" spans="1:26" ht="19.5" customHeight="1">
      <c r="A22" s="13" t="s">
        <v>33</v>
      </c>
      <c r="B22" s="14" t="s">
        <v>34</v>
      </c>
      <c r="C22" s="13" t="s">
        <v>46</v>
      </c>
      <c r="D22" s="25">
        <v>13.5</v>
      </c>
      <c r="E22" s="30">
        <f>F22+N22+Q22</f>
        <v>13.5</v>
      </c>
      <c r="F22" s="26">
        <v>13.5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13.5</v>
      </c>
      <c r="N22" s="25">
        <v>0</v>
      </c>
      <c r="O22" s="25">
        <v>0</v>
      </c>
      <c r="P22" s="25">
        <v>0</v>
      </c>
      <c r="Q22" s="25">
        <f t="shared" si="0"/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</row>
    <row r="23" spans="1:26" ht="19.5" customHeight="1">
      <c r="A23" s="13" t="s">
        <v>33</v>
      </c>
      <c r="B23" s="14" t="s">
        <v>34</v>
      </c>
      <c r="C23" s="13" t="s">
        <v>47</v>
      </c>
      <c r="D23" s="25">
        <v>8</v>
      </c>
      <c r="E23" s="30">
        <f>F23+N23+Q23</f>
        <v>8</v>
      </c>
      <c r="F23" s="26">
        <v>8</v>
      </c>
      <c r="G23" s="26">
        <v>8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5">
        <v>0</v>
      </c>
      <c r="O23" s="25">
        <v>0</v>
      </c>
      <c r="P23" s="25">
        <v>0</v>
      </c>
      <c r="Q23" s="25">
        <f t="shared" si="0"/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</row>
    <row r="24" spans="1:26" ht="19.5" customHeight="1">
      <c r="A24" s="13" t="s">
        <v>33</v>
      </c>
      <c r="B24" s="14" t="s">
        <v>34</v>
      </c>
      <c r="C24" s="13" t="s">
        <v>48</v>
      </c>
      <c r="D24" s="25">
        <v>48.27</v>
      </c>
      <c r="E24" s="30">
        <f>F24+N24+Q24</f>
        <v>48.27</v>
      </c>
      <c r="F24" s="26">
        <v>48.27</v>
      </c>
      <c r="G24" s="26">
        <v>48.27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5">
        <v>0</v>
      </c>
      <c r="O24" s="25">
        <v>0</v>
      </c>
      <c r="P24" s="25">
        <v>0</v>
      </c>
      <c r="Q24" s="25">
        <f t="shared" si="0"/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</row>
    <row r="25" spans="1:26" ht="19.5" customHeight="1">
      <c r="A25" s="13" t="s">
        <v>33</v>
      </c>
      <c r="B25" s="14" t="s">
        <v>34</v>
      </c>
      <c r="C25" s="13" t="s">
        <v>49</v>
      </c>
      <c r="D25" s="25">
        <v>8.91</v>
      </c>
      <c r="E25" s="30">
        <f>F25+N25+Q25</f>
        <v>8.91</v>
      </c>
      <c r="F25" s="26">
        <v>8.91</v>
      </c>
      <c r="G25" s="26">
        <v>0</v>
      </c>
      <c r="H25" s="26">
        <v>0</v>
      </c>
      <c r="I25" s="26">
        <v>0</v>
      </c>
      <c r="J25" s="26">
        <v>0</v>
      </c>
      <c r="K25" s="26">
        <v>8.91</v>
      </c>
      <c r="L25" s="26">
        <v>0</v>
      </c>
      <c r="M25" s="26">
        <v>0</v>
      </c>
      <c r="N25" s="25">
        <v>0</v>
      </c>
      <c r="O25" s="25">
        <v>0</v>
      </c>
      <c r="P25" s="25">
        <v>0</v>
      </c>
      <c r="Q25" s="25">
        <f t="shared" si="0"/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</row>
    <row r="26" spans="1:26" ht="19.5" customHeight="1">
      <c r="A26" s="13" t="s">
        <v>50</v>
      </c>
      <c r="B26" s="14" t="s">
        <v>51</v>
      </c>
      <c r="C26" s="13" t="s">
        <v>52</v>
      </c>
      <c r="D26" s="25">
        <v>5.04</v>
      </c>
      <c r="E26" s="30">
        <f>F26+N26+Q26</f>
        <v>5.04</v>
      </c>
      <c r="F26" s="26">
        <v>5.04</v>
      </c>
      <c r="G26" s="26">
        <v>5.04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5">
        <v>0</v>
      </c>
      <c r="O26" s="25">
        <v>0</v>
      </c>
      <c r="P26" s="25">
        <v>0</v>
      </c>
      <c r="Q26" s="25">
        <f t="shared" si="0"/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</row>
    <row r="27" spans="1:26" ht="19.5" customHeight="1">
      <c r="A27" s="13" t="s">
        <v>53</v>
      </c>
      <c r="B27" s="14" t="s">
        <v>54</v>
      </c>
      <c r="C27" s="13" t="s">
        <v>55</v>
      </c>
      <c r="D27" s="25">
        <v>24.18</v>
      </c>
      <c r="E27" s="30">
        <f>F27+N27+Q27</f>
        <v>24.18</v>
      </c>
      <c r="F27" s="26">
        <v>24.18</v>
      </c>
      <c r="G27" s="26">
        <v>0</v>
      </c>
      <c r="H27" s="26">
        <v>24.18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5">
        <v>0</v>
      </c>
      <c r="O27" s="25">
        <v>0</v>
      </c>
      <c r="P27" s="25">
        <v>0</v>
      </c>
      <c r="Q27" s="25">
        <f t="shared" si="0"/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</row>
  </sheetData>
  <mergeCells count="8">
    <mergeCell ref="A2:Z2"/>
    <mergeCell ref="A3:A5"/>
    <mergeCell ref="B3:B5"/>
    <mergeCell ref="C3:C5"/>
    <mergeCell ref="D3:D5"/>
    <mergeCell ref="E3:E5"/>
    <mergeCell ref="N4:P4"/>
    <mergeCell ref="Q4:Z4"/>
  </mergeCells>
  <phoneticPr fontId="2" type="noConversion"/>
  <pageMargins left="0.11811023622047245" right="0.11811023622047245" top="0.74803149606299213" bottom="0.74803149606299213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2019-02-11T02:32:05Z</cp:lastPrinted>
  <dcterms:created xsi:type="dcterms:W3CDTF">2019-01-31T02:31:11Z</dcterms:created>
  <dcterms:modified xsi:type="dcterms:W3CDTF">2019-02-11T02:32:52Z</dcterms:modified>
</cp:coreProperties>
</file>