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R35" i="1"/>
  <c r="E35" s="1"/>
  <c r="R34"/>
  <c r="E34" s="1"/>
  <c r="R33"/>
  <c r="E33" s="1"/>
  <c r="R32"/>
  <c r="E32" s="1"/>
  <c r="R31"/>
  <c r="E31" s="1"/>
  <c r="R30"/>
  <c r="E30"/>
  <c r="R29"/>
  <c r="E29" s="1"/>
  <c r="R28"/>
  <c r="E28" s="1"/>
  <c r="R27"/>
  <c r="E27" s="1"/>
  <c r="R26"/>
  <c r="E26" s="1"/>
  <c r="R25"/>
  <c r="E25" s="1"/>
  <c r="R24"/>
  <c r="E24" s="1"/>
  <c r="R23"/>
  <c r="E23" s="1"/>
  <c r="R22"/>
  <c r="E22"/>
  <c r="R21"/>
  <c r="E21" s="1"/>
  <c r="R20"/>
  <c r="E20" s="1"/>
  <c r="R19"/>
  <c r="E19" s="1"/>
  <c r="R18"/>
  <c r="E18" s="1"/>
  <c r="R17"/>
  <c r="E17" s="1"/>
  <c r="R16"/>
  <c r="E16" s="1"/>
  <c r="R15"/>
  <c r="E15" s="1"/>
  <c r="R14"/>
  <c r="E14"/>
  <c r="R13"/>
  <c r="E13" s="1"/>
  <c r="R12"/>
  <c r="E12" s="1"/>
  <c r="R11"/>
  <c r="E11" s="1"/>
  <c r="R10"/>
  <c r="E10" s="1"/>
  <c r="R9"/>
  <c r="E9" s="1"/>
  <c r="R8"/>
  <c r="E8" s="1"/>
  <c r="R7"/>
  <c r="E7" s="1"/>
</calcChain>
</file>

<file path=xl/sharedStrings.xml><?xml version="1.0" encoding="utf-8"?>
<sst xmlns="http://schemas.openxmlformats.org/spreadsheetml/2006/main" count="122" uniqueCount="64">
  <si>
    <t>平潭2019年部门预算批复明细表</t>
    <phoneticPr fontId="3" type="noConversion"/>
  </si>
  <si>
    <t>时间：2019年1月13日</t>
    <phoneticPr fontId="3" type="noConversion"/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</si>
  <si>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</si>
  <si>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</si>
  <si>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</si>
  <si>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</si>
  <si>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</si>
  <si>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</si>
  <si>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人员经费</t>
  </si>
  <si>
    <t>对个人和家庭的补助支出</t>
  </si>
  <si>
    <t>公用经费</t>
  </si>
  <si>
    <t>合计</t>
  </si>
  <si>
    <t xml:space="preserve">在职人员工资及福利费 </t>
  </si>
  <si>
    <t>住房公积金</t>
  </si>
  <si>
    <t>提租补贴</t>
  </si>
  <si>
    <t>在职人员年金</t>
  </si>
  <si>
    <t>医社保生育失业工伤</t>
  </si>
  <si>
    <t>公务员医疗补助</t>
  </si>
  <si>
    <t>其他各类人员支出</t>
  </si>
  <si>
    <t>离退休（职）人员经费</t>
  </si>
  <si>
    <t>遗嘱人员经费</t>
  </si>
  <si>
    <t>其他对个人和家庭补助支出</t>
  </si>
  <si>
    <t>离退休人员公务费</t>
  </si>
  <si>
    <t>误餐及通讯补贴</t>
  </si>
  <si>
    <t>定额公用经费</t>
  </si>
  <si>
    <t>车辆经费</t>
  </si>
  <si>
    <t>公车改革补贴</t>
  </si>
  <si>
    <t>小岛交通补贴</t>
  </si>
  <si>
    <t>工会经费</t>
  </si>
  <si>
    <t>其他公用支出</t>
  </si>
  <si>
    <t>专项业务费</t>
  </si>
  <si>
    <t>**</t>
  </si>
  <si>
    <t>108010</t>
  </si>
  <si>
    <t>平潭综合实验区农业综合执法支队</t>
  </si>
  <si>
    <t xml:space="preserve">      2130103</t>
  </si>
  <si>
    <t xml:space="preserve">      机关服务</t>
  </si>
  <si>
    <t>在职人员养老保险</t>
  </si>
  <si>
    <t>一次性奖金1</t>
  </si>
  <si>
    <t>在职人员工伤保险</t>
  </si>
  <si>
    <t>在职人员医疗保险</t>
  </si>
  <si>
    <t>基本工资1</t>
  </si>
  <si>
    <t>基本工资2</t>
  </si>
  <si>
    <t>专项业务费（设备购置费）</t>
  </si>
  <si>
    <t>综合定额公用经费</t>
  </si>
  <si>
    <t>在职人员生育保险</t>
  </si>
  <si>
    <t>在职人员基础性绩效工资</t>
  </si>
  <si>
    <t>在职人员地方津补贴（含行业性津贴）2</t>
  </si>
  <si>
    <t>平安综治奖2</t>
  </si>
  <si>
    <t>在职人员地方津补贴(含行业性津贴)1</t>
  </si>
  <si>
    <t>建设绩效奖1</t>
  </si>
  <si>
    <t>防暑降温费1</t>
  </si>
  <si>
    <t>防暑降温费2</t>
  </si>
  <si>
    <t>建设绩效奖2</t>
  </si>
  <si>
    <t>专项业务费（执法办案费）</t>
  </si>
  <si>
    <t>一次性奖金2</t>
  </si>
  <si>
    <t>平安综治奖1</t>
  </si>
  <si>
    <t>医疗保障费</t>
  </si>
  <si>
    <t xml:space="preserve">      2210201</t>
  </si>
  <si>
    <t xml:space="preserve">      住房公积金</t>
  </si>
  <si>
    <t>在职人员住房公积金</t>
  </si>
  <si>
    <t xml:space="preserve">      2210202</t>
  </si>
  <si>
    <t xml:space="preserve">      提租补贴</t>
  </si>
  <si>
    <t>在职人员改革性补贴(提租补贴)2</t>
  </si>
  <si>
    <t>在职人员改革性补贴（提租补贴）1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</si>
</sst>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9">
    <font>
      <sz val="11"/>
      <color theme="1"/>
      <name val="宋体"/>
      <family val="2"/>
      <charset val="134"/>
      <scheme val="minor"/>
    </font>
    <font>
      <b/>
      <sz val="20"/>
      <color indexed="8"/>
      <name val="宋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Font="1" applyBorder="1" applyAlignment="1">
      <alignment horizontal="centerContinuous" vertical="center" wrapText="1"/>
    </xf>
    <xf numFmtId="0" fontId="0" fillId="0" borderId="5" xfId="0" applyFont="1" applyBorder="1" applyAlignment="1">
      <alignment horizontal="centerContinuous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Continuous" vertical="center" wrapText="1"/>
    </xf>
    <xf numFmtId="0" fontId="0" fillId="0" borderId="9" xfId="0" applyBorder="1" applyAlignment="1">
      <alignment horizontal="centerContinuous" vertical="center" wrapText="1"/>
    </xf>
    <xf numFmtId="0" fontId="0" fillId="0" borderId="10" xfId="0" applyBorder="1" applyAlignment="1">
      <alignment horizontal="centerContinuous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4" xfId="0" applyNumberFormat="1" applyFill="1" applyBorder="1" applyAlignment="1">
      <alignment horizontal="left" vertical="center"/>
    </xf>
    <xf numFmtId="0" fontId="0" fillId="2" borderId="14" xfId="0" applyNumberFormat="1" applyFill="1" applyBorder="1" applyAlignment="1">
      <alignment horizontal="left" vertical="center"/>
    </xf>
    <xf numFmtId="176" fontId="6" fillId="2" borderId="15" xfId="0" applyNumberFormat="1" applyFont="1" applyFill="1" applyBorder="1" applyAlignment="1">
      <alignment horizontal="right" vertical="center"/>
    </xf>
    <xf numFmtId="176" fontId="6" fillId="2" borderId="14" xfId="0" applyNumberFormat="1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49" fontId="0" fillId="0" borderId="14" xfId="0" applyNumberFormat="1" applyFill="1" applyBorder="1" applyAlignment="1">
      <alignment horizontal="left" vertical="center"/>
    </xf>
    <xf numFmtId="0" fontId="0" fillId="0" borderId="14" xfId="0" applyNumberFormat="1" applyFill="1" applyBorder="1" applyAlignment="1">
      <alignment horizontal="left" vertical="center"/>
    </xf>
    <xf numFmtId="176" fontId="6" fillId="0" borderId="15" xfId="0" applyNumberFormat="1" applyFont="1" applyFill="1" applyBorder="1" applyAlignment="1">
      <alignment horizontal="right" vertical="center"/>
    </xf>
    <xf numFmtId="176" fontId="6" fillId="0" borderId="14" xfId="0" applyNumberFormat="1" applyFont="1" applyFill="1" applyBorder="1" applyAlignment="1">
      <alignment horizontal="right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431"/>
  <sheetViews>
    <sheetView tabSelected="1" topLeftCell="A16" workbookViewId="0">
      <selection activeCell="M6" sqref="M6"/>
    </sheetView>
  </sheetViews>
  <sheetFormatPr defaultColWidth="7.625" defaultRowHeight="13.5"/>
  <cols>
    <col min="1" max="1" width="13.875" customWidth="1"/>
    <col min="2" max="2" width="14.5" customWidth="1"/>
    <col min="3" max="3" width="33.5" customWidth="1"/>
    <col min="4" max="4" width="7" customWidth="1"/>
    <col min="5" max="5" width="7.125" customWidth="1"/>
    <col min="6" max="6" width="7.5" customWidth="1"/>
    <col min="7" max="7" width="7" customWidth="1"/>
    <col min="8" max="8" width="6.375" customWidth="1"/>
    <col min="9" max="9" width="5.875" customWidth="1"/>
    <col min="10" max="10" width="5.5" customWidth="1"/>
    <col min="11" max="13" width="6.375" customWidth="1"/>
    <col min="14" max="14" width="5.75" customWidth="1"/>
    <col min="15" max="15" width="6.375" customWidth="1"/>
    <col min="16" max="16" width="5.25" customWidth="1"/>
    <col min="17" max="17" width="6.375" customWidth="1"/>
    <col min="18" max="18" width="6.125" customWidth="1"/>
    <col min="19" max="21" width="6.375" customWidth="1"/>
    <col min="22" max="22" width="5.375" customWidth="1"/>
    <col min="23" max="23" width="5.25" customWidth="1"/>
    <col min="24" max="24" width="6.375" customWidth="1"/>
    <col min="25" max="25" width="5.875" customWidth="1"/>
    <col min="26" max="26" width="5.375" customWidth="1"/>
    <col min="27" max="27" width="6.375" customWidth="1"/>
  </cols>
  <sheetData>
    <row r="1" spans="1:2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3" customFormat="1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1" customHeight="1">
      <c r="A3" s="4" t="s">
        <v>2</v>
      </c>
      <c r="B3" s="4" t="s">
        <v>3</v>
      </c>
      <c r="C3" s="5" t="s">
        <v>4</v>
      </c>
      <c r="D3" s="4" t="s">
        <v>5</v>
      </c>
      <c r="E3" s="6" t="s">
        <v>6</v>
      </c>
      <c r="F3" s="7" t="s">
        <v>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24" customHeight="1">
      <c r="A4" s="9"/>
      <c r="B4" s="9"/>
      <c r="C4" s="9"/>
      <c r="D4" s="9"/>
      <c r="E4" s="10"/>
      <c r="F4" s="11" t="s">
        <v>8</v>
      </c>
      <c r="G4" s="12"/>
      <c r="H4" s="12"/>
      <c r="I4" s="12"/>
      <c r="J4" s="12"/>
      <c r="K4" s="12"/>
      <c r="L4" s="12"/>
      <c r="M4" s="13"/>
      <c r="N4" s="14" t="s">
        <v>9</v>
      </c>
      <c r="O4" s="15"/>
      <c r="P4" s="15"/>
      <c r="Q4" s="16"/>
      <c r="R4" s="14" t="s">
        <v>10</v>
      </c>
      <c r="S4" s="15"/>
      <c r="T4" s="15"/>
      <c r="U4" s="15"/>
      <c r="V4" s="15"/>
      <c r="W4" s="15"/>
      <c r="X4" s="15"/>
      <c r="Y4" s="15"/>
      <c r="Z4" s="15"/>
      <c r="AA4" s="16"/>
    </row>
    <row r="5" spans="1:27" ht="63" customHeight="1">
      <c r="A5" s="17"/>
      <c r="B5" s="17"/>
      <c r="C5" s="17"/>
      <c r="D5" s="17"/>
      <c r="E5" s="18"/>
      <c r="F5" s="19" t="s">
        <v>11</v>
      </c>
      <c r="G5" s="19" t="s">
        <v>12</v>
      </c>
      <c r="H5" s="19" t="s">
        <v>13</v>
      </c>
      <c r="I5" s="19" t="s">
        <v>14</v>
      </c>
      <c r="J5" s="19" t="s">
        <v>15</v>
      </c>
      <c r="K5" s="19" t="s">
        <v>16</v>
      </c>
      <c r="L5" s="19" t="s">
        <v>17</v>
      </c>
      <c r="M5" s="20" t="s">
        <v>18</v>
      </c>
      <c r="N5" s="21" t="s">
        <v>11</v>
      </c>
      <c r="O5" s="21" t="s">
        <v>19</v>
      </c>
      <c r="P5" s="21" t="s">
        <v>20</v>
      </c>
      <c r="Q5" s="21" t="s">
        <v>21</v>
      </c>
      <c r="R5" s="21" t="s">
        <v>11</v>
      </c>
      <c r="S5" s="21" t="s">
        <v>22</v>
      </c>
      <c r="T5" s="21" t="s">
        <v>23</v>
      </c>
      <c r="U5" s="21" t="s">
        <v>24</v>
      </c>
      <c r="V5" s="21" t="s">
        <v>25</v>
      </c>
      <c r="W5" s="21" t="s">
        <v>26</v>
      </c>
      <c r="X5" s="21" t="s">
        <v>27</v>
      </c>
      <c r="Y5" s="21" t="s">
        <v>28</v>
      </c>
      <c r="Z5" s="21" t="s">
        <v>29</v>
      </c>
      <c r="AA5" s="21" t="s">
        <v>30</v>
      </c>
    </row>
    <row r="6" spans="1:27" s="23" customFormat="1" ht="13.5" customHeight="1">
      <c r="A6" s="22" t="s">
        <v>31</v>
      </c>
      <c r="B6" s="22" t="s">
        <v>31</v>
      </c>
      <c r="C6" s="22" t="s">
        <v>31</v>
      </c>
      <c r="D6" s="22">
        <v>1</v>
      </c>
      <c r="E6" s="22">
        <v>2</v>
      </c>
      <c r="F6" s="22">
        <v>3</v>
      </c>
      <c r="G6" s="22">
        <v>4</v>
      </c>
      <c r="H6" s="22">
        <v>5</v>
      </c>
      <c r="I6" s="22">
        <v>6</v>
      </c>
      <c r="J6" s="22">
        <v>7</v>
      </c>
      <c r="K6" s="22">
        <v>8</v>
      </c>
      <c r="L6" s="22"/>
      <c r="M6" s="22">
        <v>9</v>
      </c>
      <c r="N6" s="22">
        <v>10</v>
      </c>
      <c r="O6" s="22">
        <v>12</v>
      </c>
      <c r="P6" s="22">
        <v>13</v>
      </c>
      <c r="Q6" s="22">
        <v>15</v>
      </c>
      <c r="R6" s="22">
        <v>16</v>
      </c>
      <c r="S6" s="22"/>
      <c r="T6" s="22">
        <v>17</v>
      </c>
      <c r="U6" s="22">
        <v>18</v>
      </c>
      <c r="V6" s="22">
        <v>19</v>
      </c>
      <c r="W6" s="22">
        <v>21</v>
      </c>
      <c r="X6" s="22">
        <v>22</v>
      </c>
      <c r="Y6" s="22">
        <v>23</v>
      </c>
      <c r="Z6" s="22">
        <v>25</v>
      </c>
      <c r="AA6" s="22">
        <v>26</v>
      </c>
    </row>
    <row r="7" spans="1:27" s="28" customFormat="1" ht="19.5" customHeight="1">
      <c r="A7" s="24" t="s">
        <v>32</v>
      </c>
      <c r="B7" s="25" t="s">
        <v>33</v>
      </c>
      <c r="C7" s="24"/>
      <c r="D7" s="26">
        <v>231.05</v>
      </c>
      <c r="E7" s="27">
        <f>F7+N7+R7</f>
        <v>231.04999999999998</v>
      </c>
      <c r="F7" s="27">
        <v>197.76</v>
      </c>
      <c r="G7" s="27">
        <v>145.13</v>
      </c>
      <c r="H7" s="27">
        <v>19.64</v>
      </c>
      <c r="I7" s="27">
        <v>0</v>
      </c>
      <c r="J7" s="27">
        <v>1.1599999999999999</v>
      </c>
      <c r="K7" s="27">
        <v>25.62</v>
      </c>
      <c r="L7" s="27">
        <v>6.21</v>
      </c>
      <c r="M7" s="27">
        <v>0</v>
      </c>
      <c r="N7" s="26">
        <v>0</v>
      </c>
      <c r="O7" s="26">
        <v>0</v>
      </c>
      <c r="P7" s="26">
        <v>0</v>
      </c>
      <c r="Q7" s="26">
        <v>0</v>
      </c>
      <c r="R7" s="26">
        <f t="shared" ref="R7:R35" si="0">SUM(S7:AA7)</f>
        <v>33.29</v>
      </c>
      <c r="S7" s="26">
        <v>0</v>
      </c>
      <c r="T7" s="26">
        <v>4.5</v>
      </c>
      <c r="U7" s="26">
        <v>8.9499999999999993</v>
      </c>
      <c r="V7" s="26">
        <v>0</v>
      </c>
      <c r="W7" s="26">
        <v>6.57</v>
      </c>
      <c r="X7" s="26">
        <v>0</v>
      </c>
      <c r="Y7" s="26">
        <v>3.27</v>
      </c>
      <c r="Z7" s="26">
        <v>0</v>
      </c>
      <c r="AA7" s="26">
        <v>10</v>
      </c>
    </row>
    <row r="8" spans="1:27" ht="19.5" customHeight="1">
      <c r="A8" s="29" t="s">
        <v>34</v>
      </c>
      <c r="B8" s="30" t="s">
        <v>35</v>
      </c>
      <c r="C8" s="29" t="s">
        <v>36</v>
      </c>
      <c r="D8" s="31">
        <v>17.75</v>
      </c>
      <c r="E8" s="27">
        <f t="shared" ref="E8:E35" si="1">F8+N8+R8</f>
        <v>17.75</v>
      </c>
      <c r="F8" s="32">
        <v>17.75</v>
      </c>
      <c r="G8" s="32">
        <v>0</v>
      </c>
      <c r="H8" s="32">
        <v>0</v>
      </c>
      <c r="I8" s="32">
        <v>0</v>
      </c>
      <c r="J8" s="32">
        <v>0</v>
      </c>
      <c r="K8" s="32">
        <v>17.75</v>
      </c>
      <c r="L8" s="32">
        <v>0</v>
      </c>
      <c r="M8" s="32">
        <v>0</v>
      </c>
      <c r="N8" s="31">
        <v>0</v>
      </c>
      <c r="O8" s="31">
        <v>0</v>
      </c>
      <c r="P8" s="31">
        <v>0</v>
      </c>
      <c r="Q8" s="31">
        <v>0</v>
      </c>
      <c r="R8" s="31">
        <f t="shared" si="0"/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</row>
    <row r="9" spans="1:27" ht="19.5" customHeight="1">
      <c r="A9" s="29" t="s">
        <v>34</v>
      </c>
      <c r="B9" s="30" t="s">
        <v>35</v>
      </c>
      <c r="C9" s="29" t="s">
        <v>37</v>
      </c>
      <c r="D9" s="31">
        <v>29.73</v>
      </c>
      <c r="E9" s="27">
        <f t="shared" si="1"/>
        <v>29.73</v>
      </c>
      <c r="F9" s="32">
        <v>29.73</v>
      </c>
      <c r="G9" s="32">
        <v>29.73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1">
        <v>0</v>
      </c>
      <c r="O9" s="31">
        <v>0</v>
      </c>
      <c r="P9" s="31">
        <v>0</v>
      </c>
      <c r="Q9" s="31">
        <v>0</v>
      </c>
      <c r="R9" s="31">
        <f t="shared" si="0"/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</row>
    <row r="10" spans="1:27" ht="19.5" customHeight="1">
      <c r="A10" s="29" t="s">
        <v>34</v>
      </c>
      <c r="B10" s="30" t="s">
        <v>35</v>
      </c>
      <c r="C10" s="29" t="s">
        <v>38</v>
      </c>
      <c r="D10" s="31">
        <v>0.45</v>
      </c>
      <c r="E10" s="27">
        <f t="shared" si="1"/>
        <v>0.45</v>
      </c>
      <c r="F10" s="32">
        <v>0.45</v>
      </c>
      <c r="G10" s="32">
        <v>0</v>
      </c>
      <c r="H10" s="32">
        <v>0</v>
      </c>
      <c r="I10" s="32">
        <v>0</v>
      </c>
      <c r="J10" s="32">
        <v>0</v>
      </c>
      <c r="K10" s="32">
        <v>0.45</v>
      </c>
      <c r="L10" s="32">
        <v>0</v>
      </c>
      <c r="M10" s="32">
        <v>0</v>
      </c>
      <c r="N10" s="31">
        <v>0</v>
      </c>
      <c r="O10" s="31">
        <v>0</v>
      </c>
      <c r="P10" s="31">
        <v>0</v>
      </c>
      <c r="Q10" s="31">
        <v>0</v>
      </c>
      <c r="R10" s="31">
        <f t="shared" si="0"/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</row>
    <row r="11" spans="1:27" ht="19.5" customHeight="1">
      <c r="A11" s="29" t="s">
        <v>34</v>
      </c>
      <c r="B11" s="30" t="s">
        <v>35</v>
      </c>
      <c r="C11" s="29" t="s">
        <v>39</v>
      </c>
      <c r="D11" s="31">
        <v>7.1</v>
      </c>
      <c r="E11" s="27">
        <f t="shared" si="1"/>
        <v>7.1</v>
      </c>
      <c r="F11" s="32">
        <v>7.1</v>
      </c>
      <c r="G11" s="32">
        <v>0</v>
      </c>
      <c r="H11" s="32">
        <v>0</v>
      </c>
      <c r="I11" s="32">
        <v>0</v>
      </c>
      <c r="J11" s="32">
        <v>0</v>
      </c>
      <c r="K11" s="32">
        <v>7.1</v>
      </c>
      <c r="L11" s="32">
        <v>0</v>
      </c>
      <c r="M11" s="32">
        <v>0</v>
      </c>
      <c r="N11" s="31">
        <v>0</v>
      </c>
      <c r="O11" s="31">
        <v>0</v>
      </c>
      <c r="P11" s="31">
        <v>0</v>
      </c>
      <c r="Q11" s="31">
        <v>0</v>
      </c>
      <c r="R11" s="31">
        <f t="shared" si="0"/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</row>
    <row r="12" spans="1:27" ht="19.5" customHeight="1">
      <c r="A12" s="29" t="s">
        <v>34</v>
      </c>
      <c r="B12" s="30" t="s">
        <v>35</v>
      </c>
      <c r="C12" s="29" t="s">
        <v>40</v>
      </c>
      <c r="D12" s="31">
        <v>30.85</v>
      </c>
      <c r="E12" s="27">
        <f t="shared" si="1"/>
        <v>30.85</v>
      </c>
      <c r="F12" s="32">
        <v>30.85</v>
      </c>
      <c r="G12" s="32">
        <v>30.85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1">
        <v>0</v>
      </c>
      <c r="O12" s="31">
        <v>0</v>
      </c>
      <c r="P12" s="31">
        <v>0</v>
      </c>
      <c r="Q12" s="31">
        <v>0</v>
      </c>
      <c r="R12" s="31">
        <f t="shared" si="0"/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</row>
    <row r="13" spans="1:27" ht="19.5" customHeight="1">
      <c r="A13" s="29" t="s">
        <v>34</v>
      </c>
      <c r="B13" s="30" t="s">
        <v>35</v>
      </c>
      <c r="C13" s="29" t="s">
        <v>41</v>
      </c>
      <c r="D13" s="31">
        <v>6.89</v>
      </c>
      <c r="E13" s="27">
        <f t="shared" si="1"/>
        <v>6.89</v>
      </c>
      <c r="F13" s="32">
        <v>6.89</v>
      </c>
      <c r="G13" s="32">
        <v>6.89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1">
        <v>0</v>
      </c>
      <c r="O13" s="31">
        <v>0</v>
      </c>
      <c r="P13" s="31">
        <v>0</v>
      </c>
      <c r="Q13" s="31">
        <v>0</v>
      </c>
      <c r="R13" s="31">
        <f t="shared" si="0"/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</row>
    <row r="14" spans="1:27" ht="19.5" customHeight="1">
      <c r="A14" s="29" t="s">
        <v>34</v>
      </c>
      <c r="B14" s="30" t="s">
        <v>35</v>
      </c>
      <c r="C14" s="29" t="s">
        <v>42</v>
      </c>
      <c r="D14" s="31">
        <v>8</v>
      </c>
      <c r="E14" s="27">
        <f t="shared" si="1"/>
        <v>8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1">
        <v>0</v>
      </c>
      <c r="O14" s="31">
        <v>0</v>
      </c>
      <c r="P14" s="31">
        <v>0</v>
      </c>
      <c r="Q14" s="31">
        <v>0</v>
      </c>
      <c r="R14" s="31">
        <f t="shared" si="0"/>
        <v>8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8</v>
      </c>
    </row>
    <row r="15" spans="1:27" ht="19.5" customHeight="1">
      <c r="A15" s="29" t="s">
        <v>34</v>
      </c>
      <c r="B15" s="30" t="s">
        <v>35</v>
      </c>
      <c r="C15" s="29" t="s">
        <v>26</v>
      </c>
      <c r="D15" s="31">
        <v>6.57</v>
      </c>
      <c r="E15" s="27">
        <f t="shared" si="1"/>
        <v>6.57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1">
        <v>0</v>
      </c>
      <c r="O15" s="31">
        <v>0</v>
      </c>
      <c r="P15" s="31">
        <v>0</v>
      </c>
      <c r="Q15" s="31">
        <v>0</v>
      </c>
      <c r="R15" s="31">
        <f t="shared" si="0"/>
        <v>6.57</v>
      </c>
      <c r="S15" s="31">
        <v>0</v>
      </c>
      <c r="T15" s="31">
        <v>0</v>
      </c>
      <c r="U15" s="31">
        <v>0</v>
      </c>
      <c r="V15" s="31">
        <v>0</v>
      </c>
      <c r="W15" s="31">
        <v>6.57</v>
      </c>
      <c r="X15" s="31">
        <v>0</v>
      </c>
      <c r="Y15" s="31">
        <v>0</v>
      </c>
      <c r="Z15" s="31">
        <v>0</v>
      </c>
      <c r="AA15" s="31">
        <v>0</v>
      </c>
    </row>
    <row r="16" spans="1:27" ht="19.5" customHeight="1">
      <c r="A16" s="29" t="s">
        <v>34</v>
      </c>
      <c r="B16" s="30" t="s">
        <v>35</v>
      </c>
      <c r="C16" s="29" t="s">
        <v>43</v>
      </c>
      <c r="D16" s="31">
        <v>8.9499999999999993</v>
      </c>
      <c r="E16" s="27">
        <f t="shared" si="1"/>
        <v>8.9499999999999993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1">
        <v>0</v>
      </c>
      <c r="O16" s="31">
        <v>0</v>
      </c>
      <c r="P16" s="31">
        <v>0</v>
      </c>
      <c r="Q16" s="31">
        <v>0</v>
      </c>
      <c r="R16" s="31">
        <f t="shared" si="0"/>
        <v>8.9499999999999993</v>
      </c>
      <c r="S16" s="31">
        <v>0</v>
      </c>
      <c r="T16" s="31">
        <v>0</v>
      </c>
      <c r="U16" s="31">
        <v>8.9499999999999993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</row>
    <row r="17" spans="1:27" ht="19.5" customHeight="1">
      <c r="A17" s="29" t="s">
        <v>34</v>
      </c>
      <c r="B17" s="30" t="s">
        <v>35</v>
      </c>
      <c r="C17" s="29" t="s">
        <v>44</v>
      </c>
      <c r="D17" s="31">
        <v>0.32</v>
      </c>
      <c r="E17" s="27">
        <f t="shared" si="1"/>
        <v>0.32</v>
      </c>
      <c r="F17" s="32">
        <v>0.32</v>
      </c>
      <c r="G17" s="32">
        <v>0</v>
      </c>
      <c r="H17" s="32">
        <v>0</v>
      </c>
      <c r="I17" s="32">
        <v>0</v>
      </c>
      <c r="J17" s="32">
        <v>0</v>
      </c>
      <c r="K17" s="32">
        <v>0.32</v>
      </c>
      <c r="L17" s="32">
        <v>0</v>
      </c>
      <c r="M17" s="32">
        <v>0</v>
      </c>
      <c r="N17" s="31">
        <v>0</v>
      </c>
      <c r="O17" s="31">
        <v>0</v>
      </c>
      <c r="P17" s="31">
        <v>0</v>
      </c>
      <c r="Q17" s="31">
        <v>0</v>
      </c>
      <c r="R17" s="31">
        <f t="shared" si="0"/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</row>
    <row r="18" spans="1:27" ht="19.5" customHeight="1">
      <c r="A18" s="29" t="s">
        <v>34</v>
      </c>
      <c r="B18" s="30" t="s">
        <v>35</v>
      </c>
      <c r="C18" s="29" t="s">
        <v>45</v>
      </c>
      <c r="D18" s="31">
        <v>2.0699999999999998</v>
      </c>
      <c r="E18" s="27">
        <f t="shared" si="1"/>
        <v>2.0699999999999998</v>
      </c>
      <c r="F18" s="32">
        <v>2.0699999999999998</v>
      </c>
      <c r="G18" s="32">
        <v>2.0699999999999998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1">
        <v>0</v>
      </c>
      <c r="O18" s="31">
        <v>0</v>
      </c>
      <c r="P18" s="31">
        <v>0</v>
      </c>
      <c r="Q18" s="31">
        <v>0</v>
      </c>
      <c r="R18" s="31">
        <f t="shared" si="0"/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</row>
    <row r="19" spans="1:27" ht="19.5" customHeight="1">
      <c r="A19" s="29" t="s">
        <v>34</v>
      </c>
      <c r="B19" s="30" t="s">
        <v>35</v>
      </c>
      <c r="C19" s="29" t="s">
        <v>15</v>
      </c>
      <c r="D19" s="31">
        <v>1.1599999999999999</v>
      </c>
      <c r="E19" s="27">
        <f t="shared" si="1"/>
        <v>1.1599999999999999</v>
      </c>
      <c r="F19" s="32">
        <v>1.1599999999999999</v>
      </c>
      <c r="G19" s="32">
        <v>0</v>
      </c>
      <c r="H19" s="32">
        <v>0</v>
      </c>
      <c r="I19" s="32">
        <v>0</v>
      </c>
      <c r="J19" s="32">
        <v>1.1599999999999999</v>
      </c>
      <c r="K19" s="32">
        <v>0</v>
      </c>
      <c r="L19" s="32">
        <v>0</v>
      </c>
      <c r="M19" s="32">
        <v>0</v>
      </c>
      <c r="N19" s="31">
        <v>0</v>
      </c>
      <c r="O19" s="31">
        <v>0</v>
      </c>
      <c r="P19" s="31">
        <v>0</v>
      </c>
      <c r="Q19" s="31">
        <v>0</v>
      </c>
      <c r="R19" s="31">
        <f t="shared" si="0"/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</row>
    <row r="20" spans="1:27" ht="19.5" customHeight="1">
      <c r="A20" s="29" t="s">
        <v>34</v>
      </c>
      <c r="B20" s="30" t="s">
        <v>35</v>
      </c>
      <c r="C20" s="29" t="s">
        <v>46</v>
      </c>
      <c r="D20" s="31">
        <v>5.76</v>
      </c>
      <c r="E20" s="27">
        <f t="shared" si="1"/>
        <v>5.76</v>
      </c>
      <c r="F20" s="32">
        <v>5.76</v>
      </c>
      <c r="G20" s="32">
        <v>5.76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1">
        <v>0</v>
      </c>
      <c r="O20" s="31">
        <v>0</v>
      </c>
      <c r="P20" s="31">
        <v>0</v>
      </c>
      <c r="Q20" s="31">
        <v>0</v>
      </c>
      <c r="R20" s="31">
        <f t="shared" si="0"/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</row>
    <row r="21" spans="1:27" ht="19.5" customHeight="1">
      <c r="A21" s="29" t="s">
        <v>34</v>
      </c>
      <c r="B21" s="30" t="s">
        <v>35</v>
      </c>
      <c r="C21" s="29" t="s">
        <v>47</v>
      </c>
      <c r="D21" s="31">
        <v>2.4</v>
      </c>
      <c r="E21" s="27">
        <f t="shared" si="1"/>
        <v>2.4</v>
      </c>
      <c r="F21" s="32">
        <v>2.4</v>
      </c>
      <c r="G21" s="32">
        <v>2.4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1">
        <v>0</v>
      </c>
      <c r="O21" s="31">
        <v>0</v>
      </c>
      <c r="P21" s="31">
        <v>0</v>
      </c>
      <c r="Q21" s="31">
        <v>0</v>
      </c>
      <c r="R21" s="31">
        <f t="shared" si="0"/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</row>
    <row r="22" spans="1:27" ht="19.5" customHeight="1">
      <c r="A22" s="29" t="s">
        <v>34</v>
      </c>
      <c r="B22" s="30" t="s">
        <v>35</v>
      </c>
      <c r="C22" s="29" t="s">
        <v>48</v>
      </c>
      <c r="D22" s="31">
        <v>39.04</v>
      </c>
      <c r="E22" s="27">
        <f t="shared" si="1"/>
        <v>39.04</v>
      </c>
      <c r="F22" s="32">
        <v>39.04</v>
      </c>
      <c r="G22" s="32">
        <v>39.04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1">
        <v>0</v>
      </c>
      <c r="O22" s="31">
        <v>0</v>
      </c>
      <c r="P22" s="31">
        <v>0</v>
      </c>
      <c r="Q22" s="31">
        <v>0</v>
      </c>
      <c r="R22" s="31">
        <f t="shared" si="0"/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</row>
    <row r="23" spans="1:27" ht="19.5" customHeight="1">
      <c r="A23" s="29" t="s">
        <v>34</v>
      </c>
      <c r="B23" s="30" t="s">
        <v>35</v>
      </c>
      <c r="C23" s="29" t="s">
        <v>23</v>
      </c>
      <c r="D23" s="31">
        <v>4.5</v>
      </c>
      <c r="E23" s="27">
        <f t="shared" si="1"/>
        <v>4.5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1">
        <v>0</v>
      </c>
      <c r="O23" s="31">
        <v>0</v>
      </c>
      <c r="P23" s="31">
        <v>0</v>
      </c>
      <c r="Q23" s="31">
        <v>0</v>
      </c>
      <c r="R23" s="31">
        <f t="shared" si="0"/>
        <v>4.5</v>
      </c>
      <c r="S23" s="31">
        <v>0</v>
      </c>
      <c r="T23" s="31">
        <v>4.5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</row>
    <row r="24" spans="1:27" ht="19.5" customHeight="1">
      <c r="A24" s="29" t="s">
        <v>34</v>
      </c>
      <c r="B24" s="30" t="s">
        <v>35</v>
      </c>
      <c r="C24" s="29" t="s">
        <v>28</v>
      </c>
      <c r="D24" s="31">
        <v>3.27</v>
      </c>
      <c r="E24" s="27">
        <f t="shared" si="1"/>
        <v>3.27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1">
        <v>0</v>
      </c>
      <c r="O24" s="31">
        <v>0</v>
      </c>
      <c r="P24" s="31">
        <v>0</v>
      </c>
      <c r="Q24" s="31">
        <v>0</v>
      </c>
      <c r="R24" s="31">
        <f t="shared" si="0"/>
        <v>3.27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3.27</v>
      </c>
      <c r="Z24" s="31">
        <v>0</v>
      </c>
      <c r="AA24" s="31">
        <v>0</v>
      </c>
    </row>
    <row r="25" spans="1:27" ht="19.5" customHeight="1">
      <c r="A25" s="29" t="s">
        <v>34</v>
      </c>
      <c r="B25" s="30" t="s">
        <v>35</v>
      </c>
      <c r="C25" s="29" t="s">
        <v>49</v>
      </c>
      <c r="D25" s="31">
        <v>5</v>
      </c>
      <c r="E25" s="27">
        <f t="shared" si="1"/>
        <v>5</v>
      </c>
      <c r="F25" s="32">
        <v>5</v>
      </c>
      <c r="G25" s="32">
        <v>5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1">
        <v>0</v>
      </c>
      <c r="O25" s="31">
        <v>0</v>
      </c>
      <c r="P25" s="31">
        <v>0</v>
      </c>
      <c r="Q25" s="31">
        <v>0</v>
      </c>
      <c r="R25" s="31">
        <f t="shared" si="0"/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</row>
    <row r="26" spans="1:27" ht="19.5" customHeight="1">
      <c r="A26" s="29" t="s">
        <v>34</v>
      </c>
      <c r="B26" s="30" t="s">
        <v>35</v>
      </c>
      <c r="C26" s="29" t="s">
        <v>50</v>
      </c>
      <c r="D26" s="31">
        <v>0.08</v>
      </c>
      <c r="E26" s="27">
        <f t="shared" si="1"/>
        <v>0.08</v>
      </c>
      <c r="F26" s="32">
        <v>0.08</v>
      </c>
      <c r="G26" s="32">
        <v>0.08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1">
        <v>0</v>
      </c>
      <c r="O26" s="31">
        <v>0</v>
      </c>
      <c r="P26" s="31">
        <v>0</v>
      </c>
      <c r="Q26" s="31">
        <v>0</v>
      </c>
      <c r="R26" s="31">
        <f t="shared" si="0"/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</row>
    <row r="27" spans="1:27" ht="19.5" customHeight="1">
      <c r="A27" s="29" t="s">
        <v>34</v>
      </c>
      <c r="B27" s="30" t="s">
        <v>35</v>
      </c>
      <c r="C27" s="29" t="s">
        <v>51</v>
      </c>
      <c r="D27" s="31">
        <v>0.02</v>
      </c>
      <c r="E27" s="27">
        <f t="shared" si="1"/>
        <v>0.02</v>
      </c>
      <c r="F27" s="32">
        <v>0.02</v>
      </c>
      <c r="G27" s="32">
        <v>0.02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1">
        <v>0</v>
      </c>
      <c r="O27" s="31">
        <v>0</v>
      </c>
      <c r="P27" s="31">
        <v>0</v>
      </c>
      <c r="Q27" s="31">
        <v>0</v>
      </c>
      <c r="R27" s="31">
        <f t="shared" si="0"/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</row>
    <row r="28" spans="1:27" ht="19.5" customHeight="1">
      <c r="A28" s="29" t="s">
        <v>34</v>
      </c>
      <c r="B28" s="30" t="s">
        <v>35</v>
      </c>
      <c r="C28" s="29" t="s">
        <v>52</v>
      </c>
      <c r="D28" s="31">
        <v>1</v>
      </c>
      <c r="E28" s="27">
        <f t="shared" si="1"/>
        <v>1</v>
      </c>
      <c r="F28" s="32">
        <v>1</v>
      </c>
      <c r="G28" s="32">
        <v>1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1">
        <v>0</v>
      </c>
      <c r="O28" s="31">
        <v>0</v>
      </c>
      <c r="P28" s="31">
        <v>0</v>
      </c>
      <c r="Q28" s="31">
        <v>0</v>
      </c>
      <c r="R28" s="31">
        <f t="shared" si="0"/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</row>
    <row r="29" spans="1:27" ht="19.5" customHeight="1">
      <c r="A29" s="29" t="s">
        <v>34</v>
      </c>
      <c r="B29" s="30" t="s">
        <v>35</v>
      </c>
      <c r="C29" s="29" t="s">
        <v>53</v>
      </c>
      <c r="D29" s="31">
        <v>2</v>
      </c>
      <c r="E29" s="27">
        <f t="shared" si="1"/>
        <v>2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1">
        <v>0</v>
      </c>
      <c r="O29" s="31">
        <v>0</v>
      </c>
      <c r="P29" s="31">
        <v>0</v>
      </c>
      <c r="Q29" s="31">
        <v>0</v>
      </c>
      <c r="R29" s="31">
        <f t="shared" si="0"/>
        <v>2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2</v>
      </c>
    </row>
    <row r="30" spans="1:27" ht="19.5" customHeight="1">
      <c r="A30" s="29" t="s">
        <v>34</v>
      </c>
      <c r="B30" s="30" t="s">
        <v>35</v>
      </c>
      <c r="C30" s="29" t="s">
        <v>54</v>
      </c>
      <c r="D30" s="31">
        <v>5.76</v>
      </c>
      <c r="E30" s="27">
        <f t="shared" si="1"/>
        <v>5.76</v>
      </c>
      <c r="F30" s="32">
        <v>5.76</v>
      </c>
      <c r="G30" s="32">
        <v>5.76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1">
        <v>0</v>
      </c>
      <c r="O30" s="31">
        <v>0</v>
      </c>
      <c r="P30" s="31">
        <v>0</v>
      </c>
      <c r="Q30" s="31">
        <v>0</v>
      </c>
      <c r="R30" s="31">
        <f t="shared" si="0"/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</row>
    <row r="31" spans="1:27" ht="19.5" customHeight="1">
      <c r="A31" s="29" t="s">
        <v>34</v>
      </c>
      <c r="B31" s="30" t="s">
        <v>35</v>
      </c>
      <c r="C31" s="29" t="s">
        <v>55</v>
      </c>
      <c r="D31" s="31">
        <v>12.39</v>
      </c>
      <c r="E31" s="27">
        <f t="shared" si="1"/>
        <v>12.39</v>
      </c>
      <c r="F31" s="32">
        <v>12.39</v>
      </c>
      <c r="G31" s="32">
        <v>12.39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1">
        <v>0</v>
      </c>
      <c r="O31" s="31">
        <v>0</v>
      </c>
      <c r="P31" s="31">
        <v>0</v>
      </c>
      <c r="Q31" s="31">
        <v>0</v>
      </c>
      <c r="R31" s="31">
        <f t="shared" si="0"/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</row>
    <row r="32" spans="1:27" ht="19.5" customHeight="1">
      <c r="A32" s="29" t="s">
        <v>34</v>
      </c>
      <c r="B32" s="30" t="s">
        <v>35</v>
      </c>
      <c r="C32" s="29" t="s">
        <v>56</v>
      </c>
      <c r="D32" s="31">
        <v>6.21</v>
      </c>
      <c r="E32" s="27">
        <f t="shared" si="1"/>
        <v>6.21</v>
      </c>
      <c r="F32" s="32">
        <v>6.21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6.21</v>
      </c>
      <c r="M32" s="32">
        <v>0</v>
      </c>
      <c r="N32" s="31">
        <v>0</v>
      </c>
      <c r="O32" s="31">
        <v>0</v>
      </c>
      <c r="P32" s="31">
        <v>0</v>
      </c>
      <c r="Q32" s="31">
        <v>0</v>
      </c>
      <c r="R32" s="31">
        <f t="shared" si="0"/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</row>
    <row r="33" spans="1:27" ht="19.5" customHeight="1">
      <c r="A33" s="29" t="s">
        <v>57</v>
      </c>
      <c r="B33" s="30" t="s">
        <v>58</v>
      </c>
      <c r="C33" s="29" t="s">
        <v>59</v>
      </c>
      <c r="D33" s="31">
        <v>19.64</v>
      </c>
      <c r="E33" s="27">
        <f t="shared" si="1"/>
        <v>19.64</v>
      </c>
      <c r="F33" s="32">
        <v>19.64</v>
      </c>
      <c r="G33" s="32">
        <v>0</v>
      </c>
      <c r="H33" s="32">
        <v>19.64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1">
        <v>0</v>
      </c>
      <c r="O33" s="31">
        <v>0</v>
      </c>
      <c r="P33" s="31">
        <v>0</v>
      </c>
      <c r="Q33" s="31">
        <v>0</v>
      </c>
      <c r="R33" s="31">
        <f t="shared" si="0"/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</row>
    <row r="34" spans="1:27" ht="19.5" customHeight="1">
      <c r="A34" s="29" t="s">
        <v>60</v>
      </c>
      <c r="B34" s="30" t="s">
        <v>61</v>
      </c>
      <c r="C34" s="29" t="s">
        <v>62</v>
      </c>
      <c r="D34" s="31">
        <v>0.64</v>
      </c>
      <c r="E34" s="27">
        <f t="shared" si="1"/>
        <v>0.64</v>
      </c>
      <c r="F34" s="32">
        <v>0.64</v>
      </c>
      <c r="G34" s="32">
        <v>0.64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1">
        <v>0</v>
      </c>
      <c r="O34" s="31">
        <v>0</v>
      </c>
      <c r="P34" s="31">
        <v>0</v>
      </c>
      <c r="Q34" s="31">
        <v>0</v>
      </c>
      <c r="R34" s="31">
        <f t="shared" si="0"/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</row>
    <row r="35" spans="1:27" ht="19.5" customHeight="1">
      <c r="A35" s="29" t="s">
        <v>60</v>
      </c>
      <c r="B35" s="30" t="s">
        <v>61</v>
      </c>
      <c r="C35" s="29" t="s">
        <v>63</v>
      </c>
      <c r="D35" s="31">
        <v>3.5</v>
      </c>
      <c r="E35" s="27">
        <f t="shared" si="1"/>
        <v>3.5</v>
      </c>
      <c r="F35" s="32">
        <v>3.5</v>
      </c>
      <c r="G35" s="32">
        <v>3.5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1">
        <v>0</v>
      </c>
      <c r="O35" s="31">
        <v>0</v>
      </c>
      <c r="P35" s="31">
        <v>0</v>
      </c>
      <c r="Q35" s="31">
        <v>0</v>
      </c>
      <c r="R35" s="31">
        <f t="shared" si="0"/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</row>
    <row r="36" spans="1:27" ht="19.5" customHeight="1"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19.5" customHeight="1"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1:27" ht="19.5" customHeight="1"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27" ht="19.5" customHeight="1"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7" ht="19.5" customHeight="1"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7" ht="19.5" customHeight="1"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spans="1:27" ht="19.5" customHeight="1"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1:27" ht="19.5" customHeight="1"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1:27" ht="19.5" customHeight="1"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ht="19.5" customHeight="1"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1:27" ht="19.5" customHeight="1"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19.5" customHeight="1"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spans="1:27" ht="19.5" customHeight="1"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4:27" ht="19.5" customHeight="1"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4:27" ht="19.5" customHeight="1"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4:27" ht="19.5" customHeight="1"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4:27" ht="19.5" customHeight="1"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4:27" ht="19.5" customHeight="1"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4:27" ht="19.5" customHeight="1"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4:27" ht="19.5" customHeight="1"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4:27" ht="19.5" customHeight="1"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4:27" ht="19.5" customHeight="1"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4:27" ht="19.5" customHeight="1"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4:27" ht="19.5" customHeight="1"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4:27" ht="19.5" customHeight="1"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4:27" ht="19.5" customHeight="1"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spans="4:27" ht="19.5" customHeight="1"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4:27" ht="19.5" customHeight="1"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4:27" ht="19.5" customHeight="1"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spans="4:27" ht="19.5" customHeight="1"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spans="4:27" ht="19.5" customHeight="1"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spans="4:27" ht="19.5" customHeight="1"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spans="4:27" ht="19.5" customHeight="1"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spans="4:27" ht="19.5" customHeight="1"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spans="4:27" ht="19.5" customHeight="1"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4:27" ht="19.5" customHeight="1"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spans="4:27" ht="19.5" customHeight="1"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spans="4:27" ht="19.5" customHeight="1"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spans="4:27" ht="19.5" customHeight="1"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spans="4:27" ht="19.5" customHeight="1"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spans="4:27" ht="19.5" customHeight="1"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4:27" ht="19.5" customHeight="1"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4:27" ht="19.5" customHeight="1"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4:27" ht="19.5" customHeight="1"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spans="4:27" ht="19.5" customHeight="1"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spans="4:27" ht="19.5" customHeight="1"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spans="4:27" ht="19.5" customHeight="1"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spans="4:27" ht="19.5" customHeight="1"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spans="4:27" ht="19.5" customHeight="1"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spans="4:27" ht="19.5" customHeight="1"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spans="4:27" ht="19.5" customHeight="1"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spans="4:27" ht="19.5" customHeight="1"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spans="4:27" ht="19.5" customHeight="1"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spans="4:27" ht="19.5" customHeight="1"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spans="4:27" ht="19.5" customHeight="1"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spans="4:27" ht="19.5" customHeight="1"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spans="4:27" ht="19.5" customHeight="1"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spans="4:27" ht="19.5" customHeight="1"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spans="4:27" ht="19.5" customHeight="1"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spans="4:27" ht="19.5" customHeight="1"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spans="4:27" ht="19.5" customHeight="1"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spans="4:27" ht="19.5" customHeight="1"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spans="4:27" ht="19.5" customHeight="1"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spans="4:27" ht="19.5" customHeight="1"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spans="4:27" ht="19.5" customHeight="1"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spans="4:27" ht="19.5" customHeight="1"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spans="4:27" ht="19.5" customHeight="1"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spans="4:27" ht="19.5" customHeight="1"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spans="4:27" ht="19.5" customHeight="1"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spans="4:27" ht="19.5" customHeight="1"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spans="4:27" ht="19.5" customHeight="1"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spans="4:27" ht="19.5" customHeight="1"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spans="4:27" ht="19.5" customHeight="1"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spans="4:27" ht="19.5" customHeight="1"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spans="4:27" ht="19.5" customHeight="1"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spans="4:27" ht="19.5" customHeight="1"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spans="4:27" ht="19.5" customHeight="1"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spans="4:27" ht="19.5" customHeight="1"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spans="4:27" ht="19.5" customHeight="1"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spans="4:27" ht="19.5" customHeight="1"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spans="4:27" ht="19.5" customHeight="1"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spans="4:27" ht="19.5" customHeight="1"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spans="4:27" ht="19.5" customHeight="1"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spans="4:27" ht="19.5" customHeight="1"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spans="4:27" ht="19.5" customHeight="1"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spans="4:27" ht="19.5" customHeight="1"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spans="4:27" ht="19.5" customHeight="1"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spans="4:27" ht="19.5" customHeight="1"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spans="4:27" ht="19.5" customHeight="1"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spans="4:27" ht="19.5" customHeight="1"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spans="4:27" ht="19.5" customHeight="1"/>
    <row r="127" spans="4:27" ht="19.5" customHeight="1"/>
    <row r="128" spans="4:2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</sheetData>
  <mergeCells count="8">
    <mergeCell ref="A2:AA2"/>
    <mergeCell ref="A3:A5"/>
    <mergeCell ref="B3:B5"/>
    <mergeCell ref="C3:C5"/>
    <mergeCell ref="D3:D5"/>
    <mergeCell ref="E3:E5"/>
    <mergeCell ref="N4:Q4"/>
    <mergeCell ref="R4:AA4"/>
  </mergeCells>
  <phoneticPr fontId="2" type="noConversion"/>
  <pageMargins left="0.11811023622047245" right="0.11811023622047245" top="0.74803149606299213" bottom="0.74803149606299213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2019-02-11T03:29:33Z</cp:lastPrinted>
  <dcterms:created xsi:type="dcterms:W3CDTF">2019-02-11T03:15:20Z</dcterms:created>
  <dcterms:modified xsi:type="dcterms:W3CDTF">2019-02-11T03:43:18Z</dcterms:modified>
</cp:coreProperties>
</file>