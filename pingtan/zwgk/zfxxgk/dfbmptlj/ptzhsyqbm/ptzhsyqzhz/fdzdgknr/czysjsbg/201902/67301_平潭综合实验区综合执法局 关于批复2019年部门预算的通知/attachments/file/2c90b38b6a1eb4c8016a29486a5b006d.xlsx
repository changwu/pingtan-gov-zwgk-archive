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8" i="1"/>
  <c r="E9"/>
  <c r="E10"/>
  <c r="E11"/>
  <c r="E12"/>
  <c r="E13"/>
  <c r="E14"/>
  <c r="E15"/>
  <c r="E16"/>
  <c r="E17"/>
  <c r="E18"/>
  <c r="E19"/>
  <c r="E20"/>
  <c r="E21"/>
  <c r="E22"/>
  <c r="E23"/>
  <c r="E24"/>
  <c r="E25"/>
  <c r="E7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</calcChain>
</file>

<file path=xl/sharedStrings.xml><?xml version="1.0" encoding="utf-8"?>
<sst xmlns="http://schemas.openxmlformats.org/spreadsheetml/2006/main" count="92" uniqueCount="55">
  <si>
    <t>平潭2019年部门预算批复明细表</t>
    <phoneticPr fontId="3" type="noConversion"/>
  </si>
  <si>
    <t>时间：2019年1月13日</t>
    <phoneticPr fontId="3" type="noConversion"/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</si>
  <si>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</si>
  <si>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</si>
  <si>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</si>
  <si>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</si>
  <si>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</si>
  <si>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</si>
  <si>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人员经费</t>
  </si>
  <si>
    <t>对个人和家庭的补助支出</t>
  </si>
  <si>
    <t>公用经费</t>
  </si>
  <si>
    <t>合计</t>
  </si>
  <si>
    <t xml:space="preserve">在职人员工资及福利费 </t>
  </si>
  <si>
    <t>住房公积金</t>
  </si>
  <si>
    <t>提租补贴</t>
  </si>
  <si>
    <t>在职人员年金</t>
  </si>
  <si>
    <t>医社保生育失业工伤</t>
  </si>
  <si>
    <t>公务员医疗补助</t>
  </si>
  <si>
    <t>其他各类人员支出</t>
  </si>
  <si>
    <t>离退休（职）人员经费</t>
  </si>
  <si>
    <t>学生助学金</t>
  </si>
  <si>
    <t>其他对个人和家庭补助支出</t>
  </si>
  <si>
    <t>离退休人员公务费</t>
  </si>
  <si>
    <t>误餐及通讯补贴</t>
  </si>
  <si>
    <t>定额公用经费</t>
  </si>
  <si>
    <t>车辆经费</t>
  </si>
  <si>
    <t>公车改革补贴</t>
  </si>
  <si>
    <t>小岛交通补贴</t>
  </si>
  <si>
    <t>工会经费</t>
  </si>
  <si>
    <t>其他公用支出</t>
  </si>
  <si>
    <t>专项业务费</t>
  </si>
  <si>
    <t>**</t>
  </si>
  <si>
    <t>108009</t>
  </si>
  <si>
    <t>平潭综合实验区文化市场综合执法支队</t>
  </si>
  <si>
    <t xml:space="preserve">      2070103</t>
  </si>
  <si>
    <t xml:space="preserve">      机关服务</t>
  </si>
  <si>
    <t>一次性奖金</t>
  </si>
  <si>
    <t>在职人员地方津补贴(含行业性津贴)</t>
  </si>
  <si>
    <t>基本工资</t>
  </si>
  <si>
    <t>在职人员养老保险</t>
  </si>
  <si>
    <t>在职人员生育保险</t>
  </si>
  <si>
    <t>在职人员医疗保险</t>
  </si>
  <si>
    <t>专项业务费（办公费）</t>
  </si>
  <si>
    <t>在职人员工伤保险</t>
  </si>
  <si>
    <t>在职人员基础性绩效工资</t>
  </si>
  <si>
    <t>防暑降温费</t>
  </si>
  <si>
    <t>综合定额公用经费</t>
  </si>
  <si>
    <t>建设绩效奖</t>
  </si>
  <si>
    <t>平安综治奖</t>
  </si>
  <si>
    <t>医疗保障费</t>
  </si>
  <si>
    <t xml:space="preserve">      2210201</t>
  </si>
  <si>
    <t xml:space="preserve">      住房公积金</t>
  </si>
  <si>
    <t xml:space="preserve">      2210202</t>
  </si>
  <si>
    <t xml:space="preserve">      提租补贴</t>
  </si>
  <si>
    <t>在职人员改革性补贴（提租补贴）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</si>
</sst>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7">
    <font>
      <sz val="11"/>
      <color theme="1"/>
      <name val="宋体"/>
      <family val="2"/>
      <charset val="134"/>
      <scheme val="minor"/>
    </font>
    <font>
      <b/>
      <sz val="20"/>
      <color indexed="8"/>
      <name val="宋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Continuous" vertical="center"/>
    </xf>
    <xf numFmtId="0" fontId="5" fillId="0" borderId="0" xfId="0" applyFont="1">
      <alignment vertical="center"/>
    </xf>
    <xf numFmtId="0" fontId="0" fillId="0" borderId="4" xfId="0" applyFont="1" applyBorder="1" applyAlignment="1">
      <alignment horizontal="centerContinuous" vertical="center" wrapText="1"/>
    </xf>
    <xf numFmtId="0" fontId="0" fillId="0" borderId="5" xfId="0" applyFont="1" applyBorder="1" applyAlignment="1">
      <alignment horizontal="centerContinuous" vertical="center" wrapText="1"/>
    </xf>
    <xf numFmtId="0" fontId="0" fillId="0" borderId="9" xfId="0" applyBorder="1" applyAlignment="1">
      <alignment horizontal="centerContinuous" vertical="center" wrapText="1"/>
    </xf>
    <xf numFmtId="0" fontId="0" fillId="0" borderId="10" xfId="0" applyBorder="1" applyAlignment="1">
      <alignment horizontal="centerContinuous" vertical="center" wrapText="1"/>
    </xf>
    <xf numFmtId="0" fontId="0" fillId="0" borderId="11" xfId="0" applyBorder="1" applyAlignment="1">
      <alignment horizontal="centerContinuous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4" xfId="0" applyNumberFormat="1" applyFill="1" applyBorder="1" applyAlignment="1">
      <alignment horizontal="left" vertical="center"/>
    </xf>
    <xf numFmtId="0" fontId="0" fillId="0" borderId="14" xfId="0" applyNumberFormat="1" applyFill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76" fontId="6" fillId="0" borderId="15" xfId="0" applyNumberFormat="1" applyFont="1" applyFill="1" applyBorder="1" applyAlignment="1">
      <alignment horizontal="right" vertical="center"/>
    </xf>
    <xf numFmtId="176" fontId="6" fillId="0" borderId="14" xfId="0" applyNumberFormat="1" applyFont="1" applyFill="1" applyBorder="1" applyAlignment="1">
      <alignment horizontal="right" vertical="center"/>
    </xf>
    <xf numFmtId="49" fontId="0" fillId="2" borderId="14" xfId="0" applyNumberFormat="1" applyFill="1" applyBorder="1" applyAlignment="1">
      <alignment horizontal="left" vertical="center"/>
    </xf>
    <xf numFmtId="0" fontId="0" fillId="2" borderId="14" xfId="0" applyNumberFormat="1" applyFill="1" applyBorder="1" applyAlignment="1">
      <alignment horizontal="left" vertical="center"/>
    </xf>
    <xf numFmtId="176" fontId="6" fillId="2" borderId="15" xfId="0" applyNumberFormat="1" applyFont="1" applyFill="1" applyBorder="1" applyAlignment="1">
      <alignment horizontal="right" vertical="center"/>
    </xf>
    <xf numFmtId="176" fontId="6" fillId="2" borderId="14" xfId="0" applyNumberFormat="1" applyFont="1" applyFill="1" applyBorder="1" applyAlignment="1">
      <alignment horizontal="right" vertical="center"/>
    </xf>
    <xf numFmtId="0" fontId="0" fillId="2" borderId="0" xfId="0" applyFill="1">
      <alignment vertical="center"/>
    </xf>
    <xf numFmtId="0" fontId="0" fillId="0" borderId="15" xfId="0" applyFont="1" applyBorder="1" applyAlignment="1">
      <alignment horizontal="centerContinuous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topLeftCell="D1" workbookViewId="0">
      <selection activeCell="AA3" sqref="AA3"/>
    </sheetView>
  </sheetViews>
  <sheetFormatPr defaultRowHeight="13.5"/>
  <cols>
    <col min="1" max="1" width="14" customWidth="1"/>
    <col min="2" max="2" width="15.625" customWidth="1"/>
    <col min="3" max="3" width="31.25" customWidth="1"/>
    <col min="4" max="4" width="7.75" customWidth="1"/>
    <col min="5" max="6" width="7" customWidth="1"/>
    <col min="7" max="23" width="6.125" customWidth="1"/>
    <col min="24" max="24" width="5.875" customWidth="1"/>
    <col min="25" max="27" width="6.125" customWidth="1"/>
  </cols>
  <sheetData>
    <row r="1" spans="1:27" ht="6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2" customFormat="1" ht="22.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21" customHeight="1">
      <c r="A3" s="19" t="s">
        <v>2</v>
      </c>
      <c r="B3" s="19" t="s">
        <v>3</v>
      </c>
      <c r="C3" s="22" t="s">
        <v>4</v>
      </c>
      <c r="D3" s="19" t="s">
        <v>5</v>
      </c>
      <c r="E3" s="23" t="s">
        <v>6</v>
      </c>
      <c r="F3" s="3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33"/>
    </row>
    <row r="4" spans="1:27" ht="24" customHeight="1">
      <c r="A4" s="20"/>
      <c r="B4" s="20"/>
      <c r="C4" s="20"/>
      <c r="D4" s="20"/>
      <c r="E4" s="24"/>
      <c r="F4" s="5" t="s">
        <v>8</v>
      </c>
      <c r="G4" s="6"/>
      <c r="H4" s="6"/>
      <c r="I4" s="6"/>
      <c r="J4" s="6"/>
      <c r="K4" s="6"/>
      <c r="L4" s="6"/>
      <c r="M4" s="7"/>
      <c r="N4" s="15" t="s">
        <v>9</v>
      </c>
      <c r="O4" s="16"/>
      <c r="P4" s="16"/>
      <c r="Q4" s="17"/>
      <c r="R4" s="15" t="s">
        <v>10</v>
      </c>
      <c r="S4" s="16"/>
      <c r="T4" s="16"/>
      <c r="U4" s="16"/>
      <c r="V4" s="16"/>
      <c r="W4" s="16"/>
      <c r="X4" s="16"/>
      <c r="Y4" s="16"/>
      <c r="Z4" s="16"/>
      <c r="AA4" s="17"/>
    </row>
    <row r="5" spans="1:27" ht="63" customHeight="1">
      <c r="A5" s="21"/>
      <c r="B5" s="21"/>
      <c r="C5" s="21"/>
      <c r="D5" s="21"/>
      <c r="E5" s="25"/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9" t="s">
        <v>18</v>
      </c>
      <c r="N5" s="10" t="s">
        <v>11</v>
      </c>
      <c r="O5" s="10" t="s">
        <v>19</v>
      </c>
      <c r="P5" s="10" t="s">
        <v>20</v>
      </c>
      <c r="Q5" s="10" t="s">
        <v>21</v>
      </c>
      <c r="R5" s="10" t="s">
        <v>11</v>
      </c>
      <c r="S5" s="10" t="s">
        <v>22</v>
      </c>
      <c r="T5" s="10" t="s">
        <v>23</v>
      </c>
      <c r="U5" s="10" t="s">
        <v>24</v>
      </c>
      <c r="V5" s="10" t="s">
        <v>25</v>
      </c>
      <c r="W5" s="10" t="s">
        <v>26</v>
      </c>
      <c r="X5" s="10" t="s">
        <v>27</v>
      </c>
      <c r="Y5" s="10" t="s">
        <v>28</v>
      </c>
      <c r="Z5" s="10" t="s">
        <v>29</v>
      </c>
      <c r="AA5" s="10" t="s">
        <v>30</v>
      </c>
    </row>
    <row r="6" spans="1:27" s="12" customFormat="1" ht="13.5" customHeight="1">
      <c r="A6" s="11" t="s">
        <v>31</v>
      </c>
      <c r="B6" s="11" t="s">
        <v>31</v>
      </c>
      <c r="C6" s="11" t="s">
        <v>31</v>
      </c>
      <c r="D6" s="11">
        <v>1</v>
      </c>
      <c r="E6" s="11">
        <v>2</v>
      </c>
      <c r="F6" s="11">
        <v>3</v>
      </c>
      <c r="G6" s="11">
        <v>4</v>
      </c>
      <c r="H6" s="11">
        <v>5</v>
      </c>
      <c r="I6" s="11">
        <v>6</v>
      </c>
      <c r="J6" s="11">
        <v>7</v>
      </c>
      <c r="K6" s="11">
        <v>8</v>
      </c>
      <c r="L6" s="11"/>
      <c r="M6" s="11">
        <v>9</v>
      </c>
      <c r="N6" s="11">
        <v>10</v>
      </c>
      <c r="O6" s="11">
        <v>12</v>
      </c>
      <c r="P6" s="11">
        <v>14</v>
      </c>
      <c r="Q6" s="11">
        <v>15</v>
      </c>
      <c r="R6" s="11">
        <v>16</v>
      </c>
      <c r="S6" s="11"/>
      <c r="T6" s="11">
        <v>17</v>
      </c>
      <c r="U6" s="11">
        <v>18</v>
      </c>
      <c r="V6" s="11">
        <v>19</v>
      </c>
      <c r="W6" s="11">
        <v>21</v>
      </c>
      <c r="X6" s="11">
        <v>22</v>
      </c>
      <c r="Y6" s="11">
        <v>23</v>
      </c>
      <c r="Z6" s="11">
        <v>25</v>
      </c>
      <c r="AA6" s="11">
        <v>26</v>
      </c>
    </row>
    <row r="7" spans="1:27" s="32" customFormat="1" ht="19.5" customHeight="1">
      <c r="A7" s="28" t="s">
        <v>32</v>
      </c>
      <c r="B7" s="29" t="s">
        <v>33</v>
      </c>
      <c r="C7" s="28"/>
      <c r="D7" s="30">
        <v>150.68</v>
      </c>
      <c r="E7" s="31">
        <f>F7+N7+R7</f>
        <v>150.68</v>
      </c>
      <c r="F7" s="31">
        <v>131.30000000000001</v>
      </c>
      <c r="G7" s="31">
        <v>98.43</v>
      </c>
      <c r="H7" s="31">
        <v>11.39</v>
      </c>
      <c r="I7" s="31">
        <v>0</v>
      </c>
      <c r="J7" s="31">
        <v>0</v>
      </c>
      <c r="K7" s="31">
        <v>17.28</v>
      </c>
      <c r="L7" s="31">
        <v>4.2</v>
      </c>
      <c r="M7" s="31">
        <v>0</v>
      </c>
      <c r="N7" s="30">
        <v>0</v>
      </c>
      <c r="O7" s="30">
        <v>0</v>
      </c>
      <c r="P7" s="30">
        <v>0</v>
      </c>
      <c r="Q7" s="30">
        <v>0</v>
      </c>
      <c r="R7" s="30">
        <f t="shared" ref="R7:R25" si="0">SUM(S7:AA7)</f>
        <v>19.38</v>
      </c>
      <c r="S7" s="30">
        <v>0</v>
      </c>
      <c r="T7" s="30">
        <v>0.45</v>
      </c>
      <c r="U7" s="30">
        <v>6.85</v>
      </c>
      <c r="V7" s="30">
        <v>0</v>
      </c>
      <c r="W7" s="30">
        <v>0</v>
      </c>
      <c r="X7" s="30">
        <v>0</v>
      </c>
      <c r="Y7" s="30">
        <v>2.08</v>
      </c>
      <c r="Z7" s="30">
        <v>0</v>
      </c>
      <c r="AA7" s="30">
        <v>10</v>
      </c>
    </row>
    <row r="8" spans="1:27" ht="19.5" customHeight="1">
      <c r="A8" s="13" t="s">
        <v>34</v>
      </c>
      <c r="B8" s="14" t="s">
        <v>35</v>
      </c>
      <c r="C8" s="13" t="s">
        <v>36</v>
      </c>
      <c r="D8" s="26">
        <v>23.96</v>
      </c>
      <c r="E8" s="31">
        <f t="shared" ref="E8:E25" si="1">F8+N8+R8</f>
        <v>23.96</v>
      </c>
      <c r="F8" s="27">
        <v>23.96</v>
      </c>
      <c r="G8" s="27">
        <v>23.96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6">
        <v>0</v>
      </c>
      <c r="O8" s="26">
        <v>0</v>
      </c>
      <c r="P8" s="26">
        <v>0</v>
      </c>
      <c r="Q8" s="26">
        <v>0</v>
      </c>
      <c r="R8" s="26">
        <f t="shared" si="0"/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</row>
    <row r="9" spans="1:27" ht="19.5" customHeight="1">
      <c r="A9" s="13" t="s">
        <v>34</v>
      </c>
      <c r="B9" s="14" t="s">
        <v>35</v>
      </c>
      <c r="C9" s="13" t="s">
        <v>37</v>
      </c>
      <c r="D9" s="26">
        <v>22.41</v>
      </c>
      <c r="E9" s="31">
        <f t="shared" si="1"/>
        <v>22.41</v>
      </c>
      <c r="F9" s="27">
        <v>22.41</v>
      </c>
      <c r="G9" s="27">
        <v>22.41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6">
        <v>0</v>
      </c>
      <c r="O9" s="26">
        <v>0</v>
      </c>
      <c r="P9" s="26">
        <v>0</v>
      </c>
      <c r="Q9" s="26">
        <v>0</v>
      </c>
      <c r="R9" s="26">
        <f t="shared" si="0"/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</row>
    <row r="10" spans="1:27" ht="19.5" customHeight="1">
      <c r="A10" s="13" t="s">
        <v>34</v>
      </c>
      <c r="B10" s="14" t="s">
        <v>35</v>
      </c>
      <c r="C10" s="13" t="s">
        <v>38</v>
      </c>
      <c r="D10" s="26">
        <v>26.49</v>
      </c>
      <c r="E10" s="31">
        <f t="shared" si="1"/>
        <v>26.49</v>
      </c>
      <c r="F10" s="27">
        <v>26.49</v>
      </c>
      <c r="G10" s="27">
        <v>26.49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6">
        <v>0</v>
      </c>
      <c r="O10" s="26">
        <v>0</v>
      </c>
      <c r="P10" s="26">
        <v>0</v>
      </c>
      <c r="Q10" s="26">
        <v>0</v>
      </c>
      <c r="R10" s="26">
        <f t="shared" si="0"/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</row>
    <row r="11" spans="1:27" ht="19.5" customHeight="1">
      <c r="A11" s="13" t="s">
        <v>34</v>
      </c>
      <c r="B11" s="14" t="s">
        <v>35</v>
      </c>
      <c r="C11" s="13" t="s">
        <v>39</v>
      </c>
      <c r="D11" s="26">
        <v>11.98</v>
      </c>
      <c r="E11" s="31">
        <f t="shared" si="1"/>
        <v>11.98</v>
      </c>
      <c r="F11" s="27">
        <v>11.98</v>
      </c>
      <c r="G11" s="27">
        <v>0</v>
      </c>
      <c r="H11" s="27">
        <v>0</v>
      </c>
      <c r="I11" s="27">
        <v>0</v>
      </c>
      <c r="J11" s="27">
        <v>0</v>
      </c>
      <c r="K11" s="27">
        <v>11.98</v>
      </c>
      <c r="L11" s="27">
        <v>0</v>
      </c>
      <c r="M11" s="27">
        <v>0</v>
      </c>
      <c r="N11" s="26">
        <v>0</v>
      </c>
      <c r="O11" s="26">
        <v>0</v>
      </c>
      <c r="P11" s="26">
        <v>0</v>
      </c>
      <c r="Q11" s="26">
        <v>0</v>
      </c>
      <c r="R11" s="26">
        <f t="shared" si="0"/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</row>
    <row r="12" spans="1:27" ht="19.5" customHeight="1">
      <c r="A12" s="13" t="s">
        <v>34</v>
      </c>
      <c r="B12" s="14" t="s">
        <v>35</v>
      </c>
      <c r="C12" s="13" t="s">
        <v>40</v>
      </c>
      <c r="D12" s="26">
        <v>0.21</v>
      </c>
      <c r="E12" s="31">
        <f t="shared" si="1"/>
        <v>0.21</v>
      </c>
      <c r="F12" s="27">
        <v>0.21</v>
      </c>
      <c r="G12" s="27">
        <v>0</v>
      </c>
      <c r="H12" s="27">
        <v>0</v>
      </c>
      <c r="I12" s="27">
        <v>0</v>
      </c>
      <c r="J12" s="27">
        <v>0</v>
      </c>
      <c r="K12" s="27">
        <v>0.21</v>
      </c>
      <c r="L12" s="27">
        <v>0</v>
      </c>
      <c r="M12" s="27">
        <v>0</v>
      </c>
      <c r="N12" s="26">
        <v>0</v>
      </c>
      <c r="O12" s="26">
        <v>0</v>
      </c>
      <c r="P12" s="26">
        <v>0</v>
      </c>
      <c r="Q12" s="26">
        <v>0</v>
      </c>
      <c r="R12" s="26">
        <f t="shared" si="0"/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</row>
    <row r="13" spans="1:27" ht="19.5" customHeight="1">
      <c r="A13" s="13" t="s">
        <v>34</v>
      </c>
      <c r="B13" s="14" t="s">
        <v>35</v>
      </c>
      <c r="C13" s="13" t="s">
        <v>41</v>
      </c>
      <c r="D13" s="26">
        <v>4.79</v>
      </c>
      <c r="E13" s="31">
        <f t="shared" si="1"/>
        <v>4.79</v>
      </c>
      <c r="F13" s="27">
        <v>4.79</v>
      </c>
      <c r="G13" s="27">
        <v>0</v>
      </c>
      <c r="H13" s="27">
        <v>0</v>
      </c>
      <c r="I13" s="27">
        <v>0</v>
      </c>
      <c r="J13" s="27">
        <v>0</v>
      </c>
      <c r="K13" s="27">
        <v>4.79</v>
      </c>
      <c r="L13" s="27">
        <v>0</v>
      </c>
      <c r="M13" s="27">
        <v>0</v>
      </c>
      <c r="N13" s="26">
        <v>0</v>
      </c>
      <c r="O13" s="26">
        <v>0</v>
      </c>
      <c r="P13" s="26">
        <v>0</v>
      </c>
      <c r="Q13" s="26">
        <v>0</v>
      </c>
      <c r="R13" s="26">
        <f t="shared" si="0"/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</row>
    <row r="14" spans="1:27" ht="19.5" customHeight="1">
      <c r="A14" s="13" t="s">
        <v>34</v>
      </c>
      <c r="B14" s="14" t="s">
        <v>35</v>
      </c>
      <c r="C14" s="13" t="s">
        <v>23</v>
      </c>
      <c r="D14" s="26">
        <v>0.45</v>
      </c>
      <c r="E14" s="31">
        <f t="shared" si="1"/>
        <v>0.45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6">
        <v>0</v>
      </c>
      <c r="O14" s="26">
        <v>0</v>
      </c>
      <c r="P14" s="26">
        <v>0</v>
      </c>
      <c r="Q14" s="26">
        <v>0</v>
      </c>
      <c r="R14" s="26">
        <f t="shared" si="0"/>
        <v>0.45</v>
      </c>
      <c r="S14" s="26">
        <v>0</v>
      </c>
      <c r="T14" s="26">
        <v>0.45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</row>
    <row r="15" spans="1:27" ht="19.5" customHeight="1">
      <c r="A15" s="13" t="s">
        <v>34</v>
      </c>
      <c r="B15" s="14" t="s">
        <v>35</v>
      </c>
      <c r="C15" s="13" t="s">
        <v>42</v>
      </c>
      <c r="D15" s="26">
        <v>10</v>
      </c>
      <c r="E15" s="31">
        <f t="shared" si="1"/>
        <v>10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6">
        <v>0</v>
      </c>
      <c r="O15" s="26">
        <v>0</v>
      </c>
      <c r="P15" s="26">
        <v>0</v>
      </c>
      <c r="Q15" s="26">
        <v>0</v>
      </c>
      <c r="R15" s="26">
        <f t="shared" si="0"/>
        <v>10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10</v>
      </c>
    </row>
    <row r="16" spans="1:27" ht="19.5" customHeight="1">
      <c r="A16" s="13" t="s">
        <v>34</v>
      </c>
      <c r="B16" s="14" t="s">
        <v>35</v>
      </c>
      <c r="C16" s="13" t="s">
        <v>43</v>
      </c>
      <c r="D16" s="26">
        <v>0.3</v>
      </c>
      <c r="E16" s="31">
        <f t="shared" si="1"/>
        <v>0.3</v>
      </c>
      <c r="F16" s="27">
        <v>0.3</v>
      </c>
      <c r="G16" s="27">
        <v>0</v>
      </c>
      <c r="H16" s="27">
        <v>0</v>
      </c>
      <c r="I16" s="27">
        <v>0</v>
      </c>
      <c r="J16" s="27">
        <v>0</v>
      </c>
      <c r="K16" s="27">
        <v>0.3</v>
      </c>
      <c r="L16" s="27">
        <v>0</v>
      </c>
      <c r="M16" s="27">
        <v>0</v>
      </c>
      <c r="N16" s="26">
        <v>0</v>
      </c>
      <c r="O16" s="26">
        <v>0</v>
      </c>
      <c r="P16" s="26">
        <v>0</v>
      </c>
      <c r="Q16" s="26">
        <v>0</v>
      </c>
      <c r="R16" s="26">
        <f t="shared" si="0"/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</row>
    <row r="17" spans="1:27" ht="19.5" customHeight="1">
      <c r="A17" s="13" t="s">
        <v>34</v>
      </c>
      <c r="B17" s="14" t="s">
        <v>35</v>
      </c>
      <c r="C17" s="13" t="s">
        <v>44</v>
      </c>
      <c r="D17" s="26">
        <v>8.56</v>
      </c>
      <c r="E17" s="31">
        <f t="shared" si="1"/>
        <v>8.56</v>
      </c>
      <c r="F17" s="27">
        <v>8.56</v>
      </c>
      <c r="G17" s="27">
        <v>8.56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6">
        <v>0</v>
      </c>
      <c r="O17" s="26">
        <v>0</v>
      </c>
      <c r="P17" s="26">
        <v>0</v>
      </c>
      <c r="Q17" s="26">
        <v>0</v>
      </c>
      <c r="R17" s="26">
        <f t="shared" si="0"/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</row>
    <row r="18" spans="1:27" ht="19.5" customHeight="1">
      <c r="A18" s="13" t="s">
        <v>34</v>
      </c>
      <c r="B18" s="14" t="s">
        <v>35</v>
      </c>
      <c r="C18" s="13" t="s">
        <v>45</v>
      </c>
      <c r="D18" s="26">
        <v>7.0000000000000007E-2</v>
      </c>
      <c r="E18" s="31">
        <f t="shared" si="1"/>
        <v>7.0000000000000007E-2</v>
      </c>
      <c r="F18" s="27">
        <v>7.0000000000000007E-2</v>
      </c>
      <c r="G18" s="27">
        <v>7.0000000000000007E-2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6">
        <v>0</v>
      </c>
      <c r="O18" s="26">
        <v>0</v>
      </c>
      <c r="P18" s="26">
        <v>0</v>
      </c>
      <c r="Q18" s="26">
        <v>0</v>
      </c>
      <c r="R18" s="26">
        <f t="shared" si="0"/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</row>
    <row r="19" spans="1:27" ht="19.5" customHeight="1">
      <c r="A19" s="13" t="s">
        <v>34</v>
      </c>
      <c r="B19" s="14" t="s">
        <v>35</v>
      </c>
      <c r="C19" s="13" t="s">
        <v>46</v>
      </c>
      <c r="D19" s="26">
        <v>6.85</v>
      </c>
      <c r="E19" s="31">
        <f t="shared" si="1"/>
        <v>6.85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6">
        <v>0</v>
      </c>
      <c r="O19" s="26">
        <v>0</v>
      </c>
      <c r="P19" s="26">
        <v>0</v>
      </c>
      <c r="Q19" s="26">
        <v>0</v>
      </c>
      <c r="R19" s="26">
        <f t="shared" si="0"/>
        <v>6.85</v>
      </c>
      <c r="S19" s="26">
        <v>0</v>
      </c>
      <c r="T19" s="26">
        <v>0</v>
      </c>
      <c r="U19" s="26">
        <v>6.85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</row>
    <row r="20" spans="1:27" ht="19.5" customHeight="1">
      <c r="A20" s="13" t="s">
        <v>34</v>
      </c>
      <c r="B20" s="14" t="s">
        <v>35</v>
      </c>
      <c r="C20" s="13" t="s">
        <v>47</v>
      </c>
      <c r="D20" s="26">
        <v>4.5</v>
      </c>
      <c r="E20" s="31">
        <f t="shared" si="1"/>
        <v>4.5</v>
      </c>
      <c r="F20" s="27">
        <v>4.5</v>
      </c>
      <c r="G20" s="27">
        <v>4.5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6">
        <v>0</v>
      </c>
      <c r="O20" s="26">
        <v>0</v>
      </c>
      <c r="P20" s="26">
        <v>0</v>
      </c>
      <c r="Q20" s="26">
        <v>0</v>
      </c>
      <c r="R20" s="26">
        <f t="shared" si="0"/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</row>
    <row r="21" spans="1:27" ht="19.5" customHeight="1">
      <c r="A21" s="13" t="s">
        <v>34</v>
      </c>
      <c r="B21" s="14" t="s">
        <v>35</v>
      </c>
      <c r="C21" s="13" t="s">
        <v>28</v>
      </c>
      <c r="D21" s="26">
        <v>2.08</v>
      </c>
      <c r="E21" s="31">
        <f t="shared" si="1"/>
        <v>2.08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6">
        <v>0</v>
      </c>
      <c r="O21" s="26">
        <v>0</v>
      </c>
      <c r="P21" s="26">
        <v>0</v>
      </c>
      <c r="Q21" s="26">
        <v>0</v>
      </c>
      <c r="R21" s="26">
        <f t="shared" si="0"/>
        <v>2.08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2.08</v>
      </c>
      <c r="Z21" s="26">
        <v>0</v>
      </c>
      <c r="AA21" s="26">
        <v>0</v>
      </c>
    </row>
    <row r="22" spans="1:27" ht="19.5" customHeight="1">
      <c r="A22" s="13" t="s">
        <v>34</v>
      </c>
      <c r="B22" s="14" t="s">
        <v>35</v>
      </c>
      <c r="C22" s="13" t="s">
        <v>48</v>
      </c>
      <c r="D22" s="26">
        <v>9.99</v>
      </c>
      <c r="E22" s="31">
        <f t="shared" si="1"/>
        <v>9.99</v>
      </c>
      <c r="F22" s="27">
        <v>9.99</v>
      </c>
      <c r="G22" s="27">
        <v>9.99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6">
        <v>0</v>
      </c>
      <c r="O22" s="26">
        <v>0</v>
      </c>
      <c r="P22" s="26">
        <v>0</v>
      </c>
      <c r="Q22" s="26">
        <v>0</v>
      </c>
      <c r="R22" s="26">
        <f t="shared" si="0"/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</row>
    <row r="23" spans="1:27" ht="19.5" customHeight="1">
      <c r="A23" s="13" t="s">
        <v>34</v>
      </c>
      <c r="B23" s="14" t="s">
        <v>35</v>
      </c>
      <c r="C23" s="13" t="s">
        <v>49</v>
      </c>
      <c r="D23" s="26">
        <v>4.2</v>
      </c>
      <c r="E23" s="31">
        <f t="shared" si="1"/>
        <v>4.2</v>
      </c>
      <c r="F23" s="27">
        <v>4.2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4.2</v>
      </c>
      <c r="M23" s="27">
        <v>0</v>
      </c>
      <c r="N23" s="26">
        <v>0</v>
      </c>
      <c r="O23" s="26">
        <v>0</v>
      </c>
      <c r="P23" s="26">
        <v>0</v>
      </c>
      <c r="Q23" s="26">
        <v>0</v>
      </c>
      <c r="R23" s="26">
        <f t="shared" si="0"/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</row>
    <row r="24" spans="1:27" ht="19.5" customHeight="1">
      <c r="A24" s="13" t="s">
        <v>50</v>
      </c>
      <c r="B24" s="14" t="s">
        <v>51</v>
      </c>
      <c r="C24" s="13" t="s">
        <v>13</v>
      </c>
      <c r="D24" s="26">
        <v>11.39</v>
      </c>
      <c r="E24" s="31">
        <f t="shared" si="1"/>
        <v>11.39</v>
      </c>
      <c r="F24" s="27">
        <v>11.39</v>
      </c>
      <c r="G24" s="27">
        <v>0</v>
      </c>
      <c r="H24" s="27">
        <v>11.39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6">
        <v>0</v>
      </c>
      <c r="O24" s="26">
        <v>0</v>
      </c>
      <c r="P24" s="26">
        <v>0</v>
      </c>
      <c r="Q24" s="26">
        <v>0</v>
      </c>
      <c r="R24" s="26">
        <f t="shared" si="0"/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</row>
    <row r="25" spans="1:27" ht="19.5" customHeight="1">
      <c r="A25" s="13" t="s">
        <v>52</v>
      </c>
      <c r="B25" s="14" t="s">
        <v>53</v>
      </c>
      <c r="C25" s="13" t="s">
        <v>54</v>
      </c>
      <c r="D25" s="26">
        <v>2.4500000000000002</v>
      </c>
      <c r="E25" s="31">
        <f t="shared" si="1"/>
        <v>2.4500000000000002</v>
      </c>
      <c r="F25" s="27">
        <v>2.4500000000000002</v>
      </c>
      <c r="G25" s="27">
        <v>2.4500000000000002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6">
        <v>0</v>
      </c>
      <c r="O25" s="26">
        <v>0</v>
      </c>
      <c r="P25" s="26">
        <v>0</v>
      </c>
      <c r="Q25" s="26">
        <v>0</v>
      </c>
      <c r="R25" s="26">
        <f t="shared" si="0"/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</row>
  </sheetData>
  <mergeCells count="8">
    <mergeCell ref="A2:AA2"/>
    <mergeCell ref="A3:A5"/>
    <mergeCell ref="B3:B5"/>
    <mergeCell ref="C3:C5"/>
    <mergeCell ref="D3:D5"/>
    <mergeCell ref="E3:E5"/>
    <mergeCell ref="N4:Q4"/>
    <mergeCell ref="R4:AA4"/>
  </mergeCells>
  <phoneticPr fontId="2" type="noConversion"/>
  <pageMargins left="0.19685039370078741" right="0.11811023622047245" top="0.74803149606299213" bottom="0.74803149606299213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2019-02-11T06:41:37Z</cp:lastPrinted>
  <dcterms:created xsi:type="dcterms:W3CDTF">2019-01-31T02:33:50Z</dcterms:created>
  <dcterms:modified xsi:type="dcterms:W3CDTF">2019-02-11T06:41:40Z</dcterms:modified>
</cp:coreProperties>
</file>