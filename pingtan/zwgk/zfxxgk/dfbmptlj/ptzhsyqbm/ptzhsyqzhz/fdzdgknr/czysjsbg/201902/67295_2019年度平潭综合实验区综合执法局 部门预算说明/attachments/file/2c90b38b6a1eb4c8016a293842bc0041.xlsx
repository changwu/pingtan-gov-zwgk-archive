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105" windowWidth="20730" windowHeight="11760" tabRatio="1000" firstSheet="4" activeTab="16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（1）" sheetId="163" r:id="rId11"/>
    <sheet name="附表3-11（2）" sheetId="165" r:id="rId12"/>
    <sheet name="附表3-11（3）" sheetId="166" r:id="rId13"/>
    <sheet name="附表3-11（4）" sheetId="167" r:id="rId14"/>
    <sheet name="附表3-11（5）" sheetId="168" r:id="rId15"/>
    <sheet name="附表3-11（6）" sheetId="169" r:id="rId16"/>
    <sheet name="附表3-11（7）" sheetId="164" r:id="rId17"/>
    <sheet name="附表3-12" sheetId="162" r:id="rId18"/>
  </sheets>
  <externalReferences>
    <externalReference r:id="rId19"/>
    <externalReference r:id="rId20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5725" fullPrecision="0"/>
</workbook>
</file>

<file path=xl/calcChain.xml><?xml version="1.0" encoding="utf-8"?>
<calcChain xmlns="http://schemas.openxmlformats.org/spreadsheetml/2006/main">
  <c r="F12" i="164"/>
  <c r="F11"/>
  <c r="F11" i="169"/>
  <c r="F11" i="168"/>
  <c r="F12" i="167"/>
  <c r="F11"/>
  <c r="F12" i="166"/>
  <c r="F11"/>
  <c r="F12" i="165"/>
  <c r="F13" i="163"/>
  <c r="F12"/>
  <c r="B8" i="83"/>
  <c r="B5" s="1"/>
  <c r="D7" i="80"/>
  <c r="C7"/>
  <c r="F21" i="78"/>
  <c r="E21"/>
  <c r="H21"/>
  <c r="F25"/>
  <c r="G26"/>
  <c r="G25" s="1"/>
  <c r="H26"/>
  <c r="H25" s="1"/>
  <c r="I26"/>
  <c r="I25" s="1"/>
  <c r="F26"/>
  <c r="G22"/>
  <c r="H22"/>
  <c r="I22"/>
  <c r="F22"/>
  <c r="G19"/>
  <c r="G18" s="1"/>
  <c r="H19"/>
  <c r="I19"/>
  <c r="I18" s="1"/>
  <c r="H18"/>
  <c r="F18"/>
  <c r="F19"/>
  <c r="E19" s="1"/>
  <c r="K19" s="1"/>
  <c r="J19" s="1"/>
  <c r="H15"/>
  <c r="I15"/>
  <c r="F15"/>
  <c r="G16"/>
  <c r="G15" s="1"/>
  <c r="H16"/>
  <c r="F16"/>
  <c r="E15"/>
  <c r="K15" s="1"/>
  <c r="J15" s="1"/>
  <c r="E17"/>
  <c r="K17" s="1"/>
  <c r="J17" s="1"/>
  <c r="E18"/>
  <c r="K18" s="1"/>
  <c r="J18" s="1"/>
  <c r="E20"/>
  <c r="E23"/>
  <c r="K23" s="1"/>
  <c r="J23" s="1"/>
  <c r="E24"/>
  <c r="K24" s="1"/>
  <c r="J24" s="1"/>
  <c r="E27"/>
  <c r="K27" s="1"/>
  <c r="J27" s="1"/>
  <c r="E28"/>
  <c r="F12"/>
  <c r="G12"/>
  <c r="H12"/>
  <c r="I12"/>
  <c r="E12"/>
  <c r="F13"/>
  <c r="G13"/>
  <c r="H13"/>
  <c r="I13"/>
  <c r="E13"/>
  <c r="K13" s="1"/>
  <c r="J13" s="1"/>
  <c r="D21" i="77"/>
  <c r="D20" s="1"/>
  <c r="E14" i="78"/>
  <c r="K14" s="1"/>
  <c r="J14" s="1"/>
  <c r="E11"/>
  <c r="K11" s="1"/>
  <c r="K10" s="1"/>
  <c r="K9" s="1"/>
  <c r="F9"/>
  <c r="H9"/>
  <c r="F10"/>
  <c r="G10"/>
  <c r="G9" s="1"/>
  <c r="H10"/>
  <c r="I10"/>
  <c r="I9" s="1"/>
  <c r="K12"/>
  <c r="J12" s="1"/>
  <c r="K20"/>
  <c r="J20" s="1"/>
  <c r="K28"/>
  <c r="J28" s="1"/>
  <c r="C22" i="77"/>
  <c r="D15"/>
  <c r="D14" s="1"/>
  <c r="C14" s="1"/>
  <c r="C10"/>
  <c r="C13"/>
  <c r="C15"/>
  <c r="C19"/>
  <c r="C26"/>
  <c r="C27"/>
  <c r="C16"/>
  <c r="C23"/>
  <c r="D18"/>
  <c r="C18" s="1"/>
  <c r="D12"/>
  <c r="D11" s="1"/>
  <c r="C11" s="1"/>
  <c r="D9"/>
  <c r="D8" s="1"/>
  <c r="D25"/>
  <c r="D24" s="1"/>
  <c r="C24" s="1"/>
  <c r="C5" i="99"/>
  <c r="B13" i="79"/>
  <c r="D6"/>
  <c r="D13" s="1"/>
  <c r="D7" i="76"/>
  <c r="D12" s="1"/>
  <c r="B12"/>
  <c r="E26" i="78" l="1"/>
  <c r="H8"/>
  <c r="K21"/>
  <c r="J21" s="1"/>
  <c r="E22"/>
  <c r="K22" s="1"/>
  <c r="J22" s="1"/>
  <c r="E16"/>
  <c r="K16" s="1"/>
  <c r="J16" s="1"/>
  <c r="I8"/>
  <c r="E10"/>
  <c r="E9" s="1"/>
  <c r="F8"/>
  <c r="C20" i="77"/>
  <c r="J11" i="78"/>
  <c r="J10" s="1"/>
  <c r="J9" s="1"/>
  <c r="C21" i="77"/>
  <c r="D17"/>
  <c r="C17" s="1"/>
  <c r="C12"/>
  <c r="C8"/>
  <c r="C25"/>
  <c r="C9"/>
  <c r="K26" i="78" l="1"/>
  <c r="J26" s="1"/>
  <c r="E25"/>
  <c r="D7" i="77"/>
  <c r="C7" s="1"/>
  <c r="K25" i="78" l="1"/>
  <c r="J25" s="1"/>
  <c r="E8"/>
  <c r="K8" s="1"/>
  <c r="J8" s="1"/>
</calcChain>
</file>

<file path=xl/sharedStrings.xml><?xml version="1.0" encoding="utf-8"?>
<sst xmlns="http://schemas.openxmlformats.org/spreadsheetml/2006/main" count="934" uniqueCount="466">
  <si>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</si>
  <si>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</si>
  <si>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</si>
  <si>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</si>
  <si>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</si>
  <si>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</si>
  <si>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</si>
  <si>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</si>
  <si>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</si>
  <si>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</si>
  <si>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</si>
  <si>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</si>
  <si>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</si>
  <si>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</si>
  <si>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</si>
  <si>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</si>
  <si>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</si>
  <si>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</si>
  <si>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</si>
  <si>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</si>
  <si>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</si>
  <si>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</si>
  <si>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</si>
  <si>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</si>
  <si>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</si>
  <si>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</si>
  <si>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</si>
  <si>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</si>
  <si>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</si>
  <si>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</si>
  <si>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</si>
  <si>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</si>
  <si>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</si>
  <si>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</si>
  <si>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</si>
  <si>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</si>
  <si>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</si>
  <si>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</si>
  <si>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</si>
  <si>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</si>
  <si>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</si>
  <si>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</si>
  <si>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</si>
  <si>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</si>
  <si>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</si>
  <si>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</si>
  <si>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</si>
  <si>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</si>
  <si>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</si>
  <si>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</si>
  <si>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</si>
  <si>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</si>
  <si>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</si>
  <si>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</si>
  <si>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</si>
  <si>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</si>
  <si>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</si>
  <si>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</si>
  <si>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</si>
  <si>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</si>
  <si>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</si>
  <si>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</si>
  <si>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</si>
  <si>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</si>
  <si>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</si>
  <si>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</si>
  <si>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</si>
  <si>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</si>
  <si>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</si>
  <si>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</si>
  <si>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</si>
  <si>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</si>
  <si>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</si>
  <si>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</si>
  <si>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</si>
  <si>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</si>
  <si>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</si>
  <si>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</si>
  <si>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</si>
  <si>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</si>
  <si>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</si>
  <si>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</si>
  <si>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</si>
  <si>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</si>
  <si>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</si>
  <si>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</si>
  <si>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</si>
  <si>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</si>
  <si>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</si>
  <si>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</si>
  <si>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</si>
  <si>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</si>
  <si>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</si>
  <si>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</si>
  <si>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</si>
  <si>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</si>
  <si>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</si>
  <si>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</si>
  <si>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</si>
  <si>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</si>
  <si>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</si>
  <si>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</si>
  <si>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</si>
  <si>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</si>
  <si>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</si>
  <si>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</si>
  <si>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</si>
  <si>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</si>
  <si>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</si>
  <si>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</si>
  <si>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</si>
  <si>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</si>
  <si>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</si>
  <si>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</si>
  <si>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</si>
  <si>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</si>
  <si>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4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</si>
  <si>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</si>
  <si>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</si>
  <si>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</si>
  <si>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</si>
  <si>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</si>
  <si>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</si>
  <si>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</si>
  <si>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</si>
  <si>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</si>
  <si>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</si>
  <si>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</si>
  <si>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</si>
  <si>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</si>
  <si>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</si>
  <si>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4" type="noConversion"/>
  </si>
  <si>
    <t>其中：（1）公务用车运行费</t>
    <phoneticPr fontId="35" type="noConversion"/>
  </si>
  <si>
    <t>附表3-7</t>
    <phoneticPr fontId="74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</si>
  <si>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</si>
  <si>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</si>
  <si>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</si>
  <si>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</si>
  <si>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</si>
  <si>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</si>
  <si>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</si>
  <si>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</si>
  <si>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</si>
  <si>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</si>
  <si>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</si>
  <si>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</si>
  <si>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</si>
  <si>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</si>
  <si>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</si>
  <si>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</si>
  <si>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</si>
  <si>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</si>
  <si>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</si>
  <si>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</si>
  <si>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</si>
  <si>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</si>
  <si>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</si>
  <si>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</si>
  <si>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</si>
  <si>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</si>
  <si>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</si>
  <si>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</si>
  <si>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</si>
  <si>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</si>
  <si>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</si>
  <si>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</si>
  <si>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</si>
  <si>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</si>
  <si>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</si>
  <si>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</si>
  <si>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</si>
  <si>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</si>
  <si>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</si>
  <si>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</si>
  <si>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</si>
  <si>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</si>
  <si>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</si>
  <si>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</si>
  <si>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</si>
  <si>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</si>
  <si>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</si>
  <si>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</si>
  <si>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</si>
  <si>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</si>
  <si>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</si>
  <si>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</si>
  <si>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</si>
  <si>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</si>
  <si>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</si>
  <si>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</si>
  <si>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</si>
  <si>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</si>
  <si>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</si>
  <si>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</si>
  <si>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</si>
  <si>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</si>
  <si>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</si>
  <si>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</si>
  <si>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</si>
  <si>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</si>
  <si>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</si>
  <si>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</si>
  <si>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</si>
  <si>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</si>
  <si>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</si>
  <si>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</si>
  <si>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</si>
  <si>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</si>
  <si>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</si>
  <si>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</si>
  <si>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</si>
  <si>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</si>
  <si>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</si>
  <si>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</si>
  <si>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</si>
  <si>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</si>
  <si>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</si>
  <si>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</si>
  <si>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</si>
  <si>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</si>
  <si>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</si>
  <si>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</si>
  <si>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</si>
  <si>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</si>
  <si>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</si>
  <si>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</si>
  <si>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</si>
  <si>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</si>
  <si>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</si>
  <si>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</si>
  <si>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</si>
  <si>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</si>
  <si>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</si>
  <si>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</si>
  <si>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</si>
  <si>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</si>
  <si>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</si>
  <si>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</si>
  <si>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</si>
  <si>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</si>
  <si>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</si>
  <si>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</si>
  <si>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</si>
  <si>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</si>
  <si>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</si>
  <si>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</si>
  <si>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</si>
  <si>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</si>
  <si>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</si>
  <si>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</si>
  <si>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</si>
  <si>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</si>
  <si>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</si>
  <si>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</si>
  <si>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</si>
  <si>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</si>
  <si>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</si>
  <si>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</si>
  <si>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</si>
  <si>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</si>
  <si>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</si>
  <si>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 xml:space="preserve">投入 </t>
  </si>
  <si>
    <t>产出</t>
  </si>
  <si>
    <t>……</t>
  </si>
  <si>
    <t>效益</t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</si>
  <si>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</si>
  <si>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</si>
  <si>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</si>
  <si>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</si>
  <si>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</si>
  <si>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</si>
  <si>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</si>
  <si>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</si>
  <si>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</si>
  <si>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</si>
  <si>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</si>
  <si>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附表3-12</t>
    <phoneticPr fontId="35" type="noConversion"/>
  </si>
  <si>
    <t>预算数</t>
    <phoneticPr fontId="74" type="noConversion"/>
  </si>
  <si>
    <t>预算数</t>
    <phoneticPr fontId="74" type="noConversion"/>
  </si>
  <si>
    <t>三、财政专户拨款</t>
    <phoneticPr fontId="74" type="noConversion"/>
  </si>
  <si>
    <t>30204</t>
    <phoneticPr fontId="74" type="noConversion"/>
  </si>
  <si>
    <t>手续费</t>
    <phoneticPr fontId="74" type="noConversion"/>
  </si>
  <si>
    <t>收入合计</t>
    <phoneticPr fontId="74" type="noConversion"/>
  </si>
  <si>
    <t>支出合计</t>
    <phoneticPr fontId="74" type="noConversion"/>
  </si>
  <si>
    <t xml:space="preserve">     人员支出</t>
    <phoneticPr fontId="74" type="noConversion"/>
  </si>
  <si>
    <t xml:space="preserve">     对个人和家庭补助支出</t>
    <phoneticPr fontId="74" type="noConversion"/>
  </si>
  <si>
    <t xml:space="preserve">     公用支出</t>
    <phoneticPr fontId="74" type="noConversion"/>
  </si>
  <si>
    <t>单位：万元</t>
    <phoneticPr fontId="74" type="noConversion"/>
  </si>
  <si>
    <t>单位其它收入</t>
    <phoneticPr fontId="74" type="noConversion"/>
  </si>
  <si>
    <t>合计</t>
    <phoneticPr fontId="74" type="noConversion"/>
  </si>
  <si>
    <t>预算数</t>
    <phoneticPr fontId="74" type="noConversion"/>
  </si>
  <si>
    <t>收入合计</t>
    <phoneticPr fontId="74" type="noConversion"/>
  </si>
  <si>
    <t>支出合计</t>
    <phoneticPr fontId="74" type="noConversion"/>
  </si>
  <si>
    <t>备注：1.本表公开到政府支出功能分类项级科目。</t>
    <phoneticPr fontId="74" type="noConversion"/>
  </si>
  <si>
    <t xml:space="preserve">      2.没有数据的单位应当列出空表并说明。</t>
    <phoneticPr fontId="74" type="noConversion"/>
  </si>
  <si>
    <t>预算数</t>
    <phoneticPr fontId="35" type="noConversion"/>
  </si>
  <si>
    <t>科目编码</t>
    <phoneticPr fontId="35" type="noConversion"/>
  </si>
  <si>
    <t>科目_x000D_编码</t>
    <phoneticPr fontId="74" type="noConversion"/>
  </si>
  <si>
    <t>预算数</t>
    <phoneticPr fontId="74" type="noConversion"/>
  </si>
  <si>
    <t>预算数</t>
    <phoneticPr fontId="74" type="noConversion"/>
  </si>
  <si>
    <t>备注：本表不能留空，没有金额必须标零或写无，并备注说明“本单位无一般公共预算安排的三公经费支出”。</t>
    <phoneticPr fontId="74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</si>
  <si>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</si>
  <si>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4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</si>
  <si>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4" type="noConversion"/>
  </si>
  <si>
    <t xml:space="preserve">
拆迁补偿
</t>
    <phoneticPr fontId="74" type="noConversion"/>
  </si>
  <si>
    <t>土地补偿</t>
    <phoneticPr fontId="74" type="noConversion"/>
  </si>
  <si>
    <t>合计</t>
    <phoneticPr fontId="35" type="noConversion"/>
  </si>
  <si>
    <t>文化体育与传媒支出</t>
  </si>
  <si>
    <t xml:space="preserve">  文化</t>
  </si>
  <si>
    <t xml:space="preserve">    机关服务</t>
  </si>
  <si>
    <t>城乡社区支出</t>
  </si>
  <si>
    <t xml:space="preserve">  城乡社区管理事务</t>
  </si>
  <si>
    <t xml:space="preserve">    城管执法</t>
  </si>
  <si>
    <t>农林水支出</t>
  </si>
  <si>
    <t xml:space="preserve">  农业</t>
  </si>
  <si>
    <t>交通运输支出</t>
  </si>
  <si>
    <t xml:space="preserve">  公路水路运输</t>
  </si>
  <si>
    <t>住房保障支出</t>
  </si>
  <si>
    <t xml:space="preserve">  住房改革支出</t>
  </si>
  <si>
    <t xml:space="preserve">    住房公积金</t>
  </si>
  <si>
    <t xml:space="preserve">    提租补贴</t>
  </si>
  <si>
    <t>文化体育与传媒支出</t>
    <phoneticPr fontId="35" type="noConversion"/>
  </si>
  <si>
    <t>城乡社区支出</t>
    <phoneticPr fontId="35" type="noConversion"/>
  </si>
  <si>
    <t>合计</t>
    <phoneticPr fontId="35" type="noConversion"/>
  </si>
  <si>
    <t>平潭综合实验区综合执法局</t>
    <phoneticPr fontId="74" type="noConversion"/>
  </si>
  <si>
    <t>2019年度收支预算总表</t>
    <phoneticPr fontId="35" type="noConversion"/>
  </si>
  <si>
    <t>2019年度收入预算总表</t>
    <phoneticPr fontId="35" type="noConversion"/>
  </si>
  <si>
    <t>2019年度支出预算总表</t>
    <phoneticPr fontId="35" type="noConversion"/>
  </si>
  <si>
    <t>2019年度财政拨款收支预算总表</t>
    <phoneticPr fontId="35" type="noConversion"/>
  </si>
  <si>
    <t>2019年度一般公共预算拨款支出预算表</t>
    <phoneticPr fontId="35" type="noConversion"/>
  </si>
  <si>
    <t>2019年度政府性基金拨款支出预算表</t>
    <phoneticPr fontId="35" type="noConversion"/>
  </si>
  <si>
    <t>2019年度一般公共预算支出经济分类情况表</t>
    <phoneticPr fontId="74" type="noConversion"/>
  </si>
  <si>
    <t>2019年度一般公共预算基本支出经济分类情况表</t>
    <phoneticPr fontId="35" type="noConversion"/>
  </si>
  <si>
    <t>2019年度一般公共预算“三公”经费支出预算表</t>
    <phoneticPr fontId="35" type="noConversion"/>
  </si>
  <si>
    <t>2019年度部门专项资金管理清单目录</t>
    <phoneticPr fontId="35" type="noConversion"/>
  </si>
  <si>
    <t>2019年度专项资金绩效目标表</t>
    <phoneticPr fontId="35" type="noConversion"/>
  </si>
  <si>
    <t>灾害防治及应急管理支出</t>
    <phoneticPr fontId="74" type="noConversion"/>
  </si>
  <si>
    <t>事业运行</t>
    <phoneticPr fontId="74" type="noConversion"/>
  </si>
  <si>
    <t>应急管理事务</t>
    <phoneticPr fontId="74" type="noConversion"/>
  </si>
  <si>
    <t>安全监管</t>
    <phoneticPr fontId="74" type="noConversion"/>
  </si>
  <si>
    <t>部门业务费绩效目标申报表</t>
    <phoneticPr fontId="35" type="noConversion"/>
  </si>
  <si>
    <t>填报单位:（盖章）</t>
  </si>
  <si>
    <t>业务费资金申请（万元）</t>
    <phoneticPr fontId="35" type="noConversion"/>
  </si>
  <si>
    <t xml:space="preserve">资金总额： </t>
  </si>
  <si>
    <t>一般公共预算拨款：</t>
    <phoneticPr fontId="35" type="noConversion"/>
  </si>
  <si>
    <t xml:space="preserve">基金预算拨款： </t>
    <phoneticPr fontId="35" type="noConversion"/>
  </si>
  <si>
    <t>/</t>
    <phoneticPr fontId="63" type="noConversion"/>
  </si>
  <si>
    <t>其他：</t>
    <phoneticPr fontId="35" type="noConversion"/>
  </si>
  <si>
    <t>根据已批复的2019年预算，合理安排资金使用进度，及时完成细化项目目标，合理合规使用各项资金，并保证预算完成率达到全年目标值。</t>
    <phoneticPr fontId="63" type="noConversion"/>
  </si>
  <si>
    <t xml:space="preserve">
绩效目标   </t>
    <phoneticPr fontId="35" type="noConversion"/>
  </si>
  <si>
    <t>评价指标</t>
    <phoneticPr fontId="35" type="noConversion"/>
  </si>
  <si>
    <t>绩效内容</t>
  </si>
  <si>
    <t>当年度目标</t>
    <phoneticPr fontId="35" type="noConversion"/>
  </si>
  <si>
    <t>绩效标准</t>
    <phoneticPr fontId="35" type="noConversion"/>
  </si>
  <si>
    <t>全年目标值</t>
    <phoneticPr fontId="35" type="noConversion"/>
  </si>
  <si>
    <t>时效目标</t>
  </si>
  <si>
    <t>目标1</t>
  </si>
  <si>
    <t>支出进度</t>
    <phoneticPr fontId="35" type="noConversion"/>
  </si>
  <si>
    <t>按序时进度支出</t>
    <phoneticPr fontId="63" type="noConversion"/>
  </si>
  <si>
    <t>按时间进度完成</t>
    <phoneticPr fontId="63" type="noConversion"/>
  </si>
  <si>
    <t>成本目标</t>
    <phoneticPr fontId="63" type="noConversion"/>
  </si>
  <si>
    <t>目标1</t>
    <phoneticPr fontId="63" type="noConversion"/>
  </si>
  <si>
    <t>人员经费总增长率</t>
    <phoneticPr fontId="63" type="noConversion"/>
  </si>
  <si>
    <t>不超过32.29%</t>
    <phoneticPr fontId="63" type="noConversion"/>
  </si>
  <si>
    <t>目标2</t>
  </si>
  <si>
    <t>公用经费增长率（含专项业务费）</t>
    <phoneticPr fontId="63" type="noConversion"/>
  </si>
  <si>
    <t>不超过7.57%</t>
    <phoneticPr fontId="63" type="noConversion"/>
  </si>
  <si>
    <t>目标3</t>
  </si>
  <si>
    <t>对个人和家庭的补助增长率</t>
    <phoneticPr fontId="63" type="noConversion"/>
  </si>
  <si>
    <t>目标4</t>
  </si>
  <si>
    <t>预算完成率</t>
    <phoneticPr fontId="35" type="noConversion"/>
  </si>
  <si>
    <t>85.91%以上</t>
    <phoneticPr fontId="63" type="noConversion"/>
  </si>
  <si>
    <t>数量目标</t>
  </si>
  <si>
    <t>业务费细化率</t>
    <phoneticPr fontId="35" type="noConversion"/>
  </si>
  <si>
    <t>98%以上</t>
    <phoneticPr fontId="63" type="noConversion"/>
  </si>
  <si>
    <t>保障人数</t>
    <phoneticPr fontId="35" type="noConversion"/>
  </si>
  <si>
    <t>本单位177人</t>
    <phoneticPr fontId="63" type="noConversion"/>
  </si>
  <si>
    <t>质量目标</t>
  </si>
  <si>
    <t>细化项目目标完成情况</t>
    <phoneticPr fontId="35" type="noConversion"/>
  </si>
  <si>
    <t>100%完成</t>
    <phoneticPr fontId="63" type="noConversion"/>
  </si>
  <si>
    <t>资金使用合规性</t>
    <phoneticPr fontId="35" type="noConversion"/>
  </si>
  <si>
    <t>100%合规</t>
    <phoneticPr fontId="63" type="noConversion"/>
  </si>
  <si>
    <t>政府采购、购买服务执行情况</t>
    <phoneticPr fontId="35" type="noConversion"/>
  </si>
  <si>
    <t>政府采购预算</t>
    <phoneticPr fontId="63" type="noConversion"/>
  </si>
  <si>
    <t>完成采购预算</t>
    <phoneticPr fontId="63" type="noConversion"/>
  </si>
  <si>
    <t>效益</t>
    <phoneticPr fontId="35" type="noConversion"/>
  </si>
  <si>
    <t>服务对象满意度目标</t>
  </si>
  <si>
    <t>服务对象满意度情况</t>
    <phoneticPr fontId="35" type="noConversion"/>
  </si>
  <si>
    <t>96%以上</t>
    <phoneticPr fontId="63" type="noConversion"/>
  </si>
  <si>
    <t>备注</t>
    <phoneticPr fontId="35" type="noConversion"/>
  </si>
  <si>
    <t>2018年新考录26人，故人员经费增长超过20%</t>
    <phoneticPr fontId="63" type="noConversion"/>
  </si>
  <si>
    <r>
      <t>审核人：</t>
    </r>
    <r>
      <rPr>
        <sz val="11"/>
        <color indexed="8"/>
        <rFont val="Calibri"/>
        <family val="2"/>
      </rPr>
      <t xml:space="preserve">   </t>
    </r>
  </si>
  <si>
    <r>
      <t>填报人：</t>
    </r>
    <r>
      <rPr>
        <sz val="11"/>
        <color indexed="8"/>
        <rFont val="Calibri"/>
        <family val="2"/>
      </rPr>
      <t xml:space="preserve">  </t>
    </r>
  </si>
  <si>
    <t>填报日期：</t>
    <phoneticPr fontId="35" type="noConversion"/>
  </si>
  <si>
    <t>另：每个部门业务费只需填报一份绩效目标，如有细化业务费绩效指标，可参照财政支出项目绩效目标进行填报。</t>
    <phoneticPr fontId="35" type="noConversion"/>
  </si>
  <si>
    <r>
      <t>附表3</t>
    </r>
    <r>
      <rPr>
        <sz val="12"/>
        <rFont val="宋体"/>
        <family val="3"/>
        <charset val="134"/>
      </rPr>
      <t>-11（1）</t>
    </r>
    <phoneticPr fontId="35" type="noConversion"/>
  </si>
  <si>
    <t>区综合执法局本级</t>
    <phoneticPr fontId="35" type="noConversion"/>
  </si>
  <si>
    <t>不超过4.76%</t>
    <phoneticPr fontId="63" type="noConversion"/>
  </si>
  <si>
    <t>83.66%以上</t>
    <phoneticPr fontId="63" type="noConversion"/>
  </si>
  <si>
    <t>本单位9人</t>
    <phoneticPr fontId="63" type="noConversion"/>
  </si>
  <si>
    <t>区文化市场综合执法支队</t>
    <phoneticPr fontId="35" type="noConversion"/>
  </si>
  <si>
    <t>不超过14.06%</t>
    <phoneticPr fontId="63" type="noConversion"/>
  </si>
  <si>
    <t>不超过18.09%</t>
    <phoneticPr fontId="63" type="noConversion"/>
  </si>
  <si>
    <t>87.53%以上</t>
    <phoneticPr fontId="63" type="noConversion"/>
  </si>
  <si>
    <t>本单位12人</t>
    <phoneticPr fontId="63" type="noConversion"/>
  </si>
  <si>
    <t>区农业综合执法支队</t>
    <phoneticPr fontId="35" type="noConversion"/>
  </si>
  <si>
    <t>不超过9.22%</t>
    <phoneticPr fontId="63" type="noConversion"/>
  </si>
  <si>
    <t>不超过18.31%</t>
    <phoneticPr fontId="63" type="noConversion"/>
  </si>
  <si>
    <t>97.57%以上</t>
    <phoneticPr fontId="63" type="noConversion"/>
  </si>
  <si>
    <t>本单位17人</t>
    <phoneticPr fontId="63" type="noConversion"/>
  </si>
  <si>
    <t>区交通综合执法支队</t>
    <phoneticPr fontId="35" type="noConversion"/>
  </si>
  <si>
    <t>填报单位:区安监局</t>
  </si>
  <si>
    <t>业务费资金申请（万元）</t>
  </si>
  <si>
    <t>一般公共预算拨款：</t>
  </si>
  <si>
    <t xml:space="preserve">基金预算拨款： </t>
  </si>
  <si>
    <t>其他：</t>
  </si>
  <si>
    <t>总体目标</t>
  </si>
  <si>
    <t>根据已批复的2019年预算，合理安排资金使用进度，及时完成细化项目目标，合理合规使用各项资金，并保证预算完成率达到全年目标值。</t>
  </si>
  <si>
    <t xml:space="preserve">
绩效目标   </t>
  </si>
  <si>
    <t>评价指标</t>
  </si>
  <si>
    <t>当年度目标</t>
  </si>
  <si>
    <t>绩效标准</t>
  </si>
  <si>
    <t>全年目标值</t>
  </si>
  <si>
    <t>支出进度</t>
  </si>
  <si>
    <t>按序时进度支出</t>
  </si>
  <si>
    <t>按时间进度完成</t>
  </si>
  <si>
    <t>成本目标</t>
  </si>
  <si>
    <t>人员经费总增长率</t>
  </si>
  <si>
    <t>不超过2%</t>
  </si>
  <si>
    <t>公用经费增长率（含专项业务费）</t>
  </si>
  <si>
    <t>对个人和家庭的补助增长率</t>
  </si>
  <si>
    <t>预算完成率</t>
  </si>
  <si>
    <t>92%以上</t>
  </si>
  <si>
    <t>业务费细化率</t>
  </si>
  <si>
    <t>98%以上</t>
  </si>
  <si>
    <t>保障人数</t>
  </si>
  <si>
    <t>本单位10人</t>
  </si>
  <si>
    <t>细化项目目标完成情况</t>
  </si>
  <si>
    <t>100%完成</t>
  </si>
  <si>
    <t>资金使用合规性</t>
  </si>
  <si>
    <t>100%合规</t>
  </si>
  <si>
    <t>政府采购、购买服务执行情况</t>
  </si>
  <si>
    <t>政府采购预算</t>
  </si>
  <si>
    <t>完成采购预算</t>
  </si>
  <si>
    <t>服务对象满意度情况</t>
  </si>
  <si>
    <t>95%以上</t>
  </si>
  <si>
    <t>备注</t>
  </si>
  <si>
    <r>
      <rPr>
        <sz val="11"/>
        <color theme="1"/>
        <rFont val="宋体"/>
        <family val="3"/>
        <charset val="134"/>
      </rPr>
      <t>审核人：</t>
    </r>
    <r>
      <rPr>
        <sz val="11"/>
        <color indexed="8"/>
        <rFont val="Calibri"/>
        <family val="2"/>
      </rPr>
      <t xml:space="preserve">   </t>
    </r>
  </si>
  <si>
    <r>
      <rPr>
        <sz val="11"/>
        <color theme="1"/>
        <rFont val="宋体"/>
        <family val="3"/>
        <charset val="134"/>
      </rPr>
      <t>填报人：</t>
    </r>
    <r>
      <rPr>
        <sz val="11"/>
        <color indexed="8"/>
        <rFont val="Calibri"/>
        <family val="2"/>
      </rPr>
      <t xml:space="preserve">  </t>
    </r>
  </si>
  <si>
    <t>填报日期：</t>
  </si>
  <si>
    <t>另：每个部门业务费只需填报一份绩效目标，如有细化业务费绩效指标，可参照财政支出项目绩效目标进行填报。</t>
  </si>
  <si>
    <t>填报单位:区安全生产与劳动保障执法支队</t>
  </si>
  <si>
    <t>不超过20%</t>
  </si>
  <si>
    <t>本单位14人</t>
  </si>
  <si>
    <t>人员经费总增长率为20%是由于在编制2019年在职人数为14人，2018年按在职人数10人编制，人数增长率为40%。</t>
  </si>
  <si>
    <t>填报单位:区安全生产综合服务中心</t>
  </si>
  <si>
    <t>不超过66%</t>
  </si>
  <si>
    <t>不超过21%</t>
  </si>
  <si>
    <t>本单位7人</t>
  </si>
  <si>
    <t>在成本目标中，人员经费及公用经费增长的原因主要是2018年编制预算时，在职人数为4人，2019年编制预算时，在职人数为7人，人员增长率达75%。</t>
  </si>
  <si>
    <r>
      <rPr>
        <sz val="12"/>
        <color theme="1"/>
        <rFont val="宋体"/>
        <family val="3"/>
        <charset val="134"/>
        <scheme val="major"/>
      </rPr>
      <t xml:space="preserve">附表3-11（2）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</si>
  <si>
    <r>
      <rPr>
        <sz val="12"/>
        <color theme="1"/>
        <rFont val="宋体"/>
        <family val="3"/>
        <charset val="134"/>
        <scheme val="major"/>
      </rPr>
      <t xml:space="preserve">附表3-11（3）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</si>
  <si>
    <r>
      <rPr>
        <sz val="12"/>
        <color theme="1"/>
        <rFont val="宋体"/>
        <family val="3"/>
        <charset val="134"/>
        <scheme val="major"/>
      </rPr>
      <t xml:space="preserve">附表3-11（4）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</si>
  <si>
    <r>
      <rPr>
        <sz val="12"/>
        <color theme="1"/>
        <rFont val="宋体"/>
        <family val="3"/>
        <charset val="134"/>
        <scheme val="major"/>
      </rPr>
      <t xml:space="preserve">附表3-11（5） 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</si>
  <si>
    <r>
      <rPr>
        <sz val="12"/>
        <color theme="1"/>
        <rFont val="宋体"/>
        <family val="3"/>
        <charset val="134"/>
        <scheme val="major"/>
      </rPr>
      <t xml:space="preserve">附表3-11（6） 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</si>
  <si>
    <r>
      <rPr>
        <sz val="12"/>
        <color theme="1"/>
        <rFont val="宋体"/>
        <family val="3"/>
        <charset val="134"/>
        <scheme val="major"/>
      </rPr>
      <t xml:space="preserve">附表3-11（7）               </t>
    </r>
    <r>
      <rPr>
        <sz val="16"/>
        <color theme="1"/>
        <rFont val="方正小标宋简体"/>
        <family val="4"/>
        <charset val="134"/>
      </rPr>
      <t>部门业务费绩效目标申报表</t>
    </r>
    <phoneticPr fontId="35" type="noConversion"/>
  </si>
</sst>
</file>

<file path=xl/styles.xml><?xml version="1.0" encoding="utf-8"?>
<styleSheet xmlns="http://schemas.openxmlformats.org/spreadsheetml/2006/main">
  <numFmts count="22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#,##0.00_);[Red]\(#,##0.00\)"/>
    <numFmt numFmtId="194" formatCode="0.00_);[Red]\(0.00\)"/>
  </numFmts>
  <fonts count="10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黑体"/>
      <family val="3"/>
      <charset val="134"/>
    </font>
    <font>
      <sz val="16"/>
      <color indexed="8"/>
      <name val="方正小标宋_GBK"/>
      <charset val="134"/>
    </font>
    <font>
      <sz val="12"/>
      <name val="宋体"/>
      <family val="3"/>
      <charset val="134"/>
    </font>
    <font>
      <sz val="20"/>
      <color theme="1"/>
      <name val="方正小标宋简体"/>
      <family val="4"/>
      <charset val="134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6"/>
      <color theme="1"/>
      <name val="方正小标宋简体"/>
      <family val="4"/>
      <charset val="134"/>
    </font>
    <font>
      <sz val="12"/>
      <color theme="1"/>
      <name val="宋体"/>
      <family val="3"/>
      <charset val="134"/>
      <scheme val="major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9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9" fontId="94" fillId="0" borderId="0" applyFont="0" applyFill="0" applyBorder="0" applyAlignment="0" applyProtection="0">
      <alignment vertical="center"/>
    </xf>
  </cellStyleXfs>
  <cellXfs count="21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0" fontId="6" fillId="0" borderId="0" xfId="4974" applyFont="1"/>
    <xf numFmtId="0" fontId="2" fillId="0" borderId="0" xfId="4974" applyFont="1"/>
    <xf numFmtId="0" fontId="58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0" fontId="58" fillId="0" borderId="0" xfId="0" applyFont="1">
      <alignment vertical="center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0" fontId="2" fillId="0" borderId="0" xfId="2616" applyFont="1"/>
    <xf numFmtId="0" fontId="77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79" fillId="0" borderId="1" xfId="0" applyFont="1" applyBorder="1" applyAlignment="1"/>
    <xf numFmtId="0" fontId="8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4" fillId="50" borderId="0" xfId="0" applyFont="1" applyFill="1" applyBorder="1" applyAlignment="1">
      <alignment horizontal="left" vertical="center"/>
    </xf>
    <xf numFmtId="0" fontId="84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5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6" fillId="0" borderId="27" xfId="4990" applyFont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8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49" fontId="85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 wrapText="1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8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8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left" vertical="center" wrapText="1"/>
    </xf>
    <xf numFmtId="0" fontId="91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2" fillId="0" borderId="1" xfId="0" applyNumberFormat="1" applyFont="1" applyFill="1" applyBorder="1" applyAlignment="1">
      <alignment horizontal="left" vertical="center"/>
    </xf>
    <xf numFmtId="193" fontId="9" fillId="0" borderId="1" xfId="0" applyNumberFormat="1" applyFont="1" applyFill="1" applyBorder="1" applyAlignment="1">
      <alignment horizontal="left" vertical="center"/>
    </xf>
    <xf numFmtId="0" fontId="92" fillId="0" borderId="1" xfId="0" applyNumberFormat="1" applyFont="1" applyFill="1" applyBorder="1" applyAlignment="1">
      <alignment horizontal="left" vertical="center" wrapText="1"/>
    </xf>
    <xf numFmtId="193" fontId="9" fillId="0" borderId="1" xfId="0" applyNumberFormat="1" applyFont="1" applyFill="1" applyBorder="1" applyAlignment="1">
      <alignment horizontal="left" vertical="center" wrapText="1"/>
    </xf>
    <xf numFmtId="193" fontId="0" fillId="0" borderId="1" xfId="0" applyNumberFormat="1" applyBorder="1">
      <alignment vertical="center"/>
    </xf>
    <xf numFmtId="0" fontId="9" fillId="0" borderId="1" xfId="2555" applyFont="1" applyFill="1" applyBorder="1" applyAlignment="1">
      <alignment horizontal="center" vertical="center" shrinkToFit="1"/>
    </xf>
    <xf numFmtId="0" fontId="5" fillId="0" borderId="1" xfId="2555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54" fillId="0" borderId="1" xfId="2842" applyFont="1" applyBorder="1" applyAlignment="1">
      <alignment horizontal="center" vertical="center"/>
    </xf>
    <xf numFmtId="0" fontId="53" fillId="0" borderId="27" xfId="0" applyFont="1" applyFill="1" applyBorder="1" applyAlignment="1">
      <alignment horizontal="center" vertical="center"/>
    </xf>
    <xf numFmtId="0" fontId="79" fillId="0" borderId="27" xfId="0" applyFont="1" applyBorder="1" applyAlignment="1">
      <alignment horizontal="center" vertical="center"/>
    </xf>
    <xf numFmtId="190" fontId="7" fillId="0" borderId="1" xfId="4977" applyNumberFormat="1" applyFont="1" applyFill="1" applyBorder="1" applyAlignment="1">
      <alignment horizontal="center" vertical="center" wrapText="1"/>
    </xf>
    <xf numFmtId="4" fontId="7" fillId="0" borderId="1" xfId="4977" applyNumberFormat="1" applyFont="1" applyFill="1" applyBorder="1" applyAlignment="1">
      <alignment horizontal="center" vertical="center" wrapText="1"/>
    </xf>
    <xf numFmtId="190" fontId="7" fillId="0" borderId="1" xfId="4977" applyNumberFormat="1" applyFont="1" applyFill="1" applyBorder="1" applyAlignment="1">
      <alignment horizontal="center" vertical="center"/>
    </xf>
    <xf numFmtId="193" fontId="0" fillId="0" borderId="1" xfId="0" applyNumberFormat="1" applyFill="1" applyBorder="1" applyAlignment="1">
      <alignment horizontal="center" vertical="center"/>
    </xf>
    <xf numFmtId="190" fontId="7" fillId="0" borderId="1" xfId="4972" applyNumberFormat="1" applyFont="1" applyFill="1" applyBorder="1" applyAlignment="1">
      <alignment horizontal="center" vertical="center" wrapText="1"/>
    </xf>
    <xf numFmtId="4" fontId="7" fillId="0" borderId="1" xfId="4972" applyNumberFormat="1" applyFont="1" applyFill="1" applyBorder="1" applyAlignment="1">
      <alignment horizontal="center" vertical="center" wrapText="1"/>
    </xf>
    <xf numFmtId="190" fontId="7" fillId="0" borderId="1" xfId="4972" applyNumberFormat="1" applyFont="1" applyFill="1" applyBorder="1" applyAlignment="1">
      <alignment horizontal="center" vertical="center"/>
    </xf>
    <xf numFmtId="193" fontId="5" fillId="0" borderId="1" xfId="0" applyNumberFormat="1" applyFont="1" applyFill="1" applyBorder="1" applyAlignment="1">
      <alignment horizontal="center" vertical="center" wrapText="1"/>
    </xf>
    <xf numFmtId="193" fontId="0" fillId="0" borderId="1" xfId="0" applyNumberFormat="1" applyBorder="1" applyAlignment="1">
      <alignment horizontal="center" vertical="center"/>
    </xf>
    <xf numFmtId="194" fontId="7" fillId="0" borderId="1" xfId="4974" applyNumberFormat="1" applyFont="1" applyFill="1" applyBorder="1" applyAlignment="1">
      <alignment horizontal="center" vertical="center" wrapText="1"/>
    </xf>
    <xf numFmtId="194" fontId="0" fillId="0" borderId="1" xfId="0" applyNumberFormat="1" applyBorder="1" applyAlignment="1">
      <alignment horizontal="center" vertical="center"/>
    </xf>
    <xf numFmtId="194" fontId="53" fillId="0" borderId="27" xfId="0" applyNumberFormat="1" applyFont="1" applyFill="1" applyBorder="1" applyAlignment="1">
      <alignment horizontal="center" vertical="center"/>
    </xf>
    <xf numFmtId="0" fontId="91" fillId="0" borderId="2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1" fillId="0" borderId="23" xfId="0" applyFont="1" applyBorder="1" applyAlignment="1">
      <alignment vertical="top"/>
    </xf>
    <xf numFmtId="0" fontId="91" fillId="0" borderId="23" xfId="0" applyFont="1" applyBorder="1" applyAlignment="1">
      <alignment vertical="top" wrapText="1"/>
    </xf>
    <xf numFmtId="0" fontId="91" fillId="0" borderId="1" xfId="0" applyFont="1" applyBorder="1" applyAlignment="1">
      <alignment vertical="center" wrapText="1"/>
    </xf>
    <xf numFmtId="0" fontId="91" fillId="0" borderId="1" xfId="0" applyFont="1" applyFill="1" applyBorder="1" applyAlignment="1">
      <alignment horizontal="center" vertical="center" wrapText="1"/>
    </xf>
    <xf numFmtId="10" fontId="91" fillId="0" borderId="1" xfId="4992" applyNumberFormat="1" applyFont="1" applyBorder="1" applyAlignment="1">
      <alignment horizontal="center" vertical="center" wrapText="1"/>
    </xf>
    <xf numFmtId="9" fontId="91" fillId="0" borderId="1" xfId="0" applyNumberFormat="1" applyFont="1" applyBorder="1" applyAlignment="1">
      <alignment horizontal="center" vertical="center" wrapText="1"/>
    </xf>
    <xf numFmtId="9" fontId="91" fillId="0" borderId="1" xfId="0" applyNumberFormat="1" applyFont="1" applyFill="1" applyBorder="1" applyAlignment="1">
      <alignment horizontal="center" vertical="center" wrapText="1"/>
    </xf>
    <xf numFmtId="10" fontId="91" fillId="0" borderId="1" xfId="0" applyNumberFormat="1" applyFont="1" applyFill="1" applyBorder="1" applyAlignment="1">
      <alignment horizontal="center" vertical="center" wrapText="1"/>
    </xf>
    <xf numFmtId="0" fontId="91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0" fontId="91" fillId="0" borderId="0" xfId="0" applyFont="1" applyAlignment="1">
      <alignment horizontal="left" vertical="center"/>
    </xf>
    <xf numFmtId="0" fontId="91" fillId="0" borderId="29" xfId="0" applyFont="1" applyBorder="1" applyAlignment="1">
      <alignment horizontal="center" vertical="center" wrapText="1"/>
    </xf>
    <xf numFmtId="0" fontId="91" fillId="0" borderId="29" xfId="0" applyFont="1" applyBorder="1" applyAlignment="1">
      <alignment vertical="center" wrapText="1"/>
    </xf>
    <xf numFmtId="0" fontId="91" fillId="0" borderId="29" xfId="0" applyFont="1" applyFill="1" applyBorder="1" applyAlignment="1">
      <alignment horizontal="center" vertical="center" wrapText="1"/>
    </xf>
    <xf numFmtId="9" fontId="91" fillId="0" borderId="29" xfId="0" applyNumberFormat="1" applyFont="1" applyFill="1" applyBorder="1" applyAlignment="1">
      <alignment horizontal="center" vertical="center" wrapText="1"/>
    </xf>
    <xf numFmtId="0" fontId="91" fillId="0" borderId="28" xfId="0" applyFont="1" applyBorder="1" applyAlignment="1">
      <alignment horizontal="center" vertical="center" wrapText="1"/>
    </xf>
    <xf numFmtId="0" fontId="91" fillId="0" borderId="29" xfId="0" applyFont="1" applyBorder="1" applyAlignment="1">
      <alignment horizontal="center" vertical="center" wrapText="1"/>
    </xf>
    <xf numFmtId="0" fontId="91" fillId="0" borderId="29" xfId="0" applyFont="1" applyBorder="1" applyAlignment="1">
      <alignment vertical="top"/>
    </xf>
    <xf numFmtId="0" fontId="91" fillId="0" borderId="29" xfId="0" applyFont="1" applyBorder="1" applyAlignment="1">
      <alignment vertical="top" wrapText="1"/>
    </xf>
    <xf numFmtId="9" fontId="91" fillId="0" borderId="29" xfId="0" applyNumberFormat="1" applyFont="1" applyBorder="1" applyAlignment="1">
      <alignment horizontal="center" vertical="center" wrapText="1"/>
    </xf>
    <xf numFmtId="10" fontId="91" fillId="0" borderId="29" xfId="0" applyNumberFormat="1" applyFont="1" applyBorder="1" applyAlignment="1">
      <alignment horizontal="center" vertical="center" wrapText="1"/>
    </xf>
    <xf numFmtId="10" fontId="91" fillId="0" borderId="29" xfId="0" applyNumberFormat="1" applyFont="1" applyFill="1" applyBorder="1" applyAlignment="1">
      <alignment horizontal="center" vertical="center" wrapText="1"/>
    </xf>
    <xf numFmtId="0" fontId="91" fillId="0" borderId="29" xfId="0" applyFont="1" applyBorder="1" applyAlignment="1">
      <alignment vertical="center"/>
    </xf>
    <xf numFmtId="0" fontId="97" fillId="0" borderId="29" xfId="0" applyFont="1" applyBorder="1" applyAlignment="1">
      <alignment vertical="center"/>
    </xf>
    <xf numFmtId="0" fontId="91" fillId="0" borderId="29" xfId="0" applyFont="1" applyBorder="1" applyAlignment="1">
      <alignment horizontal="left" vertical="center"/>
    </xf>
    <xf numFmtId="0" fontId="82" fillId="0" borderId="0" xfId="4972" applyFont="1" applyAlignment="1">
      <alignment horizontal="center" vertical="center"/>
    </xf>
    <xf numFmtId="0" fontId="83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2" fillId="0" borderId="17" xfId="0" applyNumberFormat="1" applyFont="1" applyFill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49" fontId="82" fillId="0" borderId="0" xfId="4974" applyNumberFormat="1" applyFont="1" applyFill="1" applyAlignment="1" applyProtection="1">
      <alignment horizontal="center" vertical="center" wrapText="1"/>
    </xf>
    <xf numFmtId="49" fontId="83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3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2" fillId="0" borderId="0" xfId="4977" applyFont="1" applyAlignment="1">
      <alignment horizontal="center" vertical="center"/>
    </xf>
    <xf numFmtId="0" fontId="83" fillId="0" borderId="0" xfId="4977" applyFont="1" applyAlignment="1">
      <alignment horizontal="center" vertical="center"/>
    </xf>
    <xf numFmtId="192" fontId="88" fillId="0" borderId="0" xfId="4981" applyNumberFormat="1" applyFont="1" applyFill="1" applyBorder="1" applyAlignment="1">
      <alignment horizontal="left"/>
    </xf>
    <xf numFmtId="0" fontId="3" fillId="0" borderId="17" xfId="4979" applyFont="1" applyBorder="1" applyAlignment="1">
      <alignment horizontal="center" vertical="center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2" fillId="50" borderId="0" xfId="0" applyFont="1" applyFill="1" applyBorder="1" applyAlignment="1">
      <alignment horizontal="center" vertical="center"/>
    </xf>
    <xf numFmtId="0" fontId="83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1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2" fillId="0" borderId="0" xfId="2842" applyFont="1" applyAlignment="1">
      <alignment horizontal="center" vertical="center"/>
    </xf>
    <xf numFmtId="0" fontId="88" fillId="0" borderId="25" xfId="0" applyFont="1" applyBorder="1" applyAlignment="1">
      <alignment horizontal="left" vertical="center" wrapText="1"/>
    </xf>
    <xf numFmtId="0" fontId="88" fillId="0" borderId="25" xfId="0" applyFont="1" applyBorder="1" applyAlignment="1">
      <alignment horizontal="left" vertical="top" wrapText="1"/>
    </xf>
    <xf numFmtId="0" fontId="88" fillId="0" borderId="25" xfId="0" applyFont="1" applyBorder="1" applyAlignment="1">
      <alignment horizontal="left" vertical="top"/>
    </xf>
    <xf numFmtId="0" fontId="82" fillId="0" borderId="0" xfId="0" applyFont="1" applyAlignment="1">
      <alignment horizontal="center" vertical="center"/>
    </xf>
    <xf numFmtId="0" fontId="80" fillId="0" borderId="21" xfId="0" applyFont="1" applyBorder="1" applyAlignment="1">
      <alignment horizontal="center" vertical="center" wrapText="1"/>
    </xf>
    <xf numFmtId="0" fontId="80" fillId="0" borderId="22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1" fillId="0" borderId="24" xfId="0" applyFont="1" applyBorder="1" applyAlignment="1">
      <alignment horizontal="center" vertical="center" wrapText="1"/>
    </xf>
    <xf numFmtId="0" fontId="91" fillId="0" borderId="22" xfId="0" applyFont="1" applyBorder="1" applyAlignment="1">
      <alignment horizontal="center" vertical="center" wrapText="1"/>
    </xf>
    <xf numFmtId="0" fontId="91" fillId="0" borderId="17" xfId="0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0" fontId="91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1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1" fillId="0" borderId="23" xfId="0" applyFont="1" applyBorder="1" applyAlignment="1">
      <alignment horizontal="center" vertical="top" wrapText="1"/>
    </xf>
    <xf numFmtId="0" fontId="95" fillId="0" borderId="0" xfId="0" applyFont="1" applyAlignment="1">
      <alignment horizontal="center" vertical="top" wrapText="1"/>
    </xf>
    <xf numFmtId="0" fontId="91" fillId="0" borderId="1" xfId="0" applyFont="1" applyBorder="1" applyAlignment="1">
      <alignment horizontal="left" vertical="center" wrapText="1"/>
    </xf>
    <xf numFmtId="0" fontId="91" fillId="0" borderId="29" xfId="0" applyFont="1" applyBorder="1" applyAlignment="1">
      <alignment horizontal="center" vertical="center" wrapText="1"/>
    </xf>
    <xf numFmtId="0" fontId="91" fillId="0" borderId="2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91" fillId="0" borderId="29" xfId="0" applyFont="1" applyBorder="1" applyAlignment="1">
      <alignment horizontal="center" vertical="top" wrapText="1"/>
    </xf>
    <xf numFmtId="0" fontId="91" fillId="0" borderId="28" xfId="0" applyFont="1" applyBorder="1" applyAlignment="1">
      <alignment horizontal="center" vertical="center" wrapText="1"/>
    </xf>
    <xf numFmtId="0" fontId="91" fillId="0" borderId="30" xfId="0" applyFont="1" applyBorder="1" applyAlignment="1">
      <alignment horizontal="center" vertical="center" wrapText="1"/>
    </xf>
    <xf numFmtId="0" fontId="91" fillId="0" borderId="31" xfId="0" applyFont="1" applyBorder="1" applyAlignment="1">
      <alignment horizontal="center" vertical="center" wrapText="1"/>
    </xf>
    <xf numFmtId="0" fontId="91" fillId="0" borderId="32" xfId="0" applyFont="1" applyBorder="1" applyAlignment="1">
      <alignment horizontal="center" vertical="center" wrapText="1"/>
    </xf>
    <xf numFmtId="0" fontId="91" fillId="0" borderId="30" xfId="0" applyFont="1" applyBorder="1" applyAlignment="1">
      <alignment horizontal="left" vertical="center" wrapText="1"/>
    </xf>
    <xf numFmtId="0" fontId="91" fillId="0" borderId="31" xfId="0" applyFont="1" applyBorder="1" applyAlignment="1">
      <alignment horizontal="left" vertical="center" wrapText="1"/>
    </xf>
    <xf numFmtId="0" fontId="91" fillId="0" borderId="32" xfId="0" applyFont="1" applyBorder="1" applyAlignment="1">
      <alignment horizontal="left" vertical="center" wrapText="1"/>
    </xf>
    <xf numFmtId="0" fontId="82" fillId="0" borderId="23" xfId="0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top" wrapText="1"/>
    </xf>
    <xf numFmtId="0" fontId="91" fillId="0" borderId="1" xfId="0" applyFont="1" applyBorder="1" applyAlignment="1">
      <alignment horizontal="justify" vertical="center" wrapText="1"/>
    </xf>
    <xf numFmtId="0" fontId="89" fillId="0" borderId="1" xfId="0" applyFont="1" applyBorder="1" applyAlignment="1">
      <alignment horizontal="center" vertical="center" wrapText="1"/>
    </xf>
    <xf numFmtId="0" fontId="95" fillId="0" borderId="30" xfId="0" applyFont="1" applyBorder="1" applyAlignment="1">
      <alignment horizontal="left" vertical="top" wrapText="1"/>
    </xf>
    <xf numFmtId="0" fontId="95" fillId="0" borderId="31" xfId="0" applyFont="1" applyBorder="1" applyAlignment="1">
      <alignment horizontal="left" vertical="top" wrapText="1"/>
    </xf>
    <xf numFmtId="0" fontId="95" fillId="0" borderId="32" xfId="0" applyFont="1" applyBorder="1" applyAlignment="1">
      <alignment horizontal="left" vertical="top" wrapText="1"/>
    </xf>
  </cellXfs>
  <cellStyles count="4993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" xfId="4992" builtinId="5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2"/>
  <sheetViews>
    <sheetView zoomScaleNormal="100" workbookViewId="0">
      <selection activeCell="C22" sqref="C22"/>
    </sheetView>
  </sheetViews>
  <sheetFormatPr defaultRowHeight="14.25"/>
  <cols>
    <col min="1" max="1" width="32.125" customWidth="1"/>
    <col min="2" max="2" width="29.375" customWidth="1"/>
    <col min="3" max="3" width="31.875" customWidth="1"/>
    <col min="4" max="4" width="30.875" customWidth="1"/>
  </cols>
  <sheetData>
    <row r="1" spans="1:4">
      <c r="A1" s="147"/>
      <c r="B1" s="147"/>
      <c r="C1" s="147"/>
      <c r="D1" s="147"/>
    </row>
    <row r="2" spans="1:4">
      <c r="A2" s="4" t="s">
        <v>18</v>
      </c>
      <c r="B2" s="2"/>
      <c r="C2" s="2"/>
      <c r="D2" s="2"/>
    </row>
    <row r="3" spans="1:4" ht="20.25">
      <c r="A3" s="145" t="s">
        <v>325</v>
      </c>
      <c r="B3" s="146"/>
      <c r="C3" s="146"/>
      <c r="D3" s="146"/>
    </row>
    <row r="4" spans="1:4" ht="21.75" customHeight="1">
      <c r="A4" s="6"/>
      <c r="B4" s="6"/>
      <c r="C4" s="6"/>
      <c r="D4" s="7" t="s">
        <v>0</v>
      </c>
    </row>
    <row r="5" spans="1:4" ht="20.100000000000001" customHeight="1">
      <c r="A5" s="29" t="s">
        <v>5</v>
      </c>
      <c r="B5" s="29"/>
      <c r="C5" s="29" t="s">
        <v>6</v>
      </c>
      <c r="D5" s="29"/>
    </row>
    <row r="6" spans="1:4" ht="20.100000000000001" customHeight="1">
      <c r="A6" s="30" t="s">
        <v>7</v>
      </c>
      <c r="B6" s="30" t="s">
        <v>290</v>
      </c>
      <c r="C6" s="30" t="s">
        <v>8</v>
      </c>
      <c r="D6" s="30" t="s">
        <v>290</v>
      </c>
    </row>
    <row r="7" spans="1:4" ht="20.100000000000001" customHeight="1">
      <c r="A7" s="31" t="s">
        <v>9</v>
      </c>
      <c r="B7" s="110">
        <v>5922.23</v>
      </c>
      <c r="C7" s="31" t="s">
        <v>10</v>
      </c>
      <c r="D7" s="112">
        <f>SUM(D8+D9+D10)</f>
        <v>5922.23</v>
      </c>
    </row>
    <row r="8" spans="1:4" ht="20.100000000000001" customHeight="1">
      <c r="A8" s="31" t="s">
        <v>14</v>
      </c>
      <c r="B8" s="110"/>
      <c r="C8" s="31" t="s">
        <v>284</v>
      </c>
      <c r="D8" s="110">
        <v>5088.53</v>
      </c>
    </row>
    <row r="9" spans="1:4" ht="20.100000000000001" customHeight="1">
      <c r="A9" s="32" t="s">
        <v>279</v>
      </c>
      <c r="B9" s="110"/>
      <c r="C9" s="31" t="s">
        <v>285</v>
      </c>
      <c r="D9" s="110"/>
    </row>
    <row r="10" spans="1:4" ht="20.100000000000001" customHeight="1">
      <c r="A10" s="32" t="s">
        <v>16</v>
      </c>
      <c r="B10" s="110"/>
      <c r="C10" s="31" t="s">
        <v>286</v>
      </c>
      <c r="D10" s="110">
        <v>833.7</v>
      </c>
    </row>
    <row r="11" spans="1:4" ht="20.100000000000001" customHeight="1">
      <c r="A11" s="32" t="s">
        <v>17</v>
      </c>
      <c r="B11" s="110"/>
      <c r="C11" s="31" t="s">
        <v>15</v>
      </c>
      <c r="D11" s="110"/>
    </row>
    <row r="12" spans="1:4" ht="20.100000000000001" customHeight="1">
      <c r="A12" s="33" t="s">
        <v>282</v>
      </c>
      <c r="B12" s="111">
        <f>SUM(B7:B11)</f>
        <v>5922.23</v>
      </c>
      <c r="C12" s="33" t="s">
        <v>283</v>
      </c>
      <c r="D12" s="110">
        <f>SUM(D7+D11)</f>
        <v>5922.23</v>
      </c>
    </row>
  </sheetData>
  <mergeCells count="2">
    <mergeCell ref="A3:D3"/>
    <mergeCell ref="A1:D1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7"/>
  <sheetViews>
    <sheetView topLeftCell="A10" zoomScaleNormal="100" workbookViewId="0">
      <selection activeCell="D26" sqref="D26:D27"/>
    </sheetView>
  </sheetViews>
  <sheetFormatPr defaultRowHeight="14.25"/>
  <cols>
    <col min="1" max="1" width="10.25" customWidth="1"/>
    <col min="2" max="2" width="31" customWidth="1"/>
    <col min="3" max="3" width="11.5" style="58" customWidth="1"/>
    <col min="4" max="4" width="17.75" style="58" customWidth="1"/>
    <col min="5" max="6" width="13.375" style="58" customWidth="1"/>
    <col min="7" max="7" width="17.75" style="58" customWidth="1"/>
    <col min="8" max="8" width="13.375" style="58" customWidth="1"/>
  </cols>
  <sheetData>
    <row r="1" spans="1:8">
      <c r="A1" s="9" t="s">
        <v>26</v>
      </c>
      <c r="B1" s="8"/>
      <c r="C1" s="63"/>
      <c r="D1" s="64"/>
      <c r="E1" s="64"/>
      <c r="F1" s="65"/>
      <c r="G1" s="66"/>
      <c r="H1" s="66"/>
    </row>
    <row r="2" spans="1:8" ht="19.5" customHeight="1">
      <c r="A2" s="150" t="s">
        <v>326</v>
      </c>
      <c r="B2" s="151"/>
      <c r="C2" s="151"/>
      <c r="D2" s="151"/>
      <c r="E2" s="151"/>
      <c r="F2" s="151"/>
      <c r="G2" s="151"/>
      <c r="H2" s="151"/>
    </row>
    <row r="3" spans="1:8" ht="13.5" customHeight="1">
      <c r="A3" s="9"/>
      <c r="B3" s="9"/>
      <c r="C3" s="67"/>
      <c r="D3" s="68"/>
      <c r="E3" s="68"/>
      <c r="F3" s="69"/>
      <c r="G3" s="153" t="s">
        <v>287</v>
      </c>
      <c r="H3" s="153"/>
    </row>
    <row r="4" spans="1:8" ht="23.25" customHeight="1">
      <c r="A4" s="152" t="s">
        <v>19</v>
      </c>
      <c r="B4" s="152" t="s">
        <v>20</v>
      </c>
      <c r="C4" s="154" t="s">
        <v>33</v>
      </c>
      <c r="D4" s="155"/>
      <c r="E4" s="155"/>
      <c r="F4" s="155"/>
      <c r="G4" s="155"/>
      <c r="H4" s="156"/>
    </row>
    <row r="5" spans="1:8" ht="29.25" customHeight="1">
      <c r="A5" s="152"/>
      <c r="B5" s="152"/>
      <c r="C5" s="36" t="s">
        <v>21</v>
      </c>
      <c r="D5" s="36" t="s">
        <v>22</v>
      </c>
      <c r="E5" s="36" t="s">
        <v>34</v>
      </c>
      <c r="F5" s="36" t="s">
        <v>23</v>
      </c>
      <c r="G5" s="70" t="s">
        <v>24</v>
      </c>
      <c r="H5" s="36" t="s">
        <v>288</v>
      </c>
    </row>
    <row r="6" spans="1:8" ht="18" customHeight="1">
      <c r="A6" s="34" t="s">
        <v>25</v>
      </c>
      <c r="B6" s="34" t="s">
        <v>25</v>
      </c>
      <c r="C6" s="77">
        <v>1</v>
      </c>
      <c r="D6" s="34">
        <v>2</v>
      </c>
      <c r="E6" s="77">
        <v>3</v>
      </c>
      <c r="F6" s="77">
        <v>4</v>
      </c>
      <c r="G6" s="34">
        <v>5</v>
      </c>
      <c r="H6" s="77">
        <v>6</v>
      </c>
    </row>
    <row r="7" spans="1:8" ht="18" customHeight="1">
      <c r="A7" s="148" t="s">
        <v>306</v>
      </c>
      <c r="B7" s="149"/>
      <c r="C7" s="71">
        <f>SUM(D7)</f>
        <v>5922.23</v>
      </c>
      <c r="D7" s="71">
        <f>SUM(D8+D11+D14+D17+D20+D24)</f>
        <v>5922.23</v>
      </c>
      <c r="E7" s="71"/>
      <c r="F7" s="71"/>
      <c r="G7" s="71"/>
      <c r="H7" s="71"/>
    </row>
    <row r="8" spans="1:8" ht="18" customHeight="1">
      <c r="A8" s="95">
        <v>207</v>
      </c>
      <c r="B8" s="96" t="s">
        <v>307</v>
      </c>
      <c r="C8" s="71">
        <f t="shared" ref="C8:C27" si="0">SUM(D8)</f>
        <v>136.84</v>
      </c>
      <c r="D8" s="71">
        <f>SUM(D9)</f>
        <v>136.84</v>
      </c>
      <c r="E8" s="71"/>
      <c r="F8" s="71"/>
      <c r="G8" s="71"/>
      <c r="H8" s="71"/>
    </row>
    <row r="9" spans="1:8" ht="18" customHeight="1">
      <c r="A9" s="95">
        <v>20701</v>
      </c>
      <c r="B9" s="96" t="s">
        <v>308</v>
      </c>
      <c r="C9" s="71">
        <f t="shared" si="0"/>
        <v>136.84</v>
      </c>
      <c r="D9" s="72">
        <f>SUM(D10)</f>
        <v>136.84</v>
      </c>
      <c r="E9" s="72"/>
      <c r="F9" s="72"/>
      <c r="G9" s="72"/>
      <c r="H9" s="72"/>
    </row>
    <row r="10" spans="1:8" ht="18" customHeight="1">
      <c r="A10" s="95">
        <v>2070103</v>
      </c>
      <c r="B10" s="96" t="s">
        <v>309</v>
      </c>
      <c r="C10" s="71">
        <f t="shared" si="0"/>
        <v>136.84</v>
      </c>
      <c r="D10" s="72">
        <v>136.84</v>
      </c>
      <c r="E10" s="72"/>
      <c r="F10" s="72"/>
      <c r="G10" s="72"/>
      <c r="H10" s="72"/>
    </row>
    <row r="11" spans="1:8" ht="18" customHeight="1">
      <c r="A11" s="95">
        <v>212</v>
      </c>
      <c r="B11" s="96" t="s">
        <v>310</v>
      </c>
      <c r="C11" s="71">
        <f t="shared" si="0"/>
        <v>4467.71</v>
      </c>
      <c r="D11" s="72">
        <f>SUM(D12)</f>
        <v>4467.71</v>
      </c>
      <c r="E11" s="72"/>
      <c r="F11" s="72"/>
      <c r="G11" s="72"/>
      <c r="H11" s="72"/>
    </row>
    <row r="12" spans="1:8" ht="18" customHeight="1">
      <c r="A12" s="95">
        <v>21201</v>
      </c>
      <c r="B12" s="96" t="s">
        <v>311</v>
      </c>
      <c r="C12" s="71">
        <f t="shared" si="0"/>
        <v>4467.71</v>
      </c>
      <c r="D12" s="72">
        <f>SUM(D13)</f>
        <v>4467.71</v>
      </c>
      <c r="E12" s="72"/>
      <c r="F12" s="72"/>
      <c r="G12" s="72"/>
      <c r="H12" s="72"/>
    </row>
    <row r="13" spans="1:8" ht="18" customHeight="1">
      <c r="A13" s="95">
        <v>2120104</v>
      </c>
      <c r="B13" s="96" t="s">
        <v>312</v>
      </c>
      <c r="C13" s="71">
        <f t="shared" si="0"/>
        <v>4467.71</v>
      </c>
      <c r="D13" s="72">
        <v>4467.71</v>
      </c>
      <c r="E13" s="72"/>
      <c r="F13" s="72"/>
      <c r="G13" s="72"/>
      <c r="H13" s="72"/>
    </row>
    <row r="14" spans="1:8" ht="18" customHeight="1">
      <c r="A14" s="95">
        <v>213</v>
      </c>
      <c r="B14" s="96" t="s">
        <v>313</v>
      </c>
      <c r="C14" s="71">
        <f t="shared" si="0"/>
        <v>207.27</v>
      </c>
      <c r="D14" s="72">
        <f>SUM(D15)</f>
        <v>207.27</v>
      </c>
      <c r="E14" s="72"/>
      <c r="F14" s="72"/>
      <c r="G14" s="72"/>
      <c r="H14" s="72"/>
    </row>
    <row r="15" spans="1:8" ht="18" customHeight="1">
      <c r="A15" s="95">
        <v>21301</v>
      </c>
      <c r="B15" s="96" t="s">
        <v>314</v>
      </c>
      <c r="C15" s="71">
        <f t="shared" si="0"/>
        <v>207.27</v>
      </c>
      <c r="D15" s="72">
        <f>SUM(D16)</f>
        <v>207.27</v>
      </c>
      <c r="E15" s="72"/>
      <c r="F15" s="72"/>
      <c r="G15" s="72"/>
      <c r="H15" s="72"/>
    </row>
    <row r="16" spans="1:8" ht="18" customHeight="1">
      <c r="A16" s="95">
        <v>2130103</v>
      </c>
      <c r="B16" s="96" t="s">
        <v>309</v>
      </c>
      <c r="C16" s="71">
        <f t="shared" si="0"/>
        <v>207.27</v>
      </c>
      <c r="D16" s="72">
        <v>207.27</v>
      </c>
      <c r="E16" s="72"/>
      <c r="F16" s="72"/>
      <c r="G16" s="72"/>
      <c r="H16" s="72"/>
    </row>
    <row r="17" spans="1:8" ht="18" customHeight="1">
      <c r="A17" s="95">
        <v>214</v>
      </c>
      <c r="B17" s="96" t="s">
        <v>315</v>
      </c>
      <c r="C17" s="71">
        <f t="shared" si="0"/>
        <v>265.93</v>
      </c>
      <c r="D17" s="72">
        <f>SUM(D18)</f>
        <v>265.93</v>
      </c>
      <c r="E17" s="72"/>
      <c r="F17" s="72"/>
      <c r="G17" s="72"/>
      <c r="H17" s="72"/>
    </row>
    <row r="18" spans="1:8" ht="18" customHeight="1">
      <c r="A18" s="95">
        <v>21401</v>
      </c>
      <c r="B18" s="96" t="s">
        <v>316</v>
      </c>
      <c r="C18" s="71">
        <f t="shared" si="0"/>
        <v>265.93</v>
      </c>
      <c r="D18" s="72">
        <f>SUM(D19)</f>
        <v>265.93</v>
      </c>
      <c r="E18" s="72"/>
      <c r="F18" s="72"/>
      <c r="G18" s="72"/>
      <c r="H18" s="72"/>
    </row>
    <row r="19" spans="1:8" ht="18" customHeight="1">
      <c r="A19" s="95">
        <v>2140103</v>
      </c>
      <c r="B19" s="96" t="s">
        <v>309</v>
      </c>
      <c r="C19" s="71">
        <f t="shared" si="0"/>
        <v>265.93</v>
      </c>
      <c r="D19" s="72">
        <v>265.93</v>
      </c>
      <c r="E19" s="72"/>
      <c r="F19" s="72"/>
      <c r="G19" s="72"/>
      <c r="H19" s="72"/>
    </row>
    <row r="20" spans="1:8" ht="18" customHeight="1">
      <c r="A20" s="95">
        <v>224</v>
      </c>
      <c r="B20" s="96" t="s">
        <v>336</v>
      </c>
      <c r="C20" s="115">
        <f t="shared" si="0"/>
        <v>455.7</v>
      </c>
      <c r="D20" s="116">
        <f>SUM(D21)</f>
        <v>455.7</v>
      </c>
      <c r="E20" s="72"/>
      <c r="F20" s="72"/>
      <c r="G20" s="72"/>
      <c r="H20" s="72"/>
    </row>
    <row r="21" spans="1:8" ht="18" customHeight="1">
      <c r="A21" s="95">
        <v>22401</v>
      </c>
      <c r="B21" s="96" t="s">
        <v>338</v>
      </c>
      <c r="C21" s="115">
        <f>SUM(D21)</f>
        <v>455.7</v>
      </c>
      <c r="D21" s="116">
        <f>SUM(D22+D23)</f>
        <v>455.7</v>
      </c>
      <c r="E21" s="72"/>
      <c r="F21" s="72"/>
      <c r="G21" s="72"/>
      <c r="H21" s="72"/>
    </row>
    <row r="22" spans="1:8" ht="18" customHeight="1">
      <c r="A22" s="95">
        <v>2240106</v>
      </c>
      <c r="B22" s="96" t="s">
        <v>339</v>
      </c>
      <c r="C22" s="115">
        <f>SUM(D22)</f>
        <v>121.6</v>
      </c>
      <c r="D22" s="116">
        <v>121.6</v>
      </c>
      <c r="E22" s="72"/>
      <c r="F22" s="72"/>
      <c r="G22" s="72"/>
      <c r="H22" s="72"/>
    </row>
    <row r="23" spans="1:8" ht="18" customHeight="1">
      <c r="A23" s="95">
        <v>2240150</v>
      </c>
      <c r="B23" s="96" t="s">
        <v>337</v>
      </c>
      <c r="C23" s="115">
        <f t="shared" si="0"/>
        <v>334.1</v>
      </c>
      <c r="D23" s="116">
        <v>334.1</v>
      </c>
      <c r="E23" s="72"/>
      <c r="F23" s="72"/>
      <c r="G23" s="72"/>
      <c r="H23" s="72"/>
    </row>
    <row r="24" spans="1:8" ht="18" customHeight="1">
      <c r="A24" s="95">
        <v>221</v>
      </c>
      <c r="B24" s="96" t="s">
        <v>317</v>
      </c>
      <c r="C24" s="115">
        <f t="shared" si="0"/>
        <v>388.78</v>
      </c>
      <c r="D24" s="116">
        <f>SUM(D25)</f>
        <v>388.78</v>
      </c>
      <c r="E24" s="72"/>
      <c r="F24" s="72"/>
      <c r="G24" s="72"/>
      <c r="H24" s="72"/>
    </row>
    <row r="25" spans="1:8" ht="18" customHeight="1">
      <c r="A25" s="95">
        <v>22102</v>
      </c>
      <c r="B25" s="96" t="s">
        <v>318</v>
      </c>
      <c r="C25" s="115">
        <f t="shared" si="0"/>
        <v>388.78</v>
      </c>
      <c r="D25" s="116">
        <f>SUM(D26+D27)</f>
        <v>388.78</v>
      </c>
      <c r="E25" s="72"/>
      <c r="F25" s="72"/>
      <c r="G25" s="72"/>
      <c r="H25" s="72"/>
    </row>
    <row r="26" spans="1:8" ht="18" customHeight="1">
      <c r="A26" s="95">
        <v>2210201</v>
      </c>
      <c r="B26" s="96" t="s">
        <v>319</v>
      </c>
      <c r="C26" s="115">
        <f t="shared" si="0"/>
        <v>317.45999999999998</v>
      </c>
      <c r="D26" s="116">
        <v>317.45999999999998</v>
      </c>
      <c r="E26" s="72"/>
      <c r="F26" s="72"/>
      <c r="G26" s="72"/>
      <c r="H26" s="72"/>
    </row>
    <row r="27" spans="1:8" ht="18" customHeight="1">
      <c r="A27" s="95">
        <v>2210202</v>
      </c>
      <c r="B27" s="96" t="s">
        <v>320</v>
      </c>
      <c r="C27" s="115">
        <f t="shared" si="0"/>
        <v>71.319999999999993</v>
      </c>
      <c r="D27" s="116">
        <v>71.319999999999993</v>
      </c>
      <c r="E27" s="72"/>
      <c r="F27" s="72"/>
      <c r="G27" s="72"/>
      <c r="H27" s="72"/>
    </row>
  </sheetData>
  <mergeCells count="6">
    <mergeCell ref="A7:B7"/>
    <mergeCell ref="A2:H2"/>
    <mergeCell ref="A4:A5"/>
    <mergeCell ref="B4:B5"/>
    <mergeCell ref="G3:H3"/>
    <mergeCell ref="C4:H4"/>
  </mergeCells>
  <phoneticPr fontId="74" type="noConversion"/>
  <pageMargins left="0.70866141732283472" right="0.70866141732283472" top="0.55118110236220474" bottom="0.35433070866141736" header="0.31496062992125984" footer="0.31496062992125984"/>
  <pageSetup paperSize="9" scale="9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9"/>
  <sheetViews>
    <sheetView topLeftCell="A19" zoomScaleNormal="100" workbookViewId="0">
      <selection activeCell="E9" sqref="E9:E28"/>
    </sheetView>
  </sheetViews>
  <sheetFormatPr defaultRowHeight="14.25"/>
  <cols>
    <col min="1" max="1" width="9" customWidth="1"/>
    <col min="2" max="2" width="15.25" customWidth="1"/>
    <col min="3" max="3" width="10.25" customWidth="1"/>
    <col min="4" max="4" width="23.125" customWidth="1"/>
    <col min="5" max="5" width="12" customWidth="1"/>
    <col min="6" max="6" width="10" customWidth="1"/>
    <col min="7" max="7" width="7.875" customWidth="1"/>
    <col min="8" max="8" width="9.125" customWidth="1"/>
    <col min="9" max="9" width="8.375" customWidth="1"/>
    <col min="10" max="10" width="10.5" customWidth="1"/>
    <col min="11" max="11" width="11.625" customWidth="1"/>
    <col min="12" max="12" width="6.25" customWidth="1"/>
    <col min="13" max="13" width="5.625" customWidth="1"/>
    <col min="14" max="14" width="6.5" customWidth="1"/>
    <col min="15" max="15" width="5.375" customWidth="1"/>
  </cols>
  <sheetData>
    <row r="1" spans="1:15" ht="15" customHeight="1">
      <c r="A1" s="10" t="s">
        <v>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"/>
      <c r="N1" s="2"/>
      <c r="O1" s="2"/>
    </row>
    <row r="2" spans="1:15" ht="18.75" customHeight="1">
      <c r="A2" s="157" t="s">
        <v>327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</row>
    <row r="3" spans="1:15" hidden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64" t="s">
        <v>0</v>
      </c>
      <c r="O3" s="164"/>
    </row>
    <row r="4" spans="1:15" s="28" customFormat="1" ht="13.5">
      <c r="A4" s="158" t="s">
        <v>19</v>
      </c>
      <c r="B4" s="158" t="s">
        <v>20</v>
      </c>
      <c r="C4" s="158" t="s">
        <v>27</v>
      </c>
      <c r="D4" s="158" t="s">
        <v>28</v>
      </c>
      <c r="E4" s="158" t="s">
        <v>289</v>
      </c>
      <c r="F4" s="158" t="s">
        <v>29</v>
      </c>
      <c r="G4" s="158" t="s">
        <v>30</v>
      </c>
      <c r="H4" s="158" t="s">
        <v>31</v>
      </c>
      <c r="I4" s="158" t="s">
        <v>32</v>
      </c>
      <c r="J4" s="35" t="s">
        <v>33</v>
      </c>
      <c r="K4" s="35"/>
      <c r="L4" s="35"/>
      <c r="M4" s="35"/>
      <c r="N4" s="35"/>
      <c r="O4" s="35"/>
    </row>
    <row r="5" spans="1:15" s="28" customFormat="1" ht="43.15" customHeight="1">
      <c r="A5" s="159"/>
      <c r="B5" s="159"/>
      <c r="C5" s="159"/>
      <c r="D5" s="159"/>
      <c r="E5" s="159"/>
      <c r="F5" s="159"/>
      <c r="G5" s="159"/>
      <c r="H5" s="159"/>
      <c r="I5" s="159"/>
      <c r="J5" s="158" t="s">
        <v>289</v>
      </c>
      <c r="K5" s="158" t="s">
        <v>22</v>
      </c>
      <c r="L5" s="158" t="s">
        <v>34</v>
      </c>
      <c r="M5" s="158" t="s">
        <v>23</v>
      </c>
      <c r="N5" s="162" t="s">
        <v>24</v>
      </c>
      <c r="O5" s="158" t="s">
        <v>35</v>
      </c>
    </row>
    <row r="6" spans="1:15" s="28" customFormat="1" ht="13.5">
      <c r="A6" s="160"/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3"/>
      <c r="O6" s="160"/>
    </row>
    <row r="7" spans="1:15" s="28" customFormat="1" ht="20.100000000000001" customHeight="1">
      <c r="A7" s="37" t="s">
        <v>25</v>
      </c>
      <c r="B7" s="37" t="s">
        <v>25</v>
      </c>
      <c r="C7" s="95"/>
      <c r="D7" s="96"/>
      <c r="E7" s="37">
        <v>1</v>
      </c>
      <c r="F7" s="37">
        <v>2</v>
      </c>
      <c r="G7" s="37">
        <v>3</v>
      </c>
      <c r="H7" s="37">
        <v>4</v>
      </c>
      <c r="I7" s="37">
        <v>5</v>
      </c>
      <c r="J7" s="37">
        <v>6</v>
      </c>
      <c r="K7" s="37">
        <v>7</v>
      </c>
      <c r="L7" s="37">
        <v>8</v>
      </c>
      <c r="M7" s="37">
        <v>9</v>
      </c>
      <c r="N7" s="37">
        <v>10</v>
      </c>
      <c r="O7" s="37">
        <v>11</v>
      </c>
    </row>
    <row r="8" spans="1:15" s="28" customFormat="1" ht="28.5" customHeight="1">
      <c r="A8" s="97">
        <v>108001</v>
      </c>
      <c r="B8" s="98" t="s">
        <v>324</v>
      </c>
      <c r="C8" s="95"/>
      <c r="D8" s="96"/>
      <c r="E8" s="113">
        <f>SUM(E9+E12+E15+E18+E21+E25)</f>
        <v>5922.23</v>
      </c>
      <c r="F8" s="113">
        <f>SUM(F9+F12+F15+F18+F21+F25)</f>
        <v>5088.53</v>
      </c>
      <c r="G8" s="113">
        <v>0</v>
      </c>
      <c r="H8" s="113">
        <f>SUM(H9+H12+H15+H18+H21+H25)</f>
        <v>833.7</v>
      </c>
      <c r="I8" s="113">
        <f>SUM(I9+I12+I15+I18+I21+I25)</f>
        <v>0</v>
      </c>
      <c r="J8" s="113">
        <f>SUM(K8)</f>
        <v>5922.23</v>
      </c>
      <c r="K8" s="113">
        <f>SUM(E8)</f>
        <v>5922.23</v>
      </c>
      <c r="L8" s="13"/>
      <c r="M8" s="13"/>
      <c r="N8" s="13"/>
      <c r="O8" s="13"/>
    </row>
    <row r="9" spans="1:15" s="28" customFormat="1" ht="20.100000000000001" customHeight="1">
      <c r="A9" s="95"/>
      <c r="B9" s="96"/>
      <c r="C9" s="95">
        <v>207</v>
      </c>
      <c r="D9" s="96" t="s">
        <v>321</v>
      </c>
      <c r="E9" s="113">
        <f>SUM(E10)</f>
        <v>136.84</v>
      </c>
      <c r="F9" s="113">
        <f t="shared" ref="F9:K9" si="0">SUM(F10)</f>
        <v>117.46</v>
      </c>
      <c r="G9" s="113">
        <f t="shared" si="0"/>
        <v>0</v>
      </c>
      <c r="H9" s="113">
        <f t="shared" si="0"/>
        <v>19.38</v>
      </c>
      <c r="I9" s="113">
        <f t="shared" si="0"/>
        <v>0</v>
      </c>
      <c r="J9" s="113">
        <f t="shared" si="0"/>
        <v>136.84</v>
      </c>
      <c r="K9" s="113">
        <f t="shared" si="0"/>
        <v>136.84</v>
      </c>
      <c r="L9" s="13"/>
      <c r="M9" s="13"/>
      <c r="N9" s="13"/>
      <c r="O9" s="13"/>
    </row>
    <row r="10" spans="1:15" ht="20.100000000000001" customHeight="1">
      <c r="A10" s="95"/>
      <c r="B10" s="96"/>
      <c r="C10" s="95">
        <v>20701</v>
      </c>
      <c r="D10" s="96" t="s">
        <v>308</v>
      </c>
      <c r="E10" s="113">
        <f>SUM(E11)</f>
        <v>136.84</v>
      </c>
      <c r="F10" s="113">
        <f t="shared" ref="F10:K10" si="1">SUM(F11)</f>
        <v>117.46</v>
      </c>
      <c r="G10" s="113">
        <f t="shared" si="1"/>
        <v>0</v>
      </c>
      <c r="H10" s="113">
        <f t="shared" si="1"/>
        <v>19.38</v>
      </c>
      <c r="I10" s="113">
        <f t="shared" si="1"/>
        <v>0</v>
      </c>
      <c r="J10" s="113">
        <f t="shared" si="1"/>
        <v>136.84</v>
      </c>
      <c r="K10" s="113">
        <f t="shared" si="1"/>
        <v>136.84</v>
      </c>
      <c r="L10" s="3"/>
      <c r="M10" s="3"/>
      <c r="N10" s="3"/>
      <c r="O10" s="3"/>
    </row>
    <row r="11" spans="1:15" ht="20.100000000000001" customHeight="1">
      <c r="A11" s="95"/>
      <c r="B11" s="96"/>
      <c r="C11" s="95">
        <v>2070103</v>
      </c>
      <c r="D11" s="96" t="s">
        <v>309</v>
      </c>
      <c r="E11" s="113">
        <f t="shared" ref="E11" si="2">SUM(F11+G11+G11+H11)</f>
        <v>136.84</v>
      </c>
      <c r="F11" s="109">
        <v>117.46</v>
      </c>
      <c r="G11" s="109">
        <v>0</v>
      </c>
      <c r="H11" s="109">
        <v>19.38</v>
      </c>
      <c r="I11" s="109">
        <v>0</v>
      </c>
      <c r="J11" s="113">
        <f t="shared" ref="J11:J28" si="3">SUM(K11)</f>
        <v>136.84</v>
      </c>
      <c r="K11" s="113">
        <f t="shared" ref="K11:K28" si="4">SUM(E11)</f>
        <v>136.84</v>
      </c>
      <c r="L11" s="3"/>
      <c r="M11" s="3"/>
      <c r="N11" s="3"/>
      <c r="O11" s="3"/>
    </row>
    <row r="12" spans="1:15" ht="20.100000000000001" customHeight="1">
      <c r="A12" s="95"/>
      <c r="B12" s="96"/>
      <c r="C12" s="95">
        <v>212</v>
      </c>
      <c r="D12" s="96" t="s">
        <v>322</v>
      </c>
      <c r="E12" s="114">
        <f>SUM(E13)</f>
        <v>4467.71</v>
      </c>
      <c r="F12" s="114">
        <f t="shared" ref="F12:I12" si="5">SUM(F13)</f>
        <v>3836.89</v>
      </c>
      <c r="G12" s="114">
        <f t="shared" si="5"/>
        <v>0</v>
      </c>
      <c r="H12" s="114">
        <f t="shared" si="5"/>
        <v>630.82000000000005</v>
      </c>
      <c r="I12" s="114">
        <f t="shared" si="5"/>
        <v>0</v>
      </c>
      <c r="J12" s="113">
        <f t="shared" si="3"/>
        <v>4467.71</v>
      </c>
      <c r="K12" s="113">
        <f t="shared" si="4"/>
        <v>4467.71</v>
      </c>
      <c r="L12" s="3"/>
      <c r="M12" s="3"/>
      <c r="N12" s="3"/>
      <c r="O12" s="3"/>
    </row>
    <row r="13" spans="1:15" ht="20.100000000000001" customHeight="1">
      <c r="A13" s="95"/>
      <c r="B13" s="96"/>
      <c r="C13" s="95">
        <v>21201</v>
      </c>
      <c r="D13" s="96" t="s">
        <v>311</v>
      </c>
      <c r="E13" s="114">
        <f>SUM(E14)</f>
        <v>4467.71</v>
      </c>
      <c r="F13" s="114">
        <f t="shared" ref="F13:I13" si="6">SUM(F14)</f>
        <v>3836.89</v>
      </c>
      <c r="G13" s="114">
        <f t="shared" si="6"/>
        <v>0</v>
      </c>
      <c r="H13" s="114">
        <f t="shared" si="6"/>
        <v>630.82000000000005</v>
      </c>
      <c r="I13" s="114">
        <f t="shared" si="6"/>
        <v>0</v>
      </c>
      <c r="J13" s="113">
        <f t="shared" si="3"/>
        <v>4467.71</v>
      </c>
      <c r="K13" s="113">
        <f t="shared" si="4"/>
        <v>4467.71</v>
      </c>
      <c r="L13" s="3"/>
      <c r="M13" s="3"/>
      <c r="N13" s="3"/>
      <c r="O13" s="3"/>
    </row>
    <row r="14" spans="1:15" ht="20.100000000000001" customHeight="1">
      <c r="A14" s="95"/>
      <c r="B14" s="96"/>
      <c r="C14" s="95">
        <v>2120104</v>
      </c>
      <c r="D14" s="96" t="s">
        <v>312</v>
      </c>
      <c r="E14" s="114">
        <f>SUM(F14+H14)</f>
        <v>4467.71</v>
      </c>
      <c r="F14" s="109">
        <v>3836.89</v>
      </c>
      <c r="G14" s="109">
        <v>0</v>
      </c>
      <c r="H14" s="109">
        <v>630.82000000000005</v>
      </c>
      <c r="I14" s="109">
        <v>0</v>
      </c>
      <c r="J14" s="113">
        <f t="shared" si="3"/>
        <v>4467.71</v>
      </c>
      <c r="K14" s="113">
        <f t="shared" si="4"/>
        <v>4467.71</v>
      </c>
      <c r="L14" s="3"/>
      <c r="M14" s="3"/>
      <c r="N14" s="3"/>
      <c r="O14" s="3"/>
    </row>
    <row r="15" spans="1:15" ht="20.100000000000001" customHeight="1">
      <c r="A15" s="95"/>
      <c r="B15" s="96"/>
      <c r="C15" s="95">
        <v>213</v>
      </c>
      <c r="D15" s="96" t="s">
        <v>313</v>
      </c>
      <c r="E15" s="114">
        <f t="shared" ref="E15:E28" si="7">SUM(F15+H15)</f>
        <v>207.27</v>
      </c>
      <c r="F15" s="114">
        <f>SUM(F16)</f>
        <v>173.98</v>
      </c>
      <c r="G15" s="114">
        <f t="shared" ref="G15:I15" si="8">SUM(G16)</f>
        <v>0</v>
      </c>
      <c r="H15" s="114">
        <f t="shared" si="8"/>
        <v>33.29</v>
      </c>
      <c r="I15" s="114">
        <f t="shared" si="8"/>
        <v>0</v>
      </c>
      <c r="J15" s="113">
        <f t="shared" si="3"/>
        <v>207.27</v>
      </c>
      <c r="K15" s="113">
        <f t="shared" si="4"/>
        <v>207.27</v>
      </c>
      <c r="L15" s="3"/>
      <c r="M15" s="3"/>
      <c r="N15" s="3"/>
      <c r="O15" s="3"/>
    </row>
    <row r="16" spans="1:15" ht="20.100000000000001" customHeight="1">
      <c r="A16" s="95"/>
      <c r="B16" s="96"/>
      <c r="C16" s="95">
        <v>21301</v>
      </c>
      <c r="D16" s="96" t="s">
        <v>314</v>
      </c>
      <c r="E16" s="114">
        <f t="shared" si="7"/>
        <v>207.27</v>
      </c>
      <c r="F16" s="114">
        <f>SUM(F17)</f>
        <v>173.98</v>
      </c>
      <c r="G16" s="114">
        <f t="shared" ref="G16:H16" si="9">SUM(G17)</f>
        <v>0</v>
      </c>
      <c r="H16" s="114">
        <f t="shared" si="9"/>
        <v>33.29</v>
      </c>
      <c r="I16" s="114">
        <v>0</v>
      </c>
      <c r="J16" s="113">
        <f t="shared" si="3"/>
        <v>207.27</v>
      </c>
      <c r="K16" s="113">
        <f t="shared" si="4"/>
        <v>207.27</v>
      </c>
      <c r="L16" s="3"/>
      <c r="M16" s="3"/>
      <c r="N16" s="3"/>
      <c r="O16" s="3"/>
    </row>
    <row r="17" spans="1:15" ht="20.25" customHeight="1">
      <c r="A17" s="95"/>
      <c r="B17" s="96"/>
      <c r="C17" s="95">
        <v>2130103</v>
      </c>
      <c r="D17" s="96" t="s">
        <v>309</v>
      </c>
      <c r="E17" s="114">
        <f t="shared" si="7"/>
        <v>207.27</v>
      </c>
      <c r="F17" s="109">
        <v>173.98</v>
      </c>
      <c r="G17" s="109">
        <v>0</v>
      </c>
      <c r="H17" s="109">
        <v>33.29</v>
      </c>
      <c r="I17" s="109">
        <v>0</v>
      </c>
      <c r="J17" s="113">
        <f t="shared" si="3"/>
        <v>207.27</v>
      </c>
      <c r="K17" s="113">
        <f t="shared" si="4"/>
        <v>207.27</v>
      </c>
      <c r="L17" s="3"/>
      <c r="M17" s="3"/>
      <c r="N17" s="3"/>
      <c r="O17" s="3"/>
    </row>
    <row r="18" spans="1:15" ht="20.25" customHeight="1">
      <c r="A18" s="95"/>
      <c r="B18" s="96"/>
      <c r="C18" s="95">
        <v>214</v>
      </c>
      <c r="D18" s="96" t="s">
        <v>315</v>
      </c>
      <c r="E18" s="114">
        <f t="shared" si="7"/>
        <v>265.93</v>
      </c>
      <c r="F18" s="114">
        <f>SUM(F19)</f>
        <v>230.98</v>
      </c>
      <c r="G18" s="114">
        <f t="shared" ref="G18:I19" si="10">SUM(G19)</f>
        <v>0</v>
      </c>
      <c r="H18" s="114">
        <f t="shared" si="10"/>
        <v>34.950000000000003</v>
      </c>
      <c r="I18" s="114">
        <f t="shared" si="10"/>
        <v>0</v>
      </c>
      <c r="J18" s="113">
        <f t="shared" si="3"/>
        <v>265.93</v>
      </c>
      <c r="K18" s="113">
        <f t="shared" si="4"/>
        <v>265.93</v>
      </c>
      <c r="L18" s="3"/>
      <c r="M18" s="3"/>
      <c r="N18" s="3"/>
      <c r="O18" s="3"/>
    </row>
    <row r="19" spans="1:15" ht="20.25" customHeight="1">
      <c r="A19" s="95"/>
      <c r="B19" s="96"/>
      <c r="C19" s="95">
        <v>21401</v>
      </c>
      <c r="D19" s="96" t="s">
        <v>316</v>
      </c>
      <c r="E19" s="114">
        <f t="shared" si="7"/>
        <v>265.93</v>
      </c>
      <c r="F19" s="114">
        <f>SUM(F20)</f>
        <v>230.98</v>
      </c>
      <c r="G19" s="114">
        <f t="shared" si="10"/>
        <v>0</v>
      </c>
      <c r="H19" s="114">
        <f t="shared" si="10"/>
        <v>34.950000000000003</v>
      </c>
      <c r="I19" s="114">
        <f t="shared" si="10"/>
        <v>0</v>
      </c>
      <c r="J19" s="113">
        <f t="shared" si="3"/>
        <v>265.93</v>
      </c>
      <c r="K19" s="113">
        <f t="shared" si="4"/>
        <v>265.93</v>
      </c>
      <c r="L19" s="3"/>
      <c r="M19" s="3"/>
      <c r="N19" s="3"/>
      <c r="O19" s="3"/>
    </row>
    <row r="20" spans="1:15" ht="20.25" customHeight="1">
      <c r="A20" s="95"/>
      <c r="B20" s="96"/>
      <c r="C20" s="95">
        <v>2140103</v>
      </c>
      <c r="D20" s="96" t="s">
        <v>309</v>
      </c>
      <c r="E20" s="114">
        <f t="shared" si="7"/>
        <v>265.93</v>
      </c>
      <c r="F20" s="109">
        <v>230.98</v>
      </c>
      <c r="G20" s="109">
        <v>0</v>
      </c>
      <c r="H20" s="109">
        <v>34.950000000000003</v>
      </c>
      <c r="I20" s="109">
        <v>0</v>
      </c>
      <c r="J20" s="113">
        <f t="shared" si="3"/>
        <v>265.93</v>
      </c>
      <c r="K20" s="113">
        <f t="shared" si="4"/>
        <v>265.93</v>
      </c>
      <c r="L20" s="3"/>
      <c r="M20" s="3"/>
      <c r="N20" s="3"/>
      <c r="O20" s="3"/>
    </row>
    <row r="21" spans="1:15" ht="20.25" customHeight="1">
      <c r="A21" s="95"/>
      <c r="B21" s="96"/>
      <c r="C21" s="95">
        <v>224</v>
      </c>
      <c r="D21" s="96" t="s">
        <v>336</v>
      </c>
      <c r="E21" s="114">
        <f>SUM(E22)</f>
        <v>455.7</v>
      </c>
      <c r="F21" s="109">
        <f>SUM(F22)</f>
        <v>340.44</v>
      </c>
      <c r="G21" s="109">
        <v>0</v>
      </c>
      <c r="H21" s="109">
        <f>SUM(H22)</f>
        <v>115.26</v>
      </c>
      <c r="I21" s="109">
        <v>0</v>
      </c>
      <c r="J21" s="113">
        <f t="shared" si="3"/>
        <v>455.7</v>
      </c>
      <c r="K21" s="113">
        <f t="shared" si="4"/>
        <v>455.7</v>
      </c>
      <c r="L21" s="3"/>
      <c r="M21" s="3"/>
      <c r="N21" s="3"/>
      <c r="O21" s="3"/>
    </row>
    <row r="22" spans="1:15" ht="20.25" customHeight="1">
      <c r="A22" s="95"/>
      <c r="B22" s="96"/>
      <c r="C22" s="95">
        <v>22401</v>
      </c>
      <c r="D22" s="96" t="s">
        <v>338</v>
      </c>
      <c r="E22" s="114">
        <f t="shared" si="7"/>
        <v>455.7</v>
      </c>
      <c r="F22" s="109">
        <f>SUM(F23+F24)</f>
        <v>340.44</v>
      </c>
      <c r="G22" s="109">
        <f t="shared" ref="G22:I22" si="11">SUM(G23+G24)</f>
        <v>0</v>
      </c>
      <c r="H22" s="109">
        <f t="shared" si="11"/>
        <v>115.26</v>
      </c>
      <c r="I22" s="109">
        <f t="shared" si="11"/>
        <v>0</v>
      </c>
      <c r="J22" s="113">
        <f t="shared" si="3"/>
        <v>455.7</v>
      </c>
      <c r="K22" s="113">
        <f t="shared" si="4"/>
        <v>455.7</v>
      </c>
      <c r="L22" s="3"/>
      <c r="M22" s="3"/>
      <c r="N22" s="3"/>
      <c r="O22" s="3"/>
    </row>
    <row r="23" spans="1:15" ht="20.25" customHeight="1">
      <c r="A23" s="95"/>
      <c r="B23" s="96"/>
      <c r="C23" s="95">
        <v>2240106</v>
      </c>
      <c r="D23" s="96" t="s">
        <v>339</v>
      </c>
      <c r="E23" s="114">
        <f t="shared" si="7"/>
        <v>121.6</v>
      </c>
      <c r="F23" s="109">
        <v>56.88</v>
      </c>
      <c r="G23" s="109">
        <v>0</v>
      </c>
      <c r="H23" s="109">
        <v>64.72</v>
      </c>
      <c r="I23" s="109">
        <v>0</v>
      </c>
      <c r="J23" s="113">
        <f t="shared" si="3"/>
        <v>121.6</v>
      </c>
      <c r="K23" s="113">
        <f t="shared" si="4"/>
        <v>121.6</v>
      </c>
      <c r="L23" s="3"/>
      <c r="M23" s="3"/>
      <c r="N23" s="3"/>
      <c r="O23" s="3"/>
    </row>
    <row r="24" spans="1:15" ht="20.25" customHeight="1">
      <c r="A24" s="95"/>
      <c r="B24" s="96"/>
      <c r="C24" s="95">
        <v>2240150</v>
      </c>
      <c r="D24" s="96" t="s">
        <v>337</v>
      </c>
      <c r="E24" s="114">
        <f t="shared" si="7"/>
        <v>334.1</v>
      </c>
      <c r="F24" s="109">
        <v>283.56</v>
      </c>
      <c r="G24" s="109">
        <v>0</v>
      </c>
      <c r="H24" s="109">
        <v>50.54</v>
      </c>
      <c r="I24" s="109">
        <v>0</v>
      </c>
      <c r="J24" s="113">
        <f t="shared" si="3"/>
        <v>334.1</v>
      </c>
      <c r="K24" s="113">
        <f t="shared" si="4"/>
        <v>334.1</v>
      </c>
      <c r="L24" s="3"/>
      <c r="M24" s="3"/>
      <c r="N24" s="3"/>
      <c r="O24" s="3"/>
    </row>
    <row r="25" spans="1:15" ht="20.25" customHeight="1">
      <c r="A25" s="95"/>
      <c r="B25" s="96"/>
      <c r="C25" s="95">
        <v>221</v>
      </c>
      <c r="D25" s="96" t="s">
        <v>317</v>
      </c>
      <c r="E25" s="114">
        <f>SUM(E26)</f>
        <v>388.78</v>
      </c>
      <c r="F25" s="114">
        <f t="shared" ref="F25:I25" si="12">SUM(F26)</f>
        <v>388.78</v>
      </c>
      <c r="G25" s="114">
        <f t="shared" si="12"/>
        <v>0</v>
      </c>
      <c r="H25" s="114">
        <f t="shared" si="12"/>
        <v>0</v>
      </c>
      <c r="I25" s="114">
        <f t="shared" si="12"/>
        <v>0</v>
      </c>
      <c r="J25" s="113">
        <f t="shared" si="3"/>
        <v>388.78</v>
      </c>
      <c r="K25" s="113">
        <f t="shared" si="4"/>
        <v>388.78</v>
      </c>
      <c r="L25" s="3"/>
      <c r="M25" s="3"/>
      <c r="N25" s="3"/>
      <c r="O25" s="3"/>
    </row>
    <row r="26" spans="1:15" ht="20.25" customHeight="1">
      <c r="A26" s="95"/>
      <c r="B26" s="96"/>
      <c r="C26" s="95">
        <v>22102</v>
      </c>
      <c r="D26" s="96" t="s">
        <v>318</v>
      </c>
      <c r="E26" s="114">
        <f t="shared" si="7"/>
        <v>388.78</v>
      </c>
      <c r="F26" s="114">
        <f>SUM(F27+F28)</f>
        <v>388.78</v>
      </c>
      <c r="G26" s="114">
        <f t="shared" ref="G26:I26" si="13">SUM(G27+G28)</f>
        <v>0</v>
      </c>
      <c r="H26" s="114">
        <f t="shared" si="13"/>
        <v>0</v>
      </c>
      <c r="I26" s="114">
        <f t="shared" si="13"/>
        <v>0</v>
      </c>
      <c r="J26" s="113">
        <f t="shared" si="3"/>
        <v>388.78</v>
      </c>
      <c r="K26" s="113">
        <f t="shared" si="4"/>
        <v>388.78</v>
      </c>
      <c r="L26" s="3"/>
      <c r="M26" s="3"/>
      <c r="N26" s="3"/>
      <c r="O26" s="3"/>
    </row>
    <row r="27" spans="1:15" ht="20.25" customHeight="1">
      <c r="A27" s="95"/>
      <c r="B27" s="96"/>
      <c r="C27" s="95">
        <v>2210201</v>
      </c>
      <c r="D27" s="96" t="s">
        <v>319</v>
      </c>
      <c r="E27" s="114">
        <f t="shared" si="7"/>
        <v>317.45999999999998</v>
      </c>
      <c r="F27" s="114">
        <v>317.45999999999998</v>
      </c>
      <c r="G27" s="114">
        <v>0</v>
      </c>
      <c r="H27" s="109">
        <v>0</v>
      </c>
      <c r="I27" s="109">
        <v>0</v>
      </c>
      <c r="J27" s="113">
        <f t="shared" si="3"/>
        <v>317.45999999999998</v>
      </c>
      <c r="K27" s="113">
        <f t="shared" si="4"/>
        <v>317.45999999999998</v>
      </c>
      <c r="L27" s="3"/>
      <c r="M27" s="3"/>
      <c r="N27" s="3"/>
      <c r="O27" s="3"/>
    </row>
    <row r="28" spans="1:15" ht="20.25" customHeight="1">
      <c r="A28" s="95"/>
      <c r="B28" s="96"/>
      <c r="C28" s="95">
        <v>2210202</v>
      </c>
      <c r="D28" s="96" t="s">
        <v>320</v>
      </c>
      <c r="E28" s="114">
        <f t="shared" si="7"/>
        <v>71.319999999999993</v>
      </c>
      <c r="F28" s="114">
        <v>71.319999999999993</v>
      </c>
      <c r="G28" s="114">
        <v>0</v>
      </c>
      <c r="H28" s="109">
        <v>0</v>
      </c>
      <c r="I28" s="109">
        <v>0</v>
      </c>
      <c r="J28" s="113">
        <f t="shared" si="3"/>
        <v>71.319999999999993</v>
      </c>
      <c r="K28" s="113">
        <f t="shared" si="4"/>
        <v>71.319999999999993</v>
      </c>
      <c r="L28" s="3"/>
      <c r="M28" s="3"/>
      <c r="N28" s="3"/>
      <c r="O28" s="3"/>
    </row>
    <row r="29" spans="1:15" ht="64.900000000000006" customHeight="1">
      <c r="A29" s="161" t="s">
        <v>303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</row>
  </sheetData>
  <mergeCells count="18">
    <mergeCell ref="A29:O29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4" type="noConversion"/>
  <pageMargins left="0.70866141732283472" right="0.70866141732283472" top="0" bottom="0.15748031496062992" header="0.31496062992125984" footer="0.31496062992125984"/>
  <pageSetup paperSize="9" scale="81" fitToHeight="0" orientation="landscape" r:id="rId1"/>
  <ignoredErrors>
    <ignoredError sqref="J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zoomScaleNormal="100" workbookViewId="0">
      <selection activeCell="D12" sqref="D12"/>
    </sheetView>
  </sheetViews>
  <sheetFormatPr defaultRowHeight="14.25"/>
  <cols>
    <col min="1" max="1" width="32" customWidth="1"/>
    <col min="2" max="2" width="29.25" customWidth="1"/>
    <col min="3" max="3" width="33.125" customWidth="1"/>
    <col min="4" max="4" width="29.5" customWidth="1"/>
  </cols>
  <sheetData>
    <row r="1" spans="1:4">
      <c r="A1" s="2" t="s">
        <v>37</v>
      </c>
      <c r="B1" s="2"/>
      <c r="C1" s="2"/>
      <c r="D1" s="2"/>
    </row>
    <row r="2" spans="1:4" ht="20.25">
      <c r="A2" s="165" t="s">
        <v>328</v>
      </c>
      <c r="B2" s="166"/>
      <c r="C2" s="166"/>
      <c r="D2" s="166"/>
    </row>
    <row r="3" spans="1:4" ht="25.5" customHeight="1">
      <c r="A3" s="14"/>
      <c r="B3" s="14"/>
      <c r="C3" s="14"/>
      <c r="D3" s="42" t="s">
        <v>0</v>
      </c>
    </row>
    <row r="4" spans="1:4" s="28" customFormat="1" ht="20.100000000000001" customHeight="1">
      <c r="A4" s="38" t="s">
        <v>5</v>
      </c>
      <c r="B4" s="38"/>
      <c r="C4" s="38" t="s">
        <v>6</v>
      </c>
      <c r="D4" s="38"/>
    </row>
    <row r="5" spans="1:4" s="28" customFormat="1" ht="20.100000000000001" customHeight="1">
      <c r="A5" s="39" t="s">
        <v>7</v>
      </c>
      <c r="B5" s="39" t="s">
        <v>277</v>
      </c>
      <c r="C5" s="39" t="s">
        <v>8</v>
      </c>
      <c r="D5" s="39" t="s">
        <v>278</v>
      </c>
    </row>
    <row r="6" spans="1:4" s="28" customFormat="1" ht="20.100000000000001" customHeight="1">
      <c r="A6" s="40" t="s">
        <v>9</v>
      </c>
      <c r="B6" s="106">
        <v>5922.23</v>
      </c>
      <c r="C6" s="40" t="s">
        <v>10</v>
      </c>
      <c r="D6" s="108">
        <f>SUM(D7+D8+D9)</f>
        <v>5922.23</v>
      </c>
    </row>
    <row r="7" spans="1:4" s="28" customFormat="1" ht="20.100000000000001" customHeight="1">
      <c r="A7" s="40" t="s">
        <v>14</v>
      </c>
      <c r="B7" s="106"/>
      <c r="C7" s="40" t="s">
        <v>11</v>
      </c>
      <c r="D7" s="106">
        <v>5088.53</v>
      </c>
    </row>
    <row r="8" spans="1:4" s="28" customFormat="1" ht="20.100000000000001" customHeight="1">
      <c r="A8" s="40"/>
      <c r="B8" s="106"/>
      <c r="C8" s="40" t="s">
        <v>12</v>
      </c>
      <c r="D8" s="106">
        <v>0</v>
      </c>
    </row>
    <row r="9" spans="1:4" s="28" customFormat="1" ht="20.100000000000001" customHeight="1">
      <c r="A9" s="40"/>
      <c r="B9" s="106"/>
      <c r="C9" s="40" t="s">
        <v>13</v>
      </c>
      <c r="D9" s="106">
        <v>833.7</v>
      </c>
    </row>
    <row r="10" spans="1:4" s="28" customFormat="1" ht="20.100000000000001" customHeight="1">
      <c r="A10" s="40"/>
      <c r="B10" s="106"/>
      <c r="C10" s="40" t="s">
        <v>15</v>
      </c>
      <c r="D10" s="107">
        <v>0</v>
      </c>
    </row>
    <row r="11" spans="1:4" s="28" customFormat="1" ht="20.100000000000001" customHeight="1">
      <c r="A11" s="40"/>
      <c r="B11" s="106"/>
      <c r="C11" s="40"/>
      <c r="D11" s="106"/>
    </row>
    <row r="12" spans="1:4" s="28" customFormat="1" ht="20.100000000000001" customHeight="1">
      <c r="A12" s="40"/>
      <c r="B12" s="106"/>
      <c r="C12" s="40"/>
      <c r="D12" s="106"/>
    </row>
    <row r="13" spans="1:4" s="28" customFormat="1" ht="20.100000000000001" customHeight="1">
      <c r="A13" s="41" t="s">
        <v>291</v>
      </c>
      <c r="B13" s="107">
        <f>SUM(B6:B12)</f>
        <v>5922.23</v>
      </c>
      <c r="C13" s="41" t="s">
        <v>292</v>
      </c>
      <c r="D13" s="106">
        <f>SUM(D6+D10)</f>
        <v>5922.23</v>
      </c>
    </row>
  </sheetData>
  <mergeCells count="1">
    <mergeCell ref="A2:D2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topLeftCell="A13" zoomScaleNormal="100" workbookViewId="0">
      <selection activeCell="D16" sqref="D16"/>
    </sheetView>
  </sheetViews>
  <sheetFormatPr defaultRowHeight="14.25"/>
  <cols>
    <col min="1" max="1" width="11.5" customWidth="1"/>
    <col min="2" max="2" width="21.5" customWidth="1"/>
    <col min="3" max="3" width="16.5" customWidth="1"/>
    <col min="4" max="4" width="15.75" customWidth="1"/>
    <col min="5" max="5" width="16.125" customWidth="1"/>
  </cols>
  <sheetData>
    <row r="1" spans="1:5">
      <c r="A1" s="15" t="s">
        <v>38</v>
      </c>
      <c r="B1" s="15"/>
      <c r="C1" s="15"/>
      <c r="D1" s="16"/>
      <c r="E1" s="16"/>
    </row>
    <row r="2" spans="1:5" ht="20.25">
      <c r="A2" s="145" t="s">
        <v>329</v>
      </c>
      <c r="B2" s="145"/>
      <c r="C2" s="145"/>
      <c r="D2" s="145"/>
      <c r="E2" s="145"/>
    </row>
    <row r="3" spans="1:5" ht="23.25" customHeight="1">
      <c r="A3" s="17"/>
      <c r="B3" s="17"/>
      <c r="C3" s="17"/>
      <c r="D3" s="18"/>
      <c r="E3" s="85" t="s">
        <v>0</v>
      </c>
    </row>
    <row r="4" spans="1:5" s="28" customFormat="1" ht="20.100000000000001" customHeight="1">
      <c r="A4" s="169" t="s">
        <v>27</v>
      </c>
      <c r="B4" s="169" t="s">
        <v>28</v>
      </c>
      <c r="C4" s="169" t="s">
        <v>39</v>
      </c>
      <c r="D4" s="170" t="s">
        <v>40</v>
      </c>
      <c r="E4" s="170"/>
    </row>
    <row r="5" spans="1:5" s="28" customFormat="1" ht="20.100000000000001" customHeight="1">
      <c r="A5" s="169"/>
      <c r="B5" s="169"/>
      <c r="C5" s="169"/>
      <c r="D5" s="43" t="s">
        <v>41</v>
      </c>
      <c r="E5" s="44" t="s">
        <v>32</v>
      </c>
    </row>
    <row r="6" spans="1:5" s="28" customFormat="1" ht="20.100000000000001" customHeight="1">
      <c r="A6" s="45" t="s">
        <v>25</v>
      </c>
      <c r="B6" s="45" t="s">
        <v>25</v>
      </c>
      <c r="C6" s="45">
        <v>1</v>
      </c>
      <c r="D6" s="46">
        <v>2</v>
      </c>
      <c r="E6" s="46">
        <v>3</v>
      </c>
    </row>
    <row r="7" spans="1:5" s="28" customFormat="1" ht="20.100000000000001" customHeight="1">
      <c r="A7" s="168" t="s">
        <v>323</v>
      </c>
      <c r="B7" s="156"/>
      <c r="C7" s="109">
        <f>SUM(C8+C11+C14+C17+C20+C24)</f>
        <v>5922.23</v>
      </c>
      <c r="D7" s="109">
        <f>SUM(D8+D11+D14+D17+D20+D24)</f>
        <v>5922.23</v>
      </c>
      <c r="E7" s="109"/>
    </row>
    <row r="8" spans="1:5" s="28" customFormat="1" ht="20.100000000000001" customHeight="1">
      <c r="A8" s="95">
        <v>207</v>
      </c>
      <c r="B8" s="96" t="s">
        <v>321</v>
      </c>
      <c r="C8" s="109">
        <v>136.84</v>
      </c>
      <c r="D8" s="109">
        <v>136.84</v>
      </c>
      <c r="E8" s="109"/>
    </row>
    <row r="9" spans="1:5" s="28" customFormat="1" ht="20.100000000000001" customHeight="1">
      <c r="A9" s="95">
        <v>20701</v>
      </c>
      <c r="B9" s="96" t="s">
        <v>308</v>
      </c>
      <c r="C9" s="109">
        <v>136.84</v>
      </c>
      <c r="D9" s="109">
        <v>136.84</v>
      </c>
      <c r="E9" s="109"/>
    </row>
    <row r="10" spans="1:5" s="28" customFormat="1" ht="20.100000000000001" customHeight="1">
      <c r="A10" s="95">
        <v>2070103</v>
      </c>
      <c r="B10" s="96" t="s">
        <v>309</v>
      </c>
      <c r="C10" s="109">
        <v>136.84</v>
      </c>
      <c r="D10" s="109">
        <v>136.84</v>
      </c>
      <c r="E10" s="109"/>
    </row>
    <row r="11" spans="1:5" s="28" customFormat="1" ht="20.100000000000001" customHeight="1">
      <c r="A11" s="95">
        <v>212</v>
      </c>
      <c r="B11" s="96" t="s">
        <v>322</v>
      </c>
      <c r="C11" s="109">
        <v>4467.71</v>
      </c>
      <c r="D11" s="109">
        <v>4467.71</v>
      </c>
      <c r="E11" s="109"/>
    </row>
    <row r="12" spans="1:5" s="28" customFormat="1" ht="20.100000000000001" customHeight="1">
      <c r="A12" s="95">
        <v>21201</v>
      </c>
      <c r="B12" s="96" t="s">
        <v>311</v>
      </c>
      <c r="C12" s="109">
        <v>4467.71</v>
      </c>
      <c r="D12" s="109">
        <v>4467.71</v>
      </c>
      <c r="E12" s="109"/>
    </row>
    <row r="13" spans="1:5" s="28" customFormat="1" ht="20.100000000000001" customHeight="1">
      <c r="A13" s="95">
        <v>2120104</v>
      </c>
      <c r="B13" s="96" t="s">
        <v>312</v>
      </c>
      <c r="C13" s="109">
        <v>4467.71</v>
      </c>
      <c r="D13" s="109">
        <v>4467.71</v>
      </c>
      <c r="E13" s="109"/>
    </row>
    <row r="14" spans="1:5" s="28" customFormat="1" ht="20.100000000000001" customHeight="1">
      <c r="A14" s="95">
        <v>213</v>
      </c>
      <c r="B14" s="96" t="s">
        <v>313</v>
      </c>
      <c r="C14" s="109">
        <v>207.27</v>
      </c>
      <c r="D14" s="109">
        <v>207.27</v>
      </c>
      <c r="E14" s="109"/>
    </row>
    <row r="15" spans="1:5" s="28" customFormat="1" ht="20.100000000000001" customHeight="1">
      <c r="A15" s="95">
        <v>21301</v>
      </c>
      <c r="B15" s="96" t="s">
        <v>314</v>
      </c>
      <c r="C15" s="109">
        <v>207.27</v>
      </c>
      <c r="D15" s="109">
        <v>207.27</v>
      </c>
      <c r="E15" s="109"/>
    </row>
    <row r="16" spans="1:5" s="28" customFormat="1" ht="20.100000000000001" customHeight="1">
      <c r="A16" s="95">
        <v>2130103</v>
      </c>
      <c r="B16" s="96" t="s">
        <v>309</v>
      </c>
      <c r="C16" s="109">
        <v>207.27</v>
      </c>
      <c r="D16" s="109">
        <v>207.27</v>
      </c>
      <c r="E16" s="109"/>
    </row>
    <row r="17" spans="1:5" s="28" customFormat="1" ht="20.100000000000001" customHeight="1">
      <c r="A17" s="95">
        <v>214</v>
      </c>
      <c r="B17" s="96" t="s">
        <v>315</v>
      </c>
      <c r="C17" s="109">
        <v>265.93</v>
      </c>
      <c r="D17" s="109">
        <v>265.93</v>
      </c>
      <c r="E17" s="109"/>
    </row>
    <row r="18" spans="1:5" s="28" customFormat="1" ht="20.100000000000001" customHeight="1">
      <c r="A18" s="95">
        <v>21401</v>
      </c>
      <c r="B18" s="96" t="s">
        <v>316</v>
      </c>
      <c r="C18" s="109">
        <v>265.93</v>
      </c>
      <c r="D18" s="109">
        <v>265.93</v>
      </c>
      <c r="E18" s="109"/>
    </row>
    <row r="19" spans="1:5" s="28" customFormat="1" ht="20.100000000000001" customHeight="1">
      <c r="A19" s="95">
        <v>2140103</v>
      </c>
      <c r="B19" s="96" t="s">
        <v>309</v>
      </c>
      <c r="C19" s="109">
        <v>265.93</v>
      </c>
      <c r="D19" s="109">
        <v>265.93</v>
      </c>
      <c r="E19" s="109"/>
    </row>
    <row r="20" spans="1:5" s="28" customFormat="1" ht="20.100000000000001" customHeight="1">
      <c r="A20" s="95">
        <v>224</v>
      </c>
      <c r="B20" s="96" t="s">
        <v>336</v>
      </c>
      <c r="C20" s="109">
        <v>455.7</v>
      </c>
      <c r="D20" s="109">
        <v>455.7</v>
      </c>
      <c r="E20" s="109"/>
    </row>
    <row r="21" spans="1:5" s="28" customFormat="1" ht="20.100000000000001" customHeight="1">
      <c r="A21" s="95">
        <v>22401</v>
      </c>
      <c r="B21" s="96" t="s">
        <v>338</v>
      </c>
      <c r="C21" s="109">
        <v>455.7</v>
      </c>
      <c r="D21" s="109">
        <v>455.7</v>
      </c>
      <c r="E21" s="109"/>
    </row>
    <row r="22" spans="1:5" s="28" customFormat="1" ht="20.100000000000001" customHeight="1">
      <c r="A22" s="95">
        <v>2240106</v>
      </c>
      <c r="B22" s="96" t="s">
        <v>339</v>
      </c>
      <c r="C22" s="109">
        <v>121.6</v>
      </c>
      <c r="D22" s="109">
        <v>121.6</v>
      </c>
      <c r="E22" s="109"/>
    </row>
    <row r="23" spans="1:5" ht="20.25" customHeight="1">
      <c r="A23" s="95">
        <v>2240150</v>
      </c>
      <c r="B23" s="96" t="s">
        <v>337</v>
      </c>
      <c r="C23" s="109">
        <v>334.1</v>
      </c>
      <c r="D23" s="109">
        <v>334.1</v>
      </c>
      <c r="E23" s="109"/>
    </row>
    <row r="24" spans="1:5" ht="18.75" customHeight="1">
      <c r="A24" s="95">
        <v>221</v>
      </c>
      <c r="B24" s="96" t="s">
        <v>317</v>
      </c>
      <c r="C24" s="109">
        <v>388.78</v>
      </c>
      <c r="D24" s="109">
        <v>388.78</v>
      </c>
      <c r="E24" s="99"/>
    </row>
    <row r="25" spans="1:5" ht="18.75" customHeight="1">
      <c r="A25" s="95">
        <v>22102</v>
      </c>
      <c r="B25" s="96" t="s">
        <v>318</v>
      </c>
      <c r="C25" s="109">
        <v>388.78</v>
      </c>
      <c r="D25" s="109">
        <v>388.78</v>
      </c>
      <c r="E25" s="99"/>
    </row>
    <row r="26" spans="1:5" ht="18.75" customHeight="1">
      <c r="A26" s="95">
        <v>2210201</v>
      </c>
      <c r="B26" s="96" t="s">
        <v>319</v>
      </c>
      <c r="C26" s="109">
        <v>317.45999999999998</v>
      </c>
      <c r="D26" s="109">
        <v>317.45999999999998</v>
      </c>
      <c r="E26" s="99"/>
    </row>
    <row r="27" spans="1:5" ht="18.75" customHeight="1">
      <c r="A27" s="95">
        <v>2210202</v>
      </c>
      <c r="B27" s="96" t="s">
        <v>320</v>
      </c>
      <c r="C27" s="109">
        <v>71.319999999999993</v>
      </c>
      <c r="D27" s="109">
        <v>71.319999999999993</v>
      </c>
      <c r="E27" s="99"/>
    </row>
    <row r="28" spans="1:5" ht="16.5">
      <c r="A28" s="167" t="s">
        <v>302</v>
      </c>
      <c r="B28" s="167"/>
      <c r="C28" s="167"/>
      <c r="D28" s="167"/>
      <c r="E28" s="167"/>
    </row>
  </sheetData>
  <mergeCells count="7">
    <mergeCell ref="A28:E28"/>
    <mergeCell ref="A7:B7"/>
    <mergeCell ref="A2:E2"/>
    <mergeCell ref="A4:A5"/>
    <mergeCell ref="B4:B5"/>
    <mergeCell ref="C4:C5"/>
    <mergeCell ref="D4:E4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zoomScaleNormal="100" workbookViewId="0">
      <selection activeCell="A2" sqref="A2:E2"/>
    </sheetView>
  </sheetViews>
  <sheetFormatPr defaultRowHeight="14.25"/>
  <cols>
    <col min="1" max="1" width="15.75" customWidth="1"/>
    <col min="2" max="2" width="17.75" customWidth="1"/>
    <col min="3" max="5" width="15.25" customWidth="1"/>
  </cols>
  <sheetData>
    <row r="1" spans="1:5" ht="24.6" customHeight="1">
      <c r="A1" s="15" t="s">
        <v>42</v>
      </c>
      <c r="B1" s="15"/>
      <c r="C1" s="15"/>
      <c r="D1" s="16"/>
      <c r="E1" s="16"/>
    </row>
    <row r="2" spans="1:5" ht="26.45" customHeight="1">
      <c r="A2" s="145" t="s">
        <v>330</v>
      </c>
      <c r="B2" s="145"/>
      <c r="C2" s="145"/>
      <c r="D2" s="145"/>
      <c r="E2" s="145"/>
    </row>
    <row r="3" spans="1:5">
      <c r="A3" s="17"/>
      <c r="B3" s="17"/>
      <c r="C3" s="17"/>
      <c r="D3" s="18"/>
      <c r="E3" s="78" t="s">
        <v>0</v>
      </c>
    </row>
    <row r="4" spans="1:5" s="28" customFormat="1" ht="20.100000000000001" customHeight="1">
      <c r="A4" s="169" t="s">
        <v>27</v>
      </c>
      <c r="B4" s="169" t="s">
        <v>28</v>
      </c>
      <c r="C4" s="169" t="s">
        <v>39</v>
      </c>
      <c r="D4" s="170" t="s">
        <v>40</v>
      </c>
      <c r="E4" s="170"/>
    </row>
    <row r="5" spans="1:5" s="28" customFormat="1" ht="20.100000000000001" customHeight="1">
      <c r="A5" s="169"/>
      <c r="B5" s="169"/>
      <c r="C5" s="169"/>
      <c r="D5" s="43" t="s">
        <v>41</v>
      </c>
      <c r="E5" s="44" t="s">
        <v>32</v>
      </c>
    </row>
    <row r="6" spans="1:5" s="28" customFormat="1" ht="20.100000000000001" customHeight="1">
      <c r="A6" s="45" t="s">
        <v>25</v>
      </c>
      <c r="B6" s="45" t="s">
        <v>25</v>
      </c>
      <c r="C6" s="45">
        <v>1</v>
      </c>
      <c r="D6" s="46">
        <v>2</v>
      </c>
      <c r="E6" s="46">
        <v>3</v>
      </c>
    </row>
    <row r="7" spans="1:5" s="28" customFormat="1" ht="20.100000000000001" customHeight="1">
      <c r="A7" s="47"/>
      <c r="B7" s="48"/>
      <c r="C7" s="48"/>
      <c r="D7" s="49"/>
      <c r="E7" s="49"/>
    </row>
    <row r="8" spans="1:5" s="28" customFormat="1" ht="20.100000000000001" customHeight="1">
      <c r="A8" s="50"/>
      <c r="B8" s="51"/>
      <c r="C8" s="51"/>
      <c r="D8" s="49"/>
      <c r="E8" s="49"/>
    </row>
    <row r="9" spans="1:5" s="28" customFormat="1" ht="20.100000000000001" customHeight="1">
      <c r="A9" s="52"/>
      <c r="B9" s="52"/>
      <c r="C9" s="52"/>
      <c r="D9" s="49"/>
      <c r="E9" s="49"/>
    </row>
    <row r="10" spans="1:5" s="28" customFormat="1" ht="20.100000000000001" customHeight="1">
      <c r="A10" s="52"/>
      <c r="B10" s="52"/>
      <c r="C10" s="52"/>
      <c r="D10" s="49"/>
      <c r="E10" s="49"/>
    </row>
    <row r="11" spans="1:5" s="28" customFormat="1" ht="20.100000000000001" customHeight="1">
      <c r="A11" s="52"/>
      <c r="B11" s="52"/>
      <c r="C11" s="52"/>
      <c r="D11" s="49"/>
      <c r="E11" s="49"/>
    </row>
    <row r="12" spans="1:5" s="28" customFormat="1" ht="20.100000000000001" customHeight="1">
      <c r="A12" s="52"/>
      <c r="B12" s="52"/>
      <c r="C12" s="52"/>
      <c r="D12" s="49"/>
      <c r="E12" s="49"/>
    </row>
    <row r="13" spans="1:5" s="28" customFormat="1" ht="20.100000000000001" customHeight="1">
      <c r="A13" s="52"/>
      <c r="B13" s="52"/>
      <c r="C13" s="52"/>
      <c r="D13" s="49"/>
      <c r="E13" s="49"/>
    </row>
    <row r="14" spans="1:5" s="28" customFormat="1" ht="20.100000000000001" customHeight="1">
      <c r="A14" s="49"/>
      <c r="B14" s="49"/>
      <c r="C14" s="49"/>
      <c r="D14" s="49"/>
      <c r="E14" s="49"/>
    </row>
    <row r="15" spans="1:5" s="28" customFormat="1" ht="20.100000000000001" customHeight="1">
      <c r="A15" s="49"/>
      <c r="B15" s="49"/>
      <c r="C15" s="49"/>
      <c r="D15" s="49"/>
      <c r="E15" s="49"/>
    </row>
    <row r="16" spans="1:5" s="28" customFormat="1" ht="20.100000000000001" customHeight="1">
      <c r="A16" s="49"/>
      <c r="B16" s="49"/>
      <c r="C16" s="49"/>
      <c r="D16" s="49"/>
      <c r="E16" s="49"/>
    </row>
    <row r="17" spans="1:5" s="28" customFormat="1" ht="20.100000000000001" customHeight="1">
      <c r="A17" s="49"/>
      <c r="B17" s="49"/>
      <c r="C17" s="49"/>
      <c r="D17" s="49"/>
      <c r="E17" s="49"/>
    </row>
    <row r="18" spans="1:5" s="28" customFormat="1" ht="20.100000000000001" customHeight="1">
      <c r="A18" s="49"/>
      <c r="B18" s="49"/>
      <c r="C18" s="49"/>
      <c r="D18" s="49"/>
      <c r="E18" s="49"/>
    </row>
    <row r="19" spans="1:5" s="28" customFormat="1" ht="20.100000000000001" customHeight="1">
      <c r="A19" s="49"/>
      <c r="B19" s="49"/>
      <c r="C19" s="49"/>
      <c r="D19" s="49"/>
      <c r="E19" s="49"/>
    </row>
    <row r="20" spans="1:5" s="28" customFormat="1" ht="20.100000000000001" customHeight="1">
      <c r="A20" s="49"/>
      <c r="B20" s="49"/>
      <c r="C20" s="49"/>
      <c r="D20" s="49"/>
      <c r="E20" s="49"/>
    </row>
    <row r="21" spans="1:5" s="28" customFormat="1" ht="20.100000000000001" customHeight="1">
      <c r="A21" s="49"/>
      <c r="B21" s="49"/>
      <c r="C21" s="49"/>
      <c r="D21" s="49"/>
      <c r="E21" s="49"/>
    </row>
    <row r="22" spans="1:5" s="28" customFormat="1" ht="18.600000000000001" customHeight="1">
      <c r="A22" s="172" t="s">
        <v>293</v>
      </c>
      <c r="B22" s="172"/>
      <c r="C22" s="172"/>
      <c r="D22" s="172"/>
      <c r="E22" s="53"/>
    </row>
    <row r="23" spans="1:5" s="28" customFormat="1" ht="18.600000000000001" customHeight="1">
      <c r="A23" s="173" t="s">
        <v>294</v>
      </c>
      <c r="B23" s="173"/>
      <c r="C23" s="173"/>
      <c r="D23" s="173"/>
      <c r="E23" s="53"/>
    </row>
    <row r="24" spans="1:5" s="28" customFormat="1" ht="18.600000000000001" customHeight="1">
      <c r="A24" s="171"/>
      <c r="B24" s="171"/>
      <c r="C24" s="171"/>
      <c r="D24" s="171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opLeftCell="A4" zoomScale="115" zoomScaleNormal="115" workbookViewId="0">
      <selection activeCell="C13" sqref="C13"/>
    </sheetView>
  </sheetViews>
  <sheetFormatPr defaultRowHeight="14.25"/>
  <cols>
    <col min="1" max="1" width="17.125" customWidth="1"/>
    <col min="2" max="2" width="34.125" customWidth="1"/>
    <col min="3" max="3" width="29.375" customWidth="1"/>
  </cols>
  <sheetData>
    <row r="1" spans="1:3" ht="23.45" customHeight="1">
      <c r="A1" s="25" t="s">
        <v>133</v>
      </c>
      <c r="B1" s="24"/>
      <c r="C1" s="24"/>
    </row>
    <row r="2" spans="1:3" ht="37.15" customHeight="1">
      <c r="A2" s="174" t="s">
        <v>331</v>
      </c>
      <c r="B2" s="175"/>
      <c r="C2" s="175"/>
    </row>
    <row r="3" spans="1:3" s="55" customFormat="1" ht="18" customHeight="1">
      <c r="A3" s="59"/>
      <c r="B3" s="54"/>
      <c r="C3" s="60" t="s">
        <v>116</v>
      </c>
    </row>
    <row r="4" spans="1:3" ht="31.5" customHeight="1">
      <c r="A4" s="61" t="s">
        <v>296</v>
      </c>
      <c r="B4" s="62" t="s">
        <v>28</v>
      </c>
      <c r="C4" s="79" t="s">
        <v>295</v>
      </c>
    </row>
    <row r="5" spans="1:3" ht="20.100000000000001" customHeight="1">
      <c r="A5" s="176" t="s">
        <v>44</v>
      </c>
      <c r="B5" s="176" t="s">
        <v>43</v>
      </c>
      <c r="C5" s="94">
        <f>SUM(C6+C7+C15+C8)</f>
        <v>5922.23</v>
      </c>
    </row>
    <row r="6" spans="1:3" ht="20.100000000000001" customHeight="1">
      <c r="A6" s="73" t="s">
        <v>45</v>
      </c>
      <c r="B6" s="73" t="s">
        <v>46</v>
      </c>
      <c r="C6" s="104">
        <v>5088.53</v>
      </c>
    </row>
    <row r="7" spans="1:3" ht="20.100000000000001" customHeight="1">
      <c r="A7" s="73" t="s">
        <v>53</v>
      </c>
      <c r="B7" s="73" t="s">
        <v>54</v>
      </c>
      <c r="C7" s="117">
        <v>833.7</v>
      </c>
    </row>
    <row r="8" spans="1:3" ht="20.100000000000001" customHeight="1">
      <c r="A8" s="73" t="s">
        <v>81</v>
      </c>
      <c r="B8" s="73" t="s">
        <v>82</v>
      </c>
      <c r="C8" s="104">
        <v>0</v>
      </c>
    </row>
    <row r="9" spans="1:3" ht="20.100000000000001" customHeight="1">
      <c r="A9" s="73" t="s">
        <v>110</v>
      </c>
      <c r="B9" s="73" t="s">
        <v>136</v>
      </c>
      <c r="C9" s="104" t="s">
        <v>43</v>
      </c>
    </row>
    <row r="10" spans="1:3" ht="20.100000000000001" customHeight="1">
      <c r="A10" s="73" t="s">
        <v>117</v>
      </c>
      <c r="B10" s="73" t="s">
        <v>137</v>
      </c>
      <c r="C10" s="104" t="s">
        <v>43</v>
      </c>
    </row>
    <row r="11" spans="1:3" ht="20.100000000000001" customHeight="1">
      <c r="A11" s="73" t="s">
        <v>94</v>
      </c>
      <c r="B11" s="73" t="s">
        <v>138</v>
      </c>
      <c r="C11" s="104" t="s">
        <v>43</v>
      </c>
    </row>
    <row r="12" spans="1:3" ht="20.100000000000001" customHeight="1">
      <c r="A12" s="73" t="s">
        <v>242</v>
      </c>
      <c r="B12" s="73" t="s">
        <v>139</v>
      </c>
      <c r="C12" s="104" t="s">
        <v>43</v>
      </c>
    </row>
    <row r="13" spans="1:3" ht="20.100000000000001" customHeight="1">
      <c r="A13" s="73" t="s">
        <v>246</v>
      </c>
      <c r="B13" s="73" t="s">
        <v>140</v>
      </c>
      <c r="C13" s="104" t="s">
        <v>43</v>
      </c>
    </row>
    <row r="14" spans="1:3" ht="20.100000000000001" customHeight="1">
      <c r="A14" s="73" t="s">
        <v>253</v>
      </c>
      <c r="B14" s="73" t="s">
        <v>141</v>
      </c>
      <c r="C14" s="105"/>
    </row>
    <row r="15" spans="1:3" ht="20.100000000000001" customHeight="1">
      <c r="A15" s="73" t="s">
        <v>112</v>
      </c>
      <c r="B15" s="73" t="s">
        <v>113</v>
      </c>
      <c r="C15" s="105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zoomScaleNormal="100" workbookViewId="0">
      <selection activeCell="C7" sqref="C7:C19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19" t="s">
        <v>135</v>
      </c>
      <c r="B1" s="20"/>
      <c r="C1" s="2"/>
    </row>
    <row r="2" spans="1:3" ht="33.75" customHeight="1">
      <c r="A2" s="178" t="s">
        <v>332</v>
      </c>
      <c r="B2" s="178"/>
      <c r="C2" s="178"/>
    </row>
    <row r="3" spans="1:3" ht="21" customHeight="1">
      <c r="A3" s="21"/>
      <c r="B3" s="179" t="s">
        <v>0</v>
      </c>
      <c r="C3" s="179"/>
    </row>
    <row r="4" spans="1:3" ht="20.100000000000001" customHeight="1">
      <c r="A4" s="80" t="s">
        <v>297</v>
      </c>
      <c r="B4" s="81" t="s">
        <v>28</v>
      </c>
      <c r="C4" s="81" t="s">
        <v>298</v>
      </c>
    </row>
    <row r="5" spans="1:3" ht="20.100000000000001" customHeight="1">
      <c r="A5" s="177" t="s">
        <v>44</v>
      </c>
      <c r="B5" s="177" t="s">
        <v>43</v>
      </c>
      <c r="C5" s="100">
        <v>5922.23</v>
      </c>
    </row>
    <row r="6" spans="1:3" s="5" customFormat="1" ht="20.100000000000001" customHeight="1">
      <c r="A6" s="82" t="s">
        <v>45</v>
      </c>
      <c r="B6" s="82" t="s">
        <v>46</v>
      </c>
      <c r="C6" s="100">
        <v>5088.53</v>
      </c>
    </row>
    <row r="7" spans="1:3" ht="20.100000000000001" customHeight="1">
      <c r="A7" s="83" t="s">
        <v>47</v>
      </c>
      <c r="B7" s="83" t="s">
        <v>169</v>
      </c>
      <c r="C7" s="101">
        <v>680.33</v>
      </c>
    </row>
    <row r="8" spans="1:3" ht="20.100000000000001" customHeight="1">
      <c r="A8" s="83" t="s">
        <v>48</v>
      </c>
      <c r="B8" s="83" t="s">
        <v>170</v>
      </c>
      <c r="C8" s="101">
        <v>805.96</v>
      </c>
    </row>
    <row r="9" spans="1:3" ht="20.100000000000001" customHeight="1">
      <c r="A9" s="83" t="s">
        <v>49</v>
      </c>
      <c r="B9" s="83" t="s">
        <v>171</v>
      </c>
      <c r="C9" s="101">
        <v>1135.67</v>
      </c>
    </row>
    <row r="10" spans="1:3" ht="20.100000000000001" customHeight="1">
      <c r="A10" s="83" t="s">
        <v>50</v>
      </c>
      <c r="B10" s="83" t="s">
        <v>172</v>
      </c>
      <c r="C10" s="101"/>
    </row>
    <row r="11" spans="1:3" ht="20.100000000000001" customHeight="1">
      <c r="A11" s="83" t="s">
        <v>51</v>
      </c>
      <c r="B11" s="83" t="s">
        <v>173</v>
      </c>
      <c r="C11" s="101">
        <v>140.01</v>
      </c>
    </row>
    <row r="12" spans="1:3" ht="20.100000000000001" customHeight="1">
      <c r="A12" s="83" t="s">
        <v>174</v>
      </c>
      <c r="B12" s="83" t="s">
        <v>175</v>
      </c>
      <c r="C12" s="101">
        <v>325.02</v>
      </c>
    </row>
    <row r="13" spans="1:3" ht="20.100000000000001" customHeight="1">
      <c r="A13" s="83" t="s">
        <v>176</v>
      </c>
      <c r="B13" s="83" t="s">
        <v>177</v>
      </c>
      <c r="C13" s="101">
        <v>1.1599999999999999</v>
      </c>
    </row>
    <row r="14" spans="1:3" ht="20.100000000000001" customHeight="1">
      <c r="A14" s="83" t="s">
        <v>178</v>
      </c>
      <c r="B14" s="83" t="s">
        <v>179</v>
      </c>
      <c r="C14" s="101">
        <v>130.02000000000001</v>
      </c>
    </row>
    <row r="15" spans="1:3" ht="20.100000000000001" customHeight="1">
      <c r="A15" s="83" t="s">
        <v>180</v>
      </c>
      <c r="B15" s="83" t="s">
        <v>181</v>
      </c>
      <c r="C15" s="101">
        <v>113.77</v>
      </c>
    </row>
    <row r="16" spans="1:3" ht="20.100000000000001" customHeight="1">
      <c r="A16" s="83" t="s">
        <v>182</v>
      </c>
      <c r="B16" s="83" t="s">
        <v>183</v>
      </c>
      <c r="C16" s="101">
        <v>13.86</v>
      </c>
    </row>
    <row r="17" spans="1:3" ht="20.100000000000001" customHeight="1">
      <c r="A17" s="83" t="s">
        <v>184</v>
      </c>
      <c r="B17" s="83" t="s">
        <v>142</v>
      </c>
      <c r="C17" s="101">
        <v>317.45999999999998</v>
      </c>
    </row>
    <row r="18" spans="1:3" ht="20.100000000000001" customHeight="1">
      <c r="A18" s="83" t="s">
        <v>185</v>
      </c>
      <c r="B18" s="83" t="s">
        <v>186</v>
      </c>
      <c r="C18" s="101"/>
    </row>
    <row r="19" spans="1:3" ht="20.100000000000001" customHeight="1">
      <c r="A19" s="83" t="s">
        <v>52</v>
      </c>
      <c r="B19" s="83" t="s">
        <v>143</v>
      </c>
      <c r="C19" s="101">
        <v>1425.27</v>
      </c>
    </row>
    <row r="20" spans="1:3" s="5" customFormat="1" ht="20.100000000000001" customHeight="1">
      <c r="A20" s="82" t="s">
        <v>53</v>
      </c>
      <c r="B20" s="82" t="s">
        <v>54</v>
      </c>
      <c r="C20" s="100">
        <v>774.62</v>
      </c>
    </row>
    <row r="21" spans="1:3" ht="20.100000000000001" customHeight="1">
      <c r="A21" s="83" t="s">
        <v>55</v>
      </c>
      <c r="B21" s="83" t="s">
        <v>187</v>
      </c>
      <c r="C21" s="101">
        <v>25</v>
      </c>
    </row>
    <row r="22" spans="1:3" ht="20.100000000000001" customHeight="1">
      <c r="A22" s="83" t="s">
        <v>56</v>
      </c>
      <c r="B22" s="83" t="s">
        <v>188</v>
      </c>
      <c r="C22" s="101">
        <v>15</v>
      </c>
    </row>
    <row r="23" spans="1:3" ht="20.100000000000001" customHeight="1">
      <c r="A23" s="83" t="s">
        <v>57</v>
      </c>
      <c r="B23" s="83" t="s">
        <v>189</v>
      </c>
      <c r="C23" s="101"/>
    </row>
    <row r="24" spans="1:3" ht="20.100000000000001" customHeight="1">
      <c r="A24" s="83" t="s">
        <v>280</v>
      </c>
      <c r="B24" s="84" t="s">
        <v>281</v>
      </c>
      <c r="C24" s="101"/>
    </row>
    <row r="25" spans="1:3" ht="20.100000000000001" customHeight="1">
      <c r="A25" s="83" t="s">
        <v>58</v>
      </c>
      <c r="B25" s="83" t="s">
        <v>190</v>
      </c>
      <c r="C25" s="101">
        <v>10</v>
      </c>
    </row>
    <row r="26" spans="1:3" ht="20.100000000000001" customHeight="1">
      <c r="A26" s="83" t="s">
        <v>59</v>
      </c>
      <c r="B26" s="83" t="s">
        <v>191</v>
      </c>
      <c r="C26" s="101">
        <v>15</v>
      </c>
    </row>
    <row r="27" spans="1:3" ht="20.100000000000001" customHeight="1">
      <c r="A27" s="83" t="s">
        <v>60</v>
      </c>
      <c r="B27" s="83" t="s">
        <v>192</v>
      </c>
      <c r="C27" s="101">
        <v>68.150000000000006</v>
      </c>
    </row>
    <row r="28" spans="1:3" ht="20.100000000000001" customHeight="1">
      <c r="A28" s="83" t="s">
        <v>61</v>
      </c>
      <c r="B28" s="83" t="s">
        <v>193</v>
      </c>
      <c r="C28" s="101"/>
    </row>
    <row r="29" spans="1:3" ht="20.100000000000001" customHeight="1">
      <c r="A29" s="83" t="s">
        <v>62</v>
      </c>
      <c r="B29" s="83" t="s">
        <v>194</v>
      </c>
      <c r="C29" s="101"/>
    </row>
    <row r="30" spans="1:3" ht="20.100000000000001" customHeight="1">
      <c r="A30" s="83" t="s">
        <v>63</v>
      </c>
      <c r="B30" s="83" t="s">
        <v>195</v>
      </c>
      <c r="C30" s="101">
        <v>10</v>
      </c>
    </row>
    <row r="31" spans="1:3" ht="20.100000000000001" customHeight="1">
      <c r="A31" s="83" t="s">
        <v>64</v>
      </c>
      <c r="B31" s="83" t="s">
        <v>148</v>
      </c>
      <c r="C31" s="101">
        <v>55</v>
      </c>
    </row>
    <row r="32" spans="1:3" ht="20.100000000000001" customHeight="1">
      <c r="A32" s="83" t="s">
        <v>65</v>
      </c>
      <c r="B32" s="83" t="s">
        <v>196</v>
      </c>
      <c r="C32" s="101"/>
    </row>
    <row r="33" spans="1:3" ht="20.100000000000001" customHeight="1">
      <c r="A33" s="83" t="s">
        <v>66</v>
      </c>
      <c r="B33" s="83" t="s">
        <v>197</v>
      </c>
      <c r="C33" s="101"/>
    </row>
    <row r="34" spans="1:3" ht="20.100000000000001" customHeight="1">
      <c r="A34" s="83" t="s">
        <v>67</v>
      </c>
      <c r="B34" s="83" t="s">
        <v>144</v>
      </c>
      <c r="C34" s="101"/>
    </row>
    <row r="35" spans="1:3" ht="20.100000000000001" customHeight="1">
      <c r="A35" s="83" t="s">
        <v>68</v>
      </c>
      <c r="B35" s="83" t="s">
        <v>145</v>
      </c>
      <c r="C35" s="101">
        <v>10</v>
      </c>
    </row>
    <row r="36" spans="1:3" ht="20.100000000000001" customHeight="1">
      <c r="A36" s="83" t="s">
        <v>69</v>
      </c>
      <c r="B36" s="83" t="s">
        <v>147</v>
      </c>
      <c r="C36" s="101">
        <v>10</v>
      </c>
    </row>
    <row r="37" spans="1:3" ht="20.100000000000001" customHeight="1">
      <c r="A37" s="83" t="s">
        <v>70</v>
      </c>
      <c r="B37" s="83" t="s">
        <v>198</v>
      </c>
      <c r="C37" s="101">
        <v>30</v>
      </c>
    </row>
    <row r="38" spans="1:3" ht="20.100000000000001" customHeight="1">
      <c r="A38" s="83" t="s">
        <v>71</v>
      </c>
      <c r="B38" s="83" t="s">
        <v>199</v>
      </c>
      <c r="C38" s="101"/>
    </row>
    <row r="39" spans="1:3" ht="20.100000000000001" customHeight="1">
      <c r="A39" s="83" t="s">
        <v>72</v>
      </c>
      <c r="B39" s="83" t="s">
        <v>200</v>
      </c>
      <c r="C39" s="101"/>
    </row>
    <row r="40" spans="1:3" ht="20.100000000000001" customHeight="1">
      <c r="A40" s="83" t="s">
        <v>73</v>
      </c>
      <c r="B40" s="83" t="s">
        <v>201</v>
      </c>
      <c r="C40" s="101"/>
    </row>
    <row r="41" spans="1:3" ht="20.100000000000001" customHeight="1">
      <c r="A41" s="83" t="s">
        <v>74</v>
      </c>
      <c r="B41" s="83" t="s">
        <v>146</v>
      </c>
      <c r="C41" s="101">
        <v>100</v>
      </c>
    </row>
    <row r="42" spans="1:3" ht="20.100000000000001" customHeight="1">
      <c r="A42" s="83" t="s">
        <v>75</v>
      </c>
      <c r="B42" s="83" t="s">
        <v>202</v>
      </c>
      <c r="C42" s="101">
        <v>79.59</v>
      </c>
    </row>
    <row r="43" spans="1:3" ht="20.100000000000001" customHeight="1">
      <c r="A43" s="83" t="s">
        <v>76</v>
      </c>
      <c r="B43" s="83" t="s">
        <v>203</v>
      </c>
      <c r="C43" s="101"/>
    </row>
    <row r="44" spans="1:3" ht="20.100000000000001" customHeight="1">
      <c r="A44" s="83" t="s">
        <v>77</v>
      </c>
      <c r="B44" s="83" t="s">
        <v>149</v>
      </c>
      <c r="C44" s="101">
        <v>128.55000000000001</v>
      </c>
    </row>
    <row r="45" spans="1:3" ht="20.100000000000001" customHeight="1">
      <c r="A45" s="83" t="s">
        <v>78</v>
      </c>
      <c r="B45" s="83" t="s">
        <v>204</v>
      </c>
      <c r="C45" s="101">
        <v>45.92</v>
      </c>
    </row>
    <row r="46" spans="1:3" ht="20.100000000000001" customHeight="1">
      <c r="A46" s="83" t="s">
        <v>79</v>
      </c>
      <c r="B46" s="83" t="s">
        <v>205</v>
      </c>
      <c r="C46" s="101"/>
    </row>
    <row r="47" spans="1:3" ht="20.100000000000001" customHeight="1">
      <c r="A47" s="83" t="s">
        <v>80</v>
      </c>
      <c r="B47" s="83" t="s">
        <v>150</v>
      </c>
      <c r="C47" s="101">
        <v>172.41</v>
      </c>
    </row>
    <row r="48" spans="1:3" s="5" customFormat="1" ht="20.100000000000001" customHeight="1">
      <c r="A48" s="82" t="s">
        <v>81</v>
      </c>
      <c r="B48" s="82" t="s">
        <v>82</v>
      </c>
      <c r="C48" s="100"/>
    </row>
    <row r="49" spans="1:3" ht="20.100000000000001" customHeight="1">
      <c r="A49" s="83" t="s">
        <v>83</v>
      </c>
      <c r="B49" s="83" t="s">
        <v>206</v>
      </c>
      <c r="C49" s="101"/>
    </row>
    <row r="50" spans="1:3" ht="20.100000000000001" customHeight="1">
      <c r="A50" s="83" t="s">
        <v>84</v>
      </c>
      <c r="B50" s="83" t="s">
        <v>207</v>
      </c>
      <c r="C50" s="101"/>
    </row>
    <row r="51" spans="1:3" ht="20.100000000000001" customHeight="1">
      <c r="A51" s="83" t="s">
        <v>85</v>
      </c>
      <c r="B51" s="83" t="s">
        <v>208</v>
      </c>
      <c r="C51" s="101"/>
    </row>
    <row r="52" spans="1:3" ht="20.100000000000001" customHeight="1">
      <c r="A52" s="83" t="s">
        <v>86</v>
      </c>
      <c r="B52" s="83" t="s">
        <v>209</v>
      </c>
      <c r="C52" s="101"/>
    </row>
    <row r="53" spans="1:3" ht="20.100000000000001" customHeight="1">
      <c r="A53" s="83" t="s">
        <v>87</v>
      </c>
      <c r="B53" s="83" t="s">
        <v>210</v>
      </c>
      <c r="C53" s="101"/>
    </row>
    <row r="54" spans="1:3" ht="20.100000000000001" customHeight="1">
      <c r="A54" s="83" t="s">
        <v>88</v>
      </c>
      <c r="B54" s="83" t="s">
        <v>211</v>
      </c>
      <c r="C54" s="101"/>
    </row>
    <row r="55" spans="1:3" ht="20.100000000000001" customHeight="1">
      <c r="A55" s="83" t="s">
        <v>89</v>
      </c>
      <c r="B55" s="83" t="s">
        <v>212</v>
      </c>
      <c r="C55" s="101"/>
    </row>
    <row r="56" spans="1:3" ht="20.100000000000001" customHeight="1">
      <c r="A56" s="83" t="s">
        <v>90</v>
      </c>
      <c r="B56" s="83" t="s">
        <v>158</v>
      </c>
      <c r="C56" s="101"/>
    </row>
    <row r="57" spans="1:3" ht="20.100000000000001" customHeight="1">
      <c r="A57" s="83" t="s">
        <v>91</v>
      </c>
      <c r="B57" s="83" t="s">
        <v>213</v>
      </c>
      <c r="C57" s="101"/>
    </row>
    <row r="58" spans="1:3" ht="20.100000000000001" customHeight="1">
      <c r="A58" s="83" t="s">
        <v>92</v>
      </c>
      <c r="B58" s="83" t="s">
        <v>159</v>
      </c>
      <c r="C58" s="101"/>
    </row>
    <row r="59" spans="1:3" ht="20.100000000000001" customHeight="1">
      <c r="A59" s="83" t="s">
        <v>93</v>
      </c>
      <c r="B59" s="83" t="s">
        <v>214</v>
      </c>
      <c r="C59" s="101"/>
    </row>
    <row r="60" spans="1:3" s="5" customFormat="1" ht="20.100000000000001" customHeight="1">
      <c r="A60" s="82" t="s">
        <v>110</v>
      </c>
      <c r="B60" s="82" t="s">
        <v>136</v>
      </c>
      <c r="C60" s="100"/>
    </row>
    <row r="61" spans="1:3" ht="20.100000000000001" customHeight="1">
      <c r="A61" s="83" t="s">
        <v>111</v>
      </c>
      <c r="B61" s="83" t="s">
        <v>162</v>
      </c>
      <c r="C61" s="101"/>
    </row>
    <row r="62" spans="1:3" ht="20.100000000000001" customHeight="1">
      <c r="A62" s="83" t="s">
        <v>215</v>
      </c>
      <c r="B62" s="83" t="s">
        <v>163</v>
      </c>
      <c r="C62" s="101"/>
    </row>
    <row r="63" spans="1:3" ht="20.100000000000001" customHeight="1">
      <c r="A63" s="83" t="s">
        <v>216</v>
      </c>
      <c r="B63" s="83" t="s">
        <v>164</v>
      </c>
      <c r="C63" s="101"/>
    </row>
    <row r="64" spans="1:3" ht="20.100000000000001" customHeight="1">
      <c r="A64" s="83" t="s">
        <v>217</v>
      </c>
      <c r="B64" s="83" t="s">
        <v>165</v>
      </c>
      <c r="C64" s="101"/>
    </row>
    <row r="65" spans="1:3" s="5" customFormat="1" ht="20.100000000000001" customHeight="1">
      <c r="A65" s="82" t="s">
        <v>117</v>
      </c>
      <c r="B65" s="82" t="s">
        <v>137</v>
      </c>
      <c r="C65" s="100"/>
    </row>
    <row r="66" spans="1:3" ht="20.100000000000001" customHeight="1">
      <c r="A66" s="83" t="s">
        <v>218</v>
      </c>
      <c r="B66" s="83" t="s">
        <v>151</v>
      </c>
      <c r="C66" s="101"/>
    </row>
    <row r="67" spans="1:3" ht="20.100000000000001" customHeight="1">
      <c r="A67" s="83" t="s">
        <v>219</v>
      </c>
      <c r="B67" s="83" t="s">
        <v>220</v>
      </c>
      <c r="C67" s="101"/>
    </row>
    <row r="68" spans="1:3" ht="20.100000000000001" customHeight="1">
      <c r="A68" s="83" t="s">
        <v>221</v>
      </c>
      <c r="B68" s="83" t="s">
        <v>222</v>
      </c>
      <c r="C68" s="101"/>
    </row>
    <row r="69" spans="1:3" ht="20.100000000000001" customHeight="1">
      <c r="A69" s="83" t="s">
        <v>223</v>
      </c>
      <c r="B69" s="83" t="s">
        <v>152</v>
      </c>
      <c r="C69" s="101"/>
    </row>
    <row r="70" spans="1:3" ht="20.100000000000001" customHeight="1">
      <c r="A70" s="83" t="s">
        <v>224</v>
      </c>
      <c r="B70" s="83" t="s">
        <v>154</v>
      </c>
      <c r="C70" s="101"/>
    </row>
    <row r="71" spans="1:3" ht="20.100000000000001" customHeight="1">
      <c r="A71" s="83" t="s">
        <v>225</v>
      </c>
      <c r="B71" s="83" t="s">
        <v>226</v>
      </c>
      <c r="C71" s="101"/>
    </row>
    <row r="72" spans="1:3" ht="20.100000000000001" customHeight="1">
      <c r="A72" s="83" t="s">
        <v>227</v>
      </c>
      <c r="B72" s="83" t="s">
        <v>228</v>
      </c>
      <c r="C72" s="101"/>
    </row>
    <row r="73" spans="1:3" ht="20.100000000000001" customHeight="1">
      <c r="A73" s="83" t="s">
        <v>229</v>
      </c>
      <c r="B73" s="83" t="s">
        <v>153</v>
      </c>
      <c r="C73" s="101"/>
    </row>
    <row r="74" spans="1:3" ht="20.100000000000001" customHeight="1">
      <c r="A74" s="83" t="s">
        <v>230</v>
      </c>
      <c r="B74" s="83" t="s">
        <v>231</v>
      </c>
      <c r="C74" s="101"/>
    </row>
    <row r="75" spans="1:3" ht="20.100000000000001" customHeight="1">
      <c r="A75" s="83" t="s">
        <v>232</v>
      </c>
      <c r="B75" s="83" t="s">
        <v>233</v>
      </c>
      <c r="C75" s="101"/>
    </row>
    <row r="76" spans="1:3" ht="20.100000000000001" customHeight="1">
      <c r="A76" s="83" t="s">
        <v>234</v>
      </c>
      <c r="B76" s="83" t="s">
        <v>235</v>
      </c>
      <c r="C76" s="101"/>
    </row>
    <row r="77" spans="1:3" ht="20.100000000000001" customHeight="1">
      <c r="A77" s="83" t="s">
        <v>236</v>
      </c>
      <c r="B77" s="83" t="s">
        <v>237</v>
      </c>
      <c r="C77" s="101"/>
    </row>
    <row r="78" spans="1:3" s="5" customFormat="1" ht="20.100000000000001" customHeight="1">
      <c r="A78" s="82" t="s">
        <v>94</v>
      </c>
      <c r="B78" s="82" t="s">
        <v>138</v>
      </c>
      <c r="C78" s="100">
        <v>59.08</v>
      </c>
    </row>
    <row r="79" spans="1:3" ht="20.100000000000001" customHeight="1">
      <c r="A79" s="83" t="s">
        <v>96</v>
      </c>
      <c r="B79" s="83" t="s">
        <v>151</v>
      </c>
      <c r="C79" s="101"/>
    </row>
    <row r="80" spans="1:3" ht="20.100000000000001" customHeight="1">
      <c r="A80" s="83" t="s">
        <v>97</v>
      </c>
      <c r="B80" s="83" t="s">
        <v>220</v>
      </c>
      <c r="C80" s="101">
        <v>59.08</v>
      </c>
    </row>
    <row r="81" spans="1:3" ht="20.100000000000001" customHeight="1">
      <c r="A81" s="83" t="s">
        <v>98</v>
      </c>
      <c r="B81" s="83" t="s">
        <v>222</v>
      </c>
      <c r="C81" s="101"/>
    </row>
    <row r="82" spans="1:3" ht="20.100000000000001" customHeight="1">
      <c r="A82" s="83" t="s">
        <v>99</v>
      </c>
      <c r="B82" s="83" t="s">
        <v>152</v>
      </c>
      <c r="C82" s="102"/>
    </row>
    <row r="83" spans="1:3" ht="20.100000000000001" customHeight="1">
      <c r="A83" s="83" t="s">
        <v>100</v>
      </c>
      <c r="B83" s="83" t="s">
        <v>154</v>
      </c>
      <c r="C83" s="102"/>
    </row>
    <row r="84" spans="1:3" ht="20.100000000000001" customHeight="1">
      <c r="A84" s="83" t="s">
        <v>101</v>
      </c>
      <c r="B84" s="83" t="s">
        <v>226</v>
      </c>
      <c r="C84" s="102"/>
    </row>
    <row r="85" spans="1:3" ht="20.100000000000001" customHeight="1">
      <c r="A85" s="83" t="s">
        <v>102</v>
      </c>
      <c r="B85" s="83" t="s">
        <v>228</v>
      </c>
      <c r="C85" s="102"/>
    </row>
    <row r="86" spans="1:3" ht="20.100000000000001" customHeight="1">
      <c r="A86" s="83" t="s">
        <v>103</v>
      </c>
      <c r="B86" s="83" t="s">
        <v>305</v>
      </c>
      <c r="C86" s="102"/>
    </row>
    <row r="87" spans="1:3" ht="20.100000000000001" customHeight="1">
      <c r="A87" s="83" t="s">
        <v>104</v>
      </c>
      <c r="B87" s="83" t="s">
        <v>238</v>
      </c>
      <c r="C87" s="102"/>
    </row>
    <row r="88" spans="1:3" ht="20.100000000000001" customHeight="1">
      <c r="A88" s="83" t="s">
        <v>105</v>
      </c>
      <c r="B88" s="83" t="s">
        <v>239</v>
      </c>
      <c r="C88" s="102"/>
    </row>
    <row r="89" spans="1:3" ht="27" customHeight="1">
      <c r="A89" s="83" t="s">
        <v>106</v>
      </c>
      <c r="B89" s="84" t="s">
        <v>304</v>
      </c>
      <c r="C89" s="102"/>
    </row>
    <row r="90" spans="1:3" ht="20.100000000000001" customHeight="1">
      <c r="A90" s="83" t="s">
        <v>107</v>
      </c>
      <c r="B90" s="83" t="s">
        <v>153</v>
      </c>
      <c r="C90" s="102"/>
    </row>
    <row r="91" spans="1:3" ht="20.100000000000001" customHeight="1">
      <c r="A91" s="83" t="s">
        <v>108</v>
      </c>
      <c r="B91" s="83" t="s">
        <v>231</v>
      </c>
      <c r="C91" s="102"/>
    </row>
    <row r="92" spans="1:3" ht="20.100000000000001" customHeight="1">
      <c r="A92" s="83" t="s">
        <v>240</v>
      </c>
      <c r="B92" s="83" t="s">
        <v>233</v>
      </c>
      <c r="C92" s="102"/>
    </row>
    <row r="93" spans="1:3" ht="20.100000000000001" customHeight="1">
      <c r="A93" s="83" t="s">
        <v>241</v>
      </c>
      <c r="B93" s="83" t="s">
        <v>235</v>
      </c>
      <c r="C93" s="102"/>
    </row>
    <row r="94" spans="1:3" ht="20.100000000000001" customHeight="1">
      <c r="A94" s="83" t="s">
        <v>109</v>
      </c>
      <c r="B94" s="83" t="s">
        <v>95</v>
      </c>
      <c r="C94" s="102"/>
    </row>
    <row r="95" spans="1:3" s="5" customFormat="1" ht="20.100000000000001" customHeight="1">
      <c r="A95" s="82" t="s">
        <v>242</v>
      </c>
      <c r="B95" s="82" t="s">
        <v>139</v>
      </c>
      <c r="C95" s="93"/>
    </row>
    <row r="96" spans="1:3" ht="20.100000000000001" customHeight="1">
      <c r="A96" s="83" t="s">
        <v>243</v>
      </c>
      <c r="B96" s="83" t="s">
        <v>244</v>
      </c>
      <c r="C96" s="102"/>
    </row>
    <row r="97" spans="1:3" ht="20.100000000000001" customHeight="1">
      <c r="A97" s="83" t="s">
        <v>245</v>
      </c>
      <c r="B97" s="83" t="s">
        <v>157</v>
      </c>
      <c r="C97" s="102"/>
    </row>
    <row r="98" spans="1:3" s="5" customFormat="1" ht="20.100000000000001" customHeight="1">
      <c r="A98" s="82" t="s">
        <v>246</v>
      </c>
      <c r="B98" s="82" t="s">
        <v>140</v>
      </c>
      <c r="C98" s="93"/>
    </row>
    <row r="99" spans="1:3" ht="20.100000000000001" customHeight="1">
      <c r="A99" s="83" t="s">
        <v>247</v>
      </c>
      <c r="B99" s="83" t="s">
        <v>244</v>
      </c>
      <c r="C99" s="102"/>
    </row>
    <row r="100" spans="1:3" ht="20.100000000000001" customHeight="1">
      <c r="A100" s="83" t="s">
        <v>248</v>
      </c>
      <c r="B100" s="83" t="s">
        <v>249</v>
      </c>
      <c r="C100" s="102"/>
    </row>
    <row r="101" spans="1:3" ht="20.100000000000001" customHeight="1">
      <c r="A101" s="83" t="s">
        <v>250</v>
      </c>
      <c r="B101" s="83" t="s">
        <v>155</v>
      </c>
      <c r="C101" s="102"/>
    </row>
    <row r="102" spans="1:3" ht="20.100000000000001" customHeight="1">
      <c r="A102" s="83" t="s">
        <v>251</v>
      </c>
      <c r="B102" s="83" t="s">
        <v>156</v>
      </c>
      <c r="C102" s="102"/>
    </row>
    <row r="103" spans="1:3" ht="20.100000000000001" customHeight="1">
      <c r="A103" s="83" t="s">
        <v>252</v>
      </c>
      <c r="B103" s="83" t="s">
        <v>157</v>
      </c>
      <c r="C103" s="102"/>
    </row>
    <row r="104" spans="1:3" s="5" customFormat="1" ht="20.100000000000001" customHeight="1">
      <c r="A104" s="82" t="s">
        <v>253</v>
      </c>
      <c r="B104" s="82" t="s">
        <v>141</v>
      </c>
      <c r="C104" s="93"/>
    </row>
    <row r="105" spans="1:3" ht="20.100000000000001" customHeight="1">
      <c r="A105" s="83" t="s">
        <v>254</v>
      </c>
      <c r="B105" s="83" t="s">
        <v>160</v>
      </c>
      <c r="C105" s="102"/>
    </row>
    <row r="106" spans="1:3" ht="20.100000000000001" customHeight="1">
      <c r="A106" s="83" t="s">
        <v>255</v>
      </c>
      <c r="B106" s="83" t="s">
        <v>161</v>
      </c>
      <c r="C106" s="102"/>
    </row>
    <row r="107" spans="1:3" s="5" customFormat="1" ht="20.100000000000001" customHeight="1">
      <c r="A107" s="82" t="s">
        <v>112</v>
      </c>
      <c r="B107" s="82" t="s">
        <v>113</v>
      </c>
      <c r="C107" s="93"/>
    </row>
    <row r="108" spans="1:3" ht="20.100000000000001" customHeight="1">
      <c r="A108" s="83" t="s">
        <v>114</v>
      </c>
      <c r="B108" s="83" t="s">
        <v>166</v>
      </c>
      <c r="C108" s="102"/>
    </row>
    <row r="109" spans="1:3" ht="20.100000000000001" customHeight="1">
      <c r="A109" s="83" t="s">
        <v>256</v>
      </c>
      <c r="B109" s="83" t="s">
        <v>167</v>
      </c>
      <c r="C109" s="102"/>
    </row>
    <row r="110" spans="1:3" ht="20.100000000000001" customHeight="1">
      <c r="A110" s="83" t="s">
        <v>257</v>
      </c>
      <c r="B110" s="83" t="s">
        <v>168</v>
      </c>
      <c r="C110" s="102"/>
    </row>
    <row r="111" spans="1:3" ht="20.100000000000001" customHeight="1">
      <c r="A111" s="83" t="s">
        <v>258</v>
      </c>
      <c r="B111" s="83" t="s">
        <v>113</v>
      </c>
      <c r="C111" s="102"/>
    </row>
  </sheetData>
  <mergeCells count="3">
    <mergeCell ref="A5:B5"/>
    <mergeCell ref="A2:C2"/>
    <mergeCell ref="B3:C3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zoomScaleNormal="100" workbookViewId="0">
      <selection activeCell="B8" sqref="B8"/>
    </sheetView>
  </sheetViews>
  <sheetFormatPr defaultRowHeight="14.25"/>
  <cols>
    <col min="1" max="1" width="50.75" customWidth="1"/>
    <col min="2" max="2" width="30.875" customWidth="1"/>
  </cols>
  <sheetData>
    <row r="1" spans="1:2">
      <c r="A1" s="22" t="s">
        <v>134</v>
      </c>
      <c r="B1" s="23"/>
    </row>
    <row r="2" spans="1:2" ht="28.5" customHeight="1">
      <c r="A2" s="180" t="s">
        <v>333</v>
      </c>
      <c r="B2" s="180"/>
    </row>
    <row r="3" spans="1:2" ht="18" customHeight="1">
      <c r="A3" s="87"/>
      <c r="B3" s="86" t="s">
        <v>0</v>
      </c>
    </row>
    <row r="4" spans="1:2" ht="20.100000000000001" customHeight="1">
      <c r="A4" s="56" t="s">
        <v>1</v>
      </c>
      <c r="B4" s="56" t="s">
        <v>299</v>
      </c>
    </row>
    <row r="5" spans="1:2" ht="20.100000000000001" customHeight="1">
      <c r="A5" s="56" t="s">
        <v>2</v>
      </c>
      <c r="B5" s="103">
        <f>SUM(B7+B8)</f>
        <v>141.05000000000001</v>
      </c>
    </row>
    <row r="6" spans="1:2" ht="20.100000000000001" customHeight="1">
      <c r="A6" s="57" t="s">
        <v>3</v>
      </c>
      <c r="B6" s="103">
        <v>0</v>
      </c>
    </row>
    <row r="7" spans="1:2" ht="20.100000000000001" customHeight="1">
      <c r="A7" s="57" t="s">
        <v>4</v>
      </c>
      <c r="B7" s="103">
        <v>12.5</v>
      </c>
    </row>
    <row r="8" spans="1:2" ht="20.100000000000001" customHeight="1">
      <c r="A8" s="57" t="s">
        <v>131</v>
      </c>
      <c r="B8" s="103">
        <f>SUM(B9)</f>
        <v>128.55000000000001</v>
      </c>
    </row>
    <row r="9" spans="1:2" ht="20.100000000000001" customHeight="1">
      <c r="A9" s="88" t="s">
        <v>132</v>
      </c>
      <c r="B9" s="103">
        <v>128.55000000000001</v>
      </c>
    </row>
    <row r="10" spans="1:2" ht="20.100000000000001" customHeight="1">
      <c r="A10" s="88" t="s">
        <v>115</v>
      </c>
      <c r="B10" s="103">
        <v>0</v>
      </c>
    </row>
    <row r="11" spans="1:2" ht="46.5" customHeight="1">
      <c r="A11" s="181" t="s">
        <v>300</v>
      </c>
      <c r="B11" s="181"/>
    </row>
  </sheetData>
  <mergeCells count="2">
    <mergeCell ref="A2:B2"/>
    <mergeCell ref="A11:B11"/>
  </mergeCells>
  <phoneticPr fontId="74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zoomScaleNormal="100" workbookViewId="0">
      <selection activeCell="A2" sqref="A2:K2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275</v>
      </c>
    </row>
    <row r="2" spans="1:11" ht="26.25" customHeight="1">
      <c r="A2" s="184" t="s">
        <v>334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</row>
    <row r="3" spans="1:11" ht="23.2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89" t="s">
        <v>118</v>
      </c>
    </row>
    <row r="4" spans="1:11" ht="20.100000000000001" customHeight="1">
      <c r="A4" s="185" t="s">
        <v>119</v>
      </c>
      <c r="B4" s="185" t="s">
        <v>120</v>
      </c>
      <c r="C4" s="185" t="s">
        <v>121</v>
      </c>
      <c r="D4" s="185" t="s">
        <v>122</v>
      </c>
      <c r="E4" s="185" t="s">
        <v>123</v>
      </c>
      <c r="F4" s="185" t="s">
        <v>124</v>
      </c>
      <c r="G4" s="185" t="s">
        <v>125</v>
      </c>
      <c r="H4" s="187" t="s">
        <v>126</v>
      </c>
      <c r="I4" s="187"/>
      <c r="J4" s="187"/>
      <c r="K4" s="185" t="s">
        <v>127</v>
      </c>
    </row>
    <row r="5" spans="1:11" ht="36.75" customHeight="1">
      <c r="A5" s="186"/>
      <c r="B5" s="186"/>
      <c r="C5" s="186"/>
      <c r="D5" s="186"/>
      <c r="E5" s="186"/>
      <c r="F5" s="186"/>
      <c r="G5" s="186"/>
      <c r="H5" s="27" t="s">
        <v>128</v>
      </c>
      <c r="I5" s="27" t="s">
        <v>129</v>
      </c>
      <c r="J5" s="27" t="s">
        <v>130</v>
      </c>
      <c r="K5" s="186"/>
    </row>
    <row r="6" spans="1:11" ht="20.100000000000001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20.100000000000001" customHeight="1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20.100000000000001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ht="20.100000000000001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</row>
    <row r="10" spans="1:11" ht="20.100000000000001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ht="20.100000000000001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1" ht="20.100000000000001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ht="20.100000000000001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4" spans="1:11" ht="184.15" customHeight="1">
      <c r="A14" s="182" t="s">
        <v>301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zoomScaleNormal="100" workbookViewId="0">
      <selection activeCell="A2" sqref="A2:G2"/>
    </sheetView>
  </sheetViews>
  <sheetFormatPr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31.125" customWidth="1"/>
    <col min="6" max="6" width="15.25" customWidth="1"/>
    <col min="7" max="7" width="16.2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8.5" customHeight="1">
      <c r="A1" s="196" t="s">
        <v>395</v>
      </c>
      <c r="B1" s="197"/>
    </row>
    <row r="2" spans="1:7" ht="25.15" customHeight="1">
      <c r="A2" s="199" t="s">
        <v>340</v>
      </c>
      <c r="B2" s="199"/>
      <c r="C2" s="199"/>
      <c r="D2" s="199"/>
      <c r="E2" s="199"/>
      <c r="F2" s="199"/>
      <c r="G2" s="199"/>
    </row>
    <row r="3" spans="1:7" ht="34.9" customHeight="1">
      <c r="A3" s="120" t="s">
        <v>341</v>
      </c>
      <c r="B3" s="121"/>
      <c r="C3" s="198" t="s">
        <v>396</v>
      </c>
      <c r="D3" s="198"/>
      <c r="E3" s="198"/>
      <c r="F3" s="121"/>
      <c r="G3" s="121"/>
    </row>
    <row r="4" spans="1:7" ht="86.25" customHeight="1">
      <c r="A4" s="195" t="s">
        <v>342</v>
      </c>
      <c r="B4" s="200" t="s">
        <v>343</v>
      </c>
      <c r="C4" s="200"/>
      <c r="D4" s="191">
        <v>4749.0200000000004</v>
      </c>
      <c r="E4" s="192"/>
      <c r="F4" s="192"/>
      <c r="G4" s="193"/>
    </row>
    <row r="5" spans="1:7" ht="30.75" customHeight="1">
      <c r="A5" s="189"/>
      <c r="B5" s="188" t="s">
        <v>344</v>
      </c>
      <c r="C5" s="188"/>
      <c r="D5" s="191">
        <v>4749.0200000000004</v>
      </c>
      <c r="E5" s="192"/>
      <c r="F5" s="192"/>
      <c r="G5" s="193"/>
    </row>
    <row r="6" spans="1:7" ht="30.75" customHeight="1">
      <c r="A6" s="189"/>
      <c r="B6" s="188" t="s">
        <v>345</v>
      </c>
      <c r="C6" s="188"/>
      <c r="D6" s="191" t="s">
        <v>346</v>
      </c>
      <c r="E6" s="192"/>
      <c r="F6" s="192"/>
      <c r="G6" s="193"/>
    </row>
    <row r="7" spans="1:7" ht="30.75" customHeight="1">
      <c r="A7" s="190"/>
      <c r="B7" s="188" t="s">
        <v>347</v>
      </c>
      <c r="C7" s="188"/>
      <c r="D7" s="191" t="s">
        <v>346</v>
      </c>
      <c r="E7" s="192"/>
      <c r="F7" s="192"/>
      <c r="G7" s="193"/>
    </row>
    <row r="8" spans="1:7" ht="30.75" customHeight="1">
      <c r="A8" s="119" t="s">
        <v>259</v>
      </c>
      <c r="B8" s="191" t="s">
        <v>348</v>
      </c>
      <c r="C8" s="192"/>
      <c r="D8" s="192"/>
      <c r="E8" s="192"/>
      <c r="F8" s="192"/>
      <c r="G8" s="193"/>
    </row>
    <row r="9" spans="1:7" ht="30.75" customHeight="1">
      <c r="A9" s="188" t="s">
        <v>349</v>
      </c>
      <c r="B9" s="188" t="s">
        <v>350</v>
      </c>
      <c r="C9" s="188"/>
      <c r="D9" s="188"/>
      <c r="E9" s="188" t="s">
        <v>351</v>
      </c>
      <c r="F9" s="188" t="s">
        <v>352</v>
      </c>
      <c r="G9" s="188"/>
    </row>
    <row r="10" spans="1:7" ht="30.75" customHeight="1">
      <c r="A10" s="188"/>
      <c r="B10" s="188"/>
      <c r="C10" s="188"/>
      <c r="D10" s="188"/>
      <c r="E10" s="188"/>
      <c r="F10" s="119" t="s">
        <v>353</v>
      </c>
      <c r="G10" s="119" t="s">
        <v>354</v>
      </c>
    </row>
    <row r="11" spans="1:7" ht="30.75" customHeight="1">
      <c r="A11" s="188"/>
      <c r="B11" s="188" t="s">
        <v>261</v>
      </c>
      <c r="C11" s="122" t="s">
        <v>355</v>
      </c>
      <c r="D11" s="119" t="s">
        <v>356</v>
      </c>
      <c r="E11" s="119" t="s">
        <v>357</v>
      </c>
      <c r="F11" s="123" t="s">
        <v>358</v>
      </c>
      <c r="G11" s="123" t="s">
        <v>359</v>
      </c>
    </row>
    <row r="12" spans="1:7" ht="30.75" customHeight="1">
      <c r="A12" s="188"/>
      <c r="B12" s="188"/>
      <c r="C12" s="189" t="s">
        <v>360</v>
      </c>
      <c r="D12" s="119" t="s">
        <v>361</v>
      </c>
      <c r="E12" s="119" t="s">
        <v>362</v>
      </c>
      <c r="F12" s="124">
        <f>(4133.05-3124.34)/3124.34</f>
        <v>0.32290000000000002</v>
      </c>
      <c r="G12" s="124" t="s">
        <v>363</v>
      </c>
    </row>
    <row r="13" spans="1:7" ht="30.75" customHeight="1">
      <c r="A13" s="188"/>
      <c r="B13" s="188"/>
      <c r="C13" s="189"/>
      <c r="D13" s="119" t="s">
        <v>364</v>
      </c>
      <c r="E13" s="119" t="s">
        <v>365</v>
      </c>
      <c r="F13" s="124">
        <f>(615.97-572.64)/572.64</f>
        <v>7.5700000000000003E-2</v>
      </c>
      <c r="G13" s="124" t="s">
        <v>366</v>
      </c>
    </row>
    <row r="14" spans="1:7" ht="30.75" customHeight="1">
      <c r="A14" s="188"/>
      <c r="B14" s="188"/>
      <c r="C14" s="189"/>
      <c r="D14" s="119" t="s">
        <v>367</v>
      </c>
      <c r="E14" s="119" t="s">
        <v>368</v>
      </c>
      <c r="F14" s="125">
        <v>0</v>
      </c>
      <c r="G14" s="125">
        <v>0</v>
      </c>
    </row>
    <row r="15" spans="1:7" ht="30.75" customHeight="1">
      <c r="A15" s="188"/>
      <c r="B15" s="188"/>
      <c r="C15" s="190"/>
      <c r="D15" s="119" t="s">
        <v>369</v>
      </c>
      <c r="E15" s="119" t="s">
        <v>370</v>
      </c>
      <c r="F15" s="126">
        <v>1</v>
      </c>
      <c r="G15" s="127" t="s">
        <v>371</v>
      </c>
    </row>
    <row r="16" spans="1:7" ht="30.75" customHeight="1">
      <c r="A16" s="188"/>
      <c r="B16" s="188" t="s">
        <v>262</v>
      </c>
      <c r="C16" s="195" t="s">
        <v>372</v>
      </c>
      <c r="D16" s="119" t="s">
        <v>356</v>
      </c>
      <c r="E16" s="119" t="s">
        <v>373</v>
      </c>
      <c r="F16" s="126">
        <v>1</v>
      </c>
      <c r="G16" s="126" t="s">
        <v>374</v>
      </c>
    </row>
    <row r="17" spans="1:7" ht="30.75" customHeight="1">
      <c r="A17" s="188"/>
      <c r="B17" s="188"/>
      <c r="C17" s="190"/>
      <c r="D17" s="119" t="s">
        <v>364</v>
      </c>
      <c r="E17" s="119" t="s">
        <v>375</v>
      </c>
      <c r="F17" s="123" t="s">
        <v>376</v>
      </c>
      <c r="G17" s="123" t="s">
        <v>376</v>
      </c>
    </row>
    <row r="18" spans="1:7" ht="30.75" customHeight="1">
      <c r="A18" s="188"/>
      <c r="B18" s="188"/>
      <c r="C18" s="195" t="s">
        <v>377</v>
      </c>
      <c r="D18" s="119" t="s">
        <v>356</v>
      </c>
      <c r="E18" s="119" t="s">
        <v>378</v>
      </c>
      <c r="F18" s="123" t="s">
        <v>379</v>
      </c>
      <c r="G18" s="123" t="s">
        <v>379</v>
      </c>
    </row>
    <row r="19" spans="1:7" ht="30.75" customHeight="1">
      <c r="A19" s="188"/>
      <c r="B19" s="188"/>
      <c r="C19" s="189"/>
      <c r="D19" s="119" t="s">
        <v>364</v>
      </c>
      <c r="E19" s="119" t="s">
        <v>380</v>
      </c>
      <c r="F19" s="123" t="s">
        <v>381</v>
      </c>
      <c r="G19" s="123" t="s">
        <v>381</v>
      </c>
    </row>
    <row r="20" spans="1:7" ht="30.75" customHeight="1">
      <c r="A20" s="188"/>
      <c r="B20" s="188"/>
      <c r="C20" s="190"/>
      <c r="D20" s="119" t="s">
        <v>367</v>
      </c>
      <c r="E20" s="119" t="s">
        <v>382</v>
      </c>
      <c r="F20" s="123" t="s">
        <v>383</v>
      </c>
      <c r="G20" s="123" t="s">
        <v>384</v>
      </c>
    </row>
    <row r="21" spans="1:7" ht="30.75" customHeight="1">
      <c r="A21" s="188"/>
      <c r="B21" s="119" t="s">
        <v>385</v>
      </c>
      <c r="C21" s="118" t="s">
        <v>386</v>
      </c>
      <c r="D21" s="119" t="s">
        <v>356</v>
      </c>
      <c r="E21" s="119" t="s">
        <v>387</v>
      </c>
      <c r="F21" s="126">
        <v>0.96</v>
      </c>
      <c r="G21" s="126" t="s">
        <v>388</v>
      </c>
    </row>
    <row r="22" spans="1:7" ht="30.75" customHeight="1">
      <c r="A22" s="119" t="s">
        <v>389</v>
      </c>
      <c r="B22" s="191" t="s">
        <v>390</v>
      </c>
      <c r="C22" s="192"/>
      <c r="D22" s="192"/>
      <c r="E22" s="192"/>
      <c r="F22" s="192"/>
      <c r="G22" s="193"/>
    </row>
    <row r="23" spans="1:7" ht="30.75" customHeight="1">
      <c r="A23" s="128" t="s">
        <v>391</v>
      </c>
      <c r="B23" s="129"/>
      <c r="C23" s="129"/>
      <c r="D23" s="130" t="s">
        <v>392</v>
      </c>
      <c r="E23" s="129"/>
      <c r="F23" s="128" t="s">
        <v>393</v>
      </c>
      <c r="G23" s="129"/>
    </row>
    <row r="24" spans="1:7" ht="30.75" customHeight="1">
      <c r="A24" s="194" t="s">
        <v>394</v>
      </c>
      <c r="B24" s="194"/>
      <c r="C24" s="194"/>
      <c r="D24" s="194"/>
      <c r="E24" s="194"/>
      <c r="F24" s="194"/>
      <c r="G24" s="194"/>
    </row>
  </sheetData>
  <mergeCells count="24">
    <mergeCell ref="B8:G8"/>
    <mergeCell ref="A9:A21"/>
    <mergeCell ref="A1:B1"/>
    <mergeCell ref="C3:E3"/>
    <mergeCell ref="A2:G2"/>
    <mergeCell ref="A4:A7"/>
    <mergeCell ref="B4:C4"/>
    <mergeCell ref="D4:G4"/>
    <mergeCell ref="B5:C5"/>
    <mergeCell ref="D5:G5"/>
    <mergeCell ref="B6:C6"/>
    <mergeCell ref="D6:G6"/>
    <mergeCell ref="B7:C7"/>
    <mergeCell ref="D7:G7"/>
    <mergeCell ref="F9:G9"/>
    <mergeCell ref="B11:B15"/>
    <mergeCell ref="B9:D10"/>
    <mergeCell ref="E9:E10"/>
    <mergeCell ref="C12:C15"/>
    <mergeCell ref="B22:G22"/>
    <mergeCell ref="A24:G24"/>
    <mergeCell ref="B16:B20"/>
    <mergeCell ref="C16:C17"/>
    <mergeCell ref="C18:C20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28.375" customWidth="1"/>
    <col min="6" max="6" width="15.375" customWidth="1"/>
    <col min="7" max="7" width="15.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216" t="s">
        <v>460</v>
      </c>
      <c r="B1" s="217"/>
      <c r="C1" s="217"/>
      <c r="D1" s="217"/>
      <c r="E1" s="217"/>
      <c r="F1" s="217"/>
      <c r="G1" s="218"/>
    </row>
    <row r="2" spans="1:7" ht="27.95" customHeight="1">
      <c r="A2" s="137" t="s">
        <v>341</v>
      </c>
      <c r="B2" s="138"/>
      <c r="C2" s="204" t="s">
        <v>400</v>
      </c>
      <c r="D2" s="204"/>
      <c r="E2" s="204"/>
      <c r="F2" s="138"/>
      <c r="G2" s="138"/>
    </row>
    <row r="3" spans="1:7" ht="27.95" customHeight="1">
      <c r="A3" s="201" t="s">
        <v>342</v>
      </c>
      <c r="B3" s="202" t="s">
        <v>343</v>
      </c>
      <c r="C3" s="202"/>
      <c r="D3" s="201">
        <v>150.68</v>
      </c>
      <c r="E3" s="201"/>
      <c r="F3" s="201"/>
      <c r="G3" s="201"/>
    </row>
    <row r="4" spans="1:7" ht="27.95" customHeight="1">
      <c r="A4" s="201"/>
      <c r="B4" s="201" t="s">
        <v>344</v>
      </c>
      <c r="C4" s="201"/>
      <c r="D4" s="201">
        <v>150.68</v>
      </c>
      <c r="E4" s="201"/>
      <c r="F4" s="201"/>
      <c r="G4" s="201"/>
    </row>
    <row r="5" spans="1:7" ht="27.95" customHeight="1">
      <c r="A5" s="201"/>
      <c r="B5" s="201" t="s">
        <v>345</v>
      </c>
      <c r="C5" s="201"/>
      <c r="D5" s="201" t="s">
        <v>346</v>
      </c>
      <c r="E5" s="201"/>
      <c r="F5" s="201"/>
      <c r="G5" s="201"/>
    </row>
    <row r="6" spans="1:7" ht="27.95" customHeight="1">
      <c r="A6" s="201"/>
      <c r="B6" s="201" t="s">
        <v>347</v>
      </c>
      <c r="C6" s="201"/>
      <c r="D6" s="201" t="s">
        <v>346</v>
      </c>
      <c r="E6" s="201"/>
      <c r="F6" s="201"/>
      <c r="G6" s="201"/>
    </row>
    <row r="7" spans="1:7" ht="36" customHeight="1">
      <c r="A7" s="136" t="s">
        <v>259</v>
      </c>
      <c r="B7" s="201" t="s">
        <v>348</v>
      </c>
      <c r="C7" s="201"/>
      <c r="D7" s="201"/>
      <c r="E7" s="201"/>
      <c r="F7" s="201"/>
      <c r="G7" s="201"/>
    </row>
    <row r="8" spans="1:7" ht="27.95" customHeight="1">
      <c r="A8" s="201" t="s">
        <v>349</v>
      </c>
      <c r="B8" s="201" t="s">
        <v>350</v>
      </c>
      <c r="C8" s="201"/>
      <c r="D8" s="201"/>
      <c r="E8" s="201" t="s">
        <v>351</v>
      </c>
      <c r="F8" s="201" t="s">
        <v>352</v>
      </c>
      <c r="G8" s="201"/>
    </row>
    <row r="9" spans="1:7" ht="27.95" customHeight="1">
      <c r="A9" s="201"/>
      <c r="B9" s="201"/>
      <c r="C9" s="201"/>
      <c r="D9" s="201"/>
      <c r="E9" s="201"/>
      <c r="F9" s="136" t="s">
        <v>353</v>
      </c>
      <c r="G9" s="136" t="s">
        <v>354</v>
      </c>
    </row>
    <row r="10" spans="1:7" ht="27.95" customHeight="1">
      <c r="A10" s="201"/>
      <c r="B10" s="201" t="s">
        <v>261</v>
      </c>
      <c r="C10" s="132" t="s">
        <v>355</v>
      </c>
      <c r="D10" s="136" t="s">
        <v>356</v>
      </c>
      <c r="E10" s="136" t="s">
        <v>357</v>
      </c>
      <c r="F10" s="133" t="s">
        <v>358</v>
      </c>
      <c r="G10" s="133" t="s">
        <v>359</v>
      </c>
    </row>
    <row r="11" spans="1:7" ht="73.5" customHeight="1">
      <c r="A11" s="201"/>
      <c r="B11" s="201"/>
      <c r="C11" s="201" t="s">
        <v>360</v>
      </c>
      <c r="D11" s="136" t="s">
        <v>361</v>
      </c>
      <c r="E11" s="136" t="s">
        <v>362</v>
      </c>
      <c r="F11" s="139">
        <v>0</v>
      </c>
      <c r="G11" s="139">
        <v>0</v>
      </c>
    </row>
    <row r="12" spans="1:7" ht="63.75" customHeight="1">
      <c r="A12" s="201"/>
      <c r="B12" s="201"/>
      <c r="C12" s="201"/>
      <c r="D12" s="136" t="s">
        <v>364</v>
      </c>
      <c r="E12" s="136" t="s">
        <v>365</v>
      </c>
      <c r="F12" s="140">
        <f>(19.38-18.5)/18.5</f>
        <v>4.7600000000000003E-2</v>
      </c>
      <c r="G12" s="140" t="s">
        <v>397</v>
      </c>
    </row>
    <row r="13" spans="1:7" ht="52.5" customHeight="1">
      <c r="A13" s="201"/>
      <c r="B13" s="201"/>
      <c r="C13" s="201"/>
      <c r="D13" s="136" t="s">
        <v>367</v>
      </c>
      <c r="E13" s="136" t="s">
        <v>368</v>
      </c>
      <c r="F13" s="139">
        <v>0</v>
      </c>
      <c r="G13" s="139">
        <v>0</v>
      </c>
    </row>
    <row r="14" spans="1:7" ht="27.95" customHeight="1">
      <c r="A14" s="201"/>
      <c r="B14" s="201"/>
      <c r="C14" s="201"/>
      <c r="D14" s="136" t="s">
        <v>369</v>
      </c>
      <c r="E14" s="136" t="s">
        <v>370</v>
      </c>
      <c r="F14" s="134">
        <v>1</v>
      </c>
      <c r="G14" s="141" t="s">
        <v>398</v>
      </c>
    </row>
    <row r="15" spans="1:7" ht="27.95" customHeight="1">
      <c r="A15" s="201"/>
      <c r="B15" s="201" t="s">
        <v>262</v>
      </c>
      <c r="C15" s="201" t="s">
        <v>372</v>
      </c>
      <c r="D15" s="136" t="s">
        <v>356</v>
      </c>
      <c r="E15" s="136" t="s">
        <v>373</v>
      </c>
      <c r="F15" s="134">
        <v>1</v>
      </c>
      <c r="G15" s="134" t="s">
        <v>374</v>
      </c>
    </row>
    <row r="16" spans="1:7" ht="40.5" customHeight="1">
      <c r="A16" s="201"/>
      <c r="B16" s="201"/>
      <c r="C16" s="201"/>
      <c r="D16" s="136" t="s">
        <v>364</v>
      </c>
      <c r="E16" s="136" t="s">
        <v>375</v>
      </c>
      <c r="F16" s="133" t="s">
        <v>399</v>
      </c>
      <c r="G16" s="133" t="s">
        <v>399</v>
      </c>
    </row>
    <row r="17" spans="1:7" ht="27.95" customHeight="1">
      <c r="A17" s="201"/>
      <c r="B17" s="201"/>
      <c r="C17" s="201" t="s">
        <v>377</v>
      </c>
      <c r="D17" s="136" t="s">
        <v>356</v>
      </c>
      <c r="E17" s="136" t="s">
        <v>378</v>
      </c>
      <c r="F17" s="133" t="s">
        <v>379</v>
      </c>
      <c r="G17" s="133" t="s">
        <v>379</v>
      </c>
    </row>
    <row r="18" spans="1:7" ht="27.95" customHeight="1">
      <c r="A18" s="201"/>
      <c r="B18" s="201"/>
      <c r="C18" s="201"/>
      <c r="D18" s="136" t="s">
        <v>364</v>
      </c>
      <c r="E18" s="136" t="s">
        <v>380</v>
      </c>
      <c r="F18" s="133" t="s">
        <v>381</v>
      </c>
      <c r="G18" s="133" t="s">
        <v>381</v>
      </c>
    </row>
    <row r="19" spans="1:7" ht="27.95" customHeight="1">
      <c r="A19" s="201"/>
      <c r="B19" s="201"/>
      <c r="C19" s="201"/>
      <c r="D19" s="136" t="s">
        <v>367</v>
      </c>
      <c r="E19" s="136" t="s">
        <v>382</v>
      </c>
      <c r="F19" s="133" t="s">
        <v>383</v>
      </c>
      <c r="G19" s="133" t="s">
        <v>384</v>
      </c>
    </row>
    <row r="20" spans="1:7" ht="27.95" customHeight="1">
      <c r="A20" s="201"/>
      <c r="B20" s="136" t="s">
        <v>385</v>
      </c>
      <c r="C20" s="136" t="s">
        <v>386</v>
      </c>
      <c r="D20" s="136" t="s">
        <v>356</v>
      </c>
      <c r="E20" s="136" t="s">
        <v>387</v>
      </c>
      <c r="F20" s="134">
        <v>0.96</v>
      </c>
      <c r="G20" s="134" t="s">
        <v>388</v>
      </c>
    </row>
    <row r="21" spans="1:7" ht="27.95" customHeight="1">
      <c r="A21" s="136" t="s">
        <v>389</v>
      </c>
      <c r="B21" s="201"/>
      <c r="C21" s="201"/>
      <c r="D21" s="201"/>
      <c r="E21" s="201"/>
      <c r="F21" s="201"/>
      <c r="G21" s="201"/>
    </row>
    <row r="22" spans="1:7" ht="27.95" customHeight="1">
      <c r="A22" s="142" t="s">
        <v>391</v>
      </c>
      <c r="B22" s="143"/>
      <c r="C22" s="143"/>
      <c r="D22" s="144" t="s">
        <v>392</v>
      </c>
      <c r="E22" s="143"/>
      <c r="F22" s="142" t="s">
        <v>393</v>
      </c>
      <c r="G22" s="143"/>
    </row>
    <row r="23" spans="1:7" ht="27.95" customHeight="1">
      <c r="A23" s="203" t="s">
        <v>394</v>
      </c>
      <c r="B23" s="203"/>
      <c r="C23" s="203"/>
      <c r="D23" s="203"/>
      <c r="E23" s="203"/>
      <c r="F23" s="203"/>
      <c r="G23" s="203"/>
    </row>
  </sheetData>
  <mergeCells count="23">
    <mergeCell ref="B21:G21"/>
    <mergeCell ref="A23:G23"/>
    <mergeCell ref="C2:E2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31.125" customWidth="1"/>
    <col min="6" max="6" width="13.625" customWidth="1"/>
    <col min="7" max="7" width="16.3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2.5" customHeight="1">
      <c r="A1" s="216" t="s">
        <v>461</v>
      </c>
      <c r="B1" s="217"/>
      <c r="C1" s="217"/>
      <c r="D1" s="217"/>
      <c r="E1" s="217"/>
      <c r="F1" s="217"/>
      <c r="G1" s="218"/>
    </row>
    <row r="2" spans="1:7" ht="27.95" customHeight="1">
      <c r="A2" s="120" t="s">
        <v>341</v>
      </c>
      <c r="B2" s="121"/>
      <c r="C2" s="198" t="s">
        <v>405</v>
      </c>
      <c r="D2" s="198"/>
      <c r="E2" s="198"/>
      <c r="F2" s="121"/>
      <c r="G2" s="121"/>
    </row>
    <row r="3" spans="1:7" ht="27.95" customHeight="1">
      <c r="A3" s="195" t="s">
        <v>342</v>
      </c>
      <c r="B3" s="200" t="s">
        <v>343</v>
      </c>
      <c r="C3" s="200"/>
      <c r="D3" s="191">
        <v>231.05</v>
      </c>
      <c r="E3" s="192"/>
      <c r="F3" s="192"/>
      <c r="G3" s="193"/>
    </row>
    <row r="4" spans="1:7" ht="27.95" customHeight="1">
      <c r="A4" s="189"/>
      <c r="B4" s="188" t="s">
        <v>344</v>
      </c>
      <c r="C4" s="188"/>
      <c r="D4" s="191">
        <v>231.05</v>
      </c>
      <c r="E4" s="192"/>
      <c r="F4" s="192"/>
      <c r="G4" s="193"/>
    </row>
    <row r="5" spans="1:7" ht="27.95" customHeight="1">
      <c r="A5" s="189"/>
      <c r="B5" s="188" t="s">
        <v>345</v>
      </c>
      <c r="C5" s="188"/>
      <c r="D5" s="191" t="s">
        <v>346</v>
      </c>
      <c r="E5" s="192"/>
      <c r="F5" s="192"/>
      <c r="G5" s="193"/>
    </row>
    <row r="6" spans="1:7" ht="27.95" customHeight="1">
      <c r="A6" s="190"/>
      <c r="B6" s="188" t="s">
        <v>347</v>
      </c>
      <c r="C6" s="188"/>
      <c r="D6" s="191" t="s">
        <v>346</v>
      </c>
      <c r="E6" s="192"/>
      <c r="F6" s="192"/>
      <c r="G6" s="193"/>
    </row>
    <row r="7" spans="1:7" ht="37.5" customHeight="1">
      <c r="A7" s="119" t="s">
        <v>259</v>
      </c>
      <c r="B7" s="191" t="s">
        <v>348</v>
      </c>
      <c r="C7" s="192"/>
      <c r="D7" s="192"/>
      <c r="E7" s="192"/>
      <c r="F7" s="192"/>
      <c r="G7" s="193"/>
    </row>
    <row r="8" spans="1:7" ht="27.95" customHeight="1">
      <c r="A8" s="188" t="s">
        <v>349</v>
      </c>
      <c r="B8" s="188" t="s">
        <v>350</v>
      </c>
      <c r="C8" s="188"/>
      <c r="D8" s="188"/>
      <c r="E8" s="188" t="s">
        <v>351</v>
      </c>
      <c r="F8" s="188" t="s">
        <v>352</v>
      </c>
      <c r="G8" s="188"/>
    </row>
    <row r="9" spans="1:7" ht="27.95" customHeight="1">
      <c r="A9" s="188"/>
      <c r="B9" s="188"/>
      <c r="C9" s="188"/>
      <c r="D9" s="188"/>
      <c r="E9" s="188"/>
      <c r="F9" s="119" t="s">
        <v>353</v>
      </c>
      <c r="G9" s="119" t="s">
        <v>354</v>
      </c>
    </row>
    <row r="10" spans="1:7" ht="27.95" customHeight="1">
      <c r="A10" s="188"/>
      <c r="B10" s="188" t="s">
        <v>261</v>
      </c>
      <c r="C10" s="122" t="s">
        <v>355</v>
      </c>
      <c r="D10" s="119" t="s">
        <v>356</v>
      </c>
      <c r="E10" s="119" t="s">
        <v>357</v>
      </c>
      <c r="F10" s="123" t="s">
        <v>358</v>
      </c>
      <c r="G10" s="123" t="s">
        <v>359</v>
      </c>
    </row>
    <row r="11" spans="1:7" ht="73.5" customHeight="1">
      <c r="A11" s="188"/>
      <c r="B11" s="188"/>
      <c r="C11" s="189" t="s">
        <v>360</v>
      </c>
      <c r="D11" s="119" t="s">
        <v>361</v>
      </c>
      <c r="E11" s="119" t="s">
        <v>362</v>
      </c>
      <c r="F11" s="124">
        <f>(197.76-173.39)/173.39</f>
        <v>0.1406</v>
      </c>
      <c r="G11" s="124" t="s">
        <v>401</v>
      </c>
    </row>
    <row r="12" spans="1:7" ht="63.75" customHeight="1">
      <c r="A12" s="188"/>
      <c r="B12" s="188"/>
      <c r="C12" s="189"/>
      <c r="D12" s="119" t="s">
        <v>364</v>
      </c>
      <c r="E12" s="119" t="s">
        <v>365</v>
      </c>
      <c r="F12" s="124">
        <f>(33.29-28.19)/28.19</f>
        <v>0.18090000000000001</v>
      </c>
      <c r="G12" s="124" t="s">
        <v>402</v>
      </c>
    </row>
    <row r="13" spans="1:7" ht="52.5" customHeight="1">
      <c r="A13" s="188"/>
      <c r="B13" s="188"/>
      <c r="C13" s="189"/>
      <c r="D13" s="119" t="s">
        <v>367</v>
      </c>
      <c r="E13" s="119" t="s">
        <v>368</v>
      </c>
      <c r="F13" s="125">
        <v>0</v>
      </c>
      <c r="G13" s="125">
        <v>0</v>
      </c>
    </row>
    <row r="14" spans="1:7" ht="27.95" customHeight="1">
      <c r="A14" s="188"/>
      <c r="B14" s="188"/>
      <c r="C14" s="190"/>
      <c r="D14" s="119" t="s">
        <v>369</v>
      </c>
      <c r="E14" s="119" t="s">
        <v>370</v>
      </c>
      <c r="F14" s="126">
        <v>1</v>
      </c>
      <c r="G14" s="127" t="s">
        <v>403</v>
      </c>
    </row>
    <row r="15" spans="1:7" ht="27.95" customHeight="1">
      <c r="A15" s="188"/>
      <c r="B15" s="188" t="s">
        <v>262</v>
      </c>
      <c r="C15" s="195" t="s">
        <v>372</v>
      </c>
      <c r="D15" s="119" t="s">
        <v>356</v>
      </c>
      <c r="E15" s="119" t="s">
        <v>373</v>
      </c>
      <c r="F15" s="126">
        <v>1</v>
      </c>
      <c r="G15" s="126" t="s">
        <v>374</v>
      </c>
    </row>
    <row r="16" spans="1:7" ht="40.5" customHeight="1">
      <c r="A16" s="188"/>
      <c r="B16" s="188"/>
      <c r="C16" s="190"/>
      <c r="D16" s="119" t="s">
        <v>364</v>
      </c>
      <c r="E16" s="119" t="s">
        <v>375</v>
      </c>
      <c r="F16" s="123" t="s">
        <v>404</v>
      </c>
      <c r="G16" s="123" t="s">
        <v>404</v>
      </c>
    </row>
    <row r="17" spans="1:7" ht="27.95" customHeight="1">
      <c r="A17" s="188"/>
      <c r="B17" s="188"/>
      <c r="C17" s="195" t="s">
        <v>377</v>
      </c>
      <c r="D17" s="119" t="s">
        <v>356</v>
      </c>
      <c r="E17" s="119" t="s">
        <v>378</v>
      </c>
      <c r="F17" s="123" t="s">
        <v>379</v>
      </c>
      <c r="G17" s="123" t="s">
        <v>379</v>
      </c>
    </row>
    <row r="18" spans="1:7" ht="27.95" customHeight="1">
      <c r="A18" s="188"/>
      <c r="B18" s="188"/>
      <c r="C18" s="189"/>
      <c r="D18" s="119" t="s">
        <v>364</v>
      </c>
      <c r="E18" s="119" t="s">
        <v>380</v>
      </c>
      <c r="F18" s="123" t="s">
        <v>381</v>
      </c>
      <c r="G18" s="123" t="s">
        <v>381</v>
      </c>
    </row>
    <row r="19" spans="1:7" ht="27.95" customHeight="1">
      <c r="A19" s="188"/>
      <c r="B19" s="188"/>
      <c r="C19" s="190"/>
      <c r="D19" s="119" t="s">
        <v>367</v>
      </c>
      <c r="E19" s="119" t="s">
        <v>382</v>
      </c>
      <c r="F19" s="123" t="s">
        <v>383</v>
      </c>
      <c r="G19" s="123" t="s">
        <v>384</v>
      </c>
    </row>
    <row r="20" spans="1:7" ht="27.95" customHeight="1">
      <c r="A20" s="188"/>
      <c r="B20" s="119" t="s">
        <v>385</v>
      </c>
      <c r="C20" s="118" t="s">
        <v>386</v>
      </c>
      <c r="D20" s="119" t="s">
        <v>356</v>
      </c>
      <c r="E20" s="119" t="s">
        <v>387</v>
      </c>
      <c r="F20" s="126">
        <v>0.96</v>
      </c>
      <c r="G20" s="126" t="s">
        <v>388</v>
      </c>
    </row>
    <row r="21" spans="1:7" ht="27.95" customHeight="1">
      <c r="A21" s="119" t="s">
        <v>389</v>
      </c>
      <c r="B21" s="191"/>
      <c r="C21" s="192"/>
      <c r="D21" s="192"/>
      <c r="E21" s="192"/>
      <c r="F21" s="192"/>
      <c r="G21" s="193"/>
    </row>
    <row r="22" spans="1:7" ht="27.95" customHeight="1">
      <c r="A22" s="128" t="s">
        <v>391</v>
      </c>
      <c r="B22" s="129"/>
      <c r="C22" s="129"/>
      <c r="D22" s="130" t="s">
        <v>392</v>
      </c>
      <c r="E22" s="129"/>
      <c r="F22" s="128" t="s">
        <v>393</v>
      </c>
      <c r="G22" s="129"/>
    </row>
    <row r="23" spans="1:7" ht="27.95" customHeight="1">
      <c r="A23" s="194" t="s">
        <v>394</v>
      </c>
      <c r="B23" s="194"/>
      <c r="C23" s="194"/>
      <c r="D23" s="194"/>
      <c r="E23" s="194"/>
      <c r="F23" s="194"/>
      <c r="G23" s="194"/>
    </row>
  </sheetData>
  <mergeCells count="23">
    <mergeCell ref="B21:G21"/>
    <mergeCell ref="A23:G23"/>
    <mergeCell ref="C2:E2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11811023622047245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29.625" customWidth="1"/>
    <col min="6" max="6" width="15.25" customWidth="1"/>
    <col min="7" max="7" width="16.3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216" t="s">
        <v>462</v>
      </c>
      <c r="B1" s="217"/>
      <c r="C1" s="217"/>
      <c r="D1" s="217"/>
      <c r="E1" s="217"/>
      <c r="F1" s="217"/>
      <c r="G1" s="218"/>
    </row>
    <row r="2" spans="1:7" ht="27.95" customHeight="1">
      <c r="A2" s="120" t="s">
        <v>341</v>
      </c>
      <c r="B2" s="121"/>
      <c r="C2" s="198" t="s">
        <v>410</v>
      </c>
      <c r="D2" s="198"/>
      <c r="E2" s="198"/>
      <c r="F2" s="121"/>
      <c r="G2" s="121"/>
    </row>
    <row r="3" spans="1:7" ht="27.95" customHeight="1">
      <c r="A3" s="195" t="s">
        <v>342</v>
      </c>
      <c r="B3" s="200" t="s">
        <v>343</v>
      </c>
      <c r="C3" s="200"/>
      <c r="D3" s="191">
        <v>295.14999999999998</v>
      </c>
      <c r="E3" s="192"/>
      <c r="F3" s="192"/>
      <c r="G3" s="193"/>
    </row>
    <row r="4" spans="1:7" ht="27.95" customHeight="1">
      <c r="A4" s="189"/>
      <c r="B4" s="188" t="s">
        <v>344</v>
      </c>
      <c r="C4" s="188"/>
      <c r="D4" s="191">
        <v>295.14999999999998</v>
      </c>
      <c r="E4" s="192"/>
      <c r="F4" s="192"/>
      <c r="G4" s="193"/>
    </row>
    <row r="5" spans="1:7" ht="27.95" customHeight="1">
      <c r="A5" s="189"/>
      <c r="B5" s="188" t="s">
        <v>345</v>
      </c>
      <c r="C5" s="188"/>
      <c r="D5" s="191" t="s">
        <v>346</v>
      </c>
      <c r="E5" s="192"/>
      <c r="F5" s="192"/>
      <c r="G5" s="193"/>
    </row>
    <row r="6" spans="1:7" ht="27.95" customHeight="1">
      <c r="A6" s="190"/>
      <c r="B6" s="188" t="s">
        <v>347</v>
      </c>
      <c r="C6" s="188"/>
      <c r="D6" s="191" t="s">
        <v>346</v>
      </c>
      <c r="E6" s="192"/>
      <c r="F6" s="192"/>
      <c r="G6" s="193"/>
    </row>
    <row r="7" spans="1:7" ht="40.5" customHeight="1">
      <c r="A7" s="119" t="s">
        <v>259</v>
      </c>
      <c r="B7" s="191" t="s">
        <v>348</v>
      </c>
      <c r="C7" s="192"/>
      <c r="D7" s="192"/>
      <c r="E7" s="192"/>
      <c r="F7" s="192"/>
      <c r="G7" s="193"/>
    </row>
    <row r="8" spans="1:7" ht="27.95" customHeight="1">
      <c r="A8" s="188" t="s">
        <v>349</v>
      </c>
      <c r="B8" s="188" t="s">
        <v>350</v>
      </c>
      <c r="C8" s="188"/>
      <c r="D8" s="188"/>
      <c r="E8" s="188" t="s">
        <v>351</v>
      </c>
      <c r="F8" s="188" t="s">
        <v>352</v>
      </c>
      <c r="G8" s="188"/>
    </row>
    <row r="9" spans="1:7" ht="27.95" customHeight="1">
      <c r="A9" s="188"/>
      <c r="B9" s="188"/>
      <c r="C9" s="188"/>
      <c r="D9" s="188"/>
      <c r="E9" s="188"/>
      <c r="F9" s="119" t="s">
        <v>353</v>
      </c>
      <c r="G9" s="119" t="s">
        <v>354</v>
      </c>
    </row>
    <row r="10" spans="1:7" ht="27.95" customHeight="1">
      <c r="A10" s="188"/>
      <c r="B10" s="188" t="s">
        <v>261</v>
      </c>
      <c r="C10" s="122" t="s">
        <v>355</v>
      </c>
      <c r="D10" s="119" t="s">
        <v>356</v>
      </c>
      <c r="E10" s="119" t="s">
        <v>357</v>
      </c>
      <c r="F10" s="123" t="s">
        <v>358</v>
      </c>
      <c r="G10" s="123" t="s">
        <v>359</v>
      </c>
    </row>
    <row r="11" spans="1:7" ht="73.5" customHeight="1">
      <c r="A11" s="188"/>
      <c r="B11" s="188"/>
      <c r="C11" s="189" t="s">
        <v>360</v>
      </c>
      <c r="D11" s="119" t="s">
        <v>361</v>
      </c>
      <c r="E11" s="119" t="s">
        <v>362</v>
      </c>
      <c r="F11" s="124">
        <f>(260.2-238.23)/238.23</f>
        <v>9.2200000000000004E-2</v>
      </c>
      <c r="G11" s="124" t="s">
        <v>406</v>
      </c>
    </row>
    <row r="12" spans="1:7" ht="63.75" customHeight="1">
      <c r="A12" s="188"/>
      <c r="B12" s="188"/>
      <c r="C12" s="189"/>
      <c r="D12" s="119" t="s">
        <v>364</v>
      </c>
      <c r="E12" s="119" t="s">
        <v>365</v>
      </c>
      <c r="F12" s="124">
        <f>(34.95-29.54)/29.54</f>
        <v>0.18310000000000001</v>
      </c>
      <c r="G12" s="124" t="s">
        <v>407</v>
      </c>
    </row>
    <row r="13" spans="1:7" ht="52.5" customHeight="1">
      <c r="A13" s="188"/>
      <c r="B13" s="188"/>
      <c r="C13" s="189"/>
      <c r="D13" s="119" t="s">
        <v>367</v>
      </c>
      <c r="E13" s="119" t="s">
        <v>368</v>
      </c>
      <c r="F13" s="125">
        <v>0</v>
      </c>
      <c r="G13" s="125">
        <v>0</v>
      </c>
    </row>
    <row r="14" spans="1:7" ht="27.95" customHeight="1">
      <c r="A14" s="188"/>
      <c r="B14" s="188"/>
      <c r="C14" s="190"/>
      <c r="D14" s="119" t="s">
        <v>369</v>
      </c>
      <c r="E14" s="119" t="s">
        <v>370</v>
      </c>
      <c r="F14" s="126">
        <v>1</v>
      </c>
      <c r="G14" s="127" t="s">
        <v>408</v>
      </c>
    </row>
    <row r="15" spans="1:7" ht="27.95" customHeight="1">
      <c r="A15" s="188"/>
      <c r="B15" s="188" t="s">
        <v>262</v>
      </c>
      <c r="C15" s="195" t="s">
        <v>372</v>
      </c>
      <c r="D15" s="119" t="s">
        <v>356</v>
      </c>
      <c r="E15" s="119" t="s">
        <v>373</v>
      </c>
      <c r="F15" s="126">
        <v>1</v>
      </c>
      <c r="G15" s="126" t="s">
        <v>374</v>
      </c>
    </row>
    <row r="16" spans="1:7" ht="40.5" customHeight="1">
      <c r="A16" s="188"/>
      <c r="B16" s="188"/>
      <c r="C16" s="190"/>
      <c r="D16" s="119" t="s">
        <v>364</v>
      </c>
      <c r="E16" s="119" t="s">
        <v>375</v>
      </c>
      <c r="F16" s="123" t="s">
        <v>409</v>
      </c>
      <c r="G16" s="123" t="s">
        <v>409</v>
      </c>
    </row>
    <row r="17" spans="1:7" ht="27.95" customHeight="1">
      <c r="A17" s="188"/>
      <c r="B17" s="188"/>
      <c r="C17" s="195" t="s">
        <v>377</v>
      </c>
      <c r="D17" s="119" t="s">
        <v>356</v>
      </c>
      <c r="E17" s="119" t="s">
        <v>378</v>
      </c>
      <c r="F17" s="123" t="s">
        <v>379</v>
      </c>
      <c r="G17" s="123" t="s">
        <v>379</v>
      </c>
    </row>
    <row r="18" spans="1:7" ht="27.95" customHeight="1">
      <c r="A18" s="188"/>
      <c r="B18" s="188"/>
      <c r="C18" s="189"/>
      <c r="D18" s="119" t="s">
        <v>364</v>
      </c>
      <c r="E18" s="119" t="s">
        <v>380</v>
      </c>
      <c r="F18" s="123" t="s">
        <v>381</v>
      </c>
      <c r="G18" s="123" t="s">
        <v>381</v>
      </c>
    </row>
    <row r="19" spans="1:7" ht="27.95" customHeight="1">
      <c r="A19" s="188"/>
      <c r="B19" s="188"/>
      <c r="C19" s="190"/>
      <c r="D19" s="119" t="s">
        <v>367</v>
      </c>
      <c r="E19" s="119" t="s">
        <v>382</v>
      </c>
      <c r="F19" s="123" t="s">
        <v>383</v>
      </c>
      <c r="G19" s="123" t="s">
        <v>384</v>
      </c>
    </row>
    <row r="20" spans="1:7" ht="27.95" customHeight="1">
      <c r="A20" s="188"/>
      <c r="B20" s="119" t="s">
        <v>385</v>
      </c>
      <c r="C20" s="118" t="s">
        <v>386</v>
      </c>
      <c r="D20" s="119" t="s">
        <v>356</v>
      </c>
      <c r="E20" s="119" t="s">
        <v>387</v>
      </c>
      <c r="F20" s="126">
        <v>0.96</v>
      </c>
      <c r="G20" s="126" t="s">
        <v>388</v>
      </c>
    </row>
    <row r="21" spans="1:7" ht="27.95" customHeight="1">
      <c r="A21" s="119" t="s">
        <v>389</v>
      </c>
      <c r="B21" s="191"/>
      <c r="C21" s="192"/>
      <c r="D21" s="192"/>
      <c r="E21" s="192"/>
      <c r="F21" s="192"/>
      <c r="G21" s="193"/>
    </row>
    <row r="22" spans="1:7" ht="27.95" customHeight="1">
      <c r="A22" s="128" t="s">
        <v>391</v>
      </c>
      <c r="B22" s="129"/>
      <c r="C22" s="129"/>
      <c r="D22" s="130" t="s">
        <v>392</v>
      </c>
      <c r="E22" s="129"/>
      <c r="F22" s="128" t="s">
        <v>393</v>
      </c>
      <c r="G22" s="129"/>
    </row>
    <row r="23" spans="1:7" ht="27.95" customHeight="1">
      <c r="A23" s="194" t="s">
        <v>394</v>
      </c>
      <c r="B23" s="194"/>
      <c r="C23" s="194"/>
      <c r="D23" s="194"/>
      <c r="E23" s="194"/>
      <c r="F23" s="194"/>
      <c r="G23" s="194"/>
    </row>
  </sheetData>
  <mergeCells count="23">
    <mergeCell ref="B21:G21"/>
    <mergeCell ref="A23:G23"/>
    <mergeCell ref="C2:E2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11811023622047245" right="0.11811023622047245" top="0.35433070866141736" bottom="0.15748031496062992" header="0.31496062992125984" footer="0.31496062992125984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ColWidth="9"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22.375" customWidth="1"/>
    <col min="6" max="6" width="14.875" customWidth="1"/>
    <col min="7" max="7" width="17.2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216" t="s">
        <v>463</v>
      </c>
      <c r="B1" s="217"/>
      <c r="C1" s="217"/>
      <c r="D1" s="217"/>
      <c r="E1" s="217"/>
      <c r="F1" s="217"/>
      <c r="G1" s="218"/>
    </row>
    <row r="2" spans="1:7" ht="27.95" customHeight="1">
      <c r="A2" s="120" t="s">
        <v>411</v>
      </c>
      <c r="B2" s="121"/>
      <c r="C2" s="121"/>
      <c r="D2" s="121"/>
      <c r="E2" s="121"/>
      <c r="F2" s="121"/>
      <c r="G2" s="121"/>
    </row>
    <row r="3" spans="1:7" ht="27.95" customHeight="1">
      <c r="A3" s="205" t="s">
        <v>412</v>
      </c>
      <c r="B3" s="202" t="s">
        <v>343</v>
      </c>
      <c r="C3" s="202"/>
      <c r="D3" s="206">
        <v>127.69</v>
      </c>
      <c r="E3" s="207"/>
      <c r="F3" s="207"/>
      <c r="G3" s="208"/>
    </row>
    <row r="4" spans="1:7" ht="27.95" customHeight="1">
      <c r="A4" s="189"/>
      <c r="B4" s="201" t="s">
        <v>413</v>
      </c>
      <c r="C4" s="201"/>
      <c r="D4" s="206">
        <v>127.69</v>
      </c>
      <c r="E4" s="207"/>
      <c r="F4" s="207"/>
      <c r="G4" s="208"/>
    </row>
    <row r="5" spans="1:7" ht="27.95" customHeight="1">
      <c r="A5" s="189"/>
      <c r="B5" s="201" t="s">
        <v>414</v>
      </c>
      <c r="C5" s="201"/>
      <c r="D5" s="206">
        <v>0</v>
      </c>
      <c r="E5" s="207"/>
      <c r="F5" s="207"/>
      <c r="G5" s="208"/>
    </row>
    <row r="6" spans="1:7" ht="27.95" customHeight="1">
      <c r="A6" s="190"/>
      <c r="B6" s="201" t="s">
        <v>415</v>
      </c>
      <c r="C6" s="201"/>
      <c r="D6" s="206">
        <v>0</v>
      </c>
      <c r="E6" s="207"/>
      <c r="F6" s="207"/>
      <c r="G6" s="208"/>
    </row>
    <row r="7" spans="1:7" ht="27.95" customHeight="1">
      <c r="A7" s="131" t="s">
        <v>416</v>
      </c>
      <c r="B7" s="209" t="s">
        <v>417</v>
      </c>
      <c r="C7" s="210"/>
      <c r="D7" s="210"/>
      <c r="E7" s="210"/>
      <c r="F7" s="210"/>
      <c r="G7" s="211"/>
    </row>
    <row r="8" spans="1:7" ht="27.95" customHeight="1">
      <c r="A8" s="201" t="s">
        <v>418</v>
      </c>
      <c r="B8" s="201" t="s">
        <v>419</v>
      </c>
      <c r="C8" s="201"/>
      <c r="D8" s="201"/>
      <c r="E8" s="201" t="s">
        <v>351</v>
      </c>
      <c r="F8" s="201" t="s">
        <v>420</v>
      </c>
      <c r="G8" s="201"/>
    </row>
    <row r="9" spans="1:7" ht="27.95" customHeight="1">
      <c r="A9" s="201"/>
      <c r="B9" s="201"/>
      <c r="C9" s="201"/>
      <c r="D9" s="201"/>
      <c r="E9" s="201"/>
      <c r="F9" s="131" t="s">
        <v>421</v>
      </c>
      <c r="G9" s="131" t="s">
        <v>422</v>
      </c>
    </row>
    <row r="10" spans="1:7" ht="27.95" customHeight="1">
      <c r="A10" s="201"/>
      <c r="B10" s="201" t="s">
        <v>261</v>
      </c>
      <c r="C10" s="132" t="s">
        <v>355</v>
      </c>
      <c r="D10" s="131" t="s">
        <v>356</v>
      </c>
      <c r="E10" s="131" t="s">
        <v>423</v>
      </c>
      <c r="F10" s="133" t="s">
        <v>424</v>
      </c>
      <c r="G10" s="133" t="s">
        <v>425</v>
      </c>
    </row>
    <row r="11" spans="1:7" ht="73.5" customHeight="1">
      <c r="A11" s="201"/>
      <c r="B11" s="201"/>
      <c r="C11" s="189" t="s">
        <v>426</v>
      </c>
      <c r="D11" s="131" t="s">
        <v>356</v>
      </c>
      <c r="E11" s="131" t="s">
        <v>427</v>
      </c>
      <c r="F11" s="134">
        <f>(62.97-52.56-9)/61.56</f>
        <v>0.02</v>
      </c>
      <c r="G11" s="133" t="s">
        <v>428</v>
      </c>
    </row>
    <row r="12" spans="1:7" ht="63.75" customHeight="1">
      <c r="A12" s="201"/>
      <c r="B12" s="201"/>
      <c r="C12" s="189"/>
      <c r="D12" s="131" t="s">
        <v>364</v>
      </c>
      <c r="E12" s="131" t="s">
        <v>429</v>
      </c>
      <c r="F12" s="134">
        <v>0</v>
      </c>
      <c r="G12" s="134">
        <v>0</v>
      </c>
    </row>
    <row r="13" spans="1:7" ht="52.5" customHeight="1">
      <c r="A13" s="201"/>
      <c r="B13" s="201"/>
      <c r="C13" s="189"/>
      <c r="D13" s="131" t="s">
        <v>367</v>
      </c>
      <c r="E13" s="131" t="s">
        <v>430</v>
      </c>
      <c r="F13" s="134">
        <v>0</v>
      </c>
      <c r="G13" s="134">
        <v>0</v>
      </c>
    </row>
    <row r="14" spans="1:7" ht="27.95" customHeight="1">
      <c r="A14" s="201"/>
      <c r="B14" s="201"/>
      <c r="C14" s="190"/>
      <c r="D14" s="131" t="s">
        <v>369</v>
      </c>
      <c r="E14" s="131" t="s">
        <v>431</v>
      </c>
      <c r="F14" s="134">
        <v>1</v>
      </c>
      <c r="G14" s="134" t="s">
        <v>432</v>
      </c>
    </row>
    <row r="15" spans="1:7" ht="27.95" customHeight="1">
      <c r="A15" s="201"/>
      <c r="B15" s="201" t="s">
        <v>262</v>
      </c>
      <c r="C15" s="205" t="s">
        <v>372</v>
      </c>
      <c r="D15" s="131" t="s">
        <v>356</v>
      </c>
      <c r="E15" s="131" t="s">
        <v>433</v>
      </c>
      <c r="F15" s="134">
        <v>1</v>
      </c>
      <c r="G15" s="134" t="s">
        <v>434</v>
      </c>
    </row>
    <row r="16" spans="1:7" ht="40.5" customHeight="1">
      <c r="A16" s="201"/>
      <c r="B16" s="201"/>
      <c r="C16" s="190"/>
      <c r="D16" s="131" t="s">
        <v>364</v>
      </c>
      <c r="E16" s="131" t="s">
        <v>435</v>
      </c>
      <c r="F16" s="133" t="s">
        <v>436</v>
      </c>
      <c r="G16" s="133" t="s">
        <v>436</v>
      </c>
    </row>
    <row r="17" spans="1:7" ht="27.95" customHeight="1">
      <c r="A17" s="201"/>
      <c r="B17" s="201"/>
      <c r="C17" s="205" t="s">
        <v>377</v>
      </c>
      <c r="D17" s="131" t="s">
        <v>356</v>
      </c>
      <c r="E17" s="131" t="s">
        <v>437</v>
      </c>
      <c r="F17" s="134" t="s">
        <v>438</v>
      </c>
      <c r="G17" s="134" t="s">
        <v>438</v>
      </c>
    </row>
    <row r="18" spans="1:7" ht="27.95" customHeight="1">
      <c r="A18" s="201"/>
      <c r="B18" s="201"/>
      <c r="C18" s="189"/>
      <c r="D18" s="131" t="s">
        <v>364</v>
      </c>
      <c r="E18" s="131" t="s">
        <v>439</v>
      </c>
      <c r="F18" s="133" t="s">
        <v>440</v>
      </c>
      <c r="G18" s="133" t="s">
        <v>440</v>
      </c>
    </row>
    <row r="19" spans="1:7" ht="27.95" customHeight="1">
      <c r="A19" s="201"/>
      <c r="B19" s="201"/>
      <c r="C19" s="190"/>
      <c r="D19" s="131" t="s">
        <v>367</v>
      </c>
      <c r="E19" s="131" t="s">
        <v>441</v>
      </c>
      <c r="F19" s="133" t="s">
        <v>442</v>
      </c>
      <c r="G19" s="133" t="s">
        <v>443</v>
      </c>
    </row>
    <row r="20" spans="1:7" ht="27.95" customHeight="1">
      <c r="A20" s="201"/>
      <c r="B20" s="131" t="s">
        <v>264</v>
      </c>
      <c r="C20" s="135" t="s">
        <v>386</v>
      </c>
      <c r="D20" s="131" t="s">
        <v>356</v>
      </c>
      <c r="E20" s="131" t="s">
        <v>444</v>
      </c>
      <c r="F20" s="134">
        <v>0.95</v>
      </c>
      <c r="G20" s="134" t="s">
        <v>445</v>
      </c>
    </row>
    <row r="21" spans="1:7" ht="27.95" customHeight="1">
      <c r="A21" s="131" t="s">
        <v>446</v>
      </c>
      <c r="B21" s="206"/>
      <c r="C21" s="207"/>
      <c r="D21" s="207"/>
      <c r="E21" s="207"/>
      <c r="F21" s="207"/>
      <c r="G21" s="208"/>
    </row>
    <row r="22" spans="1:7" ht="27.95" customHeight="1">
      <c r="A22" s="128" t="s">
        <v>447</v>
      </c>
      <c r="B22" s="129"/>
      <c r="C22" s="129"/>
      <c r="D22" s="130" t="s">
        <v>448</v>
      </c>
      <c r="E22" s="129"/>
      <c r="F22" s="128" t="s">
        <v>449</v>
      </c>
      <c r="G22" s="129"/>
    </row>
    <row r="23" spans="1:7" ht="27.95" customHeight="1">
      <c r="A23" s="194" t="s">
        <v>450</v>
      </c>
      <c r="B23" s="194"/>
      <c r="C23" s="194"/>
      <c r="D23" s="194"/>
      <c r="E23" s="194"/>
      <c r="F23" s="194"/>
      <c r="G23" s="194"/>
    </row>
  </sheetData>
  <mergeCells count="22">
    <mergeCell ref="B21:G21"/>
    <mergeCell ref="A23:G23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31496062992125984" right="0.31496062992125984" top="0.35433070866141736" bottom="0.35433070866141736" header="0.31496062992125984" footer="0.31496062992125984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G1"/>
    </sheetView>
  </sheetViews>
  <sheetFormatPr defaultColWidth="9" defaultRowHeight="14.25"/>
  <cols>
    <col min="1" max="1" width="9" style="76" customWidth="1"/>
    <col min="2" max="2" width="7.75" customWidth="1"/>
    <col min="3" max="3" width="8.75" customWidth="1"/>
    <col min="4" max="4" width="7.75" customWidth="1"/>
    <col min="5" max="5" width="20.625" customWidth="1"/>
    <col min="6" max="6" width="13.125" customWidth="1"/>
    <col min="7" max="7" width="12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216" t="s">
        <v>464</v>
      </c>
      <c r="B1" s="217"/>
      <c r="C1" s="217"/>
      <c r="D1" s="217"/>
      <c r="E1" s="217"/>
      <c r="F1" s="217"/>
      <c r="G1" s="218"/>
    </row>
    <row r="2" spans="1:7" ht="27" customHeight="1">
      <c r="A2" s="120" t="s">
        <v>451</v>
      </c>
      <c r="B2" s="121"/>
      <c r="C2" s="121"/>
      <c r="D2" s="121"/>
      <c r="E2" s="121"/>
      <c r="F2" s="121"/>
      <c r="G2" s="121"/>
    </row>
    <row r="3" spans="1:7" ht="27" customHeight="1">
      <c r="A3" s="205" t="s">
        <v>412</v>
      </c>
      <c r="B3" s="202" t="s">
        <v>343</v>
      </c>
      <c r="C3" s="202"/>
      <c r="D3" s="206">
        <v>266.8</v>
      </c>
      <c r="E3" s="207"/>
      <c r="F3" s="207"/>
      <c r="G3" s="208"/>
    </row>
    <row r="4" spans="1:7" ht="27" customHeight="1">
      <c r="A4" s="189"/>
      <c r="B4" s="201" t="s">
        <v>413</v>
      </c>
      <c r="C4" s="201"/>
      <c r="D4" s="206">
        <v>266.8</v>
      </c>
      <c r="E4" s="207"/>
      <c r="F4" s="207"/>
      <c r="G4" s="208"/>
    </row>
    <row r="5" spans="1:7" ht="27" customHeight="1">
      <c r="A5" s="189"/>
      <c r="B5" s="201" t="s">
        <v>414</v>
      </c>
      <c r="C5" s="201"/>
      <c r="D5" s="206">
        <v>0</v>
      </c>
      <c r="E5" s="207"/>
      <c r="F5" s="207"/>
      <c r="G5" s="208"/>
    </row>
    <row r="6" spans="1:7" ht="27" customHeight="1">
      <c r="A6" s="190"/>
      <c r="B6" s="201" t="s">
        <v>415</v>
      </c>
      <c r="C6" s="201"/>
      <c r="D6" s="206">
        <v>0</v>
      </c>
      <c r="E6" s="207"/>
      <c r="F6" s="207"/>
      <c r="G6" s="208"/>
    </row>
    <row r="7" spans="1:7" ht="27" customHeight="1">
      <c r="A7" s="131" t="s">
        <v>416</v>
      </c>
      <c r="B7" s="209" t="s">
        <v>417</v>
      </c>
      <c r="C7" s="210"/>
      <c r="D7" s="210"/>
      <c r="E7" s="210"/>
      <c r="F7" s="210"/>
      <c r="G7" s="211"/>
    </row>
    <row r="8" spans="1:7" ht="27" customHeight="1">
      <c r="A8" s="201" t="s">
        <v>418</v>
      </c>
      <c r="B8" s="201" t="s">
        <v>419</v>
      </c>
      <c r="C8" s="201"/>
      <c r="D8" s="201"/>
      <c r="E8" s="201" t="s">
        <v>351</v>
      </c>
      <c r="F8" s="201" t="s">
        <v>420</v>
      </c>
      <c r="G8" s="201"/>
    </row>
    <row r="9" spans="1:7" ht="27" customHeight="1">
      <c r="A9" s="201"/>
      <c r="B9" s="201"/>
      <c r="C9" s="201"/>
      <c r="D9" s="201"/>
      <c r="E9" s="201"/>
      <c r="F9" s="131" t="s">
        <v>421</v>
      </c>
      <c r="G9" s="131" t="s">
        <v>422</v>
      </c>
    </row>
    <row r="10" spans="1:7" ht="27" customHeight="1">
      <c r="A10" s="201"/>
      <c r="B10" s="201" t="s">
        <v>261</v>
      </c>
      <c r="C10" s="132" t="s">
        <v>355</v>
      </c>
      <c r="D10" s="131" t="s">
        <v>356</v>
      </c>
      <c r="E10" s="131" t="s">
        <v>423</v>
      </c>
      <c r="F10" s="133" t="s">
        <v>424</v>
      </c>
      <c r="G10" s="133" t="s">
        <v>425</v>
      </c>
    </row>
    <row r="11" spans="1:7" ht="27" customHeight="1">
      <c r="A11" s="201"/>
      <c r="B11" s="201"/>
      <c r="C11" s="189" t="s">
        <v>426</v>
      </c>
      <c r="D11" s="131" t="s">
        <v>356</v>
      </c>
      <c r="E11" s="131" t="s">
        <v>427</v>
      </c>
      <c r="F11" s="134">
        <f>(232.51-194.21)/194.21</f>
        <v>0.2</v>
      </c>
      <c r="G11" s="133" t="s">
        <v>452</v>
      </c>
    </row>
    <row r="12" spans="1:7" ht="27" customHeight="1">
      <c r="A12" s="201"/>
      <c r="B12" s="201"/>
      <c r="C12" s="189"/>
      <c r="D12" s="131" t="s">
        <v>364</v>
      </c>
      <c r="E12" s="131" t="s">
        <v>429</v>
      </c>
      <c r="F12" s="134">
        <v>0</v>
      </c>
      <c r="G12" s="134">
        <v>0</v>
      </c>
    </row>
    <row r="13" spans="1:7" ht="27" customHeight="1">
      <c r="A13" s="201"/>
      <c r="B13" s="201"/>
      <c r="C13" s="189"/>
      <c r="D13" s="131" t="s">
        <v>367</v>
      </c>
      <c r="E13" s="131" t="s">
        <v>430</v>
      </c>
      <c r="F13" s="134">
        <v>0</v>
      </c>
      <c r="G13" s="134">
        <v>0</v>
      </c>
    </row>
    <row r="14" spans="1:7" ht="27" customHeight="1">
      <c r="A14" s="201"/>
      <c r="B14" s="201"/>
      <c r="C14" s="190"/>
      <c r="D14" s="131" t="s">
        <v>369</v>
      </c>
      <c r="E14" s="131" t="s">
        <v>431</v>
      </c>
      <c r="F14" s="134">
        <v>1</v>
      </c>
      <c r="G14" s="134" t="s">
        <v>432</v>
      </c>
    </row>
    <row r="15" spans="1:7" ht="27" customHeight="1">
      <c r="A15" s="201"/>
      <c r="B15" s="201" t="s">
        <v>262</v>
      </c>
      <c r="C15" s="205" t="s">
        <v>372</v>
      </c>
      <c r="D15" s="131" t="s">
        <v>356</v>
      </c>
      <c r="E15" s="131" t="s">
        <v>433</v>
      </c>
      <c r="F15" s="134">
        <v>1</v>
      </c>
      <c r="G15" s="134" t="s">
        <v>434</v>
      </c>
    </row>
    <row r="16" spans="1:7" ht="27" customHeight="1">
      <c r="A16" s="201"/>
      <c r="B16" s="201"/>
      <c r="C16" s="190"/>
      <c r="D16" s="131" t="s">
        <v>364</v>
      </c>
      <c r="E16" s="131" t="s">
        <v>435</v>
      </c>
      <c r="F16" s="133" t="s">
        <v>453</v>
      </c>
      <c r="G16" s="133" t="s">
        <v>453</v>
      </c>
    </row>
    <row r="17" spans="1:7" ht="27" customHeight="1">
      <c r="A17" s="201"/>
      <c r="B17" s="201"/>
      <c r="C17" s="205" t="s">
        <v>377</v>
      </c>
      <c r="D17" s="131" t="s">
        <v>356</v>
      </c>
      <c r="E17" s="131" t="s">
        <v>437</v>
      </c>
      <c r="F17" s="134" t="s">
        <v>438</v>
      </c>
      <c r="G17" s="134" t="s">
        <v>438</v>
      </c>
    </row>
    <row r="18" spans="1:7" ht="27" customHeight="1">
      <c r="A18" s="201"/>
      <c r="B18" s="201"/>
      <c r="C18" s="189"/>
      <c r="D18" s="131" t="s">
        <v>364</v>
      </c>
      <c r="E18" s="131" t="s">
        <v>439</v>
      </c>
      <c r="F18" s="133" t="s">
        <v>440</v>
      </c>
      <c r="G18" s="133" t="s">
        <v>440</v>
      </c>
    </row>
    <row r="19" spans="1:7" ht="27" customHeight="1">
      <c r="A19" s="201"/>
      <c r="B19" s="201"/>
      <c r="C19" s="190"/>
      <c r="D19" s="131" t="s">
        <v>367</v>
      </c>
      <c r="E19" s="131" t="s">
        <v>441</v>
      </c>
      <c r="F19" s="133" t="s">
        <v>442</v>
      </c>
      <c r="G19" s="133" t="s">
        <v>443</v>
      </c>
    </row>
    <row r="20" spans="1:7" ht="27" customHeight="1">
      <c r="A20" s="201"/>
      <c r="B20" s="131" t="s">
        <v>264</v>
      </c>
      <c r="C20" s="135" t="s">
        <v>386</v>
      </c>
      <c r="D20" s="131" t="s">
        <v>356</v>
      </c>
      <c r="E20" s="131" t="s">
        <v>444</v>
      </c>
      <c r="F20" s="134">
        <v>0.95</v>
      </c>
      <c r="G20" s="134" t="s">
        <v>445</v>
      </c>
    </row>
    <row r="21" spans="1:7" ht="27" customHeight="1">
      <c r="A21" s="131" t="s">
        <v>446</v>
      </c>
      <c r="B21" s="209" t="s">
        <v>454</v>
      </c>
      <c r="C21" s="210"/>
      <c r="D21" s="210"/>
      <c r="E21" s="210"/>
      <c r="F21" s="210"/>
      <c r="G21" s="211"/>
    </row>
    <row r="22" spans="1:7" ht="27" customHeight="1">
      <c r="A22" s="128" t="s">
        <v>447</v>
      </c>
      <c r="B22" s="129"/>
      <c r="C22" s="129"/>
      <c r="D22" s="130" t="s">
        <v>448</v>
      </c>
      <c r="E22" s="129"/>
      <c r="F22" s="128" t="s">
        <v>449</v>
      </c>
      <c r="G22" s="129"/>
    </row>
    <row r="23" spans="1:7" ht="27" customHeight="1">
      <c r="A23" s="194" t="s">
        <v>450</v>
      </c>
      <c r="B23" s="194"/>
      <c r="C23" s="194"/>
      <c r="D23" s="194"/>
      <c r="E23" s="194"/>
      <c r="F23" s="194"/>
      <c r="G23" s="194"/>
    </row>
  </sheetData>
  <mergeCells count="22">
    <mergeCell ref="B21:G21"/>
    <mergeCell ref="A23:G23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D5" sqref="D5:G5"/>
    </sheetView>
  </sheetViews>
  <sheetFormatPr defaultColWidth="9" defaultRowHeight="14.25"/>
  <cols>
    <col min="1" max="1" width="9" style="76" customWidth="1"/>
    <col min="2" max="2" width="7.75" customWidth="1"/>
    <col min="3" max="3" width="9.375" customWidth="1"/>
    <col min="4" max="4" width="8.75" customWidth="1"/>
    <col min="5" max="5" width="22.5" customWidth="1"/>
    <col min="6" max="6" width="16.25" customWidth="1"/>
    <col min="7" max="7" width="15.75" customWidth="1"/>
    <col min="256" max="256" width="9" customWidth="1"/>
    <col min="257" max="257" width="7.75" customWidth="1"/>
    <col min="258" max="258" width="9.875" customWidth="1"/>
    <col min="259" max="259" width="7.75" customWidth="1"/>
    <col min="260" max="260" width="14.5" customWidth="1"/>
    <col min="261" max="261" width="11.75" customWidth="1"/>
    <col min="262" max="262" width="10.375" customWidth="1"/>
    <col min="263" max="263" width="13.375" customWidth="1"/>
    <col min="512" max="512" width="9" customWidth="1"/>
    <col min="513" max="513" width="7.75" customWidth="1"/>
    <col min="514" max="514" width="9.875" customWidth="1"/>
    <col min="515" max="515" width="7.75" customWidth="1"/>
    <col min="516" max="516" width="14.5" customWidth="1"/>
    <col min="517" max="517" width="11.75" customWidth="1"/>
    <col min="518" max="518" width="10.375" customWidth="1"/>
    <col min="519" max="519" width="13.375" customWidth="1"/>
    <col min="768" max="768" width="9" customWidth="1"/>
    <col min="769" max="769" width="7.75" customWidth="1"/>
    <col min="770" max="770" width="9.875" customWidth="1"/>
    <col min="771" max="771" width="7.75" customWidth="1"/>
    <col min="772" max="772" width="14.5" customWidth="1"/>
    <col min="773" max="773" width="11.75" customWidth="1"/>
    <col min="774" max="774" width="10.375" customWidth="1"/>
    <col min="775" max="775" width="13.375" customWidth="1"/>
    <col min="1024" max="1024" width="9" customWidth="1"/>
    <col min="1025" max="1025" width="7.75" customWidth="1"/>
    <col min="1026" max="1026" width="9.875" customWidth="1"/>
    <col min="1027" max="1027" width="7.75" customWidth="1"/>
    <col min="1028" max="1028" width="14.5" customWidth="1"/>
    <col min="1029" max="1029" width="11.75" customWidth="1"/>
    <col min="1030" max="1030" width="10.375" customWidth="1"/>
    <col min="1031" max="1031" width="13.375" customWidth="1"/>
    <col min="1280" max="1280" width="9" customWidth="1"/>
    <col min="1281" max="1281" width="7.75" customWidth="1"/>
    <col min="1282" max="1282" width="9.875" customWidth="1"/>
    <col min="1283" max="1283" width="7.75" customWidth="1"/>
    <col min="1284" max="1284" width="14.5" customWidth="1"/>
    <col min="1285" max="1285" width="11.75" customWidth="1"/>
    <col min="1286" max="1286" width="10.375" customWidth="1"/>
    <col min="1287" max="1287" width="13.375" customWidth="1"/>
    <col min="1536" max="1536" width="9" customWidth="1"/>
    <col min="1537" max="1537" width="7.75" customWidth="1"/>
    <col min="1538" max="1538" width="9.875" customWidth="1"/>
    <col min="1539" max="1539" width="7.75" customWidth="1"/>
    <col min="1540" max="1540" width="14.5" customWidth="1"/>
    <col min="1541" max="1541" width="11.75" customWidth="1"/>
    <col min="1542" max="1542" width="10.375" customWidth="1"/>
    <col min="1543" max="1543" width="13.375" customWidth="1"/>
    <col min="1792" max="1792" width="9" customWidth="1"/>
    <col min="1793" max="1793" width="7.75" customWidth="1"/>
    <col min="1794" max="1794" width="9.875" customWidth="1"/>
    <col min="1795" max="1795" width="7.75" customWidth="1"/>
    <col min="1796" max="1796" width="14.5" customWidth="1"/>
    <col min="1797" max="1797" width="11.75" customWidth="1"/>
    <col min="1798" max="1798" width="10.375" customWidth="1"/>
    <col min="1799" max="1799" width="13.375" customWidth="1"/>
    <col min="2048" max="2048" width="9" customWidth="1"/>
    <col min="2049" max="2049" width="7.75" customWidth="1"/>
    <col min="2050" max="2050" width="9.875" customWidth="1"/>
    <col min="2051" max="2051" width="7.75" customWidth="1"/>
    <col min="2052" max="2052" width="14.5" customWidth="1"/>
    <col min="2053" max="2053" width="11.75" customWidth="1"/>
    <col min="2054" max="2054" width="10.375" customWidth="1"/>
    <col min="2055" max="2055" width="13.375" customWidth="1"/>
    <col min="2304" max="2304" width="9" customWidth="1"/>
    <col min="2305" max="2305" width="7.75" customWidth="1"/>
    <col min="2306" max="2306" width="9.875" customWidth="1"/>
    <col min="2307" max="2307" width="7.75" customWidth="1"/>
    <col min="2308" max="2308" width="14.5" customWidth="1"/>
    <col min="2309" max="2309" width="11.75" customWidth="1"/>
    <col min="2310" max="2310" width="10.375" customWidth="1"/>
    <col min="2311" max="2311" width="13.375" customWidth="1"/>
    <col min="2560" max="2560" width="9" customWidth="1"/>
    <col min="2561" max="2561" width="7.75" customWidth="1"/>
    <col min="2562" max="2562" width="9.875" customWidth="1"/>
    <col min="2563" max="2563" width="7.75" customWidth="1"/>
    <col min="2564" max="2564" width="14.5" customWidth="1"/>
    <col min="2565" max="2565" width="11.75" customWidth="1"/>
    <col min="2566" max="2566" width="10.375" customWidth="1"/>
    <col min="2567" max="2567" width="13.375" customWidth="1"/>
    <col min="2816" max="2816" width="9" customWidth="1"/>
    <col min="2817" max="2817" width="7.75" customWidth="1"/>
    <col min="2818" max="2818" width="9.875" customWidth="1"/>
    <col min="2819" max="2819" width="7.75" customWidth="1"/>
    <col min="2820" max="2820" width="14.5" customWidth="1"/>
    <col min="2821" max="2821" width="11.75" customWidth="1"/>
    <col min="2822" max="2822" width="10.375" customWidth="1"/>
    <col min="2823" max="2823" width="13.375" customWidth="1"/>
    <col min="3072" max="3072" width="9" customWidth="1"/>
    <col min="3073" max="3073" width="7.75" customWidth="1"/>
    <col min="3074" max="3074" width="9.875" customWidth="1"/>
    <col min="3075" max="3075" width="7.75" customWidth="1"/>
    <col min="3076" max="3076" width="14.5" customWidth="1"/>
    <col min="3077" max="3077" width="11.75" customWidth="1"/>
    <col min="3078" max="3078" width="10.375" customWidth="1"/>
    <col min="3079" max="3079" width="13.375" customWidth="1"/>
    <col min="3328" max="3328" width="9" customWidth="1"/>
    <col min="3329" max="3329" width="7.75" customWidth="1"/>
    <col min="3330" max="3330" width="9.875" customWidth="1"/>
    <col min="3331" max="3331" width="7.75" customWidth="1"/>
    <col min="3332" max="3332" width="14.5" customWidth="1"/>
    <col min="3333" max="3333" width="11.75" customWidth="1"/>
    <col min="3334" max="3334" width="10.375" customWidth="1"/>
    <col min="3335" max="3335" width="13.375" customWidth="1"/>
    <col min="3584" max="3584" width="9" customWidth="1"/>
    <col min="3585" max="3585" width="7.75" customWidth="1"/>
    <col min="3586" max="3586" width="9.875" customWidth="1"/>
    <col min="3587" max="3587" width="7.75" customWidth="1"/>
    <col min="3588" max="3588" width="14.5" customWidth="1"/>
    <col min="3589" max="3589" width="11.75" customWidth="1"/>
    <col min="3590" max="3590" width="10.375" customWidth="1"/>
    <col min="3591" max="3591" width="13.375" customWidth="1"/>
    <col min="3840" max="3840" width="9" customWidth="1"/>
    <col min="3841" max="3841" width="7.75" customWidth="1"/>
    <col min="3842" max="3842" width="9.875" customWidth="1"/>
    <col min="3843" max="3843" width="7.75" customWidth="1"/>
    <col min="3844" max="3844" width="14.5" customWidth="1"/>
    <col min="3845" max="3845" width="11.75" customWidth="1"/>
    <col min="3846" max="3846" width="10.375" customWidth="1"/>
    <col min="3847" max="3847" width="13.375" customWidth="1"/>
    <col min="4096" max="4096" width="9" customWidth="1"/>
    <col min="4097" max="4097" width="7.75" customWidth="1"/>
    <col min="4098" max="4098" width="9.875" customWidth="1"/>
    <col min="4099" max="4099" width="7.75" customWidth="1"/>
    <col min="4100" max="4100" width="14.5" customWidth="1"/>
    <col min="4101" max="4101" width="11.75" customWidth="1"/>
    <col min="4102" max="4102" width="10.375" customWidth="1"/>
    <col min="4103" max="4103" width="13.375" customWidth="1"/>
    <col min="4352" max="4352" width="9" customWidth="1"/>
    <col min="4353" max="4353" width="7.75" customWidth="1"/>
    <col min="4354" max="4354" width="9.875" customWidth="1"/>
    <col min="4355" max="4355" width="7.75" customWidth="1"/>
    <col min="4356" max="4356" width="14.5" customWidth="1"/>
    <col min="4357" max="4357" width="11.75" customWidth="1"/>
    <col min="4358" max="4358" width="10.375" customWidth="1"/>
    <col min="4359" max="4359" width="13.375" customWidth="1"/>
    <col min="4608" max="4608" width="9" customWidth="1"/>
    <col min="4609" max="4609" width="7.75" customWidth="1"/>
    <col min="4610" max="4610" width="9.875" customWidth="1"/>
    <col min="4611" max="4611" width="7.75" customWidth="1"/>
    <col min="4612" max="4612" width="14.5" customWidth="1"/>
    <col min="4613" max="4613" width="11.75" customWidth="1"/>
    <col min="4614" max="4614" width="10.375" customWidth="1"/>
    <col min="4615" max="4615" width="13.375" customWidth="1"/>
    <col min="4864" max="4864" width="9" customWidth="1"/>
    <col min="4865" max="4865" width="7.75" customWidth="1"/>
    <col min="4866" max="4866" width="9.875" customWidth="1"/>
    <col min="4867" max="4867" width="7.75" customWidth="1"/>
    <col min="4868" max="4868" width="14.5" customWidth="1"/>
    <col min="4869" max="4869" width="11.75" customWidth="1"/>
    <col min="4870" max="4870" width="10.375" customWidth="1"/>
    <col min="4871" max="4871" width="13.375" customWidth="1"/>
    <col min="5120" max="5120" width="9" customWidth="1"/>
    <col min="5121" max="5121" width="7.75" customWidth="1"/>
    <col min="5122" max="5122" width="9.875" customWidth="1"/>
    <col min="5123" max="5123" width="7.75" customWidth="1"/>
    <col min="5124" max="5124" width="14.5" customWidth="1"/>
    <col min="5125" max="5125" width="11.75" customWidth="1"/>
    <col min="5126" max="5126" width="10.375" customWidth="1"/>
    <col min="5127" max="5127" width="13.375" customWidth="1"/>
    <col min="5376" max="5376" width="9" customWidth="1"/>
    <col min="5377" max="5377" width="7.75" customWidth="1"/>
    <col min="5378" max="5378" width="9.875" customWidth="1"/>
    <col min="5379" max="5379" width="7.75" customWidth="1"/>
    <col min="5380" max="5380" width="14.5" customWidth="1"/>
    <col min="5381" max="5381" width="11.75" customWidth="1"/>
    <col min="5382" max="5382" width="10.375" customWidth="1"/>
    <col min="5383" max="5383" width="13.375" customWidth="1"/>
    <col min="5632" max="5632" width="9" customWidth="1"/>
    <col min="5633" max="5633" width="7.75" customWidth="1"/>
    <col min="5634" max="5634" width="9.875" customWidth="1"/>
    <col min="5635" max="5635" width="7.75" customWidth="1"/>
    <col min="5636" max="5636" width="14.5" customWidth="1"/>
    <col min="5637" max="5637" width="11.75" customWidth="1"/>
    <col min="5638" max="5638" width="10.375" customWidth="1"/>
    <col min="5639" max="5639" width="13.375" customWidth="1"/>
    <col min="5888" max="5888" width="9" customWidth="1"/>
    <col min="5889" max="5889" width="7.75" customWidth="1"/>
    <col min="5890" max="5890" width="9.875" customWidth="1"/>
    <col min="5891" max="5891" width="7.75" customWidth="1"/>
    <col min="5892" max="5892" width="14.5" customWidth="1"/>
    <col min="5893" max="5893" width="11.75" customWidth="1"/>
    <col min="5894" max="5894" width="10.375" customWidth="1"/>
    <col min="5895" max="5895" width="13.375" customWidth="1"/>
    <col min="6144" max="6144" width="9" customWidth="1"/>
    <col min="6145" max="6145" width="7.75" customWidth="1"/>
    <col min="6146" max="6146" width="9.875" customWidth="1"/>
    <col min="6147" max="6147" width="7.75" customWidth="1"/>
    <col min="6148" max="6148" width="14.5" customWidth="1"/>
    <col min="6149" max="6149" width="11.75" customWidth="1"/>
    <col min="6150" max="6150" width="10.375" customWidth="1"/>
    <col min="6151" max="6151" width="13.375" customWidth="1"/>
    <col min="6400" max="6400" width="9" customWidth="1"/>
    <col min="6401" max="6401" width="7.75" customWidth="1"/>
    <col min="6402" max="6402" width="9.875" customWidth="1"/>
    <col min="6403" max="6403" width="7.75" customWidth="1"/>
    <col min="6404" max="6404" width="14.5" customWidth="1"/>
    <col min="6405" max="6405" width="11.75" customWidth="1"/>
    <col min="6406" max="6406" width="10.375" customWidth="1"/>
    <col min="6407" max="6407" width="13.375" customWidth="1"/>
    <col min="6656" max="6656" width="9" customWidth="1"/>
    <col min="6657" max="6657" width="7.75" customWidth="1"/>
    <col min="6658" max="6658" width="9.875" customWidth="1"/>
    <col min="6659" max="6659" width="7.75" customWidth="1"/>
    <col min="6660" max="6660" width="14.5" customWidth="1"/>
    <col min="6661" max="6661" width="11.75" customWidth="1"/>
    <col min="6662" max="6662" width="10.375" customWidth="1"/>
    <col min="6663" max="6663" width="13.375" customWidth="1"/>
    <col min="6912" max="6912" width="9" customWidth="1"/>
    <col min="6913" max="6913" width="7.75" customWidth="1"/>
    <col min="6914" max="6914" width="9.875" customWidth="1"/>
    <col min="6915" max="6915" width="7.75" customWidth="1"/>
    <col min="6916" max="6916" width="14.5" customWidth="1"/>
    <col min="6917" max="6917" width="11.75" customWidth="1"/>
    <col min="6918" max="6918" width="10.375" customWidth="1"/>
    <col min="6919" max="6919" width="13.375" customWidth="1"/>
    <col min="7168" max="7168" width="9" customWidth="1"/>
    <col min="7169" max="7169" width="7.75" customWidth="1"/>
    <col min="7170" max="7170" width="9.875" customWidth="1"/>
    <col min="7171" max="7171" width="7.75" customWidth="1"/>
    <col min="7172" max="7172" width="14.5" customWidth="1"/>
    <col min="7173" max="7173" width="11.75" customWidth="1"/>
    <col min="7174" max="7174" width="10.375" customWidth="1"/>
    <col min="7175" max="7175" width="13.375" customWidth="1"/>
    <col min="7424" max="7424" width="9" customWidth="1"/>
    <col min="7425" max="7425" width="7.75" customWidth="1"/>
    <col min="7426" max="7426" width="9.875" customWidth="1"/>
    <col min="7427" max="7427" width="7.75" customWidth="1"/>
    <col min="7428" max="7428" width="14.5" customWidth="1"/>
    <col min="7429" max="7429" width="11.75" customWidth="1"/>
    <col min="7430" max="7430" width="10.375" customWidth="1"/>
    <col min="7431" max="7431" width="13.375" customWidth="1"/>
    <col min="7680" max="7680" width="9" customWidth="1"/>
    <col min="7681" max="7681" width="7.75" customWidth="1"/>
    <col min="7682" max="7682" width="9.875" customWidth="1"/>
    <col min="7683" max="7683" width="7.75" customWidth="1"/>
    <col min="7684" max="7684" width="14.5" customWidth="1"/>
    <col min="7685" max="7685" width="11.75" customWidth="1"/>
    <col min="7686" max="7686" width="10.375" customWidth="1"/>
    <col min="7687" max="7687" width="13.375" customWidth="1"/>
    <col min="7936" max="7936" width="9" customWidth="1"/>
    <col min="7937" max="7937" width="7.75" customWidth="1"/>
    <col min="7938" max="7938" width="9.875" customWidth="1"/>
    <col min="7939" max="7939" width="7.75" customWidth="1"/>
    <col min="7940" max="7940" width="14.5" customWidth="1"/>
    <col min="7941" max="7941" width="11.75" customWidth="1"/>
    <col min="7942" max="7942" width="10.375" customWidth="1"/>
    <col min="7943" max="7943" width="13.375" customWidth="1"/>
    <col min="8192" max="8192" width="9" customWidth="1"/>
    <col min="8193" max="8193" width="7.75" customWidth="1"/>
    <col min="8194" max="8194" width="9.875" customWidth="1"/>
    <col min="8195" max="8195" width="7.75" customWidth="1"/>
    <col min="8196" max="8196" width="14.5" customWidth="1"/>
    <col min="8197" max="8197" width="11.75" customWidth="1"/>
    <col min="8198" max="8198" width="10.375" customWidth="1"/>
    <col min="8199" max="8199" width="13.375" customWidth="1"/>
    <col min="8448" max="8448" width="9" customWidth="1"/>
    <col min="8449" max="8449" width="7.75" customWidth="1"/>
    <col min="8450" max="8450" width="9.875" customWidth="1"/>
    <col min="8451" max="8451" width="7.75" customWidth="1"/>
    <col min="8452" max="8452" width="14.5" customWidth="1"/>
    <col min="8453" max="8453" width="11.75" customWidth="1"/>
    <col min="8454" max="8454" width="10.375" customWidth="1"/>
    <col min="8455" max="8455" width="13.375" customWidth="1"/>
    <col min="8704" max="8704" width="9" customWidth="1"/>
    <col min="8705" max="8705" width="7.75" customWidth="1"/>
    <col min="8706" max="8706" width="9.875" customWidth="1"/>
    <col min="8707" max="8707" width="7.75" customWidth="1"/>
    <col min="8708" max="8708" width="14.5" customWidth="1"/>
    <col min="8709" max="8709" width="11.75" customWidth="1"/>
    <col min="8710" max="8710" width="10.375" customWidth="1"/>
    <col min="8711" max="8711" width="13.375" customWidth="1"/>
    <col min="8960" max="8960" width="9" customWidth="1"/>
    <col min="8961" max="8961" width="7.75" customWidth="1"/>
    <col min="8962" max="8962" width="9.875" customWidth="1"/>
    <col min="8963" max="8963" width="7.75" customWidth="1"/>
    <col min="8964" max="8964" width="14.5" customWidth="1"/>
    <col min="8965" max="8965" width="11.75" customWidth="1"/>
    <col min="8966" max="8966" width="10.375" customWidth="1"/>
    <col min="8967" max="8967" width="13.375" customWidth="1"/>
    <col min="9216" max="9216" width="9" customWidth="1"/>
    <col min="9217" max="9217" width="7.75" customWidth="1"/>
    <col min="9218" max="9218" width="9.875" customWidth="1"/>
    <col min="9219" max="9219" width="7.75" customWidth="1"/>
    <col min="9220" max="9220" width="14.5" customWidth="1"/>
    <col min="9221" max="9221" width="11.75" customWidth="1"/>
    <col min="9222" max="9222" width="10.375" customWidth="1"/>
    <col min="9223" max="9223" width="13.375" customWidth="1"/>
    <col min="9472" max="9472" width="9" customWidth="1"/>
    <col min="9473" max="9473" width="7.75" customWidth="1"/>
    <col min="9474" max="9474" width="9.875" customWidth="1"/>
    <col min="9475" max="9475" width="7.75" customWidth="1"/>
    <col min="9476" max="9476" width="14.5" customWidth="1"/>
    <col min="9477" max="9477" width="11.75" customWidth="1"/>
    <col min="9478" max="9478" width="10.375" customWidth="1"/>
    <col min="9479" max="9479" width="13.375" customWidth="1"/>
    <col min="9728" max="9728" width="9" customWidth="1"/>
    <col min="9729" max="9729" width="7.75" customWidth="1"/>
    <col min="9730" max="9730" width="9.875" customWidth="1"/>
    <col min="9731" max="9731" width="7.75" customWidth="1"/>
    <col min="9732" max="9732" width="14.5" customWidth="1"/>
    <col min="9733" max="9733" width="11.75" customWidth="1"/>
    <col min="9734" max="9734" width="10.375" customWidth="1"/>
    <col min="9735" max="9735" width="13.375" customWidth="1"/>
    <col min="9984" max="9984" width="9" customWidth="1"/>
    <col min="9985" max="9985" width="7.75" customWidth="1"/>
    <col min="9986" max="9986" width="9.875" customWidth="1"/>
    <col min="9987" max="9987" width="7.75" customWidth="1"/>
    <col min="9988" max="9988" width="14.5" customWidth="1"/>
    <col min="9989" max="9989" width="11.75" customWidth="1"/>
    <col min="9990" max="9990" width="10.375" customWidth="1"/>
    <col min="9991" max="9991" width="13.375" customWidth="1"/>
    <col min="10240" max="10240" width="9" customWidth="1"/>
    <col min="10241" max="10241" width="7.75" customWidth="1"/>
    <col min="10242" max="10242" width="9.875" customWidth="1"/>
    <col min="10243" max="10243" width="7.75" customWidth="1"/>
    <col min="10244" max="10244" width="14.5" customWidth="1"/>
    <col min="10245" max="10245" width="11.75" customWidth="1"/>
    <col min="10246" max="10246" width="10.375" customWidth="1"/>
    <col min="10247" max="10247" width="13.375" customWidth="1"/>
    <col min="10496" max="10496" width="9" customWidth="1"/>
    <col min="10497" max="10497" width="7.75" customWidth="1"/>
    <col min="10498" max="10498" width="9.875" customWidth="1"/>
    <col min="10499" max="10499" width="7.75" customWidth="1"/>
    <col min="10500" max="10500" width="14.5" customWidth="1"/>
    <col min="10501" max="10501" width="11.75" customWidth="1"/>
    <col min="10502" max="10502" width="10.375" customWidth="1"/>
    <col min="10503" max="10503" width="13.375" customWidth="1"/>
    <col min="10752" max="10752" width="9" customWidth="1"/>
    <col min="10753" max="10753" width="7.75" customWidth="1"/>
    <col min="10754" max="10754" width="9.875" customWidth="1"/>
    <col min="10755" max="10755" width="7.75" customWidth="1"/>
    <col min="10756" max="10756" width="14.5" customWidth="1"/>
    <col min="10757" max="10757" width="11.75" customWidth="1"/>
    <col min="10758" max="10758" width="10.375" customWidth="1"/>
    <col min="10759" max="10759" width="13.375" customWidth="1"/>
    <col min="11008" max="11008" width="9" customWidth="1"/>
    <col min="11009" max="11009" width="7.75" customWidth="1"/>
    <col min="11010" max="11010" width="9.875" customWidth="1"/>
    <col min="11011" max="11011" width="7.75" customWidth="1"/>
    <col min="11012" max="11012" width="14.5" customWidth="1"/>
    <col min="11013" max="11013" width="11.75" customWidth="1"/>
    <col min="11014" max="11014" width="10.375" customWidth="1"/>
    <col min="11015" max="11015" width="13.375" customWidth="1"/>
    <col min="11264" max="11264" width="9" customWidth="1"/>
    <col min="11265" max="11265" width="7.75" customWidth="1"/>
    <col min="11266" max="11266" width="9.875" customWidth="1"/>
    <col min="11267" max="11267" width="7.75" customWidth="1"/>
    <col min="11268" max="11268" width="14.5" customWidth="1"/>
    <col min="11269" max="11269" width="11.75" customWidth="1"/>
    <col min="11270" max="11270" width="10.375" customWidth="1"/>
    <col min="11271" max="11271" width="13.375" customWidth="1"/>
    <col min="11520" max="11520" width="9" customWidth="1"/>
    <col min="11521" max="11521" width="7.75" customWidth="1"/>
    <col min="11522" max="11522" width="9.875" customWidth="1"/>
    <col min="11523" max="11523" width="7.75" customWidth="1"/>
    <col min="11524" max="11524" width="14.5" customWidth="1"/>
    <col min="11525" max="11525" width="11.75" customWidth="1"/>
    <col min="11526" max="11526" width="10.375" customWidth="1"/>
    <col min="11527" max="11527" width="13.375" customWidth="1"/>
    <col min="11776" max="11776" width="9" customWidth="1"/>
    <col min="11777" max="11777" width="7.75" customWidth="1"/>
    <col min="11778" max="11778" width="9.875" customWidth="1"/>
    <col min="11779" max="11779" width="7.75" customWidth="1"/>
    <col min="11780" max="11780" width="14.5" customWidth="1"/>
    <col min="11781" max="11781" width="11.75" customWidth="1"/>
    <col min="11782" max="11782" width="10.375" customWidth="1"/>
    <col min="11783" max="11783" width="13.375" customWidth="1"/>
    <col min="12032" max="12032" width="9" customWidth="1"/>
    <col min="12033" max="12033" width="7.75" customWidth="1"/>
    <col min="12034" max="12034" width="9.875" customWidth="1"/>
    <col min="12035" max="12035" width="7.75" customWidth="1"/>
    <col min="12036" max="12036" width="14.5" customWidth="1"/>
    <col min="12037" max="12037" width="11.75" customWidth="1"/>
    <col min="12038" max="12038" width="10.375" customWidth="1"/>
    <col min="12039" max="12039" width="13.375" customWidth="1"/>
    <col min="12288" max="12288" width="9" customWidth="1"/>
    <col min="12289" max="12289" width="7.75" customWidth="1"/>
    <col min="12290" max="12290" width="9.875" customWidth="1"/>
    <col min="12291" max="12291" width="7.75" customWidth="1"/>
    <col min="12292" max="12292" width="14.5" customWidth="1"/>
    <col min="12293" max="12293" width="11.75" customWidth="1"/>
    <col min="12294" max="12294" width="10.375" customWidth="1"/>
    <col min="12295" max="12295" width="13.375" customWidth="1"/>
    <col min="12544" max="12544" width="9" customWidth="1"/>
    <col min="12545" max="12545" width="7.75" customWidth="1"/>
    <col min="12546" max="12546" width="9.875" customWidth="1"/>
    <col min="12547" max="12547" width="7.75" customWidth="1"/>
    <col min="12548" max="12548" width="14.5" customWidth="1"/>
    <col min="12549" max="12549" width="11.75" customWidth="1"/>
    <col min="12550" max="12550" width="10.375" customWidth="1"/>
    <col min="12551" max="12551" width="13.375" customWidth="1"/>
    <col min="12800" max="12800" width="9" customWidth="1"/>
    <col min="12801" max="12801" width="7.75" customWidth="1"/>
    <col min="12802" max="12802" width="9.875" customWidth="1"/>
    <col min="12803" max="12803" width="7.75" customWidth="1"/>
    <col min="12804" max="12804" width="14.5" customWidth="1"/>
    <col min="12805" max="12805" width="11.75" customWidth="1"/>
    <col min="12806" max="12806" width="10.375" customWidth="1"/>
    <col min="12807" max="12807" width="13.375" customWidth="1"/>
    <col min="13056" max="13056" width="9" customWidth="1"/>
    <col min="13057" max="13057" width="7.75" customWidth="1"/>
    <col min="13058" max="13058" width="9.875" customWidth="1"/>
    <col min="13059" max="13059" width="7.75" customWidth="1"/>
    <col min="13060" max="13060" width="14.5" customWidth="1"/>
    <col min="13061" max="13061" width="11.75" customWidth="1"/>
    <col min="13062" max="13062" width="10.375" customWidth="1"/>
    <col min="13063" max="13063" width="13.375" customWidth="1"/>
    <col min="13312" max="13312" width="9" customWidth="1"/>
    <col min="13313" max="13313" width="7.75" customWidth="1"/>
    <col min="13314" max="13314" width="9.875" customWidth="1"/>
    <col min="13315" max="13315" width="7.75" customWidth="1"/>
    <col min="13316" max="13316" width="14.5" customWidth="1"/>
    <col min="13317" max="13317" width="11.75" customWidth="1"/>
    <col min="13318" max="13318" width="10.375" customWidth="1"/>
    <col min="13319" max="13319" width="13.375" customWidth="1"/>
    <col min="13568" max="13568" width="9" customWidth="1"/>
    <col min="13569" max="13569" width="7.75" customWidth="1"/>
    <col min="13570" max="13570" width="9.875" customWidth="1"/>
    <col min="13571" max="13571" width="7.75" customWidth="1"/>
    <col min="13572" max="13572" width="14.5" customWidth="1"/>
    <col min="13573" max="13573" width="11.75" customWidth="1"/>
    <col min="13574" max="13574" width="10.375" customWidth="1"/>
    <col min="13575" max="13575" width="13.375" customWidth="1"/>
    <col min="13824" max="13824" width="9" customWidth="1"/>
    <col min="13825" max="13825" width="7.75" customWidth="1"/>
    <col min="13826" max="13826" width="9.875" customWidth="1"/>
    <col min="13827" max="13827" width="7.75" customWidth="1"/>
    <col min="13828" max="13828" width="14.5" customWidth="1"/>
    <col min="13829" max="13829" width="11.75" customWidth="1"/>
    <col min="13830" max="13830" width="10.375" customWidth="1"/>
    <col min="13831" max="13831" width="13.375" customWidth="1"/>
    <col min="14080" max="14080" width="9" customWidth="1"/>
    <col min="14081" max="14081" width="7.75" customWidth="1"/>
    <col min="14082" max="14082" width="9.875" customWidth="1"/>
    <col min="14083" max="14083" width="7.75" customWidth="1"/>
    <col min="14084" max="14084" width="14.5" customWidth="1"/>
    <col min="14085" max="14085" width="11.75" customWidth="1"/>
    <col min="14086" max="14086" width="10.375" customWidth="1"/>
    <col min="14087" max="14087" width="13.375" customWidth="1"/>
    <col min="14336" max="14336" width="9" customWidth="1"/>
    <col min="14337" max="14337" width="7.75" customWidth="1"/>
    <col min="14338" max="14338" width="9.875" customWidth="1"/>
    <col min="14339" max="14339" width="7.75" customWidth="1"/>
    <col min="14340" max="14340" width="14.5" customWidth="1"/>
    <col min="14341" max="14341" width="11.75" customWidth="1"/>
    <col min="14342" max="14342" width="10.375" customWidth="1"/>
    <col min="14343" max="14343" width="13.375" customWidth="1"/>
    <col min="14592" max="14592" width="9" customWidth="1"/>
    <col min="14593" max="14593" width="7.75" customWidth="1"/>
    <col min="14594" max="14594" width="9.875" customWidth="1"/>
    <col min="14595" max="14595" width="7.75" customWidth="1"/>
    <col min="14596" max="14596" width="14.5" customWidth="1"/>
    <col min="14597" max="14597" width="11.75" customWidth="1"/>
    <col min="14598" max="14598" width="10.375" customWidth="1"/>
    <col min="14599" max="14599" width="13.375" customWidth="1"/>
    <col min="14848" max="14848" width="9" customWidth="1"/>
    <col min="14849" max="14849" width="7.75" customWidth="1"/>
    <col min="14850" max="14850" width="9.875" customWidth="1"/>
    <col min="14851" max="14851" width="7.75" customWidth="1"/>
    <col min="14852" max="14852" width="14.5" customWidth="1"/>
    <col min="14853" max="14853" width="11.75" customWidth="1"/>
    <col min="14854" max="14854" width="10.375" customWidth="1"/>
    <col min="14855" max="14855" width="13.375" customWidth="1"/>
    <col min="15104" max="15104" width="9" customWidth="1"/>
    <col min="15105" max="15105" width="7.75" customWidth="1"/>
    <col min="15106" max="15106" width="9.875" customWidth="1"/>
    <col min="15107" max="15107" width="7.75" customWidth="1"/>
    <col min="15108" max="15108" width="14.5" customWidth="1"/>
    <col min="15109" max="15109" width="11.75" customWidth="1"/>
    <col min="15110" max="15110" width="10.375" customWidth="1"/>
    <col min="15111" max="15111" width="13.375" customWidth="1"/>
    <col min="15360" max="15360" width="9" customWidth="1"/>
    <col min="15361" max="15361" width="7.75" customWidth="1"/>
    <col min="15362" max="15362" width="9.875" customWidth="1"/>
    <col min="15363" max="15363" width="7.75" customWidth="1"/>
    <col min="15364" max="15364" width="14.5" customWidth="1"/>
    <col min="15365" max="15365" width="11.75" customWidth="1"/>
    <col min="15366" max="15366" width="10.375" customWidth="1"/>
    <col min="15367" max="15367" width="13.375" customWidth="1"/>
    <col min="15616" max="15616" width="9" customWidth="1"/>
    <col min="15617" max="15617" width="7.75" customWidth="1"/>
    <col min="15618" max="15618" width="9.875" customWidth="1"/>
    <col min="15619" max="15619" width="7.75" customWidth="1"/>
    <col min="15620" max="15620" width="14.5" customWidth="1"/>
    <col min="15621" max="15621" width="11.75" customWidth="1"/>
    <col min="15622" max="15622" width="10.375" customWidth="1"/>
    <col min="15623" max="15623" width="13.375" customWidth="1"/>
    <col min="15872" max="15872" width="9" customWidth="1"/>
    <col min="15873" max="15873" width="7.75" customWidth="1"/>
    <col min="15874" max="15874" width="9.875" customWidth="1"/>
    <col min="15875" max="15875" width="7.75" customWidth="1"/>
    <col min="15876" max="15876" width="14.5" customWidth="1"/>
    <col min="15877" max="15877" width="11.75" customWidth="1"/>
    <col min="15878" max="15878" width="10.375" customWidth="1"/>
    <col min="15879" max="15879" width="13.375" customWidth="1"/>
    <col min="16128" max="16128" width="9" customWidth="1"/>
    <col min="16129" max="16129" width="7.75" customWidth="1"/>
    <col min="16130" max="16130" width="9.875" customWidth="1"/>
    <col min="16131" max="16131" width="7.75" customWidth="1"/>
    <col min="16132" max="16132" width="14.5" customWidth="1"/>
    <col min="16133" max="16133" width="11.75" customWidth="1"/>
    <col min="16134" max="16134" width="10.375" customWidth="1"/>
    <col min="16135" max="16135" width="13.375" customWidth="1"/>
  </cols>
  <sheetData>
    <row r="1" spans="1:7" ht="27.95" customHeight="1">
      <c r="A1" s="216" t="s">
        <v>465</v>
      </c>
      <c r="B1" s="217"/>
      <c r="C1" s="217"/>
      <c r="D1" s="217"/>
      <c r="E1" s="217"/>
      <c r="F1" s="217"/>
      <c r="G1" s="218"/>
    </row>
    <row r="2" spans="1:7" ht="27.95" customHeight="1">
      <c r="A2" s="120" t="s">
        <v>455</v>
      </c>
      <c r="B2" s="121"/>
      <c r="C2" s="121"/>
      <c r="D2" s="121"/>
      <c r="E2" s="121"/>
      <c r="F2" s="121"/>
      <c r="G2" s="121"/>
    </row>
    <row r="3" spans="1:7" ht="27.95" customHeight="1">
      <c r="A3" s="205" t="s">
        <v>412</v>
      </c>
      <c r="B3" s="202" t="s">
        <v>343</v>
      </c>
      <c r="C3" s="202"/>
      <c r="D3" s="206">
        <v>101.84</v>
      </c>
      <c r="E3" s="207"/>
      <c r="F3" s="207"/>
      <c r="G3" s="208"/>
    </row>
    <row r="4" spans="1:7" ht="27.95" customHeight="1">
      <c r="A4" s="189"/>
      <c r="B4" s="201" t="s">
        <v>413</v>
      </c>
      <c r="C4" s="201"/>
      <c r="D4" s="206">
        <v>101.84</v>
      </c>
      <c r="E4" s="207"/>
      <c r="F4" s="207"/>
      <c r="G4" s="208"/>
    </row>
    <row r="5" spans="1:7" ht="27.95" customHeight="1">
      <c r="A5" s="189"/>
      <c r="B5" s="201" t="s">
        <v>414</v>
      </c>
      <c r="C5" s="201"/>
      <c r="D5" s="206">
        <v>0</v>
      </c>
      <c r="E5" s="207"/>
      <c r="F5" s="207"/>
      <c r="G5" s="208"/>
    </row>
    <row r="6" spans="1:7" ht="27.95" customHeight="1">
      <c r="A6" s="190"/>
      <c r="B6" s="201" t="s">
        <v>415</v>
      </c>
      <c r="C6" s="201"/>
      <c r="D6" s="206">
        <v>0</v>
      </c>
      <c r="E6" s="207"/>
      <c r="F6" s="207"/>
      <c r="G6" s="208"/>
    </row>
    <row r="7" spans="1:7" ht="27.95" customHeight="1">
      <c r="A7" s="131" t="s">
        <v>416</v>
      </c>
      <c r="B7" s="209" t="s">
        <v>417</v>
      </c>
      <c r="C7" s="210"/>
      <c r="D7" s="210"/>
      <c r="E7" s="210"/>
      <c r="F7" s="210"/>
      <c r="G7" s="211"/>
    </row>
    <row r="8" spans="1:7" ht="27.95" customHeight="1">
      <c r="A8" s="201" t="s">
        <v>418</v>
      </c>
      <c r="B8" s="201" t="s">
        <v>419</v>
      </c>
      <c r="C8" s="201"/>
      <c r="D8" s="201"/>
      <c r="E8" s="201" t="s">
        <v>351</v>
      </c>
      <c r="F8" s="201" t="s">
        <v>420</v>
      </c>
      <c r="G8" s="201"/>
    </row>
    <row r="9" spans="1:7" ht="27.95" customHeight="1">
      <c r="A9" s="201"/>
      <c r="B9" s="201"/>
      <c r="C9" s="201"/>
      <c r="D9" s="201"/>
      <c r="E9" s="201"/>
      <c r="F9" s="131" t="s">
        <v>421</v>
      </c>
      <c r="G9" s="131" t="s">
        <v>422</v>
      </c>
    </row>
    <row r="10" spans="1:7" ht="27.95" customHeight="1">
      <c r="A10" s="201"/>
      <c r="B10" s="201" t="s">
        <v>261</v>
      </c>
      <c r="C10" s="132" t="s">
        <v>355</v>
      </c>
      <c r="D10" s="131" t="s">
        <v>356</v>
      </c>
      <c r="E10" s="131" t="s">
        <v>423</v>
      </c>
      <c r="F10" s="133" t="s">
        <v>424</v>
      </c>
      <c r="G10" s="133" t="s">
        <v>425</v>
      </c>
    </row>
    <row r="11" spans="1:7" ht="73.5" customHeight="1">
      <c r="A11" s="201"/>
      <c r="B11" s="201"/>
      <c r="C11" s="189" t="s">
        <v>426</v>
      </c>
      <c r="D11" s="131" t="s">
        <v>356</v>
      </c>
      <c r="E11" s="131" t="s">
        <v>427</v>
      </c>
      <c r="F11" s="134">
        <f>(85.59-51.41)/51.41</f>
        <v>0.66</v>
      </c>
      <c r="G11" s="133" t="s">
        <v>456</v>
      </c>
    </row>
    <row r="12" spans="1:7" ht="63.75" customHeight="1">
      <c r="A12" s="201"/>
      <c r="B12" s="201"/>
      <c r="C12" s="189"/>
      <c r="D12" s="131" t="s">
        <v>364</v>
      </c>
      <c r="E12" s="131" t="s">
        <v>429</v>
      </c>
      <c r="F12" s="134">
        <f>(16.25-13.45)/13.45</f>
        <v>0.21</v>
      </c>
      <c r="G12" s="133" t="s">
        <v>457</v>
      </c>
    </row>
    <row r="13" spans="1:7" ht="52.5" customHeight="1">
      <c r="A13" s="201"/>
      <c r="B13" s="201"/>
      <c r="C13" s="189"/>
      <c r="D13" s="131" t="s">
        <v>367</v>
      </c>
      <c r="E13" s="131" t="s">
        <v>430</v>
      </c>
      <c r="F13" s="134">
        <v>0</v>
      </c>
      <c r="G13" s="134">
        <v>0</v>
      </c>
    </row>
    <row r="14" spans="1:7" ht="27.95" customHeight="1">
      <c r="A14" s="201"/>
      <c r="B14" s="201"/>
      <c r="C14" s="190"/>
      <c r="D14" s="131" t="s">
        <v>369</v>
      </c>
      <c r="E14" s="131" t="s">
        <v>431</v>
      </c>
      <c r="F14" s="134">
        <v>1</v>
      </c>
      <c r="G14" s="134" t="s">
        <v>432</v>
      </c>
    </row>
    <row r="15" spans="1:7" ht="27.95" customHeight="1">
      <c r="A15" s="201"/>
      <c r="B15" s="201" t="s">
        <v>262</v>
      </c>
      <c r="C15" s="205" t="s">
        <v>372</v>
      </c>
      <c r="D15" s="131" t="s">
        <v>356</v>
      </c>
      <c r="E15" s="131" t="s">
        <v>433</v>
      </c>
      <c r="F15" s="134">
        <v>1</v>
      </c>
      <c r="G15" s="134" t="s">
        <v>434</v>
      </c>
    </row>
    <row r="16" spans="1:7" ht="40.5" customHeight="1">
      <c r="A16" s="201"/>
      <c r="B16" s="201"/>
      <c r="C16" s="190"/>
      <c r="D16" s="131" t="s">
        <v>364</v>
      </c>
      <c r="E16" s="131" t="s">
        <v>435</v>
      </c>
      <c r="F16" s="133" t="s">
        <v>458</v>
      </c>
      <c r="G16" s="133" t="s">
        <v>458</v>
      </c>
    </row>
    <row r="17" spans="1:7" ht="27.95" customHeight="1">
      <c r="A17" s="201"/>
      <c r="B17" s="201"/>
      <c r="C17" s="205" t="s">
        <v>377</v>
      </c>
      <c r="D17" s="131" t="s">
        <v>356</v>
      </c>
      <c r="E17" s="131" t="s">
        <v>437</v>
      </c>
      <c r="F17" s="134" t="s">
        <v>438</v>
      </c>
      <c r="G17" s="134" t="s">
        <v>438</v>
      </c>
    </row>
    <row r="18" spans="1:7" ht="27.95" customHeight="1">
      <c r="A18" s="201"/>
      <c r="B18" s="201"/>
      <c r="C18" s="189"/>
      <c r="D18" s="131" t="s">
        <v>364</v>
      </c>
      <c r="E18" s="131" t="s">
        <v>439</v>
      </c>
      <c r="F18" s="133" t="s">
        <v>440</v>
      </c>
      <c r="G18" s="133" t="s">
        <v>440</v>
      </c>
    </row>
    <row r="19" spans="1:7" ht="27.95" customHeight="1">
      <c r="A19" s="201"/>
      <c r="B19" s="201"/>
      <c r="C19" s="190"/>
      <c r="D19" s="131" t="s">
        <v>367</v>
      </c>
      <c r="E19" s="131" t="s">
        <v>441</v>
      </c>
      <c r="F19" s="133" t="s">
        <v>442</v>
      </c>
      <c r="G19" s="133" t="s">
        <v>443</v>
      </c>
    </row>
    <row r="20" spans="1:7" ht="27.95" customHeight="1">
      <c r="A20" s="201"/>
      <c r="B20" s="131" t="s">
        <v>264</v>
      </c>
      <c r="C20" s="135" t="s">
        <v>386</v>
      </c>
      <c r="D20" s="131" t="s">
        <v>356</v>
      </c>
      <c r="E20" s="131" t="s">
        <v>444</v>
      </c>
      <c r="F20" s="134">
        <v>0.95</v>
      </c>
      <c r="G20" s="134" t="s">
        <v>445</v>
      </c>
    </row>
    <row r="21" spans="1:7" ht="27.95" customHeight="1">
      <c r="A21" s="131" t="s">
        <v>446</v>
      </c>
      <c r="B21" s="209" t="s">
        <v>459</v>
      </c>
      <c r="C21" s="210"/>
      <c r="D21" s="210"/>
      <c r="E21" s="210"/>
      <c r="F21" s="210"/>
      <c r="G21" s="211"/>
    </row>
    <row r="22" spans="1:7" ht="27.95" customHeight="1">
      <c r="A22" s="128" t="s">
        <v>447</v>
      </c>
      <c r="B22" s="129"/>
      <c r="C22" s="129"/>
      <c r="D22" s="130" t="s">
        <v>448</v>
      </c>
      <c r="E22" s="129"/>
      <c r="F22" s="128" t="s">
        <v>449</v>
      </c>
      <c r="G22" s="129"/>
    </row>
    <row r="23" spans="1:7" ht="27.95" customHeight="1">
      <c r="A23" s="194" t="s">
        <v>450</v>
      </c>
      <c r="B23" s="194"/>
      <c r="C23" s="194"/>
      <c r="D23" s="194"/>
      <c r="E23" s="194"/>
      <c r="F23" s="194"/>
      <c r="G23" s="194"/>
    </row>
  </sheetData>
  <mergeCells count="22">
    <mergeCell ref="B21:G21"/>
    <mergeCell ref="A23:G23"/>
    <mergeCell ref="B7:G7"/>
    <mergeCell ref="A8:A20"/>
    <mergeCell ref="B8:D9"/>
    <mergeCell ref="E8:E9"/>
    <mergeCell ref="F8:G8"/>
    <mergeCell ref="B10:B14"/>
    <mergeCell ref="C11:C14"/>
    <mergeCell ref="B15:B19"/>
    <mergeCell ref="C15:C16"/>
    <mergeCell ref="C17:C19"/>
    <mergeCell ref="A1:G1"/>
    <mergeCell ref="A3:A6"/>
    <mergeCell ref="B3:C3"/>
    <mergeCell ref="D3:G3"/>
    <mergeCell ref="B4:C4"/>
    <mergeCell ref="D4:G4"/>
    <mergeCell ref="B5:C5"/>
    <mergeCell ref="D5:G5"/>
    <mergeCell ref="B6:C6"/>
    <mergeCell ref="D6:G6"/>
  </mergeCells>
  <phoneticPr fontId="35" type="noConversion"/>
  <pageMargins left="0.31496062992125984" right="0.31496062992125984" top="0.35433070866141736" bottom="0.35433070866141736" header="0.31496062992125984" footer="0.31496062992125984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zoomScaleNormal="100" workbookViewId="0">
      <selection activeCell="C5" sqref="C5"/>
    </sheetView>
  </sheetViews>
  <sheetFormatPr defaultColWidth="8.125" defaultRowHeight="31.5" customHeight="1"/>
  <cols>
    <col min="1" max="1" width="14.375" style="76" customWidth="1"/>
    <col min="2" max="2" width="14.25" style="76" customWidth="1"/>
    <col min="3" max="3" width="29.875" style="76" customWidth="1"/>
    <col min="4" max="4" width="26.5" style="76" customWidth="1"/>
    <col min="5" max="16384" width="8.125" style="76"/>
  </cols>
  <sheetData>
    <row r="1" spans="1:6" ht="27.6" customHeight="1">
      <c r="A1" s="75" t="s">
        <v>276</v>
      </c>
    </row>
    <row r="2" spans="1:6" ht="40.15" customHeight="1">
      <c r="A2" s="212" t="s">
        <v>335</v>
      </c>
      <c r="B2" s="212"/>
      <c r="C2" s="212"/>
      <c r="D2" s="212"/>
    </row>
    <row r="3" spans="1:6" ht="20.25" customHeight="1">
      <c r="A3" s="90" t="s">
        <v>265</v>
      </c>
      <c r="B3" s="213"/>
      <c r="C3" s="213"/>
      <c r="D3" s="213"/>
    </row>
    <row r="4" spans="1:6" ht="87.75" customHeight="1">
      <c r="A4" s="90" t="s">
        <v>266</v>
      </c>
      <c r="B4" s="214" t="s">
        <v>267</v>
      </c>
      <c r="C4" s="214"/>
      <c r="D4" s="214"/>
    </row>
    <row r="5" spans="1:6" ht="23.45" customHeight="1">
      <c r="A5" s="215" t="s">
        <v>260</v>
      </c>
      <c r="B5" s="90" t="s">
        <v>268</v>
      </c>
      <c r="C5" s="90" t="s">
        <v>269</v>
      </c>
      <c r="D5" s="90" t="s">
        <v>270</v>
      </c>
    </row>
    <row r="6" spans="1:6" ht="23.45" customHeight="1">
      <c r="A6" s="215"/>
      <c r="B6" s="195" t="s">
        <v>261</v>
      </c>
      <c r="C6" s="91" t="s">
        <v>271</v>
      </c>
      <c r="D6" s="92"/>
    </row>
    <row r="7" spans="1:6" ht="23.45" customHeight="1">
      <c r="A7" s="215"/>
      <c r="B7" s="189"/>
      <c r="C7" s="91" t="s">
        <v>272</v>
      </c>
      <c r="D7" s="92"/>
    </row>
    <row r="8" spans="1:6" ht="23.45" customHeight="1">
      <c r="A8" s="215"/>
      <c r="B8" s="190"/>
      <c r="C8" s="91" t="s">
        <v>273</v>
      </c>
      <c r="D8" s="92"/>
      <c r="F8" s="74"/>
    </row>
    <row r="9" spans="1:6" ht="23.45" customHeight="1">
      <c r="A9" s="215"/>
      <c r="B9" s="195" t="s">
        <v>262</v>
      </c>
      <c r="C9" s="91" t="s">
        <v>271</v>
      </c>
      <c r="D9" s="92"/>
    </row>
    <row r="10" spans="1:6" ht="23.45" customHeight="1">
      <c r="A10" s="215"/>
      <c r="B10" s="189"/>
      <c r="C10" s="91" t="s">
        <v>272</v>
      </c>
      <c r="D10" s="92"/>
    </row>
    <row r="11" spans="1:6" ht="23.45" customHeight="1">
      <c r="A11" s="215"/>
      <c r="B11" s="190"/>
      <c r="C11" s="91" t="s">
        <v>263</v>
      </c>
      <c r="D11" s="92"/>
    </row>
    <row r="12" spans="1:6" ht="23.45" customHeight="1">
      <c r="A12" s="215"/>
      <c r="B12" s="188" t="s">
        <v>264</v>
      </c>
      <c r="C12" s="91" t="s">
        <v>271</v>
      </c>
      <c r="D12" s="92"/>
    </row>
    <row r="13" spans="1:6" ht="23.45" customHeight="1">
      <c r="A13" s="215"/>
      <c r="B13" s="188"/>
      <c r="C13" s="91" t="s">
        <v>272</v>
      </c>
      <c r="D13" s="92"/>
    </row>
    <row r="14" spans="1:6" ht="23.45" customHeight="1">
      <c r="A14" s="215"/>
      <c r="B14" s="188"/>
      <c r="C14" s="91" t="s">
        <v>263</v>
      </c>
      <c r="D14" s="92"/>
    </row>
    <row r="15" spans="1:6" ht="22.15" customHeight="1">
      <c r="A15" s="181" t="s">
        <v>274</v>
      </c>
      <c r="B15" s="181"/>
      <c r="C15" s="181"/>
      <c r="D15" s="181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10</vt:i4>
      </vt:variant>
    </vt:vector>
  </HeadingPairs>
  <TitlesOfParts>
    <vt:vector size="28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附表3-11（1）</vt:lpstr>
      <vt:lpstr>附表3-11（2）</vt:lpstr>
      <vt:lpstr>附表3-11（3）</vt:lpstr>
      <vt:lpstr>附表3-11（4）</vt:lpstr>
      <vt:lpstr>附表3-11（5）</vt:lpstr>
      <vt:lpstr>附表3-11（6）</vt:lpstr>
      <vt:lpstr>附表3-11（7）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asus</cp:lastModifiedBy>
  <cp:lastPrinted>2019-02-20T08:19:49Z</cp:lastPrinted>
  <dcterms:created xsi:type="dcterms:W3CDTF">2008-01-10T09:59:00Z</dcterms:created>
  <dcterms:modified xsi:type="dcterms:W3CDTF">2019-02-20T08:33:52Z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