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0385" windowHeight="8520"/>
  </bookViews>
  <sheets>
    <sheet name="简表" sheetId="1" r:id="rId1"/>
  </sheets>
  <definedNames>
    <definedName name="_xlnm.Print_Area" localSheetId="0">简表!$A$1:$K$31</definedName>
  </definedNames>
  <calcPr calcId="114210" concurrentCalc="0"/>
</workbook>
</file>

<file path=xl/calcChain.xml><?xml version="1.0" encoding="utf-8"?>
<calcChain xmlns="http://schemas.openxmlformats.org/spreadsheetml/2006/main">
  <c r="E27" i="1"/>
  <c r="E26"/>
  <c r="E23"/>
  <c r="E22"/>
  <c r="E21"/>
  <c r="E20"/>
  <c r="E18"/>
  <c r="E17"/>
  <c r="E16"/>
  <c r="E15"/>
  <c r="E13"/>
  <c r="E11"/>
</calcChain>
</file>

<file path=xl/sharedStrings.xml><?xml version="1.0" encoding="utf-8"?>
<sst xmlns="http://schemas.openxmlformats.org/spreadsheetml/2006/main" count="89" uniqueCount="68">
  <si>
    <t>附件2               平潭综合实验区2018年GDP核算体系相关指标支撑目标任务分解表</t>
  </si>
  <si>
    <t>行业</t>
  </si>
  <si>
    <t>相关指标</t>
  </si>
  <si>
    <t>计量单位</t>
  </si>
  <si>
    <t>本年度目标增速（%）</t>
  </si>
  <si>
    <t>2018年目标数</t>
  </si>
  <si>
    <t>2017年实际增速</t>
  </si>
  <si>
    <t>2017年实绩数</t>
  </si>
  <si>
    <t>责任牵头单位</t>
  </si>
  <si>
    <t>配合单位</t>
  </si>
  <si>
    <t>第一产业</t>
  </si>
  <si>
    <t>蔬菜产量</t>
  </si>
  <si>
    <t>吨</t>
  </si>
  <si>
    <t>区农发局</t>
  </si>
  <si>
    <t>各乡镇人民政府</t>
  </si>
  <si>
    <t>粮食产量</t>
  </si>
  <si>
    <t>林业产值</t>
  </si>
  <si>
    <t>万元</t>
  </si>
  <si>
    <t>肉类产量</t>
  </si>
  <si>
    <t>禽蛋产量</t>
  </si>
  <si>
    <t>水产品总产量</t>
  </si>
  <si>
    <t>第二产业</t>
  </si>
  <si>
    <t>工业</t>
  </si>
  <si>
    <t>规上工业产值</t>
  </si>
  <si>
    <t>亿元</t>
  </si>
  <si>
    <t>区经发局</t>
  </si>
  <si>
    <t>规上工业增加值</t>
  </si>
  <si>
    <t>建筑业</t>
  </si>
  <si>
    <t>建筑业产值</t>
  </si>
  <si>
    <t>区交建局</t>
  </si>
  <si>
    <t>第三产业</t>
  </si>
  <si>
    <t>交通运输、仓储和邮政业</t>
  </si>
  <si>
    <t>公路运输总周转量</t>
  </si>
  <si>
    <t>万吨公里</t>
  </si>
  <si>
    <t>水上运输总周转量</t>
  </si>
  <si>
    <t>亿吨公里</t>
  </si>
  <si>
    <t xml:space="preserve">  批发和零售业</t>
  </si>
  <si>
    <t>批发业商品销售总额</t>
  </si>
  <si>
    <t>旅发委、各乡镇</t>
  </si>
  <si>
    <t>零售业商品销售总额</t>
  </si>
  <si>
    <t xml:space="preserve">  住宿和餐饮业</t>
  </si>
  <si>
    <t>住宿业营业额</t>
  </si>
  <si>
    <t>餐饮业营业额</t>
  </si>
  <si>
    <t>金融业</t>
  </si>
  <si>
    <t>人民币存贷款余额</t>
  </si>
  <si>
    <t>金融办</t>
  </si>
  <si>
    <t>区人行</t>
  </si>
  <si>
    <t>房地产业</t>
  </si>
  <si>
    <t>商品房销售面积</t>
  </si>
  <si>
    <t>万平方米</t>
  </si>
  <si>
    <t>区环土局</t>
  </si>
  <si>
    <t>营利性服务业</t>
  </si>
  <si>
    <t>其他营利性服务业营业收入</t>
  </si>
  <si>
    <t>见附件3</t>
  </si>
  <si>
    <t xml:space="preserve">  #总部经济</t>
  </si>
  <si>
    <t>区财金局</t>
  </si>
  <si>
    <t>区经发局、交建局、金融办</t>
  </si>
  <si>
    <t xml:space="preserve">   不含总部经济</t>
  </si>
  <si>
    <t>通信业务总量</t>
  </si>
  <si>
    <t>区通管办</t>
  </si>
  <si>
    <t>电信、移动、联通</t>
  </si>
  <si>
    <t>非营利性服务业</t>
  </si>
  <si>
    <t>一般公共服务支出、公共安全支出、教育支出、科学技术支出、社会保障和就业支出、医疗卫生与计划生育支出、节能环保支出及城乡社区支出</t>
  </si>
  <si>
    <t>区全部行政事业单位</t>
  </si>
  <si>
    <t>备注：1、由于2017年度核算年报未定，各行业调整系数、价格缩减指数及行业变动趋势等暂时无法确定或判断，故上述目标增速均为暂定数据，需待相关情况比较明晰时再行调整。</t>
  </si>
  <si>
    <t xml:space="preserve">      3、人民币存贷款余额=人民币存款余额＋人民币贷款余额；</t>
  </si>
  <si>
    <t xml:space="preserve">      2、公路运输总周转量＝公路货物周转量＋（公路旅客周转量÷10）
         水路运输总周转量＝水路货运周转量＋（水路客运周转量÷2）</t>
    <phoneticPr fontId="4" type="noConversion"/>
  </si>
  <si>
    <t xml:space="preserve">         人民币存贷款余额增长速度＝{人民币存款余额增长速度×［人民币存款余额÷（人民币存款余额＋人民币贷款余额）］}
                                   ＋ {人民币贷款余额增长速度×［人民币贷款余额÷（人民币存款余额＋人民币贷款余额）］}</t>
    <phoneticPr fontId="4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</si>
</sst>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_ "/>
    <numFmt numFmtId="178" formatCode="0.0_ "/>
  </numFmts>
  <fonts count="5">
    <font>
      <sz val="12"/>
      <name val="宋体"/>
      <charset val="134"/>
    </font>
    <font>
      <b/>
      <sz val="22"/>
      <name val="方正小标宋简体"/>
      <charset val="134"/>
    </font>
    <font>
      <b/>
      <sz val="14"/>
      <name val="仿宋_GB2312"/>
      <family val="3"/>
      <charset val="134"/>
    </font>
    <font>
      <sz val="14"/>
      <name val="仿宋_GB2312"/>
      <family val="3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right" vertical="center" wrapText="1"/>
    </xf>
    <xf numFmtId="177" fontId="3" fillId="0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 applyProtection="1">
      <alignment horizontal="left" vertical="center" wrapText="1"/>
      <protection locked="0"/>
    </xf>
    <xf numFmtId="178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Border="1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left" vertical="center" wrapText="1"/>
    </xf>
    <xf numFmtId="178" fontId="1" fillId="0" borderId="1" xfId="0" applyNumberFormat="1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178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1"/>
  <sheetViews>
    <sheetView tabSelected="1" view="pageBreakPreview" topLeftCell="A19" zoomScaleNormal="100" zoomScaleSheetLayoutView="100" workbookViewId="0">
      <selection activeCell="A30" sqref="A30:I30"/>
    </sheetView>
  </sheetViews>
  <sheetFormatPr defaultColWidth="9" defaultRowHeight="14.25"/>
  <cols>
    <col min="1" max="1" width="34.125" customWidth="1"/>
    <col min="2" max="2" width="30.875" customWidth="1"/>
    <col min="3" max="3" width="13.125" customWidth="1"/>
    <col min="4" max="4" width="16.25" customWidth="1"/>
    <col min="5" max="5" width="18.5" customWidth="1"/>
    <col min="6" max="6" width="19.625" customWidth="1"/>
    <col min="7" max="7" width="17.875" customWidth="1"/>
    <col min="8" max="8" width="18.625" customWidth="1"/>
    <col min="9" max="9" width="23.625" customWidth="1"/>
    <col min="10" max="10" width="21.5" customWidth="1"/>
  </cols>
  <sheetData>
    <row r="1" spans="1:10" ht="28.5">
      <c r="A1" s="18" t="s">
        <v>0</v>
      </c>
      <c r="B1" s="18"/>
      <c r="C1" s="18"/>
      <c r="D1" s="19"/>
      <c r="E1" s="18"/>
      <c r="F1" s="18"/>
      <c r="G1" s="18"/>
      <c r="H1" s="18"/>
      <c r="I1" s="18"/>
    </row>
    <row r="2" spans="1:10" ht="21.95" customHeight="1">
      <c r="A2" s="15" t="s">
        <v>1</v>
      </c>
      <c r="B2" s="15" t="s">
        <v>2</v>
      </c>
      <c r="C2" s="15" t="s">
        <v>3</v>
      </c>
      <c r="D2" s="20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4"/>
    </row>
    <row r="3" spans="1:10" ht="21.95" customHeight="1">
      <c r="A3" s="15"/>
      <c r="B3" s="15"/>
      <c r="C3" s="15"/>
      <c r="D3" s="20"/>
      <c r="E3" s="15"/>
      <c r="F3" s="15"/>
      <c r="G3" s="15"/>
      <c r="H3" s="15"/>
      <c r="I3" s="15"/>
      <c r="J3" s="14"/>
    </row>
    <row r="4" spans="1:10" ht="18.75">
      <c r="A4" s="15" t="s">
        <v>10</v>
      </c>
      <c r="B4" s="2" t="s">
        <v>11</v>
      </c>
      <c r="C4" s="3" t="s">
        <v>12</v>
      </c>
      <c r="D4" s="4">
        <v>2</v>
      </c>
      <c r="E4" s="5">
        <v>61300</v>
      </c>
      <c r="F4" s="6">
        <v>-8.4</v>
      </c>
      <c r="G4" s="6">
        <v>60068</v>
      </c>
      <c r="H4" s="16" t="s">
        <v>13</v>
      </c>
      <c r="I4" s="16" t="s">
        <v>14</v>
      </c>
      <c r="J4" s="14"/>
    </row>
    <row r="5" spans="1:10" ht="18.75">
      <c r="A5" s="15"/>
      <c r="B5" s="2" t="s">
        <v>15</v>
      </c>
      <c r="C5" s="3" t="s">
        <v>12</v>
      </c>
      <c r="D5" s="4">
        <v>2</v>
      </c>
      <c r="E5" s="5">
        <v>20700</v>
      </c>
      <c r="F5" s="6">
        <v>-8.6999999999999993</v>
      </c>
      <c r="G5" s="6">
        <v>20301</v>
      </c>
      <c r="H5" s="16"/>
      <c r="I5" s="16"/>
      <c r="J5" s="14"/>
    </row>
    <row r="6" spans="1:10" ht="18.75">
      <c r="A6" s="15"/>
      <c r="B6" s="2" t="s">
        <v>16</v>
      </c>
      <c r="C6" s="3" t="s">
        <v>17</v>
      </c>
      <c r="D6" s="4">
        <v>30</v>
      </c>
      <c r="E6" s="5">
        <v>1050</v>
      </c>
      <c r="F6" s="6">
        <v>285.5</v>
      </c>
      <c r="G6" s="5">
        <v>805</v>
      </c>
      <c r="H6" s="16"/>
      <c r="I6" s="16"/>
      <c r="J6" s="14"/>
    </row>
    <row r="7" spans="1:10" ht="18.75">
      <c r="A7" s="15"/>
      <c r="B7" s="2" t="s">
        <v>18</v>
      </c>
      <c r="C7" s="3" t="s">
        <v>12</v>
      </c>
      <c r="D7" s="4">
        <v>0</v>
      </c>
      <c r="E7" s="5">
        <v>12800</v>
      </c>
      <c r="F7" s="6">
        <v>-18.7</v>
      </c>
      <c r="G7" s="6">
        <v>12774</v>
      </c>
      <c r="H7" s="16"/>
      <c r="I7" s="16"/>
      <c r="J7" s="14"/>
    </row>
    <row r="8" spans="1:10" ht="18.75">
      <c r="A8" s="15"/>
      <c r="B8" s="2" t="s">
        <v>19</v>
      </c>
      <c r="C8" s="3" t="s">
        <v>12</v>
      </c>
      <c r="D8" s="4">
        <v>0.6</v>
      </c>
      <c r="E8" s="5">
        <v>8630</v>
      </c>
      <c r="F8" s="6">
        <v>-7.6</v>
      </c>
      <c r="G8" s="6">
        <v>8578</v>
      </c>
      <c r="H8" s="16"/>
      <c r="I8" s="16"/>
      <c r="J8" s="14"/>
    </row>
    <row r="9" spans="1:10" ht="18.75">
      <c r="A9" s="15"/>
      <c r="B9" s="2" t="s">
        <v>20</v>
      </c>
      <c r="C9" s="3" t="s">
        <v>12</v>
      </c>
      <c r="D9" s="4">
        <v>3</v>
      </c>
      <c r="E9" s="5">
        <v>421000</v>
      </c>
      <c r="F9" s="6">
        <v>2.5</v>
      </c>
      <c r="G9" s="6">
        <v>408909</v>
      </c>
      <c r="H9" s="16"/>
      <c r="I9" s="16"/>
      <c r="J9" s="14"/>
    </row>
    <row r="10" spans="1:10" ht="18.75">
      <c r="A10" s="1" t="s">
        <v>21</v>
      </c>
      <c r="B10" s="7"/>
      <c r="C10" s="1"/>
      <c r="D10" s="8"/>
      <c r="E10" s="5"/>
      <c r="F10" s="9"/>
      <c r="G10" s="9"/>
      <c r="H10" s="3"/>
      <c r="I10" s="3"/>
      <c r="J10" s="14"/>
    </row>
    <row r="11" spans="1:10" ht="18.75">
      <c r="A11" s="16" t="s">
        <v>22</v>
      </c>
      <c r="B11" s="2" t="s">
        <v>23</v>
      </c>
      <c r="C11" s="3" t="s">
        <v>24</v>
      </c>
      <c r="D11" s="4">
        <v>0</v>
      </c>
      <c r="E11" s="4">
        <f>G11*(1+D11/100)</f>
        <v>24.04</v>
      </c>
      <c r="F11" s="6">
        <v>-19.2</v>
      </c>
      <c r="G11" s="4">
        <v>24.04</v>
      </c>
      <c r="H11" s="16" t="s">
        <v>25</v>
      </c>
      <c r="I11" s="16"/>
      <c r="J11" s="14"/>
    </row>
    <row r="12" spans="1:10" ht="18.75">
      <c r="A12" s="16"/>
      <c r="B12" s="2" t="s">
        <v>26</v>
      </c>
      <c r="C12" s="3" t="s">
        <v>24</v>
      </c>
      <c r="D12" s="4">
        <v>0</v>
      </c>
      <c r="E12" s="4">
        <v>6.68</v>
      </c>
      <c r="F12" s="6">
        <v>-20.100000000000001</v>
      </c>
      <c r="G12" s="4">
        <v>6.68</v>
      </c>
      <c r="H12" s="16"/>
      <c r="I12" s="16"/>
      <c r="J12" s="14"/>
    </row>
    <row r="13" spans="1:10" ht="18.75">
      <c r="A13" s="3" t="s">
        <v>27</v>
      </c>
      <c r="B13" s="2" t="s">
        <v>28</v>
      </c>
      <c r="C13" s="3" t="s">
        <v>24</v>
      </c>
      <c r="D13" s="4">
        <v>10</v>
      </c>
      <c r="E13" s="4">
        <f>G13*(1+D13/100)</f>
        <v>182.24800000000002</v>
      </c>
      <c r="F13" s="4">
        <v>7</v>
      </c>
      <c r="G13" s="4">
        <v>165.68</v>
      </c>
      <c r="H13" s="3" t="s">
        <v>29</v>
      </c>
      <c r="I13" s="3"/>
      <c r="J13" s="14"/>
    </row>
    <row r="14" spans="1:10" ht="18.75">
      <c r="A14" s="1" t="s">
        <v>30</v>
      </c>
      <c r="B14" s="7"/>
      <c r="C14" s="1"/>
      <c r="D14" s="8"/>
      <c r="E14" s="10"/>
      <c r="F14" s="9"/>
      <c r="G14" s="9"/>
      <c r="H14" s="3"/>
      <c r="I14" s="3"/>
      <c r="J14" s="14"/>
    </row>
    <row r="15" spans="1:10" ht="18.75">
      <c r="A15" s="17" t="s">
        <v>31</v>
      </c>
      <c r="B15" s="12" t="s">
        <v>32</v>
      </c>
      <c r="C15" s="11" t="s">
        <v>33</v>
      </c>
      <c r="D15" s="13">
        <v>12</v>
      </c>
      <c r="E15" s="5">
        <f>G15*(1+D15/100)</f>
        <v>48412.772800000006</v>
      </c>
      <c r="F15" s="5">
        <v>9.1300000000000008</v>
      </c>
      <c r="G15" s="5">
        <v>43225.69</v>
      </c>
      <c r="H15" s="16" t="s">
        <v>29</v>
      </c>
      <c r="I15" s="16"/>
      <c r="J15" s="14"/>
    </row>
    <row r="16" spans="1:10" ht="18.75">
      <c r="A16" s="17"/>
      <c r="B16" s="12" t="s">
        <v>34</v>
      </c>
      <c r="C16" s="11" t="s">
        <v>35</v>
      </c>
      <c r="D16" s="13">
        <v>35</v>
      </c>
      <c r="E16" s="4">
        <f>G16*(1+D16/100)</f>
        <v>373.90950000000004</v>
      </c>
      <c r="F16" s="13">
        <v>46.48</v>
      </c>
      <c r="G16" s="13">
        <v>276.97000000000003</v>
      </c>
      <c r="H16" s="16"/>
      <c r="I16" s="16"/>
      <c r="J16" s="14"/>
    </row>
    <row r="17" spans="1:10" ht="18.75">
      <c r="A17" s="16" t="s">
        <v>36</v>
      </c>
      <c r="B17" s="2" t="s">
        <v>37</v>
      </c>
      <c r="C17" s="3" t="s">
        <v>24</v>
      </c>
      <c r="D17" s="4">
        <v>12</v>
      </c>
      <c r="E17" s="4">
        <f>G17*(1+D17/100)</f>
        <v>54.924800000000005</v>
      </c>
      <c r="F17" s="4">
        <v>18</v>
      </c>
      <c r="G17" s="4">
        <v>49.04</v>
      </c>
      <c r="H17" s="16" t="s">
        <v>25</v>
      </c>
      <c r="I17" s="16" t="s">
        <v>38</v>
      </c>
      <c r="J17" s="14"/>
    </row>
    <row r="18" spans="1:10" ht="18.75">
      <c r="A18" s="16"/>
      <c r="B18" s="2" t="s">
        <v>39</v>
      </c>
      <c r="C18" s="3" t="s">
        <v>24</v>
      </c>
      <c r="D18" s="4">
        <v>10</v>
      </c>
      <c r="E18" s="4">
        <f>G18*(1+D18/100)</f>
        <v>57.706000000000003</v>
      </c>
      <c r="F18" s="4">
        <v>10</v>
      </c>
      <c r="G18" s="4">
        <v>52.46</v>
      </c>
      <c r="H18" s="16"/>
      <c r="I18" s="16"/>
      <c r="J18" s="14"/>
    </row>
    <row r="19" spans="1:10" ht="18.75">
      <c r="A19" s="16" t="s">
        <v>40</v>
      </c>
      <c r="B19" s="2" t="s">
        <v>41</v>
      </c>
      <c r="C19" s="3" t="s">
        <v>24</v>
      </c>
      <c r="D19" s="4">
        <v>20</v>
      </c>
      <c r="E19" s="4">
        <v>2.5299999999999998</v>
      </c>
      <c r="F19" s="4">
        <v>27</v>
      </c>
      <c r="G19" s="4">
        <v>2.14</v>
      </c>
      <c r="H19" s="16"/>
      <c r="I19" s="16"/>
      <c r="J19" s="14"/>
    </row>
    <row r="20" spans="1:10" ht="18.75">
      <c r="A20" s="16"/>
      <c r="B20" s="2" t="s">
        <v>42</v>
      </c>
      <c r="C20" s="3" t="s">
        <v>24</v>
      </c>
      <c r="D20" s="4">
        <v>12</v>
      </c>
      <c r="E20" s="4">
        <f>G20*(1+D20/100)</f>
        <v>9.3184000000000005</v>
      </c>
      <c r="F20" s="4">
        <v>7</v>
      </c>
      <c r="G20" s="4">
        <v>8.32</v>
      </c>
      <c r="H20" s="16"/>
      <c r="I20" s="16"/>
      <c r="J20" s="14"/>
    </row>
    <row r="21" spans="1:10" ht="18.75">
      <c r="A21" s="3" t="s">
        <v>43</v>
      </c>
      <c r="B21" s="2" t="s">
        <v>44</v>
      </c>
      <c r="C21" s="3" t="s">
        <v>24</v>
      </c>
      <c r="D21" s="4">
        <v>15</v>
      </c>
      <c r="E21" s="4">
        <f>G21*(1+D21/100)</f>
        <v>849.15999999999985</v>
      </c>
      <c r="F21" s="4">
        <v>10</v>
      </c>
      <c r="G21" s="4">
        <v>738.4</v>
      </c>
      <c r="H21" s="3" t="s">
        <v>45</v>
      </c>
      <c r="I21" s="3" t="s">
        <v>46</v>
      </c>
      <c r="J21" s="14"/>
    </row>
    <row r="22" spans="1:10" ht="18.75">
      <c r="A22" s="3" t="s">
        <v>47</v>
      </c>
      <c r="B22" s="2" t="s">
        <v>48</v>
      </c>
      <c r="C22" s="3" t="s">
        <v>49</v>
      </c>
      <c r="D22" s="4">
        <v>20</v>
      </c>
      <c r="E22" s="4">
        <f>G22*(1+D22/100)</f>
        <v>108</v>
      </c>
      <c r="F22" s="4">
        <v>-1.8</v>
      </c>
      <c r="G22" s="4">
        <v>90</v>
      </c>
      <c r="H22" s="3" t="s">
        <v>50</v>
      </c>
      <c r="I22" s="3"/>
      <c r="J22" s="14"/>
    </row>
    <row r="23" spans="1:10" ht="18.75">
      <c r="A23" s="16" t="s">
        <v>51</v>
      </c>
      <c r="B23" s="2" t="s">
        <v>52</v>
      </c>
      <c r="C23" s="3" t="s">
        <v>24</v>
      </c>
      <c r="D23" s="4">
        <v>64</v>
      </c>
      <c r="E23" s="4">
        <f>G23*(1+D23/100)</f>
        <v>123.00000000000001</v>
      </c>
      <c r="F23" s="4">
        <v>12.6</v>
      </c>
      <c r="G23" s="4">
        <v>75</v>
      </c>
      <c r="H23" s="3" t="s">
        <v>53</v>
      </c>
      <c r="I23" s="3"/>
      <c r="J23" s="14"/>
    </row>
    <row r="24" spans="1:10" ht="37.5">
      <c r="A24" s="16"/>
      <c r="B24" s="2" t="s">
        <v>54</v>
      </c>
      <c r="C24" s="3" t="s">
        <v>24</v>
      </c>
      <c r="D24" s="4">
        <v>56.2</v>
      </c>
      <c r="E24" s="4">
        <v>114</v>
      </c>
      <c r="F24" s="4">
        <v>12.7</v>
      </c>
      <c r="G24" s="4">
        <v>73</v>
      </c>
      <c r="H24" s="3" t="s">
        <v>55</v>
      </c>
      <c r="I24" s="3" t="s">
        <v>56</v>
      </c>
      <c r="J24" s="14"/>
    </row>
    <row r="25" spans="1:10" ht="18.75">
      <c r="A25" s="16"/>
      <c r="B25" s="2" t="s">
        <v>57</v>
      </c>
      <c r="C25" s="3" t="s">
        <v>24</v>
      </c>
      <c r="D25" s="4">
        <v>350</v>
      </c>
      <c r="E25" s="4">
        <v>9</v>
      </c>
      <c r="F25" s="4">
        <v>11.1</v>
      </c>
      <c r="G25" s="4">
        <v>2</v>
      </c>
      <c r="H25" s="3" t="s">
        <v>53</v>
      </c>
      <c r="I25" s="3" t="s">
        <v>53</v>
      </c>
      <c r="J25" s="14"/>
    </row>
    <row r="26" spans="1:10" ht="18.75">
      <c r="A26" s="16"/>
      <c r="B26" s="2" t="s">
        <v>58</v>
      </c>
      <c r="C26" s="3" t="s">
        <v>24</v>
      </c>
      <c r="D26" s="4">
        <v>45</v>
      </c>
      <c r="E26" s="4">
        <f>G26*(1+D26/100)</f>
        <v>10.121</v>
      </c>
      <c r="F26" s="4">
        <v>71</v>
      </c>
      <c r="G26" s="4">
        <v>6.98</v>
      </c>
      <c r="H26" s="3" t="s">
        <v>59</v>
      </c>
      <c r="I26" s="3" t="s">
        <v>60</v>
      </c>
      <c r="J26" s="14"/>
    </row>
    <row r="27" spans="1:10" ht="112.5">
      <c r="A27" s="3" t="s">
        <v>61</v>
      </c>
      <c r="B27" s="2" t="s">
        <v>62</v>
      </c>
      <c r="C27" s="3" t="s">
        <v>24</v>
      </c>
      <c r="D27" s="4">
        <v>5</v>
      </c>
      <c r="E27" s="4">
        <f>G27*(1+D27/100)</f>
        <v>66.570000000000007</v>
      </c>
      <c r="F27" s="4">
        <v>2</v>
      </c>
      <c r="G27" s="4">
        <v>63.4</v>
      </c>
      <c r="H27" s="3" t="s">
        <v>55</v>
      </c>
      <c r="I27" s="3" t="s">
        <v>63</v>
      </c>
      <c r="J27" s="14"/>
    </row>
    <row r="28" spans="1:10" ht="18.75">
      <c r="A28" s="22" t="s">
        <v>64</v>
      </c>
      <c r="B28" s="22"/>
      <c r="C28" s="22"/>
      <c r="D28" s="22"/>
      <c r="E28" s="22"/>
      <c r="F28" s="22"/>
      <c r="G28" s="22"/>
      <c r="H28" s="22"/>
      <c r="I28" s="22"/>
    </row>
    <row r="29" spans="1:10" ht="38.25" customHeight="1">
      <c r="A29" s="21" t="s">
        <v>66</v>
      </c>
      <c r="B29" s="21"/>
      <c r="C29" s="21"/>
      <c r="D29" s="23"/>
      <c r="E29" s="24"/>
      <c r="F29" s="24"/>
      <c r="G29" s="24"/>
      <c r="H29" s="21"/>
      <c r="I29" s="21"/>
    </row>
    <row r="30" spans="1:10" ht="18.75" customHeight="1">
      <c r="A30" s="21" t="s">
        <v>65</v>
      </c>
      <c r="B30" s="21"/>
      <c r="C30" s="21"/>
      <c r="D30" s="21"/>
      <c r="E30" s="21"/>
      <c r="F30" s="21"/>
      <c r="G30" s="21"/>
      <c r="H30" s="21"/>
      <c r="I30" s="21"/>
    </row>
    <row r="31" spans="1:10" ht="42.75" customHeight="1">
      <c r="A31" s="21" t="s">
        <v>67</v>
      </c>
      <c r="B31" s="21"/>
      <c r="C31" s="21"/>
      <c r="D31" s="21"/>
      <c r="E31" s="21"/>
      <c r="F31" s="21"/>
      <c r="G31" s="21"/>
      <c r="H31" s="21"/>
      <c r="I31" s="21"/>
    </row>
  </sheetData>
  <mergeCells count="28">
    <mergeCell ref="A30:I30"/>
    <mergeCell ref="A31:I31"/>
    <mergeCell ref="A23:A26"/>
    <mergeCell ref="H15:H16"/>
    <mergeCell ref="H17:H20"/>
    <mergeCell ref="A17:A18"/>
    <mergeCell ref="A19:A20"/>
    <mergeCell ref="A28:I28"/>
    <mergeCell ref="A29:I29"/>
    <mergeCell ref="I15:I16"/>
    <mergeCell ref="A1:I1"/>
    <mergeCell ref="I2:I3"/>
    <mergeCell ref="C2:C3"/>
    <mergeCell ref="D2:D3"/>
    <mergeCell ref="E2:E3"/>
    <mergeCell ref="F2:F3"/>
    <mergeCell ref="G2:G3"/>
    <mergeCell ref="H2:H3"/>
    <mergeCell ref="A2:A3"/>
    <mergeCell ref="A4:A9"/>
    <mergeCell ref="A11:A12"/>
    <mergeCell ref="A15:A16"/>
    <mergeCell ref="I17:I20"/>
    <mergeCell ref="B2:B3"/>
    <mergeCell ref="H4:H9"/>
    <mergeCell ref="H11:H12"/>
    <mergeCell ref="I4:I9"/>
    <mergeCell ref="I11:I12"/>
  </mergeCells>
  <phoneticPr fontId="4" type="noConversion"/>
  <pageMargins left="0.42" right="0.17" top="0.3" bottom="0.70763888888888904" header="0.17" footer="0.70763888888888904"/>
  <pageSetup paperSize="9" scale="67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简表</vt:lpstr>
      <vt:lpstr>简表!Print_Area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2018-03-05T03:53:57Z</cp:lastPrinted>
  <dcterms:created xsi:type="dcterms:W3CDTF">2018-02-26T00:53:00Z</dcterms:created>
  <dcterms:modified xsi:type="dcterms:W3CDTF">2018-03-05T03:54:01Z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