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附件1" sheetId="1" r:id="rId1"/>
    <sheet name="附件2" sheetId="3" r:id="rId2"/>
    <sheet name="附件2-1" sheetId="5" r:id="rId3"/>
    <sheet name="附件2-1-1" sheetId="10" r:id="rId4"/>
    <sheet name="附件2-1-2 " sheetId="28" r:id="rId5"/>
    <sheet name="附件2-1-3" sheetId="12" r:id="rId6"/>
    <sheet name="附件2-1-4" sheetId="13" r:id="rId7"/>
    <sheet name="附件2-1-5" sheetId="14" r:id="rId8"/>
    <sheet name="附件2-1-6" sheetId="15" r:id="rId9"/>
    <sheet name="附件2-1-7" sheetId="16" r:id="rId10"/>
    <sheet name="附件2-1-8" sheetId="24" r:id="rId11"/>
    <sheet name="附件2-1-9" sheetId="25" r:id="rId12"/>
    <sheet name="附件2-1-10" sheetId="20" r:id="rId13"/>
    <sheet name="附件2-1-11" sheetId="21" r:id="rId14"/>
    <sheet name="附件2-1-12" sheetId="22" r:id="rId15"/>
    <sheet name="附件2-1-13" sheetId="23" r:id="rId16"/>
    <sheet name="附件2-2" sheetId="7" r:id="rId17"/>
    <sheet name="附件2-3" sheetId="8" r:id="rId18"/>
    <sheet name="附件2-4" sheetId="9" r:id="rId19"/>
    <sheet name="附件2-5" sheetId="26" r:id="rId20"/>
  </sheets>
  <definedNames>
    <definedName name="_xlnm._FilterDatabase" localSheetId="2" hidden="1">'附件2-1'!$Q$4:$AF$20</definedName>
    <definedName name="_xlnm.Print_Area" localSheetId="1">附件2!$A$1:$Q$23</definedName>
    <definedName name="_xlnm._FilterDatabase" localSheetId="0" hidden="1">附件1!$A$6:$K$22</definedName>
  </definedNames>
  <calcPr calcId="144525"/>
</workbook>
</file>

<file path=xl/sharedStrings.xml><?xml version="1.0" encoding="utf-8"?>
<sst xmlns="http://schemas.openxmlformats.org/spreadsheetml/2006/main" count="615" uniqueCount="218">
  <si>
    <t>附件1</t>
  </si>
  <si>
    <t>基本公共卫生服务项目经费2022年预拨及2021年结算表</t>
  </si>
  <si>
    <t>单位:元</t>
  </si>
  <si>
    <t>序号</t>
  </si>
  <si>
    <t>单   位</t>
  </si>
  <si>
    <t>服务人口           （人）</t>
  </si>
  <si>
    <t>2022年预拨</t>
  </si>
  <si>
    <t>2021年结算</t>
  </si>
  <si>
    <t>本次实际拨付金额</t>
  </si>
  <si>
    <t>备注</t>
  </si>
  <si>
    <t>2022年预拨标准
（元/人）</t>
  </si>
  <si>
    <t>2022年预拨金额</t>
  </si>
  <si>
    <t>2021年结算金额</t>
  </si>
  <si>
    <t>已预拨金额</t>
  </si>
  <si>
    <t>本次结算金额</t>
  </si>
  <si>
    <t>省级补助</t>
  </si>
  <si>
    <t>区级补助</t>
  </si>
  <si>
    <t>1</t>
  </si>
  <si>
    <t>潭城镇社区卫生服务中心</t>
  </si>
  <si>
    <t>2</t>
  </si>
  <si>
    <t>屿头乡卫生院</t>
  </si>
  <si>
    <t>3</t>
  </si>
  <si>
    <t>大练乡卫生院</t>
  </si>
  <si>
    <t>4</t>
  </si>
  <si>
    <t>苏澳镇卫生院</t>
  </si>
  <si>
    <t>5</t>
  </si>
  <si>
    <t>平原镇卫生院</t>
  </si>
  <si>
    <t>6</t>
  </si>
  <si>
    <t>白青乡卫生院</t>
  </si>
  <si>
    <t>7</t>
  </si>
  <si>
    <t>中楼乡卫生院</t>
  </si>
  <si>
    <t>8</t>
  </si>
  <si>
    <t>流水镇中心卫生院</t>
  </si>
  <si>
    <t>9</t>
  </si>
  <si>
    <t>东庠乡卫生院</t>
  </si>
  <si>
    <t>10</t>
  </si>
  <si>
    <t>岚城乡卫生院</t>
  </si>
  <si>
    <t>11</t>
  </si>
  <si>
    <t>澳前镇卫生院</t>
  </si>
  <si>
    <t>12</t>
  </si>
  <si>
    <t>北厝镇卫生院</t>
  </si>
  <si>
    <t>13</t>
  </si>
  <si>
    <t>敖东镇中心卫生院</t>
  </si>
  <si>
    <t>14</t>
  </si>
  <si>
    <t>南海乡卫生院</t>
  </si>
  <si>
    <t>15</t>
  </si>
  <si>
    <t>塘屿卫生院</t>
  </si>
  <si>
    <t>16</t>
  </si>
  <si>
    <t>区医院</t>
  </si>
  <si>
    <t>孕产妇系统录入</t>
  </si>
  <si>
    <t>合    计</t>
  </si>
  <si>
    <t>附件2</t>
  </si>
  <si>
    <t>2021年基本公共卫生服务项目补助结算表</t>
  </si>
  <si>
    <t>单位：元</t>
  </si>
  <si>
    <t>单位</t>
  </si>
  <si>
    <t>基本情况</t>
  </si>
  <si>
    <t>结算金额</t>
  </si>
  <si>
    <t>辖区内常住居民数
（人）</t>
  </si>
  <si>
    <t>承担公共卫生的村卫生所数</t>
  </si>
  <si>
    <t>空白村数（含邻近代管）</t>
  </si>
  <si>
    <t>应补助村卫生所个数</t>
  </si>
  <si>
    <t>补助村所数</t>
  </si>
  <si>
    <t>全年平均家庭签约人数
（人）</t>
  </si>
  <si>
    <t>绩效考核评价分数</t>
  </si>
  <si>
    <r>
      <t xml:space="preserve">基本公共卫生服务量补助
</t>
    </r>
    <r>
      <rPr>
        <sz val="10"/>
        <rFont val="仿宋_GB2312"/>
        <charset val="134"/>
      </rPr>
      <t>（附件2-1）</t>
    </r>
  </si>
  <si>
    <r>
      <t xml:space="preserve">基本公共卫生疫情防控经费补助
</t>
    </r>
    <r>
      <rPr>
        <sz val="10"/>
        <rFont val="仿宋_GB2312"/>
        <charset val="134"/>
      </rPr>
      <t>（附件2-2）</t>
    </r>
  </si>
  <si>
    <r>
      <t xml:space="preserve">基本公共卫生考核名次奖惩
</t>
    </r>
    <r>
      <rPr>
        <sz val="10"/>
        <rFont val="仿宋_GB2312"/>
        <charset val="134"/>
      </rPr>
      <t>（附件2-3）</t>
    </r>
  </si>
  <si>
    <r>
      <t xml:space="preserve">家庭医生签约服务补助
</t>
    </r>
    <r>
      <rPr>
        <sz val="10"/>
        <rFont val="仿宋_GB2312"/>
        <charset val="134"/>
      </rPr>
      <t>（附件2-4）</t>
    </r>
  </si>
  <si>
    <r>
      <t xml:space="preserve">基本公共卫生考核分数补助
</t>
    </r>
    <r>
      <rPr>
        <sz val="10"/>
        <rFont val="仿宋_GB2312"/>
        <charset val="134"/>
      </rPr>
      <t>（附件2-5）</t>
    </r>
  </si>
  <si>
    <t>定项目补助</t>
  </si>
  <si>
    <t>结算金额合计</t>
  </si>
  <si>
    <t>第一名</t>
  </si>
  <si>
    <t>第三名</t>
  </si>
  <si>
    <t>第二名</t>
  </si>
  <si>
    <t>最后一名</t>
  </si>
  <si>
    <t>合计</t>
  </si>
  <si>
    <t>附件2-1</t>
  </si>
  <si>
    <t>2021年基本公共卫生项目服务量补助明细表</t>
  </si>
  <si>
    <r>
      <t xml:space="preserve">建立居民健康档案
</t>
    </r>
    <r>
      <rPr>
        <sz val="10"/>
        <rFont val="仿宋_GB2312"/>
        <charset val="0"/>
      </rPr>
      <t>（附件2-1-1）</t>
    </r>
  </si>
  <si>
    <r>
      <t xml:space="preserve">健康教育
</t>
    </r>
    <r>
      <rPr>
        <sz val="10"/>
        <rFont val="仿宋_GB2312"/>
        <charset val="0"/>
      </rPr>
      <t>（附件2-1-2）</t>
    </r>
  </si>
  <si>
    <r>
      <t xml:space="preserve">预防接种管理
</t>
    </r>
    <r>
      <rPr>
        <sz val="10"/>
        <rFont val="仿宋_GB2312"/>
        <charset val="0"/>
      </rPr>
      <t>（附件2-1-3）</t>
    </r>
  </si>
  <si>
    <r>
      <t xml:space="preserve">儿童健康管理
</t>
    </r>
    <r>
      <rPr>
        <sz val="10"/>
        <rFont val="仿宋_GB2312"/>
        <charset val="0"/>
      </rPr>
      <t>（附件2-1-4）</t>
    </r>
  </si>
  <si>
    <r>
      <t xml:space="preserve">孕产妇健康管理
</t>
    </r>
    <r>
      <rPr>
        <sz val="10"/>
        <rFont val="仿宋_GB2312"/>
        <charset val="0"/>
      </rPr>
      <t>（附件2-1-5）</t>
    </r>
  </si>
  <si>
    <r>
      <t xml:space="preserve">老年人健康管理
</t>
    </r>
    <r>
      <rPr>
        <sz val="10"/>
        <rFont val="仿宋_GB2312"/>
        <charset val="0"/>
      </rPr>
      <t>（附件2-1-6）</t>
    </r>
  </si>
  <si>
    <r>
      <t xml:space="preserve">高血压患者健康管理
</t>
    </r>
    <r>
      <rPr>
        <sz val="10"/>
        <rFont val="仿宋_GB2312"/>
        <charset val="0"/>
      </rPr>
      <t>（附件2-1-7）</t>
    </r>
  </si>
  <si>
    <r>
      <t xml:space="preserve">2型糖尿病患者健康管理
</t>
    </r>
    <r>
      <rPr>
        <sz val="10"/>
        <rFont val="仿宋_GB2312"/>
        <charset val="0"/>
      </rPr>
      <t>（附件2-1-8）</t>
    </r>
  </si>
  <si>
    <r>
      <t xml:space="preserve">严重精神障碍患者管理
</t>
    </r>
    <r>
      <rPr>
        <sz val="10"/>
        <rFont val="仿宋_GB2312"/>
        <charset val="0"/>
      </rPr>
      <t>（附件2-1-9）</t>
    </r>
  </si>
  <si>
    <r>
      <t xml:space="preserve">肺结核患者健康管理
</t>
    </r>
    <r>
      <rPr>
        <sz val="10"/>
        <rFont val="仿宋_GB2312"/>
        <charset val="0"/>
      </rPr>
      <t>（附件2-1-10）</t>
    </r>
  </si>
  <si>
    <r>
      <t xml:space="preserve">中医药健康管理
</t>
    </r>
    <r>
      <rPr>
        <sz val="10"/>
        <rFont val="仿宋_GB2312"/>
        <charset val="0"/>
      </rPr>
      <t>（附件2-1-11）</t>
    </r>
  </si>
  <si>
    <r>
      <t xml:space="preserve">传染病及突发公共卫生事件报告和处理
</t>
    </r>
    <r>
      <rPr>
        <sz val="10"/>
        <rFont val="仿宋_GB2312"/>
        <charset val="0"/>
      </rPr>
      <t>（附件2-1-12）</t>
    </r>
  </si>
  <si>
    <r>
      <t xml:space="preserve">卫生计生监督协管服务管理
</t>
    </r>
    <r>
      <rPr>
        <sz val="10"/>
        <rFont val="仿宋_GB2312"/>
        <charset val="0"/>
      </rPr>
      <t>（附件2-1-13）</t>
    </r>
  </si>
  <si>
    <t>基本公共卫生服务按量计算金额合计</t>
  </si>
  <si>
    <t>建立居民健康档案
（附件2-1-1）</t>
  </si>
  <si>
    <t>健康教育
（附件2-1-2）</t>
  </si>
  <si>
    <t>预防接种管理
（附件2-1-3）</t>
  </si>
  <si>
    <t>儿童健康管理
（附件2-1-4）</t>
  </si>
  <si>
    <t>孕产妇健康管理
（附件2-1-5）</t>
  </si>
  <si>
    <t>老年人健康管理
（附件2-1-6）</t>
  </si>
  <si>
    <t>高血压患者健康管理
（附件2-1-7）</t>
  </si>
  <si>
    <t>3型糖尿病患者健康管理
（附件2-1-8）</t>
  </si>
  <si>
    <t>严重精神障碍患者管理
（附件2-1-9）</t>
  </si>
  <si>
    <t>肺结核患者健康管理
（附件2-1-10）</t>
  </si>
  <si>
    <t>中医药健康管理
（附件2-1-11）</t>
  </si>
  <si>
    <t>传染病及突发公共卫生事件报告和处理
（附件2-1-12）</t>
  </si>
  <si>
    <t>卫生计生监督协管服务管理
（附件2-1-13）</t>
  </si>
  <si>
    <t>附件2-1-1</t>
  </si>
  <si>
    <t>2020年基本公共卫生建立居民健康档案补助明细表</t>
  </si>
  <si>
    <t>档案中有动态记录的档案份数</t>
  </si>
  <si>
    <t>补助标准
（元/份）</t>
  </si>
  <si>
    <t>补助金额</t>
  </si>
  <si>
    <t>附件2-1-2</t>
  </si>
  <si>
    <t>2021年基本公共卫生健康教育补助明细表</t>
  </si>
  <si>
    <t>播放不少于6种音像材料、村所发放不少于12种印刷资料</t>
  </si>
  <si>
    <t>设置并更新健康教育宣传栏</t>
  </si>
  <si>
    <t>开展9次公众健康咨询活动</t>
  </si>
  <si>
    <t>举办健康教育讲座</t>
  </si>
  <si>
    <t>补助
金额
合计</t>
  </si>
  <si>
    <t>播放健康教育音像资料种类</t>
  </si>
  <si>
    <t>发放健康教育印刷资料种类</t>
  </si>
  <si>
    <t>乡镇应补金额
（10000元/院）</t>
  </si>
  <si>
    <t>村所应补金额
（800元/所）</t>
  </si>
  <si>
    <t>健康教育宣传栏设置个数
（乡镇 不少于2个，村所不少于1个）</t>
  </si>
  <si>
    <t>健康教育宣传栏内容更新次数（每院所不少于6期）</t>
  </si>
  <si>
    <t xml:space="preserve">其中：村所更新次数
（总次数-6次*2面）
</t>
  </si>
  <si>
    <t>乡镇应补金额
（2400元/院）</t>
  </si>
  <si>
    <t>村所应补金额
（200元/期，每村所不超过1200元）</t>
  </si>
  <si>
    <t>举办健康教育咨询活动次数</t>
  </si>
  <si>
    <t>应补金额
（27000元/院）</t>
  </si>
  <si>
    <t>举办健康教育讲座次数（乡镇不少于12次，村所不少于6次）</t>
  </si>
  <si>
    <t>其中：村所开展次数
(总次数-12次）</t>
  </si>
  <si>
    <t>乡镇应补金额
（12000元/院）</t>
  </si>
  <si>
    <t>村所应补金额
（300元/次）</t>
  </si>
  <si>
    <t>附件2-1-3</t>
  </si>
  <si>
    <t>2021年基本公共卫生预防接种管理补助明细表</t>
  </si>
  <si>
    <t>接种国家免疫规划疫苗累计总针次数
（一类）</t>
  </si>
  <si>
    <t>补助标准
（元/针次）</t>
  </si>
  <si>
    <t>平原镇中心卫生院</t>
  </si>
  <si>
    <t>附件2-1-4</t>
  </si>
  <si>
    <t>2021年基本公共卫生儿童健康管理补助明细表</t>
  </si>
  <si>
    <t>新生儿访视</t>
  </si>
  <si>
    <t>新生儿满月健康管理</t>
  </si>
  <si>
    <t>婴幼儿健康管理</t>
  </si>
  <si>
    <t>学龄前儿童健康管理</t>
  </si>
  <si>
    <t>辖区内按照规范要求接受1次及以上访视的新生儿人数</t>
  </si>
  <si>
    <t>应补金额
（40元/次）</t>
  </si>
  <si>
    <t>新生儿满月健康管理次数</t>
  </si>
  <si>
    <t>0-3岁婴幼儿健康服务次数</t>
  </si>
  <si>
    <t>4-6岁学龄前生长发育评估次数</t>
  </si>
  <si>
    <t>应补金额
（50元/次）</t>
  </si>
  <si>
    <t>附件2-1-5</t>
  </si>
  <si>
    <t>2021年基本公共卫生服务孕产妇健康管理补助明细表</t>
  </si>
  <si>
    <t>孕早期管理</t>
  </si>
  <si>
    <t xml:space="preserve">孕期随访 </t>
  </si>
  <si>
    <t>产后访视</t>
  </si>
  <si>
    <t>辖区内孕13周之前建册并进行第一次产前检查的产妇人数</t>
  </si>
  <si>
    <t>应补金额
（120元/次）</t>
  </si>
  <si>
    <t>孕期随访次数（每人4次）</t>
  </si>
  <si>
    <t>应补金额
（20元/次）</t>
  </si>
  <si>
    <t>辖区内产妇出院后28天内接受过产后访视的产妇人数</t>
  </si>
  <si>
    <t>应补金额
（含产后体检，80元/次）</t>
  </si>
  <si>
    <t>敖东镇卫生院</t>
  </si>
  <si>
    <t>附件2-1-6</t>
  </si>
  <si>
    <t>2021年基本公共卫生老年人健康管理补助明细表</t>
  </si>
  <si>
    <t>老年人体检人数</t>
  </si>
  <si>
    <t>补助标准
（元/例）</t>
  </si>
  <si>
    <t>附件2-1-7</t>
  </si>
  <si>
    <t>2021年基本公共卫生高血压患者健康管理补助明细表</t>
  </si>
  <si>
    <t>按照规范要求进行高血压患者健康管理的人数</t>
  </si>
  <si>
    <t>附件2-1-8</t>
  </si>
  <si>
    <t>2021年基本公共卫生2型糖尿病患者健康管理补助明细表</t>
  </si>
  <si>
    <t>按照规范要求进行2型糖尿病患者健康管理的人数</t>
  </si>
  <si>
    <t>附件2-1-9</t>
  </si>
  <si>
    <t>2021年基本公共卫生严重精神障碍患者管理补助明细表</t>
  </si>
  <si>
    <t>辖区内按照规范要求进行管理的严重精神障碍患者人数</t>
  </si>
  <si>
    <t>附件2-1-10</t>
  </si>
  <si>
    <t>2021年基本公共卫生肺结核患者健康管理补助明细表</t>
  </si>
  <si>
    <t>第一次入户随访</t>
  </si>
  <si>
    <t>督导服药及完成治疗</t>
  </si>
  <si>
    <t>已管理的肺结核患者人数</t>
  </si>
  <si>
    <t>应补金额（45元/例）</t>
  </si>
  <si>
    <t>按照要求规则服药的肺结核患者人数</t>
  </si>
  <si>
    <t>应补金额（105元/例）</t>
  </si>
  <si>
    <t>附件2-1-11</t>
  </si>
  <si>
    <t>2021年基本公共卫生中医健康服务补助明细表</t>
  </si>
  <si>
    <t>0-36个月儿童中医健康管理</t>
  </si>
  <si>
    <t>老年人中医药健康管理</t>
  </si>
  <si>
    <t>按照月龄接受中医药健康管理服务的儿童数</t>
  </si>
  <si>
    <r>
      <rPr>
        <sz val="12"/>
        <rFont val="仿宋_GB2312"/>
        <charset val="0"/>
      </rPr>
      <t>0-36个月儿童接受中医药健康管理服务的次数</t>
    </r>
    <r>
      <rPr>
        <sz val="10"/>
        <rFont val="仿宋_GB2312"/>
        <charset val="0"/>
      </rPr>
      <t>（2次/年）</t>
    </r>
  </si>
  <si>
    <t>应补金额（30元/次）</t>
  </si>
  <si>
    <t>接受中医药健康管理服务65岁及以上老年人数</t>
  </si>
  <si>
    <t>附件2-1-12</t>
  </si>
  <si>
    <t>2021年基本公共卫生传染病及突发公共卫生事件报告和处理补助明细表</t>
  </si>
  <si>
    <t>配合开展相关工作</t>
  </si>
  <si>
    <r>
      <t xml:space="preserve">乡    镇
应补金额
</t>
    </r>
    <r>
      <rPr>
        <sz val="10"/>
        <rFont val="仿宋_GB2312"/>
        <charset val="0"/>
      </rPr>
      <t>（15000元/次）</t>
    </r>
  </si>
  <si>
    <r>
      <t xml:space="preserve">村    所
应补金额
</t>
    </r>
    <r>
      <rPr>
        <sz val="10"/>
        <rFont val="仿宋_GB2312"/>
        <charset val="0"/>
      </rPr>
      <t>（1000元/所）</t>
    </r>
  </si>
  <si>
    <t>附件2-1-13</t>
  </si>
  <si>
    <t>2021年基本公共卫生卫生计生监督协管服务管理补助明细表</t>
  </si>
  <si>
    <t>配合开展饮用水卫生、学校卫生、非法行医和非法采供血、计划生育事件和线索的信息登记报告</t>
  </si>
  <si>
    <t>建立监督对象的本底档案，协助定期开展饮用水卫生、学校卫生、非法行医、非法采供血和计划生育巡查巡访</t>
  </si>
  <si>
    <r>
      <rPr>
        <sz val="12"/>
        <rFont val="仿宋_GB2312"/>
        <charset val="0"/>
      </rPr>
      <t xml:space="preserve">乡镇应补金额
</t>
    </r>
    <r>
      <rPr>
        <sz val="10"/>
        <rFont val="仿宋_GB2312"/>
        <charset val="0"/>
      </rPr>
      <t>（15000元/院）</t>
    </r>
  </si>
  <si>
    <r>
      <rPr>
        <sz val="12"/>
        <rFont val="仿宋_GB2312"/>
        <charset val="0"/>
      </rPr>
      <t xml:space="preserve">村所应补金额
</t>
    </r>
    <r>
      <rPr>
        <sz val="10"/>
        <rFont val="仿宋_GB2312"/>
        <charset val="0"/>
      </rPr>
      <t>（1000元/所）</t>
    </r>
  </si>
  <si>
    <r>
      <rPr>
        <sz val="12"/>
        <rFont val="仿宋_GB2312"/>
        <charset val="0"/>
      </rPr>
      <t xml:space="preserve">乡镇应补金额
</t>
    </r>
    <r>
      <rPr>
        <sz val="10"/>
        <rFont val="仿宋_GB2312"/>
        <charset val="0"/>
      </rPr>
      <t>（20000元/院）</t>
    </r>
  </si>
  <si>
    <t>附件2-2</t>
  </si>
  <si>
    <t>2021年基本公共卫生项目疫情防控经费补助明细表</t>
  </si>
  <si>
    <t>服务人口
（人）</t>
  </si>
  <si>
    <r>
      <t xml:space="preserve">补助标准
</t>
    </r>
    <r>
      <rPr>
        <sz val="10"/>
        <rFont val="仿宋_GB2312"/>
        <charset val="134"/>
      </rPr>
      <t>（元/人）</t>
    </r>
  </si>
  <si>
    <t>附件2-3</t>
  </si>
  <si>
    <t>2021年基本公共卫生项目评价名次奖惩明细表</t>
  </si>
  <si>
    <t>绩效考核分数</t>
  </si>
  <si>
    <t>名次</t>
  </si>
  <si>
    <t>考核分数补助</t>
  </si>
  <si>
    <t>附件2-4</t>
  </si>
  <si>
    <t>2021年基本公共卫生家庭医生签约服务补助明细表</t>
  </si>
  <si>
    <t>补助标准
（元/人）</t>
  </si>
  <si>
    <t>考核分数</t>
  </si>
  <si>
    <t>备注：全年平均家庭签约人数人员数按2020年11月至2021年10月份月均签约人数合计除以12月；</t>
  </si>
  <si>
    <t>附件2-5</t>
  </si>
  <si>
    <t>2021年基本公共卫生考核分数补助明细表</t>
  </si>
</sst>
</file>

<file path=xl/styles.xml><?xml version="1.0" encoding="utf-8"?>
<styleSheet xmlns="http://schemas.openxmlformats.org/spreadsheetml/2006/main">
  <numFmts count="9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  <numFmt numFmtId="43" formatCode="_ * #,##0.00_ ;_ * \-#,##0.00_ ;_ * &quot;-&quot;??_ ;_ @_ "/>
    <numFmt numFmtId="41" formatCode="_ * #,##0_ ;_ * \-#,##0_ ;_ * &quot;-&quot;_ ;_ @_ "/>
    <numFmt numFmtId="177" formatCode="0_ "/>
    <numFmt numFmtId="178" formatCode="0.00_);[Red]\(0.00\)"/>
    <numFmt numFmtId="179" formatCode="0_);[Red]\(0\)"/>
    <numFmt numFmtId="180" formatCode="0;[Red]0"/>
  </numFmts>
  <fonts count="35">
    <font>
      <sz val="12"/>
      <name val="宋体"/>
      <charset val="134"/>
    </font>
    <font>
      <sz val="16"/>
      <name val="黑体"/>
      <charset val="0"/>
    </font>
    <font>
      <sz val="10"/>
      <name val="仿宋_GB2312"/>
      <charset val="0"/>
    </font>
    <font>
      <sz val="20"/>
      <name val="方正小标宋简体"/>
      <charset val="0"/>
    </font>
    <font>
      <sz val="12"/>
      <name val="仿宋_GB2312"/>
      <charset val="134"/>
    </font>
    <font>
      <sz val="12"/>
      <name val="仿宋_GB2312"/>
      <charset val="0"/>
    </font>
    <font>
      <sz val="11"/>
      <name val="仿宋_GB2312"/>
      <charset val="134"/>
    </font>
    <font>
      <sz val="10"/>
      <name val="Arial"/>
      <charset val="0"/>
    </font>
    <font>
      <sz val="12"/>
      <color rgb="FFFF0000"/>
      <name val="宋体"/>
      <charset val="134"/>
    </font>
    <font>
      <sz val="8"/>
      <name val="仿宋_GB2312"/>
      <charset val="0"/>
    </font>
    <font>
      <sz val="16"/>
      <name val="黑体"/>
      <charset val="134"/>
    </font>
    <font>
      <sz val="20"/>
      <name val="方正小标宋简体"/>
      <charset val="134"/>
    </font>
    <font>
      <sz val="11"/>
      <name val="仿宋_GB2312"/>
      <charset val="0"/>
    </font>
    <font>
      <sz val="9"/>
      <name val="仿宋_GB2312"/>
      <charset val="134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仿宋_GB2312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4" fillId="0" borderId="0" applyFont="0" applyFill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9" fillId="6" borderId="11" applyNumberFormat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17" borderId="12" applyNumberFormat="0" applyFont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7" fillId="22" borderId="13" applyNumberFormat="0" applyAlignment="0" applyProtection="0">
      <alignment vertical="center"/>
    </xf>
    <xf numFmtId="0" fontId="28" fillId="22" borderId="11" applyNumberFormat="0" applyAlignment="0" applyProtection="0">
      <alignment vertical="center"/>
    </xf>
    <xf numFmtId="0" fontId="29" fillId="23" borderId="14" applyNumberFormat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</cellStyleXfs>
  <cellXfs count="8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 wrapText="1"/>
    </xf>
    <xf numFmtId="176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77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/>
    </xf>
    <xf numFmtId="176" fontId="5" fillId="0" borderId="2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 wrapText="1"/>
    </xf>
    <xf numFmtId="177" fontId="5" fillId="0" borderId="4" xfId="0" applyNumberFormat="1" applyFont="1" applyFill="1" applyBorder="1" applyAlignment="1">
      <alignment horizontal="center" vertical="center" wrapText="1"/>
    </xf>
    <xf numFmtId="177" fontId="5" fillId="0" borderId="5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shrinkToFit="1"/>
    </xf>
    <xf numFmtId="176" fontId="5" fillId="0" borderId="2" xfId="0" applyNumberFormat="1" applyFont="1" applyFill="1" applyBorder="1" applyAlignment="1">
      <alignment horizontal="center" vertical="center" shrinkToFit="1"/>
    </xf>
    <xf numFmtId="177" fontId="5" fillId="0" borderId="2" xfId="0" applyNumberFormat="1" applyFont="1" applyFill="1" applyBorder="1" applyAlignment="1">
      <alignment horizontal="center" vertical="center"/>
    </xf>
    <xf numFmtId="0" fontId="0" fillId="0" borderId="0" xfId="0" applyBorder="1"/>
    <xf numFmtId="177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Font="1"/>
    <xf numFmtId="176" fontId="4" fillId="0" borderId="1" xfId="0" applyNumberFormat="1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/>
    <xf numFmtId="176" fontId="5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176" fontId="5" fillId="0" borderId="6" xfId="0" applyNumberFormat="1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center" vertical="center"/>
    </xf>
    <xf numFmtId="176" fontId="5" fillId="0" borderId="3" xfId="0" applyNumberFormat="1" applyFont="1" applyFill="1" applyBorder="1" applyAlignment="1">
      <alignment horizontal="center" vertical="center" wrapText="1"/>
    </xf>
    <xf numFmtId="176" fontId="2" fillId="0" borderId="2" xfId="0" applyNumberFormat="1" applyFont="1" applyFill="1" applyBorder="1" applyAlignment="1">
      <alignment horizontal="center" vertical="center" wrapText="1"/>
    </xf>
    <xf numFmtId="176" fontId="4" fillId="0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/>
    <xf numFmtId="178" fontId="2" fillId="0" borderId="0" xfId="0" applyNumberFormat="1" applyFont="1"/>
    <xf numFmtId="0" fontId="1" fillId="0" borderId="0" xfId="0" applyFont="1" applyAlignment="1">
      <alignment vertical="top"/>
    </xf>
    <xf numFmtId="0" fontId="0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178" fontId="0" fillId="0" borderId="0" xfId="0" applyNumberFormat="1"/>
    <xf numFmtId="178" fontId="4" fillId="0" borderId="2" xfId="0" applyNumberFormat="1" applyFont="1" applyFill="1" applyBorder="1" applyAlignment="1">
      <alignment horizontal="center" vertical="center" wrapText="1"/>
    </xf>
    <xf numFmtId="179" fontId="5" fillId="0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180" fontId="5" fillId="0" borderId="2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0" fontId="1" fillId="0" borderId="0" xfId="0" applyFont="1" applyAlignment="1">
      <alignment horizontal="left"/>
    </xf>
    <xf numFmtId="0" fontId="0" fillId="0" borderId="0" xfId="0" applyFill="1"/>
    <xf numFmtId="0" fontId="4" fillId="0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8" fillId="0" borderId="0" xfId="0" applyFont="1"/>
    <xf numFmtId="176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Border="1"/>
    <xf numFmtId="177" fontId="5" fillId="0" borderId="2" xfId="0" applyNumberFormat="1" applyFont="1" applyFill="1" applyBorder="1" applyAlignment="1">
      <alignment horizontal="right" vertical="center" shrinkToFit="1"/>
    </xf>
    <xf numFmtId="176" fontId="4" fillId="0" borderId="2" xfId="0" applyNumberFormat="1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176" fontId="9" fillId="0" borderId="2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10" fillId="0" borderId="0" xfId="0" applyFont="1"/>
    <xf numFmtId="0" fontId="11" fillId="0" borderId="0" xfId="0" applyFont="1" applyAlignment="1">
      <alignment horizontal="center" vertical="center"/>
    </xf>
    <xf numFmtId="31" fontId="4" fillId="0" borderId="0" xfId="0" applyNumberFormat="1" applyFont="1" applyBorder="1" applyAlignment="1">
      <alignment horizontal="center" vertical="center"/>
    </xf>
    <xf numFmtId="31" fontId="4" fillId="0" borderId="0" xfId="0" applyNumberFormat="1" applyFont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 wrapText="1"/>
    </xf>
    <xf numFmtId="0" fontId="12" fillId="0" borderId="2" xfId="0" applyNumberFormat="1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177" fontId="6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NumberFormat="1" applyFont="1" applyAlignment="1">
      <alignment horizontal="center" vertical="center" wrapText="1"/>
    </xf>
    <xf numFmtId="0" fontId="13" fillId="0" borderId="2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zoomScale="110" zoomScaleNormal="110" workbookViewId="0">
      <selection activeCell="G21" sqref="G21"/>
    </sheetView>
  </sheetViews>
  <sheetFormatPr defaultColWidth="9" defaultRowHeight="14.25"/>
  <cols>
    <col min="1" max="1" width="5.55833333333333" style="70" customWidth="1"/>
    <col min="2" max="2" width="23.8083333333333" style="70" customWidth="1"/>
    <col min="3" max="3" width="10.1166666666667" style="70" customWidth="1"/>
    <col min="4" max="4" width="10.9" style="70" customWidth="1"/>
    <col min="5" max="5" width="11.7" style="70" customWidth="1"/>
    <col min="6" max="6" width="12.0416666666667" style="70" customWidth="1"/>
    <col min="7" max="7" width="11.5916666666667" style="70" customWidth="1"/>
    <col min="8" max="8" width="12.3833333333333" style="70" customWidth="1"/>
    <col min="9" max="10" width="10" style="70" customWidth="1"/>
    <col min="11" max="11" width="13.1166666666667" style="70" customWidth="1"/>
    <col min="12" max="12" width="9" style="70"/>
    <col min="13" max="13" width="12.625" style="70"/>
    <col min="14" max="16384" width="9" style="70"/>
  </cols>
  <sheetData>
    <row r="1" ht="24" customHeight="1" spans="1:1">
      <c r="A1" s="71" t="s">
        <v>0</v>
      </c>
    </row>
    <row r="2" ht="25" customHeight="1" spans="1:11">
      <c r="A2" s="72" t="s">
        <v>1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3" ht="16" customHeight="1" spans="1:11">
      <c r="A3" s="27"/>
      <c r="B3" s="27"/>
      <c r="C3" s="73"/>
      <c r="D3" s="74"/>
      <c r="E3" s="74"/>
      <c r="F3" s="74"/>
      <c r="G3" s="74"/>
      <c r="H3" s="73"/>
      <c r="I3" s="74"/>
      <c r="J3" s="74"/>
      <c r="K3" s="79" t="s">
        <v>2</v>
      </c>
    </row>
    <row r="4" s="69" customFormat="1" ht="23" customHeight="1" spans="1:11">
      <c r="A4" s="75" t="s">
        <v>3</v>
      </c>
      <c r="B4" s="75" t="s">
        <v>4</v>
      </c>
      <c r="C4" s="75" t="s">
        <v>5</v>
      </c>
      <c r="D4" s="75" t="s">
        <v>6</v>
      </c>
      <c r="E4" s="75"/>
      <c r="F4" s="75" t="s">
        <v>7</v>
      </c>
      <c r="G4" s="75"/>
      <c r="H4" s="75"/>
      <c r="I4" s="75" t="s">
        <v>8</v>
      </c>
      <c r="J4" s="75"/>
      <c r="K4" s="75" t="s">
        <v>9</v>
      </c>
    </row>
    <row r="5" s="69" customFormat="1" ht="45" customHeight="1" spans="1:11">
      <c r="A5" s="75"/>
      <c r="B5" s="75"/>
      <c r="C5" s="75"/>
      <c r="D5" s="75" t="s">
        <v>10</v>
      </c>
      <c r="E5" s="75" t="s">
        <v>11</v>
      </c>
      <c r="F5" s="75" t="s">
        <v>12</v>
      </c>
      <c r="G5" s="75" t="s">
        <v>13</v>
      </c>
      <c r="H5" s="75" t="s">
        <v>14</v>
      </c>
      <c r="I5" s="75" t="s">
        <v>15</v>
      </c>
      <c r="J5" s="75" t="s">
        <v>16</v>
      </c>
      <c r="K5" s="75"/>
    </row>
    <row r="6" s="69" customFormat="1" ht="22" customHeight="1" spans="1:13">
      <c r="A6" s="75" t="s">
        <v>17</v>
      </c>
      <c r="B6" s="10" t="s">
        <v>18</v>
      </c>
      <c r="C6" s="76">
        <v>79217</v>
      </c>
      <c r="D6" s="77">
        <v>25</v>
      </c>
      <c r="E6" s="77">
        <f>C6*D6</f>
        <v>1980425</v>
      </c>
      <c r="F6" s="78">
        <f>ROUND(附件2!P7,0)</f>
        <v>4966494</v>
      </c>
      <c r="G6" s="78">
        <f>C6*70</f>
        <v>5545190</v>
      </c>
      <c r="H6" s="78">
        <f>F6-G6</f>
        <v>-578696</v>
      </c>
      <c r="I6" s="78">
        <v>292691</v>
      </c>
      <c r="J6" s="78">
        <v>1109038</v>
      </c>
      <c r="K6" s="77"/>
      <c r="M6" s="80"/>
    </row>
    <row r="7" s="69" customFormat="1" ht="22" customHeight="1" spans="1:13">
      <c r="A7" s="75" t="s">
        <v>19</v>
      </c>
      <c r="B7" s="10" t="s">
        <v>20</v>
      </c>
      <c r="C7" s="76">
        <v>14698</v>
      </c>
      <c r="D7" s="77">
        <v>25</v>
      </c>
      <c r="E7" s="77">
        <f t="shared" ref="E7:E20" si="0">C7*D7</f>
        <v>367450</v>
      </c>
      <c r="F7" s="78">
        <f>ROUND(附件2!P8,0)</f>
        <v>1201059</v>
      </c>
      <c r="G7" s="78">
        <f t="shared" ref="G7:G20" si="1">C7*70</f>
        <v>1028860</v>
      </c>
      <c r="H7" s="78">
        <f t="shared" ref="H7:H21" si="2">F7-G7</f>
        <v>172199</v>
      </c>
      <c r="I7" s="78">
        <v>333877</v>
      </c>
      <c r="J7" s="78">
        <v>205772</v>
      </c>
      <c r="K7" s="77"/>
      <c r="M7" s="80"/>
    </row>
    <row r="8" s="69" customFormat="1" ht="22" customHeight="1" spans="1:13">
      <c r="A8" s="75" t="s">
        <v>21</v>
      </c>
      <c r="B8" s="10" t="s">
        <v>22</v>
      </c>
      <c r="C8" s="76">
        <v>6731</v>
      </c>
      <c r="D8" s="77">
        <v>25</v>
      </c>
      <c r="E8" s="77">
        <f t="shared" si="0"/>
        <v>168275</v>
      </c>
      <c r="F8" s="78">
        <f>ROUND(附件2!P9,0)</f>
        <v>507602</v>
      </c>
      <c r="G8" s="78">
        <f t="shared" si="1"/>
        <v>471170</v>
      </c>
      <c r="H8" s="78">
        <f t="shared" si="2"/>
        <v>36432</v>
      </c>
      <c r="I8" s="78">
        <v>110473</v>
      </c>
      <c r="J8" s="78">
        <v>94234</v>
      </c>
      <c r="K8" s="77"/>
      <c r="M8" s="80"/>
    </row>
    <row r="9" s="69" customFormat="1" ht="22" customHeight="1" spans="1:13">
      <c r="A9" s="75" t="s">
        <v>23</v>
      </c>
      <c r="B9" s="10" t="s">
        <v>24</v>
      </c>
      <c r="C9" s="76">
        <v>31048</v>
      </c>
      <c r="D9" s="77">
        <v>25</v>
      </c>
      <c r="E9" s="77">
        <f t="shared" si="0"/>
        <v>776200</v>
      </c>
      <c r="F9" s="78">
        <f>ROUND(附件2!P10,0)</f>
        <v>2142365</v>
      </c>
      <c r="G9" s="78">
        <f t="shared" si="1"/>
        <v>2173360</v>
      </c>
      <c r="H9" s="78">
        <f t="shared" si="2"/>
        <v>-30995</v>
      </c>
      <c r="I9" s="78">
        <v>310533</v>
      </c>
      <c r="J9" s="78">
        <v>434672</v>
      </c>
      <c r="K9" s="77"/>
      <c r="M9" s="80"/>
    </row>
    <row r="10" s="69" customFormat="1" ht="22" customHeight="1" spans="1:13">
      <c r="A10" s="75" t="s">
        <v>25</v>
      </c>
      <c r="B10" s="10" t="s">
        <v>26</v>
      </c>
      <c r="C10" s="76">
        <v>20500</v>
      </c>
      <c r="D10" s="77">
        <v>25</v>
      </c>
      <c r="E10" s="77">
        <f t="shared" si="0"/>
        <v>512500</v>
      </c>
      <c r="F10" s="78">
        <f>ROUND(附件2!P11,0)</f>
        <v>1444331</v>
      </c>
      <c r="G10" s="78">
        <f t="shared" si="1"/>
        <v>1435000</v>
      </c>
      <c r="H10" s="78">
        <f t="shared" si="2"/>
        <v>9331</v>
      </c>
      <c r="I10" s="78">
        <v>234831</v>
      </c>
      <c r="J10" s="78">
        <v>287000</v>
      </c>
      <c r="K10" s="77"/>
      <c r="M10" s="80"/>
    </row>
    <row r="11" s="69" customFormat="1" ht="22" customHeight="1" spans="1:13">
      <c r="A11" s="75" t="s">
        <v>27</v>
      </c>
      <c r="B11" s="10" t="s">
        <v>28</v>
      </c>
      <c r="C11" s="76">
        <v>14937</v>
      </c>
      <c r="D11" s="77">
        <v>25</v>
      </c>
      <c r="E11" s="77">
        <f t="shared" si="0"/>
        <v>373425</v>
      </c>
      <c r="F11" s="78">
        <f>ROUND(附件2!P12,0)</f>
        <v>1080684</v>
      </c>
      <c r="G11" s="78">
        <f t="shared" si="1"/>
        <v>1045590</v>
      </c>
      <c r="H11" s="78">
        <f t="shared" si="2"/>
        <v>35094</v>
      </c>
      <c r="I11" s="78">
        <v>199401</v>
      </c>
      <c r="J11" s="78">
        <v>209118</v>
      </c>
      <c r="K11" s="77"/>
      <c r="M11" s="80"/>
    </row>
    <row r="12" s="69" customFormat="1" ht="22" customHeight="1" spans="1:13">
      <c r="A12" s="75" t="s">
        <v>29</v>
      </c>
      <c r="B12" s="10" t="s">
        <v>30</v>
      </c>
      <c r="C12" s="76">
        <v>27471</v>
      </c>
      <c r="D12" s="77">
        <v>25</v>
      </c>
      <c r="E12" s="77">
        <f t="shared" si="0"/>
        <v>686775</v>
      </c>
      <c r="F12" s="78">
        <f>ROUND(附件2!P13,0)</f>
        <v>2077808</v>
      </c>
      <c r="G12" s="78">
        <f t="shared" si="1"/>
        <v>1922970</v>
      </c>
      <c r="H12" s="78">
        <f t="shared" si="2"/>
        <v>154838</v>
      </c>
      <c r="I12" s="78">
        <v>457019</v>
      </c>
      <c r="J12" s="78">
        <v>384594</v>
      </c>
      <c r="K12" s="77"/>
      <c r="M12" s="80"/>
    </row>
    <row r="13" s="69" customFormat="1" ht="22" customHeight="1" spans="1:13">
      <c r="A13" s="75" t="s">
        <v>31</v>
      </c>
      <c r="B13" s="10" t="s">
        <v>32</v>
      </c>
      <c r="C13" s="76">
        <v>43131</v>
      </c>
      <c r="D13" s="77">
        <v>25</v>
      </c>
      <c r="E13" s="77">
        <f t="shared" si="0"/>
        <v>1078275</v>
      </c>
      <c r="F13" s="78">
        <f>ROUND(附件2!P14,0)</f>
        <v>3106712</v>
      </c>
      <c r="G13" s="78">
        <f t="shared" si="1"/>
        <v>3019170</v>
      </c>
      <c r="H13" s="78">
        <f t="shared" si="2"/>
        <v>87542</v>
      </c>
      <c r="I13" s="78">
        <v>561983</v>
      </c>
      <c r="J13" s="78">
        <v>603834</v>
      </c>
      <c r="K13" s="77"/>
      <c r="M13" s="80"/>
    </row>
    <row r="14" s="69" customFormat="1" ht="22" customHeight="1" spans="1:13">
      <c r="A14" s="75" t="s">
        <v>33</v>
      </c>
      <c r="B14" s="10" t="s">
        <v>34</v>
      </c>
      <c r="C14" s="76">
        <v>8000</v>
      </c>
      <c r="D14" s="77">
        <v>25</v>
      </c>
      <c r="E14" s="77">
        <f t="shared" si="0"/>
        <v>200000</v>
      </c>
      <c r="F14" s="78">
        <f>ROUND(附件2!P15,0)</f>
        <v>608147</v>
      </c>
      <c r="G14" s="78">
        <f t="shared" si="1"/>
        <v>560000</v>
      </c>
      <c r="H14" s="78">
        <f t="shared" si="2"/>
        <v>48147</v>
      </c>
      <c r="I14" s="78">
        <v>136147</v>
      </c>
      <c r="J14" s="78">
        <v>112000</v>
      </c>
      <c r="K14" s="77"/>
      <c r="M14" s="80"/>
    </row>
    <row r="15" s="69" customFormat="1" ht="22" customHeight="1" spans="1:13">
      <c r="A15" s="75" t="s">
        <v>35</v>
      </c>
      <c r="B15" s="10" t="s">
        <v>36</v>
      </c>
      <c r="C15" s="76">
        <v>27775</v>
      </c>
      <c r="D15" s="77">
        <v>25</v>
      </c>
      <c r="E15" s="77">
        <f t="shared" si="0"/>
        <v>694375</v>
      </c>
      <c r="F15" s="78">
        <f>ROUND(附件2!P16,0)</f>
        <v>1833249</v>
      </c>
      <c r="G15" s="78">
        <f t="shared" si="1"/>
        <v>1944250</v>
      </c>
      <c r="H15" s="78">
        <f t="shared" si="2"/>
        <v>-111001</v>
      </c>
      <c r="I15" s="78">
        <v>194524</v>
      </c>
      <c r="J15" s="78">
        <v>388850</v>
      </c>
      <c r="K15" s="77"/>
      <c r="M15" s="80"/>
    </row>
    <row r="16" s="69" customFormat="1" ht="22" customHeight="1" spans="1:13">
      <c r="A16" s="75" t="s">
        <v>37</v>
      </c>
      <c r="B16" s="10" t="s">
        <v>38</v>
      </c>
      <c r="C16" s="76">
        <v>40893</v>
      </c>
      <c r="D16" s="77">
        <v>25</v>
      </c>
      <c r="E16" s="77">
        <f t="shared" si="0"/>
        <v>1022325</v>
      </c>
      <c r="F16" s="78">
        <f>ROUND(附件2!P17,0)</f>
        <v>2802351</v>
      </c>
      <c r="G16" s="78">
        <f t="shared" si="1"/>
        <v>2862510</v>
      </c>
      <c r="H16" s="78">
        <f t="shared" si="2"/>
        <v>-60159</v>
      </c>
      <c r="I16" s="78">
        <v>389664</v>
      </c>
      <c r="J16" s="78">
        <v>572502</v>
      </c>
      <c r="K16" s="77"/>
      <c r="M16" s="80"/>
    </row>
    <row r="17" s="69" customFormat="1" ht="22" customHeight="1" spans="1:13">
      <c r="A17" s="75" t="s">
        <v>39</v>
      </c>
      <c r="B17" s="10" t="s">
        <v>40</v>
      </c>
      <c r="C17" s="76">
        <v>31887</v>
      </c>
      <c r="D17" s="77">
        <v>25</v>
      </c>
      <c r="E17" s="77">
        <f t="shared" si="0"/>
        <v>797175</v>
      </c>
      <c r="F17" s="78">
        <f>ROUND(附件2!P18,0)</f>
        <v>2490180</v>
      </c>
      <c r="G17" s="78">
        <f t="shared" si="1"/>
        <v>2232090</v>
      </c>
      <c r="H17" s="78">
        <f t="shared" si="2"/>
        <v>258090</v>
      </c>
      <c r="I17" s="78">
        <v>608847</v>
      </c>
      <c r="J17" s="78">
        <v>446418</v>
      </c>
      <c r="K17" s="77"/>
      <c r="M17" s="80"/>
    </row>
    <row r="18" s="69" customFormat="1" ht="22" customHeight="1" spans="1:13">
      <c r="A18" s="75" t="s">
        <v>41</v>
      </c>
      <c r="B18" s="10" t="s">
        <v>42</v>
      </c>
      <c r="C18" s="76">
        <v>30796</v>
      </c>
      <c r="D18" s="77">
        <v>25</v>
      </c>
      <c r="E18" s="77">
        <f t="shared" si="0"/>
        <v>769900</v>
      </c>
      <c r="F18" s="78">
        <f>ROUND(附件2!P19,0)</f>
        <v>2010000</v>
      </c>
      <c r="G18" s="78">
        <f t="shared" si="1"/>
        <v>2155720</v>
      </c>
      <c r="H18" s="78">
        <f t="shared" si="2"/>
        <v>-145720</v>
      </c>
      <c r="I18" s="78">
        <v>193036</v>
      </c>
      <c r="J18" s="78">
        <v>431144</v>
      </c>
      <c r="K18" s="77"/>
      <c r="M18" s="80"/>
    </row>
    <row r="19" s="69" customFormat="1" ht="22" customHeight="1" spans="1:13">
      <c r="A19" s="75" t="s">
        <v>43</v>
      </c>
      <c r="B19" s="15" t="s">
        <v>44</v>
      </c>
      <c r="C19" s="76">
        <v>4666</v>
      </c>
      <c r="D19" s="77">
        <v>25</v>
      </c>
      <c r="E19" s="77">
        <f t="shared" si="0"/>
        <v>116650</v>
      </c>
      <c r="F19" s="78">
        <f>ROUND(附件2!P20,0)</f>
        <v>377212</v>
      </c>
      <c r="G19" s="78">
        <f t="shared" si="1"/>
        <v>326620</v>
      </c>
      <c r="H19" s="78">
        <f t="shared" si="2"/>
        <v>50592</v>
      </c>
      <c r="I19" s="78">
        <v>101918</v>
      </c>
      <c r="J19" s="78">
        <v>65324</v>
      </c>
      <c r="K19" s="77"/>
      <c r="M19" s="80"/>
    </row>
    <row r="20" s="69" customFormat="1" ht="22" customHeight="1" spans="1:13">
      <c r="A20" s="75" t="s">
        <v>45</v>
      </c>
      <c r="B20" s="10" t="s">
        <v>46</v>
      </c>
      <c r="C20" s="76">
        <v>4250</v>
      </c>
      <c r="D20" s="77">
        <v>25</v>
      </c>
      <c r="E20" s="77">
        <f t="shared" si="0"/>
        <v>106250</v>
      </c>
      <c r="F20" s="78">
        <f>ROUND(附件2!P21,0)</f>
        <v>321806</v>
      </c>
      <c r="G20" s="78">
        <f t="shared" si="1"/>
        <v>297500</v>
      </c>
      <c r="H20" s="78">
        <f t="shared" si="2"/>
        <v>24306</v>
      </c>
      <c r="I20" s="78">
        <v>71056</v>
      </c>
      <c r="J20" s="78">
        <v>59500</v>
      </c>
      <c r="K20" s="77"/>
      <c r="M20" s="80"/>
    </row>
    <row r="21" s="69" customFormat="1" ht="22" customHeight="1" spans="1:13">
      <c r="A21" s="75" t="s">
        <v>47</v>
      </c>
      <c r="B21" s="10" t="s">
        <v>48</v>
      </c>
      <c r="C21" s="76"/>
      <c r="D21" s="77"/>
      <c r="E21" s="77"/>
      <c r="F21" s="78">
        <f>ROUND(附件2!P22,0)</f>
        <v>50000</v>
      </c>
      <c r="G21" s="78"/>
      <c r="H21" s="78">
        <f t="shared" si="2"/>
        <v>50000</v>
      </c>
      <c r="I21" s="78">
        <v>50000</v>
      </c>
      <c r="J21" s="78"/>
      <c r="K21" s="81" t="s">
        <v>49</v>
      </c>
      <c r="M21" s="80"/>
    </row>
    <row r="22" s="69" customFormat="1" ht="22" customHeight="1" spans="1:13">
      <c r="A22" s="75" t="s">
        <v>50</v>
      </c>
      <c r="B22" s="75"/>
      <c r="C22" s="77">
        <f>SUM(C6:C21)</f>
        <v>386000</v>
      </c>
      <c r="D22" s="77"/>
      <c r="E22" s="77">
        <f t="shared" ref="E22:J22" si="3">SUM(E6:E21)</f>
        <v>9650000</v>
      </c>
      <c r="F22" s="78">
        <f t="shared" si="3"/>
        <v>27020000</v>
      </c>
      <c r="G22" s="77">
        <f t="shared" si="3"/>
        <v>27020000</v>
      </c>
      <c r="H22" s="77">
        <f t="shared" si="3"/>
        <v>0</v>
      </c>
      <c r="I22" s="77">
        <f t="shared" si="3"/>
        <v>4246000</v>
      </c>
      <c r="J22" s="77">
        <f t="shared" si="3"/>
        <v>5404000</v>
      </c>
      <c r="K22" s="77"/>
      <c r="M22" s="82"/>
    </row>
    <row r="23" s="69" customFormat="1" ht="21.75" customHeight="1"/>
    <row r="24" s="69" customFormat="1"/>
    <row r="25" s="69" customFormat="1"/>
    <row r="26" s="69" customFormat="1"/>
    <row r="27" s="69" customFormat="1"/>
    <row r="28" s="69" customFormat="1"/>
    <row r="29" s="69" customFormat="1"/>
    <row r="30" s="69" customFormat="1"/>
    <row r="31" s="69" customFormat="1"/>
    <row r="32" s="69" customFormat="1"/>
    <row r="33" s="69" customFormat="1"/>
    <row r="34" s="69" customFormat="1"/>
    <row r="35" s="69" customFormat="1"/>
    <row r="36" s="69" customFormat="1"/>
    <row r="37" s="69" customFormat="1"/>
    <row r="38" s="69" customFormat="1"/>
    <row r="39" s="69" customFormat="1"/>
  </sheetData>
  <mergeCells count="10">
    <mergeCell ref="A2:K2"/>
    <mergeCell ref="F3:G3"/>
    <mergeCell ref="D4:E4"/>
    <mergeCell ref="F4:H4"/>
    <mergeCell ref="I4:J4"/>
    <mergeCell ref="A22:B22"/>
    <mergeCell ref="A4:A5"/>
    <mergeCell ref="B4:B5"/>
    <mergeCell ref="C4:C5"/>
    <mergeCell ref="K4:K5"/>
  </mergeCells>
  <printOptions horizontalCentered="1"/>
  <pageMargins left="0.314583333333333" right="0.314583333333333" top="0.393055555555556" bottom="0.393055555555556" header="0.196527777777778" footer="0.196527777777778"/>
  <pageSetup paperSize="9" orientation="landscape" horizontalDpi="600" verticalDpi="18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3"/>
  <sheetViews>
    <sheetView workbookViewId="0">
      <selection activeCell="Q22" sqref="Q22"/>
    </sheetView>
  </sheetViews>
  <sheetFormatPr defaultColWidth="9" defaultRowHeight="14.25"/>
  <cols>
    <col min="1" max="1" width="4.75" customWidth="1"/>
    <col min="2" max="2" width="22.7583333333333" customWidth="1"/>
    <col min="3" max="3" width="7" customWidth="1"/>
    <col min="4" max="4" width="6.125" customWidth="1"/>
    <col min="5" max="5" width="6.25" customWidth="1"/>
    <col min="6" max="6" width="6.375" customWidth="1"/>
    <col min="7" max="7" width="6.625" hidden="1" customWidth="1"/>
    <col min="8" max="8" width="7.5" customWidth="1"/>
    <col min="9" max="9" width="7.75" customWidth="1"/>
    <col min="10" max="11" width="11.625" customWidth="1"/>
    <col min="12" max="12" width="10.5" customWidth="1"/>
    <col min="13" max="14" width="10.75" customWidth="1"/>
    <col min="15" max="15" width="8.125" customWidth="1"/>
    <col min="16" max="16" width="10.875" customWidth="1"/>
    <col min="17" max="17" width="8.5" customWidth="1"/>
    <col min="18" max="18" width="13.75"/>
  </cols>
  <sheetData>
    <row r="1" ht="20.25" spans="1:9">
      <c r="A1" s="2" t="s">
        <v>51</v>
      </c>
      <c r="B1" s="3"/>
      <c r="C1" s="3"/>
      <c r="D1" s="3"/>
      <c r="E1" s="3"/>
      <c r="F1" s="3"/>
      <c r="G1" s="3"/>
      <c r="H1" s="3"/>
      <c r="I1" s="3"/>
    </row>
    <row r="2" ht="27" spans="1:17">
      <c r="A2" s="4" t="s">
        <v>52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7:17">
      <c r="Q3" s="67" t="s">
        <v>53</v>
      </c>
    </row>
    <row r="4" ht="25" customHeight="1" spans="1:17">
      <c r="A4" s="9" t="s">
        <v>3</v>
      </c>
      <c r="B4" s="7" t="s">
        <v>54</v>
      </c>
      <c r="C4" s="63" t="s">
        <v>55</v>
      </c>
      <c r="D4" s="63"/>
      <c r="E4" s="63"/>
      <c r="F4" s="63"/>
      <c r="G4" s="63"/>
      <c r="H4" s="63"/>
      <c r="I4" s="63"/>
      <c r="J4" s="7" t="s">
        <v>56</v>
      </c>
      <c r="K4" s="7"/>
      <c r="L4" s="7"/>
      <c r="M4" s="7"/>
      <c r="N4" s="7"/>
      <c r="O4" s="7"/>
      <c r="P4" s="7"/>
      <c r="Q4" s="8" t="s">
        <v>9</v>
      </c>
    </row>
    <row r="5" ht="25" customHeight="1" spans="1:17">
      <c r="A5" s="9"/>
      <c r="B5" s="7"/>
      <c r="C5" s="7" t="s">
        <v>57</v>
      </c>
      <c r="D5" s="7" t="s">
        <v>58</v>
      </c>
      <c r="E5" s="7" t="s">
        <v>59</v>
      </c>
      <c r="F5" s="7" t="s">
        <v>60</v>
      </c>
      <c r="G5" s="7" t="s">
        <v>61</v>
      </c>
      <c r="H5" s="8" t="s">
        <v>62</v>
      </c>
      <c r="I5" s="8" t="s">
        <v>63</v>
      </c>
      <c r="J5" s="8" t="s">
        <v>64</v>
      </c>
      <c r="K5" s="8" t="s">
        <v>65</v>
      </c>
      <c r="L5" s="8" t="s">
        <v>66</v>
      </c>
      <c r="M5" s="8" t="s">
        <v>67</v>
      </c>
      <c r="N5" s="8" t="s">
        <v>68</v>
      </c>
      <c r="O5" s="8" t="s">
        <v>69</v>
      </c>
      <c r="P5" s="8" t="s">
        <v>70</v>
      </c>
      <c r="Q5" s="8"/>
    </row>
    <row r="6" ht="67" customHeight="1" spans="1:17">
      <c r="A6" s="9"/>
      <c r="B6" s="14"/>
      <c r="C6" s="7"/>
      <c r="D6" s="7"/>
      <c r="E6" s="7"/>
      <c r="F6" s="7"/>
      <c r="G6" s="7"/>
      <c r="H6" s="8"/>
      <c r="I6" s="8"/>
      <c r="J6" s="8"/>
      <c r="K6" s="66"/>
      <c r="L6" s="66"/>
      <c r="M6" s="66"/>
      <c r="N6" s="66"/>
      <c r="O6" s="8"/>
      <c r="P6" s="66"/>
      <c r="Q6" s="7"/>
    </row>
    <row r="7" ht="22" customHeight="1" spans="1:17">
      <c r="A7" s="10">
        <v>1</v>
      </c>
      <c r="B7" s="10" t="s">
        <v>18</v>
      </c>
      <c r="C7" s="11">
        <v>79217</v>
      </c>
      <c r="D7" s="10">
        <v>2</v>
      </c>
      <c r="E7" s="10">
        <v>16</v>
      </c>
      <c r="F7" s="10">
        <v>18</v>
      </c>
      <c r="G7" s="10"/>
      <c r="H7" s="10">
        <v>56139</v>
      </c>
      <c r="I7" s="11">
        <v>96.76</v>
      </c>
      <c r="J7" s="21">
        <f>'附件2-1'!P5</f>
        <v>4027062</v>
      </c>
      <c r="K7" s="10">
        <f>'附件2-2'!E5</f>
        <v>396085</v>
      </c>
      <c r="L7" s="21">
        <v>80000</v>
      </c>
      <c r="M7" s="21">
        <f>'附件2-4'!F5</f>
        <v>433360</v>
      </c>
      <c r="N7" s="21">
        <f>'附件2-5'!F5</f>
        <v>29986.5135753227</v>
      </c>
      <c r="O7" s="21"/>
      <c r="P7" s="10">
        <f>SUM(J7:O7)</f>
        <v>4966493.51357532</v>
      </c>
      <c r="Q7" s="14" t="s">
        <v>71</v>
      </c>
    </row>
    <row r="8" ht="22" customHeight="1" spans="1:17">
      <c r="A8" s="10">
        <v>2</v>
      </c>
      <c r="B8" s="10" t="s">
        <v>20</v>
      </c>
      <c r="C8" s="11">
        <v>14698</v>
      </c>
      <c r="D8" s="10">
        <v>8</v>
      </c>
      <c r="E8" s="10">
        <v>3</v>
      </c>
      <c r="F8" s="10">
        <v>11</v>
      </c>
      <c r="G8" s="10"/>
      <c r="H8" s="10">
        <v>16476</v>
      </c>
      <c r="I8" s="11">
        <v>92</v>
      </c>
      <c r="J8" s="21">
        <f>'附件2-1'!P6</f>
        <v>965027</v>
      </c>
      <c r="K8" s="10">
        <v>73490</v>
      </c>
      <c r="L8" s="21"/>
      <c r="M8" s="21">
        <f>'附件2-4'!F6</f>
        <v>157252</v>
      </c>
      <c r="N8" s="21">
        <f>'附件2-5'!F6</f>
        <v>5290.025849056</v>
      </c>
      <c r="O8" s="21"/>
      <c r="P8" s="10">
        <f t="shared" ref="P8:P22" si="0">SUM(J8:O8)</f>
        <v>1201059.02584906</v>
      </c>
      <c r="Q8" s="14"/>
    </row>
    <row r="9" ht="22" customHeight="1" spans="1:17">
      <c r="A9" s="10">
        <v>3</v>
      </c>
      <c r="B9" s="10" t="s">
        <v>22</v>
      </c>
      <c r="C9" s="11">
        <v>6731</v>
      </c>
      <c r="D9" s="10">
        <v>1</v>
      </c>
      <c r="E9" s="10">
        <v>6</v>
      </c>
      <c r="F9" s="10">
        <v>7</v>
      </c>
      <c r="G9" s="10"/>
      <c r="H9" s="10">
        <v>7358</v>
      </c>
      <c r="I9" s="11">
        <v>89.85</v>
      </c>
      <c r="J9" s="21">
        <f>'附件2-1'!P7</f>
        <v>398297</v>
      </c>
      <c r="K9" s="10">
        <v>33655</v>
      </c>
      <c r="L9" s="21"/>
      <c r="M9" s="21">
        <f>'附件2-4'!F7</f>
        <v>73284</v>
      </c>
      <c r="N9" s="21">
        <f>'附件2-5'!F7</f>
        <v>2365.9708837206</v>
      </c>
      <c r="O9" s="21"/>
      <c r="P9" s="10">
        <f t="shared" si="0"/>
        <v>507601.970883721</v>
      </c>
      <c r="Q9" s="64"/>
    </row>
    <row r="10" ht="22" customHeight="1" spans="1:17">
      <c r="A10" s="10">
        <v>4</v>
      </c>
      <c r="B10" s="10" t="s">
        <v>24</v>
      </c>
      <c r="C10" s="11">
        <v>31048</v>
      </c>
      <c r="D10" s="10">
        <v>8</v>
      </c>
      <c r="E10" s="10">
        <v>10</v>
      </c>
      <c r="F10" s="10">
        <v>18</v>
      </c>
      <c r="G10" s="10"/>
      <c r="H10" s="10">
        <v>26576</v>
      </c>
      <c r="I10" s="11">
        <v>95.77</v>
      </c>
      <c r="J10" s="21">
        <f>'附件2-1'!P8</f>
        <v>1745750</v>
      </c>
      <c r="K10" s="10">
        <v>155240</v>
      </c>
      <c r="L10" s="21"/>
      <c r="M10" s="21">
        <f>'附件2-4'!F8</f>
        <v>229742</v>
      </c>
      <c r="N10" s="21">
        <f>'附件2-5'!F8</f>
        <v>11632.5476696874</v>
      </c>
      <c r="O10" s="21"/>
      <c r="P10" s="10">
        <f t="shared" si="0"/>
        <v>2142364.54766969</v>
      </c>
      <c r="Q10" s="14"/>
    </row>
    <row r="11" ht="22" customHeight="1" spans="1:17">
      <c r="A11" s="10">
        <v>5</v>
      </c>
      <c r="B11" s="10" t="s">
        <v>26</v>
      </c>
      <c r="C11" s="11">
        <v>20500</v>
      </c>
      <c r="D11" s="10">
        <v>9</v>
      </c>
      <c r="E11" s="10">
        <v>5</v>
      </c>
      <c r="F11" s="10">
        <v>14</v>
      </c>
      <c r="G11" s="10"/>
      <c r="H11" s="10">
        <v>14772</v>
      </c>
      <c r="I11" s="11">
        <v>95.17</v>
      </c>
      <c r="J11" s="21">
        <f>'附件2-1'!P9</f>
        <v>1186370</v>
      </c>
      <c r="K11" s="10">
        <v>102500</v>
      </c>
      <c r="L11" s="21"/>
      <c r="M11" s="21">
        <f>'附件2-4'!F9</f>
        <v>147829</v>
      </c>
      <c r="N11" s="21">
        <f>'附件2-5'!F9</f>
        <v>7632.47963426</v>
      </c>
      <c r="O11" s="21"/>
      <c r="P11" s="10">
        <f t="shared" si="0"/>
        <v>1444331.47963426</v>
      </c>
      <c r="Q11" s="14"/>
    </row>
    <row r="12" ht="22" customHeight="1" spans="1:17">
      <c r="A12" s="10">
        <v>6</v>
      </c>
      <c r="B12" s="10" t="s">
        <v>28</v>
      </c>
      <c r="C12" s="11">
        <v>14937</v>
      </c>
      <c r="D12" s="10">
        <v>8</v>
      </c>
      <c r="E12" s="10">
        <v>2</v>
      </c>
      <c r="F12" s="10">
        <v>10</v>
      </c>
      <c r="G12" s="10"/>
      <c r="H12" s="10">
        <v>12984</v>
      </c>
      <c r="I12" s="11">
        <v>94.36</v>
      </c>
      <c r="J12" s="21">
        <f>'附件2-1'!P10</f>
        <v>883575</v>
      </c>
      <c r="K12" s="10">
        <v>74685</v>
      </c>
      <c r="L12" s="21"/>
      <c r="M12" s="21">
        <f>'附件2-4'!F10</f>
        <v>116910</v>
      </c>
      <c r="N12" s="21">
        <f>'附件2-5'!F10</f>
        <v>5513.95270865712</v>
      </c>
      <c r="O12" s="21"/>
      <c r="P12" s="10">
        <f t="shared" si="0"/>
        <v>1080683.95270866</v>
      </c>
      <c r="Q12" s="14"/>
    </row>
    <row r="13" ht="22" customHeight="1" spans="1:17">
      <c r="A13" s="10">
        <v>7</v>
      </c>
      <c r="B13" s="10" t="s">
        <v>30</v>
      </c>
      <c r="C13" s="11">
        <v>27471</v>
      </c>
      <c r="D13" s="10">
        <v>12</v>
      </c>
      <c r="E13" s="10">
        <v>6</v>
      </c>
      <c r="F13" s="10">
        <v>18</v>
      </c>
      <c r="G13" s="10"/>
      <c r="H13" s="10">
        <v>29737</v>
      </c>
      <c r="I13" s="11">
        <v>95.77</v>
      </c>
      <c r="J13" s="21">
        <f>'附件2-1'!P11</f>
        <v>1627538</v>
      </c>
      <c r="K13" s="10">
        <v>137355</v>
      </c>
      <c r="L13" s="21"/>
      <c r="M13" s="21">
        <f>'附件2-4'!F11</f>
        <v>302623</v>
      </c>
      <c r="N13" s="21">
        <f>'附件2-5'!F11</f>
        <v>10292.3768691697</v>
      </c>
      <c r="O13" s="21"/>
      <c r="P13" s="10">
        <f t="shared" si="0"/>
        <v>2077808.37686917</v>
      </c>
      <c r="Q13" s="64"/>
    </row>
    <row r="14" ht="22" customHeight="1" spans="1:17">
      <c r="A14" s="10">
        <v>8</v>
      </c>
      <c r="B14" s="10" t="s">
        <v>32</v>
      </c>
      <c r="C14" s="11">
        <v>43131</v>
      </c>
      <c r="D14" s="10">
        <v>20</v>
      </c>
      <c r="E14" s="10">
        <v>6</v>
      </c>
      <c r="F14" s="10">
        <v>26</v>
      </c>
      <c r="G14" s="10"/>
      <c r="H14" s="10">
        <v>42692</v>
      </c>
      <c r="I14" s="11">
        <v>96.25</v>
      </c>
      <c r="J14" s="21">
        <f>'附件2-1'!P12</f>
        <v>2460164</v>
      </c>
      <c r="K14" s="10">
        <v>215655</v>
      </c>
      <c r="L14" s="21">
        <v>50000</v>
      </c>
      <c r="M14" s="21">
        <f>'附件2-4'!F12</f>
        <v>364652</v>
      </c>
      <c r="N14" s="21">
        <f>'附件2-5'!F12</f>
        <v>16240.596987615</v>
      </c>
      <c r="O14" s="21"/>
      <c r="P14" s="10">
        <f t="shared" si="0"/>
        <v>3106711.59698761</v>
      </c>
      <c r="Q14" s="14" t="s">
        <v>72</v>
      </c>
    </row>
    <row r="15" ht="22" customHeight="1" spans="1:17">
      <c r="A15" s="10">
        <v>9</v>
      </c>
      <c r="B15" s="10" t="s">
        <v>34</v>
      </c>
      <c r="C15" s="11">
        <v>8000</v>
      </c>
      <c r="D15" s="10">
        <v>1</v>
      </c>
      <c r="E15" s="10">
        <v>7</v>
      </c>
      <c r="F15" s="10">
        <v>8</v>
      </c>
      <c r="G15" s="10"/>
      <c r="H15" s="10">
        <v>7967</v>
      </c>
      <c r="I15" s="11">
        <v>91.11</v>
      </c>
      <c r="J15" s="21">
        <f>'附件2-1'!P13</f>
        <v>470710</v>
      </c>
      <c r="K15" s="10">
        <v>40000</v>
      </c>
      <c r="L15" s="21"/>
      <c r="M15" s="21">
        <f>'附件2-4'!F13</f>
        <v>94586</v>
      </c>
      <c r="N15" s="21">
        <f>'附件2-5'!F13</f>
        <v>2851.46311008</v>
      </c>
      <c r="O15" s="21"/>
      <c r="P15" s="10">
        <f t="shared" si="0"/>
        <v>608147.46311008</v>
      </c>
      <c r="Q15" s="14"/>
    </row>
    <row r="16" ht="22" customHeight="1" spans="1:17">
      <c r="A16" s="10">
        <v>10</v>
      </c>
      <c r="B16" s="10" t="s">
        <v>36</v>
      </c>
      <c r="C16" s="11">
        <v>27775</v>
      </c>
      <c r="D16" s="10">
        <v>12</v>
      </c>
      <c r="E16" s="10">
        <v>1</v>
      </c>
      <c r="F16" s="10">
        <v>13</v>
      </c>
      <c r="G16" s="10"/>
      <c r="H16" s="10">
        <v>19104</v>
      </c>
      <c r="I16" s="11">
        <v>94.85</v>
      </c>
      <c r="J16" s="21">
        <f>'附件2-1'!P14</f>
        <v>1531019</v>
      </c>
      <c r="K16" s="10">
        <v>138875</v>
      </c>
      <c r="L16" s="21"/>
      <c r="M16" s="21">
        <f>'附件2-4'!F14</f>
        <v>153049</v>
      </c>
      <c r="N16" s="21">
        <f>'附件2-5'!F14</f>
        <v>10306.308227215</v>
      </c>
      <c r="O16" s="21"/>
      <c r="P16" s="10">
        <f t="shared" si="0"/>
        <v>1833249.30822721</v>
      </c>
      <c r="Q16" s="14"/>
    </row>
    <row r="17" ht="22" customHeight="1" spans="1:17">
      <c r="A17" s="10">
        <v>11</v>
      </c>
      <c r="B17" s="10" t="s">
        <v>38</v>
      </c>
      <c r="C17" s="11">
        <v>40893</v>
      </c>
      <c r="D17" s="10">
        <v>17</v>
      </c>
      <c r="E17" s="10">
        <v>5</v>
      </c>
      <c r="F17" s="10">
        <v>22</v>
      </c>
      <c r="G17" s="10"/>
      <c r="H17" s="10">
        <v>18548</v>
      </c>
      <c r="I17" s="11">
        <v>96.01</v>
      </c>
      <c r="J17" s="21">
        <f>'附件2-1'!P15</f>
        <v>2398639</v>
      </c>
      <c r="K17" s="10">
        <v>204465</v>
      </c>
      <c r="L17" s="21"/>
      <c r="M17" s="21">
        <f>'附件2-4'!F15</f>
        <v>183887</v>
      </c>
      <c r="N17" s="21">
        <f>'附件2-5'!F15</f>
        <v>15359.5031020439</v>
      </c>
      <c r="O17" s="21"/>
      <c r="P17" s="10">
        <f t="shared" si="0"/>
        <v>2802350.50310204</v>
      </c>
      <c r="Q17" s="64"/>
    </row>
    <row r="18" ht="22" customHeight="1" spans="1:17">
      <c r="A18" s="10">
        <v>12</v>
      </c>
      <c r="B18" s="10" t="s">
        <v>40</v>
      </c>
      <c r="C18" s="11">
        <v>31887</v>
      </c>
      <c r="D18" s="10">
        <v>19</v>
      </c>
      <c r="E18" s="10">
        <v>2</v>
      </c>
      <c r="F18" s="10">
        <v>21</v>
      </c>
      <c r="G18" s="10"/>
      <c r="H18" s="10">
        <v>23274</v>
      </c>
      <c r="I18" s="11">
        <v>96.51</v>
      </c>
      <c r="J18" s="21">
        <f>'附件2-1'!P16</f>
        <v>2037825</v>
      </c>
      <c r="K18" s="10">
        <v>159435</v>
      </c>
      <c r="L18" s="21">
        <v>70000</v>
      </c>
      <c r="M18" s="21">
        <f>'附件2-4'!F16</f>
        <v>210881</v>
      </c>
      <c r="N18" s="21">
        <f>'附件2-5'!F16</f>
        <v>12039.2019955069</v>
      </c>
      <c r="O18" s="21"/>
      <c r="P18" s="10">
        <f t="shared" si="0"/>
        <v>2490180.20199551</v>
      </c>
      <c r="Q18" s="14" t="s">
        <v>73</v>
      </c>
    </row>
    <row r="19" ht="22" customHeight="1" spans="1:17">
      <c r="A19" s="10">
        <v>13</v>
      </c>
      <c r="B19" s="10" t="s">
        <v>42</v>
      </c>
      <c r="C19" s="11">
        <v>30796</v>
      </c>
      <c r="D19" s="10">
        <v>15</v>
      </c>
      <c r="E19" s="10">
        <v>2</v>
      </c>
      <c r="F19" s="10">
        <v>17</v>
      </c>
      <c r="G19" s="10"/>
      <c r="H19" s="10">
        <v>22782</v>
      </c>
      <c r="I19" s="11">
        <v>95.04</v>
      </c>
      <c r="J19" s="21">
        <f>'附件2-1'!P17</f>
        <v>1601713</v>
      </c>
      <c r="K19" s="10">
        <v>153980</v>
      </c>
      <c r="L19" s="21"/>
      <c r="M19" s="21">
        <f>'附件2-4'!F17</f>
        <v>242857</v>
      </c>
      <c r="N19" s="21">
        <f>'附件2-5'!F17</f>
        <v>11450.1839128934</v>
      </c>
      <c r="O19" s="21"/>
      <c r="P19" s="10">
        <f t="shared" si="0"/>
        <v>2010000.18391289</v>
      </c>
      <c r="Q19" s="64"/>
    </row>
    <row r="20" ht="22" customHeight="1" spans="1:17">
      <c r="A20" s="10">
        <v>14</v>
      </c>
      <c r="B20" s="10" t="s">
        <v>44</v>
      </c>
      <c r="C20" s="11">
        <v>4666</v>
      </c>
      <c r="D20" s="10">
        <v>2</v>
      </c>
      <c r="E20" s="10">
        <v>3</v>
      </c>
      <c r="F20" s="10">
        <v>5</v>
      </c>
      <c r="G20" s="10"/>
      <c r="H20" s="10">
        <v>3201</v>
      </c>
      <c r="I20" s="11">
        <v>91.19</v>
      </c>
      <c r="J20" s="21">
        <f>'附件2-1'!P18</f>
        <v>322209</v>
      </c>
      <c r="K20" s="10">
        <v>23330</v>
      </c>
      <c r="L20" s="21"/>
      <c r="M20" s="21">
        <f>'附件2-4'!F18</f>
        <v>30008</v>
      </c>
      <c r="N20" s="21">
        <f>'附件2-5'!F18</f>
        <v>1664.57617361464</v>
      </c>
      <c r="O20" s="21"/>
      <c r="P20" s="10">
        <f t="shared" si="0"/>
        <v>377211.576173615</v>
      </c>
      <c r="Q20" s="64"/>
    </row>
    <row r="21" ht="22" customHeight="1" spans="1:17">
      <c r="A21" s="10">
        <v>15</v>
      </c>
      <c r="B21" s="10" t="s">
        <v>46</v>
      </c>
      <c r="C21" s="11">
        <v>4250</v>
      </c>
      <c r="D21" s="10">
        <v>2</v>
      </c>
      <c r="E21" s="10">
        <v>0</v>
      </c>
      <c r="F21" s="10">
        <v>2</v>
      </c>
      <c r="G21" s="10"/>
      <c r="H21" s="10">
        <v>1840</v>
      </c>
      <c r="I21" s="11">
        <v>88.07</v>
      </c>
      <c r="J21" s="21">
        <f>'附件2-1'!P19</f>
        <v>278760</v>
      </c>
      <c r="K21" s="10">
        <v>21250</v>
      </c>
      <c r="L21" s="21">
        <v>-5000</v>
      </c>
      <c r="M21" s="21">
        <f>'附件2-4'!F19</f>
        <v>25332</v>
      </c>
      <c r="N21" s="21">
        <f>'附件2-5'!F19</f>
        <v>1464.29523851</v>
      </c>
      <c r="O21" s="21"/>
      <c r="P21" s="10">
        <f t="shared" si="0"/>
        <v>321806.29523851</v>
      </c>
      <c r="Q21" s="14" t="s">
        <v>74</v>
      </c>
    </row>
    <row r="22" ht="22" customHeight="1" spans="1:17">
      <c r="A22" s="10">
        <v>16</v>
      </c>
      <c r="B22" s="10" t="s">
        <v>48</v>
      </c>
      <c r="C22" s="11"/>
      <c r="D22" s="64"/>
      <c r="E22" s="64"/>
      <c r="F22" s="64"/>
      <c r="G22" s="10"/>
      <c r="H22" s="10"/>
      <c r="I22" s="7"/>
      <c r="J22" s="64"/>
      <c r="K22" s="64"/>
      <c r="L22" s="21"/>
      <c r="M22" s="64"/>
      <c r="N22" s="21"/>
      <c r="O22" s="21">
        <v>50000</v>
      </c>
      <c r="P22" s="10">
        <f t="shared" si="0"/>
        <v>50000</v>
      </c>
      <c r="Q22" s="68" t="s">
        <v>49</v>
      </c>
    </row>
    <row r="23" ht="22" customHeight="1" spans="1:17">
      <c r="A23" s="16" t="s">
        <v>75</v>
      </c>
      <c r="B23" s="17"/>
      <c r="C23" s="65">
        <f>SUM(C7:C22)</f>
        <v>386000</v>
      </c>
      <c r="D23" s="65">
        <f t="shared" ref="D23:P23" si="1">SUM(D7:D22)</f>
        <v>136</v>
      </c>
      <c r="E23" s="65">
        <f t="shared" si="1"/>
        <v>74</v>
      </c>
      <c r="F23" s="65">
        <f t="shared" si="1"/>
        <v>210</v>
      </c>
      <c r="G23" s="65">
        <f t="shared" si="1"/>
        <v>0</v>
      </c>
      <c r="H23" s="65">
        <f t="shared" si="1"/>
        <v>303450</v>
      </c>
      <c r="I23" s="65"/>
      <c r="J23" s="65">
        <f t="shared" si="1"/>
        <v>21934658</v>
      </c>
      <c r="K23" s="65">
        <f t="shared" si="1"/>
        <v>1930000</v>
      </c>
      <c r="L23" s="65">
        <f t="shared" si="1"/>
        <v>195000</v>
      </c>
      <c r="M23" s="65">
        <f t="shared" si="1"/>
        <v>2766252</v>
      </c>
      <c r="N23" s="65">
        <f t="shared" si="1"/>
        <v>144089.995937352</v>
      </c>
      <c r="O23" s="65">
        <f t="shared" si="1"/>
        <v>50000</v>
      </c>
      <c r="P23" s="65">
        <f t="shared" si="1"/>
        <v>27019999.9959374</v>
      </c>
      <c r="Q23" s="14"/>
    </row>
  </sheetData>
  <mergeCells count="21">
    <mergeCell ref="A2:Q2"/>
    <mergeCell ref="C4:I4"/>
    <mergeCell ref="J4:P4"/>
    <mergeCell ref="A23:B23"/>
    <mergeCell ref="A4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4:Q6"/>
  </mergeCells>
  <pageMargins left="0.511805555555556" right="0.354166666666667" top="0.511805555555556" bottom="0.354166666666667" header="0.432638888888889" footer="0.313888888888889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20"/>
  <sheetViews>
    <sheetView zoomScale="89" zoomScaleNormal="89" workbookViewId="0">
      <selection activeCell="P3" sqref="P3"/>
    </sheetView>
  </sheetViews>
  <sheetFormatPr defaultColWidth="9" defaultRowHeight="14.25"/>
  <cols>
    <col min="1" max="1" width="5.875" customWidth="1"/>
    <col min="2" max="2" width="22.875" customWidth="1"/>
    <col min="3" max="4" width="9.375"/>
    <col min="6" max="10" width="9.375"/>
    <col min="13" max="13" width="9.375"/>
    <col min="15" max="16" width="10.375"/>
    <col min="17" max="18" width="12.625" hidden="1" customWidth="1"/>
    <col min="19" max="19" width="9" hidden="1" customWidth="1"/>
    <col min="20" max="32" width="12.625" hidden="1" customWidth="1"/>
    <col min="33" max="34" width="12.625"/>
  </cols>
  <sheetData>
    <row r="1" ht="20.25" spans="1:4">
      <c r="A1" s="2" t="s">
        <v>76</v>
      </c>
      <c r="B1" s="3"/>
      <c r="C1" s="3"/>
      <c r="D1" s="3"/>
    </row>
    <row r="2" ht="30" customHeight="1" spans="1:16">
      <c r="A2" s="4" t="s">
        <v>77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ht="18" customHeight="1" spans="16:16">
      <c r="P3" s="5" t="s">
        <v>53</v>
      </c>
    </row>
    <row r="4" ht="96" customHeight="1" spans="1:32">
      <c r="A4" s="9" t="s">
        <v>3</v>
      </c>
      <c r="B4" s="14" t="s">
        <v>54</v>
      </c>
      <c r="C4" s="7" t="s">
        <v>78</v>
      </c>
      <c r="D4" s="7" t="s">
        <v>79</v>
      </c>
      <c r="E4" s="7" t="s">
        <v>80</v>
      </c>
      <c r="F4" s="7" t="s">
        <v>81</v>
      </c>
      <c r="G4" s="7" t="s">
        <v>82</v>
      </c>
      <c r="H4" s="7" t="s">
        <v>83</v>
      </c>
      <c r="I4" s="7" t="s">
        <v>84</v>
      </c>
      <c r="J4" s="7" t="s">
        <v>85</v>
      </c>
      <c r="K4" s="7" t="s">
        <v>86</v>
      </c>
      <c r="L4" s="7" t="s">
        <v>87</v>
      </c>
      <c r="M4" s="7" t="s">
        <v>88</v>
      </c>
      <c r="N4" s="7" t="s">
        <v>89</v>
      </c>
      <c r="O4" s="7" t="s">
        <v>90</v>
      </c>
      <c r="P4" s="8" t="s">
        <v>91</v>
      </c>
      <c r="Q4" s="28"/>
      <c r="R4" s="28"/>
      <c r="T4" s="61" t="s">
        <v>92</v>
      </c>
      <c r="U4" s="61" t="s">
        <v>93</v>
      </c>
      <c r="V4" s="61" t="s">
        <v>94</v>
      </c>
      <c r="W4" s="61" t="s">
        <v>95</v>
      </c>
      <c r="X4" s="61" t="s">
        <v>96</v>
      </c>
      <c r="Y4" s="61" t="s">
        <v>97</v>
      </c>
      <c r="Z4" s="61" t="s">
        <v>98</v>
      </c>
      <c r="AA4" s="61" t="s">
        <v>99</v>
      </c>
      <c r="AB4" s="61" t="s">
        <v>100</v>
      </c>
      <c r="AC4" s="61" t="s">
        <v>101</v>
      </c>
      <c r="AD4" s="61" t="s">
        <v>102</v>
      </c>
      <c r="AE4" s="61" t="s">
        <v>103</v>
      </c>
      <c r="AF4" s="61" t="s">
        <v>104</v>
      </c>
    </row>
    <row r="5" ht="28" customHeight="1" spans="1:32">
      <c r="A5" s="9">
        <v>1</v>
      </c>
      <c r="B5" s="10" t="s">
        <v>18</v>
      </c>
      <c r="C5" s="10">
        <f>'附件2-1-1'!E5</f>
        <v>156312</v>
      </c>
      <c r="D5" s="11">
        <f>'附件2-1-2 '!U6</f>
        <v>74200</v>
      </c>
      <c r="E5" s="11">
        <f>'附件2-1-3'!E5</f>
        <v>246940</v>
      </c>
      <c r="F5" s="11">
        <f>'附件2-1-4'!K6</f>
        <v>529140</v>
      </c>
      <c r="G5" s="10">
        <f>'附件2-1-5'!I6</f>
        <v>162760</v>
      </c>
      <c r="H5" s="10">
        <f>'附件2-1-6'!E5</f>
        <v>1009000</v>
      </c>
      <c r="I5" s="10">
        <f>'附件2-1-7'!E5</f>
        <v>1042200</v>
      </c>
      <c r="J5" s="10">
        <f>'附件2-1-8'!E5</f>
        <v>399600</v>
      </c>
      <c r="K5" s="10">
        <f>'附件2-1-9'!E5</f>
        <v>81810</v>
      </c>
      <c r="L5" s="10">
        <f>'附件2-1-10'!G6</f>
        <v>930</v>
      </c>
      <c r="M5" s="10">
        <f>'附件2-1-11'!H6</f>
        <v>220170</v>
      </c>
      <c r="N5" s="10">
        <f>'附件2-1-12'!H6</f>
        <v>33000</v>
      </c>
      <c r="O5" s="10">
        <f>'附件2-1-13'!J6</f>
        <v>71000</v>
      </c>
      <c r="P5" s="21">
        <f>SUM(C5:O5)</f>
        <v>4027062</v>
      </c>
      <c r="Q5">
        <f>P5/'附件2-2'!C5</f>
        <v>50.8358306929068</v>
      </c>
      <c r="S5">
        <v>91467</v>
      </c>
      <c r="T5">
        <f>C5/S5</f>
        <v>1.70894420938699</v>
      </c>
      <c r="U5">
        <f>D5/S5</f>
        <v>0.811221533449222</v>
      </c>
      <c r="V5">
        <f>E5/S5</f>
        <v>2.69977150229044</v>
      </c>
      <c r="W5">
        <f>F5/S5</f>
        <v>5.78503722654072</v>
      </c>
      <c r="X5">
        <f>G5/S5</f>
        <v>1.77943957930182</v>
      </c>
      <c r="Y5">
        <f>H5/S5</f>
        <v>11.0313009063378</v>
      </c>
      <c r="Z5">
        <f>I5/S5</f>
        <v>11.3942733444849</v>
      </c>
      <c r="AA5">
        <f>J5/S5</f>
        <v>4.36878874348126</v>
      </c>
      <c r="AB5">
        <f>K5/S5</f>
        <v>0.894420938699203</v>
      </c>
      <c r="AC5">
        <f>L5/S5</f>
        <v>0.0101676014300239</v>
      </c>
      <c r="AD5">
        <f>M5/S5</f>
        <v>2.40709764177244</v>
      </c>
      <c r="AE5">
        <f>N5/S5</f>
        <v>0.360785857194398</v>
      </c>
      <c r="AF5">
        <f>O5/S5</f>
        <v>0.776236238206129</v>
      </c>
    </row>
    <row r="6" ht="28" customHeight="1" spans="1:32">
      <c r="A6" s="9">
        <v>2</v>
      </c>
      <c r="B6" s="10" t="s">
        <v>20</v>
      </c>
      <c r="C6" s="10">
        <f>'附件2-1-1'!E6</f>
        <v>41967</v>
      </c>
      <c r="D6" s="11">
        <f>'附件2-1-2 '!U7</f>
        <v>93200</v>
      </c>
      <c r="E6" s="11">
        <f>'附件2-1-3'!E6</f>
        <v>13160</v>
      </c>
      <c r="F6" s="11">
        <f>'附件2-1-4'!K7</f>
        <v>94200</v>
      </c>
      <c r="G6" s="10">
        <f>'附件2-1-5'!I7</f>
        <v>30480</v>
      </c>
      <c r="H6" s="10">
        <f>'附件2-1-6'!E6</f>
        <v>229400</v>
      </c>
      <c r="I6" s="10">
        <f>'附件2-1-7'!E6</f>
        <v>234360</v>
      </c>
      <c r="J6" s="10">
        <f>'附件2-1-8'!E6</f>
        <v>79920</v>
      </c>
      <c r="K6" s="10">
        <f>'附件2-1-9'!E6</f>
        <v>17820</v>
      </c>
      <c r="L6" s="10">
        <f>'附件2-1-10'!G7</f>
        <v>330</v>
      </c>
      <c r="M6" s="10">
        <f>'附件2-1-11'!H7</f>
        <v>47190</v>
      </c>
      <c r="N6" s="10">
        <f>'附件2-1-12'!H7</f>
        <v>26000</v>
      </c>
      <c r="O6" s="10">
        <f>'附件2-1-13'!J7</f>
        <v>57000</v>
      </c>
      <c r="P6" s="21">
        <f t="shared" ref="P6:P20" si="0">SUM(C6:O6)</f>
        <v>965027</v>
      </c>
      <c r="Q6">
        <f>P6/'附件2-2'!C6</f>
        <v>65.6570281670976</v>
      </c>
      <c r="S6">
        <v>17516</v>
      </c>
      <c r="T6">
        <f t="shared" ref="T6:T19" si="1">C6/S6</f>
        <v>2.39592372687828</v>
      </c>
      <c r="U6">
        <f t="shared" ref="U6:U19" si="2">D6/S6</f>
        <v>5.32084950902032</v>
      </c>
      <c r="V6">
        <f t="shared" ref="V6:V19" si="3">E6/S6</f>
        <v>0.751313085179265</v>
      </c>
      <c r="W6">
        <f t="shared" ref="W6:W19" si="4">F6/S6</f>
        <v>5.37794016898835</v>
      </c>
      <c r="X6">
        <f t="shared" ref="X6:X19" si="5">G6/S6</f>
        <v>1.74012331582553</v>
      </c>
      <c r="Y6">
        <f t="shared" ref="Y6:Y19" si="6">H6/S6</f>
        <v>13.0965973966659</v>
      </c>
      <c r="Z6">
        <f t="shared" ref="Z6:Z19" si="7">I6/S6</f>
        <v>13.3797670701073</v>
      </c>
      <c r="AA6">
        <f t="shared" ref="AA6:AA19" si="8">J6/S6</f>
        <v>4.5626855446449</v>
      </c>
      <c r="AB6">
        <f t="shared" ref="AB6:AB19" si="9">K6/S6</f>
        <v>1.01735556063028</v>
      </c>
      <c r="AC6">
        <f t="shared" ref="AC6:AC19" si="10">L6/S6</f>
        <v>0.0188399177894496</v>
      </c>
      <c r="AD6">
        <f t="shared" ref="AD6:AD19" si="11">M6/S6</f>
        <v>2.6941082438913</v>
      </c>
      <c r="AE6">
        <f t="shared" ref="AE6:AE19" si="12">N6/S6</f>
        <v>1.48435715916876</v>
      </c>
      <c r="AF6">
        <f t="shared" ref="AF6:AF19" si="13">O6/S6</f>
        <v>3.25416761817767</v>
      </c>
    </row>
    <row r="7" ht="28" customHeight="1" spans="1:32">
      <c r="A7" s="9">
        <v>3</v>
      </c>
      <c r="B7" s="10" t="s">
        <v>22</v>
      </c>
      <c r="C7" s="10">
        <f>'附件2-1-1'!E7</f>
        <v>5442</v>
      </c>
      <c r="D7" s="11">
        <f>'附件2-1-2 '!U8</f>
        <v>70800</v>
      </c>
      <c r="E7" s="11">
        <f>'附件2-1-3'!E7</f>
        <v>990</v>
      </c>
      <c r="F7" s="11">
        <f>'附件2-1-4'!K8</f>
        <v>26310</v>
      </c>
      <c r="G7" s="10">
        <f>'附件2-1-5'!I8</f>
        <v>16200</v>
      </c>
      <c r="H7" s="10">
        <f>'附件2-1-6'!E7</f>
        <v>84000</v>
      </c>
      <c r="I7" s="10">
        <f>'附件2-1-7'!E7</f>
        <v>77490</v>
      </c>
      <c r="J7" s="10">
        <f>'附件2-1-8'!E7</f>
        <v>20520</v>
      </c>
      <c r="K7" s="10">
        <f>'附件2-1-9'!E7</f>
        <v>7560</v>
      </c>
      <c r="L7" s="10">
        <f>'附件2-1-10'!G8</f>
        <v>45</v>
      </c>
      <c r="M7" s="10">
        <f>'附件2-1-11'!H8</f>
        <v>17940</v>
      </c>
      <c r="N7" s="10">
        <f>'附件2-1-12'!H8</f>
        <v>22000</v>
      </c>
      <c r="O7" s="10">
        <f>'附件2-1-13'!J8</f>
        <v>49000</v>
      </c>
      <c r="P7" s="21">
        <f t="shared" si="0"/>
        <v>398297</v>
      </c>
      <c r="Q7">
        <f>P7/'附件2-2'!C7</f>
        <v>59.1735254791264</v>
      </c>
      <c r="S7">
        <v>8021</v>
      </c>
      <c r="T7">
        <f t="shared" si="1"/>
        <v>0.678469018825583</v>
      </c>
      <c r="U7">
        <f t="shared" si="2"/>
        <v>8.82682957237252</v>
      </c>
      <c r="V7">
        <f t="shared" si="3"/>
        <v>0.123426006732328</v>
      </c>
      <c r="W7">
        <f t="shared" si="4"/>
        <v>3.28013963346216</v>
      </c>
      <c r="X7">
        <f t="shared" si="5"/>
        <v>2.01969829198354</v>
      </c>
      <c r="Y7">
        <f t="shared" si="6"/>
        <v>10.4725096621369</v>
      </c>
      <c r="Z7">
        <f t="shared" si="7"/>
        <v>9.66089016332128</v>
      </c>
      <c r="AA7">
        <f t="shared" si="8"/>
        <v>2.55828450317915</v>
      </c>
      <c r="AB7">
        <f t="shared" si="9"/>
        <v>0.94252586959232</v>
      </c>
      <c r="AC7">
        <f t="shared" si="10"/>
        <v>0.00561027303328762</v>
      </c>
      <c r="AD7">
        <f t="shared" si="11"/>
        <v>2.23662884927066</v>
      </c>
      <c r="AE7">
        <f t="shared" si="12"/>
        <v>2.74280014960728</v>
      </c>
      <c r="AF7">
        <f t="shared" si="13"/>
        <v>6.10896396957985</v>
      </c>
    </row>
    <row r="8" ht="28" customHeight="1" spans="1:32">
      <c r="A8" s="9">
        <v>4</v>
      </c>
      <c r="B8" s="10" t="s">
        <v>24</v>
      </c>
      <c r="C8" s="10">
        <f>'附件2-1-1'!E8</f>
        <v>50670</v>
      </c>
      <c r="D8" s="11">
        <f>'附件2-1-2 '!U9</f>
        <v>119800</v>
      </c>
      <c r="E8" s="11">
        <f>'附件2-1-3'!E8</f>
        <v>24010</v>
      </c>
      <c r="F8" s="11">
        <f>'附件2-1-4'!K9</f>
        <v>213250</v>
      </c>
      <c r="G8" s="10">
        <f>'附件2-1-5'!I9</f>
        <v>72240</v>
      </c>
      <c r="H8" s="10">
        <f>'附件2-1-6'!E8</f>
        <v>451800</v>
      </c>
      <c r="I8" s="10">
        <f>'附件2-1-7'!E8</f>
        <v>412020</v>
      </c>
      <c r="J8" s="10">
        <f>'附件2-1-8'!E8</f>
        <v>141210</v>
      </c>
      <c r="K8" s="10">
        <f>'附件2-1-9'!E8</f>
        <v>49950</v>
      </c>
      <c r="L8" s="10">
        <f>'附件2-1-10'!G9</f>
        <v>420</v>
      </c>
      <c r="M8" s="10">
        <f>'附件2-1-11'!H9</f>
        <v>106380</v>
      </c>
      <c r="N8" s="10">
        <f>'附件2-1-12'!H9</f>
        <v>33000</v>
      </c>
      <c r="O8" s="10">
        <f>'附件2-1-13'!J9</f>
        <v>71000</v>
      </c>
      <c r="P8" s="21">
        <f t="shared" si="0"/>
        <v>1745750</v>
      </c>
      <c r="Q8">
        <f>P8/'附件2-2'!C8</f>
        <v>56.2274542643649</v>
      </c>
      <c r="S8">
        <v>37000</v>
      </c>
      <c r="T8">
        <f t="shared" si="1"/>
        <v>1.36945945945946</v>
      </c>
      <c r="U8">
        <f t="shared" si="2"/>
        <v>3.23783783783784</v>
      </c>
      <c r="V8">
        <f t="shared" si="3"/>
        <v>0.648918918918919</v>
      </c>
      <c r="W8">
        <f t="shared" si="4"/>
        <v>5.76351351351351</v>
      </c>
      <c r="X8">
        <f t="shared" si="5"/>
        <v>1.95243243243243</v>
      </c>
      <c r="Y8">
        <f t="shared" si="6"/>
        <v>12.2108108108108</v>
      </c>
      <c r="Z8">
        <f t="shared" si="7"/>
        <v>11.1356756756757</v>
      </c>
      <c r="AA8">
        <f t="shared" si="8"/>
        <v>3.81648648648649</v>
      </c>
      <c r="AB8">
        <f t="shared" si="9"/>
        <v>1.35</v>
      </c>
      <c r="AC8">
        <f t="shared" si="10"/>
        <v>0.0113513513513514</v>
      </c>
      <c r="AD8">
        <f t="shared" si="11"/>
        <v>2.87513513513514</v>
      </c>
      <c r="AE8">
        <f t="shared" si="12"/>
        <v>0.891891891891892</v>
      </c>
      <c r="AF8">
        <f t="shared" si="13"/>
        <v>1.91891891891892</v>
      </c>
    </row>
    <row r="9" ht="28" customHeight="1" spans="1:32">
      <c r="A9" s="9">
        <v>5</v>
      </c>
      <c r="B9" s="10" t="s">
        <v>26</v>
      </c>
      <c r="C9" s="10">
        <f>'附件2-1-1'!E9</f>
        <v>29685</v>
      </c>
      <c r="D9" s="11">
        <f>'附件2-1-2 '!U10</f>
        <v>104600</v>
      </c>
      <c r="E9" s="11">
        <f>'附件2-1-3'!E9</f>
        <v>20010</v>
      </c>
      <c r="F9" s="11">
        <f>'附件2-1-4'!K10</f>
        <v>139550</v>
      </c>
      <c r="G9" s="10">
        <f>'附件2-1-5'!I10</f>
        <v>50140</v>
      </c>
      <c r="H9" s="10">
        <f>'附件2-1-6'!E9</f>
        <v>292000</v>
      </c>
      <c r="I9" s="10">
        <f>'附件2-1-7'!E9</f>
        <v>272700</v>
      </c>
      <c r="J9" s="10">
        <f>'附件2-1-8'!E9</f>
        <v>90450</v>
      </c>
      <c r="K9" s="10">
        <f>'附件2-1-9'!E9</f>
        <v>31320</v>
      </c>
      <c r="L9" s="10">
        <f>'附件2-1-10'!G10</f>
        <v>525</v>
      </c>
      <c r="M9" s="10">
        <f>'附件2-1-11'!H10</f>
        <v>63390</v>
      </c>
      <c r="N9" s="10">
        <f>'附件2-1-12'!H10</f>
        <v>29000</v>
      </c>
      <c r="O9" s="10">
        <f>'附件2-1-13'!J10</f>
        <v>63000</v>
      </c>
      <c r="P9" s="21">
        <f t="shared" si="0"/>
        <v>1186370</v>
      </c>
      <c r="Q9">
        <f>P9/'附件2-2'!C9</f>
        <v>57.8717073170732</v>
      </c>
      <c r="S9">
        <v>25600</v>
      </c>
      <c r="T9">
        <f t="shared" si="1"/>
        <v>1.1595703125</v>
      </c>
      <c r="U9">
        <f t="shared" si="2"/>
        <v>4.0859375</v>
      </c>
      <c r="V9">
        <f t="shared" si="3"/>
        <v>0.781640625</v>
      </c>
      <c r="W9">
        <f t="shared" si="4"/>
        <v>5.451171875</v>
      </c>
      <c r="X9">
        <f t="shared" si="5"/>
        <v>1.95859375</v>
      </c>
      <c r="Y9">
        <f t="shared" si="6"/>
        <v>11.40625</v>
      </c>
      <c r="Z9">
        <f t="shared" si="7"/>
        <v>10.65234375</v>
      </c>
      <c r="AA9">
        <f t="shared" si="8"/>
        <v>3.533203125</v>
      </c>
      <c r="AB9">
        <f t="shared" si="9"/>
        <v>1.2234375</v>
      </c>
      <c r="AC9">
        <f t="shared" si="10"/>
        <v>0.0205078125</v>
      </c>
      <c r="AD9">
        <f t="shared" si="11"/>
        <v>2.476171875</v>
      </c>
      <c r="AE9">
        <f t="shared" si="12"/>
        <v>1.1328125</v>
      </c>
      <c r="AF9">
        <f t="shared" si="13"/>
        <v>2.4609375</v>
      </c>
    </row>
    <row r="10" ht="28" customHeight="1" spans="1:32">
      <c r="A10" s="9">
        <v>6</v>
      </c>
      <c r="B10" s="10" t="s">
        <v>28</v>
      </c>
      <c r="C10" s="10">
        <f>'附件2-1-1'!E10</f>
        <v>21315</v>
      </c>
      <c r="D10" s="11">
        <f>'附件2-1-2 '!U11</f>
        <v>89400</v>
      </c>
      <c r="E10" s="11">
        <f>'附件2-1-3'!E10</f>
        <v>8830</v>
      </c>
      <c r="F10" s="11">
        <f>'附件2-1-4'!K11</f>
        <v>71000</v>
      </c>
      <c r="G10" s="10">
        <f>'附件2-1-5'!I11</f>
        <v>35160</v>
      </c>
      <c r="H10" s="10">
        <f>'附件2-1-6'!E10</f>
        <v>237400</v>
      </c>
      <c r="I10" s="10">
        <f>'附件2-1-7'!E10</f>
        <v>196560</v>
      </c>
      <c r="J10" s="10">
        <f>'附件2-1-8'!E10</f>
        <v>74520</v>
      </c>
      <c r="K10" s="10">
        <f>'附件2-1-9'!E10</f>
        <v>22410</v>
      </c>
      <c r="L10" s="10">
        <f>'附件2-1-10'!G11</f>
        <v>480</v>
      </c>
      <c r="M10" s="10">
        <f>'附件2-1-11'!H11</f>
        <v>46500</v>
      </c>
      <c r="N10" s="10">
        <f>'附件2-1-12'!H11</f>
        <v>25000</v>
      </c>
      <c r="O10" s="10">
        <f>'附件2-1-13'!J11</f>
        <v>55000</v>
      </c>
      <c r="P10" s="21">
        <f t="shared" si="0"/>
        <v>883575</v>
      </c>
      <c r="Q10">
        <f>P10/'附件2-2'!C10</f>
        <v>59.1534444667604</v>
      </c>
      <c r="S10">
        <v>17800</v>
      </c>
      <c r="T10">
        <f t="shared" si="1"/>
        <v>1.19747191011236</v>
      </c>
      <c r="U10">
        <f t="shared" si="2"/>
        <v>5.02247191011236</v>
      </c>
      <c r="V10">
        <f t="shared" si="3"/>
        <v>0.496067415730337</v>
      </c>
      <c r="W10">
        <f t="shared" si="4"/>
        <v>3.98876404494382</v>
      </c>
      <c r="X10">
        <f t="shared" si="5"/>
        <v>1.9752808988764</v>
      </c>
      <c r="Y10">
        <f t="shared" si="6"/>
        <v>13.3370786516854</v>
      </c>
      <c r="Z10">
        <f t="shared" si="7"/>
        <v>11.0426966292135</v>
      </c>
      <c r="AA10">
        <f t="shared" si="8"/>
        <v>4.18651685393258</v>
      </c>
      <c r="AB10">
        <f t="shared" si="9"/>
        <v>1.25898876404494</v>
      </c>
      <c r="AC10">
        <f t="shared" si="10"/>
        <v>0.0269662921348315</v>
      </c>
      <c r="AD10">
        <f t="shared" si="11"/>
        <v>2.6123595505618</v>
      </c>
      <c r="AE10">
        <f t="shared" si="12"/>
        <v>1.40449438202247</v>
      </c>
      <c r="AF10">
        <f t="shared" si="13"/>
        <v>3.08988764044944</v>
      </c>
    </row>
    <row r="11" ht="28" customHeight="1" spans="1:32">
      <c r="A11" s="9">
        <v>7</v>
      </c>
      <c r="B11" s="10" t="s">
        <v>30</v>
      </c>
      <c r="C11" s="10">
        <f>'附件2-1-1'!E11</f>
        <v>74253</v>
      </c>
      <c r="D11" s="11">
        <f>'附件2-1-2 '!U12</f>
        <v>117700</v>
      </c>
      <c r="E11" s="11">
        <f>'附件2-1-3'!E11</f>
        <v>41680</v>
      </c>
      <c r="F11" s="11">
        <f>'附件2-1-4'!K12</f>
        <v>196780</v>
      </c>
      <c r="G11" s="10">
        <f>'附件2-1-5'!I12</f>
        <v>60800</v>
      </c>
      <c r="H11" s="10">
        <f>'附件2-1-6'!E11</f>
        <v>394600</v>
      </c>
      <c r="I11" s="10">
        <f>'附件2-1-7'!E11</f>
        <v>381510</v>
      </c>
      <c r="J11" s="10">
        <f>'附件2-1-8'!E11</f>
        <v>132840</v>
      </c>
      <c r="K11" s="10">
        <f>'附件2-1-9'!E11</f>
        <v>36180</v>
      </c>
      <c r="L11" s="10">
        <f>'附件2-1-10'!G12</f>
        <v>1185</v>
      </c>
      <c r="M11" s="10">
        <f>'附件2-1-11'!H12</f>
        <v>86010</v>
      </c>
      <c r="N11" s="10">
        <f>'附件2-1-12'!H12</f>
        <v>33000</v>
      </c>
      <c r="O11" s="10">
        <f>'附件2-1-13'!J12</f>
        <v>71000</v>
      </c>
      <c r="P11" s="21">
        <f t="shared" si="0"/>
        <v>1627538</v>
      </c>
      <c r="Q11">
        <f>P11/'附件2-2'!C11</f>
        <v>59.2456772596556</v>
      </c>
      <c r="S11">
        <v>32738</v>
      </c>
      <c r="T11">
        <f t="shared" si="1"/>
        <v>2.26809823446759</v>
      </c>
      <c r="U11">
        <f t="shared" si="2"/>
        <v>3.59521045879406</v>
      </c>
      <c r="V11">
        <f t="shared" si="3"/>
        <v>1.27313824912945</v>
      </c>
      <c r="W11">
        <f t="shared" si="4"/>
        <v>6.01075203127864</v>
      </c>
      <c r="X11">
        <f t="shared" si="5"/>
        <v>1.8571690390372</v>
      </c>
      <c r="Y11">
        <f t="shared" si="6"/>
        <v>12.0532714276987</v>
      </c>
      <c r="Z11">
        <f t="shared" si="7"/>
        <v>11.6534302645244</v>
      </c>
      <c r="AA11">
        <f t="shared" si="8"/>
        <v>4.05766998594905</v>
      </c>
      <c r="AB11">
        <f t="shared" si="9"/>
        <v>1.10513776040076</v>
      </c>
      <c r="AC11">
        <f t="shared" si="10"/>
        <v>0.0361964689351824</v>
      </c>
      <c r="AD11">
        <f t="shared" si="11"/>
        <v>2.62722218828273</v>
      </c>
      <c r="AE11">
        <f t="shared" si="12"/>
        <v>1.00800293237217</v>
      </c>
      <c r="AF11">
        <f t="shared" si="13"/>
        <v>2.16873358177042</v>
      </c>
    </row>
    <row r="12" ht="28" customHeight="1" spans="1:32">
      <c r="A12" s="9">
        <v>8</v>
      </c>
      <c r="B12" s="10" t="s">
        <v>32</v>
      </c>
      <c r="C12" s="10">
        <f>'附件2-1-1'!E12</f>
        <v>92874</v>
      </c>
      <c r="D12" s="11">
        <f>'附件2-1-2 '!U13</f>
        <v>141800</v>
      </c>
      <c r="E12" s="11">
        <f>'附件2-1-3'!E12</f>
        <v>69720</v>
      </c>
      <c r="F12" s="11">
        <f>'附件2-1-4'!K13</f>
        <v>339320</v>
      </c>
      <c r="G12" s="10">
        <f>'附件2-1-5'!I13</f>
        <v>108280</v>
      </c>
      <c r="H12" s="10">
        <f>'附件2-1-6'!E12</f>
        <v>628000</v>
      </c>
      <c r="I12" s="10">
        <f>'附件2-1-7'!E12</f>
        <v>560520</v>
      </c>
      <c r="J12" s="10">
        <f>'附件2-1-8'!E12</f>
        <v>187380</v>
      </c>
      <c r="K12" s="10">
        <f>'附件2-1-9'!E12</f>
        <v>61290</v>
      </c>
      <c r="L12" s="10">
        <f>'附件2-1-10'!G13</f>
        <v>1710</v>
      </c>
      <c r="M12" s="10">
        <f>'附件2-1-11'!H13</f>
        <v>141270</v>
      </c>
      <c r="N12" s="10">
        <f>'附件2-1-12'!H13</f>
        <v>41000</v>
      </c>
      <c r="O12" s="10">
        <f>'附件2-1-13'!J13</f>
        <v>87000</v>
      </c>
      <c r="P12" s="21">
        <f t="shared" si="0"/>
        <v>2460164</v>
      </c>
      <c r="Q12">
        <f>P12/'附件2-2'!C12</f>
        <v>57.0393452505159</v>
      </c>
      <c r="S12">
        <v>51400</v>
      </c>
      <c r="T12">
        <f t="shared" si="1"/>
        <v>1.80688715953307</v>
      </c>
      <c r="U12">
        <f t="shared" si="2"/>
        <v>2.75875486381323</v>
      </c>
      <c r="V12">
        <f t="shared" si="3"/>
        <v>1.35642023346304</v>
      </c>
      <c r="W12">
        <f t="shared" si="4"/>
        <v>6.60155642023346</v>
      </c>
      <c r="X12">
        <f t="shared" si="5"/>
        <v>2.10661478599222</v>
      </c>
      <c r="Y12">
        <f t="shared" si="6"/>
        <v>12.2178988326848</v>
      </c>
      <c r="Z12">
        <f t="shared" si="7"/>
        <v>10.9050583657588</v>
      </c>
      <c r="AA12">
        <f t="shared" si="8"/>
        <v>3.64552529182879</v>
      </c>
      <c r="AB12">
        <f t="shared" si="9"/>
        <v>1.19241245136187</v>
      </c>
      <c r="AC12">
        <f t="shared" si="10"/>
        <v>0.0332684824902724</v>
      </c>
      <c r="AD12">
        <f t="shared" si="11"/>
        <v>2.74844357976654</v>
      </c>
      <c r="AE12">
        <f t="shared" si="12"/>
        <v>0.797665369649805</v>
      </c>
      <c r="AF12">
        <f t="shared" si="13"/>
        <v>1.69260700389105</v>
      </c>
    </row>
    <row r="13" ht="28" customHeight="1" spans="1:32">
      <c r="A13" s="9">
        <v>9</v>
      </c>
      <c r="B13" s="10" t="s">
        <v>34</v>
      </c>
      <c r="C13" s="10">
        <f>'附件2-1-1'!E13</f>
        <v>11850</v>
      </c>
      <c r="D13" s="11">
        <f>'附件2-1-2 '!U14</f>
        <v>60200</v>
      </c>
      <c r="E13" s="11">
        <f>'附件2-1-3'!E13</f>
        <v>1250</v>
      </c>
      <c r="F13" s="11">
        <f>'附件2-1-4'!K14</f>
        <v>45560</v>
      </c>
      <c r="G13" s="10">
        <f>'附件2-1-5'!I14</f>
        <v>15560</v>
      </c>
      <c r="H13" s="10">
        <f>'附件2-1-6'!E13</f>
        <v>100200</v>
      </c>
      <c r="I13" s="10">
        <f>'附件2-1-7'!E13</f>
        <v>103140</v>
      </c>
      <c r="J13" s="10">
        <f>'附件2-1-8'!E13</f>
        <v>19980</v>
      </c>
      <c r="K13" s="10">
        <f>'附件2-1-9'!E13</f>
        <v>11610</v>
      </c>
      <c r="L13" s="10">
        <f>'附件2-1-10'!G14</f>
        <v>420</v>
      </c>
      <c r="M13" s="10">
        <f>'附件2-1-11'!H14</f>
        <v>26940</v>
      </c>
      <c r="N13" s="10">
        <f>'附件2-1-12'!H14</f>
        <v>23000</v>
      </c>
      <c r="O13" s="10">
        <f>'附件2-1-13'!J14</f>
        <v>51000</v>
      </c>
      <c r="P13" s="21">
        <f t="shared" si="0"/>
        <v>470710</v>
      </c>
      <c r="Q13" s="62">
        <f>P13/'附件2-2'!C13</f>
        <v>58.83875</v>
      </c>
      <c r="S13" s="62">
        <v>11300</v>
      </c>
      <c r="T13" s="62">
        <f t="shared" si="1"/>
        <v>1.04867256637168</v>
      </c>
      <c r="U13" s="62">
        <f t="shared" si="2"/>
        <v>5.32743362831858</v>
      </c>
      <c r="V13" s="62">
        <f t="shared" si="3"/>
        <v>0.110619469026549</v>
      </c>
      <c r="W13" s="62">
        <f t="shared" si="4"/>
        <v>4.03185840707965</v>
      </c>
      <c r="X13" s="62">
        <f t="shared" si="5"/>
        <v>1.37699115044248</v>
      </c>
      <c r="Y13" s="62">
        <f t="shared" si="6"/>
        <v>8.86725663716814</v>
      </c>
      <c r="Z13" s="62">
        <f t="shared" si="7"/>
        <v>9.12743362831858</v>
      </c>
      <c r="AA13" s="62">
        <f t="shared" si="8"/>
        <v>1.76814159292035</v>
      </c>
      <c r="AB13" s="62">
        <f t="shared" si="9"/>
        <v>1.02743362831858</v>
      </c>
      <c r="AC13" s="62">
        <f t="shared" si="10"/>
        <v>0.0371681415929204</v>
      </c>
      <c r="AD13" s="62">
        <f t="shared" si="11"/>
        <v>2.38407079646018</v>
      </c>
      <c r="AE13" s="62">
        <f t="shared" si="12"/>
        <v>2.0353982300885</v>
      </c>
      <c r="AF13" s="62">
        <f t="shared" si="13"/>
        <v>4.51327433628319</v>
      </c>
    </row>
    <row r="14" s="59" customFormat="1" ht="28" customHeight="1" spans="1:32">
      <c r="A14" s="60">
        <v>10</v>
      </c>
      <c r="B14" s="10" t="s">
        <v>36</v>
      </c>
      <c r="C14" s="10">
        <f>'附件2-1-1'!E14</f>
        <v>19059</v>
      </c>
      <c r="D14" s="11">
        <f>'附件2-1-2 '!U15</f>
        <v>100800</v>
      </c>
      <c r="E14" s="11">
        <f>'附件2-1-3'!E14</f>
        <v>102190</v>
      </c>
      <c r="F14" s="11">
        <f>'附件2-1-4'!K15</f>
        <v>202370</v>
      </c>
      <c r="G14" s="10">
        <f>'附件2-1-5'!I15</f>
        <v>64680</v>
      </c>
      <c r="H14" s="10">
        <f>'附件2-1-6'!E14</f>
        <v>369600</v>
      </c>
      <c r="I14" s="10">
        <f>'附件2-1-7'!E14</f>
        <v>345330</v>
      </c>
      <c r="J14" s="10">
        <f>'附件2-1-8'!E14</f>
        <v>119880</v>
      </c>
      <c r="K14" s="10">
        <f>'附件2-1-9'!E14</f>
        <v>32130</v>
      </c>
      <c r="L14" s="10">
        <f>'附件2-1-10'!G15</f>
        <v>1380</v>
      </c>
      <c r="M14" s="10">
        <f>'附件2-1-11'!H15</f>
        <v>84600</v>
      </c>
      <c r="N14" s="10">
        <f>'附件2-1-12'!H15</f>
        <v>28000</v>
      </c>
      <c r="O14" s="10">
        <f>'附件2-1-13'!J15</f>
        <v>61000</v>
      </c>
      <c r="P14" s="21">
        <f t="shared" si="0"/>
        <v>1531019</v>
      </c>
      <c r="Q14" s="59">
        <f>P14/'附件2-2'!C14</f>
        <v>55.122196219622</v>
      </c>
      <c r="S14" s="59">
        <v>33100</v>
      </c>
      <c r="T14" s="59">
        <f t="shared" si="1"/>
        <v>0.575800604229607</v>
      </c>
      <c r="U14" s="59">
        <f t="shared" si="2"/>
        <v>3.04531722054381</v>
      </c>
      <c r="V14" s="59">
        <f t="shared" si="3"/>
        <v>3.08731117824773</v>
      </c>
      <c r="W14" s="59">
        <f t="shared" si="4"/>
        <v>6.11389728096677</v>
      </c>
      <c r="X14" s="59">
        <f t="shared" si="5"/>
        <v>1.95407854984894</v>
      </c>
      <c r="Y14" s="59">
        <f t="shared" si="6"/>
        <v>11.166163141994</v>
      </c>
      <c r="Z14" s="59">
        <f t="shared" si="7"/>
        <v>10.4329305135952</v>
      </c>
      <c r="AA14" s="59">
        <f t="shared" si="8"/>
        <v>3.62175226586103</v>
      </c>
      <c r="AB14" s="59">
        <f t="shared" si="9"/>
        <v>0.970694864048338</v>
      </c>
      <c r="AC14" s="59">
        <f t="shared" si="10"/>
        <v>0.0416918429003021</v>
      </c>
      <c r="AD14" s="59">
        <f t="shared" si="11"/>
        <v>2.55589123867069</v>
      </c>
      <c r="AE14" s="59">
        <f t="shared" si="12"/>
        <v>0.845921450151057</v>
      </c>
      <c r="AF14" s="59">
        <f t="shared" si="13"/>
        <v>1.8429003021148</v>
      </c>
    </row>
    <row r="15" s="59" customFormat="1" ht="28" customHeight="1" spans="1:32">
      <c r="A15" s="60">
        <v>11</v>
      </c>
      <c r="B15" s="10" t="s">
        <v>38</v>
      </c>
      <c r="C15" s="10">
        <f>'附件2-1-1'!E15</f>
        <v>88734</v>
      </c>
      <c r="D15" s="11">
        <f>'附件2-1-2 '!U16</f>
        <v>135000</v>
      </c>
      <c r="E15" s="11">
        <f>'附件2-1-3'!E15</f>
        <v>73910</v>
      </c>
      <c r="F15" s="11">
        <f>'附件2-1-4'!K16</f>
        <v>305830</v>
      </c>
      <c r="G15" s="10">
        <f>'附件2-1-5'!I16</f>
        <v>105880</v>
      </c>
      <c r="H15" s="10">
        <f>'附件2-1-6'!E15</f>
        <v>638200</v>
      </c>
      <c r="I15" s="10">
        <f>'附件2-1-7'!E15</f>
        <v>572940</v>
      </c>
      <c r="J15" s="10">
        <f>'附件2-1-8'!E15</f>
        <v>178740</v>
      </c>
      <c r="K15" s="10">
        <f>'附件2-1-9'!E15</f>
        <v>58860</v>
      </c>
      <c r="L15" s="10">
        <f>'附件2-1-10'!G16</f>
        <v>1695</v>
      </c>
      <c r="M15" s="10">
        <f>'附件2-1-11'!H16</f>
        <v>122850</v>
      </c>
      <c r="N15" s="10">
        <f>'附件2-1-12'!H16</f>
        <v>37000</v>
      </c>
      <c r="O15" s="10">
        <f>'附件2-1-13'!J16</f>
        <v>79000</v>
      </c>
      <c r="P15" s="21">
        <f t="shared" si="0"/>
        <v>2398639</v>
      </c>
      <c r="Q15" s="59">
        <f>P15/'附件2-2'!C15</f>
        <v>58.6564693223779</v>
      </c>
      <c r="S15" s="59">
        <v>48733</v>
      </c>
      <c r="T15" s="59">
        <f t="shared" si="1"/>
        <v>1.8208195678493</v>
      </c>
      <c r="U15" s="59">
        <f t="shared" si="2"/>
        <v>2.77019678657173</v>
      </c>
      <c r="V15" s="59">
        <f t="shared" si="3"/>
        <v>1.51663144070753</v>
      </c>
      <c r="W15" s="59">
        <f t="shared" si="4"/>
        <v>6.27562432027579</v>
      </c>
      <c r="X15" s="59">
        <f t="shared" si="5"/>
        <v>2.17265507972011</v>
      </c>
      <c r="Y15" s="59">
        <f t="shared" si="6"/>
        <v>13.0958488088154</v>
      </c>
      <c r="Z15" s="59">
        <f t="shared" si="7"/>
        <v>11.7567151622104</v>
      </c>
      <c r="AA15" s="59">
        <f t="shared" si="8"/>
        <v>3.66774054542097</v>
      </c>
      <c r="AB15" s="59">
        <f t="shared" si="9"/>
        <v>1.20780579894527</v>
      </c>
      <c r="AC15" s="59">
        <f t="shared" si="10"/>
        <v>0.0347813596536228</v>
      </c>
      <c r="AD15" s="59">
        <f t="shared" si="11"/>
        <v>2.52087907578027</v>
      </c>
      <c r="AE15" s="59">
        <f t="shared" si="12"/>
        <v>0.759239119282622</v>
      </c>
      <c r="AF15" s="59">
        <f t="shared" si="13"/>
        <v>1.62107811954938</v>
      </c>
    </row>
    <row r="16" ht="28" customHeight="1" spans="1:32">
      <c r="A16" s="9">
        <v>12</v>
      </c>
      <c r="B16" s="10" t="s">
        <v>40</v>
      </c>
      <c r="C16" s="10">
        <f>'附件2-1-1'!E16</f>
        <v>67920</v>
      </c>
      <c r="D16" s="11">
        <f>'附件2-1-2 '!U17</f>
        <v>125200</v>
      </c>
      <c r="E16" s="11">
        <f>'附件2-1-3'!E16</f>
        <v>59500</v>
      </c>
      <c r="F16" s="11">
        <f>'附件2-1-4'!K17</f>
        <v>284730</v>
      </c>
      <c r="G16" s="10">
        <f>'附件2-1-5'!I17</f>
        <v>78420</v>
      </c>
      <c r="H16" s="10">
        <f>'附件2-1-6'!E16</f>
        <v>533000</v>
      </c>
      <c r="I16" s="10">
        <f>'附件2-1-7'!E16</f>
        <v>466290</v>
      </c>
      <c r="J16" s="10">
        <f>'附件2-1-8'!E16</f>
        <v>153090</v>
      </c>
      <c r="K16" s="10">
        <f>'附件2-1-9'!E16</f>
        <v>38880</v>
      </c>
      <c r="L16" s="10">
        <f>'附件2-1-10'!G17</f>
        <v>645</v>
      </c>
      <c r="M16" s="10">
        <f>'附件2-1-11'!H17</f>
        <v>117150</v>
      </c>
      <c r="N16" s="10">
        <f>'附件2-1-12'!H17</f>
        <v>36000</v>
      </c>
      <c r="O16" s="10">
        <f>'附件2-1-13'!J17</f>
        <v>77000</v>
      </c>
      <c r="P16" s="21">
        <f t="shared" si="0"/>
        <v>2037825</v>
      </c>
      <c r="Q16">
        <f>P16/'附件2-2'!C16</f>
        <v>63.9077053344623</v>
      </c>
      <c r="S16">
        <v>38000</v>
      </c>
      <c r="T16">
        <f t="shared" si="1"/>
        <v>1.78736842105263</v>
      </c>
      <c r="U16">
        <f t="shared" si="2"/>
        <v>3.29473684210526</v>
      </c>
      <c r="V16">
        <f t="shared" si="3"/>
        <v>1.56578947368421</v>
      </c>
      <c r="W16">
        <f t="shared" si="4"/>
        <v>7.49289473684211</v>
      </c>
      <c r="X16">
        <f t="shared" si="5"/>
        <v>2.06368421052632</v>
      </c>
      <c r="Y16">
        <f t="shared" si="6"/>
        <v>14.0263157894737</v>
      </c>
      <c r="Z16">
        <f t="shared" si="7"/>
        <v>12.2707894736842</v>
      </c>
      <c r="AA16">
        <f t="shared" si="8"/>
        <v>4.02868421052632</v>
      </c>
      <c r="AB16">
        <f t="shared" si="9"/>
        <v>1.02315789473684</v>
      </c>
      <c r="AC16">
        <f t="shared" si="10"/>
        <v>0.0169736842105263</v>
      </c>
      <c r="AD16">
        <f t="shared" si="11"/>
        <v>3.0828947368421</v>
      </c>
      <c r="AE16">
        <f t="shared" si="12"/>
        <v>0.947368421052632</v>
      </c>
      <c r="AF16">
        <f t="shared" si="13"/>
        <v>2.02631578947368</v>
      </c>
    </row>
    <row r="17" ht="28" customHeight="1" spans="1:32">
      <c r="A17" s="9">
        <v>13</v>
      </c>
      <c r="B17" s="10" t="s">
        <v>42</v>
      </c>
      <c r="C17" s="10">
        <f>'附件2-1-1'!E17</f>
        <v>43428</v>
      </c>
      <c r="D17" s="11">
        <f>'附件2-1-2 '!U18</f>
        <v>110500</v>
      </c>
      <c r="E17" s="11">
        <f>'附件2-1-3'!E17</f>
        <v>80180</v>
      </c>
      <c r="F17" s="11">
        <f>'附件2-1-4'!K18</f>
        <v>177080</v>
      </c>
      <c r="G17" s="10">
        <f>'附件2-1-5'!I18</f>
        <v>63000</v>
      </c>
      <c r="H17" s="10">
        <f>'附件2-1-6'!E17</f>
        <v>411000</v>
      </c>
      <c r="I17" s="10">
        <f>'附件2-1-7'!E17</f>
        <v>364770</v>
      </c>
      <c r="J17" s="10">
        <f>'附件2-1-8'!E17</f>
        <v>126900</v>
      </c>
      <c r="K17" s="10">
        <f>'附件2-1-9'!E17</f>
        <v>41310</v>
      </c>
      <c r="L17" s="10">
        <f>'附件2-1-10'!G18</f>
        <v>1785</v>
      </c>
      <c r="M17" s="10">
        <f>'附件2-1-11'!H18</f>
        <v>80760</v>
      </c>
      <c r="N17" s="10">
        <f>'附件2-1-12'!H18</f>
        <v>32000</v>
      </c>
      <c r="O17" s="10">
        <f>'附件2-1-13'!J18</f>
        <v>69000</v>
      </c>
      <c r="P17" s="21">
        <f t="shared" si="0"/>
        <v>1601713</v>
      </c>
      <c r="Q17" s="62">
        <f>P17/'附件2-2'!C17</f>
        <v>52.0104234316145</v>
      </c>
      <c r="S17" s="62">
        <v>36700</v>
      </c>
      <c r="T17" s="62">
        <f t="shared" si="1"/>
        <v>1.1833242506812</v>
      </c>
      <c r="U17" s="62">
        <f t="shared" si="2"/>
        <v>3.01089918256131</v>
      </c>
      <c r="V17" s="62">
        <f t="shared" si="3"/>
        <v>2.18474114441417</v>
      </c>
      <c r="W17" s="62">
        <f t="shared" si="4"/>
        <v>4.82506811989101</v>
      </c>
      <c r="X17" s="62">
        <f t="shared" si="5"/>
        <v>1.71662125340599</v>
      </c>
      <c r="Y17" s="62">
        <f t="shared" si="6"/>
        <v>11.1989100817439</v>
      </c>
      <c r="Z17" s="62">
        <f t="shared" si="7"/>
        <v>9.93923705722071</v>
      </c>
      <c r="AA17" s="62">
        <f t="shared" si="8"/>
        <v>3.45776566757493</v>
      </c>
      <c r="AB17" s="62">
        <f t="shared" si="9"/>
        <v>1.12561307901907</v>
      </c>
      <c r="AC17" s="62">
        <f t="shared" si="10"/>
        <v>0.0486376021798365</v>
      </c>
      <c r="AD17" s="62">
        <f t="shared" si="11"/>
        <v>2.20054495912807</v>
      </c>
      <c r="AE17" s="62">
        <f t="shared" si="12"/>
        <v>0.871934604904632</v>
      </c>
      <c r="AF17" s="62">
        <f t="shared" si="13"/>
        <v>1.88010899182561</v>
      </c>
    </row>
    <row r="18" ht="28" customHeight="1" spans="1:32">
      <c r="A18" s="9">
        <v>14</v>
      </c>
      <c r="B18" s="15" t="s">
        <v>44</v>
      </c>
      <c r="C18" s="10">
        <f>'附件2-1-1'!E18</f>
        <v>7749</v>
      </c>
      <c r="D18" s="11">
        <f>'附件2-1-2 '!U19</f>
        <v>58400</v>
      </c>
      <c r="E18" s="11">
        <f>'附件2-1-3'!E18</f>
        <v>1200</v>
      </c>
      <c r="F18" s="11">
        <f>'附件2-1-4'!K19</f>
        <v>14870</v>
      </c>
      <c r="G18" s="10">
        <f>'附件2-1-5'!I19</f>
        <v>4480</v>
      </c>
      <c r="H18" s="10">
        <f>'附件2-1-6'!E18</f>
        <v>65600</v>
      </c>
      <c r="I18" s="10">
        <f>'附件2-1-7'!E18</f>
        <v>64260</v>
      </c>
      <c r="J18" s="10">
        <f>'附件2-1-8'!E18</f>
        <v>21870</v>
      </c>
      <c r="K18" s="10">
        <f>'附件2-1-9'!E18</f>
        <v>6480</v>
      </c>
      <c r="L18" s="10">
        <f>'附件2-1-10'!G19</f>
        <v>0</v>
      </c>
      <c r="M18" s="10">
        <f>'附件2-1-11'!H19</f>
        <v>12300</v>
      </c>
      <c r="N18" s="10">
        <f>'附件2-1-12'!H19</f>
        <v>20000</v>
      </c>
      <c r="O18" s="10">
        <f>'附件2-1-13'!J19</f>
        <v>45000</v>
      </c>
      <c r="P18" s="21">
        <f t="shared" si="0"/>
        <v>322209</v>
      </c>
      <c r="Q18" s="62">
        <f>P18/'附件2-2'!C18</f>
        <v>69.0546506643806</v>
      </c>
      <c r="S18" s="62">
        <v>5560</v>
      </c>
      <c r="T18" s="62">
        <f t="shared" si="1"/>
        <v>1.39370503597122</v>
      </c>
      <c r="U18" s="62">
        <f t="shared" si="2"/>
        <v>10.5035971223022</v>
      </c>
      <c r="V18" s="62">
        <f t="shared" si="3"/>
        <v>0.215827338129496</v>
      </c>
      <c r="W18" s="62">
        <f t="shared" si="4"/>
        <v>2.67446043165468</v>
      </c>
      <c r="X18" s="62">
        <f t="shared" si="5"/>
        <v>0.805755395683453</v>
      </c>
      <c r="Y18" s="62">
        <f t="shared" si="6"/>
        <v>11.7985611510791</v>
      </c>
      <c r="Z18" s="62">
        <f t="shared" si="7"/>
        <v>11.5575539568345</v>
      </c>
      <c r="AA18" s="62">
        <f t="shared" si="8"/>
        <v>3.93345323741007</v>
      </c>
      <c r="AB18" s="62">
        <f t="shared" si="9"/>
        <v>1.16546762589928</v>
      </c>
      <c r="AC18" s="62">
        <f t="shared" si="10"/>
        <v>0</v>
      </c>
      <c r="AD18" s="62">
        <f t="shared" si="11"/>
        <v>2.21223021582734</v>
      </c>
      <c r="AE18" s="62">
        <f t="shared" si="12"/>
        <v>3.59712230215827</v>
      </c>
      <c r="AF18" s="62">
        <f t="shared" si="13"/>
        <v>8.09352517985612</v>
      </c>
    </row>
    <row r="19" ht="28" customHeight="1" spans="1:32">
      <c r="A19" s="9">
        <v>15</v>
      </c>
      <c r="B19" s="10" t="s">
        <v>46</v>
      </c>
      <c r="C19" s="10">
        <f>'附件2-1-1'!E19</f>
        <v>3450</v>
      </c>
      <c r="D19" s="11">
        <f>'附件2-1-2 '!U20</f>
        <v>59000</v>
      </c>
      <c r="E19" s="11">
        <f>'附件2-1-3'!E19</f>
        <v>2830</v>
      </c>
      <c r="F19" s="11">
        <f>'附件2-1-4'!K20</f>
        <v>11110</v>
      </c>
      <c r="G19" s="10">
        <f>'附件2-1-5'!I20</f>
        <v>3620</v>
      </c>
      <c r="H19" s="10">
        <f>'附件2-1-6'!E19</f>
        <v>53800</v>
      </c>
      <c r="I19" s="10">
        <f>'附件2-1-7'!E19</f>
        <v>54000</v>
      </c>
      <c r="J19" s="10">
        <f>'附件2-1-8'!E19</f>
        <v>17820</v>
      </c>
      <c r="K19" s="10">
        <f>'附件2-1-9'!E19</f>
        <v>6480</v>
      </c>
      <c r="L19" s="10">
        <f>'附件2-1-10'!G20</f>
        <v>150</v>
      </c>
      <c r="M19" s="10">
        <f>'附件2-1-11'!H20</f>
        <v>10500</v>
      </c>
      <c r="N19" s="10">
        <f>'附件2-1-12'!H20</f>
        <v>17000</v>
      </c>
      <c r="O19" s="10">
        <f>'附件2-1-13'!J20</f>
        <v>39000</v>
      </c>
      <c r="P19" s="21">
        <f t="shared" si="0"/>
        <v>278760</v>
      </c>
      <c r="Q19" s="62">
        <f>P19/'附件2-2'!C19</f>
        <v>65.5905882352941</v>
      </c>
      <c r="S19" s="62">
        <v>5065</v>
      </c>
      <c r="T19" s="62">
        <f t="shared" si="1"/>
        <v>0.681145113524186</v>
      </c>
      <c r="U19" s="62">
        <f t="shared" si="2"/>
        <v>11.6485686080948</v>
      </c>
      <c r="V19" s="62">
        <f t="shared" si="3"/>
        <v>0.558736426456071</v>
      </c>
      <c r="W19" s="62">
        <f t="shared" si="4"/>
        <v>2.19348469891412</v>
      </c>
      <c r="X19" s="62">
        <f t="shared" si="5"/>
        <v>0.714708785784798</v>
      </c>
      <c r="Y19" s="62">
        <f t="shared" si="6"/>
        <v>10.6219151036525</v>
      </c>
      <c r="Z19" s="62">
        <f t="shared" si="7"/>
        <v>10.6614017769003</v>
      </c>
      <c r="AA19" s="62">
        <f t="shared" si="8"/>
        <v>3.5182625863771</v>
      </c>
      <c r="AB19" s="62">
        <f t="shared" si="9"/>
        <v>1.27936821322804</v>
      </c>
      <c r="AC19" s="62">
        <f t="shared" si="10"/>
        <v>0.0296150049358342</v>
      </c>
      <c r="AD19" s="62">
        <f t="shared" si="11"/>
        <v>2.07305034550839</v>
      </c>
      <c r="AE19" s="62">
        <f t="shared" si="12"/>
        <v>3.3563672260612</v>
      </c>
      <c r="AF19" s="62">
        <f t="shared" si="13"/>
        <v>7.69990128331688</v>
      </c>
    </row>
    <row r="20" ht="28" customHeight="1" spans="1:17">
      <c r="A20" s="16" t="s">
        <v>75</v>
      </c>
      <c r="B20" s="17"/>
      <c r="C20" s="10">
        <f>SUM(C5:C19)</f>
        <v>714708</v>
      </c>
      <c r="D20" s="10">
        <f>SUM(D5:D19)</f>
        <v>1460600</v>
      </c>
      <c r="E20" s="10">
        <f>SUM(E5:E19)</f>
        <v>746400</v>
      </c>
      <c r="F20" s="10">
        <f>SUM(F5:F19)</f>
        <v>2651100</v>
      </c>
      <c r="G20" s="10">
        <f t="shared" ref="D20:O20" si="14">SUM(G5:G19)</f>
        <v>871700</v>
      </c>
      <c r="H20" s="10">
        <f t="shared" si="14"/>
        <v>5497600</v>
      </c>
      <c r="I20" s="10">
        <f t="shared" si="14"/>
        <v>5148090</v>
      </c>
      <c r="J20" s="10">
        <f t="shared" si="14"/>
        <v>1764720</v>
      </c>
      <c r="K20" s="10">
        <f t="shared" si="14"/>
        <v>504090</v>
      </c>
      <c r="L20" s="10">
        <f t="shared" si="14"/>
        <v>11700</v>
      </c>
      <c r="M20" s="10">
        <f t="shared" si="14"/>
        <v>1183950</v>
      </c>
      <c r="N20" s="10">
        <f t="shared" si="14"/>
        <v>435000</v>
      </c>
      <c r="O20" s="10">
        <f t="shared" si="14"/>
        <v>945000</v>
      </c>
      <c r="P20" s="21">
        <f t="shared" si="0"/>
        <v>21934658</v>
      </c>
      <c r="Q20">
        <f>P20/'附件2-2'!C20</f>
        <v>56.8255388601036</v>
      </c>
    </row>
  </sheetData>
  <autoFilter ref="Q4:AF20">
    <extLst/>
  </autoFilter>
  <mergeCells count="2">
    <mergeCell ref="A2:P2"/>
    <mergeCell ref="A20:B20"/>
  </mergeCells>
  <pageMargins left="0.511805555555556" right="0.471527777777778" top="0.668055555555556" bottom="0.313888888888889" header="0.511805555555556" footer="0.275"/>
  <pageSetup paperSize="9" scale="79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20" sqref="A20:B20"/>
    </sheetView>
  </sheetViews>
  <sheetFormatPr defaultColWidth="9" defaultRowHeight="14.25" outlineLevelCol="6"/>
  <cols>
    <col min="1" max="1" width="8.35" customWidth="1"/>
    <col min="2" max="2" width="23.525" customWidth="1"/>
    <col min="3" max="3" width="13.25" customWidth="1"/>
    <col min="4" max="4" width="12.5" customWidth="1"/>
    <col min="5" max="5" width="13.875" customWidth="1"/>
    <col min="6" max="6" width="10.2333333333333" customWidth="1"/>
  </cols>
  <sheetData>
    <row r="1" ht="33" customHeight="1" spans="1:4">
      <c r="A1" s="2" t="s">
        <v>105</v>
      </c>
      <c r="B1" s="3"/>
      <c r="C1" s="3"/>
      <c r="D1" s="3"/>
    </row>
    <row r="2" ht="36" customHeight="1" spans="1:6">
      <c r="A2" s="4" t="s">
        <v>106</v>
      </c>
      <c r="B2" s="4"/>
      <c r="C2" s="4"/>
      <c r="D2" s="4"/>
      <c r="E2" s="4"/>
      <c r="F2" s="4"/>
    </row>
    <row r="3" ht="26" customHeight="1" spans="6:6">
      <c r="F3" s="5" t="s">
        <v>53</v>
      </c>
    </row>
    <row r="4" ht="53" customHeight="1" spans="1:7">
      <c r="A4" s="6" t="s">
        <v>3</v>
      </c>
      <c r="B4" s="7" t="s">
        <v>54</v>
      </c>
      <c r="C4" s="8" t="s">
        <v>107</v>
      </c>
      <c r="D4" s="8" t="s">
        <v>108</v>
      </c>
      <c r="E4" s="25" t="s">
        <v>109</v>
      </c>
      <c r="F4" s="8" t="s">
        <v>9</v>
      </c>
      <c r="G4" s="28"/>
    </row>
    <row r="5" s="1" customFormat="1" ht="35" customHeight="1" spans="1:6">
      <c r="A5" s="9">
        <v>1</v>
      </c>
      <c r="B5" s="10" t="s">
        <v>18</v>
      </c>
      <c r="C5" s="11">
        <v>52104</v>
      </c>
      <c r="D5" s="11">
        <v>3</v>
      </c>
      <c r="E5" s="21">
        <f>C5*D5</f>
        <v>156312</v>
      </c>
      <c r="F5" s="14"/>
    </row>
    <row r="6" s="1" customFormat="1" ht="35" customHeight="1" spans="1:6">
      <c r="A6" s="9">
        <v>2</v>
      </c>
      <c r="B6" s="10" t="s">
        <v>20</v>
      </c>
      <c r="C6" s="11">
        <v>13989</v>
      </c>
      <c r="D6" s="11">
        <v>3</v>
      </c>
      <c r="E6" s="21">
        <f t="shared" ref="E6:E19" si="0">C6*D6</f>
        <v>41967</v>
      </c>
      <c r="F6" s="14"/>
    </row>
    <row r="7" s="1" customFormat="1" ht="35" customHeight="1" spans="1:6">
      <c r="A7" s="9">
        <v>3</v>
      </c>
      <c r="B7" s="10" t="s">
        <v>22</v>
      </c>
      <c r="C7" s="11">
        <v>1814</v>
      </c>
      <c r="D7" s="11">
        <v>3</v>
      </c>
      <c r="E7" s="21">
        <f t="shared" si="0"/>
        <v>5442</v>
      </c>
      <c r="F7" s="14"/>
    </row>
    <row r="8" s="1" customFormat="1" ht="35" customHeight="1" spans="1:6">
      <c r="A8" s="9">
        <v>4</v>
      </c>
      <c r="B8" s="10" t="s">
        <v>24</v>
      </c>
      <c r="C8" s="11">
        <v>16890</v>
      </c>
      <c r="D8" s="11">
        <v>3</v>
      </c>
      <c r="E8" s="21">
        <f t="shared" si="0"/>
        <v>50670</v>
      </c>
      <c r="F8" s="14"/>
    </row>
    <row r="9" s="1" customFormat="1" ht="35" customHeight="1" spans="1:6">
      <c r="A9" s="9">
        <v>5</v>
      </c>
      <c r="B9" s="10" t="s">
        <v>26</v>
      </c>
      <c r="C9" s="11">
        <v>9895</v>
      </c>
      <c r="D9" s="11">
        <v>3</v>
      </c>
      <c r="E9" s="21">
        <f t="shared" si="0"/>
        <v>29685</v>
      </c>
      <c r="F9" s="14"/>
    </row>
    <row r="10" s="1" customFormat="1" ht="35" customHeight="1" spans="1:6">
      <c r="A10" s="9">
        <v>6</v>
      </c>
      <c r="B10" s="10" t="s">
        <v>28</v>
      </c>
      <c r="C10" s="11">
        <v>7105</v>
      </c>
      <c r="D10" s="11">
        <v>3</v>
      </c>
      <c r="E10" s="21">
        <f t="shared" si="0"/>
        <v>21315</v>
      </c>
      <c r="F10" s="14"/>
    </row>
    <row r="11" s="1" customFormat="1" ht="35" customHeight="1" spans="1:6">
      <c r="A11" s="9">
        <v>7</v>
      </c>
      <c r="B11" s="10" t="s">
        <v>30</v>
      </c>
      <c r="C11" s="11">
        <v>24751</v>
      </c>
      <c r="D11" s="11">
        <v>3</v>
      </c>
      <c r="E11" s="21">
        <f t="shared" si="0"/>
        <v>74253</v>
      </c>
      <c r="F11" s="14"/>
    </row>
    <row r="12" s="1" customFormat="1" ht="35" customHeight="1" spans="1:6">
      <c r="A12" s="9">
        <v>8</v>
      </c>
      <c r="B12" s="10" t="s">
        <v>32</v>
      </c>
      <c r="C12" s="11">
        <v>30958</v>
      </c>
      <c r="D12" s="11">
        <v>3</v>
      </c>
      <c r="E12" s="21">
        <f t="shared" si="0"/>
        <v>92874</v>
      </c>
      <c r="F12" s="14"/>
    </row>
    <row r="13" s="1" customFormat="1" ht="35" customHeight="1" spans="1:6">
      <c r="A13" s="9">
        <v>9</v>
      </c>
      <c r="B13" s="10" t="s">
        <v>34</v>
      </c>
      <c r="C13" s="11">
        <v>3950</v>
      </c>
      <c r="D13" s="11">
        <v>3</v>
      </c>
      <c r="E13" s="21">
        <f t="shared" si="0"/>
        <v>11850</v>
      </c>
      <c r="F13" s="14"/>
    </row>
    <row r="14" s="1" customFormat="1" ht="35" customHeight="1" spans="1:6">
      <c r="A14" s="9">
        <v>10</v>
      </c>
      <c r="B14" s="10" t="s">
        <v>36</v>
      </c>
      <c r="C14" s="11">
        <v>6353</v>
      </c>
      <c r="D14" s="11">
        <v>3</v>
      </c>
      <c r="E14" s="21">
        <f t="shared" si="0"/>
        <v>19059</v>
      </c>
      <c r="F14" s="14"/>
    </row>
    <row r="15" s="1" customFormat="1" ht="35" customHeight="1" spans="1:6">
      <c r="A15" s="9">
        <v>11</v>
      </c>
      <c r="B15" s="10" t="s">
        <v>38</v>
      </c>
      <c r="C15" s="11">
        <v>29578</v>
      </c>
      <c r="D15" s="11">
        <v>3</v>
      </c>
      <c r="E15" s="21">
        <f t="shared" si="0"/>
        <v>88734</v>
      </c>
      <c r="F15" s="14"/>
    </row>
    <row r="16" s="1" customFormat="1" ht="35" customHeight="1" spans="1:6">
      <c r="A16" s="9">
        <v>12</v>
      </c>
      <c r="B16" s="10" t="s">
        <v>40</v>
      </c>
      <c r="C16" s="11">
        <v>22640</v>
      </c>
      <c r="D16" s="11">
        <v>3</v>
      </c>
      <c r="E16" s="21">
        <f t="shared" si="0"/>
        <v>67920</v>
      </c>
      <c r="F16" s="14"/>
    </row>
    <row r="17" s="1" customFormat="1" ht="35" customHeight="1" spans="1:6">
      <c r="A17" s="9">
        <v>13</v>
      </c>
      <c r="B17" s="10" t="s">
        <v>42</v>
      </c>
      <c r="C17" s="11">
        <v>14476</v>
      </c>
      <c r="D17" s="11">
        <v>3</v>
      </c>
      <c r="E17" s="21">
        <f t="shared" si="0"/>
        <v>43428</v>
      </c>
      <c r="F17" s="14"/>
    </row>
    <row r="18" s="1" customFormat="1" ht="35" customHeight="1" spans="1:6">
      <c r="A18" s="9">
        <v>14</v>
      </c>
      <c r="B18" s="15" t="s">
        <v>44</v>
      </c>
      <c r="C18" s="11">
        <v>2583</v>
      </c>
      <c r="D18" s="11">
        <v>3</v>
      </c>
      <c r="E18" s="21">
        <f t="shared" si="0"/>
        <v>7749</v>
      </c>
      <c r="F18" s="14"/>
    </row>
    <row r="19" s="1" customFormat="1" ht="35" customHeight="1" spans="1:6">
      <c r="A19" s="9">
        <v>15</v>
      </c>
      <c r="B19" s="10" t="s">
        <v>46</v>
      </c>
      <c r="C19" s="11">
        <v>1150</v>
      </c>
      <c r="D19" s="11">
        <v>3</v>
      </c>
      <c r="E19" s="21">
        <f t="shared" si="0"/>
        <v>3450</v>
      </c>
      <c r="F19" s="14"/>
    </row>
    <row r="20" s="1" customFormat="1" ht="35" customHeight="1" spans="1:6">
      <c r="A20" s="16" t="s">
        <v>75</v>
      </c>
      <c r="B20" s="17"/>
      <c r="C20" s="19">
        <f>SUM(C5:C19)</f>
        <v>238236</v>
      </c>
      <c r="D20" s="11"/>
      <c r="E20" s="10">
        <f>SUM(E5:E19)</f>
        <v>714708</v>
      </c>
      <c r="F20" s="14"/>
    </row>
  </sheetData>
  <mergeCells count="2">
    <mergeCell ref="A2:F2"/>
    <mergeCell ref="A20:B20"/>
  </mergeCells>
  <pageMargins left="0.707638888888889" right="0.590277777777778" top="0.707638888888889" bottom="0.786805555555556" header="0.511805555555556" footer="0.511805555555556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1"/>
  <sheetViews>
    <sheetView zoomScale="85" zoomScaleNormal="85" workbookViewId="0">
      <selection activeCell="J9" sqref="J9"/>
    </sheetView>
  </sheetViews>
  <sheetFormatPr defaultColWidth="9" defaultRowHeight="14.25"/>
  <cols>
    <col min="1" max="1" width="5.875" style="56" customWidth="1"/>
    <col min="2" max="2" width="22.875" style="57" customWidth="1"/>
    <col min="3" max="3" width="6.875" style="57" customWidth="1"/>
    <col min="4" max="4" width="7.25" style="57" customWidth="1"/>
    <col min="5" max="5" width="6.875" style="57" customWidth="1"/>
    <col min="6" max="20" width="9" style="57"/>
    <col min="21" max="21" width="9.375" style="57"/>
    <col min="22" max="16384" width="9" style="57"/>
  </cols>
  <sheetData>
    <row r="1" ht="20.25" spans="1:13">
      <c r="A1" s="58" t="s">
        <v>110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ht="27" spans="1:21">
      <c r="A2" s="4" t="s">
        <v>111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4" ht="34" customHeight="1" spans="1:21">
      <c r="A4" s="9" t="s">
        <v>3</v>
      </c>
      <c r="B4" s="7" t="s">
        <v>54</v>
      </c>
      <c r="C4" s="29" t="s">
        <v>58</v>
      </c>
      <c r="D4" s="29" t="s">
        <v>59</v>
      </c>
      <c r="E4" s="29" t="s">
        <v>60</v>
      </c>
      <c r="F4" s="7" t="s">
        <v>112</v>
      </c>
      <c r="G4" s="7"/>
      <c r="H4" s="7"/>
      <c r="I4" s="7"/>
      <c r="J4" s="7" t="s">
        <v>113</v>
      </c>
      <c r="K4" s="7"/>
      <c r="L4" s="7"/>
      <c r="M4" s="7"/>
      <c r="N4" s="7"/>
      <c r="O4" s="7" t="s">
        <v>114</v>
      </c>
      <c r="P4" s="7"/>
      <c r="Q4" s="7" t="s">
        <v>115</v>
      </c>
      <c r="R4" s="7"/>
      <c r="S4" s="7"/>
      <c r="T4" s="7"/>
      <c r="U4" s="52" t="s">
        <v>116</v>
      </c>
    </row>
    <row r="5" ht="117" customHeight="1" spans="1:21">
      <c r="A5" s="9"/>
      <c r="B5" s="14"/>
      <c r="C5" s="37"/>
      <c r="D5" s="37"/>
      <c r="E5" s="37"/>
      <c r="F5" s="7" t="s">
        <v>117</v>
      </c>
      <c r="G5" s="7" t="s">
        <v>118</v>
      </c>
      <c r="H5" s="7" t="s">
        <v>119</v>
      </c>
      <c r="I5" s="7" t="s">
        <v>120</v>
      </c>
      <c r="J5" s="7" t="s">
        <v>121</v>
      </c>
      <c r="K5" s="7" t="s">
        <v>122</v>
      </c>
      <c r="L5" s="7" t="s">
        <v>123</v>
      </c>
      <c r="M5" s="7" t="s">
        <v>124</v>
      </c>
      <c r="N5" s="7" t="s">
        <v>125</v>
      </c>
      <c r="O5" s="7" t="s">
        <v>126</v>
      </c>
      <c r="P5" s="7" t="s">
        <v>127</v>
      </c>
      <c r="Q5" s="7" t="s">
        <v>128</v>
      </c>
      <c r="R5" s="7" t="s">
        <v>129</v>
      </c>
      <c r="S5" s="7" t="s">
        <v>130</v>
      </c>
      <c r="T5" s="7" t="s">
        <v>131</v>
      </c>
      <c r="U5" s="9"/>
    </row>
    <row r="6" ht="30" customHeight="1" spans="1:21">
      <c r="A6" s="9">
        <v>1</v>
      </c>
      <c r="B6" s="10" t="s">
        <v>18</v>
      </c>
      <c r="C6" s="10">
        <v>2</v>
      </c>
      <c r="D6" s="10">
        <v>16</v>
      </c>
      <c r="E6" s="10">
        <v>18</v>
      </c>
      <c r="F6" s="11">
        <v>46</v>
      </c>
      <c r="G6" s="11">
        <v>42</v>
      </c>
      <c r="H6" s="10">
        <v>10000</v>
      </c>
      <c r="I6" s="10">
        <f>E6*800</f>
        <v>14400</v>
      </c>
      <c r="J6" s="11">
        <v>4</v>
      </c>
      <c r="K6" s="11">
        <v>24</v>
      </c>
      <c r="L6" s="10">
        <f>K6-12</f>
        <v>12</v>
      </c>
      <c r="M6" s="10">
        <v>2400</v>
      </c>
      <c r="N6" s="10">
        <f>L6*200</f>
        <v>2400</v>
      </c>
      <c r="O6" s="11">
        <v>15</v>
      </c>
      <c r="P6" s="10">
        <v>27000</v>
      </c>
      <c r="Q6" s="11">
        <v>32</v>
      </c>
      <c r="R6" s="10">
        <f>Q6-12</f>
        <v>20</v>
      </c>
      <c r="S6" s="10">
        <v>12000</v>
      </c>
      <c r="T6" s="21">
        <f>R6*300</f>
        <v>6000</v>
      </c>
      <c r="U6" s="9">
        <f>H6+I6+M6+N6+P6+S6+T6</f>
        <v>74200</v>
      </c>
    </row>
    <row r="7" ht="30" customHeight="1" spans="1:21">
      <c r="A7" s="9">
        <v>2</v>
      </c>
      <c r="B7" s="10" t="s">
        <v>20</v>
      </c>
      <c r="C7" s="10">
        <v>8</v>
      </c>
      <c r="D7" s="10">
        <v>3</v>
      </c>
      <c r="E7" s="10">
        <v>11</v>
      </c>
      <c r="F7" s="11">
        <v>77</v>
      </c>
      <c r="G7" s="11">
        <v>28</v>
      </c>
      <c r="H7" s="10">
        <v>10000</v>
      </c>
      <c r="I7" s="10">
        <f t="shared" ref="I7:I20" si="0">E7*800</f>
        <v>8800</v>
      </c>
      <c r="J7" s="11">
        <v>14</v>
      </c>
      <c r="K7" s="11">
        <v>78</v>
      </c>
      <c r="L7" s="10">
        <f t="shared" ref="L6:L20" si="1">K7-12</f>
        <v>66</v>
      </c>
      <c r="M7" s="10">
        <v>2400</v>
      </c>
      <c r="N7" s="10">
        <f t="shared" ref="N6:N20" si="2">L7*200</f>
        <v>13200</v>
      </c>
      <c r="O7" s="11">
        <v>10</v>
      </c>
      <c r="P7" s="10">
        <v>27000</v>
      </c>
      <c r="Q7" s="11">
        <v>78</v>
      </c>
      <c r="R7" s="10">
        <f>Q7-12</f>
        <v>66</v>
      </c>
      <c r="S7" s="10">
        <v>12000</v>
      </c>
      <c r="T7" s="21">
        <f t="shared" ref="T7:T20" si="3">R7*300</f>
        <v>19800</v>
      </c>
      <c r="U7" s="9">
        <f t="shared" ref="U7:U20" si="4">H7+I7+M7+N7+P7+S7+T7</f>
        <v>93200</v>
      </c>
    </row>
    <row r="8" ht="30" customHeight="1" spans="1:21">
      <c r="A8" s="9">
        <v>3</v>
      </c>
      <c r="B8" s="10" t="s">
        <v>22</v>
      </c>
      <c r="C8" s="10">
        <v>1</v>
      </c>
      <c r="D8" s="10">
        <v>6</v>
      </c>
      <c r="E8" s="10">
        <v>7</v>
      </c>
      <c r="F8" s="11">
        <v>22</v>
      </c>
      <c r="G8" s="11">
        <v>19</v>
      </c>
      <c r="H8" s="10">
        <v>10000</v>
      </c>
      <c r="I8" s="10">
        <f t="shared" si="0"/>
        <v>5600</v>
      </c>
      <c r="J8" s="11">
        <v>9</v>
      </c>
      <c r="K8" s="11">
        <v>54</v>
      </c>
      <c r="L8" s="10">
        <f t="shared" si="1"/>
        <v>42</v>
      </c>
      <c r="M8" s="10">
        <v>2400</v>
      </c>
      <c r="N8" s="10">
        <f t="shared" si="2"/>
        <v>8400</v>
      </c>
      <c r="O8" s="11">
        <v>9</v>
      </c>
      <c r="P8" s="10">
        <v>27000</v>
      </c>
      <c r="Q8" s="11">
        <v>30</v>
      </c>
      <c r="R8" s="10">
        <f t="shared" ref="R6:R20" si="5">Q8-12</f>
        <v>18</v>
      </c>
      <c r="S8" s="10">
        <v>12000</v>
      </c>
      <c r="T8" s="21">
        <f t="shared" si="3"/>
        <v>5400</v>
      </c>
      <c r="U8" s="9">
        <f t="shared" si="4"/>
        <v>70800</v>
      </c>
    </row>
    <row r="9" ht="30" customHeight="1" spans="1:21">
      <c r="A9" s="9">
        <v>4</v>
      </c>
      <c r="B9" s="10" t="s">
        <v>24</v>
      </c>
      <c r="C9" s="10">
        <v>8</v>
      </c>
      <c r="D9" s="10">
        <v>10</v>
      </c>
      <c r="E9" s="10">
        <v>18</v>
      </c>
      <c r="F9" s="11">
        <v>92</v>
      </c>
      <c r="G9" s="11">
        <v>26</v>
      </c>
      <c r="H9" s="10">
        <v>10000</v>
      </c>
      <c r="I9" s="10">
        <f t="shared" si="0"/>
        <v>14400</v>
      </c>
      <c r="J9" s="11">
        <v>20</v>
      </c>
      <c r="K9" s="11">
        <v>120</v>
      </c>
      <c r="L9" s="10">
        <f t="shared" si="1"/>
        <v>108</v>
      </c>
      <c r="M9" s="10">
        <v>2400</v>
      </c>
      <c r="N9" s="10">
        <f t="shared" si="2"/>
        <v>21600</v>
      </c>
      <c r="O9" s="11">
        <v>9</v>
      </c>
      <c r="P9" s="10">
        <v>27000</v>
      </c>
      <c r="Q9" s="11">
        <v>120</v>
      </c>
      <c r="R9" s="10">
        <f t="shared" si="5"/>
        <v>108</v>
      </c>
      <c r="S9" s="10">
        <v>12000</v>
      </c>
      <c r="T9" s="21">
        <f t="shared" si="3"/>
        <v>32400</v>
      </c>
      <c r="U9" s="9">
        <f t="shared" si="4"/>
        <v>119800</v>
      </c>
    </row>
    <row r="10" ht="30" customHeight="1" spans="1:21">
      <c r="A10" s="9">
        <v>5</v>
      </c>
      <c r="B10" s="10" t="s">
        <v>26</v>
      </c>
      <c r="C10" s="10">
        <v>9</v>
      </c>
      <c r="D10" s="10">
        <v>5</v>
      </c>
      <c r="E10" s="10">
        <v>14</v>
      </c>
      <c r="F10" s="11">
        <v>93</v>
      </c>
      <c r="G10" s="11">
        <v>26</v>
      </c>
      <c r="H10" s="10">
        <v>10000</v>
      </c>
      <c r="I10" s="10">
        <f t="shared" si="0"/>
        <v>11200</v>
      </c>
      <c r="J10" s="11">
        <v>16</v>
      </c>
      <c r="K10" s="11">
        <v>96</v>
      </c>
      <c r="L10" s="10">
        <f t="shared" si="1"/>
        <v>84</v>
      </c>
      <c r="M10" s="10">
        <v>2400</v>
      </c>
      <c r="N10" s="10">
        <f t="shared" si="2"/>
        <v>16800</v>
      </c>
      <c r="O10" s="11">
        <v>10</v>
      </c>
      <c r="P10" s="10">
        <v>27000</v>
      </c>
      <c r="Q10" s="11">
        <v>96</v>
      </c>
      <c r="R10" s="10">
        <f t="shared" si="5"/>
        <v>84</v>
      </c>
      <c r="S10" s="10">
        <v>12000</v>
      </c>
      <c r="T10" s="21">
        <f t="shared" si="3"/>
        <v>25200</v>
      </c>
      <c r="U10" s="9">
        <f t="shared" si="4"/>
        <v>104600</v>
      </c>
    </row>
    <row r="11" ht="30" customHeight="1" spans="1:21">
      <c r="A11" s="9">
        <v>6</v>
      </c>
      <c r="B11" s="10" t="s">
        <v>28</v>
      </c>
      <c r="C11" s="10">
        <v>8</v>
      </c>
      <c r="D11" s="10">
        <v>2</v>
      </c>
      <c r="E11" s="10">
        <v>10</v>
      </c>
      <c r="F11" s="11">
        <v>44</v>
      </c>
      <c r="G11" s="11">
        <v>29</v>
      </c>
      <c r="H11" s="10">
        <v>10000</v>
      </c>
      <c r="I11" s="10">
        <f t="shared" si="0"/>
        <v>8000</v>
      </c>
      <c r="J11" s="11">
        <v>12</v>
      </c>
      <c r="K11" s="11">
        <v>72</v>
      </c>
      <c r="L11" s="10">
        <f t="shared" si="1"/>
        <v>60</v>
      </c>
      <c r="M11" s="10">
        <v>2400</v>
      </c>
      <c r="N11" s="10">
        <f t="shared" si="2"/>
        <v>12000</v>
      </c>
      <c r="O11" s="11">
        <v>10</v>
      </c>
      <c r="P11" s="10">
        <v>27000</v>
      </c>
      <c r="Q11" s="11">
        <v>72</v>
      </c>
      <c r="R11" s="10">
        <f t="shared" si="5"/>
        <v>60</v>
      </c>
      <c r="S11" s="10">
        <v>12000</v>
      </c>
      <c r="T11" s="21">
        <f t="shared" si="3"/>
        <v>18000</v>
      </c>
      <c r="U11" s="9">
        <f t="shared" si="4"/>
        <v>89400</v>
      </c>
    </row>
    <row r="12" ht="30" customHeight="1" spans="1:21">
      <c r="A12" s="9">
        <v>7</v>
      </c>
      <c r="B12" s="10" t="s">
        <v>30</v>
      </c>
      <c r="C12" s="10">
        <v>12</v>
      </c>
      <c r="D12" s="10">
        <v>6</v>
      </c>
      <c r="E12" s="10">
        <v>18</v>
      </c>
      <c r="F12" s="11">
        <v>49</v>
      </c>
      <c r="G12" s="11">
        <v>34</v>
      </c>
      <c r="H12" s="10">
        <v>10000</v>
      </c>
      <c r="I12" s="10">
        <f t="shared" si="0"/>
        <v>14400</v>
      </c>
      <c r="J12" s="11">
        <v>19</v>
      </c>
      <c r="K12" s="11">
        <v>114</v>
      </c>
      <c r="L12" s="10">
        <f t="shared" si="1"/>
        <v>102</v>
      </c>
      <c r="M12" s="10">
        <v>2400</v>
      </c>
      <c r="N12" s="10">
        <f t="shared" si="2"/>
        <v>20400</v>
      </c>
      <c r="O12" s="11">
        <v>12</v>
      </c>
      <c r="P12" s="10">
        <v>27000</v>
      </c>
      <c r="Q12" s="11">
        <v>117</v>
      </c>
      <c r="R12" s="10">
        <f t="shared" si="5"/>
        <v>105</v>
      </c>
      <c r="S12" s="10">
        <v>12000</v>
      </c>
      <c r="T12" s="21">
        <f t="shared" si="3"/>
        <v>31500</v>
      </c>
      <c r="U12" s="9">
        <f t="shared" si="4"/>
        <v>117700</v>
      </c>
    </row>
    <row r="13" ht="30" customHeight="1" spans="1:21">
      <c r="A13" s="9">
        <v>8</v>
      </c>
      <c r="B13" s="10" t="s">
        <v>32</v>
      </c>
      <c r="C13" s="10">
        <v>20</v>
      </c>
      <c r="D13" s="10">
        <v>6</v>
      </c>
      <c r="E13" s="10">
        <v>26</v>
      </c>
      <c r="F13" s="11">
        <v>66</v>
      </c>
      <c r="G13" s="11">
        <v>59</v>
      </c>
      <c r="H13" s="10">
        <v>10000</v>
      </c>
      <c r="I13" s="10">
        <f t="shared" si="0"/>
        <v>20800</v>
      </c>
      <c r="J13" s="11">
        <v>31</v>
      </c>
      <c r="K13" s="11">
        <v>150</v>
      </c>
      <c r="L13" s="10">
        <f t="shared" si="1"/>
        <v>138</v>
      </c>
      <c r="M13" s="10">
        <v>2400</v>
      </c>
      <c r="N13" s="10">
        <f t="shared" si="2"/>
        <v>27600</v>
      </c>
      <c r="O13" s="11">
        <v>24</v>
      </c>
      <c r="P13" s="10">
        <v>27000</v>
      </c>
      <c r="Q13" s="11">
        <v>152</v>
      </c>
      <c r="R13" s="10">
        <f t="shared" si="5"/>
        <v>140</v>
      </c>
      <c r="S13" s="10">
        <v>12000</v>
      </c>
      <c r="T13" s="21">
        <f t="shared" si="3"/>
        <v>42000</v>
      </c>
      <c r="U13" s="9">
        <f t="shared" si="4"/>
        <v>141800</v>
      </c>
    </row>
    <row r="14" ht="30" customHeight="1" spans="1:21">
      <c r="A14" s="9">
        <v>9</v>
      </c>
      <c r="B14" s="10" t="s">
        <v>34</v>
      </c>
      <c r="C14" s="10">
        <v>1</v>
      </c>
      <c r="D14" s="10">
        <v>7</v>
      </c>
      <c r="E14" s="10">
        <v>8</v>
      </c>
      <c r="F14" s="11">
        <v>33</v>
      </c>
      <c r="G14" s="11">
        <v>33</v>
      </c>
      <c r="H14" s="10">
        <v>10000</v>
      </c>
      <c r="I14" s="10">
        <f t="shared" si="0"/>
        <v>6400</v>
      </c>
      <c r="J14" s="11">
        <v>3</v>
      </c>
      <c r="K14" s="11">
        <v>15</v>
      </c>
      <c r="L14" s="10">
        <f t="shared" si="1"/>
        <v>3</v>
      </c>
      <c r="M14" s="10">
        <v>2400</v>
      </c>
      <c r="N14" s="10">
        <f t="shared" si="2"/>
        <v>600</v>
      </c>
      <c r="O14" s="11">
        <v>9</v>
      </c>
      <c r="P14" s="10">
        <v>27000</v>
      </c>
      <c r="Q14" s="11">
        <v>18</v>
      </c>
      <c r="R14" s="10">
        <f t="shared" si="5"/>
        <v>6</v>
      </c>
      <c r="S14" s="10">
        <v>12000</v>
      </c>
      <c r="T14" s="21">
        <f t="shared" si="3"/>
        <v>1800</v>
      </c>
      <c r="U14" s="9">
        <f t="shared" si="4"/>
        <v>60200</v>
      </c>
    </row>
    <row r="15" ht="30" customHeight="1" spans="1:21">
      <c r="A15" s="9">
        <v>10</v>
      </c>
      <c r="B15" s="10" t="s">
        <v>36</v>
      </c>
      <c r="C15" s="10">
        <v>12</v>
      </c>
      <c r="D15" s="10">
        <v>1</v>
      </c>
      <c r="E15" s="10">
        <v>13</v>
      </c>
      <c r="F15" s="11">
        <v>26</v>
      </c>
      <c r="G15" s="11">
        <v>26</v>
      </c>
      <c r="H15" s="10">
        <v>10000</v>
      </c>
      <c r="I15" s="10">
        <f t="shared" si="0"/>
        <v>10400</v>
      </c>
      <c r="J15" s="11">
        <v>17</v>
      </c>
      <c r="K15" s="11">
        <v>102</v>
      </c>
      <c r="L15" s="10">
        <f t="shared" si="1"/>
        <v>90</v>
      </c>
      <c r="M15" s="10">
        <v>2400</v>
      </c>
      <c r="N15" s="10">
        <v>15600</v>
      </c>
      <c r="O15" s="11">
        <v>9</v>
      </c>
      <c r="P15" s="10">
        <v>27000</v>
      </c>
      <c r="Q15" s="11">
        <v>90</v>
      </c>
      <c r="R15" s="10">
        <f t="shared" si="5"/>
        <v>78</v>
      </c>
      <c r="S15" s="10">
        <v>12000</v>
      </c>
      <c r="T15" s="21">
        <f t="shared" si="3"/>
        <v>23400</v>
      </c>
      <c r="U15" s="9">
        <f t="shared" si="4"/>
        <v>100800</v>
      </c>
    </row>
    <row r="16" ht="30" customHeight="1" spans="1:21">
      <c r="A16" s="9">
        <v>11</v>
      </c>
      <c r="B16" s="10" t="s">
        <v>38</v>
      </c>
      <c r="C16" s="10">
        <v>17</v>
      </c>
      <c r="D16" s="10">
        <v>5</v>
      </c>
      <c r="E16" s="10">
        <v>22</v>
      </c>
      <c r="F16" s="11">
        <v>88</v>
      </c>
      <c r="G16" s="11">
        <v>45</v>
      </c>
      <c r="H16" s="10">
        <v>10000</v>
      </c>
      <c r="I16" s="10">
        <f t="shared" si="0"/>
        <v>17600</v>
      </c>
      <c r="J16" s="11">
        <v>27</v>
      </c>
      <c r="K16" s="11">
        <v>218</v>
      </c>
      <c r="L16" s="10">
        <f t="shared" si="1"/>
        <v>206</v>
      </c>
      <c r="M16" s="10">
        <v>2400</v>
      </c>
      <c r="N16" s="10">
        <v>26400</v>
      </c>
      <c r="O16" s="11">
        <v>15</v>
      </c>
      <c r="P16" s="10">
        <v>27000</v>
      </c>
      <c r="Q16" s="11">
        <v>163</v>
      </c>
      <c r="R16" s="10">
        <f t="shared" si="5"/>
        <v>151</v>
      </c>
      <c r="S16" s="10">
        <v>12000</v>
      </c>
      <c r="T16" s="21">
        <v>39600</v>
      </c>
      <c r="U16" s="9">
        <f t="shared" si="4"/>
        <v>135000</v>
      </c>
    </row>
    <row r="17" ht="30" customHeight="1" spans="1:21">
      <c r="A17" s="9">
        <v>12</v>
      </c>
      <c r="B17" s="10" t="s">
        <v>40</v>
      </c>
      <c r="C17" s="10">
        <v>19</v>
      </c>
      <c r="D17" s="10">
        <v>2</v>
      </c>
      <c r="E17" s="10">
        <v>21</v>
      </c>
      <c r="F17" s="11">
        <v>23</v>
      </c>
      <c r="G17" s="11">
        <v>25</v>
      </c>
      <c r="H17" s="10">
        <v>10000</v>
      </c>
      <c r="I17" s="10">
        <f t="shared" si="0"/>
        <v>16800</v>
      </c>
      <c r="J17" s="11">
        <v>21</v>
      </c>
      <c r="K17" s="11">
        <v>126</v>
      </c>
      <c r="L17" s="10">
        <f t="shared" si="1"/>
        <v>114</v>
      </c>
      <c r="M17" s="10">
        <v>2400</v>
      </c>
      <c r="N17" s="10">
        <f t="shared" si="2"/>
        <v>22800</v>
      </c>
      <c r="O17" s="11">
        <v>10</v>
      </c>
      <c r="P17" s="10">
        <v>27000</v>
      </c>
      <c r="Q17" s="11">
        <v>126</v>
      </c>
      <c r="R17" s="10">
        <f t="shared" si="5"/>
        <v>114</v>
      </c>
      <c r="S17" s="10">
        <v>12000</v>
      </c>
      <c r="T17" s="21">
        <f t="shared" si="3"/>
        <v>34200</v>
      </c>
      <c r="U17" s="9">
        <f t="shared" si="4"/>
        <v>125200</v>
      </c>
    </row>
    <row r="18" ht="30" customHeight="1" spans="1:21">
      <c r="A18" s="9">
        <v>13</v>
      </c>
      <c r="B18" s="10" t="s">
        <v>42</v>
      </c>
      <c r="C18" s="10">
        <v>15</v>
      </c>
      <c r="D18" s="10">
        <v>2</v>
      </c>
      <c r="E18" s="10">
        <v>17</v>
      </c>
      <c r="F18" s="11">
        <v>45</v>
      </c>
      <c r="G18" s="11">
        <v>25</v>
      </c>
      <c r="H18" s="10">
        <v>10000</v>
      </c>
      <c r="I18" s="10">
        <f t="shared" si="0"/>
        <v>13600</v>
      </c>
      <c r="J18" s="11">
        <v>17</v>
      </c>
      <c r="K18" s="11">
        <v>103</v>
      </c>
      <c r="L18" s="10">
        <f t="shared" si="1"/>
        <v>91</v>
      </c>
      <c r="M18" s="10">
        <v>2400</v>
      </c>
      <c r="N18" s="10">
        <f t="shared" si="2"/>
        <v>18200</v>
      </c>
      <c r="O18" s="11">
        <v>14</v>
      </c>
      <c r="P18" s="10">
        <v>27000</v>
      </c>
      <c r="Q18" s="11">
        <v>103</v>
      </c>
      <c r="R18" s="10">
        <f t="shared" si="5"/>
        <v>91</v>
      </c>
      <c r="S18" s="10">
        <v>12000</v>
      </c>
      <c r="T18" s="21">
        <f t="shared" si="3"/>
        <v>27300</v>
      </c>
      <c r="U18" s="9">
        <f t="shared" si="4"/>
        <v>110500</v>
      </c>
    </row>
    <row r="19" ht="30" customHeight="1" spans="1:21">
      <c r="A19" s="9">
        <v>14</v>
      </c>
      <c r="B19" s="15" t="s">
        <v>44</v>
      </c>
      <c r="C19" s="10">
        <v>2</v>
      </c>
      <c r="D19" s="10">
        <v>3</v>
      </c>
      <c r="E19" s="10">
        <v>5</v>
      </c>
      <c r="F19" s="11">
        <v>26</v>
      </c>
      <c r="G19" s="11">
        <v>33</v>
      </c>
      <c r="H19" s="10">
        <v>10000</v>
      </c>
      <c r="I19" s="10">
        <f t="shared" si="0"/>
        <v>4000</v>
      </c>
      <c r="J19" s="11">
        <v>3</v>
      </c>
      <c r="K19" s="11">
        <v>18</v>
      </c>
      <c r="L19" s="10">
        <f t="shared" si="1"/>
        <v>6</v>
      </c>
      <c r="M19" s="10">
        <v>2400</v>
      </c>
      <c r="N19" s="10">
        <f t="shared" si="2"/>
        <v>1200</v>
      </c>
      <c r="O19" s="11">
        <v>9</v>
      </c>
      <c r="P19" s="10">
        <v>27000</v>
      </c>
      <c r="Q19" s="11">
        <v>18</v>
      </c>
      <c r="R19" s="10">
        <f t="shared" si="5"/>
        <v>6</v>
      </c>
      <c r="S19" s="10">
        <v>12000</v>
      </c>
      <c r="T19" s="21">
        <f t="shared" si="3"/>
        <v>1800</v>
      </c>
      <c r="U19" s="9">
        <f t="shared" si="4"/>
        <v>58400</v>
      </c>
    </row>
    <row r="20" ht="30" customHeight="1" spans="1:21">
      <c r="A20" s="9">
        <v>15</v>
      </c>
      <c r="B20" s="10" t="s">
        <v>46</v>
      </c>
      <c r="C20" s="10">
        <v>2</v>
      </c>
      <c r="D20" s="10">
        <v>0</v>
      </c>
      <c r="E20" s="10">
        <v>2</v>
      </c>
      <c r="F20" s="11">
        <v>43</v>
      </c>
      <c r="G20" s="11">
        <v>24</v>
      </c>
      <c r="H20" s="10">
        <v>10000</v>
      </c>
      <c r="I20" s="10">
        <f t="shared" si="0"/>
        <v>1600</v>
      </c>
      <c r="J20" s="11">
        <v>4</v>
      </c>
      <c r="K20" s="11">
        <v>24</v>
      </c>
      <c r="L20" s="10">
        <f t="shared" si="1"/>
        <v>12</v>
      </c>
      <c r="M20" s="10">
        <v>2400</v>
      </c>
      <c r="N20" s="10">
        <f t="shared" si="2"/>
        <v>2400</v>
      </c>
      <c r="O20" s="11">
        <v>9</v>
      </c>
      <c r="P20" s="10">
        <v>27000</v>
      </c>
      <c r="Q20" s="11">
        <v>24</v>
      </c>
      <c r="R20" s="10">
        <f t="shared" si="5"/>
        <v>12</v>
      </c>
      <c r="S20" s="10">
        <v>12000</v>
      </c>
      <c r="T20" s="21">
        <f t="shared" si="3"/>
        <v>3600</v>
      </c>
      <c r="U20" s="9">
        <f t="shared" si="4"/>
        <v>59000</v>
      </c>
    </row>
    <row r="21" ht="30" customHeight="1" spans="1:21">
      <c r="A21" s="16" t="s">
        <v>75</v>
      </c>
      <c r="B21" s="17"/>
      <c r="C21" s="10">
        <f>SUM(C6:C20)</f>
        <v>136</v>
      </c>
      <c r="D21" s="10">
        <f t="shared" ref="D21:U21" si="6">SUM(D6:D20)</f>
        <v>74</v>
      </c>
      <c r="E21" s="10">
        <f t="shared" si="6"/>
        <v>210</v>
      </c>
      <c r="F21" s="10">
        <f t="shared" si="6"/>
        <v>773</v>
      </c>
      <c r="G21" s="10">
        <f t="shared" si="6"/>
        <v>474</v>
      </c>
      <c r="H21" s="10">
        <f t="shared" si="6"/>
        <v>150000</v>
      </c>
      <c r="I21" s="10">
        <f t="shared" si="6"/>
        <v>168000</v>
      </c>
      <c r="J21" s="10">
        <f t="shared" si="6"/>
        <v>217</v>
      </c>
      <c r="K21" s="10">
        <f t="shared" si="6"/>
        <v>1314</v>
      </c>
      <c r="L21" s="10">
        <f t="shared" si="6"/>
        <v>1134</v>
      </c>
      <c r="M21" s="10">
        <f t="shared" si="6"/>
        <v>36000</v>
      </c>
      <c r="N21" s="10">
        <f t="shared" si="6"/>
        <v>209600</v>
      </c>
      <c r="O21" s="10">
        <f t="shared" si="6"/>
        <v>174</v>
      </c>
      <c r="P21" s="10">
        <f t="shared" si="6"/>
        <v>405000</v>
      </c>
      <c r="Q21" s="10">
        <f t="shared" si="6"/>
        <v>1239</v>
      </c>
      <c r="R21" s="10">
        <f t="shared" si="6"/>
        <v>1059</v>
      </c>
      <c r="S21" s="10">
        <f t="shared" si="6"/>
        <v>180000</v>
      </c>
      <c r="T21" s="10">
        <f t="shared" si="6"/>
        <v>312000</v>
      </c>
      <c r="U21" s="10">
        <f t="shared" si="6"/>
        <v>1460600</v>
      </c>
    </row>
  </sheetData>
  <mergeCells count="12">
    <mergeCell ref="A2:U2"/>
    <mergeCell ref="F4:I4"/>
    <mergeCell ref="J4:N4"/>
    <mergeCell ref="O4:P4"/>
    <mergeCell ref="Q4:T4"/>
    <mergeCell ref="A21:B21"/>
    <mergeCell ref="A4:A5"/>
    <mergeCell ref="B4:B5"/>
    <mergeCell ref="C4:C5"/>
    <mergeCell ref="D4:D5"/>
    <mergeCell ref="E4:E5"/>
    <mergeCell ref="U4:U5"/>
  </mergeCells>
  <pageMargins left="0.511805555555556" right="0.354166666666667" top="0.629166666666667" bottom="0.432638888888889" header="0.629166666666667" footer="0.313888888888889"/>
  <pageSetup paperSize="9" scale="66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20" sqref="A20:B20"/>
    </sheetView>
  </sheetViews>
  <sheetFormatPr defaultColWidth="9" defaultRowHeight="14.25" outlineLevelCol="6"/>
  <cols>
    <col min="1" max="1" width="8.35" customWidth="1"/>
    <col min="2" max="2" width="23.525" customWidth="1"/>
    <col min="3" max="3" width="13.25" customWidth="1"/>
    <col min="4" max="4" width="12.5" customWidth="1"/>
    <col min="5" max="5" width="13.875" customWidth="1"/>
    <col min="6" max="6" width="10.2333333333333" customWidth="1"/>
  </cols>
  <sheetData>
    <row r="1" ht="33" customHeight="1" spans="1:4">
      <c r="A1" s="2" t="s">
        <v>132</v>
      </c>
      <c r="B1" s="3"/>
      <c r="C1" s="3"/>
      <c r="D1" s="3"/>
    </row>
    <row r="2" ht="36" customHeight="1" spans="1:6">
      <c r="A2" s="4" t="s">
        <v>133</v>
      </c>
      <c r="B2" s="4"/>
      <c r="C2" s="4"/>
      <c r="D2" s="4"/>
      <c r="E2" s="4"/>
      <c r="F2" s="4"/>
    </row>
    <row r="3" ht="26" customHeight="1" spans="6:6">
      <c r="F3" s="5" t="s">
        <v>53</v>
      </c>
    </row>
    <row r="4" ht="64" customHeight="1" spans="1:7">
      <c r="A4" s="6" t="s">
        <v>3</v>
      </c>
      <c r="B4" s="7" t="s">
        <v>54</v>
      </c>
      <c r="C4" s="8" t="s">
        <v>134</v>
      </c>
      <c r="D4" s="8" t="s">
        <v>135</v>
      </c>
      <c r="E4" s="25" t="s">
        <v>109</v>
      </c>
      <c r="F4" s="8" t="s">
        <v>9</v>
      </c>
      <c r="G4" s="28"/>
    </row>
    <row r="5" s="1" customFormat="1" ht="32" customHeight="1" spans="1:6">
      <c r="A5" s="9">
        <v>1</v>
      </c>
      <c r="B5" s="10" t="s">
        <v>18</v>
      </c>
      <c r="C5" s="53">
        <v>24694</v>
      </c>
      <c r="D5" s="11">
        <v>10</v>
      </c>
      <c r="E5" s="53">
        <f>C5*D5</f>
        <v>246940</v>
      </c>
      <c r="F5" s="14"/>
    </row>
    <row r="6" s="1" customFormat="1" ht="32" customHeight="1" spans="1:6">
      <c r="A6" s="9">
        <v>2</v>
      </c>
      <c r="B6" s="10" t="s">
        <v>20</v>
      </c>
      <c r="C6" s="53">
        <v>1316</v>
      </c>
      <c r="D6" s="11">
        <v>10</v>
      </c>
      <c r="E6" s="53">
        <f t="shared" ref="E6:E19" si="0">C6*D6</f>
        <v>13160</v>
      </c>
      <c r="F6" s="14"/>
    </row>
    <row r="7" s="1" customFormat="1" ht="32" customHeight="1" spans="1:6">
      <c r="A7" s="9">
        <v>3</v>
      </c>
      <c r="B7" s="10" t="s">
        <v>22</v>
      </c>
      <c r="C7" s="53">
        <v>99</v>
      </c>
      <c r="D7" s="11">
        <v>10</v>
      </c>
      <c r="E7" s="53">
        <f t="shared" si="0"/>
        <v>990</v>
      </c>
      <c r="F7" s="14"/>
    </row>
    <row r="8" s="1" customFormat="1" ht="32" customHeight="1" spans="1:6">
      <c r="A8" s="9">
        <v>4</v>
      </c>
      <c r="B8" s="10" t="s">
        <v>24</v>
      </c>
      <c r="C8" s="54">
        <v>2401</v>
      </c>
      <c r="D8" s="11">
        <v>10</v>
      </c>
      <c r="E8" s="53">
        <f t="shared" si="0"/>
        <v>24010</v>
      </c>
      <c r="F8" s="14"/>
    </row>
    <row r="9" s="1" customFormat="1" ht="32" customHeight="1" spans="1:6">
      <c r="A9" s="9">
        <v>5</v>
      </c>
      <c r="B9" s="10" t="s">
        <v>136</v>
      </c>
      <c r="C9" s="53">
        <v>2001</v>
      </c>
      <c r="D9" s="11">
        <v>10</v>
      </c>
      <c r="E9" s="53">
        <f t="shared" si="0"/>
        <v>20010</v>
      </c>
      <c r="F9" s="14"/>
    </row>
    <row r="10" s="1" customFormat="1" ht="32" customHeight="1" spans="1:6">
      <c r="A10" s="9">
        <v>6</v>
      </c>
      <c r="B10" s="10" t="s">
        <v>28</v>
      </c>
      <c r="C10" s="53">
        <v>883</v>
      </c>
      <c r="D10" s="11">
        <v>10</v>
      </c>
      <c r="E10" s="53">
        <f t="shared" si="0"/>
        <v>8830</v>
      </c>
      <c r="F10" s="14"/>
    </row>
    <row r="11" s="1" customFormat="1" ht="32" customHeight="1" spans="1:6">
      <c r="A11" s="9">
        <v>7</v>
      </c>
      <c r="B11" s="10" t="s">
        <v>30</v>
      </c>
      <c r="C11" s="53">
        <v>4168</v>
      </c>
      <c r="D11" s="11">
        <v>10</v>
      </c>
      <c r="E11" s="53">
        <f t="shared" si="0"/>
        <v>41680</v>
      </c>
      <c r="F11" s="14"/>
    </row>
    <row r="12" s="1" customFormat="1" ht="32" customHeight="1" spans="1:6">
      <c r="A12" s="9">
        <v>8</v>
      </c>
      <c r="B12" s="10" t="s">
        <v>32</v>
      </c>
      <c r="C12" s="53">
        <v>6972</v>
      </c>
      <c r="D12" s="11">
        <v>10</v>
      </c>
      <c r="E12" s="53">
        <f t="shared" si="0"/>
        <v>69720</v>
      </c>
      <c r="F12" s="14"/>
    </row>
    <row r="13" s="1" customFormat="1" ht="32" customHeight="1" spans="1:6">
      <c r="A13" s="9">
        <v>9</v>
      </c>
      <c r="B13" s="10" t="s">
        <v>34</v>
      </c>
      <c r="C13" s="53">
        <v>125</v>
      </c>
      <c r="D13" s="11">
        <v>10</v>
      </c>
      <c r="E13" s="53">
        <f t="shared" si="0"/>
        <v>1250</v>
      </c>
      <c r="F13" s="14"/>
    </row>
    <row r="14" s="1" customFormat="1" ht="32" customHeight="1" spans="1:6">
      <c r="A14" s="9">
        <v>10</v>
      </c>
      <c r="B14" s="10" t="s">
        <v>36</v>
      </c>
      <c r="C14" s="53">
        <v>10219</v>
      </c>
      <c r="D14" s="11">
        <v>10</v>
      </c>
      <c r="E14" s="53">
        <f t="shared" si="0"/>
        <v>102190</v>
      </c>
      <c r="F14" s="14"/>
    </row>
    <row r="15" s="1" customFormat="1" ht="32" customHeight="1" spans="1:6">
      <c r="A15" s="9">
        <v>11</v>
      </c>
      <c r="B15" s="10" t="s">
        <v>38</v>
      </c>
      <c r="C15" s="53">
        <v>7391</v>
      </c>
      <c r="D15" s="11">
        <v>10</v>
      </c>
      <c r="E15" s="53">
        <f t="shared" si="0"/>
        <v>73910</v>
      </c>
      <c r="F15" s="14"/>
    </row>
    <row r="16" s="1" customFormat="1" ht="32" customHeight="1" spans="1:6">
      <c r="A16" s="9">
        <v>12</v>
      </c>
      <c r="B16" s="10" t="s">
        <v>40</v>
      </c>
      <c r="C16" s="53">
        <v>5950</v>
      </c>
      <c r="D16" s="11">
        <v>10</v>
      </c>
      <c r="E16" s="53">
        <f t="shared" si="0"/>
        <v>59500</v>
      </c>
      <c r="F16" s="14"/>
    </row>
    <row r="17" s="1" customFormat="1" ht="32" customHeight="1" spans="1:6">
      <c r="A17" s="9">
        <v>13</v>
      </c>
      <c r="B17" s="10" t="s">
        <v>42</v>
      </c>
      <c r="C17" s="53">
        <v>8018</v>
      </c>
      <c r="D17" s="11">
        <v>10</v>
      </c>
      <c r="E17" s="53">
        <f t="shared" si="0"/>
        <v>80180</v>
      </c>
      <c r="F17" s="14"/>
    </row>
    <row r="18" s="1" customFormat="1" ht="32" customHeight="1" spans="1:6">
      <c r="A18" s="9">
        <v>14</v>
      </c>
      <c r="B18" s="15" t="s">
        <v>44</v>
      </c>
      <c r="C18" s="53">
        <v>120</v>
      </c>
      <c r="D18" s="11">
        <v>10</v>
      </c>
      <c r="E18" s="53">
        <f t="shared" si="0"/>
        <v>1200</v>
      </c>
      <c r="F18" s="14"/>
    </row>
    <row r="19" s="1" customFormat="1" ht="32" customHeight="1" spans="1:6">
      <c r="A19" s="9">
        <v>15</v>
      </c>
      <c r="B19" s="10" t="s">
        <v>46</v>
      </c>
      <c r="C19" s="53">
        <v>283</v>
      </c>
      <c r="D19" s="11">
        <v>10</v>
      </c>
      <c r="E19" s="53">
        <f t="shared" si="0"/>
        <v>2830</v>
      </c>
      <c r="F19" s="14"/>
    </row>
    <row r="20" s="1" customFormat="1" ht="32" customHeight="1" spans="1:6">
      <c r="A20" s="16" t="s">
        <v>75</v>
      </c>
      <c r="B20" s="17"/>
      <c r="C20" s="55">
        <f>SUM(C5:C19)</f>
        <v>74640</v>
      </c>
      <c r="D20" s="10"/>
      <c r="E20" s="11">
        <f>SUM(E5:E19)</f>
        <v>746400</v>
      </c>
      <c r="F20" s="14"/>
    </row>
  </sheetData>
  <mergeCells count="2">
    <mergeCell ref="A2:F2"/>
    <mergeCell ref="A20:B20"/>
  </mergeCells>
  <pageMargins left="0.707638888888889" right="0.590277777777778" top="0.707638888888889" bottom="0.786805555555556" header="0.511805555555556" footer="0.511805555555556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zoomScale="81" zoomScaleNormal="81" workbookViewId="0">
      <selection activeCell="H11" sqref="H11"/>
    </sheetView>
  </sheetViews>
  <sheetFormatPr defaultColWidth="9" defaultRowHeight="14.25"/>
  <cols>
    <col min="1" max="1" width="6.775" customWidth="1"/>
    <col min="2" max="2" width="23.6833333333333" customWidth="1"/>
    <col min="3" max="11" width="10.625" customWidth="1"/>
  </cols>
  <sheetData>
    <row r="1" ht="20.25" spans="1:2">
      <c r="A1" s="2" t="s">
        <v>137</v>
      </c>
      <c r="B1" s="3"/>
    </row>
    <row r="2" ht="27" customHeight="1" spans="1:11">
      <c r="A2" s="4" t="s">
        <v>138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ht="21" customHeight="1" spans="11:11">
      <c r="K3" s="5" t="s">
        <v>53</v>
      </c>
    </row>
    <row r="4" ht="23" customHeight="1" spans="1:11">
      <c r="A4" s="9" t="s">
        <v>3</v>
      </c>
      <c r="B4" s="7" t="s">
        <v>54</v>
      </c>
      <c r="C4" s="7" t="s">
        <v>139</v>
      </c>
      <c r="D4" s="7"/>
      <c r="E4" s="7" t="s">
        <v>140</v>
      </c>
      <c r="F4" s="7"/>
      <c r="G4" s="7" t="s">
        <v>141</v>
      </c>
      <c r="H4" s="7"/>
      <c r="I4" s="7" t="s">
        <v>142</v>
      </c>
      <c r="J4" s="7"/>
      <c r="K4" s="52" t="s">
        <v>116</v>
      </c>
    </row>
    <row r="5" ht="73" customHeight="1" spans="1:11">
      <c r="A5" s="9"/>
      <c r="B5" s="14"/>
      <c r="C5" s="7" t="s">
        <v>143</v>
      </c>
      <c r="D5" s="7" t="s">
        <v>144</v>
      </c>
      <c r="E5" s="7" t="s">
        <v>145</v>
      </c>
      <c r="F5" s="7" t="s">
        <v>144</v>
      </c>
      <c r="G5" s="7" t="s">
        <v>146</v>
      </c>
      <c r="H5" s="7" t="s">
        <v>144</v>
      </c>
      <c r="I5" s="7" t="s">
        <v>147</v>
      </c>
      <c r="J5" s="7" t="s">
        <v>148</v>
      </c>
      <c r="K5" s="9"/>
    </row>
    <row r="6" ht="22" customHeight="1" spans="1:11">
      <c r="A6" s="9">
        <v>1</v>
      </c>
      <c r="B6" s="10" t="s">
        <v>18</v>
      </c>
      <c r="C6" s="11">
        <v>571</v>
      </c>
      <c r="D6" s="10">
        <f>C6*40</f>
        <v>22840</v>
      </c>
      <c r="E6" s="10">
        <v>630</v>
      </c>
      <c r="F6" s="10">
        <f>E6*40</f>
        <v>25200</v>
      </c>
      <c r="G6" s="10">
        <v>9340</v>
      </c>
      <c r="H6" s="10">
        <f>G6*40</f>
        <v>373600</v>
      </c>
      <c r="I6" s="10">
        <v>2150</v>
      </c>
      <c r="J6" s="10">
        <f>I6*50</f>
        <v>107500</v>
      </c>
      <c r="K6" s="9">
        <f>D6+F6+H6+J6</f>
        <v>529140</v>
      </c>
    </row>
    <row r="7" ht="22" customHeight="1" spans="1:11">
      <c r="A7" s="9">
        <v>2</v>
      </c>
      <c r="B7" s="10" t="s">
        <v>20</v>
      </c>
      <c r="C7" s="11">
        <v>111</v>
      </c>
      <c r="D7" s="10">
        <f t="shared" ref="D7:D20" si="0">C7*40</f>
        <v>4440</v>
      </c>
      <c r="E7" s="10">
        <v>140</v>
      </c>
      <c r="F7" s="10">
        <f t="shared" ref="F7:F20" si="1">E7*40</f>
        <v>5600</v>
      </c>
      <c r="G7" s="10">
        <v>1559</v>
      </c>
      <c r="H7" s="10">
        <f t="shared" ref="H7:H20" si="2">G7*40</f>
        <v>62360</v>
      </c>
      <c r="I7" s="10">
        <v>436</v>
      </c>
      <c r="J7" s="10">
        <f t="shared" ref="J7:J20" si="3">I7*50</f>
        <v>21800</v>
      </c>
      <c r="K7" s="9">
        <f t="shared" ref="K7:K20" si="4">D7+F7+H7+J7</f>
        <v>94200</v>
      </c>
    </row>
    <row r="8" ht="22" customHeight="1" spans="1:11">
      <c r="A8" s="9">
        <v>3</v>
      </c>
      <c r="B8" s="10" t="s">
        <v>22</v>
      </c>
      <c r="C8" s="11">
        <v>60</v>
      </c>
      <c r="D8" s="10">
        <f t="shared" si="0"/>
        <v>2400</v>
      </c>
      <c r="E8" s="10">
        <v>65</v>
      </c>
      <c r="F8" s="10">
        <f t="shared" si="1"/>
        <v>2600</v>
      </c>
      <c r="G8" s="10">
        <v>184</v>
      </c>
      <c r="H8" s="10">
        <f t="shared" si="2"/>
        <v>7360</v>
      </c>
      <c r="I8" s="10">
        <v>279</v>
      </c>
      <c r="J8" s="10">
        <f t="shared" si="3"/>
        <v>13950</v>
      </c>
      <c r="K8" s="9">
        <f t="shared" si="4"/>
        <v>26310</v>
      </c>
    </row>
    <row r="9" ht="22" customHeight="1" spans="1:11">
      <c r="A9" s="9">
        <v>4</v>
      </c>
      <c r="B9" s="10" t="s">
        <v>24</v>
      </c>
      <c r="C9" s="11">
        <v>286</v>
      </c>
      <c r="D9" s="10">
        <f t="shared" si="0"/>
        <v>11440</v>
      </c>
      <c r="E9" s="10">
        <v>301</v>
      </c>
      <c r="F9" s="10">
        <f t="shared" si="1"/>
        <v>12040</v>
      </c>
      <c r="G9" s="10">
        <v>3258</v>
      </c>
      <c r="H9" s="10">
        <f t="shared" si="2"/>
        <v>130320</v>
      </c>
      <c r="I9" s="10">
        <v>1189</v>
      </c>
      <c r="J9" s="10">
        <f t="shared" si="3"/>
        <v>59450</v>
      </c>
      <c r="K9" s="9">
        <f t="shared" si="4"/>
        <v>213250</v>
      </c>
    </row>
    <row r="10" ht="22" customHeight="1" spans="1:11">
      <c r="A10" s="9">
        <v>5</v>
      </c>
      <c r="B10" s="10" t="s">
        <v>136</v>
      </c>
      <c r="C10" s="11">
        <v>188</v>
      </c>
      <c r="D10" s="10">
        <f t="shared" si="0"/>
        <v>7520</v>
      </c>
      <c r="E10" s="10">
        <v>193</v>
      </c>
      <c r="F10" s="10">
        <f t="shared" si="1"/>
        <v>7720</v>
      </c>
      <c r="G10" s="10">
        <v>1984</v>
      </c>
      <c r="H10" s="10">
        <f t="shared" si="2"/>
        <v>79360</v>
      </c>
      <c r="I10" s="10">
        <v>899</v>
      </c>
      <c r="J10" s="10">
        <f t="shared" si="3"/>
        <v>44950</v>
      </c>
      <c r="K10" s="9">
        <f t="shared" si="4"/>
        <v>139550</v>
      </c>
    </row>
    <row r="11" ht="22" customHeight="1" spans="1:11">
      <c r="A11" s="9">
        <v>6</v>
      </c>
      <c r="B11" s="10" t="s">
        <v>28</v>
      </c>
      <c r="C11" s="11">
        <v>135</v>
      </c>
      <c r="D11" s="10">
        <f t="shared" si="0"/>
        <v>5400</v>
      </c>
      <c r="E11" s="10">
        <v>154</v>
      </c>
      <c r="F11" s="10">
        <f t="shared" si="1"/>
        <v>6160</v>
      </c>
      <c r="G11" s="10">
        <v>816</v>
      </c>
      <c r="H11" s="10">
        <f t="shared" si="2"/>
        <v>32640</v>
      </c>
      <c r="I11" s="10">
        <v>536</v>
      </c>
      <c r="J11" s="10">
        <f t="shared" si="3"/>
        <v>26800</v>
      </c>
      <c r="K11" s="9">
        <f t="shared" si="4"/>
        <v>71000</v>
      </c>
    </row>
    <row r="12" ht="22" customHeight="1" spans="1:11">
      <c r="A12" s="9">
        <v>7</v>
      </c>
      <c r="B12" s="10" t="s">
        <v>30</v>
      </c>
      <c r="C12" s="11">
        <v>240</v>
      </c>
      <c r="D12" s="10">
        <f t="shared" si="0"/>
        <v>9600</v>
      </c>
      <c r="E12" s="10">
        <v>262</v>
      </c>
      <c r="F12" s="10">
        <f t="shared" si="1"/>
        <v>10480</v>
      </c>
      <c r="G12" s="10">
        <v>2625</v>
      </c>
      <c r="H12" s="10">
        <f t="shared" si="2"/>
        <v>105000</v>
      </c>
      <c r="I12" s="10">
        <v>1434</v>
      </c>
      <c r="J12" s="10">
        <f t="shared" si="3"/>
        <v>71700</v>
      </c>
      <c r="K12" s="9">
        <f t="shared" si="4"/>
        <v>196780</v>
      </c>
    </row>
    <row r="13" ht="22" customHeight="1" spans="1:11">
      <c r="A13" s="9">
        <v>8</v>
      </c>
      <c r="B13" s="10" t="s">
        <v>32</v>
      </c>
      <c r="C13" s="11">
        <v>405</v>
      </c>
      <c r="D13" s="10">
        <f t="shared" si="0"/>
        <v>16200</v>
      </c>
      <c r="E13" s="10">
        <v>433</v>
      </c>
      <c r="F13" s="10">
        <f t="shared" si="1"/>
        <v>17320</v>
      </c>
      <c r="G13" s="10">
        <v>5160</v>
      </c>
      <c r="H13" s="10">
        <f t="shared" si="2"/>
        <v>206400</v>
      </c>
      <c r="I13" s="10">
        <v>1988</v>
      </c>
      <c r="J13" s="10">
        <f t="shared" si="3"/>
        <v>99400</v>
      </c>
      <c r="K13" s="9">
        <f t="shared" si="4"/>
        <v>339320</v>
      </c>
    </row>
    <row r="14" ht="22" customHeight="1" spans="1:11">
      <c r="A14" s="9">
        <v>9</v>
      </c>
      <c r="B14" s="10" t="s">
        <v>34</v>
      </c>
      <c r="C14" s="11">
        <v>55</v>
      </c>
      <c r="D14" s="10">
        <f t="shared" si="0"/>
        <v>2200</v>
      </c>
      <c r="E14" s="10">
        <v>71</v>
      </c>
      <c r="F14" s="10">
        <f t="shared" si="1"/>
        <v>2840</v>
      </c>
      <c r="G14" s="10">
        <v>698</v>
      </c>
      <c r="H14" s="10">
        <f t="shared" si="2"/>
        <v>27920</v>
      </c>
      <c r="I14" s="10">
        <v>252</v>
      </c>
      <c r="J14" s="10">
        <f t="shared" si="3"/>
        <v>12600</v>
      </c>
      <c r="K14" s="9">
        <f t="shared" si="4"/>
        <v>45560</v>
      </c>
    </row>
    <row r="15" ht="22" customHeight="1" spans="1:11">
      <c r="A15" s="9">
        <v>10</v>
      </c>
      <c r="B15" s="10" t="s">
        <v>36</v>
      </c>
      <c r="C15" s="11">
        <v>237</v>
      </c>
      <c r="D15" s="10">
        <f t="shared" si="0"/>
        <v>9480</v>
      </c>
      <c r="E15" s="10">
        <v>266</v>
      </c>
      <c r="F15" s="10">
        <f t="shared" si="1"/>
        <v>10640</v>
      </c>
      <c r="G15" s="10">
        <v>3555</v>
      </c>
      <c r="H15" s="10">
        <f t="shared" si="2"/>
        <v>142200</v>
      </c>
      <c r="I15" s="10">
        <v>801</v>
      </c>
      <c r="J15" s="10">
        <f t="shared" si="3"/>
        <v>40050</v>
      </c>
      <c r="K15" s="9">
        <f t="shared" si="4"/>
        <v>202370</v>
      </c>
    </row>
    <row r="16" ht="22" customHeight="1" spans="1:11">
      <c r="A16" s="9">
        <v>11</v>
      </c>
      <c r="B16" s="10" t="s">
        <v>38</v>
      </c>
      <c r="C16" s="11">
        <v>367</v>
      </c>
      <c r="D16" s="10">
        <f t="shared" si="0"/>
        <v>14680</v>
      </c>
      <c r="E16" s="10">
        <v>409</v>
      </c>
      <c r="F16" s="10">
        <f t="shared" si="1"/>
        <v>16360</v>
      </c>
      <c r="G16" s="10">
        <v>3726</v>
      </c>
      <c r="H16" s="10">
        <f t="shared" si="2"/>
        <v>149040</v>
      </c>
      <c r="I16" s="10">
        <v>2515</v>
      </c>
      <c r="J16" s="10">
        <f t="shared" si="3"/>
        <v>125750</v>
      </c>
      <c r="K16" s="9">
        <f t="shared" si="4"/>
        <v>305830</v>
      </c>
    </row>
    <row r="17" ht="22" customHeight="1" spans="1:11">
      <c r="A17" s="9">
        <v>12</v>
      </c>
      <c r="B17" s="10" t="s">
        <v>40</v>
      </c>
      <c r="C17" s="11">
        <v>283</v>
      </c>
      <c r="D17" s="10">
        <f t="shared" si="0"/>
        <v>11320</v>
      </c>
      <c r="E17" s="10">
        <v>292</v>
      </c>
      <c r="F17" s="10">
        <f t="shared" si="1"/>
        <v>11680</v>
      </c>
      <c r="G17" s="10">
        <v>3482</v>
      </c>
      <c r="H17" s="10">
        <f t="shared" si="2"/>
        <v>139280</v>
      </c>
      <c r="I17" s="10">
        <v>2449</v>
      </c>
      <c r="J17" s="10">
        <f t="shared" si="3"/>
        <v>122450</v>
      </c>
      <c r="K17" s="9">
        <f t="shared" si="4"/>
        <v>284730</v>
      </c>
    </row>
    <row r="18" ht="22" customHeight="1" spans="1:11">
      <c r="A18" s="9">
        <v>13</v>
      </c>
      <c r="B18" s="10" t="s">
        <v>42</v>
      </c>
      <c r="C18" s="11">
        <v>231</v>
      </c>
      <c r="D18" s="10">
        <f t="shared" si="0"/>
        <v>9240</v>
      </c>
      <c r="E18" s="10">
        <v>245</v>
      </c>
      <c r="F18" s="10">
        <f t="shared" si="1"/>
        <v>9800</v>
      </c>
      <c r="G18" s="10">
        <v>2691</v>
      </c>
      <c r="H18" s="10">
        <f t="shared" si="2"/>
        <v>107640</v>
      </c>
      <c r="I18" s="10">
        <v>1008</v>
      </c>
      <c r="J18" s="10">
        <f t="shared" si="3"/>
        <v>50400</v>
      </c>
      <c r="K18" s="9">
        <f t="shared" si="4"/>
        <v>177080</v>
      </c>
    </row>
    <row r="19" ht="22" customHeight="1" spans="1:11">
      <c r="A19" s="9">
        <v>14</v>
      </c>
      <c r="B19" s="15" t="s">
        <v>44</v>
      </c>
      <c r="C19" s="11">
        <v>19</v>
      </c>
      <c r="D19" s="10">
        <f t="shared" si="0"/>
        <v>760</v>
      </c>
      <c r="E19" s="15">
        <v>21</v>
      </c>
      <c r="F19" s="10">
        <f t="shared" si="1"/>
        <v>840</v>
      </c>
      <c r="G19" s="15">
        <v>153</v>
      </c>
      <c r="H19" s="10">
        <f t="shared" si="2"/>
        <v>6120</v>
      </c>
      <c r="I19" s="15">
        <v>143</v>
      </c>
      <c r="J19" s="10">
        <f t="shared" si="3"/>
        <v>7150</v>
      </c>
      <c r="K19" s="9">
        <f t="shared" si="4"/>
        <v>14870</v>
      </c>
    </row>
    <row r="20" ht="22" customHeight="1" spans="1:11">
      <c r="A20" s="9">
        <v>15</v>
      </c>
      <c r="B20" s="10" t="s">
        <v>46</v>
      </c>
      <c r="C20" s="11">
        <v>27</v>
      </c>
      <c r="D20" s="10">
        <f t="shared" si="0"/>
        <v>1080</v>
      </c>
      <c r="E20" s="10">
        <v>27</v>
      </c>
      <c r="F20" s="10">
        <f t="shared" si="1"/>
        <v>1080</v>
      </c>
      <c r="G20" s="10">
        <v>105</v>
      </c>
      <c r="H20" s="10">
        <f t="shared" si="2"/>
        <v>4200</v>
      </c>
      <c r="I20" s="10">
        <v>95</v>
      </c>
      <c r="J20" s="10">
        <f t="shared" si="3"/>
        <v>4750</v>
      </c>
      <c r="K20" s="9">
        <f t="shared" si="4"/>
        <v>11110</v>
      </c>
    </row>
    <row r="21" ht="22" customHeight="1" spans="1:11">
      <c r="A21" s="16" t="s">
        <v>75</v>
      </c>
      <c r="B21" s="17"/>
      <c r="C21" s="10">
        <f>SUM(C6:C20)</f>
        <v>3215</v>
      </c>
      <c r="D21" s="10">
        <f>SUM(D6:D20)</f>
        <v>128600</v>
      </c>
      <c r="E21" s="10">
        <f t="shared" ref="D21:K21" si="5">SUM(E6:E20)</f>
        <v>3509</v>
      </c>
      <c r="F21" s="10">
        <f t="shared" si="5"/>
        <v>140360</v>
      </c>
      <c r="G21" s="10">
        <f t="shared" si="5"/>
        <v>39336</v>
      </c>
      <c r="H21" s="10">
        <f t="shared" si="5"/>
        <v>1573440</v>
      </c>
      <c r="I21" s="10">
        <f t="shared" si="5"/>
        <v>16174</v>
      </c>
      <c r="J21" s="10">
        <f t="shared" si="5"/>
        <v>808700</v>
      </c>
      <c r="K21" s="10">
        <f t="shared" si="5"/>
        <v>2651100</v>
      </c>
    </row>
  </sheetData>
  <mergeCells count="9">
    <mergeCell ref="A2:K2"/>
    <mergeCell ref="C4:D4"/>
    <mergeCell ref="E4:F4"/>
    <mergeCell ref="G4:H4"/>
    <mergeCell ref="I4:J4"/>
    <mergeCell ref="A21:B21"/>
    <mergeCell ref="A4:A5"/>
    <mergeCell ref="B4:B5"/>
    <mergeCell ref="K4:K5"/>
  </mergeCells>
  <pageMargins left="0.590277777777778" right="0.471527777777778" top="0.432638888888889" bottom="0.393055555555556" header="0.511805555555556" footer="0.313888888888889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I3" sqref="I3"/>
    </sheetView>
  </sheetViews>
  <sheetFormatPr defaultColWidth="9" defaultRowHeight="14.25"/>
  <cols>
    <col min="1" max="1" width="4.875" customWidth="1"/>
    <col min="2" max="2" width="23.875" customWidth="1"/>
    <col min="3" max="3" width="10.625" customWidth="1"/>
    <col min="4" max="7" width="8.625" customWidth="1"/>
    <col min="8" max="8" width="7.625" customWidth="1"/>
    <col min="9" max="9" width="8.625" customWidth="1"/>
  </cols>
  <sheetData>
    <row r="1" ht="20.25" spans="1:2">
      <c r="A1" s="2" t="s">
        <v>149</v>
      </c>
      <c r="B1" s="3"/>
    </row>
    <row r="2" ht="31" customHeight="1" spans="1:9">
      <c r="A2" s="4" t="s">
        <v>150</v>
      </c>
      <c r="B2" s="4"/>
      <c r="C2" s="4"/>
      <c r="D2" s="4"/>
      <c r="E2" s="4"/>
      <c r="F2" s="4"/>
      <c r="G2" s="4"/>
      <c r="H2" s="4"/>
      <c r="I2" s="4"/>
    </row>
    <row r="3" ht="24" customHeight="1" spans="9:9">
      <c r="I3" s="5" t="s">
        <v>53</v>
      </c>
    </row>
    <row r="4" ht="31" customHeight="1" spans="1:9">
      <c r="A4" s="9" t="s">
        <v>3</v>
      </c>
      <c r="B4" s="7" t="s">
        <v>54</v>
      </c>
      <c r="C4" s="7" t="s">
        <v>151</v>
      </c>
      <c r="D4" s="7"/>
      <c r="E4" s="32" t="s">
        <v>152</v>
      </c>
      <c r="F4" s="34"/>
      <c r="G4" s="7" t="s">
        <v>153</v>
      </c>
      <c r="H4" s="7"/>
      <c r="I4" s="52" t="s">
        <v>116</v>
      </c>
    </row>
    <row r="5" ht="124" customHeight="1" spans="1:9">
      <c r="A5" s="9"/>
      <c r="B5" s="14"/>
      <c r="C5" s="7" t="s">
        <v>154</v>
      </c>
      <c r="D5" s="7" t="s">
        <v>155</v>
      </c>
      <c r="E5" s="7" t="s">
        <v>156</v>
      </c>
      <c r="F5" s="7" t="s">
        <v>157</v>
      </c>
      <c r="G5" s="7" t="s">
        <v>158</v>
      </c>
      <c r="H5" s="7" t="s">
        <v>159</v>
      </c>
      <c r="I5" s="9"/>
    </row>
    <row r="6" ht="33" customHeight="1" spans="1:9">
      <c r="A6" s="9">
        <v>1</v>
      </c>
      <c r="B6" s="10" t="s">
        <v>18</v>
      </c>
      <c r="C6" s="11">
        <v>569</v>
      </c>
      <c r="D6" s="10">
        <f>C6*120</f>
        <v>68280</v>
      </c>
      <c r="E6" s="10">
        <v>2440</v>
      </c>
      <c r="F6" s="10">
        <f>E6*20</f>
        <v>48800</v>
      </c>
      <c r="G6" s="11">
        <v>571</v>
      </c>
      <c r="H6" s="10">
        <f>G6*80</f>
        <v>45680</v>
      </c>
      <c r="I6" s="10">
        <f>D6+F6+H6</f>
        <v>162760</v>
      </c>
    </row>
    <row r="7" ht="33" customHeight="1" spans="1:9">
      <c r="A7" s="9">
        <v>2</v>
      </c>
      <c r="B7" s="10" t="s">
        <v>20</v>
      </c>
      <c r="C7" s="11">
        <v>108</v>
      </c>
      <c r="D7" s="10">
        <f t="shared" ref="D7:D20" si="0">C7*120</f>
        <v>12960</v>
      </c>
      <c r="E7" s="10">
        <v>432</v>
      </c>
      <c r="F7" s="10">
        <f t="shared" ref="F7:F20" si="1">E7*20</f>
        <v>8640</v>
      </c>
      <c r="G7" s="11">
        <v>111</v>
      </c>
      <c r="H7" s="10">
        <f t="shared" ref="H7:H20" si="2">G7*80</f>
        <v>8880</v>
      </c>
      <c r="I7" s="10">
        <f t="shared" ref="I7:I20" si="3">D7+F7+H7</f>
        <v>30480</v>
      </c>
    </row>
    <row r="8" ht="33" customHeight="1" spans="1:9">
      <c r="A8" s="9">
        <v>3</v>
      </c>
      <c r="B8" s="10" t="s">
        <v>22</v>
      </c>
      <c r="C8" s="11">
        <v>55</v>
      </c>
      <c r="D8" s="10">
        <f t="shared" si="0"/>
        <v>6600</v>
      </c>
      <c r="E8" s="10">
        <v>244</v>
      </c>
      <c r="F8" s="10">
        <f t="shared" si="1"/>
        <v>4880</v>
      </c>
      <c r="G8" s="11">
        <v>59</v>
      </c>
      <c r="H8" s="10">
        <f t="shared" si="2"/>
        <v>4720</v>
      </c>
      <c r="I8" s="10">
        <f t="shared" si="3"/>
        <v>16200</v>
      </c>
    </row>
    <row r="9" ht="33" customHeight="1" spans="1:9">
      <c r="A9" s="9">
        <v>4</v>
      </c>
      <c r="B9" s="10" t="s">
        <v>24</v>
      </c>
      <c r="C9" s="11">
        <v>244</v>
      </c>
      <c r="D9" s="10">
        <f t="shared" si="0"/>
        <v>29280</v>
      </c>
      <c r="E9" s="10">
        <v>1008</v>
      </c>
      <c r="F9" s="10">
        <f t="shared" si="1"/>
        <v>20160</v>
      </c>
      <c r="G9" s="11">
        <v>285</v>
      </c>
      <c r="H9" s="10">
        <f t="shared" si="2"/>
        <v>22800</v>
      </c>
      <c r="I9" s="10">
        <f t="shared" si="3"/>
        <v>72240</v>
      </c>
    </row>
    <row r="10" ht="33" customHeight="1" spans="1:9">
      <c r="A10" s="9">
        <v>5</v>
      </c>
      <c r="B10" s="10" t="s">
        <v>26</v>
      </c>
      <c r="C10" s="11">
        <v>173</v>
      </c>
      <c r="D10" s="10">
        <f t="shared" si="0"/>
        <v>20760</v>
      </c>
      <c r="E10" s="10">
        <v>705</v>
      </c>
      <c r="F10" s="10">
        <f t="shared" si="1"/>
        <v>14100</v>
      </c>
      <c r="G10" s="11">
        <v>191</v>
      </c>
      <c r="H10" s="10">
        <f t="shared" si="2"/>
        <v>15280</v>
      </c>
      <c r="I10" s="10">
        <f t="shared" si="3"/>
        <v>50140</v>
      </c>
    </row>
    <row r="11" ht="33" customHeight="1" spans="1:9">
      <c r="A11" s="9">
        <v>6</v>
      </c>
      <c r="B11" s="10" t="s">
        <v>28</v>
      </c>
      <c r="C11" s="11">
        <v>120</v>
      </c>
      <c r="D11" s="10">
        <f t="shared" si="0"/>
        <v>14400</v>
      </c>
      <c r="E11" s="10">
        <v>498</v>
      </c>
      <c r="F11" s="10">
        <f t="shared" si="1"/>
        <v>9960</v>
      </c>
      <c r="G11" s="11">
        <v>135</v>
      </c>
      <c r="H11" s="10">
        <f t="shared" si="2"/>
        <v>10800</v>
      </c>
      <c r="I11" s="10">
        <f t="shared" si="3"/>
        <v>35160</v>
      </c>
    </row>
    <row r="12" ht="33" customHeight="1" spans="1:9">
      <c r="A12" s="9">
        <v>7</v>
      </c>
      <c r="B12" s="10" t="s">
        <v>30</v>
      </c>
      <c r="C12" s="11">
        <v>224</v>
      </c>
      <c r="D12" s="10">
        <f t="shared" si="0"/>
        <v>26880</v>
      </c>
      <c r="E12" s="10">
        <v>740</v>
      </c>
      <c r="F12" s="10">
        <f t="shared" si="1"/>
        <v>14800</v>
      </c>
      <c r="G12" s="11">
        <v>239</v>
      </c>
      <c r="H12" s="10">
        <f t="shared" si="2"/>
        <v>19120</v>
      </c>
      <c r="I12" s="10">
        <f t="shared" si="3"/>
        <v>60800</v>
      </c>
    </row>
    <row r="13" ht="33" customHeight="1" spans="1:9">
      <c r="A13" s="9">
        <v>8</v>
      </c>
      <c r="B13" s="10" t="s">
        <v>32</v>
      </c>
      <c r="C13" s="11">
        <v>381</v>
      </c>
      <c r="D13" s="10">
        <f t="shared" si="0"/>
        <v>45720</v>
      </c>
      <c r="E13" s="10">
        <v>1536</v>
      </c>
      <c r="F13" s="10">
        <f t="shared" si="1"/>
        <v>30720</v>
      </c>
      <c r="G13" s="11">
        <v>398</v>
      </c>
      <c r="H13" s="10">
        <f t="shared" si="2"/>
        <v>31840</v>
      </c>
      <c r="I13" s="10">
        <f t="shared" si="3"/>
        <v>108280</v>
      </c>
    </row>
    <row r="14" ht="33" customHeight="1" spans="1:9">
      <c r="A14" s="9">
        <v>9</v>
      </c>
      <c r="B14" s="10" t="s">
        <v>34</v>
      </c>
      <c r="C14" s="11">
        <v>46</v>
      </c>
      <c r="D14" s="10">
        <f t="shared" si="0"/>
        <v>5520</v>
      </c>
      <c r="E14" s="10">
        <v>282</v>
      </c>
      <c r="F14" s="10">
        <f t="shared" si="1"/>
        <v>5640</v>
      </c>
      <c r="G14" s="11">
        <v>55</v>
      </c>
      <c r="H14" s="10">
        <f t="shared" si="2"/>
        <v>4400</v>
      </c>
      <c r="I14" s="10">
        <f t="shared" si="3"/>
        <v>15560</v>
      </c>
    </row>
    <row r="15" ht="33" customHeight="1" spans="1:9">
      <c r="A15" s="9">
        <v>10</v>
      </c>
      <c r="B15" s="10" t="s">
        <v>36</v>
      </c>
      <c r="C15" s="11">
        <v>213</v>
      </c>
      <c r="D15" s="10">
        <f t="shared" si="0"/>
        <v>25560</v>
      </c>
      <c r="E15" s="10">
        <v>1004</v>
      </c>
      <c r="F15" s="10">
        <f t="shared" si="1"/>
        <v>20080</v>
      </c>
      <c r="G15" s="11">
        <v>238</v>
      </c>
      <c r="H15" s="10">
        <f t="shared" si="2"/>
        <v>19040</v>
      </c>
      <c r="I15" s="10">
        <f t="shared" si="3"/>
        <v>64680</v>
      </c>
    </row>
    <row r="16" ht="33" customHeight="1" spans="1:9">
      <c r="A16" s="9">
        <v>11</v>
      </c>
      <c r="B16" s="10" t="s">
        <v>38</v>
      </c>
      <c r="C16" s="11">
        <v>381</v>
      </c>
      <c r="D16" s="10">
        <f t="shared" si="0"/>
        <v>45720</v>
      </c>
      <c r="E16" s="10">
        <v>1544</v>
      </c>
      <c r="F16" s="10">
        <f t="shared" si="1"/>
        <v>30880</v>
      </c>
      <c r="G16" s="11">
        <v>366</v>
      </c>
      <c r="H16" s="10">
        <f t="shared" si="2"/>
        <v>29280</v>
      </c>
      <c r="I16" s="10">
        <f t="shared" si="3"/>
        <v>105880</v>
      </c>
    </row>
    <row r="17" ht="33" customHeight="1" spans="1:9">
      <c r="A17" s="9">
        <v>12</v>
      </c>
      <c r="B17" s="10" t="s">
        <v>40</v>
      </c>
      <c r="C17" s="11">
        <v>271</v>
      </c>
      <c r="D17" s="10">
        <f t="shared" si="0"/>
        <v>32520</v>
      </c>
      <c r="E17" s="10">
        <v>1163</v>
      </c>
      <c r="F17" s="10">
        <f t="shared" si="1"/>
        <v>23260</v>
      </c>
      <c r="G17" s="11">
        <v>283</v>
      </c>
      <c r="H17" s="10">
        <f t="shared" si="2"/>
        <v>22640</v>
      </c>
      <c r="I17" s="10">
        <f t="shared" si="3"/>
        <v>78420</v>
      </c>
    </row>
    <row r="18" ht="33" customHeight="1" spans="1:9">
      <c r="A18" s="9">
        <v>13</v>
      </c>
      <c r="B18" s="10" t="s">
        <v>160</v>
      </c>
      <c r="C18" s="11">
        <v>205</v>
      </c>
      <c r="D18" s="10">
        <f t="shared" si="0"/>
        <v>24600</v>
      </c>
      <c r="E18" s="10">
        <v>980</v>
      </c>
      <c r="F18" s="10">
        <f t="shared" si="1"/>
        <v>19600</v>
      </c>
      <c r="G18" s="11">
        <v>235</v>
      </c>
      <c r="H18" s="10">
        <f t="shared" si="2"/>
        <v>18800</v>
      </c>
      <c r="I18" s="10">
        <f t="shared" si="3"/>
        <v>63000</v>
      </c>
    </row>
    <row r="19" ht="33" customHeight="1" spans="1:9">
      <c r="A19" s="9">
        <v>14</v>
      </c>
      <c r="B19" s="15" t="s">
        <v>44</v>
      </c>
      <c r="C19" s="11">
        <v>12</v>
      </c>
      <c r="D19" s="10">
        <f t="shared" si="0"/>
        <v>1440</v>
      </c>
      <c r="E19" s="10">
        <v>76</v>
      </c>
      <c r="F19" s="10">
        <f t="shared" si="1"/>
        <v>1520</v>
      </c>
      <c r="G19" s="11">
        <v>19</v>
      </c>
      <c r="H19" s="10">
        <f t="shared" si="2"/>
        <v>1520</v>
      </c>
      <c r="I19" s="10">
        <f t="shared" si="3"/>
        <v>4480</v>
      </c>
    </row>
    <row r="20" ht="33" customHeight="1" spans="1:9">
      <c r="A20" s="9">
        <v>15</v>
      </c>
      <c r="B20" s="10" t="s">
        <v>46</v>
      </c>
      <c r="C20" s="11">
        <v>16</v>
      </c>
      <c r="D20" s="10">
        <f t="shared" si="0"/>
        <v>1920</v>
      </c>
      <c r="E20" s="10">
        <v>17</v>
      </c>
      <c r="F20" s="10">
        <f t="shared" si="1"/>
        <v>340</v>
      </c>
      <c r="G20" s="11">
        <v>17</v>
      </c>
      <c r="H20" s="10">
        <f t="shared" si="2"/>
        <v>1360</v>
      </c>
      <c r="I20" s="10">
        <f t="shared" si="3"/>
        <v>3620</v>
      </c>
    </row>
    <row r="21" ht="33" customHeight="1" spans="1:9">
      <c r="A21" s="16" t="s">
        <v>75</v>
      </c>
      <c r="B21" s="17"/>
      <c r="C21" s="10">
        <f>SUM(C6:C20)</f>
        <v>3018</v>
      </c>
      <c r="D21" s="10">
        <f t="shared" ref="D21:I21" si="4">SUM(D6:D20)</f>
        <v>362160</v>
      </c>
      <c r="E21" s="10">
        <f t="shared" si="4"/>
        <v>12669</v>
      </c>
      <c r="F21" s="10">
        <f t="shared" si="4"/>
        <v>253380</v>
      </c>
      <c r="G21" s="10">
        <f t="shared" si="4"/>
        <v>3202</v>
      </c>
      <c r="H21" s="10">
        <f t="shared" si="4"/>
        <v>256160</v>
      </c>
      <c r="I21" s="10">
        <f t="shared" si="4"/>
        <v>871700</v>
      </c>
    </row>
  </sheetData>
  <mergeCells count="8">
    <mergeCell ref="A2:I2"/>
    <mergeCell ref="C4:D4"/>
    <mergeCell ref="E4:F4"/>
    <mergeCell ref="G4:H4"/>
    <mergeCell ref="A21:B21"/>
    <mergeCell ref="A4:A5"/>
    <mergeCell ref="B4:B5"/>
    <mergeCell ref="I4:I5"/>
  </mergeCells>
  <pageMargins left="0.432638888888889" right="0.236111111111111" top="0.629861111111111" bottom="0.236111111111111" header="0.590277777777778" footer="0.156944444444444"/>
  <pageSetup paperSize="9" orientation="portrait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20" sqref="A20:B20"/>
    </sheetView>
  </sheetViews>
  <sheetFormatPr defaultColWidth="9" defaultRowHeight="14.25" outlineLevelCol="6"/>
  <cols>
    <col min="1" max="1" width="8.35" customWidth="1"/>
    <col min="2" max="2" width="23.525" customWidth="1"/>
    <col min="3" max="3" width="13.25" style="49" customWidth="1"/>
    <col min="4" max="4" width="12.5" customWidth="1"/>
    <col min="5" max="5" width="13.875" customWidth="1"/>
    <col min="6" max="6" width="10.2333333333333" customWidth="1"/>
  </cols>
  <sheetData>
    <row r="1" ht="33" customHeight="1" spans="1:4">
      <c r="A1" s="2" t="s">
        <v>161</v>
      </c>
      <c r="B1" s="3"/>
      <c r="C1" s="41"/>
      <c r="D1" s="3"/>
    </row>
    <row r="2" ht="36" customHeight="1" spans="1:6">
      <c r="A2" s="4" t="s">
        <v>162</v>
      </c>
      <c r="B2" s="4"/>
      <c r="C2" s="46"/>
      <c r="D2" s="4"/>
      <c r="E2" s="4"/>
      <c r="F2" s="4"/>
    </row>
    <row r="3" ht="26" customHeight="1" spans="6:6">
      <c r="F3" s="5" t="s">
        <v>53</v>
      </c>
    </row>
    <row r="4" ht="64" customHeight="1" spans="1:7">
      <c r="A4" s="6" t="s">
        <v>3</v>
      </c>
      <c r="B4" s="7" t="s">
        <v>54</v>
      </c>
      <c r="C4" s="50" t="s">
        <v>163</v>
      </c>
      <c r="D4" s="8" t="s">
        <v>164</v>
      </c>
      <c r="E4" s="25" t="s">
        <v>109</v>
      </c>
      <c r="F4" s="8" t="s">
        <v>9</v>
      </c>
      <c r="G4" s="28"/>
    </row>
    <row r="5" s="1" customFormat="1" ht="32" customHeight="1" spans="1:6">
      <c r="A5" s="9">
        <v>1</v>
      </c>
      <c r="B5" s="10" t="s">
        <v>18</v>
      </c>
      <c r="C5" s="11">
        <v>5045</v>
      </c>
      <c r="D5" s="11">
        <v>200</v>
      </c>
      <c r="E5" s="21">
        <f>C5*D5</f>
        <v>1009000</v>
      </c>
      <c r="F5" s="14"/>
    </row>
    <row r="6" s="1" customFormat="1" ht="32" customHeight="1" spans="1:6">
      <c r="A6" s="9">
        <v>2</v>
      </c>
      <c r="B6" s="10" t="s">
        <v>20</v>
      </c>
      <c r="C6" s="11">
        <v>1147</v>
      </c>
      <c r="D6" s="11">
        <v>200</v>
      </c>
      <c r="E6" s="21">
        <f t="shared" ref="E6:E19" si="0">C6*D6</f>
        <v>229400</v>
      </c>
      <c r="F6" s="14"/>
    </row>
    <row r="7" s="1" customFormat="1" ht="32" customHeight="1" spans="1:6">
      <c r="A7" s="9">
        <v>3</v>
      </c>
      <c r="B7" s="10" t="s">
        <v>22</v>
      </c>
      <c r="C7" s="11">
        <v>420</v>
      </c>
      <c r="D7" s="11">
        <v>200</v>
      </c>
      <c r="E7" s="21">
        <f t="shared" si="0"/>
        <v>84000</v>
      </c>
      <c r="F7" s="14"/>
    </row>
    <row r="8" s="1" customFormat="1" ht="32" customHeight="1" spans="1:6">
      <c r="A8" s="9">
        <v>4</v>
      </c>
      <c r="B8" s="10" t="s">
        <v>24</v>
      </c>
      <c r="C8" s="11">
        <v>2259</v>
      </c>
      <c r="D8" s="11">
        <v>200</v>
      </c>
      <c r="E8" s="21">
        <f t="shared" si="0"/>
        <v>451800</v>
      </c>
      <c r="F8" s="14"/>
    </row>
    <row r="9" s="1" customFormat="1" ht="32" customHeight="1" spans="1:6">
      <c r="A9" s="9">
        <v>5</v>
      </c>
      <c r="B9" s="10" t="s">
        <v>26</v>
      </c>
      <c r="C9" s="11">
        <v>1460</v>
      </c>
      <c r="D9" s="11">
        <v>200</v>
      </c>
      <c r="E9" s="21">
        <f t="shared" si="0"/>
        <v>292000</v>
      </c>
      <c r="F9" s="14"/>
    </row>
    <row r="10" s="1" customFormat="1" ht="32" customHeight="1" spans="1:6">
      <c r="A10" s="9">
        <v>6</v>
      </c>
      <c r="B10" s="10" t="s">
        <v>28</v>
      </c>
      <c r="C10" s="11">
        <v>1187</v>
      </c>
      <c r="D10" s="11">
        <v>200</v>
      </c>
      <c r="E10" s="21">
        <f t="shared" si="0"/>
        <v>237400</v>
      </c>
      <c r="F10" s="14"/>
    </row>
    <row r="11" s="1" customFormat="1" ht="32" customHeight="1" spans="1:6">
      <c r="A11" s="9">
        <v>7</v>
      </c>
      <c r="B11" s="10" t="s">
        <v>30</v>
      </c>
      <c r="C11" s="11">
        <v>1973</v>
      </c>
      <c r="D11" s="11">
        <v>200</v>
      </c>
      <c r="E11" s="21">
        <f t="shared" si="0"/>
        <v>394600</v>
      </c>
      <c r="F11" s="14"/>
    </row>
    <row r="12" s="1" customFormat="1" ht="32" customHeight="1" spans="1:6">
      <c r="A12" s="9">
        <v>8</v>
      </c>
      <c r="B12" s="10" t="s">
        <v>32</v>
      </c>
      <c r="C12" s="11">
        <v>3140</v>
      </c>
      <c r="D12" s="11">
        <v>200</v>
      </c>
      <c r="E12" s="21">
        <f t="shared" si="0"/>
        <v>628000</v>
      </c>
      <c r="F12" s="14"/>
    </row>
    <row r="13" s="1" customFormat="1" ht="32" customHeight="1" spans="1:6">
      <c r="A13" s="9">
        <v>9</v>
      </c>
      <c r="B13" s="10" t="s">
        <v>34</v>
      </c>
      <c r="C13" s="11">
        <v>501</v>
      </c>
      <c r="D13" s="11">
        <v>200</v>
      </c>
      <c r="E13" s="21">
        <f t="shared" si="0"/>
        <v>100200</v>
      </c>
      <c r="F13" s="14"/>
    </row>
    <row r="14" s="1" customFormat="1" ht="32" customHeight="1" spans="1:6">
      <c r="A14" s="9">
        <v>10</v>
      </c>
      <c r="B14" s="10" t="s">
        <v>36</v>
      </c>
      <c r="C14" s="11">
        <v>1848</v>
      </c>
      <c r="D14" s="11">
        <v>200</v>
      </c>
      <c r="E14" s="21">
        <f t="shared" si="0"/>
        <v>369600</v>
      </c>
      <c r="F14" s="14"/>
    </row>
    <row r="15" s="1" customFormat="1" ht="32" customHeight="1" spans="1:6">
      <c r="A15" s="9">
        <v>11</v>
      </c>
      <c r="B15" s="10" t="s">
        <v>38</v>
      </c>
      <c r="C15" s="11">
        <v>3191</v>
      </c>
      <c r="D15" s="11">
        <v>200</v>
      </c>
      <c r="E15" s="21">
        <f t="shared" si="0"/>
        <v>638200</v>
      </c>
      <c r="F15" s="14"/>
    </row>
    <row r="16" s="1" customFormat="1" ht="32" customHeight="1" spans="1:6">
      <c r="A16" s="9">
        <v>12</v>
      </c>
      <c r="B16" s="10" t="s">
        <v>40</v>
      </c>
      <c r="C16" s="11">
        <v>2665</v>
      </c>
      <c r="D16" s="11">
        <v>200</v>
      </c>
      <c r="E16" s="21">
        <f t="shared" si="0"/>
        <v>533000</v>
      </c>
      <c r="F16" s="14"/>
    </row>
    <row r="17" s="1" customFormat="1" ht="32" customHeight="1" spans="1:6">
      <c r="A17" s="9">
        <v>13</v>
      </c>
      <c r="B17" s="10" t="s">
        <v>42</v>
      </c>
      <c r="C17" s="11">
        <v>2055</v>
      </c>
      <c r="D17" s="11">
        <v>200</v>
      </c>
      <c r="E17" s="21">
        <f t="shared" si="0"/>
        <v>411000</v>
      </c>
      <c r="F17" s="14"/>
    </row>
    <row r="18" s="1" customFormat="1" ht="32" customHeight="1" spans="1:6">
      <c r="A18" s="9">
        <v>14</v>
      </c>
      <c r="B18" s="15" t="s">
        <v>44</v>
      </c>
      <c r="C18" s="11">
        <v>328</v>
      </c>
      <c r="D18" s="11">
        <v>200</v>
      </c>
      <c r="E18" s="21">
        <f t="shared" si="0"/>
        <v>65600</v>
      </c>
      <c r="F18" s="14"/>
    </row>
    <row r="19" s="1" customFormat="1" ht="32" customHeight="1" spans="1:6">
      <c r="A19" s="9">
        <v>15</v>
      </c>
      <c r="B19" s="10" t="s">
        <v>46</v>
      </c>
      <c r="C19" s="11">
        <v>269</v>
      </c>
      <c r="D19" s="11">
        <v>200</v>
      </c>
      <c r="E19" s="21">
        <f t="shared" si="0"/>
        <v>53800</v>
      </c>
      <c r="F19" s="14"/>
    </row>
    <row r="20" s="1" customFormat="1" ht="32" customHeight="1" spans="1:6">
      <c r="A20" s="16" t="s">
        <v>75</v>
      </c>
      <c r="B20" s="17"/>
      <c r="C20" s="51">
        <f>SUM(C5:C19)</f>
        <v>27488</v>
      </c>
      <c r="D20" s="10"/>
      <c r="E20" s="10">
        <f>SUM(E5:E19)</f>
        <v>5497600</v>
      </c>
      <c r="F20" s="14"/>
    </row>
  </sheetData>
  <mergeCells count="2">
    <mergeCell ref="A2:F2"/>
    <mergeCell ref="A20:B20"/>
  </mergeCells>
  <pageMargins left="0.707638888888889" right="0.590277777777778" top="0.707638888888889" bottom="0.786805555555556" header="0.511805555555556" footer="0.511805555555556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workbookViewId="0">
      <selection activeCell="A1" sqref="A1"/>
    </sheetView>
  </sheetViews>
  <sheetFormatPr defaultColWidth="9" defaultRowHeight="14.25" outlineLevelCol="6"/>
  <cols>
    <col min="1" max="1" width="8.35" customWidth="1"/>
    <col min="2" max="2" width="23.525" customWidth="1"/>
    <col min="3" max="3" width="13.25" customWidth="1"/>
    <col min="4" max="4" width="12.5" customWidth="1"/>
    <col min="5" max="5" width="13.875" customWidth="1"/>
    <col min="6" max="6" width="10.2333333333333" customWidth="1"/>
  </cols>
  <sheetData>
    <row r="1" customFormat="1" ht="33" customHeight="1" spans="1:4">
      <c r="A1" s="40" t="s">
        <v>165</v>
      </c>
      <c r="B1" s="3"/>
      <c r="C1" s="41"/>
      <c r="D1" s="3"/>
    </row>
    <row r="2" customFormat="1" ht="36" customHeight="1" spans="1:6">
      <c r="A2" s="4" t="s">
        <v>166</v>
      </c>
      <c r="B2" s="4"/>
      <c r="C2" s="46"/>
      <c r="D2" s="4"/>
      <c r="E2" s="4"/>
      <c r="F2" s="4"/>
    </row>
    <row r="3" customFormat="1" ht="26" customHeight="1" spans="6:6">
      <c r="F3" s="5" t="s">
        <v>53</v>
      </c>
    </row>
    <row r="4" customFormat="1" ht="64" customHeight="1" spans="1:7">
      <c r="A4" s="6" t="s">
        <v>3</v>
      </c>
      <c r="B4" s="7" t="s">
        <v>54</v>
      </c>
      <c r="C4" s="8" t="s">
        <v>167</v>
      </c>
      <c r="D4" s="8" t="s">
        <v>164</v>
      </c>
      <c r="E4" s="25" t="s">
        <v>109</v>
      </c>
      <c r="F4" s="8" t="s">
        <v>9</v>
      </c>
      <c r="G4" s="28"/>
    </row>
    <row r="5" s="1" customFormat="1" ht="32" customHeight="1" spans="1:6">
      <c r="A5" s="9">
        <v>1</v>
      </c>
      <c r="B5" s="10" t="s">
        <v>18</v>
      </c>
      <c r="C5" s="11">
        <v>3860</v>
      </c>
      <c r="D5" s="11">
        <v>270</v>
      </c>
      <c r="E5" s="21">
        <f>C5*D5</f>
        <v>1042200</v>
      </c>
      <c r="F5" s="14"/>
    </row>
    <row r="6" s="1" customFormat="1" ht="32" customHeight="1" spans="1:6">
      <c r="A6" s="9">
        <v>2</v>
      </c>
      <c r="B6" s="10" t="s">
        <v>20</v>
      </c>
      <c r="C6" s="11">
        <v>868</v>
      </c>
      <c r="D6" s="11">
        <v>270</v>
      </c>
      <c r="E6" s="21">
        <f t="shared" ref="E6:E19" si="0">C6*D6</f>
        <v>234360</v>
      </c>
      <c r="F6" s="14"/>
    </row>
    <row r="7" s="1" customFormat="1" ht="32" customHeight="1" spans="1:6">
      <c r="A7" s="9">
        <v>3</v>
      </c>
      <c r="B7" s="10" t="s">
        <v>22</v>
      </c>
      <c r="C7" s="11">
        <v>287</v>
      </c>
      <c r="D7" s="11">
        <v>270</v>
      </c>
      <c r="E7" s="21">
        <f t="shared" si="0"/>
        <v>77490</v>
      </c>
      <c r="F7" s="14"/>
    </row>
    <row r="8" s="1" customFormat="1" ht="32" customHeight="1" spans="1:6">
      <c r="A8" s="9">
        <v>4</v>
      </c>
      <c r="B8" s="10" t="s">
        <v>24</v>
      </c>
      <c r="C8" s="11">
        <v>1526</v>
      </c>
      <c r="D8" s="11">
        <v>270</v>
      </c>
      <c r="E8" s="21">
        <f t="shared" si="0"/>
        <v>412020</v>
      </c>
      <c r="F8" s="14"/>
    </row>
    <row r="9" s="1" customFormat="1" ht="32" customHeight="1" spans="1:6">
      <c r="A9" s="9">
        <v>5</v>
      </c>
      <c r="B9" s="10" t="s">
        <v>26</v>
      </c>
      <c r="C9" s="11">
        <v>1010</v>
      </c>
      <c r="D9" s="11">
        <v>270</v>
      </c>
      <c r="E9" s="21">
        <f t="shared" si="0"/>
        <v>272700</v>
      </c>
      <c r="F9" s="14"/>
    </row>
    <row r="10" s="1" customFormat="1" ht="32" customHeight="1" spans="1:6">
      <c r="A10" s="9">
        <v>6</v>
      </c>
      <c r="B10" s="10" t="s">
        <v>28</v>
      </c>
      <c r="C10" s="11">
        <v>728</v>
      </c>
      <c r="D10" s="11">
        <v>270</v>
      </c>
      <c r="E10" s="21">
        <f t="shared" si="0"/>
        <v>196560</v>
      </c>
      <c r="F10" s="14"/>
    </row>
    <row r="11" s="1" customFormat="1" ht="32" customHeight="1" spans="1:6">
      <c r="A11" s="9">
        <v>7</v>
      </c>
      <c r="B11" s="10" t="s">
        <v>30</v>
      </c>
      <c r="C11" s="11">
        <v>1413</v>
      </c>
      <c r="D11" s="11">
        <v>270</v>
      </c>
      <c r="E11" s="21">
        <f t="shared" si="0"/>
        <v>381510</v>
      </c>
      <c r="F11" s="14"/>
    </row>
    <row r="12" s="1" customFormat="1" ht="32" customHeight="1" spans="1:6">
      <c r="A12" s="9">
        <v>8</v>
      </c>
      <c r="B12" s="10" t="s">
        <v>32</v>
      </c>
      <c r="C12" s="11">
        <v>2076</v>
      </c>
      <c r="D12" s="11">
        <v>270</v>
      </c>
      <c r="E12" s="21">
        <f t="shared" si="0"/>
        <v>560520</v>
      </c>
      <c r="F12" s="14"/>
    </row>
    <row r="13" s="1" customFormat="1" ht="32" customHeight="1" spans="1:6">
      <c r="A13" s="9">
        <v>9</v>
      </c>
      <c r="B13" s="10" t="s">
        <v>34</v>
      </c>
      <c r="C13" s="11">
        <v>382</v>
      </c>
      <c r="D13" s="11">
        <v>270</v>
      </c>
      <c r="E13" s="21">
        <f t="shared" si="0"/>
        <v>103140</v>
      </c>
      <c r="F13" s="14"/>
    </row>
    <row r="14" s="1" customFormat="1" ht="32" customHeight="1" spans="1:6">
      <c r="A14" s="9">
        <v>10</v>
      </c>
      <c r="B14" s="10" t="s">
        <v>36</v>
      </c>
      <c r="C14" s="11">
        <v>1279</v>
      </c>
      <c r="D14" s="11">
        <v>270</v>
      </c>
      <c r="E14" s="21">
        <f t="shared" si="0"/>
        <v>345330</v>
      </c>
      <c r="F14" s="14"/>
    </row>
    <row r="15" s="1" customFormat="1" ht="32" customHeight="1" spans="1:6">
      <c r="A15" s="9">
        <v>11</v>
      </c>
      <c r="B15" s="10" t="s">
        <v>38</v>
      </c>
      <c r="C15" s="11">
        <v>2122</v>
      </c>
      <c r="D15" s="11">
        <v>270</v>
      </c>
      <c r="E15" s="21">
        <f t="shared" si="0"/>
        <v>572940</v>
      </c>
      <c r="F15" s="14"/>
    </row>
    <row r="16" s="1" customFormat="1" ht="32" customHeight="1" spans="1:6">
      <c r="A16" s="9">
        <v>12</v>
      </c>
      <c r="B16" s="10" t="s">
        <v>40</v>
      </c>
      <c r="C16" s="11">
        <v>1727</v>
      </c>
      <c r="D16" s="11">
        <v>270</v>
      </c>
      <c r="E16" s="21">
        <f t="shared" si="0"/>
        <v>466290</v>
      </c>
      <c r="F16" s="14"/>
    </row>
    <row r="17" s="1" customFormat="1" ht="32" customHeight="1" spans="1:6">
      <c r="A17" s="9">
        <v>13</v>
      </c>
      <c r="B17" s="10" t="s">
        <v>42</v>
      </c>
      <c r="C17" s="11">
        <v>1351</v>
      </c>
      <c r="D17" s="11">
        <v>270</v>
      </c>
      <c r="E17" s="21">
        <f t="shared" si="0"/>
        <v>364770</v>
      </c>
      <c r="F17" s="14"/>
    </row>
    <row r="18" s="1" customFormat="1" ht="32" customHeight="1" spans="1:6">
      <c r="A18" s="9">
        <v>14</v>
      </c>
      <c r="B18" s="15" t="s">
        <v>44</v>
      </c>
      <c r="C18" s="11">
        <v>238</v>
      </c>
      <c r="D18" s="11">
        <v>270</v>
      </c>
      <c r="E18" s="21">
        <f t="shared" si="0"/>
        <v>64260</v>
      </c>
      <c r="F18" s="14"/>
    </row>
    <row r="19" s="1" customFormat="1" ht="32" customHeight="1" spans="1:6">
      <c r="A19" s="9">
        <v>15</v>
      </c>
      <c r="B19" s="10" t="s">
        <v>46</v>
      </c>
      <c r="C19" s="11">
        <v>200</v>
      </c>
      <c r="D19" s="11">
        <v>270</v>
      </c>
      <c r="E19" s="21">
        <f t="shared" si="0"/>
        <v>54000</v>
      </c>
      <c r="F19" s="14"/>
    </row>
    <row r="20" s="1" customFormat="1" ht="32" customHeight="1" spans="1:6">
      <c r="A20" s="16" t="s">
        <v>75</v>
      </c>
      <c r="B20" s="17"/>
      <c r="C20" s="10">
        <f>SUM(C5:C19)</f>
        <v>19067</v>
      </c>
      <c r="D20" s="10"/>
      <c r="E20" s="10">
        <f>SUM(E5:E19)</f>
        <v>5148090</v>
      </c>
      <c r="F20" s="14"/>
    </row>
  </sheetData>
  <mergeCells count="2">
    <mergeCell ref="A2:F2"/>
    <mergeCell ref="A20:B20"/>
  </mergeCells>
  <pageMargins left="0.707638888888889" right="0.590277777777778" top="0.432638888888889" bottom="0.393055555555556" header="0.393055555555556" footer="0.27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1" sqref="A1"/>
    </sheetView>
  </sheetViews>
  <sheetFormatPr defaultColWidth="9" defaultRowHeight="14.25" outlineLevelCol="5"/>
  <cols>
    <col min="1" max="1" width="7.25" customWidth="1"/>
    <col min="2" max="2" width="23.525" customWidth="1"/>
    <col min="3" max="3" width="15.875" customWidth="1"/>
    <col min="4" max="4" width="12.5" customWidth="1"/>
    <col min="5" max="5" width="13.875" customWidth="1"/>
    <col min="6" max="6" width="11.25" customWidth="1"/>
  </cols>
  <sheetData>
    <row r="1" customFormat="1" ht="33" customHeight="1" spans="1:4">
      <c r="A1" s="40" t="s">
        <v>168</v>
      </c>
      <c r="B1" s="3"/>
      <c r="C1" s="41"/>
      <c r="D1" s="3"/>
    </row>
    <row r="2" customFormat="1" ht="36" customHeight="1" spans="1:6">
      <c r="A2" s="4" t="s">
        <v>169</v>
      </c>
      <c r="B2" s="4"/>
      <c r="C2" s="46"/>
      <c r="D2" s="4"/>
      <c r="E2" s="4"/>
      <c r="F2" s="4"/>
    </row>
    <row r="3" customFormat="1" ht="26" customHeight="1" spans="6:6">
      <c r="F3" s="5" t="s">
        <v>53</v>
      </c>
    </row>
    <row r="4" customFormat="1" ht="64" customHeight="1" spans="1:6">
      <c r="A4" s="7" t="s">
        <v>3</v>
      </c>
      <c r="B4" s="7" t="s">
        <v>54</v>
      </c>
      <c r="C4" s="8" t="s">
        <v>170</v>
      </c>
      <c r="D4" s="8" t="s">
        <v>164</v>
      </c>
      <c r="E4" s="25" t="s">
        <v>109</v>
      </c>
      <c r="F4" s="8" t="s">
        <v>9</v>
      </c>
    </row>
    <row r="5" s="1" customFormat="1" ht="32" customHeight="1" spans="1:6">
      <c r="A5" s="30">
        <v>1</v>
      </c>
      <c r="B5" s="10" t="s">
        <v>18</v>
      </c>
      <c r="C5" s="11">
        <v>1480</v>
      </c>
      <c r="D5" s="11">
        <v>270</v>
      </c>
      <c r="E5" s="21">
        <f>C5*D5</f>
        <v>399600</v>
      </c>
      <c r="F5" s="14"/>
    </row>
    <row r="6" s="1" customFormat="1" ht="32" customHeight="1" spans="1:6">
      <c r="A6" s="30">
        <v>2</v>
      </c>
      <c r="B6" s="10" t="s">
        <v>20</v>
      </c>
      <c r="C6" s="11">
        <v>296</v>
      </c>
      <c r="D6" s="11">
        <v>270</v>
      </c>
      <c r="E6" s="21">
        <f t="shared" ref="E6:E19" si="0">C6*D6</f>
        <v>79920</v>
      </c>
      <c r="F6" s="14"/>
    </row>
    <row r="7" s="1" customFormat="1" ht="32" customHeight="1" spans="1:6">
      <c r="A7" s="30">
        <v>3</v>
      </c>
      <c r="B7" s="10" t="s">
        <v>22</v>
      </c>
      <c r="C7" s="11">
        <v>76</v>
      </c>
      <c r="D7" s="11">
        <v>270</v>
      </c>
      <c r="E7" s="21">
        <f t="shared" si="0"/>
        <v>20520</v>
      </c>
      <c r="F7" s="14"/>
    </row>
    <row r="8" s="1" customFormat="1" ht="32" customHeight="1" spans="1:6">
      <c r="A8" s="30">
        <v>4</v>
      </c>
      <c r="B8" s="10" t="s">
        <v>24</v>
      </c>
      <c r="C8" s="11">
        <v>523</v>
      </c>
      <c r="D8" s="11">
        <v>270</v>
      </c>
      <c r="E8" s="21">
        <f t="shared" si="0"/>
        <v>141210</v>
      </c>
      <c r="F8" s="14"/>
    </row>
    <row r="9" s="1" customFormat="1" ht="32" customHeight="1" spans="1:6">
      <c r="A9" s="30">
        <v>5</v>
      </c>
      <c r="B9" s="10" t="s">
        <v>26</v>
      </c>
      <c r="C9" s="11">
        <v>335</v>
      </c>
      <c r="D9" s="11">
        <v>270</v>
      </c>
      <c r="E9" s="21">
        <f t="shared" si="0"/>
        <v>90450</v>
      </c>
      <c r="F9" s="14"/>
    </row>
    <row r="10" s="1" customFormat="1" ht="32" customHeight="1" spans="1:6">
      <c r="A10" s="30">
        <v>6</v>
      </c>
      <c r="B10" s="10" t="s">
        <v>28</v>
      </c>
      <c r="C10" s="11">
        <v>276</v>
      </c>
      <c r="D10" s="11">
        <v>270</v>
      </c>
      <c r="E10" s="21">
        <f t="shared" si="0"/>
        <v>74520</v>
      </c>
      <c r="F10" s="14"/>
    </row>
    <row r="11" s="1" customFormat="1" ht="32" customHeight="1" spans="1:6">
      <c r="A11" s="30">
        <v>7</v>
      </c>
      <c r="B11" s="10" t="s">
        <v>30</v>
      </c>
      <c r="C11" s="11">
        <v>492</v>
      </c>
      <c r="D11" s="11">
        <v>270</v>
      </c>
      <c r="E11" s="21">
        <f t="shared" si="0"/>
        <v>132840</v>
      </c>
      <c r="F11" s="14"/>
    </row>
    <row r="12" s="1" customFormat="1" ht="32" customHeight="1" spans="1:6">
      <c r="A12" s="30">
        <v>8</v>
      </c>
      <c r="B12" s="10" t="s">
        <v>32</v>
      </c>
      <c r="C12" s="11">
        <v>694</v>
      </c>
      <c r="D12" s="11">
        <v>270</v>
      </c>
      <c r="E12" s="21">
        <f t="shared" si="0"/>
        <v>187380</v>
      </c>
      <c r="F12" s="14"/>
    </row>
    <row r="13" s="1" customFormat="1" ht="32" customHeight="1" spans="1:6">
      <c r="A13" s="30">
        <v>9</v>
      </c>
      <c r="B13" s="10" t="s">
        <v>34</v>
      </c>
      <c r="C13" s="11">
        <v>74</v>
      </c>
      <c r="D13" s="11">
        <v>270</v>
      </c>
      <c r="E13" s="21">
        <f t="shared" si="0"/>
        <v>19980</v>
      </c>
      <c r="F13" s="14"/>
    </row>
    <row r="14" s="1" customFormat="1" ht="32" customHeight="1" spans="1:6">
      <c r="A14" s="30">
        <v>10</v>
      </c>
      <c r="B14" s="10" t="s">
        <v>36</v>
      </c>
      <c r="C14" s="11">
        <v>444</v>
      </c>
      <c r="D14" s="11">
        <v>270</v>
      </c>
      <c r="E14" s="21">
        <f t="shared" si="0"/>
        <v>119880</v>
      </c>
      <c r="F14" s="14"/>
    </row>
    <row r="15" s="1" customFormat="1" ht="32" customHeight="1" spans="1:6">
      <c r="A15" s="30">
        <v>11</v>
      </c>
      <c r="B15" s="10" t="s">
        <v>38</v>
      </c>
      <c r="C15" s="11">
        <v>662</v>
      </c>
      <c r="D15" s="11">
        <v>270</v>
      </c>
      <c r="E15" s="21">
        <f t="shared" si="0"/>
        <v>178740</v>
      </c>
      <c r="F15" s="14"/>
    </row>
    <row r="16" s="1" customFormat="1" ht="32" customHeight="1" spans="1:6">
      <c r="A16" s="30">
        <v>12</v>
      </c>
      <c r="B16" s="10" t="s">
        <v>40</v>
      </c>
      <c r="C16" s="11">
        <v>567</v>
      </c>
      <c r="D16" s="11">
        <v>270</v>
      </c>
      <c r="E16" s="21">
        <f t="shared" si="0"/>
        <v>153090</v>
      </c>
      <c r="F16" s="14"/>
    </row>
    <row r="17" s="1" customFormat="1" ht="32" customHeight="1" spans="1:6">
      <c r="A17" s="30">
        <v>13</v>
      </c>
      <c r="B17" s="10" t="s">
        <v>42</v>
      </c>
      <c r="C17" s="11">
        <v>470</v>
      </c>
      <c r="D17" s="11">
        <v>270</v>
      </c>
      <c r="E17" s="21">
        <f t="shared" si="0"/>
        <v>126900</v>
      </c>
      <c r="F17" s="14"/>
    </row>
    <row r="18" s="1" customFormat="1" ht="32" customHeight="1" spans="1:6">
      <c r="A18" s="30">
        <v>14</v>
      </c>
      <c r="B18" s="15" t="s">
        <v>44</v>
      </c>
      <c r="C18" s="11">
        <v>81</v>
      </c>
      <c r="D18" s="11">
        <v>270</v>
      </c>
      <c r="E18" s="21">
        <f t="shared" si="0"/>
        <v>21870</v>
      </c>
      <c r="F18" s="14"/>
    </row>
    <row r="19" s="1" customFormat="1" ht="32" customHeight="1" spans="1:6">
      <c r="A19" s="30">
        <v>15</v>
      </c>
      <c r="B19" s="10" t="s">
        <v>46</v>
      </c>
      <c r="C19" s="11">
        <v>66</v>
      </c>
      <c r="D19" s="11">
        <v>270</v>
      </c>
      <c r="E19" s="21">
        <f t="shared" si="0"/>
        <v>17820</v>
      </c>
      <c r="F19" s="14"/>
    </row>
    <row r="20" s="1" customFormat="1" ht="32" customHeight="1" spans="1:6">
      <c r="A20" s="16" t="s">
        <v>75</v>
      </c>
      <c r="B20" s="17"/>
      <c r="C20" s="48">
        <f>SUM(C5:C19)</f>
        <v>6536</v>
      </c>
      <c r="D20" s="10"/>
      <c r="E20" s="10">
        <f>SUM(E5:E19)</f>
        <v>1764720</v>
      </c>
      <c r="F20" s="14"/>
    </row>
  </sheetData>
  <mergeCells count="2">
    <mergeCell ref="A2:F2"/>
    <mergeCell ref="A20:B20"/>
  </mergeCells>
  <pageMargins left="0.590277777777778" right="0.550694444444444" top="0.432638888888889" bottom="0.393055555555556" header="0.393055555555556" footer="0.27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selection activeCell="A1" sqref="A1"/>
    </sheetView>
  </sheetViews>
  <sheetFormatPr defaultColWidth="9" defaultRowHeight="14.25"/>
  <cols>
    <col min="1" max="1" width="8.35" customWidth="1"/>
    <col min="2" max="2" width="23.525" customWidth="1"/>
    <col min="3" max="3" width="13.25" customWidth="1"/>
    <col min="4" max="4" width="12.5" customWidth="1"/>
    <col min="5" max="5" width="13.875" customWidth="1"/>
    <col min="6" max="6" width="11.25" customWidth="1"/>
  </cols>
  <sheetData>
    <row r="1" customFormat="1" ht="33" customHeight="1" spans="1:4">
      <c r="A1" s="40" t="s">
        <v>171</v>
      </c>
      <c r="B1" s="3"/>
      <c r="C1" s="41"/>
      <c r="D1" s="3"/>
    </row>
    <row r="2" customFormat="1" ht="36" customHeight="1" spans="1:6">
      <c r="A2" s="4" t="s">
        <v>172</v>
      </c>
      <c r="B2" s="4"/>
      <c r="C2" s="46"/>
      <c r="D2" s="4"/>
      <c r="E2" s="4"/>
      <c r="F2" s="4"/>
    </row>
    <row r="3" customFormat="1" ht="26" customHeight="1" spans="6:6">
      <c r="F3" s="5" t="s">
        <v>53</v>
      </c>
    </row>
    <row r="4" customFormat="1" ht="64" customHeight="1" spans="1:7">
      <c r="A4" s="7" t="s">
        <v>3</v>
      </c>
      <c r="B4" s="7" t="s">
        <v>54</v>
      </c>
      <c r="C4" s="8" t="s">
        <v>173</v>
      </c>
      <c r="D4" s="8" t="s">
        <v>164</v>
      </c>
      <c r="E4" s="25" t="s">
        <v>109</v>
      </c>
      <c r="F4" s="8" t="s">
        <v>9</v>
      </c>
      <c r="G4" s="28"/>
    </row>
    <row r="5" s="1" customFormat="1" ht="32" customHeight="1" spans="1:8">
      <c r="A5" s="30">
        <v>1</v>
      </c>
      <c r="B5" s="10" t="s">
        <v>18</v>
      </c>
      <c r="C5" s="11">
        <v>303</v>
      </c>
      <c r="D5" s="11">
        <v>270</v>
      </c>
      <c r="E5" s="21">
        <f>C5*D5</f>
        <v>81810</v>
      </c>
      <c r="F5" s="14"/>
      <c r="G5" s="45"/>
      <c r="H5" s="45"/>
    </row>
    <row r="6" s="1" customFormat="1" ht="32" customHeight="1" spans="1:6">
      <c r="A6" s="30">
        <v>2</v>
      </c>
      <c r="B6" s="10" t="s">
        <v>20</v>
      </c>
      <c r="C6" s="11">
        <v>66</v>
      </c>
      <c r="D6" s="11">
        <v>270</v>
      </c>
      <c r="E6" s="21">
        <f t="shared" ref="E6:E19" si="0">C6*D6</f>
        <v>17820</v>
      </c>
      <c r="F6" s="14"/>
    </row>
    <row r="7" s="1" customFormat="1" ht="32" customHeight="1" spans="1:6">
      <c r="A7" s="30">
        <v>3</v>
      </c>
      <c r="B7" s="10" t="s">
        <v>22</v>
      </c>
      <c r="C7" s="11">
        <v>28</v>
      </c>
      <c r="D7" s="11">
        <v>270</v>
      </c>
      <c r="E7" s="21">
        <f t="shared" si="0"/>
        <v>7560</v>
      </c>
      <c r="F7" s="14"/>
    </row>
    <row r="8" s="1" customFormat="1" ht="32" customHeight="1" spans="1:6">
      <c r="A8" s="30">
        <v>4</v>
      </c>
      <c r="B8" s="10" t="s">
        <v>24</v>
      </c>
      <c r="C8" s="11">
        <v>185</v>
      </c>
      <c r="D8" s="11">
        <v>270</v>
      </c>
      <c r="E8" s="21">
        <f t="shared" si="0"/>
        <v>49950</v>
      </c>
      <c r="F8" s="14"/>
    </row>
    <row r="9" s="1" customFormat="1" ht="32" customHeight="1" spans="1:6">
      <c r="A9" s="30">
        <v>5</v>
      </c>
      <c r="B9" s="10" t="s">
        <v>26</v>
      </c>
      <c r="C9" s="11">
        <v>116</v>
      </c>
      <c r="D9" s="11">
        <v>270</v>
      </c>
      <c r="E9" s="21">
        <f t="shared" si="0"/>
        <v>31320</v>
      </c>
      <c r="F9" s="14"/>
    </row>
    <row r="10" s="1" customFormat="1" ht="32" customHeight="1" spans="1:11">
      <c r="A10" s="30">
        <v>6</v>
      </c>
      <c r="B10" s="10" t="s">
        <v>28</v>
      </c>
      <c r="C10" s="11">
        <v>83</v>
      </c>
      <c r="D10" s="11">
        <v>270</v>
      </c>
      <c r="E10" s="21">
        <f t="shared" si="0"/>
        <v>22410</v>
      </c>
      <c r="F10" s="14"/>
      <c r="K10" s="47"/>
    </row>
    <row r="11" s="1" customFormat="1" ht="32" customHeight="1" spans="1:6">
      <c r="A11" s="30">
        <v>7</v>
      </c>
      <c r="B11" s="10" t="s">
        <v>30</v>
      </c>
      <c r="C11" s="11">
        <v>134</v>
      </c>
      <c r="D11" s="11">
        <v>270</v>
      </c>
      <c r="E11" s="21">
        <f t="shared" si="0"/>
        <v>36180</v>
      </c>
      <c r="F11" s="14"/>
    </row>
    <row r="12" s="1" customFormat="1" ht="32" customHeight="1" spans="1:6">
      <c r="A12" s="30">
        <v>8</v>
      </c>
      <c r="B12" s="10" t="s">
        <v>32</v>
      </c>
      <c r="C12" s="11">
        <v>227</v>
      </c>
      <c r="D12" s="11">
        <v>270</v>
      </c>
      <c r="E12" s="21">
        <f t="shared" si="0"/>
        <v>61290</v>
      </c>
      <c r="F12" s="14"/>
    </row>
    <row r="13" s="1" customFormat="1" ht="32" customHeight="1" spans="1:6">
      <c r="A13" s="30">
        <v>9</v>
      </c>
      <c r="B13" s="10" t="s">
        <v>34</v>
      </c>
      <c r="C13" s="11">
        <v>43</v>
      </c>
      <c r="D13" s="11">
        <v>270</v>
      </c>
      <c r="E13" s="21">
        <f t="shared" si="0"/>
        <v>11610</v>
      </c>
      <c r="F13" s="14"/>
    </row>
    <row r="14" s="1" customFormat="1" ht="32" customHeight="1" spans="1:6">
      <c r="A14" s="30">
        <v>10</v>
      </c>
      <c r="B14" s="10" t="s">
        <v>36</v>
      </c>
      <c r="C14" s="11">
        <v>119</v>
      </c>
      <c r="D14" s="11">
        <v>270</v>
      </c>
      <c r="E14" s="21">
        <f t="shared" si="0"/>
        <v>32130</v>
      </c>
      <c r="F14" s="14"/>
    </row>
    <row r="15" s="1" customFormat="1" ht="32" customHeight="1" spans="1:6">
      <c r="A15" s="30">
        <v>11</v>
      </c>
      <c r="B15" s="10" t="s">
        <v>38</v>
      </c>
      <c r="C15" s="11">
        <v>218</v>
      </c>
      <c r="D15" s="11">
        <v>270</v>
      </c>
      <c r="E15" s="21">
        <f t="shared" si="0"/>
        <v>58860</v>
      </c>
      <c r="F15" s="14"/>
    </row>
    <row r="16" s="1" customFormat="1" ht="32" customHeight="1" spans="1:6">
      <c r="A16" s="30">
        <v>12</v>
      </c>
      <c r="B16" s="10" t="s">
        <v>40</v>
      </c>
      <c r="C16" s="11">
        <v>144</v>
      </c>
      <c r="D16" s="11">
        <v>270</v>
      </c>
      <c r="E16" s="21">
        <f t="shared" si="0"/>
        <v>38880</v>
      </c>
      <c r="F16" s="14"/>
    </row>
    <row r="17" s="1" customFormat="1" ht="32" customHeight="1" spans="1:6">
      <c r="A17" s="30">
        <v>13</v>
      </c>
      <c r="B17" s="10" t="s">
        <v>42</v>
      </c>
      <c r="C17" s="11">
        <v>153</v>
      </c>
      <c r="D17" s="11">
        <v>270</v>
      </c>
      <c r="E17" s="21">
        <f t="shared" si="0"/>
        <v>41310</v>
      </c>
      <c r="F17" s="14"/>
    </row>
    <row r="18" s="1" customFormat="1" ht="32" customHeight="1" spans="1:6">
      <c r="A18" s="30">
        <v>14</v>
      </c>
      <c r="B18" s="15" t="s">
        <v>44</v>
      </c>
      <c r="C18" s="11">
        <v>24</v>
      </c>
      <c r="D18" s="11">
        <v>270</v>
      </c>
      <c r="E18" s="21">
        <f t="shared" si="0"/>
        <v>6480</v>
      </c>
      <c r="F18" s="14"/>
    </row>
    <row r="19" s="1" customFormat="1" ht="32" customHeight="1" spans="1:6">
      <c r="A19" s="30">
        <v>15</v>
      </c>
      <c r="B19" s="10" t="s">
        <v>46</v>
      </c>
      <c r="C19" s="11">
        <v>24</v>
      </c>
      <c r="D19" s="11">
        <v>270</v>
      </c>
      <c r="E19" s="21">
        <f t="shared" si="0"/>
        <v>6480</v>
      </c>
      <c r="F19" s="14"/>
    </row>
    <row r="20" s="1" customFormat="1" ht="32" customHeight="1" spans="1:6">
      <c r="A20" s="16" t="s">
        <v>75</v>
      </c>
      <c r="B20" s="17"/>
      <c r="C20" s="10">
        <f>SUM(C5:C19)</f>
        <v>1867</v>
      </c>
      <c r="D20" s="10"/>
      <c r="E20" s="10">
        <f>SUM(E5:E19)</f>
        <v>504090</v>
      </c>
      <c r="F20" s="14"/>
    </row>
  </sheetData>
  <mergeCells count="2">
    <mergeCell ref="A2:F2"/>
    <mergeCell ref="A20:B20"/>
  </mergeCells>
  <pageMargins left="0.707638888888889" right="0.432638888888889" top="0.432638888888889" bottom="0.393055555555556" header="0.393055555555556" footer="0.27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9" defaultRowHeight="14.25"/>
  <cols>
    <col min="1" max="1" width="5.875" style="22" customWidth="1"/>
    <col min="2" max="2" width="24.875" style="22" customWidth="1"/>
    <col min="3" max="6" width="10.625" style="22" customWidth="1"/>
    <col min="7" max="7" width="11.75" style="22" customWidth="1"/>
    <col min="8" max="16384" width="9" style="22"/>
  </cols>
  <sheetData>
    <row r="1" ht="33" customHeight="1" spans="1:7">
      <c r="A1" s="40" t="s">
        <v>174</v>
      </c>
      <c r="B1" s="3"/>
      <c r="C1" s="41"/>
      <c r="D1" s="3"/>
      <c r="E1"/>
      <c r="F1"/>
      <c r="G1" s="2"/>
    </row>
    <row r="2" ht="31" customHeight="1" spans="1:7">
      <c r="A2" s="4" t="s">
        <v>175</v>
      </c>
      <c r="B2" s="4"/>
      <c r="C2" s="4"/>
      <c r="D2" s="4"/>
      <c r="E2" s="4"/>
      <c r="F2" s="4"/>
      <c r="G2" s="4"/>
    </row>
    <row r="3" ht="24" customHeight="1" spans="7:7">
      <c r="G3" s="44" t="s">
        <v>53</v>
      </c>
    </row>
    <row r="4" ht="31" customHeight="1" spans="1:7">
      <c r="A4" s="9" t="s">
        <v>3</v>
      </c>
      <c r="B4" s="7" t="s">
        <v>54</v>
      </c>
      <c r="C4" s="7" t="s">
        <v>176</v>
      </c>
      <c r="D4" s="7"/>
      <c r="E4" s="7" t="s">
        <v>177</v>
      </c>
      <c r="F4" s="7"/>
      <c r="G4" s="43" t="s">
        <v>116</v>
      </c>
    </row>
    <row r="5" ht="79" customHeight="1" spans="1:7">
      <c r="A5" s="9"/>
      <c r="B5" s="14"/>
      <c r="C5" s="7" t="s">
        <v>178</v>
      </c>
      <c r="D5" s="7" t="s">
        <v>179</v>
      </c>
      <c r="E5" s="11" t="s">
        <v>180</v>
      </c>
      <c r="F5" s="7" t="s">
        <v>181</v>
      </c>
      <c r="G5" s="30"/>
    </row>
    <row r="6" ht="33" customHeight="1" spans="1:9">
      <c r="A6" s="30">
        <v>1</v>
      </c>
      <c r="B6" s="10" t="s">
        <v>18</v>
      </c>
      <c r="C6" s="11">
        <v>16</v>
      </c>
      <c r="D6" s="10">
        <f>C6*45</f>
        <v>720</v>
      </c>
      <c r="E6" s="11">
        <v>2</v>
      </c>
      <c r="F6" s="10">
        <f>E6*105</f>
        <v>210</v>
      </c>
      <c r="G6" s="10">
        <f>D6+F6</f>
        <v>930</v>
      </c>
      <c r="H6" s="45"/>
      <c r="I6" s="45"/>
    </row>
    <row r="7" ht="33" customHeight="1" spans="1:9">
      <c r="A7" s="30">
        <v>2</v>
      </c>
      <c r="B7" s="10" t="s">
        <v>20</v>
      </c>
      <c r="C7" s="11">
        <v>5</v>
      </c>
      <c r="D7" s="10">
        <f t="shared" ref="D7:D20" si="0">C7*45</f>
        <v>225</v>
      </c>
      <c r="E7" s="11">
        <v>1</v>
      </c>
      <c r="F7" s="10">
        <f t="shared" ref="F7:F20" si="1">E7*105</f>
        <v>105</v>
      </c>
      <c r="G7" s="10">
        <f t="shared" ref="G7:G20" si="2">D7+F7</f>
        <v>330</v>
      </c>
      <c r="H7" s="45"/>
      <c r="I7" s="45"/>
    </row>
    <row r="8" ht="33" customHeight="1" spans="1:7">
      <c r="A8" s="30">
        <v>3</v>
      </c>
      <c r="B8" s="10" t="s">
        <v>22</v>
      </c>
      <c r="C8" s="11">
        <v>1</v>
      </c>
      <c r="D8" s="10">
        <f t="shared" si="0"/>
        <v>45</v>
      </c>
      <c r="E8" s="11">
        <v>0</v>
      </c>
      <c r="F8" s="10">
        <f t="shared" si="1"/>
        <v>0</v>
      </c>
      <c r="G8" s="10">
        <f t="shared" si="2"/>
        <v>45</v>
      </c>
    </row>
    <row r="9" ht="33" customHeight="1" spans="1:7">
      <c r="A9" s="30">
        <v>4</v>
      </c>
      <c r="B9" s="10" t="s">
        <v>24</v>
      </c>
      <c r="C9" s="11">
        <v>7</v>
      </c>
      <c r="D9" s="10">
        <f t="shared" si="0"/>
        <v>315</v>
      </c>
      <c r="E9" s="11">
        <v>1</v>
      </c>
      <c r="F9" s="10">
        <f t="shared" si="1"/>
        <v>105</v>
      </c>
      <c r="G9" s="10">
        <f t="shared" si="2"/>
        <v>420</v>
      </c>
    </row>
    <row r="10" ht="33" customHeight="1" spans="1:7">
      <c r="A10" s="30">
        <v>5</v>
      </c>
      <c r="B10" s="10" t="s">
        <v>26</v>
      </c>
      <c r="C10" s="11">
        <v>7</v>
      </c>
      <c r="D10" s="10">
        <f t="shared" si="0"/>
        <v>315</v>
      </c>
      <c r="E10" s="11">
        <v>2</v>
      </c>
      <c r="F10" s="10">
        <f t="shared" si="1"/>
        <v>210</v>
      </c>
      <c r="G10" s="10">
        <f t="shared" si="2"/>
        <v>525</v>
      </c>
    </row>
    <row r="11" ht="33" customHeight="1" spans="1:7">
      <c r="A11" s="30">
        <v>6</v>
      </c>
      <c r="B11" s="10" t="s">
        <v>28</v>
      </c>
      <c r="C11" s="11">
        <v>6</v>
      </c>
      <c r="D11" s="10">
        <f t="shared" si="0"/>
        <v>270</v>
      </c>
      <c r="E11" s="11">
        <v>2</v>
      </c>
      <c r="F11" s="10">
        <f t="shared" si="1"/>
        <v>210</v>
      </c>
      <c r="G11" s="10">
        <f t="shared" si="2"/>
        <v>480</v>
      </c>
    </row>
    <row r="12" ht="33" customHeight="1" spans="1:7">
      <c r="A12" s="30">
        <v>7</v>
      </c>
      <c r="B12" s="10" t="s">
        <v>30</v>
      </c>
      <c r="C12" s="11">
        <v>3</v>
      </c>
      <c r="D12" s="10">
        <f t="shared" si="0"/>
        <v>135</v>
      </c>
      <c r="E12" s="11">
        <v>10</v>
      </c>
      <c r="F12" s="10">
        <f t="shared" si="1"/>
        <v>1050</v>
      </c>
      <c r="G12" s="10">
        <f t="shared" si="2"/>
        <v>1185</v>
      </c>
    </row>
    <row r="13" ht="33" customHeight="1" spans="1:7">
      <c r="A13" s="30">
        <v>8</v>
      </c>
      <c r="B13" s="10" t="s">
        <v>32</v>
      </c>
      <c r="C13" s="11">
        <v>10</v>
      </c>
      <c r="D13" s="10">
        <f t="shared" si="0"/>
        <v>450</v>
      </c>
      <c r="E13" s="11">
        <v>12</v>
      </c>
      <c r="F13" s="10">
        <f t="shared" si="1"/>
        <v>1260</v>
      </c>
      <c r="G13" s="10">
        <f t="shared" si="2"/>
        <v>1710</v>
      </c>
    </row>
    <row r="14" ht="33" customHeight="1" spans="1:7">
      <c r="A14" s="30">
        <v>9</v>
      </c>
      <c r="B14" s="10" t="s">
        <v>34</v>
      </c>
      <c r="C14" s="11">
        <v>7</v>
      </c>
      <c r="D14" s="10">
        <f t="shared" si="0"/>
        <v>315</v>
      </c>
      <c r="E14" s="11">
        <v>1</v>
      </c>
      <c r="F14" s="10">
        <f t="shared" si="1"/>
        <v>105</v>
      </c>
      <c r="G14" s="10">
        <f t="shared" si="2"/>
        <v>420</v>
      </c>
    </row>
    <row r="15" ht="33" customHeight="1" spans="1:7">
      <c r="A15" s="30">
        <v>10</v>
      </c>
      <c r="B15" s="10" t="s">
        <v>36</v>
      </c>
      <c r="C15" s="11">
        <v>12</v>
      </c>
      <c r="D15" s="10">
        <f t="shared" si="0"/>
        <v>540</v>
      </c>
      <c r="E15" s="11">
        <v>8</v>
      </c>
      <c r="F15" s="10">
        <f t="shared" si="1"/>
        <v>840</v>
      </c>
      <c r="G15" s="10">
        <f t="shared" si="2"/>
        <v>1380</v>
      </c>
    </row>
    <row r="16" ht="33" customHeight="1" spans="1:7">
      <c r="A16" s="30">
        <v>11</v>
      </c>
      <c r="B16" s="10" t="s">
        <v>38</v>
      </c>
      <c r="C16" s="11">
        <v>12</v>
      </c>
      <c r="D16" s="10">
        <f t="shared" si="0"/>
        <v>540</v>
      </c>
      <c r="E16" s="11">
        <v>11</v>
      </c>
      <c r="F16" s="10">
        <f t="shared" si="1"/>
        <v>1155</v>
      </c>
      <c r="G16" s="10">
        <f t="shared" si="2"/>
        <v>1695</v>
      </c>
    </row>
    <row r="17" ht="33" customHeight="1" spans="1:7">
      <c r="A17" s="30">
        <v>12</v>
      </c>
      <c r="B17" s="10" t="s">
        <v>40</v>
      </c>
      <c r="C17" s="11">
        <v>12</v>
      </c>
      <c r="D17" s="10">
        <f t="shared" si="0"/>
        <v>540</v>
      </c>
      <c r="E17" s="11">
        <v>1</v>
      </c>
      <c r="F17" s="10">
        <f t="shared" si="1"/>
        <v>105</v>
      </c>
      <c r="G17" s="10">
        <f t="shared" si="2"/>
        <v>645</v>
      </c>
    </row>
    <row r="18" ht="33" customHeight="1" spans="1:7">
      <c r="A18" s="30">
        <v>13</v>
      </c>
      <c r="B18" s="10" t="s">
        <v>42</v>
      </c>
      <c r="C18" s="11">
        <v>14</v>
      </c>
      <c r="D18" s="10">
        <f t="shared" si="0"/>
        <v>630</v>
      </c>
      <c r="E18" s="11">
        <v>11</v>
      </c>
      <c r="F18" s="10">
        <f t="shared" si="1"/>
        <v>1155</v>
      </c>
      <c r="G18" s="10">
        <f t="shared" si="2"/>
        <v>1785</v>
      </c>
    </row>
    <row r="19" ht="33" customHeight="1" spans="1:7">
      <c r="A19" s="30">
        <v>14</v>
      </c>
      <c r="B19" s="10" t="s">
        <v>44</v>
      </c>
      <c r="C19" s="11">
        <v>0</v>
      </c>
      <c r="D19" s="10">
        <f t="shared" si="0"/>
        <v>0</v>
      </c>
      <c r="E19" s="11">
        <v>0</v>
      </c>
      <c r="F19" s="10">
        <f t="shared" si="1"/>
        <v>0</v>
      </c>
      <c r="G19" s="10">
        <f t="shared" si="2"/>
        <v>0</v>
      </c>
    </row>
    <row r="20" ht="33" customHeight="1" spans="1:7">
      <c r="A20" s="30">
        <v>15</v>
      </c>
      <c r="B20" s="10" t="s">
        <v>46</v>
      </c>
      <c r="C20" s="11">
        <v>1</v>
      </c>
      <c r="D20" s="10">
        <f t="shared" si="0"/>
        <v>45</v>
      </c>
      <c r="E20" s="11">
        <v>1</v>
      </c>
      <c r="F20" s="10">
        <f t="shared" si="1"/>
        <v>105</v>
      </c>
      <c r="G20" s="10">
        <f t="shared" si="2"/>
        <v>150</v>
      </c>
    </row>
    <row r="21" ht="33" customHeight="1" spans="1:7">
      <c r="A21" s="16" t="s">
        <v>75</v>
      </c>
      <c r="B21" s="17"/>
      <c r="C21" s="10">
        <f>SUM(C6:C20)</f>
        <v>113</v>
      </c>
      <c r="D21" s="10">
        <f>SUM(D6:D20)</f>
        <v>5085</v>
      </c>
      <c r="E21" s="10">
        <f>SUM(E6:E20)</f>
        <v>63</v>
      </c>
      <c r="F21" s="10">
        <f>SUM(F6:F20)</f>
        <v>6615</v>
      </c>
      <c r="G21" s="10">
        <f>SUM(G6:G20)</f>
        <v>11700</v>
      </c>
    </row>
  </sheetData>
  <mergeCells count="7">
    <mergeCell ref="A2:G2"/>
    <mergeCell ref="C4:D4"/>
    <mergeCell ref="E4:F4"/>
    <mergeCell ref="A21:B21"/>
    <mergeCell ref="A4:A5"/>
    <mergeCell ref="B4:B5"/>
    <mergeCell ref="G4:G5"/>
  </mergeCells>
  <pageMargins left="0.629166666666667" right="0.432638888888889" top="0.826388888888889" bottom="0.432638888888889" header="0.786805555555556" footer="0.354166666666667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H6" sqref="H6"/>
    </sheetView>
  </sheetViews>
  <sheetFormatPr defaultColWidth="9" defaultRowHeight="14.25"/>
  <cols>
    <col min="1" max="1" width="5.875" customWidth="1"/>
    <col min="2" max="2" width="24.875" customWidth="1"/>
    <col min="3" max="3" width="8.625" customWidth="1"/>
    <col min="4" max="4" width="9.625" customWidth="1"/>
    <col min="5" max="7" width="8.625" customWidth="1"/>
    <col min="8" max="8" width="10.75" customWidth="1"/>
  </cols>
  <sheetData>
    <row r="1" ht="21" customHeight="1" spans="1:8">
      <c r="A1" s="42" t="s">
        <v>182</v>
      </c>
      <c r="B1" s="3"/>
      <c r="C1" s="41"/>
      <c r="D1" s="3"/>
      <c r="E1"/>
      <c r="F1"/>
      <c r="G1" s="2"/>
      <c r="H1" s="42"/>
    </row>
    <row r="2" ht="35" customHeight="1" spans="1:8">
      <c r="A2" s="4" t="s">
        <v>183</v>
      </c>
      <c r="B2" s="4"/>
      <c r="C2" s="4"/>
      <c r="D2" s="4"/>
      <c r="E2" s="4"/>
      <c r="F2" s="4"/>
      <c r="G2" s="4"/>
      <c r="H2" s="4"/>
    </row>
    <row r="3" ht="24" customHeight="1" spans="8:8">
      <c r="H3" s="5" t="s">
        <v>53</v>
      </c>
    </row>
    <row r="4" ht="30" customHeight="1" spans="1:8">
      <c r="A4" s="9" t="s">
        <v>3</v>
      </c>
      <c r="B4" s="7" t="s">
        <v>54</v>
      </c>
      <c r="C4" s="7" t="s">
        <v>184</v>
      </c>
      <c r="D4" s="7"/>
      <c r="E4" s="7"/>
      <c r="F4" s="7" t="s">
        <v>185</v>
      </c>
      <c r="G4" s="7"/>
      <c r="H4" s="43" t="s">
        <v>116</v>
      </c>
    </row>
    <row r="5" ht="87" customHeight="1" spans="1:8">
      <c r="A5" s="9"/>
      <c r="B5" s="14"/>
      <c r="C5" s="7" t="s">
        <v>186</v>
      </c>
      <c r="D5" s="7" t="s">
        <v>187</v>
      </c>
      <c r="E5" s="7" t="s">
        <v>188</v>
      </c>
      <c r="F5" s="7" t="s">
        <v>189</v>
      </c>
      <c r="G5" s="7" t="s">
        <v>188</v>
      </c>
      <c r="H5" s="30"/>
    </row>
    <row r="6" ht="33" customHeight="1" spans="1:8">
      <c r="A6" s="30">
        <v>1</v>
      </c>
      <c r="B6" s="10" t="s">
        <v>18</v>
      </c>
      <c r="C6" s="11">
        <v>1327</v>
      </c>
      <c r="D6" s="10">
        <f>C6*2</f>
        <v>2654</v>
      </c>
      <c r="E6" s="10">
        <f>D6*30</f>
        <v>79620</v>
      </c>
      <c r="F6" s="11">
        <v>4685</v>
      </c>
      <c r="G6" s="10">
        <f>F6*30</f>
        <v>140550</v>
      </c>
      <c r="H6" s="10">
        <f>E6+G6</f>
        <v>220170</v>
      </c>
    </row>
    <row r="7" ht="33" customHeight="1" spans="1:8">
      <c r="A7" s="30">
        <v>2</v>
      </c>
      <c r="B7" s="10" t="s">
        <v>20</v>
      </c>
      <c r="C7" s="11">
        <v>315</v>
      </c>
      <c r="D7" s="10">
        <f t="shared" ref="D7:D20" si="0">C7*2</f>
        <v>630</v>
      </c>
      <c r="E7" s="10">
        <f t="shared" ref="E7:E20" si="1">D7*30</f>
        <v>18900</v>
      </c>
      <c r="F7" s="11">
        <v>943</v>
      </c>
      <c r="G7" s="10">
        <f t="shared" ref="G7:G20" si="2">F7*30</f>
        <v>28290</v>
      </c>
      <c r="H7" s="10">
        <f t="shared" ref="H7:H20" si="3">E7+G7</f>
        <v>47190</v>
      </c>
    </row>
    <row r="8" ht="33" customHeight="1" spans="1:8">
      <c r="A8" s="30">
        <v>3</v>
      </c>
      <c r="B8" s="10" t="s">
        <v>22</v>
      </c>
      <c r="C8" s="11">
        <v>106</v>
      </c>
      <c r="D8" s="10">
        <f t="shared" si="0"/>
        <v>212</v>
      </c>
      <c r="E8" s="10">
        <f t="shared" si="1"/>
        <v>6360</v>
      </c>
      <c r="F8" s="11">
        <v>386</v>
      </c>
      <c r="G8" s="10">
        <f t="shared" si="2"/>
        <v>11580</v>
      </c>
      <c r="H8" s="10">
        <f t="shared" si="3"/>
        <v>17940</v>
      </c>
    </row>
    <row r="9" ht="33" customHeight="1" spans="1:8">
      <c r="A9" s="30">
        <v>4</v>
      </c>
      <c r="B9" s="10" t="s">
        <v>24</v>
      </c>
      <c r="C9" s="11">
        <v>709</v>
      </c>
      <c r="D9" s="10">
        <f t="shared" si="0"/>
        <v>1418</v>
      </c>
      <c r="E9" s="10">
        <f t="shared" si="1"/>
        <v>42540</v>
      </c>
      <c r="F9" s="11">
        <v>2128</v>
      </c>
      <c r="G9" s="10">
        <f t="shared" si="2"/>
        <v>63840</v>
      </c>
      <c r="H9" s="10">
        <f t="shared" si="3"/>
        <v>106380</v>
      </c>
    </row>
    <row r="10" ht="33" customHeight="1" spans="1:8">
      <c r="A10" s="30">
        <v>5</v>
      </c>
      <c r="B10" s="10" t="s">
        <v>26</v>
      </c>
      <c r="C10" s="11">
        <v>470</v>
      </c>
      <c r="D10" s="10">
        <f t="shared" si="0"/>
        <v>940</v>
      </c>
      <c r="E10" s="10">
        <f t="shared" si="1"/>
        <v>28200</v>
      </c>
      <c r="F10" s="11">
        <v>1173</v>
      </c>
      <c r="G10" s="10">
        <f t="shared" si="2"/>
        <v>35190</v>
      </c>
      <c r="H10" s="10">
        <f t="shared" si="3"/>
        <v>63390</v>
      </c>
    </row>
    <row r="11" ht="33" customHeight="1" spans="1:8">
      <c r="A11" s="30">
        <v>6</v>
      </c>
      <c r="B11" s="10" t="s">
        <v>28</v>
      </c>
      <c r="C11" s="11">
        <v>251</v>
      </c>
      <c r="D11" s="10">
        <f t="shared" si="0"/>
        <v>502</v>
      </c>
      <c r="E11" s="10">
        <f t="shared" si="1"/>
        <v>15060</v>
      </c>
      <c r="F11" s="11">
        <v>1048</v>
      </c>
      <c r="G11" s="10">
        <f t="shared" si="2"/>
        <v>31440</v>
      </c>
      <c r="H11" s="10">
        <f t="shared" si="3"/>
        <v>46500</v>
      </c>
    </row>
    <row r="12" ht="33" customHeight="1" spans="1:8">
      <c r="A12" s="30">
        <v>7</v>
      </c>
      <c r="B12" s="10" t="s">
        <v>30</v>
      </c>
      <c r="C12" s="11">
        <v>590</v>
      </c>
      <c r="D12" s="10">
        <f t="shared" si="0"/>
        <v>1180</v>
      </c>
      <c r="E12" s="10">
        <f t="shared" si="1"/>
        <v>35400</v>
      </c>
      <c r="F12" s="11">
        <v>1687</v>
      </c>
      <c r="G12" s="10">
        <f t="shared" si="2"/>
        <v>50610</v>
      </c>
      <c r="H12" s="10">
        <f t="shared" si="3"/>
        <v>86010</v>
      </c>
    </row>
    <row r="13" ht="33" customHeight="1" spans="1:8">
      <c r="A13" s="30">
        <v>8</v>
      </c>
      <c r="B13" s="10" t="s">
        <v>32</v>
      </c>
      <c r="C13" s="11">
        <v>1027</v>
      </c>
      <c r="D13" s="10">
        <f t="shared" si="0"/>
        <v>2054</v>
      </c>
      <c r="E13" s="10">
        <f t="shared" si="1"/>
        <v>61620</v>
      </c>
      <c r="F13" s="11">
        <v>2655</v>
      </c>
      <c r="G13" s="10">
        <f t="shared" si="2"/>
        <v>79650</v>
      </c>
      <c r="H13" s="10">
        <f t="shared" si="3"/>
        <v>141270</v>
      </c>
    </row>
    <row r="14" ht="33" customHeight="1" spans="1:8">
      <c r="A14" s="30">
        <v>9</v>
      </c>
      <c r="B14" s="10" t="s">
        <v>34</v>
      </c>
      <c r="C14" s="11">
        <v>218</v>
      </c>
      <c r="D14" s="10">
        <f t="shared" si="0"/>
        <v>436</v>
      </c>
      <c r="E14" s="10">
        <f t="shared" si="1"/>
        <v>13080</v>
      </c>
      <c r="F14" s="11">
        <v>462</v>
      </c>
      <c r="G14" s="10">
        <f t="shared" si="2"/>
        <v>13860</v>
      </c>
      <c r="H14" s="10">
        <f t="shared" si="3"/>
        <v>26940</v>
      </c>
    </row>
    <row r="15" ht="33" customHeight="1" spans="1:8">
      <c r="A15" s="30">
        <v>10</v>
      </c>
      <c r="B15" s="10" t="s">
        <v>36</v>
      </c>
      <c r="C15" s="11">
        <v>580</v>
      </c>
      <c r="D15" s="10">
        <f t="shared" si="0"/>
        <v>1160</v>
      </c>
      <c r="E15" s="10">
        <f t="shared" si="1"/>
        <v>34800</v>
      </c>
      <c r="F15" s="11">
        <v>1660</v>
      </c>
      <c r="G15" s="10">
        <f t="shared" si="2"/>
        <v>49800</v>
      </c>
      <c r="H15" s="10">
        <f t="shared" si="3"/>
        <v>84600</v>
      </c>
    </row>
    <row r="16" ht="33" customHeight="1" spans="1:8">
      <c r="A16" s="30">
        <v>11</v>
      </c>
      <c r="B16" s="10" t="s">
        <v>38</v>
      </c>
      <c r="C16" s="11">
        <v>830</v>
      </c>
      <c r="D16" s="10">
        <f t="shared" si="0"/>
        <v>1660</v>
      </c>
      <c r="E16" s="10">
        <f t="shared" si="1"/>
        <v>49800</v>
      </c>
      <c r="F16" s="11">
        <v>2435</v>
      </c>
      <c r="G16" s="10">
        <f t="shared" si="2"/>
        <v>73050</v>
      </c>
      <c r="H16" s="10">
        <f t="shared" si="3"/>
        <v>122850</v>
      </c>
    </row>
    <row r="17" ht="33" customHeight="1" spans="1:8">
      <c r="A17" s="30">
        <v>12</v>
      </c>
      <c r="B17" s="10" t="s">
        <v>40</v>
      </c>
      <c r="C17" s="11">
        <v>729</v>
      </c>
      <c r="D17" s="10">
        <f t="shared" si="0"/>
        <v>1458</v>
      </c>
      <c r="E17" s="10">
        <f t="shared" si="1"/>
        <v>43740</v>
      </c>
      <c r="F17" s="11">
        <v>2447</v>
      </c>
      <c r="G17" s="10">
        <f t="shared" si="2"/>
        <v>73410</v>
      </c>
      <c r="H17" s="10">
        <f t="shared" si="3"/>
        <v>117150</v>
      </c>
    </row>
    <row r="18" ht="33" customHeight="1" spans="1:8">
      <c r="A18" s="30">
        <v>13</v>
      </c>
      <c r="B18" s="10" t="s">
        <v>42</v>
      </c>
      <c r="C18" s="11">
        <v>426</v>
      </c>
      <c r="D18" s="10">
        <f t="shared" si="0"/>
        <v>852</v>
      </c>
      <c r="E18" s="10">
        <f t="shared" si="1"/>
        <v>25560</v>
      </c>
      <c r="F18" s="11">
        <v>1840</v>
      </c>
      <c r="G18" s="10">
        <f t="shared" si="2"/>
        <v>55200</v>
      </c>
      <c r="H18" s="10">
        <f t="shared" si="3"/>
        <v>80760</v>
      </c>
    </row>
    <row r="19" ht="33" customHeight="1" spans="1:8">
      <c r="A19" s="30">
        <v>14</v>
      </c>
      <c r="B19" s="15" t="s">
        <v>44</v>
      </c>
      <c r="C19" s="11">
        <v>70</v>
      </c>
      <c r="D19" s="10">
        <f t="shared" si="0"/>
        <v>140</v>
      </c>
      <c r="E19" s="10">
        <f t="shared" si="1"/>
        <v>4200</v>
      </c>
      <c r="F19" s="11">
        <v>270</v>
      </c>
      <c r="G19" s="10">
        <f t="shared" si="2"/>
        <v>8100</v>
      </c>
      <c r="H19" s="10">
        <f t="shared" si="3"/>
        <v>12300</v>
      </c>
    </row>
    <row r="20" ht="33" customHeight="1" spans="1:8">
      <c r="A20" s="30">
        <v>15</v>
      </c>
      <c r="B20" s="10" t="s">
        <v>46</v>
      </c>
      <c r="C20" s="11">
        <v>53</v>
      </c>
      <c r="D20" s="10">
        <f t="shared" si="0"/>
        <v>106</v>
      </c>
      <c r="E20" s="10">
        <f t="shared" si="1"/>
        <v>3180</v>
      </c>
      <c r="F20" s="11">
        <v>244</v>
      </c>
      <c r="G20" s="10">
        <f t="shared" si="2"/>
        <v>7320</v>
      </c>
      <c r="H20" s="10">
        <f t="shared" si="3"/>
        <v>10500</v>
      </c>
    </row>
    <row r="21" ht="33" customHeight="1" spans="1:8">
      <c r="A21" s="16" t="s">
        <v>75</v>
      </c>
      <c r="B21" s="17"/>
      <c r="C21" s="10">
        <f t="shared" ref="C21:H21" si="4">SUM(C6:C20)</f>
        <v>7701</v>
      </c>
      <c r="D21" s="10">
        <f t="shared" si="4"/>
        <v>15402</v>
      </c>
      <c r="E21" s="10">
        <f t="shared" si="4"/>
        <v>462060</v>
      </c>
      <c r="F21" s="10">
        <f t="shared" si="4"/>
        <v>24063</v>
      </c>
      <c r="G21" s="10">
        <f t="shared" si="4"/>
        <v>721890</v>
      </c>
      <c r="H21" s="10">
        <f t="shared" si="4"/>
        <v>1183950</v>
      </c>
    </row>
  </sheetData>
  <mergeCells count="8">
    <mergeCell ref="A2:H2"/>
    <mergeCell ref="C4:E4"/>
    <mergeCell ref="F4:G4"/>
    <mergeCell ref="A21:B21"/>
    <mergeCell ref="A4:A5"/>
    <mergeCell ref="B4:B5"/>
    <mergeCell ref="H4:H5"/>
    <mergeCell ref="I4:I5"/>
  </mergeCells>
  <pageMargins left="0.629166666666667" right="0.432638888888889" top="0.826388888888889" bottom="0.432638888888889" header="0.786805555555556" footer="0.354166666666667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A1" sqref="A1"/>
    </sheetView>
  </sheetViews>
  <sheetFormatPr defaultColWidth="9" defaultRowHeight="14.25"/>
  <cols>
    <col min="1" max="1" width="8.35" customWidth="1"/>
    <col min="2" max="2" width="23.525" customWidth="1"/>
    <col min="3" max="3" width="6.5" customWidth="1"/>
    <col min="4" max="4" width="6.25" customWidth="1"/>
    <col min="5" max="5" width="6.375" customWidth="1"/>
    <col min="6" max="6" width="10.625" customWidth="1"/>
    <col min="7" max="7" width="10.25" customWidth="1"/>
    <col min="8" max="8" width="10.9" customWidth="1"/>
  </cols>
  <sheetData>
    <row r="1" ht="33" customHeight="1" spans="1:8">
      <c r="A1" s="40" t="s">
        <v>190</v>
      </c>
      <c r="B1" s="3"/>
      <c r="C1" s="41"/>
      <c r="D1" s="3"/>
      <c r="E1"/>
      <c r="F1"/>
      <c r="G1" s="2"/>
      <c r="H1" s="42"/>
    </row>
    <row r="2" ht="56" customHeight="1" spans="1:8">
      <c r="A2" s="31" t="s">
        <v>191</v>
      </c>
      <c r="B2" s="31"/>
      <c r="C2" s="31"/>
      <c r="D2" s="31"/>
      <c r="E2" s="31"/>
      <c r="F2" s="31"/>
      <c r="G2" s="31"/>
      <c r="H2" s="31"/>
    </row>
    <row r="3" ht="26" customHeight="1" spans="8:8">
      <c r="H3" s="5" t="s">
        <v>53</v>
      </c>
    </row>
    <row r="4" ht="26" customHeight="1" spans="1:9">
      <c r="A4" s="6" t="s">
        <v>3</v>
      </c>
      <c r="B4" s="29" t="s">
        <v>54</v>
      </c>
      <c r="C4" s="32" t="s">
        <v>55</v>
      </c>
      <c r="D4" s="33"/>
      <c r="E4" s="34"/>
      <c r="F4" s="7" t="s">
        <v>192</v>
      </c>
      <c r="G4" s="7"/>
      <c r="H4" s="25" t="s">
        <v>109</v>
      </c>
      <c r="I4" s="28"/>
    </row>
    <row r="5" customFormat="1" ht="59" customHeight="1" spans="1:9">
      <c r="A5" s="36"/>
      <c r="B5" s="37"/>
      <c r="C5" s="38" t="s">
        <v>58</v>
      </c>
      <c r="D5" s="38" t="s">
        <v>59</v>
      </c>
      <c r="E5" s="38" t="s">
        <v>60</v>
      </c>
      <c r="F5" s="7" t="s">
        <v>193</v>
      </c>
      <c r="G5" s="7" t="s">
        <v>194</v>
      </c>
      <c r="H5" s="39"/>
      <c r="I5" s="28"/>
    </row>
    <row r="6" s="1" customFormat="1" ht="32" customHeight="1" spans="1:8">
      <c r="A6" s="30">
        <v>1</v>
      </c>
      <c r="B6" s="10" t="s">
        <v>18</v>
      </c>
      <c r="C6" s="10">
        <v>2</v>
      </c>
      <c r="D6" s="10">
        <v>16</v>
      </c>
      <c r="E6" s="10">
        <f>C6+D6</f>
        <v>18</v>
      </c>
      <c r="F6" s="10">
        <v>15000</v>
      </c>
      <c r="G6" s="10">
        <f>E6*1000</f>
        <v>18000</v>
      </c>
      <c r="H6" s="21">
        <f>F6+G6</f>
        <v>33000</v>
      </c>
    </row>
    <row r="7" s="1" customFormat="1" ht="32" customHeight="1" spans="1:8">
      <c r="A7" s="30">
        <v>2</v>
      </c>
      <c r="B7" s="10" t="s">
        <v>20</v>
      </c>
      <c r="C7" s="10">
        <v>8</v>
      </c>
      <c r="D7" s="10">
        <v>3</v>
      </c>
      <c r="E7" s="10">
        <f t="shared" ref="E7:E20" si="0">C7+D7</f>
        <v>11</v>
      </c>
      <c r="F7" s="10">
        <v>15000</v>
      </c>
      <c r="G7" s="10">
        <f t="shared" ref="G7:G20" si="1">E7*1000</f>
        <v>11000</v>
      </c>
      <c r="H7" s="21">
        <f t="shared" ref="H7:H20" si="2">F7+G7</f>
        <v>26000</v>
      </c>
    </row>
    <row r="8" s="1" customFormat="1" ht="32" customHeight="1" spans="1:8">
      <c r="A8" s="30">
        <v>3</v>
      </c>
      <c r="B8" s="10" t="s">
        <v>22</v>
      </c>
      <c r="C8" s="10">
        <v>1</v>
      </c>
      <c r="D8" s="10">
        <v>6</v>
      </c>
      <c r="E8" s="10">
        <f t="shared" si="0"/>
        <v>7</v>
      </c>
      <c r="F8" s="10">
        <v>15000</v>
      </c>
      <c r="G8" s="10">
        <f t="shared" si="1"/>
        <v>7000</v>
      </c>
      <c r="H8" s="21">
        <f t="shared" si="2"/>
        <v>22000</v>
      </c>
    </row>
    <row r="9" s="1" customFormat="1" ht="32" customHeight="1" spans="1:8">
      <c r="A9" s="30">
        <v>4</v>
      </c>
      <c r="B9" s="10" t="s">
        <v>24</v>
      </c>
      <c r="C9" s="10">
        <v>10</v>
      </c>
      <c r="D9" s="10">
        <v>8</v>
      </c>
      <c r="E9" s="10">
        <f t="shared" si="0"/>
        <v>18</v>
      </c>
      <c r="F9" s="10">
        <v>15000</v>
      </c>
      <c r="G9" s="10">
        <f t="shared" si="1"/>
        <v>18000</v>
      </c>
      <c r="H9" s="21">
        <f t="shared" si="2"/>
        <v>33000</v>
      </c>
    </row>
    <row r="10" s="1" customFormat="1" ht="32" customHeight="1" spans="1:8">
      <c r="A10" s="30">
        <v>5</v>
      </c>
      <c r="B10" s="10" t="s">
        <v>26</v>
      </c>
      <c r="C10" s="10">
        <v>7</v>
      </c>
      <c r="D10" s="10">
        <v>7</v>
      </c>
      <c r="E10" s="10">
        <f t="shared" si="0"/>
        <v>14</v>
      </c>
      <c r="F10" s="10">
        <v>15000</v>
      </c>
      <c r="G10" s="10">
        <f t="shared" si="1"/>
        <v>14000</v>
      </c>
      <c r="H10" s="21">
        <f t="shared" si="2"/>
        <v>29000</v>
      </c>
    </row>
    <row r="11" s="1" customFormat="1" ht="32" customHeight="1" spans="1:8">
      <c r="A11" s="30">
        <v>6</v>
      </c>
      <c r="B11" s="10" t="s">
        <v>28</v>
      </c>
      <c r="C11" s="10">
        <v>8</v>
      </c>
      <c r="D11" s="10">
        <v>2</v>
      </c>
      <c r="E11" s="10">
        <f t="shared" si="0"/>
        <v>10</v>
      </c>
      <c r="F11" s="10">
        <v>15000</v>
      </c>
      <c r="G11" s="10">
        <f t="shared" si="1"/>
        <v>10000</v>
      </c>
      <c r="H11" s="21">
        <f t="shared" si="2"/>
        <v>25000</v>
      </c>
    </row>
    <row r="12" s="1" customFormat="1" ht="32" customHeight="1" spans="1:8">
      <c r="A12" s="30">
        <v>7</v>
      </c>
      <c r="B12" s="10" t="s">
        <v>30</v>
      </c>
      <c r="C12" s="10">
        <v>17</v>
      </c>
      <c r="D12" s="10">
        <v>1</v>
      </c>
      <c r="E12" s="10">
        <f t="shared" si="0"/>
        <v>18</v>
      </c>
      <c r="F12" s="10">
        <v>15000</v>
      </c>
      <c r="G12" s="10">
        <f t="shared" si="1"/>
        <v>18000</v>
      </c>
      <c r="H12" s="21">
        <f t="shared" si="2"/>
        <v>33000</v>
      </c>
    </row>
    <row r="13" s="1" customFormat="1" ht="32" customHeight="1" spans="1:8">
      <c r="A13" s="30">
        <v>8</v>
      </c>
      <c r="B13" s="10" t="s">
        <v>32</v>
      </c>
      <c r="C13" s="10">
        <v>20</v>
      </c>
      <c r="D13" s="10">
        <v>6</v>
      </c>
      <c r="E13" s="10">
        <f t="shared" si="0"/>
        <v>26</v>
      </c>
      <c r="F13" s="10">
        <v>15000</v>
      </c>
      <c r="G13" s="10">
        <f t="shared" si="1"/>
        <v>26000</v>
      </c>
      <c r="H13" s="21">
        <f t="shared" si="2"/>
        <v>41000</v>
      </c>
    </row>
    <row r="14" s="1" customFormat="1" ht="32" customHeight="1" spans="1:8">
      <c r="A14" s="30">
        <v>9</v>
      </c>
      <c r="B14" s="10" t="s">
        <v>34</v>
      </c>
      <c r="C14" s="10">
        <v>1</v>
      </c>
      <c r="D14" s="10">
        <v>7</v>
      </c>
      <c r="E14" s="10">
        <f t="shared" si="0"/>
        <v>8</v>
      </c>
      <c r="F14" s="10">
        <v>15000</v>
      </c>
      <c r="G14" s="10">
        <f t="shared" si="1"/>
        <v>8000</v>
      </c>
      <c r="H14" s="21">
        <f t="shared" si="2"/>
        <v>23000</v>
      </c>
    </row>
    <row r="15" s="1" customFormat="1" ht="32" customHeight="1" spans="1:8">
      <c r="A15" s="30">
        <v>10</v>
      </c>
      <c r="B15" s="10" t="s">
        <v>36</v>
      </c>
      <c r="C15" s="10">
        <v>12</v>
      </c>
      <c r="D15" s="10">
        <v>1</v>
      </c>
      <c r="E15" s="10">
        <f t="shared" si="0"/>
        <v>13</v>
      </c>
      <c r="F15" s="10">
        <v>15000</v>
      </c>
      <c r="G15" s="10">
        <f t="shared" si="1"/>
        <v>13000</v>
      </c>
      <c r="H15" s="21">
        <f t="shared" si="2"/>
        <v>28000</v>
      </c>
    </row>
    <row r="16" s="1" customFormat="1" ht="32" customHeight="1" spans="1:8">
      <c r="A16" s="30">
        <v>11</v>
      </c>
      <c r="B16" s="10" t="s">
        <v>38</v>
      </c>
      <c r="C16" s="10">
        <v>17</v>
      </c>
      <c r="D16" s="10">
        <v>5</v>
      </c>
      <c r="E16" s="10">
        <f t="shared" si="0"/>
        <v>22</v>
      </c>
      <c r="F16" s="10">
        <v>15000</v>
      </c>
      <c r="G16" s="10">
        <f t="shared" si="1"/>
        <v>22000</v>
      </c>
      <c r="H16" s="21">
        <f t="shared" si="2"/>
        <v>37000</v>
      </c>
    </row>
    <row r="17" s="1" customFormat="1" ht="32" customHeight="1" spans="1:8">
      <c r="A17" s="30">
        <v>12</v>
      </c>
      <c r="B17" s="10" t="s">
        <v>40</v>
      </c>
      <c r="C17" s="10">
        <v>20</v>
      </c>
      <c r="D17" s="10">
        <v>1</v>
      </c>
      <c r="E17" s="10">
        <f t="shared" si="0"/>
        <v>21</v>
      </c>
      <c r="F17" s="10">
        <v>15000</v>
      </c>
      <c r="G17" s="10">
        <f t="shared" si="1"/>
        <v>21000</v>
      </c>
      <c r="H17" s="21">
        <f t="shared" si="2"/>
        <v>36000</v>
      </c>
    </row>
    <row r="18" s="1" customFormat="1" ht="32" customHeight="1" spans="1:8">
      <c r="A18" s="30">
        <v>13</v>
      </c>
      <c r="B18" s="10" t="s">
        <v>42</v>
      </c>
      <c r="C18" s="10">
        <v>15</v>
      </c>
      <c r="D18" s="10">
        <v>2</v>
      </c>
      <c r="E18" s="10">
        <f t="shared" si="0"/>
        <v>17</v>
      </c>
      <c r="F18" s="10">
        <v>15000</v>
      </c>
      <c r="G18" s="10">
        <f t="shared" si="1"/>
        <v>17000</v>
      </c>
      <c r="H18" s="21">
        <f t="shared" si="2"/>
        <v>32000</v>
      </c>
    </row>
    <row r="19" s="1" customFormat="1" ht="32" customHeight="1" spans="1:8">
      <c r="A19" s="30">
        <v>14</v>
      </c>
      <c r="B19" s="15" t="s">
        <v>44</v>
      </c>
      <c r="C19" s="15">
        <v>2</v>
      </c>
      <c r="D19" s="15">
        <v>3</v>
      </c>
      <c r="E19" s="10">
        <f t="shared" si="0"/>
        <v>5</v>
      </c>
      <c r="F19" s="10">
        <v>15000</v>
      </c>
      <c r="G19" s="10">
        <f t="shared" si="1"/>
        <v>5000</v>
      </c>
      <c r="H19" s="21">
        <f t="shared" si="2"/>
        <v>20000</v>
      </c>
    </row>
    <row r="20" s="1" customFormat="1" ht="32" customHeight="1" spans="1:8">
      <c r="A20" s="30">
        <v>15</v>
      </c>
      <c r="B20" s="10" t="s">
        <v>46</v>
      </c>
      <c r="C20" s="10">
        <v>2</v>
      </c>
      <c r="D20" s="10">
        <v>0</v>
      </c>
      <c r="E20" s="10">
        <f t="shared" si="0"/>
        <v>2</v>
      </c>
      <c r="F20" s="10">
        <v>15000</v>
      </c>
      <c r="G20" s="10">
        <f t="shared" si="1"/>
        <v>2000</v>
      </c>
      <c r="H20" s="21">
        <f t="shared" si="2"/>
        <v>17000</v>
      </c>
    </row>
    <row r="21" s="1" customFormat="1" ht="32" customHeight="1" spans="1:8">
      <c r="A21" s="16" t="s">
        <v>75</v>
      </c>
      <c r="B21" s="17"/>
      <c r="C21" s="10">
        <f t="shared" ref="C21:H21" si="3">SUM(C6:C20)</f>
        <v>142</v>
      </c>
      <c r="D21" s="10">
        <f t="shared" si="3"/>
        <v>68</v>
      </c>
      <c r="E21" s="10">
        <f t="shared" si="3"/>
        <v>210</v>
      </c>
      <c r="F21" s="10">
        <f t="shared" si="3"/>
        <v>225000</v>
      </c>
      <c r="G21" s="10">
        <f t="shared" si="3"/>
        <v>210000</v>
      </c>
      <c r="H21" s="10">
        <f t="shared" si="3"/>
        <v>435000</v>
      </c>
    </row>
  </sheetData>
  <mergeCells count="7">
    <mergeCell ref="A2:H2"/>
    <mergeCell ref="C4:E4"/>
    <mergeCell ref="F4:G4"/>
    <mergeCell ref="A21:B21"/>
    <mergeCell ref="A4:A5"/>
    <mergeCell ref="B4:B5"/>
    <mergeCell ref="H4:H5"/>
  </mergeCells>
  <pageMargins left="0.707638888888889" right="0.590277777777778" top="0.707638888888889" bottom="0.786805555555556" header="0.511805555555556" footer="0.511805555555556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topLeftCell="A13" workbookViewId="0">
      <selection activeCell="J3" sqref="J3"/>
    </sheetView>
  </sheetViews>
  <sheetFormatPr defaultColWidth="9" defaultRowHeight="14.25"/>
  <cols>
    <col min="1" max="1" width="8.35" customWidth="1"/>
    <col min="2" max="2" width="23.525" customWidth="1"/>
    <col min="3" max="5" width="8.625" customWidth="1"/>
    <col min="6" max="9" width="13.625" customWidth="1"/>
    <col min="10" max="10" width="11.9833333333333" customWidth="1"/>
  </cols>
  <sheetData>
    <row r="1" ht="33" customHeight="1" spans="1:9">
      <c r="A1" s="2" t="s">
        <v>195</v>
      </c>
      <c r="B1" s="3"/>
      <c r="C1" s="3"/>
      <c r="D1" s="3"/>
      <c r="E1" s="3"/>
      <c r="F1" s="3"/>
      <c r="G1" s="3"/>
      <c r="H1" s="3"/>
      <c r="I1" s="3"/>
    </row>
    <row r="2" ht="33" customHeight="1" spans="1:10">
      <c r="A2" s="31" t="s">
        <v>196</v>
      </c>
      <c r="B2" s="31"/>
      <c r="C2" s="31"/>
      <c r="D2" s="31"/>
      <c r="E2" s="31"/>
      <c r="F2" s="31"/>
      <c r="G2" s="31"/>
      <c r="H2" s="31"/>
      <c r="I2" s="31"/>
      <c r="J2" s="31"/>
    </row>
    <row r="3" ht="21" customHeight="1" spans="10:10">
      <c r="J3" s="5" t="s">
        <v>53</v>
      </c>
    </row>
    <row r="4" ht="51" customHeight="1" spans="1:11">
      <c r="A4" s="6" t="s">
        <v>3</v>
      </c>
      <c r="B4" s="29" t="s">
        <v>54</v>
      </c>
      <c r="C4" s="32" t="s">
        <v>55</v>
      </c>
      <c r="D4" s="33"/>
      <c r="E4" s="34"/>
      <c r="F4" s="35" t="s">
        <v>197</v>
      </c>
      <c r="G4" s="35"/>
      <c r="H4" s="35" t="s">
        <v>198</v>
      </c>
      <c r="I4" s="35"/>
      <c r="J4" s="25" t="s">
        <v>116</v>
      </c>
      <c r="K4" s="28"/>
    </row>
    <row r="5" customFormat="1" ht="36" customHeight="1" spans="1:11">
      <c r="A5" s="36"/>
      <c r="B5" s="37"/>
      <c r="C5" s="38" t="s">
        <v>58</v>
      </c>
      <c r="D5" s="38" t="s">
        <v>59</v>
      </c>
      <c r="E5" s="38" t="s">
        <v>60</v>
      </c>
      <c r="F5" s="7" t="s">
        <v>199</v>
      </c>
      <c r="G5" s="7" t="s">
        <v>200</v>
      </c>
      <c r="H5" s="7" t="s">
        <v>201</v>
      </c>
      <c r="I5" s="7" t="s">
        <v>200</v>
      </c>
      <c r="J5" s="39"/>
      <c r="K5" s="28"/>
    </row>
    <row r="6" s="1" customFormat="1" ht="20" customHeight="1" spans="1:10">
      <c r="A6" s="30">
        <v>1</v>
      </c>
      <c r="B6" s="10" t="s">
        <v>18</v>
      </c>
      <c r="C6" s="10">
        <v>2</v>
      </c>
      <c r="D6" s="10">
        <v>16</v>
      </c>
      <c r="E6" s="10">
        <f>C6+D6</f>
        <v>18</v>
      </c>
      <c r="F6" s="10">
        <v>15000</v>
      </c>
      <c r="G6" s="10">
        <f>E6*1000</f>
        <v>18000</v>
      </c>
      <c r="H6" s="10">
        <v>20000</v>
      </c>
      <c r="I6" s="10">
        <f>1000*E6</f>
        <v>18000</v>
      </c>
      <c r="J6" s="21">
        <f>SUM(F6:I6)</f>
        <v>71000</v>
      </c>
    </row>
    <row r="7" s="1" customFormat="1" ht="20" customHeight="1" spans="1:10">
      <c r="A7" s="30">
        <v>2</v>
      </c>
      <c r="B7" s="10" t="s">
        <v>20</v>
      </c>
      <c r="C7" s="10">
        <v>8</v>
      </c>
      <c r="D7" s="10">
        <v>3</v>
      </c>
      <c r="E7" s="10">
        <f t="shared" ref="E7:E20" si="0">C7+D7</f>
        <v>11</v>
      </c>
      <c r="F7" s="10">
        <v>15000</v>
      </c>
      <c r="G7" s="10">
        <f t="shared" ref="G7:G20" si="1">E7*1000</f>
        <v>11000</v>
      </c>
      <c r="H7" s="10">
        <v>20000</v>
      </c>
      <c r="I7" s="10">
        <f t="shared" ref="I7:I20" si="2">1000*E7</f>
        <v>11000</v>
      </c>
      <c r="J7" s="21">
        <f t="shared" ref="J7:J20" si="3">SUM(F7:I7)</f>
        <v>57000</v>
      </c>
    </row>
    <row r="8" s="1" customFormat="1" ht="20" customHeight="1" spans="1:10">
      <c r="A8" s="30">
        <v>3</v>
      </c>
      <c r="B8" s="10" t="s">
        <v>22</v>
      </c>
      <c r="C8" s="10">
        <v>1</v>
      </c>
      <c r="D8" s="10">
        <v>6</v>
      </c>
      <c r="E8" s="10">
        <f t="shared" si="0"/>
        <v>7</v>
      </c>
      <c r="F8" s="10">
        <v>15000</v>
      </c>
      <c r="G8" s="10">
        <f t="shared" si="1"/>
        <v>7000</v>
      </c>
      <c r="H8" s="10">
        <v>20000</v>
      </c>
      <c r="I8" s="10">
        <f t="shared" si="2"/>
        <v>7000</v>
      </c>
      <c r="J8" s="21">
        <f t="shared" si="3"/>
        <v>49000</v>
      </c>
    </row>
    <row r="9" s="1" customFormat="1" ht="20" customHeight="1" spans="1:10">
      <c r="A9" s="30">
        <v>4</v>
      </c>
      <c r="B9" s="10" t="s">
        <v>24</v>
      </c>
      <c r="C9" s="10">
        <v>8</v>
      </c>
      <c r="D9" s="10">
        <v>10</v>
      </c>
      <c r="E9" s="10">
        <f t="shared" si="0"/>
        <v>18</v>
      </c>
      <c r="F9" s="10">
        <v>15000</v>
      </c>
      <c r="G9" s="10">
        <f t="shared" si="1"/>
        <v>18000</v>
      </c>
      <c r="H9" s="10">
        <v>20000</v>
      </c>
      <c r="I9" s="10">
        <f t="shared" si="2"/>
        <v>18000</v>
      </c>
      <c r="J9" s="21">
        <f t="shared" si="3"/>
        <v>71000</v>
      </c>
    </row>
    <row r="10" s="1" customFormat="1" ht="20" customHeight="1" spans="1:10">
      <c r="A10" s="30">
        <v>5</v>
      </c>
      <c r="B10" s="10" t="s">
        <v>26</v>
      </c>
      <c r="C10" s="10">
        <v>9</v>
      </c>
      <c r="D10" s="10">
        <v>5</v>
      </c>
      <c r="E10" s="10">
        <f t="shared" si="0"/>
        <v>14</v>
      </c>
      <c r="F10" s="10">
        <v>15000</v>
      </c>
      <c r="G10" s="10">
        <f t="shared" si="1"/>
        <v>14000</v>
      </c>
      <c r="H10" s="10">
        <v>20000</v>
      </c>
      <c r="I10" s="10">
        <f t="shared" si="2"/>
        <v>14000</v>
      </c>
      <c r="J10" s="21">
        <f t="shared" si="3"/>
        <v>63000</v>
      </c>
    </row>
    <row r="11" s="1" customFormat="1" ht="20" customHeight="1" spans="1:10">
      <c r="A11" s="30">
        <v>6</v>
      </c>
      <c r="B11" s="10" t="s">
        <v>28</v>
      </c>
      <c r="C11" s="10">
        <v>8</v>
      </c>
      <c r="D11" s="10">
        <v>2</v>
      </c>
      <c r="E11" s="10">
        <f t="shared" si="0"/>
        <v>10</v>
      </c>
      <c r="F11" s="10">
        <v>15000</v>
      </c>
      <c r="G11" s="10">
        <f t="shared" si="1"/>
        <v>10000</v>
      </c>
      <c r="H11" s="10">
        <v>20000</v>
      </c>
      <c r="I11" s="10">
        <f t="shared" si="2"/>
        <v>10000</v>
      </c>
      <c r="J11" s="21">
        <f t="shared" si="3"/>
        <v>55000</v>
      </c>
    </row>
    <row r="12" s="1" customFormat="1" ht="20" customHeight="1" spans="1:10">
      <c r="A12" s="30">
        <v>7</v>
      </c>
      <c r="B12" s="10" t="s">
        <v>30</v>
      </c>
      <c r="C12" s="10">
        <v>12</v>
      </c>
      <c r="D12" s="10">
        <v>6</v>
      </c>
      <c r="E12" s="10">
        <f t="shared" si="0"/>
        <v>18</v>
      </c>
      <c r="F12" s="10">
        <v>15000</v>
      </c>
      <c r="G12" s="10">
        <f t="shared" si="1"/>
        <v>18000</v>
      </c>
      <c r="H12" s="10">
        <v>20000</v>
      </c>
      <c r="I12" s="10">
        <f t="shared" si="2"/>
        <v>18000</v>
      </c>
      <c r="J12" s="21">
        <f t="shared" si="3"/>
        <v>71000</v>
      </c>
    </row>
    <row r="13" s="1" customFormat="1" ht="20" customHeight="1" spans="1:10">
      <c r="A13" s="30">
        <v>8</v>
      </c>
      <c r="B13" s="10" t="s">
        <v>32</v>
      </c>
      <c r="C13" s="10">
        <v>20</v>
      </c>
      <c r="D13" s="10">
        <v>6</v>
      </c>
      <c r="E13" s="10">
        <f t="shared" si="0"/>
        <v>26</v>
      </c>
      <c r="F13" s="10">
        <v>15000</v>
      </c>
      <c r="G13" s="10">
        <f t="shared" si="1"/>
        <v>26000</v>
      </c>
      <c r="H13" s="10">
        <v>20000</v>
      </c>
      <c r="I13" s="10">
        <f t="shared" si="2"/>
        <v>26000</v>
      </c>
      <c r="J13" s="21">
        <f t="shared" si="3"/>
        <v>87000</v>
      </c>
    </row>
    <row r="14" s="1" customFormat="1" ht="20" customHeight="1" spans="1:10">
      <c r="A14" s="30">
        <v>9</v>
      </c>
      <c r="B14" s="10" t="s">
        <v>34</v>
      </c>
      <c r="C14" s="10">
        <v>1</v>
      </c>
      <c r="D14" s="10">
        <v>7</v>
      </c>
      <c r="E14" s="10">
        <f t="shared" si="0"/>
        <v>8</v>
      </c>
      <c r="F14" s="10">
        <v>15000</v>
      </c>
      <c r="G14" s="10">
        <f t="shared" si="1"/>
        <v>8000</v>
      </c>
      <c r="H14" s="10">
        <v>20000</v>
      </c>
      <c r="I14" s="10">
        <f t="shared" si="2"/>
        <v>8000</v>
      </c>
      <c r="J14" s="21">
        <f t="shared" si="3"/>
        <v>51000</v>
      </c>
    </row>
    <row r="15" s="1" customFormat="1" ht="20" customHeight="1" spans="1:10">
      <c r="A15" s="30">
        <v>10</v>
      </c>
      <c r="B15" s="10" t="s">
        <v>36</v>
      </c>
      <c r="C15" s="10">
        <v>12</v>
      </c>
      <c r="D15" s="10">
        <v>1</v>
      </c>
      <c r="E15" s="10">
        <f t="shared" si="0"/>
        <v>13</v>
      </c>
      <c r="F15" s="10">
        <v>15000</v>
      </c>
      <c r="G15" s="10">
        <f t="shared" si="1"/>
        <v>13000</v>
      </c>
      <c r="H15" s="10">
        <v>20000</v>
      </c>
      <c r="I15" s="10">
        <f t="shared" si="2"/>
        <v>13000</v>
      </c>
      <c r="J15" s="21">
        <f t="shared" si="3"/>
        <v>61000</v>
      </c>
    </row>
    <row r="16" s="1" customFormat="1" ht="20" customHeight="1" spans="1:10">
      <c r="A16" s="30">
        <v>11</v>
      </c>
      <c r="B16" s="10" t="s">
        <v>38</v>
      </c>
      <c r="C16" s="10">
        <v>17</v>
      </c>
      <c r="D16" s="10">
        <v>5</v>
      </c>
      <c r="E16" s="10">
        <f t="shared" si="0"/>
        <v>22</v>
      </c>
      <c r="F16" s="10">
        <v>15000</v>
      </c>
      <c r="G16" s="10">
        <f t="shared" si="1"/>
        <v>22000</v>
      </c>
      <c r="H16" s="10">
        <v>20000</v>
      </c>
      <c r="I16" s="10">
        <f t="shared" si="2"/>
        <v>22000</v>
      </c>
      <c r="J16" s="21">
        <f t="shared" si="3"/>
        <v>79000</v>
      </c>
    </row>
    <row r="17" s="1" customFormat="1" ht="20" customHeight="1" spans="1:10">
      <c r="A17" s="30">
        <v>12</v>
      </c>
      <c r="B17" s="10" t="s">
        <v>40</v>
      </c>
      <c r="C17" s="10">
        <v>19</v>
      </c>
      <c r="D17" s="10">
        <v>2</v>
      </c>
      <c r="E17" s="10">
        <f t="shared" si="0"/>
        <v>21</v>
      </c>
      <c r="F17" s="10">
        <v>15000</v>
      </c>
      <c r="G17" s="10">
        <f t="shared" si="1"/>
        <v>21000</v>
      </c>
      <c r="H17" s="10">
        <v>20000</v>
      </c>
      <c r="I17" s="10">
        <f t="shared" si="2"/>
        <v>21000</v>
      </c>
      <c r="J17" s="21">
        <f t="shared" si="3"/>
        <v>77000</v>
      </c>
    </row>
    <row r="18" s="1" customFormat="1" ht="20" customHeight="1" spans="1:10">
      <c r="A18" s="30">
        <v>13</v>
      </c>
      <c r="B18" s="10" t="s">
        <v>42</v>
      </c>
      <c r="C18" s="10">
        <v>15</v>
      </c>
      <c r="D18" s="10">
        <v>2</v>
      </c>
      <c r="E18" s="10">
        <f t="shared" si="0"/>
        <v>17</v>
      </c>
      <c r="F18" s="10">
        <v>15000</v>
      </c>
      <c r="G18" s="10">
        <f t="shared" si="1"/>
        <v>17000</v>
      </c>
      <c r="H18" s="10">
        <v>20000</v>
      </c>
      <c r="I18" s="10">
        <f t="shared" si="2"/>
        <v>17000</v>
      </c>
      <c r="J18" s="21">
        <f t="shared" si="3"/>
        <v>69000</v>
      </c>
    </row>
    <row r="19" s="1" customFormat="1" ht="20" customHeight="1" spans="1:10">
      <c r="A19" s="30">
        <v>14</v>
      </c>
      <c r="B19" s="15" t="s">
        <v>44</v>
      </c>
      <c r="C19" s="15">
        <v>2</v>
      </c>
      <c r="D19" s="15">
        <v>3</v>
      </c>
      <c r="E19" s="10">
        <f t="shared" si="0"/>
        <v>5</v>
      </c>
      <c r="F19" s="10">
        <v>15000</v>
      </c>
      <c r="G19" s="10">
        <f t="shared" si="1"/>
        <v>5000</v>
      </c>
      <c r="H19" s="10">
        <v>20000</v>
      </c>
      <c r="I19" s="10">
        <f t="shared" si="2"/>
        <v>5000</v>
      </c>
      <c r="J19" s="21">
        <f t="shared" si="3"/>
        <v>45000</v>
      </c>
    </row>
    <row r="20" s="1" customFormat="1" ht="20" customHeight="1" spans="1:10">
      <c r="A20" s="30">
        <v>15</v>
      </c>
      <c r="B20" s="10" t="s">
        <v>46</v>
      </c>
      <c r="C20" s="10">
        <v>2</v>
      </c>
      <c r="D20" s="10">
        <v>0</v>
      </c>
      <c r="E20" s="10">
        <f t="shared" si="0"/>
        <v>2</v>
      </c>
      <c r="F20" s="10">
        <v>15000</v>
      </c>
      <c r="G20" s="10">
        <f t="shared" si="1"/>
        <v>2000</v>
      </c>
      <c r="H20" s="10">
        <v>20000</v>
      </c>
      <c r="I20" s="10">
        <f t="shared" si="2"/>
        <v>2000</v>
      </c>
      <c r="J20" s="21">
        <f t="shared" si="3"/>
        <v>39000</v>
      </c>
    </row>
    <row r="21" s="1" customFormat="1" ht="20" customHeight="1" spans="1:10">
      <c r="A21" s="16" t="s">
        <v>75</v>
      </c>
      <c r="B21" s="17"/>
      <c r="C21" s="10">
        <f>SUM(C6:C20)</f>
        <v>136</v>
      </c>
      <c r="D21" s="10">
        <f t="shared" ref="D21:J21" si="4">SUM(D6:D20)</f>
        <v>74</v>
      </c>
      <c r="E21" s="10">
        <f t="shared" si="4"/>
        <v>210</v>
      </c>
      <c r="F21" s="10">
        <f t="shared" si="4"/>
        <v>225000</v>
      </c>
      <c r="G21" s="10">
        <f t="shared" si="4"/>
        <v>210000</v>
      </c>
      <c r="H21" s="10">
        <f t="shared" si="4"/>
        <v>300000</v>
      </c>
      <c r="I21" s="10">
        <f t="shared" si="4"/>
        <v>210000</v>
      </c>
      <c r="J21" s="10">
        <f t="shared" si="4"/>
        <v>945000</v>
      </c>
    </row>
  </sheetData>
  <mergeCells count="8">
    <mergeCell ref="A2:J2"/>
    <mergeCell ref="C4:E4"/>
    <mergeCell ref="F4:G4"/>
    <mergeCell ref="H4:I4"/>
    <mergeCell ref="A21:B21"/>
    <mergeCell ref="A4:A5"/>
    <mergeCell ref="B4:B5"/>
    <mergeCell ref="J4:J5"/>
  </mergeCells>
  <pageMargins left="0.707638888888889" right="0.590277777777778" top="0.590277777777778" bottom="0.393055555555556" header="0.511805555555556" footer="0.313888888888889"/>
  <pageSetup paperSize="9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E20" sqref="A4:E20"/>
    </sheetView>
  </sheetViews>
  <sheetFormatPr defaultColWidth="9" defaultRowHeight="14.25" outlineLevelCol="5"/>
  <cols>
    <col min="1" max="1" width="8.35" customWidth="1"/>
    <col min="2" max="2" width="23.525" customWidth="1"/>
    <col min="3" max="3" width="11.5" customWidth="1"/>
    <col min="4" max="4" width="9.375" customWidth="1"/>
    <col min="5" max="5" width="14.85" customWidth="1"/>
    <col min="6" max="6" width="14.2416666666667" customWidth="1"/>
  </cols>
  <sheetData>
    <row r="1" ht="33" customHeight="1" spans="1:4">
      <c r="A1" s="2" t="s">
        <v>202</v>
      </c>
      <c r="B1" s="3"/>
      <c r="C1" s="3"/>
      <c r="D1" s="3"/>
    </row>
    <row r="2" ht="27" customHeight="1" spans="1:6">
      <c r="A2" s="4" t="s">
        <v>203</v>
      </c>
      <c r="B2" s="4"/>
      <c r="C2" s="4"/>
      <c r="D2" s="4"/>
      <c r="E2" s="4"/>
      <c r="F2" s="4"/>
    </row>
    <row r="3" ht="21" customHeight="1" spans="6:6">
      <c r="F3" s="5" t="s">
        <v>53</v>
      </c>
    </row>
    <row r="4" ht="53" customHeight="1" spans="1:6">
      <c r="A4" s="6" t="s">
        <v>3</v>
      </c>
      <c r="B4" s="7" t="s">
        <v>54</v>
      </c>
      <c r="C4" s="7" t="s">
        <v>204</v>
      </c>
      <c r="D4" s="8" t="s">
        <v>205</v>
      </c>
      <c r="E4" s="25" t="s">
        <v>109</v>
      </c>
      <c r="F4" s="8" t="s">
        <v>9</v>
      </c>
    </row>
    <row r="5" s="1" customFormat="1" ht="35" customHeight="1" spans="1:6">
      <c r="A5" s="30">
        <v>1</v>
      </c>
      <c r="B5" s="10" t="s">
        <v>18</v>
      </c>
      <c r="C5" s="11">
        <v>79217</v>
      </c>
      <c r="D5" s="11">
        <v>5</v>
      </c>
      <c r="E5" s="21">
        <f>C5*D5</f>
        <v>396085</v>
      </c>
      <c r="F5" s="14"/>
    </row>
    <row r="6" s="1" customFormat="1" ht="35" customHeight="1" spans="1:6">
      <c r="A6" s="30">
        <v>2</v>
      </c>
      <c r="B6" s="10" t="s">
        <v>20</v>
      </c>
      <c r="C6" s="11">
        <v>14698</v>
      </c>
      <c r="D6" s="11">
        <v>5</v>
      </c>
      <c r="E6" s="21">
        <f t="shared" ref="E6:E19" si="0">C6*D6</f>
        <v>73490</v>
      </c>
      <c r="F6" s="14"/>
    </row>
    <row r="7" s="1" customFormat="1" ht="35" customHeight="1" spans="1:6">
      <c r="A7" s="30">
        <v>3</v>
      </c>
      <c r="B7" s="10" t="s">
        <v>22</v>
      </c>
      <c r="C7" s="11">
        <v>6731</v>
      </c>
      <c r="D7" s="11">
        <v>5</v>
      </c>
      <c r="E7" s="21">
        <f t="shared" si="0"/>
        <v>33655</v>
      </c>
      <c r="F7" s="14"/>
    </row>
    <row r="8" s="1" customFormat="1" ht="35" customHeight="1" spans="1:6">
      <c r="A8" s="30">
        <v>4</v>
      </c>
      <c r="B8" s="10" t="s">
        <v>24</v>
      </c>
      <c r="C8" s="11">
        <v>31048</v>
      </c>
      <c r="D8" s="11">
        <v>5</v>
      </c>
      <c r="E8" s="21">
        <f t="shared" si="0"/>
        <v>155240</v>
      </c>
      <c r="F8" s="14"/>
    </row>
    <row r="9" s="1" customFormat="1" ht="35" customHeight="1" spans="1:6">
      <c r="A9" s="30">
        <v>5</v>
      </c>
      <c r="B9" s="10" t="s">
        <v>26</v>
      </c>
      <c r="C9" s="11">
        <v>20500</v>
      </c>
      <c r="D9" s="11">
        <v>5</v>
      </c>
      <c r="E9" s="21">
        <f t="shared" si="0"/>
        <v>102500</v>
      </c>
      <c r="F9" s="14"/>
    </row>
    <row r="10" s="1" customFormat="1" ht="35" customHeight="1" spans="1:6">
      <c r="A10" s="30">
        <v>6</v>
      </c>
      <c r="B10" s="10" t="s">
        <v>28</v>
      </c>
      <c r="C10" s="11">
        <v>14937</v>
      </c>
      <c r="D10" s="11">
        <v>5</v>
      </c>
      <c r="E10" s="21">
        <f t="shared" si="0"/>
        <v>74685</v>
      </c>
      <c r="F10" s="14"/>
    </row>
    <row r="11" s="1" customFormat="1" ht="35" customHeight="1" spans="1:6">
      <c r="A11" s="30">
        <v>7</v>
      </c>
      <c r="B11" s="10" t="s">
        <v>30</v>
      </c>
      <c r="C11" s="11">
        <v>27471</v>
      </c>
      <c r="D11" s="11">
        <v>5</v>
      </c>
      <c r="E11" s="21">
        <f t="shared" si="0"/>
        <v>137355</v>
      </c>
      <c r="F11" s="14"/>
    </row>
    <row r="12" s="1" customFormat="1" ht="35" customHeight="1" spans="1:6">
      <c r="A12" s="30">
        <v>8</v>
      </c>
      <c r="B12" s="10" t="s">
        <v>32</v>
      </c>
      <c r="C12" s="11">
        <v>43131</v>
      </c>
      <c r="D12" s="11">
        <v>5</v>
      </c>
      <c r="E12" s="21">
        <f t="shared" si="0"/>
        <v>215655</v>
      </c>
      <c r="F12" s="14"/>
    </row>
    <row r="13" s="1" customFormat="1" ht="35" customHeight="1" spans="1:6">
      <c r="A13" s="30">
        <v>9</v>
      </c>
      <c r="B13" s="10" t="s">
        <v>34</v>
      </c>
      <c r="C13" s="11">
        <v>8000</v>
      </c>
      <c r="D13" s="11">
        <v>5</v>
      </c>
      <c r="E13" s="21">
        <f t="shared" si="0"/>
        <v>40000</v>
      </c>
      <c r="F13" s="14"/>
    </row>
    <row r="14" s="1" customFormat="1" ht="35" customHeight="1" spans="1:6">
      <c r="A14" s="30">
        <v>10</v>
      </c>
      <c r="B14" s="10" t="s">
        <v>36</v>
      </c>
      <c r="C14" s="11">
        <v>27775</v>
      </c>
      <c r="D14" s="11">
        <v>5</v>
      </c>
      <c r="E14" s="21">
        <f t="shared" si="0"/>
        <v>138875</v>
      </c>
      <c r="F14" s="14"/>
    </row>
    <row r="15" s="1" customFormat="1" ht="35" customHeight="1" spans="1:6">
      <c r="A15" s="30">
        <v>11</v>
      </c>
      <c r="B15" s="10" t="s">
        <v>38</v>
      </c>
      <c r="C15" s="11">
        <v>40893</v>
      </c>
      <c r="D15" s="11">
        <v>5</v>
      </c>
      <c r="E15" s="21">
        <f t="shared" si="0"/>
        <v>204465</v>
      </c>
      <c r="F15" s="14"/>
    </row>
    <row r="16" s="1" customFormat="1" ht="35" customHeight="1" spans="1:6">
      <c r="A16" s="30">
        <v>12</v>
      </c>
      <c r="B16" s="10" t="s">
        <v>40</v>
      </c>
      <c r="C16" s="11">
        <v>31887</v>
      </c>
      <c r="D16" s="11">
        <v>5</v>
      </c>
      <c r="E16" s="21">
        <f t="shared" si="0"/>
        <v>159435</v>
      </c>
      <c r="F16" s="14"/>
    </row>
    <row r="17" s="1" customFormat="1" ht="35" customHeight="1" spans="1:6">
      <c r="A17" s="30">
        <v>13</v>
      </c>
      <c r="B17" s="10" t="s">
        <v>42</v>
      </c>
      <c r="C17" s="11">
        <v>30796</v>
      </c>
      <c r="D17" s="11">
        <v>5</v>
      </c>
      <c r="E17" s="21">
        <f t="shared" si="0"/>
        <v>153980</v>
      </c>
      <c r="F17" s="14"/>
    </row>
    <row r="18" s="1" customFormat="1" ht="35" customHeight="1" spans="1:6">
      <c r="A18" s="30">
        <v>14</v>
      </c>
      <c r="B18" s="15" t="s">
        <v>44</v>
      </c>
      <c r="C18" s="11">
        <v>4666</v>
      </c>
      <c r="D18" s="11">
        <v>5</v>
      </c>
      <c r="E18" s="21">
        <f t="shared" si="0"/>
        <v>23330</v>
      </c>
      <c r="F18" s="14"/>
    </row>
    <row r="19" s="1" customFormat="1" ht="35" customHeight="1" spans="1:6">
      <c r="A19" s="30">
        <v>15</v>
      </c>
      <c r="B19" s="10" t="s">
        <v>46</v>
      </c>
      <c r="C19" s="11">
        <v>4250</v>
      </c>
      <c r="D19" s="11">
        <v>5</v>
      </c>
      <c r="E19" s="21">
        <f t="shared" si="0"/>
        <v>21250</v>
      </c>
      <c r="F19" s="14"/>
    </row>
    <row r="20" s="1" customFormat="1" ht="35" customHeight="1" spans="1:6">
      <c r="A20" s="16" t="s">
        <v>75</v>
      </c>
      <c r="B20" s="17"/>
      <c r="C20" s="18">
        <f>SUM(C5:C19)</f>
        <v>386000</v>
      </c>
      <c r="D20" s="19"/>
      <c r="E20" s="10">
        <f>SUM(E5:E19)</f>
        <v>1930000</v>
      </c>
      <c r="F20" s="14"/>
    </row>
  </sheetData>
  <mergeCells count="2">
    <mergeCell ref="A2:F2"/>
    <mergeCell ref="A20:B20"/>
  </mergeCells>
  <pageMargins left="0.707638888888889" right="0.590277777777778" top="0.826388888888889" bottom="0.668055555555556" header="0.511805555555556" footer="0.511805555555556"/>
  <pageSetup paperSize="9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B5" sqref="A5:E9"/>
    </sheetView>
  </sheetViews>
  <sheetFormatPr defaultColWidth="9" defaultRowHeight="14.25" outlineLevelCol="6"/>
  <cols>
    <col min="1" max="1" width="8.35" customWidth="1"/>
    <col min="2" max="2" width="23.525" customWidth="1"/>
    <col min="3" max="3" width="13.25" customWidth="1"/>
    <col min="4" max="4" width="12.5" customWidth="1"/>
    <col min="5" max="5" width="13.875" customWidth="1"/>
    <col min="6" max="6" width="10.2333333333333" customWidth="1"/>
  </cols>
  <sheetData>
    <row r="1" ht="33" customHeight="1" spans="1:4">
      <c r="A1" s="2" t="s">
        <v>206</v>
      </c>
      <c r="B1" s="3"/>
      <c r="C1" s="3"/>
      <c r="D1" s="3"/>
    </row>
    <row r="2" ht="33" customHeight="1" spans="1:6">
      <c r="A2" s="4" t="s">
        <v>207</v>
      </c>
      <c r="B2" s="4"/>
      <c r="C2" s="4"/>
      <c r="D2" s="4"/>
      <c r="E2" s="4"/>
      <c r="F2" s="4"/>
    </row>
    <row r="3" ht="27" customHeight="1" spans="1:6">
      <c r="A3" s="24"/>
      <c r="B3" s="24"/>
      <c r="C3" s="24"/>
      <c r="D3" s="24"/>
      <c r="E3" s="24"/>
      <c r="F3" s="27" t="s">
        <v>53</v>
      </c>
    </row>
    <row r="4" ht="53" customHeight="1" spans="1:7">
      <c r="A4" s="6" t="s">
        <v>3</v>
      </c>
      <c r="B4" s="7" t="s">
        <v>54</v>
      </c>
      <c r="C4" s="8" t="s">
        <v>208</v>
      </c>
      <c r="D4" s="8" t="s">
        <v>209</v>
      </c>
      <c r="E4" s="25" t="s">
        <v>210</v>
      </c>
      <c r="F4" s="8" t="s">
        <v>9</v>
      </c>
      <c r="G4" s="28"/>
    </row>
    <row r="5" s="1" customFormat="1" ht="35" customHeight="1" spans="1:6">
      <c r="A5" s="9">
        <v>1</v>
      </c>
      <c r="B5" s="10" t="s">
        <v>18</v>
      </c>
      <c r="C5" s="7">
        <v>96.76</v>
      </c>
      <c r="D5" s="7" t="s">
        <v>71</v>
      </c>
      <c r="E5" s="21">
        <v>80000</v>
      </c>
      <c r="F5" s="14"/>
    </row>
    <row r="6" s="1" customFormat="1" ht="35" customHeight="1" spans="1:6">
      <c r="A6" s="9">
        <v>2</v>
      </c>
      <c r="B6" s="5" t="s">
        <v>40</v>
      </c>
      <c r="C6" s="7">
        <v>96.51</v>
      </c>
      <c r="D6" s="7" t="s">
        <v>73</v>
      </c>
      <c r="E6" s="21">
        <v>70000</v>
      </c>
      <c r="F6" s="14"/>
    </row>
    <row r="7" s="1" customFormat="1" ht="35" customHeight="1" spans="1:6">
      <c r="A7" s="9">
        <v>3</v>
      </c>
      <c r="B7" s="10" t="s">
        <v>32</v>
      </c>
      <c r="C7" s="7">
        <v>96.25</v>
      </c>
      <c r="D7" s="7" t="s">
        <v>72</v>
      </c>
      <c r="E7" s="21">
        <v>50000</v>
      </c>
      <c r="F7" s="14"/>
    </row>
    <row r="8" s="1" customFormat="1" ht="35" customHeight="1" spans="1:6">
      <c r="A8" s="9">
        <v>4</v>
      </c>
      <c r="B8" s="15" t="s">
        <v>46</v>
      </c>
      <c r="C8" s="29">
        <v>88.07</v>
      </c>
      <c r="D8" s="29" t="s">
        <v>74</v>
      </c>
      <c r="E8" s="21">
        <v>-5000</v>
      </c>
      <c r="F8" s="14"/>
    </row>
    <row r="9" s="1" customFormat="1" ht="35" customHeight="1" spans="1:6">
      <c r="A9" s="16" t="s">
        <v>75</v>
      </c>
      <c r="B9" s="17"/>
      <c r="C9" s="19"/>
      <c r="D9" s="10"/>
      <c r="E9" s="10">
        <f>SUM(E5:E8)</f>
        <v>195000</v>
      </c>
      <c r="F9" s="14"/>
    </row>
  </sheetData>
  <mergeCells count="2">
    <mergeCell ref="A2:F2"/>
    <mergeCell ref="A9:B9"/>
  </mergeCells>
  <pageMargins left="0.707638888888889" right="0.590277777777778" top="0.826388888888889" bottom="1" header="0.511805555555556" footer="0.511805555555556"/>
  <pageSetup paperSize="9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workbookViewId="0">
      <selection activeCell="G3" sqref="G3"/>
    </sheetView>
  </sheetViews>
  <sheetFormatPr defaultColWidth="9" defaultRowHeight="14.25" outlineLevelCol="6"/>
  <cols>
    <col min="1" max="1" width="5.375" customWidth="1"/>
    <col min="2" max="2" width="23.525" customWidth="1"/>
    <col min="3" max="3" width="12.25" customWidth="1"/>
    <col min="4" max="4" width="10.75" customWidth="1"/>
    <col min="5" max="5" width="11.225" customWidth="1"/>
    <col min="6" max="6" width="10.25" customWidth="1"/>
    <col min="7" max="7" width="10.2333333333333" customWidth="1"/>
  </cols>
  <sheetData>
    <row r="1" ht="33" customHeight="1" spans="1:5">
      <c r="A1" s="2" t="s">
        <v>211</v>
      </c>
      <c r="B1" s="3"/>
      <c r="C1" s="3"/>
      <c r="D1" s="3"/>
      <c r="E1" s="3"/>
    </row>
    <row r="2" ht="36" customHeight="1" spans="1:7">
      <c r="A2" s="4" t="s">
        <v>212</v>
      </c>
      <c r="B2" s="4"/>
      <c r="C2" s="4"/>
      <c r="D2" s="4"/>
      <c r="E2" s="4"/>
      <c r="F2" s="4"/>
      <c r="G2" s="4"/>
    </row>
    <row r="3" ht="26" customHeight="1" spans="1:7">
      <c r="A3" s="24"/>
      <c r="B3" s="24"/>
      <c r="C3" s="24"/>
      <c r="D3" s="24"/>
      <c r="E3" s="24"/>
      <c r="F3" s="24"/>
      <c r="G3" s="5" t="s">
        <v>53</v>
      </c>
    </row>
    <row r="4" ht="46" customHeight="1" spans="1:7">
      <c r="A4" s="6" t="s">
        <v>3</v>
      </c>
      <c r="B4" s="7" t="s">
        <v>54</v>
      </c>
      <c r="C4" s="8" t="s">
        <v>62</v>
      </c>
      <c r="D4" s="8" t="s">
        <v>213</v>
      </c>
      <c r="E4" s="25" t="s">
        <v>214</v>
      </c>
      <c r="F4" s="25" t="s">
        <v>210</v>
      </c>
      <c r="G4" s="8" t="s">
        <v>9</v>
      </c>
    </row>
    <row r="5" s="1" customFormat="1" ht="33" customHeight="1" spans="1:7">
      <c r="A5" s="9">
        <v>1</v>
      </c>
      <c r="B5" s="10" t="s">
        <v>18</v>
      </c>
      <c r="C5" s="10">
        <v>22227</v>
      </c>
      <c r="D5" s="11">
        <v>30</v>
      </c>
      <c r="E5" s="11">
        <v>64.99</v>
      </c>
      <c r="F5" s="21">
        <v>433360</v>
      </c>
      <c r="G5" s="14"/>
    </row>
    <row r="6" s="1" customFormat="1" ht="33" customHeight="1" spans="1:7">
      <c r="A6" s="9">
        <v>2</v>
      </c>
      <c r="B6" s="10" t="s">
        <v>20</v>
      </c>
      <c r="C6" s="10">
        <v>7220</v>
      </c>
      <c r="D6" s="11">
        <v>30</v>
      </c>
      <c r="E6" s="11">
        <v>72.6</v>
      </c>
      <c r="F6" s="21">
        <v>157252</v>
      </c>
      <c r="G6" s="14"/>
    </row>
    <row r="7" s="1" customFormat="1" ht="33" customHeight="1" spans="1:7">
      <c r="A7" s="9">
        <v>3</v>
      </c>
      <c r="B7" s="10" t="s">
        <v>22</v>
      </c>
      <c r="C7" s="10">
        <v>3442</v>
      </c>
      <c r="D7" s="11">
        <v>30</v>
      </c>
      <c r="E7" s="11">
        <v>70.97</v>
      </c>
      <c r="F7" s="21">
        <v>73284</v>
      </c>
      <c r="G7" s="14"/>
    </row>
    <row r="8" s="1" customFormat="1" ht="33" customHeight="1" spans="1:7">
      <c r="A8" s="9">
        <v>4</v>
      </c>
      <c r="B8" s="10" t="s">
        <v>24</v>
      </c>
      <c r="C8" s="10">
        <v>12442</v>
      </c>
      <c r="D8" s="11">
        <v>30</v>
      </c>
      <c r="E8" s="11">
        <v>61.55</v>
      </c>
      <c r="F8" s="21">
        <v>229742</v>
      </c>
      <c r="G8" s="14"/>
    </row>
    <row r="9" s="1" customFormat="1" ht="33" customHeight="1" spans="1:7">
      <c r="A9" s="9">
        <v>5</v>
      </c>
      <c r="B9" s="10" t="s">
        <v>26</v>
      </c>
      <c r="C9" s="10">
        <v>7420</v>
      </c>
      <c r="D9" s="11">
        <v>30</v>
      </c>
      <c r="E9" s="11">
        <v>66.41</v>
      </c>
      <c r="F9" s="21">
        <v>147829</v>
      </c>
      <c r="G9" s="14"/>
    </row>
    <row r="10" s="1" customFormat="1" ht="33" customHeight="1" spans="1:7">
      <c r="A10" s="9">
        <v>6</v>
      </c>
      <c r="B10" s="10" t="s">
        <v>28</v>
      </c>
      <c r="C10" s="10">
        <v>6399</v>
      </c>
      <c r="D10" s="11">
        <v>30</v>
      </c>
      <c r="E10" s="11">
        <v>60.9</v>
      </c>
      <c r="F10" s="21">
        <v>116910</v>
      </c>
      <c r="G10" s="14"/>
    </row>
    <row r="11" s="1" customFormat="1" ht="33" customHeight="1" spans="1:7">
      <c r="A11" s="9">
        <v>7</v>
      </c>
      <c r="B11" s="10" t="s">
        <v>30</v>
      </c>
      <c r="C11" s="10">
        <v>13628</v>
      </c>
      <c r="D11" s="11">
        <v>30</v>
      </c>
      <c r="E11" s="11">
        <v>74.02</v>
      </c>
      <c r="F11" s="21">
        <v>302623</v>
      </c>
      <c r="G11" s="14"/>
    </row>
    <row r="12" s="1" customFormat="1" ht="33" customHeight="1" spans="1:7">
      <c r="A12" s="9">
        <v>8</v>
      </c>
      <c r="B12" s="10" t="s">
        <v>32</v>
      </c>
      <c r="C12" s="10">
        <v>19025</v>
      </c>
      <c r="D12" s="11">
        <v>30</v>
      </c>
      <c r="E12" s="11">
        <v>63.89</v>
      </c>
      <c r="F12" s="21">
        <v>364652</v>
      </c>
      <c r="G12" s="14"/>
    </row>
    <row r="13" s="1" customFormat="1" ht="33" customHeight="1" spans="1:7">
      <c r="A13" s="9">
        <v>9</v>
      </c>
      <c r="B13" s="10" t="s">
        <v>34</v>
      </c>
      <c r="C13" s="10">
        <v>3830</v>
      </c>
      <c r="D13" s="11">
        <v>30</v>
      </c>
      <c r="E13" s="11">
        <v>82.32</v>
      </c>
      <c r="F13" s="21">
        <v>94586</v>
      </c>
      <c r="G13" s="14"/>
    </row>
    <row r="14" s="1" customFormat="1" ht="33" customHeight="1" spans="1:7">
      <c r="A14" s="9">
        <v>10</v>
      </c>
      <c r="B14" s="10" t="s">
        <v>36</v>
      </c>
      <c r="C14" s="10">
        <v>8317</v>
      </c>
      <c r="D14" s="11">
        <v>30</v>
      </c>
      <c r="E14" s="11">
        <v>61.34</v>
      </c>
      <c r="F14" s="21">
        <v>153049</v>
      </c>
      <c r="G14" s="14"/>
    </row>
    <row r="15" s="1" customFormat="1" ht="33" customHeight="1" spans="1:7">
      <c r="A15" s="9">
        <v>11</v>
      </c>
      <c r="B15" s="10" t="s">
        <v>38</v>
      </c>
      <c r="C15" s="10">
        <v>8537</v>
      </c>
      <c r="D15" s="11">
        <v>30</v>
      </c>
      <c r="E15" s="7">
        <v>71.8</v>
      </c>
      <c r="F15" s="21">
        <v>183887</v>
      </c>
      <c r="G15" s="14"/>
    </row>
    <row r="16" s="1" customFormat="1" ht="33" customHeight="1" spans="1:7">
      <c r="A16" s="9">
        <v>12</v>
      </c>
      <c r="B16" s="10" t="s">
        <v>40</v>
      </c>
      <c r="C16" s="10">
        <v>11415</v>
      </c>
      <c r="D16" s="11">
        <v>30</v>
      </c>
      <c r="E16" s="11">
        <v>61.58</v>
      </c>
      <c r="F16" s="21">
        <v>210881</v>
      </c>
      <c r="G16" s="14"/>
    </row>
    <row r="17" s="1" customFormat="1" ht="33" customHeight="1" spans="1:7">
      <c r="A17" s="9">
        <v>13</v>
      </c>
      <c r="B17" s="10" t="s">
        <v>42</v>
      </c>
      <c r="C17" s="10">
        <v>11281</v>
      </c>
      <c r="D17" s="11">
        <v>30</v>
      </c>
      <c r="E17" s="11">
        <v>71.76</v>
      </c>
      <c r="F17" s="21">
        <v>242857</v>
      </c>
      <c r="G17" s="14"/>
    </row>
    <row r="18" s="1" customFormat="1" ht="33" customHeight="1" spans="1:7">
      <c r="A18" s="9">
        <v>14</v>
      </c>
      <c r="B18" s="15" t="s">
        <v>44</v>
      </c>
      <c r="C18" s="15">
        <v>1287</v>
      </c>
      <c r="D18" s="11">
        <v>30</v>
      </c>
      <c r="E18" s="11">
        <v>77.72</v>
      </c>
      <c r="F18" s="21">
        <v>30008</v>
      </c>
      <c r="G18" s="14"/>
    </row>
    <row r="19" s="1" customFormat="1" ht="33" customHeight="1" spans="1:7">
      <c r="A19" s="9">
        <v>15</v>
      </c>
      <c r="B19" s="10" t="s">
        <v>46</v>
      </c>
      <c r="C19" s="10">
        <v>1140</v>
      </c>
      <c r="D19" s="11">
        <v>30</v>
      </c>
      <c r="E19" s="11">
        <v>74.07</v>
      </c>
      <c r="F19" s="21">
        <v>25332</v>
      </c>
      <c r="G19" s="14"/>
    </row>
    <row r="20" s="1" customFormat="1" ht="33" customHeight="1" spans="1:7">
      <c r="A20" s="16" t="s">
        <v>75</v>
      </c>
      <c r="B20" s="17"/>
      <c r="C20" s="19">
        <f>SUM(C5:C19)</f>
        <v>137610</v>
      </c>
      <c r="D20" s="11"/>
      <c r="E20" s="11"/>
      <c r="F20" s="10">
        <f>SUM(F5:F19)</f>
        <v>2766252</v>
      </c>
      <c r="G20" s="14"/>
    </row>
    <row r="21" ht="7" customHeight="1" spans="1:7">
      <c r="A21" s="24"/>
      <c r="B21" s="24"/>
      <c r="C21" s="24"/>
      <c r="D21" s="24"/>
      <c r="E21" s="24"/>
      <c r="F21" s="24"/>
      <c r="G21" s="24"/>
    </row>
    <row r="22" spans="1:7">
      <c r="A22" s="26" t="s">
        <v>215</v>
      </c>
      <c r="B22" s="24"/>
      <c r="C22" s="24"/>
      <c r="D22" s="24"/>
      <c r="E22" s="24"/>
      <c r="F22" s="24"/>
      <c r="G22" s="24"/>
    </row>
  </sheetData>
  <mergeCells count="2">
    <mergeCell ref="A2:G2"/>
    <mergeCell ref="A20:B20"/>
  </mergeCells>
  <pageMargins left="0.707638888888889" right="0.55" top="0.707638888888889" bottom="0.786805555555556" header="0.511805555555556" footer="0.511805555555556"/>
  <pageSetup paperSize="9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opLeftCell="A7" workbookViewId="0">
      <selection activeCell="G3" sqref="G3"/>
    </sheetView>
  </sheetViews>
  <sheetFormatPr defaultColWidth="9" defaultRowHeight="14.25" outlineLevelCol="6"/>
  <cols>
    <col min="1" max="1" width="8.35" customWidth="1"/>
    <col min="2" max="2" width="23.525" customWidth="1"/>
    <col min="3" max="3" width="11.5" customWidth="1"/>
    <col min="4" max="4" width="9.375" customWidth="1"/>
    <col min="5" max="5" width="8.225" customWidth="1"/>
    <col min="6" max="6" width="10.7083333333333" customWidth="1"/>
    <col min="7" max="7" width="10.9333333333333" customWidth="1"/>
  </cols>
  <sheetData>
    <row r="1" ht="33" customHeight="1" spans="1:5">
      <c r="A1" s="2" t="s">
        <v>216</v>
      </c>
      <c r="B1" s="3"/>
      <c r="C1" s="3"/>
      <c r="D1" s="3"/>
      <c r="E1" s="3"/>
    </row>
    <row r="2" ht="27" customHeight="1" spans="1:7">
      <c r="A2" s="4" t="s">
        <v>217</v>
      </c>
      <c r="B2" s="4"/>
      <c r="C2" s="4"/>
      <c r="D2" s="4"/>
      <c r="E2" s="4"/>
      <c r="F2" s="4"/>
      <c r="G2" s="4"/>
    </row>
    <row r="3" ht="21" customHeight="1" spans="7:7">
      <c r="G3" s="5" t="s">
        <v>53</v>
      </c>
    </row>
    <row r="4" ht="53" customHeight="1" spans="1:7">
      <c r="A4" s="6" t="s">
        <v>3</v>
      </c>
      <c r="B4" s="7" t="s">
        <v>54</v>
      </c>
      <c r="C4" s="7" t="s">
        <v>204</v>
      </c>
      <c r="D4" s="8" t="s">
        <v>205</v>
      </c>
      <c r="E4" s="8" t="s">
        <v>214</v>
      </c>
      <c r="F4" s="8" t="s">
        <v>210</v>
      </c>
      <c r="G4" s="8" t="s">
        <v>9</v>
      </c>
    </row>
    <row r="5" s="1" customFormat="1" ht="35" customHeight="1" spans="1:7">
      <c r="A5" s="9">
        <v>1</v>
      </c>
      <c r="B5" s="10" t="s">
        <v>18</v>
      </c>
      <c r="C5" s="11">
        <v>79217</v>
      </c>
      <c r="D5" s="11">
        <v>0.3912116</v>
      </c>
      <c r="E5" s="12">
        <v>96.76</v>
      </c>
      <c r="F5" s="13">
        <f>C5*D5*E5/100</f>
        <v>29986.5135753227</v>
      </c>
      <c r="G5" s="14"/>
    </row>
    <row r="6" s="1" customFormat="1" ht="35" customHeight="1" spans="1:7">
      <c r="A6" s="9">
        <v>2</v>
      </c>
      <c r="B6" s="10" t="s">
        <v>20</v>
      </c>
      <c r="C6" s="11">
        <v>14698</v>
      </c>
      <c r="D6" s="11">
        <v>0.3912116</v>
      </c>
      <c r="E6" s="11">
        <v>92</v>
      </c>
      <c r="F6" s="13">
        <f t="shared" ref="F6:F19" si="0">C6*D6*E6/100</f>
        <v>5290.025849056</v>
      </c>
      <c r="G6" s="14"/>
    </row>
    <row r="7" s="1" customFormat="1" ht="35" customHeight="1" spans="1:7">
      <c r="A7" s="9">
        <v>3</v>
      </c>
      <c r="B7" s="10" t="s">
        <v>22</v>
      </c>
      <c r="C7" s="11">
        <v>6731</v>
      </c>
      <c r="D7" s="11">
        <v>0.3912116</v>
      </c>
      <c r="E7" s="11">
        <v>89.85</v>
      </c>
      <c r="F7" s="13">
        <f t="shared" si="0"/>
        <v>2365.9708837206</v>
      </c>
      <c r="G7" s="14"/>
    </row>
    <row r="8" s="1" customFormat="1" ht="35" customHeight="1" spans="1:7">
      <c r="A8" s="9">
        <v>4</v>
      </c>
      <c r="B8" s="10" t="s">
        <v>24</v>
      </c>
      <c r="C8" s="11">
        <v>31048</v>
      </c>
      <c r="D8" s="11">
        <v>0.3912116</v>
      </c>
      <c r="E8" s="11">
        <v>95.77</v>
      </c>
      <c r="F8" s="13">
        <f t="shared" si="0"/>
        <v>11632.5476696874</v>
      </c>
      <c r="G8" s="14"/>
    </row>
    <row r="9" s="1" customFormat="1" ht="35" customHeight="1" spans="1:7">
      <c r="A9" s="9">
        <v>5</v>
      </c>
      <c r="B9" s="10" t="s">
        <v>26</v>
      </c>
      <c r="C9" s="11">
        <v>20500</v>
      </c>
      <c r="D9" s="11">
        <v>0.3912116</v>
      </c>
      <c r="E9" s="11">
        <v>95.17</v>
      </c>
      <c r="F9" s="13">
        <f t="shared" si="0"/>
        <v>7632.47963426</v>
      </c>
      <c r="G9" s="14"/>
    </row>
    <row r="10" s="1" customFormat="1" ht="35" customHeight="1" spans="1:7">
      <c r="A10" s="9">
        <v>6</v>
      </c>
      <c r="B10" s="10" t="s">
        <v>28</v>
      </c>
      <c r="C10" s="11">
        <v>14937</v>
      </c>
      <c r="D10" s="11">
        <v>0.3912116</v>
      </c>
      <c r="E10" s="11">
        <v>94.36</v>
      </c>
      <c r="F10" s="13">
        <f t="shared" si="0"/>
        <v>5513.95270865712</v>
      </c>
      <c r="G10" s="14"/>
    </row>
    <row r="11" s="1" customFormat="1" ht="35" customHeight="1" spans="1:7">
      <c r="A11" s="9">
        <v>7</v>
      </c>
      <c r="B11" s="10" t="s">
        <v>30</v>
      </c>
      <c r="C11" s="11">
        <v>27471</v>
      </c>
      <c r="D11" s="11">
        <v>0.3912116</v>
      </c>
      <c r="E11" s="11">
        <v>95.77</v>
      </c>
      <c r="F11" s="13">
        <f t="shared" si="0"/>
        <v>10292.3768691697</v>
      </c>
      <c r="G11" s="14"/>
    </row>
    <row r="12" s="1" customFormat="1" ht="35" customHeight="1" spans="1:7">
      <c r="A12" s="9">
        <v>8</v>
      </c>
      <c r="B12" s="10" t="s">
        <v>32</v>
      </c>
      <c r="C12" s="11">
        <v>43131</v>
      </c>
      <c r="D12" s="11">
        <v>0.3912116</v>
      </c>
      <c r="E12" s="11">
        <v>96.25</v>
      </c>
      <c r="F12" s="13">
        <f t="shared" si="0"/>
        <v>16240.596987615</v>
      </c>
      <c r="G12" s="14"/>
    </row>
    <row r="13" s="1" customFormat="1" ht="35" customHeight="1" spans="1:7">
      <c r="A13" s="9">
        <v>9</v>
      </c>
      <c r="B13" s="10" t="s">
        <v>34</v>
      </c>
      <c r="C13" s="11">
        <v>8000</v>
      </c>
      <c r="D13" s="11">
        <v>0.3912116</v>
      </c>
      <c r="E13" s="11">
        <v>91.11</v>
      </c>
      <c r="F13" s="13">
        <f t="shared" si="0"/>
        <v>2851.46311008</v>
      </c>
      <c r="G13" s="14"/>
    </row>
    <row r="14" s="1" customFormat="1" ht="35" customHeight="1" spans="1:7">
      <c r="A14" s="9">
        <v>10</v>
      </c>
      <c r="B14" s="10" t="s">
        <v>36</v>
      </c>
      <c r="C14" s="11">
        <v>27775</v>
      </c>
      <c r="D14" s="11">
        <v>0.3912116</v>
      </c>
      <c r="E14" s="11">
        <v>94.85</v>
      </c>
      <c r="F14" s="13">
        <f t="shared" si="0"/>
        <v>10306.308227215</v>
      </c>
      <c r="G14" s="14"/>
    </row>
    <row r="15" s="1" customFormat="1" ht="35" customHeight="1" spans="1:7">
      <c r="A15" s="9">
        <v>11</v>
      </c>
      <c r="B15" s="10" t="s">
        <v>38</v>
      </c>
      <c r="C15" s="11">
        <v>40893</v>
      </c>
      <c r="D15" s="11">
        <v>0.3912116</v>
      </c>
      <c r="E15" s="11">
        <v>96.01</v>
      </c>
      <c r="F15" s="13">
        <f t="shared" si="0"/>
        <v>15359.5031020439</v>
      </c>
      <c r="G15" s="14"/>
    </row>
    <row r="16" s="1" customFormat="1" ht="35" customHeight="1" spans="1:7">
      <c r="A16" s="9">
        <v>12</v>
      </c>
      <c r="B16" s="10" t="s">
        <v>40</v>
      </c>
      <c r="C16" s="11">
        <v>31887</v>
      </c>
      <c r="D16" s="11">
        <v>0.3912116</v>
      </c>
      <c r="E16" s="11">
        <v>96.51</v>
      </c>
      <c r="F16" s="13">
        <f t="shared" si="0"/>
        <v>12039.2019955069</v>
      </c>
      <c r="G16" s="14"/>
    </row>
    <row r="17" s="1" customFormat="1" ht="35" customHeight="1" spans="1:7">
      <c r="A17" s="9">
        <v>13</v>
      </c>
      <c r="B17" s="10" t="s">
        <v>42</v>
      </c>
      <c r="C17" s="11">
        <v>30796</v>
      </c>
      <c r="D17" s="11">
        <v>0.3912116</v>
      </c>
      <c r="E17" s="11">
        <v>95.04</v>
      </c>
      <c r="F17" s="13">
        <f t="shared" si="0"/>
        <v>11450.1839128934</v>
      </c>
      <c r="G17" s="14"/>
    </row>
    <row r="18" s="1" customFormat="1" ht="35" customHeight="1" spans="1:7">
      <c r="A18" s="9">
        <v>14</v>
      </c>
      <c r="B18" s="15" t="s">
        <v>44</v>
      </c>
      <c r="C18" s="11">
        <v>4666</v>
      </c>
      <c r="D18" s="11">
        <v>0.3912116</v>
      </c>
      <c r="E18" s="11">
        <v>91.19</v>
      </c>
      <c r="F18" s="13">
        <f t="shared" si="0"/>
        <v>1664.57617361464</v>
      </c>
      <c r="G18" s="14"/>
    </row>
    <row r="19" s="1" customFormat="1" ht="35" customHeight="1" spans="1:7">
      <c r="A19" s="9">
        <v>15</v>
      </c>
      <c r="B19" s="10" t="s">
        <v>46</v>
      </c>
      <c r="C19" s="11">
        <v>4250</v>
      </c>
      <c r="D19" s="11">
        <v>0.3912116</v>
      </c>
      <c r="E19" s="11">
        <v>88.07</v>
      </c>
      <c r="F19" s="13">
        <f t="shared" si="0"/>
        <v>1464.29523851</v>
      </c>
      <c r="G19" s="14"/>
    </row>
    <row r="20" s="1" customFormat="1" ht="35" customHeight="1" spans="1:7">
      <c r="A20" s="16" t="s">
        <v>75</v>
      </c>
      <c r="B20" s="17"/>
      <c r="C20" s="18">
        <f>SUM(C5:C19)</f>
        <v>386000</v>
      </c>
      <c r="D20" s="19"/>
      <c r="E20" s="20"/>
      <c r="F20" s="21">
        <f>SUM(F5:F19)</f>
        <v>144089.995937352</v>
      </c>
      <c r="G20" s="14"/>
    </row>
    <row r="21" spans="5:6">
      <c r="E21" s="22"/>
      <c r="F21" s="23"/>
    </row>
    <row r="22" spans="5:6">
      <c r="E22" s="22"/>
      <c r="F22" s="22"/>
    </row>
  </sheetData>
  <mergeCells count="2">
    <mergeCell ref="A2:G2"/>
    <mergeCell ref="A20:B20"/>
  </mergeCells>
  <pageMargins left="0.707638888888889" right="0.590277777777778" top="0.826388888888889" bottom="0.668055555555556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附件1</vt:lpstr>
      <vt:lpstr>附件2</vt:lpstr>
      <vt:lpstr>附件2-1</vt:lpstr>
      <vt:lpstr>附件2-1-1</vt:lpstr>
      <vt:lpstr>附件2-1-2 </vt:lpstr>
      <vt:lpstr>附件2-1-3</vt:lpstr>
      <vt:lpstr>附件2-1-4</vt:lpstr>
      <vt:lpstr>附件2-1-5</vt:lpstr>
      <vt:lpstr>附件2-1-6</vt:lpstr>
      <vt:lpstr>附件2-1-7</vt:lpstr>
      <vt:lpstr>附件2-1-8</vt:lpstr>
      <vt:lpstr>附件2-1-9</vt:lpstr>
      <vt:lpstr>附件2-1-10</vt:lpstr>
      <vt:lpstr>附件2-1-11</vt:lpstr>
      <vt:lpstr>附件2-1-12</vt:lpstr>
      <vt:lpstr>附件2-1-13</vt:lpstr>
      <vt:lpstr>附件2-2</vt:lpstr>
      <vt:lpstr>附件2-3</vt:lpstr>
      <vt:lpstr>附件2-4</vt:lpstr>
      <vt:lpstr>附件2-5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过路财神</cp:lastModifiedBy>
  <dcterms:created xsi:type="dcterms:W3CDTF">2019-02-28T01:53:00Z</dcterms:created>
  <dcterms:modified xsi:type="dcterms:W3CDTF">2022-04-25T07:25:18Z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7EEDEB5FA5074124BCD5DC12800D498A</vt:lpwstr>
  </property>
</Properties>
</file>