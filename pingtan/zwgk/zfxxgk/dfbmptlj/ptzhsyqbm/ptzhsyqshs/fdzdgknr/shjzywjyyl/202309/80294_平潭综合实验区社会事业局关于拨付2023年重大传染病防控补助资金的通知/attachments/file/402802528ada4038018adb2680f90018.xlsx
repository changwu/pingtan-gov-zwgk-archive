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附件" sheetId="1" r:id="rId1"/>
    <sheet name="附表" sheetId="2" r:id="rId2"/>
  </sheets>
  <definedNames>
    <definedName name="_xlnm.Print_Titles" localSheetId="0">附件!$1:$5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预下达母婴阻断23  实际已预拨24  财政系统不好收回  再根据以前年度实际结算数  不改预拨数  直接从咨询检测干预调整1万到母婴阻断</t>
        </r>
      </text>
    </comment>
  </commentList>
</comments>
</file>

<file path=xl/sharedStrings.xml><?xml version="1.0" encoding="utf-8"?>
<sst xmlns="http://schemas.openxmlformats.org/spreadsheetml/2006/main" count="83" uniqueCount="69">
  <si>
    <t>附件</t>
  </si>
  <si>
    <t>2023年重大传染病防控项目补助资金拨付表</t>
  </si>
  <si>
    <t>单位：万元</t>
  </si>
  <si>
    <t>序号</t>
  </si>
  <si>
    <t>项目</t>
  </si>
  <si>
    <t>工作任务</t>
  </si>
  <si>
    <t>已预拨金额</t>
  </si>
  <si>
    <t>本次分配金额</t>
  </si>
  <si>
    <t>金额
合计</t>
  </si>
  <si>
    <t>备注</t>
  </si>
  <si>
    <t>区医院</t>
  </si>
  <si>
    <t>区中医院</t>
  </si>
  <si>
    <t>区妇幼保健院</t>
  </si>
  <si>
    <t>区皮防院</t>
  </si>
  <si>
    <t>区疾控中心</t>
  </si>
  <si>
    <t>海坛街道社区卫生服务中心</t>
  </si>
  <si>
    <t>北厝卫生院</t>
  </si>
  <si>
    <t>小计</t>
  </si>
  <si>
    <t>扩大免疫规划</t>
  </si>
  <si>
    <r>
      <rPr>
        <sz val="8"/>
        <color theme="1"/>
        <rFont val="宋体"/>
        <charset val="134"/>
      </rPr>
      <t>疫苗接种：常规免疫接</t>
    </r>
    <r>
      <rPr>
        <sz val="8"/>
        <rFont val="宋体"/>
        <charset val="134"/>
      </rPr>
      <t>种10万剂，注</t>
    </r>
    <r>
      <rPr>
        <sz val="8"/>
        <color theme="1"/>
        <rFont val="宋体"/>
        <charset val="134"/>
      </rPr>
      <t>射器10万支；
监测工作：脊灰监测1人，麻疹监测2人，AEFI监测3人，乙肝监测及病历复核995人，疫苗可预防细菌性疾病、乙脑、人群抗体水平监测等8人，疫苗供需和使用情况监测13万剂。</t>
    </r>
  </si>
  <si>
    <t>艾滋病、性病、丙肝防治</t>
  </si>
  <si>
    <t>咨询检测干预等</t>
  </si>
  <si>
    <r>
      <rPr>
        <sz val="8"/>
        <color theme="1"/>
        <rFont val="宋体"/>
        <charset val="134"/>
      </rPr>
      <t>丙肝监测哨点数量：1个；
监管场所监测：监测人数999人；</t>
    </r>
    <r>
      <rPr>
        <sz val="8"/>
        <color rgb="FFFF0000"/>
        <rFont val="宋体"/>
        <charset val="134"/>
      </rPr>
      <t xml:space="preserve">
</t>
    </r>
    <r>
      <rPr>
        <sz val="8"/>
        <color theme="1"/>
        <rFont val="宋体"/>
        <charset val="134"/>
      </rPr>
      <t>咨询检测：筛查检测人数600人，公安临时抓获卖淫嫖娼人数10人；
艾滋病检测实验室质控数量：3个；
重点人群宣传教育干预覆盖县区数量：1个；
暗娼和MSM干预：干预人数300人；
性病综合防治：性门诊干预就诊人数850人；
随访管理与抗病毒治疗：随访并治疗感染者人数193人；
首次随访感染者人数6人；
治疗病人人数195人；
消除丙肝危害：转介、随访和治疗管理的新报告丙肝病例人数10人。</t>
    </r>
  </si>
  <si>
    <t>母婴阻断等</t>
  </si>
  <si>
    <t>孕产妇艾滋病、梅毒、乙肝检测：孕产妇咨询及检测人数2020人。
预防母婴传播：艾滋病感染孕产妇数1例，梅毒感染孕产妇数12例、乙肝表面抗原阳性孕产妇数214例。</t>
  </si>
  <si>
    <t>结核病防治</t>
  </si>
  <si>
    <t>患者治疗及随访管理110例，可疑者检查352例，病原学阳性肺结核患者密切接触者检查165例，耐药可疑者筛查55例，监测与干预市县1个。</t>
  </si>
  <si>
    <t>血吸虫病防治</t>
  </si>
  <si>
    <t>钉螺监测40000㎡；
传染源监测200例。</t>
  </si>
  <si>
    <t>精神疾病防治</t>
  </si>
  <si>
    <t>病例筛查与诊断176例；经济困难患者治疗36例；2-5级危险行为病人应急处置和专科医生对社区医生随访技术指导22例；病人家属护理教育764例；项目管理技术指导7例；项目质控、数据处理及评估表格印刷718例；心理援助热线和科普宣传1个。</t>
  </si>
  <si>
    <t>慢性非传染性疾病防治</t>
  </si>
  <si>
    <t>慢性病防控</t>
  </si>
  <si>
    <t>健康社区、单位、食堂等建设1个。</t>
  </si>
  <si>
    <t>心血管病
筛查干预
（附表）</t>
  </si>
  <si>
    <t>初筛调查1000人，高危调查干预250人，短期随访250人，长期随访1205人。</t>
  </si>
  <si>
    <t>肿瘤随访登记</t>
  </si>
  <si>
    <t>肿瘤随访登记3397例。</t>
  </si>
  <si>
    <t>重点传染病和健康危害因素监测</t>
  </si>
  <si>
    <t>新冠监测与防控</t>
  </si>
  <si>
    <t>扩大哨点医院监测：网络实验室数量1个，哨点医院数量1个，ILI报告采样运输点1个，流感/新冠检测点1个；
本土变异株监测：标本采样检测运输点1个。</t>
  </si>
  <si>
    <t>流感监测</t>
  </si>
  <si>
    <t>暴发疫情监测点1个</t>
  </si>
  <si>
    <t>手足口病防治</t>
  </si>
  <si>
    <t>病原学监测核酸监测一个月不少于5份；
流行病学调查：死亡和重症，重症不少于5例。</t>
  </si>
  <si>
    <t>疟疾监测</t>
  </si>
  <si>
    <t>开展发热病人血检、疫情监测、病例调查、疫点处置和应急药品储备等。</t>
  </si>
  <si>
    <t>人禽流感和SARA防控</t>
  </si>
  <si>
    <t>风险排查评估及事件调查点1个，血清学和病原学监测点1个。</t>
  </si>
  <si>
    <t>鼠疫监测</t>
  </si>
  <si>
    <t>按监测方案完成。</t>
  </si>
  <si>
    <t>病毒性传染病病原学监测</t>
  </si>
  <si>
    <t>呼吸道监测点：县级网络实验室监测点1个；
病毒性腹泻监测：暴发疫情流调1个，病原学检测1个。</t>
  </si>
  <si>
    <t>麻风病监测</t>
  </si>
  <si>
    <t>症状监测管理40例，接触者管理20例，疫点调查1个，治愈存活者监测115例，新病例诊断1例，现症病例监测3例，麻风反应监测1例，神经炎监测1例，质量控制1例。</t>
  </si>
  <si>
    <t>健康危害因素监测</t>
  </si>
  <si>
    <t>城区水质监测21个点，乡镇水质监测62个点；
全国学生常见病和健康影响因素监测及综合干预任务数：1个。</t>
  </si>
  <si>
    <t>绩效奖惩</t>
  </si>
  <si>
    <t>合  计</t>
  </si>
  <si>
    <t>备注：按2021年度重大传染病防控项目资金支出率扣减0.5万元，从疾控中心款项中扣除。</t>
  </si>
  <si>
    <t>附表</t>
  </si>
  <si>
    <t>2023年平潭心血管病筛查干预项目经费拨付表</t>
  </si>
  <si>
    <t>单位名称</t>
  </si>
  <si>
    <t>资金用途及明细</t>
  </si>
  <si>
    <t>已预拨
金额</t>
  </si>
  <si>
    <t>本次拨
付金额</t>
  </si>
  <si>
    <t>1.高危调查250人，任务达标，合计92870元；
2.长期随访1205人，任务达标，合计344630元。</t>
  </si>
  <si>
    <t>2023年预计完成初筛400人，完成短期随访35人，按照人均50元的标准，共需补助21750元。</t>
  </si>
  <si>
    <t>2023年预计完成初筛600人，完成短期随访215人，按照人均50元的标准，共需补助40750元。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</si>
</sst>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.000_ "/>
    <numFmt numFmtId="178" formatCode="#,##0_ "/>
    <numFmt numFmtId="179" formatCode="0.00_ "/>
  </numFmts>
  <fonts count="43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4"/>
      <name val="黑体"/>
      <charset val="134"/>
    </font>
    <font>
      <sz val="20"/>
      <name val="方正小标宋简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4"/>
      <name val="方正小标宋简体"/>
      <charset val="134"/>
    </font>
    <font>
      <sz val="9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4"/>
      <color rgb="FFFF0000"/>
      <name val="宋体"/>
      <charset val="134"/>
    </font>
    <font>
      <sz val="8"/>
      <name val="宋体"/>
      <charset val="134"/>
    </font>
    <font>
      <sz val="8"/>
      <color theme="1"/>
      <name val="宋体"/>
      <charset val="134"/>
    </font>
    <font>
      <b/>
      <sz val="8"/>
      <name val="宋体"/>
      <charset val="134"/>
    </font>
    <font>
      <b/>
      <sz val="10"/>
      <name val="宋体"/>
      <charset val="134"/>
    </font>
    <font>
      <sz val="14"/>
      <color rgb="FFFF0000"/>
      <name val="方正小标宋简体"/>
      <charset val="134"/>
    </font>
    <font>
      <sz val="9"/>
      <color rgb="FFFF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8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3" fillId="11" borderId="13" applyNumberFormat="0" applyAlignment="0" applyProtection="0">
      <alignment vertical="center"/>
    </xf>
    <xf numFmtId="0" fontId="34" fillId="12" borderId="18" applyNumberForma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39" fillId="0" borderId="0"/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179" fontId="4" fillId="0" borderId="0" xfId="0" applyNumberFormat="1" applyFont="1" applyFill="1" applyAlignment="1">
      <alignment horizontal="left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31" fontId="13" fillId="0" borderId="0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31" fontId="15" fillId="0" borderId="0" xfId="0" applyNumberFormat="1" applyFont="1" applyFill="1" applyAlignment="1">
      <alignment horizontal="left" vertical="center" wrapText="1"/>
    </xf>
    <xf numFmtId="31" fontId="13" fillId="0" borderId="0" xfId="0" applyNumberFormat="1" applyFont="1" applyFill="1" applyAlignment="1">
      <alignment horizontal="left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32"/>
  <sheetViews>
    <sheetView tabSelected="1" zoomScale="115" zoomScaleNormal="115" workbookViewId="0">
      <pane ySplit="5" topLeftCell="A6" activePane="bottomLeft" state="frozen"/>
      <selection/>
      <selection pane="bottomLeft" activeCell="A1" sqref="A1:B1"/>
    </sheetView>
  </sheetViews>
  <sheetFormatPr defaultColWidth="9" defaultRowHeight="18.75"/>
  <cols>
    <col min="1" max="1" width="3.58333333333333" style="28" customWidth="1"/>
    <col min="2" max="3" width="7.825" style="28" customWidth="1"/>
    <col min="4" max="4" width="43.75" style="28" customWidth="1"/>
    <col min="5" max="8" width="4.125" style="28" customWidth="1"/>
    <col min="9" max="9" width="4.125" style="29" customWidth="1"/>
    <col min="10" max="10" width="6.125" style="30" customWidth="1"/>
    <col min="11" max="12" width="4.125" style="30" customWidth="1"/>
    <col min="13" max="14" width="5.625" style="30" customWidth="1"/>
    <col min="15" max="15" width="4.125" style="30" customWidth="1"/>
    <col min="16" max="17" width="6.125" style="30" customWidth="1"/>
    <col min="18" max="18" width="5.125" style="30" customWidth="1"/>
    <col min="19" max="20" width="4.625" style="30" customWidth="1"/>
    <col min="21" max="21" width="8.80833333333333" style="30" customWidth="1"/>
    <col min="22" max="22" width="9" style="31" hidden="1" customWidth="1"/>
    <col min="23" max="16384" width="9" style="28"/>
  </cols>
  <sheetData>
    <row r="1" ht="18" customHeight="1" spans="1:2">
      <c r="A1" s="32" t="s">
        <v>0</v>
      </c>
      <c r="B1" s="32"/>
    </row>
    <row r="2" s="26" customFormat="1" ht="22" customHeight="1" spans="1:2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10"/>
      <c r="S2" s="10"/>
      <c r="T2" s="10"/>
      <c r="U2" s="10"/>
      <c r="V2" s="54"/>
    </row>
    <row r="3" s="27" customFormat="1" ht="13" customHeight="1" spans="1:22">
      <c r="A3" s="33"/>
      <c r="B3" s="33"/>
      <c r="C3" s="33"/>
      <c r="D3" s="34"/>
      <c r="E3" s="35"/>
      <c r="F3" s="35"/>
      <c r="G3" s="35"/>
      <c r="H3" s="35"/>
      <c r="I3" s="50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5" t="s">
        <v>2</v>
      </c>
      <c r="V3" s="56"/>
    </row>
    <row r="4" s="16" customFormat="1" ht="20" customHeight="1" spans="1:22">
      <c r="A4" s="36" t="s">
        <v>3</v>
      </c>
      <c r="B4" s="37" t="s">
        <v>4</v>
      </c>
      <c r="C4" s="38"/>
      <c r="D4" s="38" t="s">
        <v>5</v>
      </c>
      <c r="E4" s="37" t="s">
        <v>6</v>
      </c>
      <c r="F4" s="39"/>
      <c r="G4" s="39"/>
      <c r="H4" s="39"/>
      <c r="I4" s="39"/>
      <c r="J4" s="39"/>
      <c r="K4" s="39"/>
      <c r="L4" s="39"/>
      <c r="M4" s="37" t="s">
        <v>7</v>
      </c>
      <c r="N4" s="39"/>
      <c r="O4" s="39"/>
      <c r="P4" s="39"/>
      <c r="Q4" s="39"/>
      <c r="R4" s="39"/>
      <c r="S4" s="39"/>
      <c r="T4" s="36" t="s">
        <v>8</v>
      </c>
      <c r="U4" s="36" t="s">
        <v>9</v>
      </c>
      <c r="V4" s="57"/>
    </row>
    <row r="5" s="16" customFormat="1" ht="45" customHeight="1" spans="1:22">
      <c r="A5" s="40"/>
      <c r="B5" s="41"/>
      <c r="C5" s="42"/>
      <c r="D5" s="43"/>
      <c r="E5" s="44" t="s">
        <v>10</v>
      </c>
      <c r="F5" s="44" t="s">
        <v>11</v>
      </c>
      <c r="G5" s="44" t="s">
        <v>12</v>
      </c>
      <c r="H5" s="44" t="s">
        <v>13</v>
      </c>
      <c r="I5" s="44" t="s">
        <v>14</v>
      </c>
      <c r="J5" s="44" t="s">
        <v>15</v>
      </c>
      <c r="K5" s="44" t="s">
        <v>16</v>
      </c>
      <c r="L5" s="36" t="s">
        <v>17</v>
      </c>
      <c r="M5" s="36" t="s">
        <v>10</v>
      </c>
      <c r="N5" s="36" t="s">
        <v>11</v>
      </c>
      <c r="O5" s="36" t="s">
        <v>12</v>
      </c>
      <c r="P5" s="36" t="s">
        <v>14</v>
      </c>
      <c r="Q5" s="36" t="s">
        <v>15</v>
      </c>
      <c r="R5" s="36" t="s">
        <v>16</v>
      </c>
      <c r="S5" s="37" t="s">
        <v>17</v>
      </c>
      <c r="T5" s="40"/>
      <c r="U5" s="40"/>
      <c r="V5" s="57"/>
    </row>
    <row r="6" s="16" customFormat="1" ht="48" customHeight="1" spans="1:22">
      <c r="A6" s="44">
        <v>1</v>
      </c>
      <c r="B6" s="44" t="s">
        <v>18</v>
      </c>
      <c r="C6" s="44"/>
      <c r="D6" s="45" t="s">
        <v>19</v>
      </c>
      <c r="E6" s="44"/>
      <c r="F6" s="44"/>
      <c r="G6" s="44"/>
      <c r="H6" s="44"/>
      <c r="I6" s="44">
        <v>8</v>
      </c>
      <c r="J6" s="44"/>
      <c r="K6" s="44"/>
      <c r="L6" s="44">
        <f>SUM(E6:K6)</f>
        <v>8</v>
      </c>
      <c r="M6" s="44"/>
      <c r="N6" s="44">
        <v>15</v>
      </c>
      <c r="O6" s="44"/>
      <c r="P6" s="44">
        <v>40.1</v>
      </c>
      <c r="Q6" s="44"/>
      <c r="R6" s="44"/>
      <c r="S6" s="44">
        <f>SUM(M6:R6)</f>
        <v>55.1</v>
      </c>
      <c r="T6" s="44">
        <f>L6+S6</f>
        <v>63.1</v>
      </c>
      <c r="U6" s="47"/>
      <c r="V6" s="57">
        <v>63.1</v>
      </c>
    </row>
    <row r="7" s="16" customFormat="1" ht="132" customHeight="1" spans="1:22">
      <c r="A7" s="44">
        <v>2</v>
      </c>
      <c r="B7" s="44" t="s">
        <v>20</v>
      </c>
      <c r="C7" s="44" t="s">
        <v>21</v>
      </c>
      <c r="D7" s="45" t="s">
        <v>22</v>
      </c>
      <c r="E7" s="44">
        <v>1</v>
      </c>
      <c r="F7" s="44"/>
      <c r="G7" s="44"/>
      <c r="H7" s="44"/>
      <c r="I7" s="44">
        <v>25</v>
      </c>
      <c r="J7" s="44"/>
      <c r="K7" s="44"/>
      <c r="L7" s="44">
        <f t="shared" ref="L7:L23" si="0">SUM(E7:K7)</f>
        <v>26</v>
      </c>
      <c r="M7" s="44">
        <v>9.29</v>
      </c>
      <c r="N7" s="44">
        <v>5</v>
      </c>
      <c r="O7" s="44">
        <v>0.29</v>
      </c>
      <c r="P7" s="44">
        <v>2.82</v>
      </c>
      <c r="Q7" s="44"/>
      <c r="R7" s="44"/>
      <c r="S7" s="44">
        <f t="shared" ref="S7:S24" si="1">SUM(M7:R7)</f>
        <v>17.4</v>
      </c>
      <c r="T7" s="44">
        <f>L7+S7</f>
        <v>43.4</v>
      </c>
      <c r="U7" s="47"/>
      <c r="V7" s="57">
        <v>44.4</v>
      </c>
    </row>
    <row r="8" s="16" customFormat="1" ht="36" customHeight="1" spans="1:22">
      <c r="A8" s="44"/>
      <c r="B8" s="44"/>
      <c r="C8" s="44" t="s">
        <v>23</v>
      </c>
      <c r="D8" s="46" t="s">
        <v>24</v>
      </c>
      <c r="E8" s="44"/>
      <c r="F8" s="44"/>
      <c r="G8" s="44">
        <v>24</v>
      </c>
      <c r="H8" s="44"/>
      <c r="I8" s="44"/>
      <c r="J8" s="44"/>
      <c r="K8" s="44"/>
      <c r="L8" s="44">
        <f t="shared" si="0"/>
        <v>24</v>
      </c>
      <c r="M8" s="44"/>
      <c r="N8" s="44"/>
      <c r="O8" s="44"/>
      <c r="P8" s="44"/>
      <c r="Q8" s="44"/>
      <c r="R8" s="44"/>
      <c r="S8" s="44">
        <f t="shared" si="1"/>
        <v>0</v>
      </c>
      <c r="T8" s="44">
        <f t="shared" ref="T7:T24" si="2">L8+S8</f>
        <v>24</v>
      </c>
      <c r="U8" s="47"/>
      <c r="V8" s="57">
        <v>23</v>
      </c>
    </row>
    <row r="9" s="16" customFormat="1" ht="32" customHeight="1" spans="1:22">
      <c r="A9" s="44">
        <v>3</v>
      </c>
      <c r="B9" s="44" t="s">
        <v>25</v>
      </c>
      <c r="C9" s="44"/>
      <c r="D9" s="45" t="s">
        <v>26</v>
      </c>
      <c r="E9" s="44">
        <v>2</v>
      </c>
      <c r="F9" s="44"/>
      <c r="G9" s="44"/>
      <c r="H9" s="44"/>
      <c r="I9" s="44">
        <v>3</v>
      </c>
      <c r="J9" s="44"/>
      <c r="K9" s="44"/>
      <c r="L9" s="44">
        <f t="shared" si="0"/>
        <v>5</v>
      </c>
      <c r="M9" s="44">
        <v>2.715</v>
      </c>
      <c r="N9" s="44"/>
      <c r="O9" s="44"/>
      <c r="P9" s="44">
        <v>2.285</v>
      </c>
      <c r="Q9" s="44"/>
      <c r="R9" s="44"/>
      <c r="S9" s="44">
        <f t="shared" si="1"/>
        <v>5</v>
      </c>
      <c r="T9" s="44">
        <f t="shared" si="2"/>
        <v>10</v>
      </c>
      <c r="U9" s="47"/>
      <c r="V9" s="57">
        <v>10</v>
      </c>
    </row>
    <row r="10" s="16" customFormat="1" ht="24" customHeight="1" spans="1:22">
      <c r="A10" s="44">
        <v>4</v>
      </c>
      <c r="B10" s="44" t="s">
        <v>27</v>
      </c>
      <c r="C10" s="44"/>
      <c r="D10" s="45" t="s">
        <v>28</v>
      </c>
      <c r="E10" s="44"/>
      <c r="F10" s="44"/>
      <c r="G10" s="44"/>
      <c r="H10" s="44"/>
      <c r="I10" s="44">
        <v>2</v>
      </c>
      <c r="J10" s="44"/>
      <c r="K10" s="44"/>
      <c r="L10" s="44">
        <f t="shared" si="0"/>
        <v>2</v>
      </c>
      <c r="M10" s="44"/>
      <c r="N10" s="44"/>
      <c r="O10" s="44"/>
      <c r="P10" s="44">
        <v>1</v>
      </c>
      <c r="Q10" s="44"/>
      <c r="R10" s="44"/>
      <c r="S10" s="44">
        <f t="shared" si="1"/>
        <v>1</v>
      </c>
      <c r="T10" s="44">
        <f t="shared" si="2"/>
        <v>3</v>
      </c>
      <c r="U10" s="47"/>
      <c r="V10" s="57">
        <v>3</v>
      </c>
    </row>
    <row r="11" s="16" customFormat="1" ht="52" customHeight="1" spans="1:22">
      <c r="A11" s="44">
        <v>5</v>
      </c>
      <c r="B11" s="44" t="s">
        <v>29</v>
      </c>
      <c r="C11" s="47"/>
      <c r="D11" s="45" t="s">
        <v>30</v>
      </c>
      <c r="E11" s="44">
        <v>1</v>
      </c>
      <c r="F11" s="44"/>
      <c r="G11" s="44"/>
      <c r="H11" s="44"/>
      <c r="I11" s="44">
        <v>7</v>
      </c>
      <c r="J11" s="44"/>
      <c r="K11" s="44"/>
      <c r="L11" s="44">
        <f t="shared" si="0"/>
        <v>8</v>
      </c>
      <c r="M11" s="44"/>
      <c r="N11" s="44"/>
      <c r="O11" s="44"/>
      <c r="P11" s="44">
        <v>10.8</v>
      </c>
      <c r="Q11" s="44"/>
      <c r="R11" s="44"/>
      <c r="S11" s="44">
        <f t="shared" si="1"/>
        <v>10.8</v>
      </c>
      <c r="T11" s="44">
        <f t="shared" si="2"/>
        <v>18.8</v>
      </c>
      <c r="U11" s="47"/>
      <c r="V11" s="57">
        <v>18.8</v>
      </c>
    </row>
    <row r="12" s="16" customFormat="1" ht="24" customHeight="1" spans="1:22">
      <c r="A12" s="44">
        <v>6</v>
      </c>
      <c r="B12" s="44" t="s">
        <v>31</v>
      </c>
      <c r="C12" s="44" t="s">
        <v>32</v>
      </c>
      <c r="D12" s="45" t="s">
        <v>33</v>
      </c>
      <c r="E12" s="44"/>
      <c r="F12" s="44"/>
      <c r="G12" s="44"/>
      <c r="H12" s="44"/>
      <c r="I12" s="44"/>
      <c r="J12" s="44"/>
      <c r="K12" s="44"/>
      <c r="L12" s="44">
        <f t="shared" si="0"/>
        <v>0</v>
      </c>
      <c r="M12" s="44"/>
      <c r="N12" s="52"/>
      <c r="O12" s="44"/>
      <c r="P12" s="44">
        <v>1</v>
      </c>
      <c r="Q12" s="44"/>
      <c r="R12" s="44"/>
      <c r="S12" s="44">
        <f t="shared" si="1"/>
        <v>1</v>
      </c>
      <c r="T12" s="44">
        <f t="shared" si="2"/>
        <v>1</v>
      </c>
      <c r="U12" s="47"/>
      <c r="V12" s="57">
        <v>1</v>
      </c>
    </row>
    <row r="13" s="16" customFormat="1" ht="36" customHeight="1" spans="1:22">
      <c r="A13" s="44"/>
      <c r="B13" s="44"/>
      <c r="C13" s="44" t="s">
        <v>34</v>
      </c>
      <c r="D13" s="45" t="s">
        <v>35</v>
      </c>
      <c r="E13" s="44"/>
      <c r="F13" s="44">
        <v>25</v>
      </c>
      <c r="G13" s="44"/>
      <c r="H13" s="44"/>
      <c r="I13" s="44"/>
      <c r="J13" s="44">
        <v>3</v>
      </c>
      <c r="K13" s="44">
        <v>2</v>
      </c>
      <c r="L13" s="44">
        <f t="shared" si="0"/>
        <v>30</v>
      </c>
      <c r="M13" s="44"/>
      <c r="N13" s="52">
        <v>18.75</v>
      </c>
      <c r="O13" s="44"/>
      <c r="P13" s="44"/>
      <c r="Q13" s="44">
        <v>1.075</v>
      </c>
      <c r="R13" s="44">
        <v>0.175</v>
      </c>
      <c r="S13" s="44">
        <f t="shared" si="1"/>
        <v>20</v>
      </c>
      <c r="T13" s="44">
        <f t="shared" si="2"/>
        <v>50</v>
      </c>
      <c r="U13" s="47"/>
      <c r="V13" s="57">
        <v>50</v>
      </c>
    </row>
    <row r="14" s="16" customFormat="1" ht="27" customHeight="1" spans="1:22">
      <c r="A14" s="44"/>
      <c r="B14" s="44"/>
      <c r="C14" s="44" t="s">
        <v>36</v>
      </c>
      <c r="D14" s="45" t="s">
        <v>37</v>
      </c>
      <c r="E14" s="44"/>
      <c r="F14" s="44"/>
      <c r="G14" s="44"/>
      <c r="H14" s="44"/>
      <c r="I14" s="44">
        <v>5</v>
      </c>
      <c r="J14" s="44"/>
      <c r="K14" s="44"/>
      <c r="L14" s="44">
        <f t="shared" si="0"/>
        <v>5</v>
      </c>
      <c r="M14" s="44"/>
      <c r="N14" s="44"/>
      <c r="O14" s="44"/>
      <c r="P14" s="44">
        <v>-1</v>
      </c>
      <c r="Q14" s="44"/>
      <c r="R14" s="44"/>
      <c r="S14" s="44">
        <f t="shared" si="1"/>
        <v>-1</v>
      </c>
      <c r="T14" s="44">
        <f t="shared" si="2"/>
        <v>4</v>
      </c>
      <c r="U14" s="47"/>
      <c r="V14" s="57">
        <v>4</v>
      </c>
    </row>
    <row r="15" s="16" customFormat="1" ht="36" customHeight="1" spans="1:22">
      <c r="A15" s="44">
        <v>7</v>
      </c>
      <c r="B15" s="44" t="s">
        <v>38</v>
      </c>
      <c r="C15" s="44" t="s">
        <v>39</v>
      </c>
      <c r="D15" s="45" t="s">
        <v>40</v>
      </c>
      <c r="E15" s="44">
        <v>7</v>
      </c>
      <c r="F15" s="44"/>
      <c r="G15" s="44"/>
      <c r="H15" s="44"/>
      <c r="I15" s="44">
        <v>24</v>
      </c>
      <c r="J15" s="44"/>
      <c r="K15" s="44"/>
      <c r="L15" s="44">
        <f t="shared" si="0"/>
        <v>31</v>
      </c>
      <c r="M15" s="44"/>
      <c r="N15" s="44"/>
      <c r="O15" s="44"/>
      <c r="P15" s="44"/>
      <c r="Q15" s="44"/>
      <c r="R15" s="44"/>
      <c r="S15" s="44">
        <f t="shared" si="1"/>
        <v>0</v>
      </c>
      <c r="T15" s="44">
        <f t="shared" si="2"/>
        <v>31</v>
      </c>
      <c r="U15" s="47"/>
      <c r="V15" s="57">
        <v>31</v>
      </c>
    </row>
    <row r="16" s="16" customFormat="1" ht="24" customHeight="1" spans="1:22">
      <c r="A16" s="44"/>
      <c r="B16" s="44"/>
      <c r="C16" s="44" t="s">
        <v>41</v>
      </c>
      <c r="D16" s="45" t="s">
        <v>42</v>
      </c>
      <c r="E16" s="44"/>
      <c r="F16" s="44"/>
      <c r="G16" s="44"/>
      <c r="H16" s="44"/>
      <c r="I16" s="44">
        <v>1</v>
      </c>
      <c r="J16" s="44"/>
      <c r="K16" s="44"/>
      <c r="L16" s="44">
        <f t="shared" si="0"/>
        <v>1</v>
      </c>
      <c r="M16" s="44"/>
      <c r="N16" s="44"/>
      <c r="O16" s="44"/>
      <c r="P16" s="44">
        <v>4</v>
      </c>
      <c r="Q16" s="44"/>
      <c r="R16" s="44"/>
      <c r="S16" s="44">
        <f t="shared" si="1"/>
        <v>4</v>
      </c>
      <c r="T16" s="44">
        <f t="shared" si="2"/>
        <v>5</v>
      </c>
      <c r="U16" s="47"/>
      <c r="V16" s="57">
        <v>5</v>
      </c>
    </row>
    <row r="17" s="16" customFormat="1" ht="24" customHeight="1" spans="1:22">
      <c r="A17" s="44"/>
      <c r="B17" s="44"/>
      <c r="C17" s="44" t="s">
        <v>43</v>
      </c>
      <c r="D17" s="45" t="s">
        <v>44</v>
      </c>
      <c r="E17" s="44"/>
      <c r="F17" s="44"/>
      <c r="G17" s="44"/>
      <c r="H17" s="44"/>
      <c r="I17" s="44">
        <v>5</v>
      </c>
      <c r="J17" s="44"/>
      <c r="K17" s="44"/>
      <c r="L17" s="44">
        <f t="shared" si="0"/>
        <v>5</v>
      </c>
      <c r="M17" s="44"/>
      <c r="N17" s="44"/>
      <c r="O17" s="44"/>
      <c r="P17" s="44"/>
      <c r="Q17" s="44"/>
      <c r="R17" s="44"/>
      <c r="S17" s="44">
        <f t="shared" si="1"/>
        <v>0</v>
      </c>
      <c r="T17" s="44">
        <f t="shared" si="2"/>
        <v>5</v>
      </c>
      <c r="U17" s="47"/>
      <c r="V17" s="57">
        <v>5</v>
      </c>
    </row>
    <row r="18" s="16" customFormat="1" ht="24" customHeight="1" spans="1:22">
      <c r="A18" s="44"/>
      <c r="B18" s="44"/>
      <c r="C18" s="44" t="s">
        <v>45</v>
      </c>
      <c r="D18" s="46" t="s">
        <v>46</v>
      </c>
      <c r="E18" s="44">
        <v>2.5</v>
      </c>
      <c r="F18" s="44"/>
      <c r="G18" s="44"/>
      <c r="H18" s="44"/>
      <c r="I18" s="44">
        <v>2.5</v>
      </c>
      <c r="J18" s="44"/>
      <c r="K18" s="44"/>
      <c r="L18" s="44">
        <f t="shared" si="0"/>
        <v>5</v>
      </c>
      <c r="M18" s="44"/>
      <c r="N18" s="44"/>
      <c r="O18" s="44"/>
      <c r="P18" s="44"/>
      <c r="Q18" s="44"/>
      <c r="R18" s="44"/>
      <c r="S18" s="44">
        <f t="shared" si="1"/>
        <v>0</v>
      </c>
      <c r="T18" s="44">
        <f t="shared" si="2"/>
        <v>5</v>
      </c>
      <c r="U18" s="47"/>
      <c r="V18" s="57">
        <v>5</v>
      </c>
    </row>
    <row r="19" s="16" customFormat="1" ht="24" customHeight="1" spans="1:22">
      <c r="A19" s="44"/>
      <c r="B19" s="44"/>
      <c r="C19" s="44" t="s">
        <v>47</v>
      </c>
      <c r="D19" s="46" t="s">
        <v>48</v>
      </c>
      <c r="E19" s="44"/>
      <c r="F19" s="44"/>
      <c r="G19" s="44"/>
      <c r="H19" s="44"/>
      <c r="I19" s="44">
        <v>3</v>
      </c>
      <c r="J19" s="44"/>
      <c r="K19" s="44"/>
      <c r="L19" s="44">
        <f t="shared" si="0"/>
        <v>3</v>
      </c>
      <c r="M19" s="44"/>
      <c r="N19" s="44"/>
      <c r="O19" s="44"/>
      <c r="P19" s="44"/>
      <c r="Q19" s="44"/>
      <c r="R19" s="44"/>
      <c r="S19" s="44">
        <f t="shared" si="1"/>
        <v>0</v>
      </c>
      <c r="T19" s="44">
        <f t="shared" si="2"/>
        <v>3</v>
      </c>
      <c r="U19" s="47"/>
      <c r="V19" s="57">
        <v>3</v>
      </c>
    </row>
    <row r="20" s="16" customFormat="1" ht="24" customHeight="1" spans="1:22">
      <c r="A20" s="44"/>
      <c r="B20" s="44"/>
      <c r="C20" s="44" t="s">
        <v>49</v>
      </c>
      <c r="D20" s="46" t="s">
        <v>50</v>
      </c>
      <c r="E20" s="44"/>
      <c r="F20" s="44"/>
      <c r="G20" s="44"/>
      <c r="H20" s="44"/>
      <c r="I20" s="44">
        <v>4</v>
      </c>
      <c r="J20" s="44"/>
      <c r="K20" s="44"/>
      <c r="L20" s="44">
        <f t="shared" si="0"/>
        <v>4</v>
      </c>
      <c r="M20" s="44"/>
      <c r="N20" s="44"/>
      <c r="O20" s="44"/>
      <c r="P20" s="44"/>
      <c r="Q20" s="44"/>
      <c r="R20" s="44"/>
      <c r="S20" s="44">
        <f t="shared" si="1"/>
        <v>0</v>
      </c>
      <c r="T20" s="44">
        <f t="shared" si="2"/>
        <v>4</v>
      </c>
      <c r="U20" s="47"/>
      <c r="V20" s="57">
        <v>4</v>
      </c>
    </row>
    <row r="21" s="16" customFormat="1" ht="36" customHeight="1" spans="1:22">
      <c r="A21" s="44"/>
      <c r="B21" s="44"/>
      <c r="C21" s="44" t="s">
        <v>51</v>
      </c>
      <c r="D21" s="46" t="s">
        <v>52</v>
      </c>
      <c r="E21" s="44"/>
      <c r="F21" s="44"/>
      <c r="G21" s="44"/>
      <c r="H21" s="44"/>
      <c r="I21" s="44">
        <v>8</v>
      </c>
      <c r="J21" s="44"/>
      <c r="K21" s="44"/>
      <c r="L21" s="44">
        <f t="shared" si="0"/>
        <v>8</v>
      </c>
      <c r="M21" s="44"/>
      <c r="N21" s="44"/>
      <c r="O21" s="44"/>
      <c r="P21" s="44"/>
      <c r="Q21" s="44"/>
      <c r="R21" s="44"/>
      <c r="S21" s="44">
        <f t="shared" si="1"/>
        <v>0</v>
      </c>
      <c r="T21" s="44">
        <f t="shared" si="2"/>
        <v>8</v>
      </c>
      <c r="U21" s="47"/>
      <c r="V21" s="57">
        <v>8</v>
      </c>
    </row>
    <row r="22" s="16" customFormat="1" ht="36" customHeight="1" spans="1:22">
      <c r="A22" s="44"/>
      <c r="B22" s="44"/>
      <c r="C22" s="44" t="s">
        <v>53</v>
      </c>
      <c r="D22" s="46" t="s">
        <v>54</v>
      </c>
      <c r="E22" s="44"/>
      <c r="F22" s="44"/>
      <c r="G22" s="44"/>
      <c r="H22" s="44">
        <v>9</v>
      </c>
      <c r="I22" s="44"/>
      <c r="J22" s="44"/>
      <c r="K22" s="44"/>
      <c r="L22" s="44">
        <f t="shared" si="0"/>
        <v>9</v>
      </c>
      <c r="M22" s="44"/>
      <c r="N22" s="44"/>
      <c r="O22" s="44"/>
      <c r="P22" s="44"/>
      <c r="Q22" s="44"/>
      <c r="R22" s="44"/>
      <c r="S22" s="44">
        <f t="shared" si="1"/>
        <v>0</v>
      </c>
      <c r="T22" s="44">
        <f t="shared" si="2"/>
        <v>9</v>
      </c>
      <c r="U22" s="47"/>
      <c r="V22" s="57">
        <v>15</v>
      </c>
    </row>
    <row r="23" s="16" customFormat="1" ht="24" customHeight="1" spans="1:22">
      <c r="A23" s="44"/>
      <c r="B23" s="44"/>
      <c r="C23" s="44" t="s">
        <v>55</v>
      </c>
      <c r="D23" s="46" t="s">
        <v>56</v>
      </c>
      <c r="E23" s="44">
        <v>0.5</v>
      </c>
      <c r="F23" s="44"/>
      <c r="G23" s="44"/>
      <c r="H23" s="44"/>
      <c r="I23" s="44">
        <v>1.5</v>
      </c>
      <c r="J23" s="44"/>
      <c r="K23" s="44"/>
      <c r="L23" s="44">
        <f t="shared" si="0"/>
        <v>2</v>
      </c>
      <c r="M23" s="44">
        <v>-0.5</v>
      </c>
      <c r="N23" s="44"/>
      <c r="O23" s="44"/>
      <c r="P23" s="44">
        <v>40</v>
      </c>
      <c r="Q23" s="44"/>
      <c r="R23" s="44"/>
      <c r="S23" s="44">
        <f t="shared" si="1"/>
        <v>39.5</v>
      </c>
      <c r="T23" s="44">
        <f t="shared" si="2"/>
        <v>41.5</v>
      </c>
      <c r="U23" s="47"/>
      <c r="V23" s="57">
        <v>35.5</v>
      </c>
    </row>
    <row r="24" s="16" customFormat="1" ht="24" customHeight="1" spans="1:22">
      <c r="A24" s="44">
        <v>8</v>
      </c>
      <c r="B24" s="44" t="s">
        <v>57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>
        <v>-0.5</v>
      </c>
      <c r="Q24" s="44"/>
      <c r="R24" s="44"/>
      <c r="S24" s="44">
        <f t="shared" si="1"/>
        <v>-0.5</v>
      </c>
      <c r="T24" s="44">
        <f t="shared" si="2"/>
        <v>-0.5</v>
      </c>
      <c r="U24" s="47"/>
      <c r="V24" s="57"/>
    </row>
    <row r="25" s="16" customFormat="1" ht="20" customHeight="1" spans="1:22">
      <c r="A25" s="46"/>
      <c r="B25" s="44" t="s">
        <v>58</v>
      </c>
      <c r="C25" s="44"/>
      <c r="D25" s="44"/>
      <c r="E25" s="44">
        <f>SUM(E6:E24)</f>
        <v>14</v>
      </c>
      <c r="F25" s="44">
        <f t="shared" ref="F25:T25" si="3">SUM(F6:F24)</f>
        <v>25</v>
      </c>
      <c r="G25" s="44">
        <f t="shared" si="3"/>
        <v>24</v>
      </c>
      <c r="H25" s="44">
        <f t="shared" si="3"/>
        <v>9</v>
      </c>
      <c r="I25" s="44">
        <f t="shared" si="3"/>
        <v>99</v>
      </c>
      <c r="J25" s="44">
        <f t="shared" si="3"/>
        <v>3</v>
      </c>
      <c r="K25" s="44">
        <f t="shared" si="3"/>
        <v>2</v>
      </c>
      <c r="L25" s="44">
        <f t="shared" si="3"/>
        <v>176</v>
      </c>
      <c r="M25" s="44">
        <f t="shared" si="3"/>
        <v>11.505</v>
      </c>
      <c r="N25" s="44">
        <f t="shared" si="3"/>
        <v>38.75</v>
      </c>
      <c r="O25" s="44">
        <f t="shared" si="3"/>
        <v>0.29</v>
      </c>
      <c r="P25" s="44">
        <f t="shared" si="3"/>
        <v>100.505</v>
      </c>
      <c r="Q25" s="44">
        <f t="shared" si="3"/>
        <v>1.075</v>
      </c>
      <c r="R25" s="44">
        <f t="shared" si="3"/>
        <v>0.175</v>
      </c>
      <c r="S25" s="44">
        <f t="shared" si="3"/>
        <v>152.3</v>
      </c>
      <c r="T25" s="44">
        <f t="shared" si="3"/>
        <v>328.3</v>
      </c>
      <c r="U25" s="47"/>
      <c r="V25" s="57"/>
    </row>
    <row r="26" s="16" customFormat="1" ht="13" customHeight="1" spans="1:22">
      <c r="A26" s="34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58"/>
      <c r="V26" s="57"/>
    </row>
    <row r="27" s="16" customFormat="1" ht="13" customHeight="1" spans="2:22">
      <c r="B27" s="49" t="s">
        <v>59</v>
      </c>
      <c r="I27" s="5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57"/>
    </row>
    <row r="28" s="28" customFormat="1" spans="9:22"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1"/>
    </row>
    <row r="29" s="28" customFormat="1" spans="9:22"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1"/>
    </row>
    <row r="30" s="28" customFormat="1" spans="9:22"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1"/>
    </row>
    <row r="31" s="28" customFormat="1" spans="9:22"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1"/>
    </row>
    <row r="32" s="28" customFormat="1" spans="9:22"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1"/>
    </row>
  </sheetData>
  <mergeCells count="23">
    <mergeCell ref="A1:B1"/>
    <mergeCell ref="A2:U2"/>
    <mergeCell ref="A3:C3"/>
    <mergeCell ref="E3:H3"/>
    <mergeCell ref="E4:L4"/>
    <mergeCell ref="M4:S4"/>
    <mergeCell ref="B6:C6"/>
    <mergeCell ref="B9:C9"/>
    <mergeCell ref="B10:C10"/>
    <mergeCell ref="B11:C11"/>
    <mergeCell ref="B24:D24"/>
    <mergeCell ref="B25:D25"/>
    <mergeCell ref="A4:A5"/>
    <mergeCell ref="A7:A8"/>
    <mergeCell ref="A12:A14"/>
    <mergeCell ref="A15:A23"/>
    <mergeCell ref="B7:B8"/>
    <mergeCell ref="B12:B14"/>
    <mergeCell ref="B15:B23"/>
    <mergeCell ref="D4:D5"/>
    <mergeCell ref="T4:T5"/>
    <mergeCell ref="U4:U5"/>
    <mergeCell ref="B4:C5"/>
  </mergeCells>
  <printOptions horizontalCentered="1"/>
  <pageMargins left="0.393055555555556" right="0.393055555555556" top="0.393055555555556" bottom="0.393055555555556" header="0.118055555555556" footer="0.118055555555556"/>
  <pageSetup paperSize="9" scale="95" fitToHeight="0" orientation="landscape" horizontalDpi="6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K6" sqref="K6"/>
    </sheetView>
  </sheetViews>
  <sheetFormatPr defaultColWidth="9" defaultRowHeight="13.5" outlineLevelRow="7" outlineLevelCol="5"/>
  <cols>
    <col min="1" max="1" width="4.25" customWidth="1"/>
    <col min="2" max="2" width="22.5" customWidth="1"/>
    <col min="3" max="3" width="29.25" style="4" customWidth="1"/>
    <col min="4" max="4" width="7.375" style="4" customWidth="1"/>
    <col min="5" max="5" width="7.375" customWidth="1"/>
    <col min="6" max="6" width="11.5" customWidth="1"/>
  </cols>
  <sheetData>
    <row r="1" s="1" customFormat="1" ht="18.75" spans="1:6">
      <c r="A1" s="5" t="s">
        <v>60</v>
      </c>
      <c r="B1" s="5"/>
      <c r="C1" s="6"/>
      <c r="D1" s="6"/>
      <c r="E1" s="7"/>
      <c r="F1" s="8"/>
    </row>
    <row r="2" s="2" customFormat="1" ht="36" customHeight="1" spans="1:6">
      <c r="A2" s="9" t="s">
        <v>61</v>
      </c>
      <c r="B2" s="9"/>
      <c r="C2" s="10"/>
      <c r="D2" s="10"/>
      <c r="E2" s="9"/>
      <c r="F2" s="9"/>
    </row>
    <row r="3" s="3" customFormat="1" spans="1:6">
      <c r="A3" s="11"/>
      <c r="B3" s="12"/>
      <c r="C3" s="13"/>
      <c r="D3" s="14"/>
      <c r="E3" s="15"/>
      <c r="F3" s="16" t="s">
        <v>2</v>
      </c>
    </row>
    <row r="4" s="3" customFormat="1" ht="32" customHeight="1" spans="1:6">
      <c r="A4" s="17" t="s">
        <v>3</v>
      </c>
      <c r="B4" s="17" t="s">
        <v>62</v>
      </c>
      <c r="C4" s="18" t="s">
        <v>63</v>
      </c>
      <c r="D4" s="18" t="s">
        <v>64</v>
      </c>
      <c r="E4" s="17" t="s">
        <v>65</v>
      </c>
      <c r="F4" s="17" t="s">
        <v>9</v>
      </c>
    </row>
    <row r="5" s="3" customFormat="1" ht="63" customHeight="1" spans="1:6">
      <c r="A5" s="17">
        <v>1</v>
      </c>
      <c r="B5" s="17" t="s">
        <v>11</v>
      </c>
      <c r="C5" s="19" t="s">
        <v>66</v>
      </c>
      <c r="D5" s="18">
        <v>25</v>
      </c>
      <c r="E5" s="20">
        <v>18.75</v>
      </c>
      <c r="F5" s="17"/>
    </row>
    <row r="6" s="3" customFormat="1" ht="52" customHeight="1" spans="1:6">
      <c r="A6" s="17">
        <v>2</v>
      </c>
      <c r="B6" s="21" t="s">
        <v>16</v>
      </c>
      <c r="C6" s="19" t="s">
        <v>67</v>
      </c>
      <c r="D6" s="18">
        <v>2</v>
      </c>
      <c r="E6" s="22">
        <v>0.175</v>
      </c>
      <c r="F6" s="17"/>
    </row>
    <row r="7" s="3" customFormat="1" ht="52" customHeight="1" spans="1:6">
      <c r="A7" s="17">
        <v>3</v>
      </c>
      <c r="B7" s="21" t="s">
        <v>15</v>
      </c>
      <c r="C7" s="19" t="s">
        <v>68</v>
      </c>
      <c r="D7" s="18">
        <v>3</v>
      </c>
      <c r="E7" s="22">
        <v>1.075</v>
      </c>
      <c r="F7" s="17"/>
    </row>
    <row r="8" s="3" customFormat="1" ht="32" customHeight="1" spans="1:6">
      <c r="A8" s="23"/>
      <c r="B8" s="21" t="s">
        <v>58</v>
      </c>
      <c r="C8" s="24"/>
      <c r="D8" s="24">
        <f>SUM(D5:D7)</f>
        <v>30</v>
      </c>
      <c r="E8" s="25">
        <f>SUM(E5:E7)</f>
        <v>20</v>
      </c>
      <c r="F8" s="17"/>
    </row>
  </sheetData>
  <mergeCells count="3">
    <mergeCell ref="A1:B1"/>
    <mergeCell ref="A2:F2"/>
    <mergeCell ref="B8:C8"/>
  </mergeCells>
  <printOptions horizontalCentered="1"/>
  <pageMargins left="0.236111111111111" right="0.236111111111111" top="0.786805555555556" bottom="0.786805555555556" header="0.511805555555556" footer="0.511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</vt:lpstr>
      <vt:lpstr>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2021-11-10T08:51:00Z</dcterms:created>
  <dcterms:modified xsi:type="dcterms:W3CDTF">2023-09-26T09:56:48Z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2052-11.8.2.12055</vt:lpwstr>
  </property>
  <property fmtid="{D5CDD505-2E9C-101B-9397-08002B2CF9AE}" pid="3" name="ICV">
    <vt:lpwstr>BC9FC48C0B114EE684E505B9A3D3015D</vt:lpwstr>
  </property>
</Properties>
</file>