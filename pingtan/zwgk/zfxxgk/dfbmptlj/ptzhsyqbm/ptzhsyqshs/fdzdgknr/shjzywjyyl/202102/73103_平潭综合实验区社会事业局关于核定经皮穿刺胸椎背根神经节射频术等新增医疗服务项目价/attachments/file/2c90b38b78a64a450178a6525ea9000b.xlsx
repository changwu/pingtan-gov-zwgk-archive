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840"/>
  </bookViews>
  <sheets>
    <sheet name="附件1" sheetId="1" r:id="rId1"/>
    <sheet name="附件2" sheetId="2" r:id="rId2"/>
  </sheets>
  <definedNames>
    <definedName name="_xlnm._FilterDatabase" localSheetId="0" hidden="1">附件1!$A$4:$Q$43</definedName>
    <definedName name="_xlnm.Print_Titles" localSheetId="0">附件1!$4:$4</definedName>
  </definedNames>
  <calcPr calcId="144525"/>
</workbook>
</file>

<file path=xl/sharedStrings.xml><?xml version="1.0" encoding="utf-8"?>
<sst xmlns="http://schemas.openxmlformats.org/spreadsheetml/2006/main" count="461" uniqueCount="235">
  <si>
    <t>附件1</t>
  </si>
  <si>
    <t>平潭综合实验区公立医疗机构新增医疗服务项目及价格表</t>
  </si>
  <si>
    <t>金额：元</t>
  </si>
  <si>
    <t>序号</t>
  </si>
  <si>
    <t>计算机编码</t>
  </si>
  <si>
    <t>项目编码</t>
  </si>
  <si>
    <t>财务项目</t>
  </si>
  <si>
    <t>财务编码</t>
  </si>
  <si>
    <t>病案项目</t>
  </si>
  <si>
    <t>病案编码</t>
  </si>
  <si>
    <t>项目名称</t>
  </si>
  <si>
    <t>项目内涵</t>
  </si>
  <si>
    <t>除外内容</t>
  </si>
  <si>
    <t>计价单位</t>
  </si>
  <si>
    <t>县级收费标准</t>
  </si>
  <si>
    <t>基层医疗机构收费标准</t>
  </si>
  <si>
    <t>说明</t>
  </si>
  <si>
    <t>医保属性</t>
  </si>
  <si>
    <t>先行自付比例</t>
  </si>
  <si>
    <t>医保限用范围</t>
  </si>
  <si>
    <t>633150504000</t>
  </si>
  <si>
    <t>331505040</t>
  </si>
  <si>
    <t>手术费</t>
  </si>
  <si>
    <t>08</t>
  </si>
  <si>
    <t>手术治疗费</t>
  </si>
  <si>
    <t>10</t>
  </si>
  <si>
    <t>肩胛骨骨折切开复位内固定术</t>
  </si>
  <si>
    <t>指肩胛骨骨折的外科治疗。消毒铺巾，贴膜，切开皮肤，对骨折复位内固定，引流。缝合切口。</t>
  </si>
  <si>
    <t>内外固定材料</t>
  </si>
  <si>
    <t>次</t>
  </si>
  <si>
    <t>医保</t>
  </si>
  <si>
    <t>631010003600</t>
  </si>
  <si>
    <t>310100036</t>
  </si>
  <si>
    <t>治疗费</t>
  </si>
  <si>
    <t>09</t>
  </si>
  <si>
    <t>非手术治疗项目费</t>
  </si>
  <si>
    <t>经皮穿刺电刺激镇痛术</t>
  </si>
  <si>
    <t>消毒，局麻下穿刺部位准确定位，穿刺后置入硬膜外刺激电极，反复调节电极位置至疼痛相应的脊髓节段或神经病变部位，连接导线进行术中刺激测试，观察镇痛范围和效果，直至刺激范围覆盖疼痛部位或是镇痛效果满意。短时程电刺激镇痛，固定电极连接导线引导至体外，逐层缝合，敷料固定。永久性电刺激镇痛，固定电极后同步体内置入脊髓神经刺激系统及套件，逐层缝合，敷料固定。不含影像学引导</t>
  </si>
  <si>
    <t xml:space="preserve">
神经电极、植入式神经刺激系统及套件
</t>
  </si>
  <si>
    <t>限慢性顽固性疼痛及癌痛治疗收取。植入式神经刺激系统及套件限永久性电刺激镇痛收取。</t>
  </si>
  <si>
    <t>633020402200</t>
  </si>
  <si>
    <t>330204022</t>
  </si>
  <si>
    <t>经皮穿刺胸椎背根神经节射频术</t>
  </si>
  <si>
    <t>监测生命体征，影像学引导确定穿刺点，消毒铺巾，影像学引导下进行胸椎穿刺，经影像及神经诱发确认无误，实施射频热凝或脉冲射频调节治疗。不含影像学引导。</t>
  </si>
  <si>
    <t xml:space="preserve">
射频套管
</t>
  </si>
  <si>
    <t>部位</t>
  </si>
  <si>
    <t>限慢性顽固性疼痛治疗收取</t>
  </si>
  <si>
    <t>限带状疱疹患者支付</t>
  </si>
  <si>
    <t>633020402300</t>
  </si>
  <si>
    <t>330204023</t>
  </si>
  <si>
    <t>经皮穿刺颈椎背根神经节射频术</t>
  </si>
  <si>
    <t>监测生命体征，影像学引导确定穿刺点，消毒铺巾，影像学引导下进行颈椎穿刺，经影像及神经诱发确认无误，实施射频热凝或脉冲射频调节治疗。不含影像学引导。</t>
  </si>
  <si>
    <t xml:space="preserve">
射频套管
</t>
  </si>
  <si>
    <t>633020402400</t>
  </si>
  <si>
    <t>330204024</t>
  </si>
  <si>
    <t>经皮穿刺腰椎背根神经节射频术</t>
  </si>
  <si>
    <t>监测生命体征，影像学引导确定穿刺点，消毒铺巾，影像学引导下进行腰椎穿刺，经影像及神经诱发确认无误，实施射频热凝或脉冲射频调节治疗。不含影像学引导。</t>
  </si>
  <si>
    <t xml:space="preserve">
射频套管
</t>
  </si>
  <si>
    <t>633020402500</t>
  </si>
  <si>
    <t>330204025</t>
  </si>
  <si>
    <t>脊髓电刺激电极取出术</t>
  </si>
  <si>
    <t>手术在具有无菌、抢救设备的手术室，消毒，局麻下原切口入路逐层暴露临时延长导线及电极，拆除电极固定装置，拔除完整电极，逐层缝合，敷料固定。不含影像学引导。</t>
  </si>
  <si>
    <t>625020308100</t>
  </si>
  <si>
    <t>250203081</t>
  </si>
  <si>
    <t>化验费</t>
  </si>
  <si>
    <t>06</t>
  </si>
  <si>
    <t>实验室诊断费</t>
  </si>
  <si>
    <t>纤维蛋白单体测定</t>
  </si>
  <si>
    <t>样本类型：血液。样本采集、签收、处理，定标和质控，定量检测样本，审核结果，录入实验室信息系统或人工登记，发送报告；按规定处理废弃物；接受临床相关咨询。</t>
  </si>
  <si>
    <t>625020308300</t>
  </si>
  <si>
    <t>250203083</t>
  </si>
  <si>
    <t>纤溶酶-α2纤溶酶抑制剂复合体测定（PIC）</t>
  </si>
  <si>
    <t>625020308400</t>
  </si>
  <si>
    <t>250203084</t>
  </si>
  <si>
    <t>血栓调节蛋白定量测定（TM）</t>
  </si>
  <si>
    <t>625020308500</t>
  </si>
  <si>
    <t>250203085</t>
  </si>
  <si>
    <t>组织型纤溶酶原激活剂-抑制剂1复合体测定（tPAI-C)</t>
  </si>
  <si>
    <t>625020308600</t>
  </si>
  <si>
    <t>250203086</t>
  </si>
  <si>
    <t>肝素结合蛋白测定</t>
  </si>
  <si>
    <t>样本类型：血液。样本采集、签收、分离血浆，加试剂，温育，检测，质控，审核结果，录入实验室信息系统或人工登记，发送报告；按规定处理废弃物；接受临床相关咨询。</t>
  </si>
  <si>
    <t>限住院重症患者支付</t>
  </si>
  <si>
    <t>625030102600</t>
  </si>
  <si>
    <t>250301026</t>
  </si>
  <si>
    <t>人类表皮生长因子受体2(HER-2/neu)测定</t>
  </si>
  <si>
    <t>625030102700</t>
  </si>
  <si>
    <t>250301027</t>
  </si>
  <si>
    <t>前列腺小体外泄蛋白（PSEP）测定</t>
  </si>
  <si>
    <t>样本类型：尿液。样本采集、签收、处理，加试剂，温育，定量测定，审核结果，录入实验室信息系统或人工登记，发送报告；按规定处理废弃物；接受临床相关咨询。</t>
  </si>
  <si>
    <t>625040205300</t>
  </si>
  <si>
    <t>250402053</t>
  </si>
  <si>
    <t>抗谷氨酸受体抗体测定</t>
  </si>
  <si>
    <t>样本类型：新鲜血液。样本采集、接收、检测、审核结果，录入实验室信息系统或人工登记，发送报告；按规定处理废弃物；接受临床相关咨询。</t>
  </si>
  <si>
    <t>限脑炎患者收取</t>
  </si>
  <si>
    <t>625040205400</t>
  </si>
  <si>
    <t>250402054</t>
  </si>
  <si>
    <t>抗神经抗原抗体测定</t>
  </si>
  <si>
    <t>含Amphiphysin、CV2、PNMA2(Ma2/Ta)、Ri、Yo与Hu抗体测定。样本类型：新鲜血液。样本采集、接收、检测、审核结果，录入实验室信息系统或人工登记，发送报告；按规定处理废弃物；接受临床相关咨询。</t>
  </si>
  <si>
    <t>625040205500</t>
  </si>
  <si>
    <t>250402055</t>
  </si>
  <si>
    <t>抗肌炎抗体测定</t>
  </si>
  <si>
    <t>含Mi-2,Ku,PM-Sc1,Jo-1,PL-7,PL-12,Ro-52等抗体测定。样本类型：新鲜血液。样本采集、接收、检测、审核结果，录入实验室信息系统或人工登记，发送报告；按规定处理废弃物；接受临床相关咨询。</t>
  </si>
  <si>
    <t>项</t>
  </si>
  <si>
    <t>限肌炎的诊断治疗收取。超过7项按7项收取，最高不超过350元/次。</t>
  </si>
  <si>
    <t>625040205600</t>
  </si>
  <si>
    <t>250402056</t>
  </si>
  <si>
    <t>抗磷脂酶A2受体（PLA2R)抗体测定</t>
  </si>
  <si>
    <t>625030102900</t>
  </si>
  <si>
    <t>250301029</t>
  </si>
  <si>
    <t>尿核基质蛋白（NMP22)测定</t>
  </si>
  <si>
    <t>样本类型：尿液。样本采集、签收、检测，分析、判断并审核检测结果，录入实验室信息系统或人工登记，发送报告；按规定处理废弃物；接受临床相关咨询。</t>
  </si>
  <si>
    <t>限膀胱癌治疗收取</t>
  </si>
  <si>
    <t>625031006400</t>
  </si>
  <si>
    <t>250310064</t>
  </si>
  <si>
    <t>血清PIGF胎盘生长因子测定</t>
  </si>
  <si>
    <t>样本类型：血液。样本采集、签收、处理，定标和质控，检测样本，审核结果，录入实验室信息系统或人工登记，发送报告；按规定处理废弃物；接受临床相关咨询。</t>
  </si>
  <si>
    <t>限12周-35周的孕妇测定收取</t>
  </si>
  <si>
    <t>625031006500</t>
  </si>
  <si>
    <t>250310065</t>
  </si>
  <si>
    <t>抑制素B测定</t>
  </si>
  <si>
    <t>625030801700</t>
  </si>
  <si>
    <t>250308017</t>
  </si>
  <si>
    <t>可溶性FMS样酪氨酸激酶-1测定</t>
  </si>
  <si>
    <t>限妊高症收取</t>
  </si>
  <si>
    <t>625050201100</t>
  </si>
  <si>
    <t>250502011</t>
  </si>
  <si>
    <t>结核分枝杆菌及利福平耐药快速测定</t>
  </si>
  <si>
    <t>样本类型：痰液、痰沉淀、肺泡灌洗液、脑脊液、淋巴结等各种标本。含样本采集、签收、处理(据标本类型不同进行相应的前处理)。判断并审核结果，录入实验室信息系统或人工登记，发送报告；按规定处理废弃物；接受临床相关咨询。</t>
  </si>
  <si>
    <t>限疑似结核感染患者收取</t>
  </si>
  <si>
    <t>625050104500</t>
  </si>
  <si>
    <t>250501045</t>
  </si>
  <si>
    <t>艰难梭菌核酸测定</t>
  </si>
  <si>
    <t xml:space="preserve"> 样本类型：不成形粪便。样本采集，样本签收，标本预处理。判断并审核结果，录入实验室信息系统或人工登记，发送报告；按规定处理废弃物；接受临床相关咨询。</t>
  </si>
  <si>
    <t>限临床严重腹泻收取</t>
  </si>
  <si>
    <t>625070002100</t>
  </si>
  <si>
    <t>250700021</t>
  </si>
  <si>
    <t>Septin9基因甲基化测定</t>
  </si>
  <si>
    <t>样本类型：血液。样本采集、签收、预处理，提取模板DNA，进行DNA甲基化处理，与阴、阳性对照同时检测，分析、判断并审核检测结果，录入实验室信息系统或人工登记，发送报告；按规定处理废弃物；接受临床相关咨询。</t>
  </si>
  <si>
    <t>限疑似结直肠癌患者支付</t>
  </si>
  <si>
    <t>625070002200</t>
  </si>
  <si>
    <t>250700022</t>
  </si>
  <si>
    <t>人类精子DNA完整性测定</t>
  </si>
  <si>
    <t>检测人类精子DNA完整性，计数至少5000个以上精子且重复计数2次。样本类型：精液。样本采集,细胞制备和染色，检测，计算结果，录入实验室信息系统或人工登记，发送报告；按规定处理废弃物；接受临床相关咨询。</t>
  </si>
  <si>
    <t>限不育患者收取</t>
  </si>
  <si>
    <t>033010001500</t>
  </si>
  <si>
    <t>330100015</t>
  </si>
  <si>
    <t>麻醉中监测</t>
  </si>
  <si>
    <t>含心电图、脉搏氧饱和度、心率变异分析、ST段分析、无创血压、呼气末二氧化碳、氧浓度、呼吸频率、潮气量、分钟通气量、气道压、肺顺应性、体温、肌松</t>
  </si>
  <si>
    <t>胃粘膜PH电极</t>
  </si>
  <si>
    <t>小时</t>
  </si>
  <si>
    <t>有创血压、中心静脉压、呼气末麻醉药浓度、脑电双谱指数、胃粘膜PH监测每小时县级医院分别收9元。监测项目超过6项按6项收取，最高不超过60元/小时。</t>
  </si>
  <si>
    <t>633010001509</t>
  </si>
  <si>
    <t>33010001509</t>
  </si>
  <si>
    <t>麻醉深度电生理监测</t>
  </si>
  <si>
    <t>连接电极或传感器，根据脑电图，诱发电位等图形数据的变化调节麻醉深度。</t>
  </si>
  <si>
    <t>每小时</t>
  </si>
  <si>
    <t>限全麻患者监测收取</t>
  </si>
  <si>
    <t>631150100600</t>
  </si>
  <si>
    <t>检查费</t>
  </si>
  <si>
    <t>05</t>
  </si>
  <si>
    <t>临床诊断项目费</t>
  </si>
  <si>
    <t>老年性痴呆认知分量表评定</t>
  </si>
  <si>
    <t>按照《中国痴呆和认知障碍指南（2015版）》对阿尔茨海默病患者认知功能评估</t>
  </si>
  <si>
    <t>限阿尔茨海默病收取</t>
  </si>
  <si>
    <t>627080000900</t>
  </si>
  <si>
    <t>270800009</t>
  </si>
  <si>
    <t>病理诊断费</t>
  </si>
  <si>
    <t>ALK蛋白伴随诊断</t>
  </si>
  <si>
    <t>样本类型：组织标本。样本采集、签收、处理，经取材、固定、脱水、包埋、制片、烤片、脱蜡、染色等步骤，图像分析，判断并审核结果，录入实验室信息系统或人工登记，发送报告；按规定处理废弃物；接受临床相关咨询。</t>
  </si>
  <si>
    <t>633010002300</t>
  </si>
  <si>
    <t>330100023</t>
  </si>
  <si>
    <t>术中神经电生理监测</t>
  </si>
  <si>
    <t>局部消毒，帮助复杂甲状腺手术中喉返神经及喉上神经的定位及功能保护。</t>
  </si>
  <si>
    <t>限以下病人使用：
（1）甲状腺肿物位于腺体背侧， 可疑近期囊内出血或甲状腺癌者；
（2）甲状腺功能亢进病人， 术前超声提示腺体大且内部血供丰富者；
（3）甲状腺恶性肿瘤需行颈部淋巴结清扫，尤其有中央组淋巴结肿大者；
（4）甲状腺再次手术， 解剖结构紊乱， 组织粘连重者；
（5）胸骨后甲状腺肿， 巨大甲状腺肿物， 考虑喉返神经有移位者；
（6）术前影像学提示有内脏转位或锁骨下动脉变异， 可疑非返性喉返神经者；
（7）已有单侧声带麻痹，对侧叶需行手术治疗者；
（8）需行甲状腺全切除术，特别是腔镜下手术；
（9）喉返神经损伤后的修复手术；
（10）甲状旁腺手术；
（11）对音质、音调有特殊要求者，要求术中应用IONM的病人。</t>
  </si>
  <si>
    <t>631060501600</t>
  </si>
  <si>
    <t>310605016</t>
  </si>
  <si>
    <t>经皮纵膈穿刺术</t>
  </si>
  <si>
    <t>经皮穿刺纵膈活检、脓肿引流。不含影像学引导。</t>
  </si>
  <si>
    <t>632060001200</t>
  </si>
  <si>
    <t>320600012</t>
  </si>
  <si>
    <t>经皮穿刺脑血管腔内取栓术</t>
  </si>
  <si>
    <t>DSA持续射线透视下，经股动脉穿刺置入动脉鞘管，在导丝引导下将造影导管分别置于颈动脉、椎动脉造影明确闭塞血管具体部位。采用交换技术将中间导管送至目标血管内，经中间导管将微导管在微导丝引导下缓慢通过血管闭塞处并置于闭塞血管远端。撤出微导丝，微导管内造影定位在血管真腔后，经微导管将取栓支架定位于血管闭塞处释放，再次造影确认支架释放后血管闭塞处情况。然后回拉支架取栓，将血管内血栓经中间导管取出体外。</t>
  </si>
  <si>
    <t>631090502800</t>
  </si>
  <si>
    <t>310905028</t>
  </si>
  <si>
    <t>双重腹水超滤浓缩腹腔回输</t>
  </si>
  <si>
    <r>
      <t>腹腔穿刺术，放腹水，腹水超滤，弃除含水废液，腹水浓缩，腹水细胞分离，弃除细胞有型成分废液，旁路腹水经双重腹水超滤浓缩腹水回输装置腹腔回输。</t>
    </r>
    <r>
      <rPr>
        <sz val="14"/>
        <rFont val="宋体"/>
        <charset val="134"/>
      </rPr>
      <t>含滤器、管路、穿刺包等。</t>
    </r>
  </si>
  <si>
    <t xml:space="preserve">限肝硬化及癌性难治性腹水收取
</t>
  </si>
  <si>
    <t>631051102800</t>
  </si>
  <si>
    <t>310511028</t>
  </si>
  <si>
    <t>牙髓血管再生术</t>
  </si>
  <si>
    <t>开髓，髓腔预备，髓腔修整，暴露根管口，根管清理，使用三联抗生素糊剂等药物进行根管消毒后，局麻下用无菌锉刺激根尖区出血充盈根管形成血凝块或采用自体静脉血（PRF）,利用MTA和复合树脂严密封闭冠部。</t>
  </si>
  <si>
    <t>每根管</t>
  </si>
  <si>
    <t>限年轻恒牙根尖周病的治疗收取</t>
  </si>
  <si>
    <t>633060404400</t>
  </si>
  <si>
    <t>330604044</t>
  </si>
  <si>
    <t>微创骨融合牙拔除术</t>
  </si>
  <si>
    <t>通过使用特殊硬组织切割工具、特殊牙挺、特殊照明工具等，对患牙多次切割分块，少量外周增隙，逐步挺松患牙，最终完整拔除骨融合牙。</t>
  </si>
  <si>
    <t>每牙</t>
  </si>
  <si>
    <t>限患牙出现感染且通过其他治疗无法控制者；正畸治疗中患牙无法移动者收取</t>
  </si>
  <si>
    <t>限患牙出现感染且通过其他治疗无法控制者支付</t>
  </si>
  <si>
    <t>631110002100</t>
  </si>
  <si>
    <t>311100021</t>
  </si>
  <si>
    <t>勃起功能障碍（ED）低能量冲击波治疗技术</t>
  </si>
  <si>
    <t>清洁外阴，启动并设置治疗仪器，将治疗仪覆盖阴茎及阴囊，做冲击治疗。每次治疗持续时间约30分钟。</t>
  </si>
  <si>
    <t>限三级医疗机构男科使用收取</t>
  </si>
  <si>
    <t>631060501700</t>
  </si>
  <si>
    <t>310605017</t>
  </si>
  <si>
    <t>经内镜支气管热成形术</t>
  </si>
  <si>
    <t>支气管热成形导管连接仪器通过支气管镜进入肺支气管,常规支气管镜检查全部气道情况,制定激活顺序,治疗区域全部激活完毕后,再次检查气道,清除分泌物,操作结束。</t>
  </si>
  <si>
    <t>导管</t>
  </si>
  <si>
    <t>限18岁及以上经用吸入性糖皮质激素及长效β受体激动剂无法有效控制的重度持续性哮喘收取</t>
  </si>
  <si>
    <t>631020800300</t>
  </si>
  <si>
    <t>310208003</t>
  </si>
  <si>
    <t>踝肱指数</t>
  </si>
  <si>
    <t>在安静环境下进行。受试者安静平卧10分钟后，测量踝部胫后动脉或胫前动脉以及肱动脉的收缩压，得到踝部动脉压与肱动脉压之间的比值。医生分析结果，并出具报告单。</t>
  </si>
  <si>
    <t>人次</t>
  </si>
  <si>
    <t>限住院糖尿病收取</t>
  </si>
  <si>
    <t>参保患者同一医院每年限支付一次</t>
  </si>
  <si>
    <t>624020000400</t>
  </si>
  <si>
    <t>240200004</t>
  </si>
  <si>
    <t>CT模拟机校位</t>
  </si>
  <si>
    <t>摆位及体位固定，将中心移至治疗中心并标记，必要时静脉输注对比剂，机器操作，CT影像获取及比较，校正治疗中心并标记。</t>
  </si>
  <si>
    <t>附件2</t>
  </si>
  <si>
    <t>除外内容修订编码表</t>
  </si>
  <si>
    <t>除外耗材</t>
  </si>
  <si>
    <t>除外耗材编码</t>
  </si>
  <si>
    <t>除外耗材计算机编码</t>
  </si>
  <si>
    <t>神经电极</t>
  </si>
  <si>
    <t>960112000000</t>
  </si>
  <si>
    <t>植入式神经刺激系统及套件</t>
  </si>
  <si>
    <t>960113000000</t>
  </si>
  <si>
    <t>注射</t>
  </si>
  <si>
    <t>一次性输液器（含泵用）</t>
  </si>
  <si>
    <t>950029000000</t>
  </si>
</sst>
</file>

<file path=xl/styles.xml><?xml version="1.0" encoding="utf-8"?>
<styleSheet xmlns="http://schemas.openxmlformats.org/spreadsheetml/2006/main">
  <numFmts count="5">
    <numFmt numFmtId="176" formatCode="0_);[Red]\(0\)"/>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s>
  <fonts count="32">
    <font>
      <sz val="11"/>
      <color theme="1"/>
      <name val="宋体"/>
      <charset val="134"/>
      <scheme val="minor"/>
    </font>
    <font>
      <sz val="11"/>
      <name val="宋体"/>
      <charset val="134"/>
      <scheme val="minor"/>
    </font>
    <font>
      <sz val="12"/>
      <name val="黑体"/>
      <charset val="134"/>
    </font>
    <font>
      <sz val="18"/>
      <name val="黑体"/>
      <charset val="134"/>
    </font>
    <font>
      <sz val="10"/>
      <name val="黑体"/>
      <charset val="134"/>
    </font>
    <font>
      <sz val="12"/>
      <name val="宋体"/>
      <charset val="134"/>
      <scheme val="minor"/>
    </font>
    <font>
      <sz val="14"/>
      <name val="宋体"/>
      <charset val="134"/>
      <scheme val="minor"/>
    </font>
    <font>
      <b/>
      <sz val="14"/>
      <name val="宋体"/>
      <charset val="134"/>
      <scheme val="minor"/>
    </font>
    <font>
      <sz val="14"/>
      <name val="黑体"/>
      <charset val="134"/>
    </font>
    <font>
      <b/>
      <sz val="26"/>
      <name val="宋体"/>
      <charset val="134"/>
      <scheme val="minor"/>
    </font>
    <font>
      <sz val="14"/>
      <name val="宋体"/>
      <charset val="134"/>
    </font>
    <font>
      <strike/>
      <sz val="14"/>
      <name val="宋体"/>
      <charset val="134"/>
      <scheme val="minor"/>
    </font>
    <font>
      <sz val="11"/>
      <color theme="0"/>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u/>
      <sz val="11"/>
      <color rgb="FF0000FF"/>
      <name val="宋体"/>
      <charset val="0"/>
      <scheme val="minor"/>
    </font>
    <font>
      <b/>
      <sz val="11"/>
      <color theme="3"/>
      <name val="宋体"/>
      <charset val="134"/>
      <scheme val="minor"/>
    </font>
    <font>
      <u/>
      <sz val="11"/>
      <color rgb="FF800080"/>
      <name val="宋体"/>
      <charset val="0"/>
      <scheme val="minor"/>
    </font>
    <font>
      <b/>
      <sz val="11"/>
      <color rgb="FF3F3F3F"/>
      <name val="宋体"/>
      <charset val="0"/>
      <scheme val="minor"/>
    </font>
    <font>
      <sz val="11"/>
      <color rgb="FFFF0000"/>
      <name val="宋体"/>
      <charset val="0"/>
      <scheme val="minor"/>
    </font>
    <font>
      <b/>
      <sz val="11"/>
      <color rgb="FFFA7D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sz val="10"/>
      <name val="Arial"/>
      <charset val="134"/>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7"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rgb="FFFFCC99"/>
        <bgColor indexed="64"/>
      </patternFill>
    </fill>
    <fill>
      <patternFill patternType="solid">
        <fgColor theme="9"/>
        <bgColor indexed="64"/>
      </patternFill>
    </fill>
    <fill>
      <patternFill patternType="solid">
        <fgColor rgb="FFFFC7CE"/>
        <bgColor indexed="64"/>
      </patternFill>
    </fill>
    <fill>
      <patternFill patternType="solid">
        <fgColor theme="7"/>
        <bgColor indexed="64"/>
      </patternFill>
    </fill>
    <fill>
      <patternFill patternType="solid">
        <fgColor theme="5"/>
        <bgColor indexed="64"/>
      </patternFill>
    </fill>
    <fill>
      <patternFill patternType="solid">
        <fgColor rgb="FFF2F2F2"/>
        <bgColor indexed="64"/>
      </patternFill>
    </fill>
    <fill>
      <patternFill patternType="solid">
        <fgColor theme="4" tint="0.399975585192419"/>
        <bgColor indexed="64"/>
      </patternFill>
    </fill>
    <fill>
      <patternFill patternType="solid">
        <fgColor theme="8"/>
        <bgColor indexed="64"/>
      </patternFill>
    </fill>
    <fill>
      <patternFill patternType="solid">
        <fgColor rgb="FFA5A5A5"/>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2" fontId="0" fillId="0" borderId="0" applyFont="0" applyFill="0" applyBorder="0" applyAlignment="0" applyProtection="0">
      <alignment vertical="center"/>
    </xf>
    <xf numFmtId="0" fontId="13" fillId="6" borderId="0" applyNumberFormat="0" applyBorder="0" applyAlignment="0" applyProtection="0">
      <alignment vertical="center"/>
    </xf>
    <xf numFmtId="0" fontId="14" fillId="9"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4" borderId="0" applyNumberFormat="0" applyBorder="0" applyAlignment="0" applyProtection="0">
      <alignment vertical="center"/>
    </xf>
    <xf numFmtId="0" fontId="15" fillId="11" borderId="0" applyNumberFormat="0" applyBorder="0" applyAlignment="0" applyProtection="0">
      <alignment vertical="center"/>
    </xf>
    <xf numFmtId="43" fontId="0" fillId="0" borderId="0" applyFont="0" applyFill="0" applyBorder="0" applyAlignment="0" applyProtection="0">
      <alignment vertical="center"/>
    </xf>
    <xf numFmtId="0" fontId="12" fillId="7"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8" borderId="4" applyNumberFormat="0" applyFont="0" applyAlignment="0" applyProtection="0">
      <alignment vertical="center"/>
    </xf>
    <xf numFmtId="0" fontId="12" fillId="3" borderId="0" applyNumberFormat="0" applyBorder="0" applyAlignment="0" applyProtection="0">
      <alignment vertical="center"/>
    </xf>
    <xf numFmtId="0" fontId="1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7" applyNumberFormat="0" applyFill="0" applyAlignment="0" applyProtection="0">
      <alignment vertical="center"/>
    </xf>
    <xf numFmtId="0" fontId="25" fillId="0" borderId="7" applyNumberFormat="0" applyFill="0" applyAlignment="0" applyProtection="0">
      <alignment vertical="center"/>
    </xf>
    <xf numFmtId="0" fontId="12" fillId="15" borderId="0" applyNumberFormat="0" applyBorder="0" applyAlignment="0" applyProtection="0">
      <alignment vertical="center"/>
    </xf>
    <xf numFmtId="0" fontId="17" fillId="0" borderId="8" applyNumberFormat="0" applyFill="0" applyAlignment="0" applyProtection="0">
      <alignment vertical="center"/>
    </xf>
    <xf numFmtId="0" fontId="12" fillId="2" borderId="0" applyNumberFormat="0" applyBorder="0" applyAlignment="0" applyProtection="0">
      <alignment vertical="center"/>
    </xf>
    <xf numFmtId="0" fontId="19" fillId="14" borderId="6" applyNumberFormat="0" applyAlignment="0" applyProtection="0">
      <alignment vertical="center"/>
    </xf>
    <xf numFmtId="0" fontId="21" fillId="14" borderId="5" applyNumberFormat="0" applyAlignment="0" applyProtection="0">
      <alignment vertical="center"/>
    </xf>
    <xf numFmtId="0" fontId="27" fillId="17" borderId="9" applyNumberFormat="0" applyAlignment="0" applyProtection="0">
      <alignment vertical="center"/>
    </xf>
    <xf numFmtId="0" fontId="13" fillId="18" borderId="0" applyNumberFormat="0" applyBorder="0" applyAlignment="0" applyProtection="0">
      <alignment vertical="center"/>
    </xf>
    <xf numFmtId="0" fontId="12" fillId="13" borderId="0" applyNumberFormat="0" applyBorder="0" applyAlignment="0" applyProtection="0">
      <alignment vertical="center"/>
    </xf>
    <xf numFmtId="0" fontId="28" fillId="0" borderId="10" applyNumberFormat="0" applyFill="0" applyAlignment="0" applyProtection="0">
      <alignment vertical="center"/>
    </xf>
    <xf numFmtId="0" fontId="29" fillId="0" borderId="11" applyNumberFormat="0" applyFill="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13" fillId="19" borderId="0" applyNumberFormat="0" applyBorder="0" applyAlignment="0" applyProtection="0">
      <alignment vertical="center"/>
    </xf>
    <xf numFmtId="0" fontId="12"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8" borderId="0" applyNumberFormat="0" applyBorder="0" applyAlignment="0" applyProtection="0">
      <alignment vertical="center"/>
    </xf>
    <xf numFmtId="0" fontId="13" fillId="30" borderId="0" applyNumberFormat="0" applyBorder="0" applyAlignment="0" applyProtection="0">
      <alignment vertical="center"/>
    </xf>
    <xf numFmtId="0" fontId="12" fillId="5" borderId="0" applyNumberFormat="0" applyBorder="0" applyAlignment="0" applyProtection="0">
      <alignment vertical="center"/>
    </xf>
    <xf numFmtId="0" fontId="12" fillId="12" borderId="0" applyNumberFormat="0" applyBorder="0" applyAlignment="0" applyProtection="0">
      <alignment vertical="center"/>
    </xf>
    <xf numFmtId="0" fontId="13" fillId="27" borderId="0" applyNumberFormat="0" applyBorder="0" applyAlignment="0" applyProtection="0">
      <alignment vertical="center"/>
    </xf>
    <xf numFmtId="0" fontId="13" fillId="29" borderId="0" applyNumberFormat="0" applyBorder="0" applyAlignment="0" applyProtection="0">
      <alignment vertical="center"/>
    </xf>
    <xf numFmtId="0" fontId="12" fillId="16" borderId="0" applyNumberFormat="0" applyBorder="0" applyAlignment="0" applyProtection="0">
      <alignment vertical="center"/>
    </xf>
    <xf numFmtId="0" fontId="13" fillId="20" borderId="0" applyNumberFormat="0" applyBorder="0" applyAlignment="0" applyProtection="0">
      <alignment vertical="center"/>
    </xf>
    <xf numFmtId="0" fontId="12" fillId="21" borderId="0" applyNumberFormat="0" applyBorder="0" applyAlignment="0" applyProtection="0">
      <alignment vertical="center"/>
    </xf>
    <xf numFmtId="0" fontId="12" fillId="10" borderId="0" applyNumberFormat="0" applyBorder="0" applyAlignment="0" applyProtection="0">
      <alignment vertical="center"/>
    </xf>
    <xf numFmtId="0" fontId="26" fillId="0" borderId="0"/>
    <xf numFmtId="0" fontId="13" fillId="31" borderId="0" applyNumberFormat="0" applyBorder="0" applyAlignment="0" applyProtection="0">
      <alignment vertical="center"/>
    </xf>
    <xf numFmtId="0" fontId="12" fillId="32" borderId="0" applyNumberFormat="0" applyBorder="0" applyAlignment="0" applyProtection="0">
      <alignment vertical="center"/>
    </xf>
    <xf numFmtId="0" fontId="0" fillId="0" borderId="0">
      <alignment vertical="center"/>
    </xf>
    <xf numFmtId="0" fontId="0" fillId="0" borderId="0">
      <alignment vertical="center"/>
    </xf>
  </cellStyleXfs>
  <cellXfs count="37">
    <xf numFmtId="0" fontId="0" fillId="0" borderId="0" xfId="0">
      <alignment vertical="center"/>
    </xf>
    <xf numFmtId="0" fontId="1" fillId="0" borderId="0" xfId="0" applyFont="1" applyFill="1" applyAlignment="1">
      <alignment horizontal="center" vertical="center"/>
    </xf>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49" fontId="4" fillId="0" borderId="1" xfId="47" applyNumberFormat="1"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49" fontId="5"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xf>
    <xf numFmtId="0" fontId="5" fillId="0" borderId="3" xfId="0" applyFont="1" applyFill="1" applyBorder="1" applyAlignment="1">
      <alignment horizontal="center" vertical="center"/>
    </xf>
    <xf numFmtId="0" fontId="5" fillId="0" borderId="3" xfId="0" applyFont="1" applyFill="1" applyBorder="1" applyAlignment="1">
      <alignment horizontal="center" vertical="center" wrapText="1"/>
    </xf>
    <xf numFmtId="0" fontId="5" fillId="0" borderId="1" xfId="0" applyFont="1" applyFill="1" applyBorder="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vertical="center"/>
    </xf>
    <xf numFmtId="0" fontId="8" fillId="0" borderId="0" xfId="0" applyFont="1" applyFill="1" applyAlignment="1">
      <alignment vertical="center"/>
    </xf>
    <xf numFmtId="0" fontId="9" fillId="0" borderId="0" xfId="0" applyNumberFormat="1" applyFont="1" applyFill="1" applyAlignment="1">
      <alignment horizontal="center" vertical="center"/>
    </xf>
    <xf numFmtId="0" fontId="6" fillId="0" borderId="0" xfId="0" applyNumberFormat="1" applyFont="1" applyFill="1" applyAlignment="1">
      <alignment horizontal="center" vertical="center"/>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49" fontId="6" fillId="0" borderId="1" xfId="51" applyNumberFormat="1" applyFont="1" applyFill="1" applyBorder="1" applyAlignment="1">
      <alignment horizontal="center" vertical="center" wrapText="1"/>
    </xf>
    <xf numFmtId="0" fontId="10" fillId="0" borderId="1" xfId="51" applyFont="1" applyFill="1" applyBorder="1" applyAlignment="1" applyProtection="1">
      <alignment horizontal="center" vertical="center" wrapText="1"/>
    </xf>
    <xf numFmtId="49" fontId="6" fillId="0" borderId="1" xfId="47" applyNumberFormat="1" applyFont="1" applyFill="1" applyBorder="1" applyAlignment="1">
      <alignment horizontal="center" vertical="center" wrapText="1"/>
    </xf>
    <xf numFmtId="0" fontId="6" fillId="0" borderId="1" xfId="47" applyFont="1" applyFill="1" applyBorder="1" applyAlignment="1">
      <alignment horizontal="center" vertical="center" wrapText="1"/>
    </xf>
    <xf numFmtId="0" fontId="6" fillId="0" borderId="1" xfId="51"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176" fontId="6" fillId="0" borderId="1" xfId="47" applyNumberFormat="1" applyFont="1" applyFill="1" applyBorder="1" applyAlignment="1">
      <alignment horizontal="center" vertical="center" wrapText="1"/>
    </xf>
    <xf numFmtId="0" fontId="6" fillId="0" borderId="1" xfId="50" applyFont="1" applyFill="1" applyBorder="1" applyAlignment="1">
      <alignment horizontal="center" vertical="center" wrapText="1"/>
    </xf>
    <xf numFmtId="0" fontId="11" fillId="0" borderId="1" xfId="0" applyFont="1" applyFill="1" applyBorder="1" applyAlignment="1">
      <alignment horizontal="center" vertical="center" wrapText="1"/>
    </xf>
    <xf numFmtId="9" fontId="6" fillId="0" borderId="1" xfId="0" applyNumberFormat="1" applyFont="1" applyFill="1" applyBorder="1" applyAlignment="1">
      <alignment horizontal="center" vertical="center" wrapText="1"/>
    </xf>
    <xf numFmtId="0" fontId="10" fillId="0" borderId="1" xfId="51" applyFont="1" applyFill="1" applyBorder="1" applyAlignment="1">
      <alignment horizontal="center" vertical="center" wrapText="1"/>
    </xf>
    <xf numFmtId="0" fontId="10" fillId="0" borderId="1" xfId="51" applyNumberFormat="1" applyFont="1" applyFill="1" applyBorder="1" applyAlignment="1">
      <alignment horizontal="center" vertical="center" wrapText="1"/>
    </xf>
    <xf numFmtId="0" fontId="6" fillId="0" borderId="1" xfId="51" applyFont="1" applyFill="1" applyBorder="1" applyAlignment="1">
      <alignment horizontal="center" vertical="center"/>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常规 10" xfId="47"/>
    <cellStyle name="40% - 强调文字颜色 6" xfId="48" builtinId="51"/>
    <cellStyle name="60% - 强调文字颜色 6" xfId="49" builtinId="52"/>
    <cellStyle name="常规 2 17" xfId="50"/>
    <cellStyle name="常规 2"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Q43"/>
  <sheetViews>
    <sheetView tabSelected="1" zoomScale="60" zoomScaleNormal="60" workbookViewId="0">
      <pane xSplit="8" ySplit="4" topLeftCell="I5" activePane="bottomRight" state="frozen"/>
      <selection/>
      <selection pane="topRight"/>
      <selection pane="bottomLeft"/>
      <selection pane="bottomRight" activeCell="C7" sqref="C7"/>
    </sheetView>
  </sheetViews>
  <sheetFormatPr defaultColWidth="9" defaultRowHeight="18.75"/>
  <cols>
    <col min="1" max="1" width="6.425" style="16" customWidth="1"/>
    <col min="2" max="2" width="19.975" style="16" customWidth="1"/>
    <col min="3" max="3" width="18.5083333333333" style="16" customWidth="1"/>
    <col min="4" max="4" width="11.6083333333333" style="16" customWidth="1"/>
    <col min="5" max="5" width="8.19166666666667" style="16" customWidth="1"/>
    <col min="6" max="6" width="12.5333333333333" style="16" customWidth="1"/>
    <col min="7" max="7" width="7.975" style="16" customWidth="1"/>
    <col min="8" max="8" width="24.375" style="16" customWidth="1"/>
    <col min="9" max="9" width="74.4833333333333" style="16" customWidth="1"/>
    <col min="10" max="10" width="12.3833333333333" style="16" customWidth="1"/>
    <col min="11" max="11" width="7.45" style="16" customWidth="1"/>
    <col min="12" max="12" width="10.5" style="16" customWidth="1"/>
    <col min="13" max="13" width="11.9583333333333" style="16" customWidth="1"/>
    <col min="14" max="14" width="48.0333333333333" style="16" customWidth="1"/>
    <col min="15" max="15" width="11.375" style="16" customWidth="1"/>
    <col min="16" max="16" width="11.25" style="16" customWidth="1"/>
    <col min="17" max="17" width="23.0333333333333" style="16" customWidth="1"/>
    <col min="18" max="16384" width="9" style="16"/>
  </cols>
  <sheetData>
    <row r="1" s="2" customFormat="1" ht="41" customHeight="1" spans="1:4">
      <c r="A1" s="18" t="s">
        <v>0</v>
      </c>
      <c r="D1" s="1"/>
    </row>
    <row r="2" s="16" customFormat="1" ht="42" customHeight="1" spans="1:17">
      <c r="A2" s="19" t="s">
        <v>1</v>
      </c>
      <c r="B2" s="19"/>
      <c r="C2" s="19"/>
      <c r="D2" s="19"/>
      <c r="E2" s="19"/>
      <c r="F2" s="19"/>
      <c r="G2" s="19"/>
      <c r="H2" s="19"/>
      <c r="I2" s="19"/>
      <c r="J2" s="19"/>
      <c r="K2" s="19"/>
      <c r="L2" s="19"/>
      <c r="M2" s="19"/>
      <c r="N2" s="19"/>
      <c r="O2" s="19"/>
      <c r="P2" s="19"/>
      <c r="Q2" s="19"/>
    </row>
    <row r="3" s="16" customFormat="1" spans="1:17">
      <c r="A3" s="20"/>
      <c r="B3" s="20"/>
      <c r="C3" s="20"/>
      <c r="D3" s="20"/>
      <c r="E3" s="20"/>
      <c r="F3" s="20"/>
      <c r="G3" s="20"/>
      <c r="H3" s="20"/>
      <c r="I3" s="20"/>
      <c r="J3" s="20"/>
      <c r="K3" s="20"/>
      <c r="L3" s="20"/>
      <c r="M3" s="20"/>
      <c r="N3" s="20"/>
      <c r="O3" s="20"/>
      <c r="P3" s="20" t="s">
        <v>2</v>
      </c>
      <c r="Q3" s="20"/>
    </row>
    <row r="4" s="17" customFormat="1" ht="56.25" spans="1:17">
      <c r="A4" s="21" t="s">
        <v>3</v>
      </c>
      <c r="B4" s="21" t="s">
        <v>4</v>
      </c>
      <c r="C4" s="21" t="s">
        <v>5</v>
      </c>
      <c r="D4" s="22" t="s">
        <v>6</v>
      </c>
      <c r="E4" s="21" t="s">
        <v>7</v>
      </c>
      <c r="F4" s="21" t="s">
        <v>8</v>
      </c>
      <c r="G4" s="21" t="s">
        <v>9</v>
      </c>
      <c r="H4" s="21" t="s">
        <v>10</v>
      </c>
      <c r="I4" s="21" t="s">
        <v>11</v>
      </c>
      <c r="J4" s="21" t="s">
        <v>12</v>
      </c>
      <c r="K4" s="21" t="s">
        <v>13</v>
      </c>
      <c r="L4" s="21" t="s">
        <v>14</v>
      </c>
      <c r="M4" s="21" t="s">
        <v>15</v>
      </c>
      <c r="N4" s="21" t="s">
        <v>16</v>
      </c>
      <c r="O4" s="21" t="s">
        <v>17</v>
      </c>
      <c r="P4" s="21" t="s">
        <v>18</v>
      </c>
      <c r="Q4" s="21" t="s">
        <v>19</v>
      </c>
    </row>
    <row r="5" s="16" customFormat="1" ht="52" customHeight="1" spans="1:17">
      <c r="A5" s="23">
        <v>1</v>
      </c>
      <c r="B5" s="23" t="s">
        <v>20</v>
      </c>
      <c r="C5" s="23" t="s">
        <v>21</v>
      </c>
      <c r="D5" s="23" t="s">
        <v>22</v>
      </c>
      <c r="E5" s="23" t="s">
        <v>23</v>
      </c>
      <c r="F5" s="23" t="s">
        <v>24</v>
      </c>
      <c r="G5" s="23" t="s">
        <v>25</v>
      </c>
      <c r="H5" s="23" t="s">
        <v>26</v>
      </c>
      <c r="I5" s="23" t="s">
        <v>27</v>
      </c>
      <c r="J5" s="23" t="s">
        <v>28</v>
      </c>
      <c r="K5" s="23" t="s">
        <v>29</v>
      </c>
      <c r="L5" s="30">
        <v>2250</v>
      </c>
      <c r="M5" s="30">
        <f t="shared" ref="M5:M43" si="0">L5*0.85</f>
        <v>1912.5</v>
      </c>
      <c r="N5" s="23"/>
      <c r="O5" s="23" t="s">
        <v>30</v>
      </c>
      <c r="P5" s="23"/>
      <c r="Q5" s="23"/>
    </row>
    <row r="6" s="16" customFormat="1" ht="126" customHeight="1" spans="1:17">
      <c r="A6" s="23">
        <v>2</v>
      </c>
      <c r="B6" s="23" t="s">
        <v>31</v>
      </c>
      <c r="C6" s="23" t="s">
        <v>32</v>
      </c>
      <c r="D6" s="23" t="s">
        <v>33</v>
      </c>
      <c r="E6" s="23" t="s">
        <v>34</v>
      </c>
      <c r="F6" s="23" t="s">
        <v>35</v>
      </c>
      <c r="G6" s="23" t="s">
        <v>34</v>
      </c>
      <c r="H6" s="23" t="s">
        <v>36</v>
      </c>
      <c r="I6" s="23" t="s">
        <v>37</v>
      </c>
      <c r="J6" s="23" t="s">
        <v>38</v>
      </c>
      <c r="K6" s="23" t="s">
        <v>29</v>
      </c>
      <c r="L6" s="30">
        <v>3150</v>
      </c>
      <c r="M6" s="30">
        <f t="shared" si="0"/>
        <v>2677.5</v>
      </c>
      <c r="N6" s="23" t="s">
        <v>39</v>
      </c>
      <c r="O6" s="23" t="s">
        <v>30</v>
      </c>
      <c r="P6" s="23"/>
      <c r="Q6" s="23"/>
    </row>
    <row r="7" s="16" customFormat="1" ht="71" customHeight="1" spans="1:17">
      <c r="A7" s="23">
        <v>3</v>
      </c>
      <c r="B7" s="23" t="s">
        <v>40</v>
      </c>
      <c r="C7" s="23" t="s">
        <v>41</v>
      </c>
      <c r="D7" s="23" t="s">
        <v>22</v>
      </c>
      <c r="E7" s="23" t="s">
        <v>23</v>
      </c>
      <c r="F7" s="23" t="s">
        <v>24</v>
      </c>
      <c r="G7" s="23" t="s">
        <v>25</v>
      </c>
      <c r="H7" s="23" t="s">
        <v>42</v>
      </c>
      <c r="I7" s="23" t="s">
        <v>43</v>
      </c>
      <c r="J7" s="23" t="s">
        <v>44</v>
      </c>
      <c r="K7" s="31" t="s">
        <v>45</v>
      </c>
      <c r="L7" s="30">
        <v>1350</v>
      </c>
      <c r="M7" s="30">
        <f t="shared" si="0"/>
        <v>1147.5</v>
      </c>
      <c r="N7" s="23" t="s">
        <v>46</v>
      </c>
      <c r="O7" s="23" t="s">
        <v>30</v>
      </c>
      <c r="P7" s="23"/>
      <c r="Q7" s="23" t="s">
        <v>47</v>
      </c>
    </row>
    <row r="8" s="16" customFormat="1" ht="71" customHeight="1" spans="1:17">
      <c r="A8" s="23">
        <v>4</v>
      </c>
      <c r="B8" s="23" t="s">
        <v>48</v>
      </c>
      <c r="C8" s="23" t="s">
        <v>49</v>
      </c>
      <c r="D8" s="23" t="s">
        <v>22</v>
      </c>
      <c r="E8" s="23" t="s">
        <v>23</v>
      </c>
      <c r="F8" s="23" t="s">
        <v>24</v>
      </c>
      <c r="G8" s="23" t="s">
        <v>25</v>
      </c>
      <c r="H8" s="23" t="s">
        <v>50</v>
      </c>
      <c r="I8" s="23" t="s">
        <v>51</v>
      </c>
      <c r="J8" s="23" t="s">
        <v>52</v>
      </c>
      <c r="K8" s="31" t="s">
        <v>45</v>
      </c>
      <c r="L8" s="30">
        <v>1350</v>
      </c>
      <c r="M8" s="30">
        <f t="shared" si="0"/>
        <v>1147.5</v>
      </c>
      <c r="N8" s="23" t="s">
        <v>46</v>
      </c>
      <c r="O8" s="23" t="s">
        <v>30</v>
      </c>
      <c r="P8" s="23"/>
      <c r="Q8" s="23" t="s">
        <v>47</v>
      </c>
    </row>
    <row r="9" s="16" customFormat="1" ht="71" customHeight="1" spans="1:17">
      <c r="A9" s="23">
        <v>5</v>
      </c>
      <c r="B9" s="23" t="s">
        <v>53</v>
      </c>
      <c r="C9" s="23" t="s">
        <v>54</v>
      </c>
      <c r="D9" s="23" t="s">
        <v>22</v>
      </c>
      <c r="E9" s="23" t="s">
        <v>23</v>
      </c>
      <c r="F9" s="23" t="s">
        <v>24</v>
      </c>
      <c r="G9" s="23" t="s">
        <v>25</v>
      </c>
      <c r="H9" s="23" t="s">
        <v>55</v>
      </c>
      <c r="I9" s="23" t="s">
        <v>56</v>
      </c>
      <c r="J9" s="23" t="s">
        <v>57</v>
      </c>
      <c r="K9" s="31" t="s">
        <v>45</v>
      </c>
      <c r="L9" s="30">
        <v>1350</v>
      </c>
      <c r="M9" s="30">
        <f t="shared" si="0"/>
        <v>1147.5</v>
      </c>
      <c r="N9" s="23" t="s">
        <v>46</v>
      </c>
      <c r="O9" s="23" t="s">
        <v>30</v>
      </c>
      <c r="P9" s="23"/>
      <c r="Q9" s="23" t="s">
        <v>47</v>
      </c>
    </row>
    <row r="10" s="16" customFormat="1" ht="71" customHeight="1" spans="1:17">
      <c r="A10" s="23">
        <v>6</v>
      </c>
      <c r="B10" s="23" t="s">
        <v>58</v>
      </c>
      <c r="C10" s="23" t="s">
        <v>59</v>
      </c>
      <c r="D10" s="23" t="s">
        <v>22</v>
      </c>
      <c r="E10" s="23" t="s">
        <v>23</v>
      </c>
      <c r="F10" s="23" t="s">
        <v>24</v>
      </c>
      <c r="G10" s="23" t="s">
        <v>25</v>
      </c>
      <c r="H10" s="23" t="s">
        <v>60</v>
      </c>
      <c r="I10" s="23" t="s">
        <v>61</v>
      </c>
      <c r="J10" s="23"/>
      <c r="K10" s="23" t="s">
        <v>29</v>
      </c>
      <c r="L10" s="30">
        <v>900</v>
      </c>
      <c r="M10" s="30">
        <f t="shared" si="0"/>
        <v>765</v>
      </c>
      <c r="N10" s="23"/>
      <c r="O10" s="23" t="s">
        <v>30</v>
      </c>
      <c r="P10" s="23"/>
      <c r="Q10" s="23"/>
    </row>
    <row r="11" s="16" customFormat="1" ht="71" customHeight="1" spans="1:17">
      <c r="A11" s="23">
        <v>7</v>
      </c>
      <c r="B11" s="23" t="s">
        <v>62</v>
      </c>
      <c r="C11" s="23" t="s">
        <v>63</v>
      </c>
      <c r="D11" s="23" t="s">
        <v>64</v>
      </c>
      <c r="E11" s="23" t="s">
        <v>65</v>
      </c>
      <c r="F11" s="23" t="s">
        <v>66</v>
      </c>
      <c r="G11" s="23" t="s">
        <v>65</v>
      </c>
      <c r="H11" s="23" t="s">
        <v>67</v>
      </c>
      <c r="I11" s="23" t="s">
        <v>68</v>
      </c>
      <c r="J11" s="23"/>
      <c r="K11" s="23" t="s">
        <v>29</v>
      </c>
      <c r="L11" s="30">
        <v>72</v>
      </c>
      <c r="M11" s="30">
        <f t="shared" si="0"/>
        <v>61.2</v>
      </c>
      <c r="N11" s="23"/>
      <c r="O11" s="23" t="s">
        <v>30</v>
      </c>
      <c r="P11" s="23"/>
      <c r="Q11" s="23"/>
    </row>
    <row r="12" s="16" customFormat="1" ht="71" customHeight="1" spans="1:17">
      <c r="A12" s="23">
        <v>8</v>
      </c>
      <c r="B12" s="23" t="s">
        <v>69</v>
      </c>
      <c r="C12" s="23" t="s">
        <v>70</v>
      </c>
      <c r="D12" s="23" t="s">
        <v>64</v>
      </c>
      <c r="E12" s="23" t="s">
        <v>65</v>
      </c>
      <c r="F12" s="23" t="s">
        <v>66</v>
      </c>
      <c r="G12" s="23" t="s">
        <v>65</v>
      </c>
      <c r="H12" s="23" t="s">
        <v>71</v>
      </c>
      <c r="I12" s="23" t="s">
        <v>68</v>
      </c>
      <c r="J12" s="23"/>
      <c r="K12" s="23" t="s">
        <v>29</v>
      </c>
      <c r="L12" s="30">
        <v>81</v>
      </c>
      <c r="M12" s="30">
        <f t="shared" si="0"/>
        <v>68.85</v>
      </c>
      <c r="N12" s="23"/>
      <c r="O12" s="23" t="s">
        <v>30</v>
      </c>
      <c r="P12" s="23"/>
      <c r="Q12" s="23"/>
    </row>
    <row r="13" s="16" customFormat="1" ht="71" customHeight="1" spans="1:17">
      <c r="A13" s="23">
        <v>9</v>
      </c>
      <c r="B13" s="23" t="s">
        <v>72</v>
      </c>
      <c r="C13" s="23" t="s">
        <v>73</v>
      </c>
      <c r="D13" s="23" t="s">
        <v>64</v>
      </c>
      <c r="E13" s="23" t="s">
        <v>65</v>
      </c>
      <c r="F13" s="23" t="s">
        <v>66</v>
      </c>
      <c r="G13" s="23" t="s">
        <v>65</v>
      </c>
      <c r="H13" s="23" t="s">
        <v>74</v>
      </c>
      <c r="I13" s="23" t="s">
        <v>68</v>
      </c>
      <c r="J13" s="23"/>
      <c r="K13" s="23" t="s">
        <v>29</v>
      </c>
      <c r="L13" s="30">
        <v>81</v>
      </c>
      <c r="M13" s="30">
        <f t="shared" si="0"/>
        <v>68.85</v>
      </c>
      <c r="N13" s="23"/>
      <c r="O13" s="23" t="s">
        <v>30</v>
      </c>
      <c r="P13" s="23"/>
      <c r="Q13" s="23"/>
    </row>
    <row r="14" s="16" customFormat="1" ht="71" customHeight="1" spans="1:17">
      <c r="A14" s="23">
        <v>10</v>
      </c>
      <c r="B14" s="23" t="s">
        <v>75</v>
      </c>
      <c r="C14" s="23" t="s">
        <v>76</v>
      </c>
      <c r="D14" s="23" t="s">
        <v>64</v>
      </c>
      <c r="E14" s="23" t="s">
        <v>65</v>
      </c>
      <c r="F14" s="23" t="s">
        <v>66</v>
      </c>
      <c r="G14" s="23" t="s">
        <v>65</v>
      </c>
      <c r="H14" s="23" t="s">
        <v>77</v>
      </c>
      <c r="I14" s="23" t="s">
        <v>68</v>
      </c>
      <c r="J14" s="23"/>
      <c r="K14" s="23" t="s">
        <v>29</v>
      </c>
      <c r="L14" s="30">
        <v>81</v>
      </c>
      <c r="M14" s="30">
        <f t="shared" si="0"/>
        <v>68.85</v>
      </c>
      <c r="N14" s="23"/>
      <c r="O14" s="23" t="s">
        <v>30</v>
      </c>
      <c r="P14" s="23"/>
      <c r="Q14" s="23"/>
    </row>
    <row r="15" s="16" customFormat="1" ht="71" customHeight="1" spans="1:17">
      <c r="A15" s="23">
        <v>11</v>
      </c>
      <c r="B15" s="24" t="s">
        <v>78</v>
      </c>
      <c r="C15" s="24" t="s">
        <v>79</v>
      </c>
      <c r="D15" s="23" t="s">
        <v>64</v>
      </c>
      <c r="E15" s="23" t="s">
        <v>65</v>
      </c>
      <c r="F15" s="23" t="s">
        <v>66</v>
      </c>
      <c r="G15" s="23" t="s">
        <v>65</v>
      </c>
      <c r="H15" s="25" t="s">
        <v>80</v>
      </c>
      <c r="I15" s="25" t="s">
        <v>81</v>
      </c>
      <c r="J15" s="25"/>
      <c r="K15" s="25" t="s">
        <v>29</v>
      </c>
      <c r="L15" s="30">
        <v>180</v>
      </c>
      <c r="M15" s="30">
        <f t="shared" si="0"/>
        <v>153</v>
      </c>
      <c r="N15" s="25"/>
      <c r="O15" s="23" t="s">
        <v>30</v>
      </c>
      <c r="P15" s="25"/>
      <c r="Q15" s="25" t="s">
        <v>82</v>
      </c>
    </row>
    <row r="16" s="16" customFormat="1" ht="71" customHeight="1" spans="1:17">
      <c r="A16" s="23">
        <v>12</v>
      </c>
      <c r="B16" s="23" t="s">
        <v>83</v>
      </c>
      <c r="C16" s="23" t="s">
        <v>84</v>
      </c>
      <c r="D16" s="23" t="s">
        <v>64</v>
      </c>
      <c r="E16" s="23" t="s">
        <v>65</v>
      </c>
      <c r="F16" s="23" t="s">
        <v>66</v>
      </c>
      <c r="G16" s="23" t="s">
        <v>65</v>
      </c>
      <c r="H16" s="23" t="s">
        <v>85</v>
      </c>
      <c r="I16" s="23" t="s">
        <v>68</v>
      </c>
      <c r="J16" s="23"/>
      <c r="K16" s="23" t="s">
        <v>29</v>
      </c>
      <c r="L16" s="30">
        <v>180</v>
      </c>
      <c r="M16" s="30">
        <f t="shared" si="0"/>
        <v>153</v>
      </c>
      <c r="N16" s="32"/>
      <c r="O16" s="23" t="s">
        <v>30</v>
      </c>
      <c r="P16" s="23"/>
      <c r="Q16" s="23"/>
    </row>
    <row r="17" s="16" customFormat="1" ht="71" customHeight="1" spans="1:17">
      <c r="A17" s="23">
        <v>13</v>
      </c>
      <c r="B17" s="23" t="s">
        <v>86</v>
      </c>
      <c r="C17" s="23" t="s">
        <v>87</v>
      </c>
      <c r="D17" s="23" t="s">
        <v>64</v>
      </c>
      <c r="E17" s="23" t="s">
        <v>65</v>
      </c>
      <c r="F17" s="23" t="s">
        <v>66</v>
      </c>
      <c r="G17" s="23" t="s">
        <v>65</v>
      </c>
      <c r="H17" s="23" t="s">
        <v>88</v>
      </c>
      <c r="I17" s="23" t="s">
        <v>89</v>
      </c>
      <c r="J17" s="23"/>
      <c r="K17" s="23" t="s">
        <v>29</v>
      </c>
      <c r="L17" s="30">
        <v>72</v>
      </c>
      <c r="M17" s="30">
        <f t="shared" si="0"/>
        <v>61.2</v>
      </c>
      <c r="N17" s="23"/>
      <c r="O17" s="23"/>
      <c r="P17" s="23"/>
      <c r="Q17" s="23"/>
    </row>
    <row r="18" s="16" customFormat="1" ht="65" customHeight="1" spans="1:17">
      <c r="A18" s="23">
        <v>14</v>
      </c>
      <c r="B18" s="23" t="s">
        <v>90</v>
      </c>
      <c r="C18" s="23" t="s">
        <v>91</v>
      </c>
      <c r="D18" s="23" t="s">
        <v>64</v>
      </c>
      <c r="E18" s="23" t="s">
        <v>65</v>
      </c>
      <c r="F18" s="23" t="s">
        <v>66</v>
      </c>
      <c r="G18" s="23" t="s">
        <v>65</v>
      </c>
      <c r="H18" s="23" t="s">
        <v>92</v>
      </c>
      <c r="I18" s="23" t="s">
        <v>93</v>
      </c>
      <c r="J18" s="23"/>
      <c r="K18" s="23" t="s">
        <v>29</v>
      </c>
      <c r="L18" s="30">
        <v>180</v>
      </c>
      <c r="M18" s="30">
        <f t="shared" si="0"/>
        <v>153</v>
      </c>
      <c r="N18" s="23" t="s">
        <v>94</v>
      </c>
      <c r="O18" s="23" t="s">
        <v>30</v>
      </c>
      <c r="P18" s="23"/>
      <c r="Q18" s="23"/>
    </row>
    <row r="19" s="16" customFormat="1" ht="71" customHeight="1" spans="1:17">
      <c r="A19" s="23">
        <v>15</v>
      </c>
      <c r="B19" s="23" t="s">
        <v>95</v>
      </c>
      <c r="C19" s="23" t="s">
        <v>96</v>
      </c>
      <c r="D19" s="23" t="s">
        <v>64</v>
      </c>
      <c r="E19" s="23" t="s">
        <v>65</v>
      </c>
      <c r="F19" s="23" t="s">
        <v>66</v>
      </c>
      <c r="G19" s="23" t="s">
        <v>65</v>
      </c>
      <c r="H19" s="23" t="s">
        <v>97</v>
      </c>
      <c r="I19" s="23" t="s">
        <v>98</v>
      </c>
      <c r="J19" s="23"/>
      <c r="K19" s="23" t="s">
        <v>29</v>
      </c>
      <c r="L19" s="30">
        <v>225</v>
      </c>
      <c r="M19" s="30">
        <f t="shared" si="0"/>
        <v>191.25</v>
      </c>
      <c r="N19" s="23"/>
      <c r="O19" s="23" t="s">
        <v>30</v>
      </c>
      <c r="P19" s="23"/>
      <c r="Q19" s="23"/>
    </row>
    <row r="20" s="16" customFormat="1" ht="71" customHeight="1" spans="1:17">
      <c r="A20" s="23">
        <v>16</v>
      </c>
      <c r="B20" s="23" t="s">
        <v>99</v>
      </c>
      <c r="C20" s="23" t="s">
        <v>100</v>
      </c>
      <c r="D20" s="23" t="s">
        <v>64</v>
      </c>
      <c r="E20" s="23" t="s">
        <v>65</v>
      </c>
      <c r="F20" s="23" t="s">
        <v>66</v>
      </c>
      <c r="G20" s="23" t="s">
        <v>65</v>
      </c>
      <c r="H20" s="23" t="s">
        <v>101</v>
      </c>
      <c r="I20" s="23" t="s">
        <v>102</v>
      </c>
      <c r="J20" s="23"/>
      <c r="K20" s="23" t="s">
        <v>103</v>
      </c>
      <c r="L20" s="30">
        <v>45</v>
      </c>
      <c r="M20" s="30">
        <f t="shared" si="0"/>
        <v>38.25</v>
      </c>
      <c r="N20" s="23" t="s">
        <v>104</v>
      </c>
      <c r="O20" s="23" t="s">
        <v>30</v>
      </c>
      <c r="P20" s="23"/>
      <c r="Q20" s="23"/>
    </row>
    <row r="21" s="16" customFormat="1" ht="71" customHeight="1" spans="1:17">
      <c r="A21" s="23">
        <v>17</v>
      </c>
      <c r="B21" s="23" t="s">
        <v>105</v>
      </c>
      <c r="C21" s="23" t="s">
        <v>106</v>
      </c>
      <c r="D21" s="23" t="s">
        <v>64</v>
      </c>
      <c r="E21" s="23" t="s">
        <v>65</v>
      </c>
      <c r="F21" s="23" t="s">
        <v>66</v>
      </c>
      <c r="G21" s="23" t="s">
        <v>65</v>
      </c>
      <c r="H21" s="23" t="s">
        <v>107</v>
      </c>
      <c r="I21" s="23" t="s">
        <v>93</v>
      </c>
      <c r="J21" s="23"/>
      <c r="K21" s="23" t="s">
        <v>29</v>
      </c>
      <c r="L21" s="30">
        <v>135</v>
      </c>
      <c r="M21" s="30">
        <f t="shared" si="0"/>
        <v>114.75</v>
      </c>
      <c r="N21" s="23"/>
      <c r="O21" s="23" t="s">
        <v>30</v>
      </c>
      <c r="P21" s="23"/>
      <c r="Q21" s="23"/>
    </row>
    <row r="22" s="16" customFormat="1" ht="71" customHeight="1" spans="1:17">
      <c r="A22" s="23">
        <v>18</v>
      </c>
      <c r="B22" s="23" t="s">
        <v>108</v>
      </c>
      <c r="C22" s="23" t="s">
        <v>109</v>
      </c>
      <c r="D22" s="23" t="s">
        <v>64</v>
      </c>
      <c r="E22" s="23" t="s">
        <v>65</v>
      </c>
      <c r="F22" s="23" t="s">
        <v>66</v>
      </c>
      <c r="G22" s="23" t="s">
        <v>65</v>
      </c>
      <c r="H22" s="23" t="s">
        <v>110</v>
      </c>
      <c r="I22" s="23" t="s">
        <v>111</v>
      </c>
      <c r="J22" s="23"/>
      <c r="K22" s="23" t="s">
        <v>29</v>
      </c>
      <c r="L22" s="30">
        <v>54</v>
      </c>
      <c r="M22" s="30">
        <f t="shared" si="0"/>
        <v>45.9</v>
      </c>
      <c r="N22" s="23" t="s">
        <v>112</v>
      </c>
      <c r="O22" s="23"/>
      <c r="P22" s="23"/>
      <c r="Q22" s="23"/>
    </row>
    <row r="23" s="16" customFormat="1" ht="71" customHeight="1" spans="1:17">
      <c r="A23" s="23">
        <v>19</v>
      </c>
      <c r="B23" s="23" t="s">
        <v>113</v>
      </c>
      <c r="C23" s="23" t="s">
        <v>114</v>
      </c>
      <c r="D23" s="23" t="s">
        <v>64</v>
      </c>
      <c r="E23" s="23" t="s">
        <v>65</v>
      </c>
      <c r="F23" s="23" t="s">
        <v>66</v>
      </c>
      <c r="G23" s="23" t="s">
        <v>65</v>
      </c>
      <c r="H23" s="23" t="s">
        <v>115</v>
      </c>
      <c r="I23" s="23" t="s">
        <v>116</v>
      </c>
      <c r="J23" s="23"/>
      <c r="K23" s="23" t="s">
        <v>29</v>
      </c>
      <c r="L23" s="30">
        <v>180</v>
      </c>
      <c r="M23" s="30">
        <f t="shared" si="0"/>
        <v>153</v>
      </c>
      <c r="N23" s="23" t="s">
        <v>117</v>
      </c>
      <c r="O23" s="23" t="s">
        <v>30</v>
      </c>
      <c r="P23" s="23"/>
      <c r="Q23" s="23"/>
    </row>
    <row r="24" s="16" customFormat="1" ht="71" customHeight="1" spans="1:17">
      <c r="A24" s="23">
        <v>20</v>
      </c>
      <c r="B24" s="24" t="s">
        <v>118</v>
      </c>
      <c r="C24" s="24" t="s">
        <v>119</v>
      </c>
      <c r="D24" s="23" t="s">
        <v>64</v>
      </c>
      <c r="E24" s="23" t="s">
        <v>65</v>
      </c>
      <c r="F24" s="23" t="s">
        <v>66</v>
      </c>
      <c r="G24" s="23" t="s">
        <v>65</v>
      </c>
      <c r="H24" s="25" t="s">
        <v>120</v>
      </c>
      <c r="I24" s="25" t="s">
        <v>116</v>
      </c>
      <c r="J24" s="25"/>
      <c r="K24" s="25" t="s">
        <v>29</v>
      </c>
      <c r="L24" s="30">
        <v>108</v>
      </c>
      <c r="M24" s="30">
        <f t="shared" si="0"/>
        <v>91.8</v>
      </c>
      <c r="N24" s="25"/>
      <c r="O24" s="25"/>
      <c r="P24" s="25"/>
      <c r="Q24" s="25"/>
    </row>
    <row r="25" s="16" customFormat="1" ht="71" customHeight="1" spans="1:17">
      <c r="A25" s="23">
        <v>21</v>
      </c>
      <c r="B25" s="23" t="s">
        <v>121</v>
      </c>
      <c r="C25" s="23" t="s">
        <v>122</v>
      </c>
      <c r="D25" s="23" t="s">
        <v>64</v>
      </c>
      <c r="E25" s="23" t="s">
        <v>65</v>
      </c>
      <c r="F25" s="23" t="s">
        <v>66</v>
      </c>
      <c r="G25" s="23" t="s">
        <v>65</v>
      </c>
      <c r="H25" s="23" t="s">
        <v>123</v>
      </c>
      <c r="I25" s="23" t="s">
        <v>116</v>
      </c>
      <c r="J25" s="23"/>
      <c r="K25" s="23" t="s">
        <v>29</v>
      </c>
      <c r="L25" s="30">
        <v>180</v>
      </c>
      <c r="M25" s="30">
        <f t="shared" si="0"/>
        <v>153</v>
      </c>
      <c r="N25" s="23" t="s">
        <v>124</v>
      </c>
      <c r="O25" s="23" t="s">
        <v>30</v>
      </c>
      <c r="P25" s="23"/>
      <c r="Q25" s="23"/>
    </row>
    <row r="26" s="16" customFormat="1" ht="88" customHeight="1" spans="1:17">
      <c r="A26" s="23">
        <v>22</v>
      </c>
      <c r="B26" s="23" t="s">
        <v>125</v>
      </c>
      <c r="C26" s="23" t="s">
        <v>126</v>
      </c>
      <c r="D26" s="23" t="s">
        <v>64</v>
      </c>
      <c r="E26" s="23" t="s">
        <v>65</v>
      </c>
      <c r="F26" s="23" t="s">
        <v>66</v>
      </c>
      <c r="G26" s="23" t="s">
        <v>65</v>
      </c>
      <c r="H26" s="23" t="s">
        <v>127</v>
      </c>
      <c r="I26" s="23" t="s">
        <v>128</v>
      </c>
      <c r="J26" s="23"/>
      <c r="K26" s="23" t="s">
        <v>29</v>
      </c>
      <c r="L26" s="30">
        <v>360</v>
      </c>
      <c r="M26" s="30">
        <f t="shared" si="0"/>
        <v>306</v>
      </c>
      <c r="N26" s="23" t="s">
        <v>129</v>
      </c>
      <c r="O26" s="23" t="s">
        <v>30</v>
      </c>
      <c r="P26" s="23"/>
      <c r="Q26" s="23"/>
    </row>
    <row r="27" s="16" customFormat="1" ht="88" customHeight="1" spans="1:17">
      <c r="A27" s="23">
        <v>23</v>
      </c>
      <c r="B27" s="23" t="s">
        <v>130</v>
      </c>
      <c r="C27" s="23" t="s">
        <v>131</v>
      </c>
      <c r="D27" s="23" t="s">
        <v>64</v>
      </c>
      <c r="E27" s="23" t="s">
        <v>65</v>
      </c>
      <c r="F27" s="23" t="s">
        <v>66</v>
      </c>
      <c r="G27" s="23" t="s">
        <v>65</v>
      </c>
      <c r="H27" s="23" t="s">
        <v>132</v>
      </c>
      <c r="I27" s="23" t="s">
        <v>133</v>
      </c>
      <c r="J27" s="23"/>
      <c r="K27" s="23" t="s">
        <v>29</v>
      </c>
      <c r="L27" s="30">
        <v>360</v>
      </c>
      <c r="M27" s="30">
        <f t="shared" si="0"/>
        <v>306</v>
      </c>
      <c r="N27" s="23" t="s">
        <v>134</v>
      </c>
      <c r="O27" s="23" t="s">
        <v>30</v>
      </c>
      <c r="P27" s="23"/>
      <c r="Q27" s="23"/>
    </row>
    <row r="28" s="16" customFormat="1" ht="88" customHeight="1" spans="1:17">
      <c r="A28" s="23">
        <v>24</v>
      </c>
      <c r="B28" s="23" t="s">
        <v>135</v>
      </c>
      <c r="C28" s="23" t="s">
        <v>136</v>
      </c>
      <c r="D28" s="23" t="s">
        <v>64</v>
      </c>
      <c r="E28" s="23" t="s">
        <v>65</v>
      </c>
      <c r="F28" s="23" t="s">
        <v>66</v>
      </c>
      <c r="G28" s="23" t="s">
        <v>65</v>
      </c>
      <c r="H28" s="23" t="s">
        <v>137</v>
      </c>
      <c r="I28" s="23" t="s">
        <v>138</v>
      </c>
      <c r="J28" s="23"/>
      <c r="K28" s="23" t="s">
        <v>29</v>
      </c>
      <c r="L28" s="30">
        <v>630</v>
      </c>
      <c r="M28" s="30">
        <f t="shared" si="0"/>
        <v>535.5</v>
      </c>
      <c r="N28" s="23"/>
      <c r="O28" s="23" t="s">
        <v>30</v>
      </c>
      <c r="P28" s="33">
        <v>0.2</v>
      </c>
      <c r="Q28" s="23" t="s">
        <v>139</v>
      </c>
    </row>
    <row r="29" s="16" customFormat="1" ht="88" customHeight="1" spans="1:17">
      <c r="A29" s="23">
        <v>25</v>
      </c>
      <c r="B29" s="23" t="s">
        <v>140</v>
      </c>
      <c r="C29" s="23" t="s">
        <v>141</v>
      </c>
      <c r="D29" s="23" t="s">
        <v>64</v>
      </c>
      <c r="E29" s="23" t="s">
        <v>65</v>
      </c>
      <c r="F29" s="23" t="s">
        <v>66</v>
      </c>
      <c r="G29" s="23" t="s">
        <v>65</v>
      </c>
      <c r="H29" s="23" t="s">
        <v>142</v>
      </c>
      <c r="I29" s="23" t="s">
        <v>143</v>
      </c>
      <c r="J29" s="23"/>
      <c r="K29" s="23" t="s">
        <v>29</v>
      </c>
      <c r="L29" s="30">
        <v>342</v>
      </c>
      <c r="M29" s="30">
        <f t="shared" si="0"/>
        <v>290.7</v>
      </c>
      <c r="N29" s="23" t="s">
        <v>144</v>
      </c>
      <c r="O29" s="23"/>
      <c r="P29" s="23"/>
      <c r="Q29" s="23"/>
    </row>
    <row r="30" s="16" customFormat="1" ht="78" customHeight="1" spans="1:17">
      <c r="A30" s="23">
        <v>26</v>
      </c>
      <c r="B30" s="26" t="s">
        <v>145</v>
      </c>
      <c r="C30" s="26" t="s">
        <v>146</v>
      </c>
      <c r="D30" s="27" t="s">
        <v>22</v>
      </c>
      <c r="E30" s="27" t="s">
        <v>23</v>
      </c>
      <c r="F30" s="27" t="s">
        <v>24</v>
      </c>
      <c r="G30" s="27" t="s">
        <v>25</v>
      </c>
      <c r="H30" s="27" t="s">
        <v>147</v>
      </c>
      <c r="I30" s="27" t="s">
        <v>148</v>
      </c>
      <c r="J30" s="27" t="s">
        <v>149</v>
      </c>
      <c r="K30" s="27" t="s">
        <v>150</v>
      </c>
      <c r="L30" s="30">
        <v>14</v>
      </c>
      <c r="M30" s="30">
        <f t="shared" si="0"/>
        <v>11.9</v>
      </c>
      <c r="N30" s="27" t="s">
        <v>151</v>
      </c>
      <c r="O30" s="23" t="s">
        <v>30</v>
      </c>
      <c r="P30" s="23"/>
      <c r="Q30" s="23"/>
    </row>
    <row r="31" s="16" customFormat="1" ht="52" customHeight="1" spans="1:17">
      <c r="A31" s="23">
        <v>27</v>
      </c>
      <c r="B31" s="26" t="s">
        <v>152</v>
      </c>
      <c r="C31" s="26" t="s">
        <v>153</v>
      </c>
      <c r="D31" s="23" t="s">
        <v>22</v>
      </c>
      <c r="E31" s="23" t="s">
        <v>23</v>
      </c>
      <c r="F31" s="23" t="s">
        <v>24</v>
      </c>
      <c r="G31" s="23" t="s">
        <v>25</v>
      </c>
      <c r="H31" s="23" t="s">
        <v>154</v>
      </c>
      <c r="I31" s="23" t="s">
        <v>155</v>
      </c>
      <c r="J31" s="23"/>
      <c r="K31" s="23" t="s">
        <v>156</v>
      </c>
      <c r="L31" s="30">
        <v>9</v>
      </c>
      <c r="M31" s="30">
        <f t="shared" si="0"/>
        <v>7.65</v>
      </c>
      <c r="N31" s="23" t="s">
        <v>157</v>
      </c>
      <c r="O31" s="23" t="s">
        <v>30</v>
      </c>
      <c r="P31" s="23"/>
      <c r="Q31" s="23"/>
    </row>
    <row r="32" s="16" customFormat="1" ht="52" customHeight="1" spans="1:17">
      <c r="A32" s="23">
        <v>28</v>
      </c>
      <c r="B32" s="23" t="s">
        <v>158</v>
      </c>
      <c r="C32" s="23">
        <v>311501006</v>
      </c>
      <c r="D32" s="23" t="s">
        <v>159</v>
      </c>
      <c r="E32" s="23" t="s">
        <v>160</v>
      </c>
      <c r="F32" s="23" t="s">
        <v>161</v>
      </c>
      <c r="G32" s="23" t="s">
        <v>23</v>
      </c>
      <c r="H32" s="23" t="s">
        <v>162</v>
      </c>
      <c r="I32" s="23" t="s">
        <v>163</v>
      </c>
      <c r="J32" s="23"/>
      <c r="K32" s="23" t="s">
        <v>29</v>
      </c>
      <c r="L32" s="30">
        <v>9</v>
      </c>
      <c r="M32" s="30">
        <f t="shared" si="0"/>
        <v>7.65</v>
      </c>
      <c r="N32" s="23" t="s">
        <v>164</v>
      </c>
      <c r="O32" s="23" t="s">
        <v>30</v>
      </c>
      <c r="P32" s="33">
        <v>0.1</v>
      </c>
      <c r="Q32" s="23"/>
    </row>
    <row r="33" s="16" customFormat="1" ht="88" customHeight="1" spans="1:17">
      <c r="A33" s="23">
        <v>29</v>
      </c>
      <c r="B33" s="23" t="s">
        <v>165</v>
      </c>
      <c r="C33" s="23" t="s">
        <v>166</v>
      </c>
      <c r="D33" s="23" t="s">
        <v>159</v>
      </c>
      <c r="E33" s="23" t="s">
        <v>160</v>
      </c>
      <c r="F33" s="23" t="s">
        <v>167</v>
      </c>
      <c r="G33" s="23" t="s">
        <v>160</v>
      </c>
      <c r="H33" s="23" t="s">
        <v>168</v>
      </c>
      <c r="I33" s="23" t="s">
        <v>169</v>
      </c>
      <c r="J33" s="23"/>
      <c r="K33" s="23" t="s">
        <v>29</v>
      </c>
      <c r="L33" s="30">
        <v>576</v>
      </c>
      <c r="M33" s="30">
        <f t="shared" si="0"/>
        <v>489.6</v>
      </c>
      <c r="N33" s="23"/>
      <c r="O33" s="23" t="s">
        <v>30</v>
      </c>
      <c r="P33" s="23"/>
      <c r="Q33" s="23"/>
    </row>
    <row r="34" s="16" customFormat="1" ht="393.75" spans="1:17">
      <c r="A34" s="23">
        <v>30</v>
      </c>
      <c r="B34" s="23" t="s">
        <v>170</v>
      </c>
      <c r="C34" s="23" t="s">
        <v>171</v>
      </c>
      <c r="D34" s="23" t="s">
        <v>22</v>
      </c>
      <c r="E34" s="23" t="s">
        <v>23</v>
      </c>
      <c r="F34" s="23" t="s">
        <v>24</v>
      </c>
      <c r="G34" s="23" t="s">
        <v>25</v>
      </c>
      <c r="H34" s="23" t="s">
        <v>172</v>
      </c>
      <c r="I34" s="23" t="s">
        <v>173</v>
      </c>
      <c r="J34" s="23"/>
      <c r="K34" s="23" t="s">
        <v>150</v>
      </c>
      <c r="L34" s="30">
        <v>45</v>
      </c>
      <c r="M34" s="30">
        <f t="shared" si="0"/>
        <v>38.25</v>
      </c>
      <c r="N34" s="23" t="s">
        <v>174</v>
      </c>
      <c r="O34" s="23" t="s">
        <v>30</v>
      </c>
      <c r="P34" s="23"/>
      <c r="Q34" s="23"/>
    </row>
    <row r="35" s="16" customFormat="1" ht="37.5" spans="1:17">
      <c r="A35" s="23">
        <v>31</v>
      </c>
      <c r="B35" s="23" t="s">
        <v>175</v>
      </c>
      <c r="C35" s="23" t="s">
        <v>176</v>
      </c>
      <c r="D35" s="23" t="s">
        <v>33</v>
      </c>
      <c r="E35" s="23" t="s">
        <v>34</v>
      </c>
      <c r="F35" s="23" t="s">
        <v>35</v>
      </c>
      <c r="G35" s="23" t="s">
        <v>34</v>
      </c>
      <c r="H35" s="23" t="s">
        <v>177</v>
      </c>
      <c r="I35" s="23" t="s">
        <v>178</v>
      </c>
      <c r="J35" s="23"/>
      <c r="K35" s="23" t="s">
        <v>29</v>
      </c>
      <c r="L35" s="30">
        <v>180</v>
      </c>
      <c r="M35" s="30">
        <f t="shared" si="0"/>
        <v>153</v>
      </c>
      <c r="N35" s="23"/>
      <c r="O35" s="23" t="s">
        <v>30</v>
      </c>
      <c r="P35" s="23"/>
      <c r="Q35" s="23"/>
    </row>
    <row r="36" s="16" customFormat="1" ht="153" customHeight="1" spans="1:17">
      <c r="A36" s="23">
        <v>32</v>
      </c>
      <c r="B36" s="23" t="s">
        <v>179</v>
      </c>
      <c r="C36" s="23" t="s">
        <v>180</v>
      </c>
      <c r="D36" s="23" t="s">
        <v>22</v>
      </c>
      <c r="E36" s="23" t="s">
        <v>23</v>
      </c>
      <c r="F36" s="23" t="s">
        <v>24</v>
      </c>
      <c r="G36" s="23" t="s">
        <v>25</v>
      </c>
      <c r="H36" s="23" t="s">
        <v>181</v>
      </c>
      <c r="I36" s="23" t="s">
        <v>182</v>
      </c>
      <c r="J36" s="23"/>
      <c r="K36" s="23" t="s">
        <v>29</v>
      </c>
      <c r="L36" s="30">
        <v>4212</v>
      </c>
      <c r="M36" s="30">
        <f t="shared" si="0"/>
        <v>3580.2</v>
      </c>
      <c r="N36" s="23"/>
      <c r="O36" s="23" t="s">
        <v>30</v>
      </c>
      <c r="P36" s="23"/>
      <c r="Q36" s="23"/>
    </row>
    <row r="37" s="16" customFormat="1" ht="70" customHeight="1" spans="1:17">
      <c r="A37" s="23">
        <v>33</v>
      </c>
      <c r="B37" s="24" t="s">
        <v>183</v>
      </c>
      <c r="C37" s="24" t="s">
        <v>184</v>
      </c>
      <c r="D37" s="23" t="s">
        <v>33</v>
      </c>
      <c r="E37" s="23" t="s">
        <v>34</v>
      </c>
      <c r="F37" s="23" t="s">
        <v>35</v>
      </c>
      <c r="G37" s="23" t="s">
        <v>34</v>
      </c>
      <c r="H37" s="28" t="s">
        <v>185</v>
      </c>
      <c r="I37" s="28" t="s">
        <v>186</v>
      </c>
      <c r="J37" s="34"/>
      <c r="K37" s="31" t="s">
        <v>29</v>
      </c>
      <c r="L37" s="30">
        <v>2700</v>
      </c>
      <c r="M37" s="30">
        <f t="shared" si="0"/>
        <v>2295</v>
      </c>
      <c r="N37" s="35" t="s">
        <v>187</v>
      </c>
      <c r="O37" s="23" t="s">
        <v>30</v>
      </c>
      <c r="P37" s="36"/>
      <c r="Q37" s="36"/>
    </row>
    <row r="38" s="16" customFormat="1" ht="87" customHeight="1" spans="1:17">
      <c r="A38" s="23">
        <v>34</v>
      </c>
      <c r="B38" s="23" t="s">
        <v>188</v>
      </c>
      <c r="C38" s="23" t="s">
        <v>189</v>
      </c>
      <c r="D38" s="23" t="s">
        <v>33</v>
      </c>
      <c r="E38" s="23" t="s">
        <v>34</v>
      </c>
      <c r="F38" s="23" t="s">
        <v>35</v>
      </c>
      <c r="G38" s="23" t="s">
        <v>34</v>
      </c>
      <c r="H38" s="23" t="s">
        <v>190</v>
      </c>
      <c r="I38" s="23" t="s">
        <v>191</v>
      </c>
      <c r="J38" s="23"/>
      <c r="K38" s="23" t="s">
        <v>192</v>
      </c>
      <c r="L38" s="30">
        <v>2250</v>
      </c>
      <c r="M38" s="30">
        <f t="shared" si="0"/>
        <v>1912.5</v>
      </c>
      <c r="N38" s="23" t="s">
        <v>193</v>
      </c>
      <c r="O38" s="23"/>
      <c r="P38" s="23"/>
      <c r="Q38" s="23"/>
    </row>
    <row r="39" s="16" customFormat="1" ht="67" customHeight="1" spans="1:17">
      <c r="A39" s="23">
        <v>35</v>
      </c>
      <c r="B39" s="23" t="s">
        <v>194</v>
      </c>
      <c r="C39" s="23" t="s">
        <v>195</v>
      </c>
      <c r="D39" s="23" t="s">
        <v>22</v>
      </c>
      <c r="E39" s="23" t="s">
        <v>23</v>
      </c>
      <c r="F39" s="23" t="s">
        <v>24</v>
      </c>
      <c r="G39" s="23" t="s">
        <v>25</v>
      </c>
      <c r="H39" s="23" t="s">
        <v>196</v>
      </c>
      <c r="I39" s="23" t="s">
        <v>197</v>
      </c>
      <c r="J39" s="23"/>
      <c r="K39" s="23" t="s">
        <v>198</v>
      </c>
      <c r="L39" s="30">
        <v>720</v>
      </c>
      <c r="M39" s="30">
        <f t="shared" si="0"/>
        <v>612</v>
      </c>
      <c r="N39" s="23" t="s">
        <v>199</v>
      </c>
      <c r="O39" s="23" t="s">
        <v>30</v>
      </c>
      <c r="P39" s="23"/>
      <c r="Q39" s="23" t="s">
        <v>200</v>
      </c>
    </row>
    <row r="40" s="16" customFormat="1" ht="63" customHeight="1" spans="1:17">
      <c r="A40" s="23">
        <v>36</v>
      </c>
      <c r="B40" s="23" t="s">
        <v>201</v>
      </c>
      <c r="C40" s="23" t="s">
        <v>202</v>
      </c>
      <c r="D40" s="23" t="s">
        <v>33</v>
      </c>
      <c r="E40" s="23" t="s">
        <v>34</v>
      </c>
      <c r="F40" s="23" t="s">
        <v>35</v>
      </c>
      <c r="G40" s="23" t="s">
        <v>34</v>
      </c>
      <c r="H40" s="23" t="s">
        <v>203</v>
      </c>
      <c r="I40" s="23" t="s">
        <v>204</v>
      </c>
      <c r="J40" s="23"/>
      <c r="K40" s="23" t="s">
        <v>29</v>
      </c>
      <c r="L40" s="30">
        <v>1800</v>
      </c>
      <c r="M40" s="30">
        <f t="shared" si="0"/>
        <v>1530</v>
      </c>
      <c r="N40" s="23" t="s">
        <v>205</v>
      </c>
      <c r="O40" s="23"/>
      <c r="P40" s="23"/>
      <c r="Q40" s="23"/>
    </row>
    <row r="41" s="16" customFormat="1" ht="70" customHeight="1" spans="1:17">
      <c r="A41" s="23">
        <v>37</v>
      </c>
      <c r="B41" s="23" t="s">
        <v>206</v>
      </c>
      <c r="C41" s="23" t="s">
        <v>207</v>
      </c>
      <c r="D41" s="23" t="s">
        <v>33</v>
      </c>
      <c r="E41" s="23" t="s">
        <v>34</v>
      </c>
      <c r="F41" s="23" t="s">
        <v>35</v>
      </c>
      <c r="G41" s="23" t="s">
        <v>34</v>
      </c>
      <c r="H41" s="23" t="s">
        <v>208</v>
      </c>
      <c r="I41" s="23" t="s">
        <v>209</v>
      </c>
      <c r="J41" s="23" t="s">
        <v>210</v>
      </c>
      <c r="K41" s="23" t="s">
        <v>29</v>
      </c>
      <c r="L41" s="30">
        <v>1800</v>
      </c>
      <c r="M41" s="30">
        <f t="shared" si="0"/>
        <v>1530</v>
      </c>
      <c r="N41" s="23" t="s">
        <v>211</v>
      </c>
      <c r="O41" s="23" t="s">
        <v>30</v>
      </c>
      <c r="P41" s="23"/>
      <c r="Q41" s="23"/>
    </row>
    <row r="42" s="16" customFormat="1" ht="70" customHeight="1" spans="1:17">
      <c r="A42" s="23">
        <v>38</v>
      </c>
      <c r="B42" s="23" t="s">
        <v>212</v>
      </c>
      <c r="C42" s="29" t="s">
        <v>213</v>
      </c>
      <c r="D42" s="23" t="s">
        <v>159</v>
      </c>
      <c r="E42" s="23" t="s">
        <v>160</v>
      </c>
      <c r="F42" s="23" t="s">
        <v>161</v>
      </c>
      <c r="G42" s="23" t="s">
        <v>23</v>
      </c>
      <c r="H42" s="23" t="s">
        <v>214</v>
      </c>
      <c r="I42" s="23" t="s">
        <v>215</v>
      </c>
      <c r="J42" s="23"/>
      <c r="K42" s="23" t="s">
        <v>216</v>
      </c>
      <c r="L42" s="30">
        <v>18</v>
      </c>
      <c r="M42" s="30">
        <f t="shared" si="0"/>
        <v>15.3</v>
      </c>
      <c r="N42" s="23" t="s">
        <v>217</v>
      </c>
      <c r="O42" s="23" t="s">
        <v>30</v>
      </c>
      <c r="P42" s="23"/>
      <c r="Q42" s="23" t="s">
        <v>218</v>
      </c>
    </row>
    <row r="43" s="16" customFormat="1" ht="65" customHeight="1" spans="1:17">
      <c r="A43" s="23">
        <v>39</v>
      </c>
      <c r="B43" s="23" t="s">
        <v>219</v>
      </c>
      <c r="C43" s="23" t="s">
        <v>220</v>
      </c>
      <c r="D43" s="23" t="s">
        <v>33</v>
      </c>
      <c r="E43" s="23" t="s">
        <v>34</v>
      </c>
      <c r="F43" s="23" t="s">
        <v>35</v>
      </c>
      <c r="G43" s="23" t="s">
        <v>34</v>
      </c>
      <c r="H43" s="23" t="s">
        <v>221</v>
      </c>
      <c r="I43" s="23" t="s">
        <v>222</v>
      </c>
      <c r="J43" s="23"/>
      <c r="K43" s="23" t="s">
        <v>29</v>
      </c>
      <c r="L43" s="30">
        <v>315</v>
      </c>
      <c r="M43" s="30">
        <f t="shared" si="0"/>
        <v>267.75</v>
      </c>
      <c r="N43" s="23"/>
      <c r="O43" s="23" t="s">
        <v>30</v>
      </c>
      <c r="P43" s="23"/>
      <c r="Q43" s="23"/>
    </row>
  </sheetData>
  <autoFilter ref="A4:Q43">
    <extLst/>
  </autoFilter>
  <mergeCells count="1">
    <mergeCell ref="A2:Q2"/>
  </mergeCells>
  <pageMargins left="0.0784722222222222" right="0.0784722222222222" top="0.393055555555556" bottom="0.236111111111111" header="0.236111111111111" footer="0.275"/>
  <pageSetup paperSize="9" scale="46"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6"/>
  <sheetViews>
    <sheetView zoomScale="105" zoomScaleNormal="105" workbookViewId="0">
      <selection activeCell="D9" sqref="D9"/>
    </sheetView>
  </sheetViews>
  <sheetFormatPr defaultColWidth="9" defaultRowHeight="13.5" outlineLevelRow="5" outlineLevelCol="7"/>
  <cols>
    <col min="1" max="1" width="7.46666666666667" style="2" customWidth="1"/>
    <col min="2" max="2" width="15.125" style="2" customWidth="1"/>
    <col min="3" max="3" width="24.875" style="2" customWidth="1"/>
    <col min="4" max="4" width="29.7916666666667" style="2" customWidth="1"/>
    <col min="5" max="5" width="15.725" style="2" customWidth="1"/>
    <col min="6" max="6" width="22.875" style="2" customWidth="1"/>
    <col min="7" max="7" width="12.375" style="2" customWidth="1"/>
    <col min="8" max="8" width="13.75" style="2" customWidth="1"/>
    <col min="9" max="16384" width="9" style="2"/>
  </cols>
  <sheetData>
    <row r="1" ht="25" customHeight="1" spans="1:4">
      <c r="A1" s="3" t="s">
        <v>223</v>
      </c>
      <c r="D1" s="1"/>
    </row>
    <row r="2" ht="41.1" customHeight="1" spans="1:8">
      <c r="A2" s="4" t="s">
        <v>224</v>
      </c>
      <c r="B2" s="4"/>
      <c r="C2" s="4"/>
      <c r="D2" s="4"/>
      <c r="E2" s="4"/>
      <c r="F2" s="4"/>
      <c r="G2" s="4"/>
      <c r="H2" s="4"/>
    </row>
    <row r="3" s="1" customFormat="1" ht="31" customHeight="1" spans="1:8">
      <c r="A3" s="5" t="s">
        <v>3</v>
      </c>
      <c r="B3" s="6" t="s">
        <v>5</v>
      </c>
      <c r="C3" s="6" t="s">
        <v>10</v>
      </c>
      <c r="D3" s="6" t="s">
        <v>225</v>
      </c>
      <c r="E3" s="6" t="s">
        <v>226</v>
      </c>
      <c r="F3" s="5" t="s">
        <v>227</v>
      </c>
      <c r="G3" s="5" t="s">
        <v>17</v>
      </c>
      <c r="H3" s="7" t="s">
        <v>18</v>
      </c>
    </row>
    <row r="4" s="1" customFormat="1" ht="28.9" customHeight="1" spans="1:8">
      <c r="A4" s="8">
        <v>1</v>
      </c>
      <c r="B4" s="9" t="s">
        <v>32</v>
      </c>
      <c r="C4" s="9" t="s">
        <v>36</v>
      </c>
      <c r="D4" s="10" t="s">
        <v>228</v>
      </c>
      <c r="E4" s="10">
        <v>960112</v>
      </c>
      <c r="F4" s="11" t="s">
        <v>229</v>
      </c>
      <c r="G4" s="11" t="s">
        <v>30</v>
      </c>
      <c r="H4" s="12">
        <v>0.2</v>
      </c>
    </row>
    <row r="5" s="1" customFormat="1" ht="28.9" customHeight="1" spans="1:8">
      <c r="A5" s="13"/>
      <c r="B5" s="14"/>
      <c r="C5" s="14"/>
      <c r="D5" s="10" t="s">
        <v>230</v>
      </c>
      <c r="E5" s="10">
        <v>960113</v>
      </c>
      <c r="F5" s="11" t="s">
        <v>231</v>
      </c>
      <c r="G5" s="11" t="s">
        <v>30</v>
      </c>
      <c r="H5" s="12">
        <v>0.2</v>
      </c>
    </row>
    <row r="6" s="1" customFormat="1" ht="29.25" customHeight="1" spans="1:8">
      <c r="A6" s="15">
        <v>2</v>
      </c>
      <c r="B6" s="15">
        <v>1204</v>
      </c>
      <c r="C6" s="15" t="s">
        <v>232</v>
      </c>
      <c r="D6" s="15" t="s">
        <v>233</v>
      </c>
      <c r="E6" s="15">
        <v>950029</v>
      </c>
      <c r="F6" s="11" t="s">
        <v>234</v>
      </c>
      <c r="G6" s="15" t="s">
        <v>30</v>
      </c>
      <c r="H6" s="15"/>
    </row>
  </sheetData>
  <mergeCells count="4">
    <mergeCell ref="A2:H2"/>
    <mergeCell ref="A4:A5"/>
    <mergeCell ref="B4:B5"/>
    <mergeCell ref="C4:C5"/>
  </mergeCells>
  <pageMargins left="0.432638888888889" right="0.275" top="0.865972222222222" bottom="0.984251968503937" header="0.511805555555556" footer="0.511811023622047"/>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附件1</vt:lpstr>
      <vt:lpstr>附件2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Qin.</cp:lastModifiedBy>
  <dcterms:created xsi:type="dcterms:W3CDTF">2021-01-05T08:12:00Z</dcterms:created>
  <dcterms:modified xsi:type="dcterms:W3CDTF">2021-01-07T02:43:24Z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2052-11.1.0.10228</vt:lpwstr>
  </property>
</Properties>
</file>