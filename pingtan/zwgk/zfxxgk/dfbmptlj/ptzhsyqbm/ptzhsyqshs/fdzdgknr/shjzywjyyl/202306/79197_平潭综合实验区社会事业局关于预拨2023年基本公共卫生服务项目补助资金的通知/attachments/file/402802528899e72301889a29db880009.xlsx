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840"/>
  </bookViews>
  <sheets>
    <sheet name="附件1" sheetId="31" r:id="rId1"/>
    <sheet name="附件2" sheetId="3" r:id="rId2"/>
    <sheet name="附件2-1" sheetId="5" r:id="rId3"/>
    <sheet name="附件2-1-1" sheetId="10" r:id="rId4"/>
    <sheet name="附件2-1-2" sheetId="11" r:id="rId5"/>
    <sheet name="附件2-1-3" sheetId="12" r:id="rId6"/>
    <sheet name="附件2-1-4" sheetId="13" r:id="rId7"/>
    <sheet name="附件2-1-5" sheetId="14" r:id="rId8"/>
    <sheet name="附件2-1-6" sheetId="15" r:id="rId9"/>
    <sheet name="附件2-1-7" sheetId="16" r:id="rId10"/>
    <sheet name="附件2-1-8" sheetId="24" r:id="rId11"/>
    <sheet name="附件2-1-9" sheetId="25" r:id="rId12"/>
    <sheet name="附件2-1-10" sheetId="20" r:id="rId13"/>
    <sheet name="附件2-1-11" sheetId="21" r:id="rId14"/>
    <sheet name="附件2-1-12" sheetId="22" r:id="rId15"/>
    <sheet name="附件2-1-13" sheetId="23" r:id="rId16"/>
    <sheet name="附件2-2" sheetId="7" r:id="rId17"/>
    <sheet name="附件2-3" sheetId="8" r:id="rId18"/>
    <sheet name="附件2-4" sheetId="9" r:id="rId19"/>
    <sheet name="附件2-5" sheetId="26" r:id="rId20"/>
  </sheets>
  <definedNames>
    <definedName name="_xlnm._FilterDatabase" localSheetId="2" hidden="1">'附件2-1'!#REF!</definedName>
    <definedName name="_xlnm.Print_Area" localSheetId="1">附件2!$A$1:$Q$23</definedName>
  </definedNames>
  <calcPr calcId="144525"/>
</workbook>
</file>

<file path=xl/sharedStrings.xml><?xml version="1.0" encoding="utf-8"?>
<sst xmlns="http://schemas.openxmlformats.org/spreadsheetml/2006/main" count="589" uniqueCount="203">
  <si>
    <t>附件1</t>
  </si>
  <si>
    <t>基本公共卫生服务项目经费2023年预拨及2022年结算表</t>
  </si>
  <si>
    <t>单位:元</t>
  </si>
  <si>
    <t>序号</t>
  </si>
  <si>
    <t>单   位</t>
  </si>
  <si>
    <t>服务人口           （人）</t>
  </si>
  <si>
    <t>2023年预拨</t>
  </si>
  <si>
    <t>2022年结算</t>
  </si>
  <si>
    <t>本次实际
拨付金额</t>
  </si>
  <si>
    <t>备注</t>
  </si>
  <si>
    <t>2023年
预拨标准
（元/人）</t>
  </si>
  <si>
    <t>2023年
预拨金额</t>
  </si>
  <si>
    <t>2022年
结算金额</t>
  </si>
  <si>
    <t>已预拨
金额</t>
  </si>
  <si>
    <t>本次结
算金额</t>
  </si>
  <si>
    <t>屿头卫生院</t>
  </si>
  <si>
    <t>大练卫生院</t>
  </si>
  <si>
    <t>苏澳卫生院</t>
  </si>
  <si>
    <t>平原卫生院</t>
  </si>
  <si>
    <t>白青卫生院</t>
  </si>
  <si>
    <t>中楼卫生院</t>
  </si>
  <si>
    <t>流水卫生院</t>
  </si>
  <si>
    <t>东庠卫生院</t>
  </si>
  <si>
    <t>北厝卫生院</t>
  </si>
  <si>
    <t>敖东卫生院</t>
  </si>
  <si>
    <t>南海卫生院</t>
  </si>
  <si>
    <t>塘屿卫生院</t>
  </si>
  <si>
    <t>海坛街道社区卫生服务中心</t>
  </si>
  <si>
    <t>原潭城镇社区卫生服务中心</t>
  </si>
  <si>
    <t>原岚城乡卫生院</t>
  </si>
  <si>
    <t>原澳前镇卫生院</t>
  </si>
  <si>
    <t>区医院</t>
  </si>
  <si>
    <t>孕产妇系统录入</t>
  </si>
  <si>
    <t>合    计</t>
  </si>
  <si>
    <t>附件2</t>
  </si>
  <si>
    <t>2022年基本公共卫生服务项目经费补助结算表</t>
  </si>
  <si>
    <t>单位：元</t>
  </si>
  <si>
    <t>单位</t>
  </si>
  <si>
    <t>基本情况</t>
  </si>
  <si>
    <t>结算金额</t>
  </si>
  <si>
    <t>辖区内常住居民数
（人）</t>
  </si>
  <si>
    <t>承担公共卫生的村卫生所数</t>
  </si>
  <si>
    <t>空白村数（含邻近代管）</t>
  </si>
  <si>
    <t>应补助村卫生所个数</t>
  </si>
  <si>
    <t>补助村所数</t>
  </si>
  <si>
    <t>全年平均家庭签约人数
（人）</t>
  </si>
  <si>
    <t>绩效考核评价分数</t>
  </si>
  <si>
    <t>基本公共卫生服务量补助
（附件2-1）</t>
  </si>
  <si>
    <t>基本公共卫生疫情防控经费补助
（附件2-2）</t>
  </si>
  <si>
    <t>基本公共卫生考核名次奖惩
（附件2-3）</t>
  </si>
  <si>
    <t>家庭医生签约服务补助
（附件2-4）</t>
  </si>
  <si>
    <t>基本公共卫生考核分数补助
（附件2-5）</t>
  </si>
  <si>
    <t>定项目补助</t>
  </si>
  <si>
    <t>结算金额合计</t>
  </si>
  <si>
    <t>大岛第一名</t>
  </si>
  <si>
    <t>屿头乡卫生院</t>
  </si>
  <si>
    <t>小岛第一名</t>
  </si>
  <si>
    <t>大练乡卫生院</t>
  </si>
  <si>
    <t>全区最后一名</t>
  </si>
  <si>
    <t>苏澳镇卫生院</t>
  </si>
  <si>
    <t>大岛第二名</t>
  </si>
  <si>
    <t>平原镇卫生院</t>
  </si>
  <si>
    <t>白青乡卫生院</t>
  </si>
  <si>
    <t>中楼乡卫生院</t>
  </si>
  <si>
    <t>流水镇中心卫生院</t>
  </si>
  <si>
    <t>东庠乡卫生院</t>
  </si>
  <si>
    <t>大岛第三名</t>
  </si>
  <si>
    <t>北厝镇卫生院</t>
  </si>
  <si>
    <t>敖东镇中心卫生院</t>
  </si>
  <si>
    <t>南海乡卫生院</t>
  </si>
  <si>
    <t>合计</t>
  </si>
  <si>
    <t>附件2-1</t>
  </si>
  <si>
    <t>2022年基本公共卫生项目服务量补助明细表</t>
  </si>
  <si>
    <r>
      <rPr>
        <sz val="12"/>
        <rFont val="仿宋_GB2312"/>
        <charset val="0"/>
      </rPr>
      <t xml:space="preserve">建立居民健康档案
</t>
    </r>
    <r>
      <rPr>
        <sz val="10"/>
        <rFont val="仿宋_GB2312"/>
        <charset val="0"/>
      </rPr>
      <t>（附件2-1-1）</t>
    </r>
  </si>
  <si>
    <r>
      <rPr>
        <sz val="12"/>
        <rFont val="仿宋_GB2312"/>
        <charset val="0"/>
      </rPr>
      <t xml:space="preserve">健康教育
</t>
    </r>
    <r>
      <rPr>
        <sz val="10"/>
        <rFont val="仿宋_GB2312"/>
        <charset val="0"/>
      </rPr>
      <t>（附件2-1-2）</t>
    </r>
  </si>
  <si>
    <r>
      <rPr>
        <sz val="12"/>
        <rFont val="仿宋_GB2312"/>
        <charset val="0"/>
      </rPr>
      <t xml:space="preserve">预防接种管理
</t>
    </r>
    <r>
      <rPr>
        <sz val="10"/>
        <rFont val="仿宋_GB2312"/>
        <charset val="0"/>
      </rPr>
      <t>（附件2-1-3）</t>
    </r>
  </si>
  <si>
    <r>
      <rPr>
        <sz val="12"/>
        <rFont val="仿宋_GB2312"/>
        <charset val="0"/>
      </rPr>
      <t xml:space="preserve">儿童健康管理
</t>
    </r>
    <r>
      <rPr>
        <sz val="10"/>
        <rFont val="仿宋_GB2312"/>
        <charset val="0"/>
      </rPr>
      <t>（附件2-1-4）</t>
    </r>
  </si>
  <si>
    <r>
      <rPr>
        <sz val="12"/>
        <rFont val="仿宋_GB2312"/>
        <charset val="0"/>
      </rPr>
      <t xml:space="preserve">孕产妇健康管理
</t>
    </r>
    <r>
      <rPr>
        <sz val="10"/>
        <rFont val="仿宋_GB2312"/>
        <charset val="0"/>
      </rPr>
      <t>（附件2-1-5）</t>
    </r>
  </si>
  <si>
    <r>
      <rPr>
        <sz val="12"/>
        <rFont val="仿宋_GB2312"/>
        <charset val="0"/>
      </rPr>
      <t xml:space="preserve">老年人健康管理
</t>
    </r>
    <r>
      <rPr>
        <sz val="10"/>
        <rFont val="仿宋_GB2312"/>
        <charset val="0"/>
      </rPr>
      <t>（附件2-1-6）</t>
    </r>
  </si>
  <si>
    <r>
      <rPr>
        <sz val="12"/>
        <rFont val="仿宋_GB2312"/>
        <charset val="0"/>
      </rPr>
      <t xml:space="preserve">高血压患者健康管理
</t>
    </r>
    <r>
      <rPr>
        <sz val="10"/>
        <rFont val="仿宋_GB2312"/>
        <charset val="0"/>
      </rPr>
      <t>（附件2-1-7）</t>
    </r>
  </si>
  <si>
    <r>
      <rPr>
        <sz val="12"/>
        <rFont val="仿宋_GB2312"/>
        <charset val="0"/>
      </rPr>
      <t xml:space="preserve">2型糖尿病患者健康管理
</t>
    </r>
    <r>
      <rPr>
        <sz val="10"/>
        <rFont val="仿宋_GB2312"/>
        <charset val="0"/>
      </rPr>
      <t>（附件2-1-8）</t>
    </r>
  </si>
  <si>
    <r>
      <rPr>
        <sz val="12"/>
        <rFont val="仿宋_GB2312"/>
        <charset val="0"/>
      </rPr>
      <t xml:space="preserve">严重精神障碍患者管理
</t>
    </r>
    <r>
      <rPr>
        <sz val="10"/>
        <rFont val="仿宋_GB2312"/>
        <charset val="0"/>
      </rPr>
      <t>（附件2-1-9）</t>
    </r>
  </si>
  <si>
    <r>
      <rPr>
        <sz val="12"/>
        <rFont val="仿宋_GB2312"/>
        <charset val="0"/>
      </rPr>
      <t xml:space="preserve">肺结核患者健康管理
</t>
    </r>
    <r>
      <rPr>
        <sz val="10"/>
        <rFont val="仿宋_GB2312"/>
        <charset val="0"/>
      </rPr>
      <t>（附件2-1-10）</t>
    </r>
  </si>
  <si>
    <r>
      <rPr>
        <sz val="12"/>
        <rFont val="仿宋_GB2312"/>
        <charset val="0"/>
      </rPr>
      <t xml:space="preserve">中医药健康管理
</t>
    </r>
    <r>
      <rPr>
        <sz val="10"/>
        <rFont val="仿宋_GB2312"/>
        <charset val="0"/>
      </rPr>
      <t>（附件2-1-11）</t>
    </r>
  </si>
  <si>
    <r>
      <rPr>
        <sz val="12"/>
        <rFont val="仿宋_GB2312"/>
        <charset val="0"/>
      </rPr>
      <t xml:space="preserve">传染病及突发公共卫生事件报告和处理
</t>
    </r>
    <r>
      <rPr>
        <sz val="10"/>
        <rFont val="仿宋_GB2312"/>
        <charset val="0"/>
      </rPr>
      <t>（附件2-1-12）</t>
    </r>
  </si>
  <si>
    <r>
      <rPr>
        <sz val="12"/>
        <rFont val="仿宋_GB2312"/>
        <charset val="0"/>
      </rPr>
      <t xml:space="preserve">卫生计生监督协管服务管理
</t>
    </r>
    <r>
      <rPr>
        <sz val="10"/>
        <rFont val="仿宋_GB2312"/>
        <charset val="0"/>
      </rPr>
      <t>（附件2-1-13）</t>
    </r>
  </si>
  <si>
    <t>基本公共卫生服务按量计算金额合计</t>
  </si>
  <si>
    <t>附件2-1-1</t>
  </si>
  <si>
    <t>2022年基本公共卫生建立居民健康档案补助明细表</t>
  </si>
  <si>
    <t>档案中有动态记录的档案份数</t>
  </si>
  <si>
    <t>补助标准
（元/份）</t>
  </si>
  <si>
    <t>补助金额</t>
  </si>
  <si>
    <t>附件2-1-2</t>
  </si>
  <si>
    <t>2022年基本公共卫生健康教育补助明细表</t>
  </si>
  <si>
    <t>播放不少于6种音像材料、发放不少于12种印刷资料</t>
  </si>
  <si>
    <t>设置并更新健康教育宣传栏</t>
  </si>
  <si>
    <t>开展9次公众健康咨询活动</t>
  </si>
  <si>
    <t>举办健康教育讲座</t>
  </si>
  <si>
    <t>补助
金额
合计</t>
  </si>
  <si>
    <t>播放健康教育音像资料种类</t>
  </si>
  <si>
    <t>发放健康教育印刷资料种类</t>
  </si>
  <si>
    <t>乡镇应补金额
（10000元/院）</t>
  </si>
  <si>
    <t>村所应补金额
（800元/所）</t>
  </si>
  <si>
    <t>健康教育宣传栏设置个数
（乡镇 不少于2个，村所不少于1个）</t>
  </si>
  <si>
    <t>健康教育宣传栏内容更新次数（每院所不少于6期）</t>
  </si>
  <si>
    <t xml:space="preserve">其中：村所更新次数
（总次数-6次*2面）
</t>
  </si>
  <si>
    <t>乡镇应补金额
（2400元/院）</t>
  </si>
  <si>
    <t>村所应补金额
（200元/期，每村所不超过1200元）</t>
  </si>
  <si>
    <t>举办健康教育咨询活动次数</t>
  </si>
  <si>
    <t>应补金额
（27000元/院）</t>
  </si>
  <si>
    <t>举办健康教育讲座次数（乡镇不少于12次，村所不少于6次）</t>
  </si>
  <si>
    <t>其中：村所开展次数
(总次数-12次）</t>
  </si>
  <si>
    <t>乡镇应补金额
（12000元/院）</t>
  </si>
  <si>
    <t>村所应补金额
（300元/次）</t>
  </si>
  <si>
    <t>潭城镇社区卫生服务中心</t>
  </si>
  <si>
    <t>岚城乡卫生院</t>
  </si>
  <si>
    <t>澳前镇卫生院</t>
  </si>
  <si>
    <t>附件2-1-3</t>
  </si>
  <si>
    <t>2022年基本公共卫生预防接种管理补助明细表</t>
  </si>
  <si>
    <t>接种国家免疫规划疫苗累计总针次数
（一类）</t>
  </si>
  <si>
    <t>补助标准
（元/针次）</t>
  </si>
  <si>
    <t>平原镇中心卫生院</t>
  </si>
  <si>
    <t>附件2-1-4</t>
  </si>
  <si>
    <t>2022年基本公共卫生儿童健康管理补助明细表</t>
  </si>
  <si>
    <t>新生儿访视</t>
  </si>
  <si>
    <t>新生儿满月健康管理</t>
  </si>
  <si>
    <t>婴幼儿健康管理</t>
  </si>
  <si>
    <t>学龄前儿童健康管理</t>
  </si>
  <si>
    <t>辖区内按照规范要求接受1次及以上访视的新生儿人数</t>
  </si>
  <si>
    <t>应补金额
（40元/次）</t>
  </si>
  <si>
    <t>新生儿满月健康管理次数</t>
  </si>
  <si>
    <t>0-3岁婴幼儿健康服务次数</t>
  </si>
  <si>
    <t>4-6岁学龄前生长发育评估次数</t>
  </si>
  <si>
    <t>应补金额
（50元/次）</t>
  </si>
  <si>
    <t>附件2-1-5</t>
  </si>
  <si>
    <t>2022年基本公共卫生服务孕产妇健康管理补助明细表</t>
  </si>
  <si>
    <t>孕早期管理</t>
  </si>
  <si>
    <t>孕期随访</t>
  </si>
  <si>
    <t>产后访视</t>
  </si>
  <si>
    <t>辖区内孕13周之前建册并进行第一次产前检查的产妇人数</t>
  </si>
  <si>
    <t>应补金额
（120元/次）</t>
  </si>
  <si>
    <t>孕期随访次数（每人4次）</t>
  </si>
  <si>
    <t>应补金额
（20元/次）</t>
  </si>
  <si>
    <t>辖区内产妇出院后28天内接受过产后访视的产妇人数</t>
  </si>
  <si>
    <t>应补金额
（含产后体检，80元/次）</t>
  </si>
  <si>
    <t>敖东镇卫生院</t>
  </si>
  <si>
    <t>附件2-1-6</t>
  </si>
  <si>
    <t>2022年基本公共卫生老年人健康管理补助明细表</t>
  </si>
  <si>
    <t>老年人体检人数</t>
  </si>
  <si>
    <t>补助标准
（元/例）</t>
  </si>
  <si>
    <t>附件2-1-7</t>
  </si>
  <si>
    <t>2022年基本公共卫生高血压患者健康管理补助明细表</t>
  </si>
  <si>
    <t>按照规范要求进行高血压患者健康管理的人数</t>
  </si>
  <si>
    <t>附件2-1-8</t>
  </si>
  <si>
    <t>2022年基本公共卫生2型糖尿病患者健康管理补助明细表</t>
  </si>
  <si>
    <t>按照规范要求进行2型糖尿病患者健康管理的人数</t>
  </si>
  <si>
    <t>附件2-1-9</t>
  </si>
  <si>
    <t>2022年基本公共卫生严重精神障碍患者管理补助明细表</t>
  </si>
  <si>
    <t>辖区内按照规范要求进行管理的严重精神障碍患者人数</t>
  </si>
  <si>
    <t>附件2-1-10</t>
  </si>
  <si>
    <t>2022年基本公共卫生肺结核患者健康管理补助明细表</t>
  </si>
  <si>
    <t>第一次入户随访</t>
  </si>
  <si>
    <t>督导服药及完成治疗</t>
  </si>
  <si>
    <t>已管理的肺结核患者人数</t>
  </si>
  <si>
    <t>应补金额（45元/例）</t>
  </si>
  <si>
    <t>按照要求规则服药的肺结核患者人数</t>
  </si>
  <si>
    <t>应补金额（105元/例）</t>
  </si>
  <si>
    <t>附件2-1-11</t>
  </si>
  <si>
    <t>2022年基本公共卫生中医健康服务补助明细表</t>
  </si>
  <si>
    <t>0-36个月儿童中医健康管理</t>
  </si>
  <si>
    <t>老年人中医药健康管理</t>
  </si>
  <si>
    <t>按照月龄接受中医药健康管理服务的儿童数</t>
  </si>
  <si>
    <r>
      <rPr>
        <sz val="12"/>
        <rFont val="仿宋_GB2312"/>
        <charset val="0"/>
      </rPr>
      <t>0-36个月儿童接受中医药健康管理服务的次数</t>
    </r>
    <r>
      <rPr>
        <sz val="10"/>
        <rFont val="仿宋_GB2312"/>
        <charset val="0"/>
      </rPr>
      <t>（2次/年）</t>
    </r>
  </si>
  <si>
    <t>应补金额（30元/次）</t>
  </si>
  <si>
    <t>接受中医药健康管理服务65岁及以上老年人数</t>
  </si>
  <si>
    <t>附件2-1-12</t>
  </si>
  <si>
    <t>2022年基本公共卫生传染病及突发
公共卫生事件报告和处理补助明细表</t>
  </si>
  <si>
    <t>配合开展相关工作</t>
  </si>
  <si>
    <r>
      <rPr>
        <sz val="12"/>
        <rFont val="仿宋_GB2312"/>
        <charset val="0"/>
      </rPr>
      <t xml:space="preserve">乡    镇
应补金额
</t>
    </r>
    <r>
      <rPr>
        <sz val="10"/>
        <rFont val="仿宋_GB2312"/>
        <charset val="0"/>
      </rPr>
      <t>（15000元/次）</t>
    </r>
  </si>
  <si>
    <r>
      <rPr>
        <sz val="12"/>
        <rFont val="仿宋_GB2312"/>
        <charset val="0"/>
      </rPr>
      <t xml:space="preserve">村    所
应补金额
</t>
    </r>
    <r>
      <rPr>
        <sz val="10"/>
        <rFont val="仿宋_GB2312"/>
        <charset val="0"/>
      </rPr>
      <t>（1000元/所）</t>
    </r>
  </si>
  <si>
    <t>附件2-1-13</t>
  </si>
  <si>
    <t>2022年基本公共卫生卫生计生监督协管服务管理补助明细表</t>
  </si>
  <si>
    <t>配合开展饮用水卫生、学校卫生、非法行医和非法采供血、计划生育事件和线索的信息登记报告</t>
  </si>
  <si>
    <t>建立监督对象的本底档案，协助定期开展饮用水卫生、学校卫生、非法行医、非法采供血和计划生育巡查巡访</t>
  </si>
  <si>
    <r>
      <rPr>
        <sz val="12"/>
        <rFont val="仿宋_GB2312"/>
        <charset val="0"/>
      </rPr>
      <t xml:space="preserve">乡镇应补金额
</t>
    </r>
    <r>
      <rPr>
        <sz val="10"/>
        <rFont val="仿宋_GB2312"/>
        <charset val="0"/>
      </rPr>
      <t>（15000元/院）</t>
    </r>
  </si>
  <si>
    <r>
      <rPr>
        <sz val="12"/>
        <rFont val="仿宋_GB2312"/>
        <charset val="0"/>
      </rPr>
      <t xml:space="preserve">村所应补金额
</t>
    </r>
    <r>
      <rPr>
        <sz val="10"/>
        <rFont val="仿宋_GB2312"/>
        <charset val="0"/>
      </rPr>
      <t>（1000元/所）</t>
    </r>
  </si>
  <si>
    <r>
      <rPr>
        <sz val="12"/>
        <rFont val="仿宋_GB2312"/>
        <charset val="0"/>
      </rPr>
      <t xml:space="preserve">乡镇应补金额
</t>
    </r>
    <r>
      <rPr>
        <sz val="10"/>
        <rFont val="仿宋_GB2312"/>
        <charset val="0"/>
      </rPr>
      <t>（20000元/院）</t>
    </r>
  </si>
  <si>
    <t>附件2-2</t>
  </si>
  <si>
    <t>2022年基本公共卫生项目疫情防控经费补助明细表</t>
  </si>
  <si>
    <t>服务人口
（人）</t>
  </si>
  <si>
    <t>补助标准
（元/人）</t>
  </si>
  <si>
    <t>考核分数补助</t>
  </si>
  <si>
    <t>附件2-3</t>
  </si>
  <si>
    <t>2022年基本公共卫生项目评价名次奖惩明细表</t>
  </si>
  <si>
    <t>绩效考核分数</t>
  </si>
  <si>
    <t>名次</t>
  </si>
  <si>
    <t>附件2-4</t>
  </si>
  <si>
    <t>2022年基本公共卫生家庭医生签约服务补助明细表</t>
  </si>
  <si>
    <t>本年度所有累计签约月份</t>
  </si>
  <si>
    <t>考核分数</t>
  </si>
  <si>
    <t>附件2-5</t>
  </si>
  <si>
    <t>2022年基本公共卫生考核分数补助明细表</t>
  </si>
  <si>
    <r>
      <rPr>
        <sz val="12"/>
        <rFont val="仿宋_GB2312"/>
        <charset val="134"/>
      </rPr>
      <t xml:space="preserve">补助标准
</t>
    </r>
    <r>
      <rPr>
        <sz val="10"/>
        <rFont val="仿宋_GB2312"/>
        <charset val="134"/>
      </rPr>
      <t>（元/人）</t>
    </r>
  </si>
</sst>
</file>

<file path=xl/styles.xml><?xml version="1.0" encoding="utf-8"?>
<styleSheet xmlns="http://schemas.openxmlformats.org/spreadsheetml/2006/main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 "/>
    <numFmt numFmtId="178" formatCode="0.00_);[Red]\(0.00\)"/>
    <numFmt numFmtId="179" formatCode="0_);[Red]\(0\)"/>
    <numFmt numFmtId="180" formatCode="0;[Red]0"/>
    <numFmt numFmtId="181" formatCode="0_);\(0\)"/>
    <numFmt numFmtId="182" formatCode="#,##0_ "/>
  </numFmts>
  <fonts count="42">
    <font>
      <sz val="12"/>
      <name val="宋体"/>
      <charset val="134"/>
    </font>
    <font>
      <sz val="16"/>
      <name val="宋体"/>
      <charset val="134"/>
    </font>
    <font>
      <sz val="12"/>
      <name val="仿宋_GB2312"/>
      <charset val="134"/>
    </font>
    <font>
      <sz val="16"/>
      <name val="黑体"/>
      <charset val="0"/>
    </font>
    <font>
      <sz val="16"/>
      <name val="仿宋_GB2312"/>
      <charset val="0"/>
    </font>
    <font>
      <sz val="20"/>
      <name val="方正小标宋简体"/>
      <charset val="0"/>
    </font>
    <font>
      <sz val="12"/>
      <name val="仿宋_GB2312"/>
      <charset val="0"/>
    </font>
    <font>
      <sz val="12"/>
      <color rgb="FF000000"/>
      <name val="仿宋_GB2312"/>
      <charset val="134"/>
    </font>
    <font>
      <sz val="11"/>
      <name val="仿宋_GB2312"/>
      <charset val="134"/>
    </font>
    <font>
      <sz val="16"/>
      <name val="黑体"/>
      <charset val="134"/>
    </font>
    <font>
      <sz val="11"/>
      <name val="仿宋_GB2312"/>
      <charset val="0"/>
    </font>
    <font>
      <sz val="11"/>
      <color rgb="FF000000"/>
      <name val="仿宋_GB2312"/>
      <charset val="134"/>
    </font>
    <font>
      <sz val="22"/>
      <name val="方正小标宋简体"/>
      <charset val="0"/>
    </font>
    <font>
      <sz val="10"/>
      <name val="仿宋_GB2312"/>
      <charset val="0"/>
    </font>
    <font>
      <sz val="18"/>
      <name val="方正小标宋简体"/>
      <charset val="0"/>
    </font>
    <font>
      <sz val="12"/>
      <color theme="1"/>
      <name val="仿宋_GB2312"/>
      <charset val="0"/>
    </font>
    <font>
      <sz val="11"/>
      <color theme="1"/>
      <name val="仿宋_GB2312"/>
      <charset val="134"/>
    </font>
    <font>
      <sz val="9"/>
      <name val="仿宋_GB2312"/>
      <charset val="0"/>
    </font>
    <font>
      <sz val="9"/>
      <name val="仿宋_GB2312"/>
      <charset val="134"/>
    </font>
    <font>
      <sz val="16"/>
      <name val="仿宋_GB2312"/>
      <charset val="134"/>
    </font>
    <font>
      <sz val="20"/>
      <name val="方正小标宋简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0"/>
      <name val="仿宋_GB2312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1" fillId="0" borderId="0" applyFont="0" applyFill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3" fillId="3" borderId="10" applyNumberFormat="0" applyAlignment="0" applyProtection="0">
      <alignment vertical="center"/>
    </xf>
    <xf numFmtId="44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1" fillId="7" borderId="11" applyNumberFormat="0" applyFont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34" fillId="11" borderId="14" applyNumberFormat="0" applyAlignment="0" applyProtection="0">
      <alignment vertical="center"/>
    </xf>
    <xf numFmtId="0" fontId="35" fillId="11" borderId="10" applyNumberFormat="0" applyAlignment="0" applyProtection="0">
      <alignment vertical="center"/>
    </xf>
    <xf numFmtId="0" fontId="36" fillId="12" borderId="15" applyNumberFormat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7" fillId="0" borderId="16" applyNumberFormat="0" applyFill="0" applyAlignment="0" applyProtection="0">
      <alignment vertical="center"/>
    </xf>
    <xf numFmtId="0" fontId="38" fillId="0" borderId="17" applyNumberFormat="0" applyFill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73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176" fontId="0" fillId="0" borderId="0" xfId="0" applyNumberFormat="1" applyAlignment="1">
      <alignment horizontal="center"/>
    </xf>
    <xf numFmtId="0" fontId="3" fillId="0" borderId="0" xfId="0" applyFont="1" applyAlignment="1">
      <alignment vertical="center"/>
    </xf>
    <xf numFmtId="0" fontId="4" fillId="0" borderId="0" xfId="0" applyFont="1"/>
    <xf numFmtId="176" fontId="1" fillId="0" borderId="0" xfId="0" applyNumberFormat="1" applyFont="1" applyAlignment="1">
      <alignment horizontal="center"/>
    </xf>
    <xf numFmtId="0" fontId="5" fillId="0" borderId="0" xfId="0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7" fontId="6" fillId="0" borderId="2" xfId="0" applyNumberFormat="1" applyFont="1" applyFill="1" applyBorder="1" applyAlignment="1">
      <alignment horizontal="center" vertical="center" wrapText="1"/>
    </xf>
    <xf numFmtId="177" fontId="2" fillId="0" borderId="2" xfId="0" applyNumberFormat="1" applyFont="1" applyFill="1" applyBorder="1" applyAlignment="1">
      <alignment horizontal="center" vertical="center" wrapText="1"/>
    </xf>
    <xf numFmtId="177" fontId="2" fillId="0" borderId="1" xfId="0" applyNumberFormat="1" applyFont="1" applyFill="1" applyBorder="1" applyAlignment="1">
      <alignment horizontal="center" vertical="center" wrapText="1"/>
    </xf>
    <xf numFmtId="176" fontId="2" fillId="0" borderId="2" xfId="0" applyNumberFormat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176" fontId="6" fillId="0" borderId="2" xfId="0" applyNumberFormat="1" applyFont="1" applyFill="1" applyBorder="1" applyAlignment="1">
      <alignment horizontal="center" vertical="center" wrapText="1"/>
    </xf>
    <xf numFmtId="176" fontId="7" fillId="0" borderId="2" xfId="0" applyNumberFormat="1" applyFont="1" applyFill="1" applyBorder="1" applyAlignment="1">
      <alignment horizontal="center" vertical="center" wrapText="1"/>
    </xf>
    <xf numFmtId="0" fontId="6" fillId="0" borderId="2" xfId="0" applyNumberFormat="1" applyFont="1" applyFill="1" applyBorder="1" applyAlignment="1">
      <alignment horizontal="center" vertical="center" wrapText="1"/>
    </xf>
    <xf numFmtId="176" fontId="6" fillId="0" borderId="2" xfId="0" applyNumberFormat="1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2" fillId="0" borderId="2" xfId="0" applyNumberFormat="1" applyFont="1" applyFill="1" applyBorder="1" applyAlignment="1">
      <alignment horizontal="center" vertical="center" wrapText="1"/>
    </xf>
    <xf numFmtId="176" fontId="6" fillId="0" borderId="2" xfId="0" applyNumberFormat="1" applyFont="1" applyFill="1" applyBorder="1" applyAlignment="1">
      <alignment horizontal="center" vertical="center" shrinkToFit="1"/>
    </xf>
    <xf numFmtId="177" fontId="6" fillId="0" borderId="2" xfId="0" applyNumberFormat="1" applyFont="1" applyFill="1" applyBorder="1" applyAlignment="1">
      <alignment horizontal="center" vertical="center" shrinkToFit="1"/>
    </xf>
    <xf numFmtId="177" fontId="6" fillId="0" borderId="2" xfId="0" applyNumberFormat="1" applyFont="1" applyFill="1" applyBorder="1" applyAlignment="1">
      <alignment horizontal="center" vertical="center"/>
    </xf>
    <xf numFmtId="176" fontId="6" fillId="0" borderId="0" xfId="0" applyNumberFormat="1" applyFont="1" applyFill="1" applyBorder="1" applyAlignment="1">
      <alignment horizontal="center" vertical="center" wrapText="1"/>
    </xf>
    <xf numFmtId="176" fontId="0" fillId="0" borderId="0" xfId="0" applyNumberFormat="1"/>
    <xf numFmtId="176" fontId="1" fillId="0" borderId="0" xfId="0" applyNumberFormat="1" applyFont="1"/>
    <xf numFmtId="176" fontId="2" fillId="0" borderId="0" xfId="0" applyNumberFormat="1" applyFont="1"/>
    <xf numFmtId="0" fontId="8" fillId="0" borderId="0" xfId="0" applyFont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8" fillId="0" borderId="0" xfId="0" applyFont="1"/>
    <xf numFmtId="0" fontId="8" fillId="0" borderId="0" xfId="0" applyFont="1" applyAlignment="1">
      <alignment vertical="center"/>
    </xf>
    <xf numFmtId="0" fontId="2" fillId="0" borderId="0" xfId="0" applyFont="1" applyAlignment="1"/>
    <xf numFmtId="0" fontId="8" fillId="0" borderId="2" xfId="0" applyFont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 wrapText="1"/>
    </xf>
    <xf numFmtId="177" fontId="10" fillId="0" borderId="2" xfId="0" applyNumberFormat="1" applyFont="1" applyFill="1" applyBorder="1" applyAlignment="1">
      <alignment horizontal="center" vertical="center" wrapText="1"/>
    </xf>
    <xf numFmtId="176" fontId="10" fillId="0" borderId="2" xfId="0" applyNumberFormat="1" applyFont="1" applyFill="1" applyBorder="1" applyAlignment="1">
      <alignment horizontal="center" vertical="center"/>
    </xf>
    <xf numFmtId="177" fontId="10" fillId="0" borderId="2" xfId="0" applyNumberFormat="1" applyFont="1" applyFill="1" applyBorder="1" applyAlignment="1">
      <alignment horizontal="center" vertical="center"/>
    </xf>
    <xf numFmtId="176" fontId="10" fillId="0" borderId="1" xfId="0" applyNumberFormat="1" applyFont="1" applyFill="1" applyBorder="1" applyAlignment="1">
      <alignment horizontal="center" vertical="center" wrapText="1"/>
    </xf>
    <xf numFmtId="177" fontId="10" fillId="0" borderId="1" xfId="0" applyNumberFormat="1" applyFont="1" applyFill="1" applyBorder="1" applyAlignment="1">
      <alignment horizontal="center" vertical="center" wrapText="1"/>
    </xf>
    <xf numFmtId="0" fontId="8" fillId="0" borderId="2" xfId="0" applyFont="1" applyBorder="1" applyAlignment="1">
      <alignment vertical="center"/>
    </xf>
    <xf numFmtId="176" fontId="10" fillId="0" borderId="2" xfId="0" applyNumberFormat="1" applyFont="1" applyFill="1" applyBorder="1" applyAlignment="1">
      <alignment horizontal="center" vertical="center" shrinkToFit="1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76" fontId="4" fillId="0" borderId="0" xfId="0" applyNumberFormat="1" applyFont="1" applyAlignment="1">
      <alignment vertical="center"/>
    </xf>
    <xf numFmtId="176" fontId="1" fillId="0" borderId="0" xfId="0" applyNumberFormat="1" applyFont="1" applyAlignment="1">
      <alignment vertical="center"/>
    </xf>
    <xf numFmtId="176" fontId="8" fillId="0" borderId="0" xfId="0" applyNumberFormat="1" applyFont="1"/>
    <xf numFmtId="0" fontId="8" fillId="0" borderId="1" xfId="0" applyFont="1" applyBorder="1" applyAlignment="1">
      <alignment horizontal="center" vertical="center"/>
    </xf>
    <xf numFmtId="177" fontId="8" fillId="0" borderId="2" xfId="0" applyNumberFormat="1" applyFont="1" applyFill="1" applyBorder="1" applyAlignment="1">
      <alignment horizontal="center" vertical="center" wrapText="1"/>
    </xf>
    <xf numFmtId="176" fontId="8" fillId="0" borderId="1" xfId="0" applyNumberFormat="1" applyFont="1" applyFill="1" applyBorder="1" applyAlignment="1">
      <alignment horizontal="center" vertical="center" wrapText="1"/>
    </xf>
    <xf numFmtId="176" fontId="11" fillId="0" borderId="2" xfId="0" applyNumberFormat="1" applyFont="1" applyFill="1" applyBorder="1" applyAlignment="1">
      <alignment horizontal="center" vertical="center" wrapText="1"/>
    </xf>
    <xf numFmtId="0" fontId="10" fillId="0" borderId="2" xfId="0" applyNumberFormat="1" applyFont="1" applyFill="1" applyBorder="1" applyAlignment="1">
      <alignment horizontal="center" vertical="center" wrapText="1"/>
    </xf>
    <xf numFmtId="176" fontId="8" fillId="0" borderId="2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177" fontId="6" fillId="0" borderId="1" xfId="0" applyNumberFormat="1" applyFont="1" applyFill="1" applyBorder="1" applyAlignment="1">
      <alignment horizontal="center" vertical="center" wrapText="1"/>
    </xf>
    <xf numFmtId="177" fontId="6" fillId="0" borderId="3" xfId="0" applyNumberFormat="1" applyFont="1" applyFill="1" applyBorder="1" applyAlignment="1">
      <alignment horizontal="center" vertical="center" wrapText="1"/>
    </xf>
    <xf numFmtId="177" fontId="6" fillId="0" borderId="4" xfId="0" applyNumberFormat="1" applyFont="1" applyFill="1" applyBorder="1" applyAlignment="1">
      <alignment horizontal="center" vertical="center" wrapText="1"/>
    </xf>
    <xf numFmtId="177" fontId="6" fillId="0" borderId="5" xfId="0" applyNumberFormat="1" applyFont="1" applyFill="1" applyBorder="1" applyAlignment="1">
      <alignment horizontal="center" vertical="center" wrapText="1"/>
    </xf>
    <xf numFmtId="177" fontId="10" fillId="0" borderId="2" xfId="0" applyNumberFormat="1" applyFont="1" applyFill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/>
    </xf>
    <xf numFmtId="177" fontId="6" fillId="0" borderId="7" xfId="0" applyNumberFormat="1" applyFont="1" applyFill="1" applyBorder="1" applyAlignment="1">
      <alignment horizontal="center" vertical="center" wrapText="1"/>
    </xf>
    <xf numFmtId="177" fontId="2" fillId="0" borderId="6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4" fillId="0" borderId="0" xfId="0" applyFont="1" applyAlignment="1">
      <alignment horizontal="center" vertical="center" wrapText="1"/>
    </xf>
    <xf numFmtId="177" fontId="13" fillId="0" borderId="2" xfId="0" applyNumberFormat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/>
    <xf numFmtId="0" fontId="0" fillId="0" borderId="0" xfId="0" applyBorder="1" applyAlignment="1">
      <alignment vertical="center"/>
    </xf>
    <xf numFmtId="0" fontId="2" fillId="0" borderId="0" xfId="0" applyFont="1" applyBorder="1"/>
    <xf numFmtId="0" fontId="0" fillId="0" borderId="0" xfId="0" applyBorder="1"/>
    <xf numFmtId="0" fontId="3" fillId="0" borderId="0" xfId="0" applyFont="1" applyBorder="1" applyAlignment="1">
      <alignment vertical="center"/>
    </xf>
    <xf numFmtId="0" fontId="13" fillId="0" borderId="0" xfId="0" applyFont="1" applyBorder="1" applyAlignment="1">
      <alignment vertical="center"/>
    </xf>
    <xf numFmtId="0" fontId="1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3" fillId="0" borderId="0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0" fontId="2" fillId="0" borderId="0" xfId="0" applyFont="1" applyBorder="1" applyAlignment="1">
      <alignment vertical="center"/>
    </xf>
    <xf numFmtId="178" fontId="0" fillId="0" borderId="0" xfId="0" applyNumberFormat="1"/>
    <xf numFmtId="178" fontId="4" fillId="0" borderId="0" xfId="0" applyNumberFormat="1" applyFont="1"/>
    <xf numFmtId="178" fontId="5" fillId="0" borderId="0" xfId="0" applyNumberFormat="1" applyFont="1" applyAlignment="1">
      <alignment horizontal="center" vertical="center"/>
    </xf>
    <xf numFmtId="178" fontId="2" fillId="0" borderId="0" xfId="0" applyNumberFormat="1" applyFont="1"/>
    <xf numFmtId="178" fontId="2" fillId="0" borderId="2" xfId="0" applyNumberFormat="1" applyFont="1" applyFill="1" applyBorder="1" applyAlignment="1">
      <alignment horizontal="center" vertical="center" wrapText="1"/>
    </xf>
    <xf numFmtId="179" fontId="6" fillId="0" borderId="2" xfId="0" applyNumberFormat="1" applyFont="1" applyFill="1" applyBorder="1" applyAlignment="1">
      <alignment horizontal="center" vertical="center" wrapText="1"/>
    </xf>
    <xf numFmtId="0" fontId="1" fillId="0" borderId="0" xfId="0" applyFont="1"/>
    <xf numFmtId="0" fontId="3" fillId="0" borderId="0" xfId="0" applyFont="1"/>
    <xf numFmtId="176" fontId="15" fillId="0" borderId="2" xfId="0" applyNumberFormat="1" applyFont="1" applyFill="1" applyBorder="1" applyAlignment="1">
      <alignment horizontal="center" vertical="center" wrapText="1"/>
    </xf>
    <xf numFmtId="0" fontId="2" fillId="0" borderId="2" xfId="0" applyNumberFormat="1" applyFont="1" applyFill="1" applyBorder="1" applyAlignment="1">
      <alignment horizontal="center" vertical="center"/>
    </xf>
    <xf numFmtId="180" fontId="6" fillId="0" borderId="2" xfId="0" applyNumberFormat="1" applyFont="1" applyFill="1" applyBorder="1" applyAlignment="1">
      <alignment horizontal="center" vertical="center" wrapText="1"/>
    </xf>
    <xf numFmtId="0" fontId="1" fillId="0" borderId="0" xfId="0" applyFont="1" applyFill="1"/>
    <xf numFmtId="0" fontId="2" fillId="0" borderId="0" xfId="0" applyFont="1" applyFill="1"/>
    <xf numFmtId="0" fontId="8" fillId="0" borderId="0" xfId="0" applyFont="1" applyFill="1"/>
    <xf numFmtId="0" fontId="0" fillId="0" borderId="0" xfId="0" applyFill="1" applyAlignment="1">
      <alignment horizontal="center"/>
    </xf>
    <xf numFmtId="0" fontId="0" fillId="0" borderId="0" xfId="0" applyFill="1"/>
    <xf numFmtId="0" fontId="3" fillId="0" borderId="0" xfId="0" applyFont="1" applyFill="1" applyAlignment="1">
      <alignment horizontal="left"/>
    </xf>
    <xf numFmtId="0" fontId="4" fillId="0" borderId="0" xfId="0" applyFont="1" applyFill="1"/>
    <xf numFmtId="0" fontId="5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/>
    </xf>
    <xf numFmtId="0" fontId="2" fillId="0" borderId="2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177" fontId="10" fillId="0" borderId="7" xfId="0" applyNumberFormat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0" fillId="0" borderId="0" xfId="0" applyFont="1" applyFill="1"/>
    <xf numFmtId="0" fontId="3" fillId="0" borderId="0" xfId="0" applyFont="1" applyFill="1"/>
    <xf numFmtId="0" fontId="13" fillId="0" borderId="0" xfId="0" applyFont="1" applyFill="1"/>
    <xf numFmtId="0" fontId="0" fillId="0" borderId="2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6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77" fontId="8" fillId="0" borderId="2" xfId="0" applyNumberFormat="1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2" xfId="0" applyFont="1" applyBorder="1"/>
    <xf numFmtId="177" fontId="4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77" fontId="12" fillId="0" borderId="0" xfId="0" applyNumberFormat="1" applyFont="1" applyAlignment="1">
      <alignment horizontal="center" vertical="center"/>
    </xf>
    <xf numFmtId="176" fontId="12" fillId="0" borderId="0" xfId="0" applyNumberFormat="1" applyFont="1" applyAlignment="1">
      <alignment horizontal="center" vertical="center"/>
    </xf>
    <xf numFmtId="177" fontId="8" fillId="0" borderId="0" xfId="0" applyNumberFormat="1" applyFont="1" applyAlignment="1">
      <alignment horizontal="center" vertical="center"/>
    </xf>
    <xf numFmtId="176" fontId="8" fillId="0" borderId="0" xfId="0" applyNumberFormat="1" applyFont="1" applyAlignment="1">
      <alignment horizontal="center" vertical="center"/>
    </xf>
    <xf numFmtId="177" fontId="8" fillId="0" borderId="1" xfId="0" applyNumberFormat="1" applyFont="1" applyFill="1" applyBorder="1" applyAlignment="1">
      <alignment horizontal="center" vertical="center" wrapText="1"/>
    </xf>
    <xf numFmtId="177" fontId="11" fillId="0" borderId="3" xfId="0" applyNumberFormat="1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176" fontId="16" fillId="0" borderId="5" xfId="0" applyNumberFormat="1" applyFont="1" applyFill="1" applyBorder="1" applyAlignment="1">
      <alignment horizontal="center" vertical="center" wrapText="1"/>
    </xf>
    <xf numFmtId="176" fontId="8" fillId="0" borderId="2" xfId="0" applyNumberFormat="1" applyFont="1" applyBorder="1" applyAlignment="1">
      <alignment horizontal="center" vertical="center"/>
    </xf>
    <xf numFmtId="176" fontId="11" fillId="0" borderId="5" xfId="0" applyNumberFormat="1" applyFont="1" applyFill="1" applyBorder="1" applyAlignment="1">
      <alignment horizontal="center" vertical="center" wrapText="1"/>
    </xf>
    <xf numFmtId="0" fontId="8" fillId="0" borderId="2" xfId="13" applyNumberFormat="1" applyFont="1" applyFill="1" applyBorder="1" applyAlignment="1" applyProtection="1">
      <alignment horizontal="center" vertical="center" wrapText="1"/>
    </xf>
    <xf numFmtId="0" fontId="11" fillId="0" borderId="3" xfId="0" applyFont="1" applyFill="1" applyBorder="1" applyAlignment="1">
      <alignment horizontal="center" vertical="center" wrapText="1"/>
    </xf>
    <xf numFmtId="177" fontId="10" fillId="0" borderId="3" xfId="0" applyNumberFormat="1" applyFont="1" applyFill="1" applyBorder="1" applyAlignment="1">
      <alignment horizontal="center" vertical="center" wrapText="1"/>
    </xf>
    <xf numFmtId="177" fontId="10" fillId="0" borderId="3" xfId="0" applyNumberFormat="1" applyFont="1" applyFill="1" applyBorder="1" applyAlignment="1">
      <alignment horizontal="center" vertical="center" shrinkToFit="1"/>
    </xf>
    <xf numFmtId="181" fontId="10" fillId="0" borderId="2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177" fontId="17" fillId="0" borderId="2" xfId="0" applyNumberFormat="1" applyFont="1" applyFill="1" applyBorder="1" applyAlignment="1">
      <alignment horizontal="center" vertical="center"/>
    </xf>
    <xf numFmtId="0" fontId="18" fillId="0" borderId="2" xfId="0" applyFont="1" applyBorder="1"/>
    <xf numFmtId="0" fontId="18" fillId="0" borderId="2" xfId="0" applyFont="1" applyBorder="1" applyAlignment="1">
      <alignment horizontal="center" vertical="center"/>
    </xf>
    <xf numFmtId="176" fontId="0" fillId="0" borderId="0" xfId="0" applyNumberFormat="1" applyFill="1"/>
    <xf numFmtId="0" fontId="9" fillId="0" borderId="0" xfId="0" applyFont="1" applyFill="1"/>
    <xf numFmtId="0" fontId="19" fillId="0" borderId="0" xfId="0" applyFont="1" applyFill="1"/>
    <xf numFmtId="176" fontId="19" fillId="0" borderId="0" xfId="0" applyNumberFormat="1" applyFont="1" applyFill="1"/>
    <xf numFmtId="0" fontId="20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31" fontId="2" fillId="0" borderId="0" xfId="0" applyNumberFormat="1" applyFont="1" applyFill="1" applyBorder="1" applyAlignment="1">
      <alignment horizontal="center" vertical="center"/>
    </xf>
    <xf numFmtId="31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 applyFill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 wrapText="1"/>
    </xf>
    <xf numFmtId="49" fontId="2" fillId="0" borderId="3" xfId="0" applyNumberFormat="1" applyFont="1" applyFill="1" applyBorder="1" applyAlignment="1">
      <alignment horizontal="center" vertical="center" wrapText="1"/>
    </xf>
    <xf numFmtId="176" fontId="2" fillId="0" borderId="5" xfId="0" applyNumberFormat="1" applyFont="1" applyFill="1" applyBorder="1" applyAlignment="1">
      <alignment horizontal="center" vertical="center" wrapText="1"/>
    </xf>
    <xf numFmtId="49" fontId="2" fillId="0" borderId="4" xfId="0" applyNumberFormat="1" applyFont="1" applyFill="1" applyBorder="1" applyAlignment="1">
      <alignment horizontal="center" vertical="center" wrapText="1"/>
    </xf>
    <xf numFmtId="49" fontId="2" fillId="0" borderId="7" xfId="0" applyNumberFormat="1" applyFont="1" applyFill="1" applyBorder="1" applyAlignment="1">
      <alignment horizontal="center" vertical="center" wrapText="1"/>
    </xf>
    <xf numFmtId="49" fontId="2" fillId="0" borderId="2" xfId="0" applyNumberFormat="1" applyFont="1" applyFill="1" applyBorder="1" applyAlignment="1">
      <alignment horizontal="center" vertical="center" wrapText="1"/>
    </xf>
    <xf numFmtId="0" fontId="8" fillId="0" borderId="2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2" fillId="0" borderId="6" xfId="0" applyNumberFormat="1" applyFont="1" applyFill="1" applyBorder="1" applyAlignment="1">
      <alignment horizontal="center" vertical="center" wrapText="1"/>
    </xf>
    <xf numFmtId="176" fontId="6" fillId="0" borderId="6" xfId="0" applyNumberFormat="1" applyFont="1" applyFill="1" applyBorder="1" applyAlignment="1">
      <alignment horizontal="center" vertical="center" wrapText="1"/>
    </xf>
    <xf numFmtId="0" fontId="2" fillId="0" borderId="7" xfId="0" applyNumberFormat="1" applyFont="1" applyFill="1" applyBorder="1" applyAlignment="1">
      <alignment horizontal="center" vertical="center" wrapText="1"/>
    </xf>
    <xf numFmtId="176" fontId="6" fillId="0" borderId="7" xfId="0" applyNumberFormat="1" applyFont="1" applyFill="1" applyBorder="1" applyAlignment="1">
      <alignment horizontal="center" vertical="center" wrapText="1"/>
    </xf>
    <xf numFmtId="182" fontId="2" fillId="0" borderId="2" xfId="0" applyNumberFormat="1" applyFont="1" applyFill="1" applyBorder="1" applyAlignment="1">
      <alignment horizontal="center" vertical="center" wrapText="1"/>
    </xf>
    <xf numFmtId="49" fontId="2" fillId="0" borderId="8" xfId="0" applyNumberFormat="1" applyFont="1" applyFill="1" applyBorder="1" applyAlignment="1">
      <alignment horizontal="center" vertical="center" wrapText="1"/>
    </xf>
    <xf numFmtId="49" fontId="2" fillId="0" borderId="9" xfId="0" applyNumberFormat="1" applyFont="1" applyFill="1" applyBorder="1" applyAlignment="1">
      <alignment horizontal="center" vertical="center" wrapText="1"/>
    </xf>
    <xf numFmtId="49" fontId="18" fillId="0" borderId="2" xfId="0" applyNumberFormat="1" applyFont="1" applyFill="1" applyBorder="1" applyAlignment="1">
      <alignment horizontal="left" vertical="center" wrapText="1"/>
    </xf>
    <xf numFmtId="0" fontId="18" fillId="0" borderId="2" xfId="0" applyNumberFormat="1" applyFont="1" applyFill="1" applyBorder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3" Type="http://schemas.openxmlformats.org/officeDocument/2006/relationships/sharedStrings" Target="sharedStrings.xml"/><Relationship Id="rId22" Type="http://schemas.openxmlformats.org/officeDocument/2006/relationships/styles" Target="styles.xml"/><Relationship Id="rId21" Type="http://schemas.openxmlformats.org/officeDocument/2006/relationships/theme" Target="theme/theme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"/>
  <sheetViews>
    <sheetView tabSelected="1" workbookViewId="0">
      <selection activeCell="M9" sqref="M9"/>
    </sheetView>
  </sheetViews>
  <sheetFormatPr defaultColWidth="9" defaultRowHeight="14.25"/>
  <cols>
    <col min="1" max="1" width="4.875" style="99" customWidth="1"/>
    <col min="2" max="2" width="17.75" style="99" customWidth="1"/>
    <col min="3" max="3" width="10.625" style="99" customWidth="1"/>
    <col min="4" max="4" width="12.625" style="99" customWidth="1"/>
    <col min="5" max="5" width="12.625" style="147" customWidth="1"/>
    <col min="6" max="9" width="12.625" style="99" customWidth="1"/>
    <col min="10" max="10" width="19.125" style="99" customWidth="1"/>
    <col min="11" max="16384" width="9" style="99"/>
  </cols>
  <sheetData>
    <row r="1" s="95" customFormat="1" ht="20.25" spans="1:10">
      <c r="A1" s="148" t="s">
        <v>0</v>
      </c>
      <c r="B1" s="149"/>
      <c r="C1" s="149"/>
      <c r="D1" s="149"/>
      <c r="E1" s="150"/>
      <c r="F1" s="149"/>
      <c r="G1" s="149"/>
      <c r="H1" s="149"/>
      <c r="I1" s="149"/>
      <c r="J1" s="149"/>
    </row>
    <row r="2" ht="27" spans="1:10">
      <c r="A2" s="151" t="s">
        <v>1</v>
      </c>
      <c r="B2" s="151"/>
      <c r="C2" s="151"/>
      <c r="D2" s="151"/>
      <c r="E2" s="151"/>
      <c r="F2" s="151"/>
      <c r="G2" s="151"/>
      <c r="H2" s="151"/>
      <c r="I2" s="151"/>
      <c r="J2" s="151"/>
    </row>
    <row r="3" s="96" customFormat="1" spans="1:10">
      <c r="A3" s="152"/>
      <c r="B3" s="152"/>
      <c r="C3" s="153"/>
      <c r="D3" s="154"/>
      <c r="E3" s="155"/>
      <c r="F3" s="154"/>
      <c r="G3" s="154"/>
      <c r="H3" s="153"/>
      <c r="I3" s="154"/>
      <c r="J3" s="103" t="s">
        <v>2</v>
      </c>
    </row>
    <row r="4" s="96" customFormat="1" ht="21" customHeight="1" spans="1:10">
      <c r="A4" s="156" t="s">
        <v>3</v>
      </c>
      <c r="B4" s="156" t="s">
        <v>4</v>
      </c>
      <c r="C4" s="156" t="s">
        <v>5</v>
      </c>
      <c r="D4" s="157" t="s">
        <v>6</v>
      </c>
      <c r="E4" s="158"/>
      <c r="F4" s="157" t="s">
        <v>7</v>
      </c>
      <c r="G4" s="159"/>
      <c r="H4" s="159"/>
      <c r="I4" s="161" t="s">
        <v>8</v>
      </c>
      <c r="J4" s="169" t="s">
        <v>9</v>
      </c>
    </row>
    <row r="5" s="96" customFormat="1" ht="48" customHeight="1" spans="1:10">
      <c r="A5" s="160"/>
      <c r="B5" s="160"/>
      <c r="C5" s="160"/>
      <c r="D5" s="161" t="s">
        <v>10</v>
      </c>
      <c r="E5" s="16" t="s">
        <v>11</v>
      </c>
      <c r="F5" s="161" t="s">
        <v>12</v>
      </c>
      <c r="G5" s="161" t="s">
        <v>13</v>
      </c>
      <c r="H5" s="157" t="s">
        <v>14</v>
      </c>
      <c r="I5" s="161"/>
      <c r="J5" s="170"/>
    </row>
    <row r="6" s="96" customFormat="1" ht="21" customHeight="1" spans="1:10">
      <c r="A6" s="24">
        <v>1</v>
      </c>
      <c r="B6" s="18" t="s">
        <v>15</v>
      </c>
      <c r="C6" s="19">
        <v>14698</v>
      </c>
      <c r="D6" s="162">
        <v>16.5641</v>
      </c>
      <c r="E6" s="57">
        <v>243459</v>
      </c>
      <c r="F6" s="16">
        <v>1317743</v>
      </c>
      <c r="G6" s="161">
        <v>1138153</v>
      </c>
      <c r="H6" s="16">
        <f>F6-G6</f>
        <v>179590</v>
      </c>
      <c r="I6" s="57">
        <f>E6+H6</f>
        <v>423049</v>
      </c>
      <c r="J6" s="161"/>
    </row>
    <row r="7" s="96" customFormat="1" ht="21" customHeight="1" spans="1:10">
      <c r="A7" s="24">
        <v>2</v>
      </c>
      <c r="B7" s="18" t="s">
        <v>16</v>
      </c>
      <c r="C7" s="19">
        <v>6731</v>
      </c>
      <c r="D7" s="162">
        <v>16.5641</v>
      </c>
      <c r="E7" s="57">
        <v>111493</v>
      </c>
      <c r="F7" s="16">
        <v>535692</v>
      </c>
      <c r="G7" s="161">
        <v>521221</v>
      </c>
      <c r="H7" s="16">
        <f t="shared" ref="H7:H21" si="0">F7-G7</f>
        <v>14471</v>
      </c>
      <c r="I7" s="57">
        <f t="shared" ref="I7:I21" si="1">E7+H7</f>
        <v>125964</v>
      </c>
      <c r="J7" s="161"/>
    </row>
    <row r="8" s="96" customFormat="1" ht="21" customHeight="1" spans="1:10">
      <c r="A8" s="24">
        <v>3</v>
      </c>
      <c r="B8" s="18" t="s">
        <v>17</v>
      </c>
      <c r="C8" s="19">
        <v>31405</v>
      </c>
      <c r="D8" s="162">
        <v>16.5641</v>
      </c>
      <c r="E8" s="57">
        <v>520196</v>
      </c>
      <c r="F8" s="16">
        <v>2410337</v>
      </c>
      <c r="G8" s="161">
        <v>2431874</v>
      </c>
      <c r="H8" s="16">
        <f t="shared" si="0"/>
        <v>-21537</v>
      </c>
      <c r="I8" s="57">
        <f t="shared" si="1"/>
        <v>498659</v>
      </c>
      <c r="J8" s="161"/>
    </row>
    <row r="9" s="96" customFormat="1" ht="21" customHeight="1" spans="1:10">
      <c r="A9" s="24">
        <v>4</v>
      </c>
      <c r="B9" s="18" t="s">
        <v>18</v>
      </c>
      <c r="C9" s="19">
        <v>20736</v>
      </c>
      <c r="D9" s="162">
        <v>16.5641</v>
      </c>
      <c r="E9" s="57">
        <v>343473</v>
      </c>
      <c r="F9" s="16">
        <v>1745880</v>
      </c>
      <c r="G9" s="161">
        <v>1605711</v>
      </c>
      <c r="H9" s="16">
        <f t="shared" si="0"/>
        <v>140169</v>
      </c>
      <c r="I9" s="57">
        <f t="shared" si="1"/>
        <v>483642</v>
      </c>
      <c r="J9" s="161"/>
    </row>
    <row r="10" s="96" customFormat="1" ht="21" customHeight="1" spans="1:10">
      <c r="A10" s="24">
        <v>5</v>
      </c>
      <c r="B10" s="18" t="s">
        <v>19</v>
      </c>
      <c r="C10" s="19">
        <v>15109</v>
      </c>
      <c r="D10" s="162">
        <v>16.5641</v>
      </c>
      <c r="E10" s="57">
        <v>250267</v>
      </c>
      <c r="F10" s="16">
        <v>1240145</v>
      </c>
      <c r="G10" s="161">
        <v>1169979</v>
      </c>
      <c r="H10" s="16">
        <f t="shared" si="0"/>
        <v>70166</v>
      </c>
      <c r="I10" s="57">
        <f t="shared" si="1"/>
        <v>320433</v>
      </c>
      <c r="J10" s="161"/>
    </row>
    <row r="11" s="96" customFormat="1" ht="21" customHeight="1" spans="1:10">
      <c r="A11" s="24">
        <v>6</v>
      </c>
      <c r="B11" s="18" t="s">
        <v>20</v>
      </c>
      <c r="C11" s="19">
        <v>27787</v>
      </c>
      <c r="D11" s="162">
        <v>16.5641</v>
      </c>
      <c r="E11" s="57">
        <v>460267</v>
      </c>
      <c r="F11" s="16">
        <v>2245408</v>
      </c>
      <c r="G11" s="161">
        <v>2151711</v>
      </c>
      <c r="H11" s="16">
        <f t="shared" si="0"/>
        <v>93697</v>
      </c>
      <c r="I11" s="57">
        <f t="shared" si="1"/>
        <v>553964</v>
      </c>
      <c r="J11" s="161"/>
    </row>
    <row r="12" s="96" customFormat="1" ht="21" customHeight="1" spans="1:10">
      <c r="A12" s="24">
        <v>7</v>
      </c>
      <c r="B12" s="18" t="s">
        <v>21</v>
      </c>
      <c r="C12" s="19">
        <v>43627</v>
      </c>
      <c r="D12" s="162">
        <v>16.5641</v>
      </c>
      <c r="E12" s="57">
        <v>722642</v>
      </c>
      <c r="F12" s="16">
        <v>3326809</v>
      </c>
      <c r="G12" s="161">
        <v>3378296</v>
      </c>
      <c r="H12" s="16">
        <f t="shared" si="0"/>
        <v>-51487</v>
      </c>
      <c r="I12" s="57">
        <f t="shared" si="1"/>
        <v>671155</v>
      </c>
      <c r="J12" s="161"/>
    </row>
    <row r="13" s="96" customFormat="1" ht="21" customHeight="1" spans="1:10">
      <c r="A13" s="24">
        <v>8</v>
      </c>
      <c r="B13" s="18" t="s">
        <v>22</v>
      </c>
      <c r="C13" s="19">
        <v>8000</v>
      </c>
      <c r="D13" s="162">
        <v>16.5641</v>
      </c>
      <c r="E13" s="57">
        <v>132513</v>
      </c>
      <c r="F13" s="16">
        <v>646070</v>
      </c>
      <c r="G13" s="161">
        <v>619487</v>
      </c>
      <c r="H13" s="16">
        <f t="shared" si="0"/>
        <v>26583</v>
      </c>
      <c r="I13" s="57">
        <f t="shared" si="1"/>
        <v>159096</v>
      </c>
      <c r="J13" s="161"/>
    </row>
    <row r="14" s="96" customFormat="1" ht="21" customHeight="1" spans="1:10">
      <c r="A14" s="24">
        <v>9</v>
      </c>
      <c r="B14" s="18" t="s">
        <v>23</v>
      </c>
      <c r="C14" s="19">
        <v>32254</v>
      </c>
      <c r="D14" s="162">
        <v>16.5641</v>
      </c>
      <c r="E14" s="57">
        <v>534259</v>
      </c>
      <c r="F14" s="16">
        <v>2685066</v>
      </c>
      <c r="G14" s="161">
        <v>2497617</v>
      </c>
      <c r="H14" s="16">
        <f t="shared" si="0"/>
        <v>187449</v>
      </c>
      <c r="I14" s="57">
        <f t="shared" si="1"/>
        <v>721708</v>
      </c>
      <c r="J14" s="161"/>
    </row>
    <row r="15" s="96" customFormat="1" ht="21" customHeight="1" spans="1:10">
      <c r="A15" s="24">
        <v>10</v>
      </c>
      <c r="B15" s="18" t="s">
        <v>24</v>
      </c>
      <c r="C15" s="19">
        <v>31150</v>
      </c>
      <c r="D15" s="162">
        <v>16.5641</v>
      </c>
      <c r="E15" s="57">
        <v>515972</v>
      </c>
      <c r="F15" s="16">
        <v>2119138</v>
      </c>
      <c r="G15" s="161">
        <v>2412128</v>
      </c>
      <c r="H15" s="16">
        <f t="shared" si="0"/>
        <v>-292990</v>
      </c>
      <c r="I15" s="57">
        <f t="shared" si="1"/>
        <v>222982</v>
      </c>
      <c r="J15" s="161"/>
    </row>
    <row r="16" s="96" customFormat="1" ht="21" customHeight="1" spans="1:10">
      <c r="A16" s="24">
        <v>11</v>
      </c>
      <c r="B16" s="22" t="s">
        <v>25</v>
      </c>
      <c r="C16" s="19">
        <v>4666</v>
      </c>
      <c r="D16" s="162">
        <v>16.5641</v>
      </c>
      <c r="E16" s="57">
        <v>77288</v>
      </c>
      <c r="F16" s="16">
        <v>424481</v>
      </c>
      <c r="G16" s="161">
        <v>361316</v>
      </c>
      <c r="H16" s="16">
        <f t="shared" si="0"/>
        <v>63165</v>
      </c>
      <c r="I16" s="57">
        <f t="shared" si="1"/>
        <v>140453</v>
      </c>
      <c r="J16" s="161"/>
    </row>
    <row r="17" s="96" customFormat="1" ht="21" customHeight="1" spans="1:10">
      <c r="A17" s="24">
        <v>12</v>
      </c>
      <c r="B17" s="18" t="s">
        <v>26</v>
      </c>
      <c r="C17" s="19">
        <v>4250</v>
      </c>
      <c r="D17" s="162">
        <v>16.5641</v>
      </c>
      <c r="E17" s="57">
        <v>70397</v>
      </c>
      <c r="F17" s="16">
        <v>385224</v>
      </c>
      <c r="G17" s="161">
        <v>329103</v>
      </c>
      <c r="H17" s="16">
        <f t="shared" si="0"/>
        <v>56121</v>
      </c>
      <c r="I17" s="57">
        <f t="shared" si="1"/>
        <v>126518</v>
      </c>
      <c r="J17" s="161"/>
    </row>
    <row r="18" s="96" customFormat="1" ht="21" customHeight="1" spans="1:10">
      <c r="A18" s="163">
        <v>13</v>
      </c>
      <c r="B18" s="22" t="s">
        <v>27</v>
      </c>
      <c r="C18" s="19">
        <v>80128</v>
      </c>
      <c r="D18" s="162">
        <v>16.5641</v>
      </c>
      <c r="E18" s="57">
        <v>1327248</v>
      </c>
      <c r="F18" s="16">
        <v>5743078</v>
      </c>
      <c r="G18" s="161">
        <v>6204784</v>
      </c>
      <c r="H18" s="16">
        <f t="shared" si="0"/>
        <v>-461706</v>
      </c>
      <c r="I18" s="57">
        <f t="shared" si="1"/>
        <v>865542</v>
      </c>
      <c r="J18" s="171" t="s">
        <v>28</v>
      </c>
    </row>
    <row r="19" s="96" customFormat="1" ht="21" customHeight="1" spans="1:10">
      <c r="A19" s="164"/>
      <c r="B19" s="165"/>
      <c r="C19" s="19">
        <v>28095</v>
      </c>
      <c r="D19" s="162">
        <v>16.5641</v>
      </c>
      <c r="E19" s="57">
        <v>465368</v>
      </c>
      <c r="F19" s="16">
        <v>2102357</v>
      </c>
      <c r="G19" s="161">
        <v>2175562</v>
      </c>
      <c r="H19" s="16">
        <f t="shared" si="0"/>
        <v>-73205</v>
      </c>
      <c r="I19" s="57">
        <f t="shared" si="1"/>
        <v>392163</v>
      </c>
      <c r="J19" s="171" t="s">
        <v>29</v>
      </c>
    </row>
    <row r="20" s="96" customFormat="1" ht="21" customHeight="1" spans="1:10">
      <c r="A20" s="166"/>
      <c r="B20" s="167"/>
      <c r="C20" s="19">
        <v>41364</v>
      </c>
      <c r="D20" s="162">
        <v>16.5641</v>
      </c>
      <c r="E20" s="57">
        <v>685158</v>
      </c>
      <c r="F20" s="16">
        <v>3222572</v>
      </c>
      <c r="G20" s="161">
        <v>3203058</v>
      </c>
      <c r="H20" s="16">
        <f t="shared" si="0"/>
        <v>19514</v>
      </c>
      <c r="I20" s="57">
        <f t="shared" si="1"/>
        <v>704672</v>
      </c>
      <c r="J20" s="171" t="s">
        <v>30</v>
      </c>
    </row>
    <row r="21" s="96" customFormat="1" ht="21" customHeight="1" spans="1:10">
      <c r="A21" s="24">
        <v>14</v>
      </c>
      <c r="B21" s="18" t="s">
        <v>31</v>
      </c>
      <c r="C21" s="16"/>
      <c r="D21" s="162"/>
      <c r="E21" s="57"/>
      <c r="F21" s="168">
        <v>50000</v>
      </c>
      <c r="G21" s="16"/>
      <c r="H21" s="16">
        <f t="shared" si="0"/>
        <v>50000</v>
      </c>
      <c r="I21" s="57">
        <f t="shared" si="1"/>
        <v>50000</v>
      </c>
      <c r="J21" s="172" t="s">
        <v>32</v>
      </c>
    </row>
    <row r="22" s="96" customFormat="1" ht="21" customHeight="1" spans="1:10">
      <c r="A22" s="161" t="s">
        <v>33</v>
      </c>
      <c r="B22" s="161"/>
      <c r="C22" s="16">
        <f>SUM(C6:C21)</f>
        <v>390000</v>
      </c>
      <c r="D22" s="16"/>
      <c r="E22" s="16">
        <f t="shared" ref="D22:I22" si="2">SUM(E6:E21)</f>
        <v>6460000</v>
      </c>
      <c r="F22" s="16">
        <f t="shared" si="2"/>
        <v>30200000</v>
      </c>
      <c r="G22" s="16">
        <f t="shared" si="2"/>
        <v>30200000</v>
      </c>
      <c r="H22" s="16">
        <f t="shared" si="2"/>
        <v>0</v>
      </c>
      <c r="I22" s="16">
        <f t="shared" si="2"/>
        <v>6460000</v>
      </c>
      <c r="J22" s="161"/>
    </row>
  </sheetData>
  <mergeCells count="12">
    <mergeCell ref="A2:J2"/>
    <mergeCell ref="F3:G3"/>
    <mergeCell ref="D4:E4"/>
    <mergeCell ref="F4:H4"/>
    <mergeCell ref="A22:B22"/>
    <mergeCell ref="A4:A5"/>
    <mergeCell ref="A18:A20"/>
    <mergeCell ref="B4:B5"/>
    <mergeCell ref="B18:B20"/>
    <mergeCell ref="C4:C5"/>
    <mergeCell ref="I4:I5"/>
    <mergeCell ref="J4:J5"/>
  </mergeCells>
  <printOptions horizontalCentered="1"/>
  <pageMargins left="0.196527777777778" right="0.196527777777778" top="0.590277777777778" bottom="0.590277777777778" header="0.393055555555556" footer="0.393055555555556"/>
  <pageSetup paperSize="9" orientation="landscape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Q23"/>
  <sheetViews>
    <sheetView workbookViewId="0">
      <selection activeCell="A1" sqref="$A1:$XFD1"/>
    </sheetView>
  </sheetViews>
  <sheetFormatPr defaultColWidth="9" defaultRowHeight="14.25"/>
  <cols>
    <col min="1" max="1" width="4.75" customWidth="1"/>
    <col min="2" max="2" width="25.25" customWidth="1"/>
    <col min="3" max="3" width="7.375" style="114" customWidth="1"/>
    <col min="4" max="6" width="6.5" style="114" customWidth="1"/>
    <col min="7" max="7" width="3.75" style="114" customWidth="1"/>
    <col min="8" max="8" width="6.75" style="114" customWidth="1"/>
    <col min="9" max="9" width="6.5" style="115" customWidth="1"/>
    <col min="10" max="10" width="9.5" style="114" customWidth="1"/>
    <col min="11" max="11" width="9.5" style="116" customWidth="1"/>
    <col min="12" max="12" width="9.5" style="117" customWidth="1"/>
    <col min="13" max="13" width="9.5" style="116" customWidth="1"/>
    <col min="14" max="14" width="9.5" style="117" customWidth="1"/>
    <col min="15" max="15" width="6.375" style="117" customWidth="1"/>
    <col min="16" max="16" width="9.5" style="117" customWidth="1"/>
    <col min="17" max="17" width="11.125" customWidth="1"/>
    <col min="18" max="18" width="9.375"/>
    <col min="19" max="19" width="13.75"/>
  </cols>
  <sheetData>
    <row r="1" s="1" customFormat="1" ht="20.25" spans="1:16">
      <c r="A1" s="91" t="s">
        <v>34</v>
      </c>
      <c r="B1" s="6"/>
      <c r="C1" s="118"/>
      <c r="D1" s="118"/>
      <c r="E1" s="118"/>
      <c r="F1" s="118"/>
      <c r="G1" s="118"/>
      <c r="H1" s="118"/>
      <c r="I1" s="124"/>
      <c r="J1" s="125"/>
      <c r="K1" s="126"/>
      <c r="L1" s="127"/>
      <c r="M1" s="126"/>
      <c r="N1" s="127"/>
      <c r="O1" s="127"/>
      <c r="P1" s="127"/>
    </row>
    <row r="2" ht="28.5" spans="1:17">
      <c r="A2" s="119" t="s">
        <v>35</v>
      </c>
      <c r="B2" s="119"/>
      <c r="C2" s="119"/>
      <c r="D2" s="119"/>
      <c r="E2" s="119"/>
      <c r="F2" s="119"/>
      <c r="G2" s="119"/>
      <c r="H2" s="119"/>
      <c r="I2" s="128"/>
      <c r="J2" s="119"/>
      <c r="K2" s="129"/>
      <c r="L2" s="119"/>
      <c r="M2" s="129"/>
      <c r="N2" s="119"/>
      <c r="O2" s="119"/>
      <c r="P2" s="119"/>
      <c r="Q2" s="119"/>
    </row>
    <row r="3" s="35" customFormat="1" ht="13.5" spans="3:17">
      <c r="C3" s="32"/>
      <c r="D3" s="32"/>
      <c r="E3" s="32"/>
      <c r="F3" s="32"/>
      <c r="G3" s="32"/>
      <c r="H3" s="32"/>
      <c r="I3" s="130"/>
      <c r="J3" s="32"/>
      <c r="K3" s="131"/>
      <c r="L3" s="32"/>
      <c r="M3" s="131"/>
      <c r="N3" s="32"/>
      <c r="O3" s="32"/>
      <c r="P3" s="32"/>
      <c r="Q3" s="143" t="s">
        <v>36</v>
      </c>
    </row>
    <row r="4" s="35" customFormat="1" ht="20" customHeight="1" spans="1:17">
      <c r="A4" s="52" t="s">
        <v>3</v>
      </c>
      <c r="B4" s="40" t="s">
        <v>37</v>
      </c>
      <c r="C4" s="120" t="s">
        <v>38</v>
      </c>
      <c r="D4" s="120"/>
      <c r="E4" s="120"/>
      <c r="F4" s="120"/>
      <c r="G4" s="120"/>
      <c r="H4" s="120"/>
      <c r="I4" s="120"/>
      <c r="J4" s="40" t="s">
        <v>39</v>
      </c>
      <c r="K4" s="39"/>
      <c r="L4" s="40"/>
      <c r="M4" s="39"/>
      <c r="N4" s="40"/>
      <c r="O4" s="40"/>
      <c r="P4" s="40"/>
      <c r="Q4" s="53" t="s">
        <v>9</v>
      </c>
    </row>
    <row r="5" s="35" customFormat="1" ht="25" customHeight="1" spans="1:17">
      <c r="A5" s="121"/>
      <c r="B5" s="40"/>
      <c r="C5" s="40" t="s">
        <v>40</v>
      </c>
      <c r="D5" s="40" t="s">
        <v>41</v>
      </c>
      <c r="E5" s="40" t="s">
        <v>42</v>
      </c>
      <c r="F5" s="40" t="s">
        <v>43</v>
      </c>
      <c r="G5" s="40" t="s">
        <v>44</v>
      </c>
      <c r="H5" s="53" t="s">
        <v>45</v>
      </c>
      <c r="I5" s="53" t="s">
        <v>46</v>
      </c>
      <c r="J5" s="53" t="s">
        <v>47</v>
      </c>
      <c r="K5" s="57" t="s">
        <v>48</v>
      </c>
      <c r="L5" s="53" t="s">
        <v>49</v>
      </c>
      <c r="M5" s="57" t="s">
        <v>50</v>
      </c>
      <c r="N5" s="53" t="s">
        <v>51</v>
      </c>
      <c r="O5" s="53" t="s">
        <v>52</v>
      </c>
      <c r="P5" s="53" t="s">
        <v>53</v>
      </c>
      <c r="Q5" s="53"/>
    </row>
    <row r="6" s="35" customFormat="1" ht="67" customHeight="1" spans="1:17">
      <c r="A6" s="122"/>
      <c r="B6" s="42"/>
      <c r="C6" s="40"/>
      <c r="D6" s="40"/>
      <c r="E6" s="40"/>
      <c r="F6" s="40"/>
      <c r="G6" s="40"/>
      <c r="H6" s="53"/>
      <c r="I6" s="53"/>
      <c r="J6" s="132"/>
      <c r="K6" s="57"/>
      <c r="L6" s="53"/>
      <c r="M6" s="57"/>
      <c r="N6" s="53"/>
      <c r="O6" s="53"/>
      <c r="P6" s="53"/>
      <c r="Q6" s="40"/>
    </row>
    <row r="7" s="35" customFormat="1" ht="22" customHeight="1" spans="1:17">
      <c r="A7" s="39">
        <v>1</v>
      </c>
      <c r="B7" s="39" t="s">
        <v>28</v>
      </c>
      <c r="C7" s="55">
        <v>80128</v>
      </c>
      <c r="D7" s="39">
        <v>2</v>
      </c>
      <c r="E7" s="39">
        <v>16</v>
      </c>
      <c r="F7" s="39">
        <f>D7+E7</f>
        <v>18</v>
      </c>
      <c r="G7" s="39"/>
      <c r="H7" s="39">
        <v>8473</v>
      </c>
      <c r="I7" s="133">
        <v>97.45</v>
      </c>
      <c r="J7" s="134">
        <v>3824972</v>
      </c>
      <c r="K7" s="135">
        <v>801280</v>
      </c>
      <c r="L7" s="134">
        <v>100000</v>
      </c>
      <c r="M7" s="136">
        <v>133323</v>
      </c>
      <c r="N7" s="41">
        <v>883503</v>
      </c>
      <c r="O7" s="41"/>
      <c r="P7" s="39">
        <f>SUM(J7:O7)</f>
        <v>5743078</v>
      </c>
      <c r="Q7" s="144" t="s">
        <v>54</v>
      </c>
    </row>
    <row r="8" s="35" customFormat="1" ht="22" customHeight="1" spans="1:17">
      <c r="A8" s="39">
        <v>2</v>
      </c>
      <c r="B8" s="39" t="s">
        <v>55</v>
      </c>
      <c r="C8" s="55">
        <v>14698</v>
      </c>
      <c r="D8" s="39">
        <v>8</v>
      </c>
      <c r="E8" s="39">
        <v>3</v>
      </c>
      <c r="F8" s="39">
        <f t="shared" ref="F8:F21" si="0">D8+E8</f>
        <v>11</v>
      </c>
      <c r="G8" s="39"/>
      <c r="H8" s="39">
        <v>5831</v>
      </c>
      <c r="I8" s="133">
        <v>91.47</v>
      </c>
      <c r="J8" s="134">
        <v>884405</v>
      </c>
      <c r="K8" s="137">
        <v>146980</v>
      </c>
      <c r="L8" s="138">
        <v>30000</v>
      </c>
      <c r="M8" s="136">
        <v>104241</v>
      </c>
      <c r="N8" s="41">
        <v>152117</v>
      </c>
      <c r="O8" s="41"/>
      <c r="P8" s="39">
        <f t="shared" ref="P8:P22" si="1">SUM(J8:O8)</f>
        <v>1317743</v>
      </c>
      <c r="Q8" s="144" t="s">
        <v>56</v>
      </c>
    </row>
    <row r="9" s="35" customFormat="1" ht="22" customHeight="1" spans="1:17">
      <c r="A9" s="39">
        <v>3</v>
      </c>
      <c r="B9" s="39" t="s">
        <v>57</v>
      </c>
      <c r="C9" s="55">
        <v>6731</v>
      </c>
      <c r="D9" s="39">
        <v>1</v>
      </c>
      <c r="E9" s="39">
        <v>6</v>
      </c>
      <c r="F9" s="39">
        <f t="shared" si="0"/>
        <v>7</v>
      </c>
      <c r="G9" s="39"/>
      <c r="H9" s="39">
        <v>1648</v>
      </c>
      <c r="I9" s="133">
        <v>89.39</v>
      </c>
      <c r="J9" s="134">
        <v>382404</v>
      </c>
      <c r="K9" s="135">
        <v>67310</v>
      </c>
      <c r="L9" s="138">
        <v>-10000</v>
      </c>
      <c r="M9" s="136">
        <v>27899</v>
      </c>
      <c r="N9" s="41">
        <v>68079</v>
      </c>
      <c r="O9" s="41"/>
      <c r="P9" s="39">
        <f t="shared" si="1"/>
        <v>535692</v>
      </c>
      <c r="Q9" s="144" t="s">
        <v>58</v>
      </c>
    </row>
    <row r="10" s="35" customFormat="1" ht="22" customHeight="1" spans="1:17">
      <c r="A10" s="39">
        <v>4</v>
      </c>
      <c r="B10" s="39" t="s">
        <v>59</v>
      </c>
      <c r="C10" s="55">
        <v>31405</v>
      </c>
      <c r="D10" s="39">
        <v>8</v>
      </c>
      <c r="E10" s="39">
        <v>10</v>
      </c>
      <c r="F10" s="39">
        <f t="shared" si="0"/>
        <v>18</v>
      </c>
      <c r="G10" s="39"/>
      <c r="H10" s="39">
        <v>5301</v>
      </c>
      <c r="I10" s="139">
        <v>96.59</v>
      </c>
      <c r="J10" s="38">
        <v>1592852</v>
      </c>
      <c r="K10" s="137">
        <v>314050</v>
      </c>
      <c r="L10" s="134">
        <v>80000</v>
      </c>
      <c r="M10" s="136">
        <v>80215</v>
      </c>
      <c r="N10" s="41">
        <v>343220</v>
      </c>
      <c r="O10" s="41"/>
      <c r="P10" s="39">
        <f t="shared" si="1"/>
        <v>2410337</v>
      </c>
      <c r="Q10" s="144" t="s">
        <v>60</v>
      </c>
    </row>
    <row r="11" s="35" customFormat="1" ht="22" customHeight="1" spans="1:17">
      <c r="A11" s="39">
        <v>5</v>
      </c>
      <c r="B11" s="39" t="s">
        <v>61</v>
      </c>
      <c r="C11" s="55">
        <v>20736</v>
      </c>
      <c r="D11" s="39">
        <v>9</v>
      </c>
      <c r="E11" s="39">
        <v>5</v>
      </c>
      <c r="F11" s="39">
        <f t="shared" si="0"/>
        <v>14</v>
      </c>
      <c r="G11" s="39"/>
      <c r="H11" s="39">
        <v>3819</v>
      </c>
      <c r="I11" s="139">
        <v>95.36</v>
      </c>
      <c r="J11" s="38">
        <v>1231321</v>
      </c>
      <c r="K11" s="137">
        <v>207360</v>
      </c>
      <c r="L11" s="134"/>
      <c r="M11" s="136">
        <v>83464</v>
      </c>
      <c r="N11" s="41">
        <v>223735</v>
      </c>
      <c r="O11" s="41"/>
      <c r="P11" s="39">
        <f t="shared" si="1"/>
        <v>1745880</v>
      </c>
      <c r="Q11" s="144"/>
    </row>
    <row r="12" s="35" customFormat="1" ht="22" customHeight="1" spans="1:17">
      <c r="A12" s="39">
        <v>6</v>
      </c>
      <c r="B12" s="39" t="s">
        <v>62</v>
      </c>
      <c r="C12" s="55">
        <v>15109</v>
      </c>
      <c r="D12" s="39">
        <v>8</v>
      </c>
      <c r="E12" s="39">
        <v>2</v>
      </c>
      <c r="F12" s="39">
        <f t="shared" si="0"/>
        <v>10</v>
      </c>
      <c r="G12" s="39"/>
      <c r="H12" s="39">
        <v>2373</v>
      </c>
      <c r="I12" s="139">
        <v>95.31</v>
      </c>
      <c r="J12" s="38">
        <v>886580</v>
      </c>
      <c r="K12" s="137">
        <v>151090</v>
      </c>
      <c r="L12" s="134"/>
      <c r="M12" s="136">
        <v>39539</v>
      </c>
      <c r="N12" s="41">
        <v>162936</v>
      </c>
      <c r="O12" s="41"/>
      <c r="P12" s="39">
        <f t="shared" si="1"/>
        <v>1240145</v>
      </c>
      <c r="Q12" s="144"/>
    </row>
    <row r="13" s="35" customFormat="1" ht="22" customHeight="1" spans="1:17">
      <c r="A13" s="39">
        <v>7</v>
      </c>
      <c r="B13" s="39" t="s">
        <v>63</v>
      </c>
      <c r="C13" s="55">
        <v>27787</v>
      </c>
      <c r="D13" s="39">
        <v>13</v>
      </c>
      <c r="E13" s="39">
        <v>5</v>
      </c>
      <c r="F13" s="39">
        <f t="shared" si="0"/>
        <v>18</v>
      </c>
      <c r="G13" s="39"/>
      <c r="H13" s="39">
        <v>7763</v>
      </c>
      <c r="I13" s="139">
        <v>95.48</v>
      </c>
      <c r="J13" s="38">
        <v>1519486</v>
      </c>
      <c r="K13" s="137">
        <v>277870</v>
      </c>
      <c r="L13" s="138"/>
      <c r="M13" s="136">
        <v>147862</v>
      </c>
      <c r="N13" s="41">
        <v>300190</v>
      </c>
      <c r="O13" s="41"/>
      <c r="P13" s="39">
        <f t="shared" si="1"/>
        <v>2245408</v>
      </c>
      <c r="Q13" s="145"/>
    </row>
    <row r="14" s="35" customFormat="1" ht="22" customHeight="1" spans="1:17">
      <c r="A14" s="39">
        <v>8</v>
      </c>
      <c r="B14" s="39" t="s">
        <v>64</v>
      </c>
      <c r="C14" s="55">
        <v>43627</v>
      </c>
      <c r="D14" s="39">
        <v>20</v>
      </c>
      <c r="E14" s="39">
        <v>6</v>
      </c>
      <c r="F14" s="39">
        <f t="shared" si="0"/>
        <v>26</v>
      </c>
      <c r="G14" s="39"/>
      <c r="H14" s="39">
        <v>6209</v>
      </c>
      <c r="I14" s="139">
        <v>96.43</v>
      </c>
      <c r="J14" s="38">
        <v>2306760</v>
      </c>
      <c r="K14" s="135">
        <v>436270</v>
      </c>
      <c r="L14" s="134"/>
      <c r="M14" s="136">
        <v>107776</v>
      </c>
      <c r="N14" s="41">
        <v>476003</v>
      </c>
      <c r="O14" s="41"/>
      <c r="P14" s="39">
        <f t="shared" si="1"/>
        <v>3326809</v>
      </c>
      <c r="Q14" s="145"/>
    </row>
    <row r="15" s="35" customFormat="1" ht="22" customHeight="1" spans="1:17">
      <c r="A15" s="39">
        <v>9</v>
      </c>
      <c r="B15" s="39" t="s">
        <v>65</v>
      </c>
      <c r="C15" s="55">
        <v>8000</v>
      </c>
      <c r="D15" s="39">
        <v>1</v>
      </c>
      <c r="E15" s="39">
        <v>7</v>
      </c>
      <c r="F15" s="39">
        <f t="shared" si="0"/>
        <v>8</v>
      </c>
      <c r="G15" s="39"/>
      <c r="H15" s="39">
        <v>2348</v>
      </c>
      <c r="I15" s="133">
        <v>90.18</v>
      </c>
      <c r="J15" s="134">
        <v>439621</v>
      </c>
      <c r="K15" s="137">
        <v>80000</v>
      </c>
      <c r="L15" s="134"/>
      <c r="M15" s="136">
        <v>44821</v>
      </c>
      <c r="N15" s="41">
        <v>81628</v>
      </c>
      <c r="O15" s="41"/>
      <c r="P15" s="39">
        <f t="shared" si="1"/>
        <v>646070</v>
      </c>
      <c r="Q15" s="144"/>
    </row>
    <row r="16" s="35" customFormat="1" ht="22" customHeight="1" spans="1:17">
      <c r="A16" s="39">
        <v>10</v>
      </c>
      <c r="B16" s="39" t="s">
        <v>29</v>
      </c>
      <c r="C16" s="55">
        <v>28095</v>
      </c>
      <c r="D16" s="39">
        <v>13</v>
      </c>
      <c r="E16" s="39">
        <v>0</v>
      </c>
      <c r="F16" s="39">
        <f t="shared" si="0"/>
        <v>13</v>
      </c>
      <c r="G16" s="39"/>
      <c r="H16" s="39">
        <v>4568</v>
      </c>
      <c r="I16" s="139">
        <v>95.86</v>
      </c>
      <c r="J16" s="38">
        <v>1452383</v>
      </c>
      <c r="K16" s="137">
        <v>280950</v>
      </c>
      <c r="L16" s="134"/>
      <c r="M16" s="136">
        <v>64299</v>
      </c>
      <c r="N16" s="41">
        <v>304725</v>
      </c>
      <c r="O16" s="41"/>
      <c r="P16" s="39">
        <f t="shared" si="1"/>
        <v>2102357</v>
      </c>
      <c r="Q16" s="144"/>
    </row>
    <row r="17" s="35" customFormat="1" ht="22" customHeight="1" spans="1:17">
      <c r="A17" s="39">
        <v>11</v>
      </c>
      <c r="B17" s="39" t="s">
        <v>30</v>
      </c>
      <c r="C17" s="55">
        <v>41364</v>
      </c>
      <c r="D17" s="39">
        <v>17</v>
      </c>
      <c r="E17" s="39">
        <v>5</v>
      </c>
      <c r="F17" s="39">
        <f t="shared" si="0"/>
        <v>22</v>
      </c>
      <c r="G17" s="39"/>
      <c r="H17" s="39">
        <v>5072</v>
      </c>
      <c r="I17" s="139">
        <v>96.57</v>
      </c>
      <c r="J17" s="38">
        <v>2208803</v>
      </c>
      <c r="K17" s="135">
        <v>413640</v>
      </c>
      <c r="L17" s="138">
        <v>60000</v>
      </c>
      <c r="M17" s="136">
        <v>88162</v>
      </c>
      <c r="N17" s="41">
        <v>451967</v>
      </c>
      <c r="O17" s="41"/>
      <c r="P17" s="39">
        <f t="shared" si="1"/>
        <v>3222572</v>
      </c>
      <c r="Q17" s="144" t="s">
        <v>66</v>
      </c>
    </row>
    <row r="18" s="35" customFormat="1" ht="22" customHeight="1" spans="1:17">
      <c r="A18" s="39">
        <v>12</v>
      </c>
      <c r="B18" s="39" t="s">
        <v>67</v>
      </c>
      <c r="C18" s="55">
        <v>32254</v>
      </c>
      <c r="D18" s="39">
        <v>19</v>
      </c>
      <c r="E18" s="39">
        <v>2</v>
      </c>
      <c r="F18" s="39">
        <f t="shared" si="0"/>
        <v>21</v>
      </c>
      <c r="G18" s="39"/>
      <c r="H18" s="39">
        <v>9029</v>
      </c>
      <c r="I18" s="139">
        <v>96.35</v>
      </c>
      <c r="J18" s="38">
        <v>1869509</v>
      </c>
      <c r="K18" s="135">
        <v>322540</v>
      </c>
      <c r="L18" s="134"/>
      <c r="M18" s="136">
        <v>141394</v>
      </c>
      <c r="N18" s="41">
        <v>351623</v>
      </c>
      <c r="O18" s="41"/>
      <c r="P18" s="39">
        <f t="shared" si="1"/>
        <v>2685066</v>
      </c>
      <c r="Q18" s="145"/>
    </row>
    <row r="19" s="35" customFormat="1" ht="22" customHeight="1" spans="1:17">
      <c r="A19" s="39">
        <v>13</v>
      </c>
      <c r="B19" s="39" t="s">
        <v>68</v>
      </c>
      <c r="C19" s="55">
        <v>31150</v>
      </c>
      <c r="D19" s="39">
        <v>15</v>
      </c>
      <c r="E19" s="39">
        <v>2</v>
      </c>
      <c r="F19" s="39">
        <f t="shared" si="0"/>
        <v>17</v>
      </c>
      <c r="G19" s="39"/>
      <c r="H19" s="39">
        <v>4931</v>
      </c>
      <c r="I19" s="139">
        <v>93.35</v>
      </c>
      <c r="J19" s="38">
        <v>1392351</v>
      </c>
      <c r="K19" s="135">
        <v>311500</v>
      </c>
      <c r="L19" s="134"/>
      <c r="M19" s="136">
        <v>86273</v>
      </c>
      <c r="N19" s="41">
        <v>329014</v>
      </c>
      <c r="O19" s="41"/>
      <c r="P19" s="39">
        <f t="shared" si="1"/>
        <v>2119138</v>
      </c>
      <c r="Q19" s="145"/>
    </row>
    <row r="20" s="35" customFormat="1" ht="22" customHeight="1" spans="1:17">
      <c r="A20" s="39">
        <v>14</v>
      </c>
      <c r="B20" s="43" t="s">
        <v>69</v>
      </c>
      <c r="C20" s="55">
        <v>4666</v>
      </c>
      <c r="D20" s="39">
        <v>1</v>
      </c>
      <c r="E20" s="39">
        <v>4</v>
      </c>
      <c r="F20" s="39">
        <f t="shared" si="0"/>
        <v>5</v>
      </c>
      <c r="G20" s="39"/>
      <c r="H20" s="43">
        <v>745</v>
      </c>
      <c r="I20" s="133">
        <v>91.17</v>
      </c>
      <c r="J20" s="134">
        <v>314006</v>
      </c>
      <c r="K20" s="135">
        <v>46660</v>
      </c>
      <c r="L20" s="138"/>
      <c r="M20" s="136">
        <v>15683</v>
      </c>
      <c r="N20" s="41">
        <v>48132</v>
      </c>
      <c r="O20" s="41"/>
      <c r="P20" s="39">
        <f t="shared" si="1"/>
        <v>424481</v>
      </c>
      <c r="Q20" s="145"/>
    </row>
    <row r="21" s="35" customFormat="1" ht="22" customHeight="1" spans="1:17">
      <c r="A21" s="39">
        <v>15</v>
      </c>
      <c r="B21" s="39" t="s">
        <v>26</v>
      </c>
      <c r="C21" s="55">
        <v>4250</v>
      </c>
      <c r="D21" s="39">
        <v>2</v>
      </c>
      <c r="E21" s="39">
        <v>0</v>
      </c>
      <c r="F21" s="39">
        <f t="shared" si="0"/>
        <v>2</v>
      </c>
      <c r="G21" s="39"/>
      <c r="H21" s="39">
        <v>0</v>
      </c>
      <c r="I21" s="133">
        <v>89.87</v>
      </c>
      <c r="J21" s="134">
        <v>299508</v>
      </c>
      <c r="K21" s="135">
        <v>42500</v>
      </c>
      <c r="L21" s="134"/>
      <c r="M21" s="136">
        <v>0</v>
      </c>
      <c r="N21" s="41">
        <v>43216</v>
      </c>
      <c r="O21" s="41"/>
      <c r="P21" s="39">
        <f t="shared" si="1"/>
        <v>385224</v>
      </c>
      <c r="Q21" s="144"/>
    </row>
    <row r="22" s="35" customFormat="1" ht="22" customHeight="1" spans="1:17">
      <c r="A22" s="39">
        <v>16</v>
      </c>
      <c r="B22" s="39" t="s">
        <v>31</v>
      </c>
      <c r="C22" s="56"/>
      <c r="D22" s="38"/>
      <c r="E22" s="38"/>
      <c r="F22" s="39"/>
      <c r="G22" s="39"/>
      <c r="H22" s="39"/>
      <c r="I22" s="140"/>
      <c r="J22" s="38"/>
      <c r="K22" s="131"/>
      <c r="L22" s="41"/>
      <c r="M22" s="131"/>
      <c r="N22" s="41"/>
      <c r="O22" s="41">
        <v>50000</v>
      </c>
      <c r="P22" s="39">
        <f t="shared" si="1"/>
        <v>50000</v>
      </c>
      <c r="Q22" s="146" t="s">
        <v>32</v>
      </c>
    </row>
    <row r="23" s="35" customFormat="1" ht="22" customHeight="1" spans="1:17">
      <c r="A23" s="123"/>
      <c r="B23" s="39" t="s">
        <v>70</v>
      </c>
      <c r="C23" s="46">
        <v>390000</v>
      </c>
      <c r="D23" s="39">
        <f>SUM(D7:D21)</f>
        <v>137</v>
      </c>
      <c r="E23" s="39">
        <f>SUM(E7:E21)</f>
        <v>73</v>
      </c>
      <c r="F23" s="39">
        <f>D23+E23</f>
        <v>210</v>
      </c>
      <c r="G23" s="46"/>
      <c r="H23" s="46">
        <f>SUM(H7:H22)</f>
        <v>68110</v>
      </c>
      <c r="I23" s="141"/>
      <c r="J23" s="38">
        <f t="shared" ref="J23:P23" si="2">SUM(J7:J22)</f>
        <v>20604961</v>
      </c>
      <c r="K23" s="38">
        <f t="shared" si="2"/>
        <v>3900000</v>
      </c>
      <c r="L23" s="38">
        <f t="shared" si="2"/>
        <v>260000</v>
      </c>
      <c r="M23" s="38">
        <f t="shared" si="2"/>
        <v>1164951</v>
      </c>
      <c r="N23" s="38">
        <f t="shared" si="2"/>
        <v>4220088</v>
      </c>
      <c r="O23" s="38">
        <f t="shared" si="2"/>
        <v>50000</v>
      </c>
      <c r="P23" s="142">
        <f t="shared" si="2"/>
        <v>30200000</v>
      </c>
      <c r="Q23" s="42"/>
    </row>
  </sheetData>
  <mergeCells count="20">
    <mergeCell ref="A2:Q2"/>
    <mergeCell ref="C4:I4"/>
    <mergeCell ref="J4:P4"/>
    <mergeCell ref="A4:A6"/>
    <mergeCell ref="B4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4:Q6"/>
  </mergeCells>
  <printOptions horizontalCentered="1"/>
  <pageMargins left="0.196527777777778" right="0.196527777777778" top="0.393055555555556" bottom="0.393055555555556" header="0.393055555555556" footer="0.393055555555556"/>
  <pageSetup paperSize="9" scale="91" orientation="landscape" horizont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20"/>
  <sheetViews>
    <sheetView zoomScale="89" zoomScaleNormal="89" workbookViewId="0">
      <selection activeCell="R5" sqref="R5"/>
    </sheetView>
  </sheetViews>
  <sheetFormatPr defaultColWidth="9" defaultRowHeight="14.25"/>
  <cols>
    <col min="1" max="1" width="5.875" style="108" customWidth="1"/>
    <col min="2" max="2" width="24.875" style="108" customWidth="1"/>
    <col min="3" max="16" width="11.375" style="108" customWidth="1"/>
    <col min="17" max="16384" width="9" style="108"/>
  </cols>
  <sheetData>
    <row r="1" ht="20.25" spans="1:4">
      <c r="A1" s="109" t="s">
        <v>71</v>
      </c>
      <c r="B1" s="110"/>
      <c r="C1" s="110"/>
      <c r="D1" s="110"/>
    </row>
    <row r="2" ht="30" customHeight="1" spans="1:16">
      <c r="A2" s="102" t="s">
        <v>72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</row>
    <row r="3" ht="18" customHeight="1" spans="16:16">
      <c r="P3" s="113" t="s">
        <v>36</v>
      </c>
    </row>
    <row r="4" ht="96" customHeight="1" spans="1:16">
      <c r="A4" s="111" t="s">
        <v>3</v>
      </c>
      <c r="B4" s="27" t="s">
        <v>37</v>
      </c>
      <c r="C4" s="13" t="s">
        <v>73</v>
      </c>
      <c r="D4" s="13" t="s">
        <v>74</v>
      </c>
      <c r="E4" s="13" t="s">
        <v>75</v>
      </c>
      <c r="F4" s="13" t="s">
        <v>76</v>
      </c>
      <c r="G4" s="13" t="s">
        <v>77</v>
      </c>
      <c r="H4" s="13" t="s">
        <v>78</v>
      </c>
      <c r="I4" s="13" t="s">
        <v>79</v>
      </c>
      <c r="J4" s="13" t="s">
        <v>80</v>
      </c>
      <c r="K4" s="13" t="s">
        <v>81</v>
      </c>
      <c r="L4" s="13" t="s">
        <v>82</v>
      </c>
      <c r="M4" s="13" t="s">
        <v>83</v>
      </c>
      <c r="N4" s="13" t="s">
        <v>84</v>
      </c>
      <c r="O4" s="13" t="s">
        <v>85</v>
      </c>
      <c r="P4" s="14" t="s">
        <v>86</v>
      </c>
    </row>
    <row r="5" ht="28" customHeight="1" spans="1:16">
      <c r="A5" s="111">
        <v>1</v>
      </c>
      <c r="B5" s="18" t="s">
        <v>28</v>
      </c>
      <c r="C5" s="18">
        <v>168372</v>
      </c>
      <c r="D5" s="20">
        <v>72100</v>
      </c>
      <c r="E5" s="20">
        <v>212660</v>
      </c>
      <c r="F5" s="20">
        <v>264630</v>
      </c>
      <c r="G5" s="18">
        <v>170520</v>
      </c>
      <c r="H5" s="18">
        <v>1020000</v>
      </c>
      <c r="I5" s="18">
        <v>1092960</v>
      </c>
      <c r="J5" s="18">
        <v>394200</v>
      </c>
      <c r="K5" s="18">
        <v>82350</v>
      </c>
      <c r="L5" s="18">
        <v>2070</v>
      </c>
      <c r="M5" s="18">
        <v>241110</v>
      </c>
      <c r="N5" s="18">
        <v>33000</v>
      </c>
      <c r="O5" s="21">
        <v>71000</v>
      </c>
      <c r="P5" s="21">
        <f>SUM(C5:O5)</f>
        <v>3824972</v>
      </c>
    </row>
    <row r="6" ht="28" customHeight="1" spans="1:16">
      <c r="A6" s="111">
        <v>2</v>
      </c>
      <c r="B6" s="18" t="s">
        <v>55</v>
      </c>
      <c r="C6" s="18">
        <v>40950</v>
      </c>
      <c r="D6" s="20">
        <v>93200</v>
      </c>
      <c r="E6" s="20">
        <v>7710</v>
      </c>
      <c r="F6" s="20">
        <v>46140</v>
      </c>
      <c r="G6" s="18">
        <v>22200</v>
      </c>
      <c r="H6" s="18">
        <v>226000</v>
      </c>
      <c r="I6" s="18">
        <v>214650</v>
      </c>
      <c r="J6" s="18">
        <v>75600</v>
      </c>
      <c r="K6" s="18">
        <v>23220</v>
      </c>
      <c r="L6" s="18">
        <v>795</v>
      </c>
      <c r="M6" s="18">
        <v>50940</v>
      </c>
      <c r="N6" s="18">
        <v>26000</v>
      </c>
      <c r="O6" s="21">
        <v>57000</v>
      </c>
      <c r="P6" s="21">
        <f t="shared" ref="P6:P20" si="0">SUM(C6:O6)</f>
        <v>884405</v>
      </c>
    </row>
    <row r="7" ht="28" customHeight="1" spans="1:16">
      <c r="A7" s="111">
        <v>3</v>
      </c>
      <c r="B7" s="18" t="s">
        <v>57</v>
      </c>
      <c r="C7" s="18">
        <v>4464</v>
      </c>
      <c r="D7" s="20">
        <v>70800</v>
      </c>
      <c r="E7" s="20">
        <v>1230</v>
      </c>
      <c r="F7" s="20">
        <v>25610</v>
      </c>
      <c r="G7" s="18">
        <v>11520</v>
      </c>
      <c r="H7" s="18">
        <v>79400</v>
      </c>
      <c r="I7" s="18">
        <v>70740</v>
      </c>
      <c r="J7" s="18">
        <v>22950</v>
      </c>
      <c r="K7" s="18">
        <v>7560</v>
      </c>
      <c r="L7" s="18">
        <v>150</v>
      </c>
      <c r="M7" s="18">
        <v>16980</v>
      </c>
      <c r="N7" s="18">
        <v>22000</v>
      </c>
      <c r="O7" s="21">
        <v>49000</v>
      </c>
      <c r="P7" s="21">
        <f t="shared" si="0"/>
        <v>382404</v>
      </c>
    </row>
    <row r="8" ht="28" customHeight="1" spans="1:16">
      <c r="A8" s="111">
        <v>4</v>
      </c>
      <c r="B8" s="18" t="s">
        <v>59</v>
      </c>
      <c r="C8" s="18">
        <v>40377</v>
      </c>
      <c r="D8" s="20">
        <v>119800</v>
      </c>
      <c r="E8" s="20">
        <v>18210</v>
      </c>
      <c r="F8" s="20">
        <v>123310</v>
      </c>
      <c r="G8" s="18">
        <v>60440</v>
      </c>
      <c r="H8" s="18">
        <v>430400</v>
      </c>
      <c r="I8" s="18">
        <v>408240</v>
      </c>
      <c r="J8" s="18">
        <v>134460</v>
      </c>
      <c r="K8" s="18">
        <v>48330</v>
      </c>
      <c r="L8" s="18">
        <v>675</v>
      </c>
      <c r="M8" s="18">
        <v>104610</v>
      </c>
      <c r="N8" s="18">
        <v>33000</v>
      </c>
      <c r="O8" s="21">
        <v>71000</v>
      </c>
      <c r="P8" s="21">
        <f t="shared" si="0"/>
        <v>1592852</v>
      </c>
    </row>
    <row r="9" ht="28" customHeight="1" spans="1:16">
      <c r="A9" s="111">
        <v>5</v>
      </c>
      <c r="B9" s="18" t="s">
        <v>61</v>
      </c>
      <c r="C9" s="18">
        <v>55641</v>
      </c>
      <c r="D9" s="20">
        <v>104600</v>
      </c>
      <c r="E9" s="20">
        <v>17910</v>
      </c>
      <c r="F9" s="20">
        <v>93710</v>
      </c>
      <c r="G9" s="18">
        <v>43560</v>
      </c>
      <c r="H9" s="18">
        <v>365200</v>
      </c>
      <c r="I9" s="18">
        <v>273240</v>
      </c>
      <c r="J9" s="18">
        <v>85860</v>
      </c>
      <c r="K9" s="18">
        <v>31860</v>
      </c>
      <c r="L9" s="18">
        <v>750</v>
      </c>
      <c r="M9" s="18">
        <v>66990</v>
      </c>
      <c r="N9" s="18">
        <v>29000</v>
      </c>
      <c r="O9" s="21">
        <v>63000</v>
      </c>
      <c r="P9" s="21">
        <f t="shared" si="0"/>
        <v>1231321</v>
      </c>
    </row>
    <row r="10" ht="28" customHeight="1" spans="1:16">
      <c r="A10" s="111">
        <v>6</v>
      </c>
      <c r="B10" s="18" t="s">
        <v>62</v>
      </c>
      <c r="C10" s="18">
        <v>21315</v>
      </c>
      <c r="D10" s="20">
        <v>89400</v>
      </c>
      <c r="E10" s="20">
        <v>5880</v>
      </c>
      <c r="F10" s="20">
        <v>61670</v>
      </c>
      <c r="G10" s="18">
        <v>33680</v>
      </c>
      <c r="H10" s="18">
        <v>267200</v>
      </c>
      <c r="I10" s="18">
        <v>189270</v>
      </c>
      <c r="J10" s="18">
        <v>70740</v>
      </c>
      <c r="K10" s="18">
        <v>22140</v>
      </c>
      <c r="L10" s="18">
        <v>705</v>
      </c>
      <c r="M10" s="18">
        <v>44580</v>
      </c>
      <c r="N10" s="18">
        <v>25000</v>
      </c>
      <c r="O10" s="21">
        <v>55000</v>
      </c>
      <c r="P10" s="21">
        <f t="shared" si="0"/>
        <v>886580</v>
      </c>
    </row>
    <row r="11" ht="28" customHeight="1" spans="1:16">
      <c r="A11" s="111">
        <v>7</v>
      </c>
      <c r="B11" s="18" t="s">
        <v>63</v>
      </c>
      <c r="C11" s="18">
        <v>73791</v>
      </c>
      <c r="D11" s="20">
        <v>121300</v>
      </c>
      <c r="E11" s="20">
        <v>34910</v>
      </c>
      <c r="F11" s="20">
        <v>116970</v>
      </c>
      <c r="G11" s="18">
        <v>47280</v>
      </c>
      <c r="H11" s="18">
        <v>400400</v>
      </c>
      <c r="I11" s="18">
        <v>368010</v>
      </c>
      <c r="J11" s="18">
        <v>131760</v>
      </c>
      <c r="K11" s="18">
        <v>36720</v>
      </c>
      <c r="L11" s="18">
        <v>525</v>
      </c>
      <c r="M11" s="18">
        <v>83820</v>
      </c>
      <c r="N11" s="18">
        <v>33000</v>
      </c>
      <c r="O11" s="21">
        <v>71000</v>
      </c>
      <c r="P11" s="21">
        <f t="shared" si="0"/>
        <v>1519486</v>
      </c>
    </row>
    <row r="12" ht="28" customHeight="1" spans="1:16">
      <c r="A12" s="111">
        <v>8</v>
      </c>
      <c r="B12" s="18" t="s">
        <v>64</v>
      </c>
      <c r="C12" s="18">
        <v>92175</v>
      </c>
      <c r="D12" s="20">
        <v>142100</v>
      </c>
      <c r="E12" s="20">
        <v>64330</v>
      </c>
      <c r="F12" s="20">
        <v>205490</v>
      </c>
      <c r="G12" s="18">
        <v>97480</v>
      </c>
      <c r="H12" s="18">
        <v>632200</v>
      </c>
      <c r="I12" s="18">
        <v>559440</v>
      </c>
      <c r="J12" s="18">
        <v>191160</v>
      </c>
      <c r="K12" s="18">
        <v>51570</v>
      </c>
      <c r="L12" s="18">
        <v>1305</v>
      </c>
      <c r="M12" s="18">
        <v>141510</v>
      </c>
      <c r="N12" s="18">
        <v>41000</v>
      </c>
      <c r="O12" s="21">
        <v>87000</v>
      </c>
      <c r="P12" s="21">
        <f t="shared" si="0"/>
        <v>2306760</v>
      </c>
    </row>
    <row r="13" ht="28" customHeight="1" spans="1:16">
      <c r="A13" s="111">
        <v>9</v>
      </c>
      <c r="B13" s="18" t="s">
        <v>65</v>
      </c>
      <c r="C13" s="18">
        <v>14511</v>
      </c>
      <c r="D13" s="20">
        <v>72200</v>
      </c>
      <c r="E13" s="20">
        <v>1460</v>
      </c>
      <c r="F13" s="20">
        <v>23310</v>
      </c>
      <c r="G13" s="18">
        <v>12880</v>
      </c>
      <c r="H13" s="18">
        <v>101400</v>
      </c>
      <c r="I13" s="18">
        <v>85590</v>
      </c>
      <c r="J13" s="18">
        <v>17550</v>
      </c>
      <c r="K13" s="18">
        <v>9990</v>
      </c>
      <c r="L13" s="18">
        <v>300</v>
      </c>
      <c r="M13" s="18">
        <v>26430</v>
      </c>
      <c r="N13" s="18">
        <v>23000</v>
      </c>
      <c r="O13" s="21">
        <v>51000</v>
      </c>
      <c r="P13" s="21">
        <f t="shared" si="0"/>
        <v>439621</v>
      </c>
    </row>
    <row r="14" ht="28" customHeight="1" spans="1:16">
      <c r="A14" s="111">
        <v>10</v>
      </c>
      <c r="B14" s="18" t="s">
        <v>29</v>
      </c>
      <c r="C14" s="18">
        <v>32733</v>
      </c>
      <c r="D14" s="20">
        <v>100800</v>
      </c>
      <c r="E14" s="20">
        <v>91130</v>
      </c>
      <c r="F14" s="20">
        <v>111710</v>
      </c>
      <c r="G14" s="18">
        <v>58920</v>
      </c>
      <c r="H14" s="18">
        <v>379400</v>
      </c>
      <c r="I14" s="18">
        <v>337500</v>
      </c>
      <c r="J14" s="18">
        <v>122310</v>
      </c>
      <c r="K14" s="18">
        <v>38070</v>
      </c>
      <c r="L14" s="18">
        <v>1110</v>
      </c>
      <c r="M14" s="18">
        <v>89700</v>
      </c>
      <c r="N14" s="18">
        <v>28000</v>
      </c>
      <c r="O14" s="21">
        <v>61000</v>
      </c>
      <c r="P14" s="21">
        <f t="shared" si="0"/>
        <v>1452383</v>
      </c>
    </row>
    <row r="15" ht="28" customHeight="1" spans="1:16">
      <c r="A15" s="111">
        <v>11</v>
      </c>
      <c r="B15" s="18" t="s">
        <v>30</v>
      </c>
      <c r="C15" s="18">
        <v>92943</v>
      </c>
      <c r="D15" s="20">
        <v>140700</v>
      </c>
      <c r="E15" s="20">
        <v>48140</v>
      </c>
      <c r="F15" s="20">
        <v>169210</v>
      </c>
      <c r="G15" s="18">
        <v>89240</v>
      </c>
      <c r="H15" s="18">
        <v>615400</v>
      </c>
      <c r="I15" s="18">
        <v>569430</v>
      </c>
      <c r="J15" s="18">
        <v>185490</v>
      </c>
      <c r="K15" s="18">
        <v>59940</v>
      </c>
      <c r="L15" s="18">
        <v>1950</v>
      </c>
      <c r="M15" s="18">
        <v>120360</v>
      </c>
      <c r="N15" s="18">
        <v>37000</v>
      </c>
      <c r="O15" s="21">
        <v>79000</v>
      </c>
      <c r="P15" s="21">
        <f t="shared" si="0"/>
        <v>2208803</v>
      </c>
    </row>
    <row r="16" ht="28" customHeight="1" spans="1:16">
      <c r="A16" s="111">
        <v>12</v>
      </c>
      <c r="B16" s="18" t="s">
        <v>67</v>
      </c>
      <c r="C16" s="18">
        <v>82584</v>
      </c>
      <c r="D16" s="20">
        <v>125200</v>
      </c>
      <c r="E16" s="20">
        <v>51320</v>
      </c>
      <c r="F16" s="20">
        <v>165760</v>
      </c>
      <c r="G16" s="18">
        <v>74720</v>
      </c>
      <c r="H16" s="18">
        <v>517800</v>
      </c>
      <c r="I16" s="18">
        <v>445500</v>
      </c>
      <c r="J16" s="18">
        <v>147690</v>
      </c>
      <c r="K16" s="18">
        <v>36450</v>
      </c>
      <c r="L16" s="18">
        <v>1665</v>
      </c>
      <c r="M16" s="18">
        <v>107820</v>
      </c>
      <c r="N16" s="18">
        <v>36000</v>
      </c>
      <c r="O16" s="21">
        <v>77000</v>
      </c>
      <c r="P16" s="21">
        <f t="shared" si="0"/>
        <v>1869509</v>
      </c>
    </row>
    <row r="17" ht="28" customHeight="1" spans="1:16">
      <c r="A17" s="111">
        <v>13</v>
      </c>
      <c r="B17" s="18" t="s">
        <v>68</v>
      </c>
      <c r="C17" s="18">
        <v>42156</v>
      </c>
      <c r="D17" s="20">
        <v>116600</v>
      </c>
      <c r="E17" s="20">
        <v>33670</v>
      </c>
      <c r="F17" s="20">
        <v>120900</v>
      </c>
      <c r="G17" s="18">
        <v>54000</v>
      </c>
      <c r="H17" s="18">
        <v>396400</v>
      </c>
      <c r="I17" s="18">
        <v>299160</v>
      </c>
      <c r="J17" s="18">
        <v>103950</v>
      </c>
      <c r="K17" s="18">
        <v>41580</v>
      </c>
      <c r="L17" s="18">
        <v>1515</v>
      </c>
      <c r="M17" s="18">
        <v>81420</v>
      </c>
      <c r="N17" s="18">
        <v>32000</v>
      </c>
      <c r="O17" s="21">
        <v>69000</v>
      </c>
      <c r="P17" s="21">
        <f t="shared" si="0"/>
        <v>1392351</v>
      </c>
    </row>
    <row r="18" ht="28" customHeight="1" spans="1:16">
      <c r="A18" s="111">
        <v>14</v>
      </c>
      <c r="B18" s="22" t="s">
        <v>69</v>
      </c>
      <c r="C18" s="18">
        <v>10956</v>
      </c>
      <c r="D18" s="20">
        <v>59600</v>
      </c>
      <c r="E18" s="20">
        <v>1090</v>
      </c>
      <c r="F18" s="20">
        <v>14310</v>
      </c>
      <c r="G18" s="18">
        <v>3760</v>
      </c>
      <c r="H18" s="18">
        <v>60200</v>
      </c>
      <c r="I18" s="18">
        <v>61290</v>
      </c>
      <c r="J18" s="18">
        <v>19710</v>
      </c>
      <c r="K18" s="18">
        <v>6210</v>
      </c>
      <c r="L18" s="18">
        <v>0</v>
      </c>
      <c r="M18" s="18">
        <v>11880</v>
      </c>
      <c r="N18" s="18">
        <v>20000</v>
      </c>
      <c r="O18" s="21">
        <v>45000</v>
      </c>
      <c r="P18" s="21">
        <f t="shared" si="0"/>
        <v>314006</v>
      </c>
    </row>
    <row r="19" ht="28" customHeight="1" spans="1:16">
      <c r="A19" s="111">
        <v>15</v>
      </c>
      <c r="B19" s="18" t="s">
        <v>26</v>
      </c>
      <c r="C19" s="18">
        <v>4188</v>
      </c>
      <c r="D19" s="20">
        <v>55400</v>
      </c>
      <c r="E19" s="20">
        <v>2100</v>
      </c>
      <c r="F19" s="20">
        <v>24170</v>
      </c>
      <c r="G19" s="18">
        <v>6560</v>
      </c>
      <c r="H19" s="18">
        <v>57400</v>
      </c>
      <c r="I19" s="18">
        <v>59670</v>
      </c>
      <c r="J19" s="18">
        <v>17820</v>
      </c>
      <c r="K19" s="18">
        <v>4860</v>
      </c>
      <c r="L19" s="18">
        <v>300</v>
      </c>
      <c r="M19" s="18">
        <v>11040</v>
      </c>
      <c r="N19" s="18">
        <v>17000</v>
      </c>
      <c r="O19" s="21">
        <v>39000</v>
      </c>
      <c r="P19" s="21">
        <f t="shared" si="0"/>
        <v>299508</v>
      </c>
    </row>
    <row r="20" s="108" customFormat="1" ht="28" customHeight="1" spans="1:16">
      <c r="A20" s="112"/>
      <c r="B20" s="18" t="s">
        <v>70</v>
      </c>
      <c r="C20" s="18">
        <f>SUM(C5:C19)</f>
        <v>777156</v>
      </c>
      <c r="D20" s="18">
        <f t="shared" ref="D20:O20" si="1">SUM(D5:D19)</f>
        <v>1483800</v>
      </c>
      <c r="E20" s="18">
        <f t="shared" si="1"/>
        <v>591750</v>
      </c>
      <c r="F20" s="18">
        <f t="shared" si="1"/>
        <v>1566900</v>
      </c>
      <c r="G20" s="18">
        <f t="shared" si="1"/>
        <v>786760</v>
      </c>
      <c r="H20" s="18">
        <f t="shared" si="1"/>
        <v>5548800</v>
      </c>
      <c r="I20" s="18">
        <f t="shared" si="1"/>
        <v>5034690</v>
      </c>
      <c r="J20" s="18">
        <f t="shared" si="1"/>
        <v>1721250</v>
      </c>
      <c r="K20" s="18">
        <f t="shared" si="1"/>
        <v>500850</v>
      </c>
      <c r="L20" s="18">
        <f t="shared" si="1"/>
        <v>13815</v>
      </c>
      <c r="M20" s="18">
        <f t="shared" si="1"/>
        <v>1199190</v>
      </c>
      <c r="N20" s="18">
        <f t="shared" si="1"/>
        <v>435000</v>
      </c>
      <c r="O20" s="18">
        <f t="shared" si="1"/>
        <v>945000</v>
      </c>
      <c r="P20" s="21">
        <f t="shared" si="0"/>
        <v>20604961</v>
      </c>
    </row>
  </sheetData>
  <mergeCells count="1">
    <mergeCell ref="A2:P2"/>
  </mergeCells>
  <printOptions horizontalCentered="1"/>
  <pageMargins left="0.393055555555556" right="0.393055555555556" top="0.590277777777778" bottom="0.590277777777778" header="0.393055555555556" footer="0.393055555555556"/>
  <pageSetup paperSize="9" scale="68" fitToHeight="0" orientation="landscape" horizontalDpi="6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A1" sqref="$A1:$XFD1"/>
    </sheetView>
  </sheetViews>
  <sheetFormatPr defaultColWidth="9" defaultRowHeight="14.25" outlineLevelCol="6"/>
  <cols>
    <col min="1" max="1" width="5" customWidth="1"/>
    <col min="2" max="2" width="25.375" customWidth="1"/>
    <col min="3" max="3" width="15.5" customWidth="1"/>
    <col min="4" max="5" width="10.75" customWidth="1"/>
    <col min="6" max="6" width="11.875" customWidth="1"/>
  </cols>
  <sheetData>
    <row r="1" s="1" customFormat="1" ht="26" customHeight="1" spans="1:4">
      <c r="A1" s="5" t="s">
        <v>87</v>
      </c>
      <c r="B1" s="6"/>
      <c r="C1" s="6"/>
      <c r="D1" s="6"/>
    </row>
    <row r="2" ht="33" customHeight="1" spans="1:6">
      <c r="A2" s="8" t="s">
        <v>88</v>
      </c>
      <c r="B2" s="8"/>
      <c r="C2" s="8"/>
      <c r="D2" s="8"/>
      <c r="E2" s="8"/>
      <c r="F2" s="8"/>
    </row>
    <row r="3" s="2" customFormat="1" ht="16" customHeight="1" spans="6:6">
      <c r="F3" s="11" t="s">
        <v>36</v>
      </c>
    </row>
    <row r="4" s="2" customFormat="1" ht="44" customHeight="1" spans="1:7">
      <c r="A4" s="12" t="s">
        <v>3</v>
      </c>
      <c r="B4" s="13" t="s">
        <v>37</v>
      </c>
      <c r="C4" s="14" t="s">
        <v>89</v>
      </c>
      <c r="D4" s="14" t="s">
        <v>90</v>
      </c>
      <c r="E4" s="15" t="s">
        <v>91</v>
      </c>
      <c r="F4" s="14" t="s">
        <v>9</v>
      </c>
      <c r="G4" s="37"/>
    </row>
    <row r="5" s="3" customFormat="1" ht="30" customHeight="1" spans="1:6">
      <c r="A5" s="17">
        <v>1</v>
      </c>
      <c r="B5" s="18" t="s">
        <v>28</v>
      </c>
      <c r="C5" s="24">
        <v>56124</v>
      </c>
      <c r="D5" s="20">
        <v>3</v>
      </c>
      <c r="E5" s="21">
        <f>C5*D5</f>
        <v>168372</v>
      </c>
      <c r="F5" s="27"/>
    </row>
    <row r="6" s="3" customFormat="1" ht="30" customHeight="1" spans="1:6">
      <c r="A6" s="17">
        <v>2</v>
      </c>
      <c r="B6" s="18" t="s">
        <v>55</v>
      </c>
      <c r="C6" s="24">
        <v>13650</v>
      </c>
      <c r="D6" s="20">
        <v>3</v>
      </c>
      <c r="E6" s="21">
        <f t="shared" ref="E6:E19" si="0">C6*D6</f>
        <v>40950</v>
      </c>
      <c r="F6" s="27"/>
    </row>
    <row r="7" s="3" customFormat="1" ht="30" customHeight="1" spans="1:6">
      <c r="A7" s="17">
        <v>3</v>
      </c>
      <c r="B7" s="18" t="s">
        <v>57</v>
      </c>
      <c r="C7" s="24">
        <v>1488</v>
      </c>
      <c r="D7" s="20">
        <v>3</v>
      </c>
      <c r="E7" s="21">
        <f t="shared" si="0"/>
        <v>4464</v>
      </c>
      <c r="F7" s="27"/>
    </row>
    <row r="8" s="3" customFormat="1" ht="30" customHeight="1" spans="1:6">
      <c r="A8" s="17">
        <v>4</v>
      </c>
      <c r="B8" s="18" t="s">
        <v>59</v>
      </c>
      <c r="C8" s="24">
        <v>13459</v>
      </c>
      <c r="D8" s="20">
        <v>3</v>
      </c>
      <c r="E8" s="21">
        <f t="shared" si="0"/>
        <v>40377</v>
      </c>
      <c r="F8" s="27"/>
    </row>
    <row r="9" s="3" customFormat="1" ht="30" customHeight="1" spans="1:6">
      <c r="A9" s="17">
        <v>5</v>
      </c>
      <c r="B9" s="18" t="s">
        <v>61</v>
      </c>
      <c r="C9" s="24">
        <v>18547</v>
      </c>
      <c r="D9" s="20">
        <v>3</v>
      </c>
      <c r="E9" s="21">
        <f t="shared" si="0"/>
        <v>55641</v>
      </c>
      <c r="F9" s="27"/>
    </row>
    <row r="10" s="3" customFormat="1" ht="30" customHeight="1" spans="1:6">
      <c r="A10" s="17">
        <v>6</v>
      </c>
      <c r="B10" s="18" t="s">
        <v>62</v>
      </c>
      <c r="C10" s="24">
        <v>7105</v>
      </c>
      <c r="D10" s="20">
        <v>3</v>
      </c>
      <c r="E10" s="21">
        <f t="shared" si="0"/>
        <v>21315</v>
      </c>
      <c r="F10" s="27"/>
    </row>
    <row r="11" s="3" customFormat="1" ht="30" customHeight="1" spans="1:6">
      <c r="A11" s="17">
        <v>7</v>
      </c>
      <c r="B11" s="18" t="s">
        <v>63</v>
      </c>
      <c r="C11" s="24">
        <v>24597</v>
      </c>
      <c r="D11" s="20">
        <v>3</v>
      </c>
      <c r="E11" s="21">
        <f t="shared" si="0"/>
        <v>73791</v>
      </c>
      <c r="F11" s="27"/>
    </row>
    <row r="12" s="3" customFormat="1" ht="30" customHeight="1" spans="1:6">
      <c r="A12" s="17">
        <v>8</v>
      </c>
      <c r="B12" s="18" t="s">
        <v>64</v>
      </c>
      <c r="C12" s="24">
        <v>30725</v>
      </c>
      <c r="D12" s="20">
        <v>3</v>
      </c>
      <c r="E12" s="21">
        <f t="shared" si="0"/>
        <v>92175</v>
      </c>
      <c r="F12" s="27"/>
    </row>
    <row r="13" s="3" customFormat="1" ht="30" customHeight="1" spans="1:6">
      <c r="A13" s="17">
        <v>9</v>
      </c>
      <c r="B13" s="18" t="s">
        <v>65</v>
      </c>
      <c r="C13" s="24">
        <v>4837</v>
      </c>
      <c r="D13" s="20">
        <v>3</v>
      </c>
      <c r="E13" s="21">
        <f t="shared" si="0"/>
        <v>14511</v>
      </c>
      <c r="F13" s="27"/>
    </row>
    <row r="14" s="3" customFormat="1" ht="30" customHeight="1" spans="1:6">
      <c r="A14" s="17">
        <v>10</v>
      </c>
      <c r="B14" s="18" t="s">
        <v>29</v>
      </c>
      <c r="C14" s="24">
        <v>10911</v>
      </c>
      <c r="D14" s="20">
        <v>3</v>
      </c>
      <c r="E14" s="21">
        <f t="shared" si="0"/>
        <v>32733</v>
      </c>
      <c r="F14" s="27"/>
    </row>
    <row r="15" s="3" customFormat="1" ht="30" customHeight="1" spans="1:6">
      <c r="A15" s="17">
        <v>11</v>
      </c>
      <c r="B15" s="18" t="s">
        <v>30</v>
      </c>
      <c r="C15" s="24">
        <v>30981</v>
      </c>
      <c r="D15" s="20">
        <v>3</v>
      </c>
      <c r="E15" s="21">
        <f t="shared" si="0"/>
        <v>92943</v>
      </c>
      <c r="F15" s="27"/>
    </row>
    <row r="16" s="3" customFormat="1" ht="30" customHeight="1" spans="1:6">
      <c r="A16" s="17">
        <v>12</v>
      </c>
      <c r="B16" s="18" t="s">
        <v>67</v>
      </c>
      <c r="C16" s="24">
        <v>27528</v>
      </c>
      <c r="D16" s="20">
        <v>3</v>
      </c>
      <c r="E16" s="21">
        <f t="shared" si="0"/>
        <v>82584</v>
      </c>
      <c r="F16" s="27"/>
    </row>
    <row r="17" s="3" customFormat="1" ht="30" customHeight="1" spans="1:6">
      <c r="A17" s="17">
        <v>13</v>
      </c>
      <c r="B17" s="18" t="s">
        <v>68</v>
      </c>
      <c r="C17" s="24">
        <v>14052</v>
      </c>
      <c r="D17" s="20">
        <v>3</v>
      </c>
      <c r="E17" s="21">
        <f t="shared" si="0"/>
        <v>42156</v>
      </c>
      <c r="F17" s="27"/>
    </row>
    <row r="18" s="3" customFormat="1" ht="30" customHeight="1" spans="1:6">
      <c r="A18" s="17">
        <v>14</v>
      </c>
      <c r="B18" s="22" t="s">
        <v>69</v>
      </c>
      <c r="C18" s="24">
        <v>3652</v>
      </c>
      <c r="D18" s="20">
        <v>3</v>
      </c>
      <c r="E18" s="21">
        <f t="shared" si="0"/>
        <v>10956</v>
      </c>
      <c r="F18" s="27"/>
    </row>
    <row r="19" s="3" customFormat="1" ht="30" customHeight="1" spans="1:6">
      <c r="A19" s="17">
        <v>15</v>
      </c>
      <c r="B19" s="18" t="s">
        <v>26</v>
      </c>
      <c r="C19" s="24">
        <v>1396</v>
      </c>
      <c r="D19" s="20">
        <v>3</v>
      </c>
      <c r="E19" s="21">
        <f t="shared" si="0"/>
        <v>4188</v>
      </c>
      <c r="F19" s="27"/>
    </row>
    <row r="20" s="3" customFormat="1" ht="30" customHeight="1" spans="1:6">
      <c r="A20" s="23"/>
      <c r="B20" s="18" t="s">
        <v>70</v>
      </c>
      <c r="C20" s="25">
        <f>SUM(C5:C19)</f>
        <v>259052</v>
      </c>
      <c r="D20" s="20"/>
      <c r="E20" s="18">
        <f>SUM(E5:E19)</f>
        <v>777156</v>
      </c>
      <c r="F20" s="27"/>
    </row>
    <row r="21" s="2" customFormat="1"/>
  </sheetData>
  <mergeCells count="1">
    <mergeCell ref="A2:F2"/>
  </mergeCells>
  <printOptions horizontalCentered="1"/>
  <pageMargins left="0.393055555555556" right="0.393055555555556" top="0.590277777777778" bottom="0.590277777777778" header="0.393055555555556" footer="0.393055555555556"/>
  <pageSetup paperSize="9" orientation="portrait" horizontalDpi="6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U21"/>
  <sheetViews>
    <sheetView zoomScale="88" zoomScaleNormal="88" workbookViewId="0">
      <selection activeCell="A1" sqref="$A1:$XFD1"/>
    </sheetView>
  </sheetViews>
  <sheetFormatPr defaultColWidth="9" defaultRowHeight="14.25"/>
  <cols>
    <col min="1" max="1" width="4.825" style="98" customWidth="1"/>
    <col min="2" max="2" width="23.2916666666667" style="99" customWidth="1"/>
    <col min="3" max="3" width="6.875" style="99" customWidth="1"/>
    <col min="4" max="4" width="7.25" style="99" customWidth="1"/>
    <col min="5" max="5" width="6.875" style="99" customWidth="1"/>
    <col min="6" max="9" width="9" style="99"/>
    <col min="10" max="10" width="10.0833333333333" style="99" customWidth="1"/>
    <col min="11" max="20" width="9" style="99"/>
    <col min="21" max="21" width="12.2166666666667" style="99" customWidth="1"/>
    <col min="22" max="16384" width="9" style="99"/>
  </cols>
  <sheetData>
    <row r="1" s="95" customFormat="1" ht="20.25" spans="1:13">
      <c r="A1" s="100" t="s">
        <v>92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</row>
    <row r="2" ht="27" spans="1:21">
      <c r="A2" s="102" t="s">
        <v>93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</row>
    <row r="3" s="96" customFormat="1" spans="1:21">
      <c r="A3" s="103"/>
      <c r="U3" s="103" t="s">
        <v>36</v>
      </c>
    </row>
    <row r="4" s="96" customFormat="1" ht="34" customHeight="1" spans="1:21">
      <c r="A4" s="104" t="s">
        <v>3</v>
      </c>
      <c r="B4" s="13" t="s">
        <v>37</v>
      </c>
      <c r="C4" s="59" t="s">
        <v>41</v>
      </c>
      <c r="D4" s="59" t="s">
        <v>42</v>
      </c>
      <c r="E4" s="59" t="s">
        <v>43</v>
      </c>
      <c r="F4" s="13" t="s">
        <v>94</v>
      </c>
      <c r="G4" s="13"/>
      <c r="H4" s="13"/>
      <c r="I4" s="13"/>
      <c r="J4" s="13" t="s">
        <v>95</v>
      </c>
      <c r="K4" s="13"/>
      <c r="L4" s="13"/>
      <c r="M4" s="13"/>
      <c r="N4" s="13"/>
      <c r="O4" s="13" t="s">
        <v>96</v>
      </c>
      <c r="P4" s="13"/>
      <c r="Q4" s="13" t="s">
        <v>97</v>
      </c>
      <c r="R4" s="13"/>
      <c r="S4" s="13"/>
      <c r="T4" s="13"/>
      <c r="U4" s="107" t="s">
        <v>98</v>
      </c>
    </row>
    <row r="5" s="97" customFormat="1" ht="117" customHeight="1" spans="1:21">
      <c r="A5" s="105"/>
      <c r="B5" s="42"/>
      <c r="C5" s="106"/>
      <c r="D5" s="106"/>
      <c r="E5" s="106"/>
      <c r="F5" s="40" t="s">
        <v>99</v>
      </c>
      <c r="G5" s="40" t="s">
        <v>100</v>
      </c>
      <c r="H5" s="40" t="s">
        <v>101</v>
      </c>
      <c r="I5" s="40" t="s">
        <v>102</v>
      </c>
      <c r="J5" s="40" t="s">
        <v>103</v>
      </c>
      <c r="K5" s="40" t="s">
        <v>104</v>
      </c>
      <c r="L5" s="40" t="s">
        <v>105</v>
      </c>
      <c r="M5" s="40" t="s">
        <v>106</v>
      </c>
      <c r="N5" s="40" t="s">
        <v>107</v>
      </c>
      <c r="O5" s="40" t="s">
        <v>108</v>
      </c>
      <c r="P5" s="40" t="s">
        <v>109</v>
      </c>
      <c r="Q5" s="40" t="s">
        <v>110</v>
      </c>
      <c r="R5" s="40" t="s">
        <v>111</v>
      </c>
      <c r="S5" s="40" t="s">
        <v>112</v>
      </c>
      <c r="T5" s="40" t="s">
        <v>113</v>
      </c>
      <c r="U5" s="105"/>
    </row>
    <row r="6" s="96" customFormat="1" ht="30" customHeight="1" spans="1:21">
      <c r="A6" s="104">
        <v>1</v>
      </c>
      <c r="B6" s="18" t="s">
        <v>114</v>
      </c>
      <c r="C6" s="18">
        <v>2</v>
      </c>
      <c r="D6" s="18">
        <v>16</v>
      </c>
      <c r="E6" s="18">
        <f>C6+D6</f>
        <v>18</v>
      </c>
      <c r="F6" s="20">
        <v>48</v>
      </c>
      <c r="G6" s="20">
        <v>22</v>
      </c>
      <c r="H6" s="18">
        <v>10000</v>
      </c>
      <c r="I6" s="18">
        <f>E6*800</f>
        <v>14400</v>
      </c>
      <c r="J6" s="20">
        <v>5</v>
      </c>
      <c r="K6" s="20">
        <v>30</v>
      </c>
      <c r="L6" s="18">
        <f>K6-12</f>
        <v>18</v>
      </c>
      <c r="M6" s="18">
        <v>2400</v>
      </c>
      <c r="N6" s="18">
        <f>L6*200</f>
        <v>3600</v>
      </c>
      <c r="O6" s="20">
        <v>20</v>
      </c>
      <c r="P6" s="18">
        <v>27000</v>
      </c>
      <c r="Q6" s="20">
        <v>21</v>
      </c>
      <c r="R6" s="18">
        <f>Q6-12</f>
        <v>9</v>
      </c>
      <c r="S6" s="18">
        <v>12000</v>
      </c>
      <c r="T6" s="21">
        <f>R6*300</f>
        <v>2700</v>
      </c>
      <c r="U6" s="104">
        <f>T6+S6+P6+N6+M6+I6+H6</f>
        <v>72100</v>
      </c>
    </row>
    <row r="7" s="96" customFormat="1" ht="30" customHeight="1" spans="1:21">
      <c r="A7" s="104">
        <v>2</v>
      </c>
      <c r="B7" s="18" t="s">
        <v>55</v>
      </c>
      <c r="C7" s="18">
        <v>8</v>
      </c>
      <c r="D7" s="18">
        <v>3</v>
      </c>
      <c r="E7" s="18">
        <f t="shared" ref="E7:E20" si="0">C7+D7</f>
        <v>11</v>
      </c>
      <c r="F7" s="20">
        <v>77</v>
      </c>
      <c r="G7" s="20">
        <v>39</v>
      </c>
      <c r="H7" s="18">
        <v>10000</v>
      </c>
      <c r="I7" s="18">
        <f t="shared" ref="I7:I21" si="1">E7*800</f>
        <v>8800</v>
      </c>
      <c r="J7" s="20">
        <v>14</v>
      </c>
      <c r="K7" s="20">
        <v>85</v>
      </c>
      <c r="L7" s="18">
        <f t="shared" ref="L7:L21" si="2">K7-12</f>
        <v>73</v>
      </c>
      <c r="M7" s="18">
        <v>2400</v>
      </c>
      <c r="N7" s="18">
        <f>E7*1200</f>
        <v>13200</v>
      </c>
      <c r="O7" s="20">
        <v>2</v>
      </c>
      <c r="P7" s="18">
        <v>27000</v>
      </c>
      <c r="Q7" s="20">
        <v>78</v>
      </c>
      <c r="R7" s="18">
        <f t="shared" ref="R7:R20" si="3">Q7-12</f>
        <v>66</v>
      </c>
      <c r="S7" s="18">
        <v>12000</v>
      </c>
      <c r="T7" s="21">
        <f t="shared" ref="T7:T20" si="4">R7*300</f>
        <v>19800</v>
      </c>
      <c r="U7" s="104">
        <f t="shared" ref="U7:U20" si="5">T7+S7+P7+N7+M7+I7+H7</f>
        <v>93200</v>
      </c>
    </row>
    <row r="8" s="96" customFormat="1" ht="30" customHeight="1" spans="1:21">
      <c r="A8" s="104">
        <v>3</v>
      </c>
      <c r="B8" s="18" t="s">
        <v>57</v>
      </c>
      <c r="C8" s="18">
        <v>1</v>
      </c>
      <c r="D8" s="18">
        <v>6</v>
      </c>
      <c r="E8" s="18">
        <f t="shared" si="0"/>
        <v>7</v>
      </c>
      <c r="F8" s="20">
        <v>24</v>
      </c>
      <c r="G8" s="20">
        <v>18</v>
      </c>
      <c r="H8" s="18">
        <v>10000</v>
      </c>
      <c r="I8" s="18">
        <f t="shared" si="1"/>
        <v>5600</v>
      </c>
      <c r="J8" s="20">
        <v>10</v>
      </c>
      <c r="K8" s="20">
        <v>57</v>
      </c>
      <c r="L8" s="18">
        <f t="shared" si="2"/>
        <v>45</v>
      </c>
      <c r="M8" s="18">
        <v>2400</v>
      </c>
      <c r="N8" s="18">
        <f t="shared" ref="N7:N12" si="6">E8*1200</f>
        <v>8400</v>
      </c>
      <c r="O8" s="20">
        <v>9</v>
      </c>
      <c r="P8" s="18">
        <v>27000</v>
      </c>
      <c r="Q8" s="20">
        <v>30</v>
      </c>
      <c r="R8" s="18">
        <f t="shared" si="3"/>
        <v>18</v>
      </c>
      <c r="S8" s="18">
        <v>12000</v>
      </c>
      <c r="T8" s="21">
        <f t="shared" si="4"/>
        <v>5400</v>
      </c>
      <c r="U8" s="104">
        <f t="shared" si="5"/>
        <v>70800</v>
      </c>
    </row>
    <row r="9" s="96" customFormat="1" ht="30" customHeight="1" spans="1:21">
      <c r="A9" s="104">
        <v>4</v>
      </c>
      <c r="B9" s="18" t="s">
        <v>59</v>
      </c>
      <c r="C9" s="18">
        <v>8</v>
      </c>
      <c r="D9" s="18">
        <v>10</v>
      </c>
      <c r="E9" s="18">
        <f t="shared" si="0"/>
        <v>18</v>
      </c>
      <c r="F9" s="20">
        <v>121</v>
      </c>
      <c r="G9" s="20">
        <v>30</v>
      </c>
      <c r="H9" s="18">
        <v>10000</v>
      </c>
      <c r="I9" s="18">
        <f t="shared" si="1"/>
        <v>14400</v>
      </c>
      <c r="J9" s="20">
        <v>21</v>
      </c>
      <c r="K9" s="20">
        <v>126</v>
      </c>
      <c r="L9" s="18">
        <f t="shared" si="2"/>
        <v>114</v>
      </c>
      <c r="M9" s="18">
        <v>2400</v>
      </c>
      <c r="N9" s="18">
        <f t="shared" si="6"/>
        <v>21600</v>
      </c>
      <c r="O9" s="20">
        <v>9</v>
      </c>
      <c r="P9" s="18">
        <v>27000</v>
      </c>
      <c r="Q9" s="20">
        <v>120</v>
      </c>
      <c r="R9" s="18">
        <f t="shared" si="3"/>
        <v>108</v>
      </c>
      <c r="S9" s="18">
        <v>12000</v>
      </c>
      <c r="T9" s="21">
        <f t="shared" si="4"/>
        <v>32400</v>
      </c>
      <c r="U9" s="104">
        <f t="shared" si="5"/>
        <v>119800</v>
      </c>
    </row>
    <row r="10" s="96" customFormat="1" ht="30" customHeight="1" spans="1:21">
      <c r="A10" s="104">
        <v>5</v>
      </c>
      <c r="B10" s="18" t="s">
        <v>61</v>
      </c>
      <c r="C10" s="18">
        <v>9</v>
      </c>
      <c r="D10" s="18">
        <v>5</v>
      </c>
      <c r="E10" s="18">
        <f t="shared" si="0"/>
        <v>14</v>
      </c>
      <c r="F10" s="20">
        <v>60</v>
      </c>
      <c r="G10" s="20">
        <v>23</v>
      </c>
      <c r="H10" s="18">
        <v>10000</v>
      </c>
      <c r="I10" s="18">
        <f t="shared" si="1"/>
        <v>11200</v>
      </c>
      <c r="J10" s="20">
        <v>18</v>
      </c>
      <c r="K10" s="20">
        <v>108</v>
      </c>
      <c r="L10" s="18">
        <f t="shared" si="2"/>
        <v>96</v>
      </c>
      <c r="M10" s="18">
        <v>2400</v>
      </c>
      <c r="N10" s="18">
        <f t="shared" si="6"/>
        <v>16800</v>
      </c>
      <c r="O10" s="20">
        <v>9</v>
      </c>
      <c r="P10" s="18">
        <v>27000</v>
      </c>
      <c r="Q10" s="20">
        <v>96</v>
      </c>
      <c r="R10" s="18">
        <f t="shared" si="3"/>
        <v>84</v>
      </c>
      <c r="S10" s="18">
        <v>12000</v>
      </c>
      <c r="T10" s="21">
        <f t="shared" si="4"/>
        <v>25200</v>
      </c>
      <c r="U10" s="104">
        <f t="shared" si="5"/>
        <v>104600</v>
      </c>
    </row>
    <row r="11" s="96" customFormat="1" ht="30" customHeight="1" spans="1:21">
      <c r="A11" s="104">
        <v>6</v>
      </c>
      <c r="B11" s="18" t="s">
        <v>62</v>
      </c>
      <c r="C11" s="18">
        <v>8</v>
      </c>
      <c r="D11" s="18">
        <v>2</v>
      </c>
      <c r="E11" s="18">
        <f t="shared" si="0"/>
        <v>10</v>
      </c>
      <c r="F11" s="20">
        <v>45</v>
      </c>
      <c r="G11" s="20">
        <v>31</v>
      </c>
      <c r="H11" s="18">
        <v>10000</v>
      </c>
      <c r="I11" s="18">
        <f t="shared" si="1"/>
        <v>8000</v>
      </c>
      <c r="J11" s="20">
        <v>12</v>
      </c>
      <c r="K11" s="20">
        <v>72</v>
      </c>
      <c r="L11" s="18">
        <f t="shared" si="2"/>
        <v>60</v>
      </c>
      <c r="M11" s="18">
        <v>2400</v>
      </c>
      <c r="N11" s="18">
        <f t="shared" si="6"/>
        <v>12000</v>
      </c>
      <c r="O11" s="20">
        <v>10</v>
      </c>
      <c r="P11" s="18">
        <v>27000</v>
      </c>
      <c r="Q11" s="20">
        <v>72</v>
      </c>
      <c r="R11" s="18">
        <f t="shared" si="3"/>
        <v>60</v>
      </c>
      <c r="S11" s="18">
        <v>12000</v>
      </c>
      <c r="T11" s="21">
        <f t="shared" si="4"/>
        <v>18000</v>
      </c>
      <c r="U11" s="104">
        <f t="shared" si="5"/>
        <v>89400</v>
      </c>
    </row>
    <row r="12" s="96" customFormat="1" ht="30" customHeight="1" spans="1:21">
      <c r="A12" s="104">
        <v>7</v>
      </c>
      <c r="B12" s="18" t="s">
        <v>63</v>
      </c>
      <c r="C12" s="18">
        <v>13</v>
      </c>
      <c r="D12" s="18">
        <v>5</v>
      </c>
      <c r="E12" s="18">
        <f t="shared" si="0"/>
        <v>18</v>
      </c>
      <c r="F12" s="20">
        <v>50</v>
      </c>
      <c r="G12" s="20">
        <v>26</v>
      </c>
      <c r="H12" s="18">
        <v>10000</v>
      </c>
      <c r="I12" s="18">
        <f t="shared" si="1"/>
        <v>14400</v>
      </c>
      <c r="J12" s="20">
        <v>21</v>
      </c>
      <c r="K12" s="20">
        <v>126</v>
      </c>
      <c r="L12" s="18">
        <f t="shared" si="2"/>
        <v>114</v>
      </c>
      <c r="M12" s="18">
        <v>2400</v>
      </c>
      <c r="N12" s="18">
        <f t="shared" si="6"/>
        <v>21600</v>
      </c>
      <c r="O12" s="20">
        <v>11</v>
      </c>
      <c r="P12" s="18">
        <v>27000</v>
      </c>
      <c r="Q12" s="20">
        <v>125</v>
      </c>
      <c r="R12" s="18">
        <f t="shared" si="3"/>
        <v>113</v>
      </c>
      <c r="S12" s="18">
        <v>12000</v>
      </c>
      <c r="T12" s="21">
        <f t="shared" si="4"/>
        <v>33900</v>
      </c>
      <c r="U12" s="104">
        <f t="shared" si="5"/>
        <v>121300</v>
      </c>
    </row>
    <row r="13" s="96" customFormat="1" ht="30" customHeight="1" spans="1:21">
      <c r="A13" s="104">
        <v>8</v>
      </c>
      <c r="B13" s="18" t="s">
        <v>64</v>
      </c>
      <c r="C13" s="18">
        <v>20</v>
      </c>
      <c r="D13" s="18">
        <v>6</v>
      </c>
      <c r="E13" s="18">
        <f t="shared" si="0"/>
        <v>26</v>
      </c>
      <c r="F13" s="20">
        <v>48</v>
      </c>
      <c r="G13" s="20">
        <v>61</v>
      </c>
      <c r="H13" s="18">
        <v>10000</v>
      </c>
      <c r="I13" s="18">
        <f t="shared" si="1"/>
        <v>20800</v>
      </c>
      <c r="J13" s="20">
        <v>27</v>
      </c>
      <c r="K13" s="20">
        <v>150</v>
      </c>
      <c r="L13" s="18">
        <f t="shared" si="2"/>
        <v>138</v>
      </c>
      <c r="M13" s="18">
        <v>2400</v>
      </c>
      <c r="N13" s="18">
        <f>L13*200</f>
        <v>27600</v>
      </c>
      <c r="O13" s="20">
        <v>14</v>
      </c>
      <c r="P13" s="18">
        <v>27000</v>
      </c>
      <c r="Q13" s="20">
        <v>153</v>
      </c>
      <c r="R13" s="18">
        <f t="shared" si="3"/>
        <v>141</v>
      </c>
      <c r="S13" s="18">
        <v>12000</v>
      </c>
      <c r="T13" s="21">
        <f t="shared" si="4"/>
        <v>42300</v>
      </c>
      <c r="U13" s="104">
        <f t="shared" si="5"/>
        <v>142100</v>
      </c>
    </row>
    <row r="14" s="96" customFormat="1" ht="30" customHeight="1" spans="1:21">
      <c r="A14" s="104">
        <v>9</v>
      </c>
      <c r="B14" s="18" t="s">
        <v>65</v>
      </c>
      <c r="C14" s="18">
        <v>1</v>
      </c>
      <c r="D14" s="18">
        <v>7</v>
      </c>
      <c r="E14" s="18">
        <f t="shared" si="0"/>
        <v>8</v>
      </c>
      <c r="F14" s="20">
        <v>30</v>
      </c>
      <c r="G14" s="20">
        <v>30</v>
      </c>
      <c r="H14" s="18">
        <v>10000</v>
      </c>
      <c r="I14" s="18">
        <f t="shared" si="1"/>
        <v>6400</v>
      </c>
      <c r="J14" s="20">
        <v>11</v>
      </c>
      <c r="K14" s="20">
        <v>63</v>
      </c>
      <c r="L14" s="18">
        <f t="shared" si="2"/>
        <v>51</v>
      </c>
      <c r="M14" s="18">
        <v>2400</v>
      </c>
      <c r="N14" s="18">
        <f>E14*1200</f>
        <v>9600</v>
      </c>
      <c r="O14" s="20">
        <v>9</v>
      </c>
      <c r="P14" s="18">
        <v>27000</v>
      </c>
      <c r="Q14" s="20">
        <v>28</v>
      </c>
      <c r="R14" s="18">
        <f t="shared" si="3"/>
        <v>16</v>
      </c>
      <c r="S14" s="18">
        <v>12000</v>
      </c>
      <c r="T14" s="21">
        <f t="shared" si="4"/>
        <v>4800</v>
      </c>
      <c r="U14" s="104">
        <f t="shared" si="5"/>
        <v>72200</v>
      </c>
    </row>
    <row r="15" s="96" customFormat="1" ht="30" customHeight="1" spans="1:21">
      <c r="A15" s="104">
        <v>10</v>
      </c>
      <c r="B15" s="18" t="s">
        <v>115</v>
      </c>
      <c r="C15" s="18">
        <v>13</v>
      </c>
      <c r="D15" s="18">
        <v>0</v>
      </c>
      <c r="E15" s="18">
        <f t="shared" si="0"/>
        <v>13</v>
      </c>
      <c r="F15" s="20">
        <v>48</v>
      </c>
      <c r="G15" s="20">
        <v>28</v>
      </c>
      <c r="H15" s="18">
        <v>10000</v>
      </c>
      <c r="I15" s="18">
        <f t="shared" si="1"/>
        <v>10400</v>
      </c>
      <c r="J15" s="20">
        <v>16</v>
      </c>
      <c r="K15" s="20">
        <v>96</v>
      </c>
      <c r="L15" s="18">
        <f t="shared" si="2"/>
        <v>84</v>
      </c>
      <c r="M15" s="18">
        <v>2400</v>
      </c>
      <c r="N15" s="18">
        <f>E15*1200</f>
        <v>15600</v>
      </c>
      <c r="O15" s="20">
        <v>10</v>
      </c>
      <c r="P15" s="18">
        <v>27000</v>
      </c>
      <c r="Q15" s="20">
        <v>90</v>
      </c>
      <c r="R15" s="18">
        <f t="shared" si="3"/>
        <v>78</v>
      </c>
      <c r="S15" s="18">
        <v>12000</v>
      </c>
      <c r="T15" s="21">
        <f t="shared" si="4"/>
        <v>23400</v>
      </c>
      <c r="U15" s="104">
        <f t="shared" si="5"/>
        <v>100800</v>
      </c>
    </row>
    <row r="16" s="96" customFormat="1" ht="30" customHeight="1" spans="1:21">
      <c r="A16" s="104">
        <v>11</v>
      </c>
      <c r="B16" s="18" t="s">
        <v>116</v>
      </c>
      <c r="C16" s="18">
        <v>17</v>
      </c>
      <c r="D16" s="18">
        <v>5</v>
      </c>
      <c r="E16" s="18">
        <f t="shared" si="0"/>
        <v>22</v>
      </c>
      <c r="F16" s="20">
        <v>95</v>
      </c>
      <c r="G16" s="20">
        <v>45</v>
      </c>
      <c r="H16" s="18">
        <v>10000</v>
      </c>
      <c r="I16" s="18">
        <f t="shared" si="1"/>
        <v>17600</v>
      </c>
      <c r="J16" s="20">
        <v>27</v>
      </c>
      <c r="K16" s="20">
        <v>218</v>
      </c>
      <c r="L16" s="18">
        <f t="shared" si="2"/>
        <v>206</v>
      </c>
      <c r="M16" s="18">
        <v>2400</v>
      </c>
      <c r="N16" s="18">
        <f>E16*1200</f>
        <v>26400</v>
      </c>
      <c r="O16" s="20">
        <v>16</v>
      </c>
      <c r="P16" s="18">
        <v>27000</v>
      </c>
      <c r="Q16" s="20">
        <v>163</v>
      </c>
      <c r="R16" s="18">
        <f t="shared" si="3"/>
        <v>151</v>
      </c>
      <c r="S16" s="18">
        <v>12000</v>
      </c>
      <c r="T16" s="21">
        <f t="shared" si="4"/>
        <v>45300</v>
      </c>
      <c r="U16" s="104">
        <f t="shared" si="5"/>
        <v>140700</v>
      </c>
    </row>
    <row r="17" s="96" customFormat="1" ht="30" customHeight="1" spans="1:21">
      <c r="A17" s="104">
        <v>12</v>
      </c>
      <c r="B17" s="18" t="s">
        <v>67</v>
      </c>
      <c r="C17" s="18">
        <v>19</v>
      </c>
      <c r="D17" s="18">
        <v>2</v>
      </c>
      <c r="E17" s="18">
        <f t="shared" si="0"/>
        <v>21</v>
      </c>
      <c r="F17" s="20">
        <v>23</v>
      </c>
      <c r="G17" s="20">
        <v>19</v>
      </c>
      <c r="H17" s="18">
        <v>10000</v>
      </c>
      <c r="I17" s="18">
        <f t="shared" si="1"/>
        <v>16800</v>
      </c>
      <c r="J17" s="20">
        <v>21</v>
      </c>
      <c r="K17" s="20">
        <v>126</v>
      </c>
      <c r="L17" s="18">
        <f t="shared" si="2"/>
        <v>114</v>
      </c>
      <c r="M17" s="18">
        <v>2400</v>
      </c>
      <c r="N17" s="18">
        <f>L17*200</f>
        <v>22800</v>
      </c>
      <c r="O17" s="20">
        <v>10</v>
      </c>
      <c r="P17" s="18">
        <v>27000</v>
      </c>
      <c r="Q17" s="20">
        <v>126</v>
      </c>
      <c r="R17" s="18">
        <f t="shared" si="3"/>
        <v>114</v>
      </c>
      <c r="S17" s="18">
        <v>12000</v>
      </c>
      <c r="T17" s="21">
        <f t="shared" si="4"/>
        <v>34200</v>
      </c>
      <c r="U17" s="104">
        <f t="shared" si="5"/>
        <v>125200</v>
      </c>
    </row>
    <row r="18" s="96" customFormat="1" ht="30" customHeight="1" spans="1:21">
      <c r="A18" s="104">
        <v>13</v>
      </c>
      <c r="B18" s="18" t="s">
        <v>68</v>
      </c>
      <c r="C18" s="18">
        <v>15</v>
      </c>
      <c r="D18" s="18">
        <v>2</v>
      </c>
      <c r="E18" s="18">
        <f t="shared" si="0"/>
        <v>17</v>
      </c>
      <c r="F18" s="20">
        <v>88</v>
      </c>
      <c r="G18" s="20">
        <v>20</v>
      </c>
      <c r="H18" s="18">
        <v>10000</v>
      </c>
      <c r="I18" s="18">
        <f t="shared" si="1"/>
        <v>13600</v>
      </c>
      <c r="J18" s="20">
        <v>18</v>
      </c>
      <c r="K18" s="20">
        <v>108</v>
      </c>
      <c r="L18" s="18">
        <f t="shared" si="2"/>
        <v>96</v>
      </c>
      <c r="M18" s="18">
        <v>2400</v>
      </c>
      <c r="N18" s="18">
        <f>L18*200</f>
        <v>19200</v>
      </c>
      <c r="O18" s="20">
        <v>11</v>
      </c>
      <c r="P18" s="18">
        <v>27000</v>
      </c>
      <c r="Q18" s="20">
        <v>120</v>
      </c>
      <c r="R18" s="18">
        <f t="shared" si="3"/>
        <v>108</v>
      </c>
      <c r="S18" s="18">
        <v>12000</v>
      </c>
      <c r="T18" s="21">
        <f t="shared" si="4"/>
        <v>32400</v>
      </c>
      <c r="U18" s="104">
        <f t="shared" si="5"/>
        <v>116600</v>
      </c>
    </row>
    <row r="19" s="96" customFormat="1" ht="30" customHeight="1" spans="1:21">
      <c r="A19" s="104">
        <v>14</v>
      </c>
      <c r="B19" s="22" t="s">
        <v>69</v>
      </c>
      <c r="C19" s="18">
        <v>1</v>
      </c>
      <c r="D19" s="18">
        <v>4</v>
      </c>
      <c r="E19" s="18">
        <f t="shared" si="0"/>
        <v>5</v>
      </c>
      <c r="F19" s="20">
        <v>27</v>
      </c>
      <c r="G19" s="20">
        <v>15</v>
      </c>
      <c r="H19" s="18">
        <v>10000</v>
      </c>
      <c r="I19" s="18">
        <f t="shared" si="1"/>
        <v>4000</v>
      </c>
      <c r="J19" s="20">
        <v>4</v>
      </c>
      <c r="K19" s="20">
        <v>24</v>
      </c>
      <c r="L19" s="18">
        <f t="shared" si="2"/>
        <v>12</v>
      </c>
      <c r="M19" s="18">
        <v>2400</v>
      </c>
      <c r="N19" s="18">
        <f>L19*200</f>
        <v>2400</v>
      </c>
      <c r="O19" s="20">
        <v>9</v>
      </c>
      <c r="P19" s="18">
        <v>27000</v>
      </c>
      <c r="Q19" s="20">
        <v>18</v>
      </c>
      <c r="R19" s="18">
        <f t="shared" si="3"/>
        <v>6</v>
      </c>
      <c r="S19" s="18">
        <v>12000</v>
      </c>
      <c r="T19" s="21">
        <f t="shared" si="4"/>
        <v>1800</v>
      </c>
      <c r="U19" s="104">
        <f t="shared" si="5"/>
        <v>59600</v>
      </c>
    </row>
    <row r="20" s="96" customFormat="1" ht="30" customHeight="1" spans="1:21">
      <c r="A20" s="104">
        <v>15</v>
      </c>
      <c r="B20" s="18" t="s">
        <v>26</v>
      </c>
      <c r="C20" s="18">
        <v>2</v>
      </c>
      <c r="D20" s="18">
        <v>0</v>
      </c>
      <c r="E20" s="18">
        <f t="shared" si="0"/>
        <v>2</v>
      </c>
      <c r="F20" s="20">
        <v>59</v>
      </c>
      <c r="G20" s="20">
        <v>28</v>
      </c>
      <c r="H20" s="18">
        <v>10000</v>
      </c>
      <c r="I20" s="18">
        <f t="shared" si="1"/>
        <v>1600</v>
      </c>
      <c r="J20" s="20">
        <v>4</v>
      </c>
      <c r="K20" s="20">
        <v>24</v>
      </c>
      <c r="L20" s="18">
        <f t="shared" si="2"/>
        <v>12</v>
      </c>
      <c r="M20" s="18">
        <v>2400</v>
      </c>
      <c r="N20" s="18">
        <f>L20*200</f>
        <v>2400</v>
      </c>
      <c r="O20" s="20">
        <v>9</v>
      </c>
      <c r="P20" s="18">
        <v>27000</v>
      </c>
      <c r="Q20" s="20">
        <v>12</v>
      </c>
      <c r="R20" s="18">
        <f t="shared" si="3"/>
        <v>0</v>
      </c>
      <c r="S20" s="18">
        <v>12000</v>
      </c>
      <c r="T20" s="21">
        <f t="shared" si="4"/>
        <v>0</v>
      </c>
      <c r="U20" s="104">
        <f t="shared" si="5"/>
        <v>55400</v>
      </c>
    </row>
    <row r="21" s="96" customFormat="1" ht="30" customHeight="1" spans="1:21">
      <c r="A21" s="104"/>
      <c r="B21" s="18" t="s">
        <v>70</v>
      </c>
      <c r="C21" s="18">
        <f>SUM(C6:C20)</f>
        <v>137</v>
      </c>
      <c r="D21" s="18">
        <f t="shared" ref="D21:U21" si="7">SUM(D6:D20)</f>
        <v>73</v>
      </c>
      <c r="E21" s="18">
        <f t="shared" si="7"/>
        <v>210</v>
      </c>
      <c r="F21" s="18">
        <f t="shared" si="7"/>
        <v>843</v>
      </c>
      <c r="G21" s="18">
        <f t="shared" si="7"/>
        <v>435</v>
      </c>
      <c r="H21" s="18">
        <f t="shared" si="7"/>
        <v>150000</v>
      </c>
      <c r="I21" s="18">
        <f t="shared" si="7"/>
        <v>168000</v>
      </c>
      <c r="J21" s="18">
        <f t="shared" si="7"/>
        <v>229</v>
      </c>
      <c r="K21" s="18">
        <f t="shared" si="7"/>
        <v>1413</v>
      </c>
      <c r="L21" s="18">
        <f t="shared" si="7"/>
        <v>1233</v>
      </c>
      <c r="M21" s="18">
        <f t="shared" si="7"/>
        <v>36000</v>
      </c>
      <c r="N21" s="18">
        <f t="shared" si="7"/>
        <v>223200</v>
      </c>
      <c r="O21" s="18">
        <f t="shared" si="7"/>
        <v>158</v>
      </c>
      <c r="P21" s="18">
        <f t="shared" si="7"/>
        <v>405000</v>
      </c>
      <c r="Q21" s="18">
        <f t="shared" si="7"/>
        <v>1252</v>
      </c>
      <c r="R21" s="18">
        <f t="shared" si="7"/>
        <v>1072</v>
      </c>
      <c r="S21" s="18">
        <f t="shared" si="7"/>
        <v>180000</v>
      </c>
      <c r="T21" s="18">
        <f t="shared" si="7"/>
        <v>321600</v>
      </c>
      <c r="U21" s="18">
        <f t="shared" si="7"/>
        <v>1483800</v>
      </c>
    </row>
  </sheetData>
  <mergeCells count="11">
    <mergeCell ref="A2:U2"/>
    <mergeCell ref="F4:I4"/>
    <mergeCell ref="J4:N4"/>
    <mergeCell ref="O4:P4"/>
    <mergeCell ref="Q4:T4"/>
    <mergeCell ref="A4:A5"/>
    <mergeCell ref="B4:B5"/>
    <mergeCell ref="C4:C5"/>
    <mergeCell ref="D4:D5"/>
    <mergeCell ref="E4:E5"/>
    <mergeCell ref="U4:U5"/>
  </mergeCells>
  <printOptions horizontalCentered="1"/>
  <pageMargins left="0.393055555555556" right="0.393055555555556" top="0.590277777777778" bottom="0.590277777777778" header="0.393055555555556" footer="0.393055555555556"/>
  <pageSetup paperSize="9" scale="66" fitToHeight="0" orientation="landscape" horizontalDpi="600"/>
  <headerFooter/>
  <ignoredErrors>
    <ignoredError sqref="N15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workbookViewId="0">
      <selection activeCell="I10" sqref="I10"/>
    </sheetView>
  </sheetViews>
  <sheetFormatPr defaultColWidth="9" defaultRowHeight="14.25" outlineLevelCol="6"/>
  <cols>
    <col min="1" max="1" width="8.35" customWidth="1"/>
    <col min="2" max="2" width="24.625" customWidth="1"/>
    <col min="3" max="3" width="13.25" customWidth="1"/>
    <col min="4" max="4" width="12.5" customWidth="1"/>
    <col min="5" max="5" width="13.875" customWidth="1"/>
    <col min="6" max="6" width="10.2333333333333" customWidth="1"/>
  </cols>
  <sheetData>
    <row r="1" s="47" customFormat="1" ht="24" customHeight="1" spans="1:4">
      <c r="A1" s="5" t="s">
        <v>117</v>
      </c>
      <c r="B1" s="48"/>
      <c r="C1" s="48"/>
      <c r="D1" s="48"/>
    </row>
    <row r="2" ht="36" customHeight="1" spans="1:6">
      <c r="A2" s="8" t="s">
        <v>118</v>
      </c>
      <c r="B2" s="8"/>
      <c r="C2" s="8"/>
      <c r="D2" s="8"/>
      <c r="E2" s="8"/>
      <c r="F2" s="8"/>
    </row>
    <row r="3" s="2" customFormat="1" ht="20" customHeight="1" spans="6:6">
      <c r="F3" s="11" t="s">
        <v>36</v>
      </c>
    </row>
    <row r="4" s="2" customFormat="1" ht="64" customHeight="1" spans="1:7">
      <c r="A4" s="12" t="s">
        <v>3</v>
      </c>
      <c r="B4" s="13" t="s">
        <v>37</v>
      </c>
      <c r="C4" s="14" t="s">
        <v>119</v>
      </c>
      <c r="D4" s="14" t="s">
        <v>120</v>
      </c>
      <c r="E4" s="15" t="s">
        <v>91</v>
      </c>
      <c r="F4" s="14" t="s">
        <v>9</v>
      </c>
      <c r="G4" s="37"/>
    </row>
    <row r="5" s="3" customFormat="1" ht="32" customHeight="1" spans="1:6">
      <c r="A5" s="17">
        <v>1</v>
      </c>
      <c r="B5" s="18" t="s">
        <v>28</v>
      </c>
      <c r="C5" s="93">
        <v>21266</v>
      </c>
      <c r="D5" s="20">
        <v>10</v>
      </c>
      <c r="E5" s="93">
        <f>C5*D5</f>
        <v>212660</v>
      </c>
      <c r="F5" s="27"/>
    </row>
    <row r="6" s="3" customFormat="1" ht="32" customHeight="1" spans="1:6">
      <c r="A6" s="17">
        <v>2</v>
      </c>
      <c r="B6" s="18" t="s">
        <v>55</v>
      </c>
      <c r="C6" s="93">
        <v>771</v>
      </c>
      <c r="D6" s="20">
        <v>10</v>
      </c>
      <c r="E6" s="93">
        <f t="shared" ref="E6:E19" si="0">C6*D6</f>
        <v>7710</v>
      </c>
      <c r="F6" s="27"/>
    </row>
    <row r="7" s="3" customFormat="1" ht="32" customHeight="1" spans="1:6">
      <c r="A7" s="17">
        <v>3</v>
      </c>
      <c r="B7" s="18" t="s">
        <v>57</v>
      </c>
      <c r="C7" s="93">
        <v>123</v>
      </c>
      <c r="D7" s="20">
        <v>10</v>
      </c>
      <c r="E7" s="93">
        <f t="shared" si="0"/>
        <v>1230</v>
      </c>
      <c r="F7" s="27"/>
    </row>
    <row r="8" s="3" customFormat="1" ht="32" customHeight="1" spans="1:6">
      <c r="A8" s="17">
        <v>4</v>
      </c>
      <c r="B8" s="18" t="s">
        <v>59</v>
      </c>
      <c r="C8" s="93">
        <v>1821</v>
      </c>
      <c r="D8" s="20">
        <v>10</v>
      </c>
      <c r="E8" s="93">
        <f t="shared" si="0"/>
        <v>18210</v>
      </c>
      <c r="F8" s="27"/>
    </row>
    <row r="9" s="3" customFormat="1" ht="32" customHeight="1" spans="1:6">
      <c r="A9" s="17">
        <v>5</v>
      </c>
      <c r="B9" s="18" t="s">
        <v>121</v>
      </c>
      <c r="C9" s="93">
        <v>1791</v>
      </c>
      <c r="D9" s="20">
        <v>10</v>
      </c>
      <c r="E9" s="93">
        <f t="shared" si="0"/>
        <v>17910</v>
      </c>
      <c r="F9" s="27"/>
    </row>
    <row r="10" s="3" customFormat="1" ht="32" customHeight="1" spans="1:6">
      <c r="A10" s="17">
        <v>6</v>
      </c>
      <c r="B10" s="18" t="s">
        <v>62</v>
      </c>
      <c r="C10" s="93">
        <v>588</v>
      </c>
      <c r="D10" s="20">
        <v>10</v>
      </c>
      <c r="E10" s="93">
        <f t="shared" si="0"/>
        <v>5880</v>
      </c>
      <c r="F10" s="27"/>
    </row>
    <row r="11" s="3" customFormat="1" ht="32" customHeight="1" spans="1:6">
      <c r="A11" s="17">
        <v>7</v>
      </c>
      <c r="B11" s="18" t="s">
        <v>63</v>
      </c>
      <c r="C11" s="93">
        <v>3491</v>
      </c>
      <c r="D11" s="20">
        <v>10</v>
      </c>
      <c r="E11" s="93">
        <f t="shared" si="0"/>
        <v>34910</v>
      </c>
      <c r="F11" s="27"/>
    </row>
    <row r="12" s="3" customFormat="1" ht="32" customHeight="1" spans="1:6">
      <c r="A12" s="17">
        <v>8</v>
      </c>
      <c r="B12" s="18" t="s">
        <v>64</v>
      </c>
      <c r="C12" s="93">
        <v>6433</v>
      </c>
      <c r="D12" s="20">
        <v>10</v>
      </c>
      <c r="E12" s="93">
        <f t="shared" si="0"/>
        <v>64330</v>
      </c>
      <c r="F12" s="27"/>
    </row>
    <row r="13" s="3" customFormat="1" ht="32" customHeight="1" spans="1:6">
      <c r="A13" s="17">
        <v>9</v>
      </c>
      <c r="B13" s="18" t="s">
        <v>65</v>
      </c>
      <c r="C13" s="93">
        <v>146</v>
      </c>
      <c r="D13" s="20">
        <v>10</v>
      </c>
      <c r="E13" s="93">
        <f t="shared" si="0"/>
        <v>1460</v>
      </c>
      <c r="F13" s="27"/>
    </row>
    <row r="14" s="3" customFormat="1" ht="32" customHeight="1" spans="1:6">
      <c r="A14" s="17">
        <v>10</v>
      </c>
      <c r="B14" s="18" t="s">
        <v>29</v>
      </c>
      <c r="C14" s="93">
        <v>9113</v>
      </c>
      <c r="D14" s="20">
        <v>10</v>
      </c>
      <c r="E14" s="93">
        <f t="shared" si="0"/>
        <v>91130</v>
      </c>
      <c r="F14" s="27"/>
    </row>
    <row r="15" s="3" customFormat="1" ht="32" customHeight="1" spans="1:6">
      <c r="A15" s="17">
        <v>11</v>
      </c>
      <c r="B15" s="18" t="s">
        <v>30</v>
      </c>
      <c r="C15" s="93">
        <v>4814</v>
      </c>
      <c r="D15" s="20">
        <v>10</v>
      </c>
      <c r="E15" s="93">
        <f t="shared" si="0"/>
        <v>48140</v>
      </c>
      <c r="F15" s="27"/>
    </row>
    <row r="16" s="3" customFormat="1" ht="32" customHeight="1" spans="1:6">
      <c r="A16" s="17">
        <v>12</v>
      </c>
      <c r="B16" s="18" t="s">
        <v>67</v>
      </c>
      <c r="C16" s="93">
        <v>5132</v>
      </c>
      <c r="D16" s="20">
        <v>10</v>
      </c>
      <c r="E16" s="93">
        <f t="shared" si="0"/>
        <v>51320</v>
      </c>
      <c r="F16" s="27"/>
    </row>
    <row r="17" s="3" customFormat="1" ht="32" customHeight="1" spans="1:6">
      <c r="A17" s="17">
        <v>13</v>
      </c>
      <c r="B17" s="18" t="s">
        <v>68</v>
      </c>
      <c r="C17" s="93">
        <v>3367</v>
      </c>
      <c r="D17" s="20">
        <v>10</v>
      </c>
      <c r="E17" s="93">
        <f t="shared" si="0"/>
        <v>33670</v>
      </c>
      <c r="F17" s="27"/>
    </row>
    <row r="18" s="3" customFormat="1" ht="32" customHeight="1" spans="1:6">
      <c r="A18" s="17">
        <v>14</v>
      </c>
      <c r="B18" s="22" t="s">
        <v>69</v>
      </c>
      <c r="C18" s="93">
        <v>109</v>
      </c>
      <c r="D18" s="20">
        <v>10</v>
      </c>
      <c r="E18" s="93">
        <f t="shared" si="0"/>
        <v>1090</v>
      </c>
      <c r="F18" s="27"/>
    </row>
    <row r="19" s="3" customFormat="1" ht="32" customHeight="1" spans="1:6">
      <c r="A19" s="17">
        <v>15</v>
      </c>
      <c r="B19" s="18" t="s">
        <v>26</v>
      </c>
      <c r="C19" s="93">
        <v>210</v>
      </c>
      <c r="D19" s="20">
        <v>10</v>
      </c>
      <c r="E19" s="93">
        <f t="shared" si="0"/>
        <v>2100</v>
      </c>
      <c r="F19" s="27"/>
    </row>
    <row r="20" s="3" customFormat="1" ht="32" customHeight="1" spans="1:6">
      <c r="A20" s="23"/>
      <c r="B20" s="18" t="s">
        <v>70</v>
      </c>
      <c r="C20" s="94">
        <f>SUM(C5:C19)</f>
        <v>59175</v>
      </c>
      <c r="D20" s="18"/>
      <c r="E20" s="20">
        <f>SUM(E5:E19)</f>
        <v>591750</v>
      </c>
      <c r="F20" s="27"/>
    </row>
  </sheetData>
  <mergeCells count="1">
    <mergeCell ref="A2:F2"/>
  </mergeCells>
  <printOptions horizontalCentered="1"/>
  <pageMargins left="0.393055555555556" right="0.393055555555556" top="0.590277777777778" bottom="0.590277777777778" header="0.393055555555556" footer="0.393055555555556"/>
  <pageSetup paperSize="9" orientation="portrait" horizontalDpi="6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"/>
  <sheetViews>
    <sheetView workbookViewId="0">
      <selection activeCell="O9" sqref="O9"/>
    </sheetView>
  </sheetViews>
  <sheetFormatPr defaultColWidth="9" defaultRowHeight="14.25"/>
  <cols>
    <col min="1" max="1" width="4.5" customWidth="1"/>
    <col min="2" max="2" width="25.625" customWidth="1"/>
    <col min="3" max="3" width="12" customWidth="1"/>
    <col min="4" max="11" width="10.25" customWidth="1"/>
  </cols>
  <sheetData>
    <row r="1" ht="20.25" spans="1:2">
      <c r="A1" s="91" t="s">
        <v>122</v>
      </c>
      <c r="B1" s="67"/>
    </row>
    <row r="2" ht="24" customHeight="1" spans="1:11">
      <c r="A2" s="8" t="s">
        <v>123</v>
      </c>
      <c r="B2" s="8"/>
      <c r="C2" s="8"/>
      <c r="D2" s="8"/>
      <c r="E2" s="8"/>
      <c r="F2" s="8"/>
      <c r="G2" s="8"/>
      <c r="H2" s="8"/>
      <c r="I2" s="8"/>
      <c r="J2" s="8"/>
      <c r="K2" s="8"/>
    </row>
    <row r="3" s="2" customFormat="1" ht="15" customHeight="1" spans="11:11">
      <c r="K3" s="11" t="s">
        <v>36</v>
      </c>
    </row>
    <row r="4" s="2" customFormat="1" ht="23" customHeight="1" spans="1:11">
      <c r="A4" s="17" t="s">
        <v>3</v>
      </c>
      <c r="B4" s="13" t="s">
        <v>37</v>
      </c>
      <c r="C4" s="13" t="s">
        <v>124</v>
      </c>
      <c r="D4" s="13"/>
      <c r="E4" s="13" t="s">
        <v>125</v>
      </c>
      <c r="F4" s="13"/>
      <c r="G4" s="13" t="s">
        <v>126</v>
      </c>
      <c r="H4" s="13"/>
      <c r="I4" s="13" t="s">
        <v>127</v>
      </c>
      <c r="J4" s="13"/>
      <c r="K4" s="70" t="s">
        <v>98</v>
      </c>
    </row>
    <row r="5" s="2" customFormat="1" ht="69" customHeight="1" spans="1:11">
      <c r="A5" s="17"/>
      <c r="B5" s="27"/>
      <c r="C5" s="40" t="s">
        <v>128</v>
      </c>
      <c r="D5" s="40" t="s">
        <v>129</v>
      </c>
      <c r="E5" s="40" t="s">
        <v>130</v>
      </c>
      <c r="F5" s="40" t="s">
        <v>129</v>
      </c>
      <c r="G5" s="40" t="s">
        <v>131</v>
      </c>
      <c r="H5" s="40" t="s">
        <v>129</v>
      </c>
      <c r="I5" s="40" t="s">
        <v>132</v>
      </c>
      <c r="J5" s="40" t="s">
        <v>133</v>
      </c>
      <c r="K5" s="17"/>
    </row>
    <row r="6" s="2" customFormat="1" ht="21" customHeight="1" spans="1:11">
      <c r="A6" s="17">
        <v>1</v>
      </c>
      <c r="B6" s="18" t="s">
        <v>28</v>
      </c>
      <c r="C6" s="24">
        <v>579</v>
      </c>
      <c r="D6" s="18">
        <f>C6*40</f>
        <v>23160</v>
      </c>
      <c r="E6" s="18">
        <v>596</v>
      </c>
      <c r="F6" s="18">
        <f>E6*40</f>
        <v>23840</v>
      </c>
      <c r="G6" s="18">
        <v>2642</v>
      </c>
      <c r="H6" s="18">
        <f>G6*40</f>
        <v>105680</v>
      </c>
      <c r="I6" s="18">
        <v>2239</v>
      </c>
      <c r="J6" s="18">
        <f>I6*50</f>
        <v>111950</v>
      </c>
      <c r="K6" s="17">
        <f>J6+H6+F6+D6</f>
        <v>264630</v>
      </c>
    </row>
    <row r="7" s="2" customFormat="1" ht="21" customHeight="1" spans="1:11">
      <c r="A7" s="17">
        <v>2</v>
      </c>
      <c r="B7" s="18" t="s">
        <v>55</v>
      </c>
      <c r="C7" s="24">
        <v>87</v>
      </c>
      <c r="D7" s="18">
        <f t="shared" ref="D7:D20" si="0">C7*40</f>
        <v>3480</v>
      </c>
      <c r="E7" s="18">
        <v>94</v>
      </c>
      <c r="F7" s="18">
        <f>E7*40</f>
        <v>3760</v>
      </c>
      <c r="G7" s="18">
        <v>470</v>
      </c>
      <c r="H7" s="18">
        <f>G7*40</f>
        <v>18800</v>
      </c>
      <c r="I7" s="18">
        <v>402</v>
      </c>
      <c r="J7" s="18">
        <f>I7*50</f>
        <v>20100</v>
      </c>
      <c r="K7" s="17">
        <f t="shared" ref="K7:K20" si="1">J7+H7+F7+D7</f>
        <v>46140</v>
      </c>
    </row>
    <row r="8" s="2" customFormat="1" ht="21" customHeight="1" spans="1:11">
      <c r="A8" s="17">
        <v>3</v>
      </c>
      <c r="B8" s="18" t="s">
        <v>57</v>
      </c>
      <c r="C8" s="24">
        <v>46</v>
      </c>
      <c r="D8" s="18">
        <f t="shared" si="0"/>
        <v>1840</v>
      </c>
      <c r="E8" s="18">
        <v>45</v>
      </c>
      <c r="F8" s="18">
        <f t="shared" ref="F8:F20" si="2">E8*40</f>
        <v>1800</v>
      </c>
      <c r="G8" s="18">
        <v>248</v>
      </c>
      <c r="H8" s="18">
        <f t="shared" ref="H8:H20" si="3">G8*40</f>
        <v>9920</v>
      </c>
      <c r="I8" s="18">
        <v>241</v>
      </c>
      <c r="J8" s="18">
        <f t="shared" ref="J8:J20" si="4">I8*50</f>
        <v>12050</v>
      </c>
      <c r="K8" s="17">
        <f t="shared" si="1"/>
        <v>25610</v>
      </c>
    </row>
    <row r="9" s="2" customFormat="1" ht="21" customHeight="1" spans="1:11">
      <c r="A9" s="17">
        <v>4</v>
      </c>
      <c r="B9" s="18" t="s">
        <v>59</v>
      </c>
      <c r="C9" s="24">
        <v>223</v>
      </c>
      <c r="D9" s="18">
        <f t="shared" si="0"/>
        <v>8920</v>
      </c>
      <c r="E9" s="18">
        <v>246</v>
      </c>
      <c r="F9" s="18">
        <f t="shared" si="2"/>
        <v>9840</v>
      </c>
      <c r="G9" s="18">
        <v>1245</v>
      </c>
      <c r="H9" s="18">
        <f t="shared" si="3"/>
        <v>49800</v>
      </c>
      <c r="I9" s="18">
        <v>1095</v>
      </c>
      <c r="J9" s="18">
        <f t="shared" si="4"/>
        <v>54750</v>
      </c>
      <c r="K9" s="17">
        <f t="shared" si="1"/>
        <v>123310</v>
      </c>
    </row>
    <row r="10" s="2" customFormat="1" ht="21" customHeight="1" spans="1:11">
      <c r="A10" s="17">
        <v>5</v>
      </c>
      <c r="B10" s="18" t="s">
        <v>121</v>
      </c>
      <c r="C10" s="24">
        <v>151</v>
      </c>
      <c r="D10" s="18">
        <f t="shared" si="0"/>
        <v>6040</v>
      </c>
      <c r="E10" s="18">
        <v>145</v>
      </c>
      <c r="F10" s="18">
        <f t="shared" si="2"/>
        <v>5800</v>
      </c>
      <c r="G10" s="18">
        <v>898</v>
      </c>
      <c r="H10" s="18">
        <f t="shared" si="3"/>
        <v>35920</v>
      </c>
      <c r="I10" s="18">
        <v>919</v>
      </c>
      <c r="J10" s="18">
        <f t="shared" si="4"/>
        <v>45950</v>
      </c>
      <c r="K10" s="17">
        <f t="shared" si="1"/>
        <v>93710</v>
      </c>
    </row>
    <row r="11" s="2" customFormat="1" ht="21" customHeight="1" spans="1:11">
      <c r="A11" s="17">
        <v>6</v>
      </c>
      <c r="B11" s="18" t="s">
        <v>62</v>
      </c>
      <c r="C11" s="24">
        <v>123</v>
      </c>
      <c r="D11" s="18">
        <f t="shared" si="0"/>
        <v>4920</v>
      </c>
      <c r="E11" s="18">
        <v>123</v>
      </c>
      <c r="F11" s="18">
        <f t="shared" si="2"/>
        <v>4920</v>
      </c>
      <c r="G11" s="18">
        <v>647</v>
      </c>
      <c r="H11" s="18">
        <f t="shared" si="3"/>
        <v>25880</v>
      </c>
      <c r="I11" s="18">
        <v>519</v>
      </c>
      <c r="J11" s="18">
        <f t="shared" si="4"/>
        <v>25950</v>
      </c>
      <c r="K11" s="17">
        <f t="shared" si="1"/>
        <v>61670</v>
      </c>
    </row>
    <row r="12" s="2" customFormat="1" ht="21" customHeight="1" spans="1:11">
      <c r="A12" s="17">
        <v>7</v>
      </c>
      <c r="B12" s="18" t="s">
        <v>63</v>
      </c>
      <c r="C12" s="24">
        <v>195</v>
      </c>
      <c r="D12" s="18">
        <f t="shared" si="0"/>
        <v>7800</v>
      </c>
      <c r="E12" s="18">
        <v>201</v>
      </c>
      <c r="F12" s="18">
        <f t="shared" si="2"/>
        <v>8040</v>
      </c>
      <c r="G12" s="18">
        <v>1087</v>
      </c>
      <c r="H12" s="18">
        <f t="shared" si="3"/>
        <v>43480</v>
      </c>
      <c r="I12" s="18">
        <v>1153</v>
      </c>
      <c r="J12" s="18">
        <f t="shared" si="4"/>
        <v>57650</v>
      </c>
      <c r="K12" s="17">
        <f t="shared" si="1"/>
        <v>116970</v>
      </c>
    </row>
    <row r="13" s="2" customFormat="1" ht="21" customHeight="1" spans="1:11">
      <c r="A13" s="17">
        <v>8</v>
      </c>
      <c r="B13" s="18" t="s">
        <v>64</v>
      </c>
      <c r="C13" s="24">
        <v>358</v>
      </c>
      <c r="D13" s="18">
        <f t="shared" si="0"/>
        <v>14320</v>
      </c>
      <c r="E13" s="18">
        <v>368</v>
      </c>
      <c r="F13" s="18">
        <f t="shared" si="2"/>
        <v>14720</v>
      </c>
      <c r="G13" s="18">
        <v>1970</v>
      </c>
      <c r="H13" s="18">
        <f t="shared" si="3"/>
        <v>78800</v>
      </c>
      <c r="I13" s="18">
        <v>1953</v>
      </c>
      <c r="J13" s="18">
        <f t="shared" si="4"/>
        <v>97650</v>
      </c>
      <c r="K13" s="17">
        <f t="shared" si="1"/>
        <v>205490</v>
      </c>
    </row>
    <row r="14" s="2" customFormat="1" ht="21" customHeight="1" spans="1:11">
      <c r="A14" s="17">
        <v>9</v>
      </c>
      <c r="B14" s="18" t="s">
        <v>65</v>
      </c>
      <c r="C14" s="24">
        <v>47</v>
      </c>
      <c r="D14" s="18">
        <f t="shared" si="0"/>
        <v>1880</v>
      </c>
      <c r="E14" s="18">
        <v>47</v>
      </c>
      <c r="F14" s="18">
        <f t="shared" si="2"/>
        <v>1880</v>
      </c>
      <c r="G14" s="18">
        <v>280</v>
      </c>
      <c r="H14" s="18">
        <f t="shared" si="3"/>
        <v>11200</v>
      </c>
      <c r="I14" s="18">
        <v>167</v>
      </c>
      <c r="J14" s="18">
        <f t="shared" si="4"/>
        <v>8350</v>
      </c>
      <c r="K14" s="17">
        <f t="shared" si="1"/>
        <v>23310</v>
      </c>
    </row>
    <row r="15" s="2" customFormat="1" ht="21" customHeight="1" spans="1:11">
      <c r="A15" s="17">
        <v>10</v>
      </c>
      <c r="B15" s="18" t="s">
        <v>29</v>
      </c>
      <c r="C15" s="24">
        <v>220</v>
      </c>
      <c r="D15" s="18">
        <f t="shared" si="0"/>
        <v>8800</v>
      </c>
      <c r="E15" s="18">
        <v>219</v>
      </c>
      <c r="F15" s="18">
        <f t="shared" si="2"/>
        <v>8760</v>
      </c>
      <c r="G15" s="18">
        <v>1045</v>
      </c>
      <c r="H15" s="18">
        <f t="shared" si="3"/>
        <v>41800</v>
      </c>
      <c r="I15" s="18">
        <v>1047</v>
      </c>
      <c r="J15" s="18">
        <f t="shared" si="4"/>
        <v>52350</v>
      </c>
      <c r="K15" s="17">
        <f t="shared" si="1"/>
        <v>111710</v>
      </c>
    </row>
    <row r="16" s="2" customFormat="1" ht="21" customHeight="1" spans="1:11">
      <c r="A16" s="17">
        <v>11</v>
      </c>
      <c r="B16" s="18" t="s">
        <v>30</v>
      </c>
      <c r="C16" s="24">
        <v>318</v>
      </c>
      <c r="D16" s="18">
        <f t="shared" si="0"/>
        <v>12720</v>
      </c>
      <c r="E16" s="18">
        <v>329</v>
      </c>
      <c r="F16" s="18">
        <f t="shared" si="2"/>
        <v>13160</v>
      </c>
      <c r="G16" s="92">
        <v>1627</v>
      </c>
      <c r="H16" s="18">
        <f t="shared" si="3"/>
        <v>65080</v>
      </c>
      <c r="I16" s="18">
        <v>1565</v>
      </c>
      <c r="J16" s="18">
        <f t="shared" si="4"/>
        <v>78250</v>
      </c>
      <c r="K16" s="17">
        <f t="shared" si="1"/>
        <v>169210</v>
      </c>
    </row>
    <row r="17" s="2" customFormat="1" ht="21" customHeight="1" spans="1:11">
      <c r="A17" s="17">
        <v>12</v>
      </c>
      <c r="B17" s="18" t="s">
        <v>67</v>
      </c>
      <c r="C17" s="24">
        <v>255</v>
      </c>
      <c r="D17" s="18">
        <f t="shared" si="0"/>
        <v>10200</v>
      </c>
      <c r="E17" s="18">
        <v>278</v>
      </c>
      <c r="F17" s="18">
        <f t="shared" si="2"/>
        <v>11120</v>
      </c>
      <c r="G17" s="18">
        <v>1351</v>
      </c>
      <c r="H17" s="18">
        <f t="shared" si="3"/>
        <v>54040</v>
      </c>
      <c r="I17" s="18">
        <v>1808</v>
      </c>
      <c r="J17" s="18">
        <f t="shared" si="4"/>
        <v>90400</v>
      </c>
      <c r="K17" s="17">
        <f t="shared" si="1"/>
        <v>165760</v>
      </c>
    </row>
    <row r="18" s="2" customFormat="1" ht="21" customHeight="1" spans="1:11">
      <c r="A18" s="17">
        <v>13</v>
      </c>
      <c r="B18" s="18" t="s">
        <v>68</v>
      </c>
      <c r="C18" s="24">
        <v>196</v>
      </c>
      <c r="D18" s="18">
        <f t="shared" si="0"/>
        <v>7840</v>
      </c>
      <c r="E18" s="18">
        <v>187</v>
      </c>
      <c r="F18" s="18">
        <f t="shared" si="2"/>
        <v>7480</v>
      </c>
      <c r="G18" s="18">
        <v>1142</v>
      </c>
      <c r="H18" s="18">
        <f t="shared" si="3"/>
        <v>45680</v>
      </c>
      <c r="I18" s="18">
        <v>1198</v>
      </c>
      <c r="J18" s="18">
        <f t="shared" si="4"/>
        <v>59900</v>
      </c>
      <c r="K18" s="17">
        <f t="shared" si="1"/>
        <v>120900</v>
      </c>
    </row>
    <row r="19" s="2" customFormat="1" ht="21" customHeight="1" spans="1:11">
      <c r="A19" s="17">
        <v>14</v>
      </c>
      <c r="B19" s="22" t="s">
        <v>69</v>
      </c>
      <c r="C19" s="24">
        <v>19</v>
      </c>
      <c r="D19" s="18">
        <f t="shared" si="0"/>
        <v>760</v>
      </c>
      <c r="E19" s="22">
        <v>19</v>
      </c>
      <c r="F19" s="18">
        <f t="shared" si="2"/>
        <v>760</v>
      </c>
      <c r="G19" s="22">
        <v>111</v>
      </c>
      <c r="H19" s="18">
        <f t="shared" si="3"/>
        <v>4440</v>
      </c>
      <c r="I19" s="22">
        <v>167</v>
      </c>
      <c r="J19" s="18">
        <f t="shared" si="4"/>
        <v>8350</v>
      </c>
      <c r="K19" s="17">
        <f t="shared" si="1"/>
        <v>14310</v>
      </c>
    </row>
    <row r="20" s="2" customFormat="1" ht="21" customHeight="1" spans="1:11">
      <c r="A20" s="17">
        <v>15</v>
      </c>
      <c r="B20" s="18" t="s">
        <v>26</v>
      </c>
      <c r="C20" s="24">
        <v>26</v>
      </c>
      <c r="D20" s="18">
        <f t="shared" si="0"/>
        <v>1040</v>
      </c>
      <c r="E20" s="18">
        <v>29</v>
      </c>
      <c r="F20" s="18">
        <f t="shared" si="2"/>
        <v>1160</v>
      </c>
      <c r="G20" s="18">
        <v>248</v>
      </c>
      <c r="H20" s="18">
        <f t="shared" si="3"/>
        <v>9920</v>
      </c>
      <c r="I20" s="18">
        <v>241</v>
      </c>
      <c r="J20" s="18">
        <f t="shared" si="4"/>
        <v>12050</v>
      </c>
      <c r="K20" s="17">
        <f t="shared" si="1"/>
        <v>24170</v>
      </c>
    </row>
    <row r="21" s="2" customFormat="1" ht="21" customHeight="1" spans="1:11">
      <c r="A21" s="23"/>
      <c r="B21" s="18" t="s">
        <v>70</v>
      </c>
      <c r="C21" s="18">
        <f>SUM(C6:C20)</f>
        <v>2843</v>
      </c>
      <c r="D21" s="18">
        <f t="shared" ref="D21:K21" si="5">SUM(D6:D20)</f>
        <v>113720</v>
      </c>
      <c r="E21" s="18">
        <f t="shared" si="5"/>
        <v>2926</v>
      </c>
      <c r="F21" s="18">
        <f t="shared" si="5"/>
        <v>117040</v>
      </c>
      <c r="G21" s="18">
        <f t="shared" si="5"/>
        <v>15011</v>
      </c>
      <c r="H21" s="18">
        <f t="shared" si="5"/>
        <v>600440</v>
      </c>
      <c r="I21" s="18">
        <f t="shared" si="5"/>
        <v>14714</v>
      </c>
      <c r="J21" s="18">
        <f t="shared" si="5"/>
        <v>735700</v>
      </c>
      <c r="K21" s="18">
        <f t="shared" si="5"/>
        <v>1566900</v>
      </c>
    </row>
    <row r="22" s="2" customFormat="1"/>
    <row r="23" s="2" customFormat="1"/>
    <row r="24" s="2" customFormat="1"/>
  </sheetData>
  <mergeCells count="8">
    <mergeCell ref="A2:K2"/>
    <mergeCell ref="C4:D4"/>
    <mergeCell ref="E4:F4"/>
    <mergeCell ref="G4:H4"/>
    <mergeCell ref="I4:J4"/>
    <mergeCell ref="A4:A5"/>
    <mergeCell ref="B4:B5"/>
    <mergeCell ref="K4:K5"/>
  </mergeCells>
  <printOptions horizontalCentered="1"/>
  <pageMargins left="0.393055555555556" right="0.393055555555556" top="0.590277777777778" bottom="0.590277777777778" header="0.393055555555556" footer="0.393055555555556"/>
  <pageSetup paperSize="9" orientation="landscape" horizontalDpi="6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3"/>
  <sheetViews>
    <sheetView workbookViewId="0">
      <selection activeCell="L9" sqref="L9"/>
    </sheetView>
  </sheetViews>
  <sheetFormatPr defaultColWidth="9" defaultRowHeight="14.25"/>
  <cols>
    <col min="1" max="1" width="4.875" customWidth="1"/>
    <col min="2" max="2" width="20.375" customWidth="1"/>
    <col min="3" max="3" width="10.25" customWidth="1"/>
    <col min="4" max="6" width="8.625" customWidth="1"/>
    <col min="7" max="8" width="9.75" customWidth="1"/>
    <col min="9" max="9" width="8.625" customWidth="1"/>
  </cols>
  <sheetData>
    <row r="1" s="90" customFormat="1" ht="20.25" spans="1:2">
      <c r="A1" s="5" t="s">
        <v>134</v>
      </c>
      <c r="B1" s="6"/>
    </row>
    <row r="2" ht="31" customHeight="1" spans="1:9">
      <c r="A2" s="8" t="s">
        <v>135</v>
      </c>
      <c r="B2" s="8"/>
      <c r="C2" s="8"/>
      <c r="D2" s="8"/>
      <c r="E2" s="8"/>
      <c r="F2" s="8"/>
      <c r="G2" s="8"/>
      <c r="H2" s="8"/>
      <c r="I2" s="8"/>
    </row>
    <row r="3" s="2" customFormat="1" ht="20" customHeight="1" spans="9:9">
      <c r="I3" s="11" t="s">
        <v>36</v>
      </c>
    </row>
    <row r="4" s="2" customFormat="1" ht="32" customHeight="1" spans="1:9">
      <c r="A4" s="17" t="s">
        <v>3</v>
      </c>
      <c r="B4" s="13" t="s">
        <v>37</v>
      </c>
      <c r="C4" s="13" t="s">
        <v>136</v>
      </c>
      <c r="D4" s="13"/>
      <c r="E4" s="60" t="s">
        <v>137</v>
      </c>
      <c r="F4" s="62"/>
      <c r="G4" s="13" t="s">
        <v>138</v>
      </c>
      <c r="H4" s="13"/>
      <c r="I4" s="70" t="s">
        <v>98</v>
      </c>
    </row>
    <row r="5" s="2" customFormat="1" ht="105" customHeight="1" spans="1:9">
      <c r="A5" s="17"/>
      <c r="B5" s="27"/>
      <c r="C5" s="13" t="s">
        <v>139</v>
      </c>
      <c r="D5" s="13" t="s">
        <v>140</v>
      </c>
      <c r="E5" s="13" t="s">
        <v>141</v>
      </c>
      <c r="F5" s="13" t="s">
        <v>142</v>
      </c>
      <c r="G5" s="13" t="s">
        <v>143</v>
      </c>
      <c r="H5" s="13" t="s">
        <v>144</v>
      </c>
      <c r="I5" s="17"/>
    </row>
    <row r="6" s="2" customFormat="1" ht="32" customHeight="1" spans="1:9">
      <c r="A6" s="17">
        <v>1</v>
      </c>
      <c r="B6" s="18" t="s">
        <v>28</v>
      </c>
      <c r="C6" s="24">
        <v>615</v>
      </c>
      <c r="D6" s="18">
        <f>C6*120</f>
        <v>73800</v>
      </c>
      <c r="E6" s="18">
        <v>2552</v>
      </c>
      <c r="F6" s="18">
        <f>E6*20</f>
        <v>51040</v>
      </c>
      <c r="G6" s="24">
        <v>571</v>
      </c>
      <c r="H6" s="18">
        <f>G6*80</f>
        <v>45680</v>
      </c>
      <c r="I6" s="18">
        <f>D6+F6+H6</f>
        <v>170520</v>
      </c>
    </row>
    <row r="7" s="2" customFormat="1" ht="32" customHeight="1" spans="1:9">
      <c r="A7" s="17">
        <v>2</v>
      </c>
      <c r="B7" s="18" t="s">
        <v>55</v>
      </c>
      <c r="C7" s="24">
        <v>77</v>
      </c>
      <c r="D7" s="18">
        <f t="shared" ref="D7:D20" si="0">C7*120</f>
        <v>9240</v>
      </c>
      <c r="E7" s="18">
        <v>312</v>
      </c>
      <c r="F7" s="18">
        <f t="shared" ref="F7:F20" si="1">E7*20</f>
        <v>6240</v>
      </c>
      <c r="G7" s="24">
        <v>84</v>
      </c>
      <c r="H7" s="18">
        <f t="shared" ref="H7:H20" si="2">G7*80</f>
        <v>6720</v>
      </c>
      <c r="I7" s="18">
        <f t="shared" ref="I7:I20" si="3">D7+F7+H7</f>
        <v>22200</v>
      </c>
    </row>
    <row r="8" s="2" customFormat="1" ht="32" customHeight="1" spans="1:9">
      <c r="A8" s="17">
        <v>3</v>
      </c>
      <c r="B8" s="18" t="s">
        <v>57</v>
      </c>
      <c r="C8" s="24">
        <v>38</v>
      </c>
      <c r="D8" s="18">
        <f t="shared" si="0"/>
        <v>4560</v>
      </c>
      <c r="E8" s="18">
        <v>164</v>
      </c>
      <c r="F8" s="18">
        <f t="shared" si="1"/>
        <v>3280</v>
      </c>
      <c r="G8" s="24">
        <v>46</v>
      </c>
      <c r="H8" s="18">
        <f t="shared" si="2"/>
        <v>3680</v>
      </c>
      <c r="I8" s="18">
        <f t="shared" si="3"/>
        <v>11520</v>
      </c>
    </row>
    <row r="9" s="2" customFormat="1" ht="32" customHeight="1" spans="1:9">
      <c r="A9" s="17">
        <v>4</v>
      </c>
      <c r="B9" s="18" t="s">
        <v>59</v>
      </c>
      <c r="C9" s="24">
        <v>211</v>
      </c>
      <c r="D9" s="18">
        <f t="shared" si="0"/>
        <v>25320</v>
      </c>
      <c r="E9" s="18">
        <v>864</v>
      </c>
      <c r="F9" s="18">
        <f t="shared" si="1"/>
        <v>17280</v>
      </c>
      <c r="G9" s="24">
        <v>223</v>
      </c>
      <c r="H9" s="18">
        <f t="shared" si="2"/>
        <v>17840</v>
      </c>
      <c r="I9" s="18">
        <f t="shared" si="3"/>
        <v>60440</v>
      </c>
    </row>
    <row r="10" s="2" customFormat="1" ht="32" customHeight="1" spans="1:9">
      <c r="A10" s="17">
        <v>5</v>
      </c>
      <c r="B10" s="18" t="s">
        <v>61</v>
      </c>
      <c r="C10" s="24">
        <v>155</v>
      </c>
      <c r="D10" s="18">
        <f t="shared" si="0"/>
        <v>18600</v>
      </c>
      <c r="E10" s="18">
        <v>632</v>
      </c>
      <c r="F10" s="18">
        <f t="shared" si="1"/>
        <v>12640</v>
      </c>
      <c r="G10" s="24">
        <v>154</v>
      </c>
      <c r="H10" s="18">
        <f t="shared" si="2"/>
        <v>12320</v>
      </c>
      <c r="I10" s="18">
        <f t="shared" si="3"/>
        <v>43560</v>
      </c>
    </row>
    <row r="11" s="2" customFormat="1" ht="32" customHeight="1" spans="1:9">
      <c r="A11" s="17">
        <v>6</v>
      </c>
      <c r="B11" s="18" t="s">
        <v>62</v>
      </c>
      <c r="C11" s="24">
        <v>122</v>
      </c>
      <c r="D11" s="18">
        <f t="shared" si="0"/>
        <v>14640</v>
      </c>
      <c r="E11" s="18">
        <v>464</v>
      </c>
      <c r="F11" s="18">
        <f t="shared" si="1"/>
        <v>9280</v>
      </c>
      <c r="G11" s="24">
        <v>122</v>
      </c>
      <c r="H11" s="18">
        <f t="shared" si="2"/>
        <v>9760</v>
      </c>
      <c r="I11" s="18">
        <f t="shared" si="3"/>
        <v>33680</v>
      </c>
    </row>
    <row r="12" s="2" customFormat="1" ht="32" customHeight="1" spans="1:9">
      <c r="A12" s="17">
        <v>7</v>
      </c>
      <c r="B12" s="18" t="s">
        <v>63</v>
      </c>
      <c r="C12" s="24">
        <v>156</v>
      </c>
      <c r="D12" s="18">
        <f t="shared" si="0"/>
        <v>18720</v>
      </c>
      <c r="E12" s="18">
        <v>660</v>
      </c>
      <c r="F12" s="18">
        <f t="shared" si="1"/>
        <v>13200</v>
      </c>
      <c r="G12" s="24">
        <v>192</v>
      </c>
      <c r="H12" s="18">
        <f t="shared" si="2"/>
        <v>15360</v>
      </c>
      <c r="I12" s="18">
        <f t="shared" si="3"/>
        <v>47280</v>
      </c>
    </row>
    <row r="13" s="2" customFormat="1" ht="32" customHeight="1" spans="1:9">
      <c r="A13" s="17">
        <v>8</v>
      </c>
      <c r="B13" s="18" t="s">
        <v>64</v>
      </c>
      <c r="C13" s="24">
        <v>343</v>
      </c>
      <c r="D13" s="18">
        <f t="shared" si="0"/>
        <v>41160</v>
      </c>
      <c r="E13" s="18">
        <v>1392</v>
      </c>
      <c r="F13" s="18">
        <f t="shared" si="1"/>
        <v>27840</v>
      </c>
      <c r="G13" s="24">
        <v>356</v>
      </c>
      <c r="H13" s="18">
        <f t="shared" si="2"/>
        <v>28480</v>
      </c>
      <c r="I13" s="18">
        <f t="shared" si="3"/>
        <v>97480</v>
      </c>
    </row>
    <row r="14" s="2" customFormat="1" ht="32" customHeight="1" spans="1:9">
      <c r="A14" s="17">
        <v>9</v>
      </c>
      <c r="B14" s="18" t="s">
        <v>65</v>
      </c>
      <c r="C14" s="24">
        <v>44</v>
      </c>
      <c r="D14" s="18">
        <f t="shared" si="0"/>
        <v>5280</v>
      </c>
      <c r="E14" s="18">
        <v>196</v>
      </c>
      <c r="F14" s="18">
        <f t="shared" si="1"/>
        <v>3920</v>
      </c>
      <c r="G14" s="24">
        <v>46</v>
      </c>
      <c r="H14" s="18">
        <f t="shared" si="2"/>
        <v>3680</v>
      </c>
      <c r="I14" s="18">
        <f t="shared" si="3"/>
        <v>12880</v>
      </c>
    </row>
    <row r="15" s="2" customFormat="1" ht="32" customHeight="1" spans="1:9">
      <c r="A15" s="17">
        <v>10</v>
      </c>
      <c r="B15" s="18" t="s">
        <v>29</v>
      </c>
      <c r="C15" s="24">
        <v>199</v>
      </c>
      <c r="D15" s="18">
        <f t="shared" si="0"/>
        <v>23880</v>
      </c>
      <c r="E15" s="18">
        <v>872</v>
      </c>
      <c r="F15" s="18">
        <f t="shared" si="1"/>
        <v>17440</v>
      </c>
      <c r="G15" s="24">
        <v>220</v>
      </c>
      <c r="H15" s="18">
        <f t="shared" si="2"/>
        <v>17600</v>
      </c>
      <c r="I15" s="18">
        <f t="shared" si="3"/>
        <v>58920</v>
      </c>
    </row>
    <row r="16" s="2" customFormat="1" ht="32" customHeight="1" spans="1:9">
      <c r="A16" s="17">
        <v>11</v>
      </c>
      <c r="B16" s="18" t="s">
        <v>30</v>
      </c>
      <c r="C16" s="24">
        <v>311</v>
      </c>
      <c r="D16" s="18">
        <f t="shared" si="0"/>
        <v>37320</v>
      </c>
      <c r="E16" s="18">
        <v>1336</v>
      </c>
      <c r="F16" s="18">
        <f t="shared" si="1"/>
        <v>26720</v>
      </c>
      <c r="G16" s="24">
        <v>315</v>
      </c>
      <c r="H16" s="18">
        <f t="shared" si="2"/>
        <v>25200</v>
      </c>
      <c r="I16" s="18">
        <f t="shared" si="3"/>
        <v>89240</v>
      </c>
    </row>
    <row r="17" s="2" customFormat="1" ht="32" customHeight="1" spans="1:9">
      <c r="A17" s="17">
        <v>12</v>
      </c>
      <c r="B17" s="18" t="s">
        <v>67</v>
      </c>
      <c r="C17" s="24">
        <v>266</v>
      </c>
      <c r="D17" s="18">
        <f t="shared" si="0"/>
        <v>31920</v>
      </c>
      <c r="E17" s="18">
        <v>1112</v>
      </c>
      <c r="F17" s="18">
        <f t="shared" si="1"/>
        <v>22240</v>
      </c>
      <c r="G17" s="24">
        <v>257</v>
      </c>
      <c r="H17" s="18">
        <f t="shared" si="2"/>
        <v>20560</v>
      </c>
      <c r="I17" s="18">
        <f t="shared" si="3"/>
        <v>74720</v>
      </c>
    </row>
    <row r="18" s="2" customFormat="1" ht="32" customHeight="1" spans="1:9">
      <c r="A18" s="17">
        <v>13</v>
      </c>
      <c r="B18" s="18" t="s">
        <v>145</v>
      </c>
      <c r="C18" s="24">
        <v>184</v>
      </c>
      <c r="D18" s="18">
        <f t="shared" si="0"/>
        <v>22080</v>
      </c>
      <c r="E18" s="18">
        <v>796</v>
      </c>
      <c r="F18" s="18">
        <f t="shared" si="1"/>
        <v>15920</v>
      </c>
      <c r="G18" s="24">
        <v>200</v>
      </c>
      <c r="H18" s="18">
        <f t="shared" si="2"/>
        <v>16000</v>
      </c>
      <c r="I18" s="18">
        <f t="shared" si="3"/>
        <v>54000</v>
      </c>
    </row>
    <row r="19" s="2" customFormat="1" ht="32" customHeight="1" spans="1:9">
      <c r="A19" s="17">
        <v>14</v>
      </c>
      <c r="B19" s="22" t="s">
        <v>69</v>
      </c>
      <c r="C19" s="24">
        <v>10</v>
      </c>
      <c r="D19" s="18">
        <f t="shared" si="0"/>
        <v>1200</v>
      </c>
      <c r="E19" s="18">
        <v>52</v>
      </c>
      <c r="F19" s="18">
        <f t="shared" si="1"/>
        <v>1040</v>
      </c>
      <c r="G19" s="24">
        <v>19</v>
      </c>
      <c r="H19" s="18">
        <f t="shared" si="2"/>
        <v>1520</v>
      </c>
      <c r="I19" s="18">
        <f t="shared" si="3"/>
        <v>3760</v>
      </c>
    </row>
    <row r="20" s="2" customFormat="1" ht="32" customHeight="1" spans="1:9">
      <c r="A20" s="17">
        <v>15</v>
      </c>
      <c r="B20" s="18" t="s">
        <v>26</v>
      </c>
      <c r="C20" s="24">
        <v>22</v>
      </c>
      <c r="D20" s="18">
        <f t="shared" si="0"/>
        <v>2640</v>
      </c>
      <c r="E20" s="18">
        <v>96</v>
      </c>
      <c r="F20" s="18">
        <f t="shared" si="1"/>
        <v>1920</v>
      </c>
      <c r="G20" s="24">
        <v>25</v>
      </c>
      <c r="H20" s="18">
        <f t="shared" si="2"/>
        <v>2000</v>
      </c>
      <c r="I20" s="18">
        <f t="shared" si="3"/>
        <v>6560</v>
      </c>
    </row>
    <row r="21" s="2" customFormat="1" ht="32" customHeight="1" spans="1:9">
      <c r="A21" s="71"/>
      <c r="B21" s="18" t="s">
        <v>70</v>
      </c>
      <c r="C21" s="18">
        <f>SUM(C6:C20)</f>
        <v>2753</v>
      </c>
      <c r="D21" s="18">
        <f t="shared" ref="D21:I21" si="4">SUM(D6:D20)</f>
        <v>330360</v>
      </c>
      <c r="E21" s="18">
        <f t="shared" si="4"/>
        <v>11500</v>
      </c>
      <c r="F21" s="18">
        <f t="shared" si="4"/>
        <v>230000</v>
      </c>
      <c r="G21" s="18">
        <f t="shared" si="4"/>
        <v>2830</v>
      </c>
      <c r="H21" s="18">
        <f t="shared" si="4"/>
        <v>226400</v>
      </c>
      <c r="I21" s="18">
        <f t="shared" si="4"/>
        <v>786760</v>
      </c>
    </row>
    <row r="22" s="2" customFormat="1"/>
    <row r="23" s="2" customFormat="1"/>
  </sheetData>
  <mergeCells count="7">
    <mergeCell ref="A2:I2"/>
    <mergeCell ref="C4:D4"/>
    <mergeCell ref="E4:F4"/>
    <mergeCell ref="G4:H4"/>
    <mergeCell ref="A4:A5"/>
    <mergeCell ref="B4:B5"/>
    <mergeCell ref="I4:I5"/>
  </mergeCells>
  <printOptions horizontalCentered="1"/>
  <pageMargins left="0.393055555555556" right="0.393055555555556" top="0.590277777777778" bottom="0.590277777777778" header="0.393055555555556" footer="0.393055555555556"/>
  <pageSetup paperSize="9" orientation="portrait" horizontalDpi="6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workbookViewId="0">
      <selection activeCell="I8" sqref="I8"/>
    </sheetView>
  </sheetViews>
  <sheetFormatPr defaultColWidth="9" defaultRowHeight="14.25" outlineLevelCol="6"/>
  <cols>
    <col min="1" max="1" width="7" customWidth="1"/>
    <col min="2" max="2" width="25" customWidth="1"/>
    <col min="3" max="3" width="13.25" style="84" customWidth="1"/>
    <col min="4" max="4" width="12.5" customWidth="1"/>
    <col min="5" max="5" width="13.875" customWidth="1"/>
    <col min="6" max="6" width="10.2333333333333" customWidth="1"/>
  </cols>
  <sheetData>
    <row r="1" s="1" customFormat="1" ht="30" customHeight="1" spans="1:4">
      <c r="A1" s="5" t="s">
        <v>146</v>
      </c>
      <c r="B1" s="6"/>
      <c r="C1" s="85"/>
      <c r="D1" s="6"/>
    </row>
    <row r="2" ht="34" customHeight="1" spans="1:6">
      <c r="A2" s="8" t="s">
        <v>147</v>
      </c>
      <c r="B2" s="8"/>
      <c r="C2" s="86"/>
      <c r="D2" s="8"/>
      <c r="E2" s="8"/>
      <c r="F2" s="8"/>
    </row>
    <row r="3" s="2" customFormat="1" ht="18" customHeight="1" spans="3:6">
      <c r="C3" s="87"/>
      <c r="F3" s="11" t="s">
        <v>36</v>
      </c>
    </row>
    <row r="4" s="2" customFormat="1" ht="50" customHeight="1" spans="1:7">
      <c r="A4" s="12" t="s">
        <v>3</v>
      </c>
      <c r="B4" s="13" t="s">
        <v>37</v>
      </c>
      <c r="C4" s="88" t="s">
        <v>148</v>
      </c>
      <c r="D4" s="14" t="s">
        <v>149</v>
      </c>
      <c r="E4" s="15" t="s">
        <v>91</v>
      </c>
      <c r="F4" s="14" t="s">
        <v>9</v>
      </c>
      <c r="G4" s="37"/>
    </row>
    <row r="5" s="3" customFormat="1" ht="32" customHeight="1" spans="1:6">
      <c r="A5" s="17">
        <v>1</v>
      </c>
      <c r="B5" s="18" t="s">
        <v>28</v>
      </c>
      <c r="C5" s="24">
        <v>5100</v>
      </c>
      <c r="D5" s="20">
        <v>200</v>
      </c>
      <c r="E5" s="21">
        <f>C5*D5</f>
        <v>1020000</v>
      </c>
      <c r="F5" s="27"/>
    </row>
    <row r="6" s="3" customFormat="1" ht="32" customHeight="1" spans="1:6">
      <c r="A6" s="17">
        <v>2</v>
      </c>
      <c r="B6" s="18" t="s">
        <v>55</v>
      </c>
      <c r="C6" s="24">
        <v>1130</v>
      </c>
      <c r="D6" s="20">
        <v>200</v>
      </c>
      <c r="E6" s="21">
        <f t="shared" ref="E6:E19" si="0">C6*D6</f>
        <v>226000</v>
      </c>
      <c r="F6" s="27"/>
    </row>
    <row r="7" s="3" customFormat="1" ht="32" customHeight="1" spans="1:6">
      <c r="A7" s="17">
        <v>3</v>
      </c>
      <c r="B7" s="18" t="s">
        <v>57</v>
      </c>
      <c r="C7" s="24">
        <v>397</v>
      </c>
      <c r="D7" s="20">
        <v>200</v>
      </c>
      <c r="E7" s="21">
        <f t="shared" si="0"/>
        <v>79400</v>
      </c>
      <c r="F7" s="27"/>
    </row>
    <row r="8" s="3" customFormat="1" ht="32" customHeight="1" spans="1:6">
      <c r="A8" s="17">
        <v>4</v>
      </c>
      <c r="B8" s="18" t="s">
        <v>59</v>
      </c>
      <c r="C8" s="24">
        <v>2152</v>
      </c>
      <c r="D8" s="20">
        <v>200</v>
      </c>
      <c r="E8" s="21">
        <f t="shared" si="0"/>
        <v>430400</v>
      </c>
      <c r="F8" s="27"/>
    </row>
    <row r="9" s="3" customFormat="1" ht="32" customHeight="1" spans="1:6">
      <c r="A9" s="17">
        <v>5</v>
      </c>
      <c r="B9" s="18" t="s">
        <v>61</v>
      </c>
      <c r="C9" s="24">
        <v>1826</v>
      </c>
      <c r="D9" s="20">
        <v>200</v>
      </c>
      <c r="E9" s="21">
        <f t="shared" si="0"/>
        <v>365200</v>
      </c>
      <c r="F9" s="27"/>
    </row>
    <row r="10" s="3" customFormat="1" ht="32" customHeight="1" spans="1:6">
      <c r="A10" s="17">
        <v>6</v>
      </c>
      <c r="B10" s="18" t="s">
        <v>62</v>
      </c>
      <c r="C10" s="24">
        <v>1336</v>
      </c>
      <c r="D10" s="20">
        <v>200</v>
      </c>
      <c r="E10" s="21">
        <f t="shared" si="0"/>
        <v>267200</v>
      </c>
      <c r="F10" s="27"/>
    </row>
    <row r="11" s="3" customFormat="1" ht="32" customHeight="1" spans="1:6">
      <c r="A11" s="17">
        <v>7</v>
      </c>
      <c r="B11" s="18" t="s">
        <v>63</v>
      </c>
      <c r="C11" s="24">
        <v>2002</v>
      </c>
      <c r="D11" s="20">
        <v>200</v>
      </c>
      <c r="E11" s="21">
        <f t="shared" si="0"/>
        <v>400400</v>
      </c>
      <c r="F11" s="27"/>
    </row>
    <row r="12" s="3" customFormat="1" ht="32" customHeight="1" spans="1:6">
      <c r="A12" s="17">
        <v>8</v>
      </c>
      <c r="B12" s="18" t="s">
        <v>64</v>
      </c>
      <c r="C12" s="24">
        <v>3161</v>
      </c>
      <c r="D12" s="20">
        <v>200</v>
      </c>
      <c r="E12" s="21">
        <f t="shared" si="0"/>
        <v>632200</v>
      </c>
      <c r="F12" s="27"/>
    </row>
    <row r="13" s="3" customFormat="1" ht="32" customHeight="1" spans="1:6">
      <c r="A13" s="17">
        <v>9</v>
      </c>
      <c r="B13" s="18" t="s">
        <v>65</v>
      </c>
      <c r="C13" s="24">
        <v>507</v>
      </c>
      <c r="D13" s="20">
        <v>200</v>
      </c>
      <c r="E13" s="21">
        <f t="shared" si="0"/>
        <v>101400</v>
      </c>
      <c r="F13" s="27"/>
    </row>
    <row r="14" s="3" customFormat="1" ht="32" customHeight="1" spans="1:6">
      <c r="A14" s="17">
        <v>10</v>
      </c>
      <c r="B14" s="18" t="s">
        <v>29</v>
      </c>
      <c r="C14" s="24">
        <v>1897</v>
      </c>
      <c r="D14" s="20">
        <v>200</v>
      </c>
      <c r="E14" s="21">
        <f t="shared" si="0"/>
        <v>379400</v>
      </c>
      <c r="F14" s="27"/>
    </row>
    <row r="15" s="3" customFormat="1" ht="32" customHeight="1" spans="1:6">
      <c r="A15" s="17">
        <v>11</v>
      </c>
      <c r="B15" s="18" t="s">
        <v>30</v>
      </c>
      <c r="C15" s="24">
        <v>3077</v>
      </c>
      <c r="D15" s="20">
        <v>200</v>
      </c>
      <c r="E15" s="21">
        <f t="shared" si="0"/>
        <v>615400</v>
      </c>
      <c r="F15" s="27"/>
    </row>
    <row r="16" s="3" customFormat="1" ht="32" customHeight="1" spans="1:6">
      <c r="A16" s="17">
        <v>12</v>
      </c>
      <c r="B16" s="18" t="s">
        <v>67</v>
      </c>
      <c r="C16" s="24">
        <v>2589</v>
      </c>
      <c r="D16" s="20">
        <v>200</v>
      </c>
      <c r="E16" s="21">
        <f t="shared" si="0"/>
        <v>517800</v>
      </c>
      <c r="F16" s="27"/>
    </row>
    <row r="17" s="3" customFormat="1" ht="32" customHeight="1" spans="1:6">
      <c r="A17" s="17">
        <v>13</v>
      </c>
      <c r="B17" s="18" t="s">
        <v>68</v>
      </c>
      <c r="C17" s="24">
        <v>1982</v>
      </c>
      <c r="D17" s="20">
        <v>200</v>
      </c>
      <c r="E17" s="21">
        <f t="shared" si="0"/>
        <v>396400</v>
      </c>
      <c r="F17" s="27"/>
    </row>
    <row r="18" s="3" customFormat="1" ht="32" customHeight="1" spans="1:6">
      <c r="A18" s="17">
        <v>14</v>
      </c>
      <c r="B18" s="22" t="s">
        <v>69</v>
      </c>
      <c r="C18" s="24">
        <v>301</v>
      </c>
      <c r="D18" s="20">
        <v>200</v>
      </c>
      <c r="E18" s="21">
        <f t="shared" si="0"/>
        <v>60200</v>
      </c>
      <c r="F18" s="27"/>
    </row>
    <row r="19" s="3" customFormat="1" ht="32" customHeight="1" spans="1:6">
      <c r="A19" s="17">
        <v>15</v>
      </c>
      <c r="B19" s="18" t="s">
        <v>26</v>
      </c>
      <c r="C19" s="24">
        <v>287</v>
      </c>
      <c r="D19" s="20">
        <v>200</v>
      </c>
      <c r="E19" s="21">
        <f t="shared" si="0"/>
        <v>57400</v>
      </c>
      <c r="F19" s="27"/>
    </row>
    <row r="20" s="3" customFormat="1" ht="32" customHeight="1" spans="1:6">
      <c r="A20" s="23"/>
      <c r="B20" s="18" t="s">
        <v>70</v>
      </c>
      <c r="C20" s="89">
        <f>SUM(C5:C19)</f>
        <v>27744</v>
      </c>
      <c r="D20" s="18"/>
      <c r="E20" s="18">
        <f>SUM(E5:E19)</f>
        <v>5548800</v>
      </c>
      <c r="F20" s="27"/>
    </row>
  </sheetData>
  <mergeCells count="1">
    <mergeCell ref="A2:F2"/>
  </mergeCells>
  <printOptions horizontalCentered="1"/>
  <pageMargins left="0.393055555555556" right="0.393055555555556" top="0.590277777777778" bottom="0.590277777777778" header="0.393055555555556" footer="0.393055555555556"/>
  <pageSetup paperSize="9" orientation="portrait" horizontalDpi="6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workbookViewId="0">
      <selection activeCell="F3" sqref="F3"/>
    </sheetView>
  </sheetViews>
  <sheetFormatPr defaultColWidth="9" defaultRowHeight="14.25" outlineLevelCol="6"/>
  <cols>
    <col min="1" max="1" width="8.35" customWidth="1"/>
    <col min="2" max="2" width="24.625" customWidth="1"/>
    <col min="3" max="3" width="13.25" customWidth="1"/>
    <col min="4" max="4" width="12.5" customWidth="1"/>
    <col min="5" max="5" width="13.875" customWidth="1"/>
    <col min="6" max="6" width="10.2333333333333" customWidth="1"/>
  </cols>
  <sheetData>
    <row r="1" customFormat="1" ht="27" customHeight="1" spans="1:4">
      <c r="A1" s="5" t="s">
        <v>150</v>
      </c>
      <c r="B1" s="67"/>
      <c r="C1" s="67"/>
      <c r="D1" s="67"/>
    </row>
    <row r="2" customFormat="1" ht="36" customHeight="1" spans="1:6">
      <c r="A2" s="8" t="s">
        <v>151</v>
      </c>
      <c r="B2" s="8"/>
      <c r="C2" s="8"/>
      <c r="D2" s="8"/>
      <c r="E2" s="8"/>
      <c r="F2" s="8"/>
    </row>
    <row r="3" s="2" customFormat="1" ht="18" customHeight="1" spans="6:6">
      <c r="F3" s="11" t="s">
        <v>36</v>
      </c>
    </row>
    <row r="4" s="2" customFormat="1" ht="64" customHeight="1" spans="1:7">
      <c r="A4" s="12" t="s">
        <v>3</v>
      </c>
      <c r="B4" s="13" t="s">
        <v>37</v>
      </c>
      <c r="C4" s="14" t="s">
        <v>152</v>
      </c>
      <c r="D4" s="14" t="s">
        <v>149</v>
      </c>
      <c r="E4" s="15" t="s">
        <v>91</v>
      </c>
      <c r="F4" s="14" t="s">
        <v>9</v>
      </c>
      <c r="G4" s="37"/>
    </row>
    <row r="5" s="3" customFormat="1" ht="32" customHeight="1" spans="1:6">
      <c r="A5" s="17">
        <v>1</v>
      </c>
      <c r="B5" s="18" t="s">
        <v>28</v>
      </c>
      <c r="C5" s="24">
        <v>4048</v>
      </c>
      <c r="D5" s="20">
        <v>270</v>
      </c>
      <c r="E5" s="21">
        <f>C5*D5</f>
        <v>1092960</v>
      </c>
      <c r="F5" s="27"/>
    </row>
    <row r="6" s="3" customFormat="1" ht="32" customHeight="1" spans="1:6">
      <c r="A6" s="17">
        <v>2</v>
      </c>
      <c r="B6" s="18" t="s">
        <v>55</v>
      </c>
      <c r="C6" s="24">
        <v>795</v>
      </c>
      <c r="D6" s="20">
        <v>270</v>
      </c>
      <c r="E6" s="21">
        <f t="shared" ref="E6:E19" si="0">C6*D6</f>
        <v>214650</v>
      </c>
      <c r="F6" s="27"/>
    </row>
    <row r="7" s="3" customFormat="1" ht="32" customHeight="1" spans="1:6">
      <c r="A7" s="17">
        <v>3</v>
      </c>
      <c r="B7" s="18" t="s">
        <v>57</v>
      </c>
      <c r="C7" s="24">
        <v>262</v>
      </c>
      <c r="D7" s="20">
        <v>270</v>
      </c>
      <c r="E7" s="21">
        <f t="shared" si="0"/>
        <v>70740</v>
      </c>
      <c r="F7" s="27"/>
    </row>
    <row r="8" s="3" customFormat="1" ht="32" customHeight="1" spans="1:6">
      <c r="A8" s="17">
        <v>4</v>
      </c>
      <c r="B8" s="18" t="s">
        <v>59</v>
      </c>
      <c r="C8" s="24">
        <v>1512</v>
      </c>
      <c r="D8" s="20">
        <v>270</v>
      </c>
      <c r="E8" s="21">
        <f t="shared" si="0"/>
        <v>408240</v>
      </c>
      <c r="F8" s="27"/>
    </row>
    <row r="9" s="3" customFormat="1" ht="32" customHeight="1" spans="1:6">
      <c r="A9" s="17">
        <v>5</v>
      </c>
      <c r="B9" s="18" t="s">
        <v>61</v>
      </c>
      <c r="C9" s="24">
        <v>1012</v>
      </c>
      <c r="D9" s="20">
        <v>270</v>
      </c>
      <c r="E9" s="21">
        <f t="shared" si="0"/>
        <v>273240</v>
      </c>
      <c r="F9" s="27"/>
    </row>
    <row r="10" s="3" customFormat="1" ht="32" customHeight="1" spans="1:6">
      <c r="A10" s="17">
        <v>6</v>
      </c>
      <c r="B10" s="18" t="s">
        <v>62</v>
      </c>
      <c r="C10" s="24">
        <v>701</v>
      </c>
      <c r="D10" s="20">
        <v>270</v>
      </c>
      <c r="E10" s="21">
        <f t="shared" si="0"/>
        <v>189270</v>
      </c>
      <c r="F10" s="27"/>
    </row>
    <row r="11" s="3" customFormat="1" ht="32" customHeight="1" spans="1:6">
      <c r="A11" s="17">
        <v>7</v>
      </c>
      <c r="B11" s="18" t="s">
        <v>63</v>
      </c>
      <c r="C11" s="24">
        <v>1363</v>
      </c>
      <c r="D11" s="20">
        <v>270</v>
      </c>
      <c r="E11" s="21">
        <f t="shared" si="0"/>
        <v>368010</v>
      </c>
      <c r="F11" s="27"/>
    </row>
    <row r="12" s="3" customFormat="1" ht="32" customHeight="1" spans="1:6">
      <c r="A12" s="17">
        <v>8</v>
      </c>
      <c r="B12" s="18" t="s">
        <v>64</v>
      </c>
      <c r="C12" s="24">
        <v>2072</v>
      </c>
      <c r="D12" s="20">
        <v>270</v>
      </c>
      <c r="E12" s="21">
        <f t="shared" si="0"/>
        <v>559440</v>
      </c>
      <c r="F12" s="27"/>
    </row>
    <row r="13" s="3" customFormat="1" ht="32" customHeight="1" spans="1:6">
      <c r="A13" s="17">
        <v>9</v>
      </c>
      <c r="B13" s="18" t="s">
        <v>65</v>
      </c>
      <c r="C13" s="24">
        <v>317</v>
      </c>
      <c r="D13" s="20">
        <v>270</v>
      </c>
      <c r="E13" s="21">
        <f t="shared" si="0"/>
        <v>85590</v>
      </c>
      <c r="F13" s="27"/>
    </row>
    <row r="14" s="3" customFormat="1" ht="32" customHeight="1" spans="1:6">
      <c r="A14" s="17">
        <v>10</v>
      </c>
      <c r="B14" s="18" t="s">
        <v>29</v>
      </c>
      <c r="C14" s="24">
        <v>1250</v>
      </c>
      <c r="D14" s="20">
        <v>270</v>
      </c>
      <c r="E14" s="21">
        <f t="shared" si="0"/>
        <v>337500</v>
      </c>
      <c r="F14" s="27"/>
    </row>
    <row r="15" s="3" customFormat="1" ht="32" customHeight="1" spans="1:6">
      <c r="A15" s="17">
        <v>11</v>
      </c>
      <c r="B15" s="18" t="s">
        <v>30</v>
      </c>
      <c r="C15" s="24">
        <v>2109</v>
      </c>
      <c r="D15" s="20">
        <v>270</v>
      </c>
      <c r="E15" s="21">
        <f t="shared" si="0"/>
        <v>569430</v>
      </c>
      <c r="F15" s="27"/>
    </row>
    <row r="16" s="3" customFormat="1" ht="32" customHeight="1" spans="1:6">
      <c r="A16" s="17">
        <v>12</v>
      </c>
      <c r="B16" s="18" t="s">
        <v>67</v>
      </c>
      <c r="C16" s="24">
        <v>1650</v>
      </c>
      <c r="D16" s="20">
        <v>270</v>
      </c>
      <c r="E16" s="21">
        <f t="shared" si="0"/>
        <v>445500</v>
      </c>
      <c r="F16" s="27"/>
    </row>
    <row r="17" s="3" customFormat="1" ht="32" customHeight="1" spans="1:6">
      <c r="A17" s="17">
        <v>13</v>
      </c>
      <c r="B17" s="18" t="s">
        <v>68</v>
      </c>
      <c r="C17" s="24">
        <v>1108</v>
      </c>
      <c r="D17" s="20">
        <v>270</v>
      </c>
      <c r="E17" s="21">
        <f t="shared" si="0"/>
        <v>299160</v>
      </c>
      <c r="F17" s="27"/>
    </row>
    <row r="18" s="3" customFormat="1" ht="32" customHeight="1" spans="1:6">
      <c r="A18" s="17">
        <v>14</v>
      </c>
      <c r="B18" s="22" t="s">
        <v>69</v>
      </c>
      <c r="C18" s="24">
        <v>227</v>
      </c>
      <c r="D18" s="20">
        <v>270</v>
      </c>
      <c r="E18" s="21">
        <f t="shared" si="0"/>
        <v>61290</v>
      </c>
      <c r="F18" s="27"/>
    </row>
    <row r="19" s="3" customFormat="1" ht="32" customHeight="1" spans="1:6">
      <c r="A19" s="17">
        <v>15</v>
      </c>
      <c r="B19" s="18" t="s">
        <v>26</v>
      </c>
      <c r="C19" s="24">
        <v>221</v>
      </c>
      <c r="D19" s="20">
        <v>270</v>
      </c>
      <c r="E19" s="21">
        <f t="shared" si="0"/>
        <v>59670</v>
      </c>
      <c r="F19" s="27"/>
    </row>
    <row r="20" s="3" customFormat="1" ht="32" customHeight="1" spans="1:6">
      <c r="A20" s="23"/>
      <c r="B20" s="18" t="s">
        <v>70</v>
      </c>
      <c r="C20" s="18">
        <f>SUM(C5:C19)</f>
        <v>18647</v>
      </c>
      <c r="D20" s="18"/>
      <c r="E20" s="18">
        <f>SUM(E5:E19)</f>
        <v>5034690</v>
      </c>
      <c r="F20" s="27"/>
    </row>
  </sheetData>
  <mergeCells count="1">
    <mergeCell ref="A2:F2"/>
  </mergeCells>
  <printOptions horizontalCentered="1"/>
  <pageMargins left="0.393055555555556" right="0.393055555555556" top="0.590277777777778" bottom="0.590277777777778" header="0.393055555555556" footer="0.275"/>
  <pageSetup paperSize="9" orientation="portrait" horizontalDpi="6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workbookViewId="0">
      <selection activeCell="F3" sqref="F3"/>
    </sheetView>
  </sheetViews>
  <sheetFormatPr defaultColWidth="9" defaultRowHeight="14.25" outlineLevelCol="5"/>
  <cols>
    <col min="1" max="1" width="8.35" customWidth="1"/>
    <col min="2" max="2" width="22.5" customWidth="1"/>
    <col min="3" max="3" width="13.25" customWidth="1"/>
    <col min="4" max="4" width="12.5" customWidth="1"/>
    <col min="5" max="5" width="13.875" customWidth="1"/>
    <col min="6" max="6" width="11.25" customWidth="1"/>
  </cols>
  <sheetData>
    <row r="1" customFormat="1" ht="26" customHeight="1" spans="1:4">
      <c r="A1" s="5" t="s">
        <v>153</v>
      </c>
      <c r="B1" s="67"/>
      <c r="C1" s="67"/>
      <c r="D1" s="67"/>
    </row>
    <row r="2" customFormat="1" ht="36" customHeight="1" spans="1:6">
      <c r="A2" s="82" t="s">
        <v>154</v>
      </c>
      <c r="B2" s="82"/>
      <c r="C2" s="82"/>
      <c r="D2" s="82"/>
      <c r="E2" s="82"/>
      <c r="F2" s="82"/>
    </row>
    <row r="3" s="2" customFormat="1" ht="19" customHeight="1" spans="6:6">
      <c r="F3" s="11" t="s">
        <v>36</v>
      </c>
    </row>
    <row r="4" s="2" customFormat="1" ht="64" customHeight="1" spans="1:6">
      <c r="A4" s="12" t="s">
        <v>3</v>
      </c>
      <c r="B4" s="13" t="s">
        <v>37</v>
      </c>
      <c r="C4" s="14" t="s">
        <v>155</v>
      </c>
      <c r="D4" s="14" t="s">
        <v>149</v>
      </c>
      <c r="E4" s="15" t="s">
        <v>91</v>
      </c>
      <c r="F4" s="14" t="s">
        <v>9</v>
      </c>
    </row>
    <row r="5" s="3" customFormat="1" ht="32" customHeight="1" spans="1:6">
      <c r="A5" s="17">
        <v>1</v>
      </c>
      <c r="B5" s="18" t="s">
        <v>28</v>
      </c>
      <c r="C5" s="24">
        <v>1460</v>
      </c>
      <c r="D5" s="20">
        <v>270</v>
      </c>
      <c r="E5" s="21">
        <f>C5*D5</f>
        <v>394200</v>
      </c>
      <c r="F5" s="27"/>
    </row>
    <row r="6" s="3" customFormat="1" ht="32" customHeight="1" spans="1:6">
      <c r="A6" s="17">
        <v>2</v>
      </c>
      <c r="B6" s="18" t="s">
        <v>55</v>
      </c>
      <c r="C6" s="24">
        <v>280</v>
      </c>
      <c r="D6" s="20">
        <v>270</v>
      </c>
      <c r="E6" s="21">
        <f t="shared" ref="E6:E19" si="0">C6*D6</f>
        <v>75600</v>
      </c>
      <c r="F6" s="27"/>
    </row>
    <row r="7" s="3" customFormat="1" ht="32" customHeight="1" spans="1:6">
      <c r="A7" s="17">
        <v>3</v>
      </c>
      <c r="B7" s="18" t="s">
        <v>57</v>
      </c>
      <c r="C7" s="24">
        <v>85</v>
      </c>
      <c r="D7" s="20">
        <v>270</v>
      </c>
      <c r="E7" s="21">
        <f t="shared" si="0"/>
        <v>22950</v>
      </c>
      <c r="F7" s="27"/>
    </row>
    <row r="8" s="3" customFormat="1" ht="32" customHeight="1" spans="1:6">
      <c r="A8" s="17">
        <v>4</v>
      </c>
      <c r="B8" s="18" t="s">
        <v>59</v>
      </c>
      <c r="C8" s="24">
        <v>498</v>
      </c>
      <c r="D8" s="20">
        <v>270</v>
      </c>
      <c r="E8" s="21">
        <f t="shared" si="0"/>
        <v>134460</v>
      </c>
      <c r="F8" s="27"/>
    </row>
    <row r="9" s="3" customFormat="1" ht="32" customHeight="1" spans="1:6">
      <c r="A9" s="17">
        <v>5</v>
      </c>
      <c r="B9" s="18" t="s">
        <v>61</v>
      </c>
      <c r="C9" s="24">
        <v>318</v>
      </c>
      <c r="D9" s="20">
        <v>270</v>
      </c>
      <c r="E9" s="21">
        <f t="shared" si="0"/>
        <v>85860</v>
      </c>
      <c r="F9" s="27"/>
    </row>
    <row r="10" s="3" customFormat="1" ht="32" customHeight="1" spans="1:6">
      <c r="A10" s="17">
        <v>6</v>
      </c>
      <c r="B10" s="18" t="s">
        <v>62</v>
      </c>
      <c r="C10" s="24">
        <v>262</v>
      </c>
      <c r="D10" s="20">
        <v>270</v>
      </c>
      <c r="E10" s="21">
        <f t="shared" si="0"/>
        <v>70740</v>
      </c>
      <c r="F10" s="27"/>
    </row>
    <row r="11" s="3" customFormat="1" ht="32" customHeight="1" spans="1:6">
      <c r="A11" s="17">
        <v>7</v>
      </c>
      <c r="B11" s="18" t="s">
        <v>63</v>
      </c>
      <c r="C11" s="24">
        <v>488</v>
      </c>
      <c r="D11" s="20">
        <v>270</v>
      </c>
      <c r="E11" s="21">
        <f t="shared" si="0"/>
        <v>131760</v>
      </c>
      <c r="F11" s="27"/>
    </row>
    <row r="12" s="3" customFormat="1" ht="32" customHeight="1" spans="1:6">
      <c r="A12" s="17">
        <v>8</v>
      </c>
      <c r="B12" s="18" t="s">
        <v>64</v>
      </c>
      <c r="C12" s="24">
        <v>708</v>
      </c>
      <c r="D12" s="20">
        <v>270</v>
      </c>
      <c r="E12" s="21">
        <f t="shared" si="0"/>
        <v>191160</v>
      </c>
      <c r="F12" s="27"/>
    </row>
    <row r="13" s="3" customFormat="1" ht="32" customHeight="1" spans="1:6">
      <c r="A13" s="17">
        <v>9</v>
      </c>
      <c r="B13" s="18" t="s">
        <v>65</v>
      </c>
      <c r="C13" s="24">
        <v>65</v>
      </c>
      <c r="D13" s="20">
        <v>270</v>
      </c>
      <c r="E13" s="21">
        <f t="shared" si="0"/>
        <v>17550</v>
      </c>
      <c r="F13" s="27"/>
    </row>
    <row r="14" s="3" customFormat="1" ht="32" customHeight="1" spans="1:6">
      <c r="A14" s="17">
        <v>10</v>
      </c>
      <c r="B14" s="18" t="s">
        <v>29</v>
      </c>
      <c r="C14" s="24">
        <v>453</v>
      </c>
      <c r="D14" s="20">
        <v>270</v>
      </c>
      <c r="E14" s="21">
        <f t="shared" si="0"/>
        <v>122310</v>
      </c>
      <c r="F14" s="27"/>
    </row>
    <row r="15" s="3" customFormat="1" ht="32" customHeight="1" spans="1:6">
      <c r="A15" s="17">
        <v>11</v>
      </c>
      <c r="B15" s="18" t="s">
        <v>30</v>
      </c>
      <c r="C15" s="24">
        <v>687</v>
      </c>
      <c r="D15" s="20">
        <v>270</v>
      </c>
      <c r="E15" s="21">
        <f t="shared" si="0"/>
        <v>185490</v>
      </c>
      <c r="F15" s="27"/>
    </row>
    <row r="16" s="3" customFormat="1" ht="32" customHeight="1" spans="1:6">
      <c r="A16" s="17">
        <v>12</v>
      </c>
      <c r="B16" s="18" t="s">
        <v>67</v>
      </c>
      <c r="C16" s="24">
        <v>547</v>
      </c>
      <c r="D16" s="20">
        <v>270</v>
      </c>
      <c r="E16" s="21">
        <f t="shared" si="0"/>
        <v>147690</v>
      </c>
      <c r="F16" s="27"/>
    </row>
    <row r="17" s="3" customFormat="1" ht="32" customHeight="1" spans="1:6">
      <c r="A17" s="17">
        <v>13</v>
      </c>
      <c r="B17" s="18" t="s">
        <v>68</v>
      </c>
      <c r="C17" s="24">
        <v>385</v>
      </c>
      <c r="D17" s="20">
        <v>270</v>
      </c>
      <c r="E17" s="21">
        <f t="shared" si="0"/>
        <v>103950</v>
      </c>
      <c r="F17" s="27"/>
    </row>
    <row r="18" s="3" customFormat="1" ht="32" customHeight="1" spans="1:6">
      <c r="A18" s="17">
        <v>14</v>
      </c>
      <c r="B18" s="22" t="s">
        <v>69</v>
      </c>
      <c r="C18" s="24">
        <v>73</v>
      </c>
      <c r="D18" s="20">
        <v>270</v>
      </c>
      <c r="E18" s="21">
        <f t="shared" si="0"/>
        <v>19710</v>
      </c>
      <c r="F18" s="27"/>
    </row>
    <row r="19" s="3" customFormat="1" ht="32" customHeight="1" spans="1:6">
      <c r="A19" s="17">
        <v>15</v>
      </c>
      <c r="B19" s="18" t="s">
        <v>26</v>
      </c>
      <c r="C19" s="24">
        <v>66</v>
      </c>
      <c r="D19" s="20">
        <v>270</v>
      </c>
      <c r="E19" s="21">
        <f t="shared" si="0"/>
        <v>17820</v>
      </c>
      <c r="F19" s="27"/>
    </row>
    <row r="20" s="3" customFormat="1" ht="32" customHeight="1" spans="1:6">
      <c r="A20" s="23"/>
      <c r="B20" s="18" t="s">
        <v>70</v>
      </c>
      <c r="C20" s="17">
        <f>SUM(C5:C19)</f>
        <v>6375</v>
      </c>
      <c r="D20" s="18"/>
      <c r="E20" s="18">
        <f>SUM(E5:E19)</f>
        <v>1721250</v>
      </c>
      <c r="F20" s="27"/>
    </row>
  </sheetData>
  <mergeCells count="1">
    <mergeCell ref="A2:F2"/>
  </mergeCells>
  <printOptions horizontalCentered="1"/>
  <pageMargins left="0.393055555555556" right="0.393055555555556" top="0.590277777777778" bottom="0.590277777777778" header="0.393055555555556" footer="0.393055555555556"/>
  <pageSetup paperSize="9" orientation="portrait" horizontalDpi="600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"/>
  <sheetViews>
    <sheetView workbookViewId="0">
      <selection activeCell="I2" sqref="I2"/>
    </sheetView>
  </sheetViews>
  <sheetFormatPr defaultColWidth="9" defaultRowHeight="14.25"/>
  <cols>
    <col min="1" max="1" width="6.5" customWidth="1"/>
    <col min="2" max="2" width="20.75" customWidth="1"/>
    <col min="3" max="3" width="13.25" customWidth="1"/>
    <col min="4" max="4" width="12.5" customWidth="1"/>
    <col min="5" max="5" width="13.875" customWidth="1"/>
    <col min="6" max="6" width="11.25" customWidth="1"/>
  </cols>
  <sheetData>
    <row r="1" s="80" customFormat="1" ht="27" customHeight="1" spans="1:4">
      <c r="A1" s="5" t="s">
        <v>156</v>
      </c>
      <c r="B1" s="81"/>
      <c r="C1" s="81"/>
      <c r="D1" s="81"/>
    </row>
    <row r="2" customFormat="1" ht="36" customHeight="1" spans="1:6">
      <c r="A2" s="82" t="s">
        <v>157</v>
      </c>
      <c r="B2" s="82"/>
      <c r="C2" s="82"/>
      <c r="D2" s="82"/>
      <c r="E2" s="82"/>
      <c r="F2" s="82"/>
    </row>
    <row r="3" s="2" customFormat="1" ht="18" customHeight="1" spans="6:6">
      <c r="F3" s="11" t="s">
        <v>36</v>
      </c>
    </row>
    <row r="4" s="2" customFormat="1" ht="64" customHeight="1" spans="1:7">
      <c r="A4" s="12" t="s">
        <v>3</v>
      </c>
      <c r="B4" s="13" t="s">
        <v>37</v>
      </c>
      <c r="C4" s="14" t="s">
        <v>158</v>
      </c>
      <c r="D4" s="14" t="s">
        <v>149</v>
      </c>
      <c r="E4" s="15" t="s">
        <v>91</v>
      </c>
      <c r="F4" s="14" t="s">
        <v>9</v>
      </c>
      <c r="G4" s="37"/>
    </row>
    <row r="5" s="3" customFormat="1" ht="32" customHeight="1" spans="1:8">
      <c r="A5" s="17">
        <v>1</v>
      </c>
      <c r="B5" s="18" t="s">
        <v>28</v>
      </c>
      <c r="C5" s="24">
        <v>305</v>
      </c>
      <c r="D5" s="20">
        <v>270</v>
      </c>
      <c r="E5" s="21">
        <f>C5*D5</f>
        <v>82350</v>
      </c>
      <c r="F5" s="27"/>
      <c r="G5" s="79"/>
      <c r="H5" s="79"/>
    </row>
    <row r="6" s="3" customFormat="1" ht="32" customHeight="1" spans="1:6">
      <c r="A6" s="17">
        <v>2</v>
      </c>
      <c r="B6" s="18" t="s">
        <v>55</v>
      </c>
      <c r="C6" s="24">
        <v>86</v>
      </c>
      <c r="D6" s="20">
        <v>270</v>
      </c>
      <c r="E6" s="21">
        <f t="shared" ref="E6:E19" si="0">C6*D6</f>
        <v>23220</v>
      </c>
      <c r="F6" s="27"/>
    </row>
    <row r="7" s="3" customFormat="1" ht="32" customHeight="1" spans="1:6">
      <c r="A7" s="17">
        <v>3</v>
      </c>
      <c r="B7" s="18" t="s">
        <v>57</v>
      </c>
      <c r="C7" s="24">
        <v>28</v>
      </c>
      <c r="D7" s="20">
        <v>270</v>
      </c>
      <c r="E7" s="21">
        <f t="shared" si="0"/>
        <v>7560</v>
      </c>
      <c r="F7" s="27"/>
    </row>
    <row r="8" s="3" customFormat="1" ht="32" customHeight="1" spans="1:6">
      <c r="A8" s="17">
        <v>4</v>
      </c>
      <c r="B8" s="18" t="s">
        <v>59</v>
      </c>
      <c r="C8" s="24">
        <v>179</v>
      </c>
      <c r="D8" s="20">
        <v>270</v>
      </c>
      <c r="E8" s="21">
        <f t="shared" si="0"/>
        <v>48330</v>
      </c>
      <c r="F8" s="27"/>
    </row>
    <row r="9" s="3" customFormat="1" ht="32" customHeight="1" spans="1:6">
      <c r="A9" s="17">
        <v>5</v>
      </c>
      <c r="B9" s="18" t="s">
        <v>61</v>
      </c>
      <c r="C9" s="24">
        <v>118</v>
      </c>
      <c r="D9" s="20">
        <v>270</v>
      </c>
      <c r="E9" s="21">
        <f t="shared" si="0"/>
        <v>31860</v>
      </c>
      <c r="F9" s="27"/>
    </row>
    <row r="10" s="3" customFormat="1" ht="32" customHeight="1" spans="1:11">
      <c r="A10" s="17">
        <v>6</v>
      </c>
      <c r="B10" s="18" t="s">
        <v>62</v>
      </c>
      <c r="C10" s="24">
        <v>82</v>
      </c>
      <c r="D10" s="20">
        <v>270</v>
      </c>
      <c r="E10" s="21">
        <f t="shared" si="0"/>
        <v>22140</v>
      </c>
      <c r="F10" s="27"/>
      <c r="K10" s="83"/>
    </row>
    <row r="11" s="3" customFormat="1" ht="32" customHeight="1" spans="1:6">
      <c r="A11" s="17">
        <v>7</v>
      </c>
      <c r="B11" s="18" t="s">
        <v>63</v>
      </c>
      <c r="C11" s="24">
        <v>136</v>
      </c>
      <c r="D11" s="20">
        <v>270</v>
      </c>
      <c r="E11" s="21">
        <f t="shared" si="0"/>
        <v>36720</v>
      </c>
      <c r="F11" s="27"/>
    </row>
    <row r="12" s="3" customFormat="1" ht="32" customHeight="1" spans="1:6">
      <c r="A12" s="17">
        <v>8</v>
      </c>
      <c r="B12" s="18" t="s">
        <v>64</v>
      </c>
      <c r="C12" s="24">
        <v>191</v>
      </c>
      <c r="D12" s="20">
        <v>270</v>
      </c>
      <c r="E12" s="21">
        <f t="shared" si="0"/>
        <v>51570</v>
      </c>
      <c r="F12" s="27"/>
    </row>
    <row r="13" s="3" customFormat="1" ht="32" customHeight="1" spans="1:6">
      <c r="A13" s="17">
        <v>9</v>
      </c>
      <c r="B13" s="18" t="s">
        <v>65</v>
      </c>
      <c r="C13" s="24">
        <v>37</v>
      </c>
      <c r="D13" s="20">
        <v>270</v>
      </c>
      <c r="E13" s="21">
        <f t="shared" si="0"/>
        <v>9990</v>
      </c>
      <c r="F13" s="27"/>
    </row>
    <row r="14" s="3" customFormat="1" ht="32" customHeight="1" spans="1:6">
      <c r="A14" s="17">
        <v>10</v>
      </c>
      <c r="B14" s="18" t="s">
        <v>29</v>
      </c>
      <c r="C14" s="24">
        <v>141</v>
      </c>
      <c r="D14" s="20">
        <v>270</v>
      </c>
      <c r="E14" s="21">
        <f t="shared" si="0"/>
        <v>38070</v>
      </c>
      <c r="F14" s="27"/>
    </row>
    <row r="15" s="3" customFormat="1" ht="32" customHeight="1" spans="1:6">
      <c r="A15" s="17">
        <v>11</v>
      </c>
      <c r="B15" s="18" t="s">
        <v>30</v>
      </c>
      <c r="C15" s="24">
        <v>222</v>
      </c>
      <c r="D15" s="20">
        <v>270</v>
      </c>
      <c r="E15" s="21">
        <f t="shared" si="0"/>
        <v>59940</v>
      </c>
      <c r="F15" s="27"/>
    </row>
    <row r="16" s="3" customFormat="1" ht="32" customHeight="1" spans="1:6">
      <c r="A16" s="17">
        <v>12</v>
      </c>
      <c r="B16" s="18" t="s">
        <v>67</v>
      </c>
      <c r="C16" s="24">
        <v>135</v>
      </c>
      <c r="D16" s="20">
        <v>270</v>
      </c>
      <c r="E16" s="21">
        <f t="shared" si="0"/>
        <v>36450</v>
      </c>
      <c r="F16" s="27"/>
    </row>
    <row r="17" s="3" customFormat="1" ht="32" customHeight="1" spans="1:6">
      <c r="A17" s="17">
        <v>13</v>
      </c>
      <c r="B17" s="18" t="s">
        <v>68</v>
      </c>
      <c r="C17" s="24">
        <v>154</v>
      </c>
      <c r="D17" s="20">
        <v>270</v>
      </c>
      <c r="E17" s="21">
        <f t="shared" si="0"/>
        <v>41580</v>
      </c>
      <c r="F17" s="27"/>
    </row>
    <row r="18" s="3" customFormat="1" ht="32" customHeight="1" spans="1:6">
      <c r="A18" s="17">
        <v>14</v>
      </c>
      <c r="B18" s="22" t="s">
        <v>69</v>
      </c>
      <c r="C18" s="24">
        <v>23</v>
      </c>
      <c r="D18" s="20">
        <v>270</v>
      </c>
      <c r="E18" s="21">
        <f t="shared" si="0"/>
        <v>6210</v>
      </c>
      <c r="F18" s="27"/>
    </row>
    <row r="19" s="3" customFormat="1" ht="32" customHeight="1" spans="1:6">
      <c r="A19" s="17">
        <v>15</v>
      </c>
      <c r="B19" s="18" t="s">
        <v>26</v>
      </c>
      <c r="C19" s="24">
        <v>18</v>
      </c>
      <c r="D19" s="20">
        <v>270</v>
      </c>
      <c r="E19" s="21">
        <f t="shared" si="0"/>
        <v>4860</v>
      </c>
      <c r="F19" s="27"/>
    </row>
    <row r="20" s="3" customFormat="1" ht="32" customHeight="1" spans="1:6">
      <c r="A20" s="23"/>
      <c r="B20" s="18" t="s">
        <v>70</v>
      </c>
      <c r="C20" s="18">
        <f>SUM(C5:C19)</f>
        <v>1855</v>
      </c>
      <c r="D20" s="18"/>
      <c r="E20" s="18">
        <f>SUM(E5:E19)</f>
        <v>500850</v>
      </c>
      <c r="F20" s="27"/>
    </row>
  </sheetData>
  <mergeCells count="1">
    <mergeCell ref="A2:F2"/>
  </mergeCells>
  <printOptions horizontalCentered="1"/>
  <pageMargins left="0.393055555555556" right="0.393055555555556" top="0.590277777777778" bottom="0.590277777777778" header="0.393055555555556" footer="0.393055555555556"/>
  <pageSetup paperSize="9" orientation="portrait" horizontalDpi="600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workbookViewId="0">
      <selection activeCell="J6" sqref="J6"/>
    </sheetView>
  </sheetViews>
  <sheetFormatPr defaultColWidth="9" defaultRowHeight="14.25"/>
  <cols>
    <col min="1" max="1" width="5.875" style="74" customWidth="1"/>
    <col min="2" max="2" width="24.875" style="74" customWidth="1"/>
    <col min="3" max="6" width="10.625" style="74" customWidth="1"/>
    <col min="7" max="7" width="11.75" style="74" customWidth="1"/>
    <col min="8" max="16384" width="9" style="74"/>
  </cols>
  <sheetData>
    <row r="1" s="72" customFormat="1" ht="25" customHeight="1" spans="1:2">
      <c r="A1" s="75" t="s">
        <v>159</v>
      </c>
      <c r="B1" s="76"/>
    </row>
    <row r="2" ht="26" customHeight="1" spans="1:7">
      <c r="A2" s="77" t="s">
        <v>160</v>
      </c>
      <c r="B2" s="77"/>
      <c r="C2" s="77"/>
      <c r="D2" s="77"/>
      <c r="E2" s="77"/>
      <c r="F2" s="77"/>
      <c r="G2" s="77"/>
    </row>
    <row r="3" s="73" customFormat="1" ht="18" customHeight="1" spans="7:7">
      <c r="G3" s="78" t="s">
        <v>36</v>
      </c>
    </row>
    <row r="4" s="73" customFormat="1" ht="31" customHeight="1" spans="1:7">
      <c r="A4" s="17" t="s">
        <v>3</v>
      </c>
      <c r="B4" s="13" t="s">
        <v>37</v>
      </c>
      <c r="C4" s="13" t="s">
        <v>161</v>
      </c>
      <c r="D4" s="13"/>
      <c r="E4" s="13" t="s">
        <v>162</v>
      </c>
      <c r="F4" s="13"/>
      <c r="G4" s="70" t="s">
        <v>98</v>
      </c>
    </row>
    <row r="5" s="73" customFormat="1" ht="79" customHeight="1" spans="1:7">
      <c r="A5" s="17"/>
      <c r="B5" s="27"/>
      <c r="C5" s="13" t="s">
        <v>163</v>
      </c>
      <c r="D5" s="13" t="s">
        <v>164</v>
      </c>
      <c r="E5" s="20" t="s">
        <v>165</v>
      </c>
      <c r="F5" s="13" t="s">
        <v>166</v>
      </c>
      <c r="G5" s="17"/>
    </row>
    <row r="6" s="73" customFormat="1" ht="33" customHeight="1" spans="1:9">
      <c r="A6" s="17">
        <v>1</v>
      </c>
      <c r="B6" s="18" t="s">
        <v>28</v>
      </c>
      <c r="C6" s="24">
        <v>18</v>
      </c>
      <c r="D6" s="18">
        <f>C6*45</f>
        <v>810</v>
      </c>
      <c r="E6" s="24">
        <v>12</v>
      </c>
      <c r="F6" s="18">
        <f>E6*105</f>
        <v>1260</v>
      </c>
      <c r="G6" s="18">
        <f>D6+F6</f>
        <v>2070</v>
      </c>
      <c r="H6" s="79"/>
      <c r="I6" s="79"/>
    </row>
    <row r="7" s="73" customFormat="1" ht="33" customHeight="1" spans="1:9">
      <c r="A7" s="17">
        <v>2</v>
      </c>
      <c r="B7" s="18" t="s">
        <v>55</v>
      </c>
      <c r="C7" s="24">
        <v>6</v>
      </c>
      <c r="D7" s="18">
        <f t="shared" ref="D7:D20" si="0">C7*45</f>
        <v>270</v>
      </c>
      <c r="E7" s="24">
        <v>5</v>
      </c>
      <c r="F7" s="18">
        <f t="shared" ref="F7:F20" si="1">E7*105</f>
        <v>525</v>
      </c>
      <c r="G7" s="18">
        <f t="shared" ref="G7:G20" si="2">D7+F7</f>
        <v>795</v>
      </c>
      <c r="H7" s="79"/>
      <c r="I7" s="79"/>
    </row>
    <row r="8" s="73" customFormat="1" ht="33" customHeight="1" spans="1:7">
      <c r="A8" s="17">
        <v>3</v>
      </c>
      <c r="B8" s="18" t="s">
        <v>57</v>
      </c>
      <c r="C8" s="24">
        <v>1</v>
      </c>
      <c r="D8" s="18">
        <f t="shared" si="0"/>
        <v>45</v>
      </c>
      <c r="E8" s="24">
        <v>1</v>
      </c>
      <c r="F8" s="18">
        <f t="shared" si="1"/>
        <v>105</v>
      </c>
      <c r="G8" s="18">
        <f t="shared" si="2"/>
        <v>150</v>
      </c>
    </row>
    <row r="9" s="73" customFormat="1" ht="33" customHeight="1" spans="1:7">
      <c r="A9" s="17">
        <v>4</v>
      </c>
      <c r="B9" s="18" t="s">
        <v>59</v>
      </c>
      <c r="C9" s="24">
        <v>8</v>
      </c>
      <c r="D9" s="18">
        <f t="shared" si="0"/>
        <v>360</v>
      </c>
      <c r="E9" s="24">
        <v>3</v>
      </c>
      <c r="F9" s="18">
        <f t="shared" si="1"/>
        <v>315</v>
      </c>
      <c r="G9" s="18">
        <f t="shared" si="2"/>
        <v>675</v>
      </c>
    </row>
    <row r="10" s="73" customFormat="1" ht="33" customHeight="1" spans="1:7">
      <c r="A10" s="17">
        <v>5</v>
      </c>
      <c r="B10" s="18" t="s">
        <v>61</v>
      </c>
      <c r="C10" s="24">
        <v>5</v>
      </c>
      <c r="D10" s="18">
        <f t="shared" si="0"/>
        <v>225</v>
      </c>
      <c r="E10" s="24">
        <v>5</v>
      </c>
      <c r="F10" s="18">
        <f t="shared" si="1"/>
        <v>525</v>
      </c>
      <c r="G10" s="18">
        <f t="shared" si="2"/>
        <v>750</v>
      </c>
    </row>
    <row r="11" s="73" customFormat="1" ht="33" customHeight="1" spans="1:7">
      <c r="A11" s="17">
        <v>6</v>
      </c>
      <c r="B11" s="18" t="s">
        <v>62</v>
      </c>
      <c r="C11" s="24">
        <v>4</v>
      </c>
      <c r="D11" s="18">
        <f t="shared" si="0"/>
        <v>180</v>
      </c>
      <c r="E11" s="24">
        <v>5</v>
      </c>
      <c r="F11" s="18">
        <f t="shared" si="1"/>
        <v>525</v>
      </c>
      <c r="G11" s="18">
        <f t="shared" si="2"/>
        <v>705</v>
      </c>
    </row>
    <row r="12" s="73" customFormat="1" ht="33" customHeight="1" spans="1:7">
      <c r="A12" s="17">
        <v>7</v>
      </c>
      <c r="B12" s="18" t="s">
        <v>63</v>
      </c>
      <c r="C12" s="24">
        <v>7</v>
      </c>
      <c r="D12" s="18">
        <f t="shared" si="0"/>
        <v>315</v>
      </c>
      <c r="E12" s="24">
        <v>2</v>
      </c>
      <c r="F12" s="18">
        <f t="shared" si="1"/>
        <v>210</v>
      </c>
      <c r="G12" s="18">
        <f t="shared" si="2"/>
        <v>525</v>
      </c>
    </row>
    <row r="13" s="73" customFormat="1" ht="33" customHeight="1" spans="1:7">
      <c r="A13" s="17">
        <v>8</v>
      </c>
      <c r="B13" s="18" t="s">
        <v>64</v>
      </c>
      <c r="C13" s="24">
        <v>8</v>
      </c>
      <c r="D13" s="18">
        <f t="shared" si="0"/>
        <v>360</v>
      </c>
      <c r="E13" s="24">
        <v>9</v>
      </c>
      <c r="F13" s="18">
        <f t="shared" si="1"/>
        <v>945</v>
      </c>
      <c r="G13" s="18">
        <f t="shared" si="2"/>
        <v>1305</v>
      </c>
    </row>
    <row r="14" s="73" customFormat="1" ht="33" customHeight="1" spans="1:7">
      <c r="A14" s="17">
        <v>9</v>
      </c>
      <c r="B14" s="18" t="s">
        <v>65</v>
      </c>
      <c r="C14" s="24">
        <v>2</v>
      </c>
      <c r="D14" s="18">
        <f t="shared" si="0"/>
        <v>90</v>
      </c>
      <c r="E14" s="24">
        <v>2</v>
      </c>
      <c r="F14" s="18">
        <f t="shared" si="1"/>
        <v>210</v>
      </c>
      <c r="G14" s="18">
        <f t="shared" si="2"/>
        <v>300</v>
      </c>
    </row>
    <row r="15" s="73" customFormat="1" ht="33" customHeight="1" spans="1:7">
      <c r="A15" s="17">
        <v>10</v>
      </c>
      <c r="B15" s="18" t="s">
        <v>29</v>
      </c>
      <c r="C15" s="24">
        <v>6</v>
      </c>
      <c r="D15" s="18">
        <f t="shared" si="0"/>
        <v>270</v>
      </c>
      <c r="E15" s="24">
        <v>8</v>
      </c>
      <c r="F15" s="18">
        <f t="shared" si="1"/>
        <v>840</v>
      </c>
      <c r="G15" s="18">
        <f t="shared" si="2"/>
        <v>1110</v>
      </c>
    </row>
    <row r="16" s="73" customFormat="1" ht="33" customHeight="1" spans="1:7">
      <c r="A16" s="17">
        <v>11</v>
      </c>
      <c r="B16" s="18" t="s">
        <v>30</v>
      </c>
      <c r="C16" s="24">
        <v>13</v>
      </c>
      <c r="D16" s="18">
        <f t="shared" si="0"/>
        <v>585</v>
      </c>
      <c r="E16" s="24">
        <v>13</v>
      </c>
      <c r="F16" s="18">
        <f t="shared" si="1"/>
        <v>1365</v>
      </c>
      <c r="G16" s="18">
        <f t="shared" si="2"/>
        <v>1950</v>
      </c>
    </row>
    <row r="17" s="73" customFormat="1" ht="33" customHeight="1" spans="1:7">
      <c r="A17" s="17">
        <v>12</v>
      </c>
      <c r="B17" s="18" t="s">
        <v>67</v>
      </c>
      <c r="C17" s="24">
        <v>9</v>
      </c>
      <c r="D17" s="18">
        <f t="shared" si="0"/>
        <v>405</v>
      </c>
      <c r="E17" s="24">
        <v>12</v>
      </c>
      <c r="F17" s="18">
        <f t="shared" si="1"/>
        <v>1260</v>
      </c>
      <c r="G17" s="18">
        <f t="shared" si="2"/>
        <v>1665</v>
      </c>
    </row>
    <row r="18" s="73" customFormat="1" ht="33" customHeight="1" spans="1:7">
      <c r="A18" s="17">
        <v>13</v>
      </c>
      <c r="B18" s="18" t="s">
        <v>68</v>
      </c>
      <c r="C18" s="24">
        <v>15</v>
      </c>
      <c r="D18" s="18">
        <f t="shared" si="0"/>
        <v>675</v>
      </c>
      <c r="E18" s="24">
        <v>8</v>
      </c>
      <c r="F18" s="18">
        <f t="shared" si="1"/>
        <v>840</v>
      </c>
      <c r="G18" s="18">
        <f t="shared" si="2"/>
        <v>1515</v>
      </c>
    </row>
    <row r="19" s="73" customFormat="1" ht="33" customHeight="1" spans="1:7">
      <c r="A19" s="17">
        <v>14</v>
      </c>
      <c r="B19" s="18" t="s">
        <v>69</v>
      </c>
      <c r="C19" s="24">
        <v>0</v>
      </c>
      <c r="D19" s="18">
        <f t="shared" si="0"/>
        <v>0</v>
      </c>
      <c r="E19" s="24">
        <v>0</v>
      </c>
      <c r="F19" s="18">
        <f t="shared" si="1"/>
        <v>0</v>
      </c>
      <c r="G19" s="18">
        <f t="shared" si="2"/>
        <v>0</v>
      </c>
    </row>
    <row r="20" s="73" customFormat="1" ht="33" customHeight="1" spans="1:7">
      <c r="A20" s="17">
        <v>15</v>
      </c>
      <c r="B20" s="18" t="s">
        <v>26</v>
      </c>
      <c r="C20" s="24">
        <v>2</v>
      </c>
      <c r="D20" s="18">
        <f t="shared" si="0"/>
        <v>90</v>
      </c>
      <c r="E20" s="24">
        <v>2</v>
      </c>
      <c r="F20" s="18">
        <f t="shared" si="1"/>
        <v>210</v>
      </c>
      <c r="G20" s="18">
        <f t="shared" si="2"/>
        <v>300</v>
      </c>
    </row>
    <row r="21" s="73" customFormat="1" ht="33" customHeight="1" spans="1:7">
      <c r="A21" s="71"/>
      <c r="B21" s="18" t="s">
        <v>70</v>
      </c>
      <c r="C21" s="18">
        <f>SUM(C6:C20)</f>
        <v>104</v>
      </c>
      <c r="D21" s="18">
        <f>SUM(D6:D20)</f>
        <v>4680</v>
      </c>
      <c r="E21" s="18">
        <f>SUM(E6:E20)</f>
        <v>87</v>
      </c>
      <c r="F21" s="18">
        <f>SUM(F6:F20)</f>
        <v>9135</v>
      </c>
      <c r="G21" s="18">
        <f>SUM(G6:G20)</f>
        <v>13815</v>
      </c>
    </row>
  </sheetData>
  <mergeCells count="6">
    <mergeCell ref="A2:G2"/>
    <mergeCell ref="C4:D4"/>
    <mergeCell ref="E4:F4"/>
    <mergeCell ref="A4:A5"/>
    <mergeCell ref="B4:B5"/>
    <mergeCell ref="G4:G5"/>
  </mergeCells>
  <printOptions horizontalCentered="1"/>
  <pageMargins left="0.393055555555556" right="0.393055555555556" top="0.590277777777778" bottom="0.590277777777778" header="0.393055555555556" footer="0.393055555555556"/>
  <pageSetup paperSize="9" orientation="portrait" horizontalDpi="600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workbookViewId="0">
      <selection activeCell="H3" sqref="H3"/>
    </sheetView>
  </sheetViews>
  <sheetFormatPr defaultColWidth="9" defaultRowHeight="14.25"/>
  <cols>
    <col min="1" max="1" width="5.125" customWidth="1"/>
    <col min="2" max="2" width="26" customWidth="1"/>
    <col min="3" max="3" width="8.625" customWidth="1"/>
    <col min="4" max="4" width="9.625" customWidth="1"/>
    <col min="5" max="7" width="8.625" customWidth="1"/>
    <col min="8" max="8" width="10.75" customWidth="1"/>
  </cols>
  <sheetData>
    <row r="1" ht="24" customHeight="1" spans="1:1">
      <c r="A1" s="5" t="s">
        <v>167</v>
      </c>
    </row>
    <row r="2" ht="28" customHeight="1" spans="1:8">
      <c r="A2" s="8" t="s">
        <v>168</v>
      </c>
      <c r="B2" s="8"/>
      <c r="C2" s="8"/>
      <c r="D2" s="8"/>
      <c r="E2" s="8"/>
      <c r="F2" s="8"/>
      <c r="G2" s="8"/>
      <c r="H2" s="8"/>
    </row>
    <row r="3" s="2" customFormat="1" ht="17" customHeight="1" spans="8:8">
      <c r="H3" s="11" t="s">
        <v>36</v>
      </c>
    </row>
    <row r="4" s="2" customFormat="1" ht="30" customHeight="1" spans="1:8">
      <c r="A4" s="17" t="s">
        <v>3</v>
      </c>
      <c r="B4" s="13" t="s">
        <v>37</v>
      </c>
      <c r="C4" s="13" t="s">
        <v>169</v>
      </c>
      <c r="D4" s="13"/>
      <c r="E4" s="13"/>
      <c r="F4" s="13" t="s">
        <v>170</v>
      </c>
      <c r="G4" s="13"/>
      <c r="H4" s="70" t="s">
        <v>98</v>
      </c>
    </row>
    <row r="5" s="2" customFormat="1" ht="87" customHeight="1" spans="1:8">
      <c r="A5" s="17"/>
      <c r="B5" s="27"/>
      <c r="C5" s="13" t="s">
        <v>171</v>
      </c>
      <c r="D5" s="13" t="s">
        <v>172</v>
      </c>
      <c r="E5" s="13" t="s">
        <v>173</v>
      </c>
      <c r="F5" s="13" t="s">
        <v>174</v>
      </c>
      <c r="G5" s="13" t="s">
        <v>173</v>
      </c>
      <c r="H5" s="17"/>
    </row>
    <row r="6" s="2" customFormat="1" ht="33" customHeight="1" spans="1:8">
      <c r="A6" s="17">
        <v>1</v>
      </c>
      <c r="B6" s="18" t="s">
        <v>28</v>
      </c>
      <c r="C6" s="24">
        <v>1550</v>
      </c>
      <c r="D6" s="18">
        <f>C6*2</f>
        <v>3100</v>
      </c>
      <c r="E6" s="18">
        <f>D6*30</f>
        <v>93000</v>
      </c>
      <c r="F6" s="24">
        <v>4937</v>
      </c>
      <c r="G6" s="18">
        <f>F6*30</f>
        <v>148110</v>
      </c>
      <c r="H6" s="18">
        <f>E6+G6</f>
        <v>241110</v>
      </c>
    </row>
    <row r="7" s="2" customFormat="1" ht="33" customHeight="1" spans="1:8">
      <c r="A7" s="17">
        <v>2</v>
      </c>
      <c r="B7" s="18" t="s">
        <v>55</v>
      </c>
      <c r="C7" s="24">
        <v>335</v>
      </c>
      <c r="D7" s="18">
        <f t="shared" ref="D7:D21" si="0">C7*2</f>
        <v>670</v>
      </c>
      <c r="E7" s="18">
        <f t="shared" ref="E7:E20" si="1">D7*30</f>
        <v>20100</v>
      </c>
      <c r="F7" s="24">
        <v>1028</v>
      </c>
      <c r="G7" s="18">
        <f t="shared" ref="G7:G20" si="2">F7*30</f>
        <v>30840</v>
      </c>
      <c r="H7" s="18">
        <f t="shared" ref="H7:H20" si="3">E7+G7</f>
        <v>50940</v>
      </c>
    </row>
    <row r="8" s="2" customFormat="1" ht="33" customHeight="1" spans="1:8">
      <c r="A8" s="17">
        <v>3</v>
      </c>
      <c r="B8" s="18" t="s">
        <v>57</v>
      </c>
      <c r="C8" s="24">
        <v>133</v>
      </c>
      <c r="D8" s="18">
        <f t="shared" si="0"/>
        <v>266</v>
      </c>
      <c r="E8" s="18">
        <f t="shared" si="1"/>
        <v>7980</v>
      </c>
      <c r="F8" s="24">
        <v>300</v>
      </c>
      <c r="G8" s="18">
        <f t="shared" si="2"/>
        <v>9000</v>
      </c>
      <c r="H8" s="18">
        <f t="shared" si="3"/>
        <v>16980</v>
      </c>
    </row>
    <row r="9" s="2" customFormat="1" ht="33" customHeight="1" spans="1:8">
      <c r="A9" s="17">
        <v>4</v>
      </c>
      <c r="B9" s="18" t="s">
        <v>59</v>
      </c>
      <c r="C9" s="24">
        <v>721</v>
      </c>
      <c r="D9" s="18">
        <f t="shared" si="0"/>
        <v>1442</v>
      </c>
      <c r="E9" s="18">
        <f t="shared" si="1"/>
        <v>43260</v>
      </c>
      <c r="F9" s="24">
        <v>2045</v>
      </c>
      <c r="G9" s="18">
        <f t="shared" si="2"/>
        <v>61350</v>
      </c>
      <c r="H9" s="18">
        <f t="shared" si="3"/>
        <v>104610</v>
      </c>
    </row>
    <row r="10" s="2" customFormat="1" ht="33" customHeight="1" spans="1:8">
      <c r="A10" s="17">
        <v>5</v>
      </c>
      <c r="B10" s="18" t="s">
        <v>61</v>
      </c>
      <c r="C10" s="24">
        <v>475</v>
      </c>
      <c r="D10" s="18">
        <f t="shared" si="0"/>
        <v>950</v>
      </c>
      <c r="E10" s="18">
        <f t="shared" si="1"/>
        <v>28500</v>
      </c>
      <c r="F10" s="24">
        <v>1283</v>
      </c>
      <c r="G10" s="18">
        <f t="shared" si="2"/>
        <v>38490</v>
      </c>
      <c r="H10" s="18">
        <f t="shared" si="3"/>
        <v>66990</v>
      </c>
    </row>
    <row r="11" s="2" customFormat="1" ht="33" customHeight="1" spans="1:8">
      <c r="A11" s="17">
        <v>6</v>
      </c>
      <c r="B11" s="18" t="s">
        <v>62</v>
      </c>
      <c r="C11" s="24">
        <v>271</v>
      </c>
      <c r="D11" s="18">
        <f t="shared" si="0"/>
        <v>542</v>
      </c>
      <c r="E11" s="18">
        <f t="shared" si="1"/>
        <v>16260</v>
      </c>
      <c r="F11" s="24">
        <v>944</v>
      </c>
      <c r="G11" s="18">
        <f t="shared" si="2"/>
        <v>28320</v>
      </c>
      <c r="H11" s="18">
        <f t="shared" si="3"/>
        <v>44580</v>
      </c>
    </row>
    <row r="12" s="2" customFormat="1" ht="33" customHeight="1" spans="1:8">
      <c r="A12" s="17">
        <v>7</v>
      </c>
      <c r="B12" s="18" t="s">
        <v>63</v>
      </c>
      <c r="C12" s="24">
        <v>458</v>
      </c>
      <c r="D12" s="18">
        <f t="shared" si="0"/>
        <v>916</v>
      </c>
      <c r="E12" s="18">
        <f t="shared" si="1"/>
        <v>27480</v>
      </c>
      <c r="F12" s="24">
        <v>1878</v>
      </c>
      <c r="G12" s="18">
        <f t="shared" si="2"/>
        <v>56340</v>
      </c>
      <c r="H12" s="18">
        <f t="shared" si="3"/>
        <v>83820</v>
      </c>
    </row>
    <row r="13" s="2" customFormat="1" ht="33" customHeight="1" spans="1:8">
      <c r="A13" s="17">
        <v>8</v>
      </c>
      <c r="B13" s="18" t="s">
        <v>64</v>
      </c>
      <c r="C13" s="24">
        <v>995</v>
      </c>
      <c r="D13" s="18">
        <f t="shared" si="0"/>
        <v>1990</v>
      </c>
      <c r="E13" s="18">
        <f t="shared" si="1"/>
        <v>59700</v>
      </c>
      <c r="F13" s="24">
        <v>2727</v>
      </c>
      <c r="G13" s="18">
        <f t="shared" si="2"/>
        <v>81810</v>
      </c>
      <c r="H13" s="18">
        <f t="shared" si="3"/>
        <v>141510</v>
      </c>
    </row>
    <row r="14" s="2" customFormat="1" ht="33" customHeight="1" spans="1:8">
      <c r="A14" s="17">
        <v>9</v>
      </c>
      <c r="B14" s="18" t="s">
        <v>65</v>
      </c>
      <c r="C14" s="24">
        <v>187</v>
      </c>
      <c r="D14" s="18">
        <f t="shared" si="0"/>
        <v>374</v>
      </c>
      <c r="E14" s="18">
        <f t="shared" si="1"/>
        <v>11220</v>
      </c>
      <c r="F14" s="24">
        <v>507</v>
      </c>
      <c r="G14" s="18">
        <f t="shared" si="2"/>
        <v>15210</v>
      </c>
      <c r="H14" s="18">
        <f t="shared" si="3"/>
        <v>26430</v>
      </c>
    </row>
    <row r="15" s="2" customFormat="1" ht="33" customHeight="1" spans="1:8">
      <c r="A15" s="17">
        <v>10</v>
      </c>
      <c r="B15" s="18" t="s">
        <v>29</v>
      </c>
      <c r="C15" s="24">
        <v>606</v>
      </c>
      <c r="D15" s="18">
        <f t="shared" si="0"/>
        <v>1212</v>
      </c>
      <c r="E15" s="18">
        <f t="shared" si="1"/>
        <v>36360</v>
      </c>
      <c r="F15" s="24">
        <v>1778</v>
      </c>
      <c r="G15" s="18">
        <f t="shared" si="2"/>
        <v>53340</v>
      </c>
      <c r="H15" s="18">
        <f t="shared" si="3"/>
        <v>89700</v>
      </c>
    </row>
    <row r="16" s="2" customFormat="1" ht="33" customHeight="1" spans="1:8">
      <c r="A16" s="17">
        <v>11</v>
      </c>
      <c r="B16" s="18" t="s">
        <v>30</v>
      </c>
      <c r="C16" s="24">
        <v>731</v>
      </c>
      <c r="D16" s="18">
        <f t="shared" si="0"/>
        <v>1462</v>
      </c>
      <c r="E16" s="18">
        <f t="shared" si="1"/>
        <v>43860</v>
      </c>
      <c r="F16" s="24">
        <v>2550</v>
      </c>
      <c r="G16" s="18">
        <f t="shared" si="2"/>
        <v>76500</v>
      </c>
      <c r="H16" s="18">
        <f t="shared" si="3"/>
        <v>120360</v>
      </c>
    </row>
    <row r="17" s="2" customFormat="1" ht="33" customHeight="1" spans="1:8">
      <c r="A17" s="17">
        <v>12</v>
      </c>
      <c r="B17" s="18" t="s">
        <v>67</v>
      </c>
      <c r="C17" s="24">
        <v>591</v>
      </c>
      <c r="D17" s="18">
        <f t="shared" si="0"/>
        <v>1182</v>
      </c>
      <c r="E17" s="18">
        <f t="shared" si="1"/>
        <v>35460</v>
      </c>
      <c r="F17" s="24">
        <v>2412</v>
      </c>
      <c r="G17" s="18">
        <f t="shared" si="2"/>
        <v>72360</v>
      </c>
      <c r="H17" s="18">
        <f t="shared" si="3"/>
        <v>107820</v>
      </c>
    </row>
    <row r="18" s="2" customFormat="1" ht="33" customHeight="1" spans="1:8">
      <c r="A18" s="17">
        <v>13</v>
      </c>
      <c r="B18" s="18" t="s">
        <v>68</v>
      </c>
      <c r="C18" s="24">
        <v>389</v>
      </c>
      <c r="D18" s="18">
        <f t="shared" si="0"/>
        <v>778</v>
      </c>
      <c r="E18" s="18">
        <f t="shared" si="1"/>
        <v>23340</v>
      </c>
      <c r="F18" s="24">
        <v>1936</v>
      </c>
      <c r="G18" s="18">
        <f t="shared" si="2"/>
        <v>58080</v>
      </c>
      <c r="H18" s="18">
        <f t="shared" si="3"/>
        <v>81420</v>
      </c>
    </row>
    <row r="19" s="2" customFormat="1" ht="33" customHeight="1" spans="1:8">
      <c r="A19" s="17">
        <v>14</v>
      </c>
      <c r="B19" s="22" t="s">
        <v>69</v>
      </c>
      <c r="C19" s="24">
        <v>54</v>
      </c>
      <c r="D19" s="18">
        <f t="shared" si="0"/>
        <v>108</v>
      </c>
      <c r="E19" s="18">
        <f t="shared" si="1"/>
        <v>3240</v>
      </c>
      <c r="F19" s="24">
        <v>288</v>
      </c>
      <c r="G19" s="18">
        <f t="shared" si="2"/>
        <v>8640</v>
      </c>
      <c r="H19" s="18">
        <f t="shared" si="3"/>
        <v>11880</v>
      </c>
    </row>
    <row r="20" s="2" customFormat="1" ht="33" customHeight="1" spans="1:8">
      <c r="A20" s="17">
        <v>15</v>
      </c>
      <c r="B20" s="18" t="s">
        <v>26</v>
      </c>
      <c r="C20" s="24">
        <v>53</v>
      </c>
      <c r="D20" s="18">
        <f t="shared" si="0"/>
        <v>106</v>
      </c>
      <c r="E20" s="18">
        <f t="shared" si="1"/>
        <v>3180</v>
      </c>
      <c r="F20" s="24">
        <v>262</v>
      </c>
      <c r="G20" s="18">
        <f t="shared" si="2"/>
        <v>7860</v>
      </c>
      <c r="H20" s="18">
        <f t="shared" si="3"/>
        <v>11040</v>
      </c>
    </row>
    <row r="21" s="2" customFormat="1" ht="33" customHeight="1" spans="1:8">
      <c r="A21" s="71"/>
      <c r="B21" s="18" t="s">
        <v>70</v>
      </c>
      <c r="C21" s="18">
        <f t="shared" ref="C21:H21" si="4">SUM(C6:C20)</f>
        <v>7549</v>
      </c>
      <c r="D21" s="18">
        <f t="shared" si="4"/>
        <v>15098</v>
      </c>
      <c r="E21" s="18">
        <f t="shared" si="4"/>
        <v>452940</v>
      </c>
      <c r="F21" s="18">
        <f t="shared" si="4"/>
        <v>24875</v>
      </c>
      <c r="G21" s="18">
        <f t="shared" si="4"/>
        <v>746250</v>
      </c>
      <c r="H21" s="18">
        <f t="shared" si="4"/>
        <v>1199190</v>
      </c>
    </row>
  </sheetData>
  <mergeCells count="7">
    <mergeCell ref="A2:H2"/>
    <mergeCell ref="C4:E4"/>
    <mergeCell ref="F4:G4"/>
    <mergeCell ref="A4:A5"/>
    <mergeCell ref="B4:B5"/>
    <mergeCell ref="H4:H5"/>
    <mergeCell ref="I4:I5"/>
  </mergeCells>
  <printOptions horizontalCentered="1"/>
  <pageMargins left="0.393055555555556" right="0.393055555555556" top="0.590277777777778" bottom="0.590277777777778" header="0.393055555555556" footer="0.393055555555556"/>
  <pageSetup paperSize="9" orientation="portrait" horizontalDpi="600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workbookViewId="0">
      <selection activeCell="H3" sqref="H3"/>
    </sheetView>
  </sheetViews>
  <sheetFormatPr defaultColWidth="9" defaultRowHeight="14.25"/>
  <cols>
    <col min="1" max="1" width="6.5" customWidth="1"/>
    <col min="2" max="2" width="21.5" customWidth="1"/>
    <col min="3" max="4" width="7.625" customWidth="1"/>
    <col min="5" max="5" width="6.375" customWidth="1"/>
    <col min="6" max="7" width="13" customWidth="1"/>
    <col min="8" max="8" width="10.9" customWidth="1"/>
  </cols>
  <sheetData>
    <row r="1" ht="26" customHeight="1" spans="1:7">
      <c r="A1" s="5" t="s">
        <v>175</v>
      </c>
      <c r="B1" s="67"/>
      <c r="C1" s="67"/>
      <c r="D1" s="67"/>
      <c r="E1" s="67"/>
      <c r="F1" s="67"/>
      <c r="G1" s="67"/>
    </row>
    <row r="2" ht="49" customHeight="1" spans="1:8">
      <c r="A2" s="68" t="s">
        <v>176</v>
      </c>
      <c r="B2" s="68"/>
      <c r="C2" s="68"/>
      <c r="D2" s="68"/>
      <c r="E2" s="68"/>
      <c r="F2" s="68"/>
      <c r="G2" s="68"/>
      <c r="H2" s="68"/>
    </row>
    <row r="3" s="2" customFormat="1" ht="18" customHeight="1" spans="8:8">
      <c r="H3" s="11" t="s">
        <v>36</v>
      </c>
    </row>
    <row r="4" s="2" customFormat="1" ht="26" customHeight="1" spans="1:9">
      <c r="A4" s="12" t="s">
        <v>3</v>
      </c>
      <c r="B4" s="59" t="s">
        <v>37</v>
      </c>
      <c r="C4" s="60" t="s">
        <v>38</v>
      </c>
      <c r="D4" s="61"/>
      <c r="E4" s="62"/>
      <c r="F4" s="13" t="s">
        <v>177</v>
      </c>
      <c r="G4" s="13"/>
      <c r="H4" s="15" t="s">
        <v>91</v>
      </c>
      <c r="I4" s="37"/>
    </row>
    <row r="5" s="2" customFormat="1" ht="59" customHeight="1" spans="1:9">
      <c r="A5" s="64"/>
      <c r="B5" s="65"/>
      <c r="C5" s="69" t="s">
        <v>41</v>
      </c>
      <c r="D5" s="69" t="s">
        <v>42</v>
      </c>
      <c r="E5" s="69" t="s">
        <v>43</v>
      </c>
      <c r="F5" s="13" t="s">
        <v>178</v>
      </c>
      <c r="G5" s="13" t="s">
        <v>179</v>
      </c>
      <c r="H5" s="66"/>
      <c r="I5" s="37"/>
    </row>
    <row r="6" s="3" customFormat="1" ht="32" customHeight="1" spans="1:8">
      <c r="A6" s="17">
        <v>1</v>
      </c>
      <c r="B6" s="18" t="s">
        <v>28</v>
      </c>
      <c r="C6" s="18">
        <v>2</v>
      </c>
      <c r="D6" s="18">
        <v>16</v>
      </c>
      <c r="E6" s="18">
        <f t="shared" ref="E6:E17" si="0">C6+D6</f>
        <v>18</v>
      </c>
      <c r="F6" s="18">
        <v>15000</v>
      </c>
      <c r="G6" s="18">
        <f>E6*1000</f>
        <v>18000</v>
      </c>
      <c r="H6" s="21">
        <f>F6+G6</f>
        <v>33000</v>
      </c>
    </row>
    <row r="7" s="3" customFormat="1" ht="32" customHeight="1" spans="1:8">
      <c r="A7" s="17">
        <v>2</v>
      </c>
      <c r="B7" s="18" t="s">
        <v>55</v>
      </c>
      <c r="C7" s="18">
        <v>8</v>
      </c>
      <c r="D7" s="18">
        <v>3</v>
      </c>
      <c r="E7" s="18">
        <f t="shared" si="0"/>
        <v>11</v>
      </c>
      <c r="F7" s="18">
        <v>15000</v>
      </c>
      <c r="G7" s="18">
        <f t="shared" ref="G7:G20" si="1">E7*1000</f>
        <v>11000</v>
      </c>
      <c r="H7" s="21">
        <f t="shared" ref="H7:H20" si="2">F7+G7</f>
        <v>26000</v>
      </c>
    </row>
    <row r="8" s="3" customFormat="1" ht="32" customHeight="1" spans="1:8">
      <c r="A8" s="17">
        <v>3</v>
      </c>
      <c r="B8" s="18" t="s">
        <v>57</v>
      </c>
      <c r="C8" s="18">
        <v>1</v>
      </c>
      <c r="D8" s="18">
        <v>6</v>
      </c>
      <c r="E8" s="18">
        <f t="shared" si="0"/>
        <v>7</v>
      </c>
      <c r="F8" s="18">
        <v>15000</v>
      </c>
      <c r="G8" s="18">
        <f t="shared" si="1"/>
        <v>7000</v>
      </c>
      <c r="H8" s="21">
        <f t="shared" si="2"/>
        <v>22000</v>
      </c>
    </row>
    <row r="9" s="3" customFormat="1" ht="32" customHeight="1" spans="1:8">
      <c r="A9" s="17">
        <v>4</v>
      </c>
      <c r="B9" s="18" t="s">
        <v>59</v>
      </c>
      <c r="C9" s="18">
        <v>8</v>
      </c>
      <c r="D9" s="18">
        <v>10</v>
      </c>
      <c r="E9" s="18">
        <f t="shared" si="0"/>
        <v>18</v>
      </c>
      <c r="F9" s="18">
        <v>15000</v>
      </c>
      <c r="G9" s="18">
        <f t="shared" si="1"/>
        <v>18000</v>
      </c>
      <c r="H9" s="21">
        <f t="shared" si="2"/>
        <v>33000</v>
      </c>
    </row>
    <row r="10" s="3" customFormat="1" ht="32" customHeight="1" spans="1:8">
      <c r="A10" s="17">
        <v>5</v>
      </c>
      <c r="B10" s="18" t="s">
        <v>61</v>
      </c>
      <c r="C10" s="18">
        <v>9</v>
      </c>
      <c r="D10" s="18">
        <v>5</v>
      </c>
      <c r="E10" s="18">
        <f t="shared" si="0"/>
        <v>14</v>
      </c>
      <c r="F10" s="18">
        <v>15000</v>
      </c>
      <c r="G10" s="18">
        <f t="shared" si="1"/>
        <v>14000</v>
      </c>
      <c r="H10" s="21">
        <f t="shared" si="2"/>
        <v>29000</v>
      </c>
    </row>
    <row r="11" s="3" customFormat="1" ht="32" customHeight="1" spans="1:8">
      <c r="A11" s="17">
        <v>6</v>
      </c>
      <c r="B11" s="18" t="s">
        <v>62</v>
      </c>
      <c r="C11" s="18">
        <v>8</v>
      </c>
      <c r="D11" s="18">
        <v>2</v>
      </c>
      <c r="E11" s="18">
        <f t="shared" si="0"/>
        <v>10</v>
      </c>
      <c r="F11" s="18">
        <v>15000</v>
      </c>
      <c r="G11" s="18">
        <f t="shared" si="1"/>
        <v>10000</v>
      </c>
      <c r="H11" s="21">
        <f t="shared" si="2"/>
        <v>25000</v>
      </c>
    </row>
    <row r="12" s="3" customFormat="1" ht="32" customHeight="1" spans="1:8">
      <c r="A12" s="17">
        <v>7</v>
      </c>
      <c r="B12" s="18" t="s">
        <v>63</v>
      </c>
      <c r="C12" s="18">
        <v>13</v>
      </c>
      <c r="D12" s="18">
        <v>5</v>
      </c>
      <c r="E12" s="18">
        <f t="shared" si="0"/>
        <v>18</v>
      </c>
      <c r="F12" s="18">
        <v>15000</v>
      </c>
      <c r="G12" s="18">
        <f t="shared" si="1"/>
        <v>18000</v>
      </c>
      <c r="H12" s="21">
        <f t="shared" si="2"/>
        <v>33000</v>
      </c>
    </row>
    <row r="13" s="3" customFormat="1" ht="32" customHeight="1" spans="1:8">
      <c r="A13" s="17">
        <v>8</v>
      </c>
      <c r="B13" s="18" t="s">
        <v>64</v>
      </c>
      <c r="C13" s="18">
        <v>20</v>
      </c>
      <c r="D13" s="18">
        <v>6</v>
      </c>
      <c r="E13" s="18">
        <f t="shared" si="0"/>
        <v>26</v>
      </c>
      <c r="F13" s="18">
        <v>15000</v>
      </c>
      <c r="G13" s="18">
        <f t="shared" si="1"/>
        <v>26000</v>
      </c>
      <c r="H13" s="21">
        <f t="shared" si="2"/>
        <v>41000</v>
      </c>
    </row>
    <row r="14" s="3" customFormat="1" ht="32" customHeight="1" spans="1:8">
      <c r="A14" s="17">
        <v>9</v>
      </c>
      <c r="B14" s="18" t="s">
        <v>65</v>
      </c>
      <c r="C14" s="18">
        <v>1</v>
      </c>
      <c r="D14" s="18">
        <v>7</v>
      </c>
      <c r="E14" s="18">
        <f t="shared" si="0"/>
        <v>8</v>
      </c>
      <c r="F14" s="18">
        <v>15000</v>
      </c>
      <c r="G14" s="18">
        <f t="shared" si="1"/>
        <v>8000</v>
      </c>
      <c r="H14" s="21">
        <f t="shared" si="2"/>
        <v>23000</v>
      </c>
    </row>
    <row r="15" s="3" customFormat="1" ht="32" customHeight="1" spans="1:8">
      <c r="A15" s="17">
        <v>10</v>
      </c>
      <c r="B15" s="18" t="s">
        <v>29</v>
      </c>
      <c r="C15" s="18">
        <v>13</v>
      </c>
      <c r="D15" s="18">
        <v>0</v>
      </c>
      <c r="E15" s="18">
        <f t="shared" si="0"/>
        <v>13</v>
      </c>
      <c r="F15" s="18">
        <v>15000</v>
      </c>
      <c r="G15" s="18">
        <f t="shared" si="1"/>
        <v>13000</v>
      </c>
      <c r="H15" s="21">
        <f t="shared" si="2"/>
        <v>28000</v>
      </c>
    </row>
    <row r="16" s="3" customFormat="1" ht="32" customHeight="1" spans="1:8">
      <c r="A16" s="17">
        <v>11</v>
      </c>
      <c r="B16" s="18" t="s">
        <v>30</v>
      </c>
      <c r="C16" s="18">
        <v>17</v>
      </c>
      <c r="D16" s="18">
        <v>5</v>
      </c>
      <c r="E16" s="18">
        <f t="shared" si="0"/>
        <v>22</v>
      </c>
      <c r="F16" s="18">
        <v>15000</v>
      </c>
      <c r="G16" s="18">
        <f t="shared" si="1"/>
        <v>22000</v>
      </c>
      <c r="H16" s="21">
        <f t="shared" si="2"/>
        <v>37000</v>
      </c>
    </row>
    <row r="17" s="3" customFormat="1" ht="32" customHeight="1" spans="1:8">
      <c r="A17" s="17">
        <v>12</v>
      </c>
      <c r="B17" s="18" t="s">
        <v>67</v>
      </c>
      <c r="C17" s="18">
        <v>19</v>
      </c>
      <c r="D17" s="18">
        <v>2</v>
      </c>
      <c r="E17" s="18">
        <f t="shared" si="0"/>
        <v>21</v>
      </c>
      <c r="F17" s="18">
        <v>15000</v>
      </c>
      <c r="G17" s="18">
        <f t="shared" si="1"/>
        <v>21000</v>
      </c>
      <c r="H17" s="21">
        <f t="shared" si="2"/>
        <v>36000</v>
      </c>
    </row>
    <row r="18" s="3" customFormat="1" ht="32" customHeight="1" spans="1:8">
      <c r="A18" s="17">
        <v>13</v>
      </c>
      <c r="B18" s="18" t="s">
        <v>68</v>
      </c>
      <c r="C18" s="18">
        <v>15</v>
      </c>
      <c r="D18" s="18">
        <v>2</v>
      </c>
      <c r="E18" s="18">
        <f t="shared" ref="E18:E20" si="3">C18+D18</f>
        <v>17</v>
      </c>
      <c r="F18" s="18">
        <v>15000</v>
      </c>
      <c r="G18" s="18">
        <f t="shared" si="1"/>
        <v>17000</v>
      </c>
      <c r="H18" s="21">
        <f t="shared" si="2"/>
        <v>32000</v>
      </c>
    </row>
    <row r="19" s="3" customFormat="1" ht="32" customHeight="1" spans="1:8">
      <c r="A19" s="17">
        <v>14</v>
      </c>
      <c r="B19" s="22" t="s">
        <v>69</v>
      </c>
      <c r="C19" s="22">
        <v>1</v>
      </c>
      <c r="D19" s="22">
        <v>4</v>
      </c>
      <c r="E19" s="18">
        <f t="shared" si="3"/>
        <v>5</v>
      </c>
      <c r="F19" s="18">
        <v>15000</v>
      </c>
      <c r="G19" s="18">
        <f t="shared" si="1"/>
        <v>5000</v>
      </c>
      <c r="H19" s="21">
        <f t="shared" si="2"/>
        <v>20000</v>
      </c>
    </row>
    <row r="20" s="3" customFormat="1" ht="32" customHeight="1" spans="1:8">
      <c r="A20" s="17">
        <v>15</v>
      </c>
      <c r="B20" s="18" t="s">
        <v>26</v>
      </c>
      <c r="C20" s="18">
        <v>2</v>
      </c>
      <c r="D20" s="18">
        <v>0</v>
      </c>
      <c r="E20" s="18">
        <f t="shared" si="3"/>
        <v>2</v>
      </c>
      <c r="F20" s="18">
        <v>15000</v>
      </c>
      <c r="G20" s="18">
        <f t="shared" si="1"/>
        <v>2000</v>
      </c>
      <c r="H20" s="21">
        <f t="shared" si="2"/>
        <v>17000</v>
      </c>
    </row>
    <row r="21" s="3" customFormat="1" ht="32" customHeight="1" spans="1:8">
      <c r="A21" s="23"/>
      <c r="B21" s="18" t="s">
        <v>70</v>
      </c>
      <c r="C21" s="18">
        <f t="shared" ref="C21:H21" si="4">SUM(C6:C20)</f>
        <v>137</v>
      </c>
      <c r="D21" s="18">
        <f t="shared" si="4"/>
        <v>73</v>
      </c>
      <c r="E21" s="18">
        <f t="shared" si="4"/>
        <v>210</v>
      </c>
      <c r="F21" s="18">
        <f t="shared" si="4"/>
        <v>225000</v>
      </c>
      <c r="G21" s="18">
        <f t="shared" si="4"/>
        <v>210000</v>
      </c>
      <c r="H21" s="18">
        <f t="shared" si="4"/>
        <v>435000</v>
      </c>
    </row>
  </sheetData>
  <mergeCells count="6">
    <mergeCell ref="A2:H2"/>
    <mergeCell ref="C4:E4"/>
    <mergeCell ref="F4:G4"/>
    <mergeCell ref="A4:A5"/>
    <mergeCell ref="B4:B5"/>
    <mergeCell ref="H4:H5"/>
  </mergeCells>
  <printOptions horizontalCentered="1"/>
  <pageMargins left="0.393055555555556" right="0.393055555555556" top="0.590277777777778" bottom="0.590277777777778" header="0.393055555555556" footer="0.393055555555556"/>
  <pageSetup paperSize="9" orientation="portrait" horizontalDpi="600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"/>
  <sheetViews>
    <sheetView zoomScale="90" zoomScaleNormal="90" workbookViewId="0">
      <selection activeCell="M9" sqref="M9"/>
    </sheetView>
  </sheetViews>
  <sheetFormatPr defaultColWidth="9" defaultRowHeight="14.25"/>
  <cols>
    <col min="1" max="1" width="5.55" customWidth="1"/>
    <col min="2" max="2" width="25" customWidth="1"/>
    <col min="3" max="5" width="10.4083333333333" customWidth="1"/>
    <col min="6" max="9" width="13.625" customWidth="1"/>
    <col min="10" max="10" width="10.55" customWidth="1"/>
  </cols>
  <sheetData>
    <row r="1" s="47" customFormat="1" ht="25" customHeight="1" spans="1:9">
      <c r="A1" s="5" t="s">
        <v>180</v>
      </c>
      <c r="B1" s="48"/>
      <c r="C1" s="48"/>
      <c r="D1" s="48"/>
      <c r="E1" s="48"/>
      <c r="F1" s="48"/>
      <c r="G1" s="48"/>
      <c r="H1" s="48"/>
      <c r="I1" s="48"/>
    </row>
    <row r="2" ht="28" customHeight="1" spans="1:10">
      <c r="A2" s="58" t="s">
        <v>181</v>
      </c>
      <c r="B2" s="58"/>
      <c r="C2" s="58"/>
      <c r="D2" s="58"/>
      <c r="E2" s="58"/>
      <c r="F2" s="58"/>
      <c r="G2" s="58"/>
      <c r="H2" s="58"/>
      <c r="I2" s="58"/>
      <c r="J2" s="58"/>
    </row>
    <row r="3" s="2" customFormat="1" ht="17" customHeight="1" spans="10:10">
      <c r="J3" s="11" t="s">
        <v>36</v>
      </c>
    </row>
    <row r="4" s="2" customFormat="1" ht="57" customHeight="1" spans="1:11">
      <c r="A4" s="12" t="s">
        <v>3</v>
      </c>
      <c r="B4" s="59" t="s">
        <v>37</v>
      </c>
      <c r="C4" s="60" t="s">
        <v>38</v>
      </c>
      <c r="D4" s="61"/>
      <c r="E4" s="62"/>
      <c r="F4" s="63" t="s">
        <v>182</v>
      </c>
      <c r="G4" s="63"/>
      <c r="H4" s="63" t="s">
        <v>183</v>
      </c>
      <c r="I4" s="63"/>
      <c r="J4" s="15" t="s">
        <v>98</v>
      </c>
      <c r="K4" s="37"/>
    </row>
    <row r="5" s="2" customFormat="1" ht="46" customHeight="1" spans="1:11">
      <c r="A5" s="64"/>
      <c r="B5" s="65"/>
      <c r="C5" s="40" t="s">
        <v>41</v>
      </c>
      <c r="D5" s="40" t="s">
        <v>42</v>
      </c>
      <c r="E5" s="40" t="s">
        <v>43</v>
      </c>
      <c r="F5" s="13" t="s">
        <v>184</v>
      </c>
      <c r="G5" s="13" t="s">
        <v>185</v>
      </c>
      <c r="H5" s="13" t="s">
        <v>186</v>
      </c>
      <c r="I5" s="13" t="s">
        <v>185</v>
      </c>
      <c r="J5" s="66"/>
      <c r="K5" s="37"/>
    </row>
    <row r="6" s="3" customFormat="1" ht="20" customHeight="1" spans="1:10">
      <c r="A6" s="17">
        <v>1</v>
      </c>
      <c r="B6" s="18" t="s">
        <v>28</v>
      </c>
      <c r="C6" s="18">
        <v>2</v>
      </c>
      <c r="D6" s="18">
        <v>16</v>
      </c>
      <c r="E6" s="18">
        <f>C6+D6</f>
        <v>18</v>
      </c>
      <c r="F6" s="18">
        <v>15000</v>
      </c>
      <c r="G6" s="18">
        <f>E6*1000</f>
        <v>18000</v>
      </c>
      <c r="H6" s="18">
        <v>20000</v>
      </c>
      <c r="I6" s="18">
        <f>1000*E6</f>
        <v>18000</v>
      </c>
      <c r="J6" s="21">
        <f>SUM(F6:I6)</f>
        <v>71000</v>
      </c>
    </row>
    <row r="7" s="3" customFormat="1" ht="20" customHeight="1" spans="1:10">
      <c r="A7" s="17">
        <v>2</v>
      </c>
      <c r="B7" s="18" t="s">
        <v>55</v>
      </c>
      <c r="C7" s="18">
        <v>8</v>
      </c>
      <c r="D7" s="18">
        <v>3</v>
      </c>
      <c r="E7" s="18">
        <f t="shared" ref="E6:E17" si="0">C7+D7</f>
        <v>11</v>
      </c>
      <c r="F7" s="18">
        <v>15000</v>
      </c>
      <c r="G7" s="18">
        <f t="shared" ref="G6:G20" si="1">E7*1000</f>
        <v>11000</v>
      </c>
      <c r="H7" s="18">
        <v>20000</v>
      </c>
      <c r="I7" s="18">
        <f t="shared" ref="I7:I20" si="2">1000*E7</f>
        <v>11000</v>
      </c>
      <c r="J7" s="21">
        <f t="shared" ref="J7:J20" si="3">SUM(F7:I7)</f>
        <v>57000</v>
      </c>
    </row>
    <row r="8" s="3" customFormat="1" ht="20" customHeight="1" spans="1:10">
      <c r="A8" s="17">
        <v>3</v>
      </c>
      <c r="B8" s="18" t="s">
        <v>57</v>
      </c>
      <c r="C8" s="18">
        <v>1</v>
      </c>
      <c r="D8" s="18">
        <v>6</v>
      </c>
      <c r="E8" s="18">
        <f t="shared" si="0"/>
        <v>7</v>
      </c>
      <c r="F8" s="18">
        <v>15000</v>
      </c>
      <c r="G8" s="18">
        <f t="shared" si="1"/>
        <v>7000</v>
      </c>
      <c r="H8" s="18">
        <v>20000</v>
      </c>
      <c r="I8" s="18">
        <f t="shared" si="2"/>
        <v>7000</v>
      </c>
      <c r="J8" s="21">
        <f t="shared" si="3"/>
        <v>49000</v>
      </c>
    </row>
    <row r="9" s="3" customFormat="1" ht="20" customHeight="1" spans="1:10">
      <c r="A9" s="17">
        <v>4</v>
      </c>
      <c r="B9" s="18" t="s">
        <v>59</v>
      </c>
      <c r="C9" s="18">
        <v>8</v>
      </c>
      <c r="D9" s="18">
        <v>10</v>
      </c>
      <c r="E9" s="18">
        <f t="shared" si="0"/>
        <v>18</v>
      </c>
      <c r="F9" s="18">
        <v>15000</v>
      </c>
      <c r="G9" s="18">
        <f t="shared" si="1"/>
        <v>18000</v>
      </c>
      <c r="H9" s="18">
        <v>20000</v>
      </c>
      <c r="I9" s="18">
        <f t="shared" si="2"/>
        <v>18000</v>
      </c>
      <c r="J9" s="21">
        <f t="shared" si="3"/>
        <v>71000</v>
      </c>
    </row>
    <row r="10" s="3" customFormat="1" ht="20" customHeight="1" spans="1:10">
      <c r="A10" s="17">
        <v>5</v>
      </c>
      <c r="B10" s="18" t="s">
        <v>61</v>
      </c>
      <c r="C10" s="18">
        <v>9</v>
      </c>
      <c r="D10" s="18">
        <v>5</v>
      </c>
      <c r="E10" s="18">
        <f t="shared" si="0"/>
        <v>14</v>
      </c>
      <c r="F10" s="18">
        <v>15000</v>
      </c>
      <c r="G10" s="18">
        <f t="shared" si="1"/>
        <v>14000</v>
      </c>
      <c r="H10" s="18">
        <v>20000</v>
      </c>
      <c r="I10" s="18">
        <f t="shared" si="2"/>
        <v>14000</v>
      </c>
      <c r="J10" s="21">
        <f t="shared" si="3"/>
        <v>63000</v>
      </c>
    </row>
    <row r="11" s="3" customFormat="1" ht="20" customHeight="1" spans="1:10">
      <c r="A11" s="17">
        <v>6</v>
      </c>
      <c r="B11" s="18" t="s">
        <v>62</v>
      </c>
      <c r="C11" s="18">
        <v>8</v>
      </c>
      <c r="D11" s="18">
        <v>2</v>
      </c>
      <c r="E11" s="18">
        <f t="shared" si="0"/>
        <v>10</v>
      </c>
      <c r="F11" s="18">
        <v>15000</v>
      </c>
      <c r="G11" s="18">
        <f t="shared" si="1"/>
        <v>10000</v>
      </c>
      <c r="H11" s="18">
        <v>20000</v>
      </c>
      <c r="I11" s="18">
        <f t="shared" si="2"/>
        <v>10000</v>
      </c>
      <c r="J11" s="21">
        <f t="shared" si="3"/>
        <v>55000</v>
      </c>
    </row>
    <row r="12" s="3" customFormat="1" ht="20" customHeight="1" spans="1:10">
      <c r="A12" s="17">
        <v>7</v>
      </c>
      <c r="B12" s="18" t="s">
        <v>63</v>
      </c>
      <c r="C12" s="18">
        <v>13</v>
      </c>
      <c r="D12" s="18">
        <v>5</v>
      </c>
      <c r="E12" s="18">
        <f t="shared" si="0"/>
        <v>18</v>
      </c>
      <c r="F12" s="18">
        <v>15000</v>
      </c>
      <c r="G12" s="18">
        <f t="shared" si="1"/>
        <v>18000</v>
      </c>
      <c r="H12" s="18">
        <v>20000</v>
      </c>
      <c r="I12" s="18">
        <f t="shared" si="2"/>
        <v>18000</v>
      </c>
      <c r="J12" s="21">
        <f t="shared" si="3"/>
        <v>71000</v>
      </c>
    </row>
    <row r="13" s="3" customFormat="1" ht="20" customHeight="1" spans="1:10">
      <c r="A13" s="17">
        <v>8</v>
      </c>
      <c r="B13" s="18" t="s">
        <v>64</v>
      </c>
      <c r="C13" s="18">
        <v>20</v>
      </c>
      <c r="D13" s="18">
        <v>6</v>
      </c>
      <c r="E13" s="18">
        <f t="shared" si="0"/>
        <v>26</v>
      </c>
      <c r="F13" s="18">
        <v>15000</v>
      </c>
      <c r="G13" s="18">
        <f t="shared" si="1"/>
        <v>26000</v>
      </c>
      <c r="H13" s="18">
        <v>20000</v>
      </c>
      <c r="I13" s="18">
        <f t="shared" si="2"/>
        <v>26000</v>
      </c>
      <c r="J13" s="21">
        <f t="shared" si="3"/>
        <v>87000</v>
      </c>
    </row>
    <row r="14" s="3" customFormat="1" ht="20" customHeight="1" spans="1:10">
      <c r="A14" s="17">
        <v>9</v>
      </c>
      <c r="B14" s="18" t="s">
        <v>65</v>
      </c>
      <c r="C14" s="18">
        <v>1</v>
      </c>
      <c r="D14" s="18">
        <v>7</v>
      </c>
      <c r="E14" s="18">
        <f t="shared" si="0"/>
        <v>8</v>
      </c>
      <c r="F14" s="18">
        <v>15000</v>
      </c>
      <c r="G14" s="18">
        <f t="shared" si="1"/>
        <v>8000</v>
      </c>
      <c r="H14" s="18">
        <v>20000</v>
      </c>
      <c r="I14" s="18">
        <f t="shared" si="2"/>
        <v>8000</v>
      </c>
      <c r="J14" s="21">
        <f t="shared" si="3"/>
        <v>51000</v>
      </c>
    </row>
    <row r="15" s="3" customFormat="1" ht="20" customHeight="1" spans="1:10">
      <c r="A15" s="17">
        <v>10</v>
      </c>
      <c r="B15" s="18" t="s">
        <v>29</v>
      </c>
      <c r="C15" s="18">
        <v>13</v>
      </c>
      <c r="D15" s="18">
        <v>0</v>
      </c>
      <c r="E15" s="18">
        <f t="shared" si="0"/>
        <v>13</v>
      </c>
      <c r="F15" s="18">
        <v>15000</v>
      </c>
      <c r="G15" s="18">
        <f t="shared" si="1"/>
        <v>13000</v>
      </c>
      <c r="H15" s="18">
        <v>20000</v>
      </c>
      <c r="I15" s="18">
        <f t="shared" si="2"/>
        <v>13000</v>
      </c>
      <c r="J15" s="21">
        <f t="shared" si="3"/>
        <v>61000</v>
      </c>
    </row>
    <row r="16" s="3" customFormat="1" ht="20" customHeight="1" spans="1:10">
      <c r="A16" s="17">
        <v>11</v>
      </c>
      <c r="B16" s="18" t="s">
        <v>30</v>
      </c>
      <c r="C16" s="18">
        <v>17</v>
      </c>
      <c r="D16" s="18">
        <v>5</v>
      </c>
      <c r="E16" s="18">
        <f t="shared" si="0"/>
        <v>22</v>
      </c>
      <c r="F16" s="18">
        <v>15000</v>
      </c>
      <c r="G16" s="18">
        <f t="shared" si="1"/>
        <v>22000</v>
      </c>
      <c r="H16" s="18">
        <v>20000</v>
      </c>
      <c r="I16" s="18">
        <f t="shared" si="2"/>
        <v>22000</v>
      </c>
      <c r="J16" s="21">
        <f t="shared" si="3"/>
        <v>79000</v>
      </c>
    </row>
    <row r="17" s="3" customFormat="1" ht="20" customHeight="1" spans="1:10">
      <c r="A17" s="17">
        <v>12</v>
      </c>
      <c r="B17" s="18" t="s">
        <v>67</v>
      </c>
      <c r="C17" s="18">
        <v>19</v>
      </c>
      <c r="D17" s="18">
        <v>2</v>
      </c>
      <c r="E17" s="18">
        <f t="shared" si="0"/>
        <v>21</v>
      </c>
      <c r="F17" s="18">
        <v>15000</v>
      </c>
      <c r="G17" s="18">
        <f t="shared" si="1"/>
        <v>21000</v>
      </c>
      <c r="H17" s="18">
        <v>20000</v>
      </c>
      <c r="I17" s="18">
        <f t="shared" si="2"/>
        <v>21000</v>
      </c>
      <c r="J17" s="21">
        <f t="shared" si="3"/>
        <v>77000</v>
      </c>
    </row>
    <row r="18" s="3" customFormat="1" ht="20" customHeight="1" spans="1:10">
      <c r="A18" s="17">
        <v>13</v>
      </c>
      <c r="B18" s="18" t="s">
        <v>68</v>
      </c>
      <c r="C18" s="18">
        <v>15</v>
      </c>
      <c r="D18" s="18">
        <v>2</v>
      </c>
      <c r="E18" s="18">
        <f t="shared" ref="E18:E20" si="4">C18+D18</f>
        <v>17</v>
      </c>
      <c r="F18" s="18">
        <v>15000</v>
      </c>
      <c r="G18" s="18">
        <f t="shared" si="1"/>
        <v>17000</v>
      </c>
      <c r="H18" s="18">
        <v>20000</v>
      </c>
      <c r="I18" s="18">
        <f t="shared" si="2"/>
        <v>17000</v>
      </c>
      <c r="J18" s="21">
        <f t="shared" si="3"/>
        <v>69000</v>
      </c>
    </row>
    <row r="19" s="3" customFormat="1" ht="20" customHeight="1" spans="1:10">
      <c r="A19" s="17">
        <v>14</v>
      </c>
      <c r="B19" s="22" t="s">
        <v>69</v>
      </c>
      <c r="C19" s="22">
        <v>1</v>
      </c>
      <c r="D19" s="22">
        <v>4</v>
      </c>
      <c r="E19" s="18">
        <f t="shared" si="4"/>
        <v>5</v>
      </c>
      <c r="F19" s="18">
        <v>15000</v>
      </c>
      <c r="G19" s="18">
        <f t="shared" si="1"/>
        <v>5000</v>
      </c>
      <c r="H19" s="18">
        <v>20000</v>
      </c>
      <c r="I19" s="18">
        <f t="shared" si="2"/>
        <v>5000</v>
      </c>
      <c r="J19" s="21">
        <f t="shared" si="3"/>
        <v>45000</v>
      </c>
    </row>
    <row r="20" s="3" customFormat="1" ht="20" customHeight="1" spans="1:10">
      <c r="A20" s="17">
        <v>15</v>
      </c>
      <c r="B20" s="18" t="s">
        <v>26</v>
      </c>
      <c r="C20" s="18">
        <v>2</v>
      </c>
      <c r="D20" s="18">
        <v>0</v>
      </c>
      <c r="E20" s="18">
        <f t="shared" si="4"/>
        <v>2</v>
      </c>
      <c r="F20" s="18">
        <v>15000</v>
      </c>
      <c r="G20" s="18">
        <f t="shared" si="1"/>
        <v>2000</v>
      </c>
      <c r="H20" s="18">
        <v>20000</v>
      </c>
      <c r="I20" s="18">
        <f t="shared" si="2"/>
        <v>2000</v>
      </c>
      <c r="J20" s="21">
        <f t="shared" si="3"/>
        <v>39000</v>
      </c>
    </row>
    <row r="21" s="3" customFormat="1" ht="20" customHeight="1" spans="1:10">
      <c r="A21" s="23"/>
      <c r="B21" s="18" t="s">
        <v>70</v>
      </c>
      <c r="C21" s="18">
        <f>SUM(C6:C20)</f>
        <v>137</v>
      </c>
      <c r="D21" s="18">
        <f>SUM(D6:D20)</f>
        <v>73</v>
      </c>
      <c r="E21" s="18">
        <f t="shared" ref="C21:J21" si="5">SUM(E6:E20)</f>
        <v>210</v>
      </c>
      <c r="F21" s="18">
        <f t="shared" si="5"/>
        <v>225000</v>
      </c>
      <c r="G21" s="18">
        <f t="shared" si="5"/>
        <v>210000</v>
      </c>
      <c r="H21" s="18">
        <f t="shared" si="5"/>
        <v>300000</v>
      </c>
      <c r="I21" s="18">
        <f t="shared" si="5"/>
        <v>210000</v>
      </c>
      <c r="J21" s="21">
        <f t="shared" si="5"/>
        <v>945000</v>
      </c>
    </row>
  </sheetData>
  <mergeCells count="7">
    <mergeCell ref="A2:J2"/>
    <mergeCell ref="C4:E4"/>
    <mergeCell ref="F4:G4"/>
    <mergeCell ref="H4:I4"/>
    <mergeCell ref="A4:A5"/>
    <mergeCell ref="B4:B5"/>
    <mergeCell ref="J4:J5"/>
  </mergeCells>
  <printOptions horizontalCentered="1"/>
  <pageMargins left="0.393055555555556" right="0.393055555555556" top="0.590277777777778" bottom="0.590277777777778" header="0.393055555555556" footer="0.393055555555556"/>
  <pageSetup paperSize="9" orientation="landscape" horizontalDpi="600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topLeftCell="A7" workbookViewId="0">
      <selection activeCell="A1" sqref="$A1:$XFD1"/>
    </sheetView>
  </sheetViews>
  <sheetFormatPr defaultColWidth="9" defaultRowHeight="14.25" outlineLevelCol="5"/>
  <cols>
    <col min="1" max="1" width="6.625" customWidth="1"/>
    <col min="2" max="2" width="27.25" customWidth="1"/>
    <col min="3" max="3" width="11.5" style="29" customWidth="1"/>
    <col min="4" max="4" width="11" customWidth="1"/>
    <col min="5" max="5" width="10.375" style="29" customWidth="1"/>
    <col min="6" max="6" width="12.75" customWidth="1"/>
  </cols>
  <sheetData>
    <row r="1" s="47" customFormat="1" ht="26" customHeight="1" spans="1:5">
      <c r="A1" s="5" t="s">
        <v>187</v>
      </c>
      <c r="B1" s="48"/>
      <c r="C1" s="49"/>
      <c r="D1" s="48"/>
      <c r="E1" s="50"/>
    </row>
    <row r="2" ht="40" customHeight="1" spans="1:6">
      <c r="A2" s="8" t="s">
        <v>188</v>
      </c>
      <c r="B2" s="8"/>
      <c r="C2" s="9"/>
      <c r="D2" s="8"/>
      <c r="E2" s="9"/>
      <c r="F2" s="8"/>
    </row>
    <row r="3" s="35" customFormat="1" ht="16" customHeight="1" spans="3:6">
      <c r="C3" s="51"/>
      <c r="E3" s="51"/>
      <c r="F3" s="32" t="s">
        <v>36</v>
      </c>
    </row>
    <row r="4" s="35" customFormat="1" ht="53" customHeight="1" spans="1:6">
      <c r="A4" s="52" t="s">
        <v>3</v>
      </c>
      <c r="B4" s="40" t="s">
        <v>37</v>
      </c>
      <c r="C4" s="39" t="s">
        <v>189</v>
      </c>
      <c r="D4" s="53" t="s">
        <v>190</v>
      </c>
      <c r="E4" s="54" t="s">
        <v>191</v>
      </c>
      <c r="F4" s="53" t="s">
        <v>9</v>
      </c>
    </row>
    <row r="5" s="36" customFormat="1" ht="30" customHeight="1" spans="1:6">
      <c r="A5" s="38">
        <v>1</v>
      </c>
      <c r="B5" s="39" t="s">
        <v>28</v>
      </c>
      <c r="C5" s="55">
        <v>80128</v>
      </c>
      <c r="D5" s="56">
        <v>10</v>
      </c>
      <c r="E5" s="41">
        <f>C5*D5</f>
        <v>801280</v>
      </c>
      <c r="F5" s="42"/>
    </row>
    <row r="6" s="36" customFormat="1" ht="30" customHeight="1" spans="1:6">
      <c r="A6" s="38">
        <v>2</v>
      </c>
      <c r="B6" s="39" t="s">
        <v>55</v>
      </c>
      <c r="C6" s="55">
        <v>14698</v>
      </c>
      <c r="D6" s="56">
        <v>10</v>
      </c>
      <c r="E6" s="41">
        <f t="shared" ref="E6:E19" si="0">C6*D6</f>
        <v>146980</v>
      </c>
      <c r="F6" s="42"/>
    </row>
    <row r="7" s="36" customFormat="1" ht="30" customHeight="1" spans="1:6">
      <c r="A7" s="38">
        <v>3</v>
      </c>
      <c r="B7" s="39" t="s">
        <v>57</v>
      </c>
      <c r="C7" s="55">
        <v>6731</v>
      </c>
      <c r="D7" s="56">
        <v>10</v>
      </c>
      <c r="E7" s="41">
        <f t="shared" si="0"/>
        <v>67310</v>
      </c>
      <c r="F7" s="42"/>
    </row>
    <row r="8" s="36" customFormat="1" ht="30" customHeight="1" spans="1:6">
      <c r="A8" s="38">
        <v>4</v>
      </c>
      <c r="B8" s="39" t="s">
        <v>59</v>
      </c>
      <c r="C8" s="55">
        <v>31405</v>
      </c>
      <c r="D8" s="56">
        <v>10</v>
      </c>
      <c r="E8" s="41">
        <f t="shared" si="0"/>
        <v>314050</v>
      </c>
      <c r="F8" s="42"/>
    </row>
    <row r="9" s="36" customFormat="1" ht="30" customHeight="1" spans="1:6">
      <c r="A9" s="38">
        <v>5</v>
      </c>
      <c r="B9" s="39" t="s">
        <v>61</v>
      </c>
      <c r="C9" s="55">
        <v>20736</v>
      </c>
      <c r="D9" s="56">
        <v>10</v>
      </c>
      <c r="E9" s="41">
        <f t="shared" si="0"/>
        <v>207360</v>
      </c>
      <c r="F9" s="42"/>
    </row>
    <row r="10" s="36" customFormat="1" ht="30" customHeight="1" spans="1:6">
      <c r="A10" s="38">
        <v>6</v>
      </c>
      <c r="B10" s="39" t="s">
        <v>62</v>
      </c>
      <c r="C10" s="55">
        <v>15109</v>
      </c>
      <c r="D10" s="56">
        <v>10</v>
      </c>
      <c r="E10" s="41">
        <f t="shared" si="0"/>
        <v>151090</v>
      </c>
      <c r="F10" s="42"/>
    </row>
    <row r="11" s="36" customFormat="1" ht="30" customHeight="1" spans="1:6">
      <c r="A11" s="38">
        <v>7</v>
      </c>
      <c r="B11" s="39" t="s">
        <v>63</v>
      </c>
      <c r="C11" s="55">
        <v>27787</v>
      </c>
      <c r="D11" s="56">
        <v>10</v>
      </c>
      <c r="E11" s="41">
        <f t="shared" si="0"/>
        <v>277870</v>
      </c>
      <c r="F11" s="42"/>
    </row>
    <row r="12" s="36" customFormat="1" ht="30" customHeight="1" spans="1:6">
      <c r="A12" s="38">
        <v>8</v>
      </c>
      <c r="B12" s="39" t="s">
        <v>64</v>
      </c>
      <c r="C12" s="55">
        <v>43627</v>
      </c>
      <c r="D12" s="56">
        <v>10</v>
      </c>
      <c r="E12" s="41">
        <f t="shared" si="0"/>
        <v>436270</v>
      </c>
      <c r="F12" s="42"/>
    </row>
    <row r="13" s="36" customFormat="1" ht="30" customHeight="1" spans="1:6">
      <c r="A13" s="38">
        <v>9</v>
      </c>
      <c r="B13" s="39" t="s">
        <v>65</v>
      </c>
      <c r="C13" s="55">
        <v>8000</v>
      </c>
      <c r="D13" s="56">
        <v>10</v>
      </c>
      <c r="E13" s="41">
        <f t="shared" si="0"/>
        <v>80000</v>
      </c>
      <c r="F13" s="42"/>
    </row>
    <row r="14" s="36" customFormat="1" ht="30" customHeight="1" spans="1:6">
      <c r="A14" s="38">
        <v>10</v>
      </c>
      <c r="B14" s="39" t="s">
        <v>29</v>
      </c>
      <c r="C14" s="55">
        <v>28095</v>
      </c>
      <c r="D14" s="56">
        <v>10</v>
      </c>
      <c r="E14" s="41">
        <f t="shared" si="0"/>
        <v>280950</v>
      </c>
      <c r="F14" s="42"/>
    </row>
    <row r="15" s="36" customFormat="1" ht="30" customHeight="1" spans="1:6">
      <c r="A15" s="38">
        <v>11</v>
      </c>
      <c r="B15" s="39" t="s">
        <v>30</v>
      </c>
      <c r="C15" s="55">
        <v>41364</v>
      </c>
      <c r="D15" s="56">
        <v>10</v>
      </c>
      <c r="E15" s="41">
        <f t="shared" si="0"/>
        <v>413640</v>
      </c>
      <c r="F15" s="42"/>
    </row>
    <row r="16" s="36" customFormat="1" ht="30" customHeight="1" spans="1:6">
      <c r="A16" s="38">
        <v>12</v>
      </c>
      <c r="B16" s="39" t="s">
        <v>67</v>
      </c>
      <c r="C16" s="55">
        <v>32254</v>
      </c>
      <c r="D16" s="56">
        <v>10</v>
      </c>
      <c r="E16" s="41">
        <f t="shared" si="0"/>
        <v>322540</v>
      </c>
      <c r="F16" s="42"/>
    </row>
    <row r="17" s="36" customFormat="1" ht="30" customHeight="1" spans="1:6">
      <c r="A17" s="38">
        <v>13</v>
      </c>
      <c r="B17" s="39" t="s">
        <v>68</v>
      </c>
      <c r="C17" s="55">
        <v>31150</v>
      </c>
      <c r="D17" s="56">
        <v>10</v>
      </c>
      <c r="E17" s="41">
        <f t="shared" si="0"/>
        <v>311500</v>
      </c>
      <c r="F17" s="42"/>
    </row>
    <row r="18" s="36" customFormat="1" ht="30" customHeight="1" spans="1:6">
      <c r="A18" s="38">
        <v>14</v>
      </c>
      <c r="B18" s="43" t="s">
        <v>69</v>
      </c>
      <c r="C18" s="55">
        <v>4666</v>
      </c>
      <c r="D18" s="56">
        <v>10</v>
      </c>
      <c r="E18" s="41">
        <f t="shared" si="0"/>
        <v>46660</v>
      </c>
      <c r="F18" s="42"/>
    </row>
    <row r="19" s="36" customFormat="1" ht="30" customHeight="1" spans="1:6">
      <c r="A19" s="38">
        <v>15</v>
      </c>
      <c r="B19" s="39" t="s">
        <v>26</v>
      </c>
      <c r="C19" s="55">
        <v>4250</v>
      </c>
      <c r="D19" s="56">
        <v>10</v>
      </c>
      <c r="E19" s="41">
        <f t="shared" si="0"/>
        <v>42500</v>
      </c>
      <c r="F19" s="42"/>
    </row>
    <row r="20" s="36" customFormat="1" ht="30" customHeight="1" spans="1:6">
      <c r="A20" s="45"/>
      <c r="B20" s="39" t="s">
        <v>70</v>
      </c>
      <c r="C20" s="57">
        <f>SUM(C5:C19)</f>
        <v>390000</v>
      </c>
      <c r="D20" s="46"/>
      <c r="E20" s="39">
        <f>SUM(E5:E19)</f>
        <v>3900000</v>
      </c>
      <c r="F20" s="42"/>
    </row>
  </sheetData>
  <mergeCells count="1">
    <mergeCell ref="A2:F2"/>
  </mergeCells>
  <printOptions horizontalCentered="1"/>
  <pageMargins left="0.393055555555556" right="0.393055555555556" top="0.590277777777778" bottom="0.590277777777778" header="0.393055555555556" footer="0.393055555555556"/>
  <pageSetup paperSize="9" orientation="portrait" horizontalDpi="600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A1" sqref="$A1:$XFD1"/>
    </sheetView>
  </sheetViews>
  <sheetFormatPr defaultColWidth="9" defaultRowHeight="14.25" outlineLevelCol="6"/>
  <cols>
    <col min="1" max="1" width="5.625" customWidth="1"/>
    <col min="2" max="2" width="27.75" customWidth="1"/>
    <col min="3" max="5" width="13" customWidth="1"/>
    <col min="6" max="6" width="10.25" customWidth="1"/>
  </cols>
  <sheetData>
    <row r="1" s="34" customFormat="1" ht="24" customHeight="1" spans="1:4">
      <c r="A1" s="5" t="s">
        <v>192</v>
      </c>
      <c r="B1" s="5"/>
      <c r="C1" s="5"/>
      <c r="D1" s="5"/>
    </row>
    <row r="2" ht="33" customHeight="1" spans="1:6">
      <c r="A2" s="8" t="s">
        <v>193</v>
      </c>
      <c r="B2" s="8"/>
      <c r="C2" s="8"/>
      <c r="D2" s="8"/>
      <c r="E2" s="8"/>
      <c r="F2" s="8"/>
    </row>
    <row r="3" s="35" customFormat="1" ht="20" customHeight="1" spans="1:6">
      <c r="A3" s="36"/>
      <c r="B3" s="36"/>
      <c r="C3" s="36"/>
      <c r="D3" s="36"/>
      <c r="E3" s="36"/>
      <c r="F3" s="32" t="s">
        <v>36</v>
      </c>
    </row>
    <row r="4" s="2" customFormat="1" ht="45" customHeight="1" spans="1:7">
      <c r="A4" s="12" t="s">
        <v>3</v>
      </c>
      <c r="B4" s="13" t="s">
        <v>37</v>
      </c>
      <c r="C4" s="14" t="s">
        <v>194</v>
      </c>
      <c r="D4" s="14" t="s">
        <v>195</v>
      </c>
      <c r="E4" s="15" t="s">
        <v>191</v>
      </c>
      <c r="F4" s="14" t="s">
        <v>9</v>
      </c>
      <c r="G4" s="37"/>
    </row>
    <row r="5" s="36" customFormat="1" ht="32" customHeight="1" spans="1:6">
      <c r="A5" s="38">
        <v>1</v>
      </c>
      <c r="B5" s="39" t="s">
        <v>28</v>
      </c>
      <c r="C5" s="40">
        <v>97.448</v>
      </c>
      <c r="D5" s="40" t="s">
        <v>54</v>
      </c>
      <c r="E5" s="41">
        <v>100000</v>
      </c>
      <c r="F5" s="42"/>
    </row>
    <row r="6" s="36" customFormat="1" ht="32" customHeight="1" spans="1:6">
      <c r="A6" s="38">
        <v>2</v>
      </c>
      <c r="B6" s="32" t="s">
        <v>59</v>
      </c>
      <c r="C6" s="40">
        <v>96.59</v>
      </c>
      <c r="D6" s="40" t="s">
        <v>60</v>
      </c>
      <c r="E6" s="41">
        <v>80000</v>
      </c>
      <c r="F6" s="42"/>
    </row>
    <row r="7" s="36" customFormat="1" ht="32" customHeight="1" spans="1:6">
      <c r="A7" s="38">
        <v>3</v>
      </c>
      <c r="B7" s="39" t="s">
        <v>30</v>
      </c>
      <c r="C7" s="40">
        <v>96.568</v>
      </c>
      <c r="D7" s="40" t="s">
        <v>66</v>
      </c>
      <c r="E7" s="41">
        <v>60000</v>
      </c>
      <c r="F7" s="42"/>
    </row>
    <row r="8" s="36" customFormat="1" ht="32" customHeight="1" spans="1:6">
      <c r="A8" s="38">
        <v>4</v>
      </c>
      <c r="B8" s="43" t="s">
        <v>55</v>
      </c>
      <c r="C8" s="44">
        <v>91.47</v>
      </c>
      <c r="D8" s="44" t="s">
        <v>56</v>
      </c>
      <c r="E8" s="41">
        <v>30000</v>
      </c>
      <c r="F8" s="42"/>
    </row>
    <row r="9" s="36" customFormat="1" ht="32" customHeight="1" spans="1:6">
      <c r="A9" s="38">
        <v>5</v>
      </c>
      <c r="B9" s="43" t="s">
        <v>57</v>
      </c>
      <c r="C9" s="44">
        <v>89.386</v>
      </c>
      <c r="D9" s="44" t="s">
        <v>58</v>
      </c>
      <c r="E9" s="41">
        <v>-10000</v>
      </c>
      <c r="F9" s="42"/>
    </row>
    <row r="10" s="36" customFormat="1" ht="32" customHeight="1" spans="1:6">
      <c r="A10" s="45"/>
      <c r="B10" s="39" t="s">
        <v>70</v>
      </c>
      <c r="C10" s="46"/>
      <c r="D10" s="39"/>
      <c r="E10" s="39">
        <f>SUM(E5:E9)</f>
        <v>260000</v>
      </c>
      <c r="F10" s="42"/>
    </row>
  </sheetData>
  <mergeCells count="1">
    <mergeCell ref="A2:F2"/>
  </mergeCells>
  <printOptions horizontalCentered="1"/>
  <pageMargins left="0.393055555555556" right="0.393055555555556" top="0.590277777777778" bottom="0.590277777777778" header="0.393055555555556" footer="0.393055555555556"/>
  <pageSetup paperSize="9" orientation="portrait" horizontalDpi="600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zoomScale="110" zoomScaleNormal="110" workbookViewId="0">
      <selection activeCell="A1" sqref="$A1:$XFD1"/>
    </sheetView>
  </sheetViews>
  <sheetFormatPr defaultColWidth="9" defaultRowHeight="14.25" outlineLevelCol="7"/>
  <cols>
    <col min="1" max="1" width="5.375" customWidth="1"/>
    <col min="2" max="2" width="17.95" customWidth="1"/>
    <col min="3" max="3" width="9.99166666666667" customWidth="1"/>
    <col min="4" max="4" width="11.925" customWidth="1"/>
    <col min="5" max="5" width="10.1083333333333" customWidth="1"/>
    <col min="6" max="6" width="9.31666666666667" customWidth="1"/>
    <col min="7" max="7" width="10.5666666666667" style="29" customWidth="1"/>
    <col min="8" max="8" width="10.45" customWidth="1"/>
    <col min="9" max="9" width="12.625"/>
    <col min="11" max="11" width="11.375" customWidth="1"/>
  </cols>
  <sheetData>
    <row r="1" s="1" customFormat="1" ht="26" customHeight="1" spans="1:7">
      <c r="A1" s="5" t="s">
        <v>196</v>
      </c>
      <c r="B1" s="6"/>
      <c r="C1" s="6"/>
      <c r="D1" s="6"/>
      <c r="E1" s="6"/>
      <c r="F1" s="6"/>
      <c r="G1" s="30"/>
    </row>
    <row r="2" ht="27" customHeight="1" spans="1:8">
      <c r="A2" s="8" t="s">
        <v>197</v>
      </c>
      <c r="B2" s="8"/>
      <c r="C2" s="8"/>
      <c r="D2" s="8"/>
      <c r="E2" s="8"/>
      <c r="F2" s="8"/>
      <c r="G2" s="9"/>
      <c r="H2" s="8"/>
    </row>
    <row r="3" s="2" customFormat="1" ht="18" customHeight="1" spans="7:8">
      <c r="G3" s="31"/>
      <c r="H3" s="32" t="s">
        <v>36</v>
      </c>
    </row>
    <row r="4" s="2" customFormat="1" ht="46" customHeight="1" spans="1:8">
      <c r="A4" s="12" t="s">
        <v>3</v>
      </c>
      <c r="B4" s="13" t="s">
        <v>37</v>
      </c>
      <c r="C4" s="13" t="s">
        <v>198</v>
      </c>
      <c r="D4" s="14" t="s">
        <v>45</v>
      </c>
      <c r="E4" s="14" t="s">
        <v>190</v>
      </c>
      <c r="F4" s="15" t="s">
        <v>199</v>
      </c>
      <c r="G4" s="33" t="s">
        <v>191</v>
      </c>
      <c r="H4" s="14" t="s">
        <v>9</v>
      </c>
    </row>
    <row r="5" s="3" customFormat="1" ht="33" customHeight="1" spans="1:8">
      <c r="A5" s="17">
        <v>1</v>
      </c>
      <c r="B5" s="18" t="s">
        <v>28</v>
      </c>
      <c r="C5" s="18">
        <v>101674</v>
      </c>
      <c r="D5" s="18">
        <v>8473</v>
      </c>
      <c r="E5" s="20">
        <v>30</v>
      </c>
      <c r="F5" s="20">
        <v>52.45</v>
      </c>
      <c r="G5" s="21">
        <v>133323</v>
      </c>
      <c r="H5" s="21"/>
    </row>
    <row r="6" s="3" customFormat="1" ht="33" customHeight="1" spans="1:8">
      <c r="A6" s="17">
        <v>2</v>
      </c>
      <c r="B6" s="18" t="s">
        <v>55</v>
      </c>
      <c r="C6" s="18">
        <v>69978</v>
      </c>
      <c r="D6" s="18">
        <v>5831</v>
      </c>
      <c r="E6" s="20">
        <v>30</v>
      </c>
      <c r="F6" s="20">
        <v>59.59</v>
      </c>
      <c r="G6" s="21">
        <v>104241</v>
      </c>
      <c r="H6" s="21"/>
    </row>
    <row r="7" s="3" customFormat="1" ht="33" customHeight="1" spans="1:8">
      <c r="A7" s="17">
        <v>3</v>
      </c>
      <c r="B7" s="18" t="s">
        <v>57</v>
      </c>
      <c r="C7" s="18">
        <v>19773</v>
      </c>
      <c r="D7" s="18">
        <v>1648</v>
      </c>
      <c r="E7" s="20">
        <v>30</v>
      </c>
      <c r="F7" s="20">
        <v>56.43</v>
      </c>
      <c r="G7" s="21">
        <v>27899</v>
      </c>
      <c r="H7" s="21"/>
    </row>
    <row r="8" s="3" customFormat="1" ht="33" customHeight="1" spans="1:8">
      <c r="A8" s="17">
        <v>4</v>
      </c>
      <c r="B8" s="18" t="s">
        <v>59</v>
      </c>
      <c r="C8" s="18">
        <v>63609</v>
      </c>
      <c r="D8" s="18">
        <v>5301</v>
      </c>
      <c r="E8" s="20">
        <v>30</v>
      </c>
      <c r="F8" s="20">
        <v>50.44</v>
      </c>
      <c r="G8" s="21">
        <v>80215</v>
      </c>
      <c r="H8" s="21"/>
    </row>
    <row r="9" s="3" customFormat="1" ht="33" customHeight="1" spans="1:8">
      <c r="A9" s="17">
        <v>5</v>
      </c>
      <c r="B9" s="18" t="s">
        <v>61</v>
      </c>
      <c r="C9" s="18">
        <v>45822</v>
      </c>
      <c r="D9" s="18">
        <v>3819</v>
      </c>
      <c r="E9" s="20">
        <v>30</v>
      </c>
      <c r="F9" s="20">
        <v>72.85</v>
      </c>
      <c r="G9" s="21">
        <v>83464</v>
      </c>
      <c r="H9" s="21"/>
    </row>
    <row r="10" s="3" customFormat="1" ht="33" customHeight="1" spans="1:8">
      <c r="A10" s="17">
        <v>6</v>
      </c>
      <c r="B10" s="18" t="s">
        <v>62</v>
      </c>
      <c r="C10" s="18">
        <v>28480</v>
      </c>
      <c r="D10" s="18">
        <v>2373</v>
      </c>
      <c r="E10" s="20">
        <v>30</v>
      </c>
      <c r="F10" s="20">
        <v>55.54</v>
      </c>
      <c r="G10" s="21">
        <v>39539</v>
      </c>
      <c r="H10" s="21"/>
    </row>
    <row r="11" s="3" customFormat="1" ht="33" customHeight="1" spans="1:8">
      <c r="A11" s="17">
        <v>7</v>
      </c>
      <c r="B11" s="18" t="s">
        <v>63</v>
      </c>
      <c r="C11" s="18">
        <v>93158</v>
      </c>
      <c r="D11" s="18">
        <v>7763</v>
      </c>
      <c r="E11" s="20">
        <v>30</v>
      </c>
      <c r="F11" s="20">
        <v>63.49</v>
      </c>
      <c r="G11" s="21">
        <v>147862</v>
      </c>
      <c r="H11" s="21"/>
    </row>
    <row r="12" s="3" customFormat="1" ht="33" customHeight="1" spans="1:8">
      <c r="A12" s="17">
        <v>8</v>
      </c>
      <c r="B12" s="18" t="s">
        <v>64</v>
      </c>
      <c r="C12" s="18">
        <v>74509</v>
      </c>
      <c r="D12" s="18">
        <v>6209</v>
      </c>
      <c r="E12" s="20">
        <v>30</v>
      </c>
      <c r="F12" s="20">
        <v>57.86</v>
      </c>
      <c r="G12" s="21">
        <v>107776</v>
      </c>
      <c r="H12" s="21"/>
    </row>
    <row r="13" s="3" customFormat="1" ht="33" customHeight="1" spans="1:8">
      <c r="A13" s="17">
        <v>9</v>
      </c>
      <c r="B13" s="18" t="s">
        <v>65</v>
      </c>
      <c r="C13" s="18">
        <v>28180</v>
      </c>
      <c r="D13" s="18">
        <v>2348</v>
      </c>
      <c r="E13" s="20">
        <v>30</v>
      </c>
      <c r="F13" s="20">
        <v>63.63</v>
      </c>
      <c r="G13" s="21">
        <v>44821</v>
      </c>
      <c r="H13" s="21"/>
    </row>
    <row r="14" s="3" customFormat="1" ht="33" customHeight="1" spans="1:8">
      <c r="A14" s="17">
        <v>10</v>
      </c>
      <c r="B14" s="18" t="s">
        <v>29</v>
      </c>
      <c r="C14" s="18">
        <v>54814</v>
      </c>
      <c r="D14" s="18">
        <v>4568</v>
      </c>
      <c r="E14" s="20">
        <v>30</v>
      </c>
      <c r="F14" s="20">
        <v>46.92</v>
      </c>
      <c r="G14" s="21">
        <v>64299</v>
      </c>
      <c r="H14" s="21"/>
    </row>
    <row r="15" s="3" customFormat="1" ht="33" customHeight="1" spans="1:8">
      <c r="A15" s="17">
        <v>11</v>
      </c>
      <c r="B15" s="18" t="s">
        <v>30</v>
      </c>
      <c r="C15" s="18">
        <v>60864</v>
      </c>
      <c r="D15" s="18">
        <v>5072</v>
      </c>
      <c r="E15" s="20">
        <v>30</v>
      </c>
      <c r="F15" s="13">
        <v>57.94</v>
      </c>
      <c r="G15" s="21">
        <v>88162</v>
      </c>
      <c r="H15" s="21"/>
    </row>
    <row r="16" s="3" customFormat="1" ht="33" customHeight="1" spans="1:8">
      <c r="A16" s="17">
        <v>12</v>
      </c>
      <c r="B16" s="18" t="s">
        <v>67</v>
      </c>
      <c r="C16" s="18">
        <v>108344</v>
      </c>
      <c r="D16" s="18">
        <v>9029</v>
      </c>
      <c r="E16" s="20">
        <v>30</v>
      </c>
      <c r="F16" s="13">
        <v>52.2</v>
      </c>
      <c r="G16" s="21">
        <v>141394</v>
      </c>
      <c r="H16" s="21"/>
    </row>
    <row r="17" s="3" customFormat="1" ht="33" customHeight="1" spans="1:8">
      <c r="A17" s="17">
        <v>13</v>
      </c>
      <c r="B17" s="18" t="s">
        <v>68</v>
      </c>
      <c r="C17" s="18">
        <v>59170</v>
      </c>
      <c r="D17" s="18">
        <v>4931</v>
      </c>
      <c r="E17" s="20">
        <v>30</v>
      </c>
      <c r="F17" s="20">
        <v>58.32</v>
      </c>
      <c r="G17" s="21">
        <v>86273</v>
      </c>
      <c r="H17" s="21"/>
    </row>
    <row r="18" s="3" customFormat="1" ht="33" customHeight="1" spans="1:8">
      <c r="A18" s="17">
        <v>14</v>
      </c>
      <c r="B18" s="22" t="s">
        <v>69</v>
      </c>
      <c r="C18" s="22">
        <v>8938</v>
      </c>
      <c r="D18" s="22">
        <v>745</v>
      </c>
      <c r="E18" s="20">
        <v>30</v>
      </c>
      <c r="F18" s="20">
        <v>70.17</v>
      </c>
      <c r="G18" s="21">
        <v>15683</v>
      </c>
      <c r="H18" s="21"/>
    </row>
    <row r="19" s="3" customFormat="1" ht="33" customHeight="1" spans="1:8">
      <c r="A19" s="17">
        <v>15</v>
      </c>
      <c r="B19" s="18" t="s">
        <v>26</v>
      </c>
      <c r="C19" s="18">
        <v>8</v>
      </c>
      <c r="D19" s="18">
        <v>0</v>
      </c>
      <c r="E19" s="20">
        <v>30</v>
      </c>
      <c r="F19" s="20">
        <v>51</v>
      </c>
      <c r="G19" s="21">
        <v>0</v>
      </c>
      <c r="H19" s="21"/>
    </row>
    <row r="20" s="3" customFormat="1" ht="33" customHeight="1" spans="1:8">
      <c r="A20" s="23"/>
      <c r="B20" s="18" t="s">
        <v>70</v>
      </c>
      <c r="C20" s="18">
        <f>SUM(C5:C19)</f>
        <v>817321</v>
      </c>
      <c r="D20" s="18">
        <f>SUM(D5:D19)</f>
        <v>68110</v>
      </c>
      <c r="E20" s="20"/>
      <c r="F20" s="20"/>
      <c r="G20" s="21">
        <f>SUM(G5:G19)</f>
        <v>1164951</v>
      </c>
      <c r="H20" s="27"/>
    </row>
    <row r="21" s="2" customFormat="1" ht="13" customHeight="1" spans="7:7">
      <c r="G21" s="10"/>
    </row>
  </sheetData>
  <mergeCells count="1">
    <mergeCell ref="A2:H2"/>
  </mergeCells>
  <printOptions horizontalCentered="1"/>
  <pageMargins left="0.393055555555556" right="0.393055555555556" top="0.590277777777778" bottom="0.590277777777778" header="0.393055555555556" footer="0.393055555555556"/>
  <pageSetup paperSize="9" orientation="portrait" horizontalDpi="600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J9" sqref="J9"/>
    </sheetView>
  </sheetViews>
  <sheetFormatPr defaultColWidth="9" defaultRowHeight="14.25" outlineLevelCol="6"/>
  <cols>
    <col min="1" max="1" width="5.375" customWidth="1"/>
    <col min="2" max="2" width="20.75" customWidth="1"/>
    <col min="3" max="3" width="11.5" customWidth="1"/>
    <col min="4" max="4" width="12.375" customWidth="1"/>
    <col min="5" max="5" width="10.125" customWidth="1"/>
    <col min="6" max="6" width="14.375" style="4" customWidth="1"/>
    <col min="7" max="7" width="11.75" customWidth="1"/>
  </cols>
  <sheetData>
    <row r="1" s="1" customFormat="1" ht="26" customHeight="1" spans="1:6">
      <c r="A1" s="5" t="s">
        <v>200</v>
      </c>
      <c r="B1" s="6"/>
      <c r="C1" s="6"/>
      <c r="D1" s="6"/>
      <c r="E1" s="6"/>
      <c r="F1" s="7"/>
    </row>
    <row r="2" ht="27" customHeight="1" spans="1:7">
      <c r="A2" s="8" t="s">
        <v>201</v>
      </c>
      <c r="B2" s="8"/>
      <c r="C2" s="8"/>
      <c r="D2" s="8"/>
      <c r="E2" s="8"/>
      <c r="F2" s="9"/>
      <c r="G2" s="8"/>
    </row>
    <row r="3" s="2" customFormat="1" ht="17" customHeight="1" spans="6:7">
      <c r="F3" s="10"/>
      <c r="G3" s="11" t="s">
        <v>36</v>
      </c>
    </row>
    <row r="4" s="2" customFormat="1" ht="44" customHeight="1" spans="1:7">
      <c r="A4" s="12" t="s">
        <v>3</v>
      </c>
      <c r="B4" s="13" t="s">
        <v>37</v>
      </c>
      <c r="C4" s="13" t="s">
        <v>189</v>
      </c>
      <c r="D4" s="14" t="s">
        <v>202</v>
      </c>
      <c r="E4" s="15" t="s">
        <v>199</v>
      </c>
      <c r="F4" s="16" t="s">
        <v>191</v>
      </c>
      <c r="G4" s="14" t="s">
        <v>9</v>
      </c>
    </row>
    <row r="5" s="3" customFormat="1" ht="35" customHeight="1" spans="1:7">
      <c r="A5" s="17">
        <v>1</v>
      </c>
      <c r="B5" s="18" t="s">
        <v>28</v>
      </c>
      <c r="C5" s="19">
        <v>80128</v>
      </c>
      <c r="D5" s="20">
        <v>11.31467</v>
      </c>
      <c r="E5" s="20">
        <v>97.45</v>
      </c>
      <c r="F5" s="21">
        <v>883503</v>
      </c>
      <c r="G5" s="21"/>
    </row>
    <row r="6" s="3" customFormat="1" ht="35" customHeight="1" spans="1:7">
      <c r="A6" s="17">
        <v>2</v>
      </c>
      <c r="B6" s="18" t="s">
        <v>55</v>
      </c>
      <c r="C6" s="19">
        <v>14698</v>
      </c>
      <c r="D6" s="20">
        <v>11.31467</v>
      </c>
      <c r="E6" s="20">
        <v>91.47</v>
      </c>
      <c r="F6" s="21">
        <v>152117</v>
      </c>
      <c r="G6" s="21"/>
    </row>
    <row r="7" s="3" customFormat="1" ht="35" customHeight="1" spans="1:7">
      <c r="A7" s="17">
        <v>3</v>
      </c>
      <c r="B7" s="18" t="s">
        <v>57</v>
      </c>
      <c r="C7" s="19">
        <v>6731</v>
      </c>
      <c r="D7" s="20">
        <v>11.31467</v>
      </c>
      <c r="E7" s="20">
        <v>89.39</v>
      </c>
      <c r="F7" s="21">
        <v>68079</v>
      </c>
      <c r="G7" s="21"/>
    </row>
    <row r="8" s="3" customFormat="1" ht="35" customHeight="1" spans="1:7">
      <c r="A8" s="17">
        <v>4</v>
      </c>
      <c r="B8" s="18" t="s">
        <v>59</v>
      </c>
      <c r="C8" s="19">
        <v>31405</v>
      </c>
      <c r="D8" s="20">
        <v>11.31467</v>
      </c>
      <c r="E8" s="20">
        <v>96.59</v>
      </c>
      <c r="F8" s="21">
        <v>343220</v>
      </c>
      <c r="G8" s="21"/>
    </row>
    <row r="9" s="3" customFormat="1" ht="35" customHeight="1" spans="1:7">
      <c r="A9" s="17">
        <v>5</v>
      </c>
      <c r="B9" s="18" t="s">
        <v>61</v>
      </c>
      <c r="C9" s="19">
        <v>20736</v>
      </c>
      <c r="D9" s="20">
        <v>11.31467</v>
      </c>
      <c r="E9" s="20">
        <v>95.36</v>
      </c>
      <c r="F9" s="21">
        <v>223735</v>
      </c>
      <c r="G9" s="21"/>
    </row>
    <row r="10" s="3" customFormat="1" ht="35" customHeight="1" spans="1:7">
      <c r="A10" s="17">
        <v>6</v>
      </c>
      <c r="B10" s="18" t="s">
        <v>62</v>
      </c>
      <c r="C10" s="19">
        <v>15109</v>
      </c>
      <c r="D10" s="20">
        <v>11.31467</v>
      </c>
      <c r="E10" s="20">
        <v>95.31</v>
      </c>
      <c r="F10" s="21">
        <v>162936</v>
      </c>
      <c r="G10" s="21"/>
    </row>
    <row r="11" s="3" customFormat="1" ht="35" customHeight="1" spans="1:7">
      <c r="A11" s="17">
        <v>7</v>
      </c>
      <c r="B11" s="18" t="s">
        <v>63</v>
      </c>
      <c r="C11" s="19">
        <v>27787</v>
      </c>
      <c r="D11" s="20">
        <v>11.31467</v>
      </c>
      <c r="E11" s="20">
        <v>95.48</v>
      </c>
      <c r="F11" s="21">
        <v>300190</v>
      </c>
      <c r="G11" s="21"/>
    </row>
    <row r="12" s="3" customFormat="1" ht="35" customHeight="1" spans="1:7">
      <c r="A12" s="17">
        <v>8</v>
      </c>
      <c r="B12" s="18" t="s">
        <v>64</v>
      </c>
      <c r="C12" s="19">
        <v>43627</v>
      </c>
      <c r="D12" s="20">
        <v>11.31467</v>
      </c>
      <c r="E12" s="20">
        <v>96.43</v>
      </c>
      <c r="F12" s="21">
        <v>476003</v>
      </c>
      <c r="G12" s="21"/>
    </row>
    <row r="13" s="3" customFormat="1" ht="35" customHeight="1" spans="1:7">
      <c r="A13" s="17">
        <v>9</v>
      </c>
      <c r="B13" s="18" t="s">
        <v>65</v>
      </c>
      <c r="C13" s="19">
        <v>8000</v>
      </c>
      <c r="D13" s="20">
        <v>11.31467</v>
      </c>
      <c r="E13" s="20">
        <v>90.18</v>
      </c>
      <c r="F13" s="21">
        <v>81628</v>
      </c>
      <c r="G13" s="21"/>
    </row>
    <row r="14" s="3" customFormat="1" ht="35" customHeight="1" spans="1:7">
      <c r="A14" s="17">
        <v>10</v>
      </c>
      <c r="B14" s="18" t="s">
        <v>29</v>
      </c>
      <c r="C14" s="19">
        <v>28095</v>
      </c>
      <c r="D14" s="20">
        <v>11.31467</v>
      </c>
      <c r="E14" s="20">
        <v>95.86</v>
      </c>
      <c r="F14" s="21">
        <v>304725</v>
      </c>
      <c r="G14" s="21"/>
    </row>
    <row r="15" s="3" customFormat="1" ht="35" customHeight="1" spans="1:7">
      <c r="A15" s="17">
        <v>11</v>
      </c>
      <c r="B15" s="18" t="s">
        <v>30</v>
      </c>
      <c r="C15" s="19">
        <v>41364</v>
      </c>
      <c r="D15" s="20">
        <v>11.31467</v>
      </c>
      <c r="E15" s="20">
        <v>96.57</v>
      </c>
      <c r="F15" s="21">
        <v>451967</v>
      </c>
      <c r="G15" s="21"/>
    </row>
    <row r="16" s="3" customFormat="1" ht="35" customHeight="1" spans="1:7">
      <c r="A16" s="17">
        <v>12</v>
      </c>
      <c r="B16" s="18" t="s">
        <v>67</v>
      </c>
      <c r="C16" s="19">
        <v>32254</v>
      </c>
      <c r="D16" s="20">
        <v>11.31467</v>
      </c>
      <c r="E16" s="20">
        <v>96.35</v>
      </c>
      <c r="F16" s="21">
        <v>351623</v>
      </c>
      <c r="G16" s="21"/>
    </row>
    <row r="17" s="3" customFormat="1" ht="35" customHeight="1" spans="1:7">
      <c r="A17" s="17">
        <v>13</v>
      </c>
      <c r="B17" s="18" t="s">
        <v>68</v>
      </c>
      <c r="C17" s="19">
        <v>31150</v>
      </c>
      <c r="D17" s="20">
        <v>11.31467</v>
      </c>
      <c r="E17" s="20">
        <v>93.35</v>
      </c>
      <c r="F17" s="21">
        <v>329014</v>
      </c>
      <c r="G17" s="21"/>
    </row>
    <row r="18" s="3" customFormat="1" ht="35" customHeight="1" spans="1:7">
      <c r="A18" s="17">
        <v>14</v>
      </c>
      <c r="B18" s="22" t="s">
        <v>69</v>
      </c>
      <c r="C18" s="19">
        <v>4666</v>
      </c>
      <c r="D18" s="20">
        <v>11.31467</v>
      </c>
      <c r="E18" s="20">
        <v>91.17</v>
      </c>
      <c r="F18" s="21">
        <v>48132</v>
      </c>
      <c r="G18" s="21"/>
    </row>
    <row r="19" s="3" customFormat="1" ht="35" customHeight="1" spans="1:7">
      <c r="A19" s="17">
        <v>15</v>
      </c>
      <c r="B19" s="18" t="s">
        <v>26</v>
      </c>
      <c r="C19" s="19">
        <v>4250</v>
      </c>
      <c r="D19" s="20">
        <v>11.31467</v>
      </c>
      <c r="E19" s="20">
        <v>89.87</v>
      </c>
      <c r="F19" s="21">
        <v>43216</v>
      </c>
      <c r="G19" s="21"/>
    </row>
    <row r="20" s="3" customFormat="1" ht="35" customHeight="1" spans="1:7">
      <c r="A20" s="23"/>
      <c r="B20" s="18" t="s">
        <v>70</v>
      </c>
      <c r="C20" s="24">
        <f>SUM(C5:C19)</f>
        <v>390000</v>
      </c>
      <c r="D20" s="25"/>
      <c r="E20" s="26"/>
      <c r="F20" s="21">
        <f>SUM(F5:F19)</f>
        <v>4220088</v>
      </c>
      <c r="G20" s="27"/>
    </row>
    <row r="21" s="2" customFormat="1" spans="6:6">
      <c r="F21" s="28"/>
    </row>
  </sheetData>
  <mergeCells count="1">
    <mergeCell ref="A2:G2"/>
  </mergeCells>
  <printOptions horizontalCentered="1"/>
  <pageMargins left="0.393055555555556" right="0.393055555555556" top="0.590277777777778" bottom="0.590277777777778" header="0.393055555555556" footer="0.393055555555556"/>
  <pageSetup paperSize="9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附件1</vt:lpstr>
      <vt:lpstr>附件2</vt:lpstr>
      <vt:lpstr>附件2-1</vt:lpstr>
      <vt:lpstr>附件2-1-1</vt:lpstr>
      <vt:lpstr>附件2-1-2</vt:lpstr>
      <vt:lpstr>附件2-1-3</vt:lpstr>
      <vt:lpstr>附件2-1-4</vt:lpstr>
      <vt:lpstr>附件2-1-5</vt:lpstr>
      <vt:lpstr>附件2-1-6</vt:lpstr>
      <vt:lpstr>附件2-1-7</vt:lpstr>
      <vt:lpstr>附件2-1-8</vt:lpstr>
      <vt:lpstr>附件2-1-9</vt:lpstr>
      <vt:lpstr>附件2-1-10</vt:lpstr>
      <vt:lpstr>附件2-1-11</vt:lpstr>
      <vt:lpstr>附件2-1-12</vt:lpstr>
      <vt:lpstr>附件2-1-13</vt:lpstr>
      <vt:lpstr>附件2-2</vt:lpstr>
      <vt:lpstr>附件2-3</vt:lpstr>
      <vt:lpstr>附件2-4</vt:lpstr>
      <vt:lpstr>附件2-5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2019-02-28T17:53:00Z</dcterms:created>
  <dcterms:modified xsi:type="dcterms:W3CDTF">2023-06-08T02:57:47Z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2052-11.8.2.12055</vt:lpwstr>
  </property>
  <property fmtid="{D5CDD505-2E9C-101B-9397-08002B2CF9AE}" pid="3" name="ICV">
    <vt:lpwstr>D57D3722731148B596C484B1314BD2F1_13</vt:lpwstr>
  </property>
</Properties>
</file>