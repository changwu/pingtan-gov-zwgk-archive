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943" windowHeight="9960" tabRatio="599"/>
  </bookViews>
  <sheets>
    <sheet name="附件1" sheetId="17" r:id="rId1"/>
    <sheet name="总表 (不含新增)" sheetId="21" state="hidden" r:id="rId2"/>
    <sheet name="附件1（操作项目已纳入总表）" sheetId="4" state="hidden" r:id="rId3"/>
    <sheet name="附件2（检验项目已纳入总表）" sheetId="19" state="hidden" r:id="rId4"/>
    <sheet name="附件3（辅助操作纳入总表）" sheetId="13" state="hidden" r:id="rId5"/>
    <sheet name="附件4（新增项目纳入总表）" sheetId="20" state="hidden" r:id="rId6"/>
  </sheets>
  <definedNames>
    <definedName name="_xlnm._FilterDatabase" localSheetId="0" hidden="1">附件1!$A$4:$P$247</definedName>
    <definedName name="_xlnm._FilterDatabase" localSheetId="4" hidden="1">'附件3（辅助操作纳入总表）'!$A$1:$XFB$79</definedName>
    <definedName name="_xlnm._FilterDatabase" localSheetId="2" hidden="1">'附件1（操作项目已纳入总表）'!$A$4:$R$4</definedName>
    <definedName name="_xlnm._FilterDatabase" localSheetId="1" hidden="1">'总表 (不含新增)'!$C$4:$J$201</definedName>
    <definedName name="_xlnm.Print_Area" localSheetId="2">'附件1（操作项目已纳入总表）'!$A$1:$P$30</definedName>
    <definedName name="_xlnm.Print_Area" localSheetId="1">'总表 (不含新增)'!$A$1:$T$84</definedName>
    <definedName name="_xlnm.Print_Titles" localSheetId="2">'附件1（操作项目已纳入总表）'!$2:$4</definedName>
    <definedName name="_xlnm.Print_Titles" localSheetId="1">'总表 (不含新增)'!$2:$4</definedName>
    <definedName name="_xlnm.Print_Titles" localSheetId="0">附件1!$4:$4</definedName>
  </definedNames>
  <calcPr calcId="144525"/>
</workbook>
</file>

<file path=xl/sharedStrings.xml><?xml version="1.0" encoding="utf-8"?>
<sst xmlns="http://schemas.openxmlformats.org/spreadsheetml/2006/main" count="1279">
  <si>
    <t>附件1</t>
  </si>
  <si>
    <t>平潭综合实验区公立医疗机构部分医疗服务项目价格表</t>
  </si>
  <si>
    <t>金额：元</t>
  </si>
  <si>
    <t>国家结算编码</t>
  </si>
  <si>
    <t>项目编码</t>
  </si>
  <si>
    <t>财务项目</t>
  </si>
  <si>
    <t>财务编码</t>
  </si>
  <si>
    <t>病案项目</t>
  </si>
  <si>
    <t>病案编码</t>
  </si>
  <si>
    <t>项目名称</t>
  </si>
  <si>
    <t>项目内涵</t>
  </si>
  <si>
    <t>除外内容</t>
  </si>
  <si>
    <t>计价单位</t>
  </si>
  <si>
    <t>县级医院收费标准</t>
  </si>
  <si>
    <t>基层医疗机构收费标准</t>
  </si>
  <si>
    <t>说明</t>
  </si>
  <si>
    <t>医保属性</t>
  </si>
  <si>
    <t>个人先行自付比例</t>
  </si>
  <si>
    <t>限用
范围</t>
  </si>
  <si>
    <t>002507000190300-111100007</t>
  </si>
  <si>
    <t>化验费</t>
  </si>
  <si>
    <t>06</t>
  </si>
  <si>
    <t>实验室诊断费</t>
  </si>
  <si>
    <t>用药指导的基因检测</t>
  </si>
  <si>
    <t>检测CYP2C9、CYP2C19、CYP2D6、CYP3A4、VKORC1、SLCO1B1、ApoE、ADRB1、AGTR1、ACE等药物代谢酶与转运体和药物作用靶点基因。样本采集、签收、处理(据标本类型不同进行相应的前处理)，提取基因组DNA（RNA），与质控品、阴阳性对照和内参同时扩增，分析扩增产物或杂交或芯片读取等，进行基因分析，判断并审核结果，录入实验室信息系统或人工登记，发送药物检测结果解读和临床药物治疗意见的报告，按规定处理废弃物。</t>
  </si>
  <si>
    <t>项</t>
  </si>
  <si>
    <t>项指1个基因。每药物检测超过1个基因的县级按612元，基层按520.2元收取。</t>
  </si>
  <si>
    <t>医保</t>
  </si>
  <si>
    <t>002507000190300-11110000701</t>
  </si>
  <si>
    <t>用药指导的基因检测（超过1个基因检测）</t>
  </si>
  <si>
    <t>001203000010000-120300001</t>
  </si>
  <si>
    <t>氧气吸入</t>
  </si>
  <si>
    <t>包括低流量给氧、中心给氧、高频吸氧；氧气创面治疗。</t>
  </si>
  <si>
    <t>一次性鼻导管、鼻塞、面罩等</t>
  </si>
  <si>
    <t>持续吸氧按每天70元计算，间断吸氧按小时计价；加压给氧每小时加收1元。新生儿在原价基础上加收30%。一氧化氮吸入每小时10元。</t>
  </si>
  <si>
    <t>治疗费</t>
  </si>
  <si>
    <t>09</t>
  </si>
  <si>
    <t>一般治疗操作费</t>
  </si>
  <si>
    <t>02</t>
  </si>
  <si>
    <t>一氧化氮吸入</t>
  </si>
  <si>
    <t>机械通气的同时，连接一氧化氮气瓶，监测一氧化氮及二氧化氮浓度，根据患儿病情调节浓度，观察使用效果。</t>
  </si>
  <si>
    <t>小时</t>
  </si>
  <si>
    <t>10</t>
  </si>
  <si>
    <t>每日不超过100元</t>
  </si>
  <si>
    <t>001204000080000-120400008</t>
  </si>
  <si>
    <t>静脉高营养治疗</t>
  </si>
  <si>
    <t>含静脉营养配置</t>
  </si>
  <si>
    <t>日</t>
  </si>
  <si>
    <t>001204000110000-120400011</t>
  </si>
  <si>
    <t>中心静脉穿刺置管术</t>
  </si>
  <si>
    <t>包括深静脉穿刺置管术</t>
  </si>
  <si>
    <t>中心静脉套件、测压套件、中心静脉导管</t>
  </si>
  <si>
    <t>次</t>
  </si>
  <si>
    <t>测压加收5元。六岁及以下儿童在原价基础上加收30%。</t>
  </si>
  <si>
    <t>001204000110100-12040001101</t>
  </si>
  <si>
    <t>深静脉穿刺置管术</t>
  </si>
  <si>
    <t>001204000110000-12040001103</t>
  </si>
  <si>
    <t>小儿中心静脉穿刺置管术</t>
  </si>
  <si>
    <t>3．X线计算机体层（CT）扫描</t>
  </si>
  <si>
    <t>含胶片及冲洗、数据存储介质、增强扫描用注射器等耗材</t>
  </si>
  <si>
    <t>造影剂、麻醉及其药物</t>
  </si>
  <si>
    <t>1．计价部位分为颅脑、眼眶、视神经管、颞骨、鞍区、副鼻窦、鼻骨、口腔、颈部、胸部、心脏、上腹部、中腹部、下腹部、椎体(每三个椎体)、双髋关节、膝关节、肢体、其他；2．三维重建医院加收63元/部位，基层加收53.6元/部位；3．使用心电或呼吸门控设备的医院加收40元/部位，基层加收34元/部位。</t>
  </si>
  <si>
    <t>002103000010000-210300001</t>
  </si>
  <si>
    <t>检查费</t>
  </si>
  <si>
    <t>05</t>
  </si>
  <si>
    <t>影像学诊断费</t>
  </si>
  <si>
    <t>07</t>
  </si>
  <si>
    <t>X线计算机体层（CT）平扫</t>
  </si>
  <si>
    <t>指多层、螺旋平扫。</t>
  </si>
  <si>
    <t>每个部位</t>
  </si>
  <si>
    <t>口腔X线计算机体层平扫含曲面体层颌全景摄影、数字化摄影。口腔治疗采用X线计算机体层平扫超过1次按1次收取。</t>
  </si>
  <si>
    <t>002302000260000-230200026</t>
  </si>
  <si>
    <t>肺通气显象</t>
  </si>
  <si>
    <t>含气溶胶雾化吸入装置及气体</t>
  </si>
  <si>
    <t>六个体位</t>
  </si>
  <si>
    <t>每增加一个体位医院加收36元，基层加收30.6元。胸阻抗断层成像参照执行</t>
  </si>
  <si>
    <t>胸阻抗断层成像</t>
  </si>
  <si>
    <t>002303000010000-230300001</t>
  </si>
  <si>
    <t>脏器断层显像</t>
  </si>
  <si>
    <t>包括脏器、脏器血流、脏器血池、静息灌注等显象</t>
  </si>
  <si>
    <t>1、增加时相医院加收18元，基层加收15.3元；2、增加门控医院加收36元，基层加收30.6元。断层融合参照执行。</t>
  </si>
  <si>
    <t>断层融合显像</t>
  </si>
  <si>
    <t>正电子发射计算机断层扫描综合显象</t>
  </si>
  <si>
    <t>指正电子发射计算机断层-X线计算机体层综合显像</t>
  </si>
  <si>
    <t>核素药物</t>
  </si>
  <si>
    <t>正电子发射计算机断层-磁共振成像综合显像加收30%。未获得国家卫健配置规划许可的，不得收费。</t>
  </si>
  <si>
    <t>正电子发射计算机断层-磁共振成像综合显像</t>
  </si>
  <si>
    <t>未获得国家卫健配置规划许可的，不得收费。</t>
  </si>
  <si>
    <t>002503030190000-250101023</t>
  </si>
  <si>
    <t>血酮体（KET）测定</t>
  </si>
  <si>
    <t>样本类型：血液。样本采集、签收、处理，定标和质控，检测样本，审核结果，录入实验室信息系统或人工登记，发送报告；按规定处理废弃物；接受临床相关咨询。</t>
  </si>
  <si>
    <t>电脑血酮监测按9元/次收取</t>
  </si>
  <si>
    <t>电脑血酮监测</t>
  </si>
  <si>
    <t>壳多糖酶3样蛋白1检测</t>
  </si>
  <si>
    <t>样本类型：血液。标本采集，核收登记，标本评估，标本经处理，加入试剂，校准、质控，标本上机，根据实际情况反复测定，审核结果，根据实际情况与临床沟通，录入实验室信息系统或人工登记，人工审核，出具分析报告，对特殊情况作出备注、提出临床建议；按规定处理废弃物。</t>
  </si>
  <si>
    <t>免疫球蛋白轻链定量测定（K-LC，λ-LC）</t>
  </si>
  <si>
    <t>包括游离轻链定量测定（K-FLC，λ-FLC）</t>
  </si>
  <si>
    <t>每种测定计费一次。游离轻链定量测定与免疫球蛋白轻链定量测定不得同时收取。</t>
  </si>
  <si>
    <t>游离轻链定量测定（K-FLC，λ-FLC）</t>
  </si>
  <si>
    <t>002504020030100-250402003</t>
  </si>
  <si>
    <t>抗核提取物抗体测定（抗ENA抗体）</t>
  </si>
  <si>
    <t>抗SSA、抗SSB、抗JO－1、抗Sm、抗nRNP、抗ScL-70、抗着丝点抗体等测定分别参照执行</t>
  </si>
  <si>
    <t>低于7项按项收取。7种≤抗ENA抗体＜14种医院按151元收取，基层按128.4元收取；抗ENA抗体≥14 种医院按180元收取，基层按153元收取。</t>
  </si>
  <si>
    <t>抗核提取物抗体测定（抗ENA抗体种类大于等于7种，小于14种）</t>
  </si>
  <si>
    <t>7种≤抗ENA抗体种类＜14种</t>
  </si>
  <si>
    <t>抗核提取物抗体测定（抗ENA抗体类大于等于14种）</t>
  </si>
  <si>
    <t>抗ENA抗体种类≥14种</t>
  </si>
  <si>
    <t>002504030660000-250403066</t>
  </si>
  <si>
    <t>人乳头瘤病毒（HPV）核酸检测</t>
  </si>
  <si>
    <t>人类免疫缺陷病毒核酸定量检测参照收取。PCR检测、荧光定量分析、杂交捕获检测收费不区分。</t>
  </si>
  <si>
    <t>人类免疫缺陷病毒核酸定量检测</t>
  </si>
  <si>
    <t>样本类型：抗凝全血。样本采集、签收、处理，提取模板,与标准品、阴阳性对照及质控品同时进行实时扩增，进行定量分析，判断并审核结果，录入实验室信息系统或人工登记，发送报告；按规定处理废弃物；接受临床相关咨询。</t>
  </si>
  <si>
    <t>乙型肝炎核酸定量测定</t>
  </si>
  <si>
    <t>样本类型：血清标本。样本采集、签收、处理，提取模板，进行扩增，进行定量分析，判断并审核结果，录入实验室信息系统或人工登记，发送报告；按规定处理废弃物；接受临床相关咨询。</t>
  </si>
  <si>
    <t>乙型肝炎核酸定量（载量灵敏度≤20IU/ML）医院按360元/次收取，基层按306元/次收取。</t>
  </si>
  <si>
    <t>乙型肝炎核酸定量测定（载量灵敏度≤20IU/ML）</t>
  </si>
  <si>
    <t>限临床乙肝治疗</t>
  </si>
  <si>
    <t>限用于抗病毒规范治疗后的疗效监测和常规阴性标本的复检</t>
  </si>
  <si>
    <t>呼吸道病毒抗原检测</t>
  </si>
  <si>
    <t>各种拭子样本采集、处理，检测样本，审核结果，录入实验室信息系统或人工登记，发送报告；按规定处理废弃物；接受临床相关咨询。</t>
  </si>
  <si>
    <t>肠道病毒抗原检测</t>
  </si>
  <si>
    <t>样本类型：粪便，样本采集、处理，检测，质控，审核结果，录入实验室信息系统或人工登记，发送报告；按规定处理废弃物；接受临床相关咨询。</t>
  </si>
  <si>
    <t>病毒血清抗体检测</t>
  </si>
  <si>
    <t>包括脊髓灰质炎病毒、柯萨奇病毒、流行性乙型脑炎病毒、流行性腮腺炎病毒、麻疹病毒等血清抗体测定</t>
  </si>
  <si>
    <t>各类病原体核酸测定</t>
  </si>
  <si>
    <t/>
  </si>
  <si>
    <t>每类病原体测定计费一次；全自动荧光定量110元</t>
  </si>
  <si>
    <t>各类病原体核酸测定（全自动荧光定量）</t>
  </si>
  <si>
    <t>002504040100200-250404010</t>
  </si>
  <si>
    <t>细胞角蛋白19片段测定（CYFRA21-1）</t>
  </si>
  <si>
    <t>包括细胞角蛋白18片段测定</t>
  </si>
  <si>
    <t>化学发光法医院97元，基层医疗机构82.5元。</t>
  </si>
  <si>
    <t>细胞角蛋白18片段测定</t>
  </si>
  <si>
    <t>含18片段M30和18片段M65</t>
  </si>
  <si>
    <t>002504040140000-250404014</t>
  </si>
  <si>
    <t>肿瘤相关抗原测定</t>
  </si>
  <si>
    <t>包括MG－Ags、TA－4</t>
  </si>
  <si>
    <t>每项测定计价一次。肺癌自身抗体谱测定医院234元/次，基层198.9元/次。</t>
  </si>
  <si>
    <t>肺癌自身抗体谱测定</t>
  </si>
  <si>
    <t>含SOX2、GAGE7、 P53、PGP9.5、GBU4-5、CAGE、MAGE A1 七项自身抗体。样本类型：血液。样本采集、签收、处理，加免疫试剂，温育，检测，质控，审核结果，录入实验室信息系统或人工登记，发送报告；按规定处理废弃物；接受临床相关咨询。</t>
  </si>
  <si>
    <t>限肺占位性病变、肺部阴影、肺不典型增生辅助诊断收取，不作为体检价格项目。</t>
  </si>
  <si>
    <t>尿核基质蛋白（NMP22）测定</t>
  </si>
  <si>
    <t>样本类型：血液、体液。样本采集、签收、检测，分析、判断并审核检测结果，录入实验室信息系统或人工登记，发送报告；按规定处理废弃物；接受临床相关咨询。</t>
  </si>
  <si>
    <t>限膀胱癌治疗收取</t>
  </si>
  <si>
    <t>002507000150000-250700015</t>
  </si>
  <si>
    <t>苯丙氨酸测定（PKU）</t>
  </si>
  <si>
    <t>包括各种标本</t>
  </si>
  <si>
    <t>多种遗传代谢病检测（串联质谱）医院按270元，基层229.5元，且限符合规定资质的新生儿遗传代谢疾病筛查诊断诊治中心收取。</t>
  </si>
  <si>
    <t>多种遗传代谢病检测（串联质谱）</t>
  </si>
  <si>
    <t>指串联质谱技术，含不少于27种氨基酸类、脂肪酸类、有机酸类新生儿遗传代谢疾病检测。</t>
  </si>
  <si>
    <t>002705000020000-270500002</t>
  </si>
  <si>
    <t>病理诊断费</t>
  </si>
  <si>
    <t>免疫组织化学染色诊断</t>
  </si>
  <si>
    <t>石蜡包埋组织于切片机切片，进行二甲苯脱蜡，系列乙醇水化，微波炉、高压锅或蛋白酶抗原修复，血清封闭，一抗反应(多克隆或单克隆)，酶标记二抗，亲合物或多聚物反应，显色，判读结果。新鲜冷冻组织，细胞涂片，组织印片参照相应方法制片。含处理上述技术过程中所产生的废液、废物的处理。</t>
  </si>
  <si>
    <t>每个标本，每种染色</t>
  </si>
  <si>
    <t>快速法医院135元，基层114.8元。免疫组化药物伴随诊断检测医院576元/次，基层489.6元/次。</t>
  </si>
  <si>
    <t>免疫组化药物伴随诊断检测</t>
  </si>
  <si>
    <t>样本：新鲜冷冻组织。指靶向治疗、免疫治疗等相关基因蛋白表达伴随诊断，提供针对特定治疗药物治疗反应的信息。</t>
  </si>
  <si>
    <t>002707000030000-270700003</t>
  </si>
  <si>
    <t>脱氧核糖核酸（DNA）测序</t>
  </si>
  <si>
    <t>甲醛固定组织、石蜡包埋组织、新鲜或冷冻组织预处理，DNA提取，PCR反映，琼脂糖或聚丙烯酰胺凝胶电泳、产物纯化、测序反应，于普通DNA测序仪分析、观察结果、出具检测报告。上述技术过程中所产生的废液、废物的处理。</t>
  </si>
  <si>
    <t>项指一个基因，超过2项按2项收取。限经批准取得开展此项技术的医疗机构收取。</t>
  </si>
  <si>
    <t>限与医保目录内药品相关的肿瘤用药指导时支付，其中相关的药品是指依据其药品法定适应症或医保限定支付范围需对基因表达或基因敏感突变等进行判断的肿瘤药品。</t>
  </si>
  <si>
    <t>脱氧核糖核酸（DNA）测序（超过2项按2项收取）</t>
  </si>
  <si>
    <t>超过2项按2项收取</t>
  </si>
  <si>
    <t>高通量测序（2基因和低于4种肿瘤用药指导）</t>
  </si>
  <si>
    <t>甲醛固定组织、石蜡包埋组织、新鲜或冷冻组织。核酸提取，文库构建，基因测序，生物信息学分析，出具基因测序报告。检测过程中所产生的废液、废物的处理。</t>
  </si>
  <si>
    <t>2基因和低于4种肿瘤用药指导。</t>
  </si>
  <si>
    <t>高通量测序（3基因和4种肿瘤用药指导）</t>
  </si>
  <si>
    <t>3基因和4种肿瘤用药指导</t>
  </si>
  <si>
    <t>高通量测序（超过3基因和4种（含）以上肿瘤用药指导）</t>
  </si>
  <si>
    <t>超过3基因和4种（含）以上肿瘤用药指导</t>
  </si>
  <si>
    <t>002707000010000-270700006</t>
  </si>
  <si>
    <t>组织/细胞荧光原位杂交检查诊断</t>
  </si>
  <si>
    <t>甲醛固定石蜡包埋组织，组织切片、脱蜡，系列乙醇水化等处理；新鲜冷冻组织切片，细胞涂片等进行相关处理。对组织HER2、ALK、EGFR等肿瘤主要相关基因进行荧光素标记探针杂交反应、洗涤、复染，荧光显微镜观察，记录及判读结果。含上述技术过程中所产生的废液、废物的处理。</t>
  </si>
  <si>
    <t>项指一个基因。源于外周血的标本参照检验同种基因项目价格收取；无同种基因检验项目的参照用药指导的基因检测价格执行。</t>
  </si>
  <si>
    <t>组织/细胞荧光原位杂交检查诊断（外周血无同种基因检测）</t>
  </si>
  <si>
    <t>外周血无同种基因检测</t>
  </si>
  <si>
    <t>组织/细胞荧光原位杂交检查诊断（外周血无同种基因检测，超过1项）</t>
  </si>
  <si>
    <t>外周血无同种基因检测，超过1项</t>
  </si>
  <si>
    <t>352707000040000-270700007</t>
  </si>
  <si>
    <t>组织/细胞荧光定量核酸多聚酶链式反应检查诊断</t>
  </si>
  <si>
    <t>甲醛固定石蜡包埋组织，组织切片；新鲜或冷冻组织匀浆化，离心收集细胞及细胞处理；组织裂解，经反复离心及相应化学试剂去除蛋白，回收核酸，PCR反应，对EGFR、ROS1、RET、KRAS、NRAS、PIK3CA、BRAF、HER2肿瘤相关基因突变进行检测，分析结果，诊断。含上述技术过程中所产生的废液、废物的处理。</t>
  </si>
  <si>
    <t>项指一个基因，3项及以上按2520元收取。源于外周血的标本参照检验同种基因项目价格收取；无同种基因检验项目的参照用药指导的基因检测价格收取。</t>
  </si>
  <si>
    <t>组织/细胞荧光定量核酸多聚酶链式反应检查诊断（3项及以上）</t>
  </si>
  <si>
    <t>组织/细胞荧光定量核酸多聚酶链式反应检查诊断（外周血无同种基因检测）</t>
  </si>
  <si>
    <t>组织/细胞荧光定量核酸多聚酶链式反应检查诊断（外周血无同种基因检测，超过1项）</t>
  </si>
  <si>
    <t>003101000160000-310100016</t>
  </si>
  <si>
    <t>手术治疗费</t>
  </si>
  <si>
    <t>腰椎穿刺术</t>
  </si>
  <si>
    <t>含测压、注药。</t>
  </si>
  <si>
    <t>一次性穿刺包</t>
  </si>
  <si>
    <t>脑脊液动力学检查医院加收27元，基层加收23元。腰-蛛网膜下腔分流术、腰大池引流术医院180元，基层153元。 六岁及以下儿童在原价基础上加收30%。</t>
  </si>
  <si>
    <t>腰-蛛网膜下腔分流术</t>
  </si>
  <si>
    <t>小儿腰-蛛网膜下腔分流术</t>
  </si>
  <si>
    <t>腰大池引流术</t>
  </si>
  <si>
    <t>小儿腰大池引流术</t>
  </si>
  <si>
    <t>003102080010000-310208001</t>
  </si>
  <si>
    <t>非手术治疗项目费</t>
  </si>
  <si>
    <t>胰岛素泵持续皮下注射胰岛素</t>
  </si>
  <si>
    <t>泵管</t>
  </si>
  <si>
    <t>003105170010000-310517001</t>
  </si>
  <si>
    <t>冠修复</t>
  </si>
  <si>
    <t>指普通金属和贵金属铸造冠修复。含牙体预备，药线排龈蜡记录，测色，技工室制作冠，试戴修改金属冠。</t>
  </si>
  <si>
    <t>每牙</t>
  </si>
  <si>
    <t>金属烤瓷冠修复380元，非金属冠修复700元，种植体冠修复加收200元。树脂冠修复按50元收取。</t>
  </si>
  <si>
    <t>金属烤瓷冠修复</t>
  </si>
  <si>
    <t>指普通金属和贵金属烤瓷冠修复。</t>
  </si>
  <si>
    <t>非金属冠修复</t>
  </si>
  <si>
    <t>指全瓷冠、瓷树脂复合材料冠修复。</t>
  </si>
  <si>
    <t>种植体冠修复（加收）</t>
  </si>
  <si>
    <t>指种植体上部结构加工制作</t>
  </si>
  <si>
    <t>树脂冠冠修复</t>
  </si>
  <si>
    <t>003106050010000-310605001</t>
  </si>
  <si>
    <t>临床诊断项目费</t>
  </si>
  <si>
    <t>08</t>
  </si>
  <si>
    <t>硬质气管镜检查</t>
  </si>
  <si>
    <t>003106050080000-310605008</t>
  </si>
  <si>
    <t>经纤支镜特殊治疗</t>
  </si>
  <si>
    <t>指微波治疗法。</t>
  </si>
  <si>
    <t>激光法、高频电法、氩离子凝固法、冷冻法医院收445元，基层收378.3元。</t>
  </si>
  <si>
    <t>经纤支镜特殊治疗（冷冻法）</t>
  </si>
  <si>
    <t>冷冻法</t>
  </si>
  <si>
    <t>经纤支镜特殊治疗（氩离子凝固法）</t>
  </si>
  <si>
    <t>氩离子凝固法</t>
  </si>
  <si>
    <t>003106050100000-310605010</t>
  </si>
  <si>
    <t>经纤支镜支架置入术</t>
  </si>
  <si>
    <t>包括经纤支镜支架取出术</t>
  </si>
  <si>
    <t>支架</t>
  </si>
  <si>
    <t>经纤支镜支架取出术</t>
  </si>
  <si>
    <t>003106050020000-310605018</t>
  </si>
  <si>
    <t>电磁导航支气管镜检查术</t>
  </si>
  <si>
    <t>加载肺部影像学数据，系统对肺部支气管结构进行三维成像，对肺部病灶进行术前病变分析和路径规划，寻找目标病灶，通过系统生成并建立达到病灶部位的导航路径。患者在麻醉状态下，通过支气管镜连接气管内镜定位导管和内窥镜工作通道延长导管，在实时电磁导航引导下，将内窥镜工作通道延长导管引导到肺外周病灶目标位置，抽出气管内镜定位导管，建立经支气管到达肺部目标病灶多功能工作通道，进行目标病灶的活检取样、刷片、穿刺等检查。不含病理学检查和影像学检查</t>
  </si>
  <si>
    <t>定位导管、延长导管</t>
  </si>
  <si>
    <t>采用支气管镜经肺实质病灶检查术按70%元收取。</t>
  </si>
  <si>
    <t>支气管镜经肺实质病灶检查术</t>
  </si>
  <si>
    <t>利用导航引导支气管镜到达肺部病灶，通过穿刺穿透支气管壁，建立隧道，在X线定位下透视运气管壁，实现病理标本获取。不含病理学和影像学检查</t>
  </si>
  <si>
    <t>003106060020000-310606002</t>
  </si>
  <si>
    <t>恶性肿瘤腔内灌注治疗</t>
  </si>
  <si>
    <t>包括腹腔恶性肿瘤热循环灌注治疗</t>
  </si>
  <si>
    <t>结核病灌注治疗医院99元，基层84.2元。</t>
  </si>
  <si>
    <t>003106060020100-31060600201</t>
  </si>
  <si>
    <t>结核病灌注治疗</t>
  </si>
  <si>
    <t>在胸腔穿刺或置管后，根据患者病情想胸腔注入药物进行灌注治疗</t>
  </si>
  <si>
    <t>003109020060000-310902006</t>
  </si>
  <si>
    <t>经胃镜特殊治疗</t>
  </si>
  <si>
    <t>包括取异物、粘膜切除、粘膜血流量测定、止血、息肉肿物切除等病变及内镜下胃食道返流治疗、药疗、化疗、硬化剂治疗</t>
  </si>
  <si>
    <t>圈套器、钛夹</t>
  </si>
  <si>
    <t>每个肿物或出血点</t>
  </si>
  <si>
    <t>微波法医院115元，基层97.8元；激光法、电切法医院135元，基层114.8元。</t>
  </si>
  <si>
    <t>胃镜下食管射频消融术</t>
  </si>
  <si>
    <t>在消化内镜下通过射频电流凝固坏死消除食管粘膜处病变，对扁平粘膜层早期食管癌及其病变进行治疗</t>
  </si>
  <si>
    <t>限福建省医疗“创双高”医院和国家区域医疗中心福建主体医院试行</t>
  </si>
  <si>
    <t>003109020090000-310902009</t>
  </si>
  <si>
    <t>超声胃镜检查术</t>
  </si>
  <si>
    <t>包括超声肠镜检查术，含活检。</t>
  </si>
  <si>
    <t>超声肠镜检查术</t>
  </si>
  <si>
    <t>003109050030000-310905003</t>
  </si>
  <si>
    <t>肝穿刺术</t>
  </si>
  <si>
    <t>含活检</t>
  </si>
  <si>
    <t>穿刺针</t>
  </si>
  <si>
    <t>经皮肝穿刺引流术医院270元，基层229.5元；六岁及以下儿童在原价基础上加收30%。</t>
  </si>
  <si>
    <t>经皮肝穿刺引流术</t>
  </si>
  <si>
    <t>小儿经皮肝穿刺引流术</t>
  </si>
  <si>
    <t>003111000030000-311100003</t>
  </si>
  <si>
    <t>夜间阴茎胀大试验</t>
  </si>
  <si>
    <t>含硬度计法</t>
  </si>
  <si>
    <t>003112010400000-311201040</t>
  </si>
  <si>
    <t>胚胎培养</t>
  </si>
  <si>
    <t>含体外受精、培养，胚胎形态学评估</t>
  </si>
  <si>
    <t>胚胎活检另行收取。</t>
  </si>
  <si>
    <t>胚胎活检</t>
  </si>
  <si>
    <t>应用酸、PZD、激光等方法获得极体/卵裂球/囊胚滋养层细胞。</t>
  </si>
  <si>
    <t>003112010410000-311201041</t>
  </si>
  <si>
    <t>胚胎移植术</t>
  </si>
  <si>
    <t>含形态学评估、宫腔积液抽吸术</t>
  </si>
  <si>
    <t>003112010620000-311201062</t>
  </si>
  <si>
    <t>胚胎冷冻</t>
  </si>
  <si>
    <t>包括胚胎/卵子/卵巢组织/精子冷冻前处理、形态学评估、冷冻保存。</t>
  </si>
  <si>
    <t>胚胎/卵子/卵巢组织/玻璃化冷冻加收</t>
  </si>
  <si>
    <t>胚胎/卵子/卵巢组织玻璃化冷冻加收</t>
  </si>
  <si>
    <t>003114000510000-311400051</t>
  </si>
  <si>
    <t>烧伤浸浴扩创术（小）</t>
  </si>
  <si>
    <t>烧伤面积＞30%。烧伤面积＜30%时，医院72元/次，基层61.2元/次。</t>
  </si>
  <si>
    <t>烧伤浸浴扩创术（面积小于30%）</t>
  </si>
  <si>
    <t>烧伤面积＜30%</t>
  </si>
  <si>
    <t>003205000010000-320500001</t>
  </si>
  <si>
    <t>手术费</t>
  </si>
  <si>
    <t>冠状动脉造影术</t>
  </si>
  <si>
    <t>同时做左心室造影医院加收485元，基层加收412.3元。冠状动脉血流储备分数检查医院900元，基层765元。</t>
  </si>
  <si>
    <t>冠状动脉血流储备分数检查</t>
  </si>
  <si>
    <t>含检查靶血管造影</t>
  </si>
  <si>
    <t>小儿冠状动脉血流储备分数检查</t>
  </si>
  <si>
    <t>手术治疗</t>
  </si>
  <si>
    <t>1．本类包括麻醉、神经系统、内分泌系统、眼、耳、鼻口咽、呼吸系统、心血管系统、造血及淋巴系统、消化系统、泌尿系统、男、女性生殖系统、产科、肌肉骨骼系统、体被系统16个第三级分类的手术项目。2．经同一切口进行的两种不同疾病的手术，其中另一手术按50%收取。3．手术中所需的常规器械和低值医用消耗品，（如一次性无菌巾、消毒药品、冲洗盐水、一般缝线、敷料等）在定价时已列入手术成本因素中考虑，均不另行计价。</t>
  </si>
  <si>
    <t>4．手术中所需的特殊医用消耗材料（特殊穿刺针、消融电极、消融针及附件、特殊导丝、导管、支架、球囊、钛夹、钛钉、钛板、扩张器、吻合器、缝合器、固定器等）、特殊药品、组织器官移植供体、人工植入体等，均为除外内容。本类第三至五级分类项目的除外内容凡与本类说明所列除外内容重复的，予以删除。5．如病情需要再次手术，应在该项目计价基础上，按30%加收。</t>
  </si>
  <si>
    <t>6．手术项目名称中已明确规定应使用某种仪器的,该项目价格中已含此仪器使用费,不得另行收取该仪器使用费。其他手术项目中使用下列仪器时,在项目价格基础上加收：腹腔镜、宫腔镜、胸腔镜、颅内镜辅助操作医院加收720元，基层加收612元；鼻内镜辅助操作、电子胃镜辅助操作医院加收180元，基层加收153元；手术费2000元以下的手术使用超声刀，医院加收540元，基层加收459元；手术费2000元到3000元的手术使用超声刀医院加收900元，基层加收765元；手术费3000元以上的手术使用超声刀医院加收1800元，基层加收1530元；氩气刀辅助操作、结扎速血管组织闭合系统、等离子刀辅助操作医院加收450元，基层加收382.5；膀胱镜辅助操作、电子肠镜辅助操作医院加收225元，基层加收191.3元；关节镜辅助操作、视频鼻咽喉镜辅助操作医院加收540元，基层加收459元；射频辅助操作医院加收990元，基层加收841.5元；非直视手术显微镜辅助操作医院加收720元，基层加收612元；其它显微镜辅助操作医院加收180元，基层加收153元。</t>
  </si>
  <si>
    <t>7．传染病患者手术加收特殊消毒费，医院加收135元，基层加收114.8元；特异性感染疾病（破伤风、绿脓杆菌、气性坏疽）患者手术加收特殊消毒费医院加收900元，基层加收765元。8．在同一项目中使用激光、微波、射频、冷冻等方法可分别计价。同时进行两种麻醉时，主要麻醉按全价收，辅助麻醉按50%收。9.中医传统手术项目如肛肠、中医骨伤，须在中医相应的诊疗项目中查找，不在此重复列项。10.六岁及以下儿童在原价基础上加收30%。</t>
  </si>
  <si>
    <t>超声刀辅助操作（手术费2000元到3000元的手术加收）</t>
  </si>
  <si>
    <t>手术费2000元到3000元的手术使用超声刀加收</t>
  </si>
  <si>
    <t>超声刀辅助操作（手术费2000以下加收）</t>
  </si>
  <si>
    <t>手术费2000以下超声刀加收</t>
  </si>
  <si>
    <t>003301000010000-330100001</t>
  </si>
  <si>
    <t>局部浸润麻醉</t>
  </si>
  <si>
    <t>含表面麻醉</t>
  </si>
  <si>
    <t>003301000010000-33010000101</t>
  </si>
  <si>
    <t>小儿局部浸润麻醉</t>
  </si>
  <si>
    <t>003301000050000-330100005</t>
  </si>
  <si>
    <t>全身麻醉</t>
  </si>
  <si>
    <t>含气管插管；包括吸入、静脉或吸静复合以及靶控输入</t>
  </si>
  <si>
    <t>喉罩、特殊气管导管</t>
  </si>
  <si>
    <t>2小时</t>
  </si>
  <si>
    <t>每增加1小时医院加收162元，基层加收137.7元；无痛胃镜或肠镜全身麻醉或无痛胃、肠镜同时检查全身麻醉按医院340元/2小时收费，基层289元/2小时收费；无痛支气管镜检查全身麻醉医院340元/2小时收费，基层289元/2小时收费。</t>
  </si>
  <si>
    <t>003301000050001-33010000501</t>
  </si>
  <si>
    <t>全身麻醉（每增加1小时加收）</t>
  </si>
  <si>
    <t>每小时</t>
  </si>
  <si>
    <t>003301000050000-33010000503</t>
  </si>
  <si>
    <t>小儿全身麻醉</t>
  </si>
  <si>
    <t>003301000050001-33010000504</t>
  </si>
  <si>
    <t>小儿全身麻醉（每增加1小时加收）</t>
  </si>
  <si>
    <t>全身麻醉（无痛支气管镜全身麻醉）</t>
  </si>
  <si>
    <t>无痛支气管镜全身麻醉</t>
  </si>
  <si>
    <t>小儿全身麻醉痛（无痛支气管镜全身麻醉）</t>
  </si>
  <si>
    <t>003301000060000-330100006</t>
  </si>
  <si>
    <t>血液加温治疗</t>
  </si>
  <si>
    <t>包括术中加温和体外加温</t>
  </si>
  <si>
    <t>加温套件</t>
  </si>
  <si>
    <t>输液加温治疗医院27元/每次，基层23元/每次。</t>
  </si>
  <si>
    <t>输液加温治疗</t>
  </si>
  <si>
    <t>使用液体电加温装置给术中的输液加温。</t>
  </si>
  <si>
    <t>003301000150000-330100015</t>
  </si>
  <si>
    <t>麻醉中监测</t>
  </si>
  <si>
    <t>不含复杂甲状腺手术中喉返神经及喉上神经的定位及功能保护的术中神经电生理监测服务。</t>
  </si>
  <si>
    <t>胃粘膜PH电极、探头</t>
  </si>
  <si>
    <t>003301000150000-33010001506</t>
  </si>
  <si>
    <t>小儿麻醉中监测</t>
  </si>
  <si>
    <t>003304020070000-330402007</t>
  </si>
  <si>
    <t>鼻腔泪囊吻合术</t>
  </si>
  <si>
    <t>使用微动力进行软组织切割或骨组织磨除医院加收540元，基层加收459元。</t>
  </si>
  <si>
    <t>鼻腔泪囊吻合术微动力辅助加收</t>
  </si>
  <si>
    <t>结膜松弛矫正术</t>
  </si>
  <si>
    <t>常规消毒，开睑，麻醉，将球结膜提起反折，剪除多余球结膜，清除多余筋膜，对切口行连续缝合。</t>
  </si>
  <si>
    <t>侧</t>
  </si>
  <si>
    <t>试行期由医疗自主定价</t>
  </si>
  <si>
    <t>小儿结膜松弛矫正术</t>
  </si>
  <si>
    <t>003304060050000-330406005</t>
  </si>
  <si>
    <t>白内障超声乳化摘除术</t>
  </si>
  <si>
    <t>包括飞秒激光白内障手术</t>
  </si>
  <si>
    <t>一次性乳化专用刀、一次性超乳包</t>
  </si>
  <si>
    <t>飞秒激光白内障手术</t>
  </si>
  <si>
    <t>小儿飞秒激光白内障手术</t>
  </si>
  <si>
    <t>003304070050000-330407005</t>
  </si>
  <si>
    <t>复杂视网膜脱离修复术</t>
  </si>
  <si>
    <t>指冷凝、电凝法，包括巨大裂孔、黄斑裂孔、膜增殖、视网膜下膜取出术、硅油充填、球内注气、前膜剥膜。</t>
  </si>
  <si>
    <t>玻璃体切割头、硅胶、膨胀气体、重水、硅油、人工玻璃体</t>
  </si>
  <si>
    <t>激光法医院加收225元，基层加收191.3元。人工玻璃体球囊置入术参照执行。</t>
  </si>
  <si>
    <t>人工玻璃体球囊置入术</t>
  </si>
  <si>
    <t>麻醉，消毒铺巾，开睑，在手术显微镜下剪开球结膜，能量设备止血，行巩膜穿刺，应用玻璃体切除机建立眼内灌注，角膜缘后4毫米制备巩膜切口，植入器植入折叠式人工玻璃体球囊，球囊内注入硅油，结扎固定球囊引流阀于巩膜壁，粘弹剂注入前房成形，缝合切口，消毒纱布包眼。</t>
  </si>
  <si>
    <t>人工玻璃体</t>
  </si>
  <si>
    <t>小儿人工玻璃体球囊置入术</t>
  </si>
  <si>
    <t>003305010130000-330501013</t>
  </si>
  <si>
    <t>外耳道恶性肿瘤切除术</t>
  </si>
  <si>
    <t>外耳道恶性肿瘤切除术微动力辅助加收</t>
  </si>
  <si>
    <t>003305020050000-330502005</t>
  </si>
  <si>
    <t>镫骨手术</t>
  </si>
  <si>
    <t>包括镫骨撼动术、底板切除术</t>
  </si>
  <si>
    <t>一次性耳脑胶、人工听小骨</t>
  </si>
  <si>
    <t>镫骨手术微动力辅助加收</t>
  </si>
  <si>
    <t>003305020140000-330502014</t>
  </si>
  <si>
    <t>单纯乳突凿开术</t>
  </si>
  <si>
    <t>含鼓室探查术、病变清除；不含鼓室成形</t>
  </si>
  <si>
    <t>单纯乳突凿开术微动力辅助加收</t>
  </si>
  <si>
    <t>003305020160000-330502016</t>
  </si>
  <si>
    <t>开放式乳突根治术</t>
  </si>
  <si>
    <t>含鼓室探查术；不含鼓室成形和听骨链重建</t>
  </si>
  <si>
    <t>开放式乳突根治术微动力辅助加收</t>
  </si>
  <si>
    <t>003305020180000-330502018</t>
  </si>
  <si>
    <t>上鼓室鼓窦凿开术</t>
  </si>
  <si>
    <t>含鼓室探查术</t>
  </si>
  <si>
    <t>上鼓室鼓窦凿开术微动力辅助加收</t>
  </si>
  <si>
    <t>003305030020000-330503002</t>
  </si>
  <si>
    <t>内耳开窗术</t>
  </si>
  <si>
    <t>包括经前庭窗迷路破坏术、半规管嵌顿术、外淋巴灌流术</t>
  </si>
  <si>
    <t>内耳开窗术微动力辅助加收</t>
  </si>
  <si>
    <t>003305030080000-330503008</t>
  </si>
  <si>
    <t>经迷路听神经瘤切除术</t>
  </si>
  <si>
    <t>包括迷路后听神经瘤切除术</t>
  </si>
  <si>
    <t>一次性耳脑胶</t>
  </si>
  <si>
    <t>使用微动力进行软组织切割或骨组织磨除医院加收900元，基层加收765元。</t>
  </si>
  <si>
    <t>经迷路听神经瘤切除术微动力辅助加收</t>
  </si>
  <si>
    <t>003305030140000-330503014</t>
  </si>
  <si>
    <t>颞骨部分切除术</t>
  </si>
  <si>
    <t>不含乳突范围</t>
  </si>
  <si>
    <t>颞骨部分切除术微动力辅助加收</t>
  </si>
  <si>
    <t>003305030150000-330503015</t>
  </si>
  <si>
    <t>颞骨次全切除术</t>
  </si>
  <si>
    <t>指保留岩尖和部分鳞部</t>
  </si>
  <si>
    <t>颞骨次全切除术微动力辅助加收</t>
  </si>
  <si>
    <t>003305030160000-330503016</t>
  </si>
  <si>
    <t>颞骨全切术</t>
  </si>
  <si>
    <t>不含颞颌关节的切除</t>
  </si>
  <si>
    <t>颞骨全切术微动力辅助加收</t>
  </si>
  <si>
    <t>003306010210000-330601021</t>
  </si>
  <si>
    <t>经鼻鼻腔鼻窦肿瘤切除术</t>
  </si>
  <si>
    <t>经鼻鼻腔鼻窦肿瘤切除术微动力辅助加收</t>
  </si>
  <si>
    <t>003306020130000-330602013</t>
  </si>
  <si>
    <t>经鼻内镜鼻窦手术</t>
  </si>
  <si>
    <t>包括额窦、筛窦、上颌窦</t>
  </si>
  <si>
    <t>蝶窦医院加收140元，基层加收119元；使用微动力进行软组织切割或骨组织磨除医院加收540元，基层加收459元。</t>
  </si>
  <si>
    <t>经鼻内镜鼻窦手术微动力辅助加收</t>
  </si>
  <si>
    <t>003306030030000-330603003</t>
  </si>
  <si>
    <t>经前颅窝鼻窦肿物切除术</t>
  </si>
  <si>
    <t>含硬脑膜取材、颅底重建；不含其他部分取材</t>
  </si>
  <si>
    <t>经前颅窝鼻窦肿物切除术微动力辅助加收</t>
  </si>
  <si>
    <t>003306030040000-330603004</t>
  </si>
  <si>
    <t>经鼻视神经减压术</t>
  </si>
  <si>
    <t>经鼻视神经减压术微动力辅助加收</t>
  </si>
  <si>
    <t>003306030070000-330603007</t>
  </si>
  <si>
    <t>经鼻内镜脑膜修补术</t>
  </si>
  <si>
    <t>经鼻内镜脑膜修补术微动力辅助加收</t>
  </si>
  <si>
    <t>003306050090000-330605009</t>
  </si>
  <si>
    <t>上颌骨部分切除术</t>
  </si>
  <si>
    <t>含牙槽突水平以内上颌骨及其邻近软组织区域性切除</t>
  </si>
  <si>
    <t>腭护板、特殊材料</t>
  </si>
  <si>
    <t>上颌骨部分切除术微动力辅助加收</t>
  </si>
  <si>
    <t>003306050100000-330605010</t>
  </si>
  <si>
    <t>上颌骨次全切除术</t>
  </si>
  <si>
    <t>含牙槽突以上至鼻棘底以下上颌骨及其邻近软组织切除与植皮;不含取皮术</t>
  </si>
  <si>
    <t>上颌骨次全切除术微动力辅助加收</t>
  </si>
  <si>
    <t>003306050110000-330605011</t>
  </si>
  <si>
    <t>上颌骨全切术</t>
  </si>
  <si>
    <t>含整个上颌骨及邻近软组织切除与植皮；不含取皮术</t>
  </si>
  <si>
    <t>上颌骨全切术微动力辅助加收</t>
  </si>
  <si>
    <t>003306050120000-330605012</t>
  </si>
  <si>
    <t>上颌骨扩大切除术</t>
  </si>
  <si>
    <t>整个上颌骨及其周围邻近受侵骨组织及软组织切除与植皮；不含取皮术</t>
  </si>
  <si>
    <t>腭护板、特殊材料、胶原蛋白</t>
  </si>
  <si>
    <t>上颌骨扩大切除术微动力辅助加收</t>
  </si>
  <si>
    <t>003306050130000-330605013</t>
  </si>
  <si>
    <t>颌骨良性病变切除术</t>
  </si>
  <si>
    <t>包括上、下颌骨骨髓炎、良性肿瘤、瘤样病变及各类囊肿的切除术(含刮治术)；不含松质骨或骨替代物的植入</t>
  </si>
  <si>
    <t>特殊材料</t>
  </si>
  <si>
    <t>颌骨良性病变切除术微动力辅助加收</t>
  </si>
  <si>
    <t>003306110030000-330611003</t>
  </si>
  <si>
    <t>经硬腭进路鼻咽肿瘤切除术</t>
  </si>
  <si>
    <t>经硬腭进路鼻咽肿瘤切除术微动力辅助加收</t>
  </si>
  <si>
    <t>003306110040000-330611004</t>
  </si>
  <si>
    <t>经硬腭进路鼻咽狭窄闭锁切开成形术</t>
  </si>
  <si>
    <t>不含其他部位取材</t>
  </si>
  <si>
    <t>经硬腭进路鼻咽狭窄闭锁切开成形术微动力辅助加收</t>
  </si>
  <si>
    <t>003306110090000-330611009</t>
  </si>
  <si>
    <t>侧颅底切除术</t>
  </si>
  <si>
    <t>人工血管</t>
  </si>
  <si>
    <t>侧颅底切除术微动力辅助加收</t>
  </si>
  <si>
    <t>003308010030000-330801003</t>
  </si>
  <si>
    <t>二尖瓣替换术</t>
  </si>
  <si>
    <t>包括保留部分或全部二尖瓣装置。</t>
  </si>
  <si>
    <t>经导管二尖瓣置换术医院5520元，基层4692元。</t>
  </si>
  <si>
    <t>经导管二尖瓣置换术</t>
  </si>
  <si>
    <t>不含大C臂数字减影X光机引导</t>
  </si>
  <si>
    <t>小儿经导管二尖瓣置换术</t>
  </si>
  <si>
    <t>003308010050000-330801005</t>
  </si>
  <si>
    <t>三尖瓣置换术</t>
  </si>
  <si>
    <t>经导管三尖瓣置换术医院5698元，基层4843.3元。</t>
  </si>
  <si>
    <t>经导管三尖瓣置换术</t>
  </si>
  <si>
    <t>小儿经导管三尖瓣置换术</t>
  </si>
  <si>
    <t>003308010090000-330801009</t>
  </si>
  <si>
    <t>主动脉瓣置换术</t>
  </si>
  <si>
    <t>人工瓣膜、异体动脉瓣</t>
  </si>
  <si>
    <t>经导管主动脉瓣置换术医院5698元，基层4843.3元。</t>
  </si>
  <si>
    <t>经导管主动脉瓣置换术</t>
  </si>
  <si>
    <t>小儿经导管主动脉瓣置换术</t>
  </si>
  <si>
    <t>003308010020000-330801002</t>
  </si>
  <si>
    <t>二尖瓣直视成形术</t>
  </si>
  <si>
    <t>包括各种类型的二尖瓣狭窄或关闭不全的瓣膜的处理，如交界切开、睫索替代、瓣叶切除、瓣环成形等</t>
  </si>
  <si>
    <t>经导管二尖瓣成形术医院5698元，基层4843.3元。</t>
  </si>
  <si>
    <t>经导管二尖瓣成形术</t>
  </si>
  <si>
    <t>小儿经导管二尖瓣成形术</t>
  </si>
  <si>
    <t>003308030140000-330803014</t>
  </si>
  <si>
    <t>左室减容术（Batista手术）</t>
  </si>
  <si>
    <t>经导管左心室减容术参照执行。</t>
  </si>
  <si>
    <t>经导管左心室减容术</t>
  </si>
  <si>
    <t>小儿经导管左心室减容术</t>
  </si>
  <si>
    <t>003308040430000-330804043</t>
  </si>
  <si>
    <t>肢体动静脉切开取栓术</t>
  </si>
  <si>
    <t>包括四肢各部位取栓</t>
  </si>
  <si>
    <t>取栓管</t>
  </si>
  <si>
    <t>每个切口</t>
  </si>
  <si>
    <t>双侧取栓，或多部位取栓，每增加一切口医院加收430元，基层加收365.5元。经皮周围动静脉取栓术医院2592元，基层2203.2元。</t>
  </si>
  <si>
    <t>经皮周围动静脉取栓术</t>
  </si>
  <si>
    <t>小儿经皮周围动静脉取栓术</t>
  </si>
  <si>
    <t>胃底折叠术</t>
  </si>
  <si>
    <t>逐层进腹，探查，粘连松解，胃底游离，胃底折叠，冲洗腹腔，逐层关腹。</t>
  </si>
  <si>
    <t>小儿胃底折叠术</t>
  </si>
  <si>
    <t>003310050070000-331005007</t>
  </si>
  <si>
    <t>肝癌切除术</t>
  </si>
  <si>
    <t>指癌肿局部切除术；不含第一、第二肝门血管及下腔静脉受侵犯的肝癌切除、安置化疗泵</t>
  </si>
  <si>
    <t>吲哚氰绿排泄试验加收60元</t>
  </si>
  <si>
    <t>肝癌切除术（吲哚氰绿排泄试验加收）</t>
  </si>
  <si>
    <t>003310050130000-331005013</t>
  </si>
  <si>
    <t>肝部分切除术</t>
  </si>
  <si>
    <t>含肝活检术；包括各肝段切除</t>
  </si>
  <si>
    <t>肝部分切除术（吲哚氰绿排泄试验加收）</t>
  </si>
  <si>
    <t>003310050140000-331005014</t>
  </si>
  <si>
    <t>肝左外叶切除术</t>
  </si>
  <si>
    <t>包括肿瘤、结核、结石、萎缩等切除术</t>
  </si>
  <si>
    <t>肝左外叶切除术（吲哚氰绿排泄试验加收）</t>
  </si>
  <si>
    <t>003310050150000-331005015</t>
  </si>
  <si>
    <t>半肝切除术</t>
  </si>
  <si>
    <t>包括左半肝或右半肝切除术</t>
  </si>
  <si>
    <t>半肝切除术（吲哚氰绿排泄试验加收）</t>
  </si>
  <si>
    <t>003310050160000-331005016</t>
  </si>
  <si>
    <t>肝三叶切除术</t>
  </si>
  <si>
    <t>包括左三叶或右三叶切除术或复杂肝癌切除</t>
  </si>
  <si>
    <t>肝三叶切除术（吲哚氰绿排泄试验加收）</t>
  </si>
  <si>
    <t>003312020070000-331202007</t>
  </si>
  <si>
    <t>交通性鞘膜积液修补术</t>
  </si>
  <si>
    <t>单侧</t>
  </si>
  <si>
    <t>睾丸鞘状突高位结扎术医院480元，基层408元。</t>
  </si>
  <si>
    <t>睾丸鞘状突高位结扎术</t>
  </si>
  <si>
    <t>小儿睾丸鞘状突高位结扎术</t>
  </si>
  <si>
    <t>003313030120000-331303012</t>
  </si>
  <si>
    <t>子宫次全切除术</t>
  </si>
  <si>
    <t>包括子宫楔形切除术</t>
  </si>
  <si>
    <t>使用肌瘤粉碎装置医院加收225元，基层加收191.3元。</t>
  </si>
  <si>
    <t>子宫楔形切除术</t>
  </si>
  <si>
    <t>小儿子宫楔形切除术</t>
  </si>
  <si>
    <t>经腹腔镜子宫楔形切除术</t>
  </si>
  <si>
    <t>小儿经腹腔镜子宫楔形切除术</t>
  </si>
  <si>
    <t>003315010210000-331501021</t>
  </si>
  <si>
    <t>颈椎体次全切除植骨融合术</t>
  </si>
  <si>
    <t>包括颈椎后路减压侧块螺钉内固定术</t>
  </si>
  <si>
    <t>每节椎骨</t>
  </si>
  <si>
    <t>两节加收50%；三节加收20%；四节以上不再加收</t>
  </si>
  <si>
    <t>003315010210000-33150102101</t>
  </si>
  <si>
    <t>颈椎体次全切除植骨融合术（两节）</t>
  </si>
  <si>
    <t>二节椎骨</t>
  </si>
  <si>
    <t>两节</t>
  </si>
  <si>
    <t>003315010210000-33150102102</t>
  </si>
  <si>
    <t>颈椎体次全切除植骨融合术（三节及以上）</t>
  </si>
  <si>
    <t>三节椎骨</t>
  </si>
  <si>
    <t>三节及以上</t>
  </si>
  <si>
    <t>003315010210000-33150102103</t>
  </si>
  <si>
    <t>小儿颈椎体次全切除植骨融合术</t>
  </si>
  <si>
    <t>003315010210000-33150102104</t>
  </si>
  <si>
    <t>小儿颈椎体次全切除植骨融合术（两节）</t>
  </si>
  <si>
    <t>003315010210000-33150102105</t>
  </si>
  <si>
    <t>小儿颈椎体次全切除植骨融合术（三节及以上）</t>
  </si>
  <si>
    <t>颈椎后路减压侧块螺钉内固定术</t>
  </si>
  <si>
    <t>颈椎后路减压侧块螺钉内固定术（两节）</t>
  </si>
  <si>
    <t>颈椎后路减压侧块螺钉内固定术（三节及以上）</t>
  </si>
  <si>
    <t>小儿颈椎后路减压侧块螺钉内固定术</t>
  </si>
  <si>
    <t>小儿颈椎后路减压侧块螺钉内固定术（两节）</t>
  </si>
  <si>
    <t>小儿颈椎后路减压侧块螺钉内固定术（三节及以上）</t>
  </si>
  <si>
    <t>003315010520000-331501052</t>
  </si>
  <si>
    <t>脊柱椎间融合器植入植骨融合术</t>
  </si>
  <si>
    <t>含脊髓神经根松解、椎板切除减压、脊髓探查、骨折切开复位</t>
  </si>
  <si>
    <t>经皮内镜腰椎融合术参照执行</t>
  </si>
  <si>
    <t>经皮内镜腰椎融合术</t>
  </si>
  <si>
    <t>小儿经皮内镜腰椎融合术</t>
  </si>
  <si>
    <t>003315050210000-331505021</t>
  </si>
  <si>
    <t>胫骨干骨折切开复位内固定术</t>
  </si>
  <si>
    <t>包括胫骨骨折闭合复位髓内针内固定术</t>
  </si>
  <si>
    <t>胫骨骨折闭合复位髓内针内固定术</t>
  </si>
  <si>
    <t>小儿胫骨骨折闭合复位髓内针内固定术</t>
  </si>
  <si>
    <t>半月板缝合术</t>
  </si>
  <si>
    <t>麻醉，消毒铺巾，膝关节前方入路，探查髌上囊、关节软骨、半月板及交叉韧带，半月板缝合，充分止血，冲洗关节腔，必要时放置引流，缝合，加压包扎固定。</t>
  </si>
  <si>
    <t>小儿半月板缝合术</t>
  </si>
  <si>
    <t>003315070040000-331507004</t>
  </si>
  <si>
    <t>人工腕关节置换术</t>
  </si>
  <si>
    <t>小儿人工腕关节置换术</t>
  </si>
  <si>
    <t>003315070090000-331507009</t>
  </si>
  <si>
    <t>人工踝关节置换术</t>
  </si>
  <si>
    <t>小儿人工踝关节置换术</t>
  </si>
  <si>
    <t>距腓韧带缝合修补术</t>
  </si>
  <si>
    <t>消毒铺巾，麻醉，于踝关节前外侧弧形切口，直达断裂的距腓前韧带处，清除局部血肿，将撕裂的韧带加固缝合，止血，引流，负压吸引。</t>
  </si>
  <si>
    <t>小儿距腓韧带缝合修补术</t>
  </si>
  <si>
    <t>003316010050000-331601005</t>
  </si>
  <si>
    <t>乳腺癌根治术</t>
  </si>
  <si>
    <t>一次性皮肤钉书钉</t>
  </si>
  <si>
    <t>改良根治（保乳改良根治）、植皮术医院加收430元，基层加收365.5元。</t>
  </si>
  <si>
    <t>003316010050100-33160100501</t>
  </si>
  <si>
    <t>乳腺癌根治术-改良根治（保乳改良根治）加收</t>
  </si>
  <si>
    <t>003316010050100-33160100504</t>
  </si>
  <si>
    <t>小儿乳腺癌根治术-改良根治（保乳改良根治）加收</t>
  </si>
  <si>
    <t>淋巴水肿综合消肿疗法</t>
  </si>
  <si>
    <t>在淋巴水肿区域皮肤正常的情况下，用示指、中指和环指沿淋巴回流方向和途径做轻柔的按压和按摩，并根据患者实际情况，选择合适的多层低弹力绷带由患肢远心端到近心端逐层包扎，形成多层低弹力绷带包扎系统，给肢体提供低静息压、高工作压，增加肌肉泵的作用，促进血液循环，达到增加淋巴回流与消肿的目的。</t>
  </si>
  <si>
    <t>353402000680000-340200052</t>
  </si>
  <si>
    <t>康复费</t>
  </si>
  <si>
    <t>11</t>
  </si>
  <si>
    <t>镜像视觉反馈训练</t>
  </si>
  <si>
    <t>利用平面镜成像原理，将健侧活动画面反射到患者，让患者观察并想象患者正在进行相同的运动，同时治疗师可在镜后做相同的动作，借由视错觉、视觉反馈以及双侧共同运动进行康复训练20-30分钟。</t>
  </si>
  <si>
    <t>限截肢后幻肢痛、复杂性局部疼痛综合征、脑卒中后康复等收费</t>
  </si>
  <si>
    <t>004300000010000-430000001</t>
  </si>
  <si>
    <t>中医治疗费</t>
  </si>
  <si>
    <t>12</t>
  </si>
  <si>
    <t>普通针刺</t>
  </si>
  <si>
    <t>包括体针、快速针、磁针、金针、姜针、药针、长圆针等</t>
  </si>
  <si>
    <t>5个穴位</t>
  </si>
  <si>
    <t>长圆针治疗治疗医院32元，基层27.2元。</t>
  </si>
  <si>
    <t>长圆针</t>
  </si>
  <si>
    <t>004300000020000-430000002</t>
  </si>
  <si>
    <t>温针</t>
  </si>
  <si>
    <t>内热针治疗医院41元，基层34.9元。</t>
  </si>
  <si>
    <t>内热针</t>
  </si>
  <si>
    <t>004600000070000-460000007</t>
  </si>
  <si>
    <t>混合痔外剥内扎术</t>
  </si>
  <si>
    <t>单纯行内痔静脉套扎术按400元收取</t>
  </si>
  <si>
    <t>内痔静脉套扎术</t>
  </si>
  <si>
    <t>备注：1.风疹病毒抗体测定（项目编码250403021）、巨细胞病毒抗体测定（项目编码250403022）、巨细胞病毒抗体测定（化学发光法）（项目编码25040302201）、单纯疱疹病毒抗体测定（项目编码250403023）、单纯疱疹病毒抗体测定（项目编码250403024）、EB病毒抗体测定（项目编码250403025）、呼吸道合胞病毒抗体测定（项目编码250403026）、副流感病毒抗体测定（项目编码250403028）、天疱疮抗体测定（项目编码250403029）、水痘—带状疱疹病毒抗体测定（项目编码250403030）、腺病毒抗体测定（项目编码250403031）、流行性出血热病毒抗体测定（项目编码250403033）、狂犬病毒抗体测定（项目编码250403034）、斑疹伤寒抗体测定（项目编码250403040）、EB病毒Rta蛋白抗体定性检测（项目编码250403084）、病毒血清学试验（项目编码250403035）、其它病毒的血清学诊断（项目编码250501036）整合为病毒血清抗体检测（项目编码250403091）。2.甲型流感病毒抗原检测（项目编码250403085）、呼吸道合胞病毒抗原测定（项目编码250403027）整合为呼吸道病毒抗原检测（项目编码250403089）；3、人轮状病毒抗原测定（项目编码250403032）整合为肠道病毒抗原检测（项目编码250403090）。4、麻醉中监测-有创血压（项目编码33010001501）、麻醉中监测-中心静脉压（项目编码33010001502）、麻醉中监测-呼气末麻醉药浓度（项目编码33010001503）、麻醉中监测-脑电双谱指数（项目编码33010001504）、麻醉中监测-胃粘膜PH监测（项目编码33010001505）、麻醉深度电生理监测（项目编码33010001509）、术中体温监测（项目编码330100020）整合至麻醉中监测（项目编码330100015）。</t>
  </si>
  <si>
    <t>福建省医疗机构部分价格项目及省属公立医院价格</t>
  </si>
  <si>
    <t>位数</t>
  </si>
  <si>
    <t>开头4位</t>
  </si>
  <si>
    <t>开头6位</t>
  </si>
  <si>
    <t>开头9位</t>
  </si>
  <si>
    <t>价格（三甲）</t>
  </si>
  <si>
    <t>价格（三甲以下）</t>
  </si>
  <si>
    <t>省本级先行自付比例</t>
  </si>
  <si>
    <t>备注1</t>
  </si>
  <si>
    <t>120300001</t>
  </si>
  <si>
    <t>包括低流量给氧、中心给氧、高频吸氧；氧气创面治疗参照执行</t>
  </si>
  <si>
    <r>
      <rPr>
        <sz val="11"/>
        <rFont val="方正书宋_GBK"/>
        <charset val="134"/>
      </rPr>
      <t>持续吸氧按每天70元计算；间断吸氧按小时计算，加压给氧每小时加收1元。</t>
    </r>
    <r>
      <rPr>
        <b/>
        <sz val="11"/>
        <rFont val="方正书宋_GBK"/>
        <charset val="134"/>
      </rPr>
      <t>新生儿一氧化氮吸入按100元/小时收取。</t>
    </r>
    <r>
      <rPr>
        <sz val="11"/>
        <rFont val="方正书宋_GBK"/>
        <charset val="134"/>
      </rPr>
      <t>新生儿在原价基础上加收30%。</t>
    </r>
  </si>
  <si>
    <t>修改项目内涵</t>
  </si>
  <si>
    <t>调整说明栏，拆分子项，设定价格。</t>
  </si>
  <si>
    <t>12030000140</t>
  </si>
  <si>
    <t>新生儿一氧化氮吸入</t>
  </si>
  <si>
    <t>100</t>
  </si>
  <si>
    <t>120400011</t>
  </si>
  <si>
    <t>调整价格</t>
  </si>
  <si>
    <t>提高主项目价格，联动提高子项目价格。</t>
  </si>
  <si>
    <t>12040001101</t>
  </si>
  <si>
    <t>120</t>
  </si>
  <si>
    <t>001204000110001-12040001102</t>
  </si>
  <si>
    <t>12040001102</t>
  </si>
  <si>
    <t>中心静脉穿刺置管术（测压加收）</t>
  </si>
  <si>
    <t>5</t>
  </si>
  <si>
    <t>测压加收</t>
  </si>
  <si>
    <t>12040001103</t>
  </si>
  <si>
    <t>2103</t>
  </si>
  <si>
    <r>
      <rPr>
        <sz val="11"/>
        <rFont val="方正书宋_GBK"/>
        <charset val="134"/>
      </rPr>
      <t>1．计价部位分为颅脑、眼眶、视神经管、颞骨、鞍区、副鼻窦、鼻骨、</t>
    </r>
    <r>
      <rPr>
        <b/>
        <sz val="11"/>
        <rFont val="方正书宋_GBK"/>
        <charset val="134"/>
      </rPr>
      <t>口腔、</t>
    </r>
    <r>
      <rPr>
        <sz val="11"/>
        <rFont val="方正书宋_GBK"/>
        <charset val="134"/>
      </rPr>
      <t>颈部、胸部、心脏、上腹部、中腹部、下腹部、椎体(每三个椎体)、双髋关节、膝关节、肢体、其他；2．三维重建三甲医院加收70元/部位，三甲以下医院加收63元/部位；3．使用心电或呼吸门控设备的三甲医院加收45元/部位，三甲以下医院加收40元/部位。</t>
    </r>
  </si>
  <si>
    <t>修改说明栏</t>
  </si>
  <si>
    <t>增加扫描部位，接曲面体层摄影（颔全景）及数字化摄影是DR技术与CT技术层面不同，显像结果不同。两者可同时存在。</t>
  </si>
  <si>
    <t>230200026</t>
  </si>
  <si>
    <t>220</t>
  </si>
  <si>
    <t>200</t>
  </si>
  <si>
    <r>
      <rPr>
        <sz val="11"/>
        <rFont val="方正书宋_GBK"/>
        <charset val="134"/>
      </rPr>
      <t>每增加一个体位三甲医院加收40元，三甲以下医院加收36元。</t>
    </r>
    <r>
      <rPr>
        <b/>
        <sz val="11"/>
        <rFont val="方正书宋_GBK"/>
        <charset val="134"/>
      </rPr>
      <t>胸阻抗断层成像监测三甲医院按220元/次收取，三甲以下医院按200元/次收取，</t>
    </r>
  </si>
  <si>
    <t>增加说明栏，拆分项目</t>
  </si>
  <si>
    <t>23020002602</t>
  </si>
  <si>
    <t>230300001</t>
  </si>
  <si>
    <t>300</t>
  </si>
  <si>
    <t>270</t>
  </si>
  <si>
    <r>
      <rPr>
        <sz val="11"/>
        <rFont val="方正书宋_GBK"/>
        <charset val="134"/>
      </rPr>
      <t>1、增加时相三甲医院加收20元，三甲以下医院加收18元；2、增加门控三甲医院加收40元，三甲以下医院加收36元。</t>
    </r>
    <r>
      <rPr>
        <b/>
        <sz val="11"/>
        <rFont val="方正书宋_GBK"/>
        <charset val="134"/>
      </rPr>
      <t>断层融合参照执行。</t>
    </r>
  </si>
  <si>
    <t>23030000107</t>
  </si>
  <si>
    <t>增加项目</t>
  </si>
  <si>
    <t>正电子发射计算机断层扫描综合显象（单部位）</t>
  </si>
  <si>
    <t>包括正电子发射计算机断层-X线计算机体层综合显像、正电子发射计算机断层-磁共振成像全身显像</t>
  </si>
  <si>
    <t>4200</t>
  </si>
  <si>
    <t>3780</t>
  </si>
  <si>
    <t>1、单部位检查按部位（分为头颈部、胸部、腹部）计价，两个部位及全身检查按次计价。2、未获得卫生计生部配置规划许可的，不得收费。</t>
  </si>
  <si>
    <t>正电子发射计算机断层扫描（两个部位）</t>
  </si>
  <si>
    <t>5200</t>
  </si>
  <si>
    <t>4680</t>
  </si>
  <si>
    <t>1、检查两个部位。2、未获得卫生计生部配置规划许可的，不得收费。</t>
  </si>
  <si>
    <t>正电子发射计算机断层扫描（全身检查）</t>
  </si>
  <si>
    <t>6200</t>
  </si>
  <si>
    <t>5580</t>
  </si>
  <si>
    <t>1、全身检查。2、未获得卫生计生部配置规划许可的，不得收费。</t>
  </si>
  <si>
    <t>250101023</t>
  </si>
  <si>
    <t>30</t>
  </si>
  <si>
    <t>电脑血酮监测按10元/次收取</t>
  </si>
  <si>
    <t>002504010270000-250401027</t>
  </si>
  <si>
    <t>250401027</t>
  </si>
  <si>
    <r>
      <rPr>
        <sz val="11"/>
        <rFont val="方正书宋_GBK"/>
        <charset val="134"/>
      </rPr>
      <t>每种测定计费一次。</t>
    </r>
    <r>
      <rPr>
        <b/>
        <sz val="11"/>
        <rFont val="方正书宋_GBK"/>
        <charset val="134"/>
      </rPr>
      <t>游离轻链定量测定与免疫球蛋白轻链定量测定不能同时收取，对游离轻链定量测定后，再行免疫球蛋白轻链定量测定的，不得收取费用。</t>
    </r>
  </si>
  <si>
    <t>25040102701</t>
  </si>
  <si>
    <t>250402003</t>
  </si>
  <si>
    <r>
      <rPr>
        <sz val="11"/>
        <rFont val="方正书宋_GBK"/>
        <charset val="134"/>
      </rPr>
      <t>抗SSA、抗SSB、抗JO－1、抗Sm、抗nRNP、抗ScL-70、抗着丝点抗体</t>
    </r>
    <r>
      <rPr>
        <b/>
        <sz val="11"/>
        <rFont val="方正书宋_GBK"/>
        <charset val="134"/>
      </rPr>
      <t>等</t>
    </r>
    <r>
      <rPr>
        <sz val="11"/>
        <rFont val="方正书宋_GBK"/>
        <charset val="134"/>
      </rPr>
      <t>测定分别参照执行</t>
    </r>
  </si>
  <si>
    <t>20</t>
  </si>
  <si>
    <t>18</t>
  </si>
  <si>
    <t>低于7项按项收取，7种≤抗ENA抗体＜14种三甲医院按168元收取，三甲以下按151元收取，抗ENA抗体≥14 种三甲医院按200元收取，三甲以下按180元收取</t>
  </si>
  <si>
    <t>25040200301</t>
  </si>
  <si>
    <t>抗核提取物抗体测定（抗ENA抗体种类大于等于7种，小于10种）</t>
  </si>
  <si>
    <t>7种≤抗ENA抗体种类＜10种</t>
  </si>
  <si>
    <t>25040200302</t>
  </si>
  <si>
    <t>250403003</t>
  </si>
  <si>
    <r>
      <rPr>
        <b/>
        <sz val="11"/>
        <rFont val="方正书宋_GBK"/>
        <charset val="134"/>
      </rPr>
      <t>乙型肝炎核酸定量测定</t>
    </r>
    <r>
      <rPr>
        <sz val="11"/>
        <rFont val="方正书宋_GBK"/>
        <charset val="134"/>
      </rPr>
      <t>载量灵敏度≤20IU/ML按400元/次收取。</t>
    </r>
  </si>
  <si>
    <t>250403032</t>
  </si>
  <si>
    <t>样本采集、签收，样本裂解液裂解，加免疫试剂，检测，质控，审核结果，录入实验室信息系统或人工登记，发送报告；按规定处理废弃物；接受临床相关咨询。</t>
  </si>
  <si>
    <t>每种病毒</t>
  </si>
  <si>
    <t>250403035</t>
  </si>
  <si>
    <r>
      <rPr>
        <sz val="11"/>
        <rFont val="方正书宋_GBK"/>
        <charset val="134"/>
      </rPr>
      <t>包括脊髓灰质炎病毒、柯萨奇病毒、流行性乙型脑炎病毒、流行性腮腺炎病毒、麻疹病毒</t>
    </r>
    <r>
      <rPr>
        <b/>
        <sz val="11"/>
        <rFont val="方正书宋_GBK"/>
        <charset val="134"/>
      </rPr>
      <t>等血清抗体测定</t>
    </r>
  </si>
  <si>
    <t>每项测定计价一次</t>
  </si>
  <si>
    <t>250403065</t>
  </si>
  <si>
    <r>
      <rPr>
        <sz val="11"/>
        <rFont val="方正书宋_GBK"/>
        <charset val="134"/>
      </rPr>
      <t>各类病原体</t>
    </r>
    <r>
      <rPr>
        <b/>
        <sz val="11"/>
        <rFont val="方正书宋_GBK"/>
        <charset val="134"/>
      </rPr>
      <t>核酸</t>
    </r>
    <r>
      <rPr>
        <sz val="11"/>
        <rFont val="方正书宋_GBK"/>
        <charset val="134"/>
      </rPr>
      <t>测定</t>
    </r>
  </si>
  <si>
    <t>50</t>
  </si>
  <si>
    <t>45</t>
  </si>
  <si>
    <t>25040306501</t>
  </si>
  <si>
    <r>
      <rPr>
        <sz val="11"/>
        <rFont val="方正书宋_GBK"/>
        <charset val="134"/>
      </rPr>
      <t>各类病原体</t>
    </r>
    <r>
      <rPr>
        <b/>
        <sz val="11"/>
        <rFont val="方正书宋_GBK"/>
        <charset val="134"/>
      </rPr>
      <t>核酸</t>
    </r>
    <r>
      <rPr>
        <sz val="11"/>
        <rFont val="方正书宋_GBK"/>
        <charset val="134"/>
      </rPr>
      <t>测定（全自动荧光定量）</t>
    </r>
  </si>
  <si>
    <t>110</t>
  </si>
  <si>
    <t>002504030680000-250403068</t>
  </si>
  <si>
    <t>250403068</t>
  </si>
  <si>
    <t>尿液人类免疫缺陷Ⅰ型（HIV-Ⅰ）抗体测定</t>
  </si>
  <si>
    <t>人类免疫缺陷病毒核酸定量检测每次140元</t>
  </si>
  <si>
    <t>25040306802</t>
  </si>
  <si>
    <t>样本类型：抗凝全血，样本采集、签收、处理，提取模板,与标准品、阴阳性对照及质控品同时进行实时扩增，进行定量分析，判断并审核结果，录入实验室信息系统或人工登记，发送报告；按规定处理废弃物；接受临床相关咨询。</t>
  </si>
  <si>
    <t>250403085</t>
  </si>
  <si>
    <t>超过5种的按5种收取</t>
  </si>
  <si>
    <t>超过5种拆不拆？</t>
  </si>
  <si>
    <t>250404010</t>
  </si>
  <si>
    <t>包括细胞角蛋白18片段测定（含18片段M30和18片段M65）</t>
  </si>
  <si>
    <t>化学发光法三甲医院103元，三甲以下医院97元；</t>
  </si>
  <si>
    <t>25040401002</t>
  </si>
  <si>
    <t>25040401003</t>
  </si>
  <si>
    <t>细胞角蛋白18片段测定（化学发光法）</t>
  </si>
  <si>
    <t>103</t>
  </si>
  <si>
    <t>97</t>
  </si>
  <si>
    <t>002507000150000</t>
  </si>
  <si>
    <t>250700015</t>
  </si>
  <si>
    <t>多种遗传代谢病检测（高效液相串联质谱法）三甲医院按300元，三甲以下医院按270元，且限符合规定资质的新生儿遗传代谢疾病筛查诊断诊治中心收取</t>
  </si>
  <si>
    <t>25070001501</t>
  </si>
  <si>
    <t>多种遗传代谢病检测（高效液相串联质谱法）</t>
  </si>
  <si>
    <t>含27种遗传代谢病检测</t>
  </si>
  <si>
    <t>270500002</t>
  </si>
  <si>
    <t>90</t>
  </si>
  <si>
    <t>快速法三甲医院150元，三甲以下医院135元。免疫组化伴随诊断检测三甲医院640元/次，三甲以下医院576元/次</t>
  </si>
  <si>
    <t>352504040440000-27050000202</t>
  </si>
  <si>
    <t>27050000202</t>
  </si>
  <si>
    <t>免疫组化伴随诊断检测</t>
  </si>
  <si>
    <t>270700003</t>
  </si>
  <si>
    <t>核酸测序</t>
  </si>
  <si>
    <t>聚丙烯酰胺凝胶电泳、产物纯化、测序反应、于测序仪分析、观察结果、诊断。甲醛固定组织、石蜡包埋组织、新鲜或冷冻组织处理，提取，最后的测序反应纯化，上述技术过程中所产生的废液、废物的处理。</t>
  </si>
  <si>
    <t>项指一个基因。高通量核酸测序按次收取，每次1800元</t>
  </si>
  <si>
    <t>27070000301</t>
  </si>
  <si>
    <t>高通量核酸测序</t>
  </si>
  <si>
    <t>270700007</t>
  </si>
  <si>
    <t>甲醛固定石蜡包埋组织，组织切片；新鲜或冷冻组织匀浆化；离心收集细胞及细胞处理；裂解，经反复离心及相应化学试剂去除蛋白，回收核酸，PCR反应，对EGFR、ROS1、RET、KRAS、NRAS、PIK3CA、BRAF、HER2肿瘤相关基因突变进行检测，分析结果，诊断。含上述技术过程中所产生的废液、废物的处理。</t>
  </si>
  <si>
    <t>项指一个基因。源于外周血的标本按照检验科同种基因项目价格收取，无同种基因检验项目的减半收取。恒温扩增减半收取。</t>
  </si>
  <si>
    <t>27070000701</t>
  </si>
  <si>
    <t>组织/细胞荧光定量核酸多聚酶链式反应检查诊断（无同种基因检验项目）</t>
  </si>
  <si>
    <t>无同种基因检验项目</t>
  </si>
  <si>
    <t>27070000702</t>
  </si>
  <si>
    <t>组织/细胞荧光定量核酸多聚酶链式反应检查诊断（恒温扩增）</t>
  </si>
  <si>
    <t>恒温扩增</t>
  </si>
  <si>
    <t>310100016</t>
  </si>
  <si>
    <t>130</t>
  </si>
  <si>
    <t>115</t>
  </si>
  <si>
    <r>
      <rPr>
        <sz val="11"/>
        <rFont val="方正书宋_GBK"/>
        <charset val="134"/>
      </rPr>
      <t>脑脊液动力学检查三甲医院加收30元，三甲以下医院加收27元。</t>
    </r>
    <r>
      <rPr>
        <b/>
        <sz val="11"/>
        <rFont val="方正书宋_GBK"/>
        <charset val="134"/>
      </rPr>
      <t>腰-蛛网膜下腔分流术、腰大池引流术三甲医院200元，三甲以下医院180元。</t>
    </r>
    <r>
      <rPr>
        <sz val="11"/>
        <rFont val="方正书宋_GBK"/>
        <charset val="134"/>
      </rPr>
      <t xml:space="preserve"> 六岁及以下儿童在原价基础上加收30%。</t>
    </r>
  </si>
  <si>
    <t>增加说明栏，拆分项目，新增小儿项目</t>
  </si>
  <si>
    <t>31010001604</t>
  </si>
  <si>
    <t>31010001605</t>
  </si>
  <si>
    <t>31010001606</t>
  </si>
  <si>
    <t>31010001607</t>
  </si>
  <si>
    <t>310517001</t>
  </si>
  <si>
    <t>含牙体预备，药线排龈蜡记录，测色，技工室制作全冠，试戴修改全冠；包括全冠、半冠、3/4冠。指锤造有缝冠修复。</t>
  </si>
  <si>
    <r>
      <rPr>
        <sz val="11"/>
        <rFont val="方正书宋_GBK"/>
        <charset val="134"/>
      </rPr>
      <t>1.锤造无缝冠30元，种植体冠修复加收3元；2.塑料冠50元，种植体冠修复加收9元；3.铸造冠150元，种植体冠修复加收39元；4.烤瓷冠、瓷树脂共聚体冠、</t>
    </r>
    <r>
      <rPr>
        <b/>
        <sz val="11"/>
        <rFont val="方正书宋_GBK"/>
        <charset val="134"/>
      </rPr>
      <t>透明冠</t>
    </r>
    <r>
      <rPr>
        <sz val="11"/>
        <rFont val="方正书宋_GBK"/>
        <charset val="134"/>
      </rPr>
      <t>400元，种植体冠修复加收114元；5.贵金属冠600元，种植体冠修复加收174元；6.全瓷冠1220元，种植体冠修复加收360元；</t>
    </r>
  </si>
  <si>
    <t>增加说明栏内容，拆分子项目</t>
  </si>
  <si>
    <t>31051700115</t>
  </si>
  <si>
    <t>冠修复（透明冠）</t>
  </si>
  <si>
    <t>400</t>
  </si>
  <si>
    <t>透明冠</t>
  </si>
  <si>
    <t>31051700116</t>
  </si>
  <si>
    <t>冠修复（种植透明冠修复加收）</t>
  </si>
  <si>
    <t>114</t>
  </si>
  <si>
    <t>透明冠基础上，种植体冠修复加收</t>
  </si>
  <si>
    <t>310605001</t>
  </si>
  <si>
    <t>99</t>
  </si>
  <si>
    <t>改名字，硬性气管镜检查改为硬质气管镜检查</t>
  </si>
  <si>
    <t>310605008</t>
  </si>
  <si>
    <t>330</t>
  </si>
  <si>
    <t>295</t>
  </si>
  <si>
    <r>
      <rPr>
        <sz val="11"/>
        <rFont val="方正书宋_GBK"/>
        <charset val="134"/>
      </rPr>
      <t>激光法、高频电法、</t>
    </r>
    <r>
      <rPr>
        <b/>
        <sz val="11"/>
        <rFont val="方正书宋_GBK"/>
        <charset val="134"/>
      </rPr>
      <t>冷冻法、氩离子凝固法</t>
    </r>
    <r>
      <rPr>
        <sz val="11"/>
        <rFont val="方正书宋_GBK"/>
        <charset val="134"/>
      </rPr>
      <t>三甲医院加收495元，三甲以下医院加收445元。</t>
    </r>
  </si>
  <si>
    <t>增加说明栏内容，拆分子项</t>
  </si>
  <si>
    <t>31060500803</t>
  </si>
  <si>
    <t>495</t>
  </si>
  <si>
    <t>445</t>
  </si>
  <si>
    <t>310605010</t>
  </si>
  <si>
    <r>
      <rPr>
        <sz val="11"/>
        <rFont val="方正书宋_GBK"/>
        <charset val="134"/>
      </rPr>
      <t>包括经纤支镜支架</t>
    </r>
    <r>
      <rPr>
        <b/>
        <sz val="11"/>
        <rFont val="方正书宋_GBK"/>
        <charset val="134"/>
      </rPr>
      <t>取出术</t>
    </r>
  </si>
  <si>
    <t>550</t>
  </si>
  <si>
    <t>31060501001</t>
  </si>
  <si>
    <t>310605018</t>
  </si>
  <si>
    <t>肺外周结节电磁导航支气管镜检查术</t>
  </si>
  <si>
    <t>在肺外周结节电磁导航支气管镜检查术基础上继续对病灶处进行治疗的加收XX元。采用支气管镜经肺实质结节抵达术按80%收取。</t>
  </si>
  <si>
    <t>待定</t>
  </si>
  <si>
    <t>31060501801</t>
  </si>
  <si>
    <t>支气管镜经肺实质结节抵达术</t>
  </si>
  <si>
    <t>借助常规支气管镜，由导航设备提供的实时路径，准确到达肺部病灶，实现支气管镜精准到达肺外周病灶，实现病理标本获取、染色定位和金属标记物定位、放射粒子植入以及其他局部介入治疗的目的。</t>
  </si>
  <si>
    <t>310606002</t>
  </si>
  <si>
    <t>包括结核病灌注治疗</t>
  </si>
  <si>
    <t>热循环灌注治疗三甲医院按550元/次，三甲以下医院按495元/次；腹腔、膀胱热循环灌注治疗参照收费。</t>
  </si>
  <si>
    <t>恶性肿瘤腔内灌注治疗（热循环灌注）</t>
  </si>
  <si>
    <t>腹腔、膀胱热循环灌注治疗参照收费。</t>
  </si>
  <si>
    <t>003107020040000-310702004</t>
  </si>
  <si>
    <t>310702004</t>
  </si>
  <si>
    <t>射频消融术</t>
  </si>
  <si>
    <t>射频导管、心导管、房间隔穿刺针及配件</t>
  </si>
  <si>
    <t>2200</t>
  </si>
  <si>
    <t>1980</t>
  </si>
  <si>
    <r>
      <rPr>
        <sz val="11"/>
        <rFont val="方正书宋_GBK"/>
        <charset val="134"/>
      </rPr>
      <t>使用大C臂数字减影X光机三甲医院加收1100元，三甲以下医院加收990元。</t>
    </r>
    <r>
      <rPr>
        <b/>
        <sz val="11"/>
        <rFont val="方正书宋_GBK"/>
        <charset val="134"/>
      </rPr>
      <t>经内镜消化系统射频消融术参照收费。</t>
    </r>
  </si>
  <si>
    <t>31070200402</t>
  </si>
  <si>
    <t>射频消融术（消化系统）</t>
  </si>
  <si>
    <t>在消化内镜直视下对消化道扁平黏膜病变部位进行射频消融，从而达到凝固坏死病变组织消除病变的目的。</t>
  </si>
  <si>
    <t>限消化道平坦型上皮内瘤变和巴雷特食管，局限于黏膜层病变；限消化道毛细血管扩张性病变。</t>
  </si>
  <si>
    <t>310902009</t>
  </si>
  <si>
    <t>包括超声肠镜检查术；含胃、肠检查取活检；</t>
  </si>
  <si>
    <t>600</t>
  </si>
  <si>
    <t>540</t>
  </si>
  <si>
    <t>增加项目内涵，拆分子项。</t>
  </si>
  <si>
    <t>31090200901</t>
  </si>
  <si>
    <t>310905003</t>
  </si>
  <si>
    <r>
      <rPr>
        <b/>
        <sz val="11"/>
        <rFont val="方正书宋_GBK"/>
        <charset val="134"/>
      </rPr>
      <t>经皮肝穿刺引流术三甲医院300元，三甲以下医院270元；</t>
    </r>
    <r>
      <rPr>
        <sz val="11"/>
        <rFont val="方正书宋_GBK"/>
        <charset val="134"/>
      </rPr>
      <t>六岁及以下儿童在原价基础上加收30%。</t>
    </r>
  </si>
  <si>
    <t>增加说明栏内容，拆分子项。</t>
  </si>
  <si>
    <t>31090500302</t>
  </si>
  <si>
    <t>31090500303</t>
  </si>
  <si>
    <t>311100003</t>
  </si>
  <si>
    <t>提高价格</t>
  </si>
  <si>
    <t>311201040</t>
  </si>
  <si>
    <t>自主定价</t>
  </si>
  <si>
    <t>311201041</t>
  </si>
  <si>
    <t>含胚胎形态学评估、宫腔积液抽吸术</t>
  </si>
  <si>
    <t>311201062</t>
  </si>
  <si>
    <r>
      <rPr>
        <b/>
        <sz val="11"/>
        <rFont val="方正书宋_GBK"/>
        <charset val="134"/>
      </rPr>
      <t>含胚胎形态学评估、胚胎/卵组织冷冻前处理、胚胎/卵组织冷冻保存</t>
    </r>
    <r>
      <rPr>
        <sz val="11"/>
        <rFont val="方正书宋_GBK"/>
        <charset val="134"/>
      </rPr>
      <t>；包括精子冷冻、</t>
    </r>
    <r>
      <rPr>
        <b/>
        <sz val="11"/>
        <rFont val="方正书宋_GBK"/>
        <charset val="134"/>
      </rPr>
      <t>卵组织冷冻。</t>
    </r>
  </si>
  <si>
    <t>胚胎/卵组织玻璃化冷冻加收</t>
  </si>
  <si>
    <t>311400051</t>
  </si>
  <si>
    <t>160</t>
  </si>
  <si>
    <t>145</t>
  </si>
  <si>
    <r>
      <rPr>
        <sz val="11"/>
        <rFont val="方正书宋_GBK"/>
        <charset val="134"/>
      </rPr>
      <t>烧伤面积＞30%。</t>
    </r>
    <r>
      <rPr>
        <b/>
        <sz val="11"/>
        <rFont val="方正书宋_GBK"/>
        <charset val="134"/>
      </rPr>
      <t>烧伤面积＜30%时，三甲医院按80元/次、三甲以下医院72元/次。</t>
    </r>
  </si>
  <si>
    <t>31140005101</t>
  </si>
  <si>
    <t>320500001</t>
  </si>
  <si>
    <t>3240</t>
  </si>
  <si>
    <t>2920</t>
  </si>
  <si>
    <r>
      <rPr>
        <sz val="11"/>
        <rFont val="方正书宋_GBK"/>
        <charset val="134"/>
      </rPr>
      <t>同时做左心室造影三甲医院加收540元，三甲以下医院加收485元。</t>
    </r>
    <r>
      <rPr>
        <b/>
        <sz val="11"/>
        <rFont val="方正书宋_GBK"/>
        <charset val="134"/>
      </rPr>
      <t>冠状动脉血流储备分数检查甲医院1000元，三甲以下医院900元。</t>
    </r>
  </si>
  <si>
    <t>32050000104</t>
  </si>
  <si>
    <t>32050000105</t>
  </si>
  <si>
    <t>33000000009</t>
  </si>
  <si>
    <t>1000</t>
  </si>
  <si>
    <t>900</t>
  </si>
  <si>
    <t>33000000016</t>
  </si>
  <si>
    <t>330100005</t>
  </si>
  <si>
    <t>750</t>
  </si>
  <si>
    <t>675</t>
  </si>
  <si>
    <r>
      <rPr>
        <sz val="11"/>
        <rFont val="方正书宋_GBK"/>
        <charset val="134"/>
      </rPr>
      <t>每增加1小时三甲医院加收125元，三甲以下医院加收115元；无痛胃镜或肠镜全身麻醉或无痛胃、肠镜同时检查全身麻醉按三甲医院375元/2小时，三甲以下医院340元/2小时收费；</t>
    </r>
    <r>
      <rPr>
        <b/>
        <sz val="11"/>
        <rFont val="方正书宋_GBK"/>
        <charset val="134"/>
      </rPr>
      <t>无痛食道超声或无痛支气管镜检查全省麻醉三甲医院375元/2小时，三甲以下医院340元/2小时收费</t>
    </r>
  </si>
  <si>
    <t>33010000506</t>
  </si>
  <si>
    <t>全身麻醉（无痛食道超声或无痛支气管镜全身麻醉）</t>
  </si>
  <si>
    <t>375</t>
  </si>
  <si>
    <t>340</t>
  </si>
  <si>
    <t>无痛食道超声或无痛支气管镜全身麻醉</t>
  </si>
  <si>
    <t>33010000507</t>
  </si>
  <si>
    <t>小儿全身麻醉痛（无痛食道超声或无痛支气管镜全身麻醉）</t>
  </si>
  <si>
    <t>490</t>
  </si>
  <si>
    <t>440</t>
  </si>
  <si>
    <t>330402007</t>
  </si>
  <si>
    <t>1060</t>
  </si>
  <si>
    <t>950</t>
  </si>
  <si>
    <t>使用微动力进行软组织切割或骨组织磨除三甲医院加收600元，三家以下加收540元</t>
  </si>
  <si>
    <t>33040200701</t>
  </si>
  <si>
    <t>小儿鼻腔泪囊吻合术</t>
  </si>
  <si>
    <t>1380</t>
  </si>
  <si>
    <t>1235</t>
  </si>
  <si>
    <t>33040200702</t>
  </si>
  <si>
    <t>330406005</t>
  </si>
  <si>
    <r>
      <rPr>
        <sz val="11"/>
        <rFont val="方正书宋_GBK"/>
        <charset val="134"/>
      </rPr>
      <t>包括</t>
    </r>
    <r>
      <rPr>
        <b/>
        <sz val="11"/>
        <rFont val="方正书宋_GBK"/>
        <charset val="134"/>
      </rPr>
      <t>飞秒激光白内障手术</t>
    </r>
  </si>
  <si>
    <t>1920</t>
  </si>
  <si>
    <t>1730</t>
  </si>
  <si>
    <t>33040600502</t>
  </si>
  <si>
    <t>2495</t>
  </si>
  <si>
    <t>2250</t>
  </si>
  <si>
    <t>330407005</t>
  </si>
  <si>
    <r>
      <rPr>
        <sz val="11"/>
        <rFont val="方正书宋_GBK"/>
        <charset val="134"/>
      </rPr>
      <t>玻璃体切割头、硅胶、膨胀气体、重水、硅油、</t>
    </r>
    <r>
      <rPr>
        <b/>
        <sz val="11"/>
        <rFont val="方正书宋_GBK"/>
        <charset val="134"/>
      </rPr>
      <t>人工玻璃体</t>
    </r>
  </si>
  <si>
    <t>4500</t>
  </si>
  <si>
    <r>
      <rPr>
        <sz val="11"/>
        <rFont val="方正书宋_GBK"/>
        <charset val="134"/>
      </rPr>
      <t>激光法三甲医院加收250元，三甲以下医院加收225元。</t>
    </r>
    <r>
      <rPr>
        <b/>
        <sz val="11"/>
        <rFont val="方正书宋_GBK"/>
        <charset val="134"/>
      </rPr>
      <t>人工玻璃体球囊置入术参照执行。</t>
    </r>
  </si>
  <si>
    <t>修改项目内涵＼除外内容</t>
  </si>
  <si>
    <t>增加说明栏内容，拆分子项，新增除外。</t>
  </si>
  <si>
    <t>33040700504</t>
  </si>
  <si>
    <t>330501013</t>
  </si>
  <si>
    <t>1540</t>
  </si>
  <si>
    <t>33050101302</t>
  </si>
  <si>
    <t>330502005</t>
  </si>
  <si>
    <t>2400</t>
  </si>
  <si>
    <t>2160</t>
  </si>
  <si>
    <t>33050200502</t>
  </si>
  <si>
    <t>330502014</t>
  </si>
  <si>
    <t>945</t>
  </si>
  <si>
    <t>850</t>
  </si>
  <si>
    <t>33050201402</t>
  </si>
  <si>
    <t>330502016</t>
  </si>
  <si>
    <t>1560</t>
  </si>
  <si>
    <t>33050201602</t>
  </si>
  <si>
    <t>330502018</t>
  </si>
  <si>
    <t>33050201802</t>
  </si>
  <si>
    <t>330503002</t>
  </si>
  <si>
    <t>1940</t>
  </si>
  <si>
    <t>33050300202</t>
  </si>
  <si>
    <t>330503008</t>
  </si>
  <si>
    <t>3600</t>
  </si>
  <si>
    <t>使用微动力进行软组织切割或骨组织磨除三甲医院加收1000元，三家以下加收900元</t>
  </si>
  <si>
    <t>33050300802</t>
  </si>
  <si>
    <t>330503014</t>
  </si>
  <si>
    <t>33050301402</t>
  </si>
  <si>
    <t>330503015</t>
  </si>
  <si>
    <t>3300</t>
  </si>
  <si>
    <t>2770</t>
  </si>
  <si>
    <t>33050301502</t>
  </si>
  <si>
    <t>330503016</t>
  </si>
  <si>
    <t>33050301602</t>
  </si>
  <si>
    <t>330601021</t>
  </si>
  <si>
    <r>
      <rPr>
        <sz val="11"/>
        <rFont val="方正书宋_GBK"/>
        <charset val="134"/>
      </rPr>
      <t>使用微动力进行软组织切割或骨组织磨除三甲医院加收600元，三家以下加收540元；</t>
    </r>
    <r>
      <rPr>
        <b/>
        <sz val="11"/>
        <color rgb="FFFF0000"/>
        <rFont val="方正书宋_GBK"/>
        <charset val="134"/>
      </rPr>
      <t>内镜下鼻咽病损切除术三甲医院800元，三甲以下医院720元。</t>
    </r>
  </si>
  <si>
    <t>33060102104</t>
  </si>
  <si>
    <t>330602013</t>
  </si>
  <si>
    <t>2690</t>
  </si>
  <si>
    <t>2420</t>
  </si>
  <si>
    <t>蝶窦三甲医院加收160元，三甲以下医院加收140元；使用微动力进行软组织切割或骨组织磨除三甲医院加收600元，三家以下加收540元</t>
  </si>
  <si>
    <t>33060201304</t>
  </si>
  <si>
    <t>330603003</t>
  </si>
  <si>
    <t>4800</t>
  </si>
  <si>
    <t>4030</t>
  </si>
  <si>
    <t>33060300302</t>
  </si>
  <si>
    <t>330603004</t>
  </si>
  <si>
    <t>3360</t>
  </si>
  <si>
    <t>3020</t>
  </si>
  <si>
    <t>33060300402</t>
  </si>
  <si>
    <t>330603007</t>
  </si>
  <si>
    <t>2880</t>
  </si>
  <si>
    <t>2590</t>
  </si>
  <si>
    <t>33060300702</t>
  </si>
  <si>
    <t>330605009</t>
  </si>
  <si>
    <t>2300</t>
  </si>
  <si>
    <t>33060500902</t>
  </si>
  <si>
    <t>330605010</t>
  </si>
  <si>
    <t>2500</t>
  </si>
  <si>
    <t>33060501002</t>
  </si>
  <si>
    <t>330605011</t>
  </si>
  <si>
    <t>3260</t>
  </si>
  <si>
    <t>33060501102</t>
  </si>
  <si>
    <t>330605012</t>
  </si>
  <si>
    <t>3840</t>
  </si>
  <si>
    <t>33060501202</t>
  </si>
  <si>
    <t>330605013</t>
  </si>
  <si>
    <t>1350</t>
  </si>
  <si>
    <t>33060501302</t>
  </si>
  <si>
    <t>330611003</t>
  </si>
  <si>
    <t>1890</t>
  </si>
  <si>
    <t>33061100302</t>
  </si>
  <si>
    <t>330611004</t>
  </si>
  <si>
    <t>1760</t>
  </si>
  <si>
    <t>33061100402</t>
  </si>
  <si>
    <t>330611009</t>
  </si>
  <si>
    <t>5520</t>
  </si>
  <si>
    <t>33061100902</t>
  </si>
  <si>
    <t>330801003</t>
  </si>
  <si>
    <t>5570</t>
  </si>
  <si>
    <t>5020</t>
  </si>
  <si>
    <t>经导管二尖瓣置换术三甲医院按6130元，三甲以下5520元</t>
  </si>
  <si>
    <t>修改项目内涵＼说明栏</t>
  </si>
  <si>
    <t>33080100304</t>
  </si>
  <si>
    <t>33080100305</t>
  </si>
  <si>
    <t>330801005</t>
  </si>
  <si>
    <t>5760</t>
  </si>
  <si>
    <t>5180</t>
  </si>
  <si>
    <t>经导管三尖瓣置换术三甲医院6336元，三甲以下医院5698元</t>
  </si>
  <si>
    <t>33080100504</t>
  </si>
  <si>
    <t>33080100505</t>
  </si>
  <si>
    <t>330801009</t>
  </si>
  <si>
    <t>经导管主动脉瓣置换术三甲医院6336元，三甲以下医院5698元</t>
  </si>
  <si>
    <t>33080100904</t>
  </si>
  <si>
    <t>33080100905</t>
  </si>
  <si>
    <t>330801002</t>
  </si>
  <si>
    <t>经导管二尖瓣成形术三甲医院6336元，三甲以下医院5698元</t>
  </si>
  <si>
    <t>修改项目名称＼项目内涵</t>
  </si>
  <si>
    <t>33080100202</t>
  </si>
  <si>
    <t>33080100203</t>
  </si>
  <si>
    <t>330803014</t>
  </si>
  <si>
    <t>9600</t>
  </si>
  <si>
    <t>8640</t>
  </si>
  <si>
    <t>33080301402</t>
  </si>
  <si>
    <t>33080301403</t>
  </si>
  <si>
    <t>330804043</t>
  </si>
  <si>
    <r>
      <rPr>
        <sz val="11"/>
        <rFont val="方正书宋_GBK"/>
        <charset val="134"/>
      </rPr>
      <t>双侧取栓，或多部位取栓，每增加一切口三甲医院加收480元，三甲以下医院加收430元。</t>
    </r>
    <r>
      <rPr>
        <b/>
        <sz val="11"/>
        <rFont val="方正书宋_GBK"/>
        <charset val="134"/>
      </rPr>
      <t>经皮周围动静脉取栓术三甲医院2880元，三甲以下医院2592元。</t>
    </r>
  </si>
  <si>
    <t>33080404304</t>
  </si>
  <si>
    <t>331005007</t>
  </si>
  <si>
    <t>4560</t>
  </si>
  <si>
    <t>4100</t>
  </si>
  <si>
    <t>使用吲哚氰绿排泄试验加收60元</t>
  </si>
  <si>
    <t>33100500704</t>
  </si>
  <si>
    <t>肝癌切除术（吲哚氰绿排泄试验）</t>
  </si>
  <si>
    <t>331005013</t>
  </si>
  <si>
    <t>33100501304</t>
  </si>
  <si>
    <t>331005014</t>
  </si>
  <si>
    <t>33100501404</t>
  </si>
  <si>
    <t>331005015</t>
  </si>
  <si>
    <t>5280</t>
  </si>
  <si>
    <t>4750</t>
  </si>
  <si>
    <t>33100501504</t>
  </si>
  <si>
    <t>331005016</t>
  </si>
  <si>
    <t>7500</t>
  </si>
  <si>
    <t>6300</t>
  </si>
  <si>
    <t>33100501604</t>
  </si>
  <si>
    <t>331202007</t>
  </si>
  <si>
    <t>875</t>
  </si>
  <si>
    <t>790</t>
  </si>
  <si>
    <t>睾丸鞘状突高位结扎术三甲医院530元，三甲以下医院480元</t>
  </si>
  <si>
    <t>33120200704</t>
  </si>
  <si>
    <t>33120200705</t>
  </si>
  <si>
    <t>331303012</t>
  </si>
  <si>
    <t>1215</t>
  </si>
  <si>
    <t>使用肌瘤粉碎装置三甲医院加收250元，三甲以下医院加收225元</t>
  </si>
  <si>
    <t>33130301205</t>
  </si>
  <si>
    <t>33130301206</t>
  </si>
  <si>
    <t>1755</t>
  </si>
  <si>
    <t>1580</t>
  </si>
  <si>
    <t>33130301207</t>
  </si>
  <si>
    <t>2150</t>
  </si>
  <si>
    <t>1935</t>
  </si>
  <si>
    <t>33130301208</t>
  </si>
  <si>
    <t>2555</t>
  </si>
  <si>
    <t>331501021</t>
  </si>
  <si>
    <r>
      <rPr>
        <sz val="11"/>
        <rFont val="方正书宋_GBK"/>
        <charset val="134"/>
      </rPr>
      <t>包括</t>
    </r>
    <r>
      <rPr>
        <b/>
        <sz val="11"/>
        <rFont val="方正书宋_GBK"/>
        <charset val="134"/>
      </rPr>
      <t>颈椎后路减压侧块螺钉内固定术</t>
    </r>
  </si>
  <si>
    <t>3460</t>
  </si>
  <si>
    <t>33150102106</t>
  </si>
  <si>
    <t>5190</t>
  </si>
  <si>
    <t>6528</t>
  </si>
  <si>
    <t>5882</t>
  </si>
  <si>
    <t>4990</t>
  </si>
  <si>
    <t>7490</t>
  </si>
  <si>
    <t>6745</t>
  </si>
  <si>
    <t>8485</t>
  </si>
  <si>
    <t>7645</t>
  </si>
  <si>
    <t>331501052</t>
  </si>
  <si>
    <t>4320</t>
  </si>
  <si>
    <t>经皮内镜辅腰椎融合术参照执行</t>
  </si>
  <si>
    <t>33150105202</t>
  </si>
  <si>
    <t>331505021</t>
  </si>
  <si>
    <r>
      <rPr>
        <sz val="11"/>
        <rFont val="方正书宋_GBK"/>
        <charset val="134"/>
      </rPr>
      <t>包括</t>
    </r>
    <r>
      <rPr>
        <b/>
        <sz val="11"/>
        <rFont val="方正书宋_GBK"/>
        <charset val="134"/>
      </rPr>
      <t>胫骨骨折闭合复位髓内针内固定术</t>
    </r>
  </si>
  <si>
    <t>1620</t>
  </si>
  <si>
    <t>1460</t>
  </si>
  <si>
    <t>增加项目内涵，拆分子项</t>
  </si>
  <si>
    <t>33150502102</t>
  </si>
  <si>
    <t>33150502103</t>
  </si>
  <si>
    <t>2105</t>
  </si>
  <si>
    <t>1900</t>
  </si>
  <si>
    <t>331507004</t>
  </si>
  <si>
    <t>33150700401</t>
  </si>
  <si>
    <t>331507009</t>
  </si>
  <si>
    <t>33150700901</t>
  </si>
  <si>
    <t>331601005</t>
  </si>
  <si>
    <r>
      <rPr>
        <sz val="11"/>
        <rFont val="方正书宋_GBK"/>
        <charset val="134"/>
      </rPr>
      <t>改良根治</t>
    </r>
    <r>
      <rPr>
        <b/>
        <sz val="11"/>
        <rFont val="方正书宋_GBK"/>
        <charset val="134"/>
      </rPr>
      <t>（保乳手术）</t>
    </r>
    <r>
      <rPr>
        <sz val="11"/>
        <rFont val="方正书宋_GBK"/>
        <charset val="134"/>
      </rPr>
      <t>、植皮术三甲医院加收480元，三甲以下医院加收430元</t>
    </r>
  </si>
  <si>
    <t>说明栏内容修改</t>
  </si>
  <si>
    <t>33160100501</t>
  </si>
  <si>
    <t>乳腺癌根治术-改良根治加收</t>
  </si>
  <si>
    <t>480</t>
  </si>
  <si>
    <t>430</t>
  </si>
  <si>
    <t>改良根治（保乳手术）加收</t>
  </si>
  <si>
    <t>33160100504</t>
  </si>
  <si>
    <t>小儿乳腺癌根治术-改良根治加收</t>
  </si>
  <si>
    <t>625</t>
  </si>
  <si>
    <t>560</t>
  </si>
  <si>
    <t>430000002</t>
  </si>
  <si>
    <t>内热针、长圆针治疗三甲医院60元，三甲以下54元收取。</t>
  </si>
  <si>
    <t>增加说明栏内容，拆分子项，中医考虑价格</t>
  </si>
  <si>
    <t>43000000201</t>
  </si>
  <si>
    <t>60</t>
  </si>
  <si>
    <t>54</t>
  </si>
  <si>
    <t>43000000202</t>
  </si>
  <si>
    <t>460000007</t>
  </si>
  <si>
    <t>复杂性收660元；单纯行内痔静脉套扎术按400元收取</t>
  </si>
  <si>
    <t>46000000702</t>
  </si>
  <si>
    <t>46000000703</t>
  </si>
  <si>
    <t>小儿内痔静脉套扎术</t>
  </si>
  <si>
    <t>备注</t>
  </si>
  <si>
    <t>001202000010000-120200001</t>
  </si>
  <si>
    <t>120200001</t>
  </si>
  <si>
    <t>大抢救</t>
  </si>
  <si>
    <t>指1.成立专门抢救班子；2．主管医生不离开现场;3.严密观察病情变化；4.抢救涉及两科以上及时组织院内外会诊；5.专人护理，配合抢救。</t>
  </si>
  <si>
    <t>脑复苏重症低温治疗三甲医院每小时加收  元，三甲以下医院每小时加收  元。</t>
  </si>
  <si>
    <t>不纳入</t>
  </si>
  <si>
    <t>12020000102</t>
  </si>
  <si>
    <t>脑复苏重症低温治疗</t>
  </si>
  <si>
    <t>适用于重症颅脑损伤、重症脑血管病、心脏骤停等各种病因引起的全脑缺血缺氧性脑部患者进行脑保护及降温。依据患者病情，制定个体化治疗方案，应用具有温度反馈调控系统的医用控温仪快速将患者核心体温快速（2-4小时内）降到32-36摄氏度，并平稳维持至少24小时以上，（体温最大波动幅度0.2-0.5摄氏度），后缓慢并可控速率复温到生理体温（速率0.25-0.5摄氏度/小时），并且避免体温反跳。全程对患者实施持续监护。不含设备监护费用。</t>
  </si>
  <si>
    <r>
      <rPr>
        <sz val="14"/>
        <rFont val="宋体"/>
        <charset val="134"/>
      </rPr>
      <t>包括低流量给氧、中心给氧、高频吸氧；氧气创面治疗、</t>
    </r>
    <r>
      <rPr>
        <b/>
        <sz val="14"/>
        <rFont val="宋体"/>
        <charset val="134"/>
      </rPr>
      <t>一氧化氮吸入参照执行</t>
    </r>
  </si>
  <si>
    <t>持续吸氧按每天70元计算；间断吸氧按小时计算，加压给氧每小时加收1元。新生儿在原价基础上加收30%。</t>
  </si>
  <si>
    <r>
      <rPr>
        <sz val="14"/>
        <rFont val="宋体"/>
        <charset val="134"/>
      </rPr>
      <t>1．计价部位分为颅脑、眼眶、视神经管、颞骨、鞍区、副鼻窦、鼻骨、</t>
    </r>
    <r>
      <rPr>
        <b/>
        <sz val="14"/>
        <rFont val="宋体"/>
        <charset val="134"/>
      </rPr>
      <t>口腔、</t>
    </r>
    <r>
      <rPr>
        <sz val="14"/>
        <rFont val="宋体"/>
        <charset val="134"/>
      </rPr>
      <t>颈部、胸部、心脏、上腹部、中腹部、下腹部、椎体(每三个椎体)、双髋关节、膝关节、肢体、其他；2．三维重建三甲医院加收70元/部位，三甲以下医院加收63元/部位；3．使用心电或呼吸门控设备的三甲医院加收45元/部位，三甲以下医院加收40元/部位。</t>
    </r>
  </si>
  <si>
    <t>如何衔接曲面体层摄影（颔全景）及数字化摄影</t>
  </si>
  <si>
    <r>
      <rPr>
        <sz val="14"/>
        <rFont val="宋体"/>
        <charset val="134"/>
      </rPr>
      <t>每增加一个体位三甲医院加收40元，三甲以下医院加收36元。</t>
    </r>
    <r>
      <rPr>
        <b/>
        <sz val="14"/>
        <rFont val="宋体"/>
        <charset val="134"/>
      </rPr>
      <t>胸阻抗断层成像监测参照基准执行，不再加收。</t>
    </r>
  </si>
  <si>
    <r>
      <rPr>
        <sz val="14"/>
        <rFont val="宋体"/>
        <charset val="134"/>
      </rPr>
      <t>1、增加时相三甲医院加收20元，三甲以下医院加收18元；2、增加门控三甲医院加收40元，三甲以下医院加收36元。</t>
    </r>
    <r>
      <rPr>
        <b/>
        <sz val="14"/>
        <rFont val="宋体"/>
        <charset val="134"/>
      </rPr>
      <t>断层融合参照执行。</t>
    </r>
  </si>
  <si>
    <t>补充资金来源、设备采购价格</t>
  </si>
  <si>
    <r>
      <rPr>
        <sz val="14"/>
        <rFont val="宋体"/>
        <charset val="134"/>
      </rPr>
      <t>脑脊液动力学检查三甲医院加收30元，三甲以下医院加收27元。六岁及以下儿童在原价基础上加收30%。</t>
    </r>
    <r>
      <rPr>
        <b/>
        <sz val="14"/>
        <rFont val="宋体"/>
        <charset val="134"/>
      </rPr>
      <t>腰-蛛网膜下腔分流术、腰大池引流术三甲医院200元，三甲以下医院180元。</t>
    </r>
    <r>
      <rPr>
        <sz val="14"/>
        <rFont val="宋体"/>
        <charset val="134"/>
      </rPr>
      <t xml:space="preserve"> </t>
    </r>
  </si>
  <si>
    <t>31010001603</t>
  </si>
  <si>
    <r>
      <rPr>
        <sz val="14"/>
        <rFont val="宋体"/>
        <charset val="134"/>
      </rPr>
      <t>1.锤造无缝冠30元，种植体冠修复加收3元；2.塑料冠50元，种植体冠修复加收9元；3.铸造冠150元，种植体冠修复加收39元；4.烤瓷冠、瓷树脂共聚体冠、</t>
    </r>
    <r>
      <rPr>
        <b/>
        <sz val="14"/>
        <rFont val="宋体"/>
        <charset val="134"/>
      </rPr>
      <t>透明冠</t>
    </r>
    <r>
      <rPr>
        <sz val="14"/>
        <rFont val="宋体"/>
        <charset val="134"/>
      </rPr>
      <t>400元，种植体冠修复加收114元；5.贵金属冠600元，种植体冠修复加收174元；6.全瓷冠1220元，种植体冠修复加收360元；</t>
    </r>
  </si>
  <si>
    <r>
      <rPr>
        <sz val="14"/>
        <rFont val="宋体"/>
        <charset val="134"/>
      </rPr>
      <t>肺外周结节电磁导航支气管镜检查</t>
    </r>
    <r>
      <rPr>
        <b/>
        <sz val="14"/>
        <rFont val="宋体"/>
        <charset val="134"/>
      </rPr>
      <t>治疗</t>
    </r>
    <r>
      <rPr>
        <sz val="14"/>
        <rFont val="宋体"/>
        <charset val="134"/>
      </rPr>
      <t>术</t>
    </r>
  </si>
  <si>
    <t>加载肺部影像学数据，系统对肺部支气管结构进行三维成像，对肺部病灶进行术前病变分析和路径规划，寻找目标病灶，通过系统生成并建立达到病灶部位的导航路径。患者在麻醉状态下，通过支气管镜连接气管内镜定位导管和内窥镜工作通道延长导管，在实时电磁导航引导下，将内窥镜工作通道延长导管引导到肺外周病灶目标位置，抽出气管内镜定位导管，建立经支气管到达肺部目标病灶多功能工作通道，进行目标病灶的活检取样、刷片、穿刺等检查与治疗。不含病理学检查和影像学检查</t>
  </si>
  <si>
    <t>支气管镜经肺实质结节抵达术减收40%</t>
  </si>
  <si>
    <t>名称需要修改</t>
  </si>
  <si>
    <t>名称不规范，未找到依据</t>
  </si>
  <si>
    <r>
      <rPr>
        <sz val="14"/>
        <rFont val="宋体"/>
        <charset val="134"/>
      </rPr>
      <t>含活检；</t>
    </r>
    <r>
      <rPr>
        <b/>
        <sz val="14"/>
        <rFont val="宋体"/>
        <charset val="134"/>
      </rPr>
      <t>包括超声肠镜检查术</t>
    </r>
  </si>
  <si>
    <r>
      <rPr>
        <sz val="14"/>
        <rFont val="宋体"/>
        <charset val="134"/>
      </rPr>
      <t>六岁及以下儿童在原价基础上加收30%；</t>
    </r>
    <r>
      <rPr>
        <b/>
        <sz val="14"/>
        <rFont val="宋体"/>
        <charset val="134"/>
      </rPr>
      <t>经皮肝穿刺引流术三甲医院300元，三甲以下医院270元。</t>
    </r>
  </si>
  <si>
    <r>
      <rPr>
        <sz val="14"/>
        <rFont val="宋体"/>
        <charset val="134"/>
      </rPr>
      <t>烧伤面积＞30%。</t>
    </r>
    <r>
      <rPr>
        <b/>
        <sz val="14"/>
        <rFont val="宋体"/>
        <charset val="134"/>
      </rPr>
      <t>烧伤面积＜30%时，三甲医院80元、三甲以下医院72元。</t>
    </r>
  </si>
  <si>
    <r>
      <rPr>
        <sz val="14"/>
        <rFont val="宋体"/>
        <charset val="134"/>
      </rPr>
      <t>同时做左心室造影三甲医院加收540元，三甲以下医院加收485元。</t>
    </r>
    <r>
      <rPr>
        <b/>
        <sz val="14"/>
        <rFont val="宋体"/>
        <charset val="134"/>
      </rPr>
      <t>同时行冠状动脉血流储备分数检查加收10%。</t>
    </r>
  </si>
  <si>
    <r>
      <rPr>
        <sz val="14"/>
        <rFont val="宋体"/>
        <charset val="134"/>
      </rPr>
      <t>包括</t>
    </r>
    <r>
      <rPr>
        <b/>
        <sz val="14"/>
        <rFont val="宋体"/>
        <charset val="134"/>
      </rPr>
      <t>飞秒白内障手术</t>
    </r>
  </si>
  <si>
    <t>玻璃体切割头、硅胶、膨胀气体、重水、硅油</t>
  </si>
  <si>
    <r>
      <rPr>
        <sz val="14"/>
        <rFont val="宋体"/>
        <charset val="134"/>
      </rPr>
      <t>激光法三甲医院加收250元，三甲以下医院加收225元。</t>
    </r>
    <r>
      <rPr>
        <b/>
        <sz val="14"/>
        <rFont val="宋体"/>
        <charset val="134"/>
      </rPr>
      <t>人工玻璃体球囊置入术参照执行。</t>
    </r>
  </si>
  <si>
    <t>内镜下鼻咽病损切除术三甲医院800元，三甲以下医院720元。</t>
  </si>
  <si>
    <t>内镜下鼻咽病损切除术</t>
  </si>
  <si>
    <r>
      <rPr>
        <sz val="14"/>
        <rFont val="宋体"/>
        <charset val="134"/>
      </rPr>
      <t>激光法、高频电法三甲医院加收495元，三甲以下医院加收445元。</t>
    </r>
    <r>
      <rPr>
        <b/>
        <sz val="14"/>
        <rFont val="宋体"/>
        <charset val="134"/>
      </rPr>
      <t>冷冻法参照执行。</t>
    </r>
  </si>
  <si>
    <r>
      <rPr>
        <sz val="14"/>
        <rFont val="宋体"/>
        <charset val="134"/>
      </rPr>
      <t>包括经纤支镜支架</t>
    </r>
    <r>
      <rPr>
        <b/>
        <sz val="14"/>
        <rFont val="宋体"/>
        <charset val="134"/>
      </rPr>
      <t>取出术</t>
    </r>
  </si>
  <si>
    <t>热循环灌注治疗三甲医院按550元/次，三甲以下医院按495元/次</t>
  </si>
  <si>
    <t>恶性肿瘤腔内灌注治疗（热循环）</t>
  </si>
  <si>
    <t>包括保留部分或全部二尖瓣装置，不含大C臂数字减影X光机引导</t>
  </si>
  <si>
    <t>经导管二尖瓣置换术三甲医院6130元，三甲以下5520元</t>
  </si>
  <si>
    <t>经导管三尖瓣置换术三甲医院6130元，三甲以下医院5520元</t>
  </si>
  <si>
    <t>经导管主动脉瓣置换术三甲医院6130元，三甲以下医院5520元。</t>
  </si>
  <si>
    <t>经导管二尖瓣成形术三甲医院6130元，三甲以下医院5520元。</t>
  </si>
  <si>
    <t>003308010170000-330801017</t>
  </si>
  <si>
    <t>330801017</t>
  </si>
  <si>
    <t>房间隔缺损修补术</t>
  </si>
  <si>
    <t>包括单心房间隔再造术，Ⅰ、Ⅱ孔房缺</t>
  </si>
  <si>
    <t>2570</t>
  </si>
  <si>
    <t>2310</t>
  </si>
  <si>
    <t>名称无依据，提供了《房间隔分流器植入术治疗射血分数保留心力衰竭：中国专家认识和建议》，该操作规范填写病案等医疗文书的名称需要明确</t>
  </si>
  <si>
    <t>房间隔分流器植入术</t>
  </si>
  <si>
    <t>经导管左心室减容术参照执行</t>
  </si>
  <si>
    <r>
      <rPr>
        <sz val="14"/>
        <rFont val="宋体"/>
        <charset val="134"/>
      </rPr>
      <t>双侧取栓，或多部位取栓，每增加一切口三甲医院加收480元，三甲以下医院加收430元。</t>
    </r>
    <r>
      <rPr>
        <b/>
        <sz val="14"/>
        <rFont val="宋体"/>
        <charset val="134"/>
      </rPr>
      <t>经皮周围动静脉取栓术三甲医院2880元，三甲以下医院2592元。</t>
    </r>
  </si>
  <si>
    <t>修订内涵</t>
  </si>
  <si>
    <t>腹腔镜子宫楔形切除术</t>
  </si>
  <si>
    <r>
      <rPr>
        <sz val="14"/>
        <rFont val="宋体"/>
        <charset val="134"/>
      </rPr>
      <t>包括</t>
    </r>
    <r>
      <rPr>
        <b/>
        <sz val="14"/>
        <rFont val="宋体"/>
        <charset val="134"/>
      </rPr>
      <t>颈椎后路减压侧块螺钉内固定术</t>
    </r>
  </si>
  <si>
    <t>经皮内镜辅助下腰椎融合术参照执行</t>
  </si>
  <si>
    <t>经皮内镜辅助下腰椎融合术</t>
  </si>
  <si>
    <r>
      <rPr>
        <sz val="14"/>
        <rFont val="宋体"/>
        <charset val="134"/>
      </rPr>
      <t>包括</t>
    </r>
    <r>
      <rPr>
        <b/>
        <sz val="14"/>
        <rFont val="宋体"/>
        <charset val="134"/>
      </rPr>
      <t>乳腺癌保乳手术</t>
    </r>
  </si>
  <si>
    <t>改良根治、植皮术三甲医院加收480元，三甲以下医院加收430元</t>
  </si>
  <si>
    <t>33160100506</t>
  </si>
  <si>
    <t>乳腺癌保乳手术</t>
  </si>
  <si>
    <t>内痔静脉套扎术按400元收取</t>
  </si>
  <si>
    <t>002304000100000-230400010</t>
  </si>
  <si>
    <t>230400010</t>
  </si>
  <si>
    <t>未提供采购资金来源</t>
  </si>
  <si>
    <t>002304000100000-23040001001</t>
  </si>
  <si>
    <t>23040001001</t>
  </si>
  <si>
    <t>002304000100001-23040001002</t>
  </si>
  <si>
    <t>23040001002</t>
  </si>
  <si>
    <r>
      <rPr>
        <sz val="14"/>
        <rFont val="宋体"/>
        <charset val="134"/>
      </rPr>
      <t>包括</t>
    </r>
    <r>
      <rPr>
        <b/>
        <sz val="14"/>
        <rFont val="宋体"/>
        <charset val="134"/>
      </rPr>
      <t>胫骨骨折闭合复位髓内针内固定术</t>
    </r>
  </si>
  <si>
    <r>
      <rPr>
        <sz val="14"/>
        <rFont val="宋体"/>
        <charset val="134"/>
      </rPr>
      <t>包括微波法、激光法、高频电法、</t>
    </r>
    <r>
      <rPr>
        <b/>
        <sz val="14"/>
        <rFont val="宋体"/>
        <charset val="134"/>
      </rPr>
      <t>氩离子凝固法</t>
    </r>
    <r>
      <rPr>
        <sz val="14"/>
        <rFont val="宋体"/>
        <charset val="134"/>
      </rPr>
      <t>等</t>
    </r>
  </si>
  <si>
    <t>序号</t>
  </si>
  <si>
    <r>
      <rPr>
        <sz val="12"/>
        <rFont val="宋体"/>
        <charset val="134"/>
      </rPr>
      <t>每种测定计费一次。</t>
    </r>
    <r>
      <rPr>
        <b/>
        <sz val="12"/>
        <rFont val="宋体"/>
        <charset val="134"/>
      </rPr>
      <t>游离轻链定量测定与免疫球蛋白轻链定量测定不能同时收取，对游离轻链定量测定后，再行免疫球蛋白轻链定量测定的，不得收取费用。</t>
    </r>
  </si>
  <si>
    <r>
      <rPr>
        <b/>
        <sz val="12"/>
        <rFont val="宋体"/>
        <charset val="134"/>
      </rPr>
      <t>乙型肝炎核酸定量测定</t>
    </r>
    <r>
      <rPr>
        <sz val="12"/>
        <rFont val="宋体"/>
        <charset val="134"/>
      </rPr>
      <t>载量灵敏度≤20IU/ML按400元/次收取。</t>
    </r>
  </si>
  <si>
    <r>
      <rPr>
        <sz val="12"/>
        <rFont val="宋体"/>
        <charset val="134"/>
      </rPr>
      <t>各类病原体</t>
    </r>
    <r>
      <rPr>
        <b/>
        <sz val="12"/>
        <rFont val="宋体"/>
        <charset val="134"/>
      </rPr>
      <t>核酸</t>
    </r>
    <r>
      <rPr>
        <sz val="12"/>
        <rFont val="宋体"/>
        <charset val="134"/>
      </rPr>
      <t>测定</t>
    </r>
  </si>
  <si>
    <r>
      <rPr>
        <sz val="12"/>
        <rFont val="宋体"/>
        <charset val="134"/>
      </rPr>
      <t>各类病原体</t>
    </r>
    <r>
      <rPr>
        <b/>
        <sz val="12"/>
        <rFont val="宋体"/>
        <charset val="134"/>
      </rPr>
      <t>核酸</t>
    </r>
    <r>
      <rPr>
        <sz val="12"/>
        <rFont val="宋体"/>
        <charset val="134"/>
      </rPr>
      <t>测定（全自动荧光定量）</t>
    </r>
  </si>
  <si>
    <r>
      <rPr>
        <sz val="12"/>
        <rFont val="宋体"/>
        <charset val="134"/>
      </rPr>
      <t>抗SSA、抗SSB、抗JO－1、抗Sm、抗nRNP、抗ScL-70、抗着丝点抗体</t>
    </r>
    <r>
      <rPr>
        <b/>
        <sz val="12"/>
        <rFont val="宋体"/>
        <charset val="134"/>
      </rPr>
      <t>等</t>
    </r>
    <r>
      <rPr>
        <sz val="12"/>
        <rFont val="宋体"/>
        <charset val="134"/>
      </rPr>
      <t>测定分别参照执行</t>
    </r>
  </si>
  <si>
    <r>
      <rPr>
        <b/>
        <sz val="12"/>
        <rFont val="宋体"/>
        <charset val="134"/>
      </rPr>
      <t>低于7项按项收取，7种≤抗ENA抗体＜14种三甲医院按168元收取，三甲以下按151元收取，抗ENA抗体</t>
    </r>
    <r>
      <rPr>
        <b/>
        <sz val="12"/>
        <rFont val="东文宋体"/>
        <charset val="134"/>
      </rPr>
      <t>≥</t>
    </r>
    <r>
      <rPr>
        <b/>
        <sz val="12"/>
        <rFont val="宋体"/>
        <charset val="134"/>
      </rPr>
      <t>14 种三甲医院按200元收取，三甲以下按180元收取</t>
    </r>
  </si>
  <si>
    <r>
      <rPr>
        <sz val="12"/>
        <rFont val="宋体"/>
        <charset val="134"/>
      </rPr>
      <t>包括脊髓灰质炎病毒、柯萨奇病毒、流行性乙型脑炎病毒、流行性腮腺炎病毒、麻疹病毒</t>
    </r>
    <r>
      <rPr>
        <b/>
        <sz val="12"/>
        <rFont val="宋体"/>
        <charset val="134"/>
      </rPr>
      <t>等血清抗体测定</t>
    </r>
  </si>
  <si>
    <r>
      <rPr>
        <b/>
        <sz val="12"/>
        <rFont val="宋体"/>
        <charset val="134"/>
      </rPr>
      <t>含胚胎形态学评估、胚胎/卵组织冷冻前处理、胚胎/卵组织冷冻保存</t>
    </r>
    <r>
      <rPr>
        <sz val="12"/>
        <rFont val="宋体"/>
        <charset val="134"/>
      </rPr>
      <t>；包括精子冷冻、</t>
    </r>
    <r>
      <rPr>
        <b/>
        <sz val="12"/>
        <rFont val="宋体"/>
        <charset val="134"/>
      </rPr>
      <t>卵组织冷冻。</t>
    </r>
  </si>
  <si>
    <t>多种遗传代谢病检测（高效液相串联质谱法）限符合规定资质的新生儿遗传代谢疾病筛查诊断诊治中心收取</t>
  </si>
  <si>
    <t>备注：1.风疹病毒抗体测定（250403021）、巨细胞病毒抗体测定（250403022）、巨细胞病毒抗体测定（化学发光法）（25040302201）、单纯疱疹病毒抗体测定（250403023）、单纯疱疹病毒抗体测定（250403024）、EB病毒抗体测定（250403025）、呼吸道合胞病毒抗体测定（250403026）、副流感病毒抗体测定（250403028）、天疱疮抗体测定（250403029）、水痘—带状疱疹病毒抗体测定（250403030）、腺病毒抗体测定（250403031）、流行性出血热病毒抗体测定（250403033）、狂犬病毒抗体测定（250403034）、斑疹伤寒抗体测定（250403040）、EB病毒Rta蛋白抗体定性检测（250403084）整合至病毒血清抗体检测（250403035）；取消其它病毒的血清学诊断（250501036）、病毒血清学试验（脊髓灰质炎病毒）（25040303501）、病毒血清学试验（柯萨奇病毒）（25040303502）、病毒血清学试验（流行性乙型脑炎病毒）（25040303503）、病毒血清学试验（流行性腮腺炎病毒）（25040303504）、病毒血清学试验（麻疹病毒）（25040303505）。2.甲型流感病毒抗原检测（250403085）、呼吸道合胞病毒抗原测定（250403027）整合至呼吸道病毒抗原检测（250403085）；3、人轮状病毒抗原测定（250403032）整合至肠道病毒抗原检测（250403032）</t>
  </si>
  <si>
    <t>003304020070000-33040200701</t>
  </si>
  <si>
    <t>003305010130000-33050101301</t>
  </si>
  <si>
    <t>33050101301</t>
  </si>
  <si>
    <t>小儿外耳道恶性肿瘤切除术</t>
  </si>
  <si>
    <t>2000</t>
  </si>
  <si>
    <t>1795</t>
  </si>
  <si>
    <t>003305020050000-33050200501</t>
  </si>
  <si>
    <t>33050200501</t>
  </si>
  <si>
    <t>小儿镫骨手术</t>
  </si>
  <si>
    <t>3120</t>
  </si>
  <si>
    <t>2810</t>
  </si>
  <si>
    <t>003305020140000-33050201401</t>
  </si>
  <si>
    <t>33050201401</t>
  </si>
  <si>
    <t>小儿单纯乳突凿开术</t>
  </si>
  <si>
    <t>1230</t>
  </si>
  <si>
    <t>1105</t>
  </si>
  <si>
    <t>003305020160000-33050201601</t>
  </si>
  <si>
    <t>33050201601</t>
  </si>
  <si>
    <t>小儿开放式乳突根治术</t>
  </si>
  <si>
    <t>2030</t>
  </si>
  <si>
    <t>003305020180000-33050201801</t>
  </si>
  <si>
    <t>33050201801</t>
  </si>
  <si>
    <t>小儿上鼓室鼓窦凿开术</t>
  </si>
  <si>
    <t>003305030020000-33050300201</t>
  </si>
  <si>
    <t>33050300201</t>
  </si>
  <si>
    <t>小儿内耳开窗术</t>
  </si>
  <si>
    <t>2520</t>
  </si>
  <si>
    <t>003305030080000-33050300801</t>
  </si>
  <si>
    <t>33050300801</t>
  </si>
  <si>
    <t>小儿经迷路听神经瘤切除术</t>
  </si>
  <si>
    <t>4210</t>
  </si>
  <si>
    <t>003305030140000-33050301401</t>
  </si>
  <si>
    <t>33050301401</t>
  </si>
  <si>
    <t>小儿颞骨部分切除术</t>
  </si>
  <si>
    <t>003305030150000-33050301501</t>
  </si>
  <si>
    <t>33050301501</t>
  </si>
  <si>
    <t>小儿颞骨次全切除术</t>
  </si>
  <si>
    <t>4290</t>
  </si>
  <si>
    <t>003305030160000-33050301601</t>
  </si>
  <si>
    <t>33050301601</t>
  </si>
  <si>
    <t>小儿颞骨全切术</t>
  </si>
  <si>
    <t>5850</t>
  </si>
  <si>
    <t>4915</t>
  </si>
  <si>
    <t>003306010210000-33060102101</t>
  </si>
  <si>
    <t>33060102101</t>
  </si>
  <si>
    <t>小儿经鼻鼻腔鼻窦肿瘤切除术</t>
  </si>
  <si>
    <t>003306010210000-33060102102</t>
  </si>
  <si>
    <t>33060102102</t>
  </si>
  <si>
    <t>经鼻内镜经鼻鼻腔鼻窦肿瘤切除术</t>
  </si>
  <si>
    <t>1930</t>
  </si>
  <si>
    <t>1740</t>
  </si>
  <si>
    <t>003306010210000-33060102103</t>
  </si>
  <si>
    <t>33060102103</t>
  </si>
  <si>
    <t>小儿经鼻内镜经鼻鼻腔鼻窦肿瘤切除术</t>
  </si>
  <si>
    <t>2450</t>
  </si>
  <si>
    <t>2210</t>
  </si>
  <si>
    <t>003306020130300-33060201301</t>
  </si>
  <si>
    <t>33060201301</t>
  </si>
  <si>
    <t>经鼻内镜鼻窦手术（蝶窦）</t>
  </si>
  <si>
    <t>2850</t>
  </si>
  <si>
    <t>2560</t>
  </si>
  <si>
    <t>蝶窦</t>
  </si>
  <si>
    <t>003306020130000-33060201302</t>
  </si>
  <si>
    <t>33060201302</t>
  </si>
  <si>
    <t>小儿经鼻内镜鼻窦手术</t>
  </si>
  <si>
    <t>3495</t>
  </si>
  <si>
    <t>3145</t>
  </si>
  <si>
    <t>003306020130300-33060201303</t>
  </si>
  <si>
    <t>33060201303</t>
  </si>
  <si>
    <t>小儿经鼻内镜鼻窦手术（蝶窦）</t>
  </si>
  <si>
    <t>3705</t>
  </si>
  <si>
    <t>3330</t>
  </si>
  <si>
    <t>003306030030000-33060300301</t>
  </si>
  <si>
    <t>33060300301</t>
  </si>
  <si>
    <t>小儿经前颅窝鼻窦肿物切除术</t>
  </si>
  <si>
    <t>6240</t>
  </si>
  <si>
    <t>5240</t>
  </si>
  <si>
    <t>003306030040000-33060300401</t>
  </si>
  <si>
    <t>33060300401</t>
  </si>
  <si>
    <t>小儿经鼻视神经减压术</t>
  </si>
  <si>
    <t>4370</t>
  </si>
  <si>
    <t>3925</t>
  </si>
  <si>
    <t>003306030070000-33060300701</t>
  </si>
  <si>
    <t>33060300701</t>
  </si>
  <si>
    <t>小儿经鼻内镜脑膜修补术</t>
  </si>
  <si>
    <t>3745</t>
  </si>
  <si>
    <t>3365</t>
  </si>
  <si>
    <t>003306050090000-33060500901</t>
  </si>
  <si>
    <t>33060500901</t>
  </si>
  <si>
    <t>小儿上颌骨部分切除术</t>
  </si>
  <si>
    <t>2990</t>
  </si>
  <si>
    <t>003306050100000-33060501001</t>
  </si>
  <si>
    <t>33060501001</t>
  </si>
  <si>
    <t>小儿上颌骨次全切除术</t>
  </si>
  <si>
    <t>3250</t>
  </si>
  <si>
    <t>003306050110000-33060501101</t>
  </si>
  <si>
    <t>33060501101</t>
  </si>
  <si>
    <t>小儿上颌骨全切术</t>
  </si>
  <si>
    <t>4240</t>
  </si>
  <si>
    <t>003306050120000-33060501201</t>
  </si>
  <si>
    <t>33060501201</t>
  </si>
  <si>
    <t>小儿上颌骨扩大切除术</t>
  </si>
  <si>
    <t>003306050130000-33060501301</t>
  </si>
  <si>
    <t>33060501301</t>
  </si>
  <si>
    <t>小儿颌骨良性病变切除术</t>
  </si>
  <si>
    <t>003306110030000-33061100301</t>
  </si>
  <si>
    <t>33061100301</t>
  </si>
  <si>
    <t>小儿经硬腭进路鼻咽肿瘤切除术</t>
  </si>
  <si>
    <t>2455</t>
  </si>
  <si>
    <t>003306110040000-33061100401</t>
  </si>
  <si>
    <t>33061100401</t>
  </si>
  <si>
    <t>小儿经硬腭进路鼻咽狭窄闭锁切开成形术</t>
  </si>
  <si>
    <t>2290</t>
  </si>
  <si>
    <t>003306110090000-33061100901</t>
  </si>
  <si>
    <t>33061100901</t>
  </si>
  <si>
    <t>小儿侧颅底切除术</t>
  </si>
  <si>
    <t>7175</t>
  </si>
  <si>
    <t>353300000010000-33000000016</t>
  </si>
  <si>
    <t>353300000010000-33000000009</t>
  </si>
  <si>
    <t>330403009</t>
  </si>
  <si>
    <t>常规消毒、开睑。结膜下浸润麻醉，下方球结膜用显微镊将球结膜提起反折，确定切除量，用显微剪呈月牙形剪除多余球结膜，将其下多余筋膜清除干净，对合结膜切口，用10-0缝线行结膜切口连续缝合，术毕结膜囊涂抗生素眼膏单眼包扎。</t>
  </si>
  <si>
    <t>331002017</t>
  </si>
  <si>
    <t>逐层进腹，探查，粘连松解，胃底游离，胃底折叠(360°胃底折叠，270°胃底折叠)，经腹壁另戳孔置管固定，清点器具、纱布无误，冲洗腹腔，逐层关腹。///经腹腔镜胃底折叠术：腹壁多处戳孔，造气腹，插入观察镜，插入操作内镜，插入辅助器械，探查，粘连松解，胃底游离，胃底折叠(360°胃底折叠，270°胃底折叠)，止血，置管引出固定，缝合伤口。</t>
  </si>
  <si>
    <t>331506025</t>
  </si>
  <si>
    <t>蛛网膜下腔阻滞麻醉或全身麻醉。消毒铺巾，铺防水材料，膝关节前方入路，关节镜探查髌上囊、关节软骨、半月板及交叉韧带，半月板缝合，充分止血，冲洗关节腔，必要时放置引流，缝合，加压包扎，支具或石膏固定。不含负压引流置入，软骨修复，髁间窝成形、半月板切除。</t>
  </si>
  <si>
    <t>331522017</t>
  </si>
  <si>
    <t>在腰椎麻醉或局部浸润麻醉下，常规碘伏消毒铺巾，于踝关节前外侧弧形切口，直达断裂的距腓前韧带处，清除局部血肿，将撕裂的韧带加固缝合，止血，引流，负压吸引。</t>
  </si>
  <si>
    <t>医院上报名称：距腓前韧带重建术</t>
  </si>
  <si>
    <t>340100031</t>
  </si>
  <si>
    <t>包括淋巴水肿患者皮肤评估测量、手法引流、压力治疗及功能锻炼。</t>
  </si>
</sst>
</file>

<file path=xl/styles.xml><?xml version="1.0" encoding="utf-8"?>
<styleSheet xmlns="http://schemas.openxmlformats.org/spreadsheetml/2006/main">
  <numFmts count="7">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 numFmtId="176" formatCode="0_);[Red]\(0\)"/>
    <numFmt numFmtId="177" formatCode="0.0_);[Red]\(0.0\)"/>
    <numFmt numFmtId="178" formatCode="0.0_ "/>
  </numFmts>
  <fonts count="93">
    <font>
      <sz val="12"/>
      <name val="宋体"/>
      <charset val="134"/>
    </font>
    <font>
      <sz val="11"/>
      <name val="方正书宋_GBK"/>
      <charset val="134"/>
    </font>
    <font>
      <b/>
      <sz val="11"/>
      <name val="方正书宋_GBK"/>
      <charset val="134"/>
    </font>
    <font>
      <sz val="10"/>
      <name val="等线"/>
      <charset val="134"/>
      <scheme val="minor"/>
    </font>
    <font>
      <sz val="14"/>
      <name val="宋体"/>
      <charset val="134"/>
    </font>
    <font>
      <sz val="20"/>
      <name val="等线"/>
      <charset val="134"/>
      <scheme val="minor"/>
    </font>
    <font>
      <b/>
      <sz val="20"/>
      <name val="等线"/>
      <charset val="134"/>
      <scheme val="minor"/>
    </font>
    <font>
      <sz val="20"/>
      <color theme="1"/>
      <name val="等线"/>
      <charset val="134"/>
      <scheme val="minor"/>
    </font>
    <font>
      <b/>
      <sz val="12"/>
      <name val="宋体"/>
      <charset val="134"/>
    </font>
    <font>
      <sz val="12"/>
      <name val="方正书宋_GBK"/>
      <charset val="134"/>
    </font>
    <font>
      <b/>
      <sz val="12"/>
      <color theme="1"/>
      <name val="宋体"/>
      <charset val="134"/>
    </font>
    <font>
      <sz val="12"/>
      <color rgb="FFFF0000"/>
      <name val="宋体"/>
      <charset val="134"/>
    </font>
    <font>
      <sz val="11"/>
      <name val="等线"/>
      <charset val="134"/>
      <scheme val="minor"/>
    </font>
    <font>
      <sz val="10"/>
      <color rgb="FFFF0000"/>
      <name val="等线"/>
      <charset val="134"/>
      <scheme val="minor"/>
    </font>
    <font>
      <b/>
      <sz val="10"/>
      <name val="等线"/>
      <charset val="134"/>
      <scheme val="minor"/>
    </font>
    <font>
      <b/>
      <sz val="12"/>
      <color rgb="FFFF0000"/>
      <name val="宋体"/>
      <charset val="134"/>
    </font>
    <font>
      <b/>
      <sz val="12"/>
      <name val="方正书宋_GBK"/>
      <charset val="134"/>
    </font>
    <font>
      <b/>
      <sz val="12"/>
      <color rgb="FFFF0000"/>
      <name val="方正书宋_GBK"/>
      <charset val="134"/>
    </font>
    <font>
      <b/>
      <sz val="11"/>
      <name val="等线"/>
      <charset val="134"/>
      <scheme val="minor"/>
    </font>
    <font>
      <sz val="8"/>
      <color theme="1"/>
      <name val="等线"/>
      <charset val="134"/>
      <scheme val="minor"/>
    </font>
    <font>
      <sz val="14"/>
      <color indexed="10"/>
      <name val="宋体"/>
      <charset val="134"/>
    </font>
    <font>
      <sz val="14"/>
      <name val="方正小标宋简体"/>
      <charset val="134"/>
    </font>
    <font>
      <b/>
      <sz val="14"/>
      <color indexed="8"/>
      <name val="宋体"/>
      <charset val="134"/>
    </font>
    <font>
      <sz val="14"/>
      <name val="方正书宋_GBK"/>
      <charset val="134"/>
    </font>
    <font>
      <b/>
      <sz val="14"/>
      <name val="宋体"/>
      <charset val="134"/>
    </font>
    <font>
      <sz val="14"/>
      <color rgb="FFFF0000"/>
      <name val="宋体"/>
      <charset val="134"/>
    </font>
    <font>
      <b/>
      <sz val="14"/>
      <color rgb="FFFF0000"/>
      <name val="宋体"/>
      <charset val="134"/>
    </font>
    <font>
      <sz val="14"/>
      <name val="等线"/>
      <charset val="134"/>
      <scheme val="minor"/>
    </font>
    <font>
      <sz val="14"/>
      <name val="等线"/>
      <charset val="134"/>
    </font>
    <font>
      <sz val="11"/>
      <color rgb="FFFF0000"/>
      <name val="方正书宋_GBK"/>
      <charset val="134"/>
    </font>
    <font>
      <b/>
      <sz val="11"/>
      <color theme="1"/>
      <name val="方正书宋_GBK"/>
      <charset val="134"/>
    </font>
    <font>
      <b/>
      <sz val="11"/>
      <color rgb="FFFF0000"/>
      <name val="方正书宋_GBK"/>
      <charset val="134"/>
    </font>
    <font>
      <b/>
      <sz val="10"/>
      <name val="方正书宋_GBK"/>
      <charset val="134"/>
    </font>
    <font>
      <sz val="9"/>
      <name val="CESI宋体-GB13000"/>
      <charset val="134"/>
    </font>
    <font>
      <sz val="14"/>
      <name val="黑体"/>
      <charset val="134"/>
    </font>
    <font>
      <sz val="20"/>
      <name val="方正小标宋简体"/>
      <charset val="134"/>
    </font>
    <font>
      <sz val="11"/>
      <name val="黑体"/>
      <charset val="134"/>
    </font>
    <font>
      <sz val="11"/>
      <name val="仿宋_GB2312"/>
      <charset val="134"/>
    </font>
    <font>
      <sz val="11"/>
      <color rgb="FF000000"/>
      <name val="仿宋_GB2312"/>
      <charset val="134"/>
    </font>
    <font>
      <sz val="11"/>
      <color theme="1"/>
      <name val="仿宋_GB2312"/>
      <charset val="134"/>
    </font>
    <font>
      <sz val="11"/>
      <color rgb="FFFF0000"/>
      <name val="仿宋_GB2312"/>
      <charset val="134"/>
    </font>
    <font>
      <b/>
      <sz val="11"/>
      <color indexed="8"/>
      <name val="宋体"/>
      <charset val="134"/>
    </font>
    <font>
      <sz val="11"/>
      <color indexed="8"/>
      <name val="宋体"/>
      <charset val="134"/>
    </font>
    <font>
      <sz val="11"/>
      <color indexed="62"/>
      <name val="宋体"/>
      <charset val="134"/>
    </font>
    <font>
      <b/>
      <sz val="11"/>
      <color indexed="63"/>
      <name val="宋体"/>
      <charset val="134"/>
    </font>
    <font>
      <sz val="11"/>
      <color theme="1"/>
      <name val="等线"/>
      <charset val="0"/>
      <scheme val="minor"/>
    </font>
    <font>
      <sz val="10"/>
      <name val="宋体"/>
      <charset val="134"/>
    </font>
    <font>
      <sz val="11"/>
      <color theme="1"/>
      <name val="等线"/>
      <charset val="134"/>
      <scheme val="minor"/>
    </font>
    <font>
      <b/>
      <sz val="11"/>
      <color indexed="52"/>
      <name val="宋体"/>
      <charset val="134"/>
    </font>
    <font>
      <b/>
      <sz val="11"/>
      <color rgb="FF3F3F3F"/>
      <name val="等线"/>
      <charset val="0"/>
      <scheme val="minor"/>
    </font>
    <font>
      <sz val="11"/>
      <color theme="0"/>
      <name val="等线"/>
      <charset val="0"/>
      <scheme val="minor"/>
    </font>
    <font>
      <sz val="11"/>
      <name val="宋体"/>
      <charset val="134"/>
    </font>
    <font>
      <sz val="11"/>
      <color indexed="9"/>
      <name val="宋体"/>
      <charset val="134"/>
    </font>
    <font>
      <b/>
      <sz val="11"/>
      <color indexed="56"/>
      <name val="宋体"/>
      <charset val="134"/>
    </font>
    <font>
      <sz val="11"/>
      <color rgb="FF3F3F76"/>
      <name val="等线"/>
      <charset val="0"/>
      <scheme val="minor"/>
    </font>
    <font>
      <u/>
      <sz val="11"/>
      <color rgb="FF0000FF"/>
      <name val="等线"/>
      <charset val="0"/>
      <scheme val="minor"/>
    </font>
    <font>
      <b/>
      <sz val="18"/>
      <color indexed="56"/>
      <name val="宋体"/>
      <charset val="134"/>
    </font>
    <font>
      <b/>
      <sz val="11"/>
      <color theme="3"/>
      <name val="等线"/>
      <charset val="134"/>
      <scheme val="minor"/>
    </font>
    <font>
      <u/>
      <sz val="11"/>
      <color rgb="FF800080"/>
      <name val="等线"/>
      <charset val="0"/>
      <scheme val="minor"/>
    </font>
    <font>
      <sz val="11"/>
      <color rgb="FF9C0006"/>
      <name val="等线"/>
      <charset val="0"/>
      <scheme val="minor"/>
    </font>
    <font>
      <sz val="11"/>
      <color indexed="52"/>
      <name val="宋体"/>
      <charset val="134"/>
    </font>
    <font>
      <b/>
      <sz val="11"/>
      <color rgb="FFFFFFFF"/>
      <name val="等线"/>
      <charset val="0"/>
      <scheme val="minor"/>
    </font>
    <font>
      <sz val="11"/>
      <color rgb="FFFF0000"/>
      <name val="等线"/>
      <charset val="0"/>
      <scheme val="minor"/>
    </font>
    <font>
      <sz val="11"/>
      <color indexed="17"/>
      <name val="宋体"/>
      <charset val="134"/>
    </font>
    <font>
      <b/>
      <sz val="18"/>
      <color theme="3"/>
      <name val="等线"/>
      <charset val="134"/>
      <scheme val="minor"/>
    </font>
    <font>
      <sz val="11"/>
      <color indexed="60"/>
      <name val="宋体"/>
      <charset val="134"/>
    </font>
    <font>
      <sz val="11"/>
      <color indexed="20"/>
      <name val="宋体"/>
      <charset val="134"/>
    </font>
    <font>
      <i/>
      <sz val="11"/>
      <color rgb="FF7F7F7F"/>
      <name val="等线"/>
      <charset val="0"/>
      <scheme val="minor"/>
    </font>
    <font>
      <b/>
      <sz val="15"/>
      <color theme="3"/>
      <name val="等线"/>
      <charset val="134"/>
      <scheme val="minor"/>
    </font>
    <font>
      <b/>
      <sz val="13"/>
      <color theme="3"/>
      <name val="等线"/>
      <charset val="134"/>
      <scheme val="minor"/>
    </font>
    <font>
      <b/>
      <sz val="11"/>
      <color rgb="FFFA7D00"/>
      <name val="等线"/>
      <charset val="0"/>
      <scheme val="minor"/>
    </font>
    <font>
      <sz val="11"/>
      <color rgb="FF006100"/>
      <name val="等线"/>
      <charset val="0"/>
      <scheme val="minor"/>
    </font>
    <font>
      <sz val="11"/>
      <color indexed="10"/>
      <name val="宋体"/>
      <charset val="134"/>
    </font>
    <font>
      <sz val="11"/>
      <color rgb="FFFA7D00"/>
      <name val="等线"/>
      <charset val="0"/>
      <scheme val="minor"/>
    </font>
    <font>
      <b/>
      <sz val="11"/>
      <color theme="1"/>
      <name val="等线"/>
      <charset val="0"/>
      <scheme val="minor"/>
    </font>
    <font>
      <sz val="11"/>
      <color rgb="FF9C6500"/>
      <name val="等线"/>
      <charset val="0"/>
      <scheme val="minor"/>
    </font>
    <font>
      <sz val="11"/>
      <color indexed="53"/>
      <name val="宋体"/>
      <charset val="134"/>
    </font>
    <font>
      <b/>
      <sz val="15"/>
      <color indexed="56"/>
      <name val="宋体"/>
      <charset val="134"/>
    </font>
    <font>
      <b/>
      <sz val="11"/>
      <color indexed="9"/>
      <name val="宋体"/>
      <charset val="134"/>
    </font>
    <font>
      <sz val="11"/>
      <color indexed="16"/>
      <name val="宋体"/>
      <charset val="134"/>
    </font>
    <font>
      <i/>
      <sz val="11"/>
      <color indexed="23"/>
      <name val="宋体"/>
      <charset val="134"/>
    </font>
    <font>
      <sz val="10"/>
      <name val="Arial"/>
      <charset val="134"/>
    </font>
    <font>
      <sz val="11"/>
      <color indexed="19"/>
      <name val="宋体"/>
      <charset val="134"/>
    </font>
    <font>
      <sz val="11"/>
      <color theme="0"/>
      <name val="等线"/>
      <charset val="134"/>
      <scheme val="minor"/>
    </font>
    <font>
      <b/>
      <sz val="13"/>
      <color indexed="56"/>
      <name val="宋体"/>
      <charset val="134"/>
    </font>
    <font>
      <b/>
      <sz val="15"/>
      <color indexed="62"/>
      <name val="宋体"/>
      <charset val="134"/>
    </font>
    <font>
      <b/>
      <sz val="13"/>
      <color indexed="62"/>
      <name val="宋体"/>
      <charset val="134"/>
    </font>
    <font>
      <sz val="12"/>
      <color indexed="17"/>
      <name val="宋体"/>
      <charset val="134"/>
    </font>
    <font>
      <b/>
      <sz val="18"/>
      <color indexed="62"/>
      <name val="宋体"/>
      <charset val="134"/>
    </font>
    <font>
      <sz val="11"/>
      <color indexed="17"/>
      <name val="等线"/>
      <charset val="134"/>
    </font>
    <font>
      <b/>
      <sz val="11"/>
      <color indexed="53"/>
      <name val="宋体"/>
      <charset val="134"/>
    </font>
    <font>
      <b/>
      <sz val="11"/>
      <color indexed="62"/>
      <name val="宋体"/>
      <charset val="134"/>
    </font>
    <font>
      <b/>
      <sz val="12"/>
      <name val="东文宋体"/>
      <charset val="134"/>
    </font>
  </fonts>
  <fills count="61">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2" tint="-0.1"/>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indexed="46"/>
        <bgColor indexed="64"/>
      </patternFill>
    </fill>
    <fill>
      <patternFill patternType="solid">
        <fgColor rgb="FFF2F2F2"/>
        <bgColor indexed="64"/>
      </patternFill>
    </fill>
    <fill>
      <patternFill patternType="solid">
        <fgColor theme="8"/>
        <bgColor indexed="64"/>
      </patternFill>
    </fill>
    <fill>
      <patternFill patternType="solid">
        <fgColor rgb="FFFFFFCC"/>
        <bgColor indexed="64"/>
      </patternFill>
    </fill>
    <fill>
      <patternFill patternType="solid">
        <fgColor indexed="44"/>
        <bgColor indexed="64"/>
      </patternFill>
    </fill>
    <fill>
      <patternFill patternType="solid">
        <fgColor indexed="29"/>
        <bgColor indexed="64"/>
      </patternFill>
    </fill>
    <fill>
      <patternFill patternType="solid">
        <fgColor theme="6"/>
        <bgColor indexed="64"/>
      </patternFill>
    </fill>
    <fill>
      <patternFill patternType="solid">
        <fgColor indexed="31"/>
        <bgColor indexed="64"/>
      </patternFill>
    </fill>
    <fill>
      <patternFill patternType="solid">
        <fgColor indexed="51"/>
        <bgColor indexed="64"/>
      </patternFill>
    </fill>
    <fill>
      <patternFill patternType="solid">
        <fgColor indexed="27"/>
        <bgColor indexed="64"/>
      </patternFill>
    </fill>
    <fill>
      <patternFill patternType="solid">
        <fgColor indexed="10"/>
        <bgColor indexed="64"/>
      </patternFill>
    </fill>
    <fill>
      <patternFill patternType="solid">
        <fgColor theme="5" tint="0.399975585192419"/>
        <bgColor indexed="64"/>
      </patternFill>
    </fill>
    <fill>
      <patternFill patternType="solid">
        <fgColor rgb="FFFFCC99"/>
        <bgColor indexed="64"/>
      </patternFill>
    </fill>
    <fill>
      <patternFill patternType="solid">
        <fgColor theme="7" tint="0.399975585192419"/>
        <bgColor indexed="64"/>
      </patternFill>
    </fill>
    <fill>
      <patternFill patternType="solid">
        <fgColor indexed="36"/>
        <bgColor indexed="64"/>
      </patternFill>
    </fill>
    <fill>
      <patternFill patternType="solid">
        <fgColor rgb="FFFFC7CE"/>
        <bgColor indexed="64"/>
      </patternFill>
    </fill>
    <fill>
      <patternFill patternType="solid">
        <fgColor theme="9" tint="0.599993896298105"/>
        <bgColor indexed="64"/>
      </patternFill>
    </fill>
    <fill>
      <patternFill patternType="solid">
        <fgColor indexed="49"/>
        <bgColor indexed="64"/>
      </patternFill>
    </fill>
    <fill>
      <patternFill patternType="solid">
        <fgColor indexed="54"/>
        <bgColor indexed="64"/>
      </patternFill>
    </fill>
    <fill>
      <patternFill patternType="solid">
        <fgColor theme="6" tint="0.399975585192419"/>
        <bgColor indexed="64"/>
      </patternFill>
    </fill>
    <fill>
      <patternFill patternType="solid">
        <fgColor indexed="52"/>
        <bgColor indexed="64"/>
      </patternFill>
    </fill>
    <fill>
      <patternFill patternType="solid">
        <fgColor theme="7" tint="0.799981688894314"/>
        <bgColor indexed="64"/>
      </patternFill>
    </fill>
    <fill>
      <patternFill patternType="solid">
        <fgColor indexed="11"/>
        <bgColor indexed="64"/>
      </patternFill>
    </fill>
    <fill>
      <patternFill patternType="solid">
        <fgColor rgb="FFA5A5A5"/>
        <bgColor indexed="64"/>
      </patternFill>
    </fill>
    <fill>
      <patternFill patternType="solid">
        <fgColor theme="8" tint="0.599993896298105"/>
        <bgColor indexed="64"/>
      </patternFill>
    </fill>
    <fill>
      <patternFill patternType="solid">
        <fgColor indexed="42"/>
        <bgColor indexed="64"/>
      </patternFill>
    </fill>
    <fill>
      <patternFill patternType="solid">
        <fgColor theme="5"/>
        <bgColor indexed="64"/>
      </patternFill>
    </fill>
    <fill>
      <patternFill patternType="solid">
        <fgColor indexed="43"/>
        <bgColor indexed="64"/>
      </patternFill>
    </fill>
    <fill>
      <patternFill patternType="solid">
        <fgColor indexed="45"/>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rgb="FFC6EFCE"/>
        <bgColor indexed="64"/>
      </patternFill>
    </fill>
    <fill>
      <patternFill patternType="solid">
        <fgColor theme="8"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399975585192419"/>
        <bgColor indexed="64"/>
      </patternFill>
    </fill>
    <fill>
      <patternFill patternType="solid">
        <fgColor theme="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indexed="55"/>
        <bgColor indexed="64"/>
      </patternFill>
    </fill>
    <fill>
      <patternFill patternType="solid">
        <fgColor indexed="30"/>
        <bgColor indexed="64"/>
      </patternFill>
    </fill>
    <fill>
      <patternFill patternType="solid">
        <fgColor indexed="53"/>
        <bgColor indexed="64"/>
      </patternFill>
    </fill>
    <fill>
      <patternFill patternType="solid">
        <fgColor indexed="57"/>
        <bgColor indexed="64"/>
      </patternFill>
    </fill>
    <fill>
      <patternFill patternType="solid">
        <fgColor theme="5" tint="0.399945066682943"/>
        <bgColor indexed="64"/>
      </patternFill>
    </fill>
    <fill>
      <patternFill patternType="solid">
        <fgColor indexed="23"/>
        <bgColor indexed="64"/>
      </patternFill>
    </fill>
    <fill>
      <patternFill patternType="solid">
        <fgColor indexed="62"/>
        <bgColor indexed="64"/>
      </patternFill>
    </fill>
  </fills>
  <borders count="2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indexed="23"/>
      </right>
      <top/>
      <bottom/>
      <diagonal/>
    </border>
    <border>
      <left style="thin">
        <color indexed="23"/>
      </left>
      <right/>
      <top/>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indexed="30"/>
      </bottom>
      <diagonal/>
    </border>
    <border>
      <left style="thin">
        <color rgb="FF7F7F7F"/>
      </left>
      <right style="thin">
        <color rgb="FF7F7F7F"/>
      </right>
      <top style="thin">
        <color rgb="FF7F7F7F"/>
      </top>
      <bottom style="thin">
        <color rgb="FF7F7F7F"/>
      </bottom>
      <diagonal/>
    </border>
    <border>
      <left/>
      <right/>
      <top/>
      <bottom style="double">
        <color indexed="52"/>
      </bottom>
      <diagonal/>
    </border>
    <border>
      <left style="double">
        <color rgb="FF3F3F3F"/>
      </left>
      <right style="double">
        <color rgb="FF3F3F3F"/>
      </right>
      <top style="double">
        <color rgb="FF3F3F3F"/>
      </top>
      <bottom style="double">
        <color rgb="FF3F3F3F"/>
      </bottom>
      <diagonal/>
    </border>
    <border>
      <left/>
      <right/>
      <top style="thin">
        <color indexed="54"/>
      </top>
      <bottom style="double">
        <color indexed="54"/>
      </bottom>
      <diagonal/>
    </border>
    <border>
      <left/>
      <right/>
      <top/>
      <bottom style="medium">
        <color theme="4"/>
      </bottom>
      <diagonal/>
    </border>
    <border>
      <left/>
      <right/>
      <top/>
      <bottom style="medium">
        <color theme="4" tint="0.499984740745262"/>
      </bottom>
      <diagonal/>
    </border>
    <border>
      <left/>
      <right/>
      <top/>
      <bottom style="double">
        <color rgb="FFFF8001"/>
      </bottom>
      <diagonal/>
    </border>
    <border>
      <left/>
      <right/>
      <top style="thin">
        <color theme="4"/>
      </top>
      <bottom style="double">
        <color theme="4"/>
      </bottom>
      <diagonal/>
    </border>
    <border>
      <left/>
      <right/>
      <top/>
      <bottom style="thick">
        <color indexed="62"/>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medium">
        <color indexed="22"/>
      </bottom>
      <diagonal/>
    </border>
    <border>
      <left/>
      <right/>
      <top/>
      <bottom style="thick">
        <color indexed="54"/>
      </bottom>
      <diagonal/>
    </border>
    <border>
      <left/>
      <right/>
      <top/>
      <bottom style="thick">
        <color indexed="44"/>
      </bottom>
      <diagonal/>
    </border>
    <border>
      <left/>
      <right/>
      <top/>
      <bottom style="medium">
        <color indexed="62"/>
      </bottom>
      <diagonal/>
    </border>
  </borders>
  <cellStyleXfs count="4091">
    <xf numFmtId="0" fontId="0" fillId="0" borderId="0"/>
    <xf numFmtId="0" fontId="44" fillId="7" borderId="10" applyNumberFormat="0" applyAlignment="0" applyProtection="0">
      <alignment vertical="center"/>
    </xf>
    <xf numFmtId="0" fontId="44" fillId="7" borderId="10" applyNumberFormat="0" applyAlignment="0" applyProtection="0">
      <alignment vertical="center"/>
    </xf>
    <xf numFmtId="42" fontId="47" fillId="0" borderId="0" applyFont="0" applyFill="0" applyBorder="0" applyAlignment="0" applyProtection="0">
      <alignment vertical="center"/>
    </xf>
    <xf numFmtId="0" fontId="42" fillId="5" borderId="8" applyNumberFormat="0" applyFont="0" applyAlignment="0" applyProtection="0">
      <alignment vertical="center"/>
    </xf>
    <xf numFmtId="0" fontId="45" fillId="9" borderId="0" applyNumberFormat="0" applyBorder="0" applyAlignment="0" applyProtection="0">
      <alignment vertical="center"/>
    </xf>
    <xf numFmtId="0" fontId="42" fillId="0" borderId="0">
      <alignment vertical="center"/>
    </xf>
    <xf numFmtId="0" fontId="44" fillId="7" borderId="10" applyNumberFormat="0" applyAlignment="0" applyProtection="0">
      <alignment vertical="center"/>
    </xf>
    <xf numFmtId="0" fontId="42" fillId="12" borderId="0" applyNumberFormat="0" applyBorder="0" applyAlignment="0" applyProtection="0">
      <alignment vertical="center"/>
    </xf>
    <xf numFmtId="0" fontId="52" fillId="22" borderId="0" applyNumberFormat="0" applyBorder="0" applyAlignment="0" applyProtection="0">
      <alignment vertical="center"/>
    </xf>
    <xf numFmtId="0" fontId="42" fillId="6" borderId="0" applyNumberFormat="0" applyBorder="0" applyAlignment="0" applyProtection="0">
      <alignment vertical="center"/>
    </xf>
    <xf numFmtId="0" fontId="54" fillId="24" borderId="14" applyNumberFormat="0" applyAlignment="0" applyProtection="0">
      <alignment vertical="center"/>
    </xf>
    <xf numFmtId="0" fontId="46" fillId="0" borderId="0">
      <alignment vertical="top" wrapText="1"/>
    </xf>
    <xf numFmtId="0" fontId="0" fillId="0" borderId="0" applyNumberFormat="0" applyFill="0" applyBorder="0" applyAlignment="0" applyProtection="0">
      <alignment vertical="center"/>
    </xf>
    <xf numFmtId="44" fontId="47" fillId="0" borderId="0" applyFont="0" applyFill="0" applyBorder="0" applyAlignment="0" applyProtection="0">
      <alignment vertical="center"/>
    </xf>
    <xf numFmtId="0" fontId="42" fillId="5" borderId="8" applyNumberFormat="0" applyFont="0" applyAlignment="0" applyProtection="0">
      <alignment vertical="center"/>
    </xf>
    <xf numFmtId="9" fontId="42" fillId="0" borderId="0" applyFont="0" applyFill="0" applyBorder="0" applyAlignment="0" applyProtection="0">
      <alignment vertical="center"/>
    </xf>
    <xf numFmtId="0" fontId="48" fillId="7" borderId="9" applyNumberFormat="0" applyAlignment="0" applyProtection="0">
      <alignment vertical="center"/>
    </xf>
    <xf numFmtId="0" fontId="42" fillId="0" borderId="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41" fontId="47" fillId="0" borderId="0" applyFont="0" applyFill="0" applyBorder="0" applyAlignment="0" applyProtection="0">
      <alignment vertical="center"/>
    </xf>
    <xf numFmtId="0" fontId="56" fillId="0" borderId="0" applyNumberFormat="0" applyFill="0" applyBorder="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5" fillId="11" borderId="0" applyNumberFormat="0" applyBorder="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59" fillId="27" borderId="0" applyNumberFormat="0" applyBorder="0" applyAlignment="0" applyProtection="0">
      <alignment vertical="center"/>
    </xf>
    <xf numFmtId="0" fontId="48" fillId="7" borderId="9" applyNumberFormat="0" applyAlignment="0" applyProtection="0">
      <alignment vertical="center"/>
    </xf>
    <xf numFmtId="0" fontId="51" fillId="0" borderId="0" applyNumberFormat="0" applyFill="0" applyBorder="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43" fontId="47" fillId="0" borderId="0" applyFont="0" applyFill="0" applyBorder="0" applyAlignment="0" applyProtection="0">
      <alignment vertical="center"/>
    </xf>
    <xf numFmtId="0" fontId="48" fillId="7" borderId="9" applyNumberFormat="0" applyAlignment="0" applyProtection="0">
      <alignment vertical="center"/>
    </xf>
    <xf numFmtId="0" fontId="50" fillId="31" borderId="0" applyNumberFormat="0" applyBorder="0" applyAlignment="0" applyProtection="0">
      <alignment vertical="center"/>
    </xf>
    <xf numFmtId="0" fontId="42" fillId="12" borderId="0" applyNumberFormat="0" applyBorder="0" applyAlignment="0" applyProtection="0">
      <alignment vertical="center"/>
    </xf>
    <xf numFmtId="0" fontId="55" fillId="0" borderId="0" applyNumberFormat="0" applyFill="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9" fontId="47" fillId="0" borderId="0" applyFont="0" applyFill="0" applyBorder="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0" borderId="0">
      <alignment vertical="center"/>
    </xf>
    <xf numFmtId="0" fontId="42" fillId="0" borderId="0">
      <alignment vertical="center"/>
    </xf>
    <xf numFmtId="0" fontId="58" fillId="0" borderId="0" applyNumberFormat="0" applyFill="0" applyBorder="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7" fillId="15" borderId="12" applyNumberFormat="0" applyFon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50" fillId="23" borderId="0" applyNumberFormat="0" applyBorder="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57" fillId="0" borderId="0" applyNumberFormat="0" applyFill="0" applyBorder="0" applyAlignment="0" applyProtection="0">
      <alignment vertical="center"/>
    </xf>
    <xf numFmtId="0" fontId="42" fillId="0" borderId="0">
      <alignment vertical="center"/>
    </xf>
    <xf numFmtId="0" fontId="43" fillId="6" borderId="9" applyNumberFormat="0" applyAlignment="0" applyProtection="0">
      <alignment vertical="center"/>
    </xf>
    <xf numFmtId="0" fontId="47" fillId="0" borderId="0">
      <alignment vertical="center"/>
    </xf>
    <xf numFmtId="0" fontId="62"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67" fillId="0" borderId="0" applyNumberFormat="0" applyFill="0" applyBorder="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68" fillId="0" borderId="18" applyNumberFormat="0" applyFill="0" applyAlignment="0" applyProtection="0">
      <alignment vertical="center"/>
    </xf>
    <xf numFmtId="0" fontId="42" fillId="5" borderId="8" applyNumberFormat="0" applyFont="0" applyAlignment="0" applyProtection="0">
      <alignment vertical="center"/>
    </xf>
    <xf numFmtId="0" fontId="69" fillId="0" borderId="18" applyNumberFormat="0" applyFill="0" applyAlignment="0" applyProtection="0">
      <alignment vertical="center"/>
    </xf>
    <xf numFmtId="0" fontId="50" fillId="42" borderId="0" applyNumberFormat="0" applyBorder="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57" fillId="0" borderId="19" applyNumberFormat="0" applyFill="0" applyAlignment="0" applyProtection="0">
      <alignment vertical="center"/>
    </xf>
    <xf numFmtId="0" fontId="48" fillId="7" borderId="9"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66" fillId="40" borderId="0" applyNumberFormat="0" applyBorder="0" applyAlignment="0" applyProtection="0">
      <alignment vertical="center"/>
    </xf>
    <xf numFmtId="0" fontId="50" fillId="25" borderId="0" applyNumberFormat="0" applyBorder="0" applyAlignment="0" applyProtection="0">
      <alignment vertical="center"/>
    </xf>
    <xf numFmtId="0" fontId="44" fillId="7" borderId="10" applyNumberFormat="0" applyAlignment="0" applyProtection="0">
      <alignment vertical="center"/>
    </xf>
    <xf numFmtId="0" fontId="49" fillId="13" borderId="11"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70" fillId="13" borderId="14" applyNumberFormat="0" applyAlignment="0" applyProtection="0">
      <alignment vertical="center"/>
    </xf>
    <xf numFmtId="0" fontId="61" fillId="35" borderId="16" applyNumberFormat="0" applyAlignment="0" applyProtection="0">
      <alignment vertical="center"/>
    </xf>
    <xf numFmtId="0" fontId="46" fillId="0" borderId="0">
      <alignment vertical="top" wrapText="1"/>
    </xf>
    <xf numFmtId="0" fontId="43" fillId="6" borderId="9" applyNumberFormat="0" applyAlignment="0" applyProtection="0">
      <alignment vertical="center"/>
    </xf>
    <xf numFmtId="0" fontId="41" fillId="0" borderId="7" applyNumberFormat="0" applyFill="0" applyAlignment="0" applyProtection="0">
      <alignment vertical="center"/>
    </xf>
    <xf numFmtId="0" fontId="51" fillId="0" borderId="0" applyNumberFormat="0" applyFill="0" applyBorder="0" applyAlignment="0" applyProtection="0">
      <alignment vertical="center"/>
    </xf>
    <xf numFmtId="0" fontId="45" fillId="44" borderId="0" applyNumberFormat="0" applyBorder="0" applyAlignment="0" applyProtection="0">
      <alignment vertical="center"/>
    </xf>
    <xf numFmtId="0" fontId="48" fillId="7" borderId="9" applyNumberFormat="0" applyAlignment="0" applyProtection="0">
      <alignment vertical="center"/>
    </xf>
    <xf numFmtId="0" fontId="72" fillId="0" borderId="0" applyNumberFormat="0" applyFill="0" applyBorder="0" applyAlignment="0" applyProtection="0">
      <alignment vertical="center"/>
    </xf>
    <xf numFmtId="0" fontId="50" fillId="38" borderId="0" applyNumberFormat="0" applyBorder="0" applyAlignment="0" applyProtection="0">
      <alignment vertical="center"/>
    </xf>
    <xf numFmtId="0" fontId="56" fillId="0" borderId="0" applyNumberFormat="0" applyFill="0" applyBorder="0" applyAlignment="0" applyProtection="0">
      <alignment vertical="center"/>
    </xf>
    <xf numFmtId="0" fontId="73" fillId="0" borderId="20" applyNumberFormat="0" applyFill="0" applyAlignment="0" applyProtection="0">
      <alignment vertical="center"/>
    </xf>
    <xf numFmtId="0" fontId="74" fillId="0" borderId="21" applyNumberFormat="0" applyFill="0" applyAlignment="0" applyProtection="0">
      <alignment vertical="center"/>
    </xf>
    <xf numFmtId="0" fontId="71" fillId="45" borderId="0" applyNumberFormat="0" applyBorder="0" applyAlignment="0" applyProtection="0">
      <alignment vertical="center"/>
    </xf>
    <xf numFmtId="0" fontId="43" fillId="6" borderId="9" applyNumberFormat="0" applyAlignment="0" applyProtection="0">
      <alignment vertical="center"/>
    </xf>
    <xf numFmtId="0" fontId="75" fillId="48" borderId="0" applyNumberFormat="0" applyBorder="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52" fillId="32" borderId="0" applyNumberFormat="0" applyBorder="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0"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45" fillId="43" borderId="0" applyNumberFormat="0" applyBorder="0" applyAlignment="0" applyProtection="0">
      <alignment vertical="center"/>
    </xf>
    <xf numFmtId="0" fontId="42" fillId="16" borderId="0" applyNumberFormat="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50" fillId="50" borderId="0" applyNumberFormat="0" applyBorder="0" applyAlignment="0" applyProtection="0">
      <alignment vertical="center"/>
    </xf>
    <xf numFmtId="0" fontId="48" fillId="7" borderId="9" applyNumberFormat="0" applyAlignment="0" applyProtection="0">
      <alignment vertical="center"/>
    </xf>
    <xf numFmtId="9" fontId="42" fillId="0" borderId="0" applyFont="0" applyFill="0" applyBorder="0" applyAlignment="0" applyProtection="0">
      <alignment vertical="center"/>
    </xf>
    <xf numFmtId="0" fontId="45" fillId="8" borderId="0" applyNumberFormat="0" applyBorder="0" applyAlignment="0" applyProtection="0">
      <alignment vertical="center"/>
    </xf>
    <xf numFmtId="0" fontId="42" fillId="5" borderId="8" applyNumberFormat="0" applyFont="0" applyAlignment="0" applyProtection="0">
      <alignment vertical="center"/>
    </xf>
    <xf numFmtId="0" fontId="45" fillId="10" borderId="0" applyNumberFormat="0" applyBorder="0" applyAlignment="0" applyProtection="0">
      <alignment vertical="center"/>
    </xf>
    <xf numFmtId="0" fontId="45" fillId="51" borderId="0" applyNumberFormat="0" applyBorder="0" applyAlignment="0" applyProtection="0">
      <alignment vertical="center"/>
    </xf>
    <xf numFmtId="0" fontId="45" fillId="52" borderId="0" applyNumberFormat="0" applyBorder="0" applyAlignment="0" applyProtection="0">
      <alignment vertical="center"/>
    </xf>
    <xf numFmtId="0" fontId="0" fillId="0" borderId="0"/>
    <xf numFmtId="0" fontId="43" fillId="6"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50" fillId="18" borderId="0" applyNumberFormat="0" applyBorder="0" applyAlignment="0" applyProtection="0">
      <alignment vertical="center"/>
    </xf>
    <xf numFmtId="0" fontId="41" fillId="0" borderId="7" applyNumberFormat="0" applyFill="0" applyAlignment="0" applyProtection="0">
      <alignment vertical="center"/>
    </xf>
    <xf numFmtId="0" fontId="42" fillId="12" borderId="0" applyNumberFormat="0" applyBorder="0" applyAlignment="0" applyProtection="0">
      <alignment vertical="center"/>
    </xf>
    <xf numFmtId="0" fontId="44" fillId="7" borderId="10" applyNumberFormat="0" applyAlignment="0" applyProtection="0">
      <alignment vertical="center"/>
    </xf>
    <xf numFmtId="0" fontId="50" fillId="53" borderId="0" applyNumberFormat="0" applyBorder="0" applyAlignment="0" applyProtection="0">
      <alignment vertical="center"/>
    </xf>
    <xf numFmtId="0" fontId="44" fillId="7" borderId="10" applyNumberFormat="0" applyAlignment="0" applyProtection="0">
      <alignment vertical="center"/>
    </xf>
    <xf numFmtId="0" fontId="42" fillId="16" borderId="0" applyNumberFormat="0" applyBorder="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5" fillId="33" borderId="0" applyNumberFormat="0" applyBorder="0" applyAlignment="0" applyProtection="0">
      <alignment vertical="center"/>
    </xf>
    <xf numFmtId="0" fontId="56" fillId="0" borderId="0" applyNumberFormat="0" applyFill="0" applyBorder="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5" fillId="41" borderId="0" applyNumberFormat="0" applyBorder="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50" fillId="14" borderId="0" applyNumberFormat="0" applyBorder="0" applyAlignment="0" applyProtection="0">
      <alignment vertical="center"/>
    </xf>
    <xf numFmtId="0" fontId="48" fillId="7" borderId="9" applyNumberFormat="0" applyAlignment="0" applyProtection="0">
      <alignment vertical="center"/>
    </xf>
    <xf numFmtId="0" fontId="45" fillId="36" borderId="0" applyNumberFormat="0" applyBorder="0" applyAlignment="0" applyProtection="0">
      <alignment vertical="center"/>
    </xf>
    <xf numFmtId="0" fontId="44" fillId="7" borderId="10" applyNumberFormat="0" applyAlignment="0" applyProtection="0">
      <alignment vertical="center"/>
    </xf>
    <xf numFmtId="0" fontId="66" fillId="40" borderId="0" applyNumberFormat="0" applyBorder="0" applyAlignment="0" applyProtection="0">
      <alignment vertical="center"/>
    </xf>
    <xf numFmtId="0" fontId="42" fillId="5" borderId="8" applyNumberFormat="0" applyFont="0" applyAlignment="0" applyProtection="0">
      <alignment vertical="center"/>
    </xf>
    <xf numFmtId="0" fontId="63" fillId="37" borderId="0" applyNumberFormat="0" applyBorder="0" applyAlignment="0" applyProtection="0">
      <alignment vertical="center"/>
    </xf>
    <xf numFmtId="0" fontId="44" fillId="7" borderId="10" applyNumberFormat="0" applyAlignment="0" applyProtection="0">
      <alignment vertical="center"/>
    </xf>
    <xf numFmtId="0" fontId="50" fillId="46" borderId="0" applyNumberFormat="0" applyBorder="0" applyAlignment="0" applyProtection="0">
      <alignment vertical="center"/>
    </xf>
    <xf numFmtId="0" fontId="0" fillId="0" borderId="0" applyNumberFormat="0" applyFill="0" applyBorder="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2" fillId="0" borderId="0">
      <alignment vertical="center"/>
    </xf>
    <xf numFmtId="0" fontId="41" fillId="0" borderId="7" applyNumberFormat="0" applyFill="0" applyAlignment="0" applyProtection="0">
      <alignment vertical="center"/>
    </xf>
    <xf numFmtId="0" fontId="50" fillId="47" borderId="0" applyNumberFormat="0" applyBorder="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51" fillId="0" borderId="0" applyNumberFormat="0" applyFill="0" applyBorder="0" applyAlignment="0" applyProtection="0">
      <alignment vertical="center"/>
    </xf>
    <xf numFmtId="0" fontId="42" fillId="5" borderId="8" applyNumberFormat="0" applyFont="0" applyAlignment="0" applyProtection="0">
      <alignment vertical="center"/>
    </xf>
    <xf numFmtId="0" fontId="45" fillId="28" borderId="0" applyNumberFormat="0" applyBorder="0" applyAlignment="0" applyProtection="0">
      <alignment vertical="center"/>
    </xf>
    <xf numFmtId="0" fontId="48" fillId="7" borderId="9" applyNumberFormat="0" applyAlignment="0" applyProtection="0">
      <alignment vertical="center"/>
    </xf>
    <xf numFmtId="0" fontId="0" fillId="0" borderId="0"/>
    <xf numFmtId="0" fontId="50" fillId="49" borderId="0" applyNumberFormat="0" applyBorder="0" applyAlignment="0" applyProtection="0">
      <alignment vertical="center"/>
    </xf>
    <xf numFmtId="0" fontId="42" fillId="16" borderId="0" applyNumberFormat="0" applyBorder="0" applyAlignment="0" applyProtection="0">
      <alignment vertical="center"/>
    </xf>
    <xf numFmtId="0" fontId="42" fillId="0" borderId="0">
      <alignment vertical="center"/>
    </xf>
    <xf numFmtId="0" fontId="56" fillId="0" borderId="0" applyNumberFormat="0" applyFill="0" applyBorder="0" applyAlignment="0" applyProtection="0">
      <alignment vertical="center"/>
    </xf>
    <xf numFmtId="0" fontId="46" fillId="0" borderId="0">
      <alignment vertical="top" wrapText="1"/>
    </xf>
    <xf numFmtId="0" fontId="46" fillId="0" borderId="0">
      <alignment vertical="top" wrapText="1"/>
    </xf>
    <xf numFmtId="0" fontId="48" fillId="7" borderId="9" applyNumberFormat="0" applyAlignment="0" applyProtection="0">
      <alignment vertical="center"/>
    </xf>
    <xf numFmtId="0" fontId="0" fillId="0" borderId="0"/>
    <xf numFmtId="0" fontId="0" fillId="0" borderId="0">
      <alignment vertical="center"/>
    </xf>
    <xf numFmtId="0" fontId="66" fillId="40" borderId="0" applyNumberFormat="0" applyBorder="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66" fillId="40" borderId="0" applyNumberFormat="0" applyBorder="0" applyAlignment="0" applyProtection="0">
      <alignment vertical="center"/>
    </xf>
    <xf numFmtId="0" fontId="41" fillId="0" borderId="7" applyNumberFormat="0" applyFill="0" applyAlignment="0" applyProtection="0">
      <alignment vertical="center"/>
    </xf>
    <xf numFmtId="0" fontId="46" fillId="0" borderId="0">
      <alignment vertical="top" wrapText="1"/>
    </xf>
    <xf numFmtId="0" fontId="46" fillId="0" borderId="0">
      <alignment vertical="top" wrapText="1"/>
    </xf>
    <xf numFmtId="0" fontId="42" fillId="5" borderId="8" applyNumberFormat="0" applyFon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51" fillId="0" borderId="0" applyNumberFormat="0" applyFill="0" applyBorder="0" applyAlignment="0" applyProtection="0">
      <alignment vertical="center"/>
    </xf>
    <xf numFmtId="0" fontId="41" fillId="0" borderId="7" applyNumberFormat="0" applyFill="0" applyAlignment="0" applyProtection="0">
      <alignment vertical="center"/>
    </xf>
    <xf numFmtId="0" fontId="0" fillId="0" borderId="0" applyNumberFormat="0" applyFill="0" applyBorder="0" applyAlignment="0" applyProtection="0">
      <alignment vertical="center"/>
    </xf>
    <xf numFmtId="0" fontId="41" fillId="0" borderId="7" applyNumberFormat="0" applyFill="0" applyAlignment="0" applyProtection="0">
      <alignment vertical="center"/>
    </xf>
    <xf numFmtId="0" fontId="42" fillId="12" borderId="0" applyNumberFormat="0" applyBorder="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20" borderId="0" applyNumberFormat="0" applyBorder="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6" fillId="0" borderId="0">
      <alignment vertical="top" wrapText="1"/>
    </xf>
    <xf numFmtId="0" fontId="46" fillId="0" borderId="0">
      <alignment vertical="top" wrapText="1"/>
    </xf>
    <xf numFmtId="0" fontId="42" fillId="0" borderId="0">
      <alignment vertical="center"/>
    </xf>
    <xf numFmtId="0" fontId="43" fillId="6" borderId="9" applyNumberFormat="0" applyAlignment="0" applyProtection="0">
      <alignment vertical="center"/>
    </xf>
    <xf numFmtId="0" fontId="42" fillId="19" borderId="0" applyNumberFormat="0" applyBorder="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2" fillId="20" borderId="0" applyNumberFormat="0" applyBorder="0" applyAlignment="0" applyProtection="0">
      <alignment vertical="center"/>
    </xf>
    <xf numFmtId="0" fontId="60" fillId="0" borderId="15"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0" fillId="0" borderId="0"/>
    <xf numFmtId="0" fontId="44" fillId="7" borderId="10" applyNumberFormat="0" applyAlignment="0" applyProtection="0">
      <alignment vertical="center"/>
    </xf>
    <xf numFmtId="0" fontId="42" fillId="0" borderId="0">
      <alignment vertical="center"/>
    </xf>
    <xf numFmtId="0" fontId="0" fillId="0" borderId="0">
      <alignment vertical="center"/>
    </xf>
    <xf numFmtId="0" fontId="48" fillId="7" borderId="9" applyNumberFormat="0" applyAlignment="0" applyProtection="0">
      <alignment vertical="center"/>
    </xf>
    <xf numFmtId="0" fontId="42" fillId="0" borderId="0">
      <alignment vertical="center"/>
    </xf>
    <xf numFmtId="0" fontId="44" fillId="7" borderId="10" applyNumberFormat="0" applyAlignment="0" applyProtection="0">
      <alignment vertical="center"/>
    </xf>
    <xf numFmtId="0" fontId="42" fillId="0" borderId="0">
      <alignment vertical="center"/>
    </xf>
    <xf numFmtId="0" fontId="42" fillId="0" borderId="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0" fillId="0" borderId="0" applyNumberFormat="0" applyFill="0" applyBorder="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2" fillId="37" borderId="0" applyNumberFormat="0" applyBorder="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0" fillId="0" borderId="0"/>
    <xf numFmtId="0" fontId="42" fillId="5" borderId="8" applyNumberFormat="0" applyFont="0" applyAlignment="0" applyProtection="0">
      <alignment vertical="center"/>
    </xf>
    <xf numFmtId="0" fontId="46" fillId="0" borderId="0">
      <alignment vertical="top" wrapText="1"/>
    </xf>
    <xf numFmtId="0" fontId="48" fillId="7" borderId="9" applyNumberFormat="0" applyAlignment="0" applyProtection="0">
      <alignment vertical="center"/>
    </xf>
    <xf numFmtId="0" fontId="41" fillId="0" borderId="7" applyNumberFormat="0" applyFill="0" applyAlignment="0" applyProtection="0">
      <alignment vertical="center"/>
    </xf>
    <xf numFmtId="0" fontId="0" fillId="0" borderId="0"/>
    <xf numFmtId="0" fontId="42" fillId="20" borderId="0" applyNumberFormat="0" applyBorder="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51" fillId="0" borderId="0" applyNumberFormat="0" applyFill="0" applyBorder="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17" borderId="0" applyNumberFormat="0" applyBorder="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80" fillId="0" borderId="0" applyNumberFormat="0" applyFill="0" applyBorder="0" applyAlignment="0" applyProtection="0">
      <alignment vertical="center"/>
    </xf>
    <xf numFmtId="0" fontId="66" fillId="40" borderId="0" applyNumberFormat="0" applyBorder="0" applyAlignment="0" applyProtection="0">
      <alignment vertical="center"/>
    </xf>
    <xf numFmtId="0" fontId="46" fillId="0" borderId="0">
      <alignment vertical="top" wrapText="1"/>
    </xf>
    <xf numFmtId="0" fontId="46" fillId="0" borderId="0">
      <alignment vertical="top" wrapText="1"/>
    </xf>
    <xf numFmtId="0" fontId="48" fillId="7"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2" fillId="34" borderId="0" applyNumberFormat="0" applyBorder="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9" fontId="42" fillId="0" borderId="0" applyFont="0" applyFill="0" applyBorder="0" applyAlignment="0" applyProtection="0">
      <alignment vertical="center"/>
    </xf>
    <xf numFmtId="0" fontId="66" fillId="40" borderId="0" applyNumberFormat="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16" borderId="0" applyNumberFormat="0" applyBorder="0" applyAlignment="0" applyProtection="0">
      <alignment vertical="center"/>
    </xf>
    <xf numFmtId="0" fontId="42" fillId="21" borderId="0" applyNumberFormat="0" applyBorder="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2" fillId="37" borderId="0" applyNumberFormat="0" applyBorder="0" applyAlignment="0" applyProtection="0">
      <alignment vertical="center"/>
    </xf>
    <xf numFmtId="0" fontId="51" fillId="0" borderId="0" applyNumberFormat="0" applyFill="0" applyBorder="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4" fillId="7" borderId="10" applyNumberFormat="0" applyAlignment="0" applyProtection="0">
      <alignment vertical="center"/>
    </xf>
    <xf numFmtId="0" fontId="56" fillId="0" borderId="0" applyNumberFormat="0" applyFill="0" applyBorder="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2" fillId="0" borderId="0">
      <alignment vertical="center"/>
    </xf>
    <xf numFmtId="0" fontId="51" fillId="0" borderId="0" applyNumberFormat="0" applyFill="0" applyBorder="0" applyAlignment="0" applyProtection="0">
      <alignment vertical="center"/>
    </xf>
    <xf numFmtId="0" fontId="0" fillId="0" borderId="0" applyNumberFormat="0" applyFill="0" applyBorder="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56" fillId="0" borderId="0" applyNumberFormat="0" applyFill="0" applyBorder="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16" borderId="0" applyNumberFormat="0" applyBorder="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0" fillId="0" borderId="0" applyNumberFormat="0" applyFill="0" applyBorder="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66" fillId="40" borderId="0" applyNumberFormat="0" applyBorder="0" applyAlignment="0" applyProtection="0">
      <alignment vertical="center"/>
    </xf>
    <xf numFmtId="0" fontId="43" fillId="6" borderId="9" applyNumberFormat="0" applyAlignment="0" applyProtection="0">
      <alignment vertical="center"/>
    </xf>
    <xf numFmtId="0" fontId="42" fillId="0" borderId="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52" fillId="29" borderId="0" applyNumberFormat="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6" fillId="0" borderId="0">
      <alignment vertical="top" wrapText="1"/>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6" fillId="0" borderId="0">
      <alignment vertical="top" wrapText="1"/>
    </xf>
    <xf numFmtId="0" fontId="52" fillId="29" borderId="0" applyNumberFormat="0" applyBorder="0" applyAlignment="0" applyProtection="0">
      <alignment vertical="center"/>
    </xf>
    <xf numFmtId="0" fontId="42" fillId="5" borderId="8" applyNumberFormat="0" applyFont="0" applyAlignment="0" applyProtection="0">
      <alignment vertical="center"/>
    </xf>
    <xf numFmtId="0" fontId="42" fillId="6" borderId="0" applyNumberFormat="0" applyBorder="0" applyAlignment="0" applyProtection="0">
      <alignment vertical="center"/>
    </xf>
    <xf numFmtId="0" fontId="48" fillId="7" borderId="9" applyNumberFormat="0" applyAlignment="0" applyProtection="0">
      <alignment vertical="center"/>
    </xf>
    <xf numFmtId="0" fontId="42" fillId="21" borderId="0" applyNumberFormat="0" applyBorder="0" applyAlignment="0" applyProtection="0">
      <alignment vertical="center"/>
    </xf>
    <xf numFmtId="0" fontId="41" fillId="0" borderId="7" applyNumberFormat="0" applyFill="0" applyAlignment="0" applyProtection="0">
      <alignment vertical="center"/>
    </xf>
    <xf numFmtId="0" fontId="0" fillId="0" borderId="0" applyNumberFormat="0" applyFill="0" applyBorder="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2" fillId="20" borderId="0" applyNumberFormat="0" applyBorder="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63" fillId="37" borderId="0" applyNumberFormat="0" applyBorder="0" applyAlignment="0" applyProtection="0">
      <alignment vertical="center"/>
    </xf>
    <xf numFmtId="0" fontId="52" fillId="56" borderId="0" applyNumberFormat="0" applyBorder="0" applyAlignment="0" applyProtection="0">
      <alignment vertical="center"/>
    </xf>
    <xf numFmtId="0" fontId="48" fillId="7" borderId="9" applyNumberFormat="0" applyAlignment="0" applyProtection="0">
      <alignment vertical="center"/>
    </xf>
    <xf numFmtId="0" fontId="42" fillId="37" borderId="0" applyNumberFormat="0" applyBorder="0" applyAlignment="0" applyProtection="0">
      <alignment vertical="center"/>
    </xf>
    <xf numFmtId="0" fontId="44" fillId="7" borderId="10" applyNumberFormat="0" applyAlignment="0" applyProtection="0">
      <alignment vertical="center"/>
    </xf>
    <xf numFmtId="0" fontId="46" fillId="0" borderId="0">
      <alignment vertical="top" wrapText="1"/>
    </xf>
    <xf numFmtId="0" fontId="46" fillId="0" borderId="0">
      <alignment vertical="top" wrapText="1"/>
    </xf>
    <xf numFmtId="0" fontId="41" fillId="0" borderId="7" applyNumberFormat="0" applyFill="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60" fillId="0" borderId="15" applyNumberFormat="0" applyFill="0" applyAlignment="0" applyProtection="0">
      <alignment vertical="center"/>
    </xf>
    <xf numFmtId="0" fontId="44" fillId="7" borderId="10" applyNumberFormat="0" applyAlignment="0" applyProtection="0">
      <alignment vertical="center"/>
    </xf>
    <xf numFmtId="0" fontId="0" fillId="0" borderId="0" applyNumberFormat="0" applyFill="0" applyBorder="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12" borderId="0" applyNumberFormat="0" applyBorder="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4" fillId="7" borderId="10" applyNumberFormat="0" applyAlignment="0" applyProtection="0">
      <alignment vertical="center"/>
    </xf>
    <xf numFmtId="0" fontId="42" fillId="0" borderId="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0" borderId="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0" borderId="0">
      <alignment vertical="center"/>
    </xf>
    <xf numFmtId="0" fontId="0" fillId="0" borderId="0" applyNumberFormat="0" applyFill="0" applyBorder="0" applyAlignment="0" applyProtection="0">
      <alignment vertical="center"/>
    </xf>
    <xf numFmtId="0" fontId="42" fillId="0" borderId="0">
      <alignment vertical="center"/>
    </xf>
    <xf numFmtId="0" fontId="42" fillId="21" borderId="0" applyNumberFormat="0" applyBorder="0" applyAlignment="0" applyProtection="0">
      <alignment vertical="center"/>
    </xf>
    <xf numFmtId="0" fontId="42" fillId="12" borderId="0" applyNumberFormat="0" applyBorder="0" applyAlignment="0" applyProtection="0">
      <alignment vertical="center"/>
    </xf>
    <xf numFmtId="0" fontId="48" fillId="7" borderId="9" applyNumberFormat="0" applyAlignment="0" applyProtection="0">
      <alignment vertical="center"/>
    </xf>
    <xf numFmtId="0" fontId="42" fillId="0" borderId="0">
      <alignment vertical="center"/>
    </xf>
    <xf numFmtId="0" fontId="0" fillId="0" borderId="0" applyNumberFormat="0" applyFill="0" applyBorder="0" applyAlignment="0" applyProtection="0">
      <alignment vertical="center"/>
    </xf>
    <xf numFmtId="0" fontId="42" fillId="21" borderId="0" applyNumberFormat="0" applyBorder="0" applyAlignment="0" applyProtection="0">
      <alignment vertical="center"/>
    </xf>
    <xf numFmtId="0" fontId="63" fillId="37" borderId="0" applyNumberFormat="0" applyBorder="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17" borderId="0" applyNumberFormat="0" applyBorder="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6" fillId="0" borderId="0">
      <alignment vertical="top" wrapText="1"/>
    </xf>
    <xf numFmtId="0" fontId="46" fillId="0" borderId="0">
      <alignment vertical="top" wrapText="1"/>
    </xf>
    <xf numFmtId="0" fontId="48" fillId="7" borderId="9" applyNumberFormat="0" applyAlignment="0" applyProtection="0">
      <alignment vertical="center"/>
    </xf>
    <xf numFmtId="0" fontId="48" fillId="7" borderId="9" applyNumberFormat="0" applyAlignment="0" applyProtection="0">
      <alignment vertical="center"/>
    </xf>
    <xf numFmtId="0" fontId="46" fillId="0" borderId="0">
      <alignment vertical="top" wrapText="1"/>
    </xf>
    <xf numFmtId="0" fontId="46" fillId="0" borderId="0">
      <alignment vertical="top" wrapText="1"/>
    </xf>
    <xf numFmtId="0" fontId="43" fillId="6" borderId="9" applyNumberFormat="0" applyAlignment="0" applyProtection="0">
      <alignment vertical="center"/>
    </xf>
    <xf numFmtId="0" fontId="43" fillId="6" borderId="9" applyNumberFormat="0" applyAlignment="0" applyProtection="0">
      <alignment vertical="center"/>
    </xf>
    <xf numFmtId="0" fontId="77" fillId="0" borderId="22" applyNumberFormat="0" applyFill="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6" fillId="0" borderId="0">
      <alignment vertical="top" wrapText="1"/>
    </xf>
    <xf numFmtId="0" fontId="52" fillId="32" borderId="0" applyNumberFormat="0" applyBorder="0" applyAlignment="0" applyProtection="0">
      <alignment vertical="center"/>
    </xf>
    <xf numFmtId="0" fontId="63" fillId="37" borderId="0" applyNumberFormat="0" applyBorder="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12" borderId="0" applyNumberFormat="0" applyBorder="0" applyAlignment="0" applyProtection="0">
      <alignment vertical="center"/>
    </xf>
    <xf numFmtId="0" fontId="43" fillId="6" borderId="9" applyNumberFormat="0" applyAlignment="0" applyProtection="0">
      <alignment vertical="center"/>
    </xf>
    <xf numFmtId="0" fontId="42" fillId="19" borderId="0" applyNumberFormat="0" applyBorder="0" applyAlignment="0" applyProtection="0">
      <alignment vertical="center"/>
    </xf>
    <xf numFmtId="0" fontId="42" fillId="40" borderId="0" applyNumberFormat="0" applyBorder="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19" borderId="0" applyNumberFormat="0" applyBorder="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6" fillId="0" borderId="0">
      <alignment vertical="top" wrapText="1"/>
    </xf>
    <xf numFmtId="0" fontId="42" fillId="5" borderId="8" applyNumberFormat="0" applyFon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52" fillId="55" borderId="0" applyNumberFormat="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56" fillId="0" borderId="0" applyNumberFormat="0" applyFill="0" applyBorder="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2" fillId="0" borderId="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2" fillId="34" borderId="0" applyNumberFormat="0" applyBorder="0" applyAlignment="0" applyProtection="0">
      <alignment vertical="center"/>
    </xf>
    <xf numFmtId="0" fontId="46" fillId="0" borderId="0">
      <alignment vertical="top" wrapText="1"/>
    </xf>
    <xf numFmtId="0" fontId="65" fillId="39" borderId="0" applyNumberFormat="0" applyBorder="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52" fillId="22" borderId="0" applyNumberFormat="0" applyBorder="0" applyAlignment="0" applyProtection="0">
      <alignment vertical="center"/>
    </xf>
    <xf numFmtId="0" fontId="42" fillId="0" borderId="0">
      <alignment vertical="center"/>
    </xf>
    <xf numFmtId="0" fontId="52" fillId="34" borderId="0" applyNumberFormat="0" applyBorder="0" applyAlignment="0" applyProtection="0">
      <alignment vertical="center"/>
    </xf>
    <xf numFmtId="0" fontId="44" fillId="7" borderId="10" applyNumberFormat="0" applyAlignment="0" applyProtection="0">
      <alignment vertical="center"/>
    </xf>
    <xf numFmtId="0" fontId="81" fillId="0" borderId="0"/>
    <xf numFmtId="0" fontId="42" fillId="12" borderId="0" applyNumberFormat="0" applyBorder="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51" fillId="0" borderId="0" applyNumberFormat="0" applyFill="0" applyBorder="0" applyAlignment="0" applyProtection="0">
      <alignment vertical="center"/>
    </xf>
    <xf numFmtId="0" fontId="0" fillId="0" borderId="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52" fillId="29" borderId="0" applyNumberFormat="0" applyBorder="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63" fillId="37" borderId="0" applyNumberFormat="0" applyBorder="0" applyAlignment="0" applyProtection="0">
      <alignment vertical="center"/>
    </xf>
    <xf numFmtId="0" fontId="41" fillId="0" borderId="7" applyNumberFormat="0" applyFill="0" applyAlignment="0" applyProtection="0">
      <alignment vertical="center"/>
    </xf>
    <xf numFmtId="0" fontId="63" fillId="37" borderId="0" applyNumberFormat="0" applyBorder="0" applyAlignment="0" applyProtection="0">
      <alignment vertical="center"/>
    </xf>
    <xf numFmtId="0" fontId="52" fillId="32" borderId="0" applyNumberFormat="0" applyBorder="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0" fillId="0" borderId="0">
      <alignment vertical="center"/>
    </xf>
    <xf numFmtId="0" fontId="51" fillId="0" borderId="0" applyNumberFormat="0" applyFill="0" applyBorder="0" applyAlignment="0" applyProtection="0">
      <alignment vertical="center"/>
    </xf>
    <xf numFmtId="0" fontId="46" fillId="0" borderId="0">
      <alignment vertical="top" wrapText="1"/>
    </xf>
    <xf numFmtId="0" fontId="41" fillId="0" borderId="7" applyNumberFormat="0" applyFill="0" applyAlignment="0" applyProtection="0">
      <alignment vertical="center"/>
    </xf>
    <xf numFmtId="0" fontId="42" fillId="19" borderId="0" applyNumberFormat="0" applyBorder="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20" borderId="0" applyNumberFormat="0" applyBorder="0" applyAlignment="0" applyProtection="0">
      <alignment vertical="center"/>
    </xf>
    <xf numFmtId="0" fontId="48" fillId="7" borderId="9" applyNumberFormat="0" applyAlignment="0" applyProtection="0">
      <alignment vertical="center"/>
    </xf>
    <xf numFmtId="0" fontId="42" fillId="0" borderId="0">
      <alignment vertical="center"/>
    </xf>
    <xf numFmtId="0" fontId="42" fillId="0" borderId="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0" fillId="0" borderId="0" applyNumberFormat="0" applyFill="0" applyBorder="0" applyAlignment="0" applyProtection="0">
      <alignment vertical="center"/>
    </xf>
    <xf numFmtId="0" fontId="0" fillId="0" borderId="0" applyNumberFormat="0" applyFill="0" applyBorder="0" applyAlignment="0" applyProtection="0">
      <alignment vertical="center"/>
    </xf>
    <xf numFmtId="0" fontId="42" fillId="34" borderId="0" applyNumberFormat="0" applyBorder="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2" fillId="16" borderId="0" applyNumberFormat="0" applyBorder="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2" fillId="0" borderId="0">
      <alignment vertical="center"/>
    </xf>
    <xf numFmtId="0" fontId="46" fillId="0" borderId="0">
      <alignment vertical="top" wrapText="1"/>
    </xf>
    <xf numFmtId="0" fontId="0" fillId="0" borderId="0" applyNumberFormat="0" applyFill="0" applyBorder="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0" borderId="0">
      <alignment vertical="center"/>
    </xf>
    <xf numFmtId="0" fontId="42" fillId="0" borderId="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40" borderId="0" applyNumberFormat="0" applyBorder="0" applyAlignment="0" applyProtection="0">
      <alignment vertical="center"/>
    </xf>
    <xf numFmtId="0" fontId="41" fillId="0" borderId="7" applyNumberFormat="0" applyFill="0" applyAlignment="0" applyProtection="0">
      <alignment vertical="center"/>
    </xf>
    <xf numFmtId="0" fontId="77" fillId="0" borderId="22"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0" fillId="0" borderId="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0"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0" fillId="0" borderId="0"/>
    <xf numFmtId="0" fontId="42" fillId="0" borderId="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76" fillId="0" borderId="15" applyNumberFormat="0" applyFill="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52" fillId="29" borderId="0" applyNumberFormat="0" applyBorder="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51" fillId="0" borderId="0" applyNumberFormat="0" applyFill="0" applyBorder="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82" fillId="39" borderId="0" applyNumberFormat="0" applyBorder="0" applyAlignment="0" applyProtection="0">
      <alignment vertical="center"/>
    </xf>
    <xf numFmtId="0" fontId="42" fillId="5" borderId="8" applyNumberFormat="0" applyFont="0" applyAlignment="0" applyProtection="0">
      <alignment vertical="center"/>
    </xf>
    <xf numFmtId="0" fontId="56" fillId="0" borderId="0" applyNumberFormat="0" applyFill="0" applyBorder="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0" fillId="0" borderId="0" applyNumberFormat="0" applyFill="0" applyBorder="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0" borderId="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6" fillId="0" borderId="0">
      <alignment vertical="top" wrapText="1"/>
    </xf>
    <xf numFmtId="0" fontId="46" fillId="0" borderId="0">
      <alignment vertical="top" wrapText="1"/>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12" borderId="0" applyNumberFormat="0" applyBorder="0" applyAlignment="0" applyProtection="0">
      <alignment vertical="center"/>
    </xf>
    <xf numFmtId="9" fontId="42" fillId="0" borderId="0" applyFont="0" applyFill="0" applyBorder="0" applyAlignment="0" applyProtection="0">
      <alignment vertical="center"/>
    </xf>
    <xf numFmtId="0" fontId="41" fillId="0" borderId="7" applyNumberFormat="0" applyFill="0" applyAlignment="0" applyProtection="0">
      <alignment vertical="center"/>
    </xf>
    <xf numFmtId="0" fontId="42" fillId="19" borderId="0" applyNumberFormat="0" applyBorder="0" applyAlignment="0" applyProtection="0">
      <alignment vertical="center"/>
    </xf>
    <xf numFmtId="0" fontId="41" fillId="0" borderId="7" applyNumberFormat="0" applyFill="0" applyAlignment="0" applyProtection="0">
      <alignment vertical="center"/>
    </xf>
    <xf numFmtId="0" fontId="0" fillId="0" borderId="0"/>
    <xf numFmtId="0" fontId="52" fillId="56" borderId="0" applyNumberFormat="0" applyBorder="0" applyAlignment="0" applyProtection="0">
      <alignment vertical="center"/>
    </xf>
    <xf numFmtId="0" fontId="44" fillId="7" borderId="10"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63" fillId="37" borderId="0" applyNumberFormat="0" applyBorder="0" applyAlignment="0" applyProtection="0">
      <alignment vertical="center"/>
    </xf>
    <xf numFmtId="0" fontId="41" fillId="0" borderId="7" applyNumberFormat="0" applyFill="0" applyAlignment="0" applyProtection="0">
      <alignment vertical="center"/>
    </xf>
    <xf numFmtId="0" fontId="46" fillId="0" borderId="0">
      <alignment vertical="top" wrapText="1"/>
    </xf>
    <xf numFmtId="0" fontId="41" fillId="0" borderId="7" applyNumberFormat="0" applyFill="0" applyAlignment="0" applyProtection="0">
      <alignment vertical="center"/>
    </xf>
    <xf numFmtId="0" fontId="63" fillId="37" borderId="0" applyNumberFormat="0" applyBorder="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19" borderId="0" applyNumberFormat="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52" fillId="32" borderId="0" applyNumberFormat="0" applyBorder="0" applyAlignment="0" applyProtection="0">
      <alignment vertical="center"/>
    </xf>
    <xf numFmtId="0" fontId="46" fillId="0" borderId="0">
      <alignment vertical="top" wrapText="1"/>
    </xf>
    <xf numFmtId="0" fontId="60" fillId="0" borderId="15" applyNumberFormat="0" applyFill="0" applyAlignment="0" applyProtection="0">
      <alignment vertical="center"/>
    </xf>
    <xf numFmtId="0" fontId="41" fillId="0" borderId="7" applyNumberFormat="0" applyFill="0" applyAlignment="0" applyProtection="0">
      <alignment vertical="center"/>
    </xf>
    <xf numFmtId="0" fontId="0" fillId="0" borderId="0"/>
    <xf numFmtId="0" fontId="44" fillId="7" borderId="10"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8" fillId="7" borderId="9" applyNumberFormat="0" applyAlignment="0" applyProtection="0">
      <alignment vertical="center"/>
    </xf>
    <xf numFmtId="0" fontId="42" fillId="20" borderId="0" applyNumberFormat="0" applyBorder="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2" fillId="17" borderId="0" applyNumberFormat="0" applyBorder="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21" borderId="0" applyNumberFormat="0" applyBorder="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2" fillId="0" borderId="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6" borderId="0" applyNumberFormat="0" applyBorder="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6" fillId="0" borderId="0">
      <alignment vertical="top" wrapText="1"/>
    </xf>
    <xf numFmtId="0" fontId="48" fillId="7"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0" fillId="0" borderId="0"/>
    <xf numFmtId="0" fontId="0" fillId="0" borderId="0"/>
    <xf numFmtId="0" fontId="42" fillId="5" borderId="8" applyNumberFormat="0" applyFon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52" fillId="6" borderId="0" applyNumberFormat="0" applyBorder="0" applyAlignment="0" applyProtection="0">
      <alignment vertical="center"/>
    </xf>
    <xf numFmtId="9" fontId="42" fillId="0" borderId="0" applyFont="0" applyFill="0" applyBorder="0" applyAlignment="0" applyProtection="0">
      <alignment vertical="center"/>
    </xf>
    <xf numFmtId="0" fontId="42" fillId="5" borderId="8" applyNumberFormat="0" applyFont="0" applyAlignment="0" applyProtection="0">
      <alignment vertical="center"/>
    </xf>
    <xf numFmtId="0" fontId="46" fillId="0" borderId="0">
      <alignment vertical="top" wrapText="1"/>
    </xf>
    <xf numFmtId="0" fontId="46" fillId="0" borderId="0">
      <alignment vertical="top" wrapText="1"/>
    </xf>
    <xf numFmtId="0" fontId="41" fillId="0" borderId="7" applyNumberFormat="0" applyFill="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0" fillId="0" borderId="0"/>
    <xf numFmtId="0" fontId="41" fillId="0" borderId="7" applyNumberFormat="0" applyFill="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53" fillId="0" borderId="0" applyNumberFormat="0" applyFill="0" applyBorder="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0" fillId="0" borderId="0"/>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7" fillId="0" borderId="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2" fillId="6" borderId="0" applyNumberFormat="0" applyBorder="0" applyAlignment="0" applyProtection="0">
      <alignment vertical="center"/>
    </xf>
    <xf numFmtId="0" fontId="44" fillId="7" borderId="10"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0" fillId="0" borderId="0">
      <alignment vertical="center"/>
    </xf>
    <xf numFmtId="0" fontId="0" fillId="0" borderId="0" applyNumberFormat="0" applyFill="0" applyBorder="0" applyAlignment="0" applyProtection="0">
      <alignment vertical="center"/>
    </xf>
    <xf numFmtId="0" fontId="0" fillId="0" borderId="0" applyNumberFormat="0" applyFill="0" applyBorder="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2" fillId="12" borderId="0" applyNumberFormat="0" applyBorder="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2" fillId="40" borderId="0" applyNumberFormat="0" applyBorder="0" applyAlignment="0" applyProtection="0">
      <alignment vertical="center"/>
    </xf>
    <xf numFmtId="0" fontId="42" fillId="34" borderId="0" applyNumberFormat="0" applyBorder="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78" fillId="54" borderId="23"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40" borderId="0" applyNumberFormat="0" applyBorder="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7" fillId="0" borderId="0"/>
    <xf numFmtId="0" fontId="44" fillId="7" borderId="10"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0" fillId="0" borderId="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52" fillId="29" borderId="0" applyNumberFormat="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80" fillId="0" borderId="0" applyNumberFormat="0" applyFill="0" applyBorder="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78" fillId="54" borderId="23"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0" fillId="0" borderId="0" applyNumberFormat="0" applyFill="0" applyBorder="0" applyAlignment="0" applyProtection="0">
      <alignment vertical="center"/>
    </xf>
    <xf numFmtId="0" fontId="46" fillId="0" borderId="0">
      <alignment vertical="top" wrapText="1"/>
    </xf>
    <xf numFmtId="0" fontId="43" fillId="6"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6" fillId="0" borderId="0">
      <alignment vertical="top" wrapText="1"/>
    </xf>
    <xf numFmtId="0" fontId="51" fillId="0" borderId="0" applyNumberFormat="0" applyFill="0" applyBorder="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0" fillId="0" borderId="0" applyNumberFormat="0" applyFill="0" applyBorder="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53" fillId="0" borderId="0" applyNumberFormat="0" applyFill="0" applyBorder="0" applyAlignment="0" applyProtection="0">
      <alignment vertical="center"/>
    </xf>
    <xf numFmtId="0" fontId="0" fillId="0" borderId="0"/>
    <xf numFmtId="0" fontId="44" fillId="7" borderId="10"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52" fillId="26" borderId="0" applyNumberFormat="0" applyBorder="0" applyAlignment="0" applyProtection="0">
      <alignment vertical="center"/>
    </xf>
    <xf numFmtId="0" fontId="56" fillId="0" borderId="0" applyNumberFormat="0" applyFill="0" applyBorder="0" applyAlignment="0" applyProtection="0">
      <alignment vertical="center"/>
    </xf>
    <xf numFmtId="0" fontId="41" fillId="0" borderId="7" applyNumberFormat="0" applyFill="0" applyAlignment="0" applyProtection="0">
      <alignment vertical="center"/>
    </xf>
    <xf numFmtId="0" fontId="46" fillId="0" borderId="0">
      <alignment vertical="top" wrapText="1"/>
    </xf>
    <xf numFmtId="0" fontId="46" fillId="0" borderId="0">
      <alignment vertical="top" wrapText="1"/>
    </xf>
    <xf numFmtId="0" fontId="44" fillId="7" borderId="10"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0" fillId="0" borderId="0">
      <alignment vertical="center"/>
    </xf>
    <xf numFmtId="0" fontId="66" fillId="40" borderId="0" applyNumberFormat="0" applyBorder="0" applyAlignment="0" applyProtection="0">
      <alignment vertical="center"/>
    </xf>
    <xf numFmtId="0" fontId="46" fillId="0" borderId="0">
      <alignment vertical="top" wrapText="1"/>
    </xf>
    <xf numFmtId="0" fontId="46" fillId="0" borderId="0">
      <alignment vertical="top" wrapText="1"/>
    </xf>
    <xf numFmtId="0" fontId="41" fillId="0" borderId="7"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2" fillId="0" borderId="0">
      <alignment vertical="center"/>
    </xf>
    <xf numFmtId="0" fontId="42" fillId="0" borderId="0">
      <alignment vertical="center"/>
    </xf>
    <xf numFmtId="0" fontId="53" fillId="0" borderId="13" applyNumberFormat="0" applyFill="0" applyAlignment="0" applyProtection="0">
      <alignment vertical="center"/>
    </xf>
    <xf numFmtId="0" fontId="42" fillId="34" borderId="0" applyNumberFormat="0" applyBorder="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0" fillId="0" borderId="0">
      <alignment vertical="center"/>
    </xf>
    <xf numFmtId="0" fontId="42" fillId="0" borderId="0">
      <alignment vertical="center"/>
    </xf>
    <xf numFmtId="0" fontId="42" fillId="0" borderId="0">
      <alignment vertical="center"/>
    </xf>
    <xf numFmtId="0" fontId="42" fillId="37" borderId="0" applyNumberFormat="0" applyBorder="0" applyAlignment="0" applyProtection="0">
      <alignment vertical="center"/>
    </xf>
    <xf numFmtId="0" fontId="0" fillId="0" borderId="0"/>
    <xf numFmtId="0" fontId="44" fillId="7" borderId="10" applyNumberFormat="0" applyAlignment="0" applyProtection="0">
      <alignment vertical="center"/>
    </xf>
    <xf numFmtId="0" fontId="41" fillId="0" borderId="7" applyNumberFormat="0" applyFill="0" applyAlignment="0" applyProtection="0">
      <alignment vertical="center"/>
    </xf>
    <xf numFmtId="0" fontId="42" fillId="17" borderId="0" applyNumberFormat="0" applyBorder="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2" fillId="0" borderId="0">
      <alignment vertical="center"/>
    </xf>
    <xf numFmtId="0" fontId="48" fillId="7" borderId="9"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0" borderId="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12" borderId="0" applyNumberFormat="0" applyBorder="0" applyAlignment="0" applyProtection="0">
      <alignment vertical="center"/>
    </xf>
    <xf numFmtId="0" fontId="48" fillId="7" borderId="9" applyNumberFormat="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0" fillId="0" borderId="0"/>
    <xf numFmtId="0" fontId="48" fillId="7" borderId="9" applyNumberFormat="0" applyAlignment="0" applyProtection="0">
      <alignment vertical="center"/>
    </xf>
    <xf numFmtId="0" fontId="43" fillId="6" borderId="9" applyNumberFormat="0" applyAlignment="0" applyProtection="0">
      <alignment vertical="center"/>
    </xf>
    <xf numFmtId="0" fontId="72" fillId="0" borderId="0" applyNumberFormat="0" applyFill="0" applyBorder="0" applyAlignment="0" applyProtection="0">
      <alignment vertical="center"/>
    </xf>
    <xf numFmtId="0" fontId="0" fillId="0" borderId="0">
      <alignment vertical="center"/>
    </xf>
    <xf numFmtId="0" fontId="52" fillId="57" borderId="0" applyNumberFormat="0" applyBorder="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2" fillId="16" borderId="0" applyNumberFormat="0" applyBorder="0" applyAlignment="0" applyProtection="0">
      <alignment vertical="center"/>
    </xf>
    <xf numFmtId="0" fontId="42" fillId="5" borderId="8" applyNumberFormat="0" applyFont="0" applyAlignment="0" applyProtection="0">
      <alignment vertical="center"/>
    </xf>
    <xf numFmtId="0" fontId="42" fillId="40" borderId="0" applyNumberFormat="0" applyBorder="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52" fillId="56" borderId="0" applyNumberFormat="0" applyBorder="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0" fillId="0" borderId="0" applyNumberFormat="0" applyFill="0" applyBorder="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0" fillId="0" borderId="0" applyNumberFormat="0" applyFill="0" applyBorder="0" applyAlignment="0" applyProtection="0">
      <alignment vertical="center"/>
    </xf>
    <xf numFmtId="0" fontId="42" fillId="0" borderId="0">
      <alignment vertical="center"/>
    </xf>
    <xf numFmtId="0" fontId="42" fillId="0" borderId="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0" fillId="0" borderId="0" applyNumberFormat="0" applyFill="0" applyBorder="0" applyAlignment="0" applyProtection="0">
      <alignment vertical="center"/>
    </xf>
    <xf numFmtId="0" fontId="41" fillId="0" borderId="7" applyNumberFormat="0" applyFill="0" applyAlignment="0" applyProtection="0">
      <alignment vertical="center"/>
    </xf>
    <xf numFmtId="0" fontId="83" fillId="58" borderId="0" applyNumberFormat="0" applyBorder="0" applyAlignment="0" applyProtection="0">
      <alignment vertical="center"/>
    </xf>
    <xf numFmtId="0" fontId="42" fillId="16" borderId="0" applyNumberFormat="0" applyBorder="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2" fillId="37" borderId="0" applyNumberFormat="0" applyBorder="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84" fillId="0" borderId="24" applyNumberFormat="0" applyFill="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53" fillId="0" borderId="25" applyNumberFormat="0" applyFill="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0" fillId="0" borderId="0">
      <alignment vertical="center"/>
    </xf>
    <xf numFmtId="0" fontId="41" fillId="0" borderId="7" applyNumberFormat="0" applyFill="0" applyAlignment="0" applyProtection="0">
      <alignment vertical="center"/>
    </xf>
    <xf numFmtId="0" fontId="42" fillId="0" borderId="0">
      <alignment vertical="center"/>
    </xf>
    <xf numFmtId="0" fontId="48" fillId="7" borderId="9" applyNumberFormat="0" applyAlignment="0" applyProtection="0">
      <alignment vertical="center"/>
    </xf>
    <xf numFmtId="0" fontId="46" fillId="0" borderId="0">
      <alignment vertical="top" wrapText="1"/>
    </xf>
    <xf numFmtId="0" fontId="46" fillId="0" borderId="0">
      <alignment vertical="top" wrapText="1"/>
    </xf>
    <xf numFmtId="0" fontId="44" fillId="7" borderId="10"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2" fillId="12" borderId="0" applyNumberFormat="0" applyBorder="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2" fillId="0" borderId="0">
      <alignment vertical="center"/>
    </xf>
    <xf numFmtId="0" fontId="63" fillId="37" borderId="0" applyNumberFormat="0" applyBorder="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2" fillId="34" borderId="0" applyNumberFormat="0" applyBorder="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86" fillId="0" borderId="27" applyNumberFormat="0" applyFill="0" applyAlignment="0" applyProtection="0">
      <alignment vertical="center"/>
    </xf>
    <xf numFmtId="0" fontId="0" fillId="0" borderId="0">
      <alignment vertical="center"/>
    </xf>
    <xf numFmtId="0" fontId="48" fillId="7" borderId="9" applyNumberFormat="0" applyAlignment="0" applyProtection="0">
      <alignment vertical="center"/>
    </xf>
    <xf numFmtId="0" fontId="77" fillId="0" borderId="22" applyNumberFormat="0" applyFill="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53" fillId="0" borderId="13" applyNumberFormat="0" applyFill="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2" fillId="0" borderId="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2" fillId="0" borderId="0">
      <alignment vertical="center"/>
    </xf>
    <xf numFmtId="0" fontId="42" fillId="0" borderId="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2" fillId="0" borderId="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84" fillId="0" borderId="24" applyNumberFormat="0" applyFill="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0" fillId="0" borderId="0" applyNumberFormat="0" applyFill="0" applyBorder="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77" fillId="0" borderId="22" applyNumberFormat="0" applyFill="0" applyAlignment="0" applyProtection="0">
      <alignment vertical="center"/>
    </xf>
    <xf numFmtId="0" fontId="87" fillId="37" borderId="0" applyNumberFormat="0" applyBorder="0" applyAlignment="0" applyProtection="0">
      <alignment vertical="center"/>
    </xf>
    <xf numFmtId="0" fontId="0" fillId="0" borderId="0"/>
    <xf numFmtId="0" fontId="48" fillId="7"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4" fillId="7" borderId="10" applyNumberFormat="0" applyAlignment="0" applyProtection="0">
      <alignment vertical="center"/>
    </xf>
    <xf numFmtId="0" fontId="42" fillId="0" borderId="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63" fillId="37" borderId="0" applyNumberFormat="0" applyBorder="0" applyAlignment="0" applyProtection="0">
      <alignment vertical="center"/>
    </xf>
    <xf numFmtId="0" fontId="42" fillId="0" borderId="0">
      <alignment vertical="center"/>
    </xf>
    <xf numFmtId="0" fontId="42" fillId="0" borderId="0">
      <alignment vertical="center"/>
    </xf>
    <xf numFmtId="0" fontId="52" fillId="32" borderId="0" applyNumberFormat="0" applyBorder="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0" fillId="0" borderId="0"/>
    <xf numFmtId="0" fontId="42" fillId="5" borderId="8" applyNumberFormat="0" applyFont="0" applyAlignment="0" applyProtection="0">
      <alignment vertical="center"/>
    </xf>
    <xf numFmtId="0" fontId="44" fillId="7" borderId="10" applyNumberFormat="0" applyAlignment="0" applyProtection="0">
      <alignment vertical="center"/>
    </xf>
    <xf numFmtId="0" fontId="42" fillId="0" borderId="0">
      <alignment vertical="center"/>
    </xf>
    <xf numFmtId="0" fontId="48" fillId="7" borderId="9" applyNumberFormat="0" applyAlignment="0" applyProtection="0">
      <alignment vertical="center"/>
    </xf>
    <xf numFmtId="0" fontId="52" fillId="34" borderId="0" applyNumberFormat="0" applyBorder="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77" fillId="0" borderId="22"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0" fillId="0" borderId="0" applyNumberFormat="0" applyFill="0" applyBorder="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2" fillId="16" borderId="0" applyNumberFormat="0" applyBorder="0" applyAlignment="0" applyProtection="0">
      <alignment vertical="center"/>
    </xf>
    <xf numFmtId="0" fontId="52" fillId="17" borderId="0" applyNumberFormat="0" applyBorder="0" applyAlignment="0" applyProtection="0">
      <alignment vertical="center"/>
    </xf>
    <xf numFmtId="0" fontId="0" fillId="0" borderId="0"/>
    <xf numFmtId="0" fontId="42" fillId="0" borderId="0">
      <alignment vertical="center"/>
    </xf>
    <xf numFmtId="0" fontId="42" fillId="0" borderId="0">
      <alignment vertical="center"/>
    </xf>
    <xf numFmtId="0" fontId="43" fillId="6" borderId="9" applyNumberFormat="0" applyAlignment="0" applyProtection="0">
      <alignment vertical="center"/>
    </xf>
    <xf numFmtId="0" fontId="42" fillId="12" borderId="0" applyNumberFormat="0" applyBorder="0" applyAlignment="0" applyProtection="0">
      <alignment vertical="center"/>
    </xf>
    <xf numFmtId="0" fontId="48" fillId="7" borderId="9" applyNumberFormat="0" applyAlignment="0" applyProtection="0">
      <alignment vertical="center"/>
    </xf>
    <xf numFmtId="0" fontId="42" fillId="40" borderId="0" applyNumberFormat="0" applyBorder="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2" fillId="0" borderId="0">
      <alignment vertical="center"/>
    </xf>
    <xf numFmtId="0" fontId="52" fillId="34" borderId="0" applyNumberFormat="0" applyBorder="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66" fillId="40" borderId="0" applyNumberFormat="0" applyBorder="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8" fillId="7" borderId="9" applyNumberFormat="0" applyAlignment="0" applyProtection="0">
      <alignment vertical="center"/>
    </xf>
    <xf numFmtId="0" fontId="46" fillId="0" borderId="0">
      <alignment vertical="top" wrapText="1"/>
    </xf>
    <xf numFmtId="0" fontId="44" fillId="7" borderId="10"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21" borderId="0" applyNumberFormat="0" applyBorder="0" applyAlignment="0" applyProtection="0">
      <alignment vertical="center"/>
    </xf>
    <xf numFmtId="0" fontId="41" fillId="0" borderId="7" applyNumberFormat="0" applyFill="0" applyAlignment="0" applyProtection="0">
      <alignment vertical="center"/>
    </xf>
    <xf numFmtId="0" fontId="56" fillId="0" borderId="0" applyNumberFormat="0" applyFill="0" applyBorder="0" applyAlignment="0" applyProtection="0">
      <alignment vertical="center"/>
    </xf>
    <xf numFmtId="0" fontId="42" fillId="6" borderId="0" applyNumberFormat="0" applyBorder="0" applyAlignment="0" applyProtection="0">
      <alignment vertical="center"/>
    </xf>
    <xf numFmtId="0" fontId="41" fillId="0" borderId="7" applyNumberFormat="0" applyFill="0" applyAlignment="0" applyProtection="0">
      <alignment vertical="center"/>
    </xf>
    <xf numFmtId="0" fontId="42" fillId="12" borderId="0" applyNumberFormat="0" applyBorder="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52" fillId="34" borderId="0" applyNumberFormat="0" applyBorder="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78" fillId="54" borderId="23" applyNumberFormat="0" applyAlignment="0" applyProtection="0">
      <alignment vertical="center"/>
    </xf>
    <xf numFmtId="0" fontId="53" fillId="0" borderId="13" applyNumberFormat="0" applyFill="0" applyAlignment="0" applyProtection="0">
      <alignment vertical="center"/>
    </xf>
    <xf numFmtId="0" fontId="43" fillId="6" borderId="9" applyNumberFormat="0" applyAlignment="0" applyProtection="0">
      <alignment vertical="center"/>
    </xf>
    <xf numFmtId="0" fontId="42" fillId="21" borderId="0" applyNumberFormat="0" applyBorder="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0" borderId="0">
      <alignment vertical="center"/>
    </xf>
    <xf numFmtId="0" fontId="42" fillId="0" borderId="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0" borderId="0">
      <alignment vertical="center"/>
    </xf>
    <xf numFmtId="0" fontId="42" fillId="0" borderId="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0" fillId="0" borderId="0" applyNumberFormat="0" applyFill="0" applyBorder="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9" fontId="42" fillId="0" borderId="0" applyFont="0" applyFill="0" applyBorder="0" applyAlignment="0" applyProtection="0">
      <alignment vertical="center"/>
    </xf>
    <xf numFmtId="0" fontId="43" fillId="6" borderId="9"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3" fillId="6" borderId="9" applyNumberFormat="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60" fillId="0" borderId="15" applyNumberFormat="0" applyFill="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2" fillId="6" borderId="0" applyNumberFormat="0" applyBorder="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0" fillId="0" borderId="0"/>
    <xf numFmtId="0" fontId="42" fillId="5" borderId="8" applyNumberFormat="0" applyFont="0" applyAlignment="0" applyProtection="0">
      <alignment vertical="center"/>
    </xf>
    <xf numFmtId="0" fontId="48" fillId="7" borderId="9" applyNumberFormat="0" applyAlignment="0" applyProtection="0">
      <alignment vertical="center"/>
    </xf>
    <xf numFmtId="0" fontId="66" fillId="40" borderId="0" applyNumberFormat="0" applyBorder="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0" fillId="0" borderId="0">
      <alignment vertical="center"/>
    </xf>
    <xf numFmtId="0" fontId="42" fillId="5" borderId="8" applyNumberFormat="0" applyFont="0" applyAlignment="0" applyProtection="0">
      <alignment vertical="center"/>
    </xf>
    <xf numFmtId="0" fontId="42" fillId="40" borderId="0" applyNumberFormat="0" applyBorder="0" applyAlignment="0" applyProtection="0">
      <alignment vertical="center"/>
    </xf>
    <xf numFmtId="0" fontId="43" fillId="6" borderId="9" applyNumberFormat="0" applyAlignment="0" applyProtection="0">
      <alignment vertical="center"/>
    </xf>
    <xf numFmtId="0" fontId="42" fillId="0" borderId="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2" fillId="16" borderId="0" applyNumberFormat="0" applyBorder="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0" borderId="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52" fillId="29" borderId="0" applyNumberFormat="0" applyBorder="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63" fillId="37" borderId="0" applyNumberFormat="0" applyBorder="0" applyAlignment="0" applyProtection="0">
      <alignment vertical="center"/>
    </xf>
    <xf numFmtId="0" fontId="42" fillId="12" borderId="0" applyNumberFormat="0" applyBorder="0" applyAlignment="0" applyProtection="0">
      <alignment vertical="center"/>
    </xf>
    <xf numFmtId="0" fontId="43" fillId="6" borderId="9" applyNumberFormat="0" applyAlignment="0" applyProtection="0">
      <alignment vertical="center"/>
    </xf>
    <xf numFmtId="0" fontId="42" fillId="12" borderId="0" applyNumberFormat="0" applyBorder="0" applyAlignment="0" applyProtection="0">
      <alignment vertical="center"/>
    </xf>
    <xf numFmtId="0" fontId="42" fillId="0" borderId="0">
      <alignment vertical="center"/>
    </xf>
    <xf numFmtId="0" fontId="52" fillId="30" borderId="0" applyNumberFormat="0" applyBorder="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2" fillId="16" borderId="0" applyNumberFormat="0" applyBorder="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0" fillId="0" borderId="0" applyNumberFormat="0" applyFill="0" applyBorder="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52" fillId="55" borderId="0" applyNumberFormat="0" applyBorder="0" applyAlignment="0" applyProtection="0">
      <alignment vertical="center"/>
    </xf>
    <xf numFmtId="0" fontId="48" fillId="7" borderId="9" applyNumberFormat="0" applyAlignment="0" applyProtection="0">
      <alignment vertical="center"/>
    </xf>
    <xf numFmtId="0" fontId="0" fillId="0" borderId="0" applyNumberFormat="0" applyFill="0" applyBorder="0" applyAlignment="0" applyProtection="0">
      <alignment vertical="center"/>
    </xf>
    <xf numFmtId="0" fontId="0" fillId="0" borderId="0" applyNumberFormat="0" applyFill="0" applyBorder="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7" fillId="0" borderId="0">
      <alignment vertical="center"/>
    </xf>
    <xf numFmtId="0" fontId="41" fillId="0" borderId="7" applyNumberFormat="0" applyFill="0" applyAlignment="0" applyProtection="0">
      <alignment vertical="center"/>
    </xf>
    <xf numFmtId="0" fontId="42" fillId="0" borderId="0">
      <alignment vertical="center"/>
    </xf>
    <xf numFmtId="0" fontId="51" fillId="0" borderId="0" applyNumberFormat="0" applyFill="0" applyBorder="0" applyAlignment="0" applyProtection="0">
      <alignment vertical="center"/>
    </xf>
    <xf numFmtId="0" fontId="42" fillId="5" borderId="8" applyNumberFormat="0" applyFont="0" applyAlignment="0" applyProtection="0">
      <alignment vertical="center"/>
    </xf>
    <xf numFmtId="0" fontId="42" fillId="17" borderId="0" applyNumberFormat="0" applyBorder="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52" fillId="29" borderId="0" applyNumberFormat="0" applyBorder="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0" fillId="0" borderId="0"/>
    <xf numFmtId="0" fontId="48" fillId="7" borderId="9"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2" fillId="0" borderId="0">
      <alignment vertical="center"/>
    </xf>
    <xf numFmtId="0" fontId="42" fillId="12" borderId="0" applyNumberFormat="0" applyBorder="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2" fillId="34" borderId="0" applyNumberFormat="0" applyBorder="0" applyAlignment="0" applyProtection="0">
      <alignment vertical="center"/>
    </xf>
    <xf numFmtId="0" fontId="42" fillId="0" borderId="0">
      <alignment vertical="center"/>
    </xf>
    <xf numFmtId="0" fontId="52" fillId="56" borderId="0" applyNumberFormat="0" applyBorder="0" applyAlignment="0" applyProtection="0">
      <alignment vertical="center"/>
    </xf>
    <xf numFmtId="0" fontId="48" fillId="7" borderId="9" applyNumberFormat="0" applyAlignment="0" applyProtection="0">
      <alignment vertical="center"/>
    </xf>
    <xf numFmtId="0" fontId="0" fillId="0" borderId="0" applyNumberFormat="0" applyFill="0" applyBorder="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0" fillId="0" borderId="0" applyNumberFormat="0" applyFill="0" applyBorder="0" applyAlignment="0" applyProtection="0">
      <alignment vertical="center"/>
    </xf>
    <xf numFmtId="0" fontId="46" fillId="0" borderId="0">
      <alignment vertical="top" wrapText="1"/>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7" fillId="0" borderId="0"/>
    <xf numFmtId="0" fontId="44" fillId="7" borderId="10"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6" fillId="0" borderId="0">
      <alignment vertical="top" wrapText="1"/>
    </xf>
    <xf numFmtId="0" fontId="53" fillId="0" borderId="13"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66" fillId="40" borderId="0" applyNumberFormat="0" applyBorder="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6" fillId="0" borderId="0">
      <alignment vertical="top" wrapText="1"/>
    </xf>
    <xf numFmtId="0" fontId="66" fillId="40" borderId="0" applyNumberFormat="0" applyBorder="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0" fillId="0" borderId="0"/>
    <xf numFmtId="0" fontId="43" fillId="6"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88" fillId="0" borderId="0" applyNumberFormat="0" applyFill="0" applyBorder="0" applyAlignment="0" applyProtection="0">
      <alignment vertical="center"/>
    </xf>
    <xf numFmtId="0" fontId="48" fillId="7" borderId="9" applyNumberFormat="0" applyAlignment="0" applyProtection="0">
      <alignment vertical="center"/>
    </xf>
    <xf numFmtId="0" fontId="42" fillId="34" borderId="0" applyNumberFormat="0" applyBorder="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6" fillId="0" borderId="0">
      <alignment vertical="top" wrapText="1"/>
    </xf>
    <xf numFmtId="0" fontId="43" fillId="6" borderId="9" applyNumberFormat="0" applyAlignment="0" applyProtection="0">
      <alignment vertical="center"/>
    </xf>
    <xf numFmtId="0" fontId="42" fillId="17" borderId="0" applyNumberFormat="0" applyBorder="0" applyAlignment="0" applyProtection="0">
      <alignment vertical="center"/>
    </xf>
    <xf numFmtId="0" fontId="48" fillId="7" borderId="9" applyNumberFormat="0" applyAlignment="0" applyProtection="0">
      <alignment vertical="center"/>
    </xf>
    <xf numFmtId="0" fontId="51" fillId="0" borderId="0" applyNumberFormat="0" applyFill="0" applyBorder="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2" fillId="20" borderId="0" applyNumberFormat="0" applyBorder="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2" fillId="0" borderId="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6" fillId="0" borderId="0">
      <alignment vertical="top" wrapText="1"/>
    </xf>
    <xf numFmtId="0" fontId="44" fillId="7" borderId="10" applyNumberFormat="0" applyAlignment="0" applyProtection="0">
      <alignment vertical="center"/>
    </xf>
    <xf numFmtId="0" fontId="52" fillId="59" borderId="0" applyNumberFormat="0" applyBorder="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37" borderId="0" applyNumberFormat="0" applyBorder="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0" fillId="0" borderId="0"/>
    <xf numFmtId="0" fontId="48" fillId="7"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2" fillId="0" borderId="0">
      <alignment vertical="center"/>
    </xf>
    <xf numFmtId="0" fontId="42" fillId="0" borderId="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4" fillId="7" borderId="10" applyNumberFormat="0" applyAlignment="0" applyProtection="0">
      <alignment vertical="center"/>
    </xf>
    <xf numFmtId="9" fontId="42" fillId="0" borderId="0" applyFont="0" applyFill="0" applyBorder="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63" fillId="37" borderId="0" applyNumberFormat="0" applyBorder="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60" fillId="0" borderId="15" applyNumberFormat="0" applyFill="0" applyAlignment="0" applyProtection="0">
      <alignment vertical="center"/>
    </xf>
    <xf numFmtId="0" fontId="46" fillId="0" borderId="0">
      <alignment vertical="top" wrapText="1"/>
    </xf>
    <xf numFmtId="0" fontId="44" fillId="7" borderId="10"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8" fillId="7" borderId="9" applyNumberFormat="0" applyAlignment="0" applyProtection="0">
      <alignment vertical="center"/>
    </xf>
    <xf numFmtId="0" fontId="42" fillId="21" borderId="0" applyNumberFormat="0" applyBorder="0" applyAlignment="0" applyProtection="0">
      <alignment vertical="center"/>
    </xf>
    <xf numFmtId="0" fontId="56" fillId="0" borderId="0" applyNumberFormat="0" applyFill="0" applyBorder="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56" fillId="0" borderId="0" applyNumberFormat="0" applyFill="0" applyBorder="0" applyAlignment="0" applyProtection="0">
      <alignment vertical="center"/>
    </xf>
    <xf numFmtId="0" fontId="42" fillId="0" borderId="0">
      <alignment vertical="center"/>
    </xf>
    <xf numFmtId="0" fontId="42" fillId="0" borderId="0">
      <alignment vertical="center"/>
    </xf>
    <xf numFmtId="0" fontId="46" fillId="0" borderId="0">
      <alignment vertical="top" wrapText="1"/>
    </xf>
    <xf numFmtId="0" fontId="46" fillId="0" borderId="0">
      <alignment vertical="top" wrapText="1"/>
    </xf>
    <xf numFmtId="0" fontId="0" fillId="0" borderId="0" applyNumberFormat="0" applyFill="0" applyBorder="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0" fillId="0" borderId="0"/>
    <xf numFmtId="0" fontId="46" fillId="0" borderId="0">
      <alignment vertical="top" wrapText="1"/>
    </xf>
    <xf numFmtId="0" fontId="46" fillId="0" borderId="0">
      <alignment vertical="top" wrapText="1"/>
    </xf>
    <xf numFmtId="0" fontId="44" fillId="7" borderId="10"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3" fillId="6" borderId="9" applyNumberFormat="0" applyAlignment="0" applyProtection="0">
      <alignment vertical="center"/>
    </xf>
    <xf numFmtId="0" fontId="42" fillId="17" borderId="0" applyNumberFormat="0" applyBorder="0" applyAlignment="0" applyProtection="0">
      <alignment vertical="center"/>
    </xf>
    <xf numFmtId="0" fontId="48" fillId="7" borderId="9" applyNumberFormat="0" applyAlignment="0" applyProtection="0">
      <alignment vertical="center"/>
    </xf>
    <xf numFmtId="0" fontId="0" fillId="0" borderId="0" applyNumberFormat="0" applyFill="0" applyBorder="0" applyAlignment="0" applyProtection="0">
      <alignment vertical="center"/>
    </xf>
    <xf numFmtId="0" fontId="66" fillId="40" borderId="0" applyNumberFormat="0" applyBorder="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2" fillId="17" borderId="0" applyNumberFormat="0" applyBorder="0" applyAlignment="0" applyProtection="0">
      <alignment vertical="center"/>
    </xf>
    <xf numFmtId="0" fontId="44" fillId="7" borderId="10" applyNumberFormat="0" applyAlignment="0" applyProtection="0">
      <alignment vertical="center"/>
    </xf>
    <xf numFmtId="0" fontId="46" fillId="0" borderId="0">
      <alignment vertical="top" wrapText="1"/>
    </xf>
    <xf numFmtId="0" fontId="48" fillId="7" borderId="9" applyNumberFormat="0" applyAlignment="0" applyProtection="0">
      <alignment vertical="center"/>
    </xf>
    <xf numFmtId="0" fontId="42" fillId="17" borderId="0" applyNumberFormat="0" applyBorder="0" applyAlignment="0" applyProtection="0">
      <alignment vertical="center"/>
    </xf>
    <xf numFmtId="0" fontId="42" fillId="0" borderId="0">
      <alignment vertical="center"/>
    </xf>
    <xf numFmtId="0" fontId="42" fillId="0" borderId="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2" fillId="0" borderId="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0" fillId="0" borderId="0"/>
    <xf numFmtId="0" fontId="41" fillId="0" borderId="7" applyNumberFormat="0" applyFill="0" applyAlignment="0" applyProtection="0">
      <alignment vertical="center"/>
    </xf>
    <xf numFmtId="0" fontId="52" fillId="29" borderId="0" applyNumberFormat="0" applyBorder="0" applyAlignment="0" applyProtection="0">
      <alignment vertical="center"/>
    </xf>
    <xf numFmtId="0" fontId="0" fillId="0" borderId="0" applyNumberFormat="0" applyFill="0" applyBorder="0" applyAlignment="0" applyProtection="0">
      <alignment vertical="center"/>
    </xf>
    <xf numFmtId="0" fontId="48" fillId="7" borderId="9" applyNumberFormat="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43" fillId="6" borderId="9" applyNumberFormat="0" applyAlignment="0" applyProtection="0">
      <alignment vertical="center"/>
    </xf>
    <xf numFmtId="0" fontId="46" fillId="0" borderId="0">
      <alignment vertical="top" wrapText="1"/>
    </xf>
    <xf numFmtId="0" fontId="46" fillId="0" borderId="0">
      <alignment vertical="top" wrapText="1"/>
    </xf>
    <xf numFmtId="0" fontId="43" fillId="6"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2" fillId="12" borderId="0" applyNumberFormat="0" applyBorder="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51" fillId="0" borderId="0" applyNumberFormat="0" applyFill="0" applyBorder="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0" fillId="0" borderId="0" applyNumberFormat="0" applyFill="0" applyBorder="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66" fillId="40" borderId="0" applyNumberFormat="0" applyBorder="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1" fillId="0" borderId="17" applyNumberFormat="0" applyFill="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85" fillId="0" borderId="26" applyNumberFormat="0" applyFill="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0" fillId="0" borderId="0"/>
    <xf numFmtId="0" fontId="46" fillId="0" borderId="0">
      <alignment vertical="top" wrapText="1"/>
    </xf>
    <xf numFmtId="0" fontId="42" fillId="0" borderId="0">
      <alignment vertical="center"/>
    </xf>
    <xf numFmtId="0" fontId="42" fillId="0" borderId="0">
      <alignment vertical="center"/>
    </xf>
    <xf numFmtId="0" fontId="48" fillId="7" borderId="9" applyNumberFormat="0" applyAlignment="0" applyProtection="0">
      <alignment vertical="center"/>
    </xf>
    <xf numFmtId="9" fontId="42" fillId="0" borderId="0" applyFont="0" applyFill="0" applyBorder="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63" fillId="37" borderId="0" applyNumberFormat="0" applyBorder="0" applyAlignment="0" applyProtection="0">
      <alignment vertical="center"/>
    </xf>
    <xf numFmtId="0" fontId="43" fillId="6" borderId="9" applyNumberFormat="0" applyAlignment="0" applyProtection="0">
      <alignment vertical="center"/>
    </xf>
    <xf numFmtId="0" fontId="42" fillId="0" borderId="0">
      <alignment vertical="center"/>
    </xf>
    <xf numFmtId="0" fontId="42" fillId="0" borderId="0">
      <alignment vertical="center"/>
    </xf>
    <xf numFmtId="0" fontId="44" fillId="7" borderId="10" applyNumberFormat="0" applyAlignment="0" applyProtection="0">
      <alignment vertical="center"/>
    </xf>
    <xf numFmtId="0" fontId="51" fillId="0" borderId="0" applyNumberFormat="0" applyFill="0" applyBorder="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0" fillId="0" borderId="0" applyNumberFormat="0" applyFill="0" applyBorder="0" applyAlignment="0" applyProtection="0">
      <alignment vertical="center"/>
    </xf>
    <xf numFmtId="0" fontId="42" fillId="0" borderId="0">
      <alignment vertical="center"/>
    </xf>
    <xf numFmtId="0" fontId="42" fillId="21" borderId="0" applyNumberFormat="0" applyBorder="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53" fillId="0" borderId="13" applyNumberFormat="0" applyFill="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5" borderId="0" applyNumberFormat="0" applyBorder="0" applyAlignment="0" applyProtection="0">
      <alignment vertical="center"/>
    </xf>
    <xf numFmtId="0" fontId="0" fillId="0" borderId="0"/>
    <xf numFmtId="0" fontId="48" fillId="7"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20" borderId="0" applyNumberFormat="0" applyBorder="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0" fillId="0" borderId="0">
      <alignment vertical="center"/>
    </xf>
    <xf numFmtId="0" fontId="0" fillId="0" borderId="0"/>
    <xf numFmtId="0" fontId="44" fillId="7" borderId="10" applyNumberFormat="0" applyAlignment="0" applyProtection="0">
      <alignment vertical="center"/>
    </xf>
    <xf numFmtId="0" fontId="42" fillId="0" borderId="0">
      <alignment vertical="center"/>
    </xf>
    <xf numFmtId="0" fontId="46" fillId="0" borderId="0">
      <alignment vertical="top" wrapText="1"/>
    </xf>
    <xf numFmtId="0" fontId="46" fillId="0" borderId="0">
      <alignment vertical="top" wrapText="1"/>
    </xf>
    <xf numFmtId="0" fontId="0" fillId="0" borderId="0">
      <alignment vertical="center"/>
    </xf>
    <xf numFmtId="0" fontId="84" fillId="0" borderId="28" applyNumberFormat="0" applyFill="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0" borderId="0">
      <alignment vertical="center"/>
    </xf>
    <xf numFmtId="0" fontId="41" fillId="0" borderId="7" applyNumberFormat="0" applyFill="0" applyAlignment="0" applyProtection="0">
      <alignment vertical="center"/>
    </xf>
    <xf numFmtId="0" fontId="42" fillId="6" borderId="0" applyNumberFormat="0" applyBorder="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2" fillId="0" borderId="0">
      <alignment vertical="center"/>
    </xf>
    <xf numFmtId="0" fontId="85" fillId="0" borderId="26" applyNumberFormat="0" applyFill="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2" fillId="12" borderId="0" applyNumberFormat="0" applyBorder="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2" fillId="0" borderId="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0" fillId="0" borderId="0"/>
    <xf numFmtId="0" fontId="48" fillId="7" borderId="9"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3" fillId="6" borderId="9" applyNumberFormat="0" applyAlignment="0" applyProtection="0">
      <alignment vertical="center"/>
    </xf>
    <xf numFmtId="0" fontId="72" fillId="0" borderId="0" applyNumberFormat="0" applyFill="0" applyBorder="0" applyAlignment="0" applyProtection="0">
      <alignment vertical="center"/>
    </xf>
    <xf numFmtId="0" fontId="44" fillId="7" borderId="10" applyNumberFormat="0" applyAlignment="0" applyProtection="0">
      <alignment vertical="center"/>
    </xf>
    <xf numFmtId="0" fontId="42" fillId="0" borderId="0">
      <alignment vertical="center"/>
    </xf>
    <xf numFmtId="0" fontId="48" fillId="7" borderId="9" applyNumberFormat="0" applyAlignment="0" applyProtection="0">
      <alignment vertical="center"/>
    </xf>
    <xf numFmtId="0" fontId="0" fillId="0" borderId="0"/>
    <xf numFmtId="0" fontId="0" fillId="0" borderId="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0" fillId="0" borderId="0" applyNumberFormat="0" applyFill="0" applyBorder="0" applyAlignment="0" applyProtection="0">
      <alignment vertical="center"/>
    </xf>
    <xf numFmtId="0" fontId="42" fillId="0" borderId="0">
      <alignment vertical="center"/>
    </xf>
    <xf numFmtId="0" fontId="42" fillId="0" borderId="0">
      <alignment vertical="center"/>
    </xf>
    <xf numFmtId="0" fontId="42" fillId="21" borderId="0" applyNumberFormat="0" applyBorder="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6" fillId="0" borderId="0">
      <alignment vertical="top" wrapText="1"/>
    </xf>
    <xf numFmtId="0" fontId="41" fillId="0" borderId="7" applyNumberFormat="0" applyFill="0" applyAlignment="0" applyProtection="0">
      <alignment vertical="center"/>
    </xf>
    <xf numFmtId="0" fontId="0" fillId="0" borderId="0"/>
    <xf numFmtId="0" fontId="41" fillId="0" borderId="7"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6" fillId="0" borderId="0">
      <alignment vertical="top" wrapText="1"/>
    </xf>
    <xf numFmtId="0" fontId="52" fillId="55" borderId="0" applyNumberFormat="0" applyBorder="0" applyAlignment="0" applyProtection="0">
      <alignment vertical="center"/>
    </xf>
    <xf numFmtId="0" fontId="81" fillId="0" borderId="0" applyProtection="0"/>
    <xf numFmtId="0" fontId="43" fillId="6" borderId="9" applyNumberFormat="0" applyAlignment="0" applyProtection="0">
      <alignment vertical="center"/>
    </xf>
    <xf numFmtId="0" fontId="0" fillId="0" borderId="0" applyNumberFormat="0" applyFill="0" applyBorder="0" applyAlignment="0" applyProtection="0">
      <alignment vertical="center"/>
    </xf>
    <xf numFmtId="0" fontId="43" fillId="6" borderId="9" applyNumberFormat="0" applyAlignment="0" applyProtection="0">
      <alignment vertical="center"/>
    </xf>
    <xf numFmtId="0" fontId="42" fillId="6" borderId="0" applyNumberFormat="0" applyBorder="0" applyAlignment="0" applyProtection="0">
      <alignment vertical="center"/>
    </xf>
    <xf numFmtId="0" fontId="0" fillId="0" borderId="0"/>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2" fillId="12" borderId="0" applyNumberFormat="0" applyBorder="0" applyAlignment="0" applyProtection="0">
      <alignment vertical="center"/>
    </xf>
    <xf numFmtId="0" fontId="42" fillId="16" borderId="0" applyNumberFormat="0" applyBorder="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0" fillId="0" borderId="0"/>
    <xf numFmtId="0" fontId="0" fillId="0" borderId="0" applyNumberFormat="0" applyFill="0" applyBorder="0" applyAlignment="0" applyProtection="0">
      <alignment vertical="center"/>
    </xf>
    <xf numFmtId="0" fontId="48" fillId="7" borderId="9" applyNumberFormat="0" applyAlignment="0" applyProtection="0">
      <alignment vertical="center"/>
    </xf>
    <xf numFmtId="0" fontId="53" fillId="0" borderId="0" applyNumberFormat="0" applyFill="0" applyBorder="0" applyAlignment="0" applyProtection="0">
      <alignment vertical="center"/>
    </xf>
    <xf numFmtId="0" fontId="42" fillId="5" borderId="8" applyNumberFormat="0" applyFont="0" applyAlignment="0" applyProtection="0">
      <alignment vertical="center"/>
    </xf>
    <xf numFmtId="0" fontId="52" fillId="17" borderId="0" applyNumberFormat="0" applyBorder="0" applyAlignment="0" applyProtection="0">
      <alignment vertical="center"/>
    </xf>
    <xf numFmtId="0" fontId="44" fillId="7" borderId="10" applyNumberFormat="0" applyAlignment="0" applyProtection="0">
      <alignment vertical="center"/>
    </xf>
    <xf numFmtId="0" fontId="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51" fillId="0" borderId="0" applyNumberFormat="0" applyFill="0" applyBorder="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66" fillId="40" borderId="0" applyNumberFormat="0" applyBorder="0" applyAlignment="0" applyProtection="0">
      <alignment vertical="center"/>
    </xf>
    <xf numFmtId="0" fontId="51" fillId="0" borderId="0" applyNumberFormat="0" applyFill="0" applyBorder="0" applyAlignment="0" applyProtection="0">
      <alignment vertical="center"/>
    </xf>
    <xf numFmtId="0" fontId="46" fillId="0" borderId="0">
      <alignment vertical="top" wrapText="1"/>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0" fillId="0" borderId="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6" fillId="0" borderId="0">
      <alignment vertical="top" wrapText="1"/>
    </xf>
    <xf numFmtId="0" fontId="48" fillId="7" borderId="9" applyNumberFormat="0" applyAlignment="0" applyProtection="0">
      <alignment vertical="center"/>
    </xf>
    <xf numFmtId="0" fontId="52" fillId="56" borderId="0" applyNumberFormat="0" applyBorder="0" applyAlignment="0" applyProtection="0">
      <alignment vertical="center"/>
    </xf>
    <xf numFmtId="0" fontId="42" fillId="16" borderId="0" applyNumberFormat="0" applyBorder="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0" fillId="0" borderId="0">
      <alignment vertical="center"/>
    </xf>
    <xf numFmtId="0" fontId="48" fillId="7" borderId="9" applyNumberFormat="0" applyAlignment="0" applyProtection="0">
      <alignment vertical="center"/>
    </xf>
    <xf numFmtId="0" fontId="52" fillId="57" borderId="0" applyNumberFormat="0" applyBorder="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52" fillId="26" borderId="0" applyNumberFormat="0" applyBorder="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6" fillId="0" borderId="0">
      <alignment vertical="top" wrapText="1"/>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16" borderId="0" applyNumberFormat="0" applyBorder="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52" fillId="56" borderId="0" applyNumberFormat="0" applyBorder="0" applyAlignment="0" applyProtection="0">
      <alignment vertical="center"/>
    </xf>
    <xf numFmtId="0" fontId="81" fillId="0" borderId="0"/>
    <xf numFmtId="0" fontId="42" fillId="0" borderId="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34" borderId="0" applyNumberFormat="0" applyBorder="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77" fillId="0" borderId="22"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0" borderId="0">
      <alignment vertical="center"/>
    </xf>
    <xf numFmtId="0" fontId="66" fillId="40" borderId="0" applyNumberFormat="0" applyBorder="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9" fontId="42" fillId="0" borderId="0" applyFont="0" applyFill="0" applyBorder="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0" borderId="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0" fillId="0" borderId="0"/>
    <xf numFmtId="0" fontId="48" fillId="7" borderId="9" applyNumberFormat="0" applyAlignment="0" applyProtection="0">
      <alignment vertical="center"/>
    </xf>
    <xf numFmtId="0" fontId="42" fillId="0" borderId="0">
      <alignment vertical="center"/>
    </xf>
    <xf numFmtId="0" fontId="42" fillId="0" borderId="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16" borderId="0" applyNumberFormat="0" applyBorder="0" applyAlignment="0" applyProtection="0">
      <alignment vertical="center"/>
    </xf>
    <xf numFmtId="0" fontId="46" fillId="0" borderId="0">
      <alignment vertical="top" wrapText="1"/>
    </xf>
    <xf numFmtId="0" fontId="48" fillId="7" borderId="9" applyNumberFormat="0" applyAlignment="0" applyProtection="0">
      <alignment vertical="center"/>
    </xf>
    <xf numFmtId="0" fontId="44" fillId="7" borderId="10" applyNumberFormat="0" applyAlignment="0" applyProtection="0">
      <alignment vertical="center"/>
    </xf>
    <xf numFmtId="0" fontId="52" fillId="34" borderId="0" applyNumberFormat="0" applyBorder="0" applyAlignment="0" applyProtection="0">
      <alignment vertical="center"/>
    </xf>
    <xf numFmtId="0" fontId="41" fillId="0" borderId="7" applyNumberFormat="0" applyFill="0" applyAlignment="0" applyProtection="0">
      <alignment vertical="center"/>
    </xf>
    <xf numFmtId="0" fontId="77" fillId="0" borderId="22" applyNumberFormat="0" applyFill="0" applyAlignment="0" applyProtection="0">
      <alignment vertical="center"/>
    </xf>
    <xf numFmtId="0" fontId="41" fillId="0" borderId="7" applyNumberFormat="0" applyFill="0" applyAlignment="0" applyProtection="0">
      <alignment vertical="center"/>
    </xf>
    <xf numFmtId="0" fontId="51" fillId="0" borderId="0" applyNumberFormat="0" applyFill="0" applyBorder="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6" fillId="0" borderId="0">
      <alignment vertical="top" wrapText="1"/>
    </xf>
    <xf numFmtId="0" fontId="44" fillId="7" borderId="10"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51" fillId="0" borderId="0" applyNumberFormat="0" applyFill="0" applyBorder="0" applyAlignment="0" applyProtection="0">
      <alignment vertical="center"/>
    </xf>
    <xf numFmtId="0" fontId="77" fillId="0" borderId="22" applyNumberFormat="0" applyFill="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6" fillId="0" borderId="0">
      <alignment vertical="top" wrapText="1"/>
    </xf>
    <xf numFmtId="0" fontId="46" fillId="0" borderId="0">
      <alignment vertical="top" wrapText="1"/>
    </xf>
    <xf numFmtId="0" fontId="42" fillId="0" borderId="0">
      <alignment vertical="center"/>
    </xf>
    <xf numFmtId="0" fontId="0" fillId="0" borderId="0"/>
    <xf numFmtId="0" fontId="42" fillId="40" borderId="0" applyNumberFormat="0" applyBorder="0" applyAlignment="0" applyProtection="0">
      <alignment vertical="center"/>
    </xf>
    <xf numFmtId="0" fontId="44" fillId="7" borderId="10" applyNumberFormat="0" applyAlignment="0" applyProtection="0">
      <alignment vertical="center"/>
    </xf>
    <xf numFmtId="0" fontId="63" fillId="37" borderId="0" applyNumberFormat="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52" fillId="57" borderId="0" applyNumberFormat="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16" borderId="0" applyNumberFormat="0" applyBorder="0" applyAlignment="0" applyProtection="0">
      <alignment vertical="center"/>
    </xf>
    <xf numFmtId="0" fontId="46" fillId="0" borderId="0">
      <alignment vertical="top" wrapText="1"/>
    </xf>
    <xf numFmtId="0" fontId="43" fillId="6" borderId="9" applyNumberFormat="0" applyAlignment="0" applyProtection="0">
      <alignment vertical="center"/>
    </xf>
    <xf numFmtId="0" fontId="0" fillId="0" borderId="0" applyNumberFormat="0" applyFill="0" applyBorder="0" applyAlignment="0" applyProtection="0">
      <alignment vertical="center"/>
    </xf>
    <xf numFmtId="0" fontId="0" fillId="0" borderId="0" applyNumberFormat="0" applyFill="0" applyBorder="0" applyAlignment="0" applyProtection="0">
      <alignment vertical="center"/>
    </xf>
    <xf numFmtId="0" fontId="0" fillId="0" borderId="0" applyNumberFormat="0" applyFill="0" applyBorder="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84" fillId="0" borderId="24" applyNumberFormat="0" applyFill="0" applyAlignment="0" applyProtection="0">
      <alignment vertical="center"/>
    </xf>
    <xf numFmtId="0" fontId="42" fillId="34" borderId="0" applyNumberFormat="0" applyBorder="0" applyAlignment="0" applyProtection="0">
      <alignment vertical="center"/>
    </xf>
    <xf numFmtId="0" fontId="52" fillId="26" borderId="0" applyNumberFormat="0" applyBorder="0" applyAlignment="0" applyProtection="0">
      <alignment vertical="center"/>
    </xf>
    <xf numFmtId="0" fontId="51" fillId="0" borderId="0" applyNumberFormat="0" applyFill="0" applyBorder="0" applyAlignment="0" applyProtection="0">
      <alignment vertical="center"/>
    </xf>
    <xf numFmtId="0" fontId="41" fillId="0" borderId="7" applyNumberFormat="0" applyFill="0" applyAlignment="0" applyProtection="0">
      <alignment vertical="center"/>
    </xf>
    <xf numFmtId="0" fontId="42" fillId="6" borderId="0" applyNumberFormat="0" applyBorder="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72" fillId="0" borderId="0" applyNumberFormat="0" applyFill="0" applyBorder="0" applyAlignment="0" applyProtection="0">
      <alignment vertical="center"/>
    </xf>
    <xf numFmtId="0" fontId="84" fillId="0" borderId="24" applyNumberFormat="0" applyFill="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9" fontId="42" fillId="0" borderId="0" applyFont="0" applyFill="0" applyBorder="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2" fillId="12" borderId="0" applyNumberFormat="0" applyBorder="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0" borderId="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52" fillId="17" borderId="0" applyNumberFormat="0" applyBorder="0" applyAlignment="0" applyProtection="0">
      <alignment vertical="center"/>
    </xf>
    <xf numFmtId="0" fontId="0" fillId="0" borderId="0" applyNumberFormat="0" applyFill="0" applyBorder="0" applyAlignment="0" applyProtection="0">
      <alignment vertical="center"/>
    </xf>
    <xf numFmtId="0" fontId="41" fillId="0" borderId="7" applyNumberFormat="0" applyFill="0" applyAlignment="0" applyProtection="0">
      <alignment vertical="center"/>
    </xf>
    <xf numFmtId="0" fontId="81" fillId="0" borderId="0"/>
    <xf numFmtId="0" fontId="43" fillId="6"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0" borderId="0">
      <alignment vertical="center"/>
    </xf>
    <xf numFmtId="0" fontId="48" fillId="7" borderId="9" applyNumberFormat="0" applyAlignment="0" applyProtection="0">
      <alignment vertical="center"/>
    </xf>
    <xf numFmtId="0" fontId="46" fillId="0" borderId="0">
      <alignment vertical="top" wrapText="1"/>
    </xf>
    <xf numFmtId="0" fontId="46" fillId="0" borderId="0">
      <alignment vertical="top" wrapText="1"/>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0" fillId="0" borderId="0" applyNumberFormat="0" applyFill="0" applyBorder="0" applyAlignment="0" applyProtection="0">
      <alignment vertical="center"/>
    </xf>
    <xf numFmtId="0" fontId="42" fillId="5" borderId="8" applyNumberFormat="0" applyFont="0" applyAlignment="0" applyProtection="0">
      <alignment vertical="center"/>
    </xf>
    <xf numFmtId="0" fontId="51" fillId="0" borderId="0" applyNumberFormat="0" applyFill="0" applyBorder="0" applyAlignment="0" applyProtection="0">
      <alignment vertical="center"/>
    </xf>
    <xf numFmtId="0" fontId="0" fillId="0" borderId="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19" borderId="0" applyNumberFormat="0" applyBorder="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2" fillId="0" borderId="0">
      <alignment vertical="center"/>
    </xf>
    <xf numFmtId="0" fontId="48" fillId="7" borderId="9" applyNumberFormat="0" applyAlignment="0" applyProtection="0">
      <alignment vertical="center"/>
    </xf>
    <xf numFmtId="0" fontId="46" fillId="0" borderId="0">
      <alignment vertical="top" wrapText="1"/>
    </xf>
    <xf numFmtId="0" fontId="0" fillId="0" borderId="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51" fillId="0" borderId="0" applyNumberFormat="0" applyFill="0" applyBorder="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63" fillId="37" borderId="0" applyNumberFormat="0" applyBorder="0" applyAlignment="0" applyProtection="0">
      <alignment vertical="center"/>
    </xf>
    <xf numFmtId="0" fontId="0" fillId="0" borderId="0"/>
    <xf numFmtId="0" fontId="41" fillId="0" borderId="7" applyNumberFormat="0" applyFill="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2" fillId="19" borderId="0" applyNumberFormat="0" applyBorder="0" applyAlignment="0" applyProtection="0">
      <alignment vertical="center"/>
    </xf>
    <xf numFmtId="0" fontId="44" fillId="7" borderId="10" applyNumberFormat="0" applyAlignment="0" applyProtection="0">
      <alignment vertical="center"/>
    </xf>
    <xf numFmtId="0" fontId="63" fillId="37" borderId="0" applyNumberFormat="0" applyBorder="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3" fillId="6" borderId="9" applyNumberFormat="0" applyAlignment="0" applyProtection="0">
      <alignment vertical="center"/>
    </xf>
    <xf numFmtId="0" fontId="46" fillId="0" borderId="0">
      <alignment vertical="top" wrapText="1"/>
    </xf>
    <xf numFmtId="0" fontId="44" fillId="7" borderId="10"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2" fillId="12" borderId="0" applyNumberFormat="0" applyBorder="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6" fillId="0" borderId="0">
      <alignment vertical="top" wrapText="1"/>
    </xf>
    <xf numFmtId="0" fontId="63" fillId="37" borderId="0" applyNumberFormat="0" applyBorder="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52" fillId="32" borderId="0" applyNumberFormat="0" applyBorder="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8" fillId="7" borderId="9" applyNumberFormat="0" applyAlignment="0" applyProtection="0">
      <alignment vertical="center"/>
    </xf>
    <xf numFmtId="0" fontId="0" fillId="0" borderId="0"/>
    <xf numFmtId="0" fontId="46" fillId="0" borderId="0">
      <alignment vertical="top" wrapText="1"/>
    </xf>
    <xf numFmtId="0" fontId="46" fillId="0" borderId="0">
      <alignment vertical="top" wrapText="1"/>
    </xf>
    <xf numFmtId="0" fontId="43" fillId="6" borderId="9" applyNumberFormat="0" applyAlignment="0" applyProtection="0">
      <alignment vertical="center"/>
    </xf>
    <xf numFmtId="0" fontId="84" fillId="0" borderId="24" applyNumberFormat="0" applyFill="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2" fillId="0" borderId="0">
      <alignment vertical="center"/>
    </xf>
    <xf numFmtId="0" fontId="42" fillId="0" borderId="0">
      <alignment vertical="center"/>
    </xf>
    <xf numFmtId="0" fontId="44" fillId="7" borderId="10" applyNumberFormat="0" applyAlignment="0" applyProtection="0">
      <alignment vertical="center"/>
    </xf>
    <xf numFmtId="9" fontId="42" fillId="0" borderId="0" applyFont="0" applyFill="0" applyBorder="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0" fillId="0" borderId="0">
      <alignment vertical="center"/>
    </xf>
    <xf numFmtId="0" fontId="66" fillId="40" borderId="0" applyNumberFormat="0" applyBorder="0" applyAlignment="0" applyProtection="0">
      <alignment vertical="center"/>
    </xf>
    <xf numFmtId="9" fontId="42" fillId="0" borderId="0" applyFont="0" applyFill="0" applyBorder="0" applyAlignment="0" applyProtection="0">
      <alignment vertical="center"/>
    </xf>
    <xf numFmtId="0" fontId="51" fillId="0" borderId="0" applyNumberFormat="0" applyFill="0" applyBorder="0" applyAlignment="0" applyProtection="0">
      <alignment vertical="center"/>
    </xf>
    <xf numFmtId="0" fontId="46" fillId="0" borderId="0">
      <alignment vertical="top" wrapText="1"/>
    </xf>
    <xf numFmtId="0" fontId="46" fillId="0" borderId="0">
      <alignment vertical="top" wrapText="1"/>
    </xf>
    <xf numFmtId="0" fontId="42" fillId="5" borderId="8" applyNumberFormat="0" applyFont="0" applyAlignment="0" applyProtection="0">
      <alignment vertical="center"/>
    </xf>
    <xf numFmtId="0" fontId="42" fillId="0" borderId="0">
      <alignment vertical="center"/>
    </xf>
    <xf numFmtId="0" fontId="0" fillId="0" borderId="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66" fillId="40" borderId="0" applyNumberFormat="0" applyBorder="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6" fillId="0" borderId="0">
      <alignment vertical="top" wrapText="1"/>
    </xf>
    <xf numFmtId="0" fontId="48" fillId="7" borderId="9" applyNumberFormat="0" applyAlignment="0" applyProtection="0">
      <alignment vertical="center"/>
    </xf>
    <xf numFmtId="0" fontId="44" fillId="7" borderId="10" applyNumberFormat="0" applyAlignment="0" applyProtection="0">
      <alignment vertical="center"/>
    </xf>
    <xf numFmtId="0" fontId="42" fillId="0" borderId="0">
      <alignment vertical="center"/>
    </xf>
    <xf numFmtId="0" fontId="42" fillId="0" borderId="0">
      <alignment vertical="center"/>
    </xf>
    <xf numFmtId="0" fontId="77" fillId="0" borderId="22"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2" fillId="21" borderId="0" applyNumberFormat="0" applyBorder="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80" fillId="0" borderId="0" applyNumberFormat="0" applyFill="0" applyBorder="0" applyAlignment="0" applyProtection="0">
      <alignment vertical="center"/>
    </xf>
    <xf numFmtId="0" fontId="42" fillId="19" borderId="0" applyNumberFormat="0" applyBorder="0" applyAlignment="0" applyProtection="0">
      <alignment vertical="center"/>
    </xf>
    <xf numFmtId="0" fontId="51" fillId="0" borderId="0" applyNumberFormat="0" applyFill="0" applyBorder="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90" fillId="3" borderId="9" applyNumberFormat="0" applyAlignment="0" applyProtection="0">
      <alignment vertical="center"/>
    </xf>
    <xf numFmtId="0" fontId="77" fillId="0" borderId="22" applyNumberFormat="0" applyFill="0" applyAlignment="0" applyProtection="0">
      <alignment vertical="center"/>
    </xf>
    <xf numFmtId="0" fontId="48" fillId="7" borderId="9" applyNumberFormat="0" applyAlignment="0" applyProtection="0">
      <alignment vertical="center"/>
    </xf>
    <xf numFmtId="0" fontId="0" fillId="0" borderId="0"/>
    <xf numFmtId="0" fontId="44" fillId="7" borderId="10"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2" fillId="0" borderId="0">
      <alignment vertical="center"/>
    </xf>
    <xf numFmtId="0" fontId="43" fillId="6" borderId="9" applyNumberFormat="0" applyAlignment="0" applyProtection="0">
      <alignment vertical="center"/>
    </xf>
    <xf numFmtId="0" fontId="80" fillId="0" borderId="0" applyNumberFormat="0" applyFill="0" applyBorder="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6" fillId="0" borderId="0">
      <alignment vertical="top" wrapText="1"/>
    </xf>
    <xf numFmtId="0" fontId="43" fillId="6"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52" fillId="57" borderId="0" applyNumberFormat="0" applyBorder="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52" fillId="17" borderId="0" applyNumberFormat="0" applyBorder="0" applyAlignment="0" applyProtection="0">
      <alignment vertical="center"/>
    </xf>
    <xf numFmtId="0" fontId="48" fillId="7" borderId="9" applyNumberFormat="0" applyAlignment="0" applyProtection="0">
      <alignment vertical="center"/>
    </xf>
    <xf numFmtId="0" fontId="0" fillId="0" borderId="0" applyNumberFormat="0" applyFill="0" applyBorder="0" applyAlignment="0" applyProtection="0">
      <alignment vertical="center"/>
    </xf>
    <xf numFmtId="0" fontId="52" fillId="57" borderId="0" applyNumberFormat="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0" borderId="0">
      <alignment vertical="center"/>
    </xf>
    <xf numFmtId="0" fontId="43" fillId="6" borderId="9" applyNumberFormat="0" applyAlignment="0" applyProtection="0">
      <alignment vertical="center"/>
    </xf>
    <xf numFmtId="0" fontId="46" fillId="0" borderId="0">
      <alignment vertical="top" wrapText="1"/>
    </xf>
    <xf numFmtId="0" fontId="46" fillId="0" borderId="0">
      <alignment vertical="top" wrapText="1"/>
    </xf>
    <xf numFmtId="0" fontId="63" fillId="37" borderId="0" applyNumberFormat="0" applyBorder="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0" fillId="0" borderId="0"/>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2" fillId="20" borderId="0" applyNumberFormat="0" applyBorder="0" applyAlignment="0" applyProtection="0">
      <alignment vertical="center"/>
    </xf>
    <xf numFmtId="0" fontId="42" fillId="37" borderId="0" applyNumberFormat="0" applyBorder="0" applyAlignment="0" applyProtection="0">
      <alignment vertical="center"/>
    </xf>
    <xf numFmtId="0" fontId="42" fillId="20" borderId="0" applyNumberFormat="0" applyBorder="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0" fillId="0" borderId="0" applyNumberFormat="0" applyFill="0" applyBorder="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53" fillId="0" borderId="13" applyNumberFormat="0" applyFill="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7" fillId="0" borderId="0">
      <alignment vertical="center"/>
    </xf>
    <xf numFmtId="0" fontId="42" fillId="0" borderId="0">
      <alignment vertical="center"/>
    </xf>
    <xf numFmtId="0" fontId="48" fillId="7" borderId="9" applyNumberFormat="0" applyAlignment="0" applyProtection="0">
      <alignment vertical="center"/>
    </xf>
    <xf numFmtId="0" fontId="0" fillId="0" borderId="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0" fillId="0" borderId="0" applyNumberFormat="0" applyFill="0" applyBorder="0" applyAlignment="0" applyProtection="0">
      <alignment vertical="center"/>
    </xf>
    <xf numFmtId="0" fontId="48" fillId="7" borderId="9" applyNumberFormat="0" applyAlignment="0" applyProtection="0">
      <alignment vertical="center"/>
    </xf>
    <xf numFmtId="0" fontId="42" fillId="40" borderId="0" applyNumberFormat="0" applyBorder="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0" fillId="0" borderId="0"/>
    <xf numFmtId="0" fontId="42" fillId="5" borderId="8" applyNumberFormat="0" applyFont="0" applyAlignment="0" applyProtection="0">
      <alignment vertical="center"/>
    </xf>
    <xf numFmtId="0" fontId="42" fillId="0" borderId="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51" fillId="0" borderId="0" applyNumberFormat="0" applyFill="0" applyBorder="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0" fillId="0" borderId="0"/>
    <xf numFmtId="0" fontId="66" fillId="40" borderId="0" applyNumberFormat="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0" borderId="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80" fillId="0" borderId="0" applyNumberFormat="0" applyFill="0" applyBorder="0" applyAlignment="0" applyProtection="0">
      <alignment vertical="center"/>
    </xf>
    <xf numFmtId="0" fontId="42" fillId="0" borderId="0">
      <alignment vertical="center"/>
    </xf>
    <xf numFmtId="0" fontId="42" fillId="12" borderId="0" applyNumberFormat="0" applyBorder="0" applyAlignment="0" applyProtection="0">
      <alignment vertical="center"/>
    </xf>
    <xf numFmtId="0" fontId="41" fillId="0" borderId="7" applyNumberFormat="0" applyFill="0" applyAlignment="0" applyProtection="0">
      <alignment vertical="center"/>
    </xf>
    <xf numFmtId="0" fontId="42" fillId="17" borderId="0" applyNumberFormat="0" applyBorder="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0" fillId="0" borderId="0"/>
    <xf numFmtId="0" fontId="42" fillId="0" borderId="0">
      <alignment vertical="center"/>
    </xf>
    <xf numFmtId="0" fontId="48" fillId="7" borderId="9" applyNumberFormat="0" applyAlignment="0" applyProtection="0">
      <alignment vertical="center"/>
    </xf>
    <xf numFmtId="0" fontId="0" fillId="0" borderId="0"/>
    <xf numFmtId="0" fontId="51" fillId="0" borderId="0" applyNumberFormat="0" applyFill="0" applyBorder="0" applyAlignment="0" applyProtection="0">
      <alignment vertical="center"/>
    </xf>
    <xf numFmtId="0" fontId="42" fillId="19" borderId="0" applyNumberFormat="0" applyBorder="0" applyAlignment="0" applyProtection="0">
      <alignment vertical="center"/>
    </xf>
    <xf numFmtId="0" fontId="42" fillId="0" borderId="0">
      <alignment vertical="center"/>
    </xf>
    <xf numFmtId="0" fontId="42" fillId="0" borderId="0">
      <alignment vertical="center"/>
    </xf>
    <xf numFmtId="0" fontId="90" fillId="3" borderId="9"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53" fillId="0" borderId="0" applyNumberFormat="0" applyFill="0" applyBorder="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52" fillId="29" borderId="0" applyNumberFormat="0" applyBorder="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17" borderId="0" applyNumberFormat="0" applyBorder="0" applyAlignment="0" applyProtection="0">
      <alignment vertical="center"/>
    </xf>
    <xf numFmtId="0" fontId="42" fillId="5" borderId="8" applyNumberFormat="0" applyFont="0" applyAlignment="0" applyProtection="0">
      <alignment vertical="center"/>
    </xf>
    <xf numFmtId="0" fontId="79" fillId="40" borderId="0" applyNumberFormat="0" applyBorder="0" applyAlignment="0" applyProtection="0">
      <alignment vertical="center"/>
    </xf>
    <xf numFmtId="0" fontId="44" fillId="7" borderId="10" applyNumberFormat="0" applyAlignment="0" applyProtection="0">
      <alignment vertical="center"/>
    </xf>
    <xf numFmtId="0" fontId="0" fillId="0" borderId="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9" fontId="42" fillId="0" borderId="0" applyFont="0" applyFill="0" applyBorder="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51" fillId="0" borderId="0" applyNumberFormat="0" applyFill="0" applyBorder="0" applyAlignment="0" applyProtection="0">
      <alignment vertical="center"/>
    </xf>
    <xf numFmtId="0" fontId="44" fillId="7" borderId="10" applyNumberFormat="0" applyAlignment="0" applyProtection="0">
      <alignment vertical="center"/>
    </xf>
    <xf numFmtId="0" fontId="0" fillId="0" borderId="0" applyNumberFormat="0" applyFill="0" applyBorder="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2" fillId="34" borderId="0" applyNumberFormat="0" applyBorder="0" applyAlignment="0" applyProtection="0">
      <alignment vertical="center"/>
    </xf>
    <xf numFmtId="0" fontId="42" fillId="0" borderId="0">
      <alignment vertical="center"/>
    </xf>
    <xf numFmtId="0" fontId="66" fillId="40" borderId="0" applyNumberFormat="0" applyBorder="0" applyAlignment="0" applyProtection="0">
      <alignment vertical="center"/>
    </xf>
    <xf numFmtId="0" fontId="0" fillId="0" borderId="0"/>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51" fillId="0" borderId="0" applyNumberFormat="0" applyFill="0" applyBorder="0" applyAlignment="0" applyProtection="0">
      <alignment vertical="center"/>
    </xf>
    <xf numFmtId="0" fontId="42" fillId="5" borderId="8" applyNumberFormat="0" applyFont="0" applyAlignment="0" applyProtection="0">
      <alignment vertical="center"/>
    </xf>
    <xf numFmtId="0" fontId="60" fillId="0" borderId="15" applyNumberFormat="0" applyFill="0" applyAlignment="0" applyProtection="0">
      <alignment vertical="center"/>
    </xf>
    <xf numFmtId="0" fontId="42" fillId="5" borderId="8" applyNumberFormat="0" applyFont="0" applyAlignment="0" applyProtection="0">
      <alignment vertical="center"/>
    </xf>
    <xf numFmtId="0" fontId="42" fillId="6" borderId="0" applyNumberFormat="0" applyBorder="0" applyAlignment="0" applyProtection="0">
      <alignment vertical="center"/>
    </xf>
    <xf numFmtId="0" fontId="46" fillId="0" borderId="0">
      <alignment vertical="top" wrapText="1"/>
    </xf>
    <xf numFmtId="0" fontId="46" fillId="0" borderId="0">
      <alignment vertical="top" wrapText="1"/>
    </xf>
    <xf numFmtId="0" fontId="52" fillId="22" borderId="0" applyNumberFormat="0" applyBorder="0" applyAlignment="0" applyProtection="0">
      <alignment vertical="center"/>
    </xf>
    <xf numFmtId="0" fontId="48" fillId="7" borderId="9" applyNumberFormat="0" applyAlignment="0" applyProtection="0">
      <alignment vertical="center"/>
    </xf>
    <xf numFmtId="0" fontId="0" fillId="0" borderId="0">
      <alignment vertical="center"/>
    </xf>
    <xf numFmtId="0" fontId="43" fillId="6" borderId="9" applyNumberFormat="0" applyAlignment="0" applyProtection="0">
      <alignment vertical="center"/>
    </xf>
    <xf numFmtId="0" fontId="60" fillId="0" borderId="15" applyNumberFormat="0" applyFill="0" applyAlignment="0" applyProtection="0">
      <alignment vertical="center"/>
    </xf>
    <xf numFmtId="0" fontId="0" fillId="0" borderId="0"/>
    <xf numFmtId="0" fontId="43" fillId="6" borderId="9" applyNumberFormat="0" applyAlignment="0" applyProtection="0">
      <alignment vertical="center"/>
    </xf>
    <xf numFmtId="0" fontId="0" fillId="0" borderId="0"/>
    <xf numFmtId="0" fontId="42" fillId="0" borderId="0">
      <alignment vertical="center"/>
    </xf>
    <xf numFmtId="0" fontId="42" fillId="0" borderId="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4" fillId="7" borderId="10" applyNumberFormat="0" applyAlignment="0" applyProtection="0">
      <alignment vertical="center"/>
    </xf>
    <xf numFmtId="0" fontId="42" fillId="0" borderId="0">
      <alignment vertical="center"/>
    </xf>
    <xf numFmtId="0" fontId="43" fillId="6" borderId="9" applyNumberFormat="0" applyAlignment="0" applyProtection="0">
      <alignment vertical="center"/>
    </xf>
    <xf numFmtId="0" fontId="42" fillId="0" borderId="0">
      <alignment vertical="center"/>
    </xf>
    <xf numFmtId="0" fontId="42" fillId="0" borderId="0">
      <alignment vertical="center"/>
    </xf>
    <xf numFmtId="0" fontId="41" fillId="0" borderId="7" applyNumberFormat="0" applyFill="0" applyAlignment="0" applyProtection="0">
      <alignment vertical="center"/>
    </xf>
    <xf numFmtId="0" fontId="66" fillId="40" borderId="0" applyNumberFormat="0" applyBorder="0" applyAlignment="0" applyProtection="0">
      <alignment vertical="center"/>
    </xf>
    <xf numFmtId="0" fontId="46" fillId="0" borderId="0">
      <alignment vertical="top" wrapText="1"/>
    </xf>
    <xf numFmtId="0" fontId="41" fillId="0" borderId="7" applyNumberFormat="0" applyFill="0" applyAlignment="0" applyProtection="0">
      <alignment vertical="center"/>
    </xf>
    <xf numFmtId="0" fontId="44" fillId="7" borderId="10" applyNumberFormat="0" applyAlignment="0" applyProtection="0">
      <alignment vertical="center"/>
    </xf>
    <xf numFmtId="0" fontId="42" fillId="17" borderId="0" applyNumberFormat="0" applyBorder="0" applyAlignment="0" applyProtection="0">
      <alignment vertical="center"/>
    </xf>
    <xf numFmtId="0" fontId="0" fillId="0" borderId="0" applyNumberFormat="0" applyFill="0" applyBorder="0" applyAlignment="0" applyProtection="0">
      <alignment vertical="center"/>
    </xf>
    <xf numFmtId="0" fontId="43" fillId="6" borderId="9" applyNumberFormat="0" applyAlignment="0" applyProtection="0">
      <alignment vertical="center"/>
    </xf>
    <xf numFmtId="0" fontId="42" fillId="34" borderId="0" applyNumberFormat="0" applyBorder="0" applyAlignment="0" applyProtection="0">
      <alignment vertical="center"/>
    </xf>
    <xf numFmtId="0" fontId="42" fillId="5" borderId="8" applyNumberFormat="0" applyFont="0" applyAlignment="0" applyProtection="0">
      <alignment vertical="center"/>
    </xf>
    <xf numFmtId="9" fontId="47" fillId="0" borderId="0" applyFont="0" applyFill="0" applyBorder="0" applyAlignment="0" applyProtection="0">
      <alignment vertical="center"/>
    </xf>
    <xf numFmtId="0" fontId="44" fillId="7" borderId="10" applyNumberFormat="0" applyAlignment="0" applyProtection="0">
      <alignment vertical="center"/>
    </xf>
    <xf numFmtId="0" fontId="42" fillId="0" borderId="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52" fillId="29" borderId="0" applyNumberFormat="0" applyBorder="0" applyAlignment="0" applyProtection="0">
      <alignment vertical="center"/>
    </xf>
    <xf numFmtId="0" fontId="0" fillId="0" borderId="0"/>
    <xf numFmtId="0" fontId="44" fillId="7" borderId="10" applyNumberFormat="0" applyAlignment="0" applyProtection="0">
      <alignment vertical="center"/>
    </xf>
    <xf numFmtId="0" fontId="48" fillId="7" borderId="9" applyNumberFormat="0" applyAlignment="0" applyProtection="0">
      <alignment vertical="center"/>
    </xf>
    <xf numFmtId="0" fontId="42" fillId="34" borderId="0" applyNumberFormat="0" applyBorder="0" applyAlignment="0" applyProtection="0">
      <alignment vertical="center"/>
    </xf>
    <xf numFmtId="0" fontId="42" fillId="5" borderId="8" applyNumberFormat="0" applyFont="0" applyAlignment="0" applyProtection="0">
      <alignment vertical="center"/>
    </xf>
    <xf numFmtId="0" fontId="46" fillId="0" borderId="0">
      <alignment vertical="top" wrapText="1"/>
    </xf>
    <xf numFmtId="0" fontId="42" fillId="0" borderId="0">
      <alignment vertical="center"/>
    </xf>
    <xf numFmtId="0" fontId="66" fillId="40" borderId="0" applyNumberFormat="0" applyBorder="0" applyAlignment="0" applyProtection="0">
      <alignment vertical="center"/>
    </xf>
    <xf numFmtId="0" fontId="0" fillId="0" borderId="0"/>
    <xf numFmtId="0" fontId="44" fillId="7" borderId="10" applyNumberFormat="0" applyAlignment="0" applyProtection="0">
      <alignment vertical="center"/>
    </xf>
    <xf numFmtId="0" fontId="41" fillId="0" borderId="7" applyNumberFormat="0" applyFill="0" applyAlignment="0" applyProtection="0">
      <alignment vertical="center"/>
    </xf>
    <xf numFmtId="0" fontId="42" fillId="12" borderId="0" applyNumberFormat="0" applyBorder="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63" fillId="37" borderId="0" applyNumberFormat="0" applyBorder="0" applyAlignment="0" applyProtection="0">
      <alignment vertical="center"/>
    </xf>
    <xf numFmtId="0" fontId="48" fillId="7" borderId="9" applyNumberFormat="0" applyAlignment="0" applyProtection="0">
      <alignment vertical="center"/>
    </xf>
    <xf numFmtId="0" fontId="52" fillId="55" borderId="0" applyNumberFormat="0" applyBorder="0" applyAlignment="0" applyProtection="0">
      <alignment vertical="center"/>
    </xf>
    <xf numFmtId="0" fontId="51" fillId="0" borderId="0" applyNumberFormat="0" applyFill="0" applyBorder="0" applyAlignment="0" applyProtection="0">
      <alignment vertical="center"/>
    </xf>
    <xf numFmtId="0" fontId="41" fillId="0" borderId="7" applyNumberFormat="0" applyFill="0" applyAlignment="0" applyProtection="0">
      <alignment vertical="center"/>
    </xf>
    <xf numFmtId="0" fontId="46" fillId="0" borderId="0">
      <alignment vertical="top" wrapText="1"/>
    </xf>
    <xf numFmtId="0" fontId="44" fillId="7" borderId="10"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2" fillId="0" borderId="0">
      <alignment vertical="center"/>
    </xf>
    <xf numFmtId="0" fontId="44" fillId="7" borderId="10" applyNumberFormat="0" applyAlignment="0" applyProtection="0">
      <alignment vertical="center"/>
    </xf>
    <xf numFmtId="0" fontId="0" fillId="0" borderId="0">
      <alignment vertical="center"/>
    </xf>
    <xf numFmtId="0" fontId="44" fillId="7" borderId="10" applyNumberFormat="0" applyAlignment="0" applyProtection="0">
      <alignment vertical="center"/>
    </xf>
    <xf numFmtId="0" fontId="51" fillId="0" borderId="0" applyNumberFormat="0" applyFill="0" applyBorder="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52" fillId="34" borderId="0" applyNumberFormat="0" applyBorder="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63" fillId="37" borderId="0" applyNumberFormat="0" applyBorder="0" applyAlignment="0" applyProtection="0">
      <alignment vertical="center"/>
    </xf>
    <xf numFmtId="0" fontId="42" fillId="16" borderId="0" applyNumberFormat="0" applyBorder="0" applyAlignment="0" applyProtection="0">
      <alignment vertical="center"/>
    </xf>
    <xf numFmtId="0" fontId="44" fillId="7" borderId="10" applyNumberFormat="0" applyAlignment="0" applyProtection="0">
      <alignment vertical="center"/>
    </xf>
    <xf numFmtId="0" fontId="46" fillId="0" borderId="0">
      <alignment vertical="top" wrapText="1"/>
    </xf>
    <xf numFmtId="0" fontId="46" fillId="0" borderId="0">
      <alignment vertical="top" wrapText="1"/>
    </xf>
    <xf numFmtId="0" fontId="48" fillId="7" borderId="9" applyNumberFormat="0" applyAlignment="0" applyProtection="0">
      <alignment vertical="center"/>
    </xf>
    <xf numFmtId="0" fontId="63" fillId="37" borderId="0" applyNumberFormat="0" applyBorder="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0" fillId="0" borderId="0" applyNumberFormat="0" applyFill="0" applyBorder="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37" borderId="0" applyNumberFormat="0" applyBorder="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6" borderId="0" applyNumberFormat="0" applyBorder="0" applyAlignment="0" applyProtection="0">
      <alignment vertical="center"/>
    </xf>
    <xf numFmtId="0" fontId="63" fillId="37" borderId="0" applyNumberFormat="0" applyBorder="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66" fillId="40" borderId="0" applyNumberFormat="0" applyBorder="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52" fillId="16" borderId="0" applyNumberFormat="0" applyBorder="0" applyAlignment="0" applyProtection="0">
      <alignment vertical="center"/>
    </xf>
    <xf numFmtId="0" fontId="42" fillId="19" borderId="0" applyNumberFormat="0" applyBorder="0" applyAlignment="0" applyProtection="0">
      <alignment vertical="center"/>
    </xf>
    <xf numFmtId="0" fontId="42" fillId="0" borderId="0">
      <alignment vertical="center"/>
    </xf>
    <xf numFmtId="0" fontId="0" fillId="0" borderId="0">
      <alignment vertical="center"/>
    </xf>
    <xf numFmtId="0" fontId="56" fillId="0" borderId="0" applyNumberFormat="0" applyFill="0" applyBorder="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7" fillId="0" borderId="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6" fillId="0" borderId="0">
      <alignment vertical="top" wrapText="1"/>
    </xf>
    <xf numFmtId="0" fontId="43" fillId="6"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84" fillId="0" borderId="24" applyNumberFormat="0" applyFill="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6" borderId="0" applyNumberFormat="0" applyBorder="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80" fillId="0" borderId="0" applyNumberFormat="0" applyFill="0" applyBorder="0" applyAlignment="0" applyProtection="0">
      <alignment vertical="center"/>
    </xf>
    <xf numFmtId="0" fontId="42" fillId="12" borderId="0" applyNumberFormat="0" applyBorder="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0" fillId="0" borderId="0"/>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84" fillId="0" borderId="24" applyNumberFormat="0" applyFill="0" applyAlignment="0" applyProtection="0">
      <alignment vertical="center"/>
    </xf>
    <xf numFmtId="0" fontId="0" fillId="0" borderId="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52" fillId="26" borderId="0" applyNumberFormat="0" applyBorder="0" applyAlignment="0" applyProtection="0">
      <alignment vertical="center"/>
    </xf>
    <xf numFmtId="0" fontId="42" fillId="37" borderId="0" applyNumberFormat="0" applyBorder="0" applyAlignment="0" applyProtection="0">
      <alignment vertical="center"/>
    </xf>
    <xf numFmtId="0" fontId="44" fillId="7" borderId="10" applyNumberFormat="0" applyAlignment="0" applyProtection="0">
      <alignment vertical="center"/>
    </xf>
    <xf numFmtId="0" fontId="52" fillId="22" borderId="0" applyNumberFormat="0" applyBorder="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7" fillId="0" borderId="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81" fillId="0" borderId="0"/>
    <xf numFmtId="0" fontId="0" fillId="0" borderId="0" applyNumberFormat="0" applyFill="0" applyBorder="0" applyAlignment="0" applyProtection="0">
      <alignment vertical="center"/>
    </xf>
    <xf numFmtId="0" fontId="52" fillId="55" borderId="0" applyNumberFormat="0" applyBorder="0" applyAlignment="0" applyProtection="0">
      <alignment vertical="center"/>
    </xf>
    <xf numFmtId="0" fontId="46" fillId="0" borderId="0">
      <alignment vertical="top" wrapText="1"/>
    </xf>
    <xf numFmtId="0" fontId="43" fillId="6" borderId="9"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2" fillId="0" borderId="0">
      <alignment vertical="center"/>
    </xf>
    <xf numFmtId="0" fontId="42" fillId="0" borderId="0">
      <alignment vertical="center"/>
    </xf>
    <xf numFmtId="0" fontId="52" fillId="32" borderId="0" applyNumberFormat="0" applyBorder="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6" fillId="0" borderId="0">
      <alignment vertical="top" wrapText="1"/>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0" borderId="0">
      <alignment vertical="center"/>
    </xf>
    <xf numFmtId="0" fontId="0" fillId="0" borderId="0"/>
    <xf numFmtId="0" fontId="42" fillId="6" borderId="0" applyNumberFormat="0" applyBorder="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0" fillId="0" borderId="0">
      <alignment vertical="center"/>
    </xf>
    <xf numFmtId="0" fontId="65" fillId="39" borderId="0" applyNumberFormat="0" applyBorder="0" applyAlignment="0" applyProtection="0">
      <alignment vertical="center"/>
    </xf>
    <xf numFmtId="0" fontId="48" fillId="7" borderId="9" applyNumberFormat="0" applyAlignment="0" applyProtection="0">
      <alignment vertical="center"/>
    </xf>
    <xf numFmtId="0" fontId="46" fillId="0" borderId="0">
      <alignment vertical="top" wrapText="1"/>
    </xf>
    <xf numFmtId="0" fontId="46" fillId="0" borderId="0">
      <alignment vertical="top" wrapText="1"/>
    </xf>
    <xf numFmtId="0" fontId="43" fillId="6" borderId="9"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2" fillId="6" borderId="0" applyNumberFormat="0" applyBorder="0" applyAlignment="0" applyProtection="0">
      <alignment vertical="center"/>
    </xf>
    <xf numFmtId="0" fontId="0" fillId="0" borderId="0">
      <alignment vertical="center"/>
    </xf>
    <xf numFmtId="0" fontId="48" fillId="7" borderId="9" applyNumberFormat="0" applyAlignment="0" applyProtection="0">
      <alignment vertical="center"/>
    </xf>
    <xf numFmtId="0" fontId="42" fillId="0" borderId="0">
      <alignment vertical="center"/>
    </xf>
    <xf numFmtId="0" fontId="42" fillId="12" borderId="0" applyNumberFormat="0" applyBorder="0" applyAlignment="0" applyProtection="0">
      <alignment vertical="center"/>
    </xf>
    <xf numFmtId="0" fontId="42" fillId="0" borderId="0">
      <alignment vertical="center"/>
    </xf>
    <xf numFmtId="0" fontId="42" fillId="0" borderId="0">
      <alignment vertical="center"/>
    </xf>
    <xf numFmtId="0" fontId="44" fillId="7" borderId="10" applyNumberFormat="0" applyAlignment="0" applyProtection="0">
      <alignment vertical="center"/>
    </xf>
    <xf numFmtId="0" fontId="42" fillId="34" borderId="0" applyNumberFormat="0" applyBorder="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0" fillId="0" borderId="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53" fillId="0" borderId="0" applyNumberFormat="0" applyFill="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6" fillId="0" borderId="0">
      <alignment vertical="top" wrapText="1"/>
    </xf>
    <xf numFmtId="0" fontId="42" fillId="0" borderId="0">
      <alignment vertical="center"/>
    </xf>
    <xf numFmtId="0" fontId="63" fillId="37" borderId="0" applyNumberFormat="0" applyBorder="0" applyAlignment="0" applyProtection="0">
      <alignment vertical="center"/>
    </xf>
    <xf numFmtId="0" fontId="41" fillId="0" borderId="7" applyNumberFormat="0" applyFill="0" applyAlignment="0" applyProtection="0">
      <alignment vertical="center"/>
    </xf>
    <xf numFmtId="0" fontId="42" fillId="16" borderId="0" applyNumberFormat="0" applyBorder="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34" borderId="0" applyNumberFormat="0" applyBorder="0" applyAlignment="0" applyProtection="0">
      <alignment vertical="center"/>
    </xf>
    <xf numFmtId="0" fontId="46" fillId="0" borderId="0">
      <alignment vertical="top" wrapText="1"/>
    </xf>
    <xf numFmtId="0" fontId="44" fillId="7" borderId="10" applyNumberFormat="0" applyAlignment="0" applyProtection="0">
      <alignment vertical="center"/>
    </xf>
    <xf numFmtId="0" fontId="48" fillId="7" borderId="9" applyNumberFormat="0" applyAlignment="0" applyProtection="0">
      <alignment vertical="center"/>
    </xf>
    <xf numFmtId="0" fontId="52" fillId="17" borderId="0" applyNumberFormat="0" applyBorder="0" applyAlignment="0" applyProtection="0">
      <alignment vertical="center"/>
    </xf>
    <xf numFmtId="0" fontId="81" fillId="0" borderId="0"/>
    <xf numFmtId="0" fontId="0" fillId="0" borderId="0">
      <alignment vertical="center"/>
    </xf>
    <xf numFmtId="0" fontId="42" fillId="5" borderId="8" applyNumberFormat="0" applyFont="0" applyAlignment="0" applyProtection="0">
      <alignment vertical="center"/>
    </xf>
    <xf numFmtId="0" fontId="0" fillId="0" borderId="0"/>
    <xf numFmtId="0" fontId="42" fillId="5" borderId="8" applyNumberFormat="0" applyFont="0" applyAlignment="0" applyProtection="0">
      <alignment vertical="center"/>
    </xf>
    <xf numFmtId="0" fontId="0" fillId="0" borderId="0"/>
    <xf numFmtId="0" fontId="42" fillId="5" borderId="8" applyNumberFormat="0" applyFont="0" applyAlignment="0" applyProtection="0">
      <alignment vertical="center"/>
    </xf>
    <xf numFmtId="0" fontId="48" fillId="7" borderId="9" applyNumberFormat="0" applyAlignment="0" applyProtection="0">
      <alignment vertical="center"/>
    </xf>
    <xf numFmtId="0" fontId="84" fillId="0" borderId="24" applyNumberFormat="0" applyFill="0" applyAlignment="0" applyProtection="0">
      <alignment vertical="center"/>
    </xf>
    <xf numFmtId="0" fontId="46" fillId="0" borderId="0">
      <alignment vertical="top" wrapText="1"/>
    </xf>
    <xf numFmtId="0" fontId="41" fillId="0" borderId="7"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2" fillId="19" borderId="0" applyNumberFormat="0" applyBorder="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51" fillId="0" borderId="0" applyNumberFormat="0" applyFill="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66" fillId="40" borderId="0" applyNumberFormat="0" applyBorder="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8" fillId="7" borderId="9" applyNumberFormat="0" applyAlignment="0" applyProtection="0">
      <alignment vertical="center"/>
    </xf>
    <xf numFmtId="0" fontId="66" fillId="40" borderId="0" applyNumberFormat="0" applyBorder="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2" fillId="0" borderId="0">
      <alignment vertical="center"/>
    </xf>
    <xf numFmtId="0" fontId="44" fillId="7" borderId="10" applyNumberFormat="0" applyAlignment="0" applyProtection="0">
      <alignment vertical="center"/>
    </xf>
    <xf numFmtId="0" fontId="42" fillId="0" borderId="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52" fillId="29" borderId="0" applyNumberFormat="0" applyBorder="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2" fillId="0" borderId="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9" fontId="42" fillId="0" borderId="0" applyFont="0" applyFill="0" applyBorder="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6" fillId="0" borderId="0">
      <alignment vertical="top" wrapText="1"/>
    </xf>
    <xf numFmtId="0" fontId="46" fillId="0" borderId="0">
      <alignment vertical="top" wrapText="1"/>
    </xf>
    <xf numFmtId="0" fontId="44" fillId="7" borderId="10" applyNumberFormat="0" applyAlignment="0" applyProtection="0">
      <alignment vertical="center"/>
    </xf>
    <xf numFmtId="0" fontId="0" fillId="0" borderId="0">
      <alignment vertical="center"/>
    </xf>
    <xf numFmtId="0" fontId="77" fillId="0" borderId="22" applyNumberFormat="0" applyFill="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0" fillId="0" borderId="0" applyNumberFormat="0" applyFill="0" applyBorder="0" applyAlignment="0" applyProtection="0">
      <alignment vertical="center"/>
    </xf>
    <xf numFmtId="0" fontId="44" fillId="7" borderId="10" applyNumberFormat="0" applyAlignment="0" applyProtection="0">
      <alignment vertical="center"/>
    </xf>
    <xf numFmtId="0" fontId="51" fillId="0" borderId="0" applyNumberFormat="0" applyFill="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6" fillId="0" borderId="0">
      <alignment vertical="top" wrapText="1"/>
    </xf>
    <xf numFmtId="0" fontId="46" fillId="0" borderId="0">
      <alignment vertical="top" wrapText="1"/>
    </xf>
    <xf numFmtId="0" fontId="44" fillId="7" borderId="10"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0" fillId="0" borderId="0"/>
    <xf numFmtId="0" fontId="44" fillId="7" borderId="10"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51" fillId="0" borderId="0" applyNumberFormat="0" applyFill="0" applyBorder="0" applyAlignment="0" applyProtection="0">
      <alignment vertical="center"/>
    </xf>
    <xf numFmtId="0" fontId="46" fillId="0" borderId="0">
      <alignment vertical="top" wrapText="1"/>
    </xf>
    <xf numFmtId="0" fontId="0" fillId="0" borderId="0">
      <alignment vertical="center"/>
    </xf>
    <xf numFmtId="0" fontId="41" fillId="0" borderId="7" applyNumberFormat="0" applyFill="0" applyAlignment="0" applyProtection="0">
      <alignment vertical="center"/>
    </xf>
    <xf numFmtId="0" fontId="42" fillId="0" borderId="0">
      <alignment vertical="center"/>
    </xf>
    <xf numFmtId="0" fontId="48" fillId="7" borderId="9" applyNumberFormat="0" applyAlignment="0" applyProtection="0">
      <alignment vertical="center"/>
    </xf>
    <xf numFmtId="0" fontId="0" fillId="0" borderId="0">
      <alignment vertical="center"/>
    </xf>
    <xf numFmtId="0" fontId="44" fillId="7" borderId="10" applyNumberFormat="0" applyAlignment="0" applyProtection="0">
      <alignment vertical="center"/>
    </xf>
    <xf numFmtId="0" fontId="42" fillId="0" borderId="0">
      <alignment vertical="center"/>
    </xf>
    <xf numFmtId="0" fontId="42" fillId="0" borderId="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7" fillId="0" borderId="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6" fillId="0" borderId="0">
      <alignment vertical="top" wrapText="1"/>
    </xf>
    <xf numFmtId="0" fontId="42" fillId="16" borderId="0" applyNumberFormat="0" applyBorder="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12" borderId="0" applyNumberFormat="0" applyBorder="0" applyAlignment="0" applyProtection="0">
      <alignment vertical="center"/>
    </xf>
    <xf numFmtId="0" fontId="41" fillId="0" borderId="7" applyNumberFormat="0" applyFill="0" applyAlignment="0" applyProtection="0">
      <alignment vertical="center"/>
    </xf>
    <xf numFmtId="0" fontId="84" fillId="0" borderId="24" applyNumberFormat="0" applyFill="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0" fillId="0" borderId="0" applyProtection="0">
      <alignment vertical="center"/>
    </xf>
    <xf numFmtId="0" fontId="63" fillId="37" borderId="0" applyNumberFormat="0" applyBorder="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52" fillId="55" borderId="0" applyNumberFormat="0" applyBorder="0" applyAlignment="0" applyProtection="0">
      <alignment vertical="center"/>
    </xf>
    <xf numFmtId="0" fontId="41" fillId="0" borderId="7" applyNumberFormat="0" applyFill="0" applyAlignment="0" applyProtection="0">
      <alignment vertical="center"/>
    </xf>
    <xf numFmtId="0" fontId="42" fillId="12" borderId="0" applyNumberFormat="0" applyBorder="0" applyAlignment="0" applyProtection="0">
      <alignment vertical="center"/>
    </xf>
    <xf numFmtId="0" fontId="48" fillId="7" borderId="9" applyNumberFormat="0" applyAlignment="0" applyProtection="0">
      <alignment vertical="center"/>
    </xf>
    <xf numFmtId="0" fontId="52" fillId="32" borderId="0" applyNumberFormat="0" applyBorder="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0" fillId="0" borderId="0" applyNumberFormat="0" applyFill="0" applyBorder="0" applyAlignment="0" applyProtection="0">
      <alignment vertical="center"/>
    </xf>
    <xf numFmtId="0" fontId="48" fillId="7" borderId="9" applyNumberFormat="0" applyAlignment="0" applyProtection="0">
      <alignment vertical="center"/>
    </xf>
    <xf numFmtId="0" fontId="42" fillId="17" borderId="0" applyNumberFormat="0" applyBorder="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0" borderId="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0" borderId="0">
      <alignment vertical="center"/>
    </xf>
    <xf numFmtId="0" fontId="77" fillId="0" borderId="22" applyNumberFormat="0" applyFill="0" applyAlignment="0" applyProtection="0">
      <alignment vertical="center"/>
    </xf>
    <xf numFmtId="0" fontId="44" fillId="7" borderId="10" applyNumberFormat="0" applyAlignment="0" applyProtection="0">
      <alignment vertical="center"/>
    </xf>
    <xf numFmtId="0" fontId="60" fillId="0" borderId="15" applyNumberFormat="0" applyFill="0" applyAlignment="0" applyProtection="0">
      <alignment vertical="center"/>
    </xf>
    <xf numFmtId="0" fontId="43" fillId="6" borderId="9" applyNumberFormat="0" applyAlignment="0" applyProtection="0">
      <alignment vertical="center"/>
    </xf>
    <xf numFmtId="0" fontId="42" fillId="0" borderId="0">
      <alignment vertical="center"/>
    </xf>
    <xf numFmtId="0" fontId="42" fillId="0" borderId="0">
      <alignment vertical="center"/>
    </xf>
    <xf numFmtId="0" fontId="41" fillId="0" borderId="7" applyNumberFormat="0" applyFill="0" applyAlignment="0" applyProtection="0">
      <alignment vertical="center"/>
    </xf>
    <xf numFmtId="0" fontId="42" fillId="0" borderId="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6" fillId="0" borderId="0">
      <alignment vertical="top" wrapText="1"/>
    </xf>
    <xf numFmtId="0" fontId="42" fillId="0" borderId="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0" fillId="0" borderId="0"/>
    <xf numFmtId="0" fontId="42" fillId="5" borderId="8" applyNumberFormat="0" applyFont="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56" fillId="0" borderId="0" applyNumberFormat="0" applyFill="0" applyBorder="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52" fillId="34" borderId="0" applyNumberFormat="0" applyBorder="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0" borderId="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6" borderId="0" applyNumberFormat="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52" fillId="57" borderId="0" applyNumberFormat="0" applyBorder="0" applyAlignment="0" applyProtection="0">
      <alignment vertical="center"/>
    </xf>
    <xf numFmtId="0" fontId="0" fillId="0" borderId="0"/>
    <xf numFmtId="0" fontId="41" fillId="0" borderId="7" applyNumberFormat="0" applyFill="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52" fillId="57" borderId="0" applyNumberFormat="0" applyBorder="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81" fillId="0" borderId="0" applyProtection="0"/>
    <xf numFmtId="0" fontId="52" fillId="29" borderId="0" applyNumberFormat="0" applyBorder="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2" fillId="34" borderId="0" applyNumberFormat="0" applyBorder="0" applyAlignment="0" applyProtection="0">
      <alignment vertical="center"/>
    </xf>
    <xf numFmtId="0" fontId="42" fillId="0" borderId="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51" fillId="0" borderId="0" applyNumberFormat="0" applyFill="0" applyBorder="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51" fillId="0" borderId="0" applyNumberFormat="0" applyFill="0" applyBorder="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37" borderId="0" applyNumberFormat="0" applyBorder="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2" fillId="0" borderId="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2" fillId="0" borderId="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0" fillId="0" borderId="0"/>
    <xf numFmtId="0" fontId="48" fillId="7" borderId="9" applyNumberFormat="0" applyAlignment="0" applyProtection="0">
      <alignment vertical="center"/>
    </xf>
    <xf numFmtId="0" fontId="42" fillId="0" borderId="0">
      <alignment vertical="center"/>
    </xf>
    <xf numFmtId="0" fontId="42" fillId="12" borderId="0" applyNumberFormat="0" applyBorder="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6" fillId="0" borderId="0">
      <alignment vertical="top" wrapText="1"/>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2" fillId="0" borderId="0">
      <alignment vertical="center"/>
    </xf>
    <xf numFmtId="0" fontId="42" fillId="0" borderId="0">
      <alignment vertical="center"/>
    </xf>
    <xf numFmtId="0" fontId="48" fillId="7" borderId="9" applyNumberFormat="0" applyAlignment="0" applyProtection="0">
      <alignment vertical="center"/>
    </xf>
    <xf numFmtId="0" fontId="46" fillId="0" borderId="0">
      <alignment vertical="top" wrapText="1"/>
    </xf>
    <xf numFmtId="0" fontId="46" fillId="0" borderId="0">
      <alignment vertical="top" wrapText="1"/>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2" fillId="37" borderId="0" applyNumberFormat="0" applyBorder="0" applyAlignment="0" applyProtection="0">
      <alignment vertical="center"/>
    </xf>
    <xf numFmtId="0" fontId="42" fillId="0" borderId="0">
      <alignment vertical="center"/>
    </xf>
    <xf numFmtId="0" fontId="46" fillId="0" borderId="0">
      <alignment vertical="top" wrapText="1"/>
    </xf>
    <xf numFmtId="0" fontId="42" fillId="12" borderId="0" applyNumberFormat="0" applyBorder="0" applyAlignment="0" applyProtection="0">
      <alignment vertical="center"/>
    </xf>
    <xf numFmtId="0" fontId="41" fillId="0" borderId="7" applyNumberFormat="0" applyFill="0" applyAlignment="0" applyProtection="0">
      <alignment vertical="center"/>
    </xf>
    <xf numFmtId="0" fontId="42" fillId="16" borderId="0" applyNumberFormat="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0" fillId="0" borderId="0"/>
    <xf numFmtId="0" fontId="48" fillId="7" borderId="9" applyNumberFormat="0" applyAlignment="0" applyProtection="0">
      <alignment vertical="center"/>
    </xf>
    <xf numFmtId="0" fontId="42" fillId="0" borderId="0">
      <alignment vertical="center"/>
    </xf>
    <xf numFmtId="0" fontId="48" fillId="7" borderId="9" applyNumberFormat="0" applyAlignment="0" applyProtection="0">
      <alignment vertical="center"/>
    </xf>
    <xf numFmtId="0" fontId="52" fillId="29" borderId="0" applyNumberFormat="0" applyBorder="0" applyAlignment="0" applyProtection="0">
      <alignment vertical="center"/>
    </xf>
    <xf numFmtId="0" fontId="42" fillId="12" borderId="0" applyNumberFormat="0" applyBorder="0" applyAlignment="0" applyProtection="0">
      <alignment vertical="center"/>
    </xf>
    <xf numFmtId="0" fontId="42" fillId="0" borderId="0">
      <alignment vertical="center"/>
    </xf>
    <xf numFmtId="0" fontId="42" fillId="37" borderId="0" applyNumberFormat="0" applyBorder="0" applyAlignment="0" applyProtection="0">
      <alignment vertical="center"/>
    </xf>
    <xf numFmtId="0" fontId="51" fillId="0" borderId="0" applyNumberFormat="0" applyFill="0" applyBorder="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6" fillId="0" borderId="0">
      <alignment vertical="top" wrapText="1"/>
    </xf>
    <xf numFmtId="0" fontId="48" fillId="7" borderId="9" applyNumberFormat="0" applyAlignment="0" applyProtection="0">
      <alignment vertical="center"/>
    </xf>
    <xf numFmtId="0" fontId="63" fillId="37" borderId="0" applyNumberFormat="0" applyBorder="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51" fillId="0" borderId="0" applyNumberFormat="0" applyFill="0" applyBorder="0" applyAlignment="0" applyProtection="0">
      <alignment vertical="center"/>
    </xf>
    <xf numFmtId="0" fontId="41" fillId="0" borderId="7" applyNumberFormat="0" applyFill="0" applyAlignment="0" applyProtection="0">
      <alignment vertical="center"/>
    </xf>
    <xf numFmtId="0" fontId="65" fillId="39" borderId="0" applyNumberFormat="0" applyBorder="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0" fillId="0" borderId="0"/>
    <xf numFmtId="0" fontId="43" fillId="6"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56" fillId="0" borderId="0" applyNumberFormat="0" applyFill="0" applyBorder="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0" fillId="0" borderId="0"/>
    <xf numFmtId="0" fontId="51" fillId="0" borderId="0" applyNumberFormat="0" applyFill="0" applyBorder="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2" fillId="34" borderId="0" applyNumberFormat="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0" fillId="0" borderId="0" applyNumberFormat="0" applyFill="0" applyBorder="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2" fillId="12" borderId="0" applyNumberFormat="0" applyBorder="0" applyAlignment="0" applyProtection="0">
      <alignment vertical="center"/>
    </xf>
    <xf numFmtId="0" fontId="48" fillId="7" borderId="9" applyNumberFormat="0" applyAlignment="0" applyProtection="0">
      <alignment vertical="center"/>
    </xf>
    <xf numFmtId="0" fontId="46" fillId="0" borderId="0">
      <alignment vertical="top" wrapText="1"/>
    </xf>
    <xf numFmtId="0" fontId="48" fillId="7" borderId="9" applyNumberFormat="0" applyAlignment="0" applyProtection="0">
      <alignment vertical="center"/>
    </xf>
    <xf numFmtId="0" fontId="43" fillId="6" borderId="9" applyNumberFormat="0" applyAlignment="0" applyProtection="0">
      <alignment vertical="center"/>
    </xf>
    <xf numFmtId="0" fontId="42" fillId="0" borderId="0">
      <alignment vertical="center"/>
    </xf>
    <xf numFmtId="0" fontId="52" fillId="56" borderId="0" applyNumberFormat="0" applyBorder="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52" fillId="17" borderId="0" applyNumberFormat="0" applyBorder="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0" fillId="0" borderId="0" applyNumberFormat="0" applyFill="0" applyBorder="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51" fillId="0" borderId="0" applyNumberFormat="0" applyFill="0" applyBorder="0" applyAlignment="0" applyProtection="0">
      <alignment vertical="center"/>
    </xf>
    <xf numFmtId="0" fontId="42" fillId="0" borderId="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6" fillId="0" borderId="0">
      <alignment vertical="top" wrapText="1"/>
    </xf>
    <xf numFmtId="0" fontId="41" fillId="0" borderId="7" applyNumberFormat="0" applyFill="0" applyAlignment="0" applyProtection="0">
      <alignment vertical="center"/>
    </xf>
    <xf numFmtId="0" fontId="42" fillId="0" borderId="0">
      <alignment vertical="center"/>
    </xf>
    <xf numFmtId="0" fontId="48" fillId="7" borderId="9"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2" fillId="0" borderId="0">
      <alignment vertical="center"/>
    </xf>
    <xf numFmtId="0" fontId="46" fillId="0" borderId="0">
      <alignment vertical="top" wrapText="1"/>
    </xf>
    <xf numFmtId="0" fontId="52" fillId="17" borderId="0" applyNumberFormat="0" applyBorder="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6" borderId="0" applyNumberFormat="0" applyBorder="0" applyAlignment="0" applyProtection="0">
      <alignment vertical="center"/>
    </xf>
    <xf numFmtId="0" fontId="43" fillId="6" borderId="9" applyNumberFormat="0" applyAlignment="0" applyProtection="0">
      <alignment vertical="center"/>
    </xf>
    <xf numFmtId="0" fontId="42" fillId="0" borderId="0">
      <alignment vertical="center"/>
    </xf>
    <xf numFmtId="0" fontId="0" fillId="0" borderId="0" applyNumberFormat="0" applyFill="0" applyBorder="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52" fillId="29" borderId="0" applyNumberFormat="0" applyBorder="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3" fillId="6" borderId="9" applyNumberFormat="0" applyAlignment="0" applyProtection="0">
      <alignment vertical="center"/>
    </xf>
    <xf numFmtId="0" fontId="42" fillId="0" borderId="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0" fillId="0" borderId="0" applyNumberFormat="0" applyFill="0" applyBorder="0" applyAlignment="0" applyProtection="0">
      <alignment vertical="center"/>
    </xf>
    <xf numFmtId="0" fontId="42" fillId="0" borderId="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2" fillId="34" borderId="0" applyNumberFormat="0" applyBorder="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2" fillId="0" borderId="0">
      <alignment vertical="center"/>
    </xf>
    <xf numFmtId="0" fontId="42" fillId="0" borderId="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51" fillId="0" borderId="0" applyNumberFormat="0" applyFill="0" applyBorder="0" applyAlignment="0" applyProtection="0">
      <alignment vertical="center"/>
    </xf>
    <xf numFmtId="0" fontId="46" fillId="0" borderId="0">
      <alignment vertical="top" wrapText="1"/>
    </xf>
    <xf numFmtId="0" fontId="46" fillId="0" borderId="0">
      <alignment vertical="top" wrapText="1"/>
    </xf>
    <xf numFmtId="0" fontId="44" fillId="7" borderId="10" applyNumberFormat="0" applyAlignment="0" applyProtection="0">
      <alignment vertical="center"/>
    </xf>
    <xf numFmtId="0" fontId="42" fillId="16" borderId="0" applyNumberFormat="0" applyBorder="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72" fillId="0" borderId="0" applyNumberFormat="0" applyFill="0" applyBorder="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17" borderId="0" applyNumberFormat="0" applyBorder="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16" borderId="0" applyNumberFormat="0" applyBorder="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0" fillId="0" borderId="0"/>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6" fillId="0" borderId="0">
      <alignment vertical="top" wrapText="1"/>
    </xf>
    <xf numFmtId="0" fontId="46" fillId="0" borderId="0">
      <alignment vertical="top" wrapText="1"/>
    </xf>
    <xf numFmtId="0" fontId="0" fillId="0" borderId="0" applyNumberFormat="0" applyFill="0" applyBorder="0" applyAlignment="0" applyProtection="0">
      <alignment vertical="center"/>
    </xf>
    <xf numFmtId="0" fontId="42" fillId="5" borderId="8" applyNumberFormat="0" applyFont="0" applyAlignment="0" applyProtection="0">
      <alignment vertical="center"/>
    </xf>
    <xf numFmtId="0" fontId="52" fillId="32" borderId="0" applyNumberFormat="0" applyBorder="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77" fillId="0" borderId="28" applyNumberFormat="0" applyFill="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6" fillId="0" borderId="0">
      <alignment vertical="top" wrapText="1"/>
    </xf>
    <xf numFmtId="0" fontId="48" fillId="7" borderId="9" applyNumberFormat="0" applyAlignment="0" applyProtection="0">
      <alignment vertical="center"/>
    </xf>
    <xf numFmtId="0" fontId="48" fillId="7" borderId="9" applyNumberFormat="0" applyAlignment="0" applyProtection="0">
      <alignment vertical="center"/>
    </xf>
    <xf numFmtId="0" fontId="0" fillId="0" borderId="0">
      <alignment vertical="center"/>
    </xf>
    <xf numFmtId="0" fontId="44" fillId="7" borderId="10" applyNumberFormat="0" applyAlignment="0" applyProtection="0">
      <alignment vertical="center"/>
    </xf>
    <xf numFmtId="0" fontId="0" fillId="0" borderId="0" applyNumberFormat="0" applyFill="0" applyBorder="0" applyAlignment="0" applyProtection="0">
      <alignment vertical="center"/>
    </xf>
    <xf numFmtId="0" fontId="0" fillId="0" borderId="0" applyNumberFormat="0" applyFill="0" applyBorder="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6" fillId="0" borderId="0">
      <alignment vertical="top" wrapText="1"/>
    </xf>
    <xf numFmtId="0" fontId="46" fillId="0" borderId="0">
      <alignment vertical="top" wrapText="1"/>
    </xf>
    <xf numFmtId="0" fontId="43" fillId="6" borderId="9" applyNumberFormat="0" applyAlignment="0" applyProtection="0">
      <alignment vertical="center"/>
    </xf>
    <xf numFmtId="0" fontId="91" fillId="0" borderId="25" applyNumberFormat="0" applyFill="0" applyAlignment="0" applyProtection="0">
      <alignment vertical="center"/>
    </xf>
    <xf numFmtId="0" fontId="48" fillId="7" borderId="9" applyNumberFormat="0" applyAlignment="0" applyProtection="0">
      <alignment vertical="center"/>
    </xf>
    <xf numFmtId="0" fontId="46" fillId="0" borderId="0">
      <alignment vertical="top" wrapText="1"/>
    </xf>
    <xf numFmtId="0" fontId="48" fillId="7" borderId="9"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0" borderId="0">
      <alignment vertical="center"/>
    </xf>
    <xf numFmtId="0" fontId="0" fillId="0" borderId="0"/>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63" fillId="37" borderId="0" applyNumberFormat="0" applyBorder="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52" fillId="29" borderId="0" applyNumberFormat="0" applyBorder="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0" fillId="0" borderId="0"/>
    <xf numFmtId="0" fontId="43" fillId="6"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6" borderId="0" applyNumberFormat="0" applyBorder="0" applyAlignment="0" applyProtection="0">
      <alignment vertical="center"/>
    </xf>
    <xf numFmtId="0" fontId="52" fillId="57" borderId="0" applyNumberFormat="0" applyBorder="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52" fillId="55" borderId="0" applyNumberFormat="0" applyBorder="0" applyAlignment="0" applyProtection="0">
      <alignment vertical="center"/>
    </xf>
    <xf numFmtId="0" fontId="51" fillId="0" borderId="0" applyNumberFormat="0" applyFill="0" applyBorder="0" applyAlignment="0" applyProtection="0">
      <alignment vertical="center"/>
    </xf>
    <xf numFmtId="0" fontId="52" fillId="29" borderId="0" applyNumberFormat="0" applyBorder="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2" fillId="19" borderId="0" applyNumberFormat="0" applyBorder="0" applyAlignment="0" applyProtection="0">
      <alignment vertical="center"/>
    </xf>
    <xf numFmtId="0" fontId="42" fillId="16" borderId="0" applyNumberFormat="0" applyBorder="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6" fillId="0" borderId="0">
      <alignment vertical="top" wrapText="1"/>
    </xf>
    <xf numFmtId="0" fontId="48" fillId="7" borderId="9" applyNumberFormat="0" applyAlignment="0" applyProtection="0">
      <alignment vertical="center"/>
    </xf>
    <xf numFmtId="0" fontId="52" fillId="34" borderId="0" applyNumberFormat="0" applyBorder="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81" fillId="0" borderId="0"/>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8" fillId="7" borderId="9" applyNumberFormat="0" applyAlignment="0" applyProtection="0">
      <alignment vertical="center"/>
    </xf>
    <xf numFmtId="0" fontId="42" fillId="12" borderId="0" applyNumberFormat="0" applyBorder="0" applyAlignment="0" applyProtection="0">
      <alignment vertical="center"/>
    </xf>
    <xf numFmtId="0" fontId="0" fillId="0" borderId="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53" fillId="0" borderId="13"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52" fillId="60" borderId="0" applyNumberFormat="0" applyBorder="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0" fillId="0" borderId="0"/>
    <xf numFmtId="0" fontId="41" fillId="0" borderId="7"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56" fillId="0" borderId="0" applyNumberFormat="0" applyFill="0" applyBorder="0" applyAlignment="0" applyProtection="0">
      <alignment vertical="center"/>
    </xf>
    <xf numFmtId="0" fontId="41" fillId="0" borderId="7" applyNumberFormat="0" applyFill="0" applyAlignment="0" applyProtection="0">
      <alignment vertical="center"/>
    </xf>
    <xf numFmtId="0" fontId="66" fillId="40" borderId="0" applyNumberFormat="0" applyBorder="0" applyAlignment="0" applyProtection="0">
      <alignment vertical="center"/>
    </xf>
    <xf numFmtId="0" fontId="42" fillId="5" borderId="8" applyNumberFormat="0" applyFont="0" applyAlignment="0" applyProtection="0">
      <alignment vertical="center"/>
    </xf>
    <xf numFmtId="0" fontId="0" fillId="0" borderId="0"/>
    <xf numFmtId="0" fontId="44" fillId="7" borderId="10" applyNumberFormat="0" applyAlignment="0" applyProtection="0">
      <alignment vertical="center"/>
    </xf>
    <xf numFmtId="0" fontId="44" fillId="7" borderId="10" applyNumberFormat="0" applyAlignment="0" applyProtection="0">
      <alignment vertical="center"/>
    </xf>
    <xf numFmtId="0" fontId="0" fillId="0" borderId="0" applyNumberFormat="0" applyFill="0" applyBorder="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0" fillId="0" borderId="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2" fillId="0" borderId="0">
      <alignment vertical="center"/>
    </xf>
    <xf numFmtId="0" fontId="52" fillId="22" borderId="0" applyNumberFormat="0" applyBorder="0" applyAlignment="0" applyProtection="0">
      <alignment vertical="center"/>
    </xf>
    <xf numFmtId="0" fontId="52" fillId="29" borderId="0" applyNumberFormat="0" applyBorder="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0" borderId="0">
      <alignment vertical="center"/>
    </xf>
    <xf numFmtId="0" fontId="43" fillId="6" borderId="9" applyNumberFormat="0" applyAlignment="0" applyProtection="0">
      <alignment vertical="center"/>
    </xf>
    <xf numFmtId="0" fontId="42" fillId="16" borderId="0" applyNumberFormat="0" applyBorder="0" applyAlignment="0" applyProtection="0">
      <alignment vertical="center"/>
    </xf>
    <xf numFmtId="0" fontId="48" fillId="7" borderId="9" applyNumberFormat="0" applyAlignment="0" applyProtection="0">
      <alignment vertical="center"/>
    </xf>
    <xf numFmtId="0" fontId="42" fillId="12" borderId="0" applyNumberFormat="0" applyBorder="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6" fillId="0" borderId="0">
      <alignment vertical="top" wrapText="1"/>
    </xf>
    <xf numFmtId="0" fontId="41" fillId="0" borderId="7"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66" fillId="40" borderId="0" applyNumberFormat="0" applyBorder="0" applyAlignment="0" applyProtection="0">
      <alignment vertical="center"/>
    </xf>
    <xf numFmtId="0" fontId="42" fillId="0" borderId="0">
      <alignment vertical="center"/>
    </xf>
    <xf numFmtId="0" fontId="48" fillId="7" borderId="9" applyNumberFormat="0" applyAlignment="0" applyProtection="0">
      <alignment vertical="center"/>
    </xf>
    <xf numFmtId="0" fontId="42" fillId="0" borderId="0">
      <alignment vertical="center"/>
    </xf>
    <xf numFmtId="0" fontId="43" fillId="6" borderId="9" applyNumberFormat="0" applyAlignment="0" applyProtection="0">
      <alignment vertical="center"/>
    </xf>
    <xf numFmtId="0" fontId="46" fillId="0" borderId="0">
      <alignment vertical="top" wrapText="1"/>
    </xf>
    <xf numFmtId="0" fontId="44" fillId="7" borderId="10"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0" fillId="0" borderId="0"/>
    <xf numFmtId="0" fontId="44" fillId="7" borderId="10" applyNumberFormat="0" applyAlignment="0" applyProtection="0">
      <alignment vertical="center"/>
    </xf>
    <xf numFmtId="0" fontId="42" fillId="0" borderId="0">
      <alignment vertical="center"/>
    </xf>
    <xf numFmtId="0" fontId="0" fillId="0" borderId="0"/>
    <xf numFmtId="0" fontId="42" fillId="12" borderId="0" applyNumberFormat="0" applyBorder="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53" fillId="0" borderId="0" applyNumberFormat="0" applyFill="0" applyBorder="0" applyAlignment="0" applyProtection="0">
      <alignment vertical="center"/>
    </xf>
    <xf numFmtId="0" fontId="47" fillId="0" borderId="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7" fillId="0" borderId="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2" fillId="0" borderId="0">
      <alignment vertical="center"/>
    </xf>
    <xf numFmtId="0" fontId="42" fillId="40" borderId="0" applyNumberFormat="0" applyBorder="0" applyAlignment="0" applyProtection="0">
      <alignment vertical="center"/>
    </xf>
    <xf numFmtId="0" fontId="42" fillId="5" borderId="8" applyNumberFormat="0" applyFont="0" applyAlignment="0" applyProtection="0">
      <alignment vertical="center"/>
    </xf>
    <xf numFmtId="0" fontId="42" fillId="20" borderId="0" applyNumberFormat="0" applyBorder="0" applyAlignment="0" applyProtection="0">
      <alignment vertical="center"/>
    </xf>
    <xf numFmtId="0" fontId="42" fillId="5" borderId="8" applyNumberFormat="0" applyFont="0" applyAlignment="0" applyProtection="0">
      <alignment vertical="center"/>
    </xf>
    <xf numFmtId="0" fontId="77" fillId="0" borderId="22"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6" fillId="0" borderId="0">
      <alignment vertical="top" wrapText="1"/>
    </xf>
    <xf numFmtId="0" fontId="56"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0" fillId="0" borderId="0"/>
    <xf numFmtId="0" fontId="51" fillId="0" borderId="0" applyNumberFormat="0" applyFill="0" applyBorder="0" applyAlignment="0" applyProtection="0">
      <alignment vertical="center"/>
    </xf>
    <xf numFmtId="0" fontId="42" fillId="6" borderId="0" applyNumberFormat="0" applyBorder="0" applyAlignment="0" applyProtection="0">
      <alignment vertical="center"/>
    </xf>
    <xf numFmtId="0" fontId="44" fillId="7" borderId="10" applyNumberFormat="0" applyAlignment="0" applyProtection="0">
      <alignment vertical="center"/>
    </xf>
    <xf numFmtId="0" fontId="52" fillId="22" borderId="0" applyNumberFormat="0" applyBorder="0" applyAlignment="0" applyProtection="0">
      <alignment vertical="center"/>
    </xf>
    <xf numFmtId="0" fontId="52" fillId="55" borderId="0" applyNumberFormat="0" applyBorder="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52" fillId="17" borderId="0" applyNumberFormat="0" applyBorder="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52" fillId="32" borderId="0" applyNumberFormat="0" applyBorder="0" applyAlignment="0" applyProtection="0">
      <alignment vertical="center"/>
    </xf>
    <xf numFmtId="0" fontId="63" fillId="37" borderId="0" applyNumberFormat="0" applyBorder="0" applyAlignment="0" applyProtection="0">
      <alignment vertical="center"/>
    </xf>
    <xf numFmtId="0" fontId="41" fillId="0" borderId="7" applyNumberFormat="0" applyFill="0" applyAlignment="0" applyProtection="0">
      <alignment vertical="center"/>
    </xf>
    <xf numFmtId="0" fontId="0" fillId="0" borderId="0" applyProtection="0">
      <alignment vertical="center"/>
    </xf>
    <xf numFmtId="0" fontId="42" fillId="0" borderId="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2" fillId="17" borderId="0" applyNumberFormat="0" applyBorder="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2" fillId="0" borderId="0">
      <alignment vertical="center"/>
    </xf>
    <xf numFmtId="0" fontId="42" fillId="0" borderId="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51" fillId="0" borderId="0" applyNumberFormat="0" applyFill="0" applyBorder="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53" fillId="0" borderId="13" applyNumberFormat="0" applyFill="0" applyAlignment="0" applyProtection="0">
      <alignment vertical="center"/>
    </xf>
    <xf numFmtId="0" fontId="42" fillId="0" borderId="0">
      <alignment vertical="center"/>
    </xf>
    <xf numFmtId="0" fontId="42" fillId="0" borderId="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52" fillId="26" borderId="0" applyNumberFormat="0" applyBorder="0" applyAlignment="0" applyProtection="0">
      <alignment vertical="center"/>
    </xf>
    <xf numFmtId="0" fontId="48" fillId="7" borderId="9" applyNumberFormat="0" applyAlignment="0" applyProtection="0">
      <alignment vertical="center"/>
    </xf>
    <xf numFmtId="0" fontId="42" fillId="0" borderId="0">
      <alignment vertical="center"/>
    </xf>
    <xf numFmtId="0" fontId="42" fillId="0" borderId="0">
      <alignment vertical="center"/>
    </xf>
    <xf numFmtId="0" fontId="42" fillId="16" borderId="0" applyNumberFormat="0" applyBorder="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6" fillId="0" borderId="0">
      <alignment vertical="top" wrapText="1"/>
    </xf>
    <xf numFmtId="0" fontId="46" fillId="0" borderId="0">
      <alignment vertical="top" wrapText="1"/>
    </xf>
    <xf numFmtId="0" fontId="44" fillId="7" borderId="10" applyNumberFormat="0" applyAlignment="0" applyProtection="0">
      <alignment vertical="center"/>
    </xf>
    <xf numFmtId="0" fontId="44" fillId="7" borderId="10" applyNumberFormat="0" applyAlignment="0" applyProtection="0">
      <alignment vertical="center"/>
    </xf>
    <xf numFmtId="0" fontId="78" fillId="54" borderId="23" applyNumberFormat="0" applyAlignment="0" applyProtection="0">
      <alignment vertical="center"/>
    </xf>
    <xf numFmtId="0" fontId="42" fillId="0" borderId="0">
      <alignment vertical="center"/>
    </xf>
    <xf numFmtId="0" fontId="42" fillId="12" borderId="0" applyNumberFormat="0" applyBorder="0" applyAlignment="0" applyProtection="0">
      <alignment vertical="center"/>
    </xf>
    <xf numFmtId="0" fontId="42" fillId="17" borderId="0" applyNumberFormat="0" applyBorder="0" applyAlignment="0" applyProtection="0">
      <alignment vertical="center"/>
    </xf>
    <xf numFmtId="0" fontId="41" fillId="0" borderId="7" applyNumberFormat="0" applyFill="0" applyAlignment="0" applyProtection="0">
      <alignment vertical="center"/>
    </xf>
    <xf numFmtId="0" fontId="46" fillId="0" borderId="0">
      <alignment vertical="top" wrapText="1"/>
    </xf>
    <xf numFmtId="0" fontId="66" fillId="40" borderId="0" applyNumberFormat="0" applyBorder="0" applyAlignment="0" applyProtection="0">
      <alignment vertical="center"/>
    </xf>
    <xf numFmtId="0" fontId="42" fillId="5" borderId="8" applyNumberFormat="0" applyFont="0" applyAlignment="0" applyProtection="0">
      <alignment vertical="center"/>
    </xf>
    <xf numFmtId="0" fontId="0" fillId="0" borderId="0">
      <alignment vertical="center"/>
    </xf>
    <xf numFmtId="9" fontId="42" fillId="0" borderId="0" applyFont="0" applyFill="0" applyBorder="0" applyAlignment="0" applyProtection="0">
      <alignment vertical="center"/>
    </xf>
    <xf numFmtId="0" fontId="52" fillId="34" borderId="0" applyNumberFormat="0" applyBorder="0" applyAlignment="0" applyProtection="0">
      <alignment vertical="center"/>
    </xf>
    <xf numFmtId="0" fontId="48" fillId="7" borderId="9" applyNumberFormat="0" applyAlignment="0" applyProtection="0">
      <alignment vertical="center"/>
    </xf>
    <xf numFmtId="0" fontId="77" fillId="0" borderId="22" applyNumberFormat="0" applyFill="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66" fillId="40" borderId="0" applyNumberFormat="0" applyBorder="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2" fillId="12" borderId="0" applyNumberFormat="0" applyBorder="0" applyAlignment="0" applyProtection="0">
      <alignment vertical="center"/>
    </xf>
    <xf numFmtId="0" fontId="84" fillId="0" borderId="24" applyNumberFormat="0" applyFill="0" applyAlignment="0" applyProtection="0">
      <alignment vertical="center"/>
    </xf>
    <xf numFmtId="0" fontId="42" fillId="5" borderId="8" applyNumberFormat="0" applyFont="0" applyAlignment="0" applyProtection="0">
      <alignment vertical="center"/>
    </xf>
    <xf numFmtId="0" fontId="80" fillId="0" borderId="0" applyNumberFormat="0" applyFill="0" applyBorder="0" applyAlignment="0" applyProtection="0">
      <alignment vertical="center"/>
    </xf>
    <xf numFmtId="0" fontId="46" fillId="0" borderId="0">
      <alignment vertical="top" wrapText="1"/>
    </xf>
    <xf numFmtId="0" fontId="0" fillId="0" borderId="0"/>
    <xf numFmtId="0" fontId="42" fillId="20" borderId="0" applyNumberFormat="0" applyBorder="0" applyAlignment="0" applyProtection="0">
      <alignment vertical="center"/>
    </xf>
    <xf numFmtId="0" fontId="48" fillId="7" borderId="9" applyNumberFormat="0" applyAlignment="0" applyProtection="0">
      <alignment vertical="center"/>
    </xf>
    <xf numFmtId="0" fontId="46" fillId="0" borderId="0">
      <alignment vertical="top" wrapText="1"/>
    </xf>
    <xf numFmtId="0" fontId="48" fillId="7"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2" fillId="12" borderId="0" applyNumberFormat="0" applyBorder="0" applyAlignment="0" applyProtection="0">
      <alignment vertical="center"/>
    </xf>
    <xf numFmtId="0" fontId="52" fillId="32" borderId="0" applyNumberFormat="0" applyBorder="0" applyAlignment="0" applyProtection="0">
      <alignment vertical="center"/>
    </xf>
    <xf numFmtId="0" fontId="42" fillId="0" borderId="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56" fillId="0" borderId="0" applyNumberFormat="0" applyFill="0" applyBorder="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52" fillId="29" borderId="0" applyNumberFormat="0" applyBorder="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52" fillId="57" borderId="0" applyNumberFormat="0" applyBorder="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0" fillId="0" borderId="0" applyNumberFormat="0" applyFill="0" applyBorder="0" applyAlignment="0" applyProtection="0">
      <alignment vertical="center"/>
    </xf>
    <xf numFmtId="0" fontId="0" fillId="0" borderId="0" applyNumberFormat="0" applyFill="0" applyBorder="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6" fillId="0" borderId="0">
      <alignment vertical="top" wrapText="1"/>
    </xf>
    <xf numFmtId="0" fontId="46" fillId="0" borderId="0">
      <alignment vertical="top" wrapText="1"/>
    </xf>
    <xf numFmtId="0" fontId="44" fillId="7" borderId="10" applyNumberFormat="0" applyAlignment="0" applyProtection="0">
      <alignment vertical="center"/>
    </xf>
    <xf numFmtId="0" fontId="42" fillId="5" borderId="8" applyNumberFormat="0" applyFont="0" applyAlignment="0" applyProtection="0">
      <alignment vertical="center"/>
    </xf>
    <xf numFmtId="0" fontId="46" fillId="0" borderId="0">
      <alignment vertical="top" wrapText="1"/>
    </xf>
    <xf numFmtId="0" fontId="44" fillId="7" borderId="10"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66" fillId="40" borderId="0" applyNumberFormat="0" applyBorder="0" applyAlignment="0" applyProtection="0">
      <alignment vertical="center"/>
    </xf>
    <xf numFmtId="0" fontId="52" fillId="32" borderId="0" applyNumberFormat="0" applyBorder="0" applyAlignment="0" applyProtection="0">
      <alignment vertical="center"/>
    </xf>
    <xf numFmtId="0" fontId="46" fillId="0" borderId="0">
      <alignment vertical="top" wrapText="1"/>
    </xf>
    <xf numFmtId="0" fontId="48" fillId="7" borderId="9" applyNumberFormat="0" applyAlignment="0" applyProtection="0">
      <alignment vertical="center"/>
    </xf>
    <xf numFmtId="0" fontId="42" fillId="16" borderId="0" applyNumberFormat="0" applyBorder="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0" fillId="0" borderId="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51" fillId="0" borderId="0" applyNumberFormat="0" applyFill="0" applyBorder="0" applyAlignment="0" applyProtection="0">
      <alignment vertical="center"/>
    </xf>
    <xf numFmtId="0" fontId="41" fillId="0" borderId="7" applyNumberFormat="0" applyFill="0" applyAlignment="0" applyProtection="0">
      <alignment vertical="center"/>
    </xf>
    <xf numFmtId="0" fontId="46" fillId="0" borderId="0">
      <alignment vertical="top" wrapText="1"/>
    </xf>
    <xf numFmtId="0" fontId="41" fillId="0" borderId="7" applyNumberFormat="0" applyFill="0" applyAlignment="0" applyProtection="0">
      <alignment vertical="center"/>
    </xf>
    <xf numFmtId="0" fontId="42" fillId="0" borderId="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0" borderId="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0" fillId="0" borderId="0">
      <alignment vertical="center"/>
    </xf>
    <xf numFmtId="0" fontId="42" fillId="5" borderId="8" applyNumberFormat="0" applyFont="0" applyAlignment="0" applyProtection="0">
      <alignment vertical="center"/>
    </xf>
    <xf numFmtId="0" fontId="65" fillId="39" borderId="0" applyNumberFormat="0" applyBorder="0" applyAlignment="0" applyProtection="0">
      <alignment vertical="center"/>
    </xf>
    <xf numFmtId="0" fontId="42" fillId="0" borderId="0">
      <alignment vertical="center"/>
    </xf>
    <xf numFmtId="0" fontId="52" fillId="22" borderId="0" applyNumberFormat="0" applyBorder="0" applyAlignment="0" applyProtection="0">
      <alignment vertical="center"/>
    </xf>
    <xf numFmtId="0" fontId="48" fillId="7" borderId="9" applyNumberFormat="0" applyAlignment="0" applyProtection="0">
      <alignment vertical="center"/>
    </xf>
    <xf numFmtId="0" fontId="77" fillId="0" borderId="22" applyNumberFormat="0" applyFill="0" applyAlignment="0" applyProtection="0">
      <alignment vertical="center"/>
    </xf>
    <xf numFmtId="0" fontId="46" fillId="0" borderId="0">
      <alignment vertical="top" wrapText="1"/>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0" fillId="0" borderId="0"/>
    <xf numFmtId="0" fontId="41" fillId="0" borderId="7" applyNumberFormat="0" applyFill="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2" fillId="0" borderId="0">
      <alignment vertical="center"/>
    </xf>
    <xf numFmtId="0" fontId="46" fillId="0" borderId="0">
      <alignment vertical="top" wrapText="1"/>
    </xf>
    <xf numFmtId="0" fontId="41" fillId="0" borderId="7" applyNumberFormat="0" applyFill="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0" fillId="0" borderId="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0" fillId="0" borderId="0"/>
    <xf numFmtId="0" fontId="43" fillId="6"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0" fillId="0" borderId="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6" fillId="0" borderId="0">
      <alignment vertical="top" wrapText="1"/>
    </xf>
    <xf numFmtId="0" fontId="46" fillId="0" borderId="0">
      <alignment vertical="top" wrapText="1"/>
    </xf>
    <xf numFmtId="0" fontId="42" fillId="5" borderId="8" applyNumberFormat="0" applyFont="0" applyAlignment="0" applyProtection="0">
      <alignment vertical="center"/>
    </xf>
    <xf numFmtId="0" fontId="46" fillId="0" borderId="0">
      <alignment vertical="top" wrapText="1"/>
    </xf>
    <xf numFmtId="0" fontId="42" fillId="0" borderId="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3" fillId="6" borderId="9" applyNumberFormat="0" applyAlignment="0" applyProtection="0">
      <alignment vertical="center"/>
    </xf>
    <xf numFmtId="0" fontId="0" fillId="0" borderId="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0" fillId="0" borderId="0"/>
    <xf numFmtId="0" fontId="46" fillId="0" borderId="0">
      <alignment vertical="top" wrapText="1"/>
    </xf>
    <xf numFmtId="0" fontId="46" fillId="0" borderId="0">
      <alignment vertical="top" wrapText="1"/>
    </xf>
    <xf numFmtId="0" fontId="46" fillId="0" borderId="0">
      <alignment vertical="top" wrapText="1"/>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34" borderId="0" applyNumberFormat="0" applyBorder="0" applyAlignment="0" applyProtection="0">
      <alignment vertical="center"/>
    </xf>
    <xf numFmtId="0" fontId="0" fillId="0" borderId="0">
      <alignment vertical="center"/>
    </xf>
    <xf numFmtId="0" fontId="44" fillId="7" borderId="10" applyNumberFormat="0" applyAlignment="0" applyProtection="0">
      <alignment vertical="center"/>
    </xf>
    <xf numFmtId="0" fontId="42" fillId="16" borderId="0" applyNumberFormat="0" applyBorder="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19" borderId="0" applyNumberFormat="0" applyBorder="0" applyAlignment="0" applyProtection="0">
      <alignment vertical="center"/>
    </xf>
    <xf numFmtId="0" fontId="41" fillId="0" borderId="7" applyNumberFormat="0" applyFill="0" applyAlignment="0" applyProtection="0">
      <alignment vertical="center"/>
    </xf>
    <xf numFmtId="0" fontId="42" fillId="12" borderId="0" applyNumberFormat="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0" fillId="0" borderId="0" applyNumberFormat="0" applyFill="0" applyBorder="0" applyAlignment="0" applyProtection="0">
      <alignment vertical="center"/>
    </xf>
    <xf numFmtId="0" fontId="42" fillId="0" borderId="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2" fillId="0" borderId="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0" fillId="0" borderId="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80" fillId="0" borderId="0" applyNumberFormat="0" applyFill="0" applyBorder="0" applyAlignment="0" applyProtection="0">
      <alignment vertical="center"/>
    </xf>
    <xf numFmtId="0" fontId="44" fillId="7" borderId="10" applyNumberFormat="0" applyAlignment="0" applyProtection="0">
      <alignment vertical="center"/>
    </xf>
    <xf numFmtId="0" fontId="0" fillId="0" borderId="0"/>
    <xf numFmtId="0" fontId="48" fillId="7" borderId="9"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2" fillId="0" borderId="0">
      <alignment vertical="center"/>
    </xf>
    <xf numFmtId="0" fontId="51" fillId="0" borderId="0" applyNumberFormat="0" applyFill="0" applyBorder="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12" borderId="0" applyNumberFormat="0" applyBorder="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0" fillId="0" borderId="0" applyNumberFormat="0" applyFill="0" applyBorder="0" applyAlignment="0" applyProtection="0">
      <alignment vertical="center"/>
    </xf>
    <xf numFmtId="0" fontId="66" fillId="40" borderId="0" applyNumberFormat="0" applyBorder="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12" borderId="0" applyNumberFormat="0" applyBorder="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2" fillId="19" borderId="0" applyNumberFormat="0" applyBorder="0" applyAlignment="0" applyProtection="0">
      <alignment vertical="center"/>
    </xf>
    <xf numFmtId="0" fontId="52" fillId="26" borderId="0" applyNumberFormat="0" applyBorder="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52" fillId="17" borderId="0" applyNumberFormat="0" applyBorder="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20" borderId="0" applyNumberFormat="0" applyBorder="0" applyAlignment="0" applyProtection="0">
      <alignment vertical="center"/>
    </xf>
    <xf numFmtId="0" fontId="42" fillId="37" borderId="0" applyNumberFormat="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6" fillId="0" borderId="0">
      <alignment vertical="top" wrapText="1"/>
    </xf>
    <xf numFmtId="0" fontId="0" fillId="0" borderId="0">
      <alignment vertical="center"/>
    </xf>
    <xf numFmtId="0" fontId="46" fillId="0" borderId="0">
      <alignment vertical="top" wrapText="1"/>
    </xf>
    <xf numFmtId="0" fontId="46" fillId="0" borderId="0">
      <alignment vertical="top" wrapText="1"/>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6" fillId="0" borderId="0">
      <alignment vertical="top" wrapText="1"/>
    </xf>
    <xf numFmtId="0" fontId="46" fillId="0" borderId="0">
      <alignment vertical="top" wrapText="1"/>
    </xf>
    <xf numFmtId="0" fontId="52" fillId="57" borderId="0" applyNumberFormat="0" applyBorder="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63" fillId="37" borderId="0" applyNumberFormat="0" applyBorder="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34" borderId="0" applyNumberFormat="0" applyBorder="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2" fillId="0" borderId="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0" fillId="0" borderId="0"/>
    <xf numFmtId="0" fontId="48" fillId="7" borderId="9" applyNumberFormat="0" applyAlignment="0" applyProtection="0">
      <alignment vertical="center"/>
    </xf>
    <xf numFmtId="0" fontId="42" fillId="0" borderId="0">
      <alignment vertical="center"/>
    </xf>
    <xf numFmtId="0" fontId="42" fillId="0" borderId="0">
      <alignment vertical="center"/>
    </xf>
    <xf numFmtId="0" fontId="41" fillId="0" borderId="7" applyNumberFormat="0" applyFill="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66" fillId="40" borderId="0" applyNumberFormat="0" applyBorder="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0" borderId="0">
      <alignment vertical="center"/>
    </xf>
    <xf numFmtId="0" fontId="42" fillId="0" borderId="0">
      <alignment vertical="center"/>
    </xf>
    <xf numFmtId="0" fontId="78" fillId="54" borderId="23"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0" fillId="0" borderId="0" applyNumberFormat="0" applyFill="0" applyBorder="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2" fillId="40" borderId="0" applyNumberFormat="0" applyBorder="0" applyAlignment="0" applyProtection="0">
      <alignment vertical="center"/>
    </xf>
    <xf numFmtId="0" fontId="0" fillId="0" borderId="0"/>
    <xf numFmtId="0" fontId="44" fillId="7" borderId="10"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52" fillId="26" borderId="0" applyNumberFormat="0" applyBorder="0" applyAlignment="0" applyProtection="0">
      <alignment vertical="center"/>
    </xf>
    <xf numFmtId="0" fontId="77" fillId="0" borderId="22" applyNumberFormat="0" applyFill="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56" fillId="0" borderId="0" applyNumberFormat="0" applyFill="0" applyBorder="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56" fillId="0" borderId="0" applyNumberFormat="0" applyFill="0" applyBorder="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9" fontId="42" fillId="0" borderId="0" applyFont="0" applyFill="0" applyBorder="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8" fillId="7" borderId="9"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6" fillId="0" borderId="0">
      <alignment vertical="top" wrapText="1"/>
    </xf>
    <xf numFmtId="0" fontId="63" fillId="37" borderId="0" applyNumberFormat="0" applyBorder="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63" fillId="37" borderId="0" applyNumberFormat="0" applyBorder="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52" fillId="29" borderId="0" applyNumberFormat="0" applyBorder="0" applyAlignment="0" applyProtection="0">
      <alignment vertical="center"/>
    </xf>
    <xf numFmtId="0" fontId="46" fillId="0" borderId="0">
      <alignment vertical="top" wrapText="1"/>
    </xf>
    <xf numFmtId="0" fontId="44" fillId="7" borderId="10" applyNumberFormat="0" applyAlignment="0" applyProtection="0">
      <alignment vertical="center"/>
    </xf>
    <xf numFmtId="0" fontId="44" fillId="7" borderId="10" applyNumberFormat="0" applyAlignment="0" applyProtection="0">
      <alignment vertical="center"/>
    </xf>
    <xf numFmtId="0" fontId="52" fillId="29" borderId="0" applyNumberFormat="0" applyBorder="0" applyAlignment="0" applyProtection="0">
      <alignment vertical="center"/>
    </xf>
    <xf numFmtId="0" fontId="76" fillId="0" borderId="15" applyNumberFormat="0" applyFill="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60" fillId="0" borderId="15" applyNumberFormat="0" applyFill="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0" fillId="0" borderId="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16" borderId="0" applyNumberFormat="0" applyBorder="0" applyAlignment="0" applyProtection="0">
      <alignment vertical="center"/>
    </xf>
    <xf numFmtId="0" fontId="0" fillId="0" borderId="0" applyNumberFormat="0" applyFill="0" applyBorder="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6" borderId="0" applyNumberFormat="0" applyBorder="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0" borderId="0">
      <alignment vertical="center"/>
    </xf>
    <xf numFmtId="0" fontId="0" fillId="0" borderId="0" applyNumberFormat="0" applyFill="0" applyBorder="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51" fillId="0" borderId="0" applyNumberFormat="0" applyFill="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60" fillId="0" borderId="15" applyNumberFormat="0" applyFill="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0" fillId="0" borderId="0"/>
    <xf numFmtId="0" fontId="43" fillId="6" borderId="9" applyNumberFormat="0" applyAlignment="0" applyProtection="0">
      <alignment vertical="center"/>
    </xf>
    <xf numFmtId="0" fontId="44" fillId="7" borderId="10" applyNumberFormat="0" applyAlignment="0" applyProtection="0">
      <alignment vertical="center"/>
    </xf>
    <xf numFmtId="0" fontId="53" fillId="0" borderId="0" applyNumberFormat="0" applyFill="0" applyBorder="0" applyAlignment="0" applyProtection="0">
      <alignment vertical="center"/>
    </xf>
    <xf numFmtId="0" fontId="0" fillId="0" borderId="0" applyNumberFormat="0" applyFill="0" applyBorder="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9" fontId="42" fillId="0" borderId="0" applyFont="0" applyFill="0" applyBorder="0" applyAlignment="0" applyProtection="0">
      <alignment vertical="center"/>
    </xf>
    <xf numFmtId="0" fontId="52" fillId="17" borderId="0" applyNumberFormat="0" applyBorder="0" applyAlignment="0" applyProtection="0">
      <alignment vertical="center"/>
    </xf>
    <xf numFmtId="0" fontId="44" fillId="7" borderId="10" applyNumberFormat="0" applyAlignment="0" applyProtection="0">
      <alignment vertical="center"/>
    </xf>
    <xf numFmtId="0" fontId="0" fillId="0" borderId="0">
      <alignment vertical="center"/>
    </xf>
    <xf numFmtId="0" fontId="0" fillId="0" borderId="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0" fillId="0" borderId="0">
      <alignment vertical="center"/>
    </xf>
    <xf numFmtId="0" fontId="0" fillId="0" borderId="0"/>
    <xf numFmtId="0" fontId="48" fillId="7"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66" fillId="40" borderId="0" applyNumberFormat="0" applyBorder="0" applyAlignment="0" applyProtection="0">
      <alignment vertical="center"/>
    </xf>
    <xf numFmtId="0" fontId="48" fillId="7" borderId="9" applyNumberFormat="0" applyAlignment="0" applyProtection="0">
      <alignment vertical="center"/>
    </xf>
    <xf numFmtId="0" fontId="51" fillId="0" borderId="0" applyNumberFormat="0" applyFill="0" applyBorder="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52" fillId="32" borderId="0" applyNumberFormat="0" applyBorder="0" applyAlignment="0" applyProtection="0">
      <alignment vertical="center"/>
    </xf>
    <xf numFmtId="0" fontId="43" fillId="6" borderId="9" applyNumberFormat="0" applyAlignment="0" applyProtection="0">
      <alignment vertical="center"/>
    </xf>
    <xf numFmtId="0" fontId="0" fillId="0" borderId="0" applyNumberFormat="0" applyFill="0" applyBorder="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0" borderId="0">
      <alignment vertical="center"/>
    </xf>
    <xf numFmtId="0" fontId="78" fillId="54" borderId="23" applyNumberFormat="0" applyAlignment="0" applyProtection="0">
      <alignment vertical="center"/>
    </xf>
    <xf numFmtId="0" fontId="42" fillId="16" borderId="0" applyNumberFormat="0" applyBorder="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8" fillId="7" borderId="9" applyNumberFormat="0" applyAlignment="0" applyProtection="0">
      <alignment vertical="center"/>
    </xf>
    <xf numFmtId="0" fontId="51" fillId="0" borderId="0" applyNumberFormat="0" applyFill="0" applyBorder="0" applyAlignment="0" applyProtection="0">
      <alignment vertical="center"/>
    </xf>
    <xf numFmtId="0" fontId="42" fillId="20" borderId="0" applyNumberFormat="0" applyBorder="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0" borderId="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0" fillId="0" borderId="0"/>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0" fillId="0" borderId="0" applyNumberFormat="0" applyFill="0" applyBorder="0" applyAlignment="0" applyProtection="0">
      <alignment vertical="center"/>
    </xf>
    <xf numFmtId="0" fontId="41" fillId="0" borderId="7" applyNumberFormat="0" applyFill="0" applyAlignment="0" applyProtection="0">
      <alignment vertical="center"/>
    </xf>
    <xf numFmtId="0" fontId="42" fillId="17" borderId="0" applyNumberFormat="0" applyBorder="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52" fillId="32" borderId="0" applyNumberFormat="0" applyBorder="0" applyAlignment="0" applyProtection="0">
      <alignment vertical="center"/>
    </xf>
    <xf numFmtId="0" fontId="42" fillId="21" borderId="0" applyNumberFormat="0" applyBorder="0" applyAlignment="0" applyProtection="0">
      <alignment vertical="center"/>
    </xf>
    <xf numFmtId="0" fontId="41" fillId="0" borderId="7" applyNumberFormat="0" applyFill="0" applyAlignment="0" applyProtection="0">
      <alignment vertical="center"/>
    </xf>
    <xf numFmtId="0" fontId="52" fillId="30" borderId="0" applyNumberFormat="0" applyBorder="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89" fillId="37" borderId="0" applyNumberFormat="0" applyBorder="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2" fillId="34" borderId="0" applyNumberFormat="0" applyBorder="0" applyAlignment="0" applyProtection="0">
      <alignment vertical="center"/>
    </xf>
    <xf numFmtId="0" fontId="77" fillId="0" borderId="22" applyNumberFormat="0" applyFill="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44" fillId="7" borderId="10" applyNumberFormat="0" applyAlignment="0" applyProtection="0">
      <alignment vertical="center"/>
    </xf>
    <xf numFmtId="0" fontId="66" fillId="40" borderId="0" applyNumberFormat="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0" fillId="0" borderId="0"/>
    <xf numFmtId="0" fontId="43" fillId="6" borderId="9" applyNumberFormat="0" applyAlignment="0" applyProtection="0">
      <alignment vertical="center"/>
    </xf>
    <xf numFmtId="0" fontId="46" fillId="0" borderId="0">
      <alignment vertical="top" wrapText="1"/>
    </xf>
    <xf numFmtId="0" fontId="42" fillId="0" borderId="0">
      <alignment vertical="center"/>
    </xf>
    <xf numFmtId="0" fontId="41" fillId="0" borderId="7" applyNumberFormat="0" applyFill="0" applyAlignment="0" applyProtection="0">
      <alignment vertical="center"/>
    </xf>
    <xf numFmtId="0" fontId="42" fillId="16" borderId="0" applyNumberFormat="0" applyBorder="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2" fillId="5" borderId="8" applyNumberFormat="0" applyFont="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34" borderId="0" applyNumberFormat="0" applyBorder="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2" fillId="19" borderId="0" applyNumberFormat="0" applyBorder="0" applyAlignment="0" applyProtection="0">
      <alignment vertical="center"/>
    </xf>
    <xf numFmtId="0" fontId="51" fillId="0" borderId="0" applyNumberFormat="0" applyFill="0" applyBorder="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0" fillId="0" borderId="0" applyProtection="0">
      <alignment vertical="center"/>
    </xf>
    <xf numFmtId="0" fontId="42" fillId="5" borderId="8" applyNumberFormat="0" applyFont="0" applyAlignment="0" applyProtection="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52" fillId="26" borderId="0" applyNumberFormat="0" applyBorder="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0" fillId="0" borderId="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65" fillId="39" borderId="0" applyNumberFormat="0" applyBorder="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2" fillId="0" borderId="0">
      <alignment vertical="center"/>
    </xf>
    <xf numFmtId="0" fontId="42" fillId="0" borderId="0">
      <alignment vertical="center"/>
    </xf>
    <xf numFmtId="0" fontId="41" fillId="0" borderId="7" applyNumberFormat="0" applyFill="0" applyAlignment="0" applyProtection="0">
      <alignment vertical="center"/>
    </xf>
    <xf numFmtId="0" fontId="0" fillId="0" borderId="0" applyNumberFormat="0" applyFill="0" applyBorder="0" applyAlignment="0" applyProtection="0">
      <alignment vertical="center"/>
    </xf>
    <xf numFmtId="0" fontId="42" fillId="5" borderId="8" applyNumberFormat="0" applyFont="0" applyAlignment="0" applyProtection="0">
      <alignment vertical="center"/>
    </xf>
    <xf numFmtId="0" fontId="42" fillId="5" borderId="0" applyNumberFormat="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0" fillId="0" borderId="0"/>
    <xf numFmtId="0" fontId="41" fillId="0" borderId="7" applyNumberFormat="0" applyFill="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21" borderId="0" applyNumberFormat="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2" fillId="16" borderId="0" applyNumberFormat="0" applyBorder="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41" fillId="0" borderId="7" applyNumberFormat="0" applyFill="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51" fillId="0" borderId="0" applyNumberFormat="0" applyFill="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0" fillId="0" borderId="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3" fillId="6" borderId="9" applyNumberFormat="0" applyAlignment="0" applyProtection="0">
      <alignment vertical="center"/>
    </xf>
    <xf numFmtId="9" fontId="42" fillId="0" borderId="0" applyFont="0" applyFill="0" applyBorder="0" applyAlignment="0" applyProtection="0">
      <alignment vertical="center"/>
    </xf>
    <xf numFmtId="0" fontId="48" fillId="7" borderId="9" applyNumberFormat="0" applyAlignment="0" applyProtection="0">
      <alignment vertical="center"/>
    </xf>
    <xf numFmtId="0" fontId="46" fillId="0" borderId="0">
      <alignment vertical="top" wrapText="1"/>
    </xf>
    <xf numFmtId="0" fontId="44" fillId="7" borderId="10" applyNumberFormat="0" applyAlignment="0" applyProtection="0">
      <alignment vertical="center"/>
    </xf>
    <xf numFmtId="0" fontId="42" fillId="0" borderId="0">
      <alignment vertical="center"/>
    </xf>
    <xf numFmtId="0" fontId="66" fillId="40" borderId="0" applyNumberFormat="0" applyBorder="0" applyAlignment="0" applyProtection="0">
      <alignment vertical="center"/>
    </xf>
    <xf numFmtId="0" fontId="42" fillId="19" borderId="0" applyNumberFormat="0" applyBorder="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2" fillId="0" borderId="0">
      <alignment vertical="center"/>
    </xf>
    <xf numFmtId="0" fontId="48" fillId="7" borderId="9" applyNumberFormat="0" applyAlignment="0" applyProtection="0">
      <alignment vertical="center"/>
    </xf>
    <xf numFmtId="0" fontId="42" fillId="0" borderId="0">
      <alignment vertical="center"/>
    </xf>
    <xf numFmtId="0" fontId="52" fillId="17" borderId="0" applyNumberFormat="0" applyBorder="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8" fillId="7" borderId="9"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0" fillId="0" borderId="0"/>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4" fillId="7" borderId="10" applyNumberFormat="0" applyAlignment="0" applyProtection="0">
      <alignment vertical="center"/>
    </xf>
    <xf numFmtId="0" fontId="84" fillId="0" borderId="24" applyNumberFormat="0" applyFill="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66" fillId="40" borderId="0" applyNumberFormat="0" applyBorder="0" applyAlignment="0" applyProtection="0">
      <alignment vertical="center"/>
    </xf>
    <xf numFmtId="0" fontId="42" fillId="5" borderId="8" applyNumberFormat="0" applyFont="0" applyAlignment="0" applyProtection="0">
      <alignment vertical="center"/>
    </xf>
    <xf numFmtId="0" fontId="48" fillId="7" borderId="9" applyNumberFormat="0" applyAlignment="0" applyProtection="0">
      <alignment vertical="center"/>
    </xf>
    <xf numFmtId="0" fontId="41" fillId="0" borderId="7" applyNumberFormat="0" applyFill="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44" fillId="7" borderId="10" applyNumberFormat="0" applyAlignment="0" applyProtection="0">
      <alignment vertical="center"/>
    </xf>
    <xf numFmtId="0" fontId="77" fillId="0" borderId="22" applyNumberFormat="0" applyFill="0" applyAlignment="0" applyProtection="0">
      <alignment vertical="center"/>
    </xf>
    <xf numFmtId="0" fontId="42" fillId="21" borderId="0" applyNumberFormat="0" applyBorder="0" applyAlignment="0" applyProtection="0">
      <alignment vertical="center"/>
    </xf>
    <xf numFmtId="0" fontId="53" fillId="0" borderId="13" applyNumberFormat="0" applyFill="0" applyAlignment="0" applyProtection="0">
      <alignment vertical="center"/>
    </xf>
    <xf numFmtId="0" fontId="43" fillId="6" borderId="9" applyNumberFormat="0" applyAlignment="0" applyProtection="0">
      <alignment vertical="center"/>
    </xf>
    <xf numFmtId="0" fontId="43" fillId="6" borderId="9" applyNumberFormat="0" applyAlignment="0" applyProtection="0">
      <alignment vertical="center"/>
    </xf>
    <xf numFmtId="0" fontId="48" fillId="7" borderId="9" applyNumberFormat="0" applyAlignment="0" applyProtection="0">
      <alignment vertical="center"/>
    </xf>
    <xf numFmtId="0" fontId="0" fillId="0" borderId="0"/>
    <xf numFmtId="0" fontId="43" fillId="6" borderId="9" applyNumberFormat="0" applyAlignment="0" applyProtection="0">
      <alignment vertical="center"/>
    </xf>
    <xf numFmtId="0" fontId="44" fillId="7" borderId="10"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1" fillId="0" borderId="7" applyNumberFormat="0" applyFill="0" applyAlignment="0" applyProtection="0">
      <alignment vertical="center"/>
    </xf>
    <xf numFmtId="0" fontId="42" fillId="0" borderId="0">
      <alignment vertical="center"/>
    </xf>
    <xf numFmtId="0" fontId="41" fillId="0" borderId="7" applyNumberFormat="0" applyFill="0" applyAlignment="0" applyProtection="0">
      <alignment vertical="center"/>
    </xf>
    <xf numFmtId="0" fontId="42" fillId="5" borderId="8" applyNumberFormat="0" applyFont="0" applyAlignment="0" applyProtection="0">
      <alignment vertical="center"/>
    </xf>
    <xf numFmtId="0" fontId="65" fillId="39" borderId="0" applyNumberFormat="0" applyBorder="0" applyAlignment="0" applyProtection="0">
      <alignment vertical="center"/>
    </xf>
    <xf numFmtId="0" fontId="48" fillId="7" borderId="9" applyNumberFormat="0" applyAlignment="0" applyProtection="0">
      <alignment vertical="center"/>
    </xf>
    <xf numFmtId="0" fontId="56" fillId="0" borderId="0" applyNumberFormat="0" applyFill="0" applyBorder="0" applyAlignment="0" applyProtection="0">
      <alignment vertical="center"/>
    </xf>
    <xf numFmtId="0" fontId="42" fillId="5" borderId="8" applyNumberFormat="0" applyFont="0" applyAlignment="0" applyProtection="0">
      <alignment vertical="center"/>
    </xf>
    <xf numFmtId="0" fontId="42" fillId="5" borderId="8" applyNumberFormat="0" applyFont="0" applyAlignment="0" applyProtection="0">
      <alignment vertical="center"/>
    </xf>
    <xf numFmtId="0" fontId="52" fillId="34" borderId="0" applyNumberFormat="0" applyBorder="0" applyAlignment="0" applyProtection="0">
      <alignment vertical="center"/>
    </xf>
    <xf numFmtId="0" fontId="48" fillId="7" borderId="9" applyNumberFormat="0" applyAlignment="0" applyProtection="0">
      <alignment vertical="center"/>
    </xf>
    <xf numFmtId="0" fontId="43" fillId="6" borderId="9" applyNumberFormat="0" applyAlignment="0" applyProtection="0">
      <alignment vertical="center"/>
    </xf>
    <xf numFmtId="0" fontId="42" fillId="0" borderId="0">
      <alignment vertical="center"/>
    </xf>
    <xf numFmtId="0" fontId="42" fillId="5" borderId="8" applyNumberFormat="0" applyFont="0" applyAlignment="0" applyProtection="0">
      <alignment vertical="center"/>
    </xf>
    <xf numFmtId="0" fontId="46" fillId="0" borderId="0">
      <alignment vertical="top" wrapText="1"/>
    </xf>
    <xf numFmtId="0" fontId="48" fillId="7" borderId="9" applyNumberFormat="0" applyAlignment="0" applyProtection="0">
      <alignment vertical="center"/>
    </xf>
    <xf numFmtId="9" fontId="42" fillId="0" borderId="0" applyFont="0" applyFill="0" applyBorder="0" applyAlignment="0" applyProtection="0">
      <alignment vertical="center"/>
    </xf>
    <xf numFmtId="0" fontId="46" fillId="0" borderId="0">
      <alignment vertical="top" wrapText="1"/>
    </xf>
    <xf numFmtId="0" fontId="46" fillId="0" borderId="0">
      <alignment vertical="top" wrapText="1"/>
    </xf>
    <xf numFmtId="0" fontId="48" fillId="7" borderId="9" applyNumberFormat="0" applyAlignment="0" applyProtection="0">
      <alignment vertical="center"/>
    </xf>
  </cellStyleXfs>
  <cellXfs count="541">
    <xf numFmtId="0" fontId="0" fillId="0" borderId="0" xfId="0"/>
    <xf numFmtId="0" fontId="1" fillId="0" borderId="0" xfId="0" applyFont="1" applyBorder="1" applyAlignment="1">
      <alignment horizontal="center" vertical="center"/>
    </xf>
    <xf numFmtId="49" fontId="2" fillId="0" borderId="1" xfId="533" applyNumberFormat="1" applyFont="1" applyFill="1" applyBorder="1" applyAlignment="1">
      <alignment horizontal="center" vertical="center" wrapText="1"/>
    </xf>
    <xf numFmtId="0" fontId="2" fillId="0" borderId="1" xfId="533" applyNumberFormat="1" applyFont="1" applyFill="1" applyBorder="1" applyAlignment="1">
      <alignment horizontal="center" vertical="center" wrapText="1"/>
    </xf>
    <xf numFmtId="0" fontId="2" fillId="0" borderId="1" xfId="2936" applyFont="1" applyFill="1" applyBorder="1" applyAlignment="1">
      <alignment horizontal="center" vertical="center" wrapText="1"/>
    </xf>
    <xf numFmtId="0" fontId="0" fillId="0" borderId="1" xfId="0" applyBorder="1"/>
    <xf numFmtId="49" fontId="3" fillId="0" borderId="1" xfId="533" applyNumberFormat="1" applyFont="1" applyBorder="1" applyAlignment="1">
      <alignment horizontal="center" vertical="center" wrapText="1"/>
    </xf>
    <xf numFmtId="0" fontId="1" fillId="0" borderId="1" xfId="1425" applyNumberFormat="1" applyFont="1" applyFill="1" applyBorder="1" applyAlignment="1">
      <alignment horizontal="center" vertical="center" wrapText="1"/>
    </xf>
    <xf numFmtId="0" fontId="3" fillId="0" borderId="1" xfId="533" applyFont="1" applyBorder="1" applyAlignment="1">
      <alignment horizontal="center" vertical="center" wrapText="1"/>
    </xf>
    <xf numFmtId="0" fontId="3" fillId="0" borderId="1" xfId="0"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0" fontId="2" fillId="0" borderId="1" xfId="533" applyFont="1" applyFill="1" applyBorder="1" applyAlignment="1">
      <alignment horizontal="center" vertical="center" wrapText="1"/>
    </xf>
    <xf numFmtId="177" fontId="2" fillId="0" borderId="1" xfId="533" applyNumberFormat="1" applyFont="1" applyFill="1" applyBorder="1" applyAlignment="1">
      <alignment horizontal="center" vertical="center" wrapText="1"/>
    </xf>
    <xf numFmtId="176" fontId="2" fillId="0" borderId="1" xfId="533" applyNumberFormat="1" applyFont="1" applyFill="1" applyBorder="1" applyAlignment="1">
      <alignment horizontal="center" vertical="center" wrapText="1"/>
    </xf>
    <xf numFmtId="0" fontId="0" fillId="0" borderId="1" xfId="533" applyFont="1" applyFill="1" applyBorder="1" applyAlignment="1">
      <alignment horizontal="left" vertical="center" wrapText="1"/>
    </xf>
    <xf numFmtId="0" fontId="0" fillId="0" borderId="1" xfId="533" applyFont="1" applyFill="1" applyBorder="1" applyAlignment="1">
      <alignment horizontal="center" vertical="center" wrapText="1"/>
    </xf>
    <xf numFmtId="0" fontId="1" fillId="0" borderId="1" xfId="0" applyFont="1" applyBorder="1" applyAlignment="1">
      <alignment horizontal="center" vertical="center"/>
    </xf>
    <xf numFmtId="0" fontId="4" fillId="0" borderId="1" xfId="533" applyFont="1" applyFill="1" applyBorder="1" applyAlignment="1">
      <alignment horizontal="left" vertical="center" wrapText="1"/>
    </xf>
    <xf numFmtId="0" fontId="5" fillId="0" borderId="0" xfId="0" applyNumberFormat="1" applyFont="1" applyFill="1" applyAlignment="1"/>
    <xf numFmtId="0" fontId="5" fillId="0" borderId="0" xfId="0" applyFont="1" applyFill="1" applyAlignment="1"/>
    <xf numFmtId="0" fontId="6" fillId="0" borderId="0" xfId="0" applyFont="1" applyFill="1" applyAlignment="1"/>
    <xf numFmtId="0" fontId="7" fillId="0" borderId="0" xfId="0" applyFont="1" applyFill="1" applyAlignment="1">
      <alignment wrapText="1"/>
    </xf>
    <xf numFmtId="0" fontId="7" fillId="0" borderId="0" xfId="0" applyFont="1" applyFill="1" applyAlignment="1">
      <alignment horizontal="center"/>
    </xf>
    <xf numFmtId="0" fontId="7" fillId="0" borderId="0" xfId="0" applyFont="1" applyFill="1" applyAlignment="1"/>
    <xf numFmtId="49" fontId="6" fillId="0" borderId="2" xfId="533" applyNumberFormat="1" applyFont="1" applyFill="1" applyBorder="1" applyAlignment="1">
      <alignment horizontal="left" vertical="center" wrapText="1"/>
    </xf>
    <xf numFmtId="49" fontId="6" fillId="0" borderId="1" xfId="533"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533" applyFont="1" applyFill="1" applyBorder="1" applyAlignment="1">
      <alignment horizontal="center" vertical="center" wrapText="1"/>
    </xf>
    <xf numFmtId="49" fontId="5" fillId="0" borderId="2" xfId="0" applyNumberFormat="1" applyFont="1" applyFill="1" applyBorder="1" applyAlignment="1">
      <alignment vertical="center" wrapText="1"/>
    </xf>
    <xf numFmtId="49" fontId="5" fillId="0" borderId="1" xfId="533" applyNumberFormat="1" applyFont="1" applyFill="1" applyBorder="1" applyAlignment="1">
      <alignment horizontal="center" vertical="center" wrapText="1"/>
    </xf>
    <xf numFmtId="0" fontId="5" fillId="0" borderId="1" xfId="533" applyFont="1" applyFill="1" applyBorder="1" applyAlignment="1">
      <alignment horizontal="center" vertical="center" wrapText="1"/>
    </xf>
    <xf numFmtId="0" fontId="5" fillId="2" borderId="1" xfId="533" applyFont="1" applyFill="1" applyBorder="1" applyAlignment="1">
      <alignment horizontal="left" vertical="center" wrapText="1"/>
    </xf>
    <xf numFmtId="0" fontId="5" fillId="0" borderId="1" xfId="533" applyFont="1" applyFill="1" applyBorder="1" applyAlignment="1">
      <alignment horizontal="left" vertical="center" wrapText="1"/>
    </xf>
    <xf numFmtId="0" fontId="5" fillId="0" borderId="2" xfId="0" applyNumberFormat="1" applyFont="1" applyFill="1" applyBorder="1" applyAlignment="1">
      <alignment vertical="center" wrapText="1"/>
    </xf>
    <xf numFmtId="0" fontId="5" fillId="0" borderId="1" xfId="533" applyNumberFormat="1" applyFont="1" applyFill="1" applyBorder="1" applyAlignment="1">
      <alignment horizontal="center" vertical="center" wrapText="1"/>
    </xf>
    <xf numFmtId="0" fontId="6" fillId="0" borderId="1" xfId="533" applyNumberFormat="1" applyFont="1" applyFill="1" applyBorder="1" applyAlignment="1">
      <alignment horizontal="left" vertical="center" wrapText="1"/>
    </xf>
    <xf numFmtId="0" fontId="5" fillId="0" borderId="1" xfId="533" applyNumberFormat="1" applyFont="1" applyFill="1" applyBorder="1" applyAlignment="1">
      <alignment horizontal="left" vertical="center" wrapText="1"/>
    </xf>
    <xf numFmtId="49" fontId="6" fillId="0" borderId="2" xfId="0" applyNumberFormat="1" applyFont="1" applyFill="1" applyBorder="1" applyAlignment="1">
      <alignment vertical="center" wrapText="1"/>
    </xf>
    <xf numFmtId="0" fontId="5" fillId="0" borderId="1" xfId="0" applyFont="1" applyFill="1" applyBorder="1" applyAlignment="1">
      <alignment horizontal="center" vertical="center" wrapText="1"/>
    </xf>
    <xf numFmtId="0" fontId="5" fillId="0" borderId="0" xfId="533"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5" fillId="0" borderId="1" xfId="0" applyNumberFormat="1" applyFont="1" applyFill="1" applyBorder="1" applyAlignment="1"/>
    <xf numFmtId="0" fontId="6" fillId="0" borderId="1" xfId="533"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5" fillId="0" borderId="1" xfId="0" applyFont="1" applyFill="1" applyBorder="1" applyAlignment="1">
      <alignment wrapText="1"/>
    </xf>
    <xf numFmtId="49" fontId="5" fillId="0" borderId="2" xfId="0" applyNumberFormat="1" applyFont="1" applyFill="1" applyBorder="1" applyAlignment="1">
      <alignment vertical="center"/>
    </xf>
    <xf numFmtId="0" fontId="6" fillId="0" borderId="1" xfId="533" applyFont="1" applyFill="1" applyBorder="1" applyAlignment="1">
      <alignment horizontal="left" vertical="center" wrapText="1"/>
    </xf>
    <xf numFmtId="176" fontId="5" fillId="0" borderId="1" xfId="533" applyNumberFormat="1" applyFont="1" applyFill="1" applyBorder="1" applyAlignment="1">
      <alignment horizontal="center" vertical="center" wrapText="1"/>
    </xf>
    <xf numFmtId="0" fontId="5" fillId="0" borderId="1" xfId="0" applyFont="1" applyFill="1" applyBorder="1" applyAlignment="1">
      <alignment horizontal="left" vertical="center" wrapText="1"/>
    </xf>
    <xf numFmtId="0" fontId="0" fillId="0" borderId="0" xfId="0" applyAlignment="1">
      <alignment wrapText="1"/>
    </xf>
    <xf numFmtId="0" fontId="8" fillId="0" borderId="1" xfId="1425" applyFont="1" applyFill="1" applyBorder="1" applyAlignment="1">
      <alignment horizontal="center" vertical="center" wrapText="1"/>
    </xf>
    <xf numFmtId="49" fontId="8" fillId="0" borderId="2" xfId="533" applyNumberFormat="1" applyFont="1" applyFill="1" applyBorder="1" applyAlignment="1">
      <alignment horizontal="center" vertical="center" wrapText="1"/>
    </xf>
    <xf numFmtId="49" fontId="8" fillId="0" borderId="1" xfId="533" applyNumberFormat="1" applyFont="1" applyFill="1" applyBorder="1" applyAlignment="1">
      <alignment horizontal="center" vertical="center" wrapText="1"/>
    </xf>
    <xf numFmtId="0" fontId="8" fillId="0" borderId="1" xfId="2936" applyFont="1" applyFill="1" applyBorder="1" applyAlignment="1">
      <alignment horizontal="center" vertical="center" wrapText="1"/>
    </xf>
    <xf numFmtId="0" fontId="8" fillId="0" borderId="1" xfId="533" applyFont="1" applyFill="1" applyBorder="1" applyAlignment="1">
      <alignment horizontal="center" vertical="center" wrapText="1"/>
    </xf>
    <xf numFmtId="0" fontId="0" fillId="0" borderId="1" xfId="1425" applyFont="1" applyFill="1" applyBorder="1" applyAlignment="1">
      <alignment horizontal="center" vertical="center" wrapText="1"/>
    </xf>
    <xf numFmtId="0" fontId="9" fillId="0" borderId="2" xfId="1425" applyFont="1" applyFill="1" applyBorder="1" applyAlignment="1">
      <alignment horizontal="center" vertical="center" wrapText="1"/>
    </xf>
    <xf numFmtId="49" fontId="0" fillId="0" borderId="1" xfId="533" applyNumberFormat="1" applyFont="1" applyFill="1" applyBorder="1" applyAlignment="1">
      <alignment horizontal="center" vertical="center" wrapText="1"/>
    </xf>
    <xf numFmtId="0" fontId="10" fillId="0" borderId="1" xfId="1034" applyFont="1" applyFill="1" applyBorder="1" applyAlignment="1">
      <alignment horizontal="center" vertical="center" wrapText="1"/>
    </xf>
    <xf numFmtId="49" fontId="11" fillId="0" borderId="1" xfId="533" applyNumberFormat="1" applyFont="1" applyFill="1" applyBorder="1" applyAlignment="1">
      <alignment horizontal="center" vertical="center" wrapText="1"/>
    </xf>
    <xf numFmtId="49" fontId="12" fillId="0" borderId="2" xfId="0" applyNumberFormat="1" applyFont="1" applyFill="1" applyBorder="1" applyAlignment="1">
      <alignment horizontal="center" vertical="center" wrapText="1"/>
    </xf>
    <xf numFmtId="49" fontId="3" fillId="0" borderId="1" xfId="533" applyNumberFormat="1" applyFont="1" applyFill="1" applyBorder="1" applyAlignment="1">
      <alignment horizontal="center" vertical="center" wrapText="1"/>
    </xf>
    <xf numFmtId="49" fontId="13" fillId="0" borderId="1" xfId="533" applyNumberFormat="1" applyFont="1" applyFill="1" applyBorder="1" applyAlignment="1">
      <alignment horizontal="center" vertical="center" wrapText="1"/>
    </xf>
    <xf numFmtId="0" fontId="3" fillId="0" borderId="1" xfId="533" applyFont="1" applyFill="1" applyBorder="1" applyAlignment="1">
      <alignment horizontal="center" vertical="center" wrapText="1"/>
    </xf>
    <xf numFmtId="0" fontId="8" fillId="0" borderId="1" xfId="1018" applyFont="1" applyFill="1" applyBorder="1" applyAlignment="1">
      <alignment horizontal="center" vertical="center" wrapText="1"/>
    </xf>
    <xf numFmtId="49" fontId="0" fillId="0" borderId="1" xfId="1425" applyNumberFormat="1" applyFont="1" applyFill="1" applyBorder="1" applyAlignment="1">
      <alignment horizontal="center" vertical="center" wrapText="1"/>
    </xf>
    <xf numFmtId="0" fontId="0" fillId="0" borderId="1" xfId="1034" applyFont="1" applyFill="1" applyBorder="1" applyAlignment="1">
      <alignment horizontal="center" vertical="center" wrapText="1"/>
    </xf>
    <xf numFmtId="49" fontId="0" fillId="0" borderId="1" xfId="1034" applyNumberFormat="1" applyFont="1" applyFill="1" applyBorder="1" applyAlignment="1">
      <alignment horizontal="center" vertical="center" wrapText="1"/>
    </xf>
    <xf numFmtId="49" fontId="9" fillId="0" borderId="1" xfId="662" applyNumberFormat="1" applyFont="1" applyFill="1" applyBorder="1" applyAlignment="1">
      <alignment horizontal="center" vertical="center" wrapText="1"/>
    </xf>
    <xf numFmtId="0" fontId="14" fillId="0" borderId="1" xfId="533" applyFont="1" applyBorder="1" applyAlignment="1">
      <alignment horizontal="center" vertical="center" wrapText="1"/>
    </xf>
    <xf numFmtId="0" fontId="0" fillId="0" borderId="1" xfId="1425" applyBorder="1" applyAlignment="1">
      <alignment horizontal="left" vertical="center" wrapText="1"/>
    </xf>
    <xf numFmtId="0" fontId="0" fillId="0" borderId="1" xfId="1425" applyFill="1" applyBorder="1" applyAlignment="1">
      <alignment horizontal="left" vertical="center" wrapText="1"/>
    </xf>
    <xf numFmtId="177" fontId="8" fillId="0" borderId="1" xfId="533" applyNumberFormat="1" applyFont="1" applyFill="1" applyBorder="1" applyAlignment="1">
      <alignment horizontal="center" vertical="center" wrapText="1"/>
    </xf>
    <xf numFmtId="176" fontId="8" fillId="0" borderId="1" xfId="533" applyNumberFormat="1" applyFont="1" applyFill="1" applyBorder="1" applyAlignment="1">
      <alignment horizontal="center" vertical="center" wrapText="1"/>
    </xf>
    <xf numFmtId="0" fontId="0" fillId="0" borderId="1" xfId="1425" applyFont="1" applyFill="1" applyBorder="1" applyAlignment="1">
      <alignment horizontal="center" wrapText="1"/>
    </xf>
    <xf numFmtId="176" fontId="0" fillId="0" borderId="1" xfId="533" applyNumberFormat="1" applyFont="1" applyFill="1" applyBorder="1" applyAlignment="1">
      <alignment horizontal="center" vertical="center" wrapText="1"/>
    </xf>
    <xf numFmtId="0" fontId="0" fillId="0" borderId="1" xfId="1101" applyFont="1" applyFill="1" applyBorder="1" applyAlignment="1">
      <alignment horizontal="center" vertical="center" wrapText="1"/>
    </xf>
    <xf numFmtId="9" fontId="0" fillId="0" borderId="1" xfId="1101" applyNumberFormat="1" applyFont="1" applyFill="1" applyBorder="1" applyAlignment="1">
      <alignment horizontal="center" vertical="center" wrapText="1"/>
    </xf>
    <xf numFmtId="0" fontId="0" fillId="0" borderId="3" xfId="1034" applyFont="1" applyFill="1" applyBorder="1" applyAlignment="1">
      <alignment horizontal="center" vertical="center" wrapText="1"/>
    </xf>
    <xf numFmtId="176" fontId="3" fillId="0" borderId="1" xfId="533" applyNumberFormat="1" applyFont="1" applyFill="1" applyBorder="1" applyAlignment="1">
      <alignment horizontal="center" vertical="center" wrapText="1"/>
    </xf>
    <xf numFmtId="0" fontId="11" fillId="0" borderId="1" xfId="533" applyFont="1" applyFill="1" applyBorder="1" applyAlignment="1">
      <alignment horizontal="center" vertical="center" wrapText="1"/>
    </xf>
    <xf numFmtId="0" fontId="15" fillId="0" borderId="1" xfId="533" applyFont="1" applyFill="1" applyBorder="1" applyAlignment="1">
      <alignment horizontal="center" vertical="center" wrapText="1"/>
    </xf>
    <xf numFmtId="0" fontId="0" fillId="0" borderId="1" xfId="2936" applyFont="1" applyFill="1" applyBorder="1" applyAlignment="1">
      <alignment horizontal="center" vertical="center" wrapText="1"/>
    </xf>
    <xf numFmtId="0" fontId="0" fillId="0" borderId="1" xfId="3970" applyFont="1" applyFill="1" applyBorder="1" applyAlignment="1">
      <alignment horizontal="center" vertical="center" wrapText="1"/>
    </xf>
    <xf numFmtId="0" fontId="0" fillId="0" borderId="1" xfId="3804" applyFont="1" applyFill="1" applyBorder="1" applyAlignment="1">
      <alignment horizontal="center" vertical="center" wrapText="1"/>
    </xf>
    <xf numFmtId="0" fontId="9" fillId="0" borderId="1" xfId="533" applyFont="1" applyFill="1" applyBorder="1" applyAlignment="1">
      <alignment horizontal="center" vertical="center" wrapText="1"/>
    </xf>
    <xf numFmtId="176" fontId="16" fillId="0" borderId="1" xfId="533" applyNumberFormat="1" applyFont="1" applyFill="1" applyBorder="1" applyAlignment="1">
      <alignment horizontal="center" vertical="center" wrapText="1"/>
    </xf>
    <xf numFmtId="0" fontId="9" fillId="0" borderId="1" xfId="1425" applyFont="1" applyFill="1" applyBorder="1" applyAlignment="1">
      <alignment horizontal="center" vertical="center" wrapText="1"/>
    </xf>
    <xf numFmtId="0" fontId="0" fillId="0" borderId="1" xfId="1425" applyBorder="1" applyAlignment="1">
      <alignment horizontal="center" wrapText="1"/>
    </xf>
    <xf numFmtId="176" fontId="3" fillId="0" borderId="1" xfId="533" applyNumberFormat="1" applyFont="1" applyBorder="1" applyAlignment="1">
      <alignment horizontal="center" vertical="center" wrapText="1"/>
    </xf>
    <xf numFmtId="0" fontId="0" fillId="0" borderId="2" xfId="1425" applyBorder="1" applyAlignment="1">
      <alignment horizontal="center" wrapText="1"/>
    </xf>
    <xf numFmtId="176" fontId="3" fillId="0" borderId="2" xfId="533" applyNumberFormat="1" applyFont="1" applyBorder="1" applyAlignment="1">
      <alignment horizontal="center" vertical="center" wrapText="1"/>
    </xf>
    <xf numFmtId="0" fontId="17" fillId="0" borderId="2" xfId="1425" applyFont="1" applyFill="1" applyBorder="1" applyAlignment="1">
      <alignment horizontal="center" vertical="center" wrapText="1"/>
    </xf>
    <xf numFmtId="0" fontId="0" fillId="0" borderId="2" xfId="1425" applyFont="1" applyFill="1" applyBorder="1" applyAlignment="1">
      <alignment horizontal="center" vertical="center" wrapText="1"/>
    </xf>
    <xf numFmtId="49" fontId="18" fillId="0" borderId="2" xfId="0" applyNumberFormat="1" applyFont="1" applyFill="1" applyBorder="1" applyAlignment="1">
      <alignment horizontal="center" vertical="center" wrapText="1"/>
    </xf>
    <xf numFmtId="0" fontId="8" fillId="0" borderId="1" xfId="1425" applyFont="1" applyBorder="1" applyAlignment="1">
      <alignment horizontal="center" vertical="center" wrapText="1"/>
    </xf>
    <xf numFmtId="0" fontId="0" fillId="0" borderId="1" xfId="1425" applyBorder="1" applyAlignment="1">
      <alignment horizontal="center" vertical="center" wrapText="1"/>
    </xf>
    <xf numFmtId="0" fontId="19" fillId="0" borderId="4" xfId="1670" applyFont="1" applyFill="1" applyBorder="1" applyAlignment="1" applyProtection="1">
      <alignment horizontal="center" vertical="center" wrapText="1"/>
    </xf>
    <xf numFmtId="0" fontId="4" fillId="0" borderId="0" xfId="0" applyFont="1" applyBorder="1" applyAlignment="1">
      <alignment horizontal="center" vertical="center"/>
    </xf>
    <xf numFmtId="0" fontId="4" fillId="0" borderId="0" xfId="0" applyFont="1" applyFill="1" applyBorder="1" applyAlignment="1">
      <alignment vertical="center"/>
    </xf>
    <xf numFmtId="0" fontId="4" fillId="0" borderId="0" xfId="533" applyFont="1" applyFill="1" applyBorder="1" applyAlignment="1">
      <alignment horizontal="center" vertical="center" wrapText="1"/>
    </xf>
    <xf numFmtId="0" fontId="0" fillId="0" borderId="0" xfId="0" applyBorder="1"/>
    <xf numFmtId="0" fontId="4" fillId="0" borderId="0" xfId="0" applyFont="1" applyAlignment="1">
      <alignment vertical="center" wrapText="1"/>
    </xf>
    <xf numFmtId="0" fontId="4" fillId="0" borderId="0" xfId="0" applyFont="1" applyAlignment="1">
      <alignment vertical="center"/>
    </xf>
    <xf numFmtId="0" fontId="4" fillId="0" borderId="0" xfId="2858"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0" fontId="20" fillId="0" borderId="0" xfId="2858" applyFont="1" applyAlignment="1">
      <alignment horizontal="center" vertical="center"/>
    </xf>
    <xf numFmtId="0" fontId="4" fillId="0" borderId="0" xfId="0" applyFont="1" applyBorder="1" applyAlignment="1">
      <alignment vertical="center"/>
    </xf>
    <xf numFmtId="0" fontId="4" fillId="0" borderId="0" xfId="2858" applyFont="1" applyAlignment="1">
      <alignment vertical="center" wrapText="1"/>
    </xf>
    <xf numFmtId="0" fontId="4" fillId="0" borderId="0" xfId="2858" applyFont="1" applyAlignment="1">
      <alignment vertical="center"/>
    </xf>
    <xf numFmtId="0" fontId="4" fillId="0" borderId="0" xfId="2858" applyFont="1" applyAlignment="1">
      <alignment horizontal="left" vertical="center"/>
    </xf>
    <xf numFmtId="0" fontId="21" fillId="0" borderId="0" xfId="2858" applyFont="1" applyAlignment="1">
      <alignment horizontal="center" vertical="center" wrapText="1"/>
    </xf>
    <xf numFmtId="0" fontId="21" fillId="0" borderId="0" xfId="1118" applyFont="1" applyFill="1" applyBorder="1" applyAlignment="1">
      <alignment horizontal="center" vertical="center"/>
    </xf>
    <xf numFmtId="0" fontId="21" fillId="0" borderId="0" xfId="1118" applyFont="1" applyFill="1" applyBorder="1" applyAlignment="1">
      <alignment horizontal="left" vertical="center"/>
    </xf>
    <xf numFmtId="49" fontId="22" fillId="0" borderId="1" xfId="533" applyNumberFormat="1" applyFont="1" applyFill="1" applyBorder="1" applyAlignment="1">
      <alignment horizontal="center" vertical="center" wrapText="1"/>
    </xf>
    <xf numFmtId="0" fontId="22" fillId="0" borderId="1" xfId="2936" applyFont="1" applyFill="1" applyBorder="1" applyAlignment="1">
      <alignment horizontal="center" vertical="center" wrapText="1"/>
    </xf>
    <xf numFmtId="0" fontId="22" fillId="0" borderId="1" xfId="533" applyFont="1" applyFill="1" applyBorder="1" applyAlignment="1">
      <alignment horizontal="center" vertical="center" wrapText="1"/>
    </xf>
    <xf numFmtId="0" fontId="4" fillId="0" borderId="1" xfId="2858" applyFont="1" applyBorder="1" applyAlignment="1">
      <alignment vertical="center" wrapText="1"/>
    </xf>
    <xf numFmtId="49" fontId="4" fillId="0" borderId="1" xfId="533" applyNumberFormat="1" applyFont="1" applyFill="1" applyBorder="1" applyAlignment="1">
      <alignment horizontal="left" vertical="center" wrapText="1"/>
    </xf>
    <xf numFmtId="0" fontId="4" fillId="0" borderId="1" xfId="533" applyFont="1" applyFill="1" applyBorder="1" applyAlignment="1">
      <alignment horizontal="center" vertical="center" wrapText="1"/>
    </xf>
    <xf numFmtId="0" fontId="23" fillId="0" borderId="1" xfId="2858" applyFont="1" applyBorder="1" applyAlignment="1">
      <alignment vertical="center" wrapText="1"/>
    </xf>
    <xf numFmtId="0" fontId="24" fillId="0" borderId="1" xfId="1018" applyFont="1" applyFill="1" applyBorder="1" applyAlignment="1">
      <alignment horizontal="left" vertical="center" wrapText="1"/>
    </xf>
    <xf numFmtId="0" fontId="4" fillId="0" borderId="1" xfId="2858" applyFont="1" applyBorder="1" applyAlignment="1">
      <alignment horizontal="left" vertical="center" wrapText="1"/>
    </xf>
    <xf numFmtId="49" fontId="4" fillId="0" borderId="1" xfId="1425" applyNumberFormat="1" applyFont="1" applyFill="1" applyBorder="1" applyAlignment="1">
      <alignment horizontal="left" vertical="center" wrapText="1"/>
    </xf>
    <xf numFmtId="0" fontId="4" fillId="0" borderId="1" xfId="1425" applyFont="1" applyFill="1" applyBorder="1" applyAlignment="1">
      <alignment horizontal="left" vertical="center" wrapText="1"/>
    </xf>
    <xf numFmtId="49" fontId="4" fillId="0" borderId="1" xfId="1990" applyNumberFormat="1" applyFont="1" applyFill="1" applyBorder="1" applyAlignment="1">
      <alignment horizontal="left" vertical="center" wrapText="1"/>
    </xf>
    <xf numFmtId="0" fontId="4" fillId="0" borderId="1" xfId="1990" applyFont="1" applyFill="1" applyBorder="1" applyAlignment="1">
      <alignment horizontal="left" vertical="center" wrapText="1"/>
    </xf>
    <xf numFmtId="0" fontId="23" fillId="0" borderId="1" xfId="2858" applyFont="1" applyFill="1" applyBorder="1" applyAlignment="1">
      <alignment vertical="center" wrapText="1"/>
    </xf>
    <xf numFmtId="0" fontId="4" fillId="0" borderId="1" xfId="2546" applyFont="1" applyFill="1" applyBorder="1" applyAlignment="1">
      <alignment horizontal="left" vertical="center" wrapText="1"/>
    </xf>
    <xf numFmtId="0" fontId="4" fillId="0" borderId="1" xfId="2858" applyFont="1" applyFill="1" applyBorder="1" applyAlignment="1">
      <alignment horizontal="left" vertical="center" wrapText="1"/>
    </xf>
    <xf numFmtId="49" fontId="4" fillId="0" borderId="1" xfId="1296" applyNumberFormat="1" applyFont="1" applyFill="1" applyBorder="1" applyAlignment="1" applyProtection="1">
      <alignment horizontal="center" vertical="center" wrapText="1"/>
    </xf>
    <xf numFmtId="0" fontId="4" fillId="0" borderId="1" xfId="2858" applyFont="1" applyFill="1" applyBorder="1" applyAlignment="1">
      <alignment vertical="center" wrapText="1"/>
    </xf>
    <xf numFmtId="0" fontId="4" fillId="0" borderId="1" xfId="1018" applyFont="1" applyFill="1" applyBorder="1" applyAlignment="1">
      <alignment horizontal="left" vertical="center" wrapText="1"/>
    </xf>
    <xf numFmtId="0" fontId="25" fillId="0" borderId="1" xfId="533" applyFont="1" applyFill="1" applyBorder="1" applyAlignment="1">
      <alignment horizontal="left" vertical="center" wrapText="1"/>
    </xf>
    <xf numFmtId="0" fontId="26" fillId="0" borderId="1" xfId="533" applyFont="1" applyFill="1" applyBorder="1" applyAlignment="1">
      <alignment horizontal="left" vertical="center" wrapText="1"/>
    </xf>
    <xf numFmtId="0" fontId="24" fillId="0" borderId="1" xfId="533" applyFont="1" applyFill="1" applyBorder="1" applyAlignment="1">
      <alignment horizontal="center" vertical="center" wrapText="1"/>
    </xf>
    <xf numFmtId="0" fontId="24" fillId="0" borderId="1" xfId="533" applyFont="1" applyFill="1" applyBorder="1" applyAlignment="1">
      <alignment horizontal="left" vertical="center" wrapText="1"/>
    </xf>
    <xf numFmtId="0" fontId="4" fillId="0" borderId="1" xfId="1296" applyFont="1" applyFill="1" applyBorder="1" applyAlignment="1">
      <alignment horizontal="left" vertical="center" wrapText="1"/>
    </xf>
    <xf numFmtId="0" fontId="23" fillId="0" borderId="1" xfId="2858" applyFont="1" applyBorder="1" applyAlignment="1">
      <alignment horizontal="left" vertical="center" wrapText="1"/>
    </xf>
    <xf numFmtId="0" fontId="20" fillId="0" borderId="1" xfId="533" applyFont="1" applyFill="1" applyBorder="1" applyAlignment="1">
      <alignment horizontal="left" vertical="center" wrapText="1"/>
    </xf>
    <xf numFmtId="49" fontId="27" fillId="0" borderId="1" xfId="533" applyNumberFormat="1" applyFont="1" applyFill="1" applyBorder="1" applyAlignment="1">
      <alignment horizontal="left" vertical="center" wrapText="1"/>
    </xf>
    <xf numFmtId="0" fontId="27" fillId="0" borderId="1" xfId="533" applyFont="1" applyFill="1" applyBorder="1" applyAlignment="1">
      <alignment horizontal="center" vertical="center" wrapText="1"/>
    </xf>
    <xf numFmtId="0" fontId="27" fillId="0" borderId="1" xfId="533" applyFont="1" applyFill="1" applyBorder="1" applyAlignment="1">
      <alignment horizontal="left" vertical="center" wrapText="1"/>
    </xf>
    <xf numFmtId="0" fontId="23" fillId="3" borderId="5" xfId="1118" applyFont="1" applyFill="1" applyBorder="1" applyAlignment="1">
      <alignment horizontal="center" vertical="center"/>
    </xf>
    <xf numFmtId="0" fontId="23" fillId="3" borderId="6" xfId="1118" applyFont="1" applyFill="1" applyBorder="1" applyAlignment="1">
      <alignment horizontal="center" vertical="center"/>
    </xf>
    <xf numFmtId="0" fontId="22" fillId="0" borderId="1" xfId="533" applyFont="1" applyFill="1" applyBorder="1" applyAlignment="1">
      <alignment horizontal="left" vertical="center" wrapText="1"/>
    </xf>
    <xf numFmtId="177" fontId="22" fillId="0" borderId="1" xfId="533" applyNumberFormat="1" applyFont="1" applyFill="1" applyBorder="1" applyAlignment="1">
      <alignment horizontal="center" vertical="center" wrapText="1"/>
    </xf>
    <xf numFmtId="176" fontId="22" fillId="0" borderId="1" xfId="533" applyNumberFormat="1" applyFont="1" applyFill="1" applyBorder="1" applyAlignment="1">
      <alignment horizontal="center" vertical="center" wrapText="1"/>
    </xf>
    <xf numFmtId="0" fontId="4" fillId="0" borderId="1" xfId="2419" applyFont="1" applyBorder="1" applyAlignment="1">
      <alignment horizontal="center" vertical="center" wrapText="1"/>
    </xf>
    <xf numFmtId="176" fontId="4" fillId="0" borderId="1" xfId="533" applyNumberFormat="1" applyFont="1" applyFill="1" applyBorder="1" applyAlignment="1">
      <alignment horizontal="center" vertical="center" wrapText="1"/>
    </xf>
    <xf numFmtId="0" fontId="24" fillId="0" borderId="1" xfId="2419" applyFont="1" applyBorder="1" applyAlignment="1">
      <alignment horizontal="left" vertical="center" wrapText="1"/>
    </xf>
    <xf numFmtId="0" fontId="4" fillId="0" borderId="1" xfId="2858" applyFont="1" applyBorder="1" applyAlignment="1">
      <alignment horizontal="center" vertical="center" wrapText="1"/>
    </xf>
    <xf numFmtId="9" fontId="4" fillId="0" borderId="1" xfId="1101" applyNumberFormat="1" applyFont="1" applyFill="1" applyBorder="1" applyAlignment="1">
      <alignment vertical="center" wrapText="1"/>
    </xf>
    <xf numFmtId="0" fontId="4" fillId="0" borderId="1" xfId="1101" applyFont="1" applyFill="1" applyBorder="1" applyAlignment="1">
      <alignment vertical="center" wrapText="1"/>
    </xf>
    <xf numFmtId="0" fontId="4" fillId="0" borderId="1" xfId="1101" applyFont="1" applyFill="1" applyBorder="1" applyAlignment="1">
      <alignment horizontal="center" vertical="center" wrapText="1"/>
    </xf>
    <xf numFmtId="0" fontId="4" fillId="0" borderId="1" xfId="1101" applyNumberFormat="1" applyFont="1" applyFill="1" applyBorder="1" applyAlignment="1">
      <alignment vertical="center" wrapText="1"/>
    </xf>
    <xf numFmtId="0" fontId="4" fillId="0" borderId="1" xfId="1425" applyFont="1" applyFill="1" applyBorder="1" applyAlignment="1">
      <alignment horizontal="center" vertical="center" wrapText="1"/>
    </xf>
    <xf numFmtId="0" fontId="4" fillId="0" borderId="1" xfId="2858" applyFont="1" applyBorder="1" applyAlignment="1">
      <alignment vertical="center"/>
    </xf>
    <xf numFmtId="176" fontId="24" fillId="0" borderId="1" xfId="533" applyNumberFormat="1" applyFont="1" applyFill="1" applyBorder="1" applyAlignment="1">
      <alignment horizontal="center" vertical="center" wrapText="1"/>
    </xf>
    <xf numFmtId="0" fontId="4" fillId="0" borderId="1" xfId="2419" applyFont="1" applyBorder="1" applyAlignment="1">
      <alignment horizontal="left" vertical="center" wrapText="1"/>
    </xf>
    <xf numFmtId="0" fontId="4" fillId="0" borderId="1" xfId="3970" applyFont="1" applyFill="1" applyBorder="1" applyAlignment="1">
      <alignment horizontal="left" vertical="center" wrapText="1"/>
    </xf>
    <xf numFmtId="0" fontId="4" fillId="0" borderId="1" xfId="2858" applyFont="1" applyFill="1" applyBorder="1" applyAlignment="1">
      <alignment vertical="center"/>
    </xf>
    <xf numFmtId="9" fontId="4" fillId="0" borderId="1" xfId="2858" applyNumberFormat="1" applyFont="1" applyBorder="1" applyAlignment="1">
      <alignment horizontal="center" vertical="center" wrapText="1"/>
    </xf>
    <xf numFmtId="0" fontId="4" fillId="0" borderId="1" xfId="2858" applyFont="1" applyFill="1" applyBorder="1" applyAlignment="1">
      <alignment horizontal="center" vertical="center" wrapText="1"/>
    </xf>
    <xf numFmtId="0" fontId="4" fillId="0" borderId="1" xfId="2858" applyFont="1" applyBorder="1" applyAlignment="1">
      <alignment horizontal="center" vertical="center"/>
    </xf>
    <xf numFmtId="0" fontId="4" fillId="0" borderId="1" xfId="2858" applyFont="1" applyFill="1" applyBorder="1" applyAlignment="1">
      <alignment horizontal="center" vertical="center"/>
    </xf>
    <xf numFmtId="0" fontId="28" fillId="0" borderId="1" xfId="2858" applyFont="1" applyFill="1" applyBorder="1" applyAlignment="1">
      <alignment vertical="center" wrapText="1"/>
    </xf>
    <xf numFmtId="9" fontId="4" fillId="0" borderId="1" xfId="2858" applyNumberFormat="1" applyFont="1" applyFill="1" applyBorder="1" applyAlignment="1">
      <alignment horizontal="center" vertical="center" wrapText="1"/>
    </xf>
    <xf numFmtId="0" fontId="26" fillId="0" borderId="1" xfId="533" applyFont="1" applyFill="1" applyBorder="1" applyAlignment="1">
      <alignment horizontal="center" vertical="center" wrapText="1"/>
    </xf>
    <xf numFmtId="0" fontId="4" fillId="0" borderId="1" xfId="2936" applyFont="1" applyFill="1" applyBorder="1" applyAlignment="1">
      <alignment vertical="center" wrapText="1"/>
    </xf>
    <xf numFmtId="0" fontId="24" fillId="0" borderId="1" xfId="2936" applyFont="1" applyFill="1" applyBorder="1" applyAlignment="1">
      <alignment vertical="center" wrapText="1"/>
    </xf>
    <xf numFmtId="0" fontId="4" fillId="0" borderId="1" xfId="2936" applyFont="1" applyFill="1" applyBorder="1" applyAlignment="1">
      <alignment horizontal="center" vertical="center" wrapText="1"/>
    </xf>
    <xf numFmtId="49" fontId="4" fillId="0" borderId="1" xfId="533"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176" fontId="27" fillId="0" borderId="1" xfId="533" applyNumberFormat="1" applyFont="1" applyFill="1" applyBorder="1" applyAlignment="1">
      <alignment horizontal="center" vertical="center" wrapText="1"/>
    </xf>
    <xf numFmtId="0" fontId="27" fillId="0" borderId="1" xfId="0" applyFont="1" applyFill="1" applyBorder="1" applyAlignment="1">
      <alignment horizontal="center" vertical="center" wrapText="1"/>
    </xf>
    <xf numFmtId="0" fontId="4" fillId="0" borderId="1" xfId="0" applyFont="1" applyBorder="1" applyAlignment="1">
      <alignment horizontal="center" vertical="center"/>
    </xf>
    <xf numFmtId="0" fontId="20" fillId="0" borderId="1" xfId="2858" applyFont="1" applyBorder="1" applyAlignment="1">
      <alignment horizontal="center" vertical="center"/>
    </xf>
    <xf numFmtId="0" fontId="4" fillId="0" borderId="1" xfId="0" applyFont="1" applyBorder="1" applyAlignment="1">
      <alignment vertical="center"/>
    </xf>
    <xf numFmtId="0" fontId="20" fillId="0" borderId="1" xfId="3970" applyFont="1" applyFill="1" applyBorder="1" applyAlignment="1">
      <alignment horizontal="center" vertical="center" wrapText="1"/>
    </xf>
    <xf numFmtId="0" fontId="25" fillId="0" borderId="1" xfId="1101" applyFont="1" applyFill="1" applyBorder="1" applyAlignment="1">
      <alignment vertical="center" wrapText="1"/>
    </xf>
    <xf numFmtId="0" fontId="4" fillId="0" borderId="1" xfId="0" applyFont="1" applyFill="1" applyBorder="1" applyAlignment="1">
      <alignment vertical="center"/>
    </xf>
    <xf numFmtId="0" fontId="20" fillId="0" borderId="1" xfId="2858" applyFont="1" applyFill="1" applyBorder="1" applyAlignment="1">
      <alignment horizontal="center" vertical="center"/>
    </xf>
    <xf numFmtId="0" fontId="25" fillId="0" borderId="1" xfId="0" applyFont="1" applyBorder="1" applyAlignment="1">
      <alignment vertical="center" wrapText="1"/>
    </xf>
    <xf numFmtId="0" fontId="25" fillId="0" borderId="1" xfId="0" applyFont="1" applyFill="1" applyBorder="1" applyAlignment="1">
      <alignment vertical="center" wrapText="1"/>
    </xf>
    <xf numFmtId="0" fontId="24" fillId="0" borderId="1" xfId="1101" applyFont="1" applyFill="1" applyBorder="1" applyAlignment="1">
      <alignment vertical="center" wrapText="1"/>
    </xf>
    <xf numFmtId="0" fontId="20" fillId="0" borderId="1" xfId="2858" applyFont="1" applyBorder="1" applyAlignment="1">
      <alignment horizontal="center" vertical="center" wrapText="1"/>
    </xf>
    <xf numFmtId="0" fontId="20" fillId="0" borderId="1" xfId="2858" applyFont="1" applyFill="1" applyBorder="1" applyAlignment="1">
      <alignment horizontal="center" vertical="center" wrapText="1"/>
    </xf>
    <xf numFmtId="0" fontId="25" fillId="0" borderId="1" xfId="2858" applyFont="1" applyFill="1" applyBorder="1" applyAlignment="1">
      <alignment horizontal="left" vertical="center" wrapText="1"/>
    </xf>
    <xf numFmtId="0" fontId="25" fillId="0" borderId="1" xfId="2858" applyFont="1" applyBorder="1" applyAlignment="1">
      <alignment horizontal="left" vertical="center" wrapText="1"/>
    </xf>
    <xf numFmtId="0" fontId="4" fillId="0" borderId="1" xfId="1670" applyFont="1" applyFill="1" applyBorder="1" applyAlignment="1">
      <alignment horizontal="center" vertical="center" wrapText="1"/>
    </xf>
    <xf numFmtId="49" fontId="4" fillId="0" borderId="1" xfId="1670" applyNumberFormat="1" applyFont="1" applyFill="1" applyBorder="1" applyAlignment="1">
      <alignment horizontal="center" vertical="center" wrapText="1"/>
    </xf>
    <xf numFmtId="0" fontId="4" fillId="0" borderId="1" xfId="533" applyFont="1" applyBorder="1" applyAlignment="1">
      <alignment horizontal="left" vertical="center" wrapText="1"/>
    </xf>
    <xf numFmtId="49" fontId="4" fillId="0" borderId="1" xfId="533" applyNumberFormat="1" applyFont="1" applyBorder="1" applyAlignment="1">
      <alignment horizontal="left" vertical="center" wrapText="1"/>
    </xf>
    <xf numFmtId="0" fontId="4" fillId="0" borderId="1" xfId="0" applyFont="1" applyBorder="1" applyAlignment="1">
      <alignment horizontal="center" vertical="center" wrapText="1"/>
    </xf>
    <xf numFmtId="0" fontId="27" fillId="0" borderId="1" xfId="0" applyFont="1" applyBorder="1" applyAlignment="1">
      <alignment vertical="center" wrapText="1"/>
    </xf>
    <xf numFmtId="0" fontId="4" fillId="0" borderId="1" xfId="533" applyFont="1" applyBorder="1" applyAlignment="1">
      <alignment horizontal="center" vertical="center" wrapText="1"/>
    </xf>
    <xf numFmtId="49" fontId="4" fillId="0" borderId="1" xfId="533" applyNumberFormat="1" applyFont="1" applyBorder="1" applyAlignment="1">
      <alignment horizontal="center" vertical="center" wrapText="1"/>
    </xf>
    <xf numFmtId="0" fontId="1" fillId="0" borderId="0" xfId="0" applyFont="1" applyFill="1" applyBorder="1" applyAlignment="1">
      <alignment horizontal="left" vertical="center"/>
    </xf>
    <xf numFmtId="0" fontId="1" fillId="0" borderId="0" xfId="0" applyFont="1" applyFill="1" applyAlignment="1">
      <alignment horizontal="left" vertical="center"/>
    </xf>
    <xf numFmtId="0" fontId="2" fillId="0" borderId="0" xfId="0" applyFont="1" applyAlignment="1">
      <alignment horizontal="left"/>
    </xf>
    <xf numFmtId="0" fontId="1" fillId="0" borderId="0" xfId="0" applyFont="1" applyFill="1" applyAlignment="1">
      <alignment vertical="center"/>
    </xf>
    <xf numFmtId="0" fontId="1" fillId="0" borderId="0" xfId="0" applyFont="1" applyBorder="1" applyAlignment="1">
      <alignment horizontal="left" vertical="center"/>
    </xf>
    <xf numFmtId="0" fontId="1" fillId="0" borderId="0" xfId="0" applyFont="1" applyFill="1" applyAlignment="1">
      <alignment horizontal="center" vertical="center"/>
    </xf>
    <xf numFmtId="0" fontId="2" fillId="0" borderId="0" xfId="0" applyFont="1" applyFill="1" applyAlignment="1">
      <alignment horizontal="center" vertical="center"/>
    </xf>
    <xf numFmtId="0" fontId="2" fillId="0" borderId="0" xfId="0" applyFont="1" applyAlignment="1">
      <alignment horizontal="center"/>
    </xf>
    <xf numFmtId="0" fontId="1" fillId="0" borderId="0" xfId="0" applyFont="1" applyAlignment="1">
      <alignment horizontal="center" vertical="center" wrapText="1"/>
    </xf>
    <xf numFmtId="0" fontId="1" fillId="0" borderId="0" xfId="0" applyNumberFormat="1" applyFont="1" applyAlignment="1">
      <alignment horizontal="center" vertical="center"/>
    </xf>
    <xf numFmtId="0" fontId="1" fillId="0" borderId="0" xfId="2858"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0" xfId="2858"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left"/>
    </xf>
    <xf numFmtId="0" fontId="1" fillId="0" borderId="0" xfId="2858" applyFont="1" applyAlignment="1">
      <alignment horizontal="center" vertical="center" wrapText="1"/>
    </xf>
    <xf numFmtId="0" fontId="1" fillId="0" borderId="0" xfId="2858" applyNumberFormat="1" applyFont="1" applyAlignment="1">
      <alignment horizontal="center" vertical="center"/>
    </xf>
    <xf numFmtId="0" fontId="1" fillId="0" borderId="0" xfId="1118" applyNumberFormat="1" applyFont="1" applyFill="1" applyBorder="1" applyAlignment="1">
      <alignment horizontal="center" vertical="center"/>
    </xf>
    <xf numFmtId="0" fontId="1" fillId="0" borderId="0" xfId="1118" applyFont="1" applyFill="1" applyBorder="1" applyAlignment="1">
      <alignment horizontal="center" vertical="center"/>
    </xf>
    <xf numFmtId="0" fontId="1" fillId="0" borderId="1" xfId="533" applyFont="1" applyFill="1" applyBorder="1" applyAlignment="1">
      <alignment horizontal="center" vertical="center" wrapText="1"/>
    </xf>
    <xf numFmtId="49" fontId="1" fillId="0" borderId="1" xfId="0" applyNumberFormat="1" applyFont="1" applyFill="1" applyBorder="1" applyAlignment="1">
      <alignment horizontal="center" vertical="center"/>
    </xf>
    <xf numFmtId="0" fontId="2" fillId="0" borderId="1" xfId="1425" applyNumberFormat="1" applyFont="1" applyFill="1" applyBorder="1" applyAlignment="1">
      <alignment horizontal="center" vertical="center" wrapText="1"/>
    </xf>
    <xf numFmtId="0" fontId="1" fillId="0" borderId="1" xfId="2858" applyFont="1" applyBorder="1" applyAlignment="1">
      <alignment horizontal="center" vertical="center" wrapText="1"/>
    </xf>
    <xf numFmtId="0" fontId="1" fillId="0" borderId="1" xfId="533" applyNumberFormat="1" applyFont="1" applyFill="1" applyBorder="1" applyAlignment="1">
      <alignment horizontal="center" vertical="center" wrapText="1"/>
    </xf>
    <xf numFmtId="0" fontId="1" fillId="0" borderId="1" xfId="2858" applyNumberFormat="1" applyFont="1" applyBorder="1" applyAlignment="1">
      <alignment horizontal="center" vertical="center" wrapText="1"/>
    </xf>
    <xf numFmtId="0" fontId="1" fillId="0" borderId="1" xfId="1990" applyNumberFormat="1" applyFont="1" applyFill="1" applyBorder="1" applyAlignment="1">
      <alignment horizontal="center" vertical="center" wrapText="1"/>
    </xf>
    <xf numFmtId="0" fontId="2" fillId="0" borderId="1" xfId="533" applyNumberFormat="1" applyFont="1" applyBorder="1" applyAlignment="1">
      <alignment horizontal="center" vertical="center" wrapText="1"/>
    </xf>
    <xf numFmtId="0" fontId="2" fillId="0" borderId="1" xfId="533" applyFont="1" applyBorder="1" applyAlignment="1">
      <alignment horizontal="center" vertical="center" wrapText="1"/>
    </xf>
    <xf numFmtId="0" fontId="1" fillId="0" borderId="1" xfId="2858" applyFont="1" applyFill="1" applyBorder="1" applyAlignment="1">
      <alignment horizontal="center" vertical="center" wrapText="1"/>
    </xf>
    <xf numFmtId="0" fontId="1" fillId="0" borderId="2" xfId="1425" applyFont="1" applyFill="1" applyBorder="1" applyAlignment="1">
      <alignment horizontal="center" vertical="center" wrapText="1"/>
    </xf>
    <xf numFmtId="0" fontId="1" fillId="0" borderId="1" xfId="1425" applyFont="1" applyFill="1" applyBorder="1" applyAlignment="1">
      <alignment horizontal="center" vertical="center" wrapText="1"/>
    </xf>
    <xf numFmtId="49" fontId="1" fillId="0" borderId="1" xfId="1425" applyNumberFormat="1" applyFont="1" applyFill="1" applyBorder="1" applyAlignment="1">
      <alignment horizontal="center" vertical="center" wrapText="1"/>
    </xf>
    <xf numFmtId="0" fontId="2" fillId="0" borderId="1" xfId="1425" applyFont="1" applyFill="1" applyBorder="1" applyAlignment="1">
      <alignment horizontal="center" vertical="center" wrapText="1"/>
    </xf>
    <xf numFmtId="49" fontId="2" fillId="0" borderId="1" xfId="1425" applyNumberFormat="1" applyFont="1" applyFill="1" applyBorder="1" applyAlignment="1">
      <alignment horizontal="center" vertical="center" wrapText="1"/>
    </xf>
    <xf numFmtId="49" fontId="1" fillId="0" borderId="1" xfId="533" applyNumberFormat="1" applyFont="1" applyFill="1" applyBorder="1" applyAlignment="1">
      <alignment horizontal="center" vertical="center" wrapText="1"/>
    </xf>
    <xf numFmtId="49" fontId="29" fillId="0" borderId="1" xfId="533" applyNumberFormat="1" applyFont="1" applyFill="1" applyBorder="1" applyAlignment="1">
      <alignment horizontal="center" vertical="center" wrapText="1"/>
    </xf>
    <xf numFmtId="49" fontId="1" fillId="0" borderId="2" xfId="0" applyNumberFormat="1" applyFont="1" applyFill="1" applyBorder="1" applyAlignment="1">
      <alignment horizontal="center" vertical="center"/>
    </xf>
    <xf numFmtId="49" fontId="1" fillId="0" borderId="1" xfId="533" applyNumberFormat="1" applyFont="1" applyBorder="1" applyAlignment="1">
      <alignment horizontal="center" vertical="center" wrapText="1"/>
    </xf>
    <xf numFmtId="49" fontId="2" fillId="0" borderId="1" xfId="533" applyNumberFormat="1" applyFont="1" applyBorder="1" applyAlignment="1">
      <alignment horizontal="center" vertical="center" wrapText="1"/>
    </xf>
    <xf numFmtId="0" fontId="1" fillId="0" borderId="1" xfId="533" applyFont="1" applyBorder="1" applyAlignment="1">
      <alignment horizontal="center" vertical="center" wrapText="1"/>
    </xf>
    <xf numFmtId="0" fontId="1" fillId="0" borderId="1" xfId="1034" applyFont="1" applyFill="1" applyBorder="1" applyAlignment="1">
      <alignment horizontal="center" vertical="center" wrapText="1"/>
    </xf>
    <xf numFmtId="49" fontId="1" fillId="0" borderId="1" xfId="1034" applyNumberFormat="1" applyFont="1" applyFill="1" applyBorder="1" applyAlignment="1">
      <alignment horizontal="center" vertical="center" wrapText="1"/>
    </xf>
    <xf numFmtId="0" fontId="2" fillId="0" borderId="1" xfId="1034" applyFont="1" applyFill="1" applyBorder="1" applyAlignment="1">
      <alignment horizontal="center" vertical="center" wrapText="1"/>
    </xf>
    <xf numFmtId="49" fontId="2" fillId="0" borderId="1" xfId="1034" applyNumberFormat="1" applyFont="1" applyFill="1" applyBorder="1" applyAlignment="1">
      <alignment horizontal="center" vertical="center" wrapText="1"/>
    </xf>
    <xf numFmtId="0" fontId="1" fillId="0" borderId="1" xfId="533" applyNumberFormat="1" applyFont="1" applyBorder="1" applyAlignment="1">
      <alignment horizontal="center" vertical="center" wrapText="1"/>
    </xf>
    <xf numFmtId="49" fontId="2" fillId="0" borderId="2" xfId="0" applyNumberFormat="1" applyFont="1" applyFill="1" applyBorder="1" applyAlignment="1">
      <alignment horizontal="center" vertical="center"/>
    </xf>
    <xf numFmtId="49" fontId="1" fillId="0" borderId="1" xfId="1296" applyNumberFormat="1" applyFont="1" applyFill="1" applyBorder="1" applyAlignment="1" applyProtection="1">
      <alignment horizontal="center" vertical="center" wrapText="1"/>
    </xf>
    <xf numFmtId="0" fontId="1" fillId="0" borderId="0" xfId="1118" applyFont="1" applyFill="1" applyBorder="1" applyAlignment="1">
      <alignment horizontal="left" vertical="center"/>
    </xf>
    <xf numFmtId="0" fontId="1" fillId="0" borderId="1" xfId="1425" applyFont="1" applyFill="1" applyBorder="1" applyAlignment="1">
      <alignment horizontal="left" vertical="center" wrapText="1"/>
    </xf>
    <xf numFmtId="49" fontId="2" fillId="0" borderId="1" xfId="1425" applyNumberFormat="1" applyFont="1" applyFill="1" applyBorder="1" applyAlignment="1">
      <alignment horizontal="left" vertical="center" wrapText="1"/>
    </xf>
    <xf numFmtId="0" fontId="1" fillId="0" borderId="1" xfId="533" applyFont="1" applyFill="1" applyBorder="1" applyAlignment="1">
      <alignment horizontal="left" vertical="center" wrapText="1"/>
    </xf>
    <xf numFmtId="0" fontId="1" fillId="0" borderId="1" xfId="2419" applyFont="1" applyBorder="1" applyAlignment="1">
      <alignment horizontal="center" vertical="center" wrapText="1"/>
    </xf>
    <xf numFmtId="0" fontId="1" fillId="0" borderId="1" xfId="2858" applyFont="1" applyBorder="1" applyAlignment="1">
      <alignment horizontal="left" vertical="center" wrapText="1"/>
    </xf>
    <xf numFmtId="0" fontId="2" fillId="0" borderId="1" xfId="2858" applyFont="1" applyBorder="1" applyAlignment="1">
      <alignment horizontal="center" vertical="center" wrapText="1"/>
    </xf>
    <xf numFmtId="0" fontId="1" fillId="0" borderId="1" xfId="1990" applyFont="1" applyFill="1" applyBorder="1" applyAlignment="1">
      <alignment horizontal="left" vertical="center" wrapText="1"/>
    </xf>
    <xf numFmtId="176" fontId="1" fillId="0" borderId="1" xfId="533"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533" applyFont="1" applyBorder="1" applyAlignment="1">
      <alignment horizontal="left" vertical="center" wrapText="1"/>
    </xf>
    <xf numFmtId="0" fontId="2" fillId="0" borderId="1" xfId="533" applyFont="1" applyFill="1" applyBorder="1" applyAlignment="1">
      <alignment horizontal="left" vertical="center" wrapText="1"/>
    </xf>
    <xf numFmtId="0" fontId="2" fillId="0" borderId="1" xfId="2546" applyFont="1" applyFill="1" applyBorder="1" applyAlignment="1">
      <alignment horizontal="left" vertical="center" wrapText="1"/>
    </xf>
    <xf numFmtId="0" fontId="1" fillId="0" borderId="1" xfId="1425" applyFont="1" applyFill="1" applyBorder="1" applyAlignment="1">
      <alignment horizontal="center" vertical="center"/>
    </xf>
    <xf numFmtId="0" fontId="2" fillId="0" borderId="1" xfId="1425" applyFont="1" applyFill="1" applyBorder="1" applyAlignment="1">
      <alignment horizontal="left" vertical="center" wrapText="1"/>
    </xf>
    <xf numFmtId="0" fontId="2" fillId="0" borderId="1" xfId="1425" applyFont="1" applyFill="1" applyBorder="1" applyAlignment="1">
      <alignment horizontal="center" vertical="center"/>
    </xf>
    <xf numFmtId="0" fontId="1" fillId="0" borderId="1" xfId="1425" applyFont="1" applyFill="1" applyBorder="1" applyAlignment="1">
      <alignment horizontal="center"/>
    </xf>
    <xf numFmtId="0" fontId="30" fillId="0" borderId="1" xfId="1034" applyFont="1" applyFill="1" applyBorder="1" applyAlignment="1">
      <alignment horizontal="left" vertical="center" wrapText="1"/>
    </xf>
    <xf numFmtId="0" fontId="1" fillId="0" borderId="1" xfId="1034" applyFont="1" applyFill="1" applyBorder="1" applyAlignment="1">
      <alignment horizontal="left" vertical="center" wrapText="1"/>
    </xf>
    <xf numFmtId="0" fontId="2" fillId="0" borderId="1" xfId="1018" applyFont="1" applyFill="1" applyBorder="1" applyAlignment="1">
      <alignment horizontal="left" vertical="center" wrapText="1"/>
    </xf>
    <xf numFmtId="0" fontId="1" fillId="0" borderId="1" xfId="1425" applyFont="1" applyBorder="1" applyAlignment="1">
      <alignment horizontal="center"/>
    </xf>
    <xf numFmtId="176" fontId="1" fillId="0" borderId="1" xfId="533" applyNumberFormat="1" applyFont="1" applyBorder="1" applyAlignment="1">
      <alignment horizontal="center" vertical="center" wrapText="1"/>
    </xf>
    <xf numFmtId="0" fontId="2" fillId="0" borderId="1" xfId="1425" applyFont="1" applyBorder="1" applyAlignment="1">
      <alignment horizontal="left" vertical="center"/>
    </xf>
    <xf numFmtId="0" fontId="2" fillId="0" borderId="1" xfId="1425" applyFont="1" applyBorder="1" applyAlignment="1">
      <alignment horizontal="center"/>
    </xf>
    <xf numFmtId="176" fontId="2" fillId="0" borderId="1" xfId="533" applyNumberFormat="1" applyFont="1" applyBorder="1" applyAlignment="1">
      <alignment horizontal="center" vertical="center" wrapText="1"/>
    </xf>
    <xf numFmtId="0" fontId="30" fillId="0" borderId="4" xfId="1670" applyFont="1" applyFill="1" applyBorder="1" applyAlignment="1" applyProtection="1">
      <alignment horizontal="center" vertical="center" wrapText="1"/>
    </xf>
    <xf numFmtId="0" fontId="1" fillId="0" borderId="1" xfId="3804" applyFont="1" applyFill="1" applyBorder="1" applyAlignment="1">
      <alignment horizontal="left" vertical="center" wrapText="1"/>
    </xf>
    <xf numFmtId="49" fontId="1" fillId="0" borderId="1" xfId="662" applyNumberFormat="1" applyFont="1" applyFill="1" applyBorder="1" applyAlignment="1">
      <alignment horizontal="left" vertical="center" wrapText="1"/>
    </xf>
    <xf numFmtId="0" fontId="1" fillId="0" borderId="1" xfId="533" applyFont="1" applyFill="1" applyBorder="1" applyAlignment="1">
      <alignment horizontal="center" vertical="center"/>
    </xf>
    <xf numFmtId="49" fontId="2" fillId="0" borderId="1" xfId="662" applyNumberFormat="1" applyFont="1" applyFill="1" applyBorder="1" applyAlignment="1">
      <alignment horizontal="left" vertical="center" wrapText="1"/>
    </xf>
    <xf numFmtId="0" fontId="2" fillId="0" borderId="1" xfId="533" applyFont="1" applyFill="1" applyBorder="1" applyAlignment="1">
      <alignment horizontal="center" vertical="center"/>
    </xf>
    <xf numFmtId="0" fontId="2" fillId="0" borderId="1" xfId="2858" applyFont="1" applyFill="1" applyBorder="1" applyAlignment="1">
      <alignment horizontal="left" vertical="center" wrapText="1"/>
    </xf>
    <xf numFmtId="0" fontId="1" fillId="0" borderId="1" xfId="2858" applyFont="1" applyBorder="1" applyAlignment="1">
      <alignment horizontal="center" vertical="center"/>
    </xf>
    <xf numFmtId="0" fontId="1" fillId="0" borderId="1" xfId="2858" applyFont="1" applyFill="1" applyBorder="1" applyAlignment="1">
      <alignment horizontal="left" vertical="center" wrapText="1"/>
    </xf>
    <xf numFmtId="0" fontId="1" fillId="0" borderId="1" xfId="2858" applyFont="1" applyFill="1" applyBorder="1" applyAlignment="1">
      <alignment horizontal="center" vertical="center"/>
    </xf>
    <xf numFmtId="0" fontId="1" fillId="0" borderId="1" xfId="533" applyFont="1" applyBorder="1" applyAlignment="1">
      <alignment horizontal="left" vertical="center" wrapText="1"/>
    </xf>
    <xf numFmtId="0" fontId="1" fillId="3" borderId="5" xfId="1118" applyFont="1" applyFill="1" applyBorder="1" applyAlignment="1">
      <alignment horizontal="center" vertical="center"/>
    </xf>
    <xf numFmtId="0" fontId="1" fillId="3" borderId="6" xfId="1118" applyFont="1" applyFill="1" applyBorder="1" applyAlignment="1">
      <alignment horizontal="center" vertical="center"/>
    </xf>
    <xf numFmtId="0" fontId="1" fillId="0" borderId="3" xfId="0" applyFont="1" applyBorder="1" applyAlignment="1">
      <alignment horizontal="center" vertical="center"/>
    </xf>
    <xf numFmtId="0" fontId="1" fillId="0" borderId="3" xfId="2858" applyFont="1" applyBorder="1" applyAlignment="1">
      <alignment horizontal="left" vertical="center"/>
    </xf>
    <xf numFmtId="0" fontId="1" fillId="0" borderId="0" xfId="2858" applyFont="1" applyBorder="1" applyAlignment="1">
      <alignment horizontal="left" vertical="center"/>
    </xf>
    <xf numFmtId="0" fontId="2" fillId="0" borderId="1" xfId="1101" applyFont="1" applyFill="1" applyBorder="1" applyAlignment="1">
      <alignment horizontal="left" vertical="center" wrapText="1"/>
    </xf>
    <xf numFmtId="49" fontId="1" fillId="0" borderId="3" xfId="1425" applyNumberFormat="1" applyFont="1" applyFill="1" applyBorder="1" applyAlignment="1">
      <alignment horizontal="left" vertical="center" wrapText="1"/>
    </xf>
    <xf numFmtId="49" fontId="1" fillId="0" borderId="0" xfId="1425" applyNumberFormat="1" applyFont="1" applyFill="1" applyBorder="1" applyAlignment="1">
      <alignment horizontal="left" vertical="center" wrapText="1"/>
    </xf>
    <xf numFmtId="0" fontId="1" fillId="0" borderId="1" xfId="2419" applyFont="1" applyBorder="1" applyAlignment="1">
      <alignment horizontal="left" vertical="center" wrapText="1"/>
    </xf>
    <xf numFmtId="0" fontId="1" fillId="0" borderId="1" xfId="3970" applyFont="1" applyFill="1" applyBorder="1" applyAlignment="1">
      <alignment horizontal="center" vertical="center" wrapText="1"/>
    </xf>
    <xf numFmtId="0" fontId="1" fillId="0" borderId="3" xfId="3970" applyFont="1" applyFill="1" applyBorder="1" applyAlignment="1">
      <alignment horizontal="left" vertical="center" wrapText="1"/>
    </xf>
    <xf numFmtId="0" fontId="1" fillId="0" borderId="0" xfId="3970" applyFont="1" applyFill="1" applyBorder="1" applyAlignment="1">
      <alignment horizontal="left" vertical="center" wrapText="1"/>
    </xf>
    <xf numFmtId="0" fontId="1" fillId="0" borderId="3" xfId="2858" applyFont="1" applyBorder="1" applyAlignment="1">
      <alignment horizontal="left" vertical="center" wrapText="1"/>
    </xf>
    <xf numFmtId="0" fontId="1" fillId="0" borderId="0" xfId="2858" applyFont="1" applyBorder="1" applyAlignment="1">
      <alignment horizontal="left" vertical="center" wrapText="1"/>
    </xf>
    <xf numFmtId="0" fontId="1" fillId="0" borderId="3" xfId="2858" applyFont="1" applyFill="1" applyBorder="1" applyAlignment="1">
      <alignment horizontal="left" vertical="center"/>
    </xf>
    <xf numFmtId="0" fontId="1" fillId="0" borderId="0" xfId="2858" applyFont="1" applyFill="1" applyBorder="1" applyAlignment="1">
      <alignment horizontal="left" vertical="center"/>
    </xf>
    <xf numFmtId="9" fontId="1" fillId="0" borderId="1" xfId="2858" applyNumberFormat="1" applyFont="1" applyBorder="1" applyAlignment="1">
      <alignment horizontal="center" vertical="center" wrapText="1"/>
    </xf>
    <xf numFmtId="0" fontId="1" fillId="0" borderId="1" xfId="1101" applyFont="1" applyFill="1" applyBorder="1" applyAlignment="1">
      <alignment horizontal="center" vertical="center" wrapText="1"/>
    </xf>
    <xf numFmtId="0" fontId="2" fillId="0" borderId="1" xfId="0" applyFont="1" applyFill="1" applyBorder="1" applyAlignment="1">
      <alignment horizontal="center" vertical="center" wrapText="1"/>
    </xf>
    <xf numFmtId="9" fontId="2" fillId="0" borderId="1" xfId="0" applyNumberFormat="1" applyFont="1" applyFill="1" applyBorder="1" applyAlignment="1">
      <alignment horizontal="center" vertical="center" wrapText="1"/>
    </xf>
    <xf numFmtId="0" fontId="1" fillId="0" borderId="1" xfId="1101" applyFont="1" applyFill="1" applyBorder="1" applyAlignment="1">
      <alignment horizontal="left" vertical="center" wrapText="1"/>
    </xf>
    <xf numFmtId="9" fontId="2" fillId="0" borderId="1" xfId="2858" applyNumberFormat="1" applyFont="1" applyBorder="1" applyAlignment="1">
      <alignment horizontal="center" vertical="center" wrapText="1"/>
    </xf>
    <xf numFmtId="0" fontId="2" fillId="0" borderId="1" xfId="1101"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3" xfId="0" applyFont="1" applyBorder="1" applyAlignment="1">
      <alignment horizontal="left" vertical="center"/>
    </xf>
    <xf numFmtId="0" fontId="1" fillId="0" borderId="1" xfId="2936" applyFont="1" applyFill="1" applyBorder="1" applyAlignment="1">
      <alignment horizontal="center" vertical="center" wrapText="1"/>
    </xf>
    <xf numFmtId="9" fontId="1" fillId="0" borderId="1" xfId="1101" applyNumberFormat="1" applyFont="1" applyFill="1" applyBorder="1" applyAlignment="1">
      <alignment horizontal="center" vertical="center" wrapText="1"/>
    </xf>
    <xf numFmtId="0" fontId="1" fillId="0" borderId="3" xfId="1034" applyFont="1" applyFill="1" applyBorder="1" applyAlignment="1">
      <alignment horizontal="left" vertical="center" wrapText="1"/>
    </xf>
    <xf numFmtId="176" fontId="2" fillId="0" borderId="1" xfId="533" applyNumberFormat="1" applyFont="1" applyFill="1" applyBorder="1" applyAlignment="1">
      <alignment horizontal="left" vertical="center" wrapText="1"/>
    </xf>
    <xf numFmtId="0" fontId="31" fillId="0" borderId="1" xfId="533" applyFont="1" applyFill="1" applyBorder="1" applyAlignment="1">
      <alignment horizontal="left" vertical="center" wrapText="1"/>
    </xf>
    <xf numFmtId="0" fontId="1" fillId="0" borderId="1" xfId="0" applyFont="1" applyFill="1" applyBorder="1" applyAlignment="1">
      <alignment horizontal="center" vertical="center" wrapText="1"/>
    </xf>
    <xf numFmtId="0" fontId="29" fillId="0" borderId="1" xfId="533" applyFont="1" applyFill="1" applyBorder="1" applyAlignment="1">
      <alignment horizontal="left" vertical="center" wrapText="1"/>
    </xf>
    <xf numFmtId="0" fontId="29" fillId="0" borderId="1" xfId="1101" applyFont="1" applyFill="1" applyBorder="1" applyAlignment="1">
      <alignment horizontal="left" vertical="center" wrapText="1"/>
    </xf>
    <xf numFmtId="9" fontId="1" fillId="0" borderId="1" xfId="0" applyNumberFormat="1" applyFont="1" applyFill="1" applyBorder="1" applyAlignment="1">
      <alignment horizontal="center" vertical="center" wrapText="1"/>
    </xf>
    <xf numFmtId="0" fontId="2" fillId="0" borderId="1" xfId="0" applyFont="1" applyFill="1" applyBorder="1" applyAlignment="1">
      <alignment vertical="center" wrapText="1"/>
    </xf>
    <xf numFmtId="0" fontId="1" fillId="0" borderId="3" xfId="1425" applyFont="1" applyBorder="1" applyAlignment="1">
      <alignment horizontal="center"/>
    </xf>
    <xf numFmtId="0" fontId="1" fillId="0" borderId="0" xfId="1425" applyFont="1" applyBorder="1" applyAlignment="1">
      <alignment horizontal="center"/>
    </xf>
    <xf numFmtId="0" fontId="1" fillId="0" borderId="0" xfId="1425" applyFont="1" applyFill="1" applyBorder="1" applyAlignment="1">
      <alignment horizontal="center" vertical="center" wrapText="1"/>
    </xf>
    <xf numFmtId="0" fontId="2" fillId="0" borderId="1" xfId="1425" applyFont="1" applyBorder="1" applyAlignment="1">
      <alignment horizontal="left" vertical="center" wrapText="1"/>
    </xf>
    <xf numFmtId="0" fontId="2" fillId="0" borderId="1" xfId="1425" applyFont="1" applyBorder="1" applyAlignment="1">
      <alignment horizontal="left"/>
    </xf>
    <xf numFmtId="0" fontId="2" fillId="0" borderId="3" xfId="2858" applyFont="1" applyBorder="1" applyAlignment="1">
      <alignment horizontal="left" vertical="center"/>
    </xf>
    <xf numFmtId="0" fontId="2" fillId="0" borderId="0" xfId="2858" applyFont="1" applyBorder="1" applyAlignment="1">
      <alignment horizontal="left" vertical="center"/>
    </xf>
    <xf numFmtId="0" fontId="29" fillId="0" borderId="1" xfId="0" applyFont="1" applyBorder="1" applyAlignment="1">
      <alignment horizontal="left" vertical="center" wrapText="1"/>
    </xf>
    <xf numFmtId="0" fontId="1" fillId="0" borderId="3" xfId="533" applyFont="1" applyFill="1" applyBorder="1" applyAlignment="1">
      <alignment horizontal="left" vertical="center" wrapText="1"/>
    </xf>
    <xf numFmtId="0" fontId="1" fillId="0" borderId="0" xfId="533" applyFont="1" applyFill="1" applyBorder="1" applyAlignment="1">
      <alignment horizontal="left" vertical="center" wrapText="1"/>
    </xf>
    <xf numFmtId="0" fontId="2" fillId="0" borderId="1" xfId="0" applyFont="1" applyFill="1" applyBorder="1" applyAlignment="1">
      <alignment horizontal="left" vertical="center"/>
    </xf>
    <xf numFmtId="0" fontId="1" fillId="0" borderId="1" xfId="0" applyFont="1" applyBorder="1" applyAlignment="1">
      <alignment horizontal="center" vertical="center" wrapText="1"/>
    </xf>
    <xf numFmtId="0" fontId="32" fillId="0" borderId="1" xfId="533" applyFont="1" applyBorder="1" applyAlignment="1">
      <alignment horizontal="center" vertical="center" wrapText="1"/>
    </xf>
    <xf numFmtId="49" fontId="2" fillId="0" borderId="1" xfId="533" applyNumberFormat="1" applyFont="1" applyBorder="1" applyAlignment="1">
      <alignment horizontal="left" vertical="center" wrapText="1"/>
    </xf>
    <xf numFmtId="0" fontId="1" fillId="0" borderId="2" xfId="1425" applyFont="1" applyBorder="1" applyAlignment="1">
      <alignment horizontal="center"/>
    </xf>
    <xf numFmtId="176" fontId="1" fillId="0" borderId="2" xfId="533" applyNumberFormat="1" applyFont="1" applyBorder="1" applyAlignment="1">
      <alignment horizontal="center" vertical="center" wrapText="1"/>
    </xf>
    <xf numFmtId="0" fontId="1" fillId="0" borderId="1" xfId="1425" applyFont="1" applyBorder="1" applyAlignment="1">
      <alignment horizontal="center" vertical="center"/>
    </xf>
    <xf numFmtId="0" fontId="2" fillId="0" borderId="1" xfId="2858" applyFont="1" applyBorder="1" applyAlignment="1">
      <alignment horizontal="left" vertical="center" wrapText="1"/>
    </xf>
    <xf numFmtId="0" fontId="2" fillId="0" borderId="1" xfId="533" applyNumberFormat="1" applyFont="1" applyFill="1" applyBorder="1" applyAlignment="1">
      <alignment horizontal="left" vertical="center" wrapText="1"/>
    </xf>
    <xf numFmtId="0" fontId="1" fillId="2" borderId="1" xfId="533" applyFont="1" applyFill="1" applyBorder="1" applyAlignment="1">
      <alignment horizontal="left" vertical="center" wrapText="1"/>
    </xf>
    <xf numFmtId="0" fontId="1" fillId="0" borderId="1" xfId="533" applyNumberFormat="1" applyFont="1" applyFill="1" applyBorder="1" applyAlignment="1">
      <alignment horizontal="left" vertical="center" wrapText="1"/>
    </xf>
    <xf numFmtId="49" fontId="2" fillId="0" borderId="1" xfId="533" applyNumberFormat="1" applyFont="1" applyFill="1" applyBorder="1" applyAlignment="1">
      <alignment horizontal="left" vertical="center" wrapText="1"/>
    </xf>
    <xf numFmtId="49" fontId="1" fillId="0" borderId="1" xfId="533" applyNumberFormat="1" applyFont="1" applyFill="1" applyBorder="1" applyAlignment="1">
      <alignment horizontal="left" vertical="center" wrapText="1"/>
    </xf>
    <xf numFmtId="0" fontId="32" fillId="0" borderId="1" xfId="0" applyFont="1" applyFill="1" applyBorder="1" applyAlignment="1">
      <alignment vertical="center" wrapText="1"/>
    </xf>
    <xf numFmtId="0" fontId="2" fillId="0" borderId="0" xfId="2858" applyFont="1" applyAlignment="1">
      <alignment horizontal="left" vertical="center"/>
    </xf>
    <xf numFmtId="0" fontId="2" fillId="0" borderId="1" xfId="2858" applyFont="1" applyBorder="1" applyAlignment="1">
      <alignment horizontal="center" vertical="center"/>
    </xf>
    <xf numFmtId="0" fontId="2" fillId="0" borderId="1" xfId="2858" applyFont="1" applyFill="1" applyBorder="1" applyAlignment="1">
      <alignment horizontal="center" vertical="center" wrapText="1"/>
    </xf>
    <xf numFmtId="0" fontId="31" fillId="0" borderId="2" xfId="1425" applyFont="1" applyFill="1" applyBorder="1" applyAlignment="1">
      <alignment horizontal="left" vertical="center" wrapText="1"/>
    </xf>
    <xf numFmtId="0" fontId="1" fillId="0" borderId="1" xfId="1425" applyFont="1" applyBorder="1" applyAlignment="1">
      <alignment horizontal="left"/>
    </xf>
    <xf numFmtId="49" fontId="2" fillId="0" borderId="2" xfId="0" applyNumberFormat="1" applyFont="1" applyFill="1" applyBorder="1" applyAlignment="1">
      <alignment horizontal="left" vertical="center"/>
    </xf>
    <xf numFmtId="9" fontId="1" fillId="0" borderId="1" xfId="2858" applyNumberFormat="1" applyFont="1" applyFill="1" applyBorder="1" applyAlignment="1">
      <alignment horizontal="center" vertical="center" wrapText="1"/>
    </xf>
    <xf numFmtId="9" fontId="2" fillId="0" borderId="1" xfId="2858" applyNumberFormat="1" applyFont="1" applyFill="1" applyBorder="1" applyAlignment="1">
      <alignment horizontal="center" vertical="center" wrapText="1"/>
    </xf>
    <xf numFmtId="0" fontId="2" fillId="0" borderId="1" xfId="0" applyFont="1" applyBorder="1" applyAlignment="1">
      <alignment horizontal="center" vertical="center"/>
    </xf>
    <xf numFmtId="0" fontId="1" fillId="0" borderId="0" xfId="533" applyNumberFormat="1" applyFont="1" applyFill="1" applyBorder="1" applyAlignment="1">
      <alignment horizontal="left" vertical="center" wrapText="1"/>
    </xf>
    <xf numFmtId="0" fontId="1"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left"/>
    </xf>
    <xf numFmtId="0" fontId="2" fillId="0" borderId="1" xfId="3970" applyNumberFormat="1" applyFont="1" applyFill="1" applyBorder="1" applyAlignment="1">
      <alignment horizontal="center" vertical="center" wrapText="1"/>
    </xf>
    <xf numFmtId="0" fontId="2" fillId="0" borderId="1" xfId="3970" applyFont="1" applyFill="1" applyBorder="1" applyAlignment="1">
      <alignment horizontal="center" vertical="center" wrapText="1"/>
    </xf>
    <xf numFmtId="0" fontId="2" fillId="0" borderId="1" xfId="1296" applyFont="1" applyFill="1" applyBorder="1" applyAlignment="1">
      <alignment horizontal="left" vertical="center" wrapText="1"/>
    </xf>
    <xf numFmtId="0" fontId="2" fillId="0" borderId="1" xfId="3970" applyFont="1" applyFill="1" applyBorder="1" applyAlignment="1">
      <alignment horizontal="left" vertical="center" wrapText="1"/>
    </xf>
    <xf numFmtId="0" fontId="1" fillId="0" borderId="1" xfId="1425" applyNumberFormat="1" applyFont="1" applyFill="1" applyBorder="1" applyAlignment="1">
      <alignment horizontal="left" vertical="center" wrapText="1"/>
    </xf>
    <xf numFmtId="0" fontId="2" fillId="0" borderId="1" xfId="1425" applyNumberFormat="1" applyFont="1" applyFill="1" applyBorder="1" applyAlignment="1">
      <alignment horizontal="left" vertical="center" wrapText="1"/>
    </xf>
    <xf numFmtId="176" fontId="32" fillId="0" borderId="1" xfId="533" applyNumberFormat="1" applyFont="1" applyBorder="1" applyAlignment="1">
      <alignment horizontal="center" vertical="center" wrapText="1"/>
    </xf>
    <xf numFmtId="0" fontId="1" fillId="0" borderId="3" xfId="2858" applyFont="1" applyFill="1" applyBorder="1" applyAlignment="1">
      <alignment horizontal="left" vertical="center" wrapText="1"/>
    </xf>
    <xf numFmtId="0" fontId="1" fillId="0" borderId="0" xfId="2858" applyFont="1" applyFill="1" applyBorder="1" applyAlignment="1">
      <alignment horizontal="left" vertical="center" wrapText="1"/>
    </xf>
    <xf numFmtId="0" fontId="2" fillId="0" borderId="1" xfId="1101" applyNumberFormat="1" applyFont="1" applyFill="1" applyBorder="1" applyAlignment="1" applyProtection="1">
      <alignment horizontal="center" vertical="center" wrapText="1"/>
    </xf>
    <xf numFmtId="9" fontId="2" fillId="0" borderId="1" xfId="1101" applyNumberFormat="1" applyFont="1" applyFill="1" applyBorder="1" applyAlignment="1">
      <alignment horizontal="center" vertical="center" wrapText="1"/>
    </xf>
    <xf numFmtId="0" fontId="2" fillId="0" borderId="3" xfId="2858" applyFont="1" applyFill="1" applyBorder="1" applyAlignment="1">
      <alignment horizontal="left" vertical="center"/>
    </xf>
    <xf numFmtId="0" fontId="2" fillId="0" borderId="0" xfId="2858" applyFont="1" applyFill="1" applyBorder="1" applyAlignment="1">
      <alignment horizontal="left" vertical="center"/>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1" fillId="0" borderId="1" xfId="1670" applyFont="1" applyFill="1" applyBorder="1" applyAlignment="1">
      <alignment horizontal="center" vertical="center" wrapText="1"/>
    </xf>
    <xf numFmtId="49" fontId="1" fillId="0" borderId="1" xfId="1670" applyNumberFormat="1" applyFont="1" applyFill="1" applyBorder="1" applyAlignment="1">
      <alignment horizontal="center" vertical="center" wrapText="1"/>
    </xf>
    <xf numFmtId="0" fontId="2" fillId="0" borderId="1" xfId="1670" applyFont="1" applyFill="1" applyBorder="1" applyAlignment="1">
      <alignment horizontal="center" vertical="center" wrapText="1"/>
    </xf>
    <xf numFmtId="49" fontId="2" fillId="0" borderId="1" xfId="1670" applyNumberFormat="1" applyFont="1" applyFill="1" applyBorder="1" applyAlignment="1">
      <alignment horizontal="center" vertical="center" wrapText="1"/>
    </xf>
    <xf numFmtId="0" fontId="2" fillId="0" borderId="1" xfId="1670" applyFont="1" applyBorder="1" applyAlignment="1">
      <alignment horizontal="center" vertical="center" wrapText="1"/>
    </xf>
    <xf numFmtId="49" fontId="2" fillId="0" borderId="1" xfId="1670" applyNumberFormat="1" applyFont="1" applyBorder="1" applyAlignment="1">
      <alignment horizontal="center" vertical="center" wrapText="1"/>
    </xf>
    <xf numFmtId="0" fontId="31" fillId="0" borderId="1" xfId="1101" applyFont="1" applyFill="1" applyBorder="1" applyAlignment="1">
      <alignment horizontal="left" vertical="center" wrapText="1"/>
    </xf>
    <xf numFmtId="0" fontId="2" fillId="0" borderId="1" xfId="0" applyFont="1" applyBorder="1" applyAlignment="1">
      <alignment horizontal="left" vertical="center" wrapText="1"/>
    </xf>
    <xf numFmtId="0" fontId="1" fillId="0" borderId="0" xfId="0" applyFont="1" applyFill="1" applyBorder="1" applyAlignment="1">
      <alignment horizontal="left"/>
    </xf>
    <xf numFmtId="0" fontId="1" fillId="0" borderId="0" xfId="0" applyFont="1" applyFill="1" applyAlignment="1">
      <alignment horizontal="left"/>
    </xf>
    <xf numFmtId="0" fontId="0" fillId="0" borderId="0" xfId="0" applyFont="1" applyBorder="1"/>
    <xf numFmtId="0" fontId="1" fillId="2" borderId="0" xfId="0" applyFont="1" applyFill="1" applyBorder="1" applyAlignment="1">
      <alignment horizontal="left" vertical="center"/>
    </xf>
    <xf numFmtId="0" fontId="12" fillId="0" borderId="0" xfId="0" applyFont="1" applyFill="1" applyAlignment="1">
      <alignment vertical="center"/>
    </xf>
    <xf numFmtId="49" fontId="33" fillId="0" borderId="0" xfId="533" applyNumberFormat="1" applyFont="1" applyBorder="1" applyAlignment="1">
      <alignment horizontal="center" vertical="center" wrapText="1"/>
    </xf>
    <xf numFmtId="49" fontId="33" fillId="0" borderId="0" xfId="533" applyNumberFormat="1" applyFont="1" applyAlignment="1">
      <alignment horizontal="center" vertical="center" wrapText="1"/>
    </xf>
    <xf numFmtId="0" fontId="1" fillId="0" borderId="0" xfId="0" applyFont="1" applyAlignment="1">
      <alignment horizontal="center"/>
    </xf>
    <xf numFmtId="0" fontId="0" fillId="0" borderId="0" xfId="0" applyFont="1" applyAlignment="1">
      <alignment vertical="center"/>
    </xf>
    <xf numFmtId="0" fontId="1" fillId="0" borderId="0" xfId="0" applyNumberFormat="1" applyFont="1" applyAlignment="1">
      <alignment horizontal="left" vertical="center"/>
    </xf>
    <xf numFmtId="0" fontId="34" fillId="0" borderId="0" xfId="2858" applyFont="1" applyBorder="1" applyAlignment="1">
      <alignment horizontal="left" vertical="center" wrapText="1"/>
    </xf>
    <xf numFmtId="0" fontId="9" fillId="0" borderId="0" xfId="2858" applyNumberFormat="1" applyFont="1" applyBorder="1" applyAlignment="1">
      <alignment horizontal="left" vertical="center"/>
    </xf>
    <xf numFmtId="0" fontId="9" fillId="0" borderId="0" xfId="2858" applyFont="1" applyBorder="1" applyAlignment="1">
      <alignment horizontal="center" vertical="center"/>
    </xf>
    <xf numFmtId="0" fontId="9" fillId="0" borderId="0" xfId="2858" applyFont="1" applyBorder="1" applyAlignment="1">
      <alignment horizontal="left" vertical="center"/>
    </xf>
    <xf numFmtId="0" fontId="35" fillId="0" borderId="0" xfId="2858" applyFont="1" applyBorder="1" applyAlignment="1">
      <alignment horizontal="center" vertical="center" wrapText="1"/>
    </xf>
    <xf numFmtId="0" fontId="35" fillId="0" borderId="0" xfId="1118" applyNumberFormat="1" applyFont="1" applyFill="1" applyBorder="1" applyAlignment="1">
      <alignment horizontal="left" vertical="center"/>
    </xf>
    <xf numFmtId="0" fontId="35" fillId="0" borderId="0" xfId="1118" applyFont="1" applyFill="1" applyBorder="1" applyAlignment="1">
      <alignment horizontal="center" vertical="center"/>
    </xf>
    <xf numFmtId="0" fontId="34" fillId="0" borderId="0" xfId="1118" applyNumberFormat="1" applyFont="1" applyFill="1" applyBorder="1" applyAlignment="1">
      <alignment horizontal="left" vertical="center"/>
    </xf>
    <xf numFmtId="0" fontId="34" fillId="0" borderId="0" xfId="1118" applyFont="1" applyFill="1" applyBorder="1" applyAlignment="1">
      <alignment horizontal="center" vertical="center"/>
    </xf>
    <xf numFmtId="0" fontId="34" fillId="0" borderId="0" xfId="1118" applyFont="1" applyFill="1" applyBorder="1" applyAlignment="1">
      <alignment horizontal="left" vertical="center"/>
    </xf>
    <xf numFmtId="49" fontId="36" fillId="0" borderId="1" xfId="533" applyNumberFormat="1" applyFont="1" applyFill="1" applyBorder="1" applyAlignment="1">
      <alignment horizontal="center" vertical="center" wrapText="1"/>
    </xf>
    <xf numFmtId="0" fontId="36" fillId="0" borderId="1" xfId="2936" applyFont="1" applyFill="1" applyBorder="1" applyAlignment="1">
      <alignment horizontal="center" vertical="center" wrapText="1"/>
    </xf>
    <xf numFmtId="0" fontId="36" fillId="0" borderId="1" xfId="533" applyFont="1" applyFill="1" applyBorder="1" applyAlignment="1">
      <alignment horizontal="center" vertical="center" wrapText="1"/>
    </xf>
    <xf numFmtId="0" fontId="37" fillId="0" borderId="1" xfId="1425" applyFont="1" applyFill="1" applyBorder="1" applyAlignment="1">
      <alignment horizontal="left" vertical="center" wrapText="1"/>
    </xf>
    <xf numFmtId="0" fontId="37" fillId="0" borderId="1" xfId="1425" applyFont="1" applyFill="1" applyBorder="1" applyAlignment="1">
      <alignment horizontal="center" vertical="center" wrapText="1"/>
    </xf>
    <xf numFmtId="49" fontId="37" fillId="0" borderId="1" xfId="533" applyNumberFormat="1" applyFont="1" applyFill="1" applyBorder="1" applyAlignment="1">
      <alignment horizontal="left" vertical="center" wrapText="1"/>
    </xf>
    <xf numFmtId="49" fontId="37" fillId="0" borderId="1" xfId="1425" applyNumberFormat="1" applyFont="1" applyFill="1" applyBorder="1" applyAlignment="1">
      <alignment horizontal="left" vertical="center" wrapText="1"/>
    </xf>
    <xf numFmtId="0" fontId="37" fillId="0" borderId="1" xfId="533" applyFont="1" applyFill="1" applyBorder="1" applyAlignment="1">
      <alignment horizontal="center" vertical="center" wrapText="1"/>
    </xf>
    <xf numFmtId="49" fontId="37" fillId="0" borderId="1" xfId="0" applyNumberFormat="1" applyFont="1" applyFill="1" applyBorder="1" applyAlignment="1">
      <alignment horizontal="left" vertical="center" wrapText="1"/>
    </xf>
    <xf numFmtId="49" fontId="37" fillId="0" borderId="1" xfId="2858" applyNumberFormat="1" applyFont="1" applyBorder="1" applyAlignment="1">
      <alignment horizontal="left" vertical="center" wrapText="1"/>
    </xf>
    <xf numFmtId="0" fontId="37" fillId="0" borderId="1" xfId="533" applyFont="1" applyFill="1" applyBorder="1" applyAlignment="1">
      <alignment horizontal="left" vertical="center" wrapText="1"/>
    </xf>
    <xf numFmtId="0" fontId="37" fillId="0" borderId="1" xfId="2858" applyFont="1" applyBorder="1" applyAlignment="1">
      <alignment horizontal="center" vertical="center" wrapText="1"/>
    </xf>
    <xf numFmtId="0" fontId="37" fillId="0" borderId="1" xfId="2858" applyFont="1" applyBorder="1" applyAlignment="1">
      <alignment horizontal="left" vertical="center" wrapText="1"/>
    </xf>
    <xf numFmtId="49" fontId="37" fillId="0" borderId="1" xfId="1990" applyNumberFormat="1" applyFont="1" applyFill="1" applyBorder="1" applyAlignment="1">
      <alignment horizontal="left" vertical="center" wrapText="1"/>
    </xf>
    <xf numFmtId="0" fontId="37" fillId="0" borderId="1" xfId="1990" applyFont="1" applyFill="1" applyBorder="1" applyAlignment="1">
      <alignment horizontal="left" vertical="center" wrapText="1"/>
    </xf>
    <xf numFmtId="0" fontId="37" fillId="0" borderId="1" xfId="533" applyFont="1" applyBorder="1" applyAlignment="1">
      <alignment horizontal="center" vertical="center" wrapText="1"/>
    </xf>
    <xf numFmtId="0" fontId="37" fillId="0" borderId="1" xfId="0" applyFont="1" applyFill="1" applyBorder="1" applyAlignment="1">
      <alignment horizontal="left" vertical="center" wrapText="1"/>
    </xf>
    <xf numFmtId="49" fontId="37" fillId="0" borderId="1" xfId="533" applyNumberFormat="1" applyFont="1" applyBorder="1" applyAlignment="1">
      <alignment horizontal="left" vertical="center" wrapText="1"/>
    </xf>
    <xf numFmtId="0" fontId="37" fillId="0" borderId="1" xfId="533" applyFont="1" applyBorder="1" applyAlignment="1">
      <alignment horizontal="left" vertical="center" wrapText="1"/>
    </xf>
    <xf numFmtId="0" fontId="37" fillId="0" borderId="1" xfId="2858" applyFont="1" applyFill="1" applyBorder="1" applyAlignment="1">
      <alignment horizontal="left" vertical="center" wrapText="1"/>
    </xf>
    <xf numFmtId="0" fontId="37" fillId="0" borderId="1" xfId="2546" applyFont="1" applyFill="1" applyBorder="1" applyAlignment="1">
      <alignment horizontal="left" vertical="center" wrapText="1"/>
    </xf>
    <xf numFmtId="49" fontId="37" fillId="0" borderId="1" xfId="1425" applyNumberFormat="1" applyFont="1" applyFill="1" applyBorder="1" applyAlignment="1">
      <alignment horizontal="center" vertical="center" wrapText="1"/>
    </xf>
    <xf numFmtId="49" fontId="38" fillId="0" borderId="1" xfId="533" applyNumberFormat="1" applyFont="1" applyBorder="1" applyAlignment="1">
      <alignment horizontal="left" vertical="center" wrapText="1"/>
    </xf>
    <xf numFmtId="0" fontId="38" fillId="0" borderId="1" xfId="0" applyFont="1" applyFill="1" applyBorder="1" applyAlignment="1">
      <alignment horizontal="left" vertical="center" wrapText="1"/>
    </xf>
    <xf numFmtId="49" fontId="37" fillId="2" borderId="1" xfId="533" applyNumberFormat="1" applyFont="1" applyFill="1" applyBorder="1" applyAlignment="1">
      <alignment horizontal="left" vertical="center" wrapText="1"/>
    </xf>
    <xf numFmtId="0" fontId="39" fillId="0" borderId="1" xfId="1034" applyFont="1" applyFill="1" applyBorder="1" applyAlignment="1">
      <alignment horizontal="left" vertical="center" wrapText="1"/>
    </xf>
    <xf numFmtId="0" fontId="37" fillId="0" borderId="1" xfId="1034" applyFont="1" applyFill="1" applyBorder="1" applyAlignment="1">
      <alignment horizontal="left" vertical="center" wrapText="1"/>
    </xf>
    <xf numFmtId="49" fontId="37" fillId="0" borderId="1" xfId="0" applyNumberFormat="1" applyFont="1" applyBorder="1" applyAlignment="1">
      <alignment horizontal="left" vertical="center" wrapText="1"/>
    </xf>
    <xf numFmtId="49" fontId="37" fillId="2" borderId="1" xfId="533" applyNumberFormat="1" applyFont="1" applyFill="1" applyBorder="1" applyAlignment="1">
      <alignment horizontal="center" vertical="center" wrapText="1"/>
    </xf>
    <xf numFmtId="0" fontId="37" fillId="0" borderId="1" xfId="1018" applyFont="1" applyFill="1" applyBorder="1" applyAlignment="1">
      <alignment horizontal="left" vertical="center" wrapText="1"/>
    </xf>
    <xf numFmtId="0" fontId="37" fillId="2" borderId="1" xfId="1425" applyFont="1" applyFill="1" applyBorder="1" applyAlignment="1">
      <alignment horizontal="left" vertical="center" wrapText="1"/>
    </xf>
    <xf numFmtId="0" fontId="37" fillId="2" borderId="1" xfId="533" applyFont="1" applyFill="1" applyBorder="1" applyAlignment="1">
      <alignment horizontal="center" vertical="center" wrapText="1"/>
    </xf>
    <xf numFmtId="0" fontId="37" fillId="2" borderId="1" xfId="533" applyFont="1" applyFill="1" applyBorder="1" applyAlignment="1">
      <alignment horizontal="left" vertical="center" wrapText="1"/>
    </xf>
    <xf numFmtId="49" fontId="37" fillId="0" borderId="1" xfId="533" applyNumberFormat="1" applyFont="1" applyBorder="1" applyAlignment="1">
      <alignment horizontal="center" vertical="center" wrapText="1"/>
    </xf>
    <xf numFmtId="0" fontId="38" fillId="0" borderId="1" xfId="533" applyFont="1" applyBorder="1" applyAlignment="1">
      <alignment horizontal="left" vertical="center" wrapText="1"/>
    </xf>
    <xf numFmtId="0" fontId="37" fillId="0" borderId="1" xfId="1425" applyFont="1" applyBorder="1" applyAlignment="1">
      <alignment horizontal="left" vertical="center" wrapText="1"/>
    </xf>
    <xf numFmtId="0" fontId="37" fillId="0" borderId="1" xfId="3804" applyFont="1" applyFill="1" applyBorder="1" applyAlignment="1">
      <alignment horizontal="left" vertical="center" wrapText="1"/>
    </xf>
    <xf numFmtId="0" fontId="38" fillId="0" borderId="1" xfId="3804" applyFont="1" applyFill="1" applyBorder="1" applyAlignment="1">
      <alignment horizontal="left" vertical="center" wrapText="1"/>
    </xf>
    <xf numFmtId="0" fontId="37" fillId="0" borderId="1" xfId="1034" applyFont="1" applyFill="1" applyBorder="1" applyAlignment="1">
      <alignment horizontal="center" vertical="center" wrapText="1"/>
    </xf>
    <xf numFmtId="49" fontId="37" fillId="0" borderId="1" xfId="1034" applyNumberFormat="1" applyFont="1" applyFill="1" applyBorder="1" applyAlignment="1">
      <alignment horizontal="center" vertical="center" wrapText="1"/>
    </xf>
    <xf numFmtId="49" fontId="37" fillId="0" borderId="1" xfId="662" applyNumberFormat="1" applyFont="1" applyFill="1" applyBorder="1" applyAlignment="1">
      <alignment horizontal="left" vertical="center" wrapText="1"/>
    </xf>
    <xf numFmtId="49" fontId="37" fillId="0" borderId="1" xfId="662" applyNumberFormat="1" applyFont="1" applyFill="1" applyBorder="1" applyAlignment="1">
      <alignment vertical="center" wrapText="1"/>
    </xf>
    <xf numFmtId="0" fontId="37" fillId="0" borderId="1" xfId="0" applyFont="1" applyFill="1" applyBorder="1" applyAlignment="1">
      <alignment vertical="center" wrapText="1"/>
    </xf>
    <xf numFmtId="0" fontId="37" fillId="0" borderId="1" xfId="0" applyFont="1" applyFill="1" applyBorder="1" applyAlignment="1">
      <alignment horizontal="center" vertical="center" wrapText="1"/>
    </xf>
    <xf numFmtId="49" fontId="37" fillId="0" borderId="1" xfId="0" applyNumberFormat="1" applyFont="1" applyFill="1" applyBorder="1" applyAlignment="1">
      <alignment horizontal="center" vertical="center" wrapText="1"/>
    </xf>
    <xf numFmtId="0" fontId="34" fillId="3" borderId="0" xfId="1118" applyFont="1" applyFill="1" applyBorder="1" applyAlignment="1">
      <alignment horizontal="center" vertical="center"/>
    </xf>
    <xf numFmtId="0" fontId="34" fillId="3" borderId="0" xfId="1118" applyFont="1" applyFill="1" applyBorder="1" applyAlignment="1">
      <alignment horizontal="left" vertical="center"/>
    </xf>
    <xf numFmtId="177" fontId="36" fillId="0" borderId="1" xfId="533" applyNumberFormat="1" applyFont="1" applyFill="1" applyBorder="1" applyAlignment="1">
      <alignment horizontal="center" vertical="center" wrapText="1"/>
    </xf>
    <xf numFmtId="176" fontId="36" fillId="0" borderId="1" xfId="533" applyNumberFormat="1" applyFont="1" applyFill="1" applyBorder="1" applyAlignment="1">
      <alignment horizontal="center" vertical="center" wrapText="1"/>
    </xf>
    <xf numFmtId="178" fontId="37" fillId="0" borderId="1" xfId="1425" applyNumberFormat="1" applyFont="1" applyFill="1" applyBorder="1" applyAlignment="1">
      <alignment horizontal="center" vertical="center" wrapText="1"/>
    </xf>
    <xf numFmtId="9" fontId="37" fillId="0" borderId="1" xfId="1425" applyNumberFormat="1" applyFont="1" applyFill="1" applyBorder="1" applyAlignment="1">
      <alignment horizontal="center" vertical="center" wrapText="1"/>
    </xf>
    <xf numFmtId="0" fontId="37" fillId="0" borderId="1" xfId="2858" applyFont="1" applyBorder="1" applyAlignment="1">
      <alignment horizontal="center" vertical="center"/>
    </xf>
    <xf numFmtId="0" fontId="37" fillId="0" borderId="1" xfId="2858" applyFont="1" applyBorder="1" applyAlignment="1">
      <alignment horizontal="left" vertical="center"/>
    </xf>
    <xf numFmtId="0" fontId="37" fillId="0" borderId="1" xfId="2419" applyFont="1" applyBorder="1" applyAlignment="1">
      <alignment horizontal="center" vertical="center" wrapText="1"/>
    </xf>
    <xf numFmtId="176" fontId="37" fillId="0" borderId="1" xfId="533" applyNumberFormat="1" applyFont="1" applyFill="1" applyBorder="1" applyAlignment="1">
      <alignment horizontal="center" vertical="center" wrapText="1"/>
    </xf>
    <xf numFmtId="178" fontId="37" fillId="0" borderId="1" xfId="533" applyNumberFormat="1" applyFont="1" applyFill="1" applyBorder="1" applyAlignment="1">
      <alignment horizontal="center" vertical="center" wrapText="1"/>
    </xf>
    <xf numFmtId="0" fontId="37" fillId="0" borderId="1" xfId="2419" applyFont="1" applyBorder="1" applyAlignment="1">
      <alignment horizontal="left" vertical="center" wrapText="1"/>
    </xf>
    <xf numFmtId="0" fontId="37" fillId="0" borderId="1" xfId="3970" applyFont="1" applyFill="1" applyBorder="1" applyAlignment="1">
      <alignment horizontal="center" vertical="center" wrapText="1"/>
    </xf>
    <xf numFmtId="0" fontId="37" fillId="0" borderId="1" xfId="3970" applyFont="1" applyFill="1" applyBorder="1" applyAlignment="1">
      <alignment horizontal="left" vertical="center" wrapText="1"/>
    </xf>
    <xf numFmtId="178" fontId="37" fillId="0" borderId="1" xfId="2858" applyNumberFormat="1" applyFont="1" applyBorder="1" applyAlignment="1">
      <alignment horizontal="center" vertical="center" wrapText="1"/>
    </xf>
    <xf numFmtId="0" fontId="37" fillId="0" borderId="1" xfId="2858" applyFont="1" applyFill="1" applyBorder="1" applyAlignment="1">
      <alignment horizontal="center" vertical="center" wrapText="1"/>
    </xf>
    <xf numFmtId="0" fontId="37" fillId="0" borderId="1" xfId="2858" applyFont="1" applyFill="1" applyBorder="1" applyAlignment="1">
      <alignment horizontal="left" vertical="center"/>
    </xf>
    <xf numFmtId="176" fontId="37" fillId="0" borderId="1" xfId="533" applyNumberFormat="1" applyFont="1" applyBorder="1" applyAlignment="1">
      <alignment horizontal="center" vertical="center" wrapText="1"/>
    </xf>
    <xf numFmtId="178" fontId="37" fillId="0" borderId="1" xfId="533" applyNumberFormat="1" applyFont="1" applyBorder="1" applyAlignment="1">
      <alignment horizontal="center" vertical="center" wrapText="1"/>
    </xf>
    <xf numFmtId="9" fontId="37" fillId="0" borderId="1" xfId="0" applyNumberFormat="1" applyFont="1" applyFill="1" applyBorder="1" applyAlignment="1">
      <alignment horizontal="center" vertical="center" wrapText="1"/>
    </xf>
    <xf numFmtId="9" fontId="37" fillId="0" borderId="1" xfId="2858" applyNumberFormat="1" applyFont="1" applyBorder="1" applyAlignment="1">
      <alignment horizontal="center" vertical="center" wrapText="1"/>
    </xf>
    <xf numFmtId="0" fontId="37" fillId="0" borderId="1" xfId="1101" applyFont="1" applyFill="1" applyBorder="1" applyAlignment="1">
      <alignment horizontal="left" vertical="center" wrapText="1"/>
    </xf>
    <xf numFmtId="0" fontId="37" fillId="0" borderId="1" xfId="0" applyFont="1" applyBorder="1" applyAlignment="1">
      <alignment horizontal="center" vertical="center" wrapText="1"/>
    </xf>
    <xf numFmtId="0" fontId="37" fillId="0" borderId="1" xfId="0" applyFont="1" applyBorder="1" applyAlignment="1">
      <alignment horizontal="left" vertical="center" wrapText="1"/>
    </xf>
    <xf numFmtId="0" fontId="38" fillId="0" borderId="1" xfId="0" applyNumberFormat="1" applyFont="1" applyBorder="1" applyAlignment="1">
      <alignment horizontal="left" vertical="center" wrapText="1"/>
    </xf>
    <xf numFmtId="0" fontId="37" fillId="0" borderId="1" xfId="1425" applyFont="1" applyFill="1" applyBorder="1" applyAlignment="1">
      <alignment horizontal="left" vertical="center"/>
    </xf>
    <xf numFmtId="178" fontId="37" fillId="0" borderId="1" xfId="1425" applyNumberFormat="1" applyFont="1" applyFill="1" applyBorder="1" applyAlignment="1">
      <alignment horizontal="center" vertical="center"/>
    </xf>
    <xf numFmtId="0" fontId="37" fillId="0" borderId="1" xfId="2936" applyFont="1" applyFill="1" applyBorder="1" applyAlignment="1">
      <alignment horizontal="left" vertical="center" wrapText="1"/>
    </xf>
    <xf numFmtId="0" fontId="37" fillId="0" borderId="1" xfId="1425" applyFont="1" applyFill="1" applyBorder="1" applyAlignment="1">
      <alignment horizontal="left"/>
    </xf>
    <xf numFmtId="0" fontId="37" fillId="0" borderId="1" xfId="1101" applyFont="1" applyFill="1" applyBorder="1" applyAlignment="1">
      <alignment horizontal="center" vertical="center" wrapText="1"/>
    </xf>
    <xf numFmtId="9" fontId="37" fillId="0" borderId="1" xfId="1101" applyNumberFormat="1" applyFont="1" applyFill="1" applyBorder="1" applyAlignment="1">
      <alignment horizontal="center" vertical="center" wrapText="1"/>
    </xf>
    <xf numFmtId="0" fontId="37" fillId="2" borderId="1" xfId="1101" applyFont="1" applyFill="1" applyBorder="1" applyAlignment="1">
      <alignment horizontal="center" vertical="center" wrapText="1"/>
    </xf>
    <xf numFmtId="178" fontId="37" fillId="2" borderId="1" xfId="533" applyNumberFormat="1" applyFont="1" applyFill="1" applyBorder="1" applyAlignment="1">
      <alignment horizontal="center" vertical="center" wrapText="1"/>
    </xf>
    <xf numFmtId="49" fontId="37" fillId="0" borderId="1" xfId="533" applyNumberFormat="1" applyFont="1" applyFill="1" applyBorder="1" applyAlignment="1">
      <alignment horizontal="center" vertical="center" wrapText="1"/>
    </xf>
    <xf numFmtId="0" fontId="40" fillId="0" borderId="1" xfId="533" applyFont="1" applyFill="1" applyBorder="1" applyAlignment="1">
      <alignment horizontal="left" vertical="center" wrapText="1"/>
    </xf>
    <xf numFmtId="176" fontId="37" fillId="0" borderId="1" xfId="533" applyNumberFormat="1" applyFont="1" applyFill="1" applyBorder="1" applyAlignment="1">
      <alignment horizontal="left" vertical="center" wrapText="1"/>
    </xf>
    <xf numFmtId="176" fontId="37" fillId="0" borderId="1" xfId="533" applyNumberFormat="1" applyFont="1" applyBorder="1" applyAlignment="1">
      <alignment horizontal="left" vertical="center" wrapText="1"/>
    </xf>
    <xf numFmtId="0" fontId="37" fillId="2" borderId="1" xfId="1425" applyFont="1" applyFill="1" applyBorder="1" applyAlignment="1">
      <alignment horizontal="center" vertical="center"/>
    </xf>
    <xf numFmtId="0" fontId="37" fillId="2" borderId="1" xfId="1101" applyFont="1" applyFill="1" applyBorder="1" applyAlignment="1">
      <alignment horizontal="left" vertical="center" wrapText="1"/>
    </xf>
    <xf numFmtId="0" fontId="37" fillId="0" borderId="1" xfId="1425" applyFont="1" applyFill="1" applyBorder="1" applyAlignment="1">
      <alignment horizontal="center" vertical="center"/>
    </xf>
    <xf numFmtId="0" fontId="37" fillId="0" borderId="1" xfId="2936" applyFont="1" applyFill="1" applyBorder="1" applyAlignment="1">
      <alignment horizontal="center" vertical="center" wrapText="1"/>
    </xf>
    <xf numFmtId="0" fontId="37" fillId="0" borderId="1" xfId="1425" applyFont="1" applyBorder="1" applyAlignment="1">
      <alignment horizontal="left"/>
    </xf>
    <xf numFmtId="0" fontId="38" fillId="0" borderId="1" xfId="1425" applyFont="1" applyFill="1" applyBorder="1" applyAlignment="1">
      <alignment horizontal="left" vertical="center" wrapText="1"/>
    </xf>
    <xf numFmtId="0" fontId="37" fillId="0" borderId="1" xfId="1425" applyFont="1" applyBorder="1" applyAlignment="1">
      <alignment horizontal="center"/>
    </xf>
    <xf numFmtId="49" fontId="37" fillId="0" borderId="1" xfId="0" applyNumberFormat="1" applyFont="1" applyFill="1" applyBorder="1" applyAlignment="1">
      <alignment horizontal="center" vertical="center"/>
    </xf>
    <xf numFmtId="178" fontId="38" fillId="0" borderId="1" xfId="1670" applyNumberFormat="1" applyFont="1" applyFill="1" applyBorder="1" applyAlignment="1" applyProtection="1">
      <alignment horizontal="center" vertical="center" wrapText="1"/>
    </xf>
    <xf numFmtId="0" fontId="37" fillId="0" borderId="1" xfId="1425" applyFont="1" applyBorder="1" applyAlignment="1">
      <alignment horizontal="left" vertical="center"/>
    </xf>
    <xf numFmtId="0" fontId="38" fillId="0" borderId="1" xfId="533" applyFont="1" applyFill="1" applyBorder="1" applyAlignment="1">
      <alignment horizontal="left" vertical="center" wrapText="1"/>
    </xf>
    <xf numFmtId="0" fontId="37" fillId="0" borderId="1" xfId="533" applyFont="1" applyFill="1" applyBorder="1" applyAlignment="1">
      <alignment horizontal="center" vertical="center"/>
    </xf>
    <xf numFmtId="0" fontId="38" fillId="0" borderId="1" xfId="2858" applyFont="1" applyBorder="1" applyAlignment="1">
      <alignment horizontal="left" vertical="center" wrapText="1"/>
    </xf>
    <xf numFmtId="49" fontId="38" fillId="0" borderId="1" xfId="533" applyNumberFormat="1" applyFont="1" applyFill="1" applyBorder="1" applyAlignment="1">
      <alignment horizontal="left" vertical="center" wrapText="1"/>
    </xf>
    <xf numFmtId="49" fontId="37" fillId="0" borderId="1" xfId="1296" applyNumberFormat="1" applyFont="1" applyFill="1" applyBorder="1" applyAlignment="1" applyProtection="1">
      <alignment horizontal="center" vertical="center" wrapText="1"/>
    </xf>
    <xf numFmtId="49" fontId="37" fillId="0" borderId="1" xfId="2858" applyNumberFormat="1" applyFont="1" applyFill="1" applyBorder="1" applyAlignment="1">
      <alignment horizontal="left" vertical="center" wrapText="1"/>
    </xf>
    <xf numFmtId="49" fontId="37" fillId="0" borderId="1" xfId="2858" applyNumberFormat="1" applyFont="1" applyFill="1" applyBorder="1" applyAlignment="1">
      <alignment horizontal="center" vertical="center" wrapText="1"/>
    </xf>
    <xf numFmtId="0" fontId="37" fillId="0" borderId="1" xfId="533" applyNumberFormat="1" applyFont="1" applyFill="1" applyBorder="1" applyAlignment="1">
      <alignment horizontal="center" vertical="center" wrapText="1"/>
    </xf>
    <xf numFmtId="0" fontId="37" fillId="0" borderId="1" xfId="1018" applyFont="1" applyFill="1" applyBorder="1" applyAlignment="1">
      <alignment horizontal="center" vertical="center" wrapText="1"/>
    </xf>
    <xf numFmtId="0" fontId="37" fillId="0" borderId="1" xfId="533" applyNumberFormat="1" applyFont="1" applyFill="1" applyBorder="1" applyAlignment="1">
      <alignment horizontal="left" vertical="center" wrapText="1"/>
    </xf>
    <xf numFmtId="49" fontId="38" fillId="0" borderId="1" xfId="533" applyNumberFormat="1" applyFont="1" applyFill="1" applyBorder="1" applyAlignment="1">
      <alignment horizontal="center" vertical="center" wrapText="1"/>
    </xf>
    <xf numFmtId="178" fontId="38" fillId="0" borderId="1" xfId="533" applyNumberFormat="1" applyFont="1" applyFill="1" applyBorder="1" applyAlignment="1">
      <alignment horizontal="center" vertical="center" wrapText="1"/>
    </xf>
    <xf numFmtId="49" fontId="40" fillId="0" borderId="1" xfId="533" applyNumberFormat="1" applyFont="1" applyFill="1" applyBorder="1" applyAlignment="1">
      <alignment horizontal="left" vertical="center" wrapText="1"/>
    </xf>
    <xf numFmtId="178" fontId="37" fillId="0" borderId="1" xfId="2858" applyNumberFormat="1" applyFont="1" applyBorder="1" applyAlignment="1">
      <alignment horizontal="center" vertical="center"/>
    </xf>
    <xf numFmtId="0" fontId="37" fillId="0" borderId="1" xfId="2858" applyFont="1" applyFill="1" applyBorder="1" applyAlignment="1">
      <alignment horizontal="center" vertical="center"/>
    </xf>
    <xf numFmtId="178" fontId="37" fillId="0" borderId="1" xfId="2858" applyNumberFormat="1" applyFont="1" applyFill="1" applyBorder="1" applyAlignment="1">
      <alignment horizontal="center" vertical="center"/>
    </xf>
    <xf numFmtId="178" fontId="37" fillId="0" borderId="1" xfId="1425" applyNumberFormat="1" applyFont="1" applyBorder="1" applyAlignment="1">
      <alignment horizontal="center" vertical="center"/>
    </xf>
    <xf numFmtId="49" fontId="37" fillId="0" borderId="1" xfId="0" applyNumberFormat="1" applyFont="1" applyFill="1" applyBorder="1" applyAlignment="1">
      <alignment horizontal="left" vertical="center"/>
    </xf>
    <xf numFmtId="178" fontId="37" fillId="0" borderId="1" xfId="0" applyNumberFormat="1" applyFont="1" applyFill="1" applyBorder="1" applyAlignment="1">
      <alignment horizontal="center" vertical="center"/>
    </xf>
    <xf numFmtId="9" fontId="37" fillId="0" borderId="1" xfId="2858" applyNumberFormat="1" applyFont="1" applyFill="1" applyBorder="1" applyAlignment="1">
      <alignment horizontal="center" vertical="center" wrapText="1"/>
    </xf>
    <xf numFmtId="0" fontId="37" fillId="0" borderId="1" xfId="0" applyFont="1" applyBorder="1" applyAlignment="1">
      <alignment horizontal="center" vertical="center"/>
    </xf>
    <xf numFmtId="0" fontId="37" fillId="0" borderId="1" xfId="0" applyFont="1" applyBorder="1" applyAlignment="1">
      <alignment horizontal="left" vertical="center"/>
    </xf>
    <xf numFmtId="0" fontId="37" fillId="0" borderId="1" xfId="0" applyNumberFormat="1" applyFont="1" applyFill="1" applyBorder="1" applyAlignment="1">
      <alignment horizontal="center" vertical="center" wrapText="1"/>
    </xf>
    <xf numFmtId="0" fontId="37" fillId="0" borderId="1" xfId="0" applyFont="1" applyBorder="1" applyAlignment="1">
      <alignment horizontal="left"/>
    </xf>
    <xf numFmtId="0" fontId="40" fillId="0" borderId="1" xfId="0" applyFont="1" applyBorder="1" applyAlignment="1">
      <alignment horizontal="center" vertical="center"/>
    </xf>
    <xf numFmtId="178" fontId="37" fillId="0" borderId="1" xfId="0" applyNumberFormat="1" applyFont="1" applyBorder="1" applyAlignment="1">
      <alignment horizontal="center"/>
    </xf>
    <xf numFmtId="0" fontId="37" fillId="0" borderId="1" xfId="0" applyFont="1" applyBorder="1" applyAlignment="1">
      <alignment vertical="center"/>
    </xf>
    <xf numFmtId="0" fontId="37" fillId="0" borderId="1" xfId="0" applyFont="1" applyFill="1" applyBorder="1" applyAlignment="1">
      <alignment horizontal="center"/>
    </xf>
    <xf numFmtId="0" fontId="37" fillId="0" borderId="1" xfId="0" applyFont="1" applyBorder="1" applyAlignment="1">
      <alignment horizontal="center"/>
    </xf>
    <xf numFmtId="0" fontId="37" fillId="0" borderId="1" xfId="1296" applyFont="1" applyFill="1" applyBorder="1" applyAlignment="1">
      <alignment horizontal="left" vertical="center" wrapText="1"/>
    </xf>
    <xf numFmtId="0" fontId="37" fillId="0" borderId="1" xfId="0" applyNumberFormat="1" applyFont="1" applyFill="1" applyBorder="1" applyAlignment="1">
      <alignment horizontal="left"/>
    </xf>
    <xf numFmtId="0" fontId="37" fillId="0" borderId="1" xfId="1101" applyNumberFormat="1" applyFont="1" applyFill="1" applyBorder="1" applyAlignment="1" applyProtection="1">
      <alignment horizontal="center" vertical="center" wrapText="1"/>
    </xf>
    <xf numFmtId="49" fontId="37" fillId="4" borderId="1" xfId="2858" applyNumberFormat="1" applyFont="1" applyFill="1" applyBorder="1" applyAlignment="1">
      <alignment horizontal="left" vertical="center" wrapText="1"/>
    </xf>
    <xf numFmtId="49" fontId="37" fillId="4" borderId="1" xfId="533" applyNumberFormat="1" applyFont="1" applyFill="1" applyBorder="1" applyAlignment="1">
      <alignment horizontal="left" vertical="center" wrapText="1"/>
    </xf>
    <xf numFmtId="0" fontId="37" fillId="4" borderId="1" xfId="533" applyFont="1" applyFill="1" applyBorder="1" applyAlignment="1">
      <alignment horizontal="center" vertical="center" wrapText="1"/>
    </xf>
    <xf numFmtId="0" fontId="37" fillId="4" borderId="1" xfId="533" applyFont="1" applyFill="1" applyBorder="1" applyAlignment="1">
      <alignment horizontal="left" vertical="center" wrapText="1"/>
    </xf>
    <xf numFmtId="0" fontId="40" fillId="0" borderId="1" xfId="2858" applyFont="1" applyFill="1" applyBorder="1" applyAlignment="1">
      <alignment horizontal="left" vertical="center" wrapText="1"/>
    </xf>
    <xf numFmtId="0" fontId="37" fillId="0" borderId="1" xfId="1425" applyNumberFormat="1" applyFont="1" applyFill="1" applyBorder="1" applyAlignment="1">
      <alignment horizontal="center" vertical="center" wrapText="1"/>
    </xf>
    <xf numFmtId="0" fontId="37" fillId="0" borderId="1" xfId="1425" applyNumberFormat="1" applyFont="1" applyFill="1" applyBorder="1" applyAlignment="1">
      <alignment horizontal="left" vertical="center" wrapText="1"/>
    </xf>
    <xf numFmtId="0" fontId="37" fillId="0" borderId="1" xfId="1670" applyFont="1" applyFill="1" applyBorder="1" applyAlignment="1">
      <alignment horizontal="center" vertical="center" wrapText="1"/>
    </xf>
    <xf numFmtId="49" fontId="37" fillId="0" borderId="1" xfId="1670" applyNumberFormat="1" applyFont="1" applyFill="1" applyBorder="1" applyAlignment="1">
      <alignment horizontal="center" vertical="center" wrapText="1"/>
    </xf>
    <xf numFmtId="176" fontId="38" fillId="0" borderId="1" xfId="533" applyNumberFormat="1" applyFont="1" applyFill="1" applyBorder="1" applyAlignment="1">
      <alignment horizontal="center" vertical="center" wrapText="1"/>
    </xf>
    <xf numFmtId="176" fontId="37" fillId="4" borderId="1" xfId="533" applyNumberFormat="1" applyFont="1" applyFill="1" applyBorder="1" applyAlignment="1">
      <alignment horizontal="center" vertical="center" wrapText="1"/>
    </xf>
    <xf numFmtId="178" fontId="37" fillId="4" borderId="1" xfId="533" applyNumberFormat="1" applyFont="1" applyFill="1" applyBorder="1" applyAlignment="1">
      <alignment horizontal="center" vertical="center" wrapText="1"/>
    </xf>
    <xf numFmtId="0" fontId="37" fillId="4" borderId="1" xfId="2858" applyFont="1" applyFill="1" applyBorder="1" applyAlignment="1">
      <alignment horizontal="center" vertical="center" wrapText="1"/>
    </xf>
    <xf numFmtId="0" fontId="37" fillId="4" borderId="1" xfId="3970" applyFont="1" applyFill="1" applyBorder="1" applyAlignment="1">
      <alignment horizontal="center" vertical="center" wrapText="1"/>
    </xf>
    <xf numFmtId="0" fontId="37" fillId="4" borderId="1" xfId="3970" applyFont="1" applyFill="1" applyBorder="1" applyAlignment="1">
      <alignment horizontal="left" vertical="center" wrapText="1"/>
    </xf>
    <xf numFmtId="178" fontId="37" fillId="0" borderId="1" xfId="3970" applyNumberFormat="1" applyFont="1" applyFill="1" applyBorder="1" applyAlignment="1">
      <alignment horizontal="center" vertical="center" wrapText="1"/>
    </xf>
    <xf numFmtId="0" fontId="37" fillId="0" borderId="1" xfId="0" applyFont="1" applyFill="1" applyBorder="1" applyAlignment="1">
      <alignment horizontal="left" vertical="center"/>
    </xf>
    <xf numFmtId="0" fontId="37" fillId="0" borderId="1" xfId="0" applyFont="1" applyFill="1" applyBorder="1" applyAlignment="1">
      <alignment horizontal="center" vertical="center"/>
    </xf>
    <xf numFmtId="178" fontId="37" fillId="0" borderId="1" xfId="0" applyNumberFormat="1" applyFont="1" applyBorder="1" applyAlignment="1">
      <alignment horizontal="center" vertical="center"/>
    </xf>
  </cellXfs>
  <cellStyles count="4091">
    <cellStyle name="常规" xfId="0" builtinId="0"/>
    <cellStyle name="输出 2 7 20" xfId="1"/>
    <cellStyle name="输出 2 7 15" xfId="2"/>
    <cellStyle name="货币[0]" xfId="3" builtinId="7"/>
    <cellStyle name="注释 2 5 4 7" xfId="4"/>
    <cellStyle name="20% - 强调文字颜色 3" xfId="5" builtinId="38"/>
    <cellStyle name="常规 2 2 7 5" xfId="6"/>
    <cellStyle name="输出 2 3 9 5" xfId="7"/>
    <cellStyle name="40% - 强调文字颜色 4 2 8 3" xfId="8"/>
    <cellStyle name="强调文字颜色 2 3 2" xfId="9"/>
    <cellStyle name="20% - 强调文字颜色 6 2 12" xfId="10"/>
    <cellStyle name="输入" xfId="11" builtinId="20"/>
    <cellStyle name="常规 12 3 2 2 2" xfId="12"/>
    <cellStyle name="注释 2 9 10 6" xfId="13"/>
    <cellStyle name="货币" xfId="14" builtinId="4"/>
    <cellStyle name="注释 2 9 5 2" xfId="15"/>
    <cellStyle name="百分比 2 8 2" xfId="16"/>
    <cellStyle name="计算 2 2 10 2 5" xfId="17"/>
    <cellStyle name="常规 4 6 3 3 2" xfId="18"/>
    <cellStyle name="输出 3 5 5" xfId="19"/>
    <cellStyle name="计算 2 11 6 2 2" xfId="20"/>
    <cellStyle name="千位分隔[0]" xfId="21" builtinId="6"/>
    <cellStyle name="标题 5 6" xfId="22"/>
    <cellStyle name="输入 2 5 9 2" xfId="23"/>
    <cellStyle name="注释 2 2 2 2 2 2" xfId="24"/>
    <cellStyle name="40% - 强调文字颜色 3" xfId="25" builtinId="39"/>
    <cellStyle name="输出 2 9 4 2 4" xfId="26"/>
    <cellStyle name="输入 2 2 2 4" xfId="27"/>
    <cellStyle name="常规 28_导出数据1" xfId="28"/>
    <cellStyle name="注释 2 3 2 5" xfId="29"/>
    <cellStyle name="差" xfId="30" builtinId="27"/>
    <cellStyle name="计算 2 4 6 6" xfId="31"/>
    <cellStyle name="汇总 2 12 2 5" xfId="32"/>
    <cellStyle name="输入 2 10 6 5" xfId="33"/>
    <cellStyle name="计算 2 8 4 2 2" xfId="34"/>
    <cellStyle name="千位分隔" xfId="35" builtinId="3"/>
    <cellStyle name="计算 2 3 10 6" xfId="36"/>
    <cellStyle name="60% - 强调文字颜色 3" xfId="37" builtinId="40"/>
    <cellStyle name="40% - 强调文字颜色 4 2 13 3" xfId="38"/>
    <cellStyle name="超链接" xfId="39" builtinId="8"/>
    <cellStyle name="计算 2 8 3 2 5" xfId="40"/>
    <cellStyle name="计算 2 8 4 6" xfId="41"/>
    <cellStyle name="输出 2 6 11 5" xfId="42"/>
    <cellStyle name="汇总 2 10 4 7" xfId="43"/>
    <cellStyle name="百分比" xfId="44" builtinId="5"/>
    <cellStyle name="输出 2 7 23" xfId="45"/>
    <cellStyle name="输出 2 7 18" xfId="46"/>
    <cellStyle name="常规 43 3 5 2 2" xfId="47"/>
    <cellStyle name="常规 38 3 5 2 2" xfId="48"/>
    <cellStyle name="已访问的超链接" xfId="49" builtinId="9"/>
    <cellStyle name="常规 2 3 5 2 2" xfId="50"/>
    <cellStyle name="汇总 2 6 12 5" xfId="51"/>
    <cellStyle name="注释" xfId="52" builtinId="10"/>
    <cellStyle name="计算 2 5 4 2 6" xfId="53"/>
    <cellStyle name="计算 2 14 4 4" xfId="54"/>
    <cellStyle name="汇总 2 7 2 2 4" xfId="55"/>
    <cellStyle name="计算 2 4 5" xfId="56"/>
    <cellStyle name="输出 2 11 8 2" xfId="57"/>
    <cellStyle name="计算 2 3 10 5" xfId="58"/>
    <cellStyle name="60% - 强调文字颜色 2" xfId="59" builtinId="36"/>
    <cellStyle name="计算 2 3 7 2 5" xfId="60"/>
    <cellStyle name="汇总 2 8 7 2 6" xfId="61"/>
    <cellStyle name="输出 2 3 2 2 5" xfId="62"/>
    <cellStyle name="注释 2 13 4 2 5" xfId="63"/>
    <cellStyle name="标题 4" xfId="64" builtinId="19"/>
    <cellStyle name="常规 6 5" xfId="65"/>
    <cellStyle name="输入 2 15 3 4" xfId="66"/>
    <cellStyle name="常规 4 2 2 3" xfId="67"/>
    <cellStyle name="警告文本" xfId="68" builtinId="11"/>
    <cellStyle name="标题" xfId="69" builtinId="15"/>
    <cellStyle name="注释 2 10 19" xfId="70"/>
    <cellStyle name="注释 2 11 5 2 2" xfId="71"/>
    <cellStyle name="解释性文本" xfId="72" builtinId="53"/>
    <cellStyle name="输出 2 13 5 2 6" xfId="73"/>
    <cellStyle name="注释 2 13 9 7" xfId="74"/>
    <cellStyle name="计算 2 5 3 6" xfId="75"/>
    <cellStyle name="输出 2 3 7 7" xfId="76"/>
    <cellStyle name="计算 2 11 3 2 3" xfId="77"/>
    <cellStyle name="注释 2 13 4 2 2" xfId="78"/>
    <cellStyle name="输入 2 7 9 6" xfId="79"/>
    <cellStyle name="标题 1" xfId="80" builtinId="16"/>
    <cellStyle name="注释 2 13 4 2 3" xfId="81"/>
    <cellStyle name="标题 2" xfId="82" builtinId="17"/>
    <cellStyle name="60% - 强调文字颜色 1" xfId="83" builtinId="32"/>
    <cellStyle name="汇总 2 5 5 2 2" xfId="84"/>
    <cellStyle name="输出 2 3 2 2 4" xfId="85"/>
    <cellStyle name="标题 3" xfId="86" builtinId="18"/>
    <cellStyle name="计算 2 10 6" xfId="87"/>
    <cellStyle name="常规 11 4 3" xfId="88"/>
    <cellStyle name="注释 2 13 13 5" xfId="89"/>
    <cellStyle name="差 2 14" xfId="90"/>
    <cellStyle name="60% - 强调文字颜色 4" xfId="91" builtinId="44"/>
    <cellStyle name="输出 2 11 8 4" xfId="92"/>
    <cellStyle name="输出" xfId="93" builtinId="21"/>
    <cellStyle name="输出 2 9 3 2 3" xfId="94"/>
    <cellStyle name="输入 2 5 9" xfId="95"/>
    <cellStyle name="计算 2 3 3" xfId="96"/>
    <cellStyle name="输出 2 13 3 2" xfId="97"/>
    <cellStyle name="计算" xfId="98" builtinId="22"/>
    <cellStyle name="检查单元格" xfId="99" builtinId="23"/>
    <cellStyle name="常规 12 4_导出数据1" xfId="100"/>
    <cellStyle name="输入 2 10 7 5" xfId="101"/>
    <cellStyle name="汇总 2 12 3 5" xfId="102"/>
    <cellStyle name="汇总 2 6 14" xfId="103"/>
    <cellStyle name="20% - 强调文字颜色 6" xfId="104" builtinId="50"/>
    <cellStyle name="计算 2 15 2 2 3" xfId="105"/>
    <cellStyle name="警告文本 2 4 2" xfId="106"/>
    <cellStyle name="强调文字颜色 2" xfId="107" builtinId="33"/>
    <cellStyle name="标题 5 10 2" xfId="108"/>
    <cellStyle name="链接单元格" xfId="109" builtinId="24"/>
    <cellStyle name="汇总" xfId="110" builtinId="25"/>
    <cellStyle name="好" xfId="111" builtinId="26"/>
    <cellStyle name="输入 2 8 4 2 3" xfId="112"/>
    <cellStyle name="适中" xfId="113" builtinId="28"/>
    <cellStyle name="注释 2 3 8 7" xfId="114"/>
    <cellStyle name="输出 2 10 4 6" xfId="115"/>
    <cellStyle name="60% - 强调文字颜色 6 2 9" xfId="116"/>
    <cellStyle name="汇总 2 11" xfId="117"/>
    <cellStyle name="计算 2 4 7 5" xfId="118"/>
    <cellStyle name="输入 2 10 7 4" xfId="119"/>
    <cellStyle name="标题 5 3 3" xfId="120"/>
    <cellStyle name="20% - 强调文字颜色 5" xfId="121" builtinId="46"/>
    <cellStyle name="40% - 强调文字颜色 1 2 8" xfId="122"/>
    <cellStyle name="计算 2 31" xfId="123"/>
    <cellStyle name="计算 2 26" xfId="124"/>
    <cellStyle name="计算 3 2 3 2" xfId="125"/>
    <cellStyle name="汇总 2 2 2 3 7" xfId="126"/>
    <cellStyle name="强调文字颜色 1" xfId="127" builtinId="29"/>
    <cellStyle name="计算 2 11 9 5" xfId="128"/>
    <cellStyle name="百分比 3 5 2" xfId="129"/>
    <cellStyle name="20% - 强调文字颜色 1" xfId="130" builtinId="30"/>
    <cellStyle name="注释 2 4 13 2" xfId="131"/>
    <cellStyle name="40% - 强调文字颜色 1" xfId="132" builtinId="31"/>
    <cellStyle name="20% - 强调文字颜色 2" xfId="133" builtinId="34"/>
    <cellStyle name="40% - 强调文字颜色 2" xfId="134" builtinId="35"/>
    <cellStyle name="常规 6 2 2 3 2 2" xfId="135"/>
    <cellStyle name="输入 2 2 2 3" xfId="136"/>
    <cellStyle name="输出 2 3 4 6" xfId="137"/>
    <cellStyle name="计算 2 11 13 4" xfId="138"/>
    <cellStyle name="常规 2 2 2 6" xfId="139"/>
    <cellStyle name="强调文字颜色 3" xfId="140" builtinId="37"/>
    <cellStyle name="汇总 2 9 4 2 2" xfId="141"/>
    <cellStyle name="40% - 强调文字颜色 4 2 3 5" xfId="142"/>
    <cellStyle name="输出 2 11 11 2" xfId="143"/>
    <cellStyle name="强调文字颜色 4" xfId="144" builtinId="41"/>
    <cellStyle name="输出 2 3 4 3" xfId="145"/>
    <cellStyle name="40% - 强调文字颜色 1 2 10 2" xfId="146"/>
    <cellStyle name="汇总 2 2 2 3 6" xfId="147"/>
    <cellStyle name="计算 2 12 2 6" xfId="148"/>
    <cellStyle name="汇总 2 8 15 3" xfId="149"/>
    <cellStyle name="汇总 2 12 3 3" xfId="150"/>
    <cellStyle name="注释 2 5 4 8" xfId="151"/>
    <cellStyle name="20% - 强调文字颜色 4" xfId="152" builtinId="42"/>
    <cellStyle name="标题 5 7" xfId="153"/>
    <cellStyle name="输出 2 9 4 2 5" xfId="154"/>
    <cellStyle name="输入 2 2 2 5" xfId="155"/>
    <cellStyle name="注释 2 5 15" xfId="156"/>
    <cellStyle name="注释 2 5 20" xfId="157"/>
    <cellStyle name="注释 2 2 2 2 2 3" xfId="158"/>
    <cellStyle name="输出 2 6 2 2 2" xfId="159"/>
    <cellStyle name="40% - 强调文字颜色 4" xfId="160" builtinId="43"/>
    <cellStyle name="汇总 2 9 4 2 3" xfId="161"/>
    <cellStyle name="输出 2 11 11 3" xfId="162"/>
    <cellStyle name="强调文字颜色 5" xfId="163" builtinId="45"/>
    <cellStyle name="计算 2 4 4 2 2" xfId="164"/>
    <cellStyle name="40% - 强调文字颜色 5" xfId="165" builtinId="47"/>
    <cellStyle name="输出 2 8 13 3" xfId="166"/>
    <cellStyle name="差 2 15" xfId="167"/>
    <cellStyle name="注释 2 4 2" xfId="168"/>
    <cellStyle name="好 2 9 2" xfId="169"/>
    <cellStyle name="输出 2 11 8 5" xfId="170"/>
    <cellStyle name="60% - 强调文字颜色 5" xfId="171" builtinId="48"/>
    <cellStyle name="输入 2 5 14 3" xfId="172"/>
    <cellStyle name="计算 2 4 4 2 3" xfId="173"/>
    <cellStyle name="注释 2 4 10 3 3" xfId="174"/>
    <cellStyle name="常规 42_Sheet1" xfId="175"/>
    <cellStyle name="常规 37_Sheet1" xfId="176"/>
    <cellStyle name="汇总 2 9 4 2 4" xfId="177"/>
    <cellStyle name="强调文字颜色 6" xfId="178" builtinId="49"/>
    <cellStyle name="汇总 3 8" xfId="179"/>
    <cellStyle name="汇总 2 4 15 3" xfId="180"/>
    <cellStyle name="计算 2 15 3 6" xfId="181"/>
    <cellStyle name="注释 2 2 2 2 2 5" xfId="182"/>
    <cellStyle name="40% - 强调文字颜色 6" xfId="183" builtinId="51"/>
    <cellStyle name="计算 2 12 8 6" xfId="184"/>
    <cellStyle name="常规 9 2 2 2_导出数据1" xfId="185"/>
    <cellStyle name="60% - 强调文字颜色 6" xfId="186" builtinId="52"/>
    <cellStyle name="40% - 强调文字颜色 1 3" xfId="187"/>
    <cellStyle name="常规 7 2 6 2 2" xfId="188"/>
    <cellStyle name="标题 5 4 3" xfId="189"/>
    <cellStyle name="常规 16 2 6" xfId="190"/>
    <cellStyle name="常规 21 2 6" xfId="191"/>
    <cellStyle name="计算 2 4 8 5" xfId="192"/>
    <cellStyle name="常规 4 2 5 2" xfId="193"/>
    <cellStyle name="常规 2 3 8" xfId="194"/>
    <cellStyle name="差 2 7 2" xfId="195"/>
    <cellStyle name="输出 2 4 6 2 2" xfId="196"/>
    <cellStyle name="计算 2 13 9 2" xfId="197"/>
    <cellStyle name="常规 9 10 2" xfId="198"/>
    <cellStyle name="输入 2 4 3 3" xfId="199"/>
    <cellStyle name="计算 2 9 16 2" xfId="200"/>
    <cellStyle name="计算 2 4 8 6" xfId="201"/>
    <cellStyle name="计算 2 28 5" xfId="202"/>
    <cellStyle name="差_汇总 2_导出数据1" xfId="203"/>
    <cellStyle name="汇总 2 2 4 5" xfId="204"/>
    <cellStyle name="常规 18 3 3 2 2" xfId="205"/>
    <cellStyle name="常规 23 3 3 2 2" xfId="206"/>
    <cellStyle name="注释 2 3 2 3 3" xfId="207"/>
    <cellStyle name="输出 2 13 13" xfId="208"/>
    <cellStyle name="注释 3 4 2" xfId="209"/>
    <cellStyle name="输入 2 4 7 2" xfId="210"/>
    <cellStyle name="汇总 2 12 9 2 4" xfId="211"/>
    <cellStyle name="常规 9 2 7" xfId="212"/>
    <cellStyle name="汇总 2 5 9 2 6" xfId="213"/>
    <cellStyle name="20% - 强调文字颜色 4 2 10 2" xfId="214"/>
    <cellStyle name="汇总 2 10 7 2 4" xfId="215"/>
    <cellStyle name="汇总 2 13 12 3" xfId="216"/>
    <cellStyle name="输出 2 5 20" xfId="217"/>
    <cellStyle name="输出 2 5 15" xfId="218"/>
    <cellStyle name="计算 2 12 9 2 4" xfId="219"/>
    <cellStyle name="常规 45 3 2 2_导出数据1" xfId="220"/>
    <cellStyle name="输出 2 3 4 2" xfId="221"/>
    <cellStyle name="注释 2 13 6 2" xfId="222"/>
    <cellStyle name="注释 2 6 11 4" xfId="223"/>
    <cellStyle name="注释 2 14 2 2 3" xfId="224"/>
    <cellStyle name="40% - 强调文字颜色 6 2 7 2" xfId="225"/>
    <cellStyle name="汇总 2 6 4 2" xfId="226"/>
    <cellStyle name="注释 2 4 2 4 2" xfId="227"/>
    <cellStyle name="常规 23 2 5" xfId="228"/>
    <cellStyle name="常规 18 2 5" xfId="229"/>
    <cellStyle name="常规 2 2 2 11" xfId="230"/>
    <cellStyle name="输入 2 12 8 3" xfId="231"/>
    <cellStyle name="20% - 强调文字颜色 1 2 12" xfId="232"/>
    <cellStyle name="注释 2 12 5 3" xfId="233"/>
    <cellStyle name="计算 2 8 5" xfId="234"/>
    <cellStyle name="计算 2 6 6 2 3" xfId="235"/>
    <cellStyle name="计算 2 7 13 2" xfId="236"/>
    <cellStyle name="输出 2 28 2" xfId="237"/>
    <cellStyle name="注释 2 3 2 4 2" xfId="238"/>
    <cellStyle name="计算 2 12 4 6" xfId="239"/>
    <cellStyle name="注释 3 3 2 5" xfId="240"/>
    <cellStyle name="汇总 2 9 8 6" xfId="241"/>
    <cellStyle name="40% - 强调文字颜色 6 2 4" xfId="242"/>
    <cellStyle name="链接单元格 2 4 2" xfId="243"/>
    <cellStyle name="计算 2 16 5" xfId="244"/>
    <cellStyle name="计算 2 21 5" xfId="245"/>
    <cellStyle name="汇总 2 9 6 2 5" xfId="246"/>
    <cellStyle name="计算 2 4 6 2 4" xfId="247"/>
    <cellStyle name="常规 8 2 2 2 2 2" xfId="248"/>
    <cellStyle name="输出 2 6 9 2 5" xfId="249"/>
    <cellStyle name="常规 8 10" xfId="250"/>
    <cellStyle name="常规 2 2 5_导出数据1" xfId="251"/>
    <cellStyle name="计算 2 2 5 2 6" xfId="252"/>
    <cellStyle name="常规 10 2 3 3 2" xfId="253"/>
    <cellStyle name="输出 2 13 9 6" xfId="254"/>
    <cellStyle name="常规 7 2 6 3" xfId="255"/>
    <cellStyle name="常规 11 2 2_导出数据1" xfId="256"/>
    <cellStyle name="输出 2 4 7 2 6" xfId="257"/>
    <cellStyle name="计算 2 2 11" xfId="258"/>
    <cellStyle name="计算 2 7 9 2 2" xfId="259"/>
    <cellStyle name="计算 2 5 4 7" xfId="260"/>
    <cellStyle name="输入 2 11 4 6" xfId="261"/>
    <cellStyle name="20% - 强调文字颜色 3 2 2 6" xfId="262"/>
    <cellStyle name="汇总 2 11 3 2 3" xfId="263"/>
    <cellStyle name="常规 2 3 5 3" xfId="264"/>
    <cellStyle name="计算 2 6 3 2" xfId="265"/>
    <cellStyle name="输出 2 4 7 3" xfId="266"/>
    <cellStyle name="计算 2 2 10 2 2" xfId="267"/>
    <cellStyle name="汇总 2 9 11 6" xfId="268"/>
    <cellStyle name="输入 2 4 5 2 2" xfId="269"/>
    <cellStyle name="常规 6 3 2 2 2" xfId="270"/>
    <cellStyle name="注释 2 11 12 5" xfId="271"/>
    <cellStyle name="常规 14 2 2 3 2" xfId="272"/>
    <cellStyle name="计算 2 3 7 6" xfId="273"/>
    <cellStyle name="汇总 2 4 7 2 5" xfId="274"/>
    <cellStyle name="常规 9 3 2" xfId="275"/>
    <cellStyle name="40% - 强调文字颜色 6 2 13 3" xfId="276"/>
    <cellStyle name="注释 2 11 2 2" xfId="277"/>
    <cellStyle name="输出 2 6 8 6" xfId="278"/>
    <cellStyle name="输出 2 6 11 4" xfId="279"/>
    <cellStyle name="输出 3 6 5" xfId="280"/>
    <cellStyle name="计算 2 8 4 5" xfId="281"/>
    <cellStyle name="40% - 强调文字颜色 2 2 3 3 2" xfId="282"/>
    <cellStyle name="输入 2 7 2 4" xfId="283"/>
    <cellStyle name="输出 2 9 9 2 4" xfId="284"/>
    <cellStyle name="计算 2 8 3 2" xfId="285"/>
    <cellStyle name="注释 2 11 5 4" xfId="286"/>
    <cellStyle name="计算 2 6 5 2" xfId="287"/>
    <cellStyle name="输出 2 4 9 3" xfId="288"/>
    <cellStyle name="输出 2 11 9 2 3" xfId="289"/>
    <cellStyle name="汇总 2 2 2 3 4" xfId="290"/>
    <cellStyle name="汇总 2 13 12" xfId="291"/>
    <cellStyle name="注释 2 6 18" xfId="292"/>
    <cellStyle name="注释 2 4 2 5" xfId="293"/>
    <cellStyle name="输入 2 2 16 4" xfId="294"/>
    <cellStyle name="计算 3 5 3" xfId="295"/>
    <cellStyle name="计算 2 2 3 3 2" xfId="296"/>
    <cellStyle name="计算 2 10 7 6" xfId="297"/>
    <cellStyle name="输出 2 28 4" xfId="298"/>
    <cellStyle name="输入 2 2 5 2 6" xfId="299"/>
    <cellStyle name="解释性文本 2 6 2" xfId="300"/>
    <cellStyle name="差_导出数据1 2_导出数据1 2 2" xfId="301"/>
    <cellStyle name="常规 14 3 2 2" xfId="302"/>
    <cellStyle name="常规 12 2 2 3 2" xfId="303"/>
    <cellStyle name="计算 2 4 5 5" xfId="304"/>
    <cellStyle name="注释 2 4 11 6" xfId="305"/>
    <cellStyle name="输出 2 2 4 8" xfId="306"/>
    <cellStyle name="汇总 2 9 3 2 3" xfId="307"/>
    <cellStyle name="计算 2 2 14" xfId="308"/>
    <cellStyle name="输出 2 7 2 5" xfId="309"/>
    <cellStyle name="汇总 2 10 5 7" xfId="310"/>
    <cellStyle name="40% - 强调文字颜色 3 2 14" xfId="311"/>
    <cellStyle name="常规 45 3 2 3 2" xfId="312"/>
    <cellStyle name="汇总 2 9 6 2 6" xfId="313"/>
    <cellStyle name="计算 2 4 6 2 5" xfId="314"/>
    <cellStyle name="百分比 3 4" xfId="315"/>
    <cellStyle name="差 2 5 2" xfId="316"/>
    <cellStyle name="计算 2 21 6" xfId="317"/>
    <cellStyle name="计算 2 16 6" xfId="318"/>
    <cellStyle name="40% - 强调文字颜色 1 2 3 6" xfId="319"/>
    <cellStyle name="20% - 强调文字颜色 5 2 2 2 3" xfId="320"/>
    <cellStyle name="汇总 2 6 4 2 3" xfId="321"/>
    <cellStyle name="输出 2 12 7 2" xfId="322"/>
    <cellStyle name="汇总 2 7 4 4" xfId="323"/>
    <cellStyle name="20% - 强调文字颜色 3 2 2 2 2" xfId="324"/>
    <cellStyle name="链接单元格 2 3" xfId="325"/>
    <cellStyle name="注释 2 7 16 2" xfId="326"/>
    <cellStyle name="计算 2 13 4 3" xfId="327"/>
    <cellStyle name="输出 2 8 16 3" xfId="328"/>
    <cellStyle name="常规 45 3 5" xfId="329"/>
    <cellStyle name="注释 2 7 2" xfId="330"/>
    <cellStyle name="注释 2 3 16 2" xfId="331"/>
    <cellStyle name="常规 11 4 2" xfId="332"/>
    <cellStyle name="输出 2 3 2 2 6" xfId="333"/>
    <cellStyle name="标题 5" xfId="334"/>
    <cellStyle name="汇总 2 5 5 2 4" xfId="335"/>
    <cellStyle name="输入 2 8 6 2 2" xfId="336"/>
    <cellStyle name="常规 4 6 2 2 2" xfId="337"/>
    <cellStyle name="输出 2 23 2 6" xfId="338"/>
    <cellStyle name="输出 2 18 2 6" xfId="339"/>
    <cellStyle name="输入 2 3 2 2 2" xfId="340"/>
    <cellStyle name="注释 2 8 7 2 2" xfId="341"/>
    <cellStyle name="注释 2 17 7" xfId="342"/>
    <cellStyle name="注释 2 22 7" xfId="343"/>
    <cellStyle name="输入 2 13 5 4" xfId="344"/>
    <cellStyle name="输出 2 5 9 6" xfId="345"/>
    <cellStyle name="输入 2 11 14 2" xfId="346"/>
    <cellStyle name="输出 2 7 5 2" xfId="347"/>
    <cellStyle name="输出 2 2 4 3" xfId="348"/>
    <cellStyle name="汇总 2 11 10 6" xfId="349"/>
    <cellStyle name="输出 2 9 3 2" xfId="350"/>
    <cellStyle name="标题 5 6 3" xfId="351"/>
    <cellStyle name="汇总 2 12 6 4" xfId="352"/>
    <cellStyle name="汇总 2 8 3 2 4" xfId="353"/>
    <cellStyle name="计算 2 2 12 2" xfId="354"/>
    <cellStyle name="计算 2 22 3" xfId="355"/>
    <cellStyle name="计算 2 17 3" xfId="356"/>
    <cellStyle name="40% - 强调文字颜色 1 2 4 3" xfId="357"/>
    <cellStyle name="输入 2 2 3 4 6" xfId="358"/>
    <cellStyle name="计算 2 3 4 2 6" xfId="359"/>
    <cellStyle name="输出 2 3 10 2" xfId="360"/>
    <cellStyle name="注释 2 20 5" xfId="361"/>
    <cellStyle name="注释 2 15 5" xfId="362"/>
    <cellStyle name="输出 2 13 7 2 3" xfId="363"/>
    <cellStyle name="计算 2 7 3 3" xfId="364"/>
    <cellStyle name="计算 2 6 9 6" xfId="365"/>
    <cellStyle name="汇总 2 3 6 2" xfId="366"/>
    <cellStyle name="差_汇总" xfId="367"/>
    <cellStyle name="输入 2 9 4" xfId="368"/>
    <cellStyle name="常规 10 3 2 3 2" xfId="369"/>
    <cellStyle name="计算 2 3 13 6" xfId="370"/>
    <cellStyle name="计算 2 14 2 2" xfId="371"/>
    <cellStyle name="注释 3" xfId="372"/>
    <cellStyle name="注释 2 3 26" xfId="373"/>
    <cellStyle name="汇总 3 4 6" xfId="374"/>
    <cellStyle name="汇总 2 10 15" xfId="375"/>
    <cellStyle name="汇总 2 10 20" xfId="376"/>
    <cellStyle name="计算 2 7 7 2 5" xfId="377"/>
    <cellStyle name="输出 2 9 2 5" xfId="378"/>
    <cellStyle name="注释 2 4 5 2 6" xfId="379"/>
    <cellStyle name="输出 2 11 6 2" xfId="380"/>
    <cellStyle name="注释 2 6 10 6" xfId="381"/>
    <cellStyle name="计算 2 11 11" xfId="382"/>
    <cellStyle name="60% - 强调文字颜色 5 2 6" xfId="383"/>
    <cellStyle name="计算 2 25 5" xfId="384"/>
    <cellStyle name="计算 2 6 8 2" xfId="385"/>
    <cellStyle name="常规 27 5 2 2" xfId="386"/>
    <cellStyle name="计算 2 5 13" xfId="387"/>
    <cellStyle name="计算 2 13 9 2 6" xfId="388"/>
    <cellStyle name="注释 2 8 7 4" xfId="389"/>
    <cellStyle name="计算 2 11 5 6" xfId="390"/>
    <cellStyle name="输出 2 15 3 3" xfId="391"/>
    <cellStyle name="输出 2 4 8 2" xfId="392"/>
    <cellStyle name="常规 25 3" xfId="393"/>
    <cellStyle name="60% - 强调文字颜色 5 2 4 2" xfId="394"/>
    <cellStyle name="注释 2 13 2 4" xfId="395"/>
    <cellStyle name="20% - 强调文字颜色 6 2 3 6" xfId="396"/>
    <cellStyle name="计算 2 2 28" xfId="397"/>
    <cellStyle name="20% - 强调文字颜色 5 4 2" xfId="398"/>
    <cellStyle name="汇总 2 8 4" xfId="399"/>
    <cellStyle name="计算 2 2 5 2 5" xfId="400"/>
    <cellStyle name="输入 2 12 9 2 4" xfId="401"/>
    <cellStyle name="输入 2 4 3 7" xfId="402"/>
    <cellStyle name="40% - 强调文字颜色 6 2 3" xfId="403"/>
    <cellStyle name="输入 2 10 4 6" xfId="404"/>
    <cellStyle name="注释 2 4 10 8" xfId="405"/>
    <cellStyle name="计算 2 4 4 7" xfId="406"/>
    <cellStyle name="汇总 2 7 9 2 5" xfId="407"/>
    <cellStyle name="好_导出数据1 2" xfId="408"/>
    <cellStyle name="强调文字颜色 6 2 2" xfId="409"/>
    <cellStyle name="计算 2 8 4 2 3" xfId="410"/>
    <cellStyle name="20% - 强调文字颜色 3 2 3 3 2" xfId="411"/>
    <cellStyle name="输出 2 5 2 2 5" xfId="412"/>
    <cellStyle name="常规 22 3 2 2 2" xfId="413"/>
    <cellStyle name="常规 17 3 2 2 2" xfId="414"/>
    <cellStyle name="汇总 2 7 5 2 3" xfId="415"/>
    <cellStyle name="计算 2 2 5 2 2" xfId="416"/>
    <cellStyle name="注释 3 2 2 2 2 4" xfId="417"/>
    <cellStyle name="链接单元格 2 6 2" xfId="418"/>
    <cellStyle name="输出 2 2 9 2 2" xfId="419"/>
    <cellStyle name="输出 2 2 4 2 5" xfId="420"/>
    <cellStyle name="汇总 2 4 7 2 3" xfId="421"/>
    <cellStyle name="输出 2 2 19" xfId="422"/>
    <cellStyle name="注释 2 7 5" xfId="423"/>
    <cellStyle name="输入 2 12 3 2" xfId="424"/>
    <cellStyle name="计算 2 6 3 3" xfId="425"/>
    <cellStyle name="输出 2 11 10 3" xfId="426"/>
    <cellStyle name="计算 2 11 12 6" xfId="427"/>
    <cellStyle name="注释 2 4 10 2 2" xfId="428"/>
    <cellStyle name="40% - 强调文字颜色 4 2 2 6" xfId="429"/>
    <cellStyle name="计算 2 8 9 7" xfId="430"/>
    <cellStyle name="注释 2 2 17 4" xfId="431"/>
    <cellStyle name="常规 8 8 2" xfId="432"/>
    <cellStyle name="输出 2 12 11 2" xfId="433"/>
    <cellStyle name="常规 7 8" xfId="434"/>
    <cellStyle name="计算 2 8 16 2" xfId="435"/>
    <cellStyle name="输出 2 5 11 5" xfId="436"/>
    <cellStyle name="常规 10 3 2_导出数据1" xfId="437"/>
    <cellStyle name="计算 2 7 16 3" xfId="438"/>
    <cellStyle name="计算 2 2 12" xfId="439"/>
    <cellStyle name="常规 34 4 3 2 2" xfId="440"/>
    <cellStyle name="常规 13 2 4" xfId="441"/>
    <cellStyle name="强调文字颜色 1 2 15" xfId="442"/>
    <cellStyle name="常规 11 3 3 2" xfId="443"/>
    <cellStyle name="20% - 强调文字颜色 5 2 8 2" xfId="444"/>
    <cellStyle name="40% - 强调文字颜色 4 2 6 2" xfId="445"/>
    <cellStyle name="计算 2 11 16 2" xfId="446"/>
    <cellStyle name="常规 19 10 2" xfId="447"/>
    <cellStyle name="计算 2 5 3 3" xfId="448"/>
    <cellStyle name="20% - 强调文字颜色 5 2 14" xfId="449"/>
    <cellStyle name="好_导出数据1_1 2_导出数据1" xfId="450"/>
    <cellStyle name="注释 2 9 3 3" xfId="451"/>
    <cellStyle name="输入 2 9 13" xfId="452"/>
    <cellStyle name="汇总 2 2 2 2 5" xfId="453"/>
    <cellStyle name="输出 2 13 6 7" xfId="454"/>
    <cellStyle name="计算 2 6 8" xfId="455"/>
    <cellStyle name="计算 2 6 11 2" xfId="456"/>
    <cellStyle name="汇总 2 13 9 3" xfId="457"/>
    <cellStyle name="40% - 强调文字颜色 2 2 11 3" xfId="458"/>
    <cellStyle name="计算 2 2 7 2 3" xfId="459"/>
    <cellStyle name="注释 2 12 3 6" xfId="460"/>
    <cellStyle name="注释 2 21 5" xfId="461"/>
    <cellStyle name="注释 2 16 5" xfId="462"/>
    <cellStyle name="计算 2 5 13 5" xfId="463"/>
    <cellStyle name="常规 11" xfId="464"/>
    <cellStyle name="汇总 2 8 4 2" xfId="465"/>
    <cellStyle name="常规 22 2 5" xfId="466"/>
    <cellStyle name="常规 17 2 5" xfId="467"/>
    <cellStyle name="计算 3 5 5" xfId="468"/>
    <cellStyle name="计算 2 10 11 4" xfId="469"/>
    <cellStyle name="常规 19 4 2" xfId="470"/>
    <cellStyle name="常规 24 4 2" xfId="471"/>
    <cellStyle name="输入 2 11 17" xfId="472"/>
    <cellStyle name="输入 2 11 22" xfId="473"/>
    <cellStyle name="标题 1 2 10 2" xfId="474"/>
    <cellStyle name="输出 2 8 3 4" xfId="475"/>
    <cellStyle name="汇总 2 8 8 4" xfId="476"/>
    <cellStyle name="常规 26 4 2 2" xfId="477"/>
    <cellStyle name="60% - 强调文字颜色 6 2 7" xfId="478"/>
    <cellStyle name="好 2 3 2" xfId="479"/>
    <cellStyle name="注释 2 18 5" xfId="480"/>
    <cellStyle name="注释 2 23 5" xfId="481"/>
    <cellStyle name="输入 2 13 6 2" xfId="482"/>
    <cellStyle name="计算 2 7 6 3" xfId="483"/>
    <cellStyle name="20% - 强调文字颜色 4 2 3 2 2" xfId="484"/>
    <cellStyle name="输入 2 6 5 5" xfId="485"/>
    <cellStyle name="20% - 强调文字颜色 1 2 15" xfId="486"/>
    <cellStyle name="20% - 强调文字颜色 2 2 11" xfId="487"/>
    <cellStyle name="输出 2 7 3 2" xfId="488"/>
    <cellStyle name="汇总 2 10 6 4" xfId="489"/>
    <cellStyle name="汇总 2 7 11 6" xfId="490"/>
    <cellStyle name="注释 2 8 2 5" xfId="491"/>
    <cellStyle name="输入 2 10 22" xfId="492"/>
    <cellStyle name="输入 2 10 17" xfId="493"/>
    <cellStyle name="计算 2 5 14 3" xfId="494"/>
    <cellStyle name="输出 2 5 9 2" xfId="495"/>
    <cellStyle name="计算 2 7 6" xfId="496"/>
    <cellStyle name="20% - 强调文字颜色 1 2 14" xfId="497"/>
    <cellStyle name="注释 2 12 5 5" xfId="498"/>
    <cellStyle name="输入 2 5 2 2 6" xfId="499"/>
    <cellStyle name="汇总 2 10 4 4" xfId="500"/>
    <cellStyle name="常规 14 2 6" xfId="501"/>
    <cellStyle name="注释 2 3 14 6" xfId="502"/>
    <cellStyle name="输出 2 5 6 2 2" xfId="503"/>
    <cellStyle name="输出 2 11 9 6" xfId="504"/>
    <cellStyle name="输入 2 7 9 2 3" xfId="505"/>
    <cellStyle name="60% - 强调文字颜色 1 2 7 2" xfId="506"/>
    <cellStyle name="计算 2 21 2 6" xfId="507"/>
    <cellStyle name="计算 2 16 2 6" xfId="508"/>
    <cellStyle name="计算 2 6 16 2" xfId="509"/>
    <cellStyle name="汇总 3_导出数据1" xfId="510"/>
    <cellStyle name="标题 5 14" xfId="511"/>
    <cellStyle name="注释 2 3 15 4" xfId="512"/>
    <cellStyle name="常规 42 4 2_导出数据1" xfId="513"/>
    <cellStyle name="常规 37 4 2_导出数据1" xfId="514"/>
    <cellStyle name="计算 2 14 2 7" xfId="515"/>
    <cellStyle name="注释 2 12 5" xfId="516"/>
    <cellStyle name="计算 2 7 2 6" xfId="517"/>
    <cellStyle name="注释 2 8 5 2 2" xfId="518"/>
    <cellStyle name="计算 2 5 5 5" xfId="519"/>
    <cellStyle name="常规 2 2 7 6" xfId="520"/>
    <cellStyle name="注释 2 10 4 8" xfId="521"/>
    <cellStyle name="40% - 强调文字颜色 3 2 2" xfId="522"/>
    <cellStyle name="常规 12 5 2" xfId="523"/>
    <cellStyle name="适中 2 9" xfId="524"/>
    <cellStyle name="输出 2 10" xfId="525"/>
    <cellStyle name="输入 2 20 2 2" xfId="526"/>
    <cellStyle name="输入 2 15 2 2" xfId="527"/>
    <cellStyle name="注释 2 2 2 5 4" xfId="528"/>
    <cellStyle name="强调文字颜色 2 2 17" xfId="529"/>
    <cellStyle name="常规 2 4 2 2 3" xfId="530"/>
    <cellStyle name="60% - 强调文字颜色 3 2 12" xfId="531"/>
    <cellStyle name="输出 2 4 6 2 4" xfId="532"/>
    <cellStyle name="常规 10" xfId="533"/>
    <cellStyle name="40% - 强调文字颜色 4 2 2 2 2 2" xfId="534"/>
    <cellStyle name="输出 2 13 16 3" xfId="535"/>
    <cellStyle name="输入 2 5 4 2" xfId="536"/>
    <cellStyle name="汇总 2 6 4 2 5" xfId="537"/>
    <cellStyle name="常规 2 2 5 10" xfId="538"/>
    <cellStyle name="输入 2 13 7 2 4" xfId="539"/>
    <cellStyle name="输出 2 9 3 4" xfId="540"/>
    <cellStyle name="计算 2 9 8 4" xfId="541"/>
    <cellStyle name="注释 2 2 2 2 2 2 5" xfId="542"/>
    <cellStyle name="强调文字颜色 5 3 2" xfId="543"/>
    <cellStyle name="输入 2 6 5 2 4" xfId="544"/>
    <cellStyle name="汇总 2 3 4 2 6" xfId="545"/>
    <cellStyle name="汇总 2 10 4 2 4" xfId="546"/>
    <cellStyle name="汇总 2 38" xfId="547"/>
    <cellStyle name="好 2 6" xfId="548"/>
    <cellStyle name="汇总 2 12 10 5" xfId="549"/>
    <cellStyle name="好_导出数据1_1 2_导出数据1 2" xfId="550"/>
    <cellStyle name="60% - 强调文字颜色 6 2 15 2" xfId="551"/>
    <cellStyle name="计算 2 11 4 2 3" xfId="552"/>
    <cellStyle name="输出 2 4 7 7" xfId="553"/>
    <cellStyle name="输入 2 5 8 6" xfId="554"/>
    <cellStyle name="常规 2 14 2" xfId="555"/>
    <cellStyle name="输入 2 8 4 2 5" xfId="556"/>
    <cellStyle name="常规 14 2 2" xfId="557"/>
    <cellStyle name="汇总 2 14 8" xfId="558"/>
    <cellStyle name="20% - 强调文字颜色 1 2 10" xfId="559"/>
    <cellStyle name="输出 2 21" xfId="560"/>
    <cellStyle name="输出 2 16" xfId="561"/>
    <cellStyle name="40% - 强调文字颜色 6 2 2 5" xfId="562"/>
    <cellStyle name="计算 2 8 14 3" xfId="563"/>
    <cellStyle name="常规 39 3 3_导出数据1" xfId="564"/>
    <cellStyle name="常规 44 3 3_导出数据1" xfId="565"/>
    <cellStyle name="计算 2 12 9 2 2" xfId="566"/>
    <cellStyle name="注释 2 4 6 4" xfId="567"/>
    <cellStyle name="输出 2 11 2 3" xfId="568"/>
    <cellStyle name="汇总 2 9 15 2" xfId="569"/>
    <cellStyle name="汇总 3 4 4" xfId="570"/>
    <cellStyle name="常规 11 7" xfId="571"/>
    <cellStyle name="注释 2 3 24" xfId="572"/>
    <cellStyle name="注释 2 3 19" xfId="573"/>
    <cellStyle name="40% - 强调文字颜色 3 2 11 3" xfId="574"/>
    <cellStyle name="输出 2 7 2 2 3" xfId="575"/>
    <cellStyle name="注释 2 2 3 2 2 4" xfId="576"/>
    <cellStyle name="40% - 强调文字颜色 5 2 9 2" xfId="577"/>
    <cellStyle name="输出 2 6 13" xfId="578"/>
    <cellStyle name="输入 2 14 3 3" xfId="579"/>
    <cellStyle name="计算 2 8 3 4" xfId="580"/>
    <cellStyle name="常规 3 4 2" xfId="581"/>
    <cellStyle name="汇总 2 7 7 6" xfId="582"/>
    <cellStyle name="注释 2 26 3" xfId="583"/>
    <cellStyle name="计算 2 8 3 7" xfId="584"/>
    <cellStyle name="汇总 2 5 3 4" xfId="585"/>
    <cellStyle name="汇总 2 6 16 3" xfId="586"/>
    <cellStyle name="计算 2 13 2 2 2" xfId="587"/>
    <cellStyle name="常规 4 6 3 3" xfId="588"/>
    <cellStyle name="常规 25 2 2 2 2" xfId="589"/>
    <cellStyle name="标题 1 2 9 3" xfId="590"/>
    <cellStyle name="输出 2 11 7 2 4" xfId="591"/>
    <cellStyle name="计算 2 13 9 3" xfId="592"/>
    <cellStyle name="常规 41 6 2 2" xfId="593"/>
    <cellStyle name="常规 36 6 2 2" xfId="594"/>
    <cellStyle name="常规 40 3" xfId="595"/>
    <cellStyle name="汇总 2 6 6 2 5" xfId="596"/>
    <cellStyle name="输入 2 9 7 2 3" xfId="597"/>
    <cellStyle name="计算 2 12 15" xfId="598"/>
    <cellStyle name="计算 2 12 20" xfId="599"/>
    <cellStyle name="20% - 强调文字颜色 2 2 2_导出数据1" xfId="600"/>
    <cellStyle name="汇总 2 13 7" xfId="601"/>
    <cellStyle name="标题 1 2 6 3" xfId="602"/>
    <cellStyle name="计算 2 7 2" xfId="603"/>
    <cellStyle name="计算 2 3 11 5" xfId="604"/>
    <cellStyle name="注释 2 7 11 3" xfId="605"/>
    <cellStyle name="常规 2 3 3 2 2" xfId="606"/>
    <cellStyle name="输入 2 9 12 6" xfId="607"/>
    <cellStyle name="注释 2 6 4 2" xfId="608"/>
    <cellStyle name="汇总 2 2 2 2 4 6" xfId="609"/>
    <cellStyle name="输入 2 4 15 2" xfId="610"/>
    <cellStyle name="警告文本 2 12 2" xfId="611"/>
    <cellStyle name="常规 5 2 3_导出数据1" xfId="612"/>
    <cellStyle name="常规 45 3 2 2 2 2 2" xfId="613"/>
    <cellStyle name="注释 2 3 10 3 6" xfId="614"/>
    <cellStyle name="汇总 2 6 8 3" xfId="615"/>
    <cellStyle name="注释 3 4" xfId="616"/>
    <cellStyle name="计算 2 6 4 7" xfId="617"/>
    <cellStyle name="链接单元格 3 3" xfId="618"/>
    <cellStyle name="输出 2 11 3 3" xfId="619"/>
    <cellStyle name="计算 3 6" xfId="620"/>
    <cellStyle name="常规 40 3 5 2" xfId="621"/>
    <cellStyle name="汇总 2 11 6 2 4" xfId="622"/>
    <cellStyle name="强调文字颜色 5 2 6" xfId="623"/>
    <cellStyle name="输入 2 5 2 2" xfId="624"/>
    <cellStyle name="计算 2 14 8" xfId="625"/>
    <cellStyle name="计算 2 13 5 4" xfId="626"/>
    <cellStyle name="注释 2 11 2 3" xfId="627"/>
    <cellStyle name="输出 2 12 5 4" xfId="628"/>
    <cellStyle name="注释 2 5 9 5" xfId="629"/>
    <cellStyle name="汇总 2 11 12 2" xfId="630"/>
    <cellStyle name="汇总 2 2 2 2 2 2 5" xfId="631"/>
    <cellStyle name="适中 3 3 2" xfId="632"/>
    <cellStyle name="注释 2 12 3 2 4" xfId="633"/>
    <cellStyle name="标题 5 9 3" xfId="634"/>
    <cellStyle name="汇总 2 11 13 6" xfId="635"/>
    <cellStyle name="计算 2 6 4 4" xfId="636"/>
    <cellStyle name="输出 2 4 8 5" xfId="637"/>
    <cellStyle name="注释 2 10 3 6" xfId="638"/>
    <cellStyle name="汇总 2 7 5 2 4" xfId="639"/>
    <cellStyle name="计算 2 2 5 2 3" xfId="640"/>
    <cellStyle name="注释 3 2 2 2 2 5" xfId="641"/>
    <cellStyle name="计算 2 12 6 7" xfId="642"/>
    <cellStyle name="常规 7 6 3 2" xfId="643"/>
    <cellStyle name="常规 12 10" xfId="644"/>
    <cellStyle name="输出 2 5 2" xfId="645"/>
    <cellStyle name="计算 2 5 12 4" xfId="646"/>
    <cellStyle name="计算 2 7 3 2" xfId="647"/>
    <cellStyle name="常规 16 4 2 2 2" xfId="648"/>
    <cellStyle name="常规 21 4 2 2 2" xfId="649"/>
    <cellStyle name="注释 2 13 11 6" xfId="650"/>
    <cellStyle name="注释 2 3 14 4" xfId="651"/>
    <cellStyle name="注释 2 13 22" xfId="652"/>
    <cellStyle name="注释 2 13 17" xfId="653"/>
    <cellStyle name="40% - 强调文字颜色 4 2 16" xfId="654"/>
    <cellStyle name="百分比 3 5 2 2" xfId="655"/>
    <cellStyle name="汇总 2 13 13 4" xfId="656"/>
    <cellStyle name="20% - 强调文字颜色 1 2" xfId="657"/>
    <cellStyle name="汇总 2 5 11 5" xfId="658"/>
    <cellStyle name="常规 9 2 2 3" xfId="659"/>
    <cellStyle name="强调文字颜色 6 2" xfId="660"/>
    <cellStyle name="输出 2 11 4 4" xfId="661"/>
    <cellStyle name="常规 2 2 10" xfId="662"/>
    <cellStyle name="注释 2 4 8 5" xfId="663"/>
    <cellStyle name="计算 2 2 10 3 5" xfId="664"/>
    <cellStyle name="好 3 3 2" xfId="665"/>
    <cellStyle name="汇总 2 9 8 4" xfId="666"/>
    <cellStyle name="常规 26 5 2 2" xfId="667"/>
    <cellStyle name="汇总 3 4 2 5" xfId="668"/>
    <cellStyle name="好 2 12 2" xfId="669"/>
    <cellStyle name="计算 2 13 3 6" xfId="670"/>
    <cellStyle name="输入 2 4 13 3" xfId="671"/>
    <cellStyle name="计算 2 2 3 4 6" xfId="672"/>
    <cellStyle name="20% - 强调文字颜色 1 2 11 3" xfId="673"/>
    <cellStyle name="计算 2 11 10 4" xfId="674"/>
    <cellStyle name="计算 2 6 7 2 6" xfId="675"/>
    <cellStyle name="注释 2 13 2 2 3" xfId="676"/>
    <cellStyle name="输入 2 6 3 2 5" xfId="677"/>
    <cellStyle name="60% - 强调文字颜色 6 2 7 2" xfId="678"/>
    <cellStyle name="常规 26 4 2 2 2" xfId="679"/>
    <cellStyle name="链接单元格 2 2" xfId="680"/>
    <cellStyle name="汇总 2 3 4 4" xfId="681"/>
    <cellStyle name="常规 6 2 3 2 2" xfId="682"/>
    <cellStyle name="输出 2 5 16" xfId="683"/>
    <cellStyle name="汇总 2 11 5" xfId="684"/>
    <cellStyle name="计算 2 3 16 3" xfId="685"/>
    <cellStyle name="注释 2 3 4 5" xfId="686"/>
    <cellStyle name="计算 2 4 16 3" xfId="687"/>
    <cellStyle name="注释 2 4 10 3 5" xfId="688"/>
    <cellStyle name="汇总 2 9 4 2 6" xfId="689"/>
    <cellStyle name="汇总 2 11 5 2 4" xfId="690"/>
    <cellStyle name="常规 2 5 6" xfId="691"/>
    <cellStyle name="计算 2 7 4 8" xfId="692"/>
    <cellStyle name="40% - 强调文字颜色 6 2 10" xfId="693"/>
    <cellStyle name="输出 2 11 4 3" xfId="694"/>
    <cellStyle name="输入 2 7 7 7" xfId="695"/>
    <cellStyle name="输入 2 19 7" xfId="696"/>
    <cellStyle name="汇总 2 5 5 7" xfId="697"/>
    <cellStyle name="注释 2 4 12 2" xfId="698"/>
    <cellStyle name="常规 7 2 4 3" xfId="699"/>
    <cellStyle name="40% - 强调文字颜色 2 2 12 2" xfId="700"/>
    <cellStyle name="输出 2 13 7 6" xfId="701"/>
    <cellStyle name="注释 2 2 7 5" xfId="702"/>
    <cellStyle name="注释 2 3 4 2 6" xfId="703"/>
    <cellStyle name="20% - 强调文字颜色 5 2 3 2" xfId="704"/>
    <cellStyle name="汇总 2 6 5 2" xfId="705"/>
    <cellStyle name="常规 43 3 2 2 2" xfId="706"/>
    <cellStyle name="常规 38 3 2 2 2" xfId="707"/>
    <cellStyle name="计算 2 5 18" xfId="708"/>
    <cellStyle name="计算 2 5 23" xfId="709"/>
    <cellStyle name="汇总 2 11 9 2 3" xfId="710"/>
    <cellStyle name="注释 2 13 3 2 2" xfId="711"/>
    <cellStyle name="40% - 强调文字颜色 6 4" xfId="712"/>
    <cellStyle name="计算 2 2 6 2 5" xfId="713"/>
    <cellStyle name="汇总 2 7 6 2 6" xfId="714"/>
    <cellStyle name="汇总 2 12 11 4" xfId="715"/>
    <cellStyle name="常规 12 2 4 2 2" xfId="716"/>
    <cellStyle name="计算 2 6 4 5" xfId="717"/>
    <cellStyle name="注释 2 6 11 5" xfId="718"/>
    <cellStyle name="输出 2 13 5 2 2" xfId="719"/>
    <cellStyle name="计算 2 4 6 5" xfId="720"/>
    <cellStyle name="汇总 2 8 14 4" xfId="721"/>
    <cellStyle name="输入 2 15 3 3" xfId="722"/>
    <cellStyle name="常规 6 4" xfId="723"/>
    <cellStyle name="常规 4 2 2 2" xfId="724"/>
    <cellStyle name="注释 2 4 11 2 3" xfId="725"/>
    <cellStyle name="输出 2 2 9 2 3" xfId="726"/>
    <cellStyle name="汇总 2 2 4 2 6" xfId="727"/>
    <cellStyle name="输入 2 13 3 2 3" xfId="728"/>
    <cellStyle name="汇总 2 7 14 3" xfId="729"/>
    <cellStyle name="输入 2 3 3 3" xfId="730"/>
    <cellStyle name="60% - 强调文字颜色 6 4" xfId="731"/>
    <cellStyle name="百分比 3 2 2" xfId="732"/>
    <cellStyle name="注释 2 12 2 4" xfId="733"/>
    <cellStyle name="常规 21 2 4 2" xfId="734"/>
    <cellStyle name="常规 16 2 4 2" xfId="735"/>
    <cellStyle name="汇总 2 10 6 2 5" xfId="736"/>
    <cellStyle name="输入 2 16 2 4" xfId="737"/>
    <cellStyle name="输入 2 21 2 4" xfId="738"/>
    <cellStyle name="常规 5 3 3" xfId="739"/>
    <cellStyle name="汇总 2 4 3 2 6" xfId="740"/>
    <cellStyle name="输出 2 2 5 2 5" xfId="741"/>
    <cellStyle name="计算 2 13 5 2 2" xfId="742"/>
    <cellStyle name="汇总 2 2 2 2 2 2 6" xfId="743"/>
    <cellStyle name="输出 2 9 15 2" xfId="744"/>
    <cellStyle name="汇总 2 3 2 2 2 3" xfId="745"/>
    <cellStyle name="注释 2 3 3 2 2 6" xfId="746"/>
    <cellStyle name="常规 12 11" xfId="747"/>
    <cellStyle name="标题 4 2 12 2" xfId="748"/>
    <cellStyle name="计算 2 12 16 2" xfId="749"/>
    <cellStyle name="输入 2 2 24" xfId="750"/>
    <cellStyle name="输入 2 2 19" xfId="751"/>
    <cellStyle name="注释 2 13 5" xfId="752"/>
    <cellStyle name="输入 2 12 16 3" xfId="753"/>
    <cellStyle name="汇总 2 9 4 2" xfId="754"/>
    <cellStyle name="输出 2 4 3 2 3" xfId="755"/>
    <cellStyle name="常规 8 2 5 2 2" xfId="756"/>
    <cellStyle name="汇总 2 13 14 4" xfId="757"/>
    <cellStyle name="汇总 2 6 10 2" xfId="758"/>
    <cellStyle name="输出 2 6 4 8" xfId="759"/>
    <cellStyle name="常规 3 4" xfId="760"/>
    <cellStyle name="输出 2 7 4 5" xfId="761"/>
    <cellStyle name="输出 2 7 5 2 2" xfId="762"/>
    <cellStyle name="汇总 2 2 9" xfId="763"/>
    <cellStyle name="计算 2 5 6 6" xfId="764"/>
    <cellStyle name="20% - 强调文字颜色 6 2 16" xfId="765"/>
    <cellStyle name="输出 2 6 9 2 4" xfId="766"/>
    <cellStyle name="常规 2 2 14" xfId="767"/>
    <cellStyle name="注释 3 3 2 7" xfId="768"/>
    <cellStyle name="常规 2 4 8 2" xfId="769"/>
    <cellStyle name="注释 2 23 3" xfId="770"/>
    <cellStyle name="注释 2 18 3" xfId="771"/>
    <cellStyle name="注释 2 7 11 2" xfId="772"/>
    <cellStyle name="输入 2 13 9 5" xfId="773"/>
    <cellStyle name="40% - 强调文字颜色 4 2 12" xfId="774"/>
    <cellStyle name="汇总 2 4 6 2" xfId="775"/>
    <cellStyle name="计算 2 7 9 6" xfId="776"/>
    <cellStyle name="20% - 强调文字颜色 2 2 2 2" xfId="777"/>
    <cellStyle name="40% - 强调文字颜色 3 2 7 2" xfId="778"/>
    <cellStyle name="计算 2 7 7 7" xfId="779"/>
    <cellStyle name="输出 2 9 7" xfId="780"/>
    <cellStyle name="计算 2 2 16" xfId="781"/>
    <cellStyle name="计算 2 2 21" xfId="782"/>
    <cellStyle name="注释 2 4 3 3 5" xfId="783"/>
    <cellStyle name="注释 2 2 8 5" xfId="784"/>
    <cellStyle name="检查单元格 2" xfId="785"/>
    <cellStyle name="汇总 2 7 12 3" xfId="786"/>
    <cellStyle name="注释 3 2 2 4" xfId="787"/>
    <cellStyle name="输出 2 3 11 4" xfId="788"/>
    <cellStyle name="计算 2 10 2 3" xfId="789"/>
    <cellStyle name="20% - 强调文字颜色 2 2 14" xfId="790"/>
    <cellStyle name="输出 2 7 3 5" xfId="791"/>
    <cellStyle name="输入 2 13 5 2 5" xfId="792"/>
    <cellStyle name="常规 2 4" xfId="793"/>
    <cellStyle name="输出 2 11 7" xfId="794"/>
    <cellStyle name="输出 2 19 2 5" xfId="795"/>
    <cellStyle name="注释 2 4 3 3 6" xfId="796"/>
    <cellStyle name="常规 5 2 7 2" xfId="797"/>
    <cellStyle name="计算 2 3 6 4" xfId="798"/>
    <cellStyle name="汇总 2 11 2 3" xfId="799"/>
    <cellStyle name="60% - 强调文字颜色 5 2 5 2" xfId="800"/>
    <cellStyle name="计算 2 8 3 6" xfId="801"/>
    <cellStyle name="计算 2 11 6 2 3" xfId="802"/>
    <cellStyle name="输出 3 5 6" xfId="803"/>
    <cellStyle name="解释性文本 2 12 2" xfId="804"/>
    <cellStyle name="输入 2 4 6 2" xfId="805"/>
    <cellStyle name="输出 2 4 10 3" xfId="806"/>
    <cellStyle name="检查单元格 2 15 2" xfId="807"/>
    <cellStyle name="汇总 2 13 16" xfId="808"/>
    <cellStyle name="汇总 2 13 21" xfId="809"/>
    <cellStyle name="注释 2 2 14 4" xfId="810"/>
    <cellStyle name="常规 17 8" xfId="811"/>
    <cellStyle name="常规 14 2 5 2 2" xfId="812"/>
    <cellStyle name="输入 2 9 16 2" xfId="813"/>
    <cellStyle name="计算 2 13 2 2 6" xfId="814"/>
    <cellStyle name="注释 2 8 9 2 5" xfId="815"/>
    <cellStyle name="汇总 2 6 2 4" xfId="816"/>
    <cellStyle name="汇总 2 9 9 2" xfId="817"/>
    <cellStyle name="输出 2 4 13 4" xfId="818"/>
    <cellStyle name="计算 2 5 5 2 5" xfId="819"/>
    <cellStyle name="输入 2 3 9 6" xfId="820"/>
    <cellStyle name="常规 12 5" xfId="821"/>
    <cellStyle name="输入 2 8 13 2" xfId="822"/>
    <cellStyle name="注释 3 3 2 2 5" xfId="823"/>
    <cellStyle name="计算 2 18 2 2" xfId="824"/>
    <cellStyle name="计算 2 23 2 2" xfId="825"/>
    <cellStyle name="注释 2 7 4" xfId="826"/>
    <cellStyle name="60% - 强调文字颜色 4 2 16" xfId="827"/>
    <cellStyle name="输入 3 6 5" xfId="828"/>
    <cellStyle name="计算 2 6 13 6" xfId="829"/>
    <cellStyle name="输入 2 2 3 5" xfId="830"/>
    <cellStyle name="输入 2 4 9 2 3" xfId="831"/>
    <cellStyle name="输入 2 13 2" xfId="832"/>
    <cellStyle name="注释 2 10 11 5" xfId="833"/>
    <cellStyle name="输入 2 13 11 4" xfId="834"/>
    <cellStyle name="注释 2 2 2 4 4" xfId="835"/>
    <cellStyle name="计算 2 5 5" xfId="836"/>
    <cellStyle name="注释 2 4 2 2 2 2" xfId="837"/>
    <cellStyle name="计算 2 2 2 3 3" xfId="838"/>
    <cellStyle name="输出 2 13 5 4" xfId="839"/>
    <cellStyle name="标题 4 2 6 3" xfId="840"/>
    <cellStyle name="常规 9 3 2 2" xfId="841"/>
    <cellStyle name="输出 2 28 3" xfId="842"/>
    <cellStyle name="计算 2 7 13 3" xfId="843"/>
    <cellStyle name="汇总 2 6 8 2" xfId="844"/>
    <cellStyle name="60% - 强调文字颜色 4 2 5" xfId="845"/>
    <cellStyle name="标题 5 11 2" xfId="846"/>
    <cellStyle name="汇总 2 12 7 4" xfId="847"/>
    <cellStyle name="常规 21 2 2 3 2 2" xfId="848"/>
    <cellStyle name="常规 16 2 2 3 2 2" xfId="849"/>
    <cellStyle name="输出 2 8 14 2" xfId="850"/>
    <cellStyle name="计算 2 11 9 2 3" xfId="851"/>
    <cellStyle name="计算 2 9 10 2" xfId="852"/>
    <cellStyle name="常规 40 2" xfId="853"/>
    <cellStyle name="汇总 2 13 16 2" xfId="854"/>
    <cellStyle name="输出 2 6 6 6" xfId="855"/>
    <cellStyle name="输入 2 14 2 4" xfId="856"/>
    <cellStyle name="注释 2 14 6" xfId="857"/>
    <cellStyle name="常规 2 3 2" xfId="858"/>
    <cellStyle name="差_汇总 2 2_导出数据1 2 2" xfId="859"/>
    <cellStyle name="常规 19 2 3 2" xfId="860"/>
    <cellStyle name="常规 24 2 3 2" xfId="861"/>
    <cellStyle name="汇总 2 13 5 4" xfId="862"/>
    <cellStyle name="计算 2 5 9 5" xfId="863"/>
    <cellStyle name="计算 2 3 11" xfId="864"/>
    <cellStyle name="输入 2 7 10 5" xfId="865"/>
    <cellStyle name="汇总 3 2" xfId="866"/>
    <cellStyle name="常规 2 2 7 2 2" xfId="867"/>
    <cellStyle name="常规 37 3 2 3" xfId="868"/>
    <cellStyle name="常规 42 3 2 3" xfId="869"/>
    <cellStyle name="标题 3 2 7 3" xfId="870"/>
    <cellStyle name="40% - 强调文字颜色 3 2 2 2" xfId="871"/>
    <cellStyle name="输入 2 4 3 2 5" xfId="872"/>
    <cellStyle name="汇总 2 2 2 6" xfId="873"/>
    <cellStyle name="常规 2 3 2 5 2" xfId="874"/>
    <cellStyle name="常规 37 5 2 2" xfId="875"/>
    <cellStyle name="常规 42 5 2 2" xfId="876"/>
    <cellStyle name="20% - 强调文字颜色 3 2 2 3" xfId="877"/>
    <cellStyle name="常规 8 3 2" xfId="878"/>
    <cellStyle name="输出 2 4 11 3" xfId="879"/>
    <cellStyle name="汇总 2 4" xfId="880"/>
    <cellStyle name="40% - 强调文字颜色 2 2 16" xfId="881"/>
    <cellStyle name="汇总 2 10 3 2 4" xfId="882"/>
    <cellStyle name="注释 2 4 16 2" xfId="883"/>
    <cellStyle name="注释 2 10 7 2 3" xfId="884"/>
    <cellStyle name="输出 2 12 3 4" xfId="885"/>
    <cellStyle name="计算 2 2 11 2 5" xfId="886"/>
    <cellStyle name="输出 2 5 3 2 3" xfId="887"/>
    <cellStyle name="注释 2 11 3 3" xfId="888"/>
    <cellStyle name="常规 37 4 3" xfId="889"/>
    <cellStyle name="常规 42 4 3" xfId="890"/>
    <cellStyle name="计算 2 2 11 2 3" xfId="891"/>
    <cellStyle name="常规 5 5 3 2" xfId="892"/>
    <cellStyle name="注释 2 9 7 7" xfId="893"/>
    <cellStyle name="计算 2 6 9 2 4" xfId="894"/>
    <cellStyle name="常规 45 6" xfId="895"/>
    <cellStyle name="计算 2 2 4 2" xfId="896"/>
    <cellStyle name="输出 2 3 2" xfId="897"/>
    <cellStyle name="计算 2 14 2 2 5" xfId="898"/>
    <cellStyle name="计算 2 5 10 4" xfId="899"/>
    <cellStyle name="输出 2 3 9 4" xfId="900"/>
    <cellStyle name="40% - 强调文字颜色 4 2 8 2" xfId="901"/>
    <cellStyle name="计算 2 5 5 3" xfId="902"/>
    <cellStyle name="常规 40 5" xfId="903"/>
    <cellStyle name="汇总 2 11 3 4" xfId="904"/>
    <cellStyle name="计算 2 3 7 5" xfId="905"/>
    <cellStyle name="注释 2 11 4 2" xfId="906"/>
    <cellStyle name="常规 8 3 2 2" xfId="907"/>
    <cellStyle name="计算 2 2 13 3" xfId="908"/>
    <cellStyle name="输入 2 8 8 5" xfId="909"/>
    <cellStyle name="警告文本 2 12" xfId="910"/>
    <cellStyle name="常规 2 10 2" xfId="911"/>
    <cellStyle name="强调文字颜色 3 3 2" xfId="912"/>
    <cellStyle name="汇总 2 12 18" xfId="913"/>
    <cellStyle name="汇总 2 12 23" xfId="914"/>
    <cellStyle name="注释 2 2" xfId="915"/>
    <cellStyle name="汇总 2 12 10 6" xfId="916"/>
    <cellStyle name="计算 2 9 8 3" xfId="917"/>
    <cellStyle name="注释 2 3 3 3 5" xfId="918"/>
    <cellStyle name="输出 2 5 9 4" xfId="919"/>
    <cellStyle name="输出 2 7 3" xfId="920"/>
    <cellStyle name="输入 2 6 4 2 3" xfId="921"/>
    <cellStyle name="汇总 2 3 3 2 5" xfId="922"/>
    <cellStyle name="40% - 强调文字颜色 1 2 5 3" xfId="923"/>
    <cellStyle name="注释 2 3 9 2 4" xfId="924"/>
    <cellStyle name="20% - 强调文字颜色 2 2 2" xfId="925"/>
    <cellStyle name="注释 2 4 9 2 2" xfId="926"/>
    <cellStyle name="输出 2 8 4 5" xfId="927"/>
    <cellStyle name="强调文字颜色 6 3 2 2" xfId="928"/>
    <cellStyle name="输入 2 16 2 5" xfId="929"/>
    <cellStyle name="输入 2 21 2 5" xfId="930"/>
    <cellStyle name="输入 2 7 4 2 5" xfId="931"/>
    <cellStyle name="计算 2 2 2 4" xfId="932"/>
    <cellStyle name="注释 2 10 8 5" xfId="933"/>
    <cellStyle name="注释 2 6 6 2 4" xfId="934"/>
    <cellStyle name="40% - 强调文字颜色 4 2 2 2 3" xfId="935"/>
    <cellStyle name="计算 2 2 16 5" xfId="936"/>
    <cellStyle name="注释 3 2 2 3 4" xfId="937"/>
    <cellStyle name="计算 2 3 12 5" xfId="938"/>
    <cellStyle name="汇总 2 9 5 2" xfId="939"/>
    <cellStyle name="注释 2 9 22" xfId="940"/>
    <cellStyle name="注释 2 9 17" xfId="941"/>
    <cellStyle name="常规 40 2 3_导出数据1" xfId="942"/>
    <cellStyle name="计算 2 8 9 6" xfId="943"/>
    <cellStyle name="常规 36 3_Sheet1" xfId="944"/>
    <cellStyle name="常规 41 3_Sheet1" xfId="945"/>
    <cellStyle name="20% - 强调文字颜色 1 2 3 5" xfId="946"/>
    <cellStyle name="40% - 强调文字颜色 6 2 7 3" xfId="947"/>
    <cellStyle name="计算 2 8 5 7" xfId="948"/>
    <cellStyle name="输出 2 7 2 2 5" xfId="949"/>
    <cellStyle name="注释 2 2 3 2 2 6" xfId="950"/>
    <cellStyle name="输出 2 4 4 8" xfId="951"/>
    <cellStyle name="计算 2 4 5 2 2" xfId="952"/>
    <cellStyle name="输出 2 9 4 5" xfId="953"/>
    <cellStyle name="注释 2 21 3 2" xfId="954"/>
    <cellStyle name="汇总 2 10 4 5" xfId="955"/>
    <cellStyle name="汇总 2 2 7 3" xfId="956"/>
    <cellStyle name="汇总 2 13 6 6" xfId="957"/>
    <cellStyle name="60% - 着色 2" xfId="958"/>
    <cellStyle name="40% - 强调文字颜色 1 2 2 3 2" xfId="959"/>
    <cellStyle name="输出 2 4 12 3" xfId="960"/>
    <cellStyle name="计算 2 15 3 2" xfId="961"/>
    <cellStyle name="输入 2 9 6 7" xfId="962"/>
    <cellStyle name="汇总 2 2 2 3 2 3" xfId="963"/>
    <cellStyle name="输入 2 3 2 2 6" xfId="964"/>
    <cellStyle name="输出 2 3 14 4" xfId="965"/>
    <cellStyle name="20% - 强调文字颜色 3 3_导出数据1" xfId="966"/>
    <cellStyle name="汇总 2 2 9 3" xfId="967"/>
    <cellStyle name="注释 2 6 6 6" xfId="968"/>
    <cellStyle name="输入 2 10 7 2 6" xfId="969"/>
    <cellStyle name="标题 2 2 11 3" xfId="970"/>
    <cellStyle name="计算 2 9 3 2" xfId="971"/>
    <cellStyle name="汇总 2 11 11 3" xfId="972"/>
    <cellStyle name="输出 2 12 4 5" xfId="973"/>
    <cellStyle name="注释 2 12 2 2" xfId="974"/>
    <cellStyle name="计算 2 14 3 4" xfId="975"/>
    <cellStyle name="汇总 2 5 12 2" xfId="976"/>
    <cellStyle name="计算 2 3 5 6" xfId="977"/>
    <cellStyle name="注释 2 8 3 2 3" xfId="978"/>
    <cellStyle name="标题 3 2 15 2" xfId="979"/>
    <cellStyle name="计算 3 2 7" xfId="980"/>
    <cellStyle name="输入 2 12 9 2" xfId="981"/>
    <cellStyle name="计算 2 6 9 3" xfId="982"/>
    <cellStyle name="注释 2 7 6 7" xfId="983"/>
    <cellStyle name="输出 2 6 13 3" xfId="984"/>
    <cellStyle name="注释 2 10 12 6" xfId="985"/>
    <cellStyle name="输出 2 9 9 2 3" xfId="986"/>
    <cellStyle name="常规 2 3 2 3 2 2 2" xfId="987"/>
    <cellStyle name="汇总 2 8 14 3" xfId="988"/>
    <cellStyle name="常规 7 2 2 4 2" xfId="989"/>
    <cellStyle name="计算 2 5 8 2" xfId="990"/>
    <cellStyle name="常规 22 2 3" xfId="991"/>
    <cellStyle name="常规 17 2 3" xfId="992"/>
    <cellStyle name="输出 3 9" xfId="993"/>
    <cellStyle name="计算 2 8 7" xfId="994"/>
    <cellStyle name="输出 2 13 8 6" xfId="995"/>
    <cellStyle name="汇总 2 7 9 4" xfId="996"/>
    <cellStyle name="40% - 强调文字颜色 4 3 2" xfId="997"/>
    <cellStyle name="计算 2 7 10 6" xfId="998"/>
    <cellStyle name="汇总 2 12 6 2" xfId="999"/>
    <cellStyle name="输出 2 12 3 6" xfId="1000"/>
    <cellStyle name="注释 2 5 7 7" xfId="1001"/>
    <cellStyle name="汇总 2 11 10 4" xfId="1002"/>
    <cellStyle name="计算 2 6 3 5" xfId="1003"/>
    <cellStyle name="输出 2 13 6 2 5" xfId="1004"/>
    <cellStyle name="输入 2 2 11 2 3" xfId="1005"/>
    <cellStyle name="常规 10 11" xfId="1006"/>
    <cellStyle name="好 2 13" xfId="1007"/>
    <cellStyle name="输出 2 2 4" xfId="1008"/>
    <cellStyle name="输出 2 7 3 2 2" xfId="1009"/>
    <cellStyle name="注释 2 12 6" xfId="1010"/>
    <cellStyle name="常规 2 4 2 5" xfId="1011"/>
    <cellStyle name="40% - 强调文字颜色 3 2 3 5" xfId="1012"/>
    <cellStyle name="汇总 2 8 4 2 2" xfId="1013"/>
    <cellStyle name="注释 2 6 3" xfId="1014"/>
    <cellStyle name="标题 2 3 3 2" xfId="1015"/>
    <cellStyle name="常规 2 8 6 2" xfId="1016"/>
    <cellStyle name="计算 2 8 2" xfId="1017"/>
    <cellStyle name="标题 1 2 7 3" xfId="1018"/>
    <cellStyle name="计算 2 4 11 3" xfId="1019"/>
    <cellStyle name="注释 2 11 9 6" xfId="1020"/>
    <cellStyle name="计算 2 3 3 5" xfId="1021"/>
    <cellStyle name="标题 3 2 6 3" xfId="1022"/>
    <cellStyle name="输出 2 13 3 2 5" xfId="1023"/>
    <cellStyle name="汇总 2 2 15 5" xfId="1024"/>
    <cellStyle name="汇总 2 2 3 2 2 2" xfId="1025"/>
    <cellStyle name="输出 2 2 7 2 5" xfId="1026"/>
    <cellStyle name="常规 11 4 3 2" xfId="1027"/>
    <cellStyle name="输出 2 26 4" xfId="1028"/>
    <cellStyle name="计算 2 7 11 4" xfId="1029"/>
    <cellStyle name="注释 2 12 4 2 2" xfId="1030"/>
    <cellStyle name="常规 7 2 3 3" xfId="1031"/>
    <cellStyle name="输入 2 6 7 2" xfId="1032"/>
    <cellStyle name="输出 2 7 8 6" xfId="1033"/>
    <cellStyle name="常规 4 5 3" xfId="1034"/>
    <cellStyle name="常规 7 5" xfId="1035"/>
    <cellStyle name="输入 2 15 4 4" xfId="1036"/>
    <cellStyle name="输入 2 8 2 2 3" xfId="1037"/>
    <cellStyle name="常规 3 2 6 2" xfId="1038"/>
    <cellStyle name="输出 2 3 5 2" xfId="1039"/>
    <cellStyle name="输入 2 6 16 3" xfId="1040"/>
    <cellStyle name="输出 2 10 6" xfId="1041"/>
    <cellStyle name="计算 2 3 6 2 5" xfId="1042"/>
    <cellStyle name="标题 2 3 4" xfId="1043"/>
    <cellStyle name="注释 2 16 2 3" xfId="1044"/>
    <cellStyle name="注释 2 21 2 3" xfId="1045"/>
    <cellStyle name="汇总 2 13 4 2 6" xfId="1046"/>
    <cellStyle name="常规 2 4 4_导出数据1" xfId="1047"/>
    <cellStyle name="汇总 2 3 2 4 5" xfId="1048"/>
    <cellStyle name="标题 1 2 12 3" xfId="1049"/>
    <cellStyle name="好_2018年度工资报表人事填写部分数据来源20190128 2 2" xfId="1050"/>
    <cellStyle name="常规 9 4 2" xfId="1051"/>
    <cellStyle name="计算 2 7 6 7" xfId="1052"/>
    <cellStyle name="输出 2 8 7" xfId="1053"/>
    <cellStyle name="汇总 2 15 2 6" xfId="1054"/>
    <cellStyle name="汇总 2 20 2 6" xfId="1055"/>
    <cellStyle name="计算 2 6 8 6" xfId="1056"/>
    <cellStyle name="输出 2 9 6 2 4" xfId="1057"/>
    <cellStyle name="输入 2 4 2 4" xfId="1058"/>
    <cellStyle name="输出 2 4 3 2 4" xfId="1059"/>
    <cellStyle name="汇总 2 6 6 2 2" xfId="1060"/>
    <cellStyle name="常规 45 2_导出数据1" xfId="1061"/>
    <cellStyle name="输出 2 8 2 2" xfId="1062"/>
    <cellStyle name="常规 7 2 4 2 2 2" xfId="1063"/>
    <cellStyle name="输出 2 6 6 5" xfId="1064"/>
    <cellStyle name="输出 3 4 4" xfId="1065"/>
    <cellStyle name="输入 2 14 2 3" xfId="1066"/>
    <cellStyle name="汇总 2 11 2 2" xfId="1067"/>
    <cellStyle name="输出 2 3 12 6" xfId="1068"/>
    <cellStyle name="注释 2 13 11 2" xfId="1069"/>
    <cellStyle name="好_人事科 数 2_导出数据1" xfId="1070"/>
    <cellStyle name="常规 39 6 2 2" xfId="1071"/>
    <cellStyle name="常规 44 6 2 2" xfId="1072"/>
    <cellStyle name="60% - 强调文字颜色 6 2 16" xfId="1073"/>
    <cellStyle name="输入 2 2 7 5" xfId="1074"/>
    <cellStyle name="计算 2 3 5 7" xfId="1075"/>
    <cellStyle name="注释 2 8 3 2 4" xfId="1076"/>
    <cellStyle name="常规 8 3 3 2 2" xfId="1077"/>
    <cellStyle name="注释 2 4 7 6" xfId="1078"/>
    <cellStyle name="输出 2 11 3 5" xfId="1079"/>
    <cellStyle name="常规 2 2 6 2 2 2 2" xfId="1080"/>
    <cellStyle name="计算 2 6 3 2 5" xfId="1081"/>
    <cellStyle name="60% - 强调文字颜色 3 2 5 2" xfId="1082"/>
    <cellStyle name="注释 2 2 11 5" xfId="1083"/>
    <cellStyle name="计算 2 9 7 2 3" xfId="1084"/>
    <cellStyle name="计算 2 12 6" xfId="1085"/>
    <cellStyle name="汇总 2 5 9 5" xfId="1086"/>
    <cellStyle name="汇总 2 6 2 3" xfId="1087"/>
    <cellStyle name="常规 8 7" xfId="1088"/>
    <cellStyle name="标题 1 2 13 2" xfId="1089"/>
    <cellStyle name="计算 2 19 2 2" xfId="1090"/>
    <cellStyle name="计算 2 2 4 4" xfId="1091"/>
    <cellStyle name="汇总 2 12 4 2" xfId="1092"/>
    <cellStyle name="注释 2 5 5 7" xfId="1093"/>
    <cellStyle name="计算 2 4 8 3" xfId="1094"/>
    <cellStyle name="汇总 2 12 22" xfId="1095"/>
    <cellStyle name="汇总 2 12 17" xfId="1096"/>
    <cellStyle name="注释 3 2 3 2" xfId="1097"/>
    <cellStyle name="输出 2 7 10 5" xfId="1098"/>
    <cellStyle name="40% - 强调文字颜色 1 2 4 2" xfId="1099"/>
    <cellStyle name="60% - 强调文字颜色 2 2 9 2" xfId="1100"/>
    <cellStyle name="常规 8 3 2 2 2 2" xfId="1101"/>
    <cellStyle name="常规 44 2 2 3 2" xfId="1102"/>
    <cellStyle name="常规 39 2 2 3 2" xfId="1103"/>
    <cellStyle name="输入 2 11 6 2" xfId="1104"/>
    <cellStyle name="40% - 强调文字颜色 4 2 9 2" xfId="1105"/>
    <cellStyle name="计算 2 5 6 3" xfId="1106"/>
    <cellStyle name="20% - 强调文字颜色 2 2 7 3" xfId="1107"/>
    <cellStyle name="输入 2 3 2 4" xfId="1108"/>
    <cellStyle name="输出 2 9 5 2 4" xfId="1109"/>
    <cellStyle name="常规 2 4 2 2 2 2" xfId="1110"/>
    <cellStyle name="60% - 强调文字颜色 3 2 11 2" xfId="1111"/>
    <cellStyle name="计算 2 4 3 6" xfId="1112"/>
    <cellStyle name="汇总 2 4 15 4" xfId="1113"/>
    <cellStyle name="常规 3 7 3 2" xfId="1114"/>
    <cellStyle name="汇总 2 5 11 3" xfId="1115"/>
    <cellStyle name="汇总 2 6 13 4" xfId="1116"/>
    <cellStyle name="差_汇总 3 2 2" xfId="1117"/>
    <cellStyle name="计算 2 11 6 2 6" xfId="1118"/>
    <cellStyle name="注释 2 9 5 2 2" xfId="1119"/>
    <cellStyle name="注释 2 2 10 3 3" xfId="1120"/>
    <cellStyle name="常规 40_Sheet1" xfId="1121"/>
    <cellStyle name="计算 2 6 5" xfId="1122"/>
    <cellStyle name="常规 14 2 2 3" xfId="1123"/>
    <cellStyle name="输出 2 15" xfId="1124"/>
    <cellStyle name="输出 2 20" xfId="1125"/>
    <cellStyle name="输入 2 15 2 7" xfId="1126"/>
    <cellStyle name="计算 2 8 14 2" xfId="1127"/>
    <cellStyle name="20% - 强调文字颜色 5 2 5" xfId="1128"/>
    <cellStyle name="汇总 2 6 7" xfId="1129"/>
    <cellStyle name="标题 5 10" xfId="1130"/>
    <cellStyle name="20% - 强调文字颜色 6 2" xfId="1131"/>
    <cellStyle name="汇总 2 6 14 2" xfId="1132"/>
    <cellStyle name="20% - 强调文字颜色 4 2 2 2 3" xfId="1133"/>
    <cellStyle name="输入 2 12 6 3" xfId="1134"/>
    <cellStyle name="汇总 2 14 2 3" xfId="1135"/>
    <cellStyle name="常规 20 6" xfId="1136"/>
    <cellStyle name="输出 2 10 10 2" xfId="1137"/>
    <cellStyle name="计算 2 2 3 4 4" xfId="1138"/>
    <cellStyle name="常规 7 2 4 2_导出数据1" xfId="1139"/>
    <cellStyle name="60% - 强调文字颜色 3 2 2 2" xfId="1140"/>
    <cellStyle name="输入 2 10 12" xfId="1141"/>
    <cellStyle name="输出 2 6 4 2 6" xfId="1142"/>
    <cellStyle name="检查单元格 4 2" xfId="1143"/>
    <cellStyle name="标题 3 2 16" xfId="1144"/>
    <cellStyle name="输入 2 7 9 4" xfId="1145"/>
    <cellStyle name="20% - 强调文字颜色 5 2 15" xfId="1146"/>
    <cellStyle name="计算 2 10 2" xfId="1147"/>
    <cellStyle name="输出 2 13 4 7" xfId="1148"/>
    <cellStyle name="计算 2 2 2 2 6" xfId="1149"/>
    <cellStyle name="常规 2 22" xfId="1150"/>
    <cellStyle name="常规 2 17" xfId="1151"/>
    <cellStyle name="常规 7 3 2 2" xfId="1152"/>
    <cellStyle name="计算 2 2 5 2 4" xfId="1153"/>
    <cellStyle name="注释 3 2 2 2 2 6" xfId="1154"/>
    <cellStyle name="注释 2 13 2 3" xfId="1155"/>
    <cellStyle name="输入 2 11 5 2 6" xfId="1156"/>
    <cellStyle name="计算 2 5 5 2 4" xfId="1157"/>
    <cellStyle name="常规 7 2 8" xfId="1158"/>
    <cellStyle name="注释 2 9 3" xfId="1159"/>
    <cellStyle name="输出 2 12 4 2 4" xfId="1160"/>
    <cellStyle name="计算 2 2 11 4" xfId="1161"/>
    <cellStyle name="常规 10 4 3 2" xfId="1162"/>
    <cellStyle name="常规 34 3 3 2 2 2" xfId="1163"/>
    <cellStyle name="常规 34 2 2 2 2 2 2" xfId="1164"/>
    <cellStyle name="注释 2 9 7 4" xfId="1165"/>
    <cellStyle name="计算 2 12 5 6" xfId="1166"/>
    <cellStyle name="输入 2 6 14 3" xfId="1167"/>
    <cellStyle name="输出 2 12 11 4" xfId="1168"/>
    <cellStyle name="注释 2 11 7 3" xfId="1169"/>
    <cellStyle name="汇总 2 13 6 5" xfId="1170"/>
    <cellStyle name="汇总 2 2 9 2 6" xfId="1171"/>
    <cellStyle name="百分比 2 4 3 2 2" xfId="1172"/>
    <cellStyle name="输入 2 5 6 3" xfId="1173"/>
    <cellStyle name="常规 10 2 8 2" xfId="1174"/>
    <cellStyle name="注释 2 2 9 2 4" xfId="1175"/>
    <cellStyle name="汇总 2 9 11 2" xfId="1176"/>
    <cellStyle name="计算 2 10 8 4" xfId="1177"/>
    <cellStyle name="输出 2 31 2" xfId="1178"/>
    <cellStyle name="输出 2 26 2" xfId="1179"/>
    <cellStyle name="计算 2 7 11 2" xfId="1180"/>
    <cellStyle name="常规 2 2 5 4 2 2" xfId="1181"/>
    <cellStyle name="输入 2 6 9" xfId="1182"/>
    <cellStyle name="注释 2 29 4" xfId="1183"/>
    <cellStyle name="计算 2 8 19" xfId="1184"/>
    <cellStyle name="链接单元格 2 6" xfId="1185"/>
    <cellStyle name="汇总 2 3 6" xfId="1186"/>
    <cellStyle name="汇总 2 8 14" xfId="1187"/>
    <cellStyle name="输入 2 14" xfId="1188"/>
    <cellStyle name="输出 2 9 9 2" xfId="1189"/>
    <cellStyle name="20% - 强调文字颜色 6 3_导出数据1" xfId="1190"/>
    <cellStyle name="常规 12 9" xfId="1191"/>
    <cellStyle name="汇总 3 5 6" xfId="1192"/>
    <cellStyle name="输入 2 8 13 6" xfId="1193"/>
    <cellStyle name="计算 2 4 14 4" xfId="1194"/>
    <cellStyle name="注释 2 3 2 6" xfId="1195"/>
    <cellStyle name="常规 6_导出数据1" xfId="1196"/>
    <cellStyle name="注释 2 7 10" xfId="1197"/>
    <cellStyle name="计算 2 15 2 2 5" xfId="1198"/>
    <cellStyle name="差_汇总 2 2 2" xfId="1199"/>
    <cellStyle name="输入 2 11 12 6" xfId="1200"/>
    <cellStyle name="计算 3 5 2" xfId="1201"/>
    <cellStyle name="注释 2 7 9 2" xfId="1202"/>
    <cellStyle name="常规 2 13" xfId="1203"/>
    <cellStyle name="注释 2 12 16 3" xfId="1204"/>
    <cellStyle name="20% - 强调文字颜色 2 2 13 3" xfId="1205"/>
    <cellStyle name="输入 2 13 2 4" xfId="1206"/>
    <cellStyle name="常规 10 2 4_导出数据1" xfId="1207"/>
    <cellStyle name="输出 2 11 6 2 2" xfId="1208"/>
    <cellStyle name="注释 2 7 9 2 4" xfId="1209"/>
    <cellStyle name="40% - 强调文字颜色 5 2 5 3" xfId="1210"/>
    <cellStyle name="输入 2 12 2 6" xfId="1211"/>
    <cellStyle name="输入 2 12 16 2" xfId="1212"/>
    <cellStyle name="注释 2 6 9 2 5" xfId="1213"/>
    <cellStyle name="计算 2 5 2 5" xfId="1214"/>
    <cellStyle name="常规 2 2 4 6" xfId="1215"/>
    <cellStyle name="输入 2 11 2 4" xfId="1216"/>
    <cellStyle name="汇总 2 6 3 2 3" xfId="1217"/>
    <cellStyle name="强调文字颜色 5 2 7 2" xfId="1218"/>
    <cellStyle name="注释 2 3 10 3 2" xfId="1219"/>
    <cellStyle name="注释 3 2 3" xfId="1220"/>
    <cellStyle name="计算 2 5 4 5" xfId="1221"/>
    <cellStyle name="好 2 14" xfId="1222"/>
    <cellStyle name="40% - 强调文字颜色 4 2 5 3" xfId="1223"/>
    <cellStyle name="输入 2 11 2 3" xfId="1224"/>
    <cellStyle name="20% - 强调文字颜色 4 2 5 2" xfId="1225"/>
    <cellStyle name="常规 2 18 3" xfId="1226"/>
    <cellStyle name="强调文字颜色 1 3 3" xfId="1227"/>
    <cellStyle name="计算 2 8 6 3" xfId="1228"/>
    <cellStyle name="输出 2 6 13 2" xfId="1229"/>
    <cellStyle name="汇总 2 13 6 3" xfId="1230"/>
    <cellStyle name="计算 2 3 8" xfId="1231"/>
    <cellStyle name="输入 2 10 6 2 2" xfId="1232"/>
    <cellStyle name="40% - 强调文字颜色 5 2 13 3" xfId="1233"/>
    <cellStyle name="输入 2 2 3 8" xfId="1234"/>
    <cellStyle name="汇总 2 10 2 4" xfId="1235"/>
    <cellStyle name="注释 2 5 7 4" xfId="1236"/>
    <cellStyle name="计算 2 2 11 2 4" xfId="1237"/>
    <cellStyle name="输出 2 7 5 2 6" xfId="1238"/>
    <cellStyle name="计算 2 8 12 2" xfId="1239"/>
    <cellStyle name="常规 10 2 2 3 2" xfId="1240"/>
    <cellStyle name="输出 2 12 17" xfId="1241"/>
    <cellStyle name="输出 2 12 22" xfId="1242"/>
    <cellStyle name="汇总 2 2 9 2" xfId="1243"/>
    <cellStyle name="注释 2 6 6 5" xfId="1244"/>
    <cellStyle name="汇总 2 10 5 2 3" xfId="1245"/>
    <cellStyle name="输出 2 6 23" xfId="1246"/>
    <cellStyle name="输出 2 6 18" xfId="1247"/>
    <cellStyle name="汇总 2 5 14 4" xfId="1248"/>
    <cellStyle name="汇总 2 3 8 3" xfId="1249"/>
    <cellStyle name="60% - 强调文字颜色 1 2 6" xfId="1250"/>
    <cellStyle name="计算 2 2 2 8" xfId="1251"/>
    <cellStyle name="汇总 2 11 16" xfId="1252"/>
    <cellStyle name="汇总 2 11 21" xfId="1253"/>
    <cellStyle name="汇总 2 10 8 5" xfId="1254"/>
    <cellStyle name="常规 40 3 3 2 2" xfId="1255"/>
    <cellStyle name="常规 4 2" xfId="1256"/>
    <cellStyle name="汇总 2 13 8 2" xfId="1257"/>
    <cellStyle name="常规 7 2 2 3" xfId="1258"/>
    <cellStyle name="计算 2 2 2 3 5" xfId="1259"/>
    <cellStyle name="注释 2 4 2 2 2 4" xfId="1260"/>
    <cellStyle name="40% - 强调文字颜色 2 2 10 2" xfId="1261"/>
    <cellStyle name="计算 2 5 7" xfId="1262"/>
    <cellStyle name="注释 2 7 4 5" xfId="1263"/>
    <cellStyle name="汇总 2 3 14 4" xfId="1264"/>
    <cellStyle name="计算 2 16 2 4" xfId="1265"/>
    <cellStyle name="计算 2 21 2 4" xfId="1266"/>
    <cellStyle name="计算 2 12 2 2 3" xfId="1267"/>
    <cellStyle name="60% - 强调文字颜色 5 2 17" xfId="1268"/>
    <cellStyle name="输出 2 12 6 2 2" xfId="1269"/>
    <cellStyle name="输出 2 29 3" xfId="1270"/>
    <cellStyle name="常规 9 3 3 2" xfId="1271"/>
    <cellStyle name="计算 2 7 14 3" xfId="1272"/>
    <cellStyle name="注释 2 2 7 2 4" xfId="1273"/>
    <cellStyle name="输入 2 3 7 5" xfId="1274"/>
    <cellStyle name="常规 10 4" xfId="1275"/>
    <cellStyle name="汇总 2 2" xfId="1276"/>
    <cellStyle name="计算 2 12 4 2 5" xfId="1277"/>
    <cellStyle name="常规 10 3 4" xfId="1278"/>
    <cellStyle name="20% - 强调文字颜色 4 2 9" xfId="1279"/>
    <cellStyle name="汇总 2 31" xfId="1280"/>
    <cellStyle name="汇总 2 26" xfId="1281"/>
    <cellStyle name="常规 14 10" xfId="1282"/>
    <cellStyle name="40% - 强调文字颜色 3 2 6" xfId="1283"/>
    <cellStyle name="常规 2 2 12 2" xfId="1284"/>
    <cellStyle name="强调文字颜色 6 2 4" xfId="1285"/>
    <cellStyle name="计算 2 8 4 2 5" xfId="1286"/>
    <cellStyle name="输入 2 7 16 2" xfId="1287"/>
    <cellStyle name="输入 2 7 9 2 6" xfId="1288"/>
    <cellStyle name="计算 2 2 10 6" xfId="1289"/>
    <cellStyle name="计算 2 8 9 2 2" xfId="1290"/>
    <cellStyle name="注释 2 2 2 5 6" xfId="1291"/>
    <cellStyle name="注释 2 9 13 2" xfId="1292"/>
    <cellStyle name="注释 2 3 2 2 4 2" xfId="1293"/>
    <cellStyle name="常规 10 2 2 4" xfId="1294"/>
    <cellStyle name="注释 3 2 2 2" xfId="1295"/>
    <cellStyle name="常规 2" xfId="1296"/>
    <cellStyle name="常规 12 2 2 3 2 2" xfId="1297"/>
    <cellStyle name="计算 2 11 4 2 4" xfId="1298"/>
    <cellStyle name="计算 2 6 3 7" xfId="1299"/>
    <cellStyle name="输入 2 12 11 6" xfId="1300"/>
    <cellStyle name="汇总 2 13 2 6" xfId="1301"/>
    <cellStyle name="输入 2 11 6 6" xfId="1302"/>
    <cellStyle name="常规 2 4 2" xfId="1303"/>
    <cellStyle name="输出 2 5 4" xfId="1304"/>
    <cellStyle name="输出 2 13 7 2 4" xfId="1305"/>
    <cellStyle name="计算 2 7 3 4" xfId="1306"/>
    <cellStyle name="常规 12 12" xfId="1307"/>
    <cellStyle name="标题 3 2 3 2" xfId="1308"/>
    <cellStyle name="计算 2 13 9 6" xfId="1309"/>
    <cellStyle name="计算 2 8 15 4" xfId="1310"/>
    <cellStyle name="差_导出数据1_1 2_导出数据1" xfId="1311"/>
    <cellStyle name="输出 2 4 12 5" xfId="1312"/>
    <cellStyle name="计算 2 15 3 4" xfId="1313"/>
    <cellStyle name="输出 2 3 9 2 6" xfId="1314"/>
    <cellStyle name="输出 2 10 11 4" xfId="1315"/>
    <cellStyle name="汇总 2 6 8 5" xfId="1316"/>
    <cellStyle name="汇总 2 7 16" xfId="1317"/>
    <cellStyle name="汇总 2 7 21" xfId="1318"/>
    <cellStyle name="注释 2 3 10 2 4" xfId="1319"/>
    <cellStyle name="输入 2 4 12 6" xfId="1320"/>
    <cellStyle name="汇总 2 3 9 3" xfId="1321"/>
    <cellStyle name="计算 2 4 9 2 4" xfId="1322"/>
    <cellStyle name="计算 2 3 10 3" xfId="1323"/>
    <cellStyle name="常规 16 8 2" xfId="1324"/>
    <cellStyle name="计算 2 12 4 2 2" xfId="1325"/>
    <cellStyle name="汇总 2 23" xfId="1326"/>
    <cellStyle name="汇总 2 18" xfId="1327"/>
    <cellStyle name="输出 2 5 7" xfId="1328"/>
    <cellStyle name="计算 2 7 3 7" xfId="1329"/>
    <cellStyle name="输入 2 11 12 4" xfId="1330"/>
    <cellStyle name="注释 2 9 2" xfId="1331"/>
    <cellStyle name="常规 27 2 4 2 2" xfId="1332"/>
    <cellStyle name="差_Sheet1 2" xfId="1333"/>
    <cellStyle name="输入 2 5 6 2 6" xfId="1334"/>
    <cellStyle name="输出 2 6 3 5" xfId="1335"/>
    <cellStyle name="输入 2 13 4 2 5" xfId="1336"/>
    <cellStyle name="汇总 2 2 2 2 2 7" xfId="1337"/>
    <cellStyle name="注释 2 6 2 3" xfId="1338"/>
    <cellStyle name="常规 5 2 4" xfId="1339"/>
    <cellStyle name="输入 2 11 7 6" xfId="1340"/>
    <cellStyle name="计算 2 5 7 7" xfId="1341"/>
    <cellStyle name="输入 2 12 11 3" xfId="1342"/>
    <cellStyle name="常规 7 3 4" xfId="1343"/>
    <cellStyle name="汇总 2 8 7" xfId="1344"/>
    <cellStyle name="计算 2 27 5" xfId="1345"/>
    <cellStyle name="标题 6 3" xfId="1346"/>
    <cellStyle name="计算 2 7 5 2 3" xfId="1347"/>
    <cellStyle name="40% - 强调文字颜色 3 2 12" xfId="1348"/>
    <cellStyle name="计算 2 2 9 6" xfId="1349"/>
    <cellStyle name="输出 2 7 2 3" xfId="1350"/>
    <cellStyle name="注释 2 3 2 4 4" xfId="1351"/>
    <cellStyle name="常规 25 3 3" xfId="1352"/>
    <cellStyle name="输入 2 12 12" xfId="1353"/>
    <cellStyle name="40% - 强调文字颜色 2 2 7 2" xfId="1354"/>
    <cellStyle name="计算 2 5 5 6" xfId="1355"/>
    <cellStyle name="注释 2 8 5 2 3" xfId="1356"/>
    <cellStyle name="输出 2 11 16 2" xfId="1357"/>
    <cellStyle name="汇总 2 4 9 3" xfId="1358"/>
    <cellStyle name="40% - 强调文字颜色 6 2 12 2" xfId="1359"/>
    <cellStyle name="注释 2 4 11 5" xfId="1360"/>
    <cellStyle name="常规 42 4 3 2" xfId="1361"/>
    <cellStyle name="常规 37 4 3 2" xfId="1362"/>
    <cellStyle name="输入 2 4 6" xfId="1363"/>
    <cellStyle name="注释 2 8 4 2" xfId="1364"/>
    <cellStyle name="常规 12 2 2 3" xfId="1365"/>
    <cellStyle name="输出 2 3 16 3" xfId="1366"/>
    <cellStyle name="强调文字颜色 3 4" xfId="1367"/>
    <cellStyle name="计算 2 13 6" xfId="1368"/>
    <cellStyle name="汇总 2 2 11 2 2" xfId="1369"/>
    <cellStyle name="40% - 强调文字颜色 3 4 2" xfId="1370"/>
    <cellStyle name="计算 2 11 4 8" xfId="1371"/>
    <cellStyle name="注释 2 26 4" xfId="1372"/>
    <cellStyle name="汇总 2 9 7 2 4" xfId="1373"/>
    <cellStyle name="常规 8 2 5" xfId="1374"/>
    <cellStyle name="计算 2 5 12" xfId="1375"/>
    <cellStyle name="输入 2 5 5 6" xfId="1376"/>
    <cellStyle name="注释 2 20" xfId="1377"/>
    <cellStyle name="注释 2 15" xfId="1378"/>
    <cellStyle name="注释 2 3 3 4 5" xfId="1379"/>
    <cellStyle name="汇总 2 4 3 5" xfId="1380"/>
    <cellStyle name="输出 2 25 5" xfId="1381"/>
    <cellStyle name="常规 41 3 2 3 2" xfId="1382"/>
    <cellStyle name="常规 36 3 2 3 2" xfId="1383"/>
    <cellStyle name="汇总 2 5 12 6" xfId="1384"/>
    <cellStyle name="输出 2 12 3 2 5" xfId="1385"/>
    <cellStyle name="汇总 2 4 9" xfId="1386"/>
    <cellStyle name="注释 2 3 13 2" xfId="1387"/>
    <cellStyle name="汇总 3 2 2 2" xfId="1388"/>
    <cellStyle name="常规 11 4 2 2" xfId="1389"/>
    <cellStyle name="输出 2 4 8" xfId="1390"/>
    <cellStyle name="百分比 5 2" xfId="1391"/>
    <cellStyle name="输入 2 11 11 5" xfId="1392"/>
    <cellStyle name="计算 2 15 4 5" xfId="1393"/>
    <cellStyle name="输出 2 19 2 2" xfId="1394"/>
    <cellStyle name="好_导出数据1 2_导出数据1" xfId="1395"/>
    <cellStyle name="常规 40 3 5 2 2" xfId="1396"/>
    <cellStyle name="汇总 2 7 3 7" xfId="1397"/>
    <cellStyle name="计算 2 10 20" xfId="1398"/>
    <cellStyle name="计算 2 10 15" xfId="1399"/>
    <cellStyle name="输入 2 2 5 5" xfId="1400"/>
    <cellStyle name="汇总 2 3 5 4" xfId="1401"/>
    <cellStyle name="链接单元格 3 2" xfId="1402"/>
    <cellStyle name="常规 14 2_Sheet1" xfId="1403"/>
    <cellStyle name="输出 2 14 3" xfId="1404"/>
    <cellStyle name="汇总 2 3 17" xfId="1405"/>
    <cellStyle name="汇总 2 3 22" xfId="1406"/>
    <cellStyle name="输入 2 8 6 2 6" xfId="1407"/>
    <cellStyle name="注释 2 5 5 6" xfId="1408"/>
    <cellStyle name="计算 2 4 8 2" xfId="1409"/>
    <cellStyle name="注释 2 3 10 4" xfId="1410"/>
    <cellStyle name="常规 10 4 2 2" xfId="1411"/>
    <cellStyle name="计算 2 8 6 2 3" xfId="1412"/>
    <cellStyle name="20% - 强调文字颜色 5 2 9 2" xfId="1413"/>
    <cellStyle name="标题 5 14 2" xfId="1414"/>
    <cellStyle name="汇总 2 4 3 6" xfId="1415"/>
    <cellStyle name="汇总 2 13 3" xfId="1416"/>
    <cellStyle name="标题 5 15" xfId="1417"/>
    <cellStyle name="常规 38 3 5 2" xfId="1418"/>
    <cellStyle name="常规 43 3 5 2" xfId="1419"/>
    <cellStyle name="常规 16 4 2 2" xfId="1420"/>
    <cellStyle name="常规 21 4 2 2" xfId="1421"/>
    <cellStyle name="40% - 强调文字颜色 6 2 16" xfId="1422"/>
    <cellStyle name="输入 2 25 5" xfId="1423"/>
    <cellStyle name="汇总 2 12 12 6" xfId="1424"/>
    <cellStyle name="常规 17" xfId="1425"/>
    <cellStyle name="常规 22_导出数据1" xfId="1426"/>
    <cellStyle name="常规 17_导出数据1" xfId="1427"/>
    <cellStyle name="输出 2 13 7 2" xfId="1428"/>
    <cellStyle name="计算 2 7 3" xfId="1429"/>
    <cellStyle name="常规 19 8 2" xfId="1430"/>
    <cellStyle name="输入 2 2 2 3 3" xfId="1431"/>
    <cellStyle name="40% - 强调文字颜色 2 3_导出数据1" xfId="1432"/>
    <cellStyle name="计算 2 2 6 2 6" xfId="1433"/>
    <cellStyle name="常规 12 10 2" xfId="1434"/>
    <cellStyle name="差_汇总 2_导出数据1 2" xfId="1435"/>
    <cellStyle name="汇总 2 14 3 3" xfId="1436"/>
    <cellStyle name="输出 2 9 7 6" xfId="1437"/>
    <cellStyle name="输入 2 22 3 4" xfId="1438"/>
    <cellStyle name="注释 2 8 5 5" xfId="1439"/>
    <cellStyle name="注释 2 25 3" xfId="1440"/>
    <cellStyle name="注释 2 30 3" xfId="1441"/>
    <cellStyle name="输入 2 2 9" xfId="1442"/>
    <cellStyle name="输出 2 7 7 2 6" xfId="1443"/>
    <cellStyle name="输入 2 12 5 3" xfId="1444"/>
    <cellStyle name="注释 2 13 21" xfId="1445"/>
    <cellStyle name="注释 2 13 16" xfId="1446"/>
    <cellStyle name="汇总 2 2 7 4" xfId="1447"/>
    <cellStyle name="常规 2 2 2 10" xfId="1448"/>
    <cellStyle name="输入 2 12 8 2" xfId="1449"/>
    <cellStyle name="输出 2 6 3 2 2" xfId="1450"/>
    <cellStyle name="40% - 强调文字颜色 2 2 2 3 2" xfId="1451"/>
    <cellStyle name="输出 2 5 8 6" xfId="1452"/>
    <cellStyle name="常规 12 2 5 2 2" xfId="1453"/>
    <cellStyle name="计算 2 13 13 3" xfId="1454"/>
    <cellStyle name="40% - 强调文字颜色 2 2 2" xfId="1455"/>
    <cellStyle name="常规 44 3 2 3" xfId="1456"/>
    <cellStyle name="常规 39 3 2 3" xfId="1457"/>
    <cellStyle name="输出 2 9 8" xfId="1458"/>
    <cellStyle name="输入 2 13 7 7" xfId="1459"/>
    <cellStyle name="输出 2 2 2 6" xfId="1460"/>
    <cellStyle name="汇总 2 2 3 2 2 5" xfId="1461"/>
    <cellStyle name="注释 2 21 2 2" xfId="1462"/>
    <cellStyle name="注释 2 16 2 2" xfId="1463"/>
    <cellStyle name="注释 3 2 4 2 6" xfId="1464"/>
    <cellStyle name="输出 2 4 10" xfId="1465"/>
    <cellStyle name="输入 2 12 5 2 4" xfId="1466"/>
    <cellStyle name="计算 2 8 3 2 6" xfId="1467"/>
    <cellStyle name="注释 2 9 12" xfId="1468"/>
    <cellStyle name="常规 43 5_导出数据1" xfId="1469"/>
    <cellStyle name="常规 38 5_导出数据1" xfId="1470"/>
    <cellStyle name="输入 2 4 3 2 3" xfId="1471"/>
    <cellStyle name="计算 2 10 4 2 6" xfId="1472"/>
    <cellStyle name="常规 2 8 2 3" xfId="1473"/>
    <cellStyle name="汇总 2 12 7 5" xfId="1474"/>
    <cellStyle name="强调文字颜色 5 2 5 2" xfId="1475"/>
    <cellStyle name="输出 2 9 4 3" xfId="1476"/>
    <cellStyle name="计算 2 2 12 4" xfId="1477"/>
    <cellStyle name="常规 7 2 5" xfId="1478"/>
    <cellStyle name="汇总 2 11 5 7" xfId="1479"/>
    <cellStyle name="计算 2 12 11 3" xfId="1480"/>
    <cellStyle name="汇总 2 10 9 2 2" xfId="1481"/>
    <cellStyle name="输出 2 8 2 5" xfId="1482"/>
    <cellStyle name="计算 2 7 6 2 5" xfId="1483"/>
    <cellStyle name="输入 3 2 6" xfId="1484"/>
    <cellStyle name="汇总 2 13 11 4" xfId="1485"/>
    <cellStyle name="注释 2 9 10 2" xfId="1486"/>
    <cellStyle name="计算 2 9 10" xfId="1487"/>
    <cellStyle name="输出 2 9 15 3" xfId="1488"/>
    <cellStyle name="常规 38 2 4 2 2" xfId="1489"/>
    <cellStyle name="常规 43 2 4 2 2" xfId="1490"/>
    <cellStyle name="输入 2 6 14 2" xfId="1491"/>
    <cellStyle name="常规 16 3 3 2" xfId="1492"/>
    <cellStyle name="常规 21 3 3 2" xfId="1493"/>
    <cellStyle name="输入 3 2 2 2 2" xfId="1494"/>
    <cellStyle name="计算 2 12 13 6" xfId="1495"/>
    <cellStyle name="注释 2 3 2 2 2 2 2" xfId="1496"/>
    <cellStyle name="输入 2 13 11 5" xfId="1497"/>
    <cellStyle name="40% - 强调文字颜色 4 2 7 2" xfId="1498"/>
    <cellStyle name="计算 2 5 4 3" xfId="1499"/>
    <cellStyle name="输出 2 3 8 4" xfId="1500"/>
    <cellStyle name="注释 2 4 11 2 4" xfId="1501"/>
    <cellStyle name="输出 2 22 6" xfId="1502"/>
    <cellStyle name="输出 2 17 6" xfId="1503"/>
    <cellStyle name="输出 2 11 12" xfId="1504"/>
    <cellStyle name="汇总 2 9 4 3" xfId="1505"/>
    <cellStyle name="输入 2 2 6 2" xfId="1506"/>
    <cellStyle name="汇总 2 4 8 6" xfId="1507"/>
    <cellStyle name="汇总 2 12 13 2" xfId="1508"/>
    <cellStyle name="汇总 2 11 3" xfId="1509"/>
    <cellStyle name="输出 2 6 3 2 6" xfId="1510"/>
    <cellStyle name="差 2 12" xfId="1511"/>
    <cellStyle name="计算 2 11 3 2 6" xfId="1512"/>
    <cellStyle name="注释 2 9 7 2 4" xfId="1513"/>
    <cellStyle name="计算 2 11 3 5" xfId="1514"/>
    <cellStyle name="计算 2 2 7 5" xfId="1515"/>
    <cellStyle name="注释 2 17 2 2" xfId="1516"/>
    <cellStyle name="注释 2 22 2 2" xfId="1517"/>
    <cellStyle name="输入 2 13 7 2 6" xfId="1518"/>
    <cellStyle name="输出 2 8 2 2 5" xfId="1519"/>
    <cellStyle name="计算 2 5 5 2 2" xfId="1520"/>
    <cellStyle name="汇总 4 2" xfId="1521"/>
    <cellStyle name="汇总 2 2 12 5" xfId="1522"/>
    <cellStyle name="注释 2 2 2 6" xfId="1523"/>
    <cellStyle name="标题 1 3 3 2" xfId="1524"/>
    <cellStyle name="汇总 2 3 5 2 4" xfId="1525"/>
    <cellStyle name="输入 2 6 6 2 2" xfId="1526"/>
    <cellStyle name="汇总 2 2 7 6" xfId="1527"/>
    <cellStyle name="计算 2 2 11 5" xfId="1528"/>
    <cellStyle name="输入 2 9 10 3" xfId="1529"/>
    <cellStyle name="汇总 2 2 2 2 2 3" xfId="1530"/>
    <cellStyle name="汇总 2 11 14 4" xfId="1531"/>
    <cellStyle name="常规 14 6 2" xfId="1532"/>
    <cellStyle name="注释 2 8 4" xfId="1533"/>
    <cellStyle name="输入 2 12 13 2" xfId="1534"/>
    <cellStyle name="输出 2 8 3 2" xfId="1535"/>
    <cellStyle name="输入 2 13 6 2 2" xfId="1536"/>
    <cellStyle name="注释 2 2 11 4" xfId="1537"/>
    <cellStyle name="输出 2 22 2 4" xfId="1538"/>
    <cellStyle name="输出 2 17 2 4" xfId="1539"/>
    <cellStyle name="注释 2 5 15 2" xfId="1540"/>
    <cellStyle name="常规 9 4_导出数据1" xfId="1541"/>
    <cellStyle name="常规 26 3 2" xfId="1542"/>
    <cellStyle name="常规 39 4_导出数据1" xfId="1543"/>
    <cellStyle name="常规 44 4_导出数据1" xfId="1544"/>
    <cellStyle name="计算 2 5 2 3" xfId="1545"/>
    <cellStyle name="百分比 3 2 3" xfId="1546"/>
    <cellStyle name="计算 2 4 4 2" xfId="1547"/>
    <cellStyle name="注释 2 4 10 3" xfId="1548"/>
    <cellStyle name="输出 2 2 8 3" xfId="1549"/>
    <cellStyle name="好 2 2 2" xfId="1550"/>
    <cellStyle name="输入 2 5 7 4" xfId="1551"/>
    <cellStyle name="常规 36 2 2 2 2 2" xfId="1552"/>
    <cellStyle name="常规 41 2 2 2 2 2" xfId="1553"/>
    <cellStyle name="输出 2 28 5" xfId="1554"/>
    <cellStyle name="输入 2 10 3 2 6" xfId="1555"/>
    <cellStyle name="计算 2 8 13 3" xfId="1556"/>
    <cellStyle name="输出 2 22 5" xfId="1557"/>
    <cellStyle name="输出 2 17 5" xfId="1558"/>
    <cellStyle name="输出 2 4 9 4" xfId="1559"/>
    <cellStyle name="计算 2 6 5 3" xfId="1560"/>
    <cellStyle name="注释 2 3 4 6" xfId="1561"/>
    <cellStyle name="输入 2 11 9 2 2" xfId="1562"/>
    <cellStyle name="注释 2 37" xfId="1563"/>
    <cellStyle name="计算 2 19 2 4" xfId="1564"/>
    <cellStyle name="计算 2 2 4 6" xfId="1565"/>
    <cellStyle name="常规 10 6_导出数据1" xfId="1566"/>
    <cellStyle name="20% - 强调文字颜色 5 2 3 4" xfId="1567"/>
    <cellStyle name="汇总 2 11 4 2 5" xfId="1568"/>
    <cellStyle name="计算 2 3 13 4" xfId="1569"/>
    <cellStyle name="标题 3 2 10 2" xfId="1570"/>
    <cellStyle name="汇总 2 12 14 3" xfId="1571"/>
    <cellStyle name="汇总 2 9 2 2 2" xfId="1572"/>
    <cellStyle name="20% - 强调文字颜色 6 3 3" xfId="1573"/>
    <cellStyle name="常规 5 2 3 2 2" xfId="1574"/>
    <cellStyle name="计算 2 7 5 2" xfId="1575"/>
    <cellStyle name="注释 2 8 2 6" xfId="1576"/>
    <cellStyle name="输出 2 5 9 3" xfId="1577"/>
    <cellStyle name="输出 2 7 2" xfId="1578"/>
    <cellStyle name="计算 2 5 14 4" xfId="1579"/>
    <cellStyle name="汇总 2 12 11 3" xfId="1580"/>
    <cellStyle name="40% - 强调文字颜色 6 3" xfId="1581"/>
    <cellStyle name="输出 2 12 5 2" xfId="1582"/>
    <cellStyle name="计算 2 12 6 2 2" xfId="1583"/>
    <cellStyle name="汇总 2 4 13 4" xfId="1584"/>
    <cellStyle name="注释 2 4 2 2 2 3" xfId="1585"/>
    <cellStyle name="计算 2 5 6" xfId="1586"/>
    <cellStyle name="输出 2 13 5 5" xfId="1587"/>
    <cellStyle name="计算 2 2 2 3 4" xfId="1588"/>
    <cellStyle name="输入 2 9 15 4" xfId="1589"/>
    <cellStyle name="注释 3 2 2 3 5" xfId="1590"/>
    <cellStyle name="计算 2 2 16 6" xfId="1591"/>
    <cellStyle name="汇总 2 6 9 2 5" xfId="1592"/>
    <cellStyle name="输出 2 11 6 2 4" xfId="1593"/>
    <cellStyle name="常规 2 2 5 11 2" xfId="1594"/>
    <cellStyle name="注释 2 10 6 2" xfId="1595"/>
    <cellStyle name="计算 2 12 9 3" xfId="1596"/>
    <cellStyle name="注释 3 2 2 2 3" xfId="1597"/>
    <cellStyle name="输出 2 7 3 4" xfId="1598"/>
    <cellStyle name="常规 2 3" xfId="1599"/>
    <cellStyle name="常规 17 2 9 2" xfId="1600"/>
    <cellStyle name="输出 2 12 5 2 3" xfId="1601"/>
    <cellStyle name="常规 14 10 2" xfId="1602"/>
    <cellStyle name="常规 16 2 2 2" xfId="1603"/>
    <cellStyle name="常规 21 2 2 2" xfId="1604"/>
    <cellStyle name="常规 2 7" xfId="1605"/>
    <cellStyle name="标题 2 2 15 2" xfId="1606"/>
    <cellStyle name="注释 2 3 3 2 3" xfId="1607"/>
    <cellStyle name="计算 2 3 15 3" xfId="1608"/>
    <cellStyle name="输入 2 11 8" xfId="1609"/>
    <cellStyle name="计算 2 12 3 2 2" xfId="1610"/>
    <cellStyle name="常规 39 3_Sheet1" xfId="1611"/>
    <cellStyle name="常规 44 3_Sheet1" xfId="1612"/>
    <cellStyle name="汇总 2 13 15 3" xfId="1613"/>
    <cellStyle name="40% - 强调文字颜色 6 3 3 2" xfId="1614"/>
    <cellStyle name="输出 2 11 4" xfId="1615"/>
    <cellStyle name="输出 2 8 7 7" xfId="1616"/>
    <cellStyle name="注释 2 8 10" xfId="1617"/>
    <cellStyle name="输出 2 10 9 6" xfId="1618"/>
    <cellStyle name="计算 2 3 11 2" xfId="1619"/>
    <cellStyle name="计算 2 2 14 3" xfId="1620"/>
    <cellStyle name="输入 2 8 9 5" xfId="1621"/>
    <cellStyle name="常规 10 2 7" xfId="1622"/>
    <cellStyle name="标题 1 3 3" xfId="1623"/>
    <cellStyle name="注释 2 15 2 2" xfId="1624"/>
    <cellStyle name="注释 2 20 2 2" xfId="1625"/>
    <cellStyle name="输出 2 10 10 6" xfId="1626"/>
    <cellStyle name="输入 2 4 13 5" xfId="1627"/>
    <cellStyle name="40% - 强调文字颜色 4 2 12 3" xfId="1628"/>
    <cellStyle name="汇总 2 3 10 2 4" xfId="1629"/>
    <cellStyle name="常规 38 3 2 2_导出数据1" xfId="1630"/>
    <cellStyle name="常规 43 3 2 2_导出数据1" xfId="1631"/>
    <cellStyle name="计算 2 7 19" xfId="1632"/>
    <cellStyle name="计算 2 7 7 2" xfId="1633"/>
    <cellStyle name="注释 2 19 4" xfId="1634"/>
    <cellStyle name="注释 2 24 4" xfId="1635"/>
    <cellStyle name="输入 2 5 3 3" xfId="1636"/>
    <cellStyle name="计算 2 4 6 7" xfId="1637"/>
    <cellStyle name="汇总 2 12 2 6" xfId="1638"/>
    <cellStyle name="注释 2 2 2 3 5" xfId="1639"/>
    <cellStyle name="常规 6 6" xfId="1640"/>
    <cellStyle name="计算 2 11 7 2 3" xfId="1641"/>
    <cellStyle name="输出 2 10 4 2" xfId="1642"/>
    <cellStyle name="注释 2 3 8 3" xfId="1643"/>
    <cellStyle name="常规 10 2 2 3" xfId="1644"/>
    <cellStyle name="输入 2 6 5 7" xfId="1645"/>
    <cellStyle name="警告文本 2 7" xfId="1646"/>
    <cellStyle name="输出 2 9 6" xfId="1647"/>
    <cellStyle name="常规 7 2_Sheet1" xfId="1648"/>
    <cellStyle name="计算 2 7 7 6" xfId="1649"/>
    <cellStyle name="常规 3 4 3 2 2" xfId="1650"/>
    <cellStyle name="常规 2 8 4" xfId="1651"/>
    <cellStyle name="汇总 2 4 11 3" xfId="1652"/>
    <cellStyle name="输入 2 2 3 2 2 6" xfId="1653"/>
    <cellStyle name="计算 2 7 4 6" xfId="1654"/>
    <cellStyle name="常规 44 2 2 3 2 2" xfId="1655"/>
    <cellStyle name="常规 39 2 2 3 2 2" xfId="1656"/>
    <cellStyle name="20% - 强调文字颜色 5 2 13 2" xfId="1657"/>
    <cellStyle name="注释 2 12 7 2 6" xfId="1658"/>
    <cellStyle name="输入 2 7 9 2 2" xfId="1659"/>
    <cellStyle name="汇总 2 8 4 8" xfId="1660"/>
    <cellStyle name="输入 2 5 7 6" xfId="1661"/>
    <cellStyle name="常规 20 2 2 2 2 2" xfId="1662"/>
    <cellStyle name="汇总 2 12 2 2 6" xfId="1663"/>
    <cellStyle name="常规 6 2 2 3 2" xfId="1664"/>
    <cellStyle name="汇总 2 12 5 2" xfId="1665"/>
    <cellStyle name="计算 2 4 9 3" xfId="1666"/>
    <cellStyle name="计算 2 6 3 2 4" xfId="1667"/>
    <cellStyle name="常规 12 5 2 2" xfId="1668"/>
    <cellStyle name="60% - 强调文字颜色 1 2 15 2" xfId="1669"/>
    <cellStyle name="常规 4" xfId="1670"/>
    <cellStyle name="输入 2 28 3" xfId="1671"/>
    <cellStyle name="常规 6 2 2 2 2" xfId="1672"/>
    <cellStyle name="输入 2 3 5 2 2" xfId="1673"/>
    <cellStyle name="20% - 强调文字颜色 6 2 3 3 2" xfId="1674"/>
    <cellStyle name="常规 9 3 2 2 2" xfId="1675"/>
    <cellStyle name="注释 2 17 2 4" xfId="1676"/>
    <cellStyle name="注释 2 22 2 4" xfId="1677"/>
    <cellStyle name="输入 2 2 11 2" xfId="1678"/>
    <cellStyle name="40% - 强调文字颜色 4 2 4 2" xfId="1679"/>
    <cellStyle name="40% - 强调文字颜色 1 2 11 3" xfId="1680"/>
    <cellStyle name="注释 2 13 7 4" xfId="1681"/>
    <cellStyle name="输出 2 3 5 4" xfId="1682"/>
    <cellStyle name="常规 9 2 5" xfId="1683"/>
    <cellStyle name="汇总 2 4 9 7" xfId="1684"/>
    <cellStyle name="计算 2 3 7 4" xfId="1685"/>
    <cellStyle name="标题 4 3 2" xfId="1686"/>
    <cellStyle name="注释 2 6 8 4" xfId="1687"/>
    <cellStyle name="60% - 强调文字颜色 2 2 14" xfId="1688"/>
    <cellStyle name="输出 2 13 4 3" xfId="1689"/>
    <cellStyle name="汇总 2 4 6 2 2" xfId="1690"/>
    <cellStyle name="40% - 强调文字颜色 4 2 12 2" xfId="1691"/>
    <cellStyle name="输出 2 10 10 3" xfId="1692"/>
    <cellStyle name="计算 2 10 12 6" xfId="1693"/>
    <cellStyle name="计算 2 2 3 4 5" xfId="1694"/>
    <cellStyle name="计算 2 15 2 2 6" xfId="1695"/>
    <cellStyle name="注释 2 2 2 4 5" xfId="1696"/>
    <cellStyle name="注释 2 10 4 3" xfId="1697"/>
    <cellStyle name="计算 2 12 7 4" xfId="1698"/>
    <cellStyle name="汇总 2 2 2 3 2 5" xfId="1699"/>
    <cellStyle name="汇总 2 10 16 2" xfId="1700"/>
    <cellStyle name="输出 2 7 4" xfId="1701"/>
    <cellStyle name="计算 2 11 3 2 4" xfId="1702"/>
    <cellStyle name="输入 2 11 3 6" xfId="1703"/>
    <cellStyle name="差 2 10" xfId="1704"/>
    <cellStyle name="输出 2 11 14 3" xfId="1705"/>
    <cellStyle name="常规 12 2 2 2 2 2" xfId="1706"/>
    <cellStyle name="计算 2 23 2 3" xfId="1707"/>
    <cellStyle name="计算 2 18 2 3" xfId="1708"/>
    <cellStyle name="输入 2 12 9 2 6" xfId="1709"/>
    <cellStyle name="注释 2 10 9 3" xfId="1710"/>
    <cellStyle name="计算 2 3 15 4" xfId="1711"/>
    <cellStyle name="汇总 2 14 2 2 6" xfId="1712"/>
    <cellStyle name="输入 2 12 6 2 6" xfId="1713"/>
    <cellStyle name="输入 2 8 9 2 6" xfId="1714"/>
    <cellStyle name="注释 2 8 5 6" xfId="1715"/>
    <cellStyle name="常规 3 2 7 2" xfId="1716"/>
    <cellStyle name="输入 2 13 11 6" xfId="1717"/>
    <cellStyle name="注释 3 3 4 6" xfId="1718"/>
    <cellStyle name="输出 2 5 6" xfId="1719"/>
    <cellStyle name="常规 2 5 5" xfId="1720"/>
    <cellStyle name="输入 2 11 13 4" xfId="1721"/>
    <cellStyle name="输出 2 24 3" xfId="1722"/>
    <cellStyle name="输出 2 19 3" xfId="1723"/>
    <cellStyle name="注释 2 8 7 6" xfId="1724"/>
    <cellStyle name="输出 3 2 4 6" xfId="1725"/>
    <cellStyle name="输出 2 5 5 2 5" xfId="1726"/>
    <cellStyle name="计算 2 11 10 3" xfId="1727"/>
    <cellStyle name="常规 14 2 3 2" xfId="1728"/>
    <cellStyle name="计算 2 3 14 2" xfId="1729"/>
    <cellStyle name="强调文字颜色 6 2 10 2" xfId="1730"/>
    <cellStyle name="40% - 强调文字颜色 5 2 2 4" xfId="1731"/>
    <cellStyle name="计算 2 6 3 4" xfId="1732"/>
    <cellStyle name="输入 2 12 3 3" xfId="1733"/>
    <cellStyle name="输入 2 13 5 2 6" xfId="1734"/>
    <cellStyle name="常规 2 5" xfId="1735"/>
    <cellStyle name="计算 2 29 2" xfId="1736"/>
    <cellStyle name="强调文字颜色 3 2 17" xfId="1737"/>
    <cellStyle name="汇总 2 2 6 6" xfId="1738"/>
    <cellStyle name="计算 2 15 2 2 2" xfId="1739"/>
    <cellStyle name="强调文字颜色 4 2 9 2" xfId="1740"/>
    <cellStyle name="注释 2 3 2 9" xfId="1741"/>
    <cellStyle name="计算 2 2 5 5" xfId="1742"/>
    <cellStyle name="注释 2 10 4 2 5" xfId="1743"/>
    <cellStyle name="注释 2 2 7 7" xfId="1744"/>
    <cellStyle name="汇总 2 2 5 2 3" xfId="1745"/>
    <cellStyle name="输出 2 7 19" xfId="1746"/>
    <cellStyle name="常规 17 3 4" xfId="1747"/>
    <cellStyle name="汇总 2 13 5 2" xfId="1748"/>
    <cellStyle name="注释 2 12 3 2" xfId="1749"/>
    <cellStyle name="输出 2 5 4 2 2" xfId="1750"/>
    <cellStyle name="计算 2 36" xfId="1751"/>
    <cellStyle name="输出 2 4 10 4" xfId="1752"/>
    <cellStyle name="40% - 强调文字颜色 5 2 14" xfId="1753"/>
    <cellStyle name="输出 2 9 3 5" xfId="1754"/>
    <cellStyle name="汇总 2 5 4 2 3" xfId="1755"/>
    <cellStyle name="强调文字颜色 6 2 7 2" xfId="1756"/>
    <cellStyle name="常规 18 7" xfId="1757"/>
    <cellStyle name="常规 7 2 4" xfId="1758"/>
    <cellStyle name="计算 2 9 4 2 4" xfId="1759"/>
    <cellStyle name="输入 2 12 10 3" xfId="1760"/>
    <cellStyle name="汇总 2 2 14 5" xfId="1761"/>
    <cellStyle name="汇总 2 13 4 2 2" xfId="1762"/>
    <cellStyle name="40% - 强调文字颜色 3 2 6 3" xfId="1763"/>
    <cellStyle name="汇总 2 11 16 3" xfId="1764"/>
    <cellStyle name="注释 2 6 2 2 6" xfId="1765"/>
    <cellStyle name="输出 2 13 2 2 4" xfId="1766"/>
    <cellStyle name="标题 1 2 12 2" xfId="1767"/>
    <cellStyle name="计算 2 8 4 4" xfId="1768"/>
    <cellStyle name="输出 2 6 8 5" xfId="1769"/>
    <cellStyle name="常规 3 5 2" xfId="1770"/>
    <cellStyle name="差 2 6" xfId="1771"/>
    <cellStyle name="汇总 2 10 13 5" xfId="1772"/>
    <cellStyle name="输入 2 2 5 7" xfId="1773"/>
    <cellStyle name="百分比 2 2 2 2 2 2" xfId="1774"/>
    <cellStyle name="注释 2 2 7 2 5" xfId="1775"/>
    <cellStyle name="常规 10 2 4 3 2" xfId="1776"/>
    <cellStyle name="输出 2 12 9 2 3" xfId="1777"/>
    <cellStyle name="注释 2 12 4 5" xfId="1778"/>
    <cellStyle name="汇总 2 10 11 2" xfId="1779"/>
    <cellStyle name="注释 2 9 7 2 3" xfId="1780"/>
    <cellStyle name="汇总 3 4 2 2" xfId="1781"/>
    <cellStyle name="计算 2 6 7 7" xfId="1782"/>
    <cellStyle name="汇总 2 3 4 3" xfId="1783"/>
    <cellStyle name="汇总 2 13 2 2 4" xfId="1784"/>
    <cellStyle name="输入 2 9 7 4" xfId="1785"/>
    <cellStyle name="计算 2 3 4 2 3" xfId="1786"/>
    <cellStyle name="常规 43 4 2" xfId="1787"/>
    <cellStyle name="常规 38 4 2" xfId="1788"/>
    <cellStyle name="输出 2 2 9 2 5" xfId="1789"/>
    <cellStyle name="注释 2 4 11 2 5" xfId="1790"/>
    <cellStyle name="常规 2 2 5 2 2 2 2" xfId="1791"/>
    <cellStyle name="计算 2 3 12 6" xfId="1792"/>
    <cellStyle name="常规 37 2_导出数据1" xfId="1793"/>
    <cellStyle name="常规 42 2_导出数据1" xfId="1794"/>
    <cellStyle name="汇总 2 12 2" xfId="1795"/>
    <cellStyle name="注释 2 7 9 2 3" xfId="1796"/>
    <cellStyle name="40% - 强调文字颜色 5 2 5 2" xfId="1797"/>
    <cellStyle name="常规 14 2 5 2" xfId="1798"/>
    <cellStyle name="计算 2 11 12 3" xfId="1799"/>
    <cellStyle name="输出 2 5 4 2 4" xfId="1800"/>
    <cellStyle name="60% - 强调文字颜色 3 2 13" xfId="1801"/>
    <cellStyle name="汇总 2 13 3 2 4" xfId="1802"/>
    <cellStyle name="标题 1 3 2" xfId="1803"/>
    <cellStyle name="汇总 2 3 2 2 3" xfId="1804"/>
    <cellStyle name="汇总 2 16 2 5" xfId="1805"/>
    <cellStyle name="计算 2 8 6 6" xfId="1806"/>
    <cellStyle name="汇总 2 13 13" xfId="1807"/>
    <cellStyle name="注释 2 7 6 2 5" xfId="1808"/>
    <cellStyle name="常规 12 3 2 2" xfId="1809"/>
    <cellStyle name="输出 2 6 4 3" xfId="1810"/>
    <cellStyle name="输出 3 2 2" xfId="1811"/>
    <cellStyle name="计算 2 2 20" xfId="1812"/>
    <cellStyle name="计算 2 2 15" xfId="1813"/>
    <cellStyle name="计算 2 8 5 2 6" xfId="1814"/>
    <cellStyle name="40% - 强调文字颜色 4 2 7" xfId="1815"/>
    <cellStyle name="标题 1 2 4" xfId="1816"/>
    <cellStyle name="计算 2 5 7 2 6" xfId="1817"/>
    <cellStyle name="注释 2 5 2 2 5" xfId="1818"/>
    <cellStyle name="常规 16 3 2 2 2 2" xfId="1819"/>
    <cellStyle name="常规 21 3 2 2 2 2" xfId="1820"/>
    <cellStyle name="常规 8 10 2" xfId="1821"/>
    <cellStyle name="常规 9 3 3" xfId="1822"/>
    <cellStyle name="20% - 强调文字颜色 2 2 9" xfId="1823"/>
    <cellStyle name="输出 2 22 3 3" xfId="1824"/>
    <cellStyle name="好 2 2" xfId="1825"/>
    <cellStyle name="计算 2 3 9 7" xfId="1826"/>
    <cellStyle name="计算 2 7 6 2 4" xfId="1827"/>
    <cellStyle name="计算 2 12 11 2" xfId="1828"/>
    <cellStyle name="计算 2 4 12 5" xfId="1829"/>
    <cellStyle name="计算 2 2 3 3" xfId="1830"/>
    <cellStyle name="强调文字颜色 3 2 4 2" xfId="1831"/>
    <cellStyle name="计算 2 6 6 7" xfId="1832"/>
    <cellStyle name="计算 2 14 2 4" xfId="1833"/>
    <cellStyle name="输出 2 10 20" xfId="1834"/>
    <cellStyle name="输出 2 10 15" xfId="1835"/>
    <cellStyle name="40% - 强调文字颜色 5 3_导出数据1" xfId="1836"/>
    <cellStyle name="常规 12 3 3 2" xfId="1837"/>
    <cellStyle name="输入 2 4 8" xfId="1838"/>
    <cellStyle name="输入 2 17 2 6" xfId="1839"/>
    <cellStyle name="输入 2 22 2 6" xfId="1840"/>
    <cellStyle name="汇总 2 6 5 6" xfId="1841"/>
    <cellStyle name="输入 2 12 9 3" xfId="1842"/>
    <cellStyle name="计算 2 6 9 4" xfId="1843"/>
    <cellStyle name="标题 2 3_导出数据1" xfId="1844"/>
    <cellStyle name="40% - 强调文字颜色 3 2 10 3" xfId="1845"/>
    <cellStyle name="强调文字颜色 4 2 13 2" xfId="1846"/>
    <cellStyle name="40% - 强调文字颜色 3 2 9" xfId="1847"/>
    <cellStyle name="汇总 2 6 5 7" xfId="1848"/>
    <cellStyle name="20% - 强调文字颜色 6 2 2 3 2" xfId="1849"/>
    <cellStyle name="常规 45 5 2 2 2" xfId="1850"/>
    <cellStyle name="注释 2 8 11 6" xfId="1851"/>
    <cellStyle name="输入 2 7 16" xfId="1852"/>
    <cellStyle name="输入 2 7 21" xfId="1853"/>
    <cellStyle name="警告文本 3" xfId="1854"/>
    <cellStyle name="标题 2 2 12" xfId="1855"/>
    <cellStyle name="输出 2 7 8" xfId="1856"/>
    <cellStyle name="汇总 2 4 2 4" xfId="1857"/>
    <cellStyle name="计算 2 4 6 2" xfId="1858"/>
    <cellStyle name="百分比 3" xfId="1859"/>
    <cellStyle name="输入 2 3 4 5" xfId="1860"/>
    <cellStyle name="注释 3 2 5 6" xfId="1861"/>
    <cellStyle name="常规 34 5_导出数据1" xfId="1862"/>
    <cellStyle name="20% - 强调文字颜色 4 2 2 2 2 2" xfId="1863"/>
    <cellStyle name="输入 2 4 7 5" xfId="1864"/>
    <cellStyle name="计算 2 7 6 6" xfId="1865"/>
    <cellStyle name="输出 2 8 6" xfId="1866"/>
    <cellStyle name="输入 2 3 9 2" xfId="1867"/>
    <cellStyle name="注释 2 2 13 6" xfId="1868"/>
    <cellStyle name="输入 2 3 3 2 6" xfId="1869"/>
    <cellStyle name="注释 2 8 6 2 4" xfId="1870"/>
    <cellStyle name="输入 2 12 5 6" xfId="1871"/>
    <cellStyle name="汇总 2 3 2 3" xfId="1872"/>
    <cellStyle name="计算 2 6 5 7" xfId="1873"/>
    <cellStyle name="输出 2 11 13" xfId="1874"/>
    <cellStyle name="常规 4 6 3_导出数据1" xfId="1875"/>
    <cellStyle name="输入 2 2 6 3" xfId="1876"/>
    <cellStyle name="计算 2 2 17 3" xfId="1877"/>
    <cellStyle name="注释 3 2 2 4 2" xfId="1878"/>
    <cellStyle name="注释 3 6 6" xfId="1879"/>
    <cellStyle name="计算 2 10 12 4" xfId="1880"/>
    <cellStyle name="汇总 2 7 4 2 6" xfId="1881"/>
    <cellStyle name="60% - 强调文字颜色 2 2 2" xfId="1882"/>
    <cellStyle name="注释 2 4 2 3 2" xfId="1883"/>
    <cellStyle name="汇总 2 6 9 2 6" xfId="1884"/>
    <cellStyle name="常规 18 6" xfId="1885"/>
    <cellStyle name="输入 2 27 4" xfId="1886"/>
    <cellStyle name="注释 2 6 4 6" xfId="1887"/>
    <cellStyle name="计算 2 5 7 2" xfId="1888"/>
    <cellStyle name="常规 2 2 9 3" xfId="1889"/>
    <cellStyle name="常规 45 3 2" xfId="1890"/>
    <cellStyle name="计算 2 4 9 2" xfId="1891"/>
    <cellStyle name="常规 21 3 3" xfId="1892"/>
    <cellStyle name="常规 16 3 3" xfId="1893"/>
    <cellStyle name="注释 2 4 15 3" xfId="1894"/>
    <cellStyle name="汇总 2 4 2 5" xfId="1895"/>
    <cellStyle name="输出 2 7 9" xfId="1896"/>
    <cellStyle name="计算 2 4 14 2" xfId="1897"/>
    <cellStyle name="注释 2 3 2 4" xfId="1898"/>
    <cellStyle name="注释 3 2 4 6" xfId="1899"/>
    <cellStyle name="常规 2 8 9 2" xfId="1900"/>
    <cellStyle name="计算 2 15 2 7" xfId="1901"/>
    <cellStyle name="汇总 2 9" xfId="1902"/>
    <cellStyle name="计算 2 5 2 2 3" xfId="1903"/>
    <cellStyle name="计算 2 6 7 2" xfId="1904"/>
    <cellStyle name="计算 2 22 2 4" xfId="1905"/>
    <cellStyle name="计算 2 17 2 4" xfId="1906"/>
    <cellStyle name="常规 9 9" xfId="1907"/>
    <cellStyle name="20% - 强调文字颜色 1 2 2_导出数据1" xfId="1908"/>
    <cellStyle name="输入 2 6 5 2" xfId="1909"/>
    <cellStyle name="输出 2 11 10 6" xfId="1910"/>
    <cellStyle name="常规 6 8" xfId="1911"/>
    <cellStyle name="计算 2 8 15 2" xfId="1912"/>
    <cellStyle name="常规 26 2 3_导出数据1" xfId="1913"/>
    <cellStyle name="常规 5 2 6" xfId="1914"/>
    <cellStyle name="输入 2 10 9 2 3" xfId="1915"/>
    <cellStyle name="汇总 2 7 2 6" xfId="1916"/>
    <cellStyle name="输出 2 8 4" xfId="1917"/>
    <cellStyle name="计算 2 7 6 4" xfId="1918"/>
    <cellStyle name="常规 45 3 4" xfId="1919"/>
    <cellStyle name="汇总 2 12 8 6" xfId="1920"/>
    <cellStyle name="输出 2 9 5 4" xfId="1921"/>
    <cellStyle name="汇总 2 10 7 2 2" xfId="1922"/>
    <cellStyle name="计算 2 7 4 2 5" xfId="1923"/>
    <cellStyle name="注释 2 8 11 5" xfId="1924"/>
    <cellStyle name="常规 7 4_导出数据1" xfId="1925"/>
    <cellStyle name="好_人事科 数_导出数据1 2" xfId="1926"/>
    <cellStyle name="常规 6 3 2_导出数据1" xfId="1927"/>
    <cellStyle name="汇总 2 11 9 2 6" xfId="1928"/>
    <cellStyle name="输出 2 3 4 2 6" xfId="1929"/>
    <cellStyle name="计算 2 5 11 5" xfId="1930"/>
    <cellStyle name="输出 2 4 3" xfId="1931"/>
    <cellStyle name="输出 2 5 6 4" xfId="1932"/>
    <cellStyle name="输入 2 13 2 2" xfId="1933"/>
    <cellStyle name="40% - 强调文字颜色 5 3 3 2" xfId="1934"/>
    <cellStyle name="输出 2 13 4 2 2" xfId="1935"/>
    <cellStyle name="好_Sheet1 2 2" xfId="1936"/>
    <cellStyle name="输出 2 5 7 2 5" xfId="1937"/>
    <cellStyle name="注释 2 8 17" xfId="1938"/>
    <cellStyle name="注释 2 8 22" xfId="1939"/>
    <cellStyle name="常规 12 6 2" xfId="1940"/>
    <cellStyle name="输入 2 4 4 5" xfId="1941"/>
    <cellStyle name="常规 27 2 2 2_导出数据1" xfId="1942"/>
    <cellStyle name="输出 3 2 6" xfId="1943"/>
    <cellStyle name="汇总 2 9 7 2 2" xfId="1944"/>
    <cellStyle name="汇总 2 13 14 3" xfId="1945"/>
    <cellStyle name="计算 2 11 19" xfId="1946"/>
    <cellStyle name="40% - 强调文字颜色 4 2 9" xfId="1947"/>
    <cellStyle name="注释 2 6 5 2" xfId="1948"/>
    <cellStyle name="输入 2 8 7 2 2" xfId="1949"/>
    <cellStyle name="注释 2 13 5 2 6" xfId="1950"/>
    <cellStyle name="常规 27 2 5" xfId="1951"/>
    <cellStyle name="好 2 13 2" xfId="1952"/>
    <cellStyle name="输出 2 3 2 6" xfId="1953"/>
    <cellStyle name="汇总 2 10 4 2 3" xfId="1954"/>
    <cellStyle name="计算 2 11 11 4" xfId="1955"/>
    <cellStyle name="汇总 2 6 2 2" xfId="1956"/>
    <cellStyle name="常规 4 6 4" xfId="1957"/>
    <cellStyle name="60% - 强调文字颜色 6 2 5" xfId="1958"/>
    <cellStyle name="汇总 2 9 23" xfId="1959"/>
    <cellStyle name="汇总 2 9 18" xfId="1960"/>
    <cellStyle name="输入 2 3 3 2" xfId="1961"/>
    <cellStyle name="汇总 2 24" xfId="1962"/>
    <cellStyle name="汇总 2 19" xfId="1963"/>
    <cellStyle name="常规 10 3 2" xfId="1964"/>
    <cellStyle name="计算 2 12 7 2 5" xfId="1965"/>
    <cellStyle name="注释 2 2 6 7" xfId="1966"/>
    <cellStyle name="常规 45 2 2" xfId="1967"/>
    <cellStyle name="汇总 2 11 7" xfId="1968"/>
    <cellStyle name="输出 2 5 23" xfId="1969"/>
    <cellStyle name="输出 2 5 18" xfId="1970"/>
    <cellStyle name="注释 2 2 8 2 2" xfId="1971"/>
    <cellStyle name="常规 9 9 2" xfId="1972"/>
    <cellStyle name="计算 2 9 2" xfId="1973"/>
    <cellStyle name="常规 5" xfId="1974"/>
    <cellStyle name="常规 20 2 5 2" xfId="1975"/>
    <cellStyle name="常规 14 4 2 2 2" xfId="1976"/>
    <cellStyle name="输入 2 4 2 2 6" xfId="1977"/>
    <cellStyle name="标题 2 3 2 2" xfId="1978"/>
    <cellStyle name="注释 2 5 3" xfId="1979"/>
    <cellStyle name="注释 2 12 7 2" xfId="1980"/>
    <cellStyle name="常规 28 4" xfId="1981"/>
    <cellStyle name="汇总 2 6 7 2 3" xfId="1982"/>
    <cellStyle name="输出 2 8 12 4" xfId="1983"/>
    <cellStyle name="常规 16 10 2" xfId="1984"/>
    <cellStyle name="常规 10 2 4 3" xfId="1985"/>
    <cellStyle name="输出 2 2 14" xfId="1986"/>
    <cellStyle name="百分比 2 2" xfId="1987"/>
    <cellStyle name="计算 2 12 9 6" xfId="1988"/>
    <cellStyle name="注释 2 10 6 5" xfId="1989"/>
    <cellStyle name="常规 2 12" xfId="1990"/>
    <cellStyle name="差 2 4 2" xfId="1991"/>
    <cellStyle name="百分比 2 4" xfId="1992"/>
    <cellStyle name="注释 3 3 4 3" xfId="1993"/>
    <cellStyle name="常规 24 2 3_导出数据1" xfId="1994"/>
    <cellStyle name="常规 19 2 3_导出数据1" xfId="1995"/>
    <cellStyle name="注释 2 3 2 4 5" xfId="1996"/>
    <cellStyle name="常规 6 9 2" xfId="1997"/>
    <cellStyle name="常规 2 3 2 11" xfId="1998"/>
    <cellStyle name="输出 2 13 6 2" xfId="1999"/>
    <cellStyle name="输出 2 2 13 6" xfId="2000"/>
    <cellStyle name="差 2 14 2" xfId="2001"/>
    <cellStyle name="注释 2 3 2 2 4 4" xfId="2002"/>
    <cellStyle name="常规 11 8" xfId="2003"/>
    <cellStyle name="常规 25 2 2 2" xfId="2004"/>
    <cellStyle name="计算 2 10 6 2" xfId="2005"/>
    <cellStyle name="输出 2 8 2 2 6" xfId="2006"/>
    <cellStyle name="常规 43 2 2 2_导出数据1" xfId="2007"/>
    <cellStyle name="常规 38 2 2 2_导出数据1" xfId="2008"/>
    <cellStyle name="标题 1 2 3" xfId="2009"/>
    <cellStyle name="计算 2 2 12 5" xfId="2010"/>
    <cellStyle name="计算 2 3 3 2 6" xfId="2011"/>
    <cellStyle name="输出 2 4 4 2" xfId="2012"/>
    <cellStyle name="汇总 3 4 2 6" xfId="2013"/>
    <cellStyle name="20% - 强调文字颜色 5 2 3 2 2" xfId="2014"/>
    <cellStyle name="输出 2 4 2 2 4" xfId="2015"/>
    <cellStyle name="输入 2 4 4 2" xfId="2016"/>
    <cellStyle name="解释性文本 2 10 2" xfId="2017"/>
    <cellStyle name="20% - 强调文字颜色 1 2 11" xfId="2018"/>
    <cellStyle name="注释 2 12 5 2" xfId="2019"/>
    <cellStyle name="输出 2 13 3 2 4" xfId="2020"/>
    <cellStyle name="注释 2 11 9 5" xfId="2021"/>
    <cellStyle name="计算 4" xfId="2022"/>
    <cellStyle name="标题 1 2 10" xfId="2023"/>
    <cellStyle name="计算 2 2 5 6" xfId="2024"/>
    <cellStyle name="常规 4 3 2 2 2" xfId="2025"/>
    <cellStyle name="输出 2 14 4 3" xfId="2026"/>
    <cellStyle name="计算 3 4 4" xfId="2027"/>
    <cellStyle name="计算 2 2 3 2 2" xfId="2028"/>
    <cellStyle name="输入 2 9 7 5" xfId="2029"/>
    <cellStyle name="汇总 2 8 4 2 5" xfId="2030"/>
    <cellStyle name="常规 36 2 2 2 2" xfId="2031"/>
    <cellStyle name="常规 41 2 2 2 2" xfId="2032"/>
    <cellStyle name="输入 2 4 5 3" xfId="2033"/>
    <cellStyle name="解释性文本 4" xfId="2034"/>
    <cellStyle name="注释 2 9 7 3" xfId="2035"/>
    <cellStyle name="汇总 2 13 20" xfId="2036"/>
    <cellStyle name="汇总 2 13 15" xfId="2037"/>
    <cellStyle name="注释 2 2 14 3" xfId="2038"/>
    <cellStyle name="输出 2 10 4 2 4" xfId="2039"/>
    <cellStyle name="常规 14 3 2 2 2" xfId="2040"/>
    <cellStyle name="输入 2 5 8 4" xfId="2041"/>
    <cellStyle name="计算 2 4 5 2" xfId="2042"/>
    <cellStyle name="注释 2 5 2 6" xfId="2043"/>
    <cellStyle name="输出 2 2 9 3" xfId="2044"/>
    <cellStyle name="强调文字颜色 3 2 5" xfId="2045"/>
    <cellStyle name="计算 2 10 2 2 4" xfId="2046"/>
    <cellStyle name="注释 2 9 6" xfId="2047"/>
    <cellStyle name="注释 2 9 5 2 5" xfId="2048"/>
    <cellStyle name="60% - 强调文字颜色 2 2" xfId="2049"/>
    <cellStyle name="计算 2 6 6 2 5" xfId="2050"/>
    <cellStyle name="计算 2 3 13 5" xfId="2051"/>
    <cellStyle name="强调文字颜色 3 2 8" xfId="2052"/>
    <cellStyle name="计算 3 2 4" xfId="2053"/>
    <cellStyle name="计算 2 10 4 6" xfId="2054"/>
    <cellStyle name="输出 2 14 2 3" xfId="2055"/>
    <cellStyle name="输出 2 5 9 7" xfId="2056"/>
    <cellStyle name="注释 2 8 7 2 3" xfId="2057"/>
    <cellStyle name="注释 2 6 3 2 4" xfId="2058"/>
    <cellStyle name="常规 7" xfId="2059"/>
    <cellStyle name="输出 2 13 9 3" xfId="2060"/>
    <cellStyle name="输入 2 13 10 5" xfId="2061"/>
    <cellStyle name="计算 2 12 6 3" xfId="2062"/>
    <cellStyle name="输出 2 10 8 3" xfId="2063"/>
    <cellStyle name="计算 2 4 7" xfId="2064"/>
    <cellStyle name="输出 2 13 4 6" xfId="2065"/>
    <cellStyle name="常规 34 3 5 2" xfId="2066"/>
    <cellStyle name="输入 2 12 7 2 6" xfId="2067"/>
    <cellStyle name="常规 16 3" xfId="2068"/>
    <cellStyle name="常规 21 3" xfId="2069"/>
    <cellStyle name="好_汇总 2 2_导出数据1" xfId="2070"/>
    <cellStyle name="注释 2 4 20" xfId="2071"/>
    <cellStyle name="注释 2 4 15" xfId="2072"/>
    <cellStyle name="输入 2 28 5" xfId="2073"/>
    <cellStyle name="常规 8 2 5 2" xfId="2074"/>
    <cellStyle name="汇总 2 2 12 6" xfId="2075"/>
    <cellStyle name="注释 2 13 23" xfId="2076"/>
    <cellStyle name="注释 2 13 18" xfId="2077"/>
    <cellStyle name="计算 2 11 2 2 4" xfId="2078"/>
    <cellStyle name="汇总 2 5 3 2 2" xfId="2079"/>
    <cellStyle name="注释 2 13 15 4" xfId="2080"/>
    <cellStyle name="常规 11 6 2" xfId="2081"/>
    <cellStyle name="40% - 强调文字颜色 6 2 10 2" xfId="2082"/>
    <cellStyle name="20% - 强调文字颜色 3 2 13" xfId="2083"/>
    <cellStyle name="40% - 强调文字颜色 6 2 7" xfId="2084"/>
    <cellStyle name="常规 10 2 2 2 3" xfId="2085"/>
    <cellStyle name="注释 2 13 9 2" xfId="2086"/>
    <cellStyle name="汇总 2 9 5" xfId="2087"/>
    <cellStyle name="输入 2 9 2 5" xfId="2088"/>
    <cellStyle name="计算 2 10 4 2 4" xfId="2089"/>
    <cellStyle name="输出 2 6 3 2" xfId="2090"/>
    <cellStyle name="汇总 2 5 13 2" xfId="2091"/>
    <cellStyle name="计算 2 3 3 7" xfId="2092"/>
    <cellStyle name="标题 3 2 13 3" xfId="2093"/>
    <cellStyle name="注释 2 9" xfId="2094"/>
    <cellStyle name="输出 2 7 5 5" xfId="2095"/>
    <cellStyle name="常规 4 2 2" xfId="2096"/>
    <cellStyle name="常规 34 3 2 2 2 2 2" xfId="2097"/>
    <cellStyle name="计算 2 2 4 2 6" xfId="2098"/>
    <cellStyle name="常规 2 6" xfId="2099"/>
    <cellStyle name="计算 2 29 3" xfId="2100"/>
    <cellStyle name="输出 2 6 7 2 2" xfId="2101"/>
    <cellStyle name="常规 34 2 2_导出数据1" xfId="2102"/>
    <cellStyle name="注释 2 8 6 4" xfId="2103"/>
    <cellStyle name="注释 3 2 2 3 3" xfId="2104"/>
    <cellStyle name="计算 2 2 16 4" xfId="2105"/>
    <cellStyle name="20% - 强调文字颜色 2 2 9 2" xfId="2106"/>
    <cellStyle name="汇总 2 6 2 2 6" xfId="2107"/>
    <cellStyle name="输入 2 3 4 3" xfId="2108"/>
    <cellStyle name="计算 2 7 12" xfId="2109"/>
    <cellStyle name="输出 2 27" xfId="2110"/>
    <cellStyle name="输出 2 32" xfId="2111"/>
    <cellStyle name="汇总 2 9 8 2" xfId="2112"/>
    <cellStyle name="输入 2 3 13 3" xfId="2113"/>
    <cellStyle name="输出 2 9 13 3" xfId="2114"/>
    <cellStyle name="计算 2 14 4 6" xfId="2115"/>
    <cellStyle name="常规 10 2 2 5" xfId="2116"/>
    <cellStyle name="注释 2 3 2 2 4 3" xfId="2117"/>
    <cellStyle name="汇总 2 6 3 2" xfId="2118"/>
    <cellStyle name="常规 10 2 2 2 2 2" xfId="2119"/>
    <cellStyle name="输入 2 4 14 2" xfId="2120"/>
    <cellStyle name="注释 2 6 3 2" xfId="2121"/>
    <cellStyle name="计算 2 9" xfId="2122"/>
    <cellStyle name="汇总 2 2 2 2 3 6" xfId="2123"/>
    <cellStyle name="常规 9 2 3 2 2" xfId="2124"/>
    <cellStyle name="注释 2 3 11 7" xfId="2125"/>
    <cellStyle name="常规 12" xfId="2126"/>
    <cellStyle name="计算 2 3 11 3" xfId="2127"/>
    <cellStyle name="计算 2 10 2 2 6" xfId="2128"/>
    <cellStyle name="注释 3 2 2 2 2" xfId="2129"/>
    <cellStyle name="输入 2 7 12" xfId="2130"/>
    <cellStyle name="输入 2 10 4 2 6" xfId="2131"/>
    <cellStyle name="输出 2 8 11 2" xfId="2132"/>
    <cellStyle name="计算 2 5 4 8" xfId="2133"/>
    <cellStyle name="输入 2 3 6 2" xfId="2134"/>
    <cellStyle name="常规 6 2 3 2" xfId="2135"/>
    <cellStyle name="差_汇总 2 2" xfId="2136"/>
    <cellStyle name="计算 2 4 23" xfId="2137"/>
    <cellStyle name="计算 2 4 18" xfId="2138"/>
    <cellStyle name="输入 2 6 7" xfId="2139"/>
    <cellStyle name="计算 2 7 3 2 5" xfId="2140"/>
    <cellStyle name="输出 2 5 2 5" xfId="2141"/>
    <cellStyle name="常规 2 2 5 11" xfId="2142"/>
    <cellStyle name="输入 2 4 4 2 5" xfId="2143"/>
    <cellStyle name="输入 2 9 3 6" xfId="2144"/>
    <cellStyle name="注释 3 2 9" xfId="2145"/>
    <cellStyle name="解释性文本 2 16" xfId="2146"/>
    <cellStyle name="常规 10 3 3" xfId="2147"/>
    <cellStyle name="20% - 强调文字颜色 4 2 8" xfId="2148"/>
    <cellStyle name="汇总 2 12 9 2 5" xfId="2149"/>
    <cellStyle name="40% - 强调文字颜色 2 3 2" xfId="2150"/>
    <cellStyle name="输入 2 9 5 7" xfId="2151"/>
    <cellStyle name="输入 2 5 9 5" xfId="2152"/>
    <cellStyle name="汇总 2 3 3 2 6" xfId="2153"/>
    <cellStyle name="汇总 2 2 5 3" xfId="2154"/>
    <cellStyle name="常规 17 2 8" xfId="2155"/>
    <cellStyle name="常规 10 2 4 2 2" xfId="2156"/>
    <cellStyle name="计算 2 8 7 2 6" xfId="2157"/>
    <cellStyle name="常规 5 2 2 2 2 2" xfId="2158"/>
    <cellStyle name="输出 2 11 2 4" xfId="2159"/>
    <cellStyle name="20% - 强调文字颜色 1 2 9 2" xfId="2160"/>
    <cellStyle name="常规 37 3 2_导出数据1" xfId="2161"/>
    <cellStyle name="常规 42 3 2_导出数据1" xfId="2162"/>
    <cellStyle name="计算 4 2" xfId="2163"/>
    <cellStyle name="注释 2 5 5 4" xfId="2164"/>
    <cellStyle name="汇总 2 5 5 2 6" xfId="2165"/>
    <cellStyle name="注释 3 2 2" xfId="2166"/>
    <cellStyle name="输入 2 7 4 2 2" xfId="2167"/>
    <cellStyle name="输入 2 16 2 2" xfId="2168"/>
    <cellStyle name="输入 2 21 2 2" xfId="2169"/>
    <cellStyle name="计算 2 12 15 2" xfId="2170"/>
    <cellStyle name="标题 4 2 11 2" xfId="2171"/>
    <cellStyle name="汇总 2 4 23" xfId="2172"/>
    <cellStyle name="汇总 2 4 18" xfId="2173"/>
    <cellStyle name="计算 2 11 10" xfId="2174"/>
    <cellStyle name="汇总 2 7 8 2" xfId="2175"/>
    <cellStyle name="60% - 强调文字颜色 5 2 5" xfId="2176"/>
    <cellStyle name="注释 2 4 9 2 3" xfId="2177"/>
    <cellStyle name="注释 2 2 16 5" xfId="2178"/>
    <cellStyle name="40% - 强调文字颜色 2 2 5 2" xfId="2179"/>
    <cellStyle name="注释 2 3 2 5 4" xfId="2180"/>
    <cellStyle name="差 4" xfId="2181"/>
    <cellStyle name="输出 2 3 12 4" xfId="2182"/>
    <cellStyle name="常规 2 5 2 4" xfId="2183"/>
    <cellStyle name="输入 2 3 11 6" xfId="2184"/>
    <cellStyle name="汇总 2 3 5 2 3" xfId="2185"/>
    <cellStyle name="输入 2 3 6 6" xfId="2186"/>
    <cellStyle name="输入 2 4 3 2 4" xfId="2187"/>
    <cellStyle name="计算 2 15 4 6" xfId="2188"/>
    <cellStyle name="注释 2 7 2 3" xfId="2189"/>
    <cellStyle name="常规 11 2 2 2 2" xfId="2190"/>
    <cellStyle name="汇总 2 5 9 2 2" xfId="2191"/>
    <cellStyle name="输出 2 3 6 2 4" xfId="2192"/>
    <cellStyle name="输入 2 10 2 3" xfId="2193"/>
    <cellStyle name="百分比 3 3 2" xfId="2194"/>
    <cellStyle name="注释 2 5 2 5" xfId="2195"/>
    <cellStyle name="输出 2 2 9 2" xfId="2196"/>
    <cellStyle name="输出 2 28 6" xfId="2197"/>
    <cellStyle name="注释 2 6 9 3" xfId="2198"/>
    <cellStyle name="输出 2 13 5 2" xfId="2199"/>
    <cellStyle name="计算 2 5 3" xfId="2200"/>
    <cellStyle name="输入 2 2 25" xfId="2201"/>
    <cellStyle name="注释 2 3 2 2 5" xfId="2202"/>
    <cellStyle name="40% - 强调文字颜色 3 2 10" xfId="2203"/>
    <cellStyle name="常规 12 2" xfId="2204"/>
    <cellStyle name="差 2 2 2" xfId="2205"/>
    <cellStyle name="常规 3 4 3 2" xfId="2206"/>
    <cellStyle name="计算 2 15 2 2 4" xfId="2207"/>
    <cellStyle name="汇总 2 10 3 7" xfId="2208"/>
    <cellStyle name="注释 2 17 2 5" xfId="2209"/>
    <cellStyle name="注释 2 22 2 5" xfId="2210"/>
    <cellStyle name="汇总 2 10 9 2 4" xfId="2211"/>
    <cellStyle name="计算 2 12 11 5" xfId="2212"/>
    <cellStyle name="输入 2 8 3 2 3" xfId="2213"/>
    <cellStyle name="输出 2 5 12 2" xfId="2214"/>
    <cellStyle name="输入 2 2 16 6" xfId="2215"/>
    <cellStyle name="输出 2 7 5 4" xfId="2216"/>
    <cellStyle name="汇总 2 10 8 6" xfId="2217"/>
    <cellStyle name="40% - 强调文字颜色 3 2 3 4" xfId="2218"/>
    <cellStyle name="注释 2 11 2 2 4" xfId="2219"/>
    <cellStyle name="链接单元格 2 8 2" xfId="2220"/>
    <cellStyle name="注释 3 2 4" xfId="2221"/>
    <cellStyle name="20% - 强调文字颜色 6 2 12 2" xfId="2222"/>
    <cellStyle name="常规 16 2 2 3" xfId="2223"/>
    <cellStyle name="常规 21 2 2 3" xfId="2224"/>
    <cellStyle name="强调文字颜色 2 3 2 2" xfId="2225"/>
    <cellStyle name="计算 2 8 11 2" xfId="2226"/>
    <cellStyle name="常规 2 8" xfId="2227"/>
    <cellStyle name="输入 2 12 8 4" xfId="2228"/>
    <cellStyle name="链接单元格 2 5 2" xfId="2229"/>
    <cellStyle name="常规 6 2 6" xfId="2230"/>
    <cellStyle name="输入 2 9 3" xfId="2231"/>
    <cellStyle name="常规 6 3 2 2 2 2" xfId="2232"/>
    <cellStyle name="常规 41 3 4" xfId="2233"/>
    <cellStyle name="常规 36 3 4" xfId="2234"/>
    <cellStyle name="汇总 2 6 13 5" xfId="2235"/>
    <cellStyle name="注释 2 2 17 3" xfId="2236"/>
    <cellStyle name="常规 10 6 3 2" xfId="2237"/>
    <cellStyle name="常规 40 4 3" xfId="2238"/>
    <cellStyle name="常规 34 2 2 2 2" xfId="2239"/>
    <cellStyle name="常规 2 2 6 5 2" xfId="2240"/>
    <cellStyle name="输出 2 14 3 3" xfId="2241"/>
    <cellStyle name="常规 10 3 2 2" xfId="2242"/>
    <cellStyle name="输入 2 7 5 6" xfId="2243"/>
    <cellStyle name="常规 41 5 2 2 2" xfId="2244"/>
    <cellStyle name="常规 36 5 2 2 2" xfId="2245"/>
    <cellStyle name="汇总 2 3 10 2 6" xfId="2246"/>
    <cellStyle name="差 3 2" xfId="2247"/>
    <cellStyle name="常规 25 4 2 2" xfId="2248"/>
    <cellStyle name="汇总 2 9 6 2 4" xfId="2249"/>
    <cellStyle name="输出 2 7 3 2 6" xfId="2250"/>
    <cellStyle name="40% - 强调文字颜色 2 2 3 3" xfId="2251"/>
    <cellStyle name="注释 2 3 2 2 2 2 6" xfId="2252"/>
    <cellStyle name="输入 2 8 5 2 2" xfId="2253"/>
    <cellStyle name="40% - 强调文字颜色 3 2 3 3" xfId="2254"/>
    <cellStyle name="注释 3 6 3" xfId="2255"/>
    <cellStyle name="百分比 2" xfId="2256"/>
    <cellStyle name="输出 2 5 3 6" xfId="2257"/>
    <cellStyle name="常规 45 2 2 2 2 2 2" xfId="2258"/>
    <cellStyle name="计算 2 7 8 5" xfId="2259"/>
    <cellStyle name="汇总 2 3 9 4" xfId="2260"/>
    <cellStyle name="注释 2 4 2 4 6" xfId="2261"/>
    <cellStyle name="汇总 2 2 2 2 2 4" xfId="2262"/>
    <cellStyle name="强调文字颜色 5 2 7" xfId="2263"/>
    <cellStyle name="常规 17 11" xfId="2264"/>
    <cellStyle name="输出 2 9 11 4" xfId="2265"/>
    <cellStyle name="计算 2 10 2 2 5" xfId="2266"/>
    <cellStyle name="40% - 强调文字颜色 3 2 2 2 2" xfId="2267"/>
    <cellStyle name="注释 2 2 2 3 3" xfId="2268"/>
    <cellStyle name="常规 26 2 2 2 2 2" xfId="2269"/>
    <cellStyle name="常规 14 7" xfId="2270"/>
    <cellStyle name="差 3" xfId="2271"/>
    <cellStyle name="常规 5 11" xfId="2272"/>
    <cellStyle name="输出 2 11 6 5" xfId="2273"/>
    <cellStyle name="汇总 2 6 12 3" xfId="2274"/>
    <cellStyle name="20% - 强调文字颜色 4 3" xfId="2275"/>
    <cellStyle name="输入 2 14 2 7" xfId="2276"/>
    <cellStyle name="注释 3 3 2 3" xfId="2277"/>
    <cellStyle name="好 4" xfId="2278"/>
    <cellStyle name="计算 2 2 6 3" xfId="2279"/>
    <cellStyle name="60% - 强调文字颜色 1 2 13" xfId="2280"/>
    <cellStyle name="适中 2 7" xfId="2281"/>
    <cellStyle name="汇总 2 2 3 2 2 6" xfId="2282"/>
    <cellStyle name="常规 14 2 2 2 2 2" xfId="2283"/>
    <cellStyle name="输出 2 9 2 2 3" xfId="2284"/>
    <cellStyle name="输入 2 7 4 4" xfId="2285"/>
    <cellStyle name="计算 2 12 17" xfId="2286"/>
    <cellStyle name="计算 2 12 22" xfId="2287"/>
    <cellStyle name="输入 2 21 4" xfId="2288"/>
    <cellStyle name="输入 2 16 4" xfId="2289"/>
    <cellStyle name="汇总 3 5 3" xfId="2290"/>
    <cellStyle name="输入 2 3 9 7" xfId="2291"/>
    <cellStyle name="常规 12 6" xfId="2292"/>
    <cellStyle name="输出 2 9 10 3" xfId="2293"/>
    <cellStyle name="常规 2 3 2 2 3" xfId="2294"/>
    <cellStyle name="输出 2 4 4 2 3" xfId="2295"/>
    <cellStyle name="输出 2 8 12 2" xfId="2296"/>
    <cellStyle name="计算 2 8 13 5" xfId="2297"/>
    <cellStyle name="汇总 2 12 4 2 6" xfId="2298"/>
    <cellStyle name="计算 2 11 9 3" xfId="2299"/>
    <cellStyle name="60% - 强调文字颜色 3 2 10" xfId="2300"/>
    <cellStyle name="输出 2 4 3 2 6" xfId="2301"/>
    <cellStyle name="输入 2 9 7 2 2" xfId="2302"/>
    <cellStyle name="注释 2 11 8 6" xfId="2303"/>
    <cellStyle name="输入 2 7 7 2" xfId="2304"/>
    <cellStyle name="汇总 2 8 2 2 2" xfId="2305"/>
    <cellStyle name="输出 2 12 12" xfId="2306"/>
    <cellStyle name="汇总 2 9 4 2 5" xfId="2307"/>
    <cellStyle name="注释 2 4 10 6" xfId="2308"/>
    <cellStyle name="计算 2 2 2 2 2 5" xfId="2309"/>
    <cellStyle name="好 2 3" xfId="2310"/>
    <cellStyle name="40% - 强调文字颜色 5 2" xfId="2311"/>
    <cellStyle name="输出 2 5 3 2 5" xfId="2312"/>
    <cellStyle name="常规 17 3 3 2 2" xfId="2313"/>
    <cellStyle name="常规 22 3 3 2 2" xfId="2314"/>
    <cellStyle name="计算 2 2 6 2 2" xfId="2315"/>
    <cellStyle name="好 3 2" xfId="2316"/>
    <cellStyle name="计算 2 13 6 6" xfId="2317"/>
    <cellStyle name="输入 2 15 4 3" xfId="2318"/>
    <cellStyle name="输出 2 7 8 5" xfId="2319"/>
    <cellStyle name="输出 2 5 2 2" xfId="2320"/>
    <cellStyle name="输入 2 12 5 5" xfId="2321"/>
    <cellStyle name="汇总 2 3 2 2" xfId="2322"/>
    <cellStyle name="计算 2 6 5 6" xfId="2323"/>
    <cellStyle name="输出 2 26" xfId="2324"/>
    <cellStyle name="输出 2 31" xfId="2325"/>
    <cellStyle name="计算 2 10 4 5" xfId="2326"/>
    <cellStyle name="注释 2 7 6 3" xfId="2327"/>
    <cellStyle name="输出 2 7 4 6" xfId="2328"/>
    <cellStyle name="输出 2 7 5 2 3" xfId="2329"/>
    <cellStyle name="计算 2 6 4 6" xfId="2330"/>
    <cellStyle name="20% - 强调文字颜色 3 2 7 3" xfId="2331"/>
    <cellStyle name="输出 2 5 7 6" xfId="2332"/>
    <cellStyle name="计算 2 7 3 5" xfId="2333"/>
    <cellStyle name="注释 2 20 7" xfId="2334"/>
    <cellStyle name="输出 2 5 5" xfId="2335"/>
    <cellStyle name="计算 2 11 5 2 2" xfId="2336"/>
    <cellStyle name="注释 2 2 2 2 2 2 3" xfId="2337"/>
    <cellStyle name="计算 2 11 7 2 4" xfId="2338"/>
    <cellStyle name="输入 2 15 3 6" xfId="2339"/>
    <cellStyle name="汇总 2 3 8 2 4" xfId="2340"/>
    <cellStyle name="注释 2 11 7 2 6" xfId="2341"/>
    <cellStyle name="20% - 强调文字颜色 6 2 13" xfId="2342"/>
    <cellStyle name="好 2 2 2 2" xfId="2343"/>
    <cellStyle name="计算 2 13 8 6" xfId="2344"/>
    <cellStyle name="输入 2 4 5 2 6" xfId="2345"/>
    <cellStyle name="输入 2 12 3 2 5" xfId="2346"/>
    <cellStyle name="计算 2 12 2 2" xfId="2347"/>
    <cellStyle name="注释 2 12 2" xfId="2348"/>
    <cellStyle name="注释 2 2 2" xfId="2349"/>
    <cellStyle name="输出 2 8 11 3" xfId="2350"/>
    <cellStyle name="差_人事科 数 2_导出数据1 2" xfId="2351"/>
    <cellStyle name="计算 2 5 5 7" xfId="2352"/>
    <cellStyle name="输出 2 11 16 3" xfId="2353"/>
    <cellStyle name="计算 2 10 2 4" xfId="2354"/>
    <cellStyle name="汇总 2 5 5 4" xfId="2355"/>
    <cellStyle name="注释 2 5 6 2 5" xfId="2356"/>
    <cellStyle name="输出 2 2 7 2 2" xfId="2357"/>
    <cellStyle name="60% - 强调文字颜色 5 4 2" xfId="2358"/>
    <cellStyle name="20% - 强调文字颜色 1 2 17" xfId="2359"/>
    <cellStyle name="常规 11 2 2" xfId="2360"/>
    <cellStyle name="常规 9 2 4 2 2 2" xfId="2361"/>
    <cellStyle name="标题 5 3" xfId="2362"/>
    <cellStyle name="注释 2 8 7 3" xfId="2363"/>
    <cellStyle name="输出 2 7 3 3" xfId="2364"/>
    <cellStyle name="常规 2 2" xfId="2365"/>
    <cellStyle name="汇总 2 2 6 2 6" xfId="2366"/>
    <cellStyle name="计算 2 13 3 5" xfId="2367"/>
    <cellStyle name="常规 25 2 2 3 2 2" xfId="2368"/>
    <cellStyle name="输入 2 9 4 2 5" xfId="2369"/>
    <cellStyle name="输入 2 4 4 4" xfId="2370"/>
    <cellStyle name="输入 2 2 10 3 3" xfId="2371"/>
    <cellStyle name="输入 2 4 5 4" xfId="2372"/>
    <cellStyle name="注释 2 12 3" xfId="2373"/>
    <cellStyle name="注释 2 5 9 4" xfId="2374"/>
    <cellStyle name="标题 2 2 4 2" xfId="2375"/>
    <cellStyle name="输出 2 12 7 2 4" xfId="2376"/>
    <cellStyle name="计算 2 8 12 3" xfId="2377"/>
    <cellStyle name="20% - 强调文字颜色 6 2 13 3" xfId="2378"/>
    <cellStyle name="计算 2 9 3" xfId="2379"/>
    <cellStyle name="注释 2 6 7 4" xfId="2380"/>
    <cellStyle name="输出 2 13 3 3" xfId="2381"/>
    <cellStyle name="输入 2 13 2 2 4" xfId="2382"/>
    <cellStyle name="解释性文本 2 9" xfId="2383"/>
    <cellStyle name="40% - 强调文字颜色 4 2 11 2" xfId="2384"/>
    <cellStyle name="输出 2 8 5 2 5" xfId="2385"/>
    <cellStyle name="汇总 2 2 13 5" xfId="2386"/>
    <cellStyle name="汇总 2 5 10 6" xfId="2387"/>
    <cellStyle name="注释 2 11 20" xfId="2388"/>
    <cellStyle name="注释 2 11 15" xfId="2389"/>
    <cellStyle name="输出 2 12 7 5" xfId="2390"/>
    <cellStyle name="汇总 3 7" xfId="2391"/>
    <cellStyle name="计算 2 15 3 5" xfId="2392"/>
    <cellStyle name="输出 2 4 12 6" xfId="2393"/>
    <cellStyle name="输出 2 8 5 6" xfId="2394"/>
    <cellStyle name="计算 2 9 2 2 3" xfId="2395"/>
    <cellStyle name="常规 5 2 3" xfId="2396"/>
    <cellStyle name="注释 2 10 8 4" xfId="2397"/>
    <cellStyle name="注释 2 6 6 2 3" xfId="2398"/>
    <cellStyle name="计算 2 4 11 5" xfId="2399"/>
    <cellStyle name="输入 2 5 3 6" xfId="2400"/>
    <cellStyle name="标题 2 2 10 3" xfId="2401"/>
    <cellStyle name="常规 5 2" xfId="2402"/>
    <cellStyle name="汇总 2 10 9 5" xfId="2403"/>
    <cellStyle name="注释 2 10 7 3" xfId="2404"/>
    <cellStyle name="强调文字颜色 4 2 15" xfId="2405"/>
    <cellStyle name="20% - 强调文字颜色 3 2 14 2" xfId="2406"/>
    <cellStyle name="输出 2 8 2 2 3" xfId="2407"/>
    <cellStyle name="强调文字颜色 2 2 13 2" xfId="2408"/>
    <cellStyle name="计算 2 4 10" xfId="2409"/>
    <cellStyle name="输入 2 12 14 3" xfId="2410"/>
    <cellStyle name="注释 2 3 15 2" xfId="2411"/>
    <cellStyle name="注释 2 13 12 4" xfId="2412"/>
    <cellStyle name="汇总 2 6 9" xfId="2413"/>
    <cellStyle name="常规 11 3 2" xfId="2414"/>
    <cellStyle name="常规 3" xfId="2415"/>
    <cellStyle name="输入 2 6 5 6" xfId="2416"/>
    <cellStyle name="汇总 2 12 15 4" xfId="2417"/>
    <cellStyle name="汇总 2 14 2 7" xfId="2418"/>
    <cellStyle name="常规 18" xfId="2419"/>
    <cellStyle name="常规 11 3 2 2" xfId="2420"/>
    <cellStyle name="60% - 强调文字颜色 1 2 8 2" xfId="2421"/>
    <cellStyle name="常规 16 12" xfId="2422"/>
    <cellStyle name="输入 2 6 6 6" xfId="2423"/>
    <cellStyle name="常规 10 2 3 2" xfId="2424"/>
    <cellStyle name="注释 2 11 7 2 5" xfId="2425"/>
    <cellStyle name="汇总 2 11 8 4" xfId="2426"/>
    <cellStyle name="汇总 2 2 13" xfId="2427"/>
    <cellStyle name="计算 2 2 4 5" xfId="2428"/>
    <cellStyle name="常规 42 2 2 3" xfId="2429"/>
    <cellStyle name="常规 37 2 2 3" xfId="2430"/>
    <cellStyle name="60% - 强调文字颜色 6 2 12 2" xfId="2431"/>
    <cellStyle name="注释 2 2 3 2 2 5" xfId="2432"/>
    <cellStyle name="输出 2 7 2 2 4" xfId="2433"/>
    <cellStyle name="计算 2 3 4 7" xfId="2434"/>
    <cellStyle name="常规 12 4 2" xfId="2435"/>
    <cellStyle name="注释 2 10 3 2 3" xfId="2436"/>
    <cellStyle name="注释 2 2 2 4" xfId="2437"/>
    <cellStyle name="计算 2 14 4 2" xfId="2438"/>
    <cellStyle name="常规 11 3" xfId="2439"/>
    <cellStyle name="常规 6 2_Sheet1" xfId="2440"/>
    <cellStyle name="20% - 强调文字颜色 6 2 9 3" xfId="2441"/>
    <cellStyle name="注释 2 9 6 2" xfId="2442"/>
    <cellStyle name="输出 2 3 5 2 2" xfId="2443"/>
    <cellStyle name="注释 2 3 3 2 2" xfId="2444"/>
    <cellStyle name="常规 2 3 3 2" xfId="2445"/>
    <cellStyle name="适中 2 15 2" xfId="2446"/>
    <cellStyle name="计算 2 2 10" xfId="2447"/>
    <cellStyle name="常规 19 2 2 3 2 2" xfId="2448"/>
    <cellStyle name="常规 24 2 2 3 2 2" xfId="2449"/>
    <cellStyle name="输入 2 12 4 8" xfId="2450"/>
    <cellStyle name="输入 2 4 3 2 2" xfId="2451"/>
    <cellStyle name="输出 2 8 2 2 4" xfId="2452"/>
    <cellStyle name="20% - 强调文字颜色 6 2 12 3" xfId="2453"/>
    <cellStyle name="常规 2 9" xfId="2454"/>
    <cellStyle name="计算 2 8 11 3" xfId="2455"/>
    <cellStyle name="常规 10 2_Sheet1" xfId="2456"/>
    <cellStyle name="40% - 强调文字颜色 4 2 13 2" xfId="2457"/>
    <cellStyle name="常规 39 3 4 2 2" xfId="2458"/>
    <cellStyle name="常规 44 3 4 2 2" xfId="2459"/>
    <cellStyle name="输出 2 9 7 2 5" xfId="2460"/>
    <cellStyle name="40% - 强调文字颜色 3 2 2 2 3" xfId="2461"/>
    <cellStyle name="注释 3 5 2 3" xfId="2462"/>
    <cellStyle name="注释 2 2 2 3 4" xfId="2463"/>
    <cellStyle name="常规 2 8 10" xfId="2464"/>
    <cellStyle name="计算 2 13 9 5" xfId="2465"/>
    <cellStyle name="输出 2 11 7 2 6" xfId="2466"/>
    <cellStyle name="输入 2 5 7 7" xfId="2467"/>
    <cellStyle name="输出 2 11 12 5" xfId="2468"/>
    <cellStyle name="输入 2 5 15 4" xfId="2469"/>
    <cellStyle name="注释 2 11 6 3" xfId="2470"/>
    <cellStyle name="计算 2 13 9 4" xfId="2471"/>
    <cellStyle name="标题 4 2 12" xfId="2472"/>
    <cellStyle name="计算 2 12 21" xfId="2473"/>
    <cellStyle name="计算 2 12 16" xfId="2474"/>
    <cellStyle name="计算 2 12 2 5" xfId="2475"/>
    <cellStyle name="常规 27 2 3 2" xfId="2476"/>
    <cellStyle name="常规 11 2" xfId="2477"/>
    <cellStyle name="好_导出数据1_1 2_导出数据1 2 2" xfId="2478"/>
    <cellStyle name="汇总 2 5 4 6" xfId="2479"/>
    <cellStyle name="40% - 强调文字颜色 5 2 12" xfId="2480"/>
    <cellStyle name="输出 2 11 9 7" xfId="2481"/>
    <cellStyle name="计算 2 2 10 3 2" xfId="2482"/>
    <cellStyle name="40% - 强调文字颜色 3 2 2_导出数据1" xfId="2483"/>
    <cellStyle name="常规 26 2 2 2_导出数据1" xfId="2484"/>
    <cellStyle name="输出 3 2 2 2 4" xfId="2485"/>
    <cellStyle name="计算 2 3 2 2" xfId="2486"/>
    <cellStyle name="强调文字颜色 6 4 2" xfId="2487"/>
    <cellStyle name="常规 10 8" xfId="2488"/>
    <cellStyle name="常规 2 3 2 3 2 2" xfId="2489"/>
    <cellStyle name="注释 2 3 2 2 3 4" xfId="2490"/>
    <cellStyle name="常规 5_导出数据1" xfId="2491"/>
    <cellStyle name="注释 2 4 13" xfId="2492"/>
    <cellStyle name="常规 9 2 3 2 2 2" xfId="2493"/>
    <cellStyle name="注释 2 3 2 2 2 2" xfId="2494"/>
    <cellStyle name="计算 2 14 2" xfId="2495"/>
    <cellStyle name="标题 2 2 13 3" xfId="2496"/>
    <cellStyle name="常规 12 3 2_导出数据1" xfId="2497"/>
    <cellStyle name="汇总 2 11 3 2 5" xfId="2498"/>
    <cellStyle name="计算 2 6 9 7" xfId="2499"/>
    <cellStyle name="计算 2 7 9 2 4" xfId="2500"/>
    <cellStyle name="输入 2 17 3" xfId="2501"/>
    <cellStyle name="输入 2 22 3" xfId="2502"/>
    <cellStyle name="输入 2 7 5 3" xfId="2503"/>
    <cellStyle name="注释 2 4 8 7" xfId="2504"/>
    <cellStyle name="常规 2 2 12" xfId="2505"/>
    <cellStyle name="20% - 强调文字颜色 1 2 2" xfId="2506"/>
    <cellStyle name="输入 2 11 13 6" xfId="2507"/>
    <cellStyle name="输出 2 6 9" xfId="2508"/>
    <cellStyle name="输入 2 4 4 2 2" xfId="2509"/>
    <cellStyle name="计算 2 5 9" xfId="2510"/>
    <cellStyle name="输出 2 13 7 4" xfId="2511"/>
    <cellStyle name="计算 2 7 5" xfId="2512"/>
    <cellStyle name="输出 2 7" xfId="2513"/>
    <cellStyle name="输出 2 5 5 2" xfId="2514"/>
    <cellStyle name="计算 2 14 2 2 4" xfId="2515"/>
    <cellStyle name="计算 2 12 9 4" xfId="2516"/>
    <cellStyle name="输出 2 11 6 2 5" xfId="2517"/>
    <cellStyle name="输出 2 10 6 5" xfId="2518"/>
    <cellStyle name="注释 2 12 2 2 2" xfId="2519"/>
    <cellStyle name="差 3 2 2" xfId="2520"/>
    <cellStyle name="计算 2 5 3 5" xfId="2521"/>
    <cellStyle name="输出 2 6 3 2 4" xfId="2522"/>
    <cellStyle name="注释 2 7 10 4" xfId="2523"/>
    <cellStyle name="常规 7 2 7 2" xfId="2524"/>
    <cellStyle name="计算 2 11 3 2 5" xfId="2525"/>
    <cellStyle name="差 2 11" xfId="2526"/>
    <cellStyle name="输出 2 8 10 2" xfId="2527"/>
    <cellStyle name="计算 2 9 14 4" xfId="2528"/>
    <cellStyle name="计算 2 7 4 2 2" xfId="2529"/>
    <cellStyle name="注释 2 2 2 4 3" xfId="2530"/>
    <cellStyle name="输出 2 10 4 5" xfId="2531"/>
    <cellStyle name="常规 7 2 4 3 2 2" xfId="2532"/>
    <cellStyle name="输出 2 9 2 2" xfId="2533"/>
    <cellStyle name="常规 34 3 2" xfId="2534"/>
    <cellStyle name="输入 2 7 16 3" xfId="2535"/>
    <cellStyle name="计算 2 13 9" xfId="2536"/>
    <cellStyle name="计算 2 6 16 3" xfId="2537"/>
    <cellStyle name="注释 2 7 4 3" xfId="2538"/>
    <cellStyle name="输出 2 3 11 6" xfId="2539"/>
    <cellStyle name="输出 2 6 2 3" xfId="2540"/>
    <cellStyle name="计算 2 7 4 2 3" xfId="2541"/>
    <cellStyle name="汇总 2 10 16" xfId="2542"/>
    <cellStyle name="汇总 2 10 21" xfId="2543"/>
    <cellStyle name="注释 2 3 27" xfId="2544"/>
    <cellStyle name="注释 2 4 3 4 2" xfId="2545"/>
    <cellStyle name="常规_汇总 (3)" xfId="2546"/>
    <cellStyle name="强调文字颜色 5 2 8 2" xfId="2547"/>
    <cellStyle name="输入 2 7 18" xfId="2548"/>
    <cellStyle name="输入 2 7 23" xfId="2549"/>
    <cellStyle name="常规 7 2 2_导出数据1" xfId="2550"/>
    <cellStyle name="输出 2 2 4 2 4" xfId="2551"/>
    <cellStyle name="输出 2 22 2 5" xfId="2552"/>
    <cellStyle name="输出 2 17 2 5" xfId="2553"/>
    <cellStyle name="计算 2 13 4 8" xfId="2554"/>
    <cellStyle name="百分比 4 2" xfId="2555"/>
    <cellStyle name="输出 2 29 4" xfId="2556"/>
    <cellStyle name="计算 2 21 2 5" xfId="2557"/>
    <cellStyle name="计算 2 16 2 5" xfId="2558"/>
    <cellStyle name="常规 21 2 2 3 2" xfId="2559"/>
    <cellStyle name="常规 16 2 2 3 2" xfId="2560"/>
    <cellStyle name="输出 2 9 4" xfId="2561"/>
    <cellStyle name="常规 2 8 2" xfId="2562"/>
    <cellStyle name="标题 1 2 7 2" xfId="2563"/>
    <cellStyle name="输入 2 12 2 5" xfId="2564"/>
    <cellStyle name="输出 2 4 6 7" xfId="2565"/>
    <cellStyle name="注释 3 2 6 5" xfId="2566"/>
    <cellStyle name="输出 2 6 3 7" xfId="2567"/>
    <cellStyle name="汇总 2 13 13 3" xfId="2568"/>
    <cellStyle name="输出 2 8 4 4" xfId="2569"/>
    <cellStyle name="汇总 2 10 5 6" xfId="2570"/>
    <cellStyle name="计算 2 2 9 7" xfId="2571"/>
    <cellStyle name="输出 2 7 2 4" xfId="2572"/>
    <cellStyle name="输出 2 3 11" xfId="2573"/>
    <cellStyle name="注释 2 7 2 2 5" xfId="2574"/>
    <cellStyle name="常规 10 2 7 2" xfId="2575"/>
    <cellStyle name="输出 2 11 3 2 3" xfId="2576"/>
    <cellStyle name="20% - 强调文字颜色 6 3" xfId="2577"/>
    <cellStyle name="计算 2 8 4 8" xfId="2578"/>
    <cellStyle name="计算 2 4 5 2 5" xfId="2579"/>
    <cellStyle name="汇总 2 9 5 2 6" xfId="2580"/>
    <cellStyle name="注释 2 8 3 2 6" xfId="2581"/>
    <cellStyle name="注释 2 12 13" xfId="2582"/>
    <cellStyle name="计算 2 3 4 3" xfId="2583"/>
    <cellStyle name="计算 2 3 7 2 6" xfId="2584"/>
    <cellStyle name="计算 2 2 4 2 3" xfId="2585"/>
    <cellStyle name="注释 2 8 8 5" xfId="2586"/>
    <cellStyle name="计算 2 11 6 7" xfId="2587"/>
    <cellStyle name="注释 2 28 3" xfId="2588"/>
    <cellStyle name="常规 19 5 2" xfId="2589"/>
    <cellStyle name="常规 24 5 2" xfId="2590"/>
    <cellStyle name="输出 2 8 3 5" xfId="2591"/>
    <cellStyle name="输入 2 13 6 2 5" xfId="2592"/>
    <cellStyle name="输出 2 9 4 7" xfId="2593"/>
    <cellStyle name="输出 2 29 2" xfId="2594"/>
    <cellStyle name="常规 34 2 3 2 2" xfId="2595"/>
    <cellStyle name="注释 2 12 3 5" xfId="2596"/>
    <cellStyle name="计算 2 2 7 2 2" xfId="2597"/>
    <cellStyle name="输出 2 5 4 2 5" xfId="2598"/>
    <cellStyle name="汇总 2 7 7 2 3" xfId="2599"/>
    <cellStyle name="输出 2 10 7" xfId="2600"/>
    <cellStyle name="输入 2 9 9 2" xfId="2601"/>
    <cellStyle name="计算 2 3 6 2 6" xfId="2602"/>
    <cellStyle name="汇总 2 13 5 7" xfId="2603"/>
    <cellStyle name="常规 6 2 4 2 2" xfId="2604"/>
    <cellStyle name="输出 2 4 11 4" xfId="2605"/>
    <cellStyle name="汇总 2 5" xfId="2606"/>
    <cellStyle name="汇总 2 5 9 2 5" xfId="2607"/>
    <cellStyle name="输出 2 13" xfId="2608"/>
    <cellStyle name="输入 2 15 2 5" xfId="2609"/>
    <cellStyle name="输入 2 20 2 5" xfId="2610"/>
    <cellStyle name="常规 5 6" xfId="2611"/>
    <cellStyle name="常规 12 2 2 2 2 2 2" xfId="2612"/>
    <cellStyle name="常规 2 2 5 8 2" xfId="2613"/>
    <cellStyle name="汇总 2 2 10 4" xfId="2614"/>
    <cellStyle name="常规 34 2 2 2" xfId="2615"/>
    <cellStyle name="计算 2 5 13 3" xfId="2616"/>
    <cellStyle name="常规 2 4 6 2" xfId="2617"/>
    <cellStyle name="输出 2 5 8 2" xfId="2618"/>
    <cellStyle name="常规 37 2 2_导出数据1" xfId="2619"/>
    <cellStyle name="常规 42 2 2_导出数据1" xfId="2620"/>
    <cellStyle name="计算 3 4 7" xfId="2621"/>
    <cellStyle name="计算 2 10 10 6" xfId="2622"/>
    <cellStyle name="注释 2 4 9 3" xfId="2623"/>
    <cellStyle name="输出 2 11 5 2" xfId="2624"/>
    <cellStyle name="常规 2 2 2" xfId="2625"/>
    <cellStyle name="输入 2 8 2 3" xfId="2626"/>
    <cellStyle name="注释 2 2 2 2 4 2" xfId="2627"/>
    <cellStyle name="常规 14_导出数据1" xfId="2628"/>
    <cellStyle name="40% - 强调文字颜色 5 2 5" xfId="2629"/>
    <cellStyle name="汇总 2 12" xfId="2630"/>
    <cellStyle name="输入 2 5 5 5" xfId="2631"/>
    <cellStyle name="计算 2 13 9 2 4" xfId="2632"/>
    <cellStyle name="计算 2 5 11" xfId="2633"/>
    <cellStyle name="注释 2 16 6" xfId="2634"/>
    <cellStyle name="注释 2 21 6" xfId="2635"/>
    <cellStyle name="20% - 强调文字颜色 4 2 2 2" xfId="2636"/>
    <cellStyle name="汇总 2 14 2" xfId="2637"/>
    <cellStyle name="标题 2 2" xfId="2638"/>
    <cellStyle name="注释 2 3 9 2 5" xfId="2639"/>
    <cellStyle name="输出 2 12 2 2 5" xfId="2640"/>
    <cellStyle name="输入 2 10 9 2 6" xfId="2641"/>
    <cellStyle name="常规 5 2 9" xfId="2642"/>
    <cellStyle name="好 2 5" xfId="2643"/>
    <cellStyle name="汇总 2 12 10 4" xfId="2644"/>
    <cellStyle name="注释 2 6 2 2" xfId="2645"/>
    <cellStyle name="输出 2 11 13 5" xfId="2646"/>
    <cellStyle name="输入 2 3 10 6" xfId="2647"/>
    <cellStyle name="输入 2 13 4 2 4" xfId="2648"/>
    <cellStyle name="60% - 强调文字颜色 1 2 3 2" xfId="2649"/>
    <cellStyle name="汇总 2 7 3 6" xfId="2650"/>
    <cellStyle name="40% - 强调文字颜色 4 2 4 3" xfId="2651"/>
    <cellStyle name="计算 2 11 14 3" xfId="2652"/>
    <cellStyle name="60% - 强调文字颜色 6 2 3" xfId="2653"/>
    <cellStyle name="计算 2 2 8 2 6" xfId="2654"/>
    <cellStyle name="输入 2 10 2 2" xfId="2655"/>
    <cellStyle name="注释 2 12 8 4" xfId="2656"/>
    <cellStyle name="计算 2 7 8" xfId="2657"/>
    <cellStyle name="40% - 强调文字颜色 2 2 12 3" xfId="2658"/>
    <cellStyle name="输入 2 5 8 2" xfId="2659"/>
    <cellStyle name="注释 2 8 9 5" xfId="2660"/>
    <cellStyle name="常规 19 6 2" xfId="2661"/>
    <cellStyle name="注释 2 29 3" xfId="2662"/>
    <cellStyle name="计算 2 8 18" xfId="2663"/>
    <cellStyle name="计算 2 8 23" xfId="2664"/>
    <cellStyle name="常规 39 3 4" xfId="2665"/>
    <cellStyle name="常规 44 3 4" xfId="2666"/>
    <cellStyle name="计算 2 8 4" xfId="2667"/>
    <cellStyle name="输出 2 13 8 3" xfId="2668"/>
    <cellStyle name="常规 34 3 2 2" xfId="2669"/>
    <cellStyle name="标题 1 2 8" xfId="2670"/>
    <cellStyle name="输出 2 4 15 2" xfId="2671"/>
    <cellStyle name="链接单元格 2 16" xfId="2672"/>
    <cellStyle name="输入 2 7 5 4" xfId="2673"/>
    <cellStyle name="常规 43 2 2_导出数据1" xfId="2674"/>
    <cellStyle name="常规 38 2 2_导出数据1" xfId="2675"/>
    <cellStyle name="汇总 2 10 2 2 3" xfId="2676"/>
    <cellStyle name="常规 13" xfId="2677"/>
    <cellStyle name="输出 2 9 2 2 5" xfId="2678"/>
    <cellStyle name="计算 2 6 5 2 2" xfId="2679"/>
    <cellStyle name="汇总 2 12 5 5" xfId="2680"/>
    <cellStyle name="输入 2 6 18" xfId="2681"/>
    <cellStyle name="输入 2 6 23" xfId="2682"/>
    <cellStyle name="计算 2 4 9 6" xfId="2683"/>
    <cellStyle name="汇总 2 10 4 2 2" xfId="2684"/>
    <cellStyle name="常规 14 2 4 2" xfId="2685"/>
    <cellStyle name="常规 45 3 3 2 2" xfId="2686"/>
    <cellStyle name="汇总 2 5 8 5" xfId="2687"/>
    <cellStyle name="输入 2 19 2 4" xfId="2688"/>
    <cellStyle name="常规 8 3 3" xfId="2689"/>
    <cellStyle name="注释 2 9 3 2" xfId="2690"/>
    <cellStyle name="常规 45 3 2_导出数据1" xfId="2691"/>
    <cellStyle name="汇总 2 7 4 2 5" xfId="2692"/>
    <cellStyle name="计算 2 2 4 2 4" xfId="2693"/>
    <cellStyle name="注释 2 28 4" xfId="2694"/>
    <cellStyle name="输入 2 5 7 3" xfId="2695"/>
    <cellStyle name="计算 2 6 4 3" xfId="2696"/>
    <cellStyle name="注释 2 5 13 3" xfId="2697"/>
    <cellStyle name="注释 3 2 4 7" xfId="2698"/>
    <cellStyle name="计算 2 27 4" xfId="2699"/>
    <cellStyle name="标题 6 2" xfId="2700"/>
    <cellStyle name="计算 2 14 7" xfId="2701"/>
    <cellStyle name="输出 2 13 14 2" xfId="2702"/>
    <cellStyle name="注释 2 22 2 6" xfId="2703"/>
    <cellStyle name="注释 2 17 2 6" xfId="2704"/>
    <cellStyle name="输入 2 11 6 2 6" xfId="2705"/>
    <cellStyle name="汇总 2 13 12 6" xfId="2706"/>
    <cellStyle name="常规 40 3 2 2_导出数据1" xfId="2707"/>
    <cellStyle name="60% - 强调文字颜色 3 2 5" xfId="2708"/>
    <cellStyle name="注释 2 5 10 4" xfId="2709"/>
    <cellStyle name="输出 2 3 7 2 3" xfId="2710"/>
    <cellStyle name="输出 2 13 4 2" xfId="2711"/>
    <cellStyle name="常规 40 3 2_导出数据1" xfId="2712"/>
    <cellStyle name="计算 2 6 5 5" xfId="2713"/>
    <cellStyle name="注释 2 8 6 2 2" xfId="2714"/>
    <cellStyle name="注释 2 8 9 2" xfId="2715"/>
    <cellStyle name="20% - 强调文字颜色 6 2 3 2 2" xfId="2716"/>
    <cellStyle name="计算 2 2 19 2" xfId="2717"/>
    <cellStyle name="计算 2 3 6 6" xfId="2718"/>
    <cellStyle name="计算 2 10 5" xfId="2719"/>
    <cellStyle name="输入 2 3 8 6" xfId="2720"/>
    <cellStyle name="强调文字颜色 3 2 13 2" xfId="2721"/>
    <cellStyle name="常规 3 2 5" xfId="2722"/>
    <cellStyle name="汇总 2 12 3 2 2" xfId="2723"/>
    <cellStyle name="输入 2 10 7 2 2" xfId="2724"/>
    <cellStyle name="输出 2 13 3 4" xfId="2725"/>
    <cellStyle name="注释 2 8 3" xfId="2726"/>
    <cellStyle name="计算 2 12 8 5" xfId="2727"/>
    <cellStyle name="强调文字颜色 3 2 8 2" xfId="2728"/>
    <cellStyle name="计算 2 2 7 3" xfId="2729"/>
    <cellStyle name="输出 2 10 6 2 5" xfId="2730"/>
    <cellStyle name="常规 2_Sheet1" xfId="2731"/>
    <cellStyle name="60% - 强调文字颜色 5 3 2" xfId="2732"/>
    <cellStyle name="输入 2 5 7 5" xfId="2733"/>
    <cellStyle name="输入 2 13 13 6" xfId="2734"/>
    <cellStyle name="注释 2 2 16 6" xfId="2735"/>
    <cellStyle name="汇总 2 6 9 4" xfId="2736"/>
    <cellStyle name="40% - 强调文字颜色 3 3 2" xfId="2737"/>
    <cellStyle name="常规 7 2 3 2" xfId="2738"/>
    <cellStyle name="计算 2 6 6" xfId="2739"/>
    <cellStyle name="输入 2 36" xfId="2740"/>
    <cellStyle name="计算 2 13 3 2 4" xfId="2741"/>
    <cellStyle name="计算 2 6 13 2" xfId="2742"/>
    <cellStyle name="计算 2 8 8" xfId="2743"/>
    <cellStyle name="注释 2 8" xfId="2744"/>
    <cellStyle name="汇总 2 12 14 2" xfId="2745"/>
    <cellStyle name="计算 2 13 9 7" xfId="2746"/>
    <cellStyle name="输出 2 13 3 2 6" xfId="2747"/>
    <cellStyle name="标题 3 2 13 2" xfId="2748"/>
    <cellStyle name="汇总 2 3 14 6" xfId="2749"/>
    <cellStyle name="注释 2 7 4 7" xfId="2750"/>
    <cellStyle name="计算 2 7 15 3" xfId="2751"/>
    <cellStyle name="20% - 强调文字颜色 1 2 3 6" xfId="2752"/>
    <cellStyle name="计算 2 5 9 6" xfId="2753"/>
    <cellStyle name="汇总 2 9 7 3" xfId="2754"/>
    <cellStyle name="20% - 强调文字颜色 3 2 15" xfId="2755"/>
    <cellStyle name="计算 2 2" xfId="2756"/>
    <cellStyle name="汇总 2 5 6 2 6" xfId="2757"/>
    <cellStyle name="输出 2 10 7 2 5" xfId="2758"/>
    <cellStyle name="常规 11 4_导出数据1" xfId="2759"/>
    <cellStyle name="计算 2" xfId="2760"/>
    <cellStyle name="计算 2 3 17" xfId="2761"/>
    <cellStyle name="计算 2 3 22" xfId="2762"/>
    <cellStyle name="注释 2 3 19 3" xfId="2763"/>
    <cellStyle name="常规 45 3 2 2" xfId="2764"/>
    <cellStyle name="常规 12 8" xfId="2765"/>
    <cellStyle name="输入 2 8 13 5" xfId="2766"/>
    <cellStyle name="计算 2 5 10" xfId="2767"/>
    <cellStyle name="常规 5 2 3 2 2 2" xfId="2768"/>
    <cellStyle name="计算 2 13 9 2 3" xfId="2769"/>
    <cellStyle name="常规 2 2 2 2 3" xfId="2770"/>
    <cellStyle name="40% - 强调文字颜色 4 2 6 3" xfId="2771"/>
    <cellStyle name="注释 2 13 9 5" xfId="2772"/>
    <cellStyle name="注释 2 10 12 4" xfId="2773"/>
    <cellStyle name="常规 12 3 3 2 2" xfId="2774"/>
    <cellStyle name="计算 2 6 2 2 6" xfId="2775"/>
    <cellStyle name="注释 2 6 10 4" xfId="2776"/>
    <cellStyle name="计算 2 8 3 2 4" xfId="2777"/>
    <cellStyle name="输入 2 12 5 2 2" xfId="2778"/>
    <cellStyle name="常规 44 2 3 2 2 2" xfId="2779"/>
    <cellStyle name="常规 39 2 3 2 2 2" xfId="2780"/>
    <cellStyle name="计算 2 13 11 4" xfId="2781"/>
    <cellStyle name="常规 19 3 2_导出数据1" xfId="2782"/>
    <cellStyle name="常规 24 3 2_导出数据1" xfId="2783"/>
    <cellStyle name="注释 2 10 2 3" xfId="2784"/>
    <cellStyle name="注释 2 9 7 2" xfId="2785"/>
    <cellStyle name="汇总 2 2 2 2 3 5" xfId="2786"/>
    <cellStyle name="40% - 强调文字颜色 3 3 3" xfId="2787"/>
    <cellStyle name="常规 31" xfId="2788"/>
    <cellStyle name="常规 26" xfId="2789"/>
    <cellStyle name="20% - 强调文字颜色 4 2 2 3" xfId="2790"/>
    <cellStyle name="汇总 2 14 3" xfId="2791"/>
    <cellStyle name="40% - 强调文字颜色 5 2 7 3" xfId="2792"/>
    <cellStyle name="计算 2 2 6 2" xfId="2793"/>
    <cellStyle name="计算 2 5 9 2 2" xfId="2794"/>
    <cellStyle name="输入 2 6 10 2" xfId="2795"/>
    <cellStyle name="计算 2 8 2 2 4" xfId="2796"/>
    <cellStyle name="常规 9 8" xfId="2797"/>
    <cellStyle name="注释 2 13 14 3" xfId="2798"/>
    <cellStyle name="输出 2 8 7 3" xfId="2799"/>
    <cellStyle name="计算 2 8 5 6" xfId="2800"/>
    <cellStyle name="输出 2 6 9 7" xfId="2801"/>
    <cellStyle name="汇总 2 5 2 2" xfId="2802"/>
    <cellStyle name="常规 9 2_Sheet1" xfId="2803"/>
    <cellStyle name="计算 2 8 9 2 3" xfId="2804"/>
    <cellStyle name="常规 10 7 2 2" xfId="2805"/>
    <cellStyle name="计算 2 6 4 2" xfId="2806"/>
    <cellStyle name="强调文字颜色 5 2" xfId="2807"/>
    <cellStyle name="20% - 强调文字颜色 4 2 17" xfId="2808"/>
    <cellStyle name="常规 45 3 3_导出数据1" xfId="2809"/>
    <cellStyle name="20% - 强调文字颜色 3 2 16" xfId="2810"/>
    <cellStyle name="注释 3 2 2 3" xfId="2811"/>
    <cellStyle name="汇总 2 7 12 2" xfId="2812"/>
    <cellStyle name="常规 15 2 3 2" xfId="2813"/>
    <cellStyle name="常规 20 2 3 2" xfId="2814"/>
    <cellStyle name="计算 2 2 17 2" xfId="2815"/>
    <cellStyle name="好 2 11 2" xfId="2816"/>
    <cellStyle name="注释 2 5 5 2 2" xfId="2817"/>
    <cellStyle name="输入 2 6 3 2 3" xfId="2818"/>
    <cellStyle name="计算 2 2 12 3" xfId="2819"/>
    <cellStyle name="注释 2 6 8" xfId="2820"/>
    <cellStyle name="常规 11 2 2 2" xfId="2821"/>
    <cellStyle name="汇总 2 10 4 2 5" xfId="2822"/>
    <cellStyle name="输入 2 5 12 2" xfId="2823"/>
    <cellStyle name="计算 2 10 9 5" xfId="2824"/>
    <cellStyle name="输出 2 12 9 2 4" xfId="2825"/>
    <cellStyle name="注释 3 3 4" xfId="2826"/>
    <cellStyle name="计算 2 2 3 3 6" xfId="2827"/>
    <cellStyle name="汇总 2 9 3 2" xfId="2828"/>
    <cellStyle name="汇总 2 11 15 4" xfId="2829"/>
    <cellStyle name="计算 2 4 6" xfId="2830"/>
    <cellStyle name="计算 2 2 2 2 4" xfId="2831"/>
    <cellStyle name="常规 10 6 2 2" xfId="2832"/>
    <cellStyle name="计算 2 8 2 3" xfId="2833"/>
    <cellStyle name="汇总 2 7 2 3" xfId="2834"/>
    <cellStyle name="适中 3 2 2" xfId="2835"/>
    <cellStyle name="注释 2 5 8 5" xfId="2836"/>
    <cellStyle name="常规 40 4" xfId="2837"/>
    <cellStyle name="注释 2 26 5" xfId="2838"/>
    <cellStyle name="注释 2 6 4 4" xfId="2839"/>
    <cellStyle name="常规 2 6 5" xfId="2840"/>
    <cellStyle name="输入 2 11 14 4" xfId="2841"/>
    <cellStyle name="输出 2 7 7" xfId="2842"/>
    <cellStyle name="计算 2 7 5 7" xfId="2843"/>
    <cellStyle name="注释 2 8 6 2" xfId="2844"/>
    <cellStyle name="常规 40 6" xfId="2845"/>
    <cellStyle name="计算 2 9 10 6" xfId="2846"/>
    <cellStyle name="汇总 2 13 10 4" xfId="2847"/>
    <cellStyle name="汇总 2 11 13 5" xfId="2848"/>
    <cellStyle name="标题 5 9 2" xfId="2849"/>
    <cellStyle name="输入 2 12 6 2 3" xfId="2850"/>
    <cellStyle name="注释 2 8 13 4" xfId="2851"/>
    <cellStyle name="汇总 2 8 6" xfId="2852"/>
    <cellStyle name="汇总 2 13 14" xfId="2853"/>
    <cellStyle name="注释 2 2 14 2" xfId="2854"/>
    <cellStyle name="计算 2 11 4 2" xfId="2855"/>
    <cellStyle name="输入 2 5 8 5" xfId="2856"/>
    <cellStyle name="输入 2 5 16 2" xfId="2857"/>
    <cellStyle name="汇总 2 7 23" xfId="2858"/>
    <cellStyle name="汇总 2 7 18" xfId="2859"/>
    <cellStyle name="输出 2 9 4 6" xfId="2860"/>
    <cellStyle name="注释 2 2 2 2 2 2 2" xfId="2861"/>
    <cellStyle name="40% - 强调文字颜色 3 2" xfId="2862"/>
    <cellStyle name="计算 2 13 3 7" xfId="2863"/>
    <cellStyle name="计算 2 2 8 2 4" xfId="2864"/>
    <cellStyle name="计算 2 11 10 5" xfId="2865"/>
    <cellStyle name="输入 2 13 7 2 3" xfId="2866"/>
    <cellStyle name="常规 26 3 2 2 2" xfId="2867"/>
    <cellStyle name="输入 2 9 20" xfId="2868"/>
    <cellStyle name="输入 2 9 15" xfId="2869"/>
    <cellStyle name="40% - 强调文字颜色 4 2 2 2" xfId="2870"/>
    <cellStyle name="计算 2 11 12 2" xfId="2871"/>
    <cellStyle name="常规 27 3 3" xfId="2872"/>
    <cellStyle name="计算 2 3 2 2 2" xfId="2873"/>
    <cellStyle name="输入 2 2 2 2 6" xfId="2874"/>
    <cellStyle name="常规 40 2 2 2 2 2 2" xfId="2875"/>
    <cellStyle name="强调文字颜色 6 2 9 2" xfId="2876"/>
    <cellStyle name="汇总 2 9 11 5" xfId="2877"/>
    <cellStyle name="汇总 2 5 4 2 6" xfId="2878"/>
    <cellStyle name="60% - 强调文字颜色 2 2 10" xfId="2879"/>
    <cellStyle name="计算 2 6 4 8" xfId="2880"/>
    <cellStyle name="输入 2 12 4 7" xfId="2881"/>
    <cellStyle name="输入 2 2 5 3" xfId="2882"/>
    <cellStyle name="60% - 强调文字颜色 3 2 17" xfId="2883"/>
    <cellStyle name="计算 2 8 3 3" xfId="2884"/>
    <cellStyle name="输入 2 11 2 5" xfId="2885"/>
    <cellStyle name="计算 2 5 2 6" xfId="2886"/>
    <cellStyle name="注释 2 7 14 3" xfId="2887"/>
    <cellStyle name="计算 2 11 8" xfId="2888"/>
    <cellStyle name="输入 2 4 6 6" xfId="2889"/>
    <cellStyle name="输入 2 4 4 2 4" xfId="2890"/>
    <cellStyle name="输入 2 2 28" xfId="2891"/>
    <cellStyle name="输出 2 11 5" xfId="2892"/>
    <cellStyle name="输出 2 9 2 2 2" xfId="2893"/>
    <cellStyle name="注释 2 8 4 2 3" xfId="2894"/>
    <cellStyle name="输入 2 10 5 5" xfId="2895"/>
    <cellStyle name="计算 2 4 5 6" xfId="2896"/>
    <cellStyle name="汇总 2 10 9 2 6" xfId="2897"/>
    <cellStyle name="计算 2 10 9 2" xfId="2898"/>
    <cellStyle name="强调文字颜色 5 4" xfId="2899"/>
    <cellStyle name="常规 2 2 5 5 2 2" xfId="2900"/>
    <cellStyle name="输入 2 2 3 3" xfId="2901"/>
    <cellStyle name="输入 2 12 13 5" xfId="2902"/>
    <cellStyle name="输出 2 10 12 4" xfId="2903"/>
    <cellStyle name="注释 2 7 2 2 6" xfId="2904"/>
    <cellStyle name="输出 2 5 7 2 4" xfId="2905"/>
    <cellStyle name="输入 2 5 7 2" xfId="2906"/>
    <cellStyle name="常规 14 12" xfId="2907"/>
    <cellStyle name="汇总 2 12 6 2 2" xfId="2908"/>
    <cellStyle name="常规 2 2 2 3 3" xfId="2909"/>
    <cellStyle name="计算 2 6 19" xfId="2910"/>
    <cellStyle name="常规 8" xfId="2911"/>
    <cellStyle name="注释 3 7 4" xfId="2912"/>
    <cellStyle name="输入 2 3 5 2 3" xfId="2913"/>
    <cellStyle name="常规 2 2 5 4 2" xfId="2914"/>
    <cellStyle name="常规 27 5" xfId="2915"/>
    <cellStyle name="60% - 强调文字颜色 2 2 4" xfId="2916"/>
    <cellStyle name="输入 2 7 11 3" xfId="2917"/>
    <cellStyle name="输入 2 2 3 2 7" xfId="2918"/>
    <cellStyle name="计算 2 20 4" xfId="2919"/>
    <cellStyle name="计算 2 15 4" xfId="2920"/>
    <cellStyle name="20% - 强调文字颜色 6 2 2 2 2" xfId="2921"/>
    <cellStyle name="输入 2 8 11 4" xfId="2922"/>
    <cellStyle name="常规 10 7" xfId="2923"/>
    <cellStyle name="常规 3 5 2 2" xfId="2924"/>
    <cellStyle name="计算 2 2 2 6" xfId="2925"/>
    <cellStyle name="汇总 2 2 13 6" xfId="2926"/>
    <cellStyle name="输出 2 8 5 2 6" xfId="2927"/>
    <cellStyle name="汇总 2 4 21" xfId="2928"/>
    <cellStyle name="汇总 2 4 16" xfId="2929"/>
    <cellStyle name="60% - 强调文字颜色 5 2 3" xfId="2930"/>
    <cellStyle name="输出 2 24 2" xfId="2931"/>
    <cellStyle name="输出 2 19 2" xfId="2932"/>
    <cellStyle name="计算 2 20 2 5" xfId="2933"/>
    <cellStyle name="计算 2 15 2 5" xfId="2934"/>
    <cellStyle name="汇总 2 5 9 7" xfId="2935"/>
    <cellStyle name="常规 10 2" xfId="2936"/>
    <cellStyle name="输入 2 3 7 3" xfId="2937"/>
    <cellStyle name="常规 2 2 2 2 2" xfId="2938"/>
    <cellStyle name="输入 2 12 22" xfId="2939"/>
    <cellStyle name="输入 2 12 17" xfId="2940"/>
    <cellStyle name="常规 19 9 2" xfId="2941"/>
    <cellStyle name="汇总 2 3 2 2 2 4" xfId="2942"/>
    <cellStyle name="注释 2 6 2 6" xfId="2943"/>
    <cellStyle name="输出 2 11 23" xfId="2944"/>
    <cellStyle name="输出 2 11 18" xfId="2945"/>
    <cellStyle name="汇总 2 3 4 2 5" xfId="2946"/>
    <cellStyle name="常规 7 9 2" xfId="2947"/>
    <cellStyle name="输出 2 10 2 2 6" xfId="2948"/>
    <cellStyle name="汇总 2 13 9 4" xfId="2949"/>
    <cellStyle name="计算 2 6 9" xfId="2950"/>
    <cellStyle name="输入 2 4 7 4" xfId="2951"/>
    <cellStyle name="汇总 2 3 2 2 4" xfId="2952"/>
    <cellStyle name="输入 2 6 3 2 2" xfId="2953"/>
    <cellStyle name="40% - 强调文字颜色 3 2 17" xfId="2954"/>
    <cellStyle name="计算 2 13 11 5" xfId="2955"/>
    <cellStyle name="注释 2 14 4 5" xfId="2956"/>
    <cellStyle name="计算 2 7 2 2 5" xfId="2957"/>
    <cellStyle name="输出 2 5 3 2 4" xfId="2958"/>
    <cellStyle name="计算 2 13 6 5" xfId="2959"/>
    <cellStyle name="计算 2 3 10" xfId="2960"/>
    <cellStyle name="输入 2 13 19" xfId="2961"/>
    <cellStyle name="输入 2 12 8 6" xfId="2962"/>
    <cellStyle name="常规 39 2 3 2" xfId="2963"/>
    <cellStyle name="常规 44 2 3 2" xfId="2964"/>
    <cellStyle name="计算 2 10 9 4" xfId="2965"/>
    <cellStyle name="计算 2 2 3 6" xfId="2966"/>
    <cellStyle name="输入 2 10 12 3" xfId="2967"/>
    <cellStyle name="计算 2 11 9 2" xfId="2968"/>
    <cellStyle name="输出 2 11 5 2 3" xfId="2969"/>
    <cellStyle name="常规 24 2 5 2" xfId="2970"/>
    <cellStyle name="常规 19 2 5 2" xfId="2971"/>
    <cellStyle name="输出 2 4 12 2" xfId="2972"/>
    <cellStyle name="40% - 强调文字颜色 1 2 7 3" xfId="2973"/>
    <cellStyle name="汇总 2 3 8 4" xfId="2974"/>
    <cellStyle name="计算 2 7 9 4" xfId="2975"/>
    <cellStyle name="注释 2 19 3" xfId="2976"/>
    <cellStyle name="注释 2 24 3" xfId="2977"/>
    <cellStyle name="输入 2 5 3 2" xfId="2978"/>
    <cellStyle name="输出 2 4 6 2 3" xfId="2979"/>
    <cellStyle name="计算 2 11 9 4" xfId="2980"/>
    <cellStyle name="汇总 2 10 22" xfId="2981"/>
    <cellStyle name="汇总 2 10 17" xfId="2982"/>
    <cellStyle name="常规 2 2 13" xfId="2983"/>
    <cellStyle name="警告文本 2 5 2" xfId="2984"/>
    <cellStyle name="常规 2 2 2 2 3 2" xfId="2985"/>
    <cellStyle name="注释 2 7 5 4" xfId="2986"/>
    <cellStyle name="计算 2 11 6 2" xfId="2987"/>
    <cellStyle name="40% - 强调文字颜色 2 2 3 2" xfId="2988"/>
    <cellStyle name="计算 2 2 19 3" xfId="2989"/>
    <cellStyle name="注释 2 14 2 4" xfId="2990"/>
    <cellStyle name="40% - 强调文字颜色 5 2 10" xfId="2991"/>
    <cellStyle name="注释 2 6 11 2" xfId="2992"/>
    <cellStyle name="输出 2 13 12" xfId="2993"/>
    <cellStyle name="常规 11 2 3" xfId="2994"/>
    <cellStyle name="注释 2 12 2 2 4" xfId="2995"/>
    <cellStyle name="注释 2 13 3 2 4" xfId="2996"/>
    <cellStyle name="常规 8 2 3 2 2" xfId="2997"/>
    <cellStyle name="计算 2 21 4" xfId="2998"/>
    <cellStyle name="计算 2 16 4" xfId="2999"/>
    <cellStyle name="注释 3 2 6 6" xfId="3000"/>
    <cellStyle name="常规 19 3 2 2 2" xfId="3001"/>
    <cellStyle name="常规 24 3 2 2 2" xfId="3002"/>
    <cellStyle name="输入 2 3 5 5" xfId="3003"/>
    <cellStyle name="注释 2 9 2 2 3" xfId="3004"/>
    <cellStyle name="60% - 强调文字颜色 6 2 4" xfId="3005"/>
    <cellStyle name="汇总 2 7 9 5" xfId="3006"/>
    <cellStyle name="输出 2 8 3 2 6" xfId="3007"/>
    <cellStyle name="计算 2 5 6 2 3" xfId="3008"/>
    <cellStyle name="计算 2 13 13" xfId="3009"/>
    <cellStyle name="汇总 2 6 16 2" xfId="3010"/>
    <cellStyle name="汇总 2 16 2 6" xfId="3011"/>
    <cellStyle name="计算 2 8 6 7" xfId="3012"/>
    <cellStyle name="注释 2 3 2 3 5" xfId="3013"/>
    <cellStyle name="标题 1 2 15" xfId="3014"/>
    <cellStyle name="输出 2 4 11" xfId="3015"/>
    <cellStyle name="计算 2 10 14 4" xfId="3016"/>
    <cellStyle name="输出 2 36" xfId="3017"/>
    <cellStyle name="常规 25 3 2 2 2" xfId="3018"/>
    <cellStyle name="计算 2 7 16" xfId="3019"/>
    <cellStyle name="计算 2 7 21" xfId="3020"/>
    <cellStyle name="常规 2 3 4 2 2 2" xfId="3021"/>
    <cellStyle name="输出 2 4 9 2" xfId="3022"/>
    <cellStyle name="注释 2 7 2 5" xfId="3023"/>
    <cellStyle name="百分比 5 3 2" xfId="3024"/>
    <cellStyle name="输出 2 4 3 2 5" xfId="3025"/>
    <cellStyle name="输入 2 13 14 2" xfId="3026"/>
    <cellStyle name="汇总 2 6 6 2 3" xfId="3027"/>
    <cellStyle name="常规 45 4" xfId="3028"/>
    <cellStyle name="常规 18 3 3 2" xfId="3029"/>
    <cellStyle name="常规 23 3 3 2" xfId="3030"/>
    <cellStyle name="输入 2 4 2 5" xfId="3031"/>
    <cellStyle name="标题 3 4 2" xfId="3032"/>
    <cellStyle name="计算 2 2 8 4" xfId="3033"/>
    <cellStyle name="常规 14 2 5" xfId="3034"/>
    <cellStyle name="计算 2 6 15 3" xfId="3035"/>
    <cellStyle name="汇总 2 12 4 2 5" xfId="3036"/>
    <cellStyle name="输入 2 9 18" xfId="3037"/>
    <cellStyle name="输入 2 9 23" xfId="3038"/>
    <cellStyle name="计算 2 11 12 5" xfId="3039"/>
    <cellStyle name="常规 11 6" xfId="3040"/>
    <cellStyle name="注释 2 3 18" xfId="3041"/>
    <cellStyle name="注释 2 3 23" xfId="3042"/>
    <cellStyle name="汇总 3 4 3" xfId="3043"/>
    <cellStyle name="汇总 2 2 8 2 2" xfId="3044"/>
    <cellStyle name="计算 2 2 11 2 6" xfId="3045"/>
    <cellStyle name="输出 2 7 2 6" xfId="3046"/>
    <cellStyle name="计算 2 7 5 2 6" xfId="3047"/>
    <cellStyle name="常规 42 6 2" xfId="3048"/>
    <cellStyle name="常规 37 6 2" xfId="3049"/>
    <cellStyle name="常规 3 2 4 3" xfId="3050"/>
    <cellStyle name="计算 2 8 12 4" xfId="3051"/>
    <cellStyle name="计算 2 5 8" xfId="3052"/>
    <cellStyle name="计算 2 6 16" xfId="3053"/>
    <cellStyle name="计算 2 6 21" xfId="3054"/>
    <cellStyle name="好_导出数据1 2_导出数据1 2 2" xfId="3055"/>
    <cellStyle name="计算 2 7 4 2" xfId="3056"/>
    <cellStyle name="输入 2 8 5 2 3" xfId="3057"/>
    <cellStyle name="强调文字颜色 5 2 17" xfId="3058"/>
    <cellStyle name="汇总 2 12 15" xfId="3059"/>
    <cellStyle name="汇总 2 12 20" xfId="3060"/>
    <cellStyle name="注释 3 7 2" xfId="3061"/>
    <cellStyle name="计算 2 2 5 3" xfId="3062"/>
    <cellStyle name="常规 3 2 2 3 2" xfId="3063"/>
    <cellStyle name="输入 2 11 12 5" xfId="3064"/>
    <cellStyle name="输入 2 12 14 2" xfId="3065"/>
    <cellStyle name="汇总 2 12 12 3" xfId="3066"/>
    <cellStyle name="注释 2 4 11 2 6" xfId="3067"/>
    <cellStyle name="输入 2 10 2 5" xfId="3068"/>
    <cellStyle name="计算 2 7 11 5" xfId="3069"/>
    <cellStyle name="输出 2 26 5" xfId="3070"/>
    <cellStyle name="汇总 2 6 19" xfId="3071"/>
    <cellStyle name="计算 2 2 13 2" xfId="3072"/>
    <cellStyle name="计算 2 2 9 5" xfId="3073"/>
    <cellStyle name="输出 2 7 2 2" xfId="3074"/>
    <cellStyle name="20% - 强调文字颜色 6 2 9" xfId="3075"/>
    <cellStyle name="强调文字颜色 3 2 6 2" xfId="3076"/>
    <cellStyle name="汇总 2 2 3 2 6" xfId="3077"/>
    <cellStyle name="注释 2 6 3 6" xfId="3078"/>
    <cellStyle name="计算 2 5 6 2" xfId="3079"/>
    <cellStyle name="汇总 2 6 9 2 4" xfId="3080"/>
    <cellStyle name="汇总 2 13 5" xfId="3081"/>
    <cellStyle name="常规 34 3 3 2 2" xfId="3082"/>
    <cellStyle name="输出 2 6 9 2 2" xfId="3083"/>
    <cellStyle name="计算 2 4 5 7" xfId="3084"/>
    <cellStyle name="注释 2 8 4 2 4" xfId="3085"/>
    <cellStyle name="计算 2 7 2 2 3" xfId="3086"/>
    <cellStyle name="汇总 2 2 14" xfId="3087"/>
    <cellStyle name="注释 2 2 4" xfId="3088"/>
    <cellStyle name="60% - 强调文字颜色 1 2 6 2" xfId="3089"/>
    <cellStyle name="计算 2 8 3 2 3" xfId="3090"/>
    <cellStyle name="强调文字颜色 5 2 2" xfId="3091"/>
    <cellStyle name="输出 2 10 8 6" xfId="3092"/>
    <cellStyle name="汇总 2 13 3 5" xfId="3093"/>
    <cellStyle name="输入 2 11 19" xfId="3094"/>
    <cellStyle name="注释 2 27 5" xfId="3095"/>
    <cellStyle name="20% - 强调文字颜色 1 2 2 2 2" xfId="3096"/>
    <cellStyle name="40% - 强调文字颜色 5 2 3 4" xfId="3097"/>
    <cellStyle name="注释 2 16 2 6" xfId="3098"/>
    <cellStyle name="注释 2 21 2 6" xfId="3099"/>
    <cellStyle name="输出 2 2 12 3" xfId="3100"/>
    <cellStyle name="常规 12 4 2 2 2" xfId="3101"/>
    <cellStyle name="计算 2 2 7 2 4" xfId="3102"/>
    <cellStyle name="60% - 强调文字颜色 3 2 16" xfId="3103"/>
    <cellStyle name="汇总 2 6 4 2 6" xfId="3104"/>
    <cellStyle name="输入 2 5 4 3" xfId="3105"/>
    <cellStyle name="常规 10 10" xfId="3106"/>
    <cellStyle name="汇总 2 12 16" xfId="3107"/>
    <cellStyle name="汇总 2 12 21" xfId="3108"/>
    <cellStyle name="常规 40 2 2 2_导出数据1" xfId="3109"/>
    <cellStyle name="计算 2 14 4" xfId="3110"/>
    <cellStyle name="20% - 强调文字颜色 4 2 4 3" xfId="3111"/>
    <cellStyle name="常规 2 2 5 10 2" xfId="3112"/>
    <cellStyle name="注释 2 10 5 2" xfId="3113"/>
    <cellStyle name="输出 2 9 15" xfId="3114"/>
    <cellStyle name="输出 2 9 20" xfId="3115"/>
    <cellStyle name="标题 3 3" xfId="3116"/>
    <cellStyle name="计算 2 19 5" xfId="3117"/>
    <cellStyle name="计算 2 24 5" xfId="3118"/>
    <cellStyle name="汇总 2 7 13 6" xfId="3119"/>
    <cellStyle name="计算 2 8 7 2 5" xfId="3120"/>
    <cellStyle name="输出 2 10 7 6" xfId="3121"/>
    <cellStyle name="常规 45 2 2_导出数据1" xfId="3122"/>
    <cellStyle name="汇总 2 12 13 4" xfId="3123"/>
    <cellStyle name="强调文字颜色 1 2 5 2" xfId="3124"/>
    <cellStyle name="输入 2 8 8 6" xfId="3125"/>
    <cellStyle name="汇总 2 2 2 2 4 2" xfId="3126"/>
    <cellStyle name="汇总 2 2 9 5" xfId="3127"/>
    <cellStyle name="输入 2 4 4 3" xfId="3128"/>
    <cellStyle name="常规 8 2 3_导出数据1" xfId="3129"/>
    <cellStyle name="汇总 2 3" xfId="3130"/>
    <cellStyle name="计算 2 12 14 2" xfId="3131"/>
    <cellStyle name="计算 2 13 9 2 2" xfId="3132"/>
    <cellStyle name="标题 5 13 3" xfId="3133"/>
    <cellStyle name="汇总 2 11 13 2" xfId="3134"/>
    <cellStyle name="差_汇总 2_导出数据1 2 2" xfId="3135"/>
    <cellStyle name="注释 2 8 6 2 5" xfId="3136"/>
    <cellStyle name="常规 6 2 5 2" xfId="3137"/>
    <cellStyle name="输出 2 6 4 2 5" xfId="3138"/>
    <cellStyle name="输出 2 12 5 2 6" xfId="3139"/>
    <cellStyle name="好_汇总 2 2_导出数据1 2" xfId="3140"/>
    <cellStyle name="输出 2 2 7" xfId="3141"/>
    <cellStyle name="计算 2 6 4" xfId="3142"/>
    <cellStyle name="计算 2 7 15 2" xfId="3143"/>
    <cellStyle name="计算 2 11 2 2 5" xfId="3144"/>
    <cellStyle name="常规 2 10" xfId="3145"/>
    <cellStyle name="输出 2 3 16 2" xfId="3146"/>
    <cellStyle name="输出 2 4 10 2" xfId="3147"/>
    <cellStyle name="汇总 2 10 8 2" xfId="3148"/>
    <cellStyle name="输入 2 17 2 3" xfId="3149"/>
    <cellStyle name="输入 2 22 2 3" xfId="3150"/>
    <cellStyle name="常规 2 2 11 3" xfId="3151"/>
    <cellStyle name="强调文字颜色 2 2 9" xfId="3152"/>
    <cellStyle name="60% - 强调文字颜色 5 2 14 2" xfId="3153"/>
    <cellStyle name="40% - 强调文字颜色 4 2 15" xfId="3154"/>
    <cellStyle name="20% - 强调文字颜色 4 2 5 3" xfId="3155"/>
    <cellStyle name="注释 2 4 2 3 4" xfId="3156"/>
    <cellStyle name="输出 2 6 5 4" xfId="3157"/>
    <cellStyle name="输出 2 8 10 3" xfId="3158"/>
    <cellStyle name="常规 45 5" xfId="3159"/>
    <cellStyle name="输入 2 4 2 6" xfId="3160"/>
    <cellStyle name="40% - 强调文字颜色 5 2 2 6" xfId="3161"/>
    <cellStyle name="计算 2 3 14 4" xfId="3162"/>
    <cellStyle name="20% - 强调文字颜色 4 2 10 3" xfId="3163"/>
    <cellStyle name="汇总 2 10 7 2 5" xfId="3164"/>
    <cellStyle name="汇总 2 13 12 4" xfId="3165"/>
    <cellStyle name="计算 2 8 2 2" xfId="3166"/>
    <cellStyle name="常规 14 2 3_导出数据1" xfId="3167"/>
    <cellStyle name="汇总 2 8 2" xfId="3168"/>
    <cellStyle name="计算 2 9 2 2 2" xfId="3169"/>
    <cellStyle name="输出 2 8 5 5" xfId="3170"/>
    <cellStyle name="汇总 2 3 8 2 6" xfId="3171"/>
    <cellStyle name="计算 2 2 7 6" xfId="3172"/>
    <cellStyle name="输入 2 12 15 2" xfId="3173"/>
    <cellStyle name="差 2 5" xfId="3174"/>
    <cellStyle name="常规 3 6 2 2 2" xfId="3175"/>
    <cellStyle name="计算 2 10 16 3" xfId="3176"/>
    <cellStyle name="常规 10 3 2 3" xfId="3177"/>
    <cellStyle name="输入 2 7 5 7" xfId="3178"/>
    <cellStyle name="常规 14 2 3 2 2" xfId="3179"/>
    <cellStyle name="输出 2 3 13" xfId="3180"/>
    <cellStyle name="计算 2 14 4 3" xfId="3181"/>
    <cellStyle name="计算 2 5 4 2 5" xfId="3182"/>
    <cellStyle name="汇总 2 12 14 4" xfId="3183"/>
    <cellStyle name="输出 2 7 10 3" xfId="3184"/>
    <cellStyle name="常规 4 2 4 2 2" xfId="3185"/>
    <cellStyle name="输出 2 7 4 3" xfId="3186"/>
    <cellStyle name="常规 3 2" xfId="3187"/>
    <cellStyle name="常规 2 6 2 3" xfId="3188"/>
    <cellStyle name="40% - 强调文字颜色 4 2 14 2" xfId="3189"/>
    <cellStyle name="汇总 2 6 5 2 4" xfId="3190"/>
    <cellStyle name="输出 2 3 3 2 2" xfId="3191"/>
    <cellStyle name="注释 2 8 9" xfId="3192"/>
    <cellStyle name="计算 2 2 14 4" xfId="3193"/>
    <cellStyle name="注释 2 13 10 5" xfId="3194"/>
    <cellStyle name="汇总 2 9 4 5" xfId="3195"/>
    <cellStyle name="注释 2 11 3 2 3" xfId="3196"/>
    <cellStyle name="输出 2 10 7 2 6" xfId="3197"/>
    <cellStyle name="计算 2 10 5 2" xfId="3198"/>
    <cellStyle name="输出 2 3 14 3" xfId="3199"/>
    <cellStyle name="计算 2 10 9 2 4" xfId="3200"/>
    <cellStyle name="计算 2 2 7 4" xfId="3201"/>
    <cellStyle name="输入 2 11 9 2 4" xfId="3202"/>
    <cellStyle name="汇总 2 10 3 3" xfId="3203"/>
    <cellStyle name="标题 4 2 9" xfId="3204"/>
    <cellStyle name="常规 3 3" xfId="3205"/>
    <cellStyle name="输出 2 7 4 4" xfId="3206"/>
    <cellStyle name="输出 2 24" xfId="3207"/>
    <cellStyle name="输出 2 19" xfId="3208"/>
    <cellStyle name="常规 2 2 4" xfId="3209"/>
    <cellStyle name="输入 2 3 15 4" xfId="3210"/>
    <cellStyle name="输出 2 6 8 2" xfId="3211"/>
    <cellStyle name="输入 2 3 2 5" xfId="3212"/>
    <cellStyle name="汇总 2 7 13 5" xfId="3213"/>
    <cellStyle name="常规 40 5 2" xfId="3214"/>
    <cellStyle name="汇总 2 2 4 6" xfId="3215"/>
    <cellStyle name="注释 2 2 2 3" xfId="3216"/>
    <cellStyle name="汇总 2 10 4 2 6" xfId="3217"/>
    <cellStyle name="注释 2 9 2 2 2" xfId="3218"/>
    <cellStyle name="注释 2 12 14 3" xfId="3219"/>
    <cellStyle name="输出 2 8 3 7" xfId="3220"/>
    <cellStyle name="常规 10 3_导出数据1" xfId="3221"/>
    <cellStyle name="20% - 强调文字颜色 2 2 3 4" xfId="3222"/>
    <cellStyle name="注释 2 4 10 2 6" xfId="3223"/>
    <cellStyle name="40% - 强调文字颜色 6 2 9" xfId="3224"/>
    <cellStyle name="注释 2 4 7 2 4" xfId="3225"/>
    <cellStyle name="标题 1 2 5 2" xfId="3226"/>
    <cellStyle name="计算 2 18 2 5" xfId="3227"/>
    <cellStyle name="计算 2 23 2 5" xfId="3228"/>
    <cellStyle name="计算 2 5 3 2 4" xfId="3229"/>
    <cellStyle name="输出 2 8 10 5" xfId="3230"/>
    <cellStyle name="常规 12 2 2" xfId="3231"/>
    <cellStyle name="标题 5 4 2" xfId="3232"/>
    <cellStyle name="计算 2 4 8 4" xfId="3233"/>
    <cellStyle name="常规 2 8 2 2 2" xfId="3234"/>
    <cellStyle name="输入 2 2 2 2" xfId="3235"/>
    <cellStyle name="20% - 强调文字颜色 6 2 2_导出数据1" xfId="3236"/>
    <cellStyle name="输出 2 10 7 2 3" xfId="3237"/>
    <cellStyle name="强调文字颜色 2 3" xfId="3238"/>
    <cellStyle name="60% - 强调文字颜色 1 2 8" xfId="3239"/>
    <cellStyle name="输出 2 12 9 3" xfId="3240"/>
    <cellStyle name="输出 2 9 19" xfId="3241"/>
    <cellStyle name="强调文字颜色 6 3 3 2" xfId="3242"/>
    <cellStyle name="汇总 2 9 9 2 6" xfId="3243"/>
    <cellStyle name="输入 3 2 2 2 5" xfId="3244"/>
    <cellStyle name="计算 2 6 12" xfId="3245"/>
    <cellStyle name="注释 3 3 2" xfId="3246"/>
    <cellStyle name="注释 2 9 9 2 4" xfId="3247"/>
    <cellStyle name="注释 2 4 6 7" xfId="3248"/>
    <cellStyle name="计算 2 3 9 3" xfId="3249"/>
    <cellStyle name="汇总 2 11 5 2" xfId="3250"/>
    <cellStyle name="输出 2 6 12 4" xfId="3251"/>
    <cellStyle name="输出 2 6 9 6" xfId="3252"/>
    <cellStyle name="60% - 强调文字颜色 6 3" xfId="3253"/>
    <cellStyle name="好 2 2 4" xfId="3254"/>
    <cellStyle name="汇总 2 2 5 5" xfId="3255"/>
    <cellStyle name="常规 5 2 10" xfId="3256"/>
    <cellStyle name="常规 45 5 2" xfId="3257"/>
    <cellStyle name="注释 2 3 16 6" xfId="3258"/>
    <cellStyle name="汇总 2 2 3 2 5" xfId="3259"/>
    <cellStyle name="40% - 强调文字颜色 2 2 8 2" xfId="3260"/>
    <cellStyle name="计算 2 11 2 2" xfId="3261"/>
    <cellStyle name="注释 2 22 2" xfId="3262"/>
    <cellStyle name="注释 2 17 2" xfId="3263"/>
    <cellStyle name="汇总 2 6 18" xfId="3264"/>
    <cellStyle name="汇总 2 6 23" xfId="3265"/>
    <cellStyle name="计算 2 13 10" xfId="3266"/>
    <cellStyle name="常规 44 4 3" xfId="3267"/>
    <cellStyle name="常规 39 4 3" xfId="3268"/>
    <cellStyle name="汇总 2 12 14" xfId="3269"/>
    <cellStyle name="计算 2 3 5 2 4" xfId="3270"/>
    <cellStyle name="输入 2 21 2 6" xfId="3271"/>
    <cellStyle name="输入 2 16 2 6" xfId="3272"/>
    <cellStyle name="输出 2 10 5" xfId="3273"/>
    <cellStyle name="计算 2 3 6 2 4" xfId="3274"/>
    <cellStyle name="汇总 2 3 2 4 4" xfId="3275"/>
    <cellStyle name="汇总 2 5 3 6" xfId="3276"/>
    <cellStyle name="计算 2 13 2 2 4" xfId="3277"/>
    <cellStyle name="计算 2 8 4 2 6" xfId="3278"/>
    <cellStyle name="汇总 2 11 7 2 3" xfId="3279"/>
    <cellStyle name="计算 2 9 3 3" xfId="3280"/>
    <cellStyle name="输出 2 13 9 2 3" xfId="3281"/>
    <cellStyle name="汇总 2 2 5 6" xfId="3282"/>
    <cellStyle name="输入 2 3 5 3" xfId="3283"/>
    <cellStyle name="输出 2 10 12 6" xfId="3284"/>
    <cellStyle name="计算 2 2 6 4" xfId="3285"/>
    <cellStyle name="标题 3 2 2" xfId="3286"/>
    <cellStyle name="常规 41 3 2 2_导出数据1" xfId="3287"/>
    <cellStyle name="常规 36 3 2 2_导出数据1" xfId="3288"/>
    <cellStyle name="输出 2 6 3 2 3" xfId="3289"/>
    <cellStyle name="汇总 2 8 5" xfId="3290"/>
    <cellStyle name="汇总 3 2 3 5" xfId="3291"/>
    <cellStyle name="输出 2 6 19" xfId="3292"/>
    <cellStyle name="60% - 强调文字颜色 4 2 15" xfId="3293"/>
    <cellStyle name="计算 2 27 2" xfId="3294"/>
    <cellStyle name="常规 42 5 2" xfId="3295"/>
    <cellStyle name="常规 37 5 2" xfId="3296"/>
    <cellStyle name="40% - 强调文字颜色 1 2 9 2" xfId="3297"/>
    <cellStyle name="输入 2 6 13 6" xfId="3298"/>
    <cellStyle name="输入 2 9 9 2 3" xfId="3299"/>
    <cellStyle name="常规 22 3 2_导出数据1" xfId="3300"/>
    <cellStyle name="常规 17 3 2_导出数据1" xfId="3301"/>
    <cellStyle name="输出 2 30 2" xfId="3302"/>
    <cellStyle name="输出 2 25 2" xfId="3303"/>
    <cellStyle name="检查单元格 3 2 2" xfId="3304"/>
    <cellStyle name="常规 16 11" xfId="3305"/>
    <cellStyle name="40% - 强调文字颜色 4 2 11" xfId="3306"/>
    <cellStyle name="40% - 强调文字颜色 2 2 4 2" xfId="3307"/>
    <cellStyle name="汇总 2 10 4 2" xfId="3308"/>
    <cellStyle name="常规 14 2 4" xfId="3309"/>
    <cellStyle name="差 2 2" xfId="3310"/>
    <cellStyle name="注释 2 13 16 3" xfId="3311"/>
    <cellStyle name="常规 2 3 7" xfId="3312"/>
    <cellStyle name="百分比 5 3" xfId="3313"/>
    <cellStyle name="60% - 强调文字颜色 3 2 6" xfId="3314"/>
    <cellStyle name="计算 2 13 13 2" xfId="3315"/>
    <cellStyle name="标题 1 2 6 2" xfId="3316"/>
    <cellStyle name="注释 2 3 3 3" xfId="3317"/>
    <cellStyle name="输出 2 6 9 3" xfId="3318"/>
    <cellStyle name="计算 2 8 5 2" xfId="3319"/>
    <cellStyle name="注释 2 9 2 6" xfId="3320"/>
    <cellStyle name="计算 2 17 4" xfId="3321"/>
    <cellStyle name="计算 2 22 4" xfId="3322"/>
    <cellStyle name="汇总 2 14 2 2 5" xfId="3323"/>
    <cellStyle name="注释 2 8 13 6" xfId="3324"/>
    <cellStyle name="输入 2 12 6 2 5" xfId="3325"/>
    <cellStyle name="计算 2 8 5 2 2" xfId="3326"/>
    <cellStyle name="差 2 2 4" xfId="3327"/>
    <cellStyle name="输入 2 13 2 6" xfId="3328"/>
    <cellStyle name="输入 2 2 7 2" xfId="3329"/>
    <cellStyle name="汇总 2 4 9 6" xfId="3330"/>
    <cellStyle name="输出 2 18 6" xfId="3331"/>
    <cellStyle name="输出 2 23 6" xfId="3332"/>
    <cellStyle name="注释 3 2 4 2" xfId="3333"/>
    <cellStyle name="注释 2 13 13 6" xfId="3334"/>
    <cellStyle name="常规 2 2 2 4 2" xfId="3335"/>
    <cellStyle name="40% - 强调文字颜色 4 2 3 2 2" xfId="3336"/>
    <cellStyle name="标题 2 2 5 3" xfId="3337"/>
    <cellStyle name="注释 3 3 2 2 3" xfId="3338"/>
    <cellStyle name="解释性文本 2 8 2" xfId="3339"/>
    <cellStyle name="常规 14 4 2 2" xfId="3340"/>
    <cellStyle name="常规 5 7 2" xfId="3341"/>
    <cellStyle name="40% - 强调文字颜色 6 2 2 3 2" xfId="3342"/>
    <cellStyle name="计算 2 2 9 2" xfId="3343"/>
    <cellStyle name="常规 14 3 3" xfId="3344"/>
    <cellStyle name="计算 2 12 6 2" xfId="3345"/>
    <cellStyle name="输入 2 9 3 5" xfId="3346"/>
    <cellStyle name="注释 3 2 8" xfId="3347"/>
    <cellStyle name="输出 2 10 16 3" xfId="3348"/>
    <cellStyle name="汇总 2 7 7 3" xfId="3349"/>
    <cellStyle name="输出 2 4 12" xfId="3350"/>
    <cellStyle name="20% - 强调文字颜色 4 2 14" xfId="3351"/>
    <cellStyle name="60% - 强调文字颜色 6 2 8" xfId="3352"/>
    <cellStyle name="常规 7 10 2" xfId="3353"/>
    <cellStyle name="输入 2 20 2 4" xfId="3354"/>
    <cellStyle name="输入 2 15 2 4" xfId="3355"/>
    <cellStyle name="标题 5 2 2" xfId="3356"/>
    <cellStyle name="计算 2 4 6 4" xfId="3357"/>
    <cellStyle name="输入 2 10 6 3" xfId="3358"/>
    <cellStyle name="汇总 2 12 2 3" xfId="3359"/>
    <cellStyle name="注释 2 8 5 2" xfId="3360"/>
    <cellStyle name="60% - 强调文字颜色 5 3 2 2" xfId="3361"/>
    <cellStyle name="常规 2 2 9 2" xfId="3362"/>
    <cellStyle name="注释 2 10 4 6" xfId="3363"/>
    <cellStyle name="汇总 2 8 14 2" xfId="3364"/>
    <cellStyle name="常规 10 2 2" xfId="3365"/>
    <cellStyle name="计算 2 5 4 2 3" xfId="3366"/>
    <cellStyle name="输出 2 11 3 7" xfId="3367"/>
    <cellStyle name="汇总 2 3 9 5" xfId="3368"/>
    <cellStyle name="计算 2 6 9 2" xfId="3369"/>
    <cellStyle name="输入 2 3 7 2 3" xfId="3370"/>
    <cellStyle name="强调文字颜色 3 2 3" xfId="3371"/>
    <cellStyle name="输出 2 8 2 2 2" xfId="3372"/>
    <cellStyle name="注释 2 6 12 3" xfId="3373"/>
    <cellStyle name="输入 2 2 2 4 6" xfId="3374"/>
    <cellStyle name="输出 2 4 19" xfId="3375"/>
    <cellStyle name="计算 2 3 11 6" xfId="3376"/>
    <cellStyle name="常规 19 2 4" xfId="3377"/>
    <cellStyle name="常规 24 2 4" xfId="3378"/>
    <cellStyle name="输入 2 13 8 2" xfId="3379"/>
    <cellStyle name="汇总 2 2 7 2 6" xfId="3380"/>
    <cellStyle name="输入 2 9 10 5" xfId="3381"/>
    <cellStyle name="输入 2 3 18" xfId="3382"/>
    <cellStyle name="输入 2 3 23" xfId="3383"/>
    <cellStyle name="输入 2 4 2 2" xfId="3384"/>
    <cellStyle name="注释 3 3 3 3" xfId="3385"/>
    <cellStyle name="标题 2 2 6 2" xfId="3386"/>
    <cellStyle name="注释 2 13 16 2" xfId="3387"/>
    <cellStyle name="汇总 2 2 3 4 6" xfId="3388"/>
    <cellStyle name="计算 2 8 9 2 4" xfId="3389"/>
    <cellStyle name="常规 16 3 2 2" xfId="3390"/>
    <cellStyle name="常规 21 3 2 2" xfId="3391"/>
    <cellStyle name="输出 2 12 10 3" xfId="3392"/>
    <cellStyle name="注释 2 5 5 5" xfId="3393"/>
    <cellStyle name="常规 27 4" xfId="3394"/>
    <cellStyle name="输出 2 9 2 4" xfId="3395"/>
    <cellStyle name="计算 2 7 7 2 4" xfId="3396"/>
    <cellStyle name="输入 2 10 9 6" xfId="3397"/>
    <cellStyle name="计算 2 8 5 4" xfId="3398"/>
    <cellStyle name="输出 2 6 9 5" xfId="3399"/>
    <cellStyle name="输入 2 9 8 6" xfId="3400"/>
    <cellStyle name="计算 2 3 8 3" xfId="3401"/>
    <cellStyle name="输出 2 3 2 3" xfId="3402"/>
    <cellStyle name="计算 2 4 4 6" xfId="3403"/>
    <cellStyle name="差_导出数据1_1 2" xfId="3404"/>
    <cellStyle name="60% - 强调文字颜色 6 2 14" xfId="3405"/>
    <cellStyle name="常规 12 3 3" xfId="3406"/>
    <cellStyle name="计算 2 12 6 2 4" xfId="3407"/>
    <cellStyle name="40% - 强调文字颜色 1 2 12 2" xfId="3408"/>
    <cellStyle name="计算 2 5 2 2" xfId="3409"/>
    <cellStyle name="输出 2 4 3 5" xfId="3410"/>
    <cellStyle name="输入 2 4 7 7" xfId="3411"/>
    <cellStyle name="注释 2 4 2 2 6" xfId="3412"/>
    <cellStyle name="注释 2 4 3 4 3" xfId="3413"/>
    <cellStyle name="常规 9 5_导出数据1" xfId="3414"/>
    <cellStyle name="汇总 2 11 15 3" xfId="3415"/>
    <cellStyle name="注释 2 3 2 2 2 6" xfId="3416"/>
    <cellStyle name="输出 2 7 8 3" xfId="3417"/>
    <cellStyle name="标题 2 2 12 3" xfId="3418"/>
    <cellStyle name="汇总 2 10 8 3" xfId="3419"/>
    <cellStyle name="常规 14 2 2 3 2 2" xfId="3420"/>
    <cellStyle name="汇总 2 2 4 2 4" xfId="3421"/>
    <cellStyle name="常规 40 4 2_导出数据1" xfId="3422"/>
    <cellStyle name="计算 2 14 2 2 2" xfId="3423"/>
    <cellStyle name="输入 2 2 10 2 5" xfId="3424"/>
    <cellStyle name="计算 2 3 12 3" xfId="3425"/>
    <cellStyle name="常规 5 5 3" xfId="3426"/>
    <cellStyle name="常规 16 10" xfId="3427"/>
    <cellStyle name="输入 2 6 7 2 5" xfId="3428"/>
    <cellStyle name="汇总 2 11 5 5" xfId="3429"/>
    <cellStyle name="计算 2 3 9 6" xfId="3430"/>
    <cellStyle name="输入 2 30 4" xfId="3431"/>
    <cellStyle name="输入 2 25 4" xfId="3432"/>
    <cellStyle name="常规 2 3 2 3" xfId="3433"/>
    <cellStyle name="注释 2 5" xfId="3434"/>
    <cellStyle name="适中 2 3 2" xfId="3435"/>
    <cellStyle name="常规 45 3 2 2 2 2" xfId="3436"/>
    <cellStyle name="强调文字颜色 2 2 4" xfId="3437"/>
    <cellStyle name="计算 2 12 4 2 6" xfId="3438"/>
    <cellStyle name="标题 1 2 6" xfId="3439"/>
    <cellStyle name="常规 12 3" xfId="3440"/>
    <cellStyle name="汇总 2 8 16" xfId="3441"/>
    <cellStyle name="汇总 2 8 21" xfId="3442"/>
    <cellStyle name="常规 10 3 3 2" xfId="3443"/>
    <cellStyle name="输入 2 12 19" xfId="3444"/>
    <cellStyle name="计算 2 3 7 7" xfId="3445"/>
    <cellStyle name="常规 9 3 3 2 2" xfId="3446"/>
    <cellStyle name="汇总 2 8 5 2 4" xfId="3447"/>
    <cellStyle name="计算 2 3 5 2 3" xfId="3448"/>
    <cellStyle name="输入 2 12 2 4" xfId="3449"/>
    <cellStyle name="汇总 2 9 5 2 5" xfId="3450"/>
    <cellStyle name="计算 2 4 5 2 4" xfId="3451"/>
    <cellStyle name="常规 15 2 3" xfId="3452"/>
    <cellStyle name="常规 20 2 3" xfId="3453"/>
    <cellStyle name="汇总 2 12 15 2" xfId="3454"/>
    <cellStyle name="输入 2 12 11 2" xfId="3455"/>
    <cellStyle name="汇总 2 11 3 7" xfId="3456"/>
    <cellStyle name="常规 2 4 11 2" xfId="3457"/>
    <cellStyle name="输出 2 11 7 6" xfId="3458"/>
    <cellStyle name="计算 2 7 6 5" xfId="3459"/>
    <cellStyle name="输入 2 8 3 2 2" xfId="3460"/>
    <cellStyle name="输出 2 2 12 5" xfId="3461"/>
    <cellStyle name="输入 2 4 5 2" xfId="3462"/>
    <cellStyle name="输入 2 2 26" xfId="3463"/>
    <cellStyle name="汇总 2 3 5 2 5" xfId="3464"/>
    <cellStyle name="注释 2 9 5" xfId="3465"/>
    <cellStyle name="输出 2 6 2 4" xfId="3466"/>
    <cellStyle name="汇总 2 11 9 2 2" xfId="3467"/>
    <cellStyle name="注释 2 2 7 2 6" xfId="3468"/>
    <cellStyle name="常规 4_导出数据1" xfId="3469"/>
    <cellStyle name="输入 2 7 9 2" xfId="3470"/>
    <cellStyle name="输出 2 19 7" xfId="3471"/>
    <cellStyle name="计算 2 3 8 4" xfId="3472"/>
    <cellStyle name="汇总 2 11 4 3" xfId="3473"/>
    <cellStyle name="常规 9 5 2 2" xfId="3474"/>
    <cellStyle name="注释 2 7 10 2" xfId="3475"/>
    <cellStyle name="注释 2 4 2 6" xfId="3476"/>
    <cellStyle name="输出 2 5 2 6" xfId="3477"/>
    <cellStyle name="输出 2 8 8" xfId="3478"/>
    <cellStyle name="计算 2 6 2 2" xfId="3479"/>
    <cellStyle name="注释 2 4 9 2" xfId="3480"/>
    <cellStyle name="汇总 2 9 9 4" xfId="3481"/>
    <cellStyle name="计算 2 6 15 2" xfId="3482"/>
    <cellStyle name="汇总 2 14 7" xfId="3483"/>
    <cellStyle name="输入 2 2 10 5" xfId="3484"/>
    <cellStyle name="计算 2 13 8 4" xfId="3485"/>
    <cellStyle name="计算 2 3 8 5" xfId="3486"/>
    <cellStyle name="注释 2 11 7 2 4" xfId="3487"/>
    <cellStyle name="输入 2 12 4 2 3" xfId="3488"/>
    <cellStyle name="注释 2 12 9 5" xfId="3489"/>
    <cellStyle name="汇总 2 2 3 4 3" xfId="3490"/>
    <cellStyle name="汇总 2 2 9 4" xfId="3491"/>
    <cellStyle name="计算 2 6 10 6" xfId="3492"/>
    <cellStyle name="计算 2 5 7 5" xfId="3493"/>
    <cellStyle name="常规 16 2_Sheet1" xfId="3494"/>
    <cellStyle name="常规 21 2_Sheet1" xfId="3495"/>
    <cellStyle name="注释 2 5 2 3" xfId="3496"/>
    <cellStyle name="常规 24 2" xfId="3497"/>
    <cellStyle name="常规 19 2" xfId="3498"/>
    <cellStyle name="计算 2 18 2 6" xfId="3499"/>
    <cellStyle name="计算 2 23 2 6" xfId="3500"/>
    <cellStyle name="注释 2 3 8 2 2" xfId="3501"/>
    <cellStyle name="常规 10 7_导出数据1" xfId="3502"/>
    <cellStyle name="输入 2 4 5 6" xfId="3503"/>
    <cellStyle name="常规 2 8 8" xfId="3504"/>
    <cellStyle name="注释 2 9 12 3" xfId="3505"/>
    <cellStyle name="输出 2 8 3 6" xfId="3506"/>
    <cellStyle name="输入 2 13 6 2 6" xfId="3507"/>
    <cellStyle name="输出 2 4 2 2 5" xfId="3508"/>
    <cellStyle name="输入 2 12 14 4" xfId="3509"/>
    <cellStyle name="汇总 2 9 2 3" xfId="3510"/>
    <cellStyle name="输入 2 2 10 2 6" xfId="3511"/>
    <cellStyle name="输入 2 4 4 7" xfId="3512"/>
    <cellStyle name="输出 2 2 6" xfId="3513"/>
    <cellStyle name="输出 2 8 10 4" xfId="3514"/>
    <cellStyle name="输入 2 4 9 2 2" xfId="3515"/>
    <cellStyle name="常规 3 2 4 2" xfId="3516"/>
    <cellStyle name="常规 18 2 2 2_导出数据1" xfId="3517"/>
    <cellStyle name="常规 23 2 2 2_导出数据1" xfId="3518"/>
    <cellStyle name="常规 14 3 2_导出数据1" xfId="3519"/>
    <cellStyle name="计算 2 2 10 5" xfId="3520"/>
    <cellStyle name="注释 3 5 3" xfId="3521"/>
    <cellStyle name="40% - 强调文字颜色 3 2 2 3" xfId="3522"/>
    <cellStyle name="常规 9 2 4 2" xfId="3523"/>
    <cellStyle name="输出 2 4 5 6" xfId="3524"/>
    <cellStyle name="40% - 强调文字颜色 1 2" xfId="3525"/>
    <cellStyle name="注释 3 2 2 5" xfId="3526"/>
    <cellStyle name="常规 2 2 2 3 2" xfId="3527"/>
    <cellStyle name="计算 2 6 23" xfId="3528"/>
    <cellStyle name="计算 2 6 18" xfId="3529"/>
    <cellStyle name="常规 7 3 2 3 2" xfId="3530"/>
    <cellStyle name="输出 2 13 5 3" xfId="3531"/>
    <cellStyle name="注释 2 6 9 4" xfId="3532"/>
    <cellStyle name="计算 2 14 2 2 3" xfId="3533"/>
    <cellStyle name="计算 2 5 10 2" xfId="3534"/>
    <cellStyle name="计算 2 8 16 3" xfId="3535"/>
    <cellStyle name="输入 2 4 6 2 2" xfId="3536"/>
    <cellStyle name="计算 2 10 13 5" xfId="3537"/>
    <cellStyle name="计算 2 7 11 3" xfId="3538"/>
    <cellStyle name="20% - 强调文字颜色 1 2 9 3" xfId="3539"/>
    <cellStyle name="汇总 2 2 15 4" xfId="3540"/>
    <cellStyle name="40% - 强调文字颜色 4 2 17" xfId="3541"/>
    <cellStyle name="计算 2 6 10" xfId="3542"/>
    <cellStyle name="计算 2 3 15" xfId="3543"/>
    <cellStyle name="计算 2 3 20" xfId="3544"/>
    <cellStyle name="注释 2 3 21" xfId="3545"/>
    <cellStyle name="注释 2 3 16" xfId="3546"/>
    <cellStyle name="常规 11 4" xfId="3547"/>
    <cellStyle name="输出 2 7 5 2 5" xfId="3548"/>
    <cellStyle name="常规 2 2 2_Sheet1" xfId="3549"/>
    <cellStyle name="输出 2 12 2 2 4" xfId="3550"/>
    <cellStyle name="输入 2 6 11 4" xfId="3551"/>
    <cellStyle name="常规 10 6" xfId="3552"/>
    <cellStyle name="输入 2 3 7 7" xfId="3553"/>
    <cellStyle name="计算 2 12 2 2 4" xfId="3554"/>
    <cellStyle name="输入 2 8 6 2 3" xfId="3555"/>
    <cellStyle name="注释 2 7 3" xfId="3556"/>
    <cellStyle name="常规 2 4 9" xfId="3557"/>
    <cellStyle name="输出 2 12 16" xfId="3558"/>
    <cellStyle name="输出 2 12 21" xfId="3559"/>
    <cellStyle name="汇总 2 11 8 2" xfId="3560"/>
    <cellStyle name="输出 2 11 5 6" xfId="3561"/>
    <cellStyle name="计算 2 6 7 2 5" xfId="3562"/>
    <cellStyle name="注释 2 8 12 2" xfId="3563"/>
    <cellStyle name="计算 2 16 2 2" xfId="3564"/>
    <cellStyle name="计算 2 21 2 2" xfId="3565"/>
    <cellStyle name="注释 2 3 12 2" xfId="3566"/>
    <cellStyle name="计算 2 14 3" xfId="3567"/>
    <cellStyle name="注释 2 13 13 3" xfId="3568"/>
    <cellStyle name="解释性文本 2 2" xfId="3569"/>
    <cellStyle name="输出 2 6 9 2 6" xfId="3570"/>
    <cellStyle name="常规 6 2 3_导出数据1" xfId="3571"/>
    <cellStyle name="计算 2 14 3 6" xfId="3572"/>
    <cellStyle name="常规 13 2 3 2" xfId="3573"/>
    <cellStyle name="注释 2 12 2 5" xfId="3574"/>
    <cellStyle name="常规 8 7 2" xfId="3575"/>
    <cellStyle name="计算 2 7" xfId="3576"/>
    <cellStyle name="汇总 2 2 2 2 3 4" xfId="3577"/>
    <cellStyle name="输入 2 12 18" xfId="3578"/>
    <cellStyle name="输入 2 12 23" xfId="3579"/>
    <cellStyle name="注释 2 4 9 2 5" xfId="3580"/>
    <cellStyle name="输出 2 8 8 5" xfId="3581"/>
    <cellStyle name="输入 2 11 8 4" xfId="3582"/>
    <cellStyle name="输出 2 9 6 4" xfId="3583"/>
    <cellStyle name="汇总 2 12 9 6" xfId="3584"/>
    <cellStyle name="注释 2 6 12 2" xfId="3585"/>
    <cellStyle name="20% - 强调文字颜色 4 2 9 2" xfId="3586"/>
    <cellStyle name="常规 10 3 4 2" xfId="3587"/>
    <cellStyle name="汇总 2 26 2" xfId="3588"/>
    <cellStyle name="汇总 2 2 2" xfId="3589"/>
    <cellStyle name="输出 2 12 6 2 5" xfId="3590"/>
    <cellStyle name="输入 2 2 2 3 2" xfId="3591"/>
    <cellStyle name="输出 3" xfId="3592"/>
    <cellStyle name="计算 2 5 7 4" xfId="3593"/>
    <cellStyle name="注释 2 8 16 2" xfId="3594"/>
    <cellStyle name="输入 2 4 2 2 5" xfId="3595"/>
    <cellStyle name="注释 2 5 2" xfId="3596"/>
    <cellStyle name="差 2 9 2" xfId="3597"/>
    <cellStyle name="输入 2 4 4 2 3" xfId="3598"/>
    <cellStyle name="计算 2 13 12" xfId="3599"/>
    <cellStyle name="计算 2 5 6 2 2" xfId="3600"/>
    <cellStyle name="汇总 2 10 6 3" xfId="3601"/>
    <cellStyle name="汇总 2 2 6 2 4" xfId="3602"/>
    <cellStyle name="汇总 2 14 5" xfId="3603"/>
    <cellStyle name="20% - 强调文字颜色 4 2 2 5" xfId="3604"/>
    <cellStyle name="汇总 2 12 2 2" xfId="3605"/>
    <cellStyle name="常规 34 3 4 2 2" xfId="3606"/>
    <cellStyle name="20% - 强调文字颜色 1 2 3 3" xfId="3607"/>
    <cellStyle name="强调文字颜色 4 2 14" xfId="3608"/>
    <cellStyle name="输入 2 4 10 2" xfId="3609"/>
    <cellStyle name="计算 2 2 8 7" xfId="3610"/>
    <cellStyle name="注释 2 12 8 3" xfId="3611"/>
    <cellStyle name="输出 2 2 10 6" xfId="3612"/>
    <cellStyle name="60% - 强调文字颜色 2 2 6" xfId="3613"/>
    <cellStyle name="计算 2 14" xfId="3614"/>
    <cellStyle name="注释 2 25 2" xfId="3615"/>
    <cellStyle name="注释 2 30 2" xfId="3616"/>
    <cellStyle name="输入 2 8 9 2 4" xfId="3617"/>
    <cellStyle name="计算 2 3 6 5" xfId="3618"/>
    <cellStyle name="计算 2 21 7" xfId="3619"/>
    <cellStyle name="40% - 强调文字颜色 6 2 9 2" xfId="3620"/>
    <cellStyle name="20% - 强调文字颜色 3 2 12" xfId="3621"/>
    <cellStyle name="计算 2 22 2 2" xfId="3622"/>
    <cellStyle name="计算 2 17 2 2" xfId="3623"/>
    <cellStyle name="输入 2 5 6 6" xfId="3624"/>
    <cellStyle name="注释 2 11 6 2 5" xfId="3625"/>
    <cellStyle name="汇总 2 3 7 2 3" xfId="3626"/>
    <cellStyle name="输入 2 3 2 3" xfId="3627"/>
    <cellStyle name="注释 2 6 2 2 2" xfId="3628"/>
    <cellStyle name="汇总 2 12 9 2 3" xfId="3629"/>
    <cellStyle name="输出 2 11 5 7" xfId="3630"/>
    <cellStyle name="输入 2 7 3" xfId="3631"/>
    <cellStyle name="输入 2 3 9 5" xfId="3632"/>
    <cellStyle name="常规 12 4" xfId="3633"/>
    <cellStyle name="常规 28 3 2" xfId="3634"/>
    <cellStyle name="常规 23 3 2 2 2" xfId="3635"/>
    <cellStyle name="常规 18 3 2 2 2" xfId="3636"/>
    <cellStyle name="注释 2 19 2 6" xfId="3637"/>
    <cellStyle name="汇总 2 13 9 6" xfId="3638"/>
    <cellStyle name="输出 2 2 2 2 6" xfId="3639"/>
    <cellStyle name="汇总 2 13 12 5" xfId="3640"/>
    <cellStyle name="汇总 2 10 7 2 6" xfId="3641"/>
    <cellStyle name="输出 2 9 3 7" xfId="3642"/>
    <cellStyle name="常规 18 2 2 2 2 2" xfId="3643"/>
    <cellStyle name="常规 23 2 2 2 2 2" xfId="3644"/>
    <cellStyle name="强调文字颜色 3 3_导出数据1" xfId="3645"/>
    <cellStyle name="输入 2 6 12 2" xfId="3646"/>
    <cellStyle name="输出 2 3 9 2" xfId="3647"/>
    <cellStyle name="注释 2 12 8 6" xfId="3648"/>
    <cellStyle name="输出 2 4 4 2 4" xfId="3649"/>
    <cellStyle name="好 2 8 2" xfId="3650"/>
    <cellStyle name="注释 2 3 2 2 3" xfId="3651"/>
    <cellStyle name="计算 2 2 15 5" xfId="3652"/>
    <cellStyle name="40% - 强调文字颜色 3 2 7 3" xfId="3653"/>
    <cellStyle name="计算 2 19 2 5" xfId="3654"/>
    <cellStyle name="输入 2 10 13 4" xfId="3655"/>
    <cellStyle name="注释 2 38" xfId="3656"/>
    <cellStyle name="常规 2 2 3" xfId="3657"/>
    <cellStyle name="输出 2 5 5 6" xfId="3658"/>
    <cellStyle name="汇总 2 12 2 2 4" xfId="3659"/>
    <cellStyle name="输入 2 11 10 6" xfId="3660"/>
    <cellStyle name="常规 9 6 2 2" xfId="3661"/>
    <cellStyle name="计算 2 4 16 2" xfId="3662"/>
    <cellStyle name="常规 36 2 4" xfId="3663"/>
    <cellStyle name="常规 41 2 4" xfId="3664"/>
    <cellStyle name="汇总 2 11 13 3" xfId="3665"/>
    <cellStyle name="常规 7 3 2 2 2" xfId="3666"/>
    <cellStyle name="注释 2 29 2" xfId="3667"/>
    <cellStyle name="输入 2 4 5 2 3" xfId="3668"/>
    <cellStyle name="输入 2 12 3 2 2" xfId="3669"/>
    <cellStyle name="输出 2 6 4 2 2" xfId="3670"/>
    <cellStyle name="计算 2 12 8 4" xfId="3671"/>
    <cellStyle name="输入 2 7 6 2 3" xfId="3672"/>
    <cellStyle name="汇总 2 12 13 6" xfId="3673"/>
    <cellStyle name="汇总 2 3 23" xfId="3674"/>
    <cellStyle name="汇总 2 3 18" xfId="3675"/>
    <cellStyle name="注释 2 3 2 2" xfId="3676"/>
    <cellStyle name="注释 2 6 15 2" xfId="3677"/>
    <cellStyle name="注释 2 2 10 2 3" xfId="3678"/>
    <cellStyle name="差 2 11 2" xfId="3679"/>
    <cellStyle name="注释 3 5 2 6" xfId="3680"/>
    <cellStyle name="计算 2 9 11" xfId="3681"/>
    <cellStyle name="计算 2 3 6" xfId="3682"/>
    <cellStyle name="输出 2 8 2 6" xfId="3683"/>
    <cellStyle name="输入 2 23" xfId="3684"/>
    <cellStyle name="输入 2 18" xfId="3685"/>
    <cellStyle name="汇总 2 5 6 2 3" xfId="3686"/>
    <cellStyle name="输出 2 7 4 2" xfId="3687"/>
    <cellStyle name="输出 2 10 4 8" xfId="3688"/>
    <cellStyle name="计算 2 7 10" xfId="3689"/>
    <cellStyle name="输出 2 30" xfId="3690"/>
    <cellStyle name="输出 2 25" xfId="3691"/>
    <cellStyle name="常规 2 4 14" xfId="3692"/>
    <cellStyle name="常规 11 3 3" xfId="3693"/>
    <cellStyle name="检查单元格 2 11" xfId="3694"/>
    <cellStyle name="输入 2 13 3 2 2" xfId="3695"/>
    <cellStyle name="汇总 2 2 4 2 5" xfId="3696"/>
    <cellStyle name="计算 3 2 3 6" xfId="3697"/>
    <cellStyle name="输出 2 10 16 2" xfId="3698"/>
    <cellStyle name="40% - 强调文字颜色 2 2 2 4" xfId="3699"/>
    <cellStyle name="输出 2 5 6 3" xfId="3700"/>
    <cellStyle name="计算 2 6 13 4" xfId="3701"/>
    <cellStyle name="注释 3 3 3 4" xfId="3702"/>
    <cellStyle name="汇总 2 12 4 6" xfId="3703"/>
    <cellStyle name="20% - 强调文字颜色 2 2 3 3 2" xfId="3704"/>
    <cellStyle name="常规 4 2 3" xfId="3705"/>
    <cellStyle name="输出 2 7 5 6" xfId="3706"/>
    <cellStyle name="注释 2 3 2 2 3 2" xfId="3707"/>
    <cellStyle name="输入 2 7 11 5" xfId="3708"/>
    <cellStyle name="输入 2 3 3 2 4" xfId="3709"/>
    <cellStyle name="强调文字颜色 4 2" xfId="3710"/>
    <cellStyle name="标题 1 2 2 2" xfId="3711"/>
    <cellStyle name="输入 2 10 7 6" xfId="3712"/>
    <cellStyle name="计算 2 8 3" xfId="3713"/>
    <cellStyle name="输入 2 6 7 2 2" xfId="3714"/>
    <cellStyle name="汇总 2 6 9 3" xfId="3715"/>
    <cellStyle name="标题 5 12 3" xfId="3716"/>
    <cellStyle name="注释 2 10 5 2 5" xfId="3717"/>
    <cellStyle name="输入 2 4 8 3" xfId="3718"/>
    <cellStyle name="汇总 2 8 2 2" xfId="3719"/>
    <cellStyle name="标题 5 8 3" xfId="3720"/>
    <cellStyle name="计算 2 2 3 2 4" xfId="3721"/>
    <cellStyle name="输出 2 17" xfId="3722"/>
    <cellStyle name="输出 2 22" xfId="3723"/>
    <cellStyle name="百分比 5 2 2 2" xfId="3724"/>
    <cellStyle name="汇总 2 5 16 3" xfId="3725"/>
    <cellStyle name="常规 34 4 2 2 2" xfId="3726"/>
    <cellStyle name="计算 2 2 16 3" xfId="3727"/>
    <cellStyle name="常规 2 2 5 4 4" xfId="3728"/>
    <cellStyle name="注释 2 10 6 6" xfId="3729"/>
    <cellStyle name="输入 2 12 3 2 4" xfId="3730"/>
    <cellStyle name="常规 14 4_导出数据1" xfId="3731"/>
    <cellStyle name="好 2 9" xfId="3732"/>
    <cellStyle name="输出 2 3 3 2 3" xfId="3733"/>
    <cellStyle name="注释 2 11 16 2" xfId="3734"/>
    <cellStyle name="好_人事科 数 2_导出数据1 2 2" xfId="3735"/>
    <cellStyle name="输出 2 3 4 2 4" xfId="3736"/>
    <cellStyle name="计算 2 5 6 5" xfId="3737"/>
    <cellStyle name="注释 2 10 20" xfId="3738"/>
    <cellStyle name="注释 2 10 15" xfId="3739"/>
    <cellStyle name="计算 2 3 7 3" xfId="3740"/>
    <cellStyle name="汇总 2 3 3 5" xfId="3741"/>
    <cellStyle name="输入 2 10 13 6" xfId="3742"/>
    <cellStyle name="60% - 强调文字颜色 5 3" xfId="3743"/>
    <cellStyle name="常规 12 3 2" xfId="3744"/>
    <cellStyle name="输出 2 6 3 2 5" xfId="3745"/>
    <cellStyle name="输出 2 8 13 5" xfId="3746"/>
    <cellStyle name="60% - 强调文字颜色 5 2 16" xfId="3747"/>
    <cellStyle name="链接单元格 4 2" xfId="3748"/>
    <cellStyle name="计算 3 2" xfId="3749"/>
    <cellStyle name="汇总 2 9 2 5" xfId="3750"/>
    <cellStyle name="输入 2 5 6 5" xfId="3751"/>
    <cellStyle name="汇总 2 11 12 4" xfId="3752"/>
    <cellStyle name="注释 2 8 14 2" xfId="3753"/>
    <cellStyle name="输出 2 12 2 2 3" xfId="3754"/>
    <cellStyle name="链接单元格 2 15" xfId="3755"/>
    <cellStyle name="注释 2 3 14 5" xfId="3756"/>
    <cellStyle name="输出 2 27 2" xfId="3757"/>
    <cellStyle name="汇总 2 8 15 4" xfId="3758"/>
    <cellStyle name="计算 2 6 13 5" xfId="3759"/>
    <cellStyle name="汇总 2 13 10 6" xfId="3760"/>
    <cellStyle name="注释 3 2 2 6" xfId="3761"/>
    <cellStyle name="计算 2 8 4 3" xfId="3762"/>
    <cellStyle name="输出 2 6 8 4" xfId="3763"/>
    <cellStyle name="计算 2 10 14 3" xfId="3764"/>
    <cellStyle name="常规 2 3 2 10" xfId="3765"/>
    <cellStyle name="汇总 2 4 5 4" xfId="3766"/>
    <cellStyle name="输出 2 6 12 2" xfId="3767"/>
    <cellStyle name="计算 2 15 4 4" xfId="3768"/>
    <cellStyle name="40% - 强调文字颜色 5 2 9" xfId="3769"/>
    <cellStyle name="输入 2 3 6 3" xfId="3770"/>
    <cellStyle name="输入 2 6 7 2 3" xfId="3771"/>
    <cellStyle name="输出 2 4 2 2" xfId="3772"/>
    <cellStyle name="注释 2 14 4 2" xfId="3773"/>
    <cellStyle name="计算 2 7 2 2 2" xfId="3774"/>
    <cellStyle name="20% - 强调文字颜色 6 2 14" xfId="3775"/>
    <cellStyle name="输入 2 6 2 2 6" xfId="3776"/>
    <cellStyle name="计算 2 6 6 5" xfId="3777"/>
    <cellStyle name="常规 41 4 3 2 2" xfId="3778"/>
    <cellStyle name="常规 36 4 3 2 2" xfId="3779"/>
    <cellStyle name="输入 2 13 15 3" xfId="3780"/>
    <cellStyle name="常规 14 2" xfId="3781"/>
    <cellStyle name="汇总 2 3 2 4 2" xfId="3782"/>
    <cellStyle name="计算 2 8 2 2 5" xfId="3783"/>
    <cellStyle name="计算 2 2 14 2" xfId="3784"/>
    <cellStyle name="计算 2 5 8 6" xfId="3785"/>
    <cellStyle name="输入 2 10 2 6" xfId="3786"/>
    <cellStyle name="链接单元格 2 7 2" xfId="3787"/>
    <cellStyle name="汇总 2 6 2 2 5" xfId="3788"/>
    <cellStyle name="输入 2 4 2 2 3" xfId="3789"/>
    <cellStyle name="常规 9 2 5 2 2" xfId="3790"/>
    <cellStyle name="输入 2 5 6 7" xfId="3791"/>
    <cellStyle name="输出 2 9 2 6" xfId="3792"/>
    <cellStyle name="标题 4 2 8 3" xfId="3793"/>
    <cellStyle name="百分比 2 8" xfId="3794"/>
    <cellStyle name="汇总 2 13 9 5" xfId="3795"/>
    <cellStyle name="注释 2 10 2 2" xfId="3796"/>
    <cellStyle name="汇总 2 8 10" xfId="3797"/>
    <cellStyle name="输出 2 4 10 5" xfId="3798"/>
    <cellStyle name="计算 2 7 4" xfId="3799"/>
    <cellStyle name="注释 2 12 2 3" xfId="3800"/>
    <cellStyle name="百分比 5 3 2 2" xfId="3801"/>
    <cellStyle name="60% - 强调文字颜色 2 2 5" xfId="3802"/>
    <cellStyle name="输出 2 12 4 2 5" xfId="3803"/>
    <cellStyle name="常规_Sheet1" xfId="3804"/>
    <cellStyle name="常规 2 3 2 2 2 2" xfId="3805"/>
    <cellStyle name="输出 2 18 2 2" xfId="3806"/>
    <cellStyle name="输出 2 23 2 2" xfId="3807"/>
    <cellStyle name="计算 2 14 4 5" xfId="3808"/>
    <cellStyle name="常规 2 8 7" xfId="3809"/>
    <cellStyle name="常规 17 2" xfId="3810"/>
    <cellStyle name="计算 2 8 15 3" xfId="3811"/>
    <cellStyle name="计算 2 11 7 2 6" xfId="3812"/>
    <cellStyle name="汇总 2 26 6" xfId="3813"/>
    <cellStyle name="汇总 2 2 6" xfId="3814"/>
    <cellStyle name="计算 2 13 4 2 6" xfId="3815"/>
    <cellStyle name="注释 2 3 2 4 3" xfId="3816"/>
    <cellStyle name="注释 2 9 6 5" xfId="3817"/>
    <cellStyle name="输入 2 13 9 2 2" xfId="3818"/>
    <cellStyle name="注释 2 3 3 4" xfId="3819"/>
    <cellStyle name="计算 2 3 4 2" xfId="3820"/>
    <cellStyle name="计算 2 3 7" xfId="3821"/>
    <cellStyle name="输出 2 13 3 6" xfId="3822"/>
    <cellStyle name="汇总 3 2 5" xfId="3823"/>
    <cellStyle name="输出 2 21 3" xfId="3824"/>
    <cellStyle name="输出 2 16 3" xfId="3825"/>
    <cellStyle name="差 2 6 2" xfId="3826"/>
    <cellStyle name="计算 2 11 12" xfId="3827"/>
    <cellStyle name="20% - 强调文字颜色 6 2 11" xfId="3828"/>
    <cellStyle name="注释 2 4 7 2 5" xfId="3829"/>
    <cellStyle name="汇总 2 8 7 3" xfId="3830"/>
    <cellStyle name="60% - 强调文字颜色 6 2 13 2" xfId="3831"/>
    <cellStyle name="输入 2 7 5 5" xfId="3832"/>
    <cellStyle name="注释 3 5 7" xfId="3833"/>
    <cellStyle name="汇总 2 2 2 3 2 6" xfId="3834"/>
    <cellStyle name="注释 2 4 9 4" xfId="3835"/>
    <cellStyle name="计算 2 12 7 2 6" xfId="3836"/>
    <cellStyle name="常规 10 2 3_导出数据1" xfId="3837"/>
    <cellStyle name="检查单元格 2 9 2" xfId="3838"/>
    <cellStyle name="40% - 强调文字颜色 5 2 11 3" xfId="3839"/>
    <cellStyle name="汇总 2 13 16 3" xfId="3840"/>
    <cellStyle name="输入 2 28 6" xfId="3841"/>
    <cellStyle name="计算 2 22 3 3" xfId="3842"/>
    <cellStyle name="常规 7 7 2" xfId="3843"/>
    <cellStyle name="计算 3 4 3" xfId="3844"/>
    <cellStyle name="输入 2 10 2 2 4" xfId="3845"/>
    <cellStyle name="40% - 强调文字颜色 6 2 13" xfId="3846"/>
    <cellStyle name="计算 2 5 4 6" xfId="3847"/>
    <cellStyle name="输入 2 11 4 5" xfId="3848"/>
    <cellStyle name="计算 3 6 4" xfId="3849"/>
    <cellStyle name="汇总 2 9 2" xfId="3850"/>
    <cellStyle name="输入 2 9 2 2" xfId="3851"/>
    <cellStyle name="计算 2 8 2 2 6" xfId="3852"/>
    <cellStyle name="注释 2 2 9 2" xfId="3853"/>
    <cellStyle name="输入 2 4 7 3" xfId="3854"/>
    <cellStyle name="输出 2 2 6 2" xfId="3855"/>
    <cellStyle name="汇总 2 2 7" xfId="3856"/>
    <cellStyle name="汇总 2 2 2 4" xfId="3857"/>
    <cellStyle name="计算 2 22 6" xfId="3858"/>
    <cellStyle name="计算 2 17 6" xfId="3859"/>
    <cellStyle name="常规 39 3 3 2" xfId="3860"/>
    <cellStyle name="常规 44 3 3 2" xfId="3861"/>
    <cellStyle name="计算 2 4 4 8" xfId="3862"/>
    <cellStyle name="汇总 2 4 3 2 3" xfId="3863"/>
    <cellStyle name="常规 34 2 2 3" xfId="3864"/>
    <cellStyle name="汇总 2 2 10 5" xfId="3865"/>
    <cellStyle name="输出 2 2 14 4" xfId="3866"/>
    <cellStyle name="计算 2 10 4 2 5" xfId="3867"/>
    <cellStyle name="输出 2 14" xfId="3868"/>
    <cellStyle name="注释 2 8 4 3" xfId="3869"/>
    <cellStyle name="输出 2 14 2 4" xfId="3870"/>
    <cellStyle name="输入 2 13 9 2 3" xfId="3871"/>
    <cellStyle name="汇总 2 10 15 3" xfId="3872"/>
    <cellStyle name="注释 2 4 6 2" xfId="3873"/>
    <cellStyle name="常规 8 5 2 2" xfId="3874"/>
    <cellStyle name="计算 2 20 2 6" xfId="3875"/>
    <cellStyle name="计算 2 15 2 6" xfId="3876"/>
    <cellStyle name="注释 2 12 23" xfId="3877"/>
    <cellStyle name="注释 2 12 18" xfId="3878"/>
    <cellStyle name="计算 2 5 2 2 2" xfId="3879"/>
    <cellStyle name="输入 2 9 8 2" xfId="3880"/>
    <cellStyle name="汇总 2 3 2 3 6" xfId="3881"/>
    <cellStyle name="计算 2 13 3 2 6" xfId="3882"/>
    <cellStyle name="计算 2 2 5 4" xfId="3883"/>
    <cellStyle name="注释 2 24 2" xfId="3884"/>
    <cellStyle name="注释 2 19 2" xfId="3885"/>
    <cellStyle name="计算 2 11 8 5" xfId="3886"/>
    <cellStyle name="汇总 2 13 11 6" xfId="3887"/>
    <cellStyle name="注释 2 6 5 2 2" xfId="3888"/>
    <cellStyle name="输出 2 11" xfId="3889"/>
    <cellStyle name="输入 2 7 3 2 3" xfId="3890"/>
    <cellStyle name="汇总 2 7 4 2 2" xfId="3891"/>
    <cellStyle name="40% - 强调文字颜色 2 2 3 5" xfId="3892"/>
    <cellStyle name="输出 2 10 9 3" xfId="3893"/>
    <cellStyle name="输出 2 4 9 2 3" xfId="3894"/>
    <cellStyle name="输入 2 5 2 6" xfId="3895"/>
    <cellStyle name="输入 2 6 6 3" xfId="3896"/>
    <cellStyle name="计算 2 5 6 4" xfId="3897"/>
    <cellStyle name="计算 2 4 3 2 6" xfId="3898"/>
    <cellStyle name="常规 34 3 2_导出数据1" xfId="3899"/>
    <cellStyle name="60% - 强调文字颜色 6 2 9 2" xfId="3900"/>
    <cellStyle name="20% - 强调文字颜色 5 2 2 6" xfId="3901"/>
    <cellStyle name="汇总 2 6 4 6" xfId="3902"/>
    <cellStyle name="强调文字颜色 4 4" xfId="3903"/>
    <cellStyle name="汇总 2 13 11 2" xfId="3904"/>
    <cellStyle name="注释 2 3 8 2 4" xfId="3905"/>
    <cellStyle name="汇总 2 3 26" xfId="3906"/>
    <cellStyle name="计算 2 7 9 7" xfId="3907"/>
    <cellStyle name="输入 2 5 11 2" xfId="3908"/>
    <cellStyle name="计算 3 6 3" xfId="3909"/>
    <cellStyle name="输出 2 11 7 5" xfId="3910"/>
    <cellStyle name="输出 2 11 9" xfId="3911"/>
    <cellStyle name="汇总 2 13 4 2" xfId="3912"/>
    <cellStyle name="输入 2 11 8 2" xfId="3913"/>
    <cellStyle name="计算 2 9 2 2 5" xfId="3914"/>
    <cellStyle name="常规 3 10 2" xfId="3915"/>
    <cellStyle name="注释 2 6 3 3" xfId="3916"/>
    <cellStyle name="输出 2 3 20" xfId="3917"/>
    <cellStyle name="输出 2 3 15" xfId="3918"/>
    <cellStyle name="注释 2 6 2 4" xfId="3919"/>
    <cellStyle name="注释 2 2 2 5 3" xfId="3920"/>
    <cellStyle name="注释 2 2 2 5 5" xfId="3921"/>
    <cellStyle name="好_全院花名册2017.12起" xfId="3922"/>
    <cellStyle name="计算 2 7 3 2 3" xfId="3923"/>
    <cellStyle name="输出 2 9 3 2 2" xfId="3924"/>
    <cellStyle name="输入 2 22 3 6" xfId="3925"/>
    <cellStyle name="输出 2 10 8 5" xfId="3926"/>
    <cellStyle name="计算 2 4 9 4" xfId="3927"/>
    <cellStyle name="输入 2 2 3 2" xfId="3928"/>
    <cellStyle name="输出 2 7 2 2 2" xfId="3929"/>
    <cellStyle name="汇总 2 21 6" xfId="3930"/>
    <cellStyle name="汇总 2 16 6" xfId="3931"/>
    <cellStyle name="汇总 2 11 3 2 4" xfId="3932"/>
    <cellStyle name="40% - 强调文字颜色 3 2 13 2" xfId="3933"/>
    <cellStyle name="标题 1 3 4" xfId="3934"/>
    <cellStyle name="汇总 2 2 8 6" xfId="3935"/>
    <cellStyle name="注释 2 6 10" xfId="3936"/>
    <cellStyle name="注释 2 7" xfId="3937"/>
    <cellStyle name="输出 2 2 6 2 3" xfId="3938"/>
    <cellStyle name="差 2_导出数据1" xfId="3939"/>
    <cellStyle name="汇总 2 8 23" xfId="3940"/>
    <cellStyle name="汇总 2 8 18" xfId="3941"/>
    <cellStyle name="常规 5 2 4 2 2" xfId="3942"/>
    <cellStyle name="输入 2 26 5" xfId="3943"/>
    <cellStyle name="常规 14 3 3 2" xfId="3944"/>
    <cellStyle name="常规 7 7" xfId="3945"/>
    <cellStyle name="汇总 2 9 9 5" xfId="3946"/>
    <cellStyle name="40% - 强调文字颜色 5 2 11 2" xfId="3947"/>
    <cellStyle name="输出 2 9 5" xfId="3948"/>
    <cellStyle name="输出 2 6 9 2 3" xfId="3949"/>
    <cellStyle name="注释 2 9 10 5" xfId="3950"/>
    <cellStyle name="输入 2 5 16" xfId="3951"/>
    <cellStyle name="输入 2 5 21" xfId="3952"/>
    <cellStyle name="计算 2 2 2 2 2 4" xfId="3953"/>
    <cellStyle name="常规 45 4 2 2 2 2" xfId="3954"/>
    <cellStyle name="40% - 强调文字颜色 3 2 3 2" xfId="3955"/>
    <cellStyle name="计算 2 2 13 6" xfId="3956"/>
    <cellStyle name="输出 2 2 2 4" xfId="3957"/>
    <cellStyle name="汇总 2 2 6 7" xfId="3958"/>
    <cellStyle name="输出 2 5 11 3" xfId="3959"/>
    <cellStyle name="计算 2 5 7 2 2" xfId="3960"/>
    <cellStyle name="20% - 强调文字颜色 1 2 2 2 2 2" xfId="3961"/>
    <cellStyle name="差 3 3" xfId="3962"/>
    <cellStyle name="输出 2 3 2 4" xfId="3963"/>
    <cellStyle name="汇总 2 3 19" xfId="3964"/>
    <cellStyle name="汇总 2 3 24" xfId="3965"/>
    <cellStyle name="输出 2 14 5" xfId="3966"/>
    <cellStyle name="计算 2 10 11" xfId="3967"/>
    <cellStyle name="汇总 2 2 5 4" xfId="3968"/>
    <cellStyle name="常规 5 2 8" xfId="3969"/>
    <cellStyle name="注释 2 6 4 2 4" xfId="3970"/>
    <cellStyle name="汇总 2 3 9 6" xfId="3971"/>
    <cellStyle name="注释 2 4 2 2 5" xfId="3972"/>
    <cellStyle name="强调文字颜色 4 2 8 2" xfId="3973"/>
    <cellStyle name="汇总 2 7 6 5" xfId="3974"/>
    <cellStyle name="输出 2 11 3 2 2" xfId="3975"/>
    <cellStyle name="常规 2 3 10" xfId="3976"/>
    <cellStyle name="注释 2 4 2 4" xfId="3977"/>
    <cellStyle name="注释 2 3 7 4" xfId="3978"/>
    <cellStyle name="适中 2 6" xfId="3979"/>
    <cellStyle name="常规 11 2 2 3" xfId="3980"/>
    <cellStyle name="注释 2 3 6 3" xfId="3981"/>
    <cellStyle name="常规 41 6 2" xfId="3982"/>
    <cellStyle name="常规 36 6 2" xfId="3983"/>
    <cellStyle name="汇总 2 10 7 2 3" xfId="3984"/>
    <cellStyle name="40% - 强调文字颜色 1 2 2 5" xfId="3985"/>
    <cellStyle name="注释 2 5 9 2" xfId="3986"/>
    <cellStyle name="20% - 强调文字颜色 2 3 3 2" xfId="3987"/>
    <cellStyle name="计算 2 19 3" xfId="3988"/>
    <cellStyle name="计算 2 24 3" xfId="3989"/>
    <cellStyle name="常规 20 10" xfId="3990"/>
    <cellStyle name="常规 9 2 2 2 2" xfId="3991"/>
    <cellStyle name="汇总 2 7 10 2" xfId="3992"/>
    <cellStyle name="计算 2 3 21" xfId="3993"/>
    <cellStyle name="计算 2 3 16" xfId="3994"/>
    <cellStyle name="20% - 强调文字颜色 5 3 3" xfId="3995"/>
    <cellStyle name="计算 2 6 15 4" xfId="3996"/>
    <cellStyle name="计算 2 3 4 8" xfId="3997"/>
    <cellStyle name="注释 2 7 12 2" xfId="3998"/>
    <cellStyle name="计算 2 10 16 2" xfId="3999"/>
    <cellStyle name="40% - 强调文字颜色 5 3 2 2" xfId="4000"/>
    <cellStyle name="汇总 2 8 5 2" xfId="4001"/>
    <cellStyle name="计算 2 10 11 6" xfId="4002"/>
    <cellStyle name="输入 2 5 10" xfId="4003"/>
    <cellStyle name="输出 2 12 9 2 2" xfId="4004"/>
    <cellStyle name="汇总 2 3 2 3 3" xfId="4005"/>
    <cellStyle name="输入 2 4 3 4" xfId="4006"/>
    <cellStyle name="计算 2 2 25" xfId="4007"/>
    <cellStyle name="计算 2 23 7" xfId="4008"/>
    <cellStyle name="计算 2 18 7" xfId="4009"/>
    <cellStyle name="常规 34 3 2 3" xfId="4010"/>
    <cellStyle name="输出 2 6 8 3" xfId="4011"/>
    <cellStyle name="计算 2 10 5 4" xfId="4012"/>
    <cellStyle name="计算 2 4 5 2 6" xfId="4013"/>
    <cellStyle name="输出 2 5 16 3" xfId="4014"/>
    <cellStyle name="常规 2 2 5 3 2 2" xfId="4015"/>
    <cellStyle name="汇总 2 11 10" xfId="4016"/>
    <cellStyle name="输出 2 6 9 2" xfId="4017"/>
    <cellStyle name="输入 2 4 5 2 4" xfId="4018"/>
    <cellStyle name="百分比 2 6" xfId="4019"/>
    <cellStyle name="计算 2 2 11 2 2" xfId="4020"/>
    <cellStyle name="常规 12 2 3_导出数据1" xfId="4021"/>
    <cellStyle name="输出 2 13 10 3" xfId="4022"/>
    <cellStyle name="常规 2 2 13 3" xfId="4023"/>
    <cellStyle name="差_导出数据1_1 2_导出数据1 2 2" xfId="4024"/>
    <cellStyle name="20% - 强调文字颜色 4 4 2" xfId="4025"/>
    <cellStyle name="计算 2 23" xfId="4026"/>
    <cellStyle name="计算 2 18" xfId="4027"/>
    <cellStyle name="常规 9" xfId="4028"/>
    <cellStyle name="注释 2 7 2 4" xfId="4029"/>
    <cellStyle name="常规 40 2 4 2" xfId="4030"/>
    <cellStyle name="计算 2 6 4 2 3" xfId="4031"/>
    <cellStyle name="常规 2 2 13 2" xfId="4032"/>
    <cellStyle name="强调文字颜色 6 4" xfId="4033"/>
    <cellStyle name="计算 2 2 2 2 2 3" xfId="4034"/>
    <cellStyle name="汇总 2 2 3 6" xfId="4035"/>
    <cellStyle name="计算 2 7 12 4" xfId="4036"/>
    <cellStyle name="汇总 2 13 13 6" xfId="4037"/>
    <cellStyle name="计算 2 10 6 2 4" xfId="4038"/>
    <cellStyle name="输出 2 10 16" xfId="4039"/>
    <cellStyle name="输出 2 10 21" xfId="4040"/>
    <cellStyle name="输出 2 13 3" xfId="4041"/>
    <cellStyle name="计算 2 19 7" xfId="4042"/>
    <cellStyle name="常规 5 3 2 2 2 2" xfId="4043"/>
    <cellStyle name="计算 2 18 2 4" xfId="4044"/>
    <cellStyle name="计算 2 23 2 4" xfId="4045"/>
    <cellStyle name="输入 2 6 5 3" xfId="4046"/>
    <cellStyle name="输出 2 3 6 2" xfId="4047"/>
    <cellStyle name="标题 2 2 2 2" xfId="4048"/>
    <cellStyle name="汇总 2 13 11" xfId="4049"/>
    <cellStyle name="常规 40 2 2 2" xfId="4050"/>
    <cellStyle name="差_人事科 数_导出数据1 2 2" xfId="4051"/>
    <cellStyle name="注释 2 5 8" xfId="4052"/>
    <cellStyle name="计算 2 14 3 2" xfId="4053"/>
    <cellStyle name="汇总 2 2 2 5 4" xfId="4054"/>
    <cellStyle name="输出 2 8 4 6" xfId="4055"/>
    <cellStyle name="输出 2 40" xfId="4056"/>
    <cellStyle name="输出 2 35" xfId="4057"/>
    <cellStyle name="标题 1 2 2 3" xfId="4058"/>
    <cellStyle name="20% - 强调文字颜色 5 3_导出数据1" xfId="4059"/>
    <cellStyle name="标题 3 2 7" xfId="4060"/>
    <cellStyle name="输入 2 10 11" xfId="4061"/>
    <cellStyle name="输入 2 5 2 4" xfId="4062"/>
    <cellStyle name="计算 2 7 8 6" xfId="4063"/>
    <cellStyle name="常规 4 8 2 2" xfId="4064"/>
    <cellStyle name="输入 2 2 3 3 6" xfId="4065"/>
    <cellStyle name="输出 2 13 14 4" xfId="4066"/>
    <cellStyle name="计算 2 8 9 5" xfId="4067"/>
    <cellStyle name="计算 2 2 9 2 5" xfId="4068"/>
    <cellStyle name="计算 2 2 3" xfId="4069"/>
    <cellStyle name="输入 2 3 7 2" xfId="4070"/>
    <cellStyle name="汇总 2 13 10 5" xfId="4071"/>
    <cellStyle name="常规 40 4 2 2" xfId="4072"/>
    <cellStyle name="汇总 2 13 9 2 6" xfId="4073"/>
    <cellStyle name="注释 2 13 13 2" xfId="4074"/>
    <cellStyle name="适中 2 17" xfId="4075"/>
    <cellStyle name="计算 2 2 3 2 6" xfId="4076"/>
    <cellStyle name="标题 5 7 2" xfId="4077"/>
    <cellStyle name="注释 2 10 18" xfId="4078"/>
    <cellStyle name="注释 2 10 23" xfId="4079"/>
    <cellStyle name="60% - 强调文字颜色 3 2 14 2" xfId="4080"/>
    <cellStyle name="计算 2 4 13" xfId="4081"/>
    <cellStyle name="输入 2 10 5 2 5" xfId="4082"/>
    <cellStyle name="常规 11 3_导出数据1" xfId="4083"/>
    <cellStyle name="注释 2 12 7 4" xfId="4084"/>
    <cellStyle name="常规 27 3 3 2 2" xfId="4085"/>
    <cellStyle name="计算 2 2 9 3" xfId="4086"/>
    <cellStyle name="百分比 2 5 2 2 2" xfId="4087"/>
    <cellStyle name="常规 21 4_导出数据1" xfId="4088"/>
    <cellStyle name="常规 16 4_导出数据1" xfId="4089"/>
    <cellStyle name="计算 2 12 6 4" xfId="4090"/>
  </cellStyles>
  <tableStyles count="0" defaultTableStyle="TableStyleMedium2"/>
  <colors>
    <mruColors>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247"/>
  <sheetViews>
    <sheetView tabSelected="1" workbookViewId="0">
      <pane ySplit="4" topLeftCell="A179" activePane="bottomLeft" state="frozen"/>
      <selection/>
      <selection pane="bottomLeft" activeCell="D5" sqref="D5"/>
    </sheetView>
  </sheetViews>
  <sheetFormatPr defaultColWidth="32.2" defaultRowHeight="14.4"/>
  <cols>
    <col min="1" max="1" width="14.7" style="213" customWidth="1"/>
    <col min="2" max="2" width="11.8833333333333" style="387" customWidth="1"/>
    <col min="3" max="3" width="4.875" style="209" customWidth="1"/>
    <col min="4" max="4" width="4.63333333333333" style="210" customWidth="1"/>
    <col min="5" max="5" width="9" style="210" customWidth="1"/>
    <col min="6" max="6" width="5" style="210" customWidth="1"/>
    <col min="7" max="7" width="23.3083333333333" style="211" customWidth="1"/>
    <col min="8" max="8" width="31.8833333333333" style="211" customWidth="1"/>
    <col min="9" max="9" width="9.63333333333333" style="211" customWidth="1"/>
    <col min="10" max="10" width="6.19166666666667" style="210" customWidth="1"/>
    <col min="11" max="11" width="8.625" style="210" customWidth="1"/>
    <col min="12" max="12" width="11.4083333333333" style="210" customWidth="1"/>
    <col min="13" max="13" width="42.2916666666667" style="211" customWidth="1"/>
    <col min="14" max="14" width="6.13333333333333" style="210" customWidth="1"/>
    <col min="15" max="15" width="8.3" style="210" customWidth="1"/>
    <col min="16" max="16" width="13.2666666666667" style="211" customWidth="1"/>
    <col min="17" max="16384" width="32.2" style="214"/>
  </cols>
  <sheetData>
    <row r="1" ht="17.4" spans="1:16">
      <c r="A1" s="388" t="s">
        <v>0</v>
      </c>
      <c r="B1" s="389"/>
      <c r="C1" s="390"/>
      <c r="D1" s="390"/>
      <c r="E1" s="390"/>
      <c r="F1" s="390"/>
      <c r="G1" s="391"/>
      <c r="H1" s="391"/>
      <c r="I1" s="391"/>
      <c r="J1" s="390"/>
      <c r="K1" s="390"/>
      <c r="L1" s="390"/>
      <c r="M1" s="391"/>
      <c r="N1" s="390"/>
      <c r="O1" s="390"/>
      <c r="P1" s="391"/>
    </row>
    <row r="2" ht="26.4" spans="1:16">
      <c r="A2" s="392" t="s">
        <v>1</v>
      </c>
      <c r="B2" s="393"/>
      <c r="C2" s="394"/>
      <c r="D2" s="394"/>
      <c r="E2" s="394"/>
      <c r="F2" s="394"/>
      <c r="G2" s="394"/>
      <c r="H2" s="394"/>
      <c r="I2" s="394"/>
      <c r="J2" s="394"/>
      <c r="K2" s="394"/>
      <c r="L2" s="394"/>
      <c r="M2" s="394"/>
      <c r="N2" s="394"/>
      <c r="O2" s="394"/>
      <c r="P2" s="394"/>
    </row>
    <row r="3" ht="17.4" spans="1:16">
      <c r="A3" s="388"/>
      <c r="B3" s="395"/>
      <c r="C3" s="396"/>
      <c r="D3" s="396"/>
      <c r="E3" s="396"/>
      <c r="F3" s="396"/>
      <c r="G3" s="397"/>
      <c r="H3" s="397"/>
      <c r="I3" s="397"/>
      <c r="J3" s="396"/>
      <c r="K3" s="396"/>
      <c r="L3" s="396"/>
      <c r="M3" s="397"/>
      <c r="N3" s="396"/>
      <c r="O3" s="443" t="s">
        <v>2</v>
      </c>
      <c r="P3" s="444"/>
    </row>
    <row r="4" s="1" customFormat="1" ht="38" customHeight="1" spans="1:16">
      <c r="A4" s="398" t="s">
        <v>3</v>
      </c>
      <c r="B4" s="398" t="s">
        <v>4</v>
      </c>
      <c r="C4" s="398" t="s">
        <v>5</v>
      </c>
      <c r="D4" s="399" t="s">
        <v>6</v>
      </c>
      <c r="E4" s="399" t="s">
        <v>7</v>
      </c>
      <c r="F4" s="399" t="s">
        <v>8</v>
      </c>
      <c r="G4" s="400" t="s">
        <v>9</v>
      </c>
      <c r="H4" s="400" t="s">
        <v>10</v>
      </c>
      <c r="I4" s="400" t="s">
        <v>11</v>
      </c>
      <c r="J4" s="400" t="s">
        <v>12</v>
      </c>
      <c r="K4" s="445" t="s">
        <v>13</v>
      </c>
      <c r="L4" s="446" t="s">
        <v>14</v>
      </c>
      <c r="M4" s="400" t="s">
        <v>15</v>
      </c>
      <c r="N4" s="398" t="s">
        <v>16</v>
      </c>
      <c r="O4" s="398" t="s">
        <v>17</v>
      </c>
      <c r="P4" s="398" t="s">
        <v>18</v>
      </c>
    </row>
    <row r="5" s="378" customFormat="1" ht="204" customHeight="1" spans="1:16">
      <c r="A5" s="401" t="s">
        <v>19</v>
      </c>
      <c r="B5" s="401">
        <v>111100007</v>
      </c>
      <c r="C5" s="402" t="s">
        <v>20</v>
      </c>
      <c r="D5" s="402" t="s">
        <v>21</v>
      </c>
      <c r="E5" s="402" t="s">
        <v>22</v>
      </c>
      <c r="F5" s="402" t="s">
        <v>21</v>
      </c>
      <c r="G5" s="401" t="s">
        <v>23</v>
      </c>
      <c r="H5" s="401" t="s">
        <v>24</v>
      </c>
      <c r="I5" s="401"/>
      <c r="J5" s="402" t="s">
        <v>25</v>
      </c>
      <c r="K5" s="402">
        <v>351</v>
      </c>
      <c r="L5" s="447">
        <v>298.4</v>
      </c>
      <c r="M5" s="401" t="s">
        <v>26</v>
      </c>
      <c r="N5" s="402" t="s">
        <v>27</v>
      </c>
      <c r="O5" s="448">
        <v>0.1</v>
      </c>
      <c r="P5" s="401"/>
    </row>
    <row r="6" s="379" customFormat="1" ht="48" customHeight="1" spans="1:16">
      <c r="A6" s="401" t="s">
        <v>28</v>
      </c>
      <c r="B6" s="401">
        <v>11110000701</v>
      </c>
      <c r="C6" s="402" t="s">
        <v>20</v>
      </c>
      <c r="D6" s="402" t="s">
        <v>21</v>
      </c>
      <c r="E6" s="402" t="s">
        <v>22</v>
      </c>
      <c r="F6" s="402" t="s">
        <v>21</v>
      </c>
      <c r="G6" s="401" t="s">
        <v>29</v>
      </c>
      <c r="H6" s="401"/>
      <c r="I6" s="401"/>
      <c r="J6" s="402" t="s">
        <v>25</v>
      </c>
      <c r="K6" s="402">
        <v>612</v>
      </c>
      <c r="L6" s="447">
        <v>520.2</v>
      </c>
      <c r="M6" s="401"/>
      <c r="N6" s="402" t="s">
        <v>27</v>
      </c>
      <c r="O6" s="448">
        <v>0.1</v>
      </c>
      <c r="P6" s="401"/>
    </row>
    <row r="7" ht="66" customHeight="1" spans="1:16">
      <c r="A7" s="403" t="s">
        <v>30</v>
      </c>
      <c r="B7" s="404">
        <v>120300001</v>
      </c>
      <c r="C7" s="405"/>
      <c r="D7" s="405"/>
      <c r="E7" s="405"/>
      <c r="F7" s="405"/>
      <c r="G7" s="401" t="s">
        <v>31</v>
      </c>
      <c r="H7" s="401" t="s">
        <v>32</v>
      </c>
      <c r="I7" s="401" t="s">
        <v>33</v>
      </c>
      <c r="J7" s="402"/>
      <c r="K7" s="402"/>
      <c r="L7" s="447"/>
      <c r="M7" s="401" t="s">
        <v>34</v>
      </c>
      <c r="N7" s="409" t="s">
        <v>27</v>
      </c>
      <c r="O7" s="449"/>
      <c r="P7" s="450"/>
    </row>
    <row r="8" s="214" customFormat="1" ht="63" customHeight="1" spans="1:16">
      <c r="A8" s="406"/>
      <c r="B8" s="404">
        <v>12030000140</v>
      </c>
      <c r="C8" s="405" t="s">
        <v>35</v>
      </c>
      <c r="D8" s="405" t="s">
        <v>36</v>
      </c>
      <c r="E8" s="405" t="s">
        <v>37</v>
      </c>
      <c r="F8" s="405" t="s">
        <v>38</v>
      </c>
      <c r="G8" s="404" t="s">
        <v>39</v>
      </c>
      <c r="H8" s="404" t="s">
        <v>40</v>
      </c>
      <c r="I8" s="404"/>
      <c r="J8" s="419" t="s">
        <v>41</v>
      </c>
      <c r="K8" s="419" t="s">
        <v>42</v>
      </c>
      <c r="L8" s="447">
        <v>8.5</v>
      </c>
      <c r="M8" s="404" t="s">
        <v>43</v>
      </c>
      <c r="N8" s="419" t="s">
        <v>27</v>
      </c>
      <c r="O8" s="419"/>
      <c r="P8" s="404"/>
    </row>
    <row r="9" s="214" customFormat="1" ht="33" customHeight="1" spans="1:16">
      <c r="A9" s="406" t="s">
        <v>44</v>
      </c>
      <c r="B9" s="404">
        <v>120400008</v>
      </c>
      <c r="C9" s="405" t="s">
        <v>35</v>
      </c>
      <c r="D9" s="405" t="s">
        <v>36</v>
      </c>
      <c r="E9" s="405" t="s">
        <v>37</v>
      </c>
      <c r="F9" s="405" t="s">
        <v>38</v>
      </c>
      <c r="G9" s="404" t="s">
        <v>45</v>
      </c>
      <c r="H9" s="404" t="s">
        <v>46</v>
      </c>
      <c r="I9" s="404"/>
      <c r="J9" s="419" t="s">
        <v>47</v>
      </c>
      <c r="K9" s="419">
        <v>55</v>
      </c>
      <c r="L9" s="447">
        <v>46.8</v>
      </c>
      <c r="M9" s="404"/>
      <c r="N9" s="419"/>
      <c r="O9" s="419"/>
      <c r="P9" s="404"/>
    </row>
    <row r="10" ht="74" customHeight="1" spans="1:16">
      <c r="A10" s="407" t="s">
        <v>48</v>
      </c>
      <c r="B10" s="403">
        <v>120400011</v>
      </c>
      <c r="C10" s="405" t="s">
        <v>35</v>
      </c>
      <c r="D10" s="405" t="s">
        <v>36</v>
      </c>
      <c r="E10" s="405" t="s">
        <v>37</v>
      </c>
      <c r="F10" s="405" t="s">
        <v>38</v>
      </c>
      <c r="G10" s="408" t="s">
        <v>49</v>
      </c>
      <c r="H10" s="408" t="s">
        <v>50</v>
      </c>
      <c r="I10" s="408" t="s">
        <v>51</v>
      </c>
      <c r="J10" s="451" t="s">
        <v>52</v>
      </c>
      <c r="K10" s="452">
        <v>120</v>
      </c>
      <c r="L10" s="453">
        <v>102</v>
      </c>
      <c r="M10" s="454" t="s">
        <v>53</v>
      </c>
      <c r="N10" s="409" t="s">
        <v>27</v>
      </c>
      <c r="O10" s="455"/>
      <c r="P10" s="456"/>
    </row>
    <row r="11" ht="28.8" spans="1:16">
      <c r="A11" s="407" t="s">
        <v>54</v>
      </c>
      <c r="B11" s="407">
        <v>12040001101</v>
      </c>
      <c r="C11" s="409" t="s">
        <v>35</v>
      </c>
      <c r="D11" s="409" t="s">
        <v>36</v>
      </c>
      <c r="E11" s="409" t="s">
        <v>37</v>
      </c>
      <c r="F11" s="409" t="s">
        <v>38</v>
      </c>
      <c r="G11" s="410" t="s">
        <v>55</v>
      </c>
      <c r="H11" s="410"/>
      <c r="I11" s="410"/>
      <c r="J11" s="409" t="s">
        <v>52</v>
      </c>
      <c r="K11" s="409">
        <v>120</v>
      </c>
      <c r="L11" s="457">
        <v>102</v>
      </c>
      <c r="M11" s="410"/>
      <c r="N11" s="409" t="s">
        <v>27</v>
      </c>
      <c r="O11" s="409"/>
      <c r="P11" s="410"/>
    </row>
    <row r="12" ht="28.8" spans="1:16">
      <c r="A12" s="407" t="s">
        <v>56</v>
      </c>
      <c r="B12" s="407">
        <v>12040001103</v>
      </c>
      <c r="C12" s="409" t="s">
        <v>35</v>
      </c>
      <c r="D12" s="409" t="s">
        <v>36</v>
      </c>
      <c r="E12" s="409" t="s">
        <v>37</v>
      </c>
      <c r="F12" s="409" t="s">
        <v>38</v>
      </c>
      <c r="G12" s="410" t="s">
        <v>57</v>
      </c>
      <c r="H12" s="410"/>
      <c r="I12" s="410"/>
      <c r="J12" s="409" t="s">
        <v>52</v>
      </c>
      <c r="K12" s="409">
        <v>156</v>
      </c>
      <c r="L12" s="457">
        <v>132.6</v>
      </c>
      <c r="M12" s="410"/>
      <c r="N12" s="409" t="s">
        <v>27</v>
      </c>
      <c r="O12" s="409"/>
      <c r="P12" s="410"/>
    </row>
    <row r="13" s="199" customFormat="1" ht="115" customHeight="1" spans="1:16">
      <c r="A13" s="403"/>
      <c r="B13" s="411">
        <v>2103</v>
      </c>
      <c r="C13" s="405"/>
      <c r="D13" s="405"/>
      <c r="E13" s="405"/>
      <c r="F13" s="405"/>
      <c r="G13" s="408" t="s">
        <v>58</v>
      </c>
      <c r="H13" s="412" t="s">
        <v>59</v>
      </c>
      <c r="I13" s="408" t="s">
        <v>60</v>
      </c>
      <c r="J13" s="405"/>
      <c r="K13" s="405"/>
      <c r="L13" s="453"/>
      <c r="M13" s="408" t="s">
        <v>61</v>
      </c>
      <c r="N13" s="405"/>
      <c r="O13" s="458"/>
      <c r="P13" s="459"/>
    </row>
    <row r="14" s="200" customFormat="1" ht="54" customHeight="1" spans="1:16">
      <c r="A14" s="407" t="s">
        <v>62</v>
      </c>
      <c r="B14" s="403">
        <v>210300001</v>
      </c>
      <c r="C14" s="413" t="s">
        <v>63</v>
      </c>
      <c r="D14" s="413" t="s">
        <v>64</v>
      </c>
      <c r="E14" s="413" t="s">
        <v>65</v>
      </c>
      <c r="F14" s="413" t="s">
        <v>66</v>
      </c>
      <c r="G14" s="414" t="s">
        <v>67</v>
      </c>
      <c r="H14" s="412" t="s">
        <v>68</v>
      </c>
      <c r="I14" s="408"/>
      <c r="J14" s="413" t="s">
        <v>69</v>
      </c>
      <c r="K14" s="460">
        <v>205</v>
      </c>
      <c r="L14" s="461">
        <v>174.3</v>
      </c>
      <c r="M14" s="416" t="s">
        <v>70</v>
      </c>
      <c r="N14" s="441" t="s">
        <v>27</v>
      </c>
      <c r="O14" s="462">
        <v>0.2</v>
      </c>
      <c r="P14" s="459"/>
    </row>
    <row r="15" ht="36" customHeight="1" spans="1:16">
      <c r="A15" s="407" t="s">
        <v>71</v>
      </c>
      <c r="B15" s="403">
        <v>230200026</v>
      </c>
      <c r="C15" s="405" t="s">
        <v>63</v>
      </c>
      <c r="D15" s="405" t="s">
        <v>64</v>
      </c>
      <c r="E15" s="405" t="s">
        <v>65</v>
      </c>
      <c r="F15" s="405" t="s">
        <v>66</v>
      </c>
      <c r="G15" s="408" t="s">
        <v>72</v>
      </c>
      <c r="H15" s="408" t="s">
        <v>73</v>
      </c>
      <c r="I15" s="408"/>
      <c r="J15" s="405" t="s">
        <v>74</v>
      </c>
      <c r="K15" s="452">
        <v>200</v>
      </c>
      <c r="L15" s="453">
        <v>170</v>
      </c>
      <c r="M15" s="408" t="s">
        <v>75</v>
      </c>
      <c r="N15" s="409" t="s">
        <v>27</v>
      </c>
      <c r="O15" s="463">
        <v>0.1</v>
      </c>
      <c r="P15" s="464"/>
    </row>
    <row r="16" ht="28.8" spans="1:16">
      <c r="A16" s="406"/>
      <c r="B16" s="415">
        <v>23020002602</v>
      </c>
      <c r="C16" s="413" t="s">
        <v>63</v>
      </c>
      <c r="D16" s="413" t="s">
        <v>64</v>
      </c>
      <c r="E16" s="413" t="s">
        <v>65</v>
      </c>
      <c r="F16" s="413" t="s">
        <v>66</v>
      </c>
      <c r="G16" s="414" t="s">
        <v>76</v>
      </c>
      <c r="H16" s="416"/>
      <c r="I16" s="416"/>
      <c r="J16" s="413" t="s">
        <v>52</v>
      </c>
      <c r="K16" s="431">
        <v>200</v>
      </c>
      <c r="L16" s="461">
        <v>170</v>
      </c>
      <c r="M16" s="416"/>
      <c r="N16" s="441" t="s">
        <v>27</v>
      </c>
      <c r="O16" s="462">
        <v>0.1</v>
      </c>
      <c r="P16" s="414"/>
    </row>
    <row r="17" ht="51" customHeight="1" spans="1:16">
      <c r="A17" s="407" t="s">
        <v>77</v>
      </c>
      <c r="B17" s="403">
        <v>230300001</v>
      </c>
      <c r="C17" s="405" t="s">
        <v>63</v>
      </c>
      <c r="D17" s="405" t="s">
        <v>64</v>
      </c>
      <c r="E17" s="405" t="s">
        <v>65</v>
      </c>
      <c r="F17" s="405" t="s">
        <v>66</v>
      </c>
      <c r="G17" s="408" t="s">
        <v>78</v>
      </c>
      <c r="H17" s="408" t="s">
        <v>79</v>
      </c>
      <c r="I17" s="408"/>
      <c r="J17" s="405" t="s">
        <v>52</v>
      </c>
      <c r="K17" s="452">
        <v>270</v>
      </c>
      <c r="L17" s="453">
        <v>229.5</v>
      </c>
      <c r="M17" s="408" t="s">
        <v>80</v>
      </c>
      <c r="N17" s="409" t="s">
        <v>27</v>
      </c>
      <c r="O17" s="463">
        <v>0.2</v>
      </c>
      <c r="P17" s="464"/>
    </row>
    <row r="18" s="199" customFormat="1" ht="28.8" spans="1:16">
      <c r="A18" s="417"/>
      <c r="B18" s="403">
        <v>23030000107</v>
      </c>
      <c r="C18" s="405" t="s">
        <v>63</v>
      </c>
      <c r="D18" s="405">
        <v>5</v>
      </c>
      <c r="E18" s="405" t="s">
        <v>65</v>
      </c>
      <c r="F18" s="405" t="s">
        <v>66</v>
      </c>
      <c r="G18" s="408" t="s">
        <v>81</v>
      </c>
      <c r="H18" s="418"/>
      <c r="I18" s="408"/>
      <c r="J18" s="405" t="s">
        <v>52</v>
      </c>
      <c r="K18" s="452">
        <v>270</v>
      </c>
      <c r="L18" s="453">
        <v>229.5</v>
      </c>
      <c r="M18" s="408"/>
      <c r="N18" s="409" t="s">
        <v>27</v>
      </c>
      <c r="O18" s="463">
        <v>0.2</v>
      </c>
      <c r="P18" s="464"/>
    </row>
    <row r="19" s="200" customFormat="1" ht="48" customHeight="1" spans="1:16">
      <c r="A19" s="410"/>
      <c r="B19" s="403">
        <v>230400011</v>
      </c>
      <c r="C19" s="405" t="s">
        <v>63</v>
      </c>
      <c r="D19" s="405" t="s">
        <v>64</v>
      </c>
      <c r="E19" s="405" t="s">
        <v>65</v>
      </c>
      <c r="F19" s="405" t="s">
        <v>66</v>
      </c>
      <c r="G19" s="408" t="s">
        <v>82</v>
      </c>
      <c r="H19" s="408" t="s">
        <v>83</v>
      </c>
      <c r="I19" s="408" t="s">
        <v>84</v>
      </c>
      <c r="J19" s="405" t="s">
        <v>52</v>
      </c>
      <c r="K19" s="405">
        <v>4050</v>
      </c>
      <c r="L19" s="453">
        <v>3442.5</v>
      </c>
      <c r="M19" s="408" t="s">
        <v>85</v>
      </c>
      <c r="N19" s="465"/>
      <c r="O19" s="465"/>
      <c r="P19" s="466"/>
    </row>
    <row r="20" s="200" customFormat="1" ht="39" customHeight="1" spans="1:16">
      <c r="A20" s="410"/>
      <c r="B20" s="403">
        <v>23040001101</v>
      </c>
      <c r="C20" s="405" t="s">
        <v>63</v>
      </c>
      <c r="D20" s="405" t="s">
        <v>64</v>
      </c>
      <c r="E20" s="405" t="s">
        <v>65</v>
      </c>
      <c r="F20" s="405" t="s">
        <v>66</v>
      </c>
      <c r="G20" s="408" t="s">
        <v>86</v>
      </c>
      <c r="H20" s="408"/>
      <c r="I20" s="408" t="s">
        <v>84</v>
      </c>
      <c r="J20" s="405" t="s">
        <v>52</v>
      </c>
      <c r="K20" s="405">
        <v>5265</v>
      </c>
      <c r="L20" s="453">
        <v>4475.3</v>
      </c>
      <c r="M20" s="467" t="s">
        <v>87</v>
      </c>
      <c r="N20" s="465"/>
      <c r="O20" s="465"/>
      <c r="P20" s="466"/>
    </row>
    <row r="21" s="200" customFormat="1" ht="77" customHeight="1" spans="1:16">
      <c r="A21" s="404" t="s">
        <v>88</v>
      </c>
      <c r="B21" s="404">
        <v>250101023</v>
      </c>
      <c r="C21" s="402" t="s">
        <v>20</v>
      </c>
      <c r="D21" s="419" t="s">
        <v>21</v>
      </c>
      <c r="E21" s="402" t="s">
        <v>22</v>
      </c>
      <c r="F21" s="419" t="s">
        <v>21</v>
      </c>
      <c r="G21" s="401" t="s">
        <v>89</v>
      </c>
      <c r="H21" s="401" t="s">
        <v>90</v>
      </c>
      <c r="I21" s="468"/>
      <c r="J21" s="402" t="s">
        <v>25</v>
      </c>
      <c r="K21" s="402">
        <v>27</v>
      </c>
      <c r="L21" s="469">
        <v>23</v>
      </c>
      <c r="M21" s="401" t="s">
        <v>91</v>
      </c>
      <c r="N21" s="402" t="s">
        <v>27</v>
      </c>
      <c r="O21" s="402"/>
      <c r="P21" s="470"/>
    </row>
    <row r="22" s="200" customFormat="1" ht="28.8" spans="1:16">
      <c r="A22" s="401"/>
      <c r="B22" s="404">
        <v>25010102301</v>
      </c>
      <c r="C22" s="402" t="s">
        <v>20</v>
      </c>
      <c r="D22" s="419" t="s">
        <v>21</v>
      </c>
      <c r="E22" s="402" t="s">
        <v>22</v>
      </c>
      <c r="F22" s="419" t="s">
        <v>21</v>
      </c>
      <c r="G22" s="401" t="s">
        <v>92</v>
      </c>
      <c r="H22" s="401"/>
      <c r="I22" s="468"/>
      <c r="J22" s="402" t="s">
        <v>52</v>
      </c>
      <c r="K22" s="402">
        <v>9</v>
      </c>
      <c r="L22" s="469">
        <v>7.7</v>
      </c>
      <c r="M22" s="401"/>
      <c r="N22" s="402" t="s">
        <v>27</v>
      </c>
      <c r="O22" s="402"/>
      <c r="P22" s="470"/>
    </row>
    <row r="23" s="200" customFormat="1" ht="123" customHeight="1" spans="1:16">
      <c r="A23" s="408"/>
      <c r="B23" s="420">
        <v>250301030</v>
      </c>
      <c r="C23" s="413" t="s">
        <v>20</v>
      </c>
      <c r="D23" s="413" t="s">
        <v>21</v>
      </c>
      <c r="E23" s="413" t="s">
        <v>22</v>
      </c>
      <c r="F23" s="413" t="s">
        <v>21</v>
      </c>
      <c r="G23" s="421" t="s">
        <v>93</v>
      </c>
      <c r="H23" s="421" t="s">
        <v>94</v>
      </c>
      <c r="I23" s="415"/>
      <c r="J23" s="413" t="s">
        <v>52</v>
      </c>
      <c r="K23" s="431">
        <v>216</v>
      </c>
      <c r="L23" s="461">
        <v>183.6</v>
      </c>
      <c r="M23" s="416"/>
      <c r="N23" s="431" t="s">
        <v>27</v>
      </c>
      <c r="O23" s="462"/>
      <c r="P23" s="415"/>
    </row>
    <row r="24" s="200" customFormat="1" ht="40" customHeight="1" spans="1:16">
      <c r="A24" s="401"/>
      <c r="B24" s="422">
        <v>250401035</v>
      </c>
      <c r="C24" s="405" t="s">
        <v>20</v>
      </c>
      <c r="D24" s="405" t="s">
        <v>21</v>
      </c>
      <c r="E24" s="405" t="s">
        <v>22</v>
      </c>
      <c r="F24" s="405" t="s">
        <v>21</v>
      </c>
      <c r="G24" s="408" t="s">
        <v>95</v>
      </c>
      <c r="H24" s="401" t="s">
        <v>96</v>
      </c>
      <c r="I24" s="471"/>
      <c r="J24" s="405" t="s">
        <v>25</v>
      </c>
      <c r="K24" s="452">
        <v>40</v>
      </c>
      <c r="L24" s="453">
        <v>34</v>
      </c>
      <c r="M24" s="408" t="s">
        <v>97</v>
      </c>
      <c r="N24" s="472" t="s">
        <v>27</v>
      </c>
      <c r="O24" s="473"/>
      <c r="P24" s="464"/>
    </row>
    <row r="25" s="200" customFormat="1" ht="40" customHeight="1" spans="1:16">
      <c r="A25" s="401"/>
      <c r="B25" s="422">
        <v>25040103501</v>
      </c>
      <c r="C25" s="405" t="s">
        <v>20</v>
      </c>
      <c r="D25" s="405" t="s">
        <v>21</v>
      </c>
      <c r="E25" s="405" t="s">
        <v>22</v>
      </c>
      <c r="F25" s="405" t="s">
        <v>21</v>
      </c>
      <c r="G25" s="423" t="s">
        <v>98</v>
      </c>
      <c r="H25" s="424"/>
      <c r="I25" s="471"/>
      <c r="J25" s="405" t="s">
        <v>25</v>
      </c>
      <c r="K25" s="452">
        <v>40</v>
      </c>
      <c r="L25" s="453">
        <v>34</v>
      </c>
      <c r="M25" s="424"/>
      <c r="N25" s="474" t="s">
        <v>27</v>
      </c>
      <c r="O25" s="473"/>
      <c r="P25" s="464"/>
    </row>
    <row r="26" s="200" customFormat="1" ht="68" customHeight="1" spans="1:16">
      <c r="A26" s="404" t="s">
        <v>99</v>
      </c>
      <c r="B26" s="403">
        <v>250402003</v>
      </c>
      <c r="C26" s="405" t="s">
        <v>20</v>
      </c>
      <c r="D26" s="405" t="s">
        <v>21</v>
      </c>
      <c r="E26" s="405" t="s">
        <v>22</v>
      </c>
      <c r="F26" s="405" t="s">
        <v>21</v>
      </c>
      <c r="G26" s="408" t="s">
        <v>100</v>
      </c>
      <c r="H26" s="408" t="s">
        <v>101</v>
      </c>
      <c r="I26" s="408"/>
      <c r="J26" s="405" t="s">
        <v>25</v>
      </c>
      <c r="K26" s="452">
        <v>18</v>
      </c>
      <c r="L26" s="453">
        <v>15.3</v>
      </c>
      <c r="M26" s="408" t="s">
        <v>102</v>
      </c>
      <c r="N26" s="402" t="s">
        <v>27</v>
      </c>
      <c r="O26" s="455"/>
      <c r="P26" s="456"/>
    </row>
    <row r="27" s="200" customFormat="1" ht="53" customHeight="1" spans="1:16">
      <c r="A27" s="401"/>
      <c r="B27" s="422">
        <v>25040200301</v>
      </c>
      <c r="C27" s="405" t="s">
        <v>20</v>
      </c>
      <c r="D27" s="405" t="s">
        <v>21</v>
      </c>
      <c r="E27" s="405" t="s">
        <v>22</v>
      </c>
      <c r="F27" s="405" t="s">
        <v>21</v>
      </c>
      <c r="G27" s="408" t="s">
        <v>103</v>
      </c>
      <c r="H27" s="408"/>
      <c r="I27" s="408"/>
      <c r="J27" s="405" t="s">
        <v>25</v>
      </c>
      <c r="K27" s="452">
        <v>151</v>
      </c>
      <c r="L27" s="453">
        <v>128.4</v>
      </c>
      <c r="M27" s="408" t="s">
        <v>104</v>
      </c>
      <c r="N27" s="402" t="s">
        <v>27</v>
      </c>
      <c r="O27" s="455"/>
      <c r="P27" s="456"/>
    </row>
    <row r="28" s="200" customFormat="1" ht="39" customHeight="1" spans="1:16">
      <c r="A28" s="401"/>
      <c r="B28" s="422">
        <v>25040200302</v>
      </c>
      <c r="C28" s="405" t="s">
        <v>20</v>
      </c>
      <c r="D28" s="405" t="s">
        <v>21</v>
      </c>
      <c r="E28" s="405" t="s">
        <v>22</v>
      </c>
      <c r="F28" s="405" t="s">
        <v>21</v>
      </c>
      <c r="G28" s="408" t="s">
        <v>105</v>
      </c>
      <c r="H28" s="408"/>
      <c r="I28" s="408"/>
      <c r="J28" s="405" t="s">
        <v>25</v>
      </c>
      <c r="K28" s="452">
        <v>180</v>
      </c>
      <c r="L28" s="453">
        <v>153</v>
      </c>
      <c r="M28" s="408" t="s">
        <v>106</v>
      </c>
      <c r="N28" s="402" t="s">
        <v>27</v>
      </c>
      <c r="O28" s="455"/>
      <c r="P28" s="456"/>
    </row>
    <row r="29" s="200" customFormat="1" ht="51" customHeight="1" spans="1:16">
      <c r="A29" s="425" t="s">
        <v>107</v>
      </c>
      <c r="B29" s="422">
        <v>250403066</v>
      </c>
      <c r="C29" s="426" t="s">
        <v>20</v>
      </c>
      <c r="D29" s="426" t="s">
        <v>21</v>
      </c>
      <c r="E29" s="426" t="s">
        <v>22</v>
      </c>
      <c r="F29" s="426" t="s">
        <v>21</v>
      </c>
      <c r="G29" s="422" t="s">
        <v>108</v>
      </c>
      <c r="H29" s="422"/>
      <c r="I29" s="422"/>
      <c r="J29" s="426" t="s">
        <v>52</v>
      </c>
      <c r="K29" s="426">
        <v>130</v>
      </c>
      <c r="L29" s="475">
        <v>110.5</v>
      </c>
      <c r="M29" s="422" t="s">
        <v>109</v>
      </c>
      <c r="N29" s="476" t="s">
        <v>27</v>
      </c>
      <c r="O29" s="426"/>
      <c r="P29" s="422"/>
    </row>
    <row r="30" s="200" customFormat="1" ht="102" customHeight="1" spans="1:16">
      <c r="A30" s="401"/>
      <c r="B30" s="403">
        <v>25040306601</v>
      </c>
      <c r="C30" s="405" t="s">
        <v>20</v>
      </c>
      <c r="D30" s="405" t="s">
        <v>21</v>
      </c>
      <c r="E30" s="405" t="s">
        <v>22</v>
      </c>
      <c r="F30" s="405" t="s">
        <v>21</v>
      </c>
      <c r="G30" s="427" t="s">
        <v>110</v>
      </c>
      <c r="H30" s="401" t="s">
        <v>111</v>
      </c>
      <c r="I30" s="408"/>
      <c r="J30" s="405" t="s">
        <v>25</v>
      </c>
      <c r="K30" s="452">
        <v>130</v>
      </c>
      <c r="L30" s="453">
        <v>110.5</v>
      </c>
      <c r="M30" s="477"/>
      <c r="N30" s="402" t="s">
        <v>27</v>
      </c>
      <c r="O30" s="473"/>
      <c r="P30" s="464"/>
    </row>
    <row r="31" s="200" customFormat="1" ht="102" customHeight="1" spans="1:16">
      <c r="A31" s="401"/>
      <c r="B31" s="422">
        <v>250403088</v>
      </c>
      <c r="C31" s="405" t="s">
        <v>20</v>
      </c>
      <c r="D31" s="405" t="s">
        <v>21</v>
      </c>
      <c r="E31" s="405" t="s">
        <v>22</v>
      </c>
      <c r="F31" s="405" t="s">
        <v>21</v>
      </c>
      <c r="G31" s="408" t="s">
        <v>112</v>
      </c>
      <c r="H31" s="401" t="s">
        <v>113</v>
      </c>
      <c r="I31" s="408"/>
      <c r="J31" s="452" t="s">
        <v>52</v>
      </c>
      <c r="K31" s="452">
        <v>120</v>
      </c>
      <c r="L31" s="453">
        <v>102</v>
      </c>
      <c r="M31" s="478" t="s">
        <v>114</v>
      </c>
      <c r="N31" s="402" t="s">
        <v>27</v>
      </c>
      <c r="O31" s="402"/>
      <c r="P31" s="401"/>
    </row>
    <row r="32" s="380" customFormat="1" ht="102" customHeight="1" spans="1:16">
      <c r="A32" s="401"/>
      <c r="B32" s="422">
        <v>25040308801</v>
      </c>
      <c r="C32" s="405" t="s">
        <v>20</v>
      </c>
      <c r="D32" s="405" t="s">
        <v>21</v>
      </c>
      <c r="E32" s="405" t="s">
        <v>22</v>
      </c>
      <c r="F32" s="405" t="s">
        <v>21</v>
      </c>
      <c r="G32" s="408" t="s">
        <v>115</v>
      </c>
      <c r="H32" s="401" t="s">
        <v>113</v>
      </c>
      <c r="I32" s="408"/>
      <c r="J32" s="452" t="s">
        <v>52</v>
      </c>
      <c r="K32" s="452">
        <v>360</v>
      </c>
      <c r="L32" s="453">
        <v>306</v>
      </c>
      <c r="M32" s="479" t="s">
        <v>116</v>
      </c>
      <c r="N32" s="441" t="s">
        <v>27</v>
      </c>
      <c r="O32" s="462">
        <v>0.3</v>
      </c>
      <c r="P32" s="478" t="s">
        <v>117</v>
      </c>
    </row>
    <row r="33" s="381" customFormat="1" ht="102" customHeight="1" spans="1:16">
      <c r="A33" s="428"/>
      <c r="B33" s="422">
        <v>250403089</v>
      </c>
      <c r="C33" s="429" t="s">
        <v>20</v>
      </c>
      <c r="D33" s="429" t="s">
        <v>21</v>
      </c>
      <c r="E33" s="429" t="s">
        <v>22</v>
      </c>
      <c r="F33" s="429" t="s">
        <v>21</v>
      </c>
      <c r="G33" s="430" t="s">
        <v>118</v>
      </c>
      <c r="H33" s="428" t="s">
        <v>119</v>
      </c>
      <c r="I33" s="430"/>
      <c r="J33" s="429" t="s">
        <v>52</v>
      </c>
      <c r="K33" s="480">
        <v>27</v>
      </c>
      <c r="L33" s="475">
        <v>23</v>
      </c>
      <c r="M33" s="430"/>
      <c r="N33" s="472" t="s">
        <v>27</v>
      </c>
      <c r="O33" s="474"/>
      <c r="P33" s="481"/>
    </row>
    <row r="34" s="200" customFormat="1" ht="102" customHeight="1" spans="1:16">
      <c r="A34" s="404"/>
      <c r="B34" s="403">
        <v>250403090</v>
      </c>
      <c r="C34" s="405" t="s">
        <v>20</v>
      </c>
      <c r="D34" s="405" t="s">
        <v>21</v>
      </c>
      <c r="E34" s="405" t="s">
        <v>22</v>
      </c>
      <c r="F34" s="405" t="s">
        <v>21</v>
      </c>
      <c r="G34" s="408" t="s">
        <v>120</v>
      </c>
      <c r="H34" s="401" t="s">
        <v>121</v>
      </c>
      <c r="I34" s="408"/>
      <c r="J34" s="405" t="s">
        <v>52</v>
      </c>
      <c r="K34" s="482">
        <v>27</v>
      </c>
      <c r="L34" s="453">
        <v>23</v>
      </c>
      <c r="M34" s="477"/>
      <c r="N34" s="483" t="s">
        <v>27</v>
      </c>
      <c r="O34" s="483"/>
      <c r="P34" s="470"/>
    </row>
    <row r="35" s="200" customFormat="1" ht="57" customHeight="1" spans="1:16">
      <c r="A35" s="404"/>
      <c r="B35" s="422">
        <v>250403091</v>
      </c>
      <c r="C35" s="405" t="s">
        <v>20</v>
      </c>
      <c r="D35" s="405" t="s">
        <v>21</v>
      </c>
      <c r="E35" s="405" t="s">
        <v>22</v>
      </c>
      <c r="F35" s="405" t="s">
        <v>21</v>
      </c>
      <c r="G35" s="408" t="s">
        <v>122</v>
      </c>
      <c r="H35" s="408" t="s">
        <v>123</v>
      </c>
      <c r="I35" s="408"/>
      <c r="J35" s="405" t="s">
        <v>52</v>
      </c>
      <c r="K35" s="452">
        <v>32</v>
      </c>
      <c r="L35" s="453">
        <v>27.2</v>
      </c>
      <c r="M35" s="408"/>
      <c r="N35" s="402" t="s">
        <v>27</v>
      </c>
      <c r="O35" s="455"/>
      <c r="P35" s="456"/>
    </row>
    <row r="36" s="199" customFormat="1" ht="41" customHeight="1" spans="1:16">
      <c r="A36" s="401"/>
      <c r="B36" s="422">
        <v>250403092</v>
      </c>
      <c r="C36" s="405" t="s">
        <v>20</v>
      </c>
      <c r="D36" s="405" t="s">
        <v>21</v>
      </c>
      <c r="E36" s="405" t="s">
        <v>22</v>
      </c>
      <c r="F36" s="405" t="s">
        <v>21</v>
      </c>
      <c r="G36" s="408" t="s">
        <v>124</v>
      </c>
      <c r="H36" s="408" t="s">
        <v>125</v>
      </c>
      <c r="I36" s="408"/>
      <c r="J36" s="405" t="s">
        <v>25</v>
      </c>
      <c r="K36" s="452">
        <v>45</v>
      </c>
      <c r="L36" s="453">
        <v>38.3</v>
      </c>
      <c r="M36" s="408" t="s">
        <v>126</v>
      </c>
      <c r="N36" s="472"/>
      <c r="O36" s="473"/>
      <c r="P36" s="464"/>
    </row>
    <row r="37" s="199" customFormat="1" ht="36" customHeight="1" spans="1:16">
      <c r="A37" s="401"/>
      <c r="B37" s="422">
        <v>25040309201</v>
      </c>
      <c r="C37" s="405" t="s">
        <v>20</v>
      </c>
      <c r="D37" s="405" t="s">
        <v>21</v>
      </c>
      <c r="E37" s="405" t="s">
        <v>22</v>
      </c>
      <c r="F37" s="405" t="s">
        <v>21</v>
      </c>
      <c r="G37" s="408" t="s">
        <v>127</v>
      </c>
      <c r="H37" s="408"/>
      <c r="I37" s="408"/>
      <c r="J37" s="405" t="s">
        <v>25</v>
      </c>
      <c r="K37" s="452">
        <v>110</v>
      </c>
      <c r="L37" s="453">
        <v>93.5</v>
      </c>
      <c r="M37" s="408"/>
      <c r="N37" s="472"/>
      <c r="O37" s="472"/>
      <c r="P37" s="464"/>
    </row>
    <row r="38" s="200" customFormat="1" ht="35" customHeight="1" spans="1:16">
      <c r="A38" s="406" t="s">
        <v>128</v>
      </c>
      <c r="B38" s="415">
        <v>250404010</v>
      </c>
      <c r="C38" s="405" t="s">
        <v>20</v>
      </c>
      <c r="D38" s="405" t="s">
        <v>21</v>
      </c>
      <c r="E38" s="405" t="s">
        <v>22</v>
      </c>
      <c r="F38" s="413" t="s">
        <v>21</v>
      </c>
      <c r="G38" s="408" t="s">
        <v>129</v>
      </c>
      <c r="H38" s="408" t="s">
        <v>130</v>
      </c>
      <c r="I38" s="484"/>
      <c r="J38" s="413" t="s">
        <v>25</v>
      </c>
      <c r="K38" s="460">
        <v>54</v>
      </c>
      <c r="L38" s="461">
        <v>45.9</v>
      </c>
      <c r="M38" s="485" t="s">
        <v>131</v>
      </c>
      <c r="N38" s="441" t="s">
        <v>27</v>
      </c>
      <c r="O38" s="462">
        <v>0.1</v>
      </c>
      <c r="P38" s="401"/>
    </row>
    <row r="39" s="200" customFormat="1" ht="28.8" spans="1:16">
      <c r="A39" s="406"/>
      <c r="B39" s="415">
        <v>25040401002</v>
      </c>
      <c r="C39" s="413" t="s">
        <v>20</v>
      </c>
      <c r="D39" s="413" t="s">
        <v>21</v>
      </c>
      <c r="E39" s="413" t="s">
        <v>22</v>
      </c>
      <c r="F39" s="413" t="s">
        <v>21</v>
      </c>
      <c r="G39" s="408" t="s">
        <v>132</v>
      </c>
      <c r="H39" s="416" t="s">
        <v>133</v>
      </c>
      <c r="I39" s="416"/>
      <c r="J39" s="413" t="s">
        <v>25</v>
      </c>
      <c r="K39" s="431">
        <v>54</v>
      </c>
      <c r="L39" s="461">
        <v>45.9</v>
      </c>
      <c r="M39" s="416"/>
      <c r="N39" s="441" t="s">
        <v>27</v>
      </c>
      <c r="O39" s="462">
        <v>0.1</v>
      </c>
      <c r="P39" s="414"/>
    </row>
    <row r="40" s="200" customFormat="1" ht="36" customHeight="1" spans="1:16">
      <c r="A40" s="403" t="s">
        <v>134</v>
      </c>
      <c r="B40" s="403">
        <v>250404014</v>
      </c>
      <c r="C40" s="431" t="s">
        <v>20</v>
      </c>
      <c r="D40" s="431" t="s">
        <v>21</v>
      </c>
      <c r="E40" s="431" t="s">
        <v>22</v>
      </c>
      <c r="F40" s="431" t="s">
        <v>21</v>
      </c>
      <c r="G40" s="415" t="s">
        <v>135</v>
      </c>
      <c r="H40" s="415" t="s">
        <v>136</v>
      </c>
      <c r="I40" s="415"/>
      <c r="J40" s="431" t="s">
        <v>25</v>
      </c>
      <c r="K40" s="431">
        <v>36</v>
      </c>
      <c r="L40" s="461">
        <v>30.6</v>
      </c>
      <c r="M40" s="415" t="s">
        <v>137</v>
      </c>
      <c r="N40" s="431" t="s">
        <v>27</v>
      </c>
      <c r="O40" s="462">
        <v>0.1</v>
      </c>
      <c r="P40" s="415"/>
    </row>
    <row r="41" s="200" customFormat="1" ht="108" customHeight="1" spans="1:16">
      <c r="A41" s="408"/>
      <c r="B41" s="416">
        <v>25040401403</v>
      </c>
      <c r="C41" s="431" t="s">
        <v>20</v>
      </c>
      <c r="D41" s="431" t="s">
        <v>21</v>
      </c>
      <c r="E41" s="431" t="s">
        <v>22</v>
      </c>
      <c r="F41" s="431" t="s">
        <v>21</v>
      </c>
      <c r="G41" s="415" t="s">
        <v>138</v>
      </c>
      <c r="H41" s="415" t="s">
        <v>139</v>
      </c>
      <c r="I41" s="415"/>
      <c r="J41" s="431" t="s">
        <v>52</v>
      </c>
      <c r="K41" s="431">
        <v>234</v>
      </c>
      <c r="L41" s="461">
        <v>198.9</v>
      </c>
      <c r="M41" s="415" t="s">
        <v>140</v>
      </c>
      <c r="N41" s="431" t="s">
        <v>27</v>
      </c>
      <c r="O41" s="462">
        <v>0.1</v>
      </c>
      <c r="P41" s="415"/>
    </row>
    <row r="42" s="200" customFormat="1" ht="81" customHeight="1" spans="1:16">
      <c r="A42" s="408"/>
      <c r="B42" s="432">
        <v>250404027</v>
      </c>
      <c r="C42" s="431" t="s">
        <v>20</v>
      </c>
      <c r="D42" s="431" t="s">
        <v>21</v>
      </c>
      <c r="E42" s="431" t="s">
        <v>22</v>
      </c>
      <c r="F42" s="431" t="s">
        <v>21</v>
      </c>
      <c r="G42" s="420" t="s">
        <v>141</v>
      </c>
      <c r="H42" s="415" t="s">
        <v>142</v>
      </c>
      <c r="I42" s="415"/>
      <c r="J42" s="431" t="s">
        <v>52</v>
      </c>
      <c r="K42" s="431">
        <v>153</v>
      </c>
      <c r="L42" s="461">
        <v>130.1</v>
      </c>
      <c r="M42" s="415" t="s">
        <v>143</v>
      </c>
      <c r="N42" s="431"/>
      <c r="O42" s="462"/>
      <c r="P42" s="415"/>
    </row>
    <row r="43" s="200" customFormat="1" ht="52" customHeight="1" spans="1:16">
      <c r="A43" s="406" t="s">
        <v>144</v>
      </c>
      <c r="B43" s="415">
        <v>250700015</v>
      </c>
      <c r="C43" s="413" t="s">
        <v>20</v>
      </c>
      <c r="D43" s="413" t="s">
        <v>21</v>
      </c>
      <c r="E43" s="413" t="s">
        <v>22</v>
      </c>
      <c r="F43" s="413" t="s">
        <v>21</v>
      </c>
      <c r="G43" s="408" t="s">
        <v>145</v>
      </c>
      <c r="H43" s="433" t="s">
        <v>146</v>
      </c>
      <c r="I43" s="484"/>
      <c r="J43" s="413" t="s">
        <v>25</v>
      </c>
      <c r="K43" s="460">
        <v>54</v>
      </c>
      <c r="L43" s="461">
        <v>45.9</v>
      </c>
      <c r="M43" s="433" t="s">
        <v>147</v>
      </c>
      <c r="N43" s="465" t="s">
        <v>27</v>
      </c>
      <c r="O43" s="486"/>
      <c r="P43" s="484"/>
    </row>
    <row r="44" s="200" customFormat="1" ht="49" customHeight="1" spans="1:16">
      <c r="A44" s="406"/>
      <c r="B44" s="415">
        <v>25070001501</v>
      </c>
      <c r="C44" s="413" t="s">
        <v>20</v>
      </c>
      <c r="D44" s="413" t="s">
        <v>21</v>
      </c>
      <c r="E44" s="413" t="s">
        <v>22</v>
      </c>
      <c r="F44" s="413" t="s">
        <v>21</v>
      </c>
      <c r="G44" s="416" t="s">
        <v>148</v>
      </c>
      <c r="H44" s="433" t="s">
        <v>149</v>
      </c>
      <c r="I44" s="484"/>
      <c r="J44" s="487" t="s">
        <v>52</v>
      </c>
      <c r="K44" s="460">
        <v>270</v>
      </c>
      <c r="L44" s="488">
        <v>229.5</v>
      </c>
      <c r="M44" s="489"/>
      <c r="N44" s="480"/>
      <c r="O44" s="486"/>
      <c r="P44" s="484"/>
    </row>
    <row r="45" s="200" customFormat="1" ht="137" customHeight="1" spans="1:16">
      <c r="A45" s="404" t="s">
        <v>150</v>
      </c>
      <c r="B45" s="403">
        <v>270500002</v>
      </c>
      <c r="C45" s="405" t="s">
        <v>63</v>
      </c>
      <c r="D45" s="405" t="s">
        <v>64</v>
      </c>
      <c r="E45" s="405" t="s">
        <v>151</v>
      </c>
      <c r="F45" s="405" t="s">
        <v>64</v>
      </c>
      <c r="G45" s="408" t="s">
        <v>152</v>
      </c>
      <c r="H45" s="408" t="s">
        <v>153</v>
      </c>
      <c r="I45" s="408"/>
      <c r="J45" s="405" t="s">
        <v>154</v>
      </c>
      <c r="K45" s="452">
        <v>90</v>
      </c>
      <c r="L45" s="453">
        <v>76.5</v>
      </c>
      <c r="M45" s="401" t="s">
        <v>155</v>
      </c>
      <c r="N45" s="402" t="s">
        <v>27</v>
      </c>
      <c r="O45" s="483"/>
      <c r="P45" s="470"/>
    </row>
    <row r="46" s="200" customFormat="1" ht="66" customHeight="1" spans="1:16">
      <c r="A46" s="401"/>
      <c r="B46" s="422">
        <v>27050000203</v>
      </c>
      <c r="C46" s="405" t="s">
        <v>63</v>
      </c>
      <c r="D46" s="405" t="s">
        <v>64</v>
      </c>
      <c r="E46" s="405" t="s">
        <v>151</v>
      </c>
      <c r="F46" s="405" t="s">
        <v>64</v>
      </c>
      <c r="G46" s="401" t="s">
        <v>156</v>
      </c>
      <c r="H46" s="401" t="s">
        <v>157</v>
      </c>
      <c r="I46" s="401"/>
      <c r="J46" s="405" t="s">
        <v>52</v>
      </c>
      <c r="K46" s="405">
        <v>576</v>
      </c>
      <c r="L46" s="447">
        <v>489.6</v>
      </c>
      <c r="M46" s="401"/>
      <c r="N46" s="402" t="s">
        <v>27</v>
      </c>
      <c r="O46" s="402"/>
      <c r="P46" s="401"/>
    </row>
    <row r="47" s="200" customFormat="1" ht="204" customHeight="1" spans="1:16">
      <c r="A47" s="404" t="s">
        <v>158</v>
      </c>
      <c r="B47" s="403">
        <v>270700003</v>
      </c>
      <c r="C47" s="405" t="s">
        <v>63</v>
      </c>
      <c r="D47" s="405" t="s">
        <v>64</v>
      </c>
      <c r="E47" s="405" t="s">
        <v>151</v>
      </c>
      <c r="F47" s="405" t="s">
        <v>64</v>
      </c>
      <c r="G47" s="408" t="s">
        <v>159</v>
      </c>
      <c r="H47" s="434" t="s">
        <v>160</v>
      </c>
      <c r="I47" s="408"/>
      <c r="J47" s="405" t="s">
        <v>25</v>
      </c>
      <c r="K47" s="452">
        <v>540</v>
      </c>
      <c r="L47" s="453">
        <v>459</v>
      </c>
      <c r="M47" s="408" t="s">
        <v>161</v>
      </c>
      <c r="N47" s="402" t="s">
        <v>27</v>
      </c>
      <c r="O47" s="448">
        <v>0.1</v>
      </c>
      <c r="P47" s="401" t="s">
        <v>162</v>
      </c>
    </row>
    <row r="48" s="200" customFormat="1" ht="204" customHeight="1" spans="1:16">
      <c r="A48" s="404"/>
      <c r="B48" s="403">
        <v>27070000301</v>
      </c>
      <c r="C48" s="405" t="s">
        <v>63</v>
      </c>
      <c r="D48" s="405" t="s">
        <v>64</v>
      </c>
      <c r="E48" s="405" t="s">
        <v>151</v>
      </c>
      <c r="F48" s="405" t="s">
        <v>64</v>
      </c>
      <c r="G48" s="408" t="s">
        <v>163</v>
      </c>
      <c r="H48" s="434"/>
      <c r="I48" s="408"/>
      <c r="J48" s="405" t="s">
        <v>25</v>
      </c>
      <c r="K48" s="452">
        <v>1080</v>
      </c>
      <c r="L48" s="453">
        <v>918</v>
      </c>
      <c r="M48" s="408" t="s">
        <v>164</v>
      </c>
      <c r="N48" s="402" t="s">
        <v>27</v>
      </c>
      <c r="O48" s="448">
        <v>0.1</v>
      </c>
      <c r="P48" s="401" t="s">
        <v>162</v>
      </c>
    </row>
    <row r="49" s="200" customFormat="1" ht="204" customHeight="1" spans="1:16">
      <c r="A49" s="401"/>
      <c r="B49" s="403">
        <v>27070000302</v>
      </c>
      <c r="C49" s="405" t="s">
        <v>63</v>
      </c>
      <c r="D49" s="405" t="s">
        <v>64</v>
      </c>
      <c r="E49" s="405" t="s">
        <v>151</v>
      </c>
      <c r="F49" s="405" t="s">
        <v>64</v>
      </c>
      <c r="G49" s="408" t="s">
        <v>165</v>
      </c>
      <c r="H49" s="435" t="s">
        <v>166</v>
      </c>
      <c r="I49" s="408"/>
      <c r="J49" s="405" t="s">
        <v>52</v>
      </c>
      <c r="K49" s="452"/>
      <c r="L49" s="453"/>
      <c r="M49" s="490" t="s">
        <v>167</v>
      </c>
      <c r="N49" s="402" t="s">
        <v>27</v>
      </c>
      <c r="O49" s="448">
        <v>0.1</v>
      </c>
      <c r="P49" s="401" t="s">
        <v>162</v>
      </c>
    </row>
    <row r="50" s="200" customFormat="1" ht="187.2" spans="1:16">
      <c r="A50" s="401"/>
      <c r="B50" s="403">
        <v>27070000303</v>
      </c>
      <c r="C50" s="405" t="s">
        <v>63</v>
      </c>
      <c r="D50" s="405" t="s">
        <v>64</v>
      </c>
      <c r="E50" s="405" t="s">
        <v>151</v>
      </c>
      <c r="F50" s="405" t="s">
        <v>64</v>
      </c>
      <c r="G50" s="408" t="s">
        <v>168</v>
      </c>
      <c r="H50" s="435" t="s">
        <v>166</v>
      </c>
      <c r="I50" s="408"/>
      <c r="J50" s="405" t="s">
        <v>52</v>
      </c>
      <c r="K50" s="452"/>
      <c r="L50" s="453"/>
      <c r="M50" s="490" t="s">
        <v>169</v>
      </c>
      <c r="N50" s="402" t="s">
        <v>27</v>
      </c>
      <c r="O50" s="448">
        <v>0.1</v>
      </c>
      <c r="P50" s="401" t="s">
        <v>162</v>
      </c>
    </row>
    <row r="51" s="200" customFormat="1" ht="204" customHeight="1" spans="1:16">
      <c r="A51" s="401"/>
      <c r="B51" s="403">
        <v>27070000304</v>
      </c>
      <c r="C51" s="405" t="s">
        <v>63</v>
      </c>
      <c r="D51" s="405" t="s">
        <v>64</v>
      </c>
      <c r="E51" s="405" t="s">
        <v>151</v>
      </c>
      <c r="F51" s="405" t="s">
        <v>64</v>
      </c>
      <c r="G51" s="408" t="s">
        <v>170</v>
      </c>
      <c r="H51" s="435" t="s">
        <v>166</v>
      </c>
      <c r="I51" s="408"/>
      <c r="J51" s="405" t="s">
        <v>52</v>
      </c>
      <c r="K51" s="452"/>
      <c r="L51" s="453"/>
      <c r="M51" s="490" t="s">
        <v>171</v>
      </c>
      <c r="N51" s="402" t="s">
        <v>27</v>
      </c>
      <c r="O51" s="448">
        <v>0.1</v>
      </c>
      <c r="P51" s="401" t="s">
        <v>162</v>
      </c>
    </row>
    <row r="52" s="200" customFormat="1" ht="204" customHeight="1" spans="1:16">
      <c r="A52" s="404" t="s">
        <v>172</v>
      </c>
      <c r="B52" s="404">
        <v>270700006</v>
      </c>
      <c r="C52" s="405" t="s">
        <v>63</v>
      </c>
      <c r="D52" s="402" t="s">
        <v>64</v>
      </c>
      <c r="E52" s="402" t="s">
        <v>151</v>
      </c>
      <c r="F52" s="402" t="s">
        <v>64</v>
      </c>
      <c r="G52" s="401" t="s">
        <v>173</v>
      </c>
      <c r="H52" s="401" t="s">
        <v>174</v>
      </c>
      <c r="I52" s="401"/>
      <c r="J52" s="402" t="s">
        <v>25</v>
      </c>
      <c r="K52" s="402">
        <v>945</v>
      </c>
      <c r="L52" s="447">
        <v>803.3</v>
      </c>
      <c r="M52" s="401" t="s">
        <v>175</v>
      </c>
      <c r="N52" s="402" t="s">
        <v>27</v>
      </c>
      <c r="O52" s="448">
        <v>0.1</v>
      </c>
      <c r="P52" s="401" t="s">
        <v>162</v>
      </c>
    </row>
    <row r="53" s="200" customFormat="1" ht="204" customHeight="1" spans="1:16">
      <c r="A53" s="404"/>
      <c r="B53" s="404">
        <v>27070000601</v>
      </c>
      <c r="C53" s="405" t="s">
        <v>63</v>
      </c>
      <c r="D53" s="402" t="s">
        <v>64</v>
      </c>
      <c r="E53" s="402" t="s">
        <v>151</v>
      </c>
      <c r="F53" s="402">
        <v>50</v>
      </c>
      <c r="G53" s="401" t="s">
        <v>176</v>
      </c>
      <c r="H53" s="401"/>
      <c r="I53" s="401"/>
      <c r="J53" s="402" t="s">
        <v>25</v>
      </c>
      <c r="K53" s="402">
        <v>351</v>
      </c>
      <c r="L53" s="447">
        <v>298.4</v>
      </c>
      <c r="M53" s="401" t="s">
        <v>177</v>
      </c>
      <c r="N53" s="402" t="s">
        <v>27</v>
      </c>
      <c r="O53" s="448">
        <v>0.1</v>
      </c>
      <c r="P53" s="401" t="s">
        <v>162</v>
      </c>
    </row>
    <row r="54" s="200" customFormat="1" ht="204" customHeight="1" spans="1:16">
      <c r="A54" s="404"/>
      <c r="B54" s="404">
        <v>27070000602</v>
      </c>
      <c r="C54" s="405" t="s">
        <v>63</v>
      </c>
      <c r="D54" s="402" t="s">
        <v>64</v>
      </c>
      <c r="E54" s="402" t="s">
        <v>151</v>
      </c>
      <c r="F54" s="402" t="s">
        <v>64</v>
      </c>
      <c r="G54" s="401" t="s">
        <v>178</v>
      </c>
      <c r="H54" s="401"/>
      <c r="I54" s="401"/>
      <c r="J54" s="402" t="s">
        <v>25</v>
      </c>
      <c r="K54" s="402">
        <v>612</v>
      </c>
      <c r="L54" s="447">
        <v>520.2</v>
      </c>
      <c r="M54" s="401" t="s">
        <v>179</v>
      </c>
      <c r="N54" s="402" t="s">
        <v>27</v>
      </c>
      <c r="O54" s="448">
        <v>0.1</v>
      </c>
      <c r="P54" s="401" t="s">
        <v>162</v>
      </c>
    </row>
    <row r="55" s="200" customFormat="1" ht="216" customHeight="1" spans="1:16">
      <c r="A55" s="404" t="s">
        <v>180</v>
      </c>
      <c r="B55" s="403">
        <v>270700007</v>
      </c>
      <c r="C55" s="436" t="s">
        <v>63</v>
      </c>
      <c r="D55" s="437" t="s">
        <v>64</v>
      </c>
      <c r="E55" s="436" t="s">
        <v>151</v>
      </c>
      <c r="F55" s="437" t="s">
        <v>64</v>
      </c>
      <c r="G55" s="438" t="s">
        <v>181</v>
      </c>
      <c r="H55" s="408" t="s">
        <v>182</v>
      </c>
      <c r="I55" s="408"/>
      <c r="J55" s="491" t="s">
        <v>25</v>
      </c>
      <c r="K55" s="452">
        <v>1080</v>
      </c>
      <c r="L55" s="453">
        <v>918</v>
      </c>
      <c r="M55" s="401" t="s">
        <v>183</v>
      </c>
      <c r="N55" s="402" t="s">
        <v>27</v>
      </c>
      <c r="O55" s="448">
        <v>0.1</v>
      </c>
      <c r="P55" s="401" t="s">
        <v>162</v>
      </c>
    </row>
    <row r="56" s="200" customFormat="1" ht="204" customHeight="1" spans="1:16">
      <c r="A56" s="404"/>
      <c r="B56" s="403">
        <v>27070000701</v>
      </c>
      <c r="C56" s="436" t="s">
        <v>63</v>
      </c>
      <c r="D56" s="437" t="s">
        <v>64</v>
      </c>
      <c r="E56" s="436" t="s">
        <v>151</v>
      </c>
      <c r="F56" s="437" t="s">
        <v>64</v>
      </c>
      <c r="G56" s="439" t="s">
        <v>184</v>
      </c>
      <c r="H56" s="408" t="s">
        <v>182</v>
      </c>
      <c r="I56" s="408"/>
      <c r="J56" s="491" t="s">
        <v>25</v>
      </c>
      <c r="K56" s="452">
        <v>2520</v>
      </c>
      <c r="L56" s="453">
        <v>2142</v>
      </c>
      <c r="M56" s="401"/>
      <c r="N56" s="402" t="s">
        <v>27</v>
      </c>
      <c r="O56" s="448">
        <v>0.1</v>
      </c>
      <c r="P56" s="401" t="s">
        <v>162</v>
      </c>
    </row>
    <row r="57" s="200" customFormat="1" ht="204" customHeight="1" spans="1:16">
      <c r="A57" s="404"/>
      <c r="B57" s="403">
        <v>27070000702</v>
      </c>
      <c r="C57" s="436" t="s">
        <v>63</v>
      </c>
      <c r="D57" s="437" t="s">
        <v>64</v>
      </c>
      <c r="E57" s="436" t="s">
        <v>151</v>
      </c>
      <c r="F57" s="437" t="s">
        <v>64</v>
      </c>
      <c r="G57" s="438" t="s">
        <v>185</v>
      </c>
      <c r="H57" s="408"/>
      <c r="I57" s="408"/>
      <c r="J57" s="402" t="s">
        <v>25</v>
      </c>
      <c r="K57" s="402">
        <v>351</v>
      </c>
      <c r="L57" s="447">
        <v>298.4</v>
      </c>
      <c r="M57" s="401" t="s">
        <v>177</v>
      </c>
      <c r="N57" s="402" t="s">
        <v>27</v>
      </c>
      <c r="O57" s="448">
        <v>0.1</v>
      </c>
      <c r="P57" s="401" t="s">
        <v>162</v>
      </c>
    </row>
    <row r="58" s="200" customFormat="1" ht="64" customHeight="1" spans="1:16">
      <c r="A58" s="404"/>
      <c r="B58" s="403">
        <v>27070000703</v>
      </c>
      <c r="C58" s="436" t="s">
        <v>63</v>
      </c>
      <c r="D58" s="437" t="s">
        <v>64</v>
      </c>
      <c r="E58" s="436" t="s">
        <v>151</v>
      </c>
      <c r="F58" s="437" t="s">
        <v>64</v>
      </c>
      <c r="G58" s="438" t="s">
        <v>186</v>
      </c>
      <c r="H58" s="408"/>
      <c r="I58" s="408"/>
      <c r="J58" s="402"/>
      <c r="K58" s="402">
        <v>612</v>
      </c>
      <c r="L58" s="447">
        <v>520.2</v>
      </c>
      <c r="M58" s="401" t="s">
        <v>179</v>
      </c>
      <c r="N58" s="402"/>
      <c r="O58" s="448"/>
      <c r="P58" s="401"/>
    </row>
    <row r="59" ht="64" customHeight="1" spans="1:16">
      <c r="A59" s="407" t="s">
        <v>187</v>
      </c>
      <c r="B59" s="403">
        <v>310100016</v>
      </c>
      <c r="C59" s="405" t="s">
        <v>35</v>
      </c>
      <c r="D59" s="405" t="s">
        <v>36</v>
      </c>
      <c r="E59" s="405" t="s">
        <v>188</v>
      </c>
      <c r="F59" s="405" t="s">
        <v>42</v>
      </c>
      <c r="G59" s="408" t="s">
        <v>189</v>
      </c>
      <c r="H59" s="408" t="s">
        <v>190</v>
      </c>
      <c r="I59" s="408" t="s">
        <v>191</v>
      </c>
      <c r="J59" s="405" t="s">
        <v>52</v>
      </c>
      <c r="K59" s="452">
        <v>115</v>
      </c>
      <c r="L59" s="453">
        <v>97.8</v>
      </c>
      <c r="M59" s="408" t="s">
        <v>192</v>
      </c>
      <c r="N59" s="409" t="s">
        <v>27</v>
      </c>
      <c r="O59" s="473"/>
      <c r="P59" s="464"/>
    </row>
    <row r="60" s="199" customFormat="1" ht="28.8" spans="1:16">
      <c r="A60" s="417"/>
      <c r="B60" s="403">
        <v>31010001604</v>
      </c>
      <c r="C60" s="405" t="s">
        <v>35</v>
      </c>
      <c r="D60" s="405" t="s">
        <v>36</v>
      </c>
      <c r="E60" s="405" t="s">
        <v>188</v>
      </c>
      <c r="F60" s="405" t="s">
        <v>42</v>
      </c>
      <c r="G60" s="408" t="s">
        <v>193</v>
      </c>
      <c r="H60" s="417"/>
      <c r="I60" s="408"/>
      <c r="J60" s="405" t="s">
        <v>52</v>
      </c>
      <c r="K60" s="452">
        <v>180</v>
      </c>
      <c r="L60" s="453">
        <v>153</v>
      </c>
      <c r="M60" s="408"/>
      <c r="N60" s="409" t="s">
        <v>27</v>
      </c>
      <c r="O60" s="472"/>
      <c r="P60" s="464"/>
    </row>
    <row r="61" s="199" customFormat="1" ht="28.8" spans="1:16">
      <c r="A61" s="417"/>
      <c r="B61" s="403">
        <v>31010001605</v>
      </c>
      <c r="C61" s="405" t="s">
        <v>35</v>
      </c>
      <c r="D61" s="405" t="s">
        <v>36</v>
      </c>
      <c r="E61" s="405" t="s">
        <v>188</v>
      </c>
      <c r="F61" s="405" t="s">
        <v>42</v>
      </c>
      <c r="G61" s="408" t="s">
        <v>194</v>
      </c>
      <c r="H61" s="417"/>
      <c r="I61" s="408"/>
      <c r="J61" s="405" t="s">
        <v>52</v>
      </c>
      <c r="K61" s="452">
        <v>234</v>
      </c>
      <c r="L61" s="453">
        <v>198.9</v>
      </c>
      <c r="M61" s="408"/>
      <c r="N61" s="409" t="s">
        <v>27</v>
      </c>
      <c r="O61" s="472"/>
      <c r="P61" s="464"/>
    </row>
    <row r="62" s="199" customFormat="1" ht="28.8" spans="1:16">
      <c r="A62" s="417"/>
      <c r="B62" s="403">
        <v>31010001606</v>
      </c>
      <c r="C62" s="405" t="s">
        <v>35</v>
      </c>
      <c r="D62" s="405" t="s">
        <v>36</v>
      </c>
      <c r="E62" s="405" t="s">
        <v>188</v>
      </c>
      <c r="F62" s="405" t="s">
        <v>42</v>
      </c>
      <c r="G62" s="408" t="s">
        <v>195</v>
      </c>
      <c r="H62" s="417"/>
      <c r="I62" s="408"/>
      <c r="J62" s="405" t="s">
        <v>52</v>
      </c>
      <c r="K62" s="452">
        <v>180</v>
      </c>
      <c r="L62" s="453">
        <v>153</v>
      </c>
      <c r="M62" s="408"/>
      <c r="N62" s="409" t="s">
        <v>27</v>
      </c>
      <c r="O62" s="472"/>
      <c r="P62" s="464"/>
    </row>
    <row r="63" s="200" customFormat="1" ht="28.8" spans="1:16">
      <c r="A63" s="417"/>
      <c r="B63" s="403">
        <v>31010001607</v>
      </c>
      <c r="C63" s="405" t="s">
        <v>35</v>
      </c>
      <c r="D63" s="405" t="s">
        <v>36</v>
      </c>
      <c r="E63" s="405" t="s">
        <v>188</v>
      </c>
      <c r="F63" s="405" t="s">
        <v>42</v>
      </c>
      <c r="G63" s="408" t="s">
        <v>196</v>
      </c>
      <c r="H63" s="417"/>
      <c r="I63" s="408"/>
      <c r="J63" s="405" t="s">
        <v>52</v>
      </c>
      <c r="K63" s="452">
        <v>234</v>
      </c>
      <c r="L63" s="453">
        <v>198.9</v>
      </c>
      <c r="M63" s="408"/>
      <c r="N63" s="409" t="s">
        <v>27</v>
      </c>
      <c r="O63" s="472"/>
      <c r="P63" s="464"/>
    </row>
    <row r="64" s="382" customFormat="1" ht="28.8" spans="1:16">
      <c r="A64" s="440" t="s">
        <v>197</v>
      </c>
      <c r="B64" s="415">
        <v>310208001</v>
      </c>
      <c r="C64" s="441" t="s">
        <v>35</v>
      </c>
      <c r="D64" s="442" t="s">
        <v>36</v>
      </c>
      <c r="E64" s="441" t="s">
        <v>198</v>
      </c>
      <c r="F64" s="442" t="s">
        <v>36</v>
      </c>
      <c r="G64" s="416" t="s">
        <v>199</v>
      </c>
      <c r="H64" s="416"/>
      <c r="I64" s="413" t="s">
        <v>200</v>
      </c>
      <c r="J64" s="413" t="s">
        <v>41</v>
      </c>
      <c r="K64" s="431">
        <v>5</v>
      </c>
      <c r="L64" s="461">
        <v>4.3</v>
      </c>
      <c r="M64" s="416"/>
      <c r="N64" s="441" t="s">
        <v>27</v>
      </c>
      <c r="O64" s="441"/>
      <c r="P64" s="440"/>
    </row>
    <row r="65" ht="53" customHeight="1" spans="1:16">
      <c r="A65" s="407" t="s">
        <v>201</v>
      </c>
      <c r="B65" s="415">
        <v>310517001</v>
      </c>
      <c r="C65" s="405" t="s">
        <v>35</v>
      </c>
      <c r="D65" s="405" t="s">
        <v>36</v>
      </c>
      <c r="E65" s="405" t="s">
        <v>198</v>
      </c>
      <c r="F65" s="405" t="s">
        <v>36</v>
      </c>
      <c r="G65" s="408" t="s">
        <v>202</v>
      </c>
      <c r="H65" s="408" t="s">
        <v>203</v>
      </c>
      <c r="I65" s="408"/>
      <c r="J65" s="405" t="s">
        <v>204</v>
      </c>
      <c r="K65" s="452">
        <v>200</v>
      </c>
      <c r="L65" s="453">
        <v>170</v>
      </c>
      <c r="M65" s="490" t="s">
        <v>205</v>
      </c>
      <c r="N65" s="405"/>
      <c r="O65" s="449"/>
      <c r="P65" s="450"/>
    </row>
    <row r="66" s="214" customFormat="1" ht="28.8" spans="1:16">
      <c r="A66" s="410"/>
      <c r="B66" s="403">
        <v>31051700115</v>
      </c>
      <c r="C66" s="405" t="s">
        <v>35</v>
      </c>
      <c r="D66" s="405" t="s">
        <v>36</v>
      </c>
      <c r="E66" s="405" t="s">
        <v>198</v>
      </c>
      <c r="F66" s="405" t="s">
        <v>36</v>
      </c>
      <c r="G66" s="408" t="s">
        <v>206</v>
      </c>
      <c r="H66" s="408" t="s">
        <v>207</v>
      </c>
      <c r="I66" s="408"/>
      <c r="J66" s="405" t="s">
        <v>204</v>
      </c>
      <c r="K66" s="452">
        <v>380</v>
      </c>
      <c r="L66" s="453">
        <v>323</v>
      </c>
      <c r="M66" s="477"/>
      <c r="N66" s="405"/>
      <c r="O66" s="449"/>
      <c r="P66" s="450"/>
    </row>
    <row r="67" s="214" customFormat="1" ht="28.8" spans="1:16">
      <c r="A67" s="410"/>
      <c r="B67" s="403">
        <v>31051700116</v>
      </c>
      <c r="C67" s="405" t="s">
        <v>35</v>
      </c>
      <c r="D67" s="405" t="s">
        <v>36</v>
      </c>
      <c r="E67" s="405" t="s">
        <v>198</v>
      </c>
      <c r="F67" s="405" t="s">
        <v>36</v>
      </c>
      <c r="G67" s="408" t="s">
        <v>208</v>
      </c>
      <c r="H67" s="408" t="s">
        <v>209</v>
      </c>
      <c r="I67" s="408"/>
      <c r="J67" s="405" t="s">
        <v>204</v>
      </c>
      <c r="K67" s="452">
        <v>700</v>
      </c>
      <c r="L67" s="453">
        <v>595</v>
      </c>
      <c r="M67" s="477"/>
      <c r="N67" s="405"/>
      <c r="O67" s="449"/>
      <c r="P67" s="450"/>
    </row>
    <row r="68" s="214" customFormat="1" ht="28.8" spans="1:16">
      <c r="A68" s="410"/>
      <c r="B68" s="403">
        <v>31051700117</v>
      </c>
      <c r="C68" s="405" t="s">
        <v>35</v>
      </c>
      <c r="D68" s="405" t="s">
        <v>36</v>
      </c>
      <c r="E68" s="405" t="s">
        <v>198</v>
      </c>
      <c r="F68" s="405" t="s">
        <v>36</v>
      </c>
      <c r="G68" s="408" t="s">
        <v>210</v>
      </c>
      <c r="H68" s="408" t="s">
        <v>211</v>
      </c>
      <c r="I68" s="408"/>
      <c r="J68" s="405" t="s">
        <v>204</v>
      </c>
      <c r="K68" s="452">
        <v>200</v>
      </c>
      <c r="L68" s="453">
        <v>170</v>
      </c>
      <c r="M68" s="477"/>
      <c r="N68" s="405"/>
      <c r="O68" s="449"/>
      <c r="P68" s="450"/>
    </row>
    <row r="69" s="214" customFormat="1" ht="28.8" spans="1:16">
      <c r="A69" s="492"/>
      <c r="B69" s="493">
        <v>31051700118</v>
      </c>
      <c r="C69" s="493" t="s">
        <v>35</v>
      </c>
      <c r="D69" s="493" t="s">
        <v>36</v>
      </c>
      <c r="E69" s="493" t="s">
        <v>198</v>
      </c>
      <c r="F69" s="493" t="s">
        <v>36</v>
      </c>
      <c r="G69" s="493" t="s">
        <v>212</v>
      </c>
      <c r="H69" s="493"/>
      <c r="I69" s="493"/>
      <c r="J69" s="500" t="s">
        <v>204</v>
      </c>
      <c r="K69" s="500">
        <v>50</v>
      </c>
      <c r="L69" s="501">
        <v>42.5</v>
      </c>
      <c r="M69" s="502"/>
      <c r="N69" s="405"/>
      <c r="O69" s="449"/>
      <c r="P69" s="450"/>
    </row>
    <row r="70" s="214" customFormat="1" ht="35" customHeight="1" spans="1:16">
      <c r="A70" s="406" t="s">
        <v>213</v>
      </c>
      <c r="B70" s="415">
        <v>310605001</v>
      </c>
      <c r="C70" s="413" t="s">
        <v>63</v>
      </c>
      <c r="D70" s="413" t="s">
        <v>64</v>
      </c>
      <c r="E70" s="413" t="s">
        <v>214</v>
      </c>
      <c r="F70" s="413" t="s">
        <v>215</v>
      </c>
      <c r="G70" s="416" t="s">
        <v>216</v>
      </c>
      <c r="H70" s="416"/>
      <c r="I70" s="416"/>
      <c r="J70" s="413" t="s">
        <v>52</v>
      </c>
      <c r="K70" s="431">
        <v>99</v>
      </c>
      <c r="L70" s="461">
        <v>84.2</v>
      </c>
      <c r="M70" s="416"/>
      <c r="N70" s="441" t="s">
        <v>27</v>
      </c>
      <c r="O70" s="441"/>
      <c r="P70" s="414"/>
    </row>
    <row r="71" ht="48" customHeight="1" spans="1:16">
      <c r="A71" s="407" t="s">
        <v>217</v>
      </c>
      <c r="B71" s="403">
        <v>310605008</v>
      </c>
      <c r="C71" s="405" t="s">
        <v>35</v>
      </c>
      <c r="D71" s="405" t="s">
        <v>36</v>
      </c>
      <c r="E71" s="405" t="s">
        <v>198</v>
      </c>
      <c r="F71" s="405" t="s">
        <v>36</v>
      </c>
      <c r="G71" s="408" t="s">
        <v>218</v>
      </c>
      <c r="H71" s="408" t="s">
        <v>219</v>
      </c>
      <c r="I71" s="408"/>
      <c r="J71" s="405" t="s">
        <v>52</v>
      </c>
      <c r="K71" s="452">
        <v>295</v>
      </c>
      <c r="L71" s="453">
        <v>250.8</v>
      </c>
      <c r="M71" s="408" t="s">
        <v>220</v>
      </c>
      <c r="N71" s="409" t="s">
        <v>27</v>
      </c>
      <c r="O71" s="449"/>
      <c r="P71" s="450"/>
    </row>
    <row r="72" ht="28.8" spans="1:16">
      <c r="A72" s="410"/>
      <c r="B72" s="415">
        <v>31060500803</v>
      </c>
      <c r="C72" s="413" t="s">
        <v>35</v>
      </c>
      <c r="D72" s="413" t="s">
        <v>36</v>
      </c>
      <c r="E72" s="413" t="s">
        <v>198</v>
      </c>
      <c r="F72" s="413" t="s">
        <v>36</v>
      </c>
      <c r="G72" s="416" t="s">
        <v>221</v>
      </c>
      <c r="H72" s="416"/>
      <c r="I72" s="416"/>
      <c r="J72" s="413" t="s">
        <v>52</v>
      </c>
      <c r="K72" s="431">
        <v>445</v>
      </c>
      <c r="L72" s="461">
        <v>378.3</v>
      </c>
      <c r="M72" s="416" t="s">
        <v>222</v>
      </c>
      <c r="N72" s="441" t="s">
        <v>27</v>
      </c>
      <c r="O72" s="441"/>
      <c r="P72" s="414"/>
    </row>
    <row r="73" ht="28.8" spans="1:16">
      <c r="A73" s="410"/>
      <c r="B73" s="415">
        <v>31060500804</v>
      </c>
      <c r="C73" s="413" t="s">
        <v>35</v>
      </c>
      <c r="D73" s="413" t="s">
        <v>36</v>
      </c>
      <c r="E73" s="413" t="s">
        <v>198</v>
      </c>
      <c r="F73" s="413" t="s">
        <v>36</v>
      </c>
      <c r="G73" s="416" t="s">
        <v>223</v>
      </c>
      <c r="H73" s="416"/>
      <c r="I73" s="416"/>
      <c r="J73" s="413" t="s">
        <v>52</v>
      </c>
      <c r="K73" s="431">
        <v>445</v>
      </c>
      <c r="L73" s="461">
        <v>378.3</v>
      </c>
      <c r="M73" s="416" t="s">
        <v>224</v>
      </c>
      <c r="N73" s="441" t="s">
        <v>27</v>
      </c>
      <c r="O73" s="441"/>
      <c r="P73" s="414"/>
    </row>
    <row r="74" ht="28.8" spans="1:16">
      <c r="A74" s="407" t="s">
        <v>225</v>
      </c>
      <c r="B74" s="403">
        <v>310605010</v>
      </c>
      <c r="C74" s="405" t="s">
        <v>35</v>
      </c>
      <c r="D74" s="405" t="s">
        <v>36</v>
      </c>
      <c r="E74" s="405" t="s">
        <v>198</v>
      </c>
      <c r="F74" s="405" t="s">
        <v>36</v>
      </c>
      <c r="G74" s="408" t="s">
        <v>226</v>
      </c>
      <c r="H74" s="408" t="s">
        <v>227</v>
      </c>
      <c r="I74" s="408" t="s">
        <v>228</v>
      </c>
      <c r="J74" s="405" t="s">
        <v>52</v>
      </c>
      <c r="K74" s="452">
        <v>495</v>
      </c>
      <c r="L74" s="453">
        <v>420.8</v>
      </c>
      <c r="M74" s="408"/>
      <c r="N74" s="409" t="s">
        <v>27</v>
      </c>
      <c r="O74" s="449"/>
      <c r="P74" s="450"/>
    </row>
    <row r="75" ht="28.8" spans="1:16">
      <c r="A75" s="410"/>
      <c r="B75" s="403">
        <v>31060501001</v>
      </c>
      <c r="C75" s="405" t="s">
        <v>35</v>
      </c>
      <c r="D75" s="405" t="s">
        <v>36</v>
      </c>
      <c r="E75" s="405" t="s">
        <v>198</v>
      </c>
      <c r="F75" s="405" t="s">
        <v>36</v>
      </c>
      <c r="G75" s="408" t="s">
        <v>229</v>
      </c>
      <c r="H75" s="408"/>
      <c r="I75" s="408"/>
      <c r="J75" s="405" t="s">
        <v>52</v>
      </c>
      <c r="K75" s="452">
        <v>495</v>
      </c>
      <c r="L75" s="453">
        <v>420.8</v>
      </c>
      <c r="M75" s="408"/>
      <c r="N75" s="409" t="s">
        <v>27</v>
      </c>
      <c r="O75" s="449"/>
      <c r="P75" s="450"/>
    </row>
    <row r="76" ht="204" customHeight="1" spans="1:16">
      <c r="A76" s="407" t="s">
        <v>230</v>
      </c>
      <c r="B76" s="403">
        <v>310605018</v>
      </c>
      <c r="C76" s="494" t="s">
        <v>35</v>
      </c>
      <c r="D76" s="494" t="s">
        <v>36</v>
      </c>
      <c r="E76" s="494" t="s">
        <v>198</v>
      </c>
      <c r="F76" s="494" t="s">
        <v>36</v>
      </c>
      <c r="G76" s="410" t="s">
        <v>231</v>
      </c>
      <c r="H76" s="408" t="s">
        <v>232</v>
      </c>
      <c r="I76" s="410" t="s">
        <v>233</v>
      </c>
      <c r="J76" s="409" t="s">
        <v>52</v>
      </c>
      <c r="K76" s="449">
        <v>2520</v>
      </c>
      <c r="L76" s="503">
        <v>2142</v>
      </c>
      <c r="M76" s="408" t="s">
        <v>234</v>
      </c>
      <c r="N76" s="409" t="s">
        <v>27</v>
      </c>
      <c r="O76" s="472"/>
      <c r="P76" s="464"/>
    </row>
    <row r="77" s="199" customFormat="1" ht="80" customHeight="1" spans="1:16">
      <c r="A77" s="417"/>
      <c r="B77" s="403">
        <v>31060501801</v>
      </c>
      <c r="C77" s="494" t="s">
        <v>35</v>
      </c>
      <c r="D77" s="494" t="s">
        <v>36</v>
      </c>
      <c r="E77" s="494" t="s">
        <v>198</v>
      </c>
      <c r="F77" s="494" t="s">
        <v>36</v>
      </c>
      <c r="G77" s="417" t="s">
        <v>235</v>
      </c>
      <c r="H77" s="417" t="s">
        <v>236</v>
      </c>
      <c r="I77" s="417"/>
      <c r="J77" s="458" t="s">
        <v>52</v>
      </c>
      <c r="K77" s="504">
        <v>1764</v>
      </c>
      <c r="L77" s="505">
        <v>1499.4</v>
      </c>
      <c r="M77" s="417"/>
      <c r="N77" s="409" t="s">
        <v>27</v>
      </c>
      <c r="O77" s="472"/>
      <c r="P77" s="464"/>
    </row>
    <row r="78" ht="28.8" spans="1:16">
      <c r="A78" s="403" t="s">
        <v>237</v>
      </c>
      <c r="B78" s="403">
        <v>310606002</v>
      </c>
      <c r="C78" s="405" t="s">
        <v>35</v>
      </c>
      <c r="D78" s="405" t="s">
        <v>36</v>
      </c>
      <c r="E78" s="405" t="s">
        <v>188</v>
      </c>
      <c r="F78" s="405" t="s">
        <v>42</v>
      </c>
      <c r="G78" s="408" t="s">
        <v>238</v>
      </c>
      <c r="H78" s="408" t="s">
        <v>239</v>
      </c>
      <c r="I78" s="408"/>
      <c r="J78" s="405" t="s">
        <v>52</v>
      </c>
      <c r="K78" s="405">
        <v>495</v>
      </c>
      <c r="L78" s="453">
        <v>420.8</v>
      </c>
      <c r="M78" s="408" t="s">
        <v>240</v>
      </c>
      <c r="N78" s="405" t="s">
        <v>27</v>
      </c>
      <c r="O78" s="405"/>
      <c r="P78" s="408"/>
    </row>
    <row r="79" ht="36" customHeight="1" spans="1:16">
      <c r="A79" s="403" t="s">
        <v>241</v>
      </c>
      <c r="B79" s="403">
        <v>31060600201</v>
      </c>
      <c r="C79" s="405" t="s">
        <v>35</v>
      </c>
      <c r="D79" s="405" t="s">
        <v>36</v>
      </c>
      <c r="E79" s="405" t="s">
        <v>188</v>
      </c>
      <c r="F79" s="405" t="s">
        <v>42</v>
      </c>
      <c r="G79" s="416" t="s">
        <v>242</v>
      </c>
      <c r="H79" s="408" t="s">
        <v>243</v>
      </c>
      <c r="I79" s="408"/>
      <c r="J79" s="405" t="s">
        <v>52</v>
      </c>
      <c r="K79" s="431">
        <v>99</v>
      </c>
      <c r="L79" s="461">
        <v>84.2</v>
      </c>
      <c r="M79" s="416"/>
      <c r="N79" s="405" t="s">
        <v>27</v>
      </c>
      <c r="O79" s="405"/>
      <c r="P79" s="408"/>
    </row>
    <row r="80" s="383" customFormat="1" ht="68" customHeight="1" spans="1:16">
      <c r="A80" s="403" t="s">
        <v>244</v>
      </c>
      <c r="B80" s="403">
        <v>310902006</v>
      </c>
      <c r="C80" s="405" t="s">
        <v>35</v>
      </c>
      <c r="D80" s="405" t="s">
        <v>36</v>
      </c>
      <c r="E80" s="405" t="s">
        <v>198</v>
      </c>
      <c r="F80" s="405" t="s">
        <v>36</v>
      </c>
      <c r="G80" s="408" t="s">
        <v>245</v>
      </c>
      <c r="H80" s="408" t="s">
        <v>246</v>
      </c>
      <c r="I80" s="408" t="s">
        <v>247</v>
      </c>
      <c r="J80" s="405" t="s">
        <v>248</v>
      </c>
      <c r="K80" s="405">
        <v>90</v>
      </c>
      <c r="L80" s="453">
        <v>76.5</v>
      </c>
      <c r="M80" s="490" t="s">
        <v>249</v>
      </c>
      <c r="N80" s="405" t="s">
        <v>27</v>
      </c>
      <c r="O80" s="405"/>
      <c r="P80" s="408"/>
    </row>
    <row r="81" s="384" customFormat="1" ht="60" customHeight="1" spans="1:16">
      <c r="A81" s="408"/>
      <c r="B81" s="403">
        <v>31090200604</v>
      </c>
      <c r="C81" s="405" t="s">
        <v>35</v>
      </c>
      <c r="D81" s="405" t="s">
        <v>36</v>
      </c>
      <c r="E81" s="405" t="s">
        <v>198</v>
      </c>
      <c r="F81" s="405" t="s">
        <v>36</v>
      </c>
      <c r="G81" s="408" t="s">
        <v>250</v>
      </c>
      <c r="H81" s="408" t="s">
        <v>251</v>
      </c>
      <c r="I81" s="408"/>
      <c r="J81" s="405" t="s">
        <v>52</v>
      </c>
      <c r="K81" s="405"/>
      <c r="L81" s="453"/>
      <c r="M81" s="467" t="s">
        <v>252</v>
      </c>
      <c r="N81" s="405" t="s">
        <v>27</v>
      </c>
      <c r="O81" s="405"/>
      <c r="P81" s="431"/>
    </row>
    <row r="82" ht="33" customHeight="1" spans="1:16">
      <c r="A82" s="407" t="s">
        <v>253</v>
      </c>
      <c r="B82" s="403">
        <v>310902009</v>
      </c>
      <c r="C82" s="405" t="s">
        <v>63</v>
      </c>
      <c r="D82" s="405" t="s">
        <v>64</v>
      </c>
      <c r="E82" s="405" t="s">
        <v>214</v>
      </c>
      <c r="F82" s="405" t="s">
        <v>215</v>
      </c>
      <c r="G82" s="408" t="s">
        <v>254</v>
      </c>
      <c r="H82" s="408" t="s">
        <v>255</v>
      </c>
      <c r="I82" s="408"/>
      <c r="J82" s="405" t="s">
        <v>52</v>
      </c>
      <c r="K82" s="452">
        <v>540</v>
      </c>
      <c r="L82" s="453">
        <v>459</v>
      </c>
      <c r="M82" s="408"/>
      <c r="N82" s="409" t="s">
        <v>27</v>
      </c>
      <c r="O82" s="463">
        <v>0.2</v>
      </c>
      <c r="P82" s="450"/>
    </row>
    <row r="83" ht="33" customHeight="1" spans="1:16">
      <c r="A83" s="410"/>
      <c r="B83" s="403">
        <v>31090200901</v>
      </c>
      <c r="C83" s="405" t="s">
        <v>63</v>
      </c>
      <c r="D83" s="405" t="s">
        <v>64</v>
      </c>
      <c r="E83" s="405" t="s">
        <v>214</v>
      </c>
      <c r="F83" s="405" t="s">
        <v>215</v>
      </c>
      <c r="G83" s="408" t="s">
        <v>256</v>
      </c>
      <c r="H83" s="408"/>
      <c r="I83" s="408"/>
      <c r="J83" s="405" t="s">
        <v>52</v>
      </c>
      <c r="K83" s="452">
        <v>540</v>
      </c>
      <c r="L83" s="453">
        <v>459</v>
      </c>
      <c r="M83" s="408"/>
      <c r="N83" s="409" t="s">
        <v>27</v>
      </c>
      <c r="O83" s="463">
        <v>0.2</v>
      </c>
      <c r="P83" s="450"/>
    </row>
    <row r="84" s="199" customFormat="1" ht="56" customHeight="1" spans="1:16">
      <c r="A84" s="495" t="s">
        <v>257</v>
      </c>
      <c r="B84" s="403">
        <v>310905003</v>
      </c>
      <c r="C84" s="405" t="s">
        <v>35</v>
      </c>
      <c r="D84" s="405" t="s">
        <v>36</v>
      </c>
      <c r="E84" s="405" t="s">
        <v>188</v>
      </c>
      <c r="F84" s="405" t="s">
        <v>42</v>
      </c>
      <c r="G84" s="408" t="s">
        <v>258</v>
      </c>
      <c r="H84" s="408" t="s">
        <v>259</v>
      </c>
      <c r="I84" s="408" t="s">
        <v>260</v>
      </c>
      <c r="J84" s="405" t="s">
        <v>52</v>
      </c>
      <c r="K84" s="452">
        <v>110</v>
      </c>
      <c r="L84" s="453">
        <v>93.5</v>
      </c>
      <c r="M84" s="408" t="s">
        <v>261</v>
      </c>
      <c r="N84" s="458" t="s">
        <v>27</v>
      </c>
      <c r="O84" s="504"/>
      <c r="P84" s="459"/>
    </row>
    <row r="85" s="199" customFormat="1" ht="28.8" spans="1:16">
      <c r="A85" s="408"/>
      <c r="B85" s="403">
        <v>31090500302</v>
      </c>
      <c r="C85" s="405" t="s">
        <v>35</v>
      </c>
      <c r="D85" s="405" t="s">
        <v>36</v>
      </c>
      <c r="E85" s="405" t="s">
        <v>188</v>
      </c>
      <c r="F85" s="405" t="s">
        <v>42</v>
      </c>
      <c r="G85" s="408" t="s">
        <v>262</v>
      </c>
      <c r="H85" s="408"/>
      <c r="I85" s="408"/>
      <c r="J85" s="405" t="s">
        <v>52</v>
      </c>
      <c r="K85" s="405">
        <v>270</v>
      </c>
      <c r="L85" s="453">
        <v>229.5</v>
      </c>
      <c r="M85" s="408"/>
      <c r="N85" s="458" t="s">
        <v>27</v>
      </c>
      <c r="O85" s="504"/>
      <c r="P85" s="459"/>
    </row>
    <row r="86" s="199" customFormat="1" ht="28.8" spans="1:16">
      <c r="A86" s="408"/>
      <c r="B86" s="403">
        <v>31090500303</v>
      </c>
      <c r="C86" s="405" t="s">
        <v>35</v>
      </c>
      <c r="D86" s="405" t="s">
        <v>36</v>
      </c>
      <c r="E86" s="405" t="s">
        <v>188</v>
      </c>
      <c r="F86" s="405" t="s">
        <v>42</v>
      </c>
      <c r="G86" s="408" t="s">
        <v>263</v>
      </c>
      <c r="H86" s="408"/>
      <c r="I86" s="408"/>
      <c r="J86" s="405" t="s">
        <v>52</v>
      </c>
      <c r="K86" s="405">
        <v>351</v>
      </c>
      <c r="L86" s="453">
        <v>298.4</v>
      </c>
      <c r="M86" s="408"/>
      <c r="N86" s="458" t="s">
        <v>27</v>
      </c>
      <c r="O86" s="504"/>
      <c r="P86" s="459"/>
    </row>
    <row r="87" s="199" customFormat="1" ht="28.8" spans="1:16">
      <c r="A87" s="495" t="s">
        <v>264</v>
      </c>
      <c r="B87" s="403">
        <v>311100003</v>
      </c>
      <c r="C87" s="405" t="s">
        <v>63</v>
      </c>
      <c r="D87" s="405" t="s">
        <v>64</v>
      </c>
      <c r="E87" s="405" t="s">
        <v>214</v>
      </c>
      <c r="F87" s="405" t="s">
        <v>215</v>
      </c>
      <c r="G87" s="408" t="s">
        <v>265</v>
      </c>
      <c r="H87" s="408" t="s">
        <v>266</v>
      </c>
      <c r="I87" s="408"/>
      <c r="J87" s="405" t="s">
        <v>52</v>
      </c>
      <c r="K87" s="452">
        <v>90</v>
      </c>
      <c r="L87" s="453">
        <v>76.5</v>
      </c>
      <c r="M87" s="408"/>
      <c r="N87" s="472"/>
      <c r="O87" s="472"/>
      <c r="P87" s="464"/>
    </row>
    <row r="88" s="200" customFormat="1" ht="28.8" spans="1:16">
      <c r="A88" s="406" t="s">
        <v>267</v>
      </c>
      <c r="B88" s="415">
        <v>311201040</v>
      </c>
      <c r="C88" s="405" t="s">
        <v>35</v>
      </c>
      <c r="D88" s="405" t="s">
        <v>36</v>
      </c>
      <c r="E88" s="405" t="s">
        <v>198</v>
      </c>
      <c r="F88" s="405" t="s">
        <v>36</v>
      </c>
      <c r="G88" s="408" t="s">
        <v>268</v>
      </c>
      <c r="H88" s="408" t="s">
        <v>269</v>
      </c>
      <c r="I88" s="484"/>
      <c r="J88" s="487" t="s">
        <v>52</v>
      </c>
      <c r="K88" s="487"/>
      <c r="L88" s="461"/>
      <c r="M88" s="401" t="s">
        <v>270</v>
      </c>
      <c r="N88" s="486"/>
      <c r="O88" s="402"/>
      <c r="P88" s="401"/>
    </row>
    <row r="89" s="200" customFormat="1" ht="28.8" spans="1:16">
      <c r="A89" s="406"/>
      <c r="B89" s="415">
        <v>31120104001</v>
      </c>
      <c r="C89" s="405" t="s">
        <v>35</v>
      </c>
      <c r="D89" s="405" t="s">
        <v>36</v>
      </c>
      <c r="E89" s="405" t="s">
        <v>198</v>
      </c>
      <c r="F89" s="405" t="s">
        <v>36</v>
      </c>
      <c r="G89" s="408" t="s">
        <v>271</v>
      </c>
      <c r="H89" s="408" t="s">
        <v>272</v>
      </c>
      <c r="I89" s="484"/>
      <c r="J89" s="487" t="s">
        <v>52</v>
      </c>
      <c r="K89" s="487"/>
      <c r="L89" s="461"/>
      <c r="M89" s="401"/>
      <c r="N89" s="486"/>
      <c r="O89" s="402"/>
      <c r="P89" s="401"/>
    </row>
    <row r="90" s="200" customFormat="1" ht="28.8" spans="1:16">
      <c r="A90" s="406" t="s">
        <v>273</v>
      </c>
      <c r="B90" s="415">
        <v>311201041</v>
      </c>
      <c r="C90" s="405" t="s">
        <v>35</v>
      </c>
      <c r="D90" s="405" t="s">
        <v>36</v>
      </c>
      <c r="E90" s="405" t="s">
        <v>198</v>
      </c>
      <c r="F90" s="405" t="s">
        <v>36</v>
      </c>
      <c r="G90" s="408" t="s">
        <v>274</v>
      </c>
      <c r="H90" s="433" t="s">
        <v>275</v>
      </c>
      <c r="I90" s="484"/>
      <c r="J90" s="487" t="s">
        <v>52</v>
      </c>
      <c r="K90" s="487"/>
      <c r="L90" s="506"/>
      <c r="M90" s="484"/>
      <c r="N90" s="486"/>
      <c r="O90" s="486"/>
      <c r="P90" s="484"/>
    </row>
    <row r="91" s="200" customFormat="1" ht="28.8" spans="1:16">
      <c r="A91" s="404" t="s">
        <v>276</v>
      </c>
      <c r="B91" s="415">
        <v>311201062</v>
      </c>
      <c r="C91" s="405" t="s">
        <v>35</v>
      </c>
      <c r="D91" s="405" t="s">
        <v>36</v>
      </c>
      <c r="E91" s="405" t="s">
        <v>198</v>
      </c>
      <c r="F91" s="405" t="s">
        <v>36</v>
      </c>
      <c r="G91" s="408" t="s">
        <v>277</v>
      </c>
      <c r="H91" s="408" t="s">
        <v>278</v>
      </c>
      <c r="I91" s="507"/>
      <c r="J91" s="487" t="s">
        <v>52</v>
      </c>
      <c r="K91" s="487"/>
      <c r="L91" s="508"/>
      <c r="M91" s="406" t="s">
        <v>279</v>
      </c>
      <c r="N91" s="487"/>
      <c r="O91" s="487"/>
      <c r="P91" s="507"/>
    </row>
    <row r="92" s="200" customFormat="1" ht="28.8" spans="1:16">
      <c r="A92" s="401"/>
      <c r="B92" s="415">
        <v>31120106201</v>
      </c>
      <c r="C92" s="405" t="s">
        <v>35</v>
      </c>
      <c r="D92" s="405" t="s">
        <v>36</v>
      </c>
      <c r="E92" s="405" t="s">
        <v>198</v>
      </c>
      <c r="F92" s="405" t="s">
        <v>36</v>
      </c>
      <c r="G92" s="408" t="s">
        <v>280</v>
      </c>
      <c r="H92" s="408"/>
      <c r="I92" s="507"/>
      <c r="J92" s="487" t="s">
        <v>52</v>
      </c>
      <c r="K92" s="487"/>
      <c r="L92" s="508"/>
      <c r="M92" s="507"/>
      <c r="N92" s="487"/>
      <c r="O92" s="487"/>
      <c r="P92" s="507"/>
    </row>
    <row r="93" ht="28.8" spans="1:16">
      <c r="A93" s="407" t="s">
        <v>281</v>
      </c>
      <c r="B93" s="403">
        <v>311400051</v>
      </c>
      <c r="C93" s="405" t="s">
        <v>35</v>
      </c>
      <c r="D93" s="405" t="s">
        <v>36</v>
      </c>
      <c r="E93" s="405" t="s">
        <v>188</v>
      </c>
      <c r="F93" s="405" t="s">
        <v>42</v>
      </c>
      <c r="G93" s="408" t="s">
        <v>282</v>
      </c>
      <c r="H93" s="408"/>
      <c r="I93" s="408"/>
      <c r="J93" s="405" t="s">
        <v>52</v>
      </c>
      <c r="K93" s="452">
        <v>145</v>
      </c>
      <c r="L93" s="453">
        <v>123.3</v>
      </c>
      <c r="M93" s="408" t="s">
        <v>283</v>
      </c>
      <c r="N93" s="409" t="s">
        <v>27</v>
      </c>
      <c r="O93" s="449"/>
      <c r="P93" s="450"/>
    </row>
    <row r="94" ht="28.8" spans="1:16">
      <c r="A94" s="408"/>
      <c r="B94" s="403">
        <v>31140005101</v>
      </c>
      <c r="C94" s="405" t="s">
        <v>35</v>
      </c>
      <c r="D94" s="405" t="s">
        <v>36</v>
      </c>
      <c r="E94" s="405" t="s">
        <v>188</v>
      </c>
      <c r="F94" s="405" t="s">
        <v>42</v>
      </c>
      <c r="G94" s="408" t="s">
        <v>284</v>
      </c>
      <c r="H94" s="408"/>
      <c r="I94" s="408"/>
      <c r="J94" s="405" t="s">
        <v>52</v>
      </c>
      <c r="K94" s="452">
        <v>72</v>
      </c>
      <c r="L94" s="453">
        <v>61.2</v>
      </c>
      <c r="M94" s="408" t="s">
        <v>285</v>
      </c>
      <c r="N94" s="458" t="s">
        <v>27</v>
      </c>
      <c r="O94" s="449"/>
      <c r="P94" s="450"/>
    </row>
    <row r="95" s="199" customFormat="1" ht="43.2" spans="1:16">
      <c r="A95" s="495" t="s">
        <v>286</v>
      </c>
      <c r="B95" s="403">
        <v>320500001</v>
      </c>
      <c r="C95" s="405" t="s">
        <v>287</v>
      </c>
      <c r="D95" s="405" t="s">
        <v>215</v>
      </c>
      <c r="E95" s="405" t="s">
        <v>188</v>
      </c>
      <c r="F95" s="405" t="s">
        <v>42</v>
      </c>
      <c r="G95" s="408" t="s">
        <v>288</v>
      </c>
      <c r="H95" s="408"/>
      <c r="I95" s="408"/>
      <c r="J95" s="405" t="s">
        <v>52</v>
      </c>
      <c r="K95" s="452">
        <v>2920</v>
      </c>
      <c r="L95" s="453">
        <v>2482</v>
      </c>
      <c r="M95" s="408" t="s">
        <v>289</v>
      </c>
      <c r="N95" s="458" t="s">
        <v>27</v>
      </c>
      <c r="O95" s="509">
        <v>0.2</v>
      </c>
      <c r="P95" s="464"/>
    </row>
    <row r="96" ht="28.8" spans="1:16">
      <c r="A96" s="410"/>
      <c r="B96" s="403">
        <v>32050000104</v>
      </c>
      <c r="C96" s="405" t="s">
        <v>287</v>
      </c>
      <c r="D96" s="405" t="s">
        <v>215</v>
      </c>
      <c r="E96" s="405" t="s">
        <v>188</v>
      </c>
      <c r="F96" s="405" t="s">
        <v>42</v>
      </c>
      <c r="G96" s="427" t="s">
        <v>290</v>
      </c>
      <c r="H96" s="410" t="s">
        <v>291</v>
      </c>
      <c r="I96" s="408"/>
      <c r="J96" s="405" t="s">
        <v>52</v>
      </c>
      <c r="K96" s="452">
        <v>900</v>
      </c>
      <c r="L96" s="453">
        <v>765</v>
      </c>
      <c r="M96" s="408"/>
      <c r="N96" s="458" t="s">
        <v>27</v>
      </c>
      <c r="O96" s="509">
        <v>0.2</v>
      </c>
      <c r="P96" s="464"/>
    </row>
    <row r="97" ht="28.8" spans="1:16">
      <c r="A97" s="410"/>
      <c r="B97" s="403">
        <v>32050000105</v>
      </c>
      <c r="C97" s="405" t="s">
        <v>287</v>
      </c>
      <c r="D97" s="405" t="s">
        <v>215</v>
      </c>
      <c r="E97" s="405" t="s">
        <v>188</v>
      </c>
      <c r="F97" s="405" t="s">
        <v>42</v>
      </c>
      <c r="G97" s="427" t="s">
        <v>292</v>
      </c>
      <c r="H97" s="410" t="s">
        <v>291</v>
      </c>
      <c r="I97" s="408"/>
      <c r="J97" s="405" t="s">
        <v>52</v>
      </c>
      <c r="K97" s="452">
        <v>1170</v>
      </c>
      <c r="L97" s="453">
        <v>994.5</v>
      </c>
      <c r="M97" s="408"/>
      <c r="N97" s="458" t="s">
        <v>27</v>
      </c>
      <c r="O97" s="509">
        <v>0.2</v>
      </c>
      <c r="P97" s="464"/>
    </row>
    <row r="98" ht="151" customHeight="1" spans="1:16">
      <c r="A98" s="496"/>
      <c r="B98" s="497">
        <v>33</v>
      </c>
      <c r="C98" s="496"/>
      <c r="D98" s="496"/>
      <c r="E98" s="496"/>
      <c r="F98" s="496"/>
      <c r="G98" s="498" t="s">
        <v>293</v>
      </c>
      <c r="H98" s="496"/>
      <c r="I98" s="496"/>
      <c r="J98" s="496"/>
      <c r="K98" s="452"/>
      <c r="L98" s="453"/>
      <c r="M98" s="408" t="s">
        <v>294</v>
      </c>
      <c r="N98" s="453"/>
      <c r="O98" s="453"/>
      <c r="P98" s="453"/>
    </row>
    <row r="99" ht="136" customHeight="1" spans="1:16">
      <c r="A99" s="496"/>
      <c r="B99" s="497"/>
      <c r="C99" s="496"/>
      <c r="D99" s="496"/>
      <c r="E99" s="496"/>
      <c r="F99" s="496"/>
      <c r="G99" s="498"/>
      <c r="H99" s="496"/>
      <c r="I99" s="496"/>
      <c r="J99" s="496"/>
      <c r="K99" s="452"/>
      <c r="L99" s="453"/>
      <c r="M99" s="408" t="s">
        <v>295</v>
      </c>
      <c r="N99" s="453"/>
      <c r="O99" s="453"/>
      <c r="P99" s="453"/>
    </row>
    <row r="100" ht="319" customHeight="1" spans="1:16">
      <c r="A100" s="496"/>
      <c r="B100" s="497"/>
      <c r="C100" s="496"/>
      <c r="D100" s="496"/>
      <c r="E100" s="496"/>
      <c r="F100" s="496"/>
      <c r="G100" s="498"/>
      <c r="H100" s="496"/>
      <c r="I100" s="496"/>
      <c r="J100" s="496"/>
      <c r="K100" s="452"/>
      <c r="L100" s="453"/>
      <c r="M100" s="408" t="s">
        <v>296</v>
      </c>
      <c r="N100" s="453"/>
      <c r="O100" s="453"/>
      <c r="P100" s="453"/>
    </row>
    <row r="101" ht="129.6" spans="1:16">
      <c r="A101" s="496"/>
      <c r="B101" s="497"/>
      <c r="C101" s="496"/>
      <c r="D101" s="496"/>
      <c r="E101" s="496"/>
      <c r="F101" s="496"/>
      <c r="G101" s="498"/>
      <c r="H101" s="496"/>
      <c r="I101" s="496"/>
      <c r="J101" s="496"/>
      <c r="K101" s="452"/>
      <c r="L101" s="453"/>
      <c r="M101" s="408" t="s">
        <v>297</v>
      </c>
      <c r="N101" s="453"/>
      <c r="O101" s="453"/>
      <c r="P101" s="453"/>
    </row>
    <row r="102" ht="43.2" spans="1:16">
      <c r="A102" s="407"/>
      <c r="B102" s="403">
        <v>33000000009</v>
      </c>
      <c r="C102" s="497" t="s">
        <v>287</v>
      </c>
      <c r="D102" s="497" t="s">
        <v>215</v>
      </c>
      <c r="E102" s="497" t="s">
        <v>188</v>
      </c>
      <c r="F102" s="497" t="s">
        <v>42</v>
      </c>
      <c r="G102" s="499" t="s">
        <v>298</v>
      </c>
      <c r="H102" s="499"/>
      <c r="I102" s="499"/>
      <c r="J102" s="497" t="s">
        <v>52</v>
      </c>
      <c r="K102" s="497">
        <v>900</v>
      </c>
      <c r="L102" s="453">
        <v>765</v>
      </c>
      <c r="M102" s="499" t="s">
        <v>299</v>
      </c>
      <c r="N102" s="497" t="s">
        <v>27</v>
      </c>
      <c r="O102" s="497"/>
      <c r="P102" s="499"/>
    </row>
    <row r="103" ht="28.8" spans="1:16">
      <c r="A103" s="407"/>
      <c r="B103" s="403">
        <v>33000000016</v>
      </c>
      <c r="C103" s="497" t="s">
        <v>287</v>
      </c>
      <c r="D103" s="497" t="s">
        <v>215</v>
      </c>
      <c r="E103" s="497" t="s">
        <v>188</v>
      </c>
      <c r="F103" s="497" t="s">
        <v>42</v>
      </c>
      <c r="G103" s="499" t="s">
        <v>300</v>
      </c>
      <c r="H103" s="499"/>
      <c r="I103" s="499"/>
      <c r="J103" s="497" t="s">
        <v>52</v>
      </c>
      <c r="K103" s="497">
        <v>540</v>
      </c>
      <c r="L103" s="453">
        <v>459</v>
      </c>
      <c r="M103" s="499" t="s">
        <v>301</v>
      </c>
      <c r="N103" s="497" t="s">
        <v>27</v>
      </c>
      <c r="O103" s="497"/>
      <c r="P103" s="499"/>
    </row>
    <row r="104" ht="28.8" spans="1:16">
      <c r="A104" s="415" t="s">
        <v>302</v>
      </c>
      <c r="B104" s="415">
        <v>330100001</v>
      </c>
      <c r="C104" s="497" t="s">
        <v>287</v>
      </c>
      <c r="D104" s="497" t="s">
        <v>215</v>
      </c>
      <c r="E104" s="497" t="s">
        <v>188</v>
      </c>
      <c r="F104" s="413" t="s">
        <v>42</v>
      </c>
      <c r="G104" s="416" t="s">
        <v>303</v>
      </c>
      <c r="H104" s="416" t="s">
        <v>304</v>
      </c>
      <c r="I104" s="499"/>
      <c r="J104" s="497" t="s">
        <v>52</v>
      </c>
      <c r="K104" s="497">
        <v>36</v>
      </c>
      <c r="L104" s="453">
        <v>30.6</v>
      </c>
      <c r="M104" s="499"/>
      <c r="N104" s="497" t="s">
        <v>27</v>
      </c>
      <c r="O104" s="497"/>
      <c r="P104" s="499"/>
    </row>
    <row r="105" ht="28.8" spans="1:16">
      <c r="A105" s="415" t="s">
        <v>305</v>
      </c>
      <c r="B105" s="415">
        <v>33010000101</v>
      </c>
      <c r="C105" s="497" t="s">
        <v>287</v>
      </c>
      <c r="D105" s="497" t="s">
        <v>215</v>
      </c>
      <c r="E105" s="497" t="s">
        <v>188</v>
      </c>
      <c r="F105" s="413" t="s">
        <v>42</v>
      </c>
      <c r="G105" s="416" t="s">
        <v>306</v>
      </c>
      <c r="H105" s="416"/>
      <c r="I105" s="416"/>
      <c r="J105" s="413" t="s">
        <v>52</v>
      </c>
      <c r="K105" s="497">
        <v>47</v>
      </c>
      <c r="L105" s="453">
        <v>40</v>
      </c>
      <c r="M105" s="416"/>
      <c r="N105" s="497" t="s">
        <v>27</v>
      </c>
      <c r="O105" s="497"/>
      <c r="P105" s="499"/>
    </row>
    <row r="106" ht="72" spans="1:16">
      <c r="A106" s="406" t="s">
        <v>307</v>
      </c>
      <c r="B106" s="415">
        <v>330100005</v>
      </c>
      <c r="C106" s="413" t="s">
        <v>287</v>
      </c>
      <c r="D106" s="413" t="s">
        <v>215</v>
      </c>
      <c r="E106" s="413" t="s">
        <v>188</v>
      </c>
      <c r="F106" s="413" t="s">
        <v>42</v>
      </c>
      <c r="G106" s="416" t="s">
        <v>308</v>
      </c>
      <c r="H106" s="416" t="s">
        <v>309</v>
      </c>
      <c r="I106" s="416" t="s">
        <v>310</v>
      </c>
      <c r="J106" s="413" t="s">
        <v>311</v>
      </c>
      <c r="K106" s="431">
        <v>729</v>
      </c>
      <c r="L106" s="461">
        <v>619.7</v>
      </c>
      <c r="M106" s="416" t="s">
        <v>312</v>
      </c>
      <c r="N106" s="441" t="s">
        <v>27</v>
      </c>
      <c r="O106" s="441"/>
      <c r="P106" s="414"/>
    </row>
    <row r="107" ht="28.8" spans="1:16">
      <c r="A107" s="406" t="s">
        <v>313</v>
      </c>
      <c r="B107" s="415">
        <v>33010000501</v>
      </c>
      <c r="C107" s="413" t="s">
        <v>287</v>
      </c>
      <c r="D107" s="413" t="s">
        <v>215</v>
      </c>
      <c r="E107" s="413" t="s">
        <v>188</v>
      </c>
      <c r="F107" s="413" t="s">
        <v>42</v>
      </c>
      <c r="G107" s="416" t="s">
        <v>314</v>
      </c>
      <c r="H107" s="416"/>
      <c r="I107" s="416"/>
      <c r="J107" s="413" t="s">
        <v>315</v>
      </c>
      <c r="K107" s="431">
        <v>162</v>
      </c>
      <c r="L107" s="461">
        <v>137.7</v>
      </c>
      <c r="M107" s="416"/>
      <c r="N107" s="497" t="s">
        <v>27</v>
      </c>
      <c r="O107" s="441"/>
      <c r="P107" s="414"/>
    </row>
    <row r="108" ht="43.2" spans="1:16">
      <c r="A108" s="406" t="s">
        <v>316</v>
      </c>
      <c r="B108" s="415">
        <v>33010000503</v>
      </c>
      <c r="C108" s="413" t="s">
        <v>287</v>
      </c>
      <c r="D108" s="413" t="s">
        <v>215</v>
      </c>
      <c r="E108" s="413" t="s">
        <v>188</v>
      </c>
      <c r="F108" s="413" t="s">
        <v>42</v>
      </c>
      <c r="G108" s="416" t="s">
        <v>317</v>
      </c>
      <c r="H108" s="416" t="s">
        <v>309</v>
      </c>
      <c r="I108" s="416" t="s">
        <v>310</v>
      </c>
      <c r="J108" s="413" t="s">
        <v>311</v>
      </c>
      <c r="K108" s="431">
        <v>948</v>
      </c>
      <c r="L108" s="461">
        <v>805.8</v>
      </c>
      <c r="M108" s="416"/>
      <c r="N108" s="497" t="s">
        <v>27</v>
      </c>
      <c r="O108" s="441"/>
      <c r="P108" s="414"/>
    </row>
    <row r="109" ht="28.8" spans="1:16">
      <c r="A109" s="406" t="s">
        <v>318</v>
      </c>
      <c r="B109" s="415">
        <v>33010000504</v>
      </c>
      <c r="C109" s="413" t="s">
        <v>287</v>
      </c>
      <c r="D109" s="413" t="s">
        <v>215</v>
      </c>
      <c r="E109" s="413" t="s">
        <v>188</v>
      </c>
      <c r="F109" s="413" t="s">
        <v>42</v>
      </c>
      <c r="G109" s="416" t="s">
        <v>319</v>
      </c>
      <c r="H109" s="416"/>
      <c r="I109" s="416"/>
      <c r="J109" s="413" t="s">
        <v>315</v>
      </c>
      <c r="K109" s="431">
        <v>210</v>
      </c>
      <c r="L109" s="461">
        <v>178.5</v>
      </c>
      <c r="M109" s="416"/>
      <c r="N109" s="497" t="s">
        <v>27</v>
      </c>
      <c r="O109" s="441"/>
      <c r="P109" s="414"/>
    </row>
    <row r="110" ht="28.8" spans="1:16">
      <c r="A110" s="466"/>
      <c r="B110" s="415">
        <v>33010000506</v>
      </c>
      <c r="C110" s="413" t="s">
        <v>287</v>
      </c>
      <c r="D110" s="413" t="s">
        <v>215</v>
      </c>
      <c r="E110" s="413" t="s">
        <v>188</v>
      </c>
      <c r="F110" s="413" t="s">
        <v>42</v>
      </c>
      <c r="G110" s="416" t="s">
        <v>320</v>
      </c>
      <c r="H110" s="416"/>
      <c r="I110" s="416"/>
      <c r="J110" s="413" t="s">
        <v>311</v>
      </c>
      <c r="K110" s="431">
        <v>340</v>
      </c>
      <c r="L110" s="461">
        <v>289</v>
      </c>
      <c r="M110" s="416" t="s">
        <v>321</v>
      </c>
      <c r="N110" s="441" t="s">
        <v>27</v>
      </c>
      <c r="O110" s="510"/>
      <c r="P110" s="511"/>
    </row>
    <row r="111" ht="28.8" spans="1:16">
      <c r="A111" s="466"/>
      <c r="B111" s="415">
        <v>33010000507</v>
      </c>
      <c r="C111" s="413" t="s">
        <v>287</v>
      </c>
      <c r="D111" s="413" t="s">
        <v>215</v>
      </c>
      <c r="E111" s="413" t="s">
        <v>188</v>
      </c>
      <c r="F111" s="413" t="s">
        <v>42</v>
      </c>
      <c r="G111" s="416" t="s">
        <v>322</v>
      </c>
      <c r="H111" s="416"/>
      <c r="I111" s="416"/>
      <c r="J111" s="413" t="s">
        <v>311</v>
      </c>
      <c r="K111" s="431">
        <v>440</v>
      </c>
      <c r="L111" s="461">
        <v>374</v>
      </c>
      <c r="M111" s="416" t="s">
        <v>321</v>
      </c>
      <c r="N111" s="441" t="s">
        <v>27</v>
      </c>
      <c r="O111" s="510"/>
      <c r="P111" s="511"/>
    </row>
    <row r="112" ht="28.8" spans="1:16">
      <c r="A112" s="406" t="s">
        <v>323</v>
      </c>
      <c r="B112" s="415">
        <v>330100006</v>
      </c>
      <c r="C112" s="413" t="s">
        <v>287</v>
      </c>
      <c r="D112" s="413" t="s">
        <v>215</v>
      </c>
      <c r="E112" s="413" t="s">
        <v>188</v>
      </c>
      <c r="F112" s="413" t="s">
        <v>42</v>
      </c>
      <c r="G112" s="416" t="s">
        <v>324</v>
      </c>
      <c r="H112" s="416" t="s">
        <v>325</v>
      </c>
      <c r="I112" s="416" t="s">
        <v>326</v>
      </c>
      <c r="J112" s="413" t="s">
        <v>41</v>
      </c>
      <c r="K112" s="413">
        <v>9</v>
      </c>
      <c r="L112" s="461">
        <v>7.7</v>
      </c>
      <c r="M112" s="416" t="s">
        <v>327</v>
      </c>
      <c r="N112" s="441" t="s">
        <v>27</v>
      </c>
      <c r="O112" s="510"/>
      <c r="P112" s="511"/>
    </row>
    <row r="113" ht="28.8" spans="1:16">
      <c r="A113" s="466"/>
      <c r="B113" s="415">
        <v>33010000603</v>
      </c>
      <c r="C113" s="413" t="s">
        <v>287</v>
      </c>
      <c r="D113" s="413" t="s">
        <v>215</v>
      </c>
      <c r="E113" s="413" t="s">
        <v>188</v>
      </c>
      <c r="F113" s="413" t="s">
        <v>42</v>
      </c>
      <c r="G113" s="416" t="s">
        <v>328</v>
      </c>
      <c r="H113" s="416" t="s">
        <v>329</v>
      </c>
      <c r="I113" s="416" t="s">
        <v>326</v>
      </c>
      <c r="J113" s="413" t="s">
        <v>52</v>
      </c>
      <c r="K113" s="460">
        <v>27</v>
      </c>
      <c r="L113" s="461">
        <v>23</v>
      </c>
      <c r="M113" s="416"/>
      <c r="N113" s="441" t="s">
        <v>27</v>
      </c>
      <c r="O113" s="510"/>
      <c r="P113" s="511"/>
    </row>
    <row r="114" ht="43.2" spans="1:16">
      <c r="A114" s="415" t="s">
        <v>330</v>
      </c>
      <c r="B114" s="415">
        <v>330100015</v>
      </c>
      <c r="C114" s="413" t="s">
        <v>287</v>
      </c>
      <c r="D114" s="413" t="s">
        <v>215</v>
      </c>
      <c r="E114" s="413" t="s">
        <v>188</v>
      </c>
      <c r="F114" s="413" t="s">
        <v>42</v>
      </c>
      <c r="G114" s="416" t="s">
        <v>331</v>
      </c>
      <c r="H114" s="467" t="s">
        <v>332</v>
      </c>
      <c r="I114" s="416" t="s">
        <v>333</v>
      </c>
      <c r="J114" s="413" t="s">
        <v>41</v>
      </c>
      <c r="K114" s="460">
        <v>72</v>
      </c>
      <c r="L114" s="461">
        <v>61.2</v>
      </c>
      <c r="M114" s="416"/>
      <c r="N114" s="497" t="s">
        <v>27</v>
      </c>
      <c r="O114" s="510"/>
      <c r="P114" s="511"/>
    </row>
    <row r="115" ht="43.2" spans="1:16">
      <c r="A115" s="415" t="s">
        <v>334</v>
      </c>
      <c r="B115" s="415">
        <v>33010001506</v>
      </c>
      <c r="C115" s="413" t="s">
        <v>287</v>
      </c>
      <c r="D115" s="413" t="s">
        <v>215</v>
      </c>
      <c r="E115" s="413" t="s">
        <v>188</v>
      </c>
      <c r="F115" s="413" t="s">
        <v>42</v>
      </c>
      <c r="G115" s="416" t="s">
        <v>335</v>
      </c>
      <c r="H115" s="467"/>
      <c r="I115" s="416" t="s">
        <v>333</v>
      </c>
      <c r="J115" s="413" t="s">
        <v>41</v>
      </c>
      <c r="K115" s="460">
        <v>93.6</v>
      </c>
      <c r="L115" s="461">
        <v>79.6</v>
      </c>
      <c r="M115" s="416"/>
      <c r="N115" s="497" t="s">
        <v>27</v>
      </c>
      <c r="O115" s="510"/>
      <c r="P115" s="511"/>
    </row>
    <row r="116" s="203" customFormat="1" ht="28.8" spans="1:16">
      <c r="A116" s="406" t="s">
        <v>336</v>
      </c>
      <c r="B116" s="403">
        <v>330402007</v>
      </c>
      <c r="C116" s="405" t="s">
        <v>287</v>
      </c>
      <c r="D116" s="405" t="s">
        <v>215</v>
      </c>
      <c r="E116" s="405" t="s">
        <v>188</v>
      </c>
      <c r="F116" s="405" t="s">
        <v>42</v>
      </c>
      <c r="G116" s="430" t="s">
        <v>337</v>
      </c>
      <c r="H116" s="408"/>
      <c r="I116" s="408"/>
      <c r="J116" s="405" t="s">
        <v>52</v>
      </c>
      <c r="K116" s="476">
        <v>950</v>
      </c>
      <c r="L116" s="453">
        <v>807.5</v>
      </c>
      <c r="M116" s="408" t="s">
        <v>338</v>
      </c>
      <c r="N116" s="441" t="s">
        <v>27</v>
      </c>
      <c r="O116" s="472"/>
      <c r="P116" s="464"/>
    </row>
    <row r="117" s="203" customFormat="1" ht="28.8" spans="1:16">
      <c r="A117" s="407"/>
      <c r="B117" s="403">
        <v>33040200702</v>
      </c>
      <c r="C117" s="497" t="s">
        <v>287</v>
      </c>
      <c r="D117" s="497" t="s">
        <v>215</v>
      </c>
      <c r="E117" s="497" t="s">
        <v>188</v>
      </c>
      <c r="F117" s="497" t="s">
        <v>42</v>
      </c>
      <c r="G117" s="499" t="s">
        <v>339</v>
      </c>
      <c r="H117" s="499"/>
      <c r="I117" s="499"/>
      <c r="J117" s="497" t="s">
        <v>52</v>
      </c>
      <c r="K117" s="497">
        <v>540</v>
      </c>
      <c r="L117" s="453">
        <v>459</v>
      </c>
      <c r="M117" s="499"/>
      <c r="N117" s="512" t="s">
        <v>27</v>
      </c>
      <c r="O117" s="472"/>
      <c r="P117" s="464"/>
    </row>
    <row r="118" ht="43.2" spans="1:16">
      <c r="A118" s="425"/>
      <c r="B118" s="415">
        <v>330403009</v>
      </c>
      <c r="C118" s="413" t="s">
        <v>287</v>
      </c>
      <c r="D118" s="413" t="s">
        <v>215</v>
      </c>
      <c r="E118" s="413" t="s">
        <v>188</v>
      </c>
      <c r="F118" s="413" t="s">
        <v>42</v>
      </c>
      <c r="G118" s="408" t="s">
        <v>340</v>
      </c>
      <c r="H118" s="408" t="s">
        <v>341</v>
      </c>
      <c r="I118" s="513"/>
      <c r="J118" s="405" t="s">
        <v>342</v>
      </c>
      <c r="K118" s="514"/>
      <c r="L118" s="515"/>
      <c r="M118" s="516" t="s">
        <v>343</v>
      </c>
      <c r="N118" s="517"/>
      <c r="O118" s="518"/>
      <c r="P118" s="513"/>
    </row>
    <row r="119" ht="28.8" spans="1:16">
      <c r="A119" s="425"/>
      <c r="B119" s="415">
        <v>33040300901</v>
      </c>
      <c r="C119" s="413" t="s">
        <v>287</v>
      </c>
      <c r="D119" s="413" t="s">
        <v>215</v>
      </c>
      <c r="E119" s="413" t="s">
        <v>188</v>
      </c>
      <c r="F119" s="413" t="s">
        <v>42</v>
      </c>
      <c r="G119" s="408" t="s">
        <v>344</v>
      </c>
      <c r="H119" s="408"/>
      <c r="I119" s="513"/>
      <c r="J119" s="405" t="s">
        <v>342</v>
      </c>
      <c r="K119" s="514"/>
      <c r="L119" s="515"/>
      <c r="M119" s="516" t="s">
        <v>343</v>
      </c>
      <c r="N119" s="517"/>
      <c r="O119" s="518"/>
      <c r="P119" s="513"/>
    </row>
    <row r="120" s="203" customFormat="1" ht="57.6" spans="1:16">
      <c r="A120" s="407" t="s">
        <v>345</v>
      </c>
      <c r="B120" s="403">
        <v>330406005</v>
      </c>
      <c r="C120" s="405" t="s">
        <v>287</v>
      </c>
      <c r="D120" s="405" t="s">
        <v>215</v>
      </c>
      <c r="E120" s="405" t="s">
        <v>188</v>
      </c>
      <c r="F120" s="405" t="s">
        <v>42</v>
      </c>
      <c r="G120" s="408" t="s">
        <v>346</v>
      </c>
      <c r="H120" s="408" t="s">
        <v>347</v>
      </c>
      <c r="I120" s="408" t="s">
        <v>348</v>
      </c>
      <c r="J120" s="405" t="s">
        <v>52</v>
      </c>
      <c r="K120" s="452">
        <v>1730</v>
      </c>
      <c r="L120" s="453">
        <v>1470.5</v>
      </c>
      <c r="M120" s="408"/>
      <c r="N120" s="409" t="s">
        <v>27</v>
      </c>
      <c r="O120" s="449"/>
      <c r="P120" s="450"/>
    </row>
    <row r="121" s="203" customFormat="1" ht="28.8" spans="1:16">
      <c r="A121" s="410"/>
      <c r="B121" s="403">
        <v>33040600502</v>
      </c>
      <c r="C121" s="476" t="s">
        <v>287</v>
      </c>
      <c r="D121" s="476" t="s">
        <v>215</v>
      </c>
      <c r="E121" s="476" t="s">
        <v>188</v>
      </c>
      <c r="F121" s="476" t="s">
        <v>42</v>
      </c>
      <c r="G121" s="403" t="s">
        <v>349</v>
      </c>
      <c r="H121" s="403"/>
      <c r="I121" s="403"/>
      <c r="J121" s="476" t="s">
        <v>52</v>
      </c>
      <c r="K121" s="452">
        <v>1730</v>
      </c>
      <c r="L121" s="453">
        <v>1470.5</v>
      </c>
      <c r="M121" s="403"/>
      <c r="N121" s="476" t="s">
        <v>27</v>
      </c>
      <c r="O121" s="476"/>
      <c r="P121" s="450"/>
    </row>
    <row r="122" s="203" customFormat="1" ht="28.8" spans="1:16">
      <c r="A122" s="410"/>
      <c r="B122" s="403">
        <v>33040600503</v>
      </c>
      <c r="C122" s="476" t="s">
        <v>287</v>
      </c>
      <c r="D122" s="476" t="s">
        <v>215</v>
      </c>
      <c r="E122" s="476" t="s">
        <v>188</v>
      </c>
      <c r="F122" s="476" t="s">
        <v>42</v>
      </c>
      <c r="G122" s="403" t="s">
        <v>350</v>
      </c>
      <c r="H122" s="403"/>
      <c r="I122" s="403"/>
      <c r="J122" s="476" t="s">
        <v>52</v>
      </c>
      <c r="K122" s="431">
        <v>2250</v>
      </c>
      <c r="L122" s="461">
        <v>1912.5</v>
      </c>
      <c r="M122" s="403"/>
      <c r="N122" s="476" t="s">
        <v>27</v>
      </c>
      <c r="O122" s="476"/>
      <c r="P122" s="450"/>
    </row>
    <row r="123" s="203" customFormat="1" ht="100.8" spans="1:16">
      <c r="A123" s="407" t="s">
        <v>351</v>
      </c>
      <c r="B123" s="403">
        <v>330407005</v>
      </c>
      <c r="C123" s="405" t="s">
        <v>287</v>
      </c>
      <c r="D123" s="405" t="s">
        <v>215</v>
      </c>
      <c r="E123" s="405" t="s">
        <v>188</v>
      </c>
      <c r="F123" s="405" t="s">
        <v>42</v>
      </c>
      <c r="G123" s="408" t="s">
        <v>352</v>
      </c>
      <c r="H123" s="408" t="s">
        <v>353</v>
      </c>
      <c r="I123" s="408" t="s">
        <v>354</v>
      </c>
      <c r="J123" s="405" t="s">
        <v>52</v>
      </c>
      <c r="K123" s="452">
        <v>3780</v>
      </c>
      <c r="L123" s="453">
        <v>3213</v>
      </c>
      <c r="M123" s="408" t="s">
        <v>355</v>
      </c>
      <c r="N123" s="409" t="s">
        <v>27</v>
      </c>
      <c r="O123" s="472"/>
      <c r="P123" s="464"/>
    </row>
    <row r="124" s="203" customFormat="1" ht="115.2" spans="1:16">
      <c r="A124" s="410"/>
      <c r="B124" s="403">
        <v>33040700504</v>
      </c>
      <c r="C124" s="405" t="s">
        <v>287</v>
      </c>
      <c r="D124" s="405" t="s">
        <v>215</v>
      </c>
      <c r="E124" s="405" t="s">
        <v>188</v>
      </c>
      <c r="F124" s="405" t="s">
        <v>42</v>
      </c>
      <c r="G124" s="408" t="s">
        <v>356</v>
      </c>
      <c r="H124" s="408" t="s">
        <v>357</v>
      </c>
      <c r="I124" s="408" t="s">
        <v>358</v>
      </c>
      <c r="J124" s="405" t="s">
        <v>52</v>
      </c>
      <c r="K124" s="452">
        <v>3780</v>
      </c>
      <c r="L124" s="453">
        <v>3213</v>
      </c>
      <c r="M124" s="408"/>
      <c r="N124" s="409" t="s">
        <v>27</v>
      </c>
      <c r="O124" s="472"/>
      <c r="P124" s="464"/>
    </row>
    <row r="125" s="203" customFormat="1" ht="28.8" spans="1:16">
      <c r="A125" s="410"/>
      <c r="B125" s="403">
        <v>33040700505</v>
      </c>
      <c r="C125" s="405" t="s">
        <v>287</v>
      </c>
      <c r="D125" s="405" t="s">
        <v>215</v>
      </c>
      <c r="E125" s="405" t="s">
        <v>188</v>
      </c>
      <c r="F125" s="405" t="s">
        <v>42</v>
      </c>
      <c r="G125" s="408" t="s">
        <v>359</v>
      </c>
      <c r="H125" s="408"/>
      <c r="I125" s="408" t="s">
        <v>358</v>
      </c>
      <c r="J125" s="405" t="s">
        <v>52</v>
      </c>
      <c r="K125" s="452">
        <v>4914</v>
      </c>
      <c r="L125" s="453">
        <v>4176.9</v>
      </c>
      <c r="M125" s="408"/>
      <c r="N125" s="409" t="s">
        <v>27</v>
      </c>
      <c r="O125" s="472"/>
      <c r="P125" s="464"/>
    </row>
    <row r="126" s="203" customFormat="1" ht="28.8" spans="1:16">
      <c r="A126" s="406" t="s">
        <v>360</v>
      </c>
      <c r="B126" s="403">
        <v>330501013</v>
      </c>
      <c r="C126" s="405" t="s">
        <v>287</v>
      </c>
      <c r="D126" s="405" t="s">
        <v>215</v>
      </c>
      <c r="E126" s="405" t="s">
        <v>188</v>
      </c>
      <c r="F126" s="405" t="s">
        <v>42</v>
      </c>
      <c r="G126" s="408" t="s">
        <v>361</v>
      </c>
      <c r="H126" s="408"/>
      <c r="I126" s="408"/>
      <c r="J126" s="405" t="s">
        <v>52</v>
      </c>
      <c r="K126" s="476">
        <v>1380</v>
      </c>
      <c r="L126" s="453">
        <v>1173</v>
      </c>
      <c r="M126" s="408" t="s">
        <v>338</v>
      </c>
      <c r="N126" s="441" t="s">
        <v>27</v>
      </c>
      <c r="O126" s="472"/>
      <c r="P126" s="464"/>
    </row>
    <row r="127" s="203" customFormat="1" ht="28.8" spans="1:16">
      <c r="A127" s="407"/>
      <c r="B127" s="403">
        <v>33050101302</v>
      </c>
      <c r="C127" s="497" t="s">
        <v>287</v>
      </c>
      <c r="D127" s="497" t="s">
        <v>215</v>
      </c>
      <c r="E127" s="497" t="s">
        <v>188</v>
      </c>
      <c r="F127" s="497" t="s">
        <v>42</v>
      </c>
      <c r="G127" s="499" t="s">
        <v>362</v>
      </c>
      <c r="H127" s="499"/>
      <c r="I127" s="499"/>
      <c r="J127" s="497" t="s">
        <v>52</v>
      </c>
      <c r="K127" s="497">
        <v>540</v>
      </c>
      <c r="L127" s="453">
        <v>459</v>
      </c>
      <c r="M127" s="499"/>
      <c r="N127" s="512" t="s">
        <v>27</v>
      </c>
      <c r="O127" s="472"/>
      <c r="P127" s="464"/>
    </row>
    <row r="128" s="203" customFormat="1" ht="43.2" spans="1:16">
      <c r="A128" s="406" t="s">
        <v>363</v>
      </c>
      <c r="B128" s="403">
        <v>330502005</v>
      </c>
      <c r="C128" s="405" t="s">
        <v>287</v>
      </c>
      <c r="D128" s="405" t="s">
        <v>215</v>
      </c>
      <c r="E128" s="405" t="s">
        <v>188</v>
      </c>
      <c r="F128" s="405" t="s">
        <v>42</v>
      </c>
      <c r="G128" s="408" t="s">
        <v>364</v>
      </c>
      <c r="H128" s="408" t="s">
        <v>365</v>
      </c>
      <c r="I128" s="408" t="s">
        <v>366</v>
      </c>
      <c r="J128" s="405" t="s">
        <v>52</v>
      </c>
      <c r="K128" s="476">
        <v>2160</v>
      </c>
      <c r="L128" s="453">
        <v>1836</v>
      </c>
      <c r="M128" s="408" t="s">
        <v>338</v>
      </c>
      <c r="N128" s="441" t="s">
        <v>27</v>
      </c>
      <c r="O128" s="472"/>
      <c r="P128" s="464"/>
    </row>
    <row r="129" s="203" customFormat="1" ht="28.8" spans="1:16">
      <c r="A129" s="407"/>
      <c r="B129" s="403">
        <v>33050200502</v>
      </c>
      <c r="C129" s="497" t="s">
        <v>287</v>
      </c>
      <c r="D129" s="497" t="s">
        <v>215</v>
      </c>
      <c r="E129" s="497" t="s">
        <v>188</v>
      </c>
      <c r="F129" s="497" t="s">
        <v>42</v>
      </c>
      <c r="G129" s="499" t="s">
        <v>367</v>
      </c>
      <c r="H129" s="499"/>
      <c r="I129" s="499"/>
      <c r="J129" s="497" t="s">
        <v>52</v>
      </c>
      <c r="K129" s="497">
        <v>540</v>
      </c>
      <c r="L129" s="453">
        <v>459</v>
      </c>
      <c r="M129" s="499"/>
      <c r="N129" s="512" t="s">
        <v>27</v>
      </c>
      <c r="O129" s="472"/>
      <c r="P129" s="464"/>
    </row>
    <row r="130" s="203" customFormat="1" ht="28.8" spans="1:16">
      <c r="A130" s="406" t="s">
        <v>368</v>
      </c>
      <c r="B130" s="403">
        <v>330502014</v>
      </c>
      <c r="C130" s="405" t="s">
        <v>287</v>
      </c>
      <c r="D130" s="405" t="s">
        <v>215</v>
      </c>
      <c r="E130" s="405" t="s">
        <v>188</v>
      </c>
      <c r="F130" s="405" t="s">
        <v>42</v>
      </c>
      <c r="G130" s="408" t="s">
        <v>369</v>
      </c>
      <c r="H130" s="408" t="s">
        <v>370</v>
      </c>
      <c r="I130" s="408"/>
      <c r="J130" s="405" t="s">
        <v>52</v>
      </c>
      <c r="K130" s="476">
        <v>850</v>
      </c>
      <c r="L130" s="453">
        <v>722.5</v>
      </c>
      <c r="M130" s="408" t="s">
        <v>338</v>
      </c>
      <c r="N130" s="441" t="s">
        <v>27</v>
      </c>
      <c r="O130" s="472"/>
      <c r="P130" s="464"/>
    </row>
    <row r="131" s="203" customFormat="1" ht="28.8" spans="1:16">
      <c r="A131" s="407"/>
      <c r="B131" s="403">
        <v>33050201402</v>
      </c>
      <c r="C131" s="497" t="s">
        <v>287</v>
      </c>
      <c r="D131" s="497" t="s">
        <v>215</v>
      </c>
      <c r="E131" s="497" t="s">
        <v>188</v>
      </c>
      <c r="F131" s="497" t="s">
        <v>42</v>
      </c>
      <c r="G131" s="499" t="s">
        <v>371</v>
      </c>
      <c r="H131" s="499"/>
      <c r="I131" s="499"/>
      <c r="J131" s="497" t="s">
        <v>52</v>
      </c>
      <c r="K131" s="497">
        <v>540</v>
      </c>
      <c r="L131" s="453">
        <v>459</v>
      </c>
      <c r="M131" s="520"/>
      <c r="N131" s="512" t="s">
        <v>27</v>
      </c>
      <c r="O131" s="472"/>
      <c r="P131" s="464"/>
    </row>
    <row r="132" s="203" customFormat="1" ht="28.8" spans="1:16">
      <c r="A132" s="406" t="s">
        <v>372</v>
      </c>
      <c r="B132" s="403">
        <v>330502016</v>
      </c>
      <c r="C132" s="405" t="s">
        <v>287</v>
      </c>
      <c r="D132" s="405" t="s">
        <v>215</v>
      </c>
      <c r="E132" s="405" t="s">
        <v>188</v>
      </c>
      <c r="F132" s="405" t="s">
        <v>42</v>
      </c>
      <c r="G132" s="408" t="s">
        <v>373</v>
      </c>
      <c r="H132" s="408" t="s">
        <v>374</v>
      </c>
      <c r="I132" s="408"/>
      <c r="J132" s="405" t="s">
        <v>52</v>
      </c>
      <c r="K132" s="476">
        <v>1560</v>
      </c>
      <c r="L132" s="453">
        <v>1326</v>
      </c>
      <c r="M132" s="408" t="s">
        <v>338</v>
      </c>
      <c r="N132" s="441" t="s">
        <v>27</v>
      </c>
      <c r="O132" s="472"/>
      <c r="P132" s="464"/>
    </row>
    <row r="133" s="203" customFormat="1" ht="28.8" spans="1:16">
      <c r="A133" s="407"/>
      <c r="B133" s="403">
        <v>33050201602</v>
      </c>
      <c r="C133" s="497" t="s">
        <v>287</v>
      </c>
      <c r="D133" s="497" t="s">
        <v>215</v>
      </c>
      <c r="E133" s="497" t="s">
        <v>188</v>
      </c>
      <c r="F133" s="497" t="s">
        <v>42</v>
      </c>
      <c r="G133" s="499" t="s">
        <v>375</v>
      </c>
      <c r="H133" s="499"/>
      <c r="I133" s="499"/>
      <c r="J133" s="497" t="s">
        <v>52</v>
      </c>
      <c r="K133" s="497">
        <v>540</v>
      </c>
      <c r="L133" s="453">
        <v>459</v>
      </c>
      <c r="M133" s="499"/>
      <c r="N133" s="512" t="s">
        <v>27</v>
      </c>
      <c r="O133" s="472"/>
      <c r="P133" s="464"/>
    </row>
    <row r="134" s="203" customFormat="1" ht="28.8" spans="1:16">
      <c r="A134" s="406" t="s">
        <v>376</v>
      </c>
      <c r="B134" s="403">
        <v>330502018</v>
      </c>
      <c r="C134" s="405" t="s">
        <v>287</v>
      </c>
      <c r="D134" s="405" t="s">
        <v>215</v>
      </c>
      <c r="E134" s="405" t="s">
        <v>188</v>
      </c>
      <c r="F134" s="405" t="s">
        <v>42</v>
      </c>
      <c r="G134" s="408" t="s">
        <v>377</v>
      </c>
      <c r="H134" s="408" t="s">
        <v>378</v>
      </c>
      <c r="I134" s="408"/>
      <c r="J134" s="405" t="s">
        <v>52</v>
      </c>
      <c r="K134" s="476">
        <v>1380</v>
      </c>
      <c r="L134" s="453">
        <v>1173</v>
      </c>
      <c r="M134" s="408" t="s">
        <v>338</v>
      </c>
      <c r="N134" s="441" t="s">
        <v>27</v>
      </c>
      <c r="O134" s="472"/>
      <c r="P134" s="464"/>
    </row>
    <row r="135" s="203" customFormat="1" ht="28.8" spans="1:16">
      <c r="A135" s="407"/>
      <c r="B135" s="403">
        <v>33050201802</v>
      </c>
      <c r="C135" s="497" t="s">
        <v>287</v>
      </c>
      <c r="D135" s="497" t="s">
        <v>215</v>
      </c>
      <c r="E135" s="497" t="s">
        <v>188</v>
      </c>
      <c r="F135" s="497" t="s">
        <v>42</v>
      </c>
      <c r="G135" s="499" t="s">
        <v>379</v>
      </c>
      <c r="H135" s="499"/>
      <c r="I135" s="499"/>
      <c r="J135" s="497" t="s">
        <v>52</v>
      </c>
      <c r="K135" s="497">
        <v>540</v>
      </c>
      <c r="L135" s="453">
        <v>459</v>
      </c>
      <c r="M135" s="499"/>
      <c r="N135" s="512" t="s">
        <v>27</v>
      </c>
      <c r="O135" s="472"/>
      <c r="P135" s="464"/>
    </row>
    <row r="136" s="203" customFormat="1" ht="28.8" spans="1:16">
      <c r="A136" s="406" t="s">
        <v>380</v>
      </c>
      <c r="B136" s="403">
        <v>330503002</v>
      </c>
      <c r="C136" s="405" t="s">
        <v>287</v>
      </c>
      <c r="D136" s="405" t="s">
        <v>215</v>
      </c>
      <c r="E136" s="405" t="s">
        <v>188</v>
      </c>
      <c r="F136" s="405" t="s">
        <v>42</v>
      </c>
      <c r="G136" s="408" t="s">
        <v>381</v>
      </c>
      <c r="H136" s="408" t="s">
        <v>382</v>
      </c>
      <c r="I136" s="408"/>
      <c r="J136" s="405" t="s">
        <v>52</v>
      </c>
      <c r="K136" s="476">
        <v>1940</v>
      </c>
      <c r="L136" s="453">
        <v>1649</v>
      </c>
      <c r="M136" s="408" t="s">
        <v>338</v>
      </c>
      <c r="N136" s="441" t="s">
        <v>27</v>
      </c>
      <c r="O136" s="472"/>
      <c r="P136" s="464"/>
    </row>
    <row r="137" s="203" customFormat="1" ht="28.8" spans="1:16">
      <c r="A137" s="407"/>
      <c r="B137" s="403">
        <v>33050300202</v>
      </c>
      <c r="C137" s="497" t="s">
        <v>287</v>
      </c>
      <c r="D137" s="497" t="s">
        <v>215</v>
      </c>
      <c r="E137" s="497" t="s">
        <v>188</v>
      </c>
      <c r="F137" s="497" t="s">
        <v>42</v>
      </c>
      <c r="G137" s="499" t="s">
        <v>383</v>
      </c>
      <c r="H137" s="499"/>
      <c r="I137" s="499"/>
      <c r="J137" s="497" t="s">
        <v>52</v>
      </c>
      <c r="K137" s="497">
        <v>540</v>
      </c>
      <c r="L137" s="453">
        <v>459</v>
      </c>
      <c r="M137" s="499"/>
      <c r="N137" s="512" t="s">
        <v>27</v>
      </c>
      <c r="O137" s="472"/>
      <c r="P137" s="464"/>
    </row>
    <row r="138" s="203" customFormat="1" ht="28.8" spans="1:16">
      <c r="A138" s="406" t="s">
        <v>384</v>
      </c>
      <c r="B138" s="403">
        <v>330503008</v>
      </c>
      <c r="C138" s="405" t="s">
        <v>287</v>
      </c>
      <c r="D138" s="405" t="s">
        <v>215</v>
      </c>
      <c r="E138" s="405" t="s">
        <v>188</v>
      </c>
      <c r="F138" s="405" t="s">
        <v>42</v>
      </c>
      <c r="G138" s="408" t="s">
        <v>385</v>
      </c>
      <c r="H138" s="408" t="s">
        <v>386</v>
      </c>
      <c r="I138" s="408" t="s">
        <v>387</v>
      </c>
      <c r="J138" s="405" t="s">
        <v>52</v>
      </c>
      <c r="K138" s="476">
        <v>3240</v>
      </c>
      <c r="L138" s="453">
        <v>2754</v>
      </c>
      <c r="M138" s="408" t="s">
        <v>388</v>
      </c>
      <c r="N138" s="441" t="s">
        <v>27</v>
      </c>
      <c r="O138" s="472"/>
      <c r="P138" s="464"/>
    </row>
    <row r="139" s="203" customFormat="1" ht="28.8" spans="1:16">
      <c r="A139" s="407"/>
      <c r="B139" s="403">
        <v>33050300802</v>
      </c>
      <c r="C139" s="497" t="s">
        <v>287</v>
      </c>
      <c r="D139" s="497" t="s">
        <v>215</v>
      </c>
      <c r="E139" s="497" t="s">
        <v>188</v>
      </c>
      <c r="F139" s="497" t="s">
        <v>42</v>
      </c>
      <c r="G139" s="499" t="s">
        <v>389</v>
      </c>
      <c r="H139" s="499"/>
      <c r="I139" s="499"/>
      <c r="J139" s="497" t="s">
        <v>52</v>
      </c>
      <c r="K139" s="497">
        <v>900</v>
      </c>
      <c r="L139" s="453">
        <v>765</v>
      </c>
      <c r="M139" s="499"/>
      <c r="N139" s="512" t="s">
        <v>27</v>
      </c>
      <c r="O139" s="472"/>
      <c r="P139" s="464"/>
    </row>
    <row r="140" s="203" customFormat="1" ht="28.8" spans="1:16">
      <c r="A140" s="406" t="s">
        <v>390</v>
      </c>
      <c r="B140" s="403">
        <v>330503014</v>
      </c>
      <c r="C140" s="405" t="s">
        <v>287</v>
      </c>
      <c r="D140" s="405" t="s">
        <v>215</v>
      </c>
      <c r="E140" s="405" t="s">
        <v>188</v>
      </c>
      <c r="F140" s="405" t="s">
        <v>42</v>
      </c>
      <c r="G140" s="408" t="s">
        <v>391</v>
      </c>
      <c r="H140" s="408" t="s">
        <v>392</v>
      </c>
      <c r="I140" s="408"/>
      <c r="J140" s="405" t="s">
        <v>52</v>
      </c>
      <c r="K140" s="476">
        <v>1560</v>
      </c>
      <c r="L140" s="453">
        <v>1326</v>
      </c>
      <c r="M140" s="408" t="s">
        <v>338</v>
      </c>
      <c r="N140" s="441" t="s">
        <v>27</v>
      </c>
      <c r="O140" s="472"/>
      <c r="P140" s="464"/>
    </row>
    <row r="141" s="203" customFormat="1" ht="28.8" spans="1:16">
      <c r="A141" s="407"/>
      <c r="B141" s="403">
        <v>33050301402</v>
      </c>
      <c r="C141" s="497" t="s">
        <v>287</v>
      </c>
      <c r="D141" s="497" t="s">
        <v>215</v>
      </c>
      <c r="E141" s="497" t="s">
        <v>188</v>
      </c>
      <c r="F141" s="497" t="s">
        <v>42</v>
      </c>
      <c r="G141" s="499" t="s">
        <v>393</v>
      </c>
      <c r="H141" s="499"/>
      <c r="I141" s="499"/>
      <c r="J141" s="497" t="s">
        <v>52</v>
      </c>
      <c r="K141" s="497">
        <v>540</v>
      </c>
      <c r="L141" s="453">
        <v>459</v>
      </c>
      <c r="M141" s="499"/>
      <c r="N141" s="512" t="s">
        <v>27</v>
      </c>
      <c r="O141" s="472"/>
      <c r="P141" s="464"/>
    </row>
    <row r="142" s="203" customFormat="1" ht="28.8" spans="1:16">
      <c r="A142" s="406" t="s">
        <v>394</v>
      </c>
      <c r="B142" s="403">
        <v>330503015</v>
      </c>
      <c r="C142" s="405" t="s">
        <v>287</v>
      </c>
      <c r="D142" s="405" t="s">
        <v>215</v>
      </c>
      <c r="E142" s="405" t="s">
        <v>188</v>
      </c>
      <c r="F142" s="405" t="s">
        <v>42</v>
      </c>
      <c r="G142" s="408" t="s">
        <v>395</v>
      </c>
      <c r="H142" s="408" t="s">
        <v>396</v>
      </c>
      <c r="I142" s="408"/>
      <c r="J142" s="405" t="s">
        <v>52</v>
      </c>
      <c r="K142" s="476">
        <v>2770</v>
      </c>
      <c r="L142" s="453">
        <v>2354.5</v>
      </c>
      <c r="M142" s="408" t="s">
        <v>388</v>
      </c>
      <c r="N142" s="441" t="s">
        <v>27</v>
      </c>
      <c r="O142" s="472"/>
      <c r="P142" s="464"/>
    </row>
    <row r="143" s="203" customFormat="1" ht="28.8" spans="1:16">
      <c r="A143" s="407"/>
      <c r="B143" s="403">
        <v>33050301502</v>
      </c>
      <c r="C143" s="497" t="s">
        <v>287</v>
      </c>
      <c r="D143" s="497" t="s">
        <v>215</v>
      </c>
      <c r="E143" s="497" t="s">
        <v>188</v>
      </c>
      <c r="F143" s="497" t="s">
        <v>42</v>
      </c>
      <c r="G143" s="499" t="s">
        <v>397</v>
      </c>
      <c r="H143" s="499"/>
      <c r="I143" s="499"/>
      <c r="J143" s="497" t="s">
        <v>52</v>
      </c>
      <c r="K143" s="497">
        <v>900</v>
      </c>
      <c r="L143" s="453">
        <v>765</v>
      </c>
      <c r="M143" s="499"/>
      <c r="N143" s="512" t="s">
        <v>27</v>
      </c>
      <c r="O143" s="472"/>
      <c r="P143" s="464"/>
    </row>
    <row r="144" s="203" customFormat="1" ht="28.8" spans="1:16">
      <c r="A144" s="406" t="s">
        <v>398</v>
      </c>
      <c r="B144" s="403">
        <v>330503016</v>
      </c>
      <c r="C144" s="405" t="s">
        <v>287</v>
      </c>
      <c r="D144" s="405" t="s">
        <v>215</v>
      </c>
      <c r="E144" s="405" t="s">
        <v>188</v>
      </c>
      <c r="F144" s="405" t="s">
        <v>42</v>
      </c>
      <c r="G144" s="408" t="s">
        <v>399</v>
      </c>
      <c r="H144" s="408" t="s">
        <v>400</v>
      </c>
      <c r="I144" s="408"/>
      <c r="J144" s="405" t="s">
        <v>52</v>
      </c>
      <c r="K144" s="476">
        <v>3780</v>
      </c>
      <c r="L144" s="453">
        <v>3213</v>
      </c>
      <c r="M144" s="408" t="s">
        <v>388</v>
      </c>
      <c r="N144" s="441" t="s">
        <v>27</v>
      </c>
      <c r="O144" s="472"/>
      <c r="P144" s="464"/>
    </row>
    <row r="145" s="203" customFormat="1" ht="28.8" spans="1:16">
      <c r="A145" s="407"/>
      <c r="B145" s="403">
        <v>33050301602</v>
      </c>
      <c r="C145" s="497" t="s">
        <v>287</v>
      </c>
      <c r="D145" s="497" t="s">
        <v>215</v>
      </c>
      <c r="E145" s="497" t="s">
        <v>188</v>
      </c>
      <c r="F145" s="497" t="s">
        <v>42</v>
      </c>
      <c r="G145" s="499" t="s">
        <v>401</v>
      </c>
      <c r="H145" s="499"/>
      <c r="I145" s="499"/>
      <c r="J145" s="497" t="s">
        <v>52</v>
      </c>
      <c r="K145" s="497">
        <v>900</v>
      </c>
      <c r="L145" s="453">
        <v>765</v>
      </c>
      <c r="M145" s="499"/>
      <c r="N145" s="512" t="s">
        <v>27</v>
      </c>
      <c r="O145" s="472"/>
      <c r="P145" s="464"/>
    </row>
    <row r="146" s="203" customFormat="1" ht="28.8" spans="1:16">
      <c r="A146" s="406" t="s">
        <v>402</v>
      </c>
      <c r="B146" s="403">
        <v>330601021</v>
      </c>
      <c r="C146" s="405" t="s">
        <v>287</v>
      </c>
      <c r="D146" s="405" t="s">
        <v>215</v>
      </c>
      <c r="E146" s="405" t="s">
        <v>188</v>
      </c>
      <c r="F146" s="405" t="s">
        <v>42</v>
      </c>
      <c r="G146" s="408" t="s">
        <v>403</v>
      </c>
      <c r="H146" s="408"/>
      <c r="I146" s="408"/>
      <c r="J146" s="405" t="s">
        <v>52</v>
      </c>
      <c r="K146" s="476">
        <v>1560</v>
      </c>
      <c r="L146" s="453">
        <v>1326</v>
      </c>
      <c r="M146" s="408" t="s">
        <v>338</v>
      </c>
      <c r="N146" s="441" t="s">
        <v>27</v>
      </c>
      <c r="O146" s="472"/>
      <c r="P146" s="464"/>
    </row>
    <row r="147" s="203" customFormat="1" ht="28.8" spans="1:16">
      <c r="A147" s="407"/>
      <c r="B147" s="403">
        <v>33060102104</v>
      </c>
      <c r="C147" s="497" t="s">
        <v>287</v>
      </c>
      <c r="D147" s="497" t="s">
        <v>215</v>
      </c>
      <c r="E147" s="497" t="s">
        <v>188</v>
      </c>
      <c r="F147" s="497" t="s">
        <v>42</v>
      </c>
      <c r="G147" s="499" t="s">
        <v>404</v>
      </c>
      <c r="H147" s="499"/>
      <c r="I147" s="499"/>
      <c r="J147" s="497" t="s">
        <v>52</v>
      </c>
      <c r="K147" s="497">
        <v>540</v>
      </c>
      <c r="L147" s="453">
        <v>459</v>
      </c>
      <c r="M147" s="499"/>
      <c r="N147" s="512" t="s">
        <v>27</v>
      </c>
      <c r="O147" s="472"/>
      <c r="P147" s="464"/>
    </row>
    <row r="148" s="203" customFormat="1" ht="43.2" spans="1:16">
      <c r="A148" s="406" t="s">
        <v>405</v>
      </c>
      <c r="B148" s="403">
        <v>330602013</v>
      </c>
      <c r="C148" s="405" t="s">
        <v>287</v>
      </c>
      <c r="D148" s="405" t="s">
        <v>215</v>
      </c>
      <c r="E148" s="405" t="s">
        <v>188</v>
      </c>
      <c r="F148" s="405" t="s">
        <v>42</v>
      </c>
      <c r="G148" s="408" t="s">
        <v>406</v>
      </c>
      <c r="H148" s="408" t="s">
        <v>407</v>
      </c>
      <c r="I148" s="408"/>
      <c r="J148" s="405" t="s">
        <v>52</v>
      </c>
      <c r="K148" s="476">
        <v>2420</v>
      </c>
      <c r="L148" s="453">
        <v>2057</v>
      </c>
      <c r="M148" s="408" t="s">
        <v>408</v>
      </c>
      <c r="N148" s="441" t="s">
        <v>27</v>
      </c>
      <c r="O148" s="472"/>
      <c r="P148" s="464"/>
    </row>
    <row r="149" s="203" customFormat="1" ht="28.8" spans="1:16">
      <c r="A149" s="407"/>
      <c r="B149" s="403">
        <v>33060201304</v>
      </c>
      <c r="C149" s="497" t="s">
        <v>287</v>
      </c>
      <c r="D149" s="497" t="s">
        <v>215</v>
      </c>
      <c r="E149" s="497" t="s">
        <v>188</v>
      </c>
      <c r="F149" s="497" t="s">
        <v>42</v>
      </c>
      <c r="G149" s="499" t="s">
        <v>409</v>
      </c>
      <c r="H149" s="499"/>
      <c r="I149" s="499"/>
      <c r="J149" s="497" t="s">
        <v>52</v>
      </c>
      <c r="K149" s="497">
        <v>540</v>
      </c>
      <c r="L149" s="453">
        <v>459</v>
      </c>
      <c r="M149" s="499"/>
      <c r="N149" s="512" t="s">
        <v>27</v>
      </c>
      <c r="O149" s="472"/>
      <c r="P149" s="464"/>
    </row>
    <row r="150" s="203" customFormat="1" ht="28.8" spans="1:16">
      <c r="A150" s="406" t="s">
        <v>410</v>
      </c>
      <c r="B150" s="403">
        <v>330603003</v>
      </c>
      <c r="C150" s="405" t="s">
        <v>287</v>
      </c>
      <c r="D150" s="405" t="s">
        <v>215</v>
      </c>
      <c r="E150" s="405" t="s">
        <v>188</v>
      </c>
      <c r="F150" s="405" t="s">
        <v>42</v>
      </c>
      <c r="G150" s="408" t="s">
        <v>411</v>
      </c>
      <c r="H150" s="408" t="s">
        <v>412</v>
      </c>
      <c r="I150" s="408"/>
      <c r="J150" s="405" t="s">
        <v>52</v>
      </c>
      <c r="K150" s="476">
        <v>4030</v>
      </c>
      <c r="L150" s="453">
        <v>3425.5</v>
      </c>
      <c r="M150" s="408" t="s">
        <v>388</v>
      </c>
      <c r="N150" s="441" t="s">
        <v>27</v>
      </c>
      <c r="O150" s="472"/>
      <c r="P150" s="464"/>
    </row>
    <row r="151" s="203" customFormat="1" ht="28.8" spans="1:16">
      <c r="A151" s="407"/>
      <c r="B151" s="403">
        <v>33060300302</v>
      </c>
      <c r="C151" s="497" t="s">
        <v>287</v>
      </c>
      <c r="D151" s="497" t="s">
        <v>215</v>
      </c>
      <c r="E151" s="497" t="s">
        <v>188</v>
      </c>
      <c r="F151" s="497" t="s">
        <v>42</v>
      </c>
      <c r="G151" s="499" t="s">
        <v>413</v>
      </c>
      <c r="H151" s="499"/>
      <c r="I151" s="499"/>
      <c r="J151" s="497" t="s">
        <v>52</v>
      </c>
      <c r="K151" s="497">
        <v>900</v>
      </c>
      <c r="L151" s="453">
        <v>765</v>
      </c>
      <c r="M151" s="499"/>
      <c r="N151" s="512" t="s">
        <v>27</v>
      </c>
      <c r="O151" s="472"/>
      <c r="P151" s="464"/>
    </row>
    <row r="152" s="203" customFormat="1" ht="28.8" spans="1:16">
      <c r="A152" s="406" t="s">
        <v>414</v>
      </c>
      <c r="B152" s="403">
        <v>330603004</v>
      </c>
      <c r="C152" s="405" t="s">
        <v>287</v>
      </c>
      <c r="D152" s="405" t="s">
        <v>215</v>
      </c>
      <c r="E152" s="405" t="s">
        <v>188</v>
      </c>
      <c r="F152" s="405" t="s">
        <v>42</v>
      </c>
      <c r="G152" s="408" t="s">
        <v>415</v>
      </c>
      <c r="H152" s="408"/>
      <c r="I152" s="408"/>
      <c r="J152" s="405" t="s">
        <v>52</v>
      </c>
      <c r="K152" s="476">
        <v>3020</v>
      </c>
      <c r="L152" s="453">
        <v>2567</v>
      </c>
      <c r="M152" s="408" t="s">
        <v>388</v>
      </c>
      <c r="N152" s="441" t="s">
        <v>27</v>
      </c>
      <c r="O152" s="472"/>
      <c r="P152" s="464"/>
    </row>
    <row r="153" s="203" customFormat="1" ht="28.8" spans="1:16">
      <c r="A153" s="407"/>
      <c r="B153" s="403">
        <v>33060300402</v>
      </c>
      <c r="C153" s="497" t="s">
        <v>287</v>
      </c>
      <c r="D153" s="497" t="s">
        <v>215</v>
      </c>
      <c r="E153" s="497" t="s">
        <v>188</v>
      </c>
      <c r="F153" s="497" t="s">
        <v>42</v>
      </c>
      <c r="G153" s="499" t="s">
        <v>416</v>
      </c>
      <c r="H153" s="499"/>
      <c r="I153" s="499"/>
      <c r="J153" s="497" t="s">
        <v>52</v>
      </c>
      <c r="K153" s="497">
        <v>900</v>
      </c>
      <c r="L153" s="453">
        <v>765</v>
      </c>
      <c r="M153" s="499"/>
      <c r="N153" s="512" t="s">
        <v>27</v>
      </c>
      <c r="O153" s="472"/>
      <c r="P153" s="464"/>
    </row>
    <row r="154" s="203" customFormat="1" ht="28.8" spans="1:16">
      <c r="A154" s="406" t="s">
        <v>417</v>
      </c>
      <c r="B154" s="403">
        <v>330603007</v>
      </c>
      <c r="C154" s="405" t="s">
        <v>287</v>
      </c>
      <c r="D154" s="405" t="s">
        <v>215</v>
      </c>
      <c r="E154" s="405" t="s">
        <v>188</v>
      </c>
      <c r="F154" s="405" t="s">
        <v>42</v>
      </c>
      <c r="G154" s="408" t="s">
        <v>418</v>
      </c>
      <c r="H154" s="408"/>
      <c r="I154" s="408"/>
      <c r="J154" s="405" t="s">
        <v>52</v>
      </c>
      <c r="K154" s="476">
        <v>2590</v>
      </c>
      <c r="L154" s="453">
        <v>2201.5</v>
      </c>
      <c r="M154" s="408" t="s">
        <v>388</v>
      </c>
      <c r="N154" s="441" t="s">
        <v>27</v>
      </c>
      <c r="O154" s="472"/>
      <c r="P154" s="464"/>
    </row>
    <row r="155" s="203" customFormat="1" ht="28.8" spans="1:16">
      <c r="A155" s="407"/>
      <c r="B155" s="403">
        <v>33060300702</v>
      </c>
      <c r="C155" s="497" t="s">
        <v>287</v>
      </c>
      <c r="D155" s="497" t="s">
        <v>215</v>
      </c>
      <c r="E155" s="497" t="s">
        <v>188</v>
      </c>
      <c r="F155" s="497" t="s">
        <v>42</v>
      </c>
      <c r="G155" s="499" t="s">
        <v>419</v>
      </c>
      <c r="H155" s="499"/>
      <c r="I155" s="499"/>
      <c r="J155" s="497" t="s">
        <v>52</v>
      </c>
      <c r="K155" s="497">
        <v>900</v>
      </c>
      <c r="L155" s="453">
        <v>765</v>
      </c>
      <c r="M155" s="499"/>
      <c r="N155" s="512" t="s">
        <v>27</v>
      </c>
      <c r="O155" s="472"/>
      <c r="P155" s="464"/>
    </row>
    <row r="156" s="203" customFormat="1" ht="28.8" spans="1:16">
      <c r="A156" s="406" t="s">
        <v>420</v>
      </c>
      <c r="B156" s="403">
        <v>330605009</v>
      </c>
      <c r="C156" s="405" t="s">
        <v>287</v>
      </c>
      <c r="D156" s="405" t="s">
        <v>215</v>
      </c>
      <c r="E156" s="405" t="s">
        <v>188</v>
      </c>
      <c r="F156" s="405" t="s">
        <v>42</v>
      </c>
      <c r="G156" s="408" t="s">
        <v>421</v>
      </c>
      <c r="H156" s="408" t="s">
        <v>422</v>
      </c>
      <c r="I156" s="408" t="s">
        <v>423</v>
      </c>
      <c r="J156" s="405" t="s">
        <v>52</v>
      </c>
      <c r="K156" s="476">
        <v>2300</v>
      </c>
      <c r="L156" s="453">
        <v>1955</v>
      </c>
      <c r="M156" s="408" t="s">
        <v>338</v>
      </c>
      <c r="N156" s="441" t="s">
        <v>27</v>
      </c>
      <c r="O156" s="472"/>
      <c r="P156" s="464"/>
    </row>
    <row r="157" s="203" customFormat="1" ht="28.8" spans="1:16">
      <c r="A157" s="407"/>
      <c r="B157" s="403">
        <v>33060500902</v>
      </c>
      <c r="C157" s="497" t="s">
        <v>287</v>
      </c>
      <c r="D157" s="497" t="s">
        <v>215</v>
      </c>
      <c r="E157" s="497" t="s">
        <v>188</v>
      </c>
      <c r="F157" s="497" t="s">
        <v>42</v>
      </c>
      <c r="G157" s="499" t="s">
        <v>424</v>
      </c>
      <c r="H157" s="499"/>
      <c r="I157" s="499"/>
      <c r="J157" s="497" t="s">
        <v>52</v>
      </c>
      <c r="K157" s="497">
        <v>540</v>
      </c>
      <c r="L157" s="453">
        <v>459</v>
      </c>
      <c r="M157" s="499"/>
      <c r="N157" s="512" t="s">
        <v>27</v>
      </c>
      <c r="O157" s="472"/>
      <c r="P157" s="464"/>
    </row>
    <row r="158" s="203" customFormat="1" ht="28.8" spans="1:16">
      <c r="A158" s="406" t="s">
        <v>425</v>
      </c>
      <c r="B158" s="403">
        <v>330605010</v>
      </c>
      <c r="C158" s="405" t="s">
        <v>287</v>
      </c>
      <c r="D158" s="405" t="s">
        <v>215</v>
      </c>
      <c r="E158" s="405" t="s">
        <v>188</v>
      </c>
      <c r="F158" s="405" t="s">
        <v>42</v>
      </c>
      <c r="G158" s="408" t="s">
        <v>426</v>
      </c>
      <c r="H158" s="408" t="s">
        <v>427</v>
      </c>
      <c r="I158" s="408" t="s">
        <v>423</v>
      </c>
      <c r="J158" s="405" t="s">
        <v>52</v>
      </c>
      <c r="K158" s="476">
        <v>2500</v>
      </c>
      <c r="L158" s="453">
        <v>2125</v>
      </c>
      <c r="M158" s="408" t="s">
        <v>338</v>
      </c>
      <c r="N158" s="441" t="s">
        <v>27</v>
      </c>
      <c r="O158" s="472"/>
      <c r="P158" s="464"/>
    </row>
    <row r="159" s="203" customFormat="1" ht="28.8" spans="1:16">
      <c r="A159" s="407"/>
      <c r="B159" s="403">
        <v>33060501002</v>
      </c>
      <c r="C159" s="497" t="s">
        <v>287</v>
      </c>
      <c r="D159" s="497" t="s">
        <v>215</v>
      </c>
      <c r="E159" s="497" t="s">
        <v>188</v>
      </c>
      <c r="F159" s="497" t="s">
        <v>42</v>
      </c>
      <c r="G159" s="499" t="s">
        <v>428</v>
      </c>
      <c r="H159" s="499"/>
      <c r="I159" s="499"/>
      <c r="J159" s="497" t="s">
        <v>52</v>
      </c>
      <c r="K159" s="497">
        <v>540</v>
      </c>
      <c r="L159" s="453">
        <v>459</v>
      </c>
      <c r="M159" s="499"/>
      <c r="N159" s="512" t="s">
        <v>27</v>
      </c>
      <c r="O159" s="472"/>
      <c r="P159" s="464"/>
    </row>
    <row r="160" s="203" customFormat="1" ht="28.8" spans="1:16">
      <c r="A160" s="406" t="s">
        <v>429</v>
      </c>
      <c r="B160" s="403">
        <v>330605011</v>
      </c>
      <c r="C160" s="405" t="s">
        <v>287</v>
      </c>
      <c r="D160" s="405" t="s">
        <v>215</v>
      </c>
      <c r="E160" s="405" t="s">
        <v>188</v>
      </c>
      <c r="F160" s="405" t="s">
        <v>42</v>
      </c>
      <c r="G160" s="408" t="s">
        <v>430</v>
      </c>
      <c r="H160" s="408" t="s">
        <v>431</v>
      </c>
      <c r="I160" s="408" t="s">
        <v>423</v>
      </c>
      <c r="J160" s="405" t="s">
        <v>52</v>
      </c>
      <c r="K160" s="476">
        <v>3260</v>
      </c>
      <c r="L160" s="453">
        <v>2771</v>
      </c>
      <c r="M160" s="408" t="s">
        <v>388</v>
      </c>
      <c r="N160" s="441" t="s">
        <v>27</v>
      </c>
      <c r="O160" s="472"/>
      <c r="P160" s="464"/>
    </row>
    <row r="161" s="203" customFormat="1" ht="28.8" spans="1:16">
      <c r="A161" s="407"/>
      <c r="B161" s="403">
        <v>33060501102</v>
      </c>
      <c r="C161" s="497" t="s">
        <v>287</v>
      </c>
      <c r="D161" s="497" t="s">
        <v>215</v>
      </c>
      <c r="E161" s="497" t="s">
        <v>188</v>
      </c>
      <c r="F161" s="497" t="s">
        <v>42</v>
      </c>
      <c r="G161" s="499" t="s">
        <v>432</v>
      </c>
      <c r="H161" s="499"/>
      <c r="I161" s="499"/>
      <c r="J161" s="497" t="s">
        <v>52</v>
      </c>
      <c r="K161" s="497">
        <v>900</v>
      </c>
      <c r="L161" s="453">
        <v>765</v>
      </c>
      <c r="M161" s="499"/>
      <c r="N161" s="512" t="s">
        <v>27</v>
      </c>
      <c r="O161" s="472"/>
      <c r="P161" s="464"/>
    </row>
    <row r="162" s="203" customFormat="1" ht="57.6" spans="1:16">
      <c r="A162" s="406" t="s">
        <v>433</v>
      </c>
      <c r="B162" s="403">
        <v>330605012</v>
      </c>
      <c r="C162" s="405" t="s">
        <v>287</v>
      </c>
      <c r="D162" s="405" t="s">
        <v>215</v>
      </c>
      <c r="E162" s="405" t="s">
        <v>188</v>
      </c>
      <c r="F162" s="405" t="s">
        <v>42</v>
      </c>
      <c r="G162" s="408" t="s">
        <v>434</v>
      </c>
      <c r="H162" s="408" t="s">
        <v>435</v>
      </c>
      <c r="I162" s="408" t="s">
        <v>436</v>
      </c>
      <c r="J162" s="405" t="s">
        <v>52</v>
      </c>
      <c r="K162" s="476">
        <v>3840</v>
      </c>
      <c r="L162" s="453">
        <v>3264</v>
      </c>
      <c r="M162" s="408" t="s">
        <v>388</v>
      </c>
      <c r="N162" s="441" t="s">
        <v>27</v>
      </c>
      <c r="O162" s="472"/>
      <c r="P162" s="464"/>
    </row>
    <row r="163" s="203" customFormat="1" ht="28.8" spans="1:16">
      <c r="A163" s="407"/>
      <c r="B163" s="403">
        <v>33060501202</v>
      </c>
      <c r="C163" s="497" t="s">
        <v>287</v>
      </c>
      <c r="D163" s="497" t="s">
        <v>215</v>
      </c>
      <c r="E163" s="497" t="s">
        <v>188</v>
      </c>
      <c r="F163" s="497" t="s">
        <v>42</v>
      </c>
      <c r="G163" s="499" t="s">
        <v>437</v>
      </c>
      <c r="H163" s="499"/>
      <c r="I163" s="499"/>
      <c r="J163" s="497" t="s">
        <v>52</v>
      </c>
      <c r="K163" s="497">
        <v>900</v>
      </c>
      <c r="L163" s="453">
        <v>765</v>
      </c>
      <c r="M163" s="499"/>
      <c r="N163" s="512" t="s">
        <v>27</v>
      </c>
      <c r="O163" s="472"/>
      <c r="P163" s="464"/>
    </row>
    <row r="164" s="203" customFormat="1" ht="43.2" spans="1:16">
      <c r="A164" s="406" t="s">
        <v>438</v>
      </c>
      <c r="B164" s="403">
        <v>330605013</v>
      </c>
      <c r="C164" s="405" t="s">
        <v>287</v>
      </c>
      <c r="D164" s="405" t="s">
        <v>215</v>
      </c>
      <c r="E164" s="405" t="s">
        <v>188</v>
      </c>
      <c r="F164" s="405" t="s">
        <v>42</v>
      </c>
      <c r="G164" s="408" t="s">
        <v>439</v>
      </c>
      <c r="H164" s="408" t="s">
        <v>440</v>
      </c>
      <c r="I164" s="408" t="s">
        <v>441</v>
      </c>
      <c r="J164" s="405" t="s">
        <v>52</v>
      </c>
      <c r="K164" s="476">
        <v>1350</v>
      </c>
      <c r="L164" s="453">
        <v>1147.5</v>
      </c>
      <c r="M164" s="408" t="s">
        <v>338</v>
      </c>
      <c r="N164" s="441" t="s">
        <v>27</v>
      </c>
      <c r="O164" s="472"/>
      <c r="P164" s="464"/>
    </row>
    <row r="165" s="203" customFormat="1" ht="28.8" spans="1:16">
      <c r="A165" s="407"/>
      <c r="B165" s="403">
        <v>33060501302</v>
      </c>
      <c r="C165" s="497" t="s">
        <v>287</v>
      </c>
      <c r="D165" s="497" t="s">
        <v>215</v>
      </c>
      <c r="E165" s="497" t="s">
        <v>188</v>
      </c>
      <c r="F165" s="497" t="s">
        <v>42</v>
      </c>
      <c r="G165" s="499" t="s">
        <v>442</v>
      </c>
      <c r="H165" s="499"/>
      <c r="I165" s="499"/>
      <c r="J165" s="497" t="s">
        <v>52</v>
      </c>
      <c r="K165" s="497">
        <v>540</v>
      </c>
      <c r="L165" s="453">
        <v>459</v>
      </c>
      <c r="M165" s="499"/>
      <c r="N165" s="512" t="s">
        <v>27</v>
      </c>
      <c r="O165" s="472"/>
      <c r="P165" s="464"/>
    </row>
    <row r="166" s="203" customFormat="1" ht="28.8" spans="1:16">
      <c r="A166" s="406" t="s">
        <v>443</v>
      </c>
      <c r="B166" s="403">
        <v>330611003</v>
      </c>
      <c r="C166" s="405" t="s">
        <v>287</v>
      </c>
      <c r="D166" s="405" t="s">
        <v>215</v>
      </c>
      <c r="E166" s="405" t="s">
        <v>188</v>
      </c>
      <c r="F166" s="405" t="s">
        <v>42</v>
      </c>
      <c r="G166" s="408" t="s">
        <v>444</v>
      </c>
      <c r="H166" s="408"/>
      <c r="I166" s="408"/>
      <c r="J166" s="405" t="s">
        <v>52</v>
      </c>
      <c r="K166" s="476">
        <v>1890</v>
      </c>
      <c r="L166" s="453">
        <v>1606.5</v>
      </c>
      <c r="M166" s="408" t="s">
        <v>338</v>
      </c>
      <c r="N166" s="441" t="s">
        <v>27</v>
      </c>
      <c r="O166" s="472"/>
      <c r="P166" s="464"/>
    </row>
    <row r="167" s="203" customFormat="1" ht="28.8" spans="1:16">
      <c r="A167" s="407"/>
      <c r="B167" s="403">
        <v>33061100302</v>
      </c>
      <c r="C167" s="497" t="s">
        <v>287</v>
      </c>
      <c r="D167" s="497" t="s">
        <v>215</v>
      </c>
      <c r="E167" s="497" t="s">
        <v>188</v>
      </c>
      <c r="F167" s="497" t="s">
        <v>42</v>
      </c>
      <c r="G167" s="499" t="s">
        <v>445</v>
      </c>
      <c r="H167" s="499"/>
      <c r="I167" s="499"/>
      <c r="J167" s="497" t="s">
        <v>52</v>
      </c>
      <c r="K167" s="497">
        <v>540</v>
      </c>
      <c r="L167" s="453">
        <v>459</v>
      </c>
      <c r="M167" s="499"/>
      <c r="N167" s="512" t="s">
        <v>27</v>
      </c>
      <c r="O167" s="472"/>
      <c r="P167" s="464"/>
    </row>
    <row r="168" s="203" customFormat="1" ht="28.8" spans="1:16">
      <c r="A168" s="406" t="s">
        <v>446</v>
      </c>
      <c r="B168" s="403">
        <v>330611004</v>
      </c>
      <c r="C168" s="405" t="s">
        <v>287</v>
      </c>
      <c r="D168" s="405" t="s">
        <v>215</v>
      </c>
      <c r="E168" s="405" t="s">
        <v>188</v>
      </c>
      <c r="F168" s="405" t="s">
        <v>42</v>
      </c>
      <c r="G168" s="408" t="s">
        <v>447</v>
      </c>
      <c r="H168" s="408" t="s">
        <v>448</v>
      </c>
      <c r="I168" s="408"/>
      <c r="J168" s="405" t="s">
        <v>52</v>
      </c>
      <c r="K168" s="476">
        <v>1760</v>
      </c>
      <c r="L168" s="453">
        <v>1496</v>
      </c>
      <c r="M168" s="408" t="s">
        <v>338</v>
      </c>
      <c r="N168" s="441" t="s">
        <v>27</v>
      </c>
      <c r="O168" s="472"/>
      <c r="P168" s="464"/>
    </row>
    <row r="169" s="203" customFormat="1" ht="28.8" spans="1:16">
      <c r="A169" s="407"/>
      <c r="B169" s="403">
        <v>33061100402</v>
      </c>
      <c r="C169" s="497" t="s">
        <v>287</v>
      </c>
      <c r="D169" s="497" t="s">
        <v>215</v>
      </c>
      <c r="E169" s="497" t="s">
        <v>188</v>
      </c>
      <c r="F169" s="497" t="s">
        <v>42</v>
      </c>
      <c r="G169" s="499" t="s">
        <v>449</v>
      </c>
      <c r="H169" s="499"/>
      <c r="I169" s="499"/>
      <c r="J169" s="497" t="s">
        <v>52</v>
      </c>
      <c r="K169" s="497">
        <v>540</v>
      </c>
      <c r="L169" s="453">
        <v>459</v>
      </c>
      <c r="M169" s="499"/>
      <c r="N169" s="512" t="s">
        <v>27</v>
      </c>
      <c r="O169" s="472"/>
      <c r="P169" s="464"/>
    </row>
    <row r="170" s="203" customFormat="1" ht="28.8" spans="1:16">
      <c r="A170" s="406" t="s">
        <v>450</v>
      </c>
      <c r="B170" s="403">
        <v>330611009</v>
      </c>
      <c r="C170" s="405" t="s">
        <v>287</v>
      </c>
      <c r="D170" s="405" t="s">
        <v>215</v>
      </c>
      <c r="E170" s="405" t="s">
        <v>188</v>
      </c>
      <c r="F170" s="405" t="s">
        <v>42</v>
      </c>
      <c r="G170" s="408" t="s">
        <v>451</v>
      </c>
      <c r="H170" s="408"/>
      <c r="I170" s="408" t="s">
        <v>452</v>
      </c>
      <c r="J170" s="405" t="s">
        <v>52</v>
      </c>
      <c r="K170" s="476">
        <v>5520</v>
      </c>
      <c r="L170" s="453">
        <v>4692</v>
      </c>
      <c r="M170" s="408" t="s">
        <v>388</v>
      </c>
      <c r="N170" s="441" t="s">
        <v>27</v>
      </c>
      <c r="O170" s="472"/>
      <c r="P170" s="464"/>
    </row>
    <row r="171" s="203" customFormat="1" ht="28.8" spans="1:16">
      <c r="A171" s="407"/>
      <c r="B171" s="403">
        <v>33061100902</v>
      </c>
      <c r="C171" s="497" t="s">
        <v>287</v>
      </c>
      <c r="D171" s="497" t="s">
        <v>215</v>
      </c>
      <c r="E171" s="497" t="s">
        <v>188</v>
      </c>
      <c r="F171" s="497" t="s">
        <v>42</v>
      </c>
      <c r="G171" s="499" t="s">
        <v>453</v>
      </c>
      <c r="H171" s="499"/>
      <c r="I171" s="499"/>
      <c r="J171" s="497" t="s">
        <v>52</v>
      </c>
      <c r="K171" s="497">
        <v>900</v>
      </c>
      <c r="L171" s="453">
        <v>765</v>
      </c>
      <c r="M171" s="499"/>
      <c r="N171" s="512" t="s">
        <v>27</v>
      </c>
      <c r="O171" s="472"/>
      <c r="P171" s="464"/>
    </row>
    <row r="172" s="199" customFormat="1" ht="28.8" spans="1:16">
      <c r="A172" s="495" t="s">
        <v>454</v>
      </c>
      <c r="B172" s="403">
        <v>330801003</v>
      </c>
      <c r="C172" s="405" t="s">
        <v>287</v>
      </c>
      <c r="D172" s="405" t="s">
        <v>215</v>
      </c>
      <c r="E172" s="405" t="s">
        <v>188</v>
      </c>
      <c r="F172" s="405" t="s">
        <v>42</v>
      </c>
      <c r="G172" s="408" t="s">
        <v>455</v>
      </c>
      <c r="H172" s="408" t="s">
        <v>456</v>
      </c>
      <c r="I172" s="408"/>
      <c r="J172" s="405" t="s">
        <v>52</v>
      </c>
      <c r="K172" s="452">
        <v>5020</v>
      </c>
      <c r="L172" s="453">
        <v>4267</v>
      </c>
      <c r="M172" s="408" t="s">
        <v>457</v>
      </c>
      <c r="N172" s="458" t="s">
        <v>27</v>
      </c>
      <c r="O172" s="483"/>
      <c r="P172" s="470"/>
    </row>
    <row r="173" s="199" customFormat="1" ht="28.8" spans="1:16">
      <c r="A173" s="417"/>
      <c r="B173" s="403">
        <v>33080100304</v>
      </c>
      <c r="C173" s="405" t="s">
        <v>287</v>
      </c>
      <c r="D173" s="405" t="s">
        <v>215</v>
      </c>
      <c r="E173" s="405" t="s">
        <v>188</v>
      </c>
      <c r="F173" s="405" t="s">
        <v>42</v>
      </c>
      <c r="G173" s="408" t="s">
        <v>458</v>
      </c>
      <c r="H173" s="408" t="s">
        <v>459</v>
      </c>
      <c r="I173" s="408"/>
      <c r="J173" s="405" t="s">
        <v>52</v>
      </c>
      <c r="K173" s="452">
        <v>5520</v>
      </c>
      <c r="L173" s="453">
        <v>4692</v>
      </c>
      <c r="M173" s="408"/>
      <c r="N173" s="458" t="s">
        <v>27</v>
      </c>
      <c r="O173" s="521"/>
      <c r="P173" s="464"/>
    </row>
    <row r="174" s="199" customFormat="1" ht="28.8" spans="1:16">
      <c r="A174" s="417"/>
      <c r="B174" s="403">
        <v>33080100305</v>
      </c>
      <c r="C174" s="405" t="s">
        <v>287</v>
      </c>
      <c r="D174" s="405" t="s">
        <v>215</v>
      </c>
      <c r="E174" s="405" t="s">
        <v>188</v>
      </c>
      <c r="F174" s="405" t="s">
        <v>42</v>
      </c>
      <c r="G174" s="408" t="s">
        <v>460</v>
      </c>
      <c r="H174" s="417"/>
      <c r="I174" s="408"/>
      <c r="J174" s="405" t="s">
        <v>52</v>
      </c>
      <c r="K174" s="452">
        <v>7176</v>
      </c>
      <c r="L174" s="453">
        <v>6099.6</v>
      </c>
      <c r="M174" s="408"/>
      <c r="N174" s="458" t="s">
        <v>27</v>
      </c>
      <c r="O174" s="473"/>
      <c r="P174" s="464"/>
    </row>
    <row r="175" s="199" customFormat="1" ht="28.8" spans="1:16">
      <c r="A175" s="495" t="s">
        <v>461</v>
      </c>
      <c r="B175" s="403">
        <v>330801005</v>
      </c>
      <c r="C175" s="405" t="s">
        <v>287</v>
      </c>
      <c r="D175" s="405" t="s">
        <v>215</v>
      </c>
      <c r="E175" s="405" t="s">
        <v>188</v>
      </c>
      <c r="F175" s="405" t="s">
        <v>42</v>
      </c>
      <c r="G175" s="408" t="s">
        <v>462</v>
      </c>
      <c r="H175" s="408"/>
      <c r="I175" s="408"/>
      <c r="J175" s="405" t="s">
        <v>52</v>
      </c>
      <c r="K175" s="452">
        <v>5180</v>
      </c>
      <c r="L175" s="453">
        <v>4403</v>
      </c>
      <c r="M175" s="408" t="s">
        <v>463</v>
      </c>
      <c r="N175" s="458" t="s">
        <v>27</v>
      </c>
      <c r="O175" s="472"/>
      <c r="P175" s="464"/>
    </row>
    <row r="176" s="199" customFormat="1" ht="28.8" spans="1:16">
      <c r="A176" s="417"/>
      <c r="B176" s="403">
        <v>33080100504</v>
      </c>
      <c r="C176" s="405" t="s">
        <v>287</v>
      </c>
      <c r="D176" s="405" t="s">
        <v>215</v>
      </c>
      <c r="E176" s="405" t="s">
        <v>188</v>
      </c>
      <c r="F176" s="405" t="s">
        <v>42</v>
      </c>
      <c r="G176" s="519" t="s">
        <v>464</v>
      </c>
      <c r="H176" s="408" t="s">
        <v>459</v>
      </c>
      <c r="I176" s="408"/>
      <c r="J176" s="405" t="s">
        <v>52</v>
      </c>
      <c r="K176" s="452">
        <v>5698</v>
      </c>
      <c r="L176" s="453">
        <v>4843.3</v>
      </c>
      <c r="M176" s="408"/>
      <c r="N176" s="458" t="s">
        <v>27</v>
      </c>
      <c r="O176" s="472"/>
      <c r="P176" s="464"/>
    </row>
    <row r="177" s="199" customFormat="1" ht="28.8" spans="1:16">
      <c r="A177" s="417"/>
      <c r="B177" s="403">
        <v>33080100505</v>
      </c>
      <c r="C177" s="405" t="s">
        <v>287</v>
      </c>
      <c r="D177" s="405" t="s">
        <v>215</v>
      </c>
      <c r="E177" s="405" t="s">
        <v>188</v>
      </c>
      <c r="F177" s="405" t="s">
        <v>42</v>
      </c>
      <c r="G177" s="519" t="s">
        <v>465</v>
      </c>
      <c r="H177" s="417"/>
      <c r="I177" s="408"/>
      <c r="J177" s="405" t="s">
        <v>52</v>
      </c>
      <c r="K177" s="452">
        <v>7407.4</v>
      </c>
      <c r="L177" s="453">
        <v>6296.3</v>
      </c>
      <c r="M177" s="408"/>
      <c r="N177" s="458" t="s">
        <v>27</v>
      </c>
      <c r="O177" s="472"/>
      <c r="P177" s="464"/>
    </row>
    <row r="178" s="203" customFormat="1" ht="43.2" spans="1:16">
      <c r="A178" s="407" t="s">
        <v>466</v>
      </c>
      <c r="B178" s="403">
        <v>330801009</v>
      </c>
      <c r="C178" s="405" t="s">
        <v>287</v>
      </c>
      <c r="D178" s="405" t="s">
        <v>215</v>
      </c>
      <c r="E178" s="405" t="s">
        <v>188</v>
      </c>
      <c r="F178" s="405" t="s">
        <v>42</v>
      </c>
      <c r="G178" s="408" t="s">
        <v>467</v>
      </c>
      <c r="H178" s="408"/>
      <c r="I178" s="408" t="s">
        <v>468</v>
      </c>
      <c r="J178" s="405" t="s">
        <v>52</v>
      </c>
      <c r="K178" s="452">
        <v>5180</v>
      </c>
      <c r="L178" s="453">
        <v>4403</v>
      </c>
      <c r="M178" s="408" t="s">
        <v>469</v>
      </c>
      <c r="N178" s="409" t="s">
        <v>27</v>
      </c>
      <c r="O178" s="483"/>
      <c r="P178" s="470"/>
    </row>
    <row r="179" ht="28.8" spans="1:16">
      <c r="A179" s="410"/>
      <c r="B179" s="403">
        <v>33080100904</v>
      </c>
      <c r="C179" s="405" t="s">
        <v>287</v>
      </c>
      <c r="D179" s="405" t="s">
        <v>215</v>
      </c>
      <c r="E179" s="405" t="s">
        <v>188</v>
      </c>
      <c r="F179" s="405" t="s">
        <v>42</v>
      </c>
      <c r="G179" s="410" t="s">
        <v>470</v>
      </c>
      <c r="H179" s="408" t="s">
        <v>459</v>
      </c>
      <c r="I179" s="408"/>
      <c r="J179" s="405" t="s">
        <v>52</v>
      </c>
      <c r="K179" s="452">
        <v>5698</v>
      </c>
      <c r="L179" s="453">
        <v>4843.3</v>
      </c>
      <c r="M179" s="408"/>
      <c r="N179" s="458" t="s">
        <v>27</v>
      </c>
      <c r="O179" s="483"/>
      <c r="P179" s="470"/>
    </row>
    <row r="180" ht="28.8" spans="1:16">
      <c r="A180" s="410"/>
      <c r="B180" s="403">
        <v>33080100905</v>
      </c>
      <c r="C180" s="405" t="s">
        <v>287</v>
      </c>
      <c r="D180" s="405" t="s">
        <v>215</v>
      </c>
      <c r="E180" s="405" t="s">
        <v>188</v>
      </c>
      <c r="F180" s="405" t="s">
        <v>42</v>
      </c>
      <c r="G180" s="410" t="s">
        <v>471</v>
      </c>
      <c r="H180" s="410"/>
      <c r="I180" s="408"/>
      <c r="J180" s="405" t="s">
        <v>52</v>
      </c>
      <c r="K180" s="452">
        <v>7407.4</v>
      </c>
      <c r="L180" s="453">
        <v>6296.3</v>
      </c>
      <c r="M180" s="408"/>
      <c r="N180" s="458" t="s">
        <v>27</v>
      </c>
      <c r="O180" s="483"/>
      <c r="P180" s="470"/>
    </row>
    <row r="181" s="199" customFormat="1" ht="43.2" spans="1:16">
      <c r="A181" s="495" t="s">
        <v>472</v>
      </c>
      <c r="B181" s="403">
        <v>330801002</v>
      </c>
      <c r="C181" s="405" t="s">
        <v>287</v>
      </c>
      <c r="D181" s="405" t="s">
        <v>215</v>
      </c>
      <c r="E181" s="405" t="s">
        <v>188</v>
      </c>
      <c r="F181" s="405" t="s">
        <v>42</v>
      </c>
      <c r="G181" s="408" t="s">
        <v>473</v>
      </c>
      <c r="H181" s="408" t="s">
        <v>474</v>
      </c>
      <c r="I181" s="408"/>
      <c r="J181" s="405" t="s">
        <v>52</v>
      </c>
      <c r="K181" s="476">
        <v>5180</v>
      </c>
      <c r="L181" s="453">
        <v>4403</v>
      </c>
      <c r="M181" s="408" t="s">
        <v>475</v>
      </c>
      <c r="N181" s="441" t="s">
        <v>27</v>
      </c>
      <c r="O181" s="483"/>
      <c r="P181" s="470"/>
    </row>
    <row r="182" s="199" customFormat="1" ht="28.8" spans="1:16">
      <c r="A182" s="417"/>
      <c r="B182" s="403">
        <v>33080100202</v>
      </c>
      <c r="C182" s="405" t="s">
        <v>287</v>
      </c>
      <c r="D182" s="405" t="s">
        <v>215</v>
      </c>
      <c r="E182" s="405" t="s">
        <v>188</v>
      </c>
      <c r="F182" s="405" t="s">
        <v>42</v>
      </c>
      <c r="G182" s="408" t="s">
        <v>476</v>
      </c>
      <c r="H182" s="408" t="s">
        <v>459</v>
      </c>
      <c r="I182" s="408"/>
      <c r="J182" s="405" t="s">
        <v>52</v>
      </c>
      <c r="K182" s="452">
        <v>5698</v>
      </c>
      <c r="L182" s="453">
        <v>4843.3</v>
      </c>
      <c r="M182" s="408"/>
      <c r="N182" s="458" t="s">
        <v>27</v>
      </c>
      <c r="O182" s="483"/>
      <c r="P182" s="470"/>
    </row>
    <row r="183" s="199" customFormat="1" ht="28.8" spans="1:16">
      <c r="A183" s="417"/>
      <c r="B183" s="403">
        <v>33080100203</v>
      </c>
      <c r="C183" s="405" t="s">
        <v>287</v>
      </c>
      <c r="D183" s="405" t="s">
        <v>215</v>
      </c>
      <c r="E183" s="405" t="s">
        <v>188</v>
      </c>
      <c r="F183" s="405" t="s">
        <v>42</v>
      </c>
      <c r="G183" s="408" t="s">
        <v>477</v>
      </c>
      <c r="H183" s="408"/>
      <c r="I183" s="408"/>
      <c r="J183" s="405" t="s">
        <v>52</v>
      </c>
      <c r="K183" s="452">
        <v>7407.4</v>
      </c>
      <c r="L183" s="453">
        <v>6296.3</v>
      </c>
      <c r="M183" s="408"/>
      <c r="N183" s="458" t="s">
        <v>27</v>
      </c>
      <c r="O183" s="483"/>
      <c r="P183" s="470"/>
    </row>
    <row r="184" s="199" customFormat="1" ht="28.8" spans="1:16">
      <c r="A184" s="495" t="s">
        <v>478</v>
      </c>
      <c r="B184" s="403">
        <v>330803014</v>
      </c>
      <c r="C184" s="405" t="s">
        <v>287</v>
      </c>
      <c r="D184" s="405" t="s">
        <v>215</v>
      </c>
      <c r="E184" s="405" t="s">
        <v>188</v>
      </c>
      <c r="F184" s="405" t="s">
        <v>42</v>
      </c>
      <c r="G184" s="408" t="s">
        <v>479</v>
      </c>
      <c r="H184" s="408"/>
      <c r="I184" s="408"/>
      <c r="J184" s="405" t="s">
        <v>52</v>
      </c>
      <c r="K184" s="452">
        <v>8640</v>
      </c>
      <c r="L184" s="453">
        <v>7344</v>
      </c>
      <c r="M184" s="408" t="s">
        <v>480</v>
      </c>
      <c r="N184" s="458" t="s">
        <v>27</v>
      </c>
      <c r="O184" s="483"/>
      <c r="P184" s="470"/>
    </row>
    <row r="185" s="199" customFormat="1" ht="28.8" spans="1:16">
      <c r="A185" s="417"/>
      <c r="B185" s="403">
        <v>33080301402</v>
      </c>
      <c r="C185" s="405" t="s">
        <v>287</v>
      </c>
      <c r="D185" s="405" t="s">
        <v>215</v>
      </c>
      <c r="E185" s="405" t="s">
        <v>188</v>
      </c>
      <c r="F185" s="405" t="s">
        <v>42</v>
      </c>
      <c r="G185" s="408" t="s">
        <v>481</v>
      </c>
      <c r="H185" s="408" t="s">
        <v>459</v>
      </c>
      <c r="I185" s="408"/>
      <c r="J185" s="405" t="s">
        <v>52</v>
      </c>
      <c r="K185" s="452">
        <v>8640</v>
      </c>
      <c r="L185" s="453">
        <v>7344</v>
      </c>
      <c r="M185" s="408"/>
      <c r="N185" s="458" t="s">
        <v>27</v>
      </c>
      <c r="O185" s="483"/>
      <c r="P185" s="470"/>
    </row>
    <row r="186" s="200" customFormat="1" ht="28.8" spans="1:16">
      <c r="A186" s="417"/>
      <c r="B186" s="403">
        <v>33080301403</v>
      </c>
      <c r="C186" s="405" t="s">
        <v>287</v>
      </c>
      <c r="D186" s="405" t="s">
        <v>215</v>
      </c>
      <c r="E186" s="405" t="s">
        <v>188</v>
      </c>
      <c r="F186" s="405" t="s">
        <v>42</v>
      </c>
      <c r="G186" s="408" t="s">
        <v>482</v>
      </c>
      <c r="H186" s="408"/>
      <c r="I186" s="408"/>
      <c r="J186" s="405" t="s">
        <v>52</v>
      </c>
      <c r="K186" s="452">
        <v>11232</v>
      </c>
      <c r="L186" s="453">
        <v>9547.2</v>
      </c>
      <c r="M186" s="408"/>
      <c r="N186" s="458" t="s">
        <v>27</v>
      </c>
      <c r="O186" s="483"/>
      <c r="P186" s="470"/>
    </row>
    <row r="187" ht="43.2" spans="1:16">
      <c r="A187" s="407" t="s">
        <v>483</v>
      </c>
      <c r="B187" s="403">
        <v>330804043</v>
      </c>
      <c r="C187" s="405" t="s">
        <v>287</v>
      </c>
      <c r="D187" s="405" t="s">
        <v>215</v>
      </c>
      <c r="E187" s="405" t="s">
        <v>188</v>
      </c>
      <c r="F187" s="405" t="s">
        <v>42</v>
      </c>
      <c r="G187" s="408" t="s">
        <v>484</v>
      </c>
      <c r="H187" s="408" t="s">
        <v>485</v>
      </c>
      <c r="I187" s="408" t="s">
        <v>486</v>
      </c>
      <c r="J187" s="405" t="s">
        <v>487</v>
      </c>
      <c r="K187" s="452">
        <v>1730</v>
      </c>
      <c r="L187" s="453">
        <v>1470.5</v>
      </c>
      <c r="M187" s="408" t="s">
        <v>488</v>
      </c>
      <c r="N187" s="409" t="s">
        <v>27</v>
      </c>
      <c r="O187" s="473"/>
      <c r="P187" s="464"/>
    </row>
    <row r="188" s="199" customFormat="1" ht="28.8" spans="1:16">
      <c r="A188" s="417"/>
      <c r="B188" s="403">
        <v>33080404304</v>
      </c>
      <c r="C188" s="405" t="s">
        <v>287</v>
      </c>
      <c r="D188" s="405" t="s">
        <v>215</v>
      </c>
      <c r="E188" s="405" t="s">
        <v>188</v>
      </c>
      <c r="F188" s="405" t="s">
        <v>42</v>
      </c>
      <c r="G188" s="427" t="s">
        <v>489</v>
      </c>
      <c r="H188" s="408" t="s">
        <v>459</v>
      </c>
      <c r="I188" s="408"/>
      <c r="J188" s="405" t="s">
        <v>487</v>
      </c>
      <c r="K188" s="452">
        <v>2592</v>
      </c>
      <c r="L188" s="453">
        <v>2203.2</v>
      </c>
      <c r="M188" s="408"/>
      <c r="N188" s="458" t="s">
        <v>27</v>
      </c>
      <c r="O188" s="473"/>
      <c r="P188" s="464"/>
    </row>
    <row r="189" s="199" customFormat="1" ht="28.8" spans="1:16">
      <c r="A189" s="417"/>
      <c r="B189" s="403">
        <v>33080404305</v>
      </c>
      <c r="C189" s="405" t="s">
        <v>287</v>
      </c>
      <c r="D189" s="405" t="s">
        <v>215</v>
      </c>
      <c r="E189" s="405" t="s">
        <v>188</v>
      </c>
      <c r="F189" s="405" t="s">
        <v>42</v>
      </c>
      <c r="G189" s="427" t="s">
        <v>490</v>
      </c>
      <c r="H189" s="417"/>
      <c r="I189" s="408"/>
      <c r="J189" s="405" t="s">
        <v>487</v>
      </c>
      <c r="K189" s="452">
        <v>3369.6</v>
      </c>
      <c r="L189" s="453">
        <v>2864.5</v>
      </c>
      <c r="M189" s="408"/>
      <c r="N189" s="458" t="s">
        <v>27</v>
      </c>
      <c r="O189" s="473"/>
      <c r="P189" s="464"/>
    </row>
    <row r="190" ht="28.8" spans="1:16">
      <c r="A190" s="425"/>
      <c r="B190" s="415">
        <v>331002017</v>
      </c>
      <c r="C190" s="413" t="s">
        <v>287</v>
      </c>
      <c r="D190" s="413" t="s">
        <v>215</v>
      </c>
      <c r="E190" s="413" t="s">
        <v>188</v>
      </c>
      <c r="F190" s="413" t="s">
        <v>42</v>
      </c>
      <c r="G190" s="408" t="s">
        <v>491</v>
      </c>
      <c r="H190" s="416" t="s">
        <v>492</v>
      </c>
      <c r="I190" s="513"/>
      <c r="J190" s="405" t="s">
        <v>52</v>
      </c>
      <c r="K190" s="518"/>
      <c r="L190" s="515"/>
      <c r="M190" s="513"/>
      <c r="N190" s="517"/>
      <c r="O190" s="518"/>
      <c r="P190" s="513"/>
    </row>
    <row r="191" ht="28.8" spans="1:16">
      <c r="A191" s="425"/>
      <c r="B191" s="415">
        <v>33100201701</v>
      </c>
      <c r="C191" s="413" t="s">
        <v>287</v>
      </c>
      <c r="D191" s="413" t="s">
        <v>215</v>
      </c>
      <c r="E191" s="413" t="s">
        <v>188</v>
      </c>
      <c r="F191" s="413" t="s">
        <v>42</v>
      </c>
      <c r="G191" s="408" t="s">
        <v>493</v>
      </c>
      <c r="H191" s="416" t="s">
        <v>492</v>
      </c>
      <c r="I191" s="513"/>
      <c r="J191" s="405" t="s">
        <v>52</v>
      </c>
      <c r="K191" s="518"/>
      <c r="L191" s="515"/>
      <c r="M191" s="513"/>
      <c r="N191" s="517"/>
      <c r="O191" s="518"/>
      <c r="P191" s="513"/>
    </row>
    <row r="192" s="199" customFormat="1" ht="43.2" spans="1:16">
      <c r="A192" s="406" t="s">
        <v>494</v>
      </c>
      <c r="B192" s="403">
        <v>331005007</v>
      </c>
      <c r="C192" s="405" t="s">
        <v>287</v>
      </c>
      <c r="D192" s="405" t="s">
        <v>215</v>
      </c>
      <c r="E192" s="405" t="s">
        <v>188</v>
      </c>
      <c r="F192" s="405" t="s">
        <v>42</v>
      </c>
      <c r="G192" s="408" t="s">
        <v>495</v>
      </c>
      <c r="H192" s="408" t="s">
        <v>496</v>
      </c>
      <c r="I192" s="408"/>
      <c r="J192" s="405" t="s">
        <v>52</v>
      </c>
      <c r="K192" s="452">
        <v>4100</v>
      </c>
      <c r="L192" s="453">
        <v>3485</v>
      </c>
      <c r="M192" s="490" t="s">
        <v>497</v>
      </c>
      <c r="N192" s="441" t="s">
        <v>27</v>
      </c>
      <c r="O192" s="472"/>
      <c r="P192" s="464"/>
    </row>
    <row r="193" s="199" customFormat="1" ht="28.8" spans="1:16">
      <c r="A193" s="417"/>
      <c r="B193" s="403">
        <v>33100500704</v>
      </c>
      <c r="C193" s="405" t="s">
        <v>287</v>
      </c>
      <c r="D193" s="405" t="s">
        <v>215</v>
      </c>
      <c r="E193" s="405" t="s">
        <v>188</v>
      </c>
      <c r="F193" s="405" t="s">
        <v>42</v>
      </c>
      <c r="G193" s="490" t="s">
        <v>498</v>
      </c>
      <c r="H193" s="408"/>
      <c r="I193" s="408"/>
      <c r="J193" s="405" t="s">
        <v>52</v>
      </c>
      <c r="K193" s="531">
        <v>60</v>
      </c>
      <c r="L193" s="501">
        <v>51</v>
      </c>
      <c r="M193" s="408"/>
      <c r="N193" s="441" t="s">
        <v>27</v>
      </c>
      <c r="O193" s="472"/>
      <c r="P193" s="464"/>
    </row>
    <row r="194" s="199" customFormat="1" ht="28.8" spans="1:16">
      <c r="A194" s="406" t="s">
        <v>499</v>
      </c>
      <c r="B194" s="403">
        <v>331005013</v>
      </c>
      <c r="C194" s="405" t="s">
        <v>287</v>
      </c>
      <c r="D194" s="405" t="s">
        <v>215</v>
      </c>
      <c r="E194" s="405" t="s">
        <v>188</v>
      </c>
      <c r="F194" s="405" t="s">
        <v>42</v>
      </c>
      <c r="G194" s="408" t="s">
        <v>500</v>
      </c>
      <c r="H194" s="408" t="s">
        <v>501</v>
      </c>
      <c r="I194" s="408"/>
      <c r="J194" s="405" t="s">
        <v>52</v>
      </c>
      <c r="K194" s="452">
        <v>2590</v>
      </c>
      <c r="L194" s="453">
        <v>2201.5</v>
      </c>
      <c r="M194" s="490" t="s">
        <v>497</v>
      </c>
      <c r="N194" s="441" t="s">
        <v>27</v>
      </c>
      <c r="O194" s="472"/>
      <c r="P194" s="464"/>
    </row>
    <row r="195" s="199" customFormat="1" ht="28.8" spans="1:16">
      <c r="A195" s="417"/>
      <c r="B195" s="403">
        <v>33100501304</v>
      </c>
      <c r="C195" s="405" t="s">
        <v>287</v>
      </c>
      <c r="D195" s="405" t="s">
        <v>215</v>
      </c>
      <c r="E195" s="405" t="s">
        <v>188</v>
      </c>
      <c r="F195" s="405" t="s">
        <v>42</v>
      </c>
      <c r="G195" s="490" t="s">
        <v>502</v>
      </c>
      <c r="H195" s="408"/>
      <c r="I195" s="408"/>
      <c r="J195" s="405" t="s">
        <v>52</v>
      </c>
      <c r="K195" s="531">
        <v>60</v>
      </c>
      <c r="L195" s="501">
        <v>51</v>
      </c>
      <c r="M195" s="408"/>
      <c r="N195" s="441" t="s">
        <v>27</v>
      </c>
      <c r="O195" s="472"/>
      <c r="P195" s="464"/>
    </row>
    <row r="196" s="199" customFormat="1" ht="28.8" spans="1:16">
      <c r="A196" s="406" t="s">
        <v>503</v>
      </c>
      <c r="B196" s="403">
        <v>331005014</v>
      </c>
      <c r="C196" s="405" t="s">
        <v>287</v>
      </c>
      <c r="D196" s="405" t="s">
        <v>215</v>
      </c>
      <c r="E196" s="405" t="s">
        <v>188</v>
      </c>
      <c r="F196" s="405" t="s">
        <v>42</v>
      </c>
      <c r="G196" s="408" t="s">
        <v>504</v>
      </c>
      <c r="H196" s="408" t="s">
        <v>505</v>
      </c>
      <c r="I196" s="408"/>
      <c r="J196" s="405" t="s">
        <v>52</v>
      </c>
      <c r="K196" s="452">
        <v>2590</v>
      </c>
      <c r="L196" s="453">
        <v>2201.5</v>
      </c>
      <c r="M196" s="490" t="s">
        <v>497</v>
      </c>
      <c r="N196" s="441" t="s">
        <v>27</v>
      </c>
      <c r="O196" s="472"/>
      <c r="P196" s="464"/>
    </row>
    <row r="197" s="199" customFormat="1" ht="28.8" spans="1:16">
      <c r="A197" s="417"/>
      <c r="B197" s="403">
        <v>33100501404</v>
      </c>
      <c r="C197" s="405" t="s">
        <v>287</v>
      </c>
      <c r="D197" s="405" t="s">
        <v>215</v>
      </c>
      <c r="E197" s="405" t="s">
        <v>188</v>
      </c>
      <c r="F197" s="405" t="s">
        <v>42</v>
      </c>
      <c r="G197" s="490" t="s">
        <v>506</v>
      </c>
      <c r="H197" s="408"/>
      <c r="I197" s="408"/>
      <c r="J197" s="405" t="s">
        <v>52</v>
      </c>
      <c r="K197" s="531">
        <v>60</v>
      </c>
      <c r="L197" s="501">
        <v>51</v>
      </c>
      <c r="M197" s="408"/>
      <c r="N197" s="441" t="s">
        <v>27</v>
      </c>
      <c r="O197" s="472"/>
      <c r="P197" s="464"/>
    </row>
    <row r="198" s="199" customFormat="1" ht="28.8" spans="1:16">
      <c r="A198" s="406" t="s">
        <v>507</v>
      </c>
      <c r="B198" s="403">
        <v>331005015</v>
      </c>
      <c r="C198" s="405" t="s">
        <v>287</v>
      </c>
      <c r="D198" s="405" t="s">
        <v>215</v>
      </c>
      <c r="E198" s="405" t="s">
        <v>188</v>
      </c>
      <c r="F198" s="405" t="s">
        <v>42</v>
      </c>
      <c r="G198" s="408" t="s">
        <v>508</v>
      </c>
      <c r="H198" s="408" t="s">
        <v>509</v>
      </c>
      <c r="I198" s="408"/>
      <c r="J198" s="405" t="s">
        <v>52</v>
      </c>
      <c r="K198" s="452">
        <v>4750</v>
      </c>
      <c r="L198" s="453">
        <v>4037.5</v>
      </c>
      <c r="M198" s="490" t="s">
        <v>497</v>
      </c>
      <c r="N198" s="441" t="s">
        <v>27</v>
      </c>
      <c r="O198" s="472"/>
      <c r="P198" s="464"/>
    </row>
    <row r="199" s="199" customFormat="1" ht="28.8" spans="1:16">
      <c r="A199" s="417"/>
      <c r="B199" s="403">
        <v>33100501504</v>
      </c>
      <c r="C199" s="405" t="s">
        <v>287</v>
      </c>
      <c r="D199" s="405" t="s">
        <v>215</v>
      </c>
      <c r="E199" s="405" t="s">
        <v>188</v>
      </c>
      <c r="F199" s="405" t="s">
        <v>42</v>
      </c>
      <c r="G199" s="490" t="s">
        <v>510</v>
      </c>
      <c r="H199" s="408"/>
      <c r="I199" s="408"/>
      <c r="J199" s="405" t="s">
        <v>52</v>
      </c>
      <c r="K199" s="531">
        <v>60</v>
      </c>
      <c r="L199" s="501">
        <v>51</v>
      </c>
      <c r="M199" s="408"/>
      <c r="N199" s="441" t="s">
        <v>27</v>
      </c>
      <c r="O199" s="472"/>
      <c r="P199" s="464"/>
    </row>
    <row r="200" s="199" customFormat="1" ht="28.8" spans="1:16">
      <c r="A200" s="406" t="s">
        <v>511</v>
      </c>
      <c r="B200" s="403">
        <v>331005016</v>
      </c>
      <c r="C200" s="405" t="s">
        <v>287</v>
      </c>
      <c r="D200" s="405" t="s">
        <v>215</v>
      </c>
      <c r="E200" s="405" t="s">
        <v>188</v>
      </c>
      <c r="F200" s="405" t="s">
        <v>42</v>
      </c>
      <c r="G200" s="408" t="s">
        <v>512</v>
      </c>
      <c r="H200" s="408" t="s">
        <v>513</v>
      </c>
      <c r="I200" s="408"/>
      <c r="J200" s="405" t="s">
        <v>52</v>
      </c>
      <c r="K200" s="452">
        <v>6300</v>
      </c>
      <c r="L200" s="453">
        <v>5355</v>
      </c>
      <c r="M200" s="490" t="s">
        <v>497</v>
      </c>
      <c r="N200" s="441" t="s">
        <v>27</v>
      </c>
      <c r="O200" s="472"/>
      <c r="P200" s="464"/>
    </row>
    <row r="201" s="199" customFormat="1" ht="28.8" spans="1:16">
      <c r="A201" s="417"/>
      <c r="B201" s="403">
        <v>33100501604</v>
      </c>
      <c r="C201" s="405" t="s">
        <v>287</v>
      </c>
      <c r="D201" s="405" t="s">
        <v>215</v>
      </c>
      <c r="E201" s="405" t="s">
        <v>188</v>
      </c>
      <c r="F201" s="405" t="s">
        <v>42</v>
      </c>
      <c r="G201" s="490" t="s">
        <v>514</v>
      </c>
      <c r="H201" s="408"/>
      <c r="I201" s="408"/>
      <c r="J201" s="405" t="s">
        <v>52</v>
      </c>
      <c r="K201" s="531">
        <v>60</v>
      </c>
      <c r="L201" s="501">
        <v>51</v>
      </c>
      <c r="M201" s="408"/>
      <c r="N201" s="441" t="s">
        <v>27</v>
      </c>
      <c r="O201" s="472"/>
      <c r="P201" s="464"/>
    </row>
    <row r="202" ht="28.8" spans="1:16">
      <c r="A202" s="407" t="s">
        <v>515</v>
      </c>
      <c r="B202" s="403">
        <v>331202007</v>
      </c>
      <c r="C202" s="405" t="s">
        <v>287</v>
      </c>
      <c r="D202" s="405" t="s">
        <v>215</v>
      </c>
      <c r="E202" s="405" t="s">
        <v>188</v>
      </c>
      <c r="F202" s="405" t="s">
        <v>42</v>
      </c>
      <c r="G202" s="408" t="s">
        <v>516</v>
      </c>
      <c r="H202" s="408"/>
      <c r="I202" s="408"/>
      <c r="J202" s="405" t="s">
        <v>517</v>
      </c>
      <c r="K202" s="452">
        <v>790</v>
      </c>
      <c r="L202" s="453">
        <v>671.5</v>
      </c>
      <c r="M202" s="408" t="s">
        <v>518</v>
      </c>
      <c r="N202" s="441" t="s">
        <v>27</v>
      </c>
      <c r="O202" s="449"/>
      <c r="P202" s="450"/>
    </row>
    <row r="203" ht="28.8" spans="1:16">
      <c r="A203" s="408"/>
      <c r="B203" s="403">
        <v>33120200704</v>
      </c>
      <c r="C203" s="405" t="s">
        <v>287</v>
      </c>
      <c r="D203" s="405" t="s">
        <v>215</v>
      </c>
      <c r="E203" s="405" t="s">
        <v>188</v>
      </c>
      <c r="F203" s="405" t="s">
        <v>42</v>
      </c>
      <c r="G203" s="408" t="s">
        <v>519</v>
      </c>
      <c r="H203" s="408"/>
      <c r="I203" s="408"/>
      <c r="J203" s="405" t="s">
        <v>517</v>
      </c>
      <c r="K203" s="405">
        <v>480</v>
      </c>
      <c r="L203" s="453">
        <v>408</v>
      </c>
      <c r="M203" s="408"/>
      <c r="N203" s="409" t="s">
        <v>27</v>
      </c>
      <c r="O203" s="449"/>
      <c r="P203" s="450"/>
    </row>
    <row r="204" ht="28.8" spans="1:16">
      <c r="A204" s="408"/>
      <c r="B204" s="403">
        <v>33120200705</v>
      </c>
      <c r="C204" s="405" t="s">
        <v>287</v>
      </c>
      <c r="D204" s="405" t="s">
        <v>215</v>
      </c>
      <c r="E204" s="405" t="s">
        <v>188</v>
      </c>
      <c r="F204" s="405" t="s">
        <v>42</v>
      </c>
      <c r="G204" s="408" t="s">
        <v>520</v>
      </c>
      <c r="H204" s="408"/>
      <c r="I204" s="408"/>
      <c r="J204" s="405" t="s">
        <v>517</v>
      </c>
      <c r="K204" s="405">
        <v>624</v>
      </c>
      <c r="L204" s="453">
        <v>530.4</v>
      </c>
      <c r="M204" s="408"/>
      <c r="N204" s="409" t="s">
        <v>27</v>
      </c>
      <c r="O204" s="449"/>
      <c r="P204" s="450"/>
    </row>
    <row r="205" ht="28.8" spans="1:16">
      <c r="A205" s="407" t="s">
        <v>521</v>
      </c>
      <c r="B205" s="403">
        <v>331303012</v>
      </c>
      <c r="C205" s="405" t="s">
        <v>287</v>
      </c>
      <c r="D205" s="405" t="s">
        <v>215</v>
      </c>
      <c r="E205" s="405" t="s">
        <v>188</v>
      </c>
      <c r="F205" s="405" t="s">
        <v>42</v>
      </c>
      <c r="G205" s="408" t="s">
        <v>522</v>
      </c>
      <c r="H205" s="408" t="s">
        <v>523</v>
      </c>
      <c r="I205" s="408"/>
      <c r="J205" s="405" t="s">
        <v>52</v>
      </c>
      <c r="K205" s="452">
        <v>1215</v>
      </c>
      <c r="L205" s="453">
        <v>1032.8</v>
      </c>
      <c r="M205" s="408" t="s">
        <v>524</v>
      </c>
      <c r="N205" s="409" t="s">
        <v>27</v>
      </c>
      <c r="O205" s="449"/>
      <c r="P205" s="450"/>
    </row>
    <row r="206" ht="28.8" spans="1:16">
      <c r="A206" s="408"/>
      <c r="B206" s="403">
        <v>33130301205</v>
      </c>
      <c r="C206" s="405" t="s">
        <v>287</v>
      </c>
      <c r="D206" s="405" t="s">
        <v>215</v>
      </c>
      <c r="E206" s="405" t="s">
        <v>188</v>
      </c>
      <c r="F206" s="405" t="s">
        <v>42</v>
      </c>
      <c r="G206" s="408" t="s">
        <v>525</v>
      </c>
      <c r="H206" s="408"/>
      <c r="I206" s="408"/>
      <c r="J206" s="405" t="s">
        <v>52</v>
      </c>
      <c r="K206" s="452">
        <v>1215</v>
      </c>
      <c r="L206" s="453">
        <v>1032.8</v>
      </c>
      <c r="M206" s="408"/>
      <c r="N206" s="409" t="s">
        <v>27</v>
      </c>
      <c r="O206" s="449"/>
      <c r="P206" s="450"/>
    </row>
    <row r="207" ht="28.8" spans="1:16">
      <c r="A207" s="408"/>
      <c r="B207" s="403">
        <v>33130301206</v>
      </c>
      <c r="C207" s="405" t="s">
        <v>287</v>
      </c>
      <c r="D207" s="405" t="s">
        <v>215</v>
      </c>
      <c r="E207" s="405" t="s">
        <v>188</v>
      </c>
      <c r="F207" s="405" t="s">
        <v>42</v>
      </c>
      <c r="G207" s="408" t="s">
        <v>526</v>
      </c>
      <c r="H207" s="408"/>
      <c r="I207" s="408"/>
      <c r="J207" s="405" t="s">
        <v>52</v>
      </c>
      <c r="K207" s="452">
        <v>1580</v>
      </c>
      <c r="L207" s="453">
        <v>1343</v>
      </c>
      <c r="M207" s="408"/>
      <c r="N207" s="409" t="s">
        <v>27</v>
      </c>
      <c r="O207" s="449"/>
      <c r="P207" s="450"/>
    </row>
    <row r="208" ht="28.8" spans="1:16">
      <c r="A208" s="408"/>
      <c r="B208" s="403">
        <v>33130301207</v>
      </c>
      <c r="C208" s="405" t="s">
        <v>287</v>
      </c>
      <c r="D208" s="405" t="s">
        <v>215</v>
      </c>
      <c r="E208" s="405" t="s">
        <v>188</v>
      </c>
      <c r="F208" s="405" t="s">
        <v>42</v>
      </c>
      <c r="G208" s="408" t="s">
        <v>527</v>
      </c>
      <c r="H208" s="408"/>
      <c r="I208" s="408"/>
      <c r="J208" s="405" t="s">
        <v>52</v>
      </c>
      <c r="K208" s="452">
        <v>1935</v>
      </c>
      <c r="L208" s="453">
        <v>1644.8</v>
      </c>
      <c r="M208" s="408"/>
      <c r="N208" s="409" t="s">
        <v>27</v>
      </c>
      <c r="O208" s="449"/>
      <c r="P208" s="450"/>
    </row>
    <row r="209" ht="28.8" spans="1:16">
      <c r="A209" s="408"/>
      <c r="B209" s="403">
        <v>33130301208</v>
      </c>
      <c r="C209" s="405" t="s">
        <v>287</v>
      </c>
      <c r="D209" s="405" t="s">
        <v>215</v>
      </c>
      <c r="E209" s="405" t="s">
        <v>188</v>
      </c>
      <c r="F209" s="405" t="s">
        <v>42</v>
      </c>
      <c r="G209" s="408" t="s">
        <v>528</v>
      </c>
      <c r="H209" s="408"/>
      <c r="I209" s="408"/>
      <c r="J209" s="405" t="s">
        <v>52</v>
      </c>
      <c r="K209" s="452">
        <v>2300</v>
      </c>
      <c r="L209" s="453">
        <v>1955</v>
      </c>
      <c r="M209" s="408"/>
      <c r="N209" s="409" t="s">
        <v>27</v>
      </c>
      <c r="O209" s="449"/>
      <c r="P209" s="450"/>
    </row>
    <row r="210" ht="28.8" spans="1:16">
      <c r="A210" s="407" t="s">
        <v>529</v>
      </c>
      <c r="B210" s="403">
        <v>331501021</v>
      </c>
      <c r="C210" s="405" t="s">
        <v>287</v>
      </c>
      <c r="D210" s="405" t="s">
        <v>215</v>
      </c>
      <c r="E210" s="405" t="s">
        <v>188</v>
      </c>
      <c r="F210" s="405" t="s">
        <v>42</v>
      </c>
      <c r="G210" s="408" t="s">
        <v>530</v>
      </c>
      <c r="H210" s="408" t="s">
        <v>531</v>
      </c>
      <c r="I210" s="408"/>
      <c r="J210" s="405" t="s">
        <v>532</v>
      </c>
      <c r="K210" s="452">
        <v>3460</v>
      </c>
      <c r="L210" s="453">
        <v>2941</v>
      </c>
      <c r="M210" s="408" t="s">
        <v>533</v>
      </c>
      <c r="N210" s="409" t="s">
        <v>27</v>
      </c>
      <c r="O210" s="455"/>
      <c r="P210" s="456"/>
    </row>
    <row r="211" ht="28.8" spans="1:16">
      <c r="A211" s="522" t="s">
        <v>534</v>
      </c>
      <c r="B211" s="523">
        <v>33150102101</v>
      </c>
      <c r="C211" s="524" t="s">
        <v>287</v>
      </c>
      <c r="D211" s="524" t="s">
        <v>215</v>
      </c>
      <c r="E211" s="524" t="s">
        <v>188</v>
      </c>
      <c r="F211" s="524" t="s">
        <v>42</v>
      </c>
      <c r="G211" s="525" t="s">
        <v>535</v>
      </c>
      <c r="H211" s="525"/>
      <c r="I211" s="525"/>
      <c r="J211" s="524" t="s">
        <v>536</v>
      </c>
      <c r="K211" s="532">
        <v>5190</v>
      </c>
      <c r="L211" s="533">
        <v>4411.5</v>
      </c>
      <c r="M211" s="525" t="s">
        <v>537</v>
      </c>
      <c r="N211" s="534" t="s">
        <v>27</v>
      </c>
      <c r="O211" s="535"/>
      <c r="P211" s="536"/>
    </row>
    <row r="212" ht="28.8" spans="1:16">
      <c r="A212" s="522" t="s">
        <v>538</v>
      </c>
      <c r="B212" s="523">
        <v>33150102102</v>
      </c>
      <c r="C212" s="524" t="s">
        <v>287</v>
      </c>
      <c r="D212" s="524" t="s">
        <v>215</v>
      </c>
      <c r="E212" s="524" t="s">
        <v>188</v>
      </c>
      <c r="F212" s="524" t="s">
        <v>42</v>
      </c>
      <c r="G212" s="525" t="s">
        <v>539</v>
      </c>
      <c r="H212" s="525"/>
      <c r="I212" s="525"/>
      <c r="J212" s="524" t="s">
        <v>540</v>
      </c>
      <c r="K212" s="532">
        <v>5882</v>
      </c>
      <c r="L212" s="533">
        <v>4999.7</v>
      </c>
      <c r="M212" s="525" t="s">
        <v>541</v>
      </c>
      <c r="N212" s="534" t="s">
        <v>27</v>
      </c>
      <c r="O212" s="535"/>
      <c r="P212" s="536"/>
    </row>
    <row r="213" ht="28.8" spans="1:16">
      <c r="A213" s="522" t="s">
        <v>542</v>
      </c>
      <c r="B213" s="523">
        <v>33150102103</v>
      </c>
      <c r="C213" s="524" t="s">
        <v>287</v>
      </c>
      <c r="D213" s="524" t="s">
        <v>215</v>
      </c>
      <c r="E213" s="524" t="s">
        <v>188</v>
      </c>
      <c r="F213" s="524" t="s">
        <v>42</v>
      </c>
      <c r="G213" s="525" t="s">
        <v>543</v>
      </c>
      <c r="H213" s="525"/>
      <c r="I213" s="525"/>
      <c r="J213" s="524" t="s">
        <v>532</v>
      </c>
      <c r="K213" s="532">
        <v>4500</v>
      </c>
      <c r="L213" s="533">
        <v>3825</v>
      </c>
      <c r="M213" s="525"/>
      <c r="N213" s="534" t="s">
        <v>27</v>
      </c>
      <c r="O213" s="535"/>
      <c r="P213" s="536"/>
    </row>
    <row r="214" ht="28.8" spans="1:16">
      <c r="A214" s="522" t="s">
        <v>544</v>
      </c>
      <c r="B214" s="523">
        <v>33150102104</v>
      </c>
      <c r="C214" s="524" t="s">
        <v>287</v>
      </c>
      <c r="D214" s="524" t="s">
        <v>215</v>
      </c>
      <c r="E214" s="524" t="s">
        <v>188</v>
      </c>
      <c r="F214" s="524" t="s">
        <v>42</v>
      </c>
      <c r="G214" s="525" t="s">
        <v>545</v>
      </c>
      <c r="H214" s="525"/>
      <c r="I214" s="525"/>
      <c r="J214" s="524" t="s">
        <v>536</v>
      </c>
      <c r="K214" s="532">
        <v>6745</v>
      </c>
      <c r="L214" s="533">
        <v>5733.3</v>
      </c>
      <c r="M214" s="525" t="s">
        <v>537</v>
      </c>
      <c r="N214" s="534" t="s">
        <v>27</v>
      </c>
      <c r="O214" s="535"/>
      <c r="P214" s="536"/>
    </row>
    <row r="215" ht="28.8" spans="1:16">
      <c r="A215" s="522" t="s">
        <v>546</v>
      </c>
      <c r="B215" s="523">
        <v>33150102105</v>
      </c>
      <c r="C215" s="524" t="s">
        <v>287</v>
      </c>
      <c r="D215" s="524" t="s">
        <v>215</v>
      </c>
      <c r="E215" s="524" t="s">
        <v>188</v>
      </c>
      <c r="F215" s="524" t="s">
        <v>42</v>
      </c>
      <c r="G215" s="525" t="s">
        <v>547</v>
      </c>
      <c r="H215" s="525"/>
      <c r="I215" s="525"/>
      <c r="J215" s="524" t="s">
        <v>540</v>
      </c>
      <c r="K215" s="532">
        <v>7645</v>
      </c>
      <c r="L215" s="533">
        <v>6498.3</v>
      </c>
      <c r="M215" s="525" t="s">
        <v>541</v>
      </c>
      <c r="N215" s="534" t="s">
        <v>27</v>
      </c>
      <c r="O215" s="535"/>
      <c r="P215" s="536"/>
    </row>
    <row r="216" ht="28.8" spans="1:16">
      <c r="A216" s="410"/>
      <c r="B216" s="403">
        <v>33150102106</v>
      </c>
      <c r="C216" s="405" t="s">
        <v>287</v>
      </c>
      <c r="D216" s="405" t="s">
        <v>215</v>
      </c>
      <c r="E216" s="405" t="s">
        <v>188</v>
      </c>
      <c r="F216" s="405" t="s">
        <v>42</v>
      </c>
      <c r="G216" s="456" t="s">
        <v>548</v>
      </c>
      <c r="H216" s="410"/>
      <c r="I216" s="408"/>
      <c r="J216" s="405" t="s">
        <v>532</v>
      </c>
      <c r="K216" s="452">
        <v>3460</v>
      </c>
      <c r="L216" s="453">
        <v>2941</v>
      </c>
      <c r="M216" s="408"/>
      <c r="N216" s="455" t="s">
        <v>27</v>
      </c>
      <c r="O216" s="472"/>
      <c r="P216" s="464"/>
    </row>
    <row r="217" ht="28.8" spans="1:16">
      <c r="A217" s="410"/>
      <c r="B217" s="403">
        <v>33150102107</v>
      </c>
      <c r="C217" s="455" t="s">
        <v>287</v>
      </c>
      <c r="D217" s="455" t="s">
        <v>215</v>
      </c>
      <c r="E217" s="455" t="s">
        <v>188</v>
      </c>
      <c r="F217" s="455" t="s">
        <v>42</v>
      </c>
      <c r="G217" s="456" t="s">
        <v>549</v>
      </c>
      <c r="H217" s="456" t="s">
        <v>125</v>
      </c>
      <c r="I217" s="456"/>
      <c r="J217" s="455" t="s">
        <v>536</v>
      </c>
      <c r="K217" s="455">
        <v>5190</v>
      </c>
      <c r="L217" s="537">
        <v>4411.5</v>
      </c>
      <c r="M217" s="456" t="s">
        <v>537</v>
      </c>
      <c r="N217" s="455" t="s">
        <v>27</v>
      </c>
      <c r="O217" s="455"/>
      <c r="P217" s="456"/>
    </row>
    <row r="218" ht="28.8" spans="1:16">
      <c r="A218" s="410"/>
      <c r="B218" s="403">
        <v>33150102108</v>
      </c>
      <c r="C218" s="455" t="s">
        <v>287</v>
      </c>
      <c r="D218" s="455" t="s">
        <v>215</v>
      </c>
      <c r="E218" s="455" t="s">
        <v>188</v>
      </c>
      <c r="F218" s="455" t="s">
        <v>42</v>
      </c>
      <c r="G218" s="456" t="s">
        <v>550</v>
      </c>
      <c r="H218" s="456" t="s">
        <v>125</v>
      </c>
      <c r="I218" s="456"/>
      <c r="J218" s="455" t="s">
        <v>540</v>
      </c>
      <c r="K218" s="455">
        <v>5882</v>
      </c>
      <c r="L218" s="537">
        <v>4999.7</v>
      </c>
      <c r="M218" s="456" t="s">
        <v>541</v>
      </c>
      <c r="N218" s="455" t="s">
        <v>27</v>
      </c>
      <c r="O218" s="455"/>
      <c r="P218" s="456"/>
    </row>
    <row r="219" ht="28.8" spans="1:16">
      <c r="A219" s="410"/>
      <c r="B219" s="403">
        <v>33150102109</v>
      </c>
      <c r="C219" s="455" t="s">
        <v>287</v>
      </c>
      <c r="D219" s="455" t="s">
        <v>215</v>
      </c>
      <c r="E219" s="455" t="s">
        <v>188</v>
      </c>
      <c r="F219" s="455" t="s">
        <v>42</v>
      </c>
      <c r="G219" s="456" t="s">
        <v>551</v>
      </c>
      <c r="H219" s="456"/>
      <c r="I219" s="456"/>
      <c r="J219" s="455" t="s">
        <v>532</v>
      </c>
      <c r="K219" s="455">
        <v>4500</v>
      </c>
      <c r="L219" s="537">
        <v>3825</v>
      </c>
      <c r="M219" s="456"/>
      <c r="N219" s="455" t="s">
        <v>27</v>
      </c>
      <c r="O219" s="455"/>
      <c r="P219" s="456"/>
    </row>
    <row r="220" ht="28.8" spans="1:16">
      <c r="A220" s="410"/>
      <c r="B220" s="403">
        <v>33150102110</v>
      </c>
      <c r="C220" s="455" t="s">
        <v>287</v>
      </c>
      <c r="D220" s="455" t="s">
        <v>215</v>
      </c>
      <c r="E220" s="455" t="s">
        <v>188</v>
      </c>
      <c r="F220" s="455" t="s">
        <v>42</v>
      </c>
      <c r="G220" s="456" t="s">
        <v>552</v>
      </c>
      <c r="H220" s="456" t="s">
        <v>125</v>
      </c>
      <c r="I220" s="456"/>
      <c r="J220" s="455" t="s">
        <v>536</v>
      </c>
      <c r="K220" s="455">
        <v>6745</v>
      </c>
      <c r="L220" s="537">
        <v>5733.3</v>
      </c>
      <c r="M220" s="456" t="s">
        <v>537</v>
      </c>
      <c r="N220" s="455" t="s">
        <v>27</v>
      </c>
      <c r="O220" s="455"/>
      <c r="P220" s="456"/>
    </row>
    <row r="221" ht="28.8" spans="1:16">
      <c r="A221" s="410"/>
      <c r="B221" s="403">
        <v>33150102111</v>
      </c>
      <c r="C221" s="455" t="s">
        <v>287</v>
      </c>
      <c r="D221" s="455" t="s">
        <v>215</v>
      </c>
      <c r="E221" s="455" t="s">
        <v>188</v>
      </c>
      <c r="F221" s="455" t="s">
        <v>42</v>
      </c>
      <c r="G221" s="456" t="s">
        <v>553</v>
      </c>
      <c r="H221" s="456" t="s">
        <v>125</v>
      </c>
      <c r="I221" s="456"/>
      <c r="J221" s="455" t="s">
        <v>540</v>
      </c>
      <c r="K221" s="455">
        <v>7645</v>
      </c>
      <c r="L221" s="537">
        <v>6498.3</v>
      </c>
      <c r="M221" s="456" t="s">
        <v>541</v>
      </c>
      <c r="N221" s="455" t="s">
        <v>27</v>
      </c>
      <c r="O221" s="455"/>
      <c r="P221" s="456"/>
    </row>
    <row r="222" ht="28.8" spans="1:16">
      <c r="A222" s="407" t="s">
        <v>554</v>
      </c>
      <c r="B222" s="403">
        <v>331501052</v>
      </c>
      <c r="C222" s="405" t="s">
        <v>287</v>
      </c>
      <c r="D222" s="405" t="s">
        <v>215</v>
      </c>
      <c r="E222" s="405" t="s">
        <v>188</v>
      </c>
      <c r="F222" s="405" t="s">
        <v>42</v>
      </c>
      <c r="G222" s="408" t="s">
        <v>555</v>
      </c>
      <c r="H222" s="408" t="s">
        <v>556</v>
      </c>
      <c r="I222" s="408"/>
      <c r="J222" s="405" t="s">
        <v>52</v>
      </c>
      <c r="K222" s="452">
        <v>4320</v>
      </c>
      <c r="L222" s="453">
        <v>3672</v>
      </c>
      <c r="M222" s="408" t="s">
        <v>557</v>
      </c>
      <c r="N222" s="409" t="s">
        <v>27</v>
      </c>
      <c r="O222" s="472"/>
      <c r="P222" s="464"/>
    </row>
    <row r="223" ht="28.8" spans="1:16">
      <c r="A223" s="410"/>
      <c r="B223" s="403">
        <v>33150105202</v>
      </c>
      <c r="C223" s="405" t="s">
        <v>287</v>
      </c>
      <c r="D223" s="405" t="s">
        <v>215</v>
      </c>
      <c r="E223" s="405" t="s">
        <v>188</v>
      </c>
      <c r="F223" s="405" t="s">
        <v>42</v>
      </c>
      <c r="G223" s="456" t="s">
        <v>558</v>
      </c>
      <c r="H223" s="526"/>
      <c r="I223" s="408"/>
      <c r="J223" s="405" t="s">
        <v>52</v>
      </c>
      <c r="K223" s="452">
        <v>4320</v>
      </c>
      <c r="L223" s="453">
        <v>3672</v>
      </c>
      <c r="M223" s="408"/>
      <c r="N223" s="409" t="s">
        <v>27</v>
      </c>
      <c r="O223" s="472"/>
      <c r="P223" s="464"/>
    </row>
    <row r="224" ht="28.8" spans="1:16">
      <c r="A224" s="410"/>
      <c r="B224" s="403">
        <v>33150105203</v>
      </c>
      <c r="C224" s="405" t="s">
        <v>287</v>
      </c>
      <c r="D224" s="405" t="s">
        <v>215</v>
      </c>
      <c r="E224" s="405" t="s">
        <v>188</v>
      </c>
      <c r="F224" s="405" t="s">
        <v>42</v>
      </c>
      <c r="G224" s="456" t="s">
        <v>559</v>
      </c>
      <c r="H224" s="410"/>
      <c r="I224" s="408"/>
      <c r="J224" s="405" t="s">
        <v>52</v>
      </c>
      <c r="K224" s="452">
        <v>5616</v>
      </c>
      <c r="L224" s="453">
        <v>4773.6</v>
      </c>
      <c r="M224" s="408"/>
      <c r="N224" s="409" t="s">
        <v>27</v>
      </c>
      <c r="O224" s="472"/>
      <c r="P224" s="464"/>
    </row>
    <row r="225" ht="28.8" spans="1:16">
      <c r="A225" s="403" t="s">
        <v>560</v>
      </c>
      <c r="B225" s="403">
        <v>331505021</v>
      </c>
      <c r="C225" s="405" t="s">
        <v>287</v>
      </c>
      <c r="D225" s="405" t="s">
        <v>215</v>
      </c>
      <c r="E225" s="405" t="s">
        <v>188</v>
      </c>
      <c r="F225" s="405" t="s">
        <v>42</v>
      </c>
      <c r="G225" s="416" t="s">
        <v>561</v>
      </c>
      <c r="H225" s="416" t="s">
        <v>562</v>
      </c>
      <c r="I225" s="416"/>
      <c r="J225" s="413" t="s">
        <v>52</v>
      </c>
      <c r="K225" s="431">
        <v>1460</v>
      </c>
      <c r="L225" s="461">
        <v>1241</v>
      </c>
      <c r="M225" s="416"/>
      <c r="N225" s="465" t="s">
        <v>27</v>
      </c>
      <c r="O225" s="465"/>
      <c r="P225" s="466"/>
    </row>
    <row r="226" ht="28.8" spans="1:16">
      <c r="A226" s="410"/>
      <c r="B226" s="415">
        <v>33150502102</v>
      </c>
      <c r="C226" s="413" t="s">
        <v>287</v>
      </c>
      <c r="D226" s="413" t="s">
        <v>215</v>
      </c>
      <c r="E226" s="413" t="s">
        <v>188</v>
      </c>
      <c r="F226" s="413" t="s">
        <v>42</v>
      </c>
      <c r="G226" s="416" t="s">
        <v>563</v>
      </c>
      <c r="H226" s="416"/>
      <c r="I226" s="416"/>
      <c r="J226" s="413" t="s">
        <v>52</v>
      </c>
      <c r="K226" s="431">
        <v>1460</v>
      </c>
      <c r="L226" s="461">
        <v>1241</v>
      </c>
      <c r="M226" s="416"/>
      <c r="N226" s="441" t="s">
        <v>27</v>
      </c>
      <c r="O226" s="441"/>
      <c r="P226" s="414"/>
    </row>
    <row r="227" ht="28.8" spans="1:16">
      <c r="A227" s="410"/>
      <c r="B227" s="415">
        <v>33150502103</v>
      </c>
      <c r="C227" s="413" t="s">
        <v>287</v>
      </c>
      <c r="D227" s="413" t="s">
        <v>215</v>
      </c>
      <c r="E227" s="413" t="s">
        <v>188</v>
      </c>
      <c r="F227" s="413" t="s">
        <v>42</v>
      </c>
      <c r="G227" s="416" t="s">
        <v>564</v>
      </c>
      <c r="H227" s="416"/>
      <c r="I227" s="416"/>
      <c r="J227" s="413" t="s">
        <v>52</v>
      </c>
      <c r="K227" s="431">
        <v>1900</v>
      </c>
      <c r="L227" s="461">
        <v>1615</v>
      </c>
      <c r="M227" s="416"/>
      <c r="N227" s="441" t="s">
        <v>27</v>
      </c>
      <c r="O227" s="441"/>
      <c r="P227" s="414"/>
    </row>
    <row r="228" ht="72" spans="1:16">
      <c r="A228" s="425"/>
      <c r="B228" s="415">
        <v>331506025</v>
      </c>
      <c r="C228" s="413" t="s">
        <v>287</v>
      </c>
      <c r="D228" s="413" t="s">
        <v>215</v>
      </c>
      <c r="E228" s="413" t="s">
        <v>188</v>
      </c>
      <c r="F228" s="413" t="s">
        <v>42</v>
      </c>
      <c r="G228" s="408" t="s">
        <v>565</v>
      </c>
      <c r="H228" s="416" t="s">
        <v>566</v>
      </c>
      <c r="I228" s="513"/>
      <c r="J228" s="405" t="s">
        <v>52</v>
      </c>
      <c r="K228" s="518"/>
      <c r="L228" s="515"/>
      <c r="M228" s="513"/>
      <c r="N228" s="518"/>
      <c r="O228" s="518"/>
      <c r="P228" s="513"/>
    </row>
    <row r="229" ht="72" spans="1:16">
      <c r="A229" s="425"/>
      <c r="B229" s="415">
        <v>33150602501</v>
      </c>
      <c r="C229" s="413" t="s">
        <v>287</v>
      </c>
      <c r="D229" s="413" t="s">
        <v>215</v>
      </c>
      <c r="E229" s="413" t="s">
        <v>188</v>
      </c>
      <c r="F229" s="413" t="s">
        <v>42</v>
      </c>
      <c r="G229" s="408" t="s">
        <v>567</v>
      </c>
      <c r="H229" s="416" t="s">
        <v>566</v>
      </c>
      <c r="I229" s="513"/>
      <c r="J229" s="405" t="s">
        <v>52</v>
      </c>
      <c r="K229" s="518"/>
      <c r="L229" s="515"/>
      <c r="M229" s="513"/>
      <c r="N229" s="518"/>
      <c r="O229" s="518"/>
      <c r="P229" s="513"/>
    </row>
    <row r="230" s="204" customFormat="1" ht="28.8" spans="1:16">
      <c r="A230" s="404" t="s">
        <v>568</v>
      </c>
      <c r="B230" s="404">
        <v>331507004</v>
      </c>
      <c r="C230" s="527" t="s">
        <v>287</v>
      </c>
      <c r="D230" s="527" t="s">
        <v>215</v>
      </c>
      <c r="E230" s="527" t="s">
        <v>188</v>
      </c>
      <c r="F230" s="527" t="s">
        <v>42</v>
      </c>
      <c r="G230" s="528" t="s">
        <v>569</v>
      </c>
      <c r="H230" s="479"/>
      <c r="I230" s="416"/>
      <c r="J230" s="452" t="s">
        <v>52</v>
      </c>
      <c r="K230" s="452">
        <v>3460</v>
      </c>
      <c r="L230" s="453">
        <v>2941</v>
      </c>
      <c r="M230" s="538"/>
      <c r="N230" s="441" t="s">
        <v>27</v>
      </c>
      <c r="O230" s="539"/>
      <c r="P230" s="538"/>
    </row>
    <row r="231" s="204" customFormat="1" ht="28.8" spans="1:16">
      <c r="A231" s="404"/>
      <c r="B231" s="404">
        <v>33150700401</v>
      </c>
      <c r="C231" s="527" t="s">
        <v>287</v>
      </c>
      <c r="D231" s="527" t="s">
        <v>215</v>
      </c>
      <c r="E231" s="527" t="s">
        <v>188</v>
      </c>
      <c r="F231" s="527" t="s">
        <v>42</v>
      </c>
      <c r="G231" s="528" t="s">
        <v>570</v>
      </c>
      <c r="H231" s="479"/>
      <c r="I231" s="416"/>
      <c r="J231" s="452" t="s">
        <v>52</v>
      </c>
      <c r="K231" s="452">
        <v>4490</v>
      </c>
      <c r="L231" s="453">
        <v>3816.5</v>
      </c>
      <c r="M231" s="538"/>
      <c r="N231" s="441" t="s">
        <v>27</v>
      </c>
      <c r="O231" s="539"/>
      <c r="P231" s="538"/>
    </row>
    <row r="232" s="204" customFormat="1" ht="28.8" spans="1:16">
      <c r="A232" s="404" t="s">
        <v>571</v>
      </c>
      <c r="B232" s="404">
        <v>331507009</v>
      </c>
      <c r="C232" s="527" t="s">
        <v>287</v>
      </c>
      <c r="D232" s="527" t="s">
        <v>215</v>
      </c>
      <c r="E232" s="527" t="s">
        <v>188</v>
      </c>
      <c r="F232" s="527" t="s">
        <v>42</v>
      </c>
      <c r="G232" s="528" t="s">
        <v>572</v>
      </c>
      <c r="H232" s="479"/>
      <c r="I232" s="416"/>
      <c r="J232" s="452" t="s">
        <v>52</v>
      </c>
      <c r="K232" s="452">
        <v>3460</v>
      </c>
      <c r="L232" s="453">
        <v>2941</v>
      </c>
      <c r="M232" s="538"/>
      <c r="N232" s="441" t="s">
        <v>27</v>
      </c>
      <c r="O232" s="539"/>
      <c r="P232" s="538"/>
    </row>
    <row r="233" s="385" customFormat="1" ht="28.8" spans="1:16">
      <c r="A233" s="404"/>
      <c r="B233" s="404">
        <v>33150700901</v>
      </c>
      <c r="C233" s="527" t="s">
        <v>287</v>
      </c>
      <c r="D233" s="527" t="s">
        <v>215</v>
      </c>
      <c r="E233" s="527" t="s">
        <v>188</v>
      </c>
      <c r="F233" s="527" t="s">
        <v>42</v>
      </c>
      <c r="G233" s="528" t="s">
        <v>573</v>
      </c>
      <c r="H233" s="511"/>
      <c r="I233" s="511"/>
      <c r="J233" s="452" t="s">
        <v>52</v>
      </c>
      <c r="K233" s="452">
        <v>4490</v>
      </c>
      <c r="L233" s="453">
        <v>3816.5</v>
      </c>
      <c r="M233" s="511"/>
      <c r="N233" s="441" t="s">
        <v>27</v>
      </c>
      <c r="O233" s="510"/>
      <c r="P233" s="511"/>
    </row>
    <row r="234" ht="57.6" spans="1:16">
      <c r="A234" s="425"/>
      <c r="B234" s="415">
        <v>331522017</v>
      </c>
      <c r="C234" s="413" t="s">
        <v>287</v>
      </c>
      <c r="D234" s="413" t="s">
        <v>215</v>
      </c>
      <c r="E234" s="413" t="s">
        <v>188</v>
      </c>
      <c r="F234" s="413" t="s">
        <v>42</v>
      </c>
      <c r="G234" s="408" t="s">
        <v>574</v>
      </c>
      <c r="H234" s="416" t="s">
        <v>575</v>
      </c>
      <c r="I234" s="513"/>
      <c r="J234" s="405" t="s">
        <v>52</v>
      </c>
      <c r="K234" s="518"/>
      <c r="L234" s="515"/>
      <c r="M234" s="513"/>
      <c r="N234" s="518"/>
      <c r="O234" s="518"/>
      <c r="P234" s="513"/>
    </row>
    <row r="235" ht="57.6" spans="1:16">
      <c r="A235" s="425"/>
      <c r="B235" s="415">
        <v>33152201701</v>
      </c>
      <c r="C235" s="413" t="s">
        <v>287</v>
      </c>
      <c r="D235" s="413" t="s">
        <v>215</v>
      </c>
      <c r="E235" s="413" t="s">
        <v>188</v>
      </c>
      <c r="F235" s="413" t="s">
        <v>42</v>
      </c>
      <c r="G235" s="408" t="s">
        <v>576</v>
      </c>
      <c r="H235" s="416" t="s">
        <v>575</v>
      </c>
      <c r="I235" s="513"/>
      <c r="J235" s="405" t="s">
        <v>52</v>
      </c>
      <c r="K235" s="518"/>
      <c r="L235" s="515"/>
      <c r="M235" s="513"/>
      <c r="N235" s="518"/>
      <c r="O235" s="518"/>
      <c r="P235" s="513"/>
    </row>
    <row r="236" ht="28.8" spans="1:16">
      <c r="A236" s="407" t="s">
        <v>577</v>
      </c>
      <c r="B236" s="403">
        <v>331601005</v>
      </c>
      <c r="C236" s="405" t="s">
        <v>287</v>
      </c>
      <c r="D236" s="405" t="s">
        <v>215</v>
      </c>
      <c r="E236" s="405" t="s">
        <v>188</v>
      </c>
      <c r="F236" s="405" t="s">
        <v>42</v>
      </c>
      <c r="G236" s="408" t="s">
        <v>578</v>
      </c>
      <c r="H236" s="408"/>
      <c r="I236" s="408" t="s">
        <v>579</v>
      </c>
      <c r="J236" s="405" t="s">
        <v>517</v>
      </c>
      <c r="K236" s="405">
        <v>2590</v>
      </c>
      <c r="L236" s="453">
        <v>2201.5</v>
      </c>
      <c r="M236" s="408" t="s">
        <v>580</v>
      </c>
      <c r="N236" s="405" t="s">
        <v>27</v>
      </c>
      <c r="O236" s="449"/>
      <c r="P236" s="450"/>
    </row>
    <row r="237" ht="28.8" spans="1:16">
      <c r="A237" s="406" t="s">
        <v>581</v>
      </c>
      <c r="B237" s="415">
        <v>33160100501</v>
      </c>
      <c r="C237" s="413" t="s">
        <v>287</v>
      </c>
      <c r="D237" s="413" t="s">
        <v>215</v>
      </c>
      <c r="E237" s="413" t="s">
        <v>188</v>
      </c>
      <c r="F237" s="413" t="s">
        <v>42</v>
      </c>
      <c r="G237" s="416" t="s">
        <v>582</v>
      </c>
      <c r="H237" s="416"/>
      <c r="I237" s="416"/>
      <c r="J237" s="413" t="s">
        <v>517</v>
      </c>
      <c r="K237" s="431">
        <v>430</v>
      </c>
      <c r="L237" s="461">
        <v>365.5</v>
      </c>
      <c r="M237" s="416"/>
      <c r="N237" s="441" t="s">
        <v>27</v>
      </c>
      <c r="O237" s="449"/>
      <c r="P237" s="450"/>
    </row>
    <row r="238" ht="28.8" spans="1:16">
      <c r="A238" s="406" t="s">
        <v>583</v>
      </c>
      <c r="B238" s="415">
        <v>33160100504</v>
      </c>
      <c r="C238" s="413" t="s">
        <v>287</v>
      </c>
      <c r="D238" s="413" t="s">
        <v>215</v>
      </c>
      <c r="E238" s="413" t="s">
        <v>188</v>
      </c>
      <c r="F238" s="413" t="s">
        <v>42</v>
      </c>
      <c r="G238" s="416" t="s">
        <v>584</v>
      </c>
      <c r="H238" s="416"/>
      <c r="I238" s="416"/>
      <c r="J238" s="413" t="s">
        <v>517</v>
      </c>
      <c r="K238" s="431">
        <v>560</v>
      </c>
      <c r="L238" s="461">
        <v>476</v>
      </c>
      <c r="M238" s="416"/>
      <c r="N238" s="441" t="s">
        <v>27</v>
      </c>
      <c r="O238" s="449"/>
      <c r="P238" s="450"/>
    </row>
    <row r="239" s="386" customFormat="1" ht="129.6" spans="1:16">
      <c r="A239" s="425"/>
      <c r="B239" s="415">
        <v>340100031</v>
      </c>
      <c r="C239" s="413" t="s">
        <v>35</v>
      </c>
      <c r="D239" s="413" t="s">
        <v>36</v>
      </c>
      <c r="E239" s="413" t="s">
        <v>198</v>
      </c>
      <c r="F239" s="413" t="s">
        <v>36</v>
      </c>
      <c r="G239" s="408" t="s">
        <v>585</v>
      </c>
      <c r="H239" s="416" t="s">
        <v>586</v>
      </c>
      <c r="I239" s="511"/>
      <c r="J239" s="405" t="s">
        <v>52</v>
      </c>
      <c r="K239" s="510"/>
      <c r="L239" s="540"/>
      <c r="M239" s="511"/>
      <c r="N239" s="510"/>
      <c r="O239" s="510"/>
      <c r="P239" s="511"/>
    </row>
    <row r="240" ht="86.4" spans="1:16">
      <c r="A240" s="425" t="s">
        <v>587</v>
      </c>
      <c r="B240" s="403">
        <v>340200052</v>
      </c>
      <c r="C240" s="405" t="s">
        <v>35</v>
      </c>
      <c r="D240" s="405" t="s">
        <v>36</v>
      </c>
      <c r="E240" s="405" t="s">
        <v>588</v>
      </c>
      <c r="F240" s="405" t="s">
        <v>589</v>
      </c>
      <c r="G240" s="408" t="s">
        <v>590</v>
      </c>
      <c r="H240" s="408" t="s">
        <v>591</v>
      </c>
      <c r="I240" s="408"/>
      <c r="J240" s="405" t="s">
        <v>52</v>
      </c>
      <c r="K240" s="405">
        <v>45</v>
      </c>
      <c r="L240" s="453">
        <v>38.3</v>
      </c>
      <c r="M240" s="408" t="s">
        <v>592</v>
      </c>
      <c r="N240" s="441" t="s">
        <v>27</v>
      </c>
      <c r="O240" s="449"/>
      <c r="P240" s="450"/>
    </row>
    <row r="241" ht="28.8" spans="1:16">
      <c r="A241" s="406" t="s">
        <v>593</v>
      </c>
      <c r="B241" s="415">
        <v>430000001</v>
      </c>
      <c r="C241" s="413" t="s">
        <v>35</v>
      </c>
      <c r="D241" s="413" t="s">
        <v>36</v>
      </c>
      <c r="E241" s="413" t="s">
        <v>594</v>
      </c>
      <c r="F241" s="413" t="s">
        <v>595</v>
      </c>
      <c r="G241" s="416" t="s">
        <v>596</v>
      </c>
      <c r="H241" s="408" t="s">
        <v>597</v>
      </c>
      <c r="I241" s="416"/>
      <c r="J241" s="413" t="s">
        <v>598</v>
      </c>
      <c r="K241" s="431">
        <v>22</v>
      </c>
      <c r="L241" s="461">
        <v>18.7</v>
      </c>
      <c r="M241" s="416" t="s">
        <v>599</v>
      </c>
      <c r="N241" s="441" t="s">
        <v>27</v>
      </c>
      <c r="O241" s="441"/>
      <c r="P241" s="414"/>
    </row>
    <row r="242" ht="28.8" spans="1:16">
      <c r="A242" s="466"/>
      <c r="B242" s="415">
        <v>43000000102</v>
      </c>
      <c r="C242" s="413" t="s">
        <v>35</v>
      </c>
      <c r="D242" s="413" t="s">
        <v>36</v>
      </c>
      <c r="E242" s="413" t="s">
        <v>594</v>
      </c>
      <c r="F242" s="413" t="s">
        <v>595</v>
      </c>
      <c r="G242" s="416" t="s">
        <v>600</v>
      </c>
      <c r="H242" s="416"/>
      <c r="I242" s="416"/>
      <c r="J242" s="413" t="s">
        <v>598</v>
      </c>
      <c r="K242" s="431">
        <v>32</v>
      </c>
      <c r="L242" s="461">
        <v>27.2</v>
      </c>
      <c r="M242" s="416"/>
      <c r="N242" s="441" t="s">
        <v>27</v>
      </c>
      <c r="O242" s="441"/>
      <c r="P242" s="414"/>
    </row>
    <row r="243" ht="28.8" spans="1:16">
      <c r="A243" s="406" t="s">
        <v>601</v>
      </c>
      <c r="B243" s="415">
        <v>430000002</v>
      </c>
      <c r="C243" s="413" t="s">
        <v>35</v>
      </c>
      <c r="D243" s="413" t="s">
        <v>36</v>
      </c>
      <c r="E243" s="413" t="s">
        <v>594</v>
      </c>
      <c r="F243" s="413" t="s">
        <v>595</v>
      </c>
      <c r="G243" s="416" t="s">
        <v>602</v>
      </c>
      <c r="H243" s="416"/>
      <c r="I243" s="416"/>
      <c r="J243" s="413" t="s">
        <v>598</v>
      </c>
      <c r="K243" s="431">
        <v>30</v>
      </c>
      <c r="L243" s="461">
        <v>25.5</v>
      </c>
      <c r="M243" s="416" t="s">
        <v>603</v>
      </c>
      <c r="N243" s="441" t="s">
        <v>27</v>
      </c>
      <c r="O243" s="441"/>
      <c r="P243" s="414"/>
    </row>
    <row r="244" ht="28.8" spans="1:16">
      <c r="A244" s="466"/>
      <c r="B244" s="415">
        <v>43000000201</v>
      </c>
      <c r="C244" s="413" t="s">
        <v>35</v>
      </c>
      <c r="D244" s="413" t="s">
        <v>36</v>
      </c>
      <c r="E244" s="413" t="s">
        <v>594</v>
      </c>
      <c r="F244" s="413" t="s">
        <v>595</v>
      </c>
      <c r="G244" s="416" t="s">
        <v>604</v>
      </c>
      <c r="H244" s="416"/>
      <c r="I244" s="416"/>
      <c r="J244" s="413" t="s">
        <v>598</v>
      </c>
      <c r="K244" s="431">
        <v>41</v>
      </c>
      <c r="L244" s="461">
        <v>34.9</v>
      </c>
      <c r="M244" s="416"/>
      <c r="N244" s="441" t="s">
        <v>27</v>
      </c>
      <c r="O244" s="441"/>
      <c r="P244" s="414"/>
    </row>
    <row r="245" ht="28.8" spans="1:16">
      <c r="A245" s="407" t="s">
        <v>605</v>
      </c>
      <c r="B245" s="403">
        <v>460000007</v>
      </c>
      <c r="C245" s="529" t="s">
        <v>287</v>
      </c>
      <c r="D245" s="530" t="s">
        <v>215</v>
      </c>
      <c r="E245" s="529" t="s">
        <v>594</v>
      </c>
      <c r="F245" s="530" t="s">
        <v>595</v>
      </c>
      <c r="G245" s="408" t="s">
        <v>606</v>
      </c>
      <c r="H245" s="408"/>
      <c r="I245" s="408"/>
      <c r="J245" s="405" t="s">
        <v>52</v>
      </c>
      <c r="K245" s="431">
        <v>660</v>
      </c>
      <c r="L245" s="461">
        <v>561</v>
      </c>
      <c r="M245" s="416" t="s">
        <v>607</v>
      </c>
      <c r="N245" s="409" t="s">
        <v>27</v>
      </c>
      <c r="O245" s="449"/>
      <c r="P245" s="450"/>
    </row>
    <row r="246" ht="28.8" spans="1:16">
      <c r="A246" s="410"/>
      <c r="B246" s="415">
        <v>46000000702</v>
      </c>
      <c r="C246" s="529" t="s">
        <v>287</v>
      </c>
      <c r="D246" s="530" t="s">
        <v>215</v>
      </c>
      <c r="E246" s="529" t="s">
        <v>594</v>
      </c>
      <c r="F246" s="530" t="s">
        <v>595</v>
      </c>
      <c r="G246" s="408" t="s">
        <v>608</v>
      </c>
      <c r="H246" s="408"/>
      <c r="I246" s="408"/>
      <c r="J246" s="405" t="s">
        <v>52</v>
      </c>
      <c r="K246" s="452">
        <v>400</v>
      </c>
      <c r="L246" s="453">
        <v>340</v>
      </c>
      <c r="M246" s="408"/>
      <c r="N246" s="441" t="s">
        <v>27</v>
      </c>
      <c r="O246" s="449"/>
      <c r="P246" s="450"/>
    </row>
    <row r="247" ht="104" customHeight="1" spans="1:16">
      <c r="A247" s="466" t="s">
        <v>609</v>
      </c>
      <c r="B247" s="466"/>
      <c r="C247" s="465"/>
      <c r="D247" s="465"/>
      <c r="E247" s="465"/>
      <c r="F247" s="465"/>
      <c r="G247" s="466"/>
      <c r="H247" s="466"/>
      <c r="I247" s="466"/>
      <c r="J247" s="465"/>
      <c r="K247" s="465"/>
      <c r="L247" s="465"/>
      <c r="M247" s="466"/>
      <c r="N247" s="465"/>
      <c r="O247" s="465"/>
      <c r="P247" s="466"/>
    </row>
  </sheetData>
  <sheetProtection formatCells="0" insertHyperlinks="0" autoFilter="0"/>
  <autoFilter ref="A4:P247">
    <extLst/>
  </autoFilter>
  <sortState ref="A18:XEJ45">
    <sortCondition ref="B18:B45"/>
  </sortState>
  <mergeCells count="18">
    <mergeCell ref="A2:P2"/>
    <mergeCell ref="O3:P3"/>
    <mergeCell ref="A247:P247"/>
    <mergeCell ref="A98:A101"/>
    <mergeCell ref="B98:B101"/>
    <mergeCell ref="C98:C101"/>
    <mergeCell ref="D98:D101"/>
    <mergeCell ref="E98:E101"/>
    <mergeCell ref="F98:F101"/>
    <mergeCell ref="G98:G101"/>
    <mergeCell ref="H98:H101"/>
    <mergeCell ref="I98:I101"/>
    <mergeCell ref="J98:J101"/>
    <mergeCell ref="K98:K101"/>
    <mergeCell ref="L98:L101"/>
    <mergeCell ref="N98:N101"/>
    <mergeCell ref="O98:O101"/>
    <mergeCell ref="P98:P101"/>
  </mergeCells>
  <pageMargins left="0.275" right="0.314583333333333" top="0.550694444444444" bottom="0.511805555555556" header="0.298611111111111" footer="0.298611111111111"/>
  <pageSetup paperSize="9" scale="62" firstPageNumber="5" fitToHeight="0" orientation="landscape" useFirstPageNumber="1" horizontalDpi="600"/>
  <headerFooter>
    <oddFooter>&amp;C&amp;14- &amp;P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01"/>
  <sheetViews>
    <sheetView zoomScale="115" zoomScaleNormal="115" workbookViewId="0">
      <pane ySplit="4" topLeftCell="A33" activePane="bottomLeft" state="frozen"/>
      <selection/>
      <selection pane="bottomLeft" activeCell="E36" sqref="E36"/>
    </sheetView>
  </sheetViews>
  <sheetFormatPr defaultColWidth="32.2" defaultRowHeight="19.95" customHeight="1"/>
  <cols>
    <col min="1" max="1" width="21" style="207" customWidth="1"/>
    <col min="2" max="2" width="12.9" style="208" customWidth="1"/>
    <col min="3" max="3" width="8.6" style="208" customWidth="1"/>
    <col min="4" max="6" width="12.9" style="208" customWidth="1"/>
    <col min="7" max="7" width="10.4" style="209" customWidth="1"/>
    <col min="8" max="8" width="10.4" style="210" customWidth="1"/>
    <col min="9" max="9" width="18.3" style="210" customWidth="1"/>
    <col min="10" max="10" width="10.4" style="210" customWidth="1"/>
    <col min="11" max="11" width="55.8" style="211" customWidth="1"/>
    <col min="12" max="12" width="14.2" style="211" customWidth="1"/>
    <col min="13" max="13" width="11.4" style="210" customWidth="1"/>
    <col min="14" max="14" width="12.9" style="210" customWidth="1"/>
    <col min="15" max="15" width="8.7" style="210" customWidth="1"/>
    <col min="16" max="16" width="10.3" style="210" customWidth="1"/>
    <col min="17" max="17" width="8.9" style="211" customWidth="1"/>
    <col min="18" max="18" width="8.8" style="210" customWidth="1"/>
    <col min="19" max="20" width="8.3" style="210" customWidth="1"/>
    <col min="21" max="21" width="27.6" style="212" hidden="1" customWidth="1"/>
    <col min="22" max="22" width="4.6" style="212" customWidth="1"/>
    <col min="23" max="23" width="4.3" style="212" customWidth="1"/>
    <col min="24" max="24" width="36.4" style="213" customWidth="1"/>
    <col min="25" max="16384" width="32.2" style="214"/>
  </cols>
  <sheetData>
    <row r="1" customHeight="1" spans="1:20">
      <c r="A1" s="215" t="s">
        <v>0</v>
      </c>
      <c r="B1" s="216"/>
      <c r="C1" s="216"/>
      <c r="D1" s="216"/>
      <c r="E1" s="216"/>
      <c r="F1" s="216"/>
      <c r="H1" s="209"/>
      <c r="I1" s="209"/>
      <c r="J1" s="209"/>
      <c r="K1" s="212"/>
      <c r="L1" s="212"/>
      <c r="M1" s="209"/>
      <c r="N1" s="209"/>
      <c r="O1" s="209"/>
      <c r="P1" s="209"/>
      <c r="Q1" s="212"/>
      <c r="R1" s="209"/>
      <c r="S1" s="209"/>
      <c r="T1" s="209"/>
    </row>
    <row r="2" customHeight="1" spans="1:20">
      <c r="A2" s="215" t="s">
        <v>610</v>
      </c>
      <c r="B2" s="217"/>
      <c r="C2" s="217"/>
      <c r="D2" s="217"/>
      <c r="E2" s="217"/>
      <c r="F2" s="217"/>
      <c r="G2" s="218"/>
      <c r="H2" s="218"/>
      <c r="I2" s="218"/>
      <c r="J2" s="218"/>
      <c r="K2" s="247"/>
      <c r="L2" s="247"/>
      <c r="M2" s="218"/>
      <c r="N2" s="218"/>
      <c r="O2" s="218"/>
      <c r="P2" s="218"/>
      <c r="Q2" s="247"/>
      <c r="R2" s="218"/>
      <c r="S2" s="218"/>
      <c r="T2" s="218"/>
    </row>
    <row r="3" customHeight="1" spans="1:20">
      <c r="A3" s="215"/>
      <c r="B3" s="217"/>
      <c r="C3" s="217"/>
      <c r="D3" s="217"/>
      <c r="E3" s="217"/>
      <c r="F3" s="217"/>
      <c r="G3" s="218"/>
      <c r="H3" s="218"/>
      <c r="I3" s="218"/>
      <c r="J3" s="218"/>
      <c r="K3" s="247"/>
      <c r="L3" s="247"/>
      <c r="M3" s="218"/>
      <c r="N3" s="218"/>
      <c r="O3" s="218"/>
      <c r="P3" s="218"/>
      <c r="Q3" s="247"/>
      <c r="R3" s="218"/>
      <c r="S3" s="283" t="s">
        <v>2</v>
      </c>
      <c r="T3" s="284"/>
    </row>
    <row r="4" s="1" customFormat="1" customHeight="1" spans="1:24">
      <c r="A4" s="2" t="s">
        <v>3</v>
      </c>
      <c r="B4" s="3" t="s">
        <v>4</v>
      </c>
      <c r="C4" s="3" t="s">
        <v>611</v>
      </c>
      <c r="D4" s="3" t="s">
        <v>612</v>
      </c>
      <c r="E4" s="3" t="s">
        <v>613</v>
      </c>
      <c r="F4" s="3" t="s">
        <v>614</v>
      </c>
      <c r="G4" s="2" t="s">
        <v>5</v>
      </c>
      <c r="H4" s="4" t="s">
        <v>6</v>
      </c>
      <c r="I4" s="4" t="s">
        <v>7</v>
      </c>
      <c r="J4" s="4" t="s">
        <v>8</v>
      </c>
      <c r="K4" s="11" t="s">
        <v>9</v>
      </c>
      <c r="L4" s="11" t="s">
        <v>10</v>
      </c>
      <c r="M4" s="11" t="s">
        <v>11</v>
      </c>
      <c r="N4" s="11" t="s">
        <v>12</v>
      </c>
      <c r="O4" s="12" t="s">
        <v>615</v>
      </c>
      <c r="P4" s="13" t="s">
        <v>616</v>
      </c>
      <c r="Q4" s="11" t="s">
        <v>15</v>
      </c>
      <c r="R4" s="2" t="s">
        <v>16</v>
      </c>
      <c r="S4" s="2" t="s">
        <v>617</v>
      </c>
      <c r="T4" s="2" t="s">
        <v>18</v>
      </c>
      <c r="U4" s="285"/>
      <c r="X4" s="2" t="s">
        <v>618</v>
      </c>
    </row>
    <row r="5" customHeight="1" spans="1:24">
      <c r="A5" s="219"/>
      <c r="B5" s="7" t="s">
        <v>619</v>
      </c>
      <c r="C5" s="7">
        <f t="shared" ref="C5:C68" si="0">LEN(B5)</f>
        <v>9</v>
      </c>
      <c r="D5" s="7" t="str">
        <f t="shared" ref="D5:D68" si="1">LEFT(B5,4)</f>
        <v>1203</v>
      </c>
      <c r="E5" s="7" t="str">
        <f t="shared" ref="E5:E68" si="2">LEFT(B5,6)</f>
        <v>120300</v>
      </c>
      <c r="F5" s="7" t="str">
        <f t="shared" ref="F5:F68" si="3">LEFT(B5,9)</f>
        <v>120300001</v>
      </c>
      <c r="G5" s="219"/>
      <c r="H5" s="219"/>
      <c r="I5" s="219"/>
      <c r="J5" s="219"/>
      <c r="K5" s="248" t="s">
        <v>31</v>
      </c>
      <c r="L5" s="248" t="s">
        <v>620</v>
      </c>
      <c r="M5" s="230" t="s">
        <v>33</v>
      </c>
      <c r="N5" s="230" t="s">
        <v>125</v>
      </c>
      <c r="O5" s="230"/>
      <c r="P5" s="230"/>
      <c r="Q5" s="248" t="s">
        <v>621</v>
      </c>
      <c r="R5" s="222" t="s">
        <v>27</v>
      </c>
      <c r="S5" s="279"/>
      <c r="T5" s="279"/>
      <c r="U5" s="286" t="s">
        <v>622</v>
      </c>
      <c r="V5" s="287"/>
      <c r="W5" s="287"/>
      <c r="X5" s="288" t="s">
        <v>623</v>
      </c>
    </row>
    <row r="6" customHeight="1" spans="1:24">
      <c r="A6" s="220"/>
      <c r="B6" s="221" t="s">
        <v>624</v>
      </c>
      <c r="C6" s="7">
        <f t="shared" si="0"/>
        <v>11</v>
      </c>
      <c r="D6" s="7" t="str">
        <f t="shared" si="1"/>
        <v>1203</v>
      </c>
      <c r="E6" s="7" t="str">
        <f t="shared" si="2"/>
        <v>120300</v>
      </c>
      <c r="F6" s="7" t="str">
        <f t="shared" si="3"/>
        <v>120300001</v>
      </c>
      <c r="G6" s="11" t="s">
        <v>35</v>
      </c>
      <c r="H6" s="11" t="s">
        <v>36</v>
      </c>
      <c r="I6" s="11" t="s">
        <v>37</v>
      </c>
      <c r="J6" s="11" t="s">
        <v>38</v>
      </c>
      <c r="K6" s="249" t="s">
        <v>625</v>
      </c>
      <c r="L6" s="249"/>
      <c r="M6" s="233"/>
      <c r="N6" s="233" t="s">
        <v>41</v>
      </c>
      <c r="O6" s="233" t="s">
        <v>626</v>
      </c>
      <c r="P6" s="233" t="s">
        <v>626</v>
      </c>
      <c r="Q6" s="249"/>
      <c r="R6" s="233" t="s">
        <v>27</v>
      </c>
      <c r="S6" s="233"/>
      <c r="T6" s="233"/>
      <c r="U6" s="289"/>
      <c r="V6" s="290"/>
      <c r="W6" s="290"/>
      <c r="X6" s="288"/>
    </row>
    <row r="7" customHeight="1" spans="1:24">
      <c r="A7" s="222" t="s">
        <v>48</v>
      </c>
      <c r="B7" s="223" t="s">
        <v>627</v>
      </c>
      <c r="C7" s="7">
        <f t="shared" si="0"/>
        <v>9</v>
      </c>
      <c r="D7" s="7" t="str">
        <f t="shared" si="1"/>
        <v>1204</v>
      </c>
      <c r="E7" s="7" t="str">
        <f t="shared" si="2"/>
        <v>120400</v>
      </c>
      <c r="F7" s="7" t="str">
        <f t="shared" si="3"/>
        <v>120400011</v>
      </c>
      <c r="G7" s="219" t="s">
        <v>35</v>
      </c>
      <c r="H7" s="219" t="s">
        <v>36</v>
      </c>
      <c r="I7" s="219" t="s">
        <v>37</v>
      </c>
      <c r="J7" s="219" t="s">
        <v>38</v>
      </c>
      <c r="K7" s="250" t="s">
        <v>49</v>
      </c>
      <c r="L7" s="250" t="s">
        <v>50</v>
      </c>
      <c r="M7" s="219" t="s">
        <v>51</v>
      </c>
      <c r="N7" s="251" t="s">
        <v>52</v>
      </c>
      <c r="O7" s="13">
        <v>120</v>
      </c>
      <c r="P7" s="13">
        <v>120</v>
      </c>
      <c r="Q7" s="291" t="s">
        <v>53</v>
      </c>
      <c r="R7" s="222" t="s">
        <v>27</v>
      </c>
      <c r="S7" s="292"/>
      <c r="T7" s="292"/>
      <c r="U7" s="293" t="s">
        <v>628</v>
      </c>
      <c r="V7" s="294"/>
      <c r="W7" s="294"/>
      <c r="X7" s="288" t="s">
        <v>629</v>
      </c>
    </row>
    <row r="8" customHeight="1" spans="1:24">
      <c r="A8" s="222"/>
      <c r="B8" s="224" t="s">
        <v>630</v>
      </c>
      <c r="C8" s="7">
        <f t="shared" si="0"/>
        <v>11</v>
      </c>
      <c r="D8" s="7" t="str">
        <f t="shared" si="1"/>
        <v>1204</v>
      </c>
      <c r="E8" s="7" t="str">
        <f t="shared" si="2"/>
        <v>120400</v>
      </c>
      <c r="F8" s="7" t="str">
        <f t="shared" si="3"/>
        <v>120400011</v>
      </c>
      <c r="G8" s="222" t="s">
        <v>35</v>
      </c>
      <c r="H8" s="222" t="s">
        <v>36</v>
      </c>
      <c r="I8" s="222" t="s">
        <v>37</v>
      </c>
      <c r="J8" s="222" t="s">
        <v>38</v>
      </c>
      <c r="K8" s="252" t="s">
        <v>55</v>
      </c>
      <c r="L8" s="252"/>
      <c r="M8" s="222"/>
      <c r="N8" s="222" t="s">
        <v>52</v>
      </c>
      <c r="O8" s="253" t="s">
        <v>631</v>
      </c>
      <c r="P8" s="253" t="s">
        <v>631</v>
      </c>
      <c r="Q8" s="252"/>
      <c r="R8" s="222" t="s">
        <v>27</v>
      </c>
      <c r="S8" s="222"/>
      <c r="T8" s="222"/>
      <c r="U8" s="295"/>
      <c r="V8" s="296"/>
      <c r="W8" s="296"/>
      <c r="X8" s="288"/>
    </row>
    <row r="9" customHeight="1" spans="1:24">
      <c r="A9" s="222" t="s">
        <v>632</v>
      </c>
      <c r="B9" s="224" t="s">
        <v>633</v>
      </c>
      <c r="C9" s="7">
        <f t="shared" si="0"/>
        <v>11</v>
      </c>
      <c r="D9" s="7" t="str">
        <f t="shared" si="1"/>
        <v>1204</v>
      </c>
      <c r="E9" s="7" t="str">
        <f t="shared" si="2"/>
        <v>120400</v>
      </c>
      <c r="F9" s="7" t="str">
        <f t="shared" si="3"/>
        <v>120400011</v>
      </c>
      <c r="G9" s="222" t="s">
        <v>35</v>
      </c>
      <c r="H9" s="222" t="s">
        <v>36</v>
      </c>
      <c r="I9" s="222" t="s">
        <v>37</v>
      </c>
      <c r="J9" s="222" t="s">
        <v>38</v>
      </c>
      <c r="K9" s="252" t="s">
        <v>634</v>
      </c>
      <c r="L9" s="252"/>
      <c r="M9" s="222"/>
      <c r="N9" s="222" t="s">
        <v>52</v>
      </c>
      <c r="O9" s="222" t="s">
        <v>635</v>
      </c>
      <c r="P9" s="222" t="s">
        <v>635</v>
      </c>
      <c r="Q9" s="252" t="s">
        <v>636</v>
      </c>
      <c r="R9" s="222" t="s">
        <v>27</v>
      </c>
      <c r="S9" s="222"/>
      <c r="T9" s="222"/>
      <c r="U9" s="295"/>
      <c r="V9" s="296"/>
      <c r="W9" s="296"/>
      <c r="X9" s="288"/>
    </row>
    <row r="10" customHeight="1" spans="1:24">
      <c r="A10" s="222" t="s">
        <v>56</v>
      </c>
      <c r="B10" s="224" t="s">
        <v>637</v>
      </c>
      <c r="C10" s="7">
        <f t="shared" si="0"/>
        <v>11</v>
      </c>
      <c r="D10" s="7" t="str">
        <f t="shared" si="1"/>
        <v>1204</v>
      </c>
      <c r="E10" s="7" t="str">
        <f t="shared" si="2"/>
        <v>120400</v>
      </c>
      <c r="F10" s="7" t="str">
        <f t="shared" si="3"/>
        <v>120400011</v>
      </c>
      <c r="G10" s="222" t="s">
        <v>35</v>
      </c>
      <c r="H10" s="222" t="s">
        <v>36</v>
      </c>
      <c r="I10" s="222" t="s">
        <v>37</v>
      </c>
      <c r="J10" s="222" t="s">
        <v>38</v>
      </c>
      <c r="K10" s="252" t="s">
        <v>57</v>
      </c>
      <c r="L10" s="252"/>
      <c r="M10" s="222"/>
      <c r="N10" s="222" t="s">
        <v>52</v>
      </c>
      <c r="O10" s="253">
        <f>O7*1.3</f>
        <v>156</v>
      </c>
      <c r="P10" s="253">
        <f>P7*1.3</f>
        <v>156</v>
      </c>
      <c r="Q10" s="252"/>
      <c r="R10" s="222" t="s">
        <v>27</v>
      </c>
      <c r="S10" s="222"/>
      <c r="T10" s="222"/>
      <c r="U10" s="295"/>
      <c r="V10" s="296"/>
      <c r="W10" s="296"/>
      <c r="X10" s="288"/>
    </row>
    <row r="11" s="199" customFormat="1" customHeight="1" spans="1:24">
      <c r="A11" s="219"/>
      <c r="B11" s="225" t="s">
        <v>638</v>
      </c>
      <c r="C11" s="7">
        <f t="shared" si="0"/>
        <v>4</v>
      </c>
      <c r="D11" s="7" t="str">
        <f t="shared" si="1"/>
        <v>2103</v>
      </c>
      <c r="E11" s="7" t="str">
        <f t="shared" si="2"/>
        <v>2103</v>
      </c>
      <c r="F11" s="7" t="str">
        <f t="shared" si="3"/>
        <v>2103</v>
      </c>
      <c r="G11" s="219"/>
      <c r="H11" s="219"/>
      <c r="I11" s="219"/>
      <c r="J11" s="219"/>
      <c r="K11" s="250" t="s">
        <v>58</v>
      </c>
      <c r="L11" s="254" t="s">
        <v>59</v>
      </c>
      <c r="M11" s="219" t="s">
        <v>60</v>
      </c>
      <c r="N11" s="219"/>
      <c r="O11" s="219"/>
      <c r="P11" s="219"/>
      <c r="Q11" s="250" t="s">
        <v>639</v>
      </c>
      <c r="R11" s="219"/>
      <c r="S11" s="228"/>
      <c r="T11" s="281"/>
      <c r="U11" s="297" t="s">
        <v>640</v>
      </c>
      <c r="V11" s="298"/>
      <c r="W11" s="298"/>
      <c r="X11" s="288" t="s">
        <v>641</v>
      </c>
    </row>
    <row r="12" customHeight="1" spans="1:24">
      <c r="A12" s="222" t="s">
        <v>71</v>
      </c>
      <c r="B12" s="223" t="s">
        <v>642</v>
      </c>
      <c r="C12" s="7">
        <f t="shared" si="0"/>
        <v>9</v>
      </c>
      <c r="D12" s="7" t="str">
        <f t="shared" si="1"/>
        <v>2302</v>
      </c>
      <c r="E12" s="7" t="str">
        <f t="shared" si="2"/>
        <v>230200</v>
      </c>
      <c r="F12" s="7" t="str">
        <f t="shared" si="3"/>
        <v>230200026</v>
      </c>
      <c r="G12" s="219" t="s">
        <v>63</v>
      </c>
      <c r="H12" s="219" t="s">
        <v>64</v>
      </c>
      <c r="I12" s="219" t="s">
        <v>65</v>
      </c>
      <c r="J12" s="219" t="s">
        <v>66</v>
      </c>
      <c r="K12" s="250" t="s">
        <v>72</v>
      </c>
      <c r="L12" s="250" t="s">
        <v>73</v>
      </c>
      <c r="M12" s="219"/>
      <c r="N12" s="219" t="s">
        <v>74</v>
      </c>
      <c r="O12" s="255" t="s">
        <v>643</v>
      </c>
      <c r="P12" s="255" t="s">
        <v>644</v>
      </c>
      <c r="Q12" s="250" t="s">
        <v>645</v>
      </c>
      <c r="R12" s="222" t="s">
        <v>27</v>
      </c>
      <c r="S12" s="299">
        <v>0.1</v>
      </c>
      <c r="T12" s="300"/>
      <c r="U12" s="286" t="s">
        <v>640</v>
      </c>
      <c r="V12" s="287"/>
      <c r="W12" s="287"/>
      <c r="X12" s="288" t="s">
        <v>646</v>
      </c>
    </row>
    <row r="13" customHeight="1" spans="1:24">
      <c r="A13" s="220"/>
      <c r="B13" s="226" t="s">
        <v>647</v>
      </c>
      <c r="C13" s="7">
        <f t="shared" si="0"/>
        <v>11</v>
      </c>
      <c r="D13" s="7" t="str">
        <f t="shared" si="1"/>
        <v>2302</v>
      </c>
      <c r="E13" s="7" t="str">
        <f t="shared" si="2"/>
        <v>230200</v>
      </c>
      <c r="F13" s="7" t="str">
        <f t="shared" si="3"/>
        <v>230200026</v>
      </c>
      <c r="G13" s="227" t="s">
        <v>63</v>
      </c>
      <c r="H13" s="227" t="s">
        <v>64</v>
      </c>
      <c r="I13" s="227" t="s">
        <v>65</v>
      </c>
      <c r="J13" s="227" t="s">
        <v>66</v>
      </c>
      <c r="K13" s="256" t="s">
        <v>76</v>
      </c>
      <c r="L13" s="257"/>
      <c r="M13" s="227"/>
      <c r="N13" s="227" t="s">
        <v>52</v>
      </c>
      <c r="O13" s="238" t="s">
        <v>643</v>
      </c>
      <c r="P13" s="238" t="s">
        <v>644</v>
      </c>
      <c r="Q13" s="257"/>
      <c r="R13" s="301" t="s">
        <v>27</v>
      </c>
      <c r="S13" s="302">
        <v>0.1</v>
      </c>
      <c r="T13" s="301"/>
      <c r="U13" s="286"/>
      <c r="V13" s="287"/>
      <c r="W13" s="287"/>
      <c r="X13" s="288"/>
    </row>
    <row r="14" customHeight="1" spans="1:24">
      <c r="A14" s="222"/>
      <c r="B14" s="223" t="s">
        <v>648</v>
      </c>
      <c r="C14" s="7">
        <f t="shared" si="0"/>
        <v>9</v>
      </c>
      <c r="D14" s="7" t="str">
        <f t="shared" si="1"/>
        <v>2303</v>
      </c>
      <c r="E14" s="7" t="str">
        <f t="shared" si="2"/>
        <v>230300</v>
      </c>
      <c r="F14" s="7" t="str">
        <f t="shared" si="3"/>
        <v>230300001</v>
      </c>
      <c r="G14" s="219" t="s">
        <v>63</v>
      </c>
      <c r="H14" s="219" t="s">
        <v>64</v>
      </c>
      <c r="I14" s="219" t="s">
        <v>65</v>
      </c>
      <c r="J14" s="219" t="s">
        <v>66</v>
      </c>
      <c r="K14" s="250" t="s">
        <v>78</v>
      </c>
      <c r="L14" s="250" t="s">
        <v>79</v>
      </c>
      <c r="M14" s="219"/>
      <c r="N14" s="219" t="s">
        <v>52</v>
      </c>
      <c r="O14" s="255" t="s">
        <v>649</v>
      </c>
      <c r="P14" s="255" t="s">
        <v>650</v>
      </c>
      <c r="Q14" s="250" t="s">
        <v>651</v>
      </c>
      <c r="R14" s="222" t="s">
        <v>27</v>
      </c>
      <c r="S14" s="299">
        <v>0.2</v>
      </c>
      <c r="T14" s="300"/>
      <c r="U14" s="286" t="s">
        <v>622</v>
      </c>
      <c r="V14" s="287"/>
      <c r="W14" s="287"/>
      <c r="X14" s="303"/>
    </row>
    <row r="15" s="199" customFormat="1" customHeight="1" spans="1:24">
      <c r="A15" s="228"/>
      <c r="B15" s="223" t="s">
        <v>652</v>
      </c>
      <c r="C15" s="7">
        <f t="shared" si="0"/>
        <v>11</v>
      </c>
      <c r="D15" s="7" t="str">
        <f t="shared" si="1"/>
        <v>2303</v>
      </c>
      <c r="E15" s="7" t="str">
        <f t="shared" si="2"/>
        <v>230300</v>
      </c>
      <c r="F15" s="7" t="str">
        <f t="shared" si="3"/>
        <v>230300001</v>
      </c>
      <c r="G15" s="219" t="s">
        <v>63</v>
      </c>
      <c r="H15" s="219">
        <v>5</v>
      </c>
      <c r="I15" s="219" t="s">
        <v>65</v>
      </c>
      <c r="J15" s="11" t="s">
        <v>66</v>
      </c>
      <c r="K15" s="258" t="s">
        <v>81</v>
      </c>
      <c r="L15" s="259"/>
      <c r="M15" s="11"/>
      <c r="N15" s="11" t="s">
        <v>52</v>
      </c>
      <c r="O15" s="13" t="s">
        <v>649</v>
      </c>
      <c r="P15" s="13" t="s">
        <v>650</v>
      </c>
      <c r="Q15" s="258"/>
      <c r="R15" s="253" t="s">
        <v>27</v>
      </c>
      <c r="S15" s="304">
        <v>0.2</v>
      </c>
      <c r="T15" s="305"/>
      <c r="U15" s="297" t="s">
        <v>653</v>
      </c>
      <c r="V15" s="298"/>
      <c r="W15" s="298"/>
      <c r="X15" s="303"/>
    </row>
    <row r="16" s="200" customFormat="1" customHeight="1" spans="1:24">
      <c r="A16" s="222"/>
      <c r="B16" s="3">
        <v>230400011</v>
      </c>
      <c r="C16" s="7">
        <f t="shared" si="0"/>
        <v>9</v>
      </c>
      <c r="D16" s="7" t="str">
        <f t="shared" si="1"/>
        <v>2304</v>
      </c>
      <c r="E16" s="7" t="str">
        <f t="shared" si="2"/>
        <v>230400</v>
      </c>
      <c r="F16" s="7" t="str">
        <f t="shared" si="3"/>
        <v>230400011</v>
      </c>
      <c r="G16" s="11" t="s">
        <v>63</v>
      </c>
      <c r="H16" s="11" t="s">
        <v>64</v>
      </c>
      <c r="I16" s="11" t="s">
        <v>65</v>
      </c>
      <c r="J16" s="11" t="s">
        <v>66</v>
      </c>
      <c r="K16" s="258" t="s">
        <v>654</v>
      </c>
      <c r="L16" s="258" t="s">
        <v>655</v>
      </c>
      <c r="M16" s="11" t="s">
        <v>84</v>
      </c>
      <c r="N16" s="11" t="s">
        <v>69</v>
      </c>
      <c r="O16" s="11" t="s">
        <v>656</v>
      </c>
      <c r="P16" s="11" t="s">
        <v>657</v>
      </c>
      <c r="Q16" s="258" t="s">
        <v>658</v>
      </c>
      <c r="R16" s="306"/>
      <c r="S16" s="306"/>
      <c r="T16" s="306"/>
      <c r="U16" s="307"/>
      <c r="V16" s="203"/>
      <c r="W16" s="203"/>
      <c r="X16" s="303"/>
    </row>
    <row r="17" s="200" customFormat="1" customHeight="1" spans="1:24">
      <c r="A17" s="222"/>
      <c r="B17" s="3">
        <v>23040001101</v>
      </c>
      <c r="C17" s="7">
        <f t="shared" si="0"/>
        <v>11</v>
      </c>
      <c r="D17" s="7" t="str">
        <f t="shared" si="1"/>
        <v>2304</v>
      </c>
      <c r="E17" s="7" t="str">
        <f t="shared" si="2"/>
        <v>230400</v>
      </c>
      <c r="F17" s="7" t="str">
        <f t="shared" si="3"/>
        <v>230400011</v>
      </c>
      <c r="G17" s="11" t="s">
        <v>63</v>
      </c>
      <c r="H17" s="11" t="s">
        <v>64</v>
      </c>
      <c r="I17" s="11" t="s">
        <v>65</v>
      </c>
      <c r="J17" s="11" t="s">
        <v>66</v>
      </c>
      <c r="K17" s="258" t="s">
        <v>659</v>
      </c>
      <c r="L17" s="258" t="s">
        <v>655</v>
      </c>
      <c r="M17" s="11" t="s">
        <v>84</v>
      </c>
      <c r="N17" s="11" t="s">
        <v>52</v>
      </c>
      <c r="O17" s="11" t="s">
        <v>660</v>
      </c>
      <c r="P17" s="11" t="s">
        <v>661</v>
      </c>
      <c r="Q17" s="258" t="s">
        <v>662</v>
      </c>
      <c r="R17" s="306"/>
      <c r="S17" s="306"/>
      <c r="T17" s="306"/>
      <c r="U17" s="307"/>
      <c r="V17" s="203"/>
      <c r="W17" s="203"/>
      <c r="X17" s="303"/>
    </row>
    <row r="18" s="200" customFormat="1" customHeight="1" spans="1:24">
      <c r="A18" s="222"/>
      <c r="B18" s="3">
        <v>23040001102</v>
      </c>
      <c r="C18" s="7">
        <f t="shared" si="0"/>
        <v>11</v>
      </c>
      <c r="D18" s="7" t="str">
        <f t="shared" si="1"/>
        <v>2304</v>
      </c>
      <c r="E18" s="7" t="str">
        <f t="shared" si="2"/>
        <v>230400</v>
      </c>
      <c r="F18" s="7" t="str">
        <f t="shared" si="3"/>
        <v>230400011</v>
      </c>
      <c r="G18" s="11" t="s">
        <v>63</v>
      </c>
      <c r="H18" s="11" t="s">
        <v>64</v>
      </c>
      <c r="I18" s="11" t="s">
        <v>65</v>
      </c>
      <c r="J18" s="11" t="s">
        <v>66</v>
      </c>
      <c r="K18" s="258" t="s">
        <v>663</v>
      </c>
      <c r="L18" s="258" t="s">
        <v>655</v>
      </c>
      <c r="M18" s="11" t="s">
        <v>84</v>
      </c>
      <c r="N18" s="11" t="s">
        <v>52</v>
      </c>
      <c r="O18" s="11" t="s">
        <v>664</v>
      </c>
      <c r="P18" s="11" t="s">
        <v>665</v>
      </c>
      <c r="Q18" s="258" t="s">
        <v>666</v>
      </c>
      <c r="R18" s="306"/>
      <c r="S18" s="306"/>
      <c r="T18" s="306"/>
      <c r="U18" s="307"/>
      <c r="V18" s="203"/>
      <c r="W18" s="203"/>
      <c r="X18" s="303"/>
    </row>
    <row r="19" s="200" customFormat="1" customHeight="1" spans="1:24">
      <c r="A19" s="229" t="s">
        <v>88</v>
      </c>
      <c r="B19" s="230" t="s">
        <v>667</v>
      </c>
      <c r="C19" s="7">
        <f t="shared" si="0"/>
        <v>9</v>
      </c>
      <c r="D19" s="7" t="str">
        <f t="shared" si="1"/>
        <v>2501</v>
      </c>
      <c r="E19" s="7" t="str">
        <f t="shared" si="2"/>
        <v>250101</v>
      </c>
      <c r="F19" s="7" t="str">
        <f t="shared" si="3"/>
        <v>250101023</v>
      </c>
      <c r="G19" s="230" t="s">
        <v>20</v>
      </c>
      <c r="H19" s="231" t="s">
        <v>21</v>
      </c>
      <c r="I19" s="230" t="s">
        <v>22</v>
      </c>
      <c r="J19" s="231" t="s">
        <v>21</v>
      </c>
      <c r="K19" s="248" t="s">
        <v>89</v>
      </c>
      <c r="L19" s="248" t="s">
        <v>90</v>
      </c>
      <c r="M19" s="260"/>
      <c r="N19" s="230" t="s">
        <v>25</v>
      </c>
      <c r="O19" s="230" t="s">
        <v>668</v>
      </c>
      <c r="P19" s="260">
        <v>27</v>
      </c>
      <c r="Q19" s="261" t="s">
        <v>669</v>
      </c>
      <c r="R19" s="230" t="s">
        <v>27</v>
      </c>
      <c r="S19" s="230"/>
      <c r="T19" s="308"/>
      <c r="U19" s="307"/>
      <c r="V19" s="203"/>
      <c r="W19" s="203"/>
      <c r="X19" s="303"/>
    </row>
    <row r="20" s="200" customFormat="1" customHeight="1" spans="1:24">
      <c r="A20" s="229"/>
      <c r="B20" s="232">
        <v>25010102301</v>
      </c>
      <c r="C20" s="221">
        <f t="shared" si="0"/>
        <v>11</v>
      </c>
      <c r="D20" s="221" t="str">
        <f t="shared" si="1"/>
        <v>2501</v>
      </c>
      <c r="E20" s="7" t="str">
        <f t="shared" si="2"/>
        <v>250101</v>
      </c>
      <c r="F20" s="7" t="str">
        <f t="shared" si="3"/>
        <v>250101023</v>
      </c>
      <c r="G20" s="232" t="s">
        <v>20</v>
      </c>
      <c r="H20" s="233" t="s">
        <v>21</v>
      </c>
      <c r="I20" s="232" t="s">
        <v>22</v>
      </c>
      <c r="J20" s="233" t="s">
        <v>21</v>
      </c>
      <c r="K20" s="261" t="s">
        <v>92</v>
      </c>
      <c r="L20" s="261"/>
      <c r="M20" s="262"/>
      <c r="N20" s="232" t="s">
        <v>52</v>
      </c>
      <c r="O20" s="232">
        <v>10</v>
      </c>
      <c r="P20" s="262">
        <v>9</v>
      </c>
      <c r="Q20" s="261"/>
      <c r="R20" s="232" t="s">
        <v>27</v>
      </c>
      <c r="S20" s="232"/>
      <c r="T20" s="4"/>
      <c r="U20" s="307"/>
      <c r="V20" s="203"/>
      <c r="W20" s="203"/>
      <c r="X20" s="303"/>
    </row>
    <row r="21" s="200" customFormat="1" customHeight="1" spans="1:24">
      <c r="A21" s="229" t="s">
        <v>670</v>
      </c>
      <c r="B21" s="234" t="s">
        <v>671</v>
      </c>
      <c r="C21" s="7">
        <f t="shared" si="0"/>
        <v>9</v>
      </c>
      <c r="D21" s="7" t="str">
        <f t="shared" si="1"/>
        <v>2504</v>
      </c>
      <c r="E21" s="7" t="str">
        <f t="shared" si="2"/>
        <v>250401</v>
      </c>
      <c r="F21" s="7" t="str">
        <f t="shared" si="3"/>
        <v>250401027</v>
      </c>
      <c r="G21" s="219" t="s">
        <v>20</v>
      </c>
      <c r="H21" s="219" t="s">
        <v>21</v>
      </c>
      <c r="I21" s="219" t="s">
        <v>22</v>
      </c>
      <c r="J21" s="219" t="s">
        <v>21</v>
      </c>
      <c r="K21" s="258" t="s">
        <v>95</v>
      </c>
      <c r="L21" s="248" t="s">
        <v>96</v>
      </c>
      <c r="M21" s="263"/>
      <c r="N21" s="219" t="s">
        <v>25</v>
      </c>
      <c r="O21" s="255">
        <v>50</v>
      </c>
      <c r="P21" s="255">
        <v>40</v>
      </c>
      <c r="Q21" s="250" t="s">
        <v>672</v>
      </c>
      <c r="R21" s="300" t="s">
        <v>27</v>
      </c>
      <c r="S21" s="309"/>
      <c r="T21" s="300"/>
      <c r="U21" s="307"/>
      <c r="V21" s="203"/>
      <c r="W21" s="203"/>
      <c r="X21" s="303"/>
    </row>
    <row r="22" s="200" customFormat="1" customHeight="1" spans="1:24">
      <c r="A22" s="229"/>
      <c r="B22" s="234" t="s">
        <v>673</v>
      </c>
      <c r="C22" s="7">
        <f t="shared" si="0"/>
        <v>11</v>
      </c>
      <c r="D22" s="7" t="str">
        <f t="shared" si="1"/>
        <v>2504</v>
      </c>
      <c r="E22" s="7" t="str">
        <f t="shared" si="2"/>
        <v>250401</v>
      </c>
      <c r="F22" s="7" t="str">
        <f t="shared" si="3"/>
        <v>250401027</v>
      </c>
      <c r="G22" s="219" t="s">
        <v>20</v>
      </c>
      <c r="H22" s="219" t="s">
        <v>21</v>
      </c>
      <c r="I22" s="219" t="s">
        <v>22</v>
      </c>
      <c r="J22" s="219" t="s">
        <v>21</v>
      </c>
      <c r="K22" s="264" t="s">
        <v>98</v>
      </c>
      <c r="L22" s="265"/>
      <c r="M22" s="263"/>
      <c r="N22" s="219" t="s">
        <v>25</v>
      </c>
      <c r="O22" s="255">
        <v>50</v>
      </c>
      <c r="P22" s="255">
        <v>40</v>
      </c>
      <c r="Q22" s="310"/>
      <c r="R22" s="300"/>
      <c r="S22" s="309"/>
      <c r="T22" s="300"/>
      <c r="U22" s="307"/>
      <c r="V22" s="203"/>
      <c r="W22" s="203"/>
      <c r="X22" s="303"/>
    </row>
    <row r="23" s="200" customFormat="1" customHeight="1" spans="1:24">
      <c r="A23" s="229" t="s">
        <v>99</v>
      </c>
      <c r="B23" s="234" t="s">
        <v>674</v>
      </c>
      <c r="C23" s="7">
        <f t="shared" si="0"/>
        <v>9</v>
      </c>
      <c r="D23" s="7" t="str">
        <f t="shared" si="1"/>
        <v>2504</v>
      </c>
      <c r="E23" s="7" t="str">
        <f t="shared" si="2"/>
        <v>250402</v>
      </c>
      <c r="F23" s="7" t="str">
        <f t="shared" si="3"/>
        <v>250402003</v>
      </c>
      <c r="G23" s="219" t="s">
        <v>20</v>
      </c>
      <c r="H23" s="219" t="s">
        <v>21</v>
      </c>
      <c r="I23" s="219" t="s">
        <v>22</v>
      </c>
      <c r="J23" s="219" t="s">
        <v>21</v>
      </c>
      <c r="K23" s="250" t="s">
        <v>100</v>
      </c>
      <c r="L23" s="250" t="s">
        <v>675</v>
      </c>
      <c r="M23" s="219"/>
      <c r="N23" s="219" t="s">
        <v>25</v>
      </c>
      <c r="O23" s="255" t="s">
        <v>676</v>
      </c>
      <c r="P23" s="255" t="s">
        <v>677</v>
      </c>
      <c r="Q23" s="258" t="s">
        <v>678</v>
      </c>
      <c r="R23" s="230" t="s">
        <v>27</v>
      </c>
      <c r="S23" s="292"/>
      <c r="T23" s="292"/>
      <c r="U23" s="307"/>
      <c r="V23" s="203"/>
      <c r="W23" s="203"/>
      <c r="X23" s="303"/>
    </row>
    <row r="24" s="200" customFormat="1" customHeight="1" spans="1:24">
      <c r="A24" s="229"/>
      <c r="B24" s="2" t="s">
        <v>679</v>
      </c>
      <c r="C24" s="221">
        <f t="shared" si="0"/>
        <v>11</v>
      </c>
      <c r="D24" s="221" t="str">
        <f t="shared" si="1"/>
        <v>2504</v>
      </c>
      <c r="E24" s="221" t="str">
        <f t="shared" si="2"/>
        <v>250402</v>
      </c>
      <c r="F24" s="7" t="str">
        <f t="shared" si="3"/>
        <v>250402003</v>
      </c>
      <c r="G24" s="11" t="s">
        <v>20</v>
      </c>
      <c r="H24" s="11" t="s">
        <v>21</v>
      </c>
      <c r="I24" s="11" t="s">
        <v>22</v>
      </c>
      <c r="J24" s="11" t="s">
        <v>21</v>
      </c>
      <c r="K24" s="258" t="s">
        <v>680</v>
      </c>
      <c r="L24" s="258"/>
      <c r="M24" s="11"/>
      <c r="N24" s="11" t="s">
        <v>25</v>
      </c>
      <c r="O24" s="13">
        <v>168</v>
      </c>
      <c r="P24" s="13">
        <v>151</v>
      </c>
      <c r="Q24" s="258" t="s">
        <v>681</v>
      </c>
      <c r="R24" s="232" t="s">
        <v>27</v>
      </c>
      <c r="S24" s="292"/>
      <c r="T24" s="292"/>
      <c r="U24" s="307"/>
      <c r="V24" s="203"/>
      <c r="W24" s="203"/>
      <c r="X24" s="303"/>
    </row>
    <row r="25" s="200" customFormat="1" customHeight="1" spans="1:24">
      <c r="A25" s="229"/>
      <c r="B25" s="2" t="s">
        <v>682</v>
      </c>
      <c r="C25" s="221">
        <f t="shared" si="0"/>
        <v>11</v>
      </c>
      <c r="D25" s="221" t="str">
        <f t="shared" si="1"/>
        <v>2504</v>
      </c>
      <c r="E25" s="221" t="str">
        <f t="shared" si="2"/>
        <v>250402</v>
      </c>
      <c r="F25" s="7" t="str">
        <f t="shared" si="3"/>
        <v>250402003</v>
      </c>
      <c r="G25" s="11" t="s">
        <v>20</v>
      </c>
      <c r="H25" s="11" t="s">
        <v>21</v>
      </c>
      <c r="I25" s="11" t="s">
        <v>22</v>
      </c>
      <c r="J25" s="11" t="s">
        <v>21</v>
      </c>
      <c r="K25" s="258" t="s">
        <v>105</v>
      </c>
      <c r="L25" s="258"/>
      <c r="M25" s="11"/>
      <c r="N25" s="11" t="s">
        <v>25</v>
      </c>
      <c r="O25" s="13">
        <v>200</v>
      </c>
      <c r="P25" s="13">
        <v>180</v>
      </c>
      <c r="Q25" s="258" t="s">
        <v>106</v>
      </c>
      <c r="R25" s="232" t="s">
        <v>27</v>
      </c>
      <c r="S25" s="292"/>
      <c r="T25" s="292"/>
      <c r="U25" s="307"/>
      <c r="V25" s="203"/>
      <c r="W25" s="203"/>
      <c r="X25" s="303"/>
    </row>
    <row r="26" s="200" customFormat="1" customHeight="1" spans="1:24">
      <c r="A26" s="229"/>
      <c r="B26" s="235" t="s">
        <v>683</v>
      </c>
      <c r="C26" s="7">
        <f t="shared" si="0"/>
        <v>9</v>
      </c>
      <c r="D26" s="7" t="str">
        <f t="shared" si="1"/>
        <v>2504</v>
      </c>
      <c r="E26" s="7" t="str">
        <f t="shared" si="2"/>
        <v>250403</v>
      </c>
      <c r="F26" s="7" t="str">
        <f t="shared" si="3"/>
        <v>250403003</v>
      </c>
      <c r="G26" s="219" t="s">
        <v>20</v>
      </c>
      <c r="H26" s="219" t="s">
        <v>21</v>
      </c>
      <c r="I26" s="219" t="s">
        <v>22</v>
      </c>
      <c r="J26" s="219" t="s">
        <v>21</v>
      </c>
      <c r="K26" s="258" t="s">
        <v>112</v>
      </c>
      <c r="L26" s="248" t="s">
        <v>113</v>
      </c>
      <c r="M26" s="219"/>
      <c r="N26" s="255" t="s">
        <v>52</v>
      </c>
      <c r="O26" s="255">
        <v>150</v>
      </c>
      <c r="P26" s="255">
        <v>120</v>
      </c>
      <c r="Q26" s="311" t="s">
        <v>684</v>
      </c>
      <c r="R26" s="230" t="s">
        <v>27</v>
      </c>
      <c r="S26" s="230"/>
      <c r="T26" s="230"/>
      <c r="U26" s="307"/>
      <c r="V26" s="203"/>
      <c r="W26" s="203"/>
      <c r="X26" s="303"/>
    </row>
    <row r="27" s="200" customFormat="1" customHeight="1" spans="1:24">
      <c r="A27" s="229"/>
      <c r="B27" s="235" t="s">
        <v>685</v>
      </c>
      <c r="C27" s="7">
        <f t="shared" si="0"/>
        <v>9</v>
      </c>
      <c r="D27" s="7" t="str">
        <f t="shared" si="1"/>
        <v>2504</v>
      </c>
      <c r="E27" s="7" t="str">
        <f t="shared" si="2"/>
        <v>250403</v>
      </c>
      <c r="F27" s="7" t="str">
        <f t="shared" si="3"/>
        <v>250403032</v>
      </c>
      <c r="G27" s="219" t="s">
        <v>20</v>
      </c>
      <c r="H27" s="219" t="s">
        <v>21</v>
      </c>
      <c r="I27" s="219" t="s">
        <v>22</v>
      </c>
      <c r="J27" s="219" t="s">
        <v>21</v>
      </c>
      <c r="K27" s="258" t="s">
        <v>120</v>
      </c>
      <c r="L27" s="248" t="s">
        <v>686</v>
      </c>
      <c r="M27" s="219"/>
      <c r="N27" s="219" t="s">
        <v>687</v>
      </c>
      <c r="O27" s="260">
        <v>30</v>
      </c>
      <c r="P27" s="255">
        <v>27</v>
      </c>
      <c r="Q27" s="312"/>
      <c r="R27" s="308" t="s">
        <v>27</v>
      </c>
      <c r="S27" s="308"/>
      <c r="T27" s="308"/>
      <c r="U27" s="307"/>
      <c r="V27" s="203"/>
      <c r="W27" s="203"/>
      <c r="X27" s="303"/>
    </row>
    <row r="28" s="200" customFormat="1" customHeight="1" spans="1:24">
      <c r="A28" s="229"/>
      <c r="B28" s="235" t="s">
        <v>688</v>
      </c>
      <c r="C28" s="7">
        <f t="shared" si="0"/>
        <v>9</v>
      </c>
      <c r="D28" s="7" t="str">
        <f t="shared" si="1"/>
        <v>2504</v>
      </c>
      <c r="E28" s="7" t="str">
        <f t="shared" si="2"/>
        <v>250403</v>
      </c>
      <c r="F28" s="7" t="str">
        <f t="shared" si="3"/>
        <v>250403035</v>
      </c>
      <c r="G28" s="219" t="s">
        <v>20</v>
      </c>
      <c r="H28" s="219" t="s">
        <v>21</v>
      </c>
      <c r="I28" s="219" t="s">
        <v>22</v>
      </c>
      <c r="J28" s="219" t="s">
        <v>21</v>
      </c>
      <c r="K28" s="258" t="s">
        <v>122</v>
      </c>
      <c r="L28" s="250" t="s">
        <v>689</v>
      </c>
      <c r="M28" s="219"/>
      <c r="N28" s="219" t="s">
        <v>25</v>
      </c>
      <c r="O28" s="13">
        <v>35</v>
      </c>
      <c r="P28" s="13">
        <v>32</v>
      </c>
      <c r="Q28" s="250" t="s">
        <v>690</v>
      </c>
      <c r="R28" s="230" t="s">
        <v>27</v>
      </c>
      <c r="S28" s="292"/>
      <c r="T28" s="292"/>
      <c r="U28" s="307"/>
      <c r="V28" s="203"/>
      <c r="W28" s="203"/>
      <c r="X28" s="303"/>
    </row>
    <row r="29" s="200" customFormat="1" customHeight="1" spans="1:24">
      <c r="A29" s="229"/>
      <c r="B29" s="235" t="s">
        <v>691</v>
      </c>
      <c r="C29" s="7">
        <f t="shared" si="0"/>
        <v>9</v>
      </c>
      <c r="D29" s="7" t="str">
        <f t="shared" si="1"/>
        <v>2504</v>
      </c>
      <c r="E29" s="7" t="str">
        <f t="shared" si="2"/>
        <v>250403</v>
      </c>
      <c r="F29" s="7" t="str">
        <f t="shared" si="3"/>
        <v>250403065</v>
      </c>
      <c r="G29" s="219" t="s">
        <v>20</v>
      </c>
      <c r="H29" s="219" t="s">
        <v>21</v>
      </c>
      <c r="I29" s="219" t="s">
        <v>22</v>
      </c>
      <c r="J29" s="219" t="s">
        <v>21</v>
      </c>
      <c r="K29" s="250" t="s">
        <v>692</v>
      </c>
      <c r="L29" s="250" t="s">
        <v>125</v>
      </c>
      <c r="M29" s="219"/>
      <c r="N29" s="219" t="s">
        <v>25</v>
      </c>
      <c r="O29" s="255" t="s">
        <v>693</v>
      </c>
      <c r="P29" s="255" t="s">
        <v>694</v>
      </c>
      <c r="Q29" s="250" t="s">
        <v>126</v>
      </c>
      <c r="R29" s="300"/>
      <c r="S29" s="309"/>
      <c r="T29" s="300"/>
      <c r="U29" s="307"/>
      <c r="V29" s="203"/>
      <c r="W29" s="203"/>
      <c r="X29" s="303"/>
    </row>
    <row r="30" s="200" customFormat="1" customHeight="1" spans="1:24">
      <c r="A30" s="229"/>
      <c r="B30" s="235" t="s">
        <v>695</v>
      </c>
      <c r="C30" s="7">
        <f t="shared" si="0"/>
        <v>11</v>
      </c>
      <c r="D30" s="7" t="str">
        <f t="shared" si="1"/>
        <v>2504</v>
      </c>
      <c r="E30" s="7" t="str">
        <f t="shared" si="2"/>
        <v>250403</v>
      </c>
      <c r="F30" s="7" t="str">
        <f t="shared" si="3"/>
        <v>250403065</v>
      </c>
      <c r="G30" s="219" t="s">
        <v>20</v>
      </c>
      <c r="H30" s="219" t="s">
        <v>21</v>
      </c>
      <c r="I30" s="219" t="s">
        <v>22</v>
      </c>
      <c r="J30" s="219" t="s">
        <v>21</v>
      </c>
      <c r="K30" s="250" t="s">
        <v>696</v>
      </c>
      <c r="L30" s="250"/>
      <c r="M30" s="219"/>
      <c r="N30" s="219" t="s">
        <v>25</v>
      </c>
      <c r="O30" s="255" t="s">
        <v>697</v>
      </c>
      <c r="P30" s="255" t="s">
        <v>697</v>
      </c>
      <c r="Q30" s="250"/>
      <c r="R30" s="300"/>
      <c r="S30" s="300"/>
      <c r="T30" s="300"/>
      <c r="U30" s="307"/>
      <c r="V30" s="203"/>
      <c r="W30" s="203"/>
      <c r="X30" s="303"/>
    </row>
    <row r="31" s="200" customFormat="1" customHeight="1" spans="1:24">
      <c r="A31" s="236" t="s">
        <v>698</v>
      </c>
      <c r="B31" s="234" t="s">
        <v>699</v>
      </c>
      <c r="C31" s="7">
        <f t="shared" si="0"/>
        <v>9</v>
      </c>
      <c r="D31" s="7" t="str">
        <f t="shared" si="1"/>
        <v>2504</v>
      </c>
      <c r="E31" s="7" t="str">
        <f t="shared" si="2"/>
        <v>250403</v>
      </c>
      <c r="F31" s="7" t="str">
        <f t="shared" si="3"/>
        <v>250403068</v>
      </c>
      <c r="G31" s="219" t="s">
        <v>20</v>
      </c>
      <c r="H31" s="219" t="s">
        <v>21</v>
      </c>
      <c r="I31" s="219" t="s">
        <v>22</v>
      </c>
      <c r="J31" s="219" t="s">
        <v>21</v>
      </c>
      <c r="K31" s="250" t="s">
        <v>700</v>
      </c>
      <c r="L31" s="250"/>
      <c r="M31" s="219"/>
      <c r="N31" s="219" t="s">
        <v>25</v>
      </c>
      <c r="O31" s="255">
        <v>65</v>
      </c>
      <c r="P31" s="255">
        <v>59</v>
      </c>
      <c r="Q31" s="258" t="s">
        <v>701</v>
      </c>
      <c r="R31" s="313" t="s">
        <v>27</v>
      </c>
      <c r="S31" s="309"/>
      <c r="T31" s="300"/>
      <c r="U31" s="307"/>
      <c r="V31" s="203"/>
      <c r="W31" s="203"/>
      <c r="X31" s="303"/>
    </row>
    <row r="32" s="200" customFormat="1" customHeight="1" spans="1:24">
      <c r="A32" s="229"/>
      <c r="B32" s="235" t="s">
        <v>702</v>
      </c>
      <c r="C32" s="7">
        <f t="shared" si="0"/>
        <v>11</v>
      </c>
      <c r="D32" s="7" t="str">
        <f t="shared" si="1"/>
        <v>2504</v>
      </c>
      <c r="E32" s="7" t="str">
        <f t="shared" si="2"/>
        <v>250403</v>
      </c>
      <c r="F32" s="7" t="str">
        <f t="shared" si="3"/>
        <v>250403068</v>
      </c>
      <c r="G32" s="219" t="s">
        <v>20</v>
      </c>
      <c r="H32" s="219" t="s">
        <v>21</v>
      </c>
      <c r="I32" s="219" t="s">
        <v>22</v>
      </c>
      <c r="J32" s="219" t="s">
        <v>21</v>
      </c>
      <c r="K32" s="266" t="s">
        <v>110</v>
      </c>
      <c r="L32" s="248" t="s">
        <v>703</v>
      </c>
      <c r="M32" s="219"/>
      <c r="N32" s="219" t="s">
        <v>25</v>
      </c>
      <c r="O32" s="255">
        <v>140</v>
      </c>
      <c r="P32" s="255">
        <v>126</v>
      </c>
      <c r="Q32" s="314"/>
      <c r="R32" s="230" t="s">
        <v>27</v>
      </c>
      <c r="S32" s="309"/>
      <c r="T32" s="300"/>
      <c r="U32" s="307"/>
      <c r="V32" s="203"/>
      <c r="W32" s="203"/>
      <c r="X32" s="303"/>
    </row>
    <row r="33" s="200" customFormat="1" customHeight="1" spans="1:24">
      <c r="A33" s="229"/>
      <c r="B33" s="235" t="s">
        <v>704</v>
      </c>
      <c r="C33" s="7">
        <f t="shared" si="0"/>
        <v>9</v>
      </c>
      <c r="D33" s="7" t="str">
        <f t="shared" si="1"/>
        <v>2504</v>
      </c>
      <c r="E33" s="7" t="str">
        <f t="shared" si="2"/>
        <v>250403</v>
      </c>
      <c r="F33" s="7" t="str">
        <f t="shared" si="3"/>
        <v>250403085</v>
      </c>
      <c r="G33" s="219" t="s">
        <v>20</v>
      </c>
      <c r="H33" s="219" t="s">
        <v>21</v>
      </c>
      <c r="I33" s="219" t="s">
        <v>22</v>
      </c>
      <c r="J33" s="219" t="s">
        <v>21</v>
      </c>
      <c r="K33" s="258" t="s">
        <v>118</v>
      </c>
      <c r="L33" s="248" t="s">
        <v>686</v>
      </c>
      <c r="M33" s="219"/>
      <c r="N33" s="219" t="s">
        <v>687</v>
      </c>
      <c r="O33" s="260">
        <v>30</v>
      </c>
      <c r="P33" s="255">
        <v>27</v>
      </c>
      <c r="Q33" s="312" t="s">
        <v>705</v>
      </c>
      <c r="R33" s="300" t="s">
        <v>27</v>
      </c>
      <c r="S33" s="300"/>
      <c r="T33" s="300"/>
      <c r="U33" s="307"/>
      <c r="V33" s="203"/>
      <c r="W33" s="203"/>
      <c r="X33" s="315" t="s">
        <v>706</v>
      </c>
    </row>
    <row r="34" s="200" customFormat="1" customHeight="1" spans="1:24">
      <c r="A34" s="236" t="s">
        <v>128</v>
      </c>
      <c r="B34" s="237" t="s">
        <v>707</v>
      </c>
      <c r="C34" s="7">
        <f t="shared" si="0"/>
        <v>9</v>
      </c>
      <c r="D34" s="7" t="str">
        <f t="shared" si="1"/>
        <v>2504</v>
      </c>
      <c r="E34" s="7" t="str">
        <f t="shared" si="2"/>
        <v>250404</v>
      </c>
      <c r="F34" s="7" t="str">
        <f t="shared" si="3"/>
        <v>250404010</v>
      </c>
      <c r="G34" s="219" t="s">
        <v>20</v>
      </c>
      <c r="H34" s="219" t="s">
        <v>21</v>
      </c>
      <c r="I34" s="219" t="s">
        <v>22</v>
      </c>
      <c r="J34" s="239" t="s">
        <v>21</v>
      </c>
      <c r="K34" s="250" t="s">
        <v>129</v>
      </c>
      <c r="L34" s="258" t="s">
        <v>708</v>
      </c>
      <c r="M34" s="267"/>
      <c r="N34" s="239" t="s">
        <v>25</v>
      </c>
      <c r="O34" s="268">
        <v>50</v>
      </c>
      <c r="P34" s="268">
        <v>45</v>
      </c>
      <c r="Q34" s="248" t="s">
        <v>709</v>
      </c>
      <c r="R34" s="313" t="s">
        <v>27</v>
      </c>
      <c r="S34" s="316">
        <v>0.1</v>
      </c>
      <c r="T34" s="230"/>
      <c r="U34" s="307"/>
      <c r="V34" s="203"/>
      <c r="W34" s="203"/>
      <c r="X34" s="303"/>
    </row>
    <row r="35" s="200" customFormat="1" customHeight="1" spans="1:24">
      <c r="A35" s="236"/>
      <c r="B35" s="238" t="s">
        <v>710</v>
      </c>
      <c r="C35" s="221">
        <f t="shared" si="0"/>
        <v>11</v>
      </c>
      <c r="D35" s="221" t="str">
        <f t="shared" si="1"/>
        <v>2504</v>
      </c>
      <c r="E35" s="221" t="str">
        <f t="shared" si="2"/>
        <v>250404</v>
      </c>
      <c r="F35" s="7" t="str">
        <f t="shared" si="3"/>
        <v>250404010</v>
      </c>
      <c r="G35" s="227" t="s">
        <v>20</v>
      </c>
      <c r="H35" s="227" t="s">
        <v>21</v>
      </c>
      <c r="I35" s="227" t="s">
        <v>22</v>
      </c>
      <c r="J35" s="227" t="s">
        <v>21</v>
      </c>
      <c r="K35" s="258" t="s">
        <v>132</v>
      </c>
      <c r="L35" s="257"/>
      <c r="M35" s="227"/>
      <c r="N35" s="227" t="s">
        <v>25</v>
      </c>
      <c r="O35" s="238" t="s">
        <v>693</v>
      </c>
      <c r="P35" s="238" t="s">
        <v>694</v>
      </c>
      <c r="Q35" s="257"/>
      <c r="R35" s="301" t="s">
        <v>27</v>
      </c>
      <c r="S35" s="302">
        <v>0.1</v>
      </c>
      <c r="T35" s="317"/>
      <c r="U35" s="318"/>
      <c r="V35" s="319"/>
      <c r="W35" s="320"/>
      <c r="X35" s="230"/>
    </row>
    <row r="36" s="200" customFormat="1" customHeight="1" spans="1:24">
      <c r="A36" s="236"/>
      <c r="B36" s="238" t="s">
        <v>711</v>
      </c>
      <c r="C36" s="221">
        <f t="shared" si="0"/>
        <v>11</v>
      </c>
      <c r="D36" s="221" t="str">
        <f t="shared" si="1"/>
        <v>2504</v>
      </c>
      <c r="E36" s="221" t="str">
        <f t="shared" si="2"/>
        <v>250404</v>
      </c>
      <c r="F36" s="7" t="str">
        <f t="shared" si="3"/>
        <v>250404010</v>
      </c>
      <c r="G36" s="227" t="s">
        <v>20</v>
      </c>
      <c r="H36" s="227" t="s">
        <v>21</v>
      </c>
      <c r="I36" s="227" t="s">
        <v>22</v>
      </c>
      <c r="J36" s="227" t="s">
        <v>21</v>
      </c>
      <c r="K36" s="258" t="s">
        <v>712</v>
      </c>
      <c r="L36" s="257"/>
      <c r="M36" s="227"/>
      <c r="N36" s="227" t="s">
        <v>25</v>
      </c>
      <c r="O36" s="238" t="s">
        <v>713</v>
      </c>
      <c r="P36" s="238" t="s">
        <v>714</v>
      </c>
      <c r="Q36" s="257"/>
      <c r="R36" s="301" t="s">
        <v>27</v>
      </c>
      <c r="S36" s="302">
        <v>0.1</v>
      </c>
      <c r="T36" s="317"/>
      <c r="U36" s="318"/>
      <c r="V36" s="319"/>
      <c r="W36" s="320"/>
      <c r="X36" s="230"/>
    </row>
    <row r="37" s="200" customFormat="1" customHeight="1" spans="1:24">
      <c r="A37" s="236" t="s">
        <v>715</v>
      </c>
      <c r="B37" s="237" t="s">
        <v>716</v>
      </c>
      <c r="C37" s="7">
        <f t="shared" si="0"/>
        <v>9</v>
      </c>
      <c r="D37" s="7" t="str">
        <f t="shared" si="1"/>
        <v>2507</v>
      </c>
      <c r="E37" s="7" t="str">
        <f t="shared" si="2"/>
        <v>250700</v>
      </c>
      <c r="F37" s="7" t="str">
        <f t="shared" si="3"/>
        <v>250700015</v>
      </c>
      <c r="G37" s="239" t="s">
        <v>20</v>
      </c>
      <c r="H37" s="239" t="s">
        <v>21</v>
      </c>
      <c r="I37" s="239" t="s">
        <v>22</v>
      </c>
      <c r="J37" s="239" t="s">
        <v>21</v>
      </c>
      <c r="K37" s="250" t="s">
        <v>145</v>
      </c>
      <c r="L37" s="269"/>
      <c r="M37" s="267"/>
      <c r="N37" s="239" t="s">
        <v>25</v>
      </c>
      <c r="O37" s="268">
        <v>60</v>
      </c>
      <c r="P37" s="268">
        <v>54</v>
      </c>
      <c r="Q37" s="321" t="s">
        <v>717</v>
      </c>
      <c r="R37" s="267"/>
      <c r="S37" s="267"/>
      <c r="T37" s="267"/>
      <c r="U37" s="318"/>
      <c r="V37" s="319"/>
      <c r="W37" s="320"/>
      <c r="X37" s="230"/>
    </row>
    <row r="38" s="200" customFormat="1" customHeight="1" spans="1:24">
      <c r="A38" s="236"/>
      <c r="B38" s="238" t="s">
        <v>718</v>
      </c>
      <c r="C38" s="7">
        <f t="shared" si="0"/>
        <v>11</v>
      </c>
      <c r="D38" s="7" t="str">
        <f t="shared" si="1"/>
        <v>2507</v>
      </c>
      <c r="E38" s="7" t="str">
        <f t="shared" si="2"/>
        <v>250700</v>
      </c>
      <c r="F38" s="7" t="str">
        <f t="shared" si="3"/>
        <v>250700015</v>
      </c>
      <c r="G38" s="227" t="s">
        <v>20</v>
      </c>
      <c r="H38" s="227" t="s">
        <v>21</v>
      </c>
      <c r="I38" s="227" t="s">
        <v>22</v>
      </c>
      <c r="J38" s="227" t="s">
        <v>21</v>
      </c>
      <c r="K38" s="257" t="s">
        <v>719</v>
      </c>
      <c r="L38" s="269" t="s">
        <v>720</v>
      </c>
      <c r="M38" s="270"/>
      <c r="N38" s="245" t="s">
        <v>52</v>
      </c>
      <c r="O38" s="271">
        <v>300</v>
      </c>
      <c r="P38" s="272">
        <v>270</v>
      </c>
      <c r="Q38" s="322"/>
      <c r="R38" s="270"/>
      <c r="S38" s="270"/>
      <c r="T38" s="270"/>
      <c r="U38" s="318"/>
      <c r="V38" s="319"/>
      <c r="W38" s="320"/>
      <c r="X38" s="230"/>
    </row>
    <row r="39" s="200" customFormat="1" customHeight="1" spans="1:24">
      <c r="A39" s="229" t="s">
        <v>150</v>
      </c>
      <c r="B39" s="234" t="s">
        <v>721</v>
      </c>
      <c r="C39" s="7">
        <f t="shared" si="0"/>
        <v>9</v>
      </c>
      <c r="D39" s="7" t="str">
        <f t="shared" si="1"/>
        <v>2705</v>
      </c>
      <c r="E39" s="7" t="str">
        <f t="shared" si="2"/>
        <v>270500</v>
      </c>
      <c r="F39" s="7" t="str">
        <f t="shared" si="3"/>
        <v>270500002</v>
      </c>
      <c r="G39" s="219" t="s">
        <v>63</v>
      </c>
      <c r="H39" s="219" t="s">
        <v>64</v>
      </c>
      <c r="I39" s="219" t="s">
        <v>151</v>
      </c>
      <c r="J39" s="219" t="s">
        <v>64</v>
      </c>
      <c r="K39" s="250" t="s">
        <v>152</v>
      </c>
      <c r="L39" s="250" t="s">
        <v>153</v>
      </c>
      <c r="M39" s="219" t="s">
        <v>125</v>
      </c>
      <c r="N39" s="219" t="s">
        <v>154</v>
      </c>
      <c r="O39" s="255" t="s">
        <v>626</v>
      </c>
      <c r="P39" s="255" t="s">
        <v>722</v>
      </c>
      <c r="Q39" s="261" t="s">
        <v>723</v>
      </c>
      <c r="R39" s="230" t="s">
        <v>27</v>
      </c>
      <c r="S39" s="308"/>
      <c r="T39" s="308"/>
      <c r="U39" s="307"/>
      <c r="V39" s="203"/>
      <c r="W39" s="203"/>
      <c r="X39" s="303"/>
    </row>
    <row r="40" s="200" customFormat="1" customHeight="1" spans="1:24">
      <c r="A40" s="229" t="s">
        <v>724</v>
      </c>
      <c r="B40" s="234" t="s">
        <v>725</v>
      </c>
      <c r="C40" s="7">
        <f t="shared" si="0"/>
        <v>11</v>
      </c>
      <c r="D40" s="7" t="str">
        <f t="shared" si="1"/>
        <v>2705</v>
      </c>
      <c r="E40" s="7" t="str">
        <f t="shared" si="2"/>
        <v>270500</v>
      </c>
      <c r="F40" s="7" t="str">
        <f t="shared" si="3"/>
        <v>270500002</v>
      </c>
      <c r="G40" s="219" t="s">
        <v>63</v>
      </c>
      <c r="H40" s="219" t="s">
        <v>64</v>
      </c>
      <c r="I40" s="219" t="s">
        <v>151</v>
      </c>
      <c r="J40" s="219" t="s">
        <v>64</v>
      </c>
      <c r="K40" s="261" t="s">
        <v>726</v>
      </c>
      <c r="L40" s="261" t="s">
        <v>153</v>
      </c>
      <c r="M40" s="230"/>
      <c r="N40" s="219" t="s">
        <v>52</v>
      </c>
      <c r="O40" s="11">
        <v>640</v>
      </c>
      <c r="P40" s="232">
        <v>576</v>
      </c>
      <c r="Q40" s="248"/>
      <c r="R40" s="230" t="s">
        <v>27</v>
      </c>
      <c r="S40" s="230"/>
      <c r="T40" s="230"/>
      <c r="U40" s="307"/>
      <c r="V40" s="203"/>
      <c r="W40" s="203"/>
      <c r="X40" s="303"/>
    </row>
    <row r="41" s="200" customFormat="1" customHeight="1" spans="1:24">
      <c r="A41" s="229" t="s">
        <v>158</v>
      </c>
      <c r="B41" s="234" t="s">
        <v>727</v>
      </c>
      <c r="C41" s="7">
        <f t="shared" si="0"/>
        <v>9</v>
      </c>
      <c r="D41" s="7" t="str">
        <f t="shared" si="1"/>
        <v>2707</v>
      </c>
      <c r="E41" s="7" t="str">
        <f t="shared" si="2"/>
        <v>270700</v>
      </c>
      <c r="F41" s="7" t="str">
        <f t="shared" si="3"/>
        <v>270700003</v>
      </c>
      <c r="G41" s="219" t="s">
        <v>63</v>
      </c>
      <c r="H41" s="219" t="s">
        <v>64</v>
      </c>
      <c r="I41" s="219" t="s">
        <v>151</v>
      </c>
      <c r="J41" s="219" t="s">
        <v>64</v>
      </c>
      <c r="K41" s="258" t="s">
        <v>728</v>
      </c>
      <c r="L41" s="273" t="s">
        <v>729</v>
      </c>
      <c r="M41" s="219"/>
      <c r="N41" s="11" t="s">
        <v>25</v>
      </c>
      <c r="O41" s="13">
        <v>350</v>
      </c>
      <c r="P41" s="11">
        <f>O41*0.9</f>
        <v>315</v>
      </c>
      <c r="Q41" s="258" t="s">
        <v>730</v>
      </c>
      <c r="R41" s="230"/>
      <c r="S41" s="230"/>
      <c r="T41" s="230"/>
      <c r="U41" s="307"/>
      <c r="V41" s="203"/>
      <c r="W41" s="203"/>
      <c r="X41" s="303"/>
    </row>
    <row r="42" s="200" customFormat="1" customHeight="1" spans="1:24">
      <c r="A42" s="229"/>
      <c r="B42" s="234" t="s">
        <v>731</v>
      </c>
      <c r="C42" s="7">
        <f t="shared" si="0"/>
        <v>11</v>
      </c>
      <c r="D42" s="7" t="str">
        <f t="shared" si="1"/>
        <v>2707</v>
      </c>
      <c r="E42" s="7" t="str">
        <f t="shared" si="2"/>
        <v>270700</v>
      </c>
      <c r="F42" s="7" t="str">
        <f t="shared" si="3"/>
        <v>270700003</v>
      </c>
      <c r="G42" s="219" t="s">
        <v>63</v>
      </c>
      <c r="H42" s="219" t="s">
        <v>64</v>
      </c>
      <c r="I42" s="219" t="s">
        <v>151</v>
      </c>
      <c r="J42" s="219" t="s">
        <v>64</v>
      </c>
      <c r="K42" s="258" t="s">
        <v>732</v>
      </c>
      <c r="L42" s="273"/>
      <c r="M42" s="219"/>
      <c r="N42" s="11" t="s">
        <v>52</v>
      </c>
      <c r="O42" s="13">
        <v>1800</v>
      </c>
      <c r="P42" s="11">
        <f>O42*0.9</f>
        <v>1620</v>
      </c>
      <c r="Q42" s="250"/>
      <c r="R42" s="230"/>
      <c r="S42" s="230"/>
      <c r="T42" s="230"/>
      <c r="U42" s="307"/>
      <c r="V42" s="203"/>
      <c r="W42" s="203"/>
      <c r="X42" s="303"/>
    </row>
    <row r="43" s="200" customFormat="1" customHeight="1" spans="1:24">
      <c r="A43" s="229" t="s">
        <v>180</v>
      </c>
      <c r="B43" s="234" t="s">
        <v>733</v>
      </c>
      <c r="C43" s="7">
        <f t="shared" si="0"/>
        <v>9</v>
      </c>
      <c r="D43" s="7" t="str">
        <f t="shared" si="1"/>
        <v>2707</v>
      </c>
      <c r="E43" s="7" t="str">
        <f t="shared" si="2"/>
        <v>270700</v>
      </c>
      <c r="F43" s="7" t="str">
        <f t="shared" si="3"/>
        <v>270700007</v>
      </c>
      <c r="G43" s="240" t="s">
        <v>63</v>
      </c>
      <c r="H43" s="241" t="s">
        <v>64</v>
      </c>
      <c r="I43" s="240" t="s">
        <v>151</v>
      </c>
      <c r="J43" s="241" t="s">
        <v>64</v>
      </c>
      <c r="K43" s="274" t="s">
        <v>181</v>
      </c>
      <c r="L43" s="250" t="s">
        <v>734</v>
      </c>
      <c r="M43" s="219"/>
      <c r="N43" s="275" t="s">
        <v>25</v>
      </c>
      <c r="O43" s="13">
        <v>1200</v>
      </c>
      <c r="P43" s="13">
        <v>1080</v>
      </c>
      <c r="Q43" s="248" t="s">
        <v>735</v>
      </c>
      <c r="R43" s="230"/>
      <c r="S43" s="230"/>
      <c r="T43" s="230"/>
      <c r="U43" s="307"/>
      <c r="V43" s="203"/>
      <c r="W43" s="203"/>
      <c r="X43" s="303"/>
    </row>
    <row r="44" s="200" customFormat="1" customHeight="1" spans="1:24">
      <c r="A44" s="229"/>
      <c r="B44" s="2" t="s">
        <v>736</v>
      </c>
      <c r="C44" s="221">
        <f t="shared" si="0"/>
        <v>11</v>
      </c>
      <c r="D44" s="221" t="str">
        <f t="shared" si="1"/>
        <v>2707</v>
      </c>
      <c r="E44" s="221" t="str">
        <f t="shared" si="2"/>
        <v>270700</v>
      </c>
      <c r="F44" s="7" t="str">
        <f t="shared" si="3"/>
        <v>270700007</v>
      </c>
      <c r="G44" s="242" t="s">
        <v>63</v>
      </c>
      <c r="H44" s="243" t="s">
        <v>64</v>
      </c>
      <c r="I44" s="242" t="s">
        <v>151</v>
      </c>
      <c r="J44" s="243" t="s">
        <v>64</v>
      </c>
      <c r="K44" s="276" t="s">
        <v>737</v>
      </c>
      <c r="L44" s="258"/>
      <c r="M44" s="11"/>
      <c r="N44" s="277" t="s">
        <v>25</v>
      </c>
      <c r="O44" s="13">
        <f>O43/2</f>
        <v>600</v>
      </c>
      <c r="P44" s="13">
        <f>P43/2</f>
        <v>540</v>
      </c>
      <c r="Q44" s="261" t="s">
        <v>738</v>
      </c>
      <c r="R44" s="230"/>
      <c r="S44" s="230"/>
      <c r="T44" s="230"/>
      <c r="U44" s="307"/>
      <c r="V44" s="203"/>
      <c r="W44" s="203"/>
      <c r="X44" s="303"/>
    </row>
    <row r="45" s="200" customFormat="1" customHeight="1" spans="1:24">
      <c r="A45" s="229"/>
      <c r="B45" s="2" t="s">
        <v>739</v>
      </c>
      <c r="C45" s="221">
        <f t="shared" si="0"/>
        <v>11</v>
      </c>
      <c r="D45" s="221" t="str">
        <f t="shared" si="1"/>
        <v>2707</v>
      </c>
      <c r="E45" s="221" t="str">
        <f t="shared" si="2"/>
        <v>270700</v>
      </c>
      <c r="F45" s="7" t="str">
        <f t="shared" si="3"/>
        <v>270700007</v>
      </c>
      <c r="G45" s="242" t="s">
        <v>63</v>
      </c>
      <c r="H45" s="243" t="s">
        <v>64</v>
      </c>
      <c r="I45" s="242" t="s">
        <v>151</v>
      </c>
      <c r="J45" s="243" t="s">
        <v>64</v>
      </c>
      <c r="K45" s="276" t="s">
        <v>740</v>
      </c>
      <c r="L45" s="258"/>
      <c r="M45" s="11"/>
      <c r="N45" s="277" t="s">
        <v>25</v>
      </c>
      <c r="O45" s="13">
        <v>600</v>
      </c>
      <c r="P45" s="13">
        <v>540</v>
      </c>
      <c r="Q45" s="261" t="s">
        <v>741</v>
      </c>
      <c r="R45" s="230"/>
      <c r="S45" s="230"/>
      <c r="T45" s="230"/>
      <c r="U45" s="307"/>
      <c r="V45" s="203"/>
      <c r="W45" s="203"/>
      <c r="X45" s="303"/>
    </row>
    <row r="46" customHeight="1" spans="1:24">
      <c r="A46" s="222" t="s">
        <v>187</v>
      </c>
      <c r="B46" s="223" t="s">
        <v>742</v>
      </c>
      <c r="C46" s="7">
        <f t="shared" si="0"/>
        <v>9</v>
      </c>
      <c r="D46" s="7" t="str">
        <f t="shared" si="1"/>
        <v>3101</v>
      </c>
      <c r="E46" s="7" t="str">
        <f t="shared" si="2"/>
        <v>310100</v>
      </c>
      <c r="F46" s="7" t="str">
        <f t="shared" si="3"/>
        <v>310100016</v>
      </c>
      <c r="G46" s="219" t="s">
        <v>35</v>
      </c>
      <c r="H46" s="219" t="s">
        <v>36</v>
      </c>
      <c r="I46" s="219" t="s">
        <v>188</v>
      </c>
      <c r="J46" s="219" t="s">
        <v>42</v>
      </c>
      <c r="K46" s="250" t="s">
        <v>189</v>
      </c>
      <c r="L46" s="250" t="s">
        <v>190</v>
      </c>
      <c r="M46" s="219" t="s">
        <v>191</v>
      </c>
      <c r="N46" s="219" t="s">
        <v>52</v>
      </c>
      <c r="O46" s="255" t="s">
        <v>743</v>
      </c>
      <c r="P46" s="255" t="s">
        <v>744</v>
      </c>
      <c r="Q46" s="250" t="s">
        <v>745</v>
      </c>
      <c r="R46" s="222" t="s">
        <v>27</v>
      </c>
      <c r="S46" s="309"/>
      <c r="T46" s="300"/>
      <c r="U46" s="286" t="s">
        <v>622</v>
      </c>
      <c r="V46" s="287"/>
      <c r="W46" s="287"/>
      <c r="X46" s="288" t="s">
        <v>746</v>
      </c>
    </row>
    <row r="47" s="199" customFormat="1" customHeight="1" spans="1:24">
      <c r="A47" s="228"/>
      <c r="B47" s="3" t="s">
        <v>747</v>
      </c>
      <c r="C47" s="7">
        <f t="shared" si="0"/>
        <v>11</v>
      </c>
      <c r="D47" s="7" t="str">
        <f t="shared" si="1"/>
        <v>3101</v>
      </c>
      <c r="E47" s="7" t="str">
        <f t="shared" si="2"/>
        <v>310100</v>
      </c>
      <c r="F47" s="7" t="str">
        <f t="shared" si="3"/>
        <v>310100016</v>
      </c>
      <c r="G47" s="11" t="s">
        <v>35</v>
      </c>
      <c r="H47" s="11" t="s">
        <v>36</v>
      </c>
      <c r="I47" s="11" t="s">
        <v>188</v>
      </c>
      <c r="J47" s="11" t="s">
        <v>42</v>
      </c>
      <c r="K47" s="258" t="s">
        <v>193</v>
      </c>
      <c r="L47" s="278"/>
      <c r="M47" s="11"/>
      <c r="N47" s="11" t="s">
        <v>52</v>
      </c>
      <c r="O47" s="13">
        <v>200</v>
      </c>
      <c r="P47" s="13">
        <v>180</v>
      </c>
      <c r="Q47" s="258"/>
      <c r="R47" s="253" t="s">
        <v>27</v>
      </c>
      <c r="S47" s="300"/>
      <c r="T47" s="300"/>
      <c r="U47" s="297" t="s">
        <v>653</v>
      </c>
      <c r="V47" s="298"/>
      <c r="W47" s="298"/>
      <c r="X47" s="288"/>
    </row>
    <row r="48" s="199" customFormat="1" customHeight="1" spans="1:24">
      <c r="A48" s="228"/>
      <c r="B48" s="3" t="s">
        <v>748</v>
      </c>
      <c r="C48" s="7">
        <f t="shared" si="0"/>
        <v>11</v>
      </c>
      <c r="D48" s="7" t="str">
        <f t="shared" si="1"/>
        <v>3101</v>
      </c>
      <c r="E48" s="7" t="str">
        <f t="shared" si="2"/>
        <v>310100</v>
      </c>
      <c r="F48" s="7" t="str">
        <f t="shared" si="3"/>
        <v>310100016</v>
      </c>
      <c r="G48" s="11" t="s">
        <v>35</v>
      </c>
      <c r="H48" s="11" t="s">
        <v>36</v>
      </c>
      <c r="I48" s="11" t="s">
        <v>188</v>
      </c>
      <c r="J48" s="11" t="s">
        <v>42</v>
      </c>
      <c r="K48" s="258" t="s">
        <v>194</v>
      </c>
      <c r="L48" s="278"/>
      <c r="M48" s="11"/>
      <c r="N48" s="11" t="s">
        <v>52</v>
      </c>
      <c r="O48" s="13">
        <v>260</v>
      </c>
      <c r="P48" s="13">
        <f>P47*1.3</f>
        <v>234</v>
      </c>
      <c r="Q48" s="258"/>
      <c r="R48" s="253" t="s">
        <v>27</v>
      </c>
      <c r="S48" s="300"/>
      <c r="T48" s="300"/>
      <c r="U48" s="297"/>
      <c r="V48" s="298"/>
      <c r="W48" s="298"/>
      <c r="X48" s="288"/>
    </row>
    <row r="49" s="199" customFormat="1" customHeight="1" spans="1:24">
      <c r="A49" s="228"/>
      <c r="B49" s="3" t="s">
        <v>749</v>
      </c>
      <c r="C49" s="7">
        <f t="shared" si="0"/>
        <v>11</v>
      </c>
      <c r="D49" s="7" t="str">
        <f t="shared" si="1"/>
        <v>3101</v>
      </c>
      <c r="E49" s="7" t="str">
        <f t="shared" si="2"/>
        <v>310100</v>
      </c>
      <c r="F49" s="7" t="str">
        <f t="shared" si="3"/>
        <v>310100016</v>
      </c>
      <c r="G49" s="11" t="s">
        <v>35</v>
      </c>
      <c r="H49" s="11" t="s">
        <v>36</v>
      </c>
      <c r="I49" s="11" t="s">
        <v>188</v>
      </c>
      <c r="J49" s="11" t="s">
        <v>42</v>
      </c>
      <c r="K49" s="258" t="s">
        <v>195</v>
      </c>
      <c r="L49" s="278"/>
      <c r="M49" s="11"/>
      <c r="N49" s="11" t="s">
        <v>52</v>
      </c>
      <c r="O49" s="13">
        <v>200</v>
      </c>
      <c r="P49" s="13">
        <v>180</v>
      </c>
      <c r="Q49" s="258"/>
      <c r="R49" s="253" t="s">
        <v>27</v>
      </c>
      <c r="S49" s="300"/>
      <c r="T49" s="300"/>
      <c r="U49" s="297" t="s">
        <v>653</v>
      </c>
      <c r="V49" s="298"/>
      <c r="W49" s="298"/>
      <c r="X49" s="288"/>
    </row>
    <row r="50" s="200" customFormat="1" customHeight="1" spans="1:24">
      <c r="A50" s="228"/>
      <c r="B50" s="3" t="s">
        <v>750</v>
      </c>
      <c r="C50" s="7">
        <f t="shared" si="0"/>
        <v>11</v>
      </c>
      <c r="D50" s="7" t="str">
        <f t="shared" si="1"/>
        <v>3101</v>
      </c>
      <c r="E50" s="7" t="str">
        <f t="shared" si="2"/>
        <v>310100</v>
      </c>
      <c r="F50" s="7" t="str">
        <f t="shared" si="3"/>
        <v>310100016</v>
      </c>
      <c r="G50" s="11" t="s">
        <v>35</v>
      </c>
      <c r="H50" s="11" t="s">
        <v>36</v>
      </c>
      <c r="I50" s="11" t="s">
        <v>188</v>
      </c>
      <c r="J50" s="11" t="s">
        <v>42</v>
      </c>
      <c r="K50" s="258" t="s">
        <v>196</v>
      </c>
      <c r="L50" s="278"/>
      <c r="M50" s="11"/>
      <c r="N50" s="11" t="s">
        <v>52</v>
      </c>
      <c r="O50" s="13">
        <v>260</v>
      </c>
      <c r="P50" s="13">
        <f>P49*1.3</f>
        <v>234</v>
      </c>
      <c r="Q50" s="258"/>
      <c r="R50" s="253" t="s">
        <v>27</v>
      </c>
      <c r="S50" s="300"/>
      <c r="T50" s="300"/>
      <c r="U50" s="297"/>
      <c r="V50" s="298"/>
      <c r="W50" s="298"/>
      <c r="X50" s="288"/>
    </row>
    <row r="51" customHeight="1" spans="1:24">
      <c r="A51" s="222" t="s">
        <v>201</v>
      </c>
      <c r="B51" s="223" t="s">
        <v>751</v>
      </c>
      <c r="C51" s="7">
        <f t="shared" si="0"/>
        <v>9</v>
      </c>
      <c r="D51" s="7" t="str">
        <f t="shared" si="1"/>
        <v>3105</v>
      </c>
      <c r="E51" s="7" t="str">
        <f t="shared" si="2"/>
        <v>310517</v>
      </c>
      <c r="F51" s="7" t="str">
        <f t="shared" si="3"/>
        <v>310517001</v>
      </c>
      <c r="G51" s="219" t="s">
        <v>35</v>
      </c>
      <c r="H51" s="219" t="s">
        <v>36</v>
      </c>
      <c r="I51" s="219" t="s">
        <v>198</v>
      </c>
      <c r="J51" s="219" t="s">
        <v>36</v>
      </c>
      <c r="K51" s="250" t="s">
        <v>202</v>
      </c>
      <c r="L51" s="250" t="s">
        <v>752</v>
      </c>
      <c r="M51" s="219"/>
      <c r="N51" s="219" t="s">
        <v>204</v>
      </c>
      <c r="O51" s="255" t="s">
        <v>676</v>
      </c>
      <c r="P51" s="255" t="s">
        <v>676</v>
      </c>
      <c r="Q51" s="250" t="s">
        <v>753</v>
      </c>
      <c r="R51" s="219"/>
      <c r="S51" s="279"/>
      <c r="T51" s="279"/>
      <c r="U51" s="286" t="s">
        <v>640</v>
      </c>
      <c r="V51" s="287"/>
      <c r="W51" s="287"/>
      <c r="X51" s="288" t="s">
        <v>754</v>
      </c>
    </row>
    <row r="52" customHeight="1" spans="1:24">
      <c r="A52" s="220"/>
      <c r="B52" s="244" t="s">
        <v>755</v>
      </c>
      <c r="C52" s="7">
        <f t="shared" si="0"/>
        <v>11</v>
      </c>
      <c r="D52" s="7" t="str">
        <f t="shared" si="1"/>
        <v>3105</v>
      </c>
      <c r="E52" s="7" t="str">
        <f t="shared" si="2"/>
        <v>310517</v>
      </c>
      <c r="F52" s="7" t="str">
        <f t="shared" si="3"/>
        <v>310517001</v>
      </c>
      <c r="G52" s="239" t="s">
        <v>35</v>
      </c>
      <c r="H52" s="239" t="s">
        <v>36</v>
      </c>
      <c r="I52" s="227" t="s">
        <v>198</v>
      </c>
      <c r="J52" s="227" t="s">
        <v>36</v>
      </c>
      <c r="K52" s="257" t="s">
        <v>756</v>
      </c>
      <c r="L52" s="257"/>
      <c r="M52" s="227"/>
      <c r="N52" s="227" t="s">
        <v>204</v>
      </c>
      <c r="O52" s="238" t="s">
        <v>757</v>
      </c>
      <c r="P52" s="238" t="s">
        <v>757</v>
      </c>
      <c r="Q52" s="257" t="s">
        <v>758</v>
      </c>
      <c r="R52" s="301"/>
      <c r="S52" s="301"/>
      <c r="T52" s="301"/>
      <c r="U52" s="286" t="s">
        <v>653</v>
      </c>
      <c r="V52" s="287"/>
      <c r="W52" s="287"/>
      <c r="X52" s="288"/>
    </row>
    <row r="53" customHeight="1" spans="1:24">
      <c r="A53" s="220"/>
      <c r="B53" s="244" t="s">
        <v>759</v>
      </c>
      <c r="C53" s="7">
        <f t="shared" si="0"/>
        <v>11</v>
      </c>
      <c r="D53" s="7" t="str">
        <f t="shared" si="1"/>
        <v>3105</v>
      </c>
      <c r="E53" s="7" t="str">
        <f t="shared" si="2"/>
        <v>310517</v>
      </c>
      <c r="F53" s="7" t="str">
        <f t="shared" si="3"/>
        <v>310517001</v>
      </c>
      <c r="G53" s="239" t="s">
        <v>35</v>
      </c>
      <c r="H53" s="239" t="s">
        <v>36</v>
      </c>
      <c r="I53" s="227" t="s">
        <v>198</v>
      </c>
      <c r="J53" s="227" t="s">
        <v>36</v>
      </c>
      <c r="K53" s="257" t="s">
        <v>760</v>
      </c>
      <c r="L53" s="257"/>
      <c r="M53" s="227"/>
      <c r="N53" s="227" t="s">
        <v>204</v>
      </c>
      <c r="O53" s="238" t="s">
        <v>761</v>
      </c>
      <c r="P53" s="238" t="s">
        <v>761</v>
      </c>
      <c r="Q53" s="257" t="s">
        <v>762</v>
      </c>
      <c r="R53" s="301"/>
      <c r="S53" s="301"/>
      <c r="T53" s="301"/>
      <c r="U53" s="286"/>
      <c r="V53" s="287"/>
      <c r="W53" s="287"/>
      <c r="X53" s="288"/>
    </row>
    <row r="54" s="201" customFormat="1" customHeight="1" spans="1:24">
      <c r="A54" s="245" t="s">
        <v>213</v>
      </c>
      <c r="B54" s="238" t="s">
        <v>763</v>
      </c>
      <c r="C54" s="221">
        <f t="shared" si="0"/>
        <v>9</v>
      </c>
      <c r="D54" s="221" t="str">
        <f t="shared" si="1"/>
        <v>3106</v>
      </c>
      <c r="E54" s="221" t="str">
        <f t="shared" si="2"/>
        <v>310605</v>
      </c>
      <c r="F54" s="221" t="str">
        <f t="shared" si="3"/>
        <v>310605001</v>
      </c>
      <c r="G54" s="227" t="s">
        <v>63</v>
      </c>
      <c r="H54" s="227" t="s">
        <v>64</v>
      </c>
      <c r="I54" s="227" t="s">
        <v>214</v>
      </c>
      <c r="J54" s="227" t="s">
        <v>215</v>
      </c>
      <c r="K54" s="257" t="s">
        <v>216</v>
      </c>
      <c r="L54" s="257"/>
      <c r="M54" s="257"/>
      <c r="N54" s="227" t="s">
        <v>52</v>
      </c>
      <c r="O54" s="238" t="s">
        <v>697</v>
      </c>
      <c r="P54" s="238" t="s">
        <v>764</v>
      </c>
      <c r="Q54" s="257"/>
      <c r="R54" s="301" t="s">
        <v>27</v>
      </c>
      <c r="S54" s="301"/>
      <c r="T54" s="317"/>
      <c r="U54" s="323"/>
      <c r="V54" s="324"/>
      <c r="W54" s="324"/>
      <c r="X54" s="288" t="s">
        <v>765</v>
      </c>
    </row>
    <row r="55" customHeight="1" spans="1:24">
      <c r="A55" s="222" t="s">
        <v>217</v>
      </c>
      <c r="B55" s="223" t="s">
        <v>766</v>
      </c>
      <c r="C55" s="7">
        <f t="shared" si="0"/>
        <v>9</v>
      </c>
      <c r="D55" s="7" t="str">
        <f t="shared" si="1"/>
        <v>3106</v>
      </c>
      <c r="E55" s="7" t="str">
        <f t="shared" si="2"/>
        <v>310605</v>
      </c>
      <c r="F55" s="7" t="str">
        <f t="shared" si="3"/>
        <v>310605008</v>
      </c>
      <c r="G55" s="219" t="s">
        <v>35</v>
      </c>
      <c r="H55" s="219" t="s">
        <v>36</v>
      </c>
      <c r="I55" s="219" t="s">
        <v>198</v>
      </c>
      <c r="J55" s="219" t="s">
        <v>36</v>
      </c>
      <c r="K55" s="250" t="s">
        <v>218</v>
      </c>
      <c r="L55" s="250" t="s">
        <v>219</v>
      </c>
      <c r="M55" s="219"/>
      <c r="N55" s="219" t="s">
        <v>52</v>
      </c>
      <c r="O55" s="255" t="s">
        <v>767</v>
      </c>
      <c r="P55" s="255" t="s">
        <v>768</v>
      </c>
      <c r="Q55" s="250" t="s">
        <v>769</v>
      </c>
      <c r="R55" s="222" t="s">
        <v>27</v>
      </c>
      <c r="S55" s="279"/>
      <c r="T55" s="279"/>
      <c r="U55" s="286" t="s">
        <v>640</v>
      </c>
      <c r="V55" s="287"/>
      <c r="W55" s="287"/>
      <c r="X55" s="288" t="s">
        <v>770</v>
      </c>
    </row>
    <row r="56" customHeight="1" spans="1:24">
      <c r="A56" s="222"/>
      <c r="B56" s="226" t="s">
        <v>771</v>
      </c>
      <c r="C56" s="7">
        <f t="shared" si="0"/>
        <v>11</v>
      </c>
      <c r="D56" s="7" t="str">
        <f t="shared" si="1"/>
        <v>3106</v>
      </c>
      <c r="E56" s="7" t="str">
        <f t="shared" si="2"/>
        <v>310605</v>
      </c>
      <c r="F56" s="7" t="str">
        <f t="shared" si="3"/>
        <v>310605008</v>
      </c>
      <c r="G56" s="227" t="s">
        <v>35</v>
      </c>
      <c r="H56" s="227" t="s">
        <v>36</v>
      </c>
      <c r="I56" s="227" t="s">
        <v>198</v>
      </c>
      <c r="J56" s="227" t="s">
        <v>36</v>
      </c>
      <c r="K56" s="257" t="s">
        <v>221</v>
      </c>
      <c r="L56" s="257"/>
      <c r="M56" s="227"/>
      <c r="N56" s="227" t="s">
        <v>52</v>
      </c>
      <c r="O56" s="238" t="s">
        <v>772</v>
      </c>
      <c r="P56" s="238" t="s">
        <v>773</v>
      </c>
      <c r="Q56" s="257" t="s">
        <v>222</v>
      </c>
      <c r="R56" s="301" t="s">
        <v>27</v>
      </c>
      <c r="S56" s="313"/>
      <c r="T56" s="313"/>
      <c r="U56" s="286"/>
      <c r="V56" s="287"/>
      <c r="W56" s="287"/>
      <c r="X56" s="288"/>
    </row>
    <row r="57" customHeight="1" spans="1:24">
      <c r="A57" s="222"/>
      <c r="B57" s="226">
        <v>31060500804</v>
      </c>
      <c r="C57" s="7">
        <f t="shared" si="0"/>
        <v>11</v>
      </c>
      <c r="D57" s="7" t="str">
        <f t="shared" si="1"/>
        <v>3106</v>
      </c>
      <c r="E57" s="7" t="str">
        <f t="shared" si="2"/>
        <v>310605</v>
      </c>
      <c r="F57" s="7" t="str">
        <f t="shared" si="3"/>
        <v>310605008</v>
      </c>
      <c r="G57" s="227" t="s">
        <v>35</v>
      </c>
      <c r="H57" s="227" t="s">
        <v>36</v>
      </c>
      <c r="I57" s="227" t="s">
        <v>198</v>
      </c>
      <c r="J57" s="227" t="s">
        <v>36</v>
      </c>
      <c r="K57" s="257" t="s">
        <v>223</v>
      </c>
      <c r="L57" s="257"/>
      <c r="M57" s="227"/>
      <c r="N57" s="227" t="s">
        <v>52</v>
      </c>
      <c r="O57" s="238" t="s">
        <v>772</v>
      </c>
      <c r="P57" s="238" t="s">
        <v>773</v>
      </c>
      <c r="Q57" s="257" t="s">
        <v>224</v>
      </c>
      <c r="R57" s="301" t="s">
        <v>27</v>
      </c>
      <c r="S57" s="313"/>
      <c r="T57" s="313"/>
      <c r="U57" s="286"/>
      <c r="V57" s="287"/>
      <c r="W57" s="287"/>
      <c r="X57" s="288"/>
    </row>
    <row r="58" customHeight="1" spans="1:24">
      <c r="A58" s="222" t="s">
        <v>225</v>
      </c>
      <c r="B58" s="223" t="s">
        <v>774</v>
      </c>
      <c r="C58" s="7">
        <f t="shared" si="0"/>
        <v>9</v>
      </c>
      <c r="D58" s="7" t="str">
        <f t="shared" si="1"/>
        <v>3106</v>
      </c>
      <c r="E58" s="7" t="str">
        <f t="shared" si="2"/>
        <v>310605</v>
      </c>
      <c r="F58" s="7" t="str">
        <f t="shared" si="3"/>
        <v>310605010</v>
      </c>
      <c r="G58" s="219" t="s">
        <v>35</v>
      </c>
      <c r="H58" s="219" t="s">
        <v>36</v>
      </c>
      <c r="I58" s="219" t="s">
        <v>198</v>
      </c>
      <c r="J58" s="219" t="s">
        <v>36</v>
      </c>
      <c r="K58" s="250" t="s">
        <v>226</v>
      </c>
      <c r="L58" s="250" t="s">
        <v>775</v>
      </c>
      <c r="M58" s="219" t="s">
        <v>228</v>
      </c>
      <c r="N58" s="219" t="s">
        <v>52</v>
      </c>
      <c r="O58" s="255" t="s">
        <v>776</v>
      </c>
      <c r="P58" s="255" t="s">
        <v>772</v>
      </c>
      <c r="Q58" s="250"/>
      <c r="R58" s="222" t="s">
        <v>27</v>
      </c>
      <c r="S58" s="279"/>
      <c r="T58" s="279"/>
      <c r="U58" s="286" t="s">
        <v>622</v>
      </c>
      <c r="V58" s="287"/>
      <c r="W58" s="287"/>
      <c r="X58" s="288" t="s">
        <v>770</v>
      </c>
    </row>
    <row r="59" customHeight="1" spans="1:24">
      <c r="A59" s="222"/>
      <c r="B59" s="223" t="s">
        <v>777</v>
      </c>
      <c r="C59" s="7">
        <f t="shared" si="0"/>
        <v>11</v>
      </c>
      <c r="D59" s="7" t="str">
        <f t="shared" si="1"/>
        <v>3106</v>
      </c>
      <c r="E59" s="7" t="str">
        <f t="shared" si="2"/>
        <v>310605</v>
      </c>
      <c r="F59" s="7" t="str">
        <f t="shared" si="3"/>
        <v>310605010</v>
      </c>
      <c r="G59" s="219" t="s">
        <v>35</v>
      </c>
      <c r="H59" s="219" t="s">
        <v>36</v>
      </c>
      <c r="I59" s="219" t="s">
        <v>198</v>
      </c>
      <c r="J59" s="219" t="s">
        <v>36</v>
      </c>
      <c r="K59" s="250" t="s">
        <v>229</v>
      </c>
      <c r="L59" s="250"/>
      <c r="M59" s="219"/>
      <c r="N59" s="219" t="s">
        <v>52</v>
      </c>
      <c r="O59" s="255" t="s">
        <v>776</v>
      </c>
      <c r="P59" s="255" t="s">
        <v>772</v>
      </c>
      <c r="Q59" s="250"/>
      <c r="R59" s="222" t="s">
        <v>27</v>
      </c>
      <c r="S59" s="279"/>
      <c r="T59" s="279"/>
      <c r="U59" s="286"/>
      <c r="V59" s="287"/>
      <c r="W59" s="287"/>
      <c r="X59" s="288"/>
    </row>
    <row r="60" customHeight="1" spans="1:24">
      <c r="A60" s="222" t="s">
        <v>230</v>
      </c>
      <c r="B60" s="223" t="s">
        <v>778</v>
      </c>
      <c r="C60" s="7">
        <f t="shared" si="0"/>
        <v>9</v>
      </c>
      <c r="D60" s="7" t="str">
        <f t="shared" si="1"/>
        <v>3106</v>
      </c>
      <c r="E60" s="7" t="str">
        <f t="shared" si="2"/>
        <v>310605</v>
      </c>
      <c r="F60" s="7" t="str">
        <f t="shared" si="3"/>
        <v>310605018</v>
      </c>
      <c r="G60" s="246" t="s">
        <v>35</v>
      </c>
      <c r="H60" s="246" t="s">
        <v>36</v>
      </c>
      <c r="I60" s="246" t="s">
        <v>198</v>
      </c>
      <c r="J60" s="246" t="s">
        <v>36</v>
      </c>
      <c r="K60" s="252" t="s">
        <v>779</v>
      </c>
      <c r="L60" s="250" t="s">
        <v>232</v>
      </c>
      <c r="M60" s="222" t="s">
        <v>233</v>
      </c>
      <c r="N60" s="222" t="s">
        <v>52</v>
      </c>
      <c r="O60" s="279"/>
      <c r="P60" s="279"/>
      <c r="Q60" s="258" t="s">
        <v>780</v>
      </c>
      <c r="R60" s="222"/>
      <c r="S60" s="300"/>
      <c r="T60" s="300"/>
      <c r="U60" s="286" t="s">
        <v>622</v>
      </c>
      <c r="V60" s="287"/>
      <c r="W60" s="287"/>
      <c r="X60" s="325" t="s">
        <v>781</v>
      </c>
    </row>
    <row r="61" s="199" customFormat="1" customHeight="1" spans="1:24">
      <c r="A61" s="228"/>
      <c r="B61" s="223" t="s">
        <v>782</v>
      </c>
      <c r="C61" s="7">
        <f t="shared" si="0"/>
        <v>11</v>
      </c>
      <c r="D61" s="7" t="str">
        <f t="shared" si="1"/>
        <v>3106</v>
      </c>
      <c r="E61" s="7" t="str">
        <f t="shared" si="2"/>
        <v>310605</v>
      </c>
      <c r="F61" s="7" t="str">
        <f t="shared" si="3"/>
        <v>310605018</v>
      </c>
      <c r="G61" s="246" t="s">
        <v>35</v>
      </c>
      <c r="H61" s="246" t="s">
        <v>36</v>
      </c>
      <c r="I61" s="246" t="s">
        <v>198</v>
      </c>
      <c r="J61" s="246" t="s">
        <v>36</v>
      </c>
      <c r="K61" s="280" t="s">
        <v>783</v>
      </c>
      <c r="L61" s="280" t="s">
        <v>784</v>
      </c>
      <c r="M61" s="228"/>
      <c r="N61" s="228" t="s">
        <v>52</v>
      </c>
      <c r="O61" s="281"/>
      <c r="P61" s="281"/>
      <c r="Q61" s="280"/>
      <c r="R61" s="228"/>
      <c r="S61" s="300"/>
      <c r="T61" s="300"/>
      <c r="U61" s="297"/>
      <c r="V61" s="298"/>
      <c r="W61" s="298"/>
      <c r="X61" s="325" t="s">
        <v>781</v>
      </c>
    </row>
    <row r="62" customHeight="1" spans="1:24">
      <c r="A62" s="219" t="s">
        <v>237</v>
      </c>
      <c r="B62" s="223" t="s">
        <v>785</v>
      </c>
      <c r="C62" s="7">
        <f t="shared" si="0"/>
        <v>9</v>
      </c>
      <c r="D62" s="7" t="str">
        <f t="shared" si="1"/>
        <v>3106</v>
      </c>
      <c r="E62" s="7" t="str">
        <f t="shared" si="2"/>
        <v>310606</v>
      </c>
      <c r="F62" s="7" t="str">
        <f t="shared" si="3"/>
        <v>310606002</v>
      </c>
      <c r="G62" s="219" t="s">
        <v>35</v>
      </c>
      <c r="H62" s="219" t="s">
        <v>36</v>
      </c>
      <c r="I62" s="219" t="s">
        <v>188</v>
      </c>
      <c r="J62" s="219" t="s">
        <v>42</v>
      </c>
      <c r="K62" s="250" t="s">
        <v>238</v>
      </c>
      <c r="L62" s="250" t="s">
        <v>786</v>
      </c>
      <c r="M62" s="219"/>
      <c r="N62" s="219" t="s">
        <v>52</v>
      </c>
      <c r="O62" s="219" t="s">
        <v>697</v>
      </c>
      <c r="P62" s="219" t="s">
        <v>764</v>
      </c>
      <c r="Q62" s="258" t="s">
        <v>787</v>
      </c>
      <c r="R62" s="219" t="s">
        <v>27</v>
      </c>
      <c r="S62" s="219"/>
      <c r="T62" s="219"/>
      <c r="U62" s="326"/>
      <c r="V62" s="327"/>
      <c r="W62" s="327"/>
      <c r="X62" s="288" t="s">
        <v>770</v>
      </c>
    </row>
    <row r="63" customHeight="1" spans="1:24">
      <c r="A63" s="222"/>
      <c r="B63" s="3">
        <v>31060600202</v>
      </c>
      <c r="C63" s="7">
        <f t="shared" si="0"/>
        <v>11</v>
      </c>
      <c r="D63" s="7" t="str">
        <f t="shared" si="1"/>
        <v>3106</v>
      </c>
      <c r="E63" s="7" t="str">
        <f t="shared" si="2"/>
        <v>310606</v>
      </c>
      <c r="F63" s="7" t="str">
        <f t="shared" si="3"/>
        <v>310606002</v>
      </c>
      <c r="G63" s="11" t="s">
        <v>35</v>
      </c>
      <c r="H63" s="11" t="s">
        <v>36</v>
      </c>
      <c r="I63" s="11" t="s">
        <v>188</v>
      </c>
      <c r="J63" s="11" t="s">
        <v>42</v>
      </c>
      <c r="K63" s="258" t="s">
        <v>788</v>
      </c>
      <c r="L63" s="258"/>
      <c r="M63" s="11"/>
      <c r="N63" s="11"/>
      <c r="O63" s="13">
        <f>O62*5</f>
        <v>550</v>
      </c>
      <c r="P63" s="13">
        <f>P62*5</f>
        <v>495</v>
      </c>
      <c r="Q63" s="258" t="s">
        <v>789</v>
      </c>
      <c r="R63" s="11" t="s">
        <v>27</v>
      </c>
      <c r="S63" s="279"/>
      <c r="T63" s="279"/>
      <c r="U63" s="286"/>
      <c r="V63" s="287"/>
      <c r="W63" s="287"/>
      <c r="X63" s="288"/>
    </row>
    <row r="64" s="202" customFormat="1" customHeight="1" spans="1:24">
      <c r="A64" s="237" t="s">
        <v>790</v>
      </c>
      <c r="B64" s="237" t="s">
        <v>791</v>
      </c>
      <c r="C64" s="237">
        <f t="shared" si="0"/>
        <v>9</v>
      </c>
      <c r="D64" s="237" t="str">
        <f t="shared" si="1"/>
        <v>3107</v>
      </c>
      <c r="E64" s="237" t="str">
        <f t="shared" si="2"/>
        <v>310702</v>
      </c>
      <c r="F64" s="237" t="str">
        <f t="shared" si="3"/>
        <v>310702004</v>
      </c>
      <c r="G64" s="237" t="s">
        <v>287</v>
      </c>
      <c r="H64" s="237" t="s">
        <v>215</v>
      </c>
      <c r="I64" s="239" t="s">
        <v>188</v>
      </c>
      <c r="J64" s="239" t="s">
        <v>42</v>
      </c>
      <c r="K64" s="282" t="s">
        <v>792</v>
      </c>
      <c r="L64" s="239"/>
      <c r="M64" s="239" t="s">
        <v>793</v>
      </c>
      <c r="N64" s="239" t="s">
        <v>52</v>
      </c>
      <c r="O64" s="239" t="s">
        <v>794</v>
      </c>
      <c r="P64" s="239" t="s">
        <v>795</v>
      </c>
      <c r="Q64" s="282" t="s">
        <v>796</v>
      </c>
      <c r="R64" s="239" t="s">
        <v>27</v>
      </c>
      <c r="S64" s="299">
        <v>0.2</v>
      </c>
      <c r="T64" s="239"/>
      <c r="X64" s="328" t="s">
        <v>770</v>
      </c>
    </row>
    <row r="65" s="201" customFormat="1" customHeight="1" spans="1:24">
      <c r="A65" s="238"/>
      <c r="B65" s="238" t="s">
        <v>797</v>
      </c>
      <c r="C65" s="238">
        <f t="shared" si="0"/>
        <v>11</v>
      </c>
      <c r="D65" s="238" t="str">
        <f t="shared" si="1"/>
        <v>3107</v>
      </c>
      <c r="E65" s="238" t="str">
        <f t="shared" si="2"/>
        <v>310702</v>
      </c>
      <c r="F65" s="238" t="str">
        <f t="shared" si="3"/>
        <v>310702004</v>
      </c>
      <c r="G65" s="238" t="s">
        <v>287</v>
      </c>
      <c r="H65" s="238" t="s">
        <v>215</v>
      </c>
      <c r="I65" s="330" t="s">
        <v>188</v>
      </c>
      <c r="J65" s="330" t="s">
        <v>42</v>
      </c>
      <c r="K65" s="331" t="s">
        <v>798</v>
      </c>
      <c r="L65" s="331" t="s">
        <v>799</v>
      </c>
      <c r="M65" s="238"/>
      <c r="N65" s="238" t="s">
        <v>52</v>
      </c>
      <c r="O65" s="238" t="s">
        <v>794</v>
      </c>
      <c r="P65" s="238" t="s">
        <v>795</v>
      </c>
      <c r="Q65" s="331" t="s">
        <v>800</v>
      </c>
      <c r="R65" s="238" t="s">
        <v>27</v>
      </c>
      <c r="S65" s="304">
        <v>0.2</v>
      </c>
      <c r="T65" s="341"/>
      <c r="U65" s="342"/>
      <c r="V65" s="342"/>
      <c r="W65" s="342"/>
      <c r="X65" s="328"/>
    </row>
    <row r="66" customHeight="1" spans="1:24">
      <c r="A66" s="222" t="s">
        <v>253</v>
      </c>
      <c r="B66" s="223" t="s">
        <v>801</v>
      </c>
      <c r="C66" s="7">
        <f t="shared" si="0"/>
        <v>9</v>
      </c>
      <c r="D66" s="7" t="str">
        <f t="shared" si="1"/>
        <v>3109</v>
      </c>
      <c r="E66" s="7" t="str">
        <f t="shared" si="2"/>
        <v>310902</v>
      </c>
      <c r="F66" s="7" t="str">
        <f t="shared" si="3"/>
        <v>310902009</v>
      </c>
      <c r="G66" s="219" t="s">
        <v>63</v>
      </c>
      <c r="H66" s="219" t="s">
        <v>64</v>
      </c>
      <c r="I66" s="219" t="s">
        <v>214</v>
      </c>
      <c r="J66" s="219" t="s">
        <v>215</v>
      </c>
      <c r="K66" s="250" t="s">
        <v>254</v>
      </c>
      <c r="L66" s="258" t="s">
        <v>802</v>
      </c>
      <c r="M66" s="219"/>
      <c r="N66" s="219" t="s">
        <v>52</v>
      </c>
      <c r="O66" s="255" t="s">
        <v>803</v>
      </c>
      <c r="P66" s="255" t="s">
        <v>804</v>
      </c>
      <c r="Q66" s="250"/>
      <c r="R66" s="222" t="s">
        <v>27</v>
      </c>
      <c r="S66" s="299">
        <v>0.2</v>
      </c>
      <c r="T66" s="279"/>
      <c r="U66" s="286" t="s">
        <v>622</v>
      </c>
      <c r="V66" s="287"/>
      <c r="W66" s="287"/>
      <c r="X66" s="288" t="s">
        <v>805</v>
      </c>
    </row>
    <row r="67" customHeight="1" spans="1:24">
      <c r="A67" s="222"/>
      <c r="B67" s="3" t="s">
        <v>806</v>
      </c>
      <c r="C67" s="7">
        <f t="shared" si="0"/>
        <v>11</v>
      </c>
      <c r="D67" s="7" t="str">
        <f t="shared" si="1"/>
        <v>3109</v>
      </c>
      <c r="E67" s="7" t="str">
        <f t="shared" si="2"/>
        <v>310902</v>
      </c>
      <c r="F67" s="7" t="str">
        <f t="shared" si="3"/>
        <v>310902009</v>
      </c>
      <c r="G67" s="11" t="s">
        <v>63</v>
      </c>
      <c r="H67" s="11" t="s">
        <v>64</v>
      </c>
      <c r="I67" s="11" t="s">
        <v>214</v>
      </c>
      <c r="J67" s="11" t="s">
        <v>215</v>
      </c>
      <c r="K67" s="258" t="s">
        <v>256</v>
      </c>
      <c r="L67" s="258"/>
      <c r="M67" s="11"/>
      <c r="N67" s="11" t="s">
        <v>52</v>
      </c>
      <c r="O67" s="13" t="s">
        <v>803</v>
      </c>
      <c r="P67" s="13" t="s">
        <v>804</v>
      </c>
      <c r="Q67" s="258"/>
      <c r="R67" s="253" t="s">
        <v>27</v>
      </c>
      <c r="S67" s="304">
        <v>0.2</v>
      </c>
      <c r="T67" s="343"/>
      <c r="U67" s="286"/>
      <c r="V67" s="287"/>
      <c r="W67" s="287"/>
      <c r="X67" s="288"/>
    </row>
    <row r="68" s="199" customFormat="1" customHeight="1" spans="1:24">
      <c r="A68" s="228" t="s">
        <v>257</v>
      </c>
      <c r="B68" s="223" t="s">
        <v>807</v>
      </c>
      <c r="C68" s="7">
        <f t="shared" si="0"/>
        <v>9</v>
      </c>
      <c r="D68" s="7" t="str">
        <f t="shared" si="1"/>
        <v>3109</v>
      </c>
      <c r="E68" s="7" t="str">
        <f t="shared" si="2"/>
        <v>310905</v>
      </c>
      <c r="F68" s="7" t="str">
        <f t="shared" si="3"/>
        <v>310905003</v>
      </c>
      <c r="G68" s="219" t="s">
        <v>35</v>
      </c>
      <c r="H68" s="219" t="s">
        <v>36</v>
      </c>
      <c r="I68" s="219" t="s">
        <v>188</v>
      </c>
      <c r="J68" s="219" t="s">
        <v>42</v>
      </c>
      <c r="K68" s="250" t="s">
        <v>258</v>
      </c>
      <c r="L68" s="250" t="s">
        <v>259</v>
      </c>
      <c r="M68" s="219" t="s">
        <v>260</v>
      </c>
      <c r="N68" s="219" t="s">
        <v>52</v>
      </c>
      <c r="O68" s="255" t="s">
        <v>631</v>
      </c>
      <c r="P68" s="255" t="s">
        <v>697</v>
      </c>
      <c r="Q68" s="258" t="s">
        <v>808</v>
      </c>
      <c r="R68" s="228" t="s">
        <v>27</v>
      </c>
      <c r="S68" s="281"/>
      <c r="T68" s="281"/>
      <c r="U68" s="297" t="s">
        <v>640</v>
      </c>
      <c r="V68" s="298"/>
      <c r="W68" s="298"/>
      <c r="X68" s="288" t="s">
        <v>809</v>
      </c>
    </row>
    <row r="69" s="199" customFormat="1" customHeight="1" spans="1:24">
      <c r="A69" s="219"/>
      <c r="B69" s="3" t="s">
        <v>810</v>
      </c>
      <c r="C69" s="7">
        <f t="shared" ref="C69:C132" si="4">LEN(B69)</f>
        <v>11</v>
      </c>
      <c r="D69" s="7" t="str">
        <f t="shared" ref="D69:D132" si="5">LEFT(B69,4)</f>
        <v>3109</v>
      </c>
      <c r="E69" s="7" t="str">
        <f t="shared" ref="E69:E132" si="6">LEFT(B69,6)</f>
        <v>310905</v>
      </c>
      <c r="F69" s="7" t="str">
        <f t="shared" ref="F69:F132" si="7">LEFT(B69,9)</f>
        <v>310905003</v>
      </c>
      <c r="G69" s="11" t="s">
        <v>35</v>
      </c>
      <c r="H69" s="11" t="s">
        <v>36</v>
      </c>
      <c r="I69" s="11" t="s">
        <v>188</v>
      </c>
      <c r="J69" s="11" t="s">
        <v>42</v>
      </c>
      <c r="K69" s="258" t="s">
        <v>262</v>
      </c>
      <c r="L69" s="258"/>
      <c r="M69" s="11"/>
      <c r="N69" s="11" t="s">
        <v>52</v>
      </c>
      <c r="O69" s="11">
        <v>300</v>
      </c>
      <c r="P69" s="11">
        <v>270</v>
      </c>
      <c r="Q69" s="258"/>
      <c r="R69" s="344" t="s">
        <v>27</v>
      </c>
      <c r="S69" s="281"/>
      <c r="T69" s="281"/>
      <c r="U69" s="297" t="s">
        <v>653</v>
      </c>
      <c r="V69" s="298"/>
      <c r="W69" s="298"/>
      <c r="X69" s="288"/>
    </row>
    <row r="70" s="199" customFormat="1" customHeight="1" spans="1:24">
      <c r="A70" s="219"/>
      <c r="B70" s="3" t="s">
        <v>811</v>
      </c>
      <c r="C70" s="7">
        <f t="shared" si="4"/>
        <v>11</v>
      </c>
      <c r="D70" s="7" t="str">
        <f t="shared" si="5"/>
        <v>3109</v>
      </c>
      <c r="E70" s="7" t="str">
        <f t="shared" si="6"/>
        <v>310905</v>
      </c>
      <c r="F70" s="7" t="str">
        <f t="shared" si="7"/>
        <v>310905003</v>
      </c>
      <c r="G70" s="11" t="s">
        <v>35</v>
      </c>
      <c r="H70" s="11" t="s">
        <v>36</v>
      </c>
      <c r="I70" s="11" t="s">
        <v>188</v>
      </c>
      <c r="J70" s="11" t="s">
        <v>42</v>
      </c>
      <c r="K70" s="258" t="s">
        <v>263</v>
      </c>
      <c r="L70" s="258"/>
      <c r="M70" s="11"/>
      <c r="N70" s="11" t="s">
        <v>52</v>
      </c>
      <c r="O70" s="11">
        <f>O69*1.3</f>
        <v>390</v>
      </c>
      <c r="P70" s="11">
        <f>P69*1.3</f>
        <v>351</v>
      </c>
      <c r="Q70" s="258"/>
      <c r="R70" s="344" t="s">
        <v>27</v>
      </c>
      <c r="S70" s="281"/>
      <c r="T70" s="281"/>
      <c r="U70" s="297"/>
      <c r="V70" s="298"/>
      <c r="W70" s="298"/>
      <c r="X70" s="288"/>
    </row>
    <row r="71" s="199" customFormat="1" customHeight="1" spans="1:24">
      <c r="A71" s="228" t="s">
        <v>264</v>
      </c>
      <c r="B71" s="223" t="s">
        <v>812</v>
      </c>
      <c r="C71" s="7">
        <f t="shared" si="4"/>
        <v>9</v>
      </c>
      <c r="D71" s="7" t="str">
        <f t="shared" si="5"/>
        <v>3111</v>
      </c>
      <c r="E71" s="7" t="str">
        <f t="shared" si="6"/>
        <v>311100</v>
      </c>
      <c r="F71" s="7" t="str">
        <f t="shared" si="7"/>
        <v>311100003</v>
      </c>
      <c r="G71" s="219" t="s">
        <v>63</v>
      </c>
      <c r="H71" s="219" t="s">
        <v>64</v>
      </c>
      <c r="I71" s="219" t="s">
        <v>214</v>
      </c>
      <c r="J71" s="219" t="s">
        <v>215</v>
      </c>
      <c r="K71" s="250" t="s">
        <v>265</v>
      </c>
      <c r="L71" s="250" t="s">
        <v>266</v>
      </c>
      <c r="M71" s="219"/>
      <c r="N71" s="219" t="s">
        <v>52</v>
      </c>
      <c r="O71" s="13">
        <v>100</v>
      </c>
      <c r="P71" s="13">
        <v>90</v>
      </c>
      <c r="Q71" s="250"/>
      <c r="R71" s="300"/>
      <c r="S71" s="300"/>
      <c r="T71" s="300"/>
      <c r="U71" s="297" t="s">
        <v>628</v>
      </c>
      <c r="V71" s="298"/>
      <c r="W71" s="298"/>
      <c r="X71" s="288" t="s">
        <v>813</v>
      </c>
    </row>
    <row r="72" s="200" customFormat="1" customHeight="1" spans="1:24">
      <c r="A72" s="236" t="s">
        <v>267</v>
      </c>
      <c r="B72" s="237" t="s">
        <v>814</v>
      </c>
      <c r="C72" s="7">
        <f t="shared" si="4"/>
        <v>9</v>
      </c>
      <c r="D72" s="7" t="str">
        <f t="shared" si="5"/>
        <v>3112</v>
      </c>
      <c r="E72" s="7" t="str">
        <f t="shared" si="6"/>
        <v>311201</v>
      </c>
      <c r="F72" s="7" t="str">
        <f t="shared" si="7"/>
        <v>311201040</v>
      </c>
      <c r="G72" s="219" t="s">
        <v>35</v>
      </c>
      <c r="H72" s="219" t="s">
        <v>36</v>
      </c>
      <c r="I72" s="219" t="s">
        <v>198</v>
      </c>
      <c r="J72" s="219" t="s">
        <v>36</v>
      </c>
      <c r="K72" s="250" t="s">
        <v>268</v>
      </c>
      <c r="L72" s="258" t="s">
        <v>269</v>
      </c>
      <c r="M72" s="332"/>
      <c r="N72" s="236" t="s">
        <v>52</v>
      </c>
      <c r="O72" s="236" t="s">
        <v>815</v>
      </c>
      <c r="P72" s="333"/>
      <c r="Q72" s="345"/>
      <c r="R72" s="332"/>
      <c r="S72" s="229"/>
      <c r="T72" s="229"/>
      <c r="U72" s="307"/>
      <c r="V72" s="203"/>
      <c r="W72" s="203"/>
      <c r="X72" s="288"/>
    </row>
    <row r="73" s="200" customFormat="1" customHeight="1" spans="1:24">
      <c r="A73" s="236" t="s">
        <v>273</v>
      </c>
      <c r="B73" s="237" t="s">
        <v>816</v>
      </c>
      <c r="C73" s="7">
        <f t="shared" si="4"/>
        <v>9</v>
      </c>
      <c r="D73" s="7" t="str">
        <f t="shared" si="5"/>
        <v>3112</v>
      </c>
      <c r="E73" s="7" t="str">
        <f t="shared" si="6"/>
        <v>311201</v>
      </c>
      <c r="F73" s="7" t="str">
        <f t="shared" si="7"/>
        <v>311201041</v>
      </c>
      <c r="G73" s="219" t="s">
        <v>35</v>
      </c>
      <c r="H73" s="219" t="s">
        <v>36</v>
      </c>
      <c r="I73" s="219" t="s">
        <v>198</v>
      </c>
      <c r="J73" s="219" t="s">
        <v>36</v>
      </c>
      <c r="K73" s="250" t="s">
        <v>274</v>
      </c>
      <c r="L73" s="321" t="s">
        <v>817</v>
      </c>
      <c r="M73" s="267"/>
      <c r="N73" s="236" t="s">
        <v>52</v>
      </c>
      <c r="O73" s="236" t="s">
        <v>815</v>
      </c>
      <c r="P73" s="334"/>
      <c r="Q73" s="346"/>
      <c r="R73" s="267"/>
      <c r="S73" s="267"/>
      <c r="T73" s="267"/>
      <c r="U73" s="307"/>
      <c r="V73" s="203"/>
      <c r="W73" s="203"/>
      <c r="X73" s="288"/>
    </row>
    <row r="74" s="200" customFormat="1" customHeight="1" spans="1:24">
      <c r="A74" s="229" t="s">
        <v>276</v>
      </c>
      <c r="B74" s="237" t="s">
        <v>818</v>
      </c>
      <c r="C74" s="7">
        <f t="shared" si="4"/>
        <v>9</v>
      </c>
      <c r="D74" s="7" t="str">
        <f t="shared" si="5"/>
        <v>3112</v>
      </c>
      <c r="E74" s="7" t="str">
        <f t="shared" si="6"/>
        <v>311201</v>
      </c>
      <c r="F74" s="7" t="str">
        <f t="shared" si="7"/>
        <v>311201062</v>
      </c>
      <c r="G74" s="219" t="s">
        <v>35</v>
      </c>
      <c r="H74" s="219" t="s">
        <v>36</v>
      </c>
      <c r="I74" s="219" t="s">
        <v>198</v>
      </c>
      <c r="J74" s="219" t="s">
        <v>36</v>
      </c>
      <c r="K74" s="250" t="s">
        <v>277</v>
      </c>
      <c r="L74" s="258" t="s">
        <v>819</v>
      </c>
      <c r="M74" s="236"/>
      <c r="N74" s="245" t="s">
        <v>52</v>
      </c>
      <c r="O74" s="236" t="s">
        <v>815</v>
      </c>
      <c r="P74" s="236"/>
      <c r="Q74" s="347" t="s">
        <v>820</v>
      </c>
      <c r="R74" s="236"/>
      <c r="S74" s="236"/>
      <c r="T74" s="236"/>
      <c r="U74" s="307"/>
      <c r="V74" s="203"/>
      <c r="W74" s="203"/>
      <c r="X74" s="288"/>
    </row>
    <row r="75" customHeight="1" spans="1:24">
      <c r="A75" s="222" t="s">
        <v>281</v>
      </c>
      <c r="B75" s="223" t="s">
        <v>821</v>
      </c>
      <c r="C75" s="7">
        <f t="shared" si="4"/>
        <v>9</v>
      </c>
      <c r="D75" s="7" t="str">
        <f t="shared" si="5"/>
        <v>3114</v>
      </c>
      <c r="E75" s="7" t="str">
        <f t="shared" si="6"/>
        <v>311400</v>
      </c>
      <c r="F75" s="7" t="str">
        <f t="shared" si="7"/>
        <v>311400051</v>
      </c>
      <c r="G75" s="219" t="s">
        <v>35</v>
      </c>
      <c r="H75" s="219" t="s">
        <v>36</v>
      </c>
      <c r="I75" s="219" t="s">
        <v>188</v>
      </c>
      <c r="J75" s="219" t="s">
        <v>42</v>
      </c>
      <c r="K75" s="250" t="s">
        <v>282</v>
      </c>
      <c r="L75" s="250"/>
      <c r="M75" s="219"/>
      <c r="N75" s="219" t="s">
        <v>52</v>
      </c>
      <c r="O75" s="255" t="s">
        <v>822</v>
      </c>
      <c r="P75" s="255" t="s">
        <v>823</v>
      </c>
      <c r="Q75" s="250" t="s">
        <v>824</v>
      </c>
      <c r="R75" s="222" t="s">
        <v>27</v>
      </c>
      <c r="S75" s="279"/>
      <c r="T75" s="279"/>
      <c r="U75" s="286" t="s">
        <v>622</v>
      </c>
      <c r="V75" s="287"/>
      <c r="W75" s="287"/>
      <c r="X75" s="288" t="s">
        <v>809</v>
      </c>
    </row>
    <row r="76" customHeight="1" spans="1:24">
      <c r="A76" s="219"/>
      <c r="B76" s="3" t="s">
        <v>825</v>
      </c>
      <c r="C76" s="7">
        <f t="shared" si="4"/>
        <v>11</v>
      </c>
      <c r="D76" s="7" t="str">
        <f t="shared" si="5"/>
        <v>3114</v>
      </c>
      <c r="E76" s="7" t="str">
        <f t="shared" si="6"/>
        <v>311400</v>
      </c>
      <c r="F76" s="7" t="str">
        <f t="shared" si="7"/>
        <v>311400051</v>
      </c>
      <c r="G76" s="11" t="s">
        <v>35</v>
      </c>
      <c r="H76" s="11" t="s">
        <v>36</v>
      </c>
      <c r="I76" s="11" t="s">
        <v>188</v>
      </c>
      <c r="J76" s="11" t="s">
        <v>42</v>
      </c>
      <c r="K76" s="258" t="s">
        <v>284</v>
      </c>
      <c r="L76" s="258"/>
      <c r="M76" s="11"/>
      <c r="N76" s="11" t="s">
        <v>52</v>
      </c>
      <c r="O76" s="13">
        <v>80</v>
      </c>
      <c r="P76" s="13">
        <v>72</v>
      </c>
      <c r="Q76" s="258" t="s">
        <v>285</v>
      </c>
      <c r="R76" s="11"/>
      <c r="S76" s="343"/>
      <c r="T76" s="343"/>
      <c r="U76" s="286" t="s">
        <v>653</v>
      </c>
      <c r="V76" s="287"/>
      <c r="W76" s="287"/>
      <c r="X76" s="288"/>
    </row>
    <row r="77" s="199" customFormat="1" customHeight="1" spans="1:24">
      <c r="A77" s="228" t="s">
        <v>286</v>
      </c>
      <c r="B77" s="223" t="s">
        <v>826</v>
      </c>
      <c r="C77" s="7">
        <f t="shared" si="4"/>
        <v>9</v>
      </c>
      <c r="D77" s="7" t="str">
        <f t="shared" si="5"/>
        <v>3205</v>
      </c>
      <c r="E77" s="7" t="str">
        <f t="shared" si="6"/>
        <v>320500</v>
      </c>
      <c r="F77" s="7" t="str">
        <f t="shared" si="7"/>
        <v>320500001</v>
      </c>
      <c r="G77" s="219" t="s">
        <v>287</v>
      </c>
      <c r="H77" s="219" t="s">
        <v>215</v>
      </c>
      <c r="I77" s="219" t="s">
        <v>188</v>
      </c>
      <c r="J77" s="219" t="s">
        <v>42</v>
      </c>
      <c r="K77" s="250" t="s">
        <v>288</v>
      </c>
      <c r="L77" s="250"/>
      <c r="M77" s="219"/>
      <c r="N77" s="219" t="s">
        <v>52</v>
      </c>
      <c r="O77" s="255" t="s">
        <v>827</v>
      </c>
      <c r="P77" s="255" t="s">
        <v>828</v>
      </c>
      <c r="Q77" s="250" t="s">
        <v>829</v>
      </c>
      <c r="R77" s="228" t="s">
        <v>27</v>
      </c>
      <c r="S77" s="348">
        <v>0.2</v>
      </c>
      <c r="T77" s="300"/>
      <c r="U77" s="297" t="s">
        <v>640</v>
      </c>
      <c r="V77" s="298"/>
      <c r="W77" s="298"/>
      <c r="X77" s="288" t="s">
        <v>809</v>
      </c>
    </row>
    <row r="78" customHeight="1" spans="1:24">
      <c r="A78" s="222"/>
      <c r="B78" s="3" t="s">
        <v>830</v>
      </c>
      <c r="C78" s="7">
        <f t="shared" si="4"/>
        <v>11</v>
      </c>
      <c r="D78" s="7" t="str">
        <f t="shared" si="5"/>
        <v>3205</v>
      </c>
      <c r="E78" s="7" t="str">
        <f t="shared" si="6"/>
        <v>320500</v>
      </c>
      <c r="F78" s="7" t="str">
        <f t="shared" si="7"/>
        <v>320500001</v>
      </c>
      <c r="G78" s="11" t="s">
        <v>287</v>
      </c>
      <c r="H78" s="11" t="s">
        <v>215</v>
      </c>
      <c r="I78" s="11" t="s">
        <v>188</v>
      </c>
      <c r="J78" s="11" t="s">
        <v>42</v>
      </c>
      <c r="K78" s="266" t="s">
        <v>290</v>
      </c>
      <c r="L78" s="335" t="s">
        <v>291</v>
      </c>
      <c r="M78" s="11"/>
      <c r="N78" s="11" t="s">
        <v>52</v>
      </c>
      <c r="O78" s="13">
        <v>1000</v>
      </c>
      <c r="P78" s="13">
        <v>900</v>
      </c>
      <c r="Q78" s="258"/>
      <c r="R78" s="344" t="s">
        <v>27</v>
      </c>
      <c r="S78" s="349">
        <v>0.2</v>
      </c>
      <c r="T78" s="305"/>
      <c r="U78" s="286" t="s">
        <v>653</v>
      </c>
      <c r="V78" s="287"/>
      <c r="W78" s="287"/>
      <c r="X78" s="288"/>
    </row>
    <row r="79" customHeight="1" spans="1:24">
      <c r="A79" s="222"/>
      <c r="B79" s="3" t="s">
        <v>831</v>
      </c>
      <c r="C79" s="7">
        <f t="shared" si="4"/>
        <v>11</v>
      </c>
      <c r="D79" s="7" t="str">
        <f t="shared" si="5"/>
        <v>3205</v>
      </c>
      <c r="E79" s="7" t="str">
        <f t="shared" si="6"/>
        <v>320500</v>
      </c>
      <c r="F79" s="7" t="str">
        <f t="shared" si="7"/>
        <v>320500001</v>
      </c>
      <c r="G79" s="11" t="s">
        <v>287</v>
      </c>
      <c r="H79" s="11" t="s">
        <v>215</v>
      </c>
      <c r="I79" s="11" t="s">
        <v>188</v>
      </c>
      <c r="J79" s="11" t="s">
        <v>42</v>
      </c>
      <c r="K79" s="266" t="s">
        <v>292</v>
      </c>
      <c r="L79" s="335" t="s">
        <v>291</v>
      </c>
      <c r="M79" s="11"/>
      <c r="N79" s="11" t="s">
        <v>52</v>
      </c>
      <c r="O79" s="13">
        <f>O78*1.3</f>
        <v>1300</v>
      </c>
      <c r="P79" s="13">
        <f>P78*1.3</f>
        <v>1170</v>
      </c>
      <c r="Q79" s="258"/>
      <c r="R79" s="344" t="s">
        <v>27</v>
      </c>
      <c r="S79" s="349">
        <v>0.2</v>
      </c>
      <c r="T79" s="305"/>
      <c r="U79" s="286"/>
      <c r="V79" s="287"/>
      <c r="W79" s="287"/>
      <c r="X79" s="288"/>
    </row>
    <row r="80" customHeight="1" spans="1:24">
      <c r="A80" s="222"/>
      <c r="B80" s="3" t="s">
        <v>832</v>
      </c>
      <c r="C80" s="7">
        <f t="shared" si="4"/>
        <v>11</v>
      </c>
      <c r="D80" s="7" t="str">
        <f t="shared" si="5"/>
        <v>3300</v>
      </c>
      <c r="E80" s="7" t="str">
        <f t="shared" si="6"/>
        <v>330000</v>
      </c>
      <c r="F80" s="7" t="str">
        <f t="shared" si="7"/>
        <v>330000000</v>
      </c>
      <c r="G80" s="3" t="s">
        <v>287</v>
      </c>
      <c r="H80" s="3" t="s">
        <v>215</v>
      </c>
      <c r="I80" s="3" t="s">
        <v>188</v>
      </c>
      <c r="J80" s="3" t="s">
        <v>42</v>
      </c>
      <c r="K80" s="336" t="s">
        <v>298</v>
      </c>
      <c r="L80" s="336"/>
      <c r="M80" s="3"/>
      <c r="N80" s="3" t="s">
        <v>52</v>
      </c>
      <c r="O80" s="3" t="s">
        <v>833</v>
      </c>
      <c r="P80" s="3" t="s">
        <v>834</v>
      </c>
      <c r="Q80" s="336" t="s">
        <v>299</v>
      </c>
      <c r="R80" s="3" t="s">
        <v>27</v>
      </c>
      <c r="S80" s="3"/>
      <c r="T80" s="3"/>
      <c r="U80" s="286"/>
      <c r="V80" s="287"/>
      <c r="W80" s="287"/>
      <c r="X80" s="288"/>
    </row>
    <row r="81" customHeight="1" spans="1:24">
      <c r="A81" s="222"/>
      <c r="B81" s="3" t="s">
        <v>835</v>
      </c>
      <c r="C81" s="7">
        <f t="shared" si="4"/>
        <v>11</v>
      </c>
      <c r="D81" s="7" t="str">
        <f t="shared" si="5"/>
        <v>3300</v>
      </c>
      <c r="E81" s="7" t="str">
        <f t="shared" si="6"/>
        <v>330000</v>
      </c>
      <c r="F81" s="7" t="str">
        <f t="shared" si="7"/>
        <v>330000000</v>
      </c>
      <c r="G81" s="3" t="s">
        <v>287</v>
      </c>
      <c r="H81" s="3" t="s">
        <v>215</v>
      </c>
      <c r="I81" s="3" t="s">
        <v>188</v>
      </c>
      <c r="J81" s="3" t="s">
        <v>42</v>
      </c>
      <c r="K81" s="336" t="s">
        <v>300</v>
      </c>
      <c r="L81" s="336"/>
      <c r="M81" s="3"/>
      <c r="N81" s="3" t="s">
        <v>52</v>
      </c>
      <c r="O81" s="3" t="s">
        <v>803</v>
      </c>
      <c r="P81" s="3" t="s">
        <v>804</v>
      </c>
      <c r="Q81" s="336" t="s">
        <v>301</v>
      </c>
      <c r="R81" s="3" t="s">
        <v>27</v>
      </c>
      <c r="S81" s="3"/>
      <c r="T81" s="3"/>
      <c r="U81" s="286"/>
      <c r="V81" s="287"/>
      <c r="W81" s="287"/>
      <c r="X81" s="288"/>
    </row>
    <row r="82" customHeight="1" spans="1:24">
      <c r="A82" s="220" t="s">
        <v>307</v>
      </c>
      <c r="B82" s="237" t="s">
        <v>836</v>
      </c>
      <c r="C82" s="7">
        <f t="shared" si="4"/>
        <v>9</v>
      </c>
      <c r="D82" s="7" t="str">
        <f t="shared" si="5"/>
        <v>3301</v>
      </c>
      <c r="E82" s="7" t="str">
        <f t="shared" si="6"/>
        <v>330100</v>
      </c>
      <c r="F82" s="7" t="str">
        <f t="shared" si="7"/>
        <v>330100005</v>
      </c>
      <c r="G82" s="239" t="s">
        <v>287</v>
      </c>
      <c r="H82" s="239" t="s">
        <v>215</v>
      </c>
      <c r="I82" s="239" t="s">
        <v>188</v>
      </c>
      <c r="J82" s="239" t="s">
        <v>42</v>
      </c>
      <c r="K82" s="282" t="s">
        <v>308</v>
      </c>
      <c r="L82" s="282" t="s">
        <v>309</v>
      </c>
      <c r="M82" s="239" t="s">
        <v>310</v>
      </c>
      <c r="N82" s="239" t="s">
        <v>311</v>
      </c>
      <c r="O82" s="237" t="s">
        <v>837</v>
      </c>
      <c r="P82" s="237" t="s">
        <v>838</v>
      </c>
      <c r="Q82" s="282" t="s">
        <v>839</v>
      </c>
      <c r="R82" s="313" t="s">
        <v>27</v>
      </c>
      <c r="S82" s="313"/>
      <c r="T82" s="313"/>
      <c r="U82" s="286"/>
      <c r="V82" s="287"/>
      <c r="W82" s="287"/>
      <c r="X82" s="288"/>
    </row>
    <row r="83" customHeight="1" spans="1:24">
      <c r="A83" s="329"/>
      <c r="B83" s="238" t="s">
        <v>840</v>
      </c>
      <c r="C83" s="7">
        <f t="shared" si="4"/>
        <v>11</v>
      </c>
      <c r="D83" s="7" t="str">
        <f t="shared" si="5"/>
        <v>3301</v>
      </c>
      <c r="E83" s="7" t="str">
        <f t="shared" si="6"/>
        <v>330100</v>
      </c>
      <c r="F83" s="7" t="str">
        <f t="shared" si="7"/>
        <v>330100005</v>
      </c>
      <c r="G83" s="227" t="s">
        <v>287</v>
      </c>
      <c r="H83" s="227" t="s">
        <v>215</v>
      </c>
      <c r="I83" s="227" t="s">
        <v>188</v>
      </c>
      <c r="J83" s="227" t="s">
        <v>42</v>
      </c>
      <c r="K83" s="257" t="s">
        <v>841</v>
      </c>
      <c r="L83" s="257"/>
      <c r="M83" s="227"/>
      <c r="N83" s="227" t="s">
        <v>311</v>
      </c>
      <c r="O83" s="238" t="s">
        <v>842</v>
      </c>
      <c r="P83" s="238" t="s">
        <v>843</v>
      </c>
      <c r="Q83" s="257" t="s">
        <v>844</v>
      </c>
      <c r="R83" s="301" t="s">
        <v>27</v>
      </c>
      <c r="S83" s="350"/>
      <c r="T83" s="350"/>
      <c r="U83" s="286"/>
      <c r="V83" s="287"/>
      <c r="W83" s="287"/>
      <c r="X83" s="288"/>
    </row>
    <row r="84" customHeight="1" spans="1:24">
      <c r="A84" s="329"/>
      <c r="B84" s="238" t="s">
        <v>845</v>
      </c>
      <c r="C84" s="7">
        <f t="shared" si="4"/>
        <v>11</v>
      </c>
      <c r="D84" s="7" t="str">
        <f t="shared" si="5"/>
        <v>3301</v>
      </c>
      <c r="E84" s="7" t="str">
        <f t="shared" si="6"/>
        <v>330100</v>
      </c>
      <c r="F84" s="7" t="str">
        <f t="shared" si="7"/>
        <v>330100005</v>
      </c>
      <c r="G84" s="227" t="s">
        <v>287</v>
      </c>
      <c r="H84" s="227" t="s">
        <v>215</v>
      </c>
      <c r="I84" s="227" t="s">
        <v>188</v>
      </c>
      <c r="J84" s="227" t="s">
        <v>42</v>
      </c>
      <c r="K84" s="257" t="s">
        <v>846</v>
      </c>
      <c r="L84" s="257"/>
      <c r="M84" s="227"/>
      <c r="N84" s="227" t="s">
        <v>311</v>
      </c>
      <c r="O84" s="238" t="s">
        <v>847</v>
      </c>
      <c r="P84" s="238" t="s">
        <v>848</v>
      </c>
      <c r="Q84" s="257" t="s">
        <v>844</v>
      </c>
      <c r="R84" s="301" t="s">
        <v>27</v>
      </c>
      <c r="S84" s="350"/>
      <c r="T84" s="350"/>
      <c r="U84" s="286"/>
      <c r="V84" s="287"/>
      <c r="W84" s="287"/>
      <c r="X84" s="288"/>
    </row>
    <row r="85" s="203" customFormat="1" customHeight="1" spans="1:24">
      <c r="A85" s="222"/>
      <c r="B85" s="234" t="s">
        <v>849</v>
      </c>
      <c r="C85" s="7">
        <f t="shared" si="4"/>
        <v>9</v>
      </c>
      <c r="D85" s="7" t="str">
        <f t="shared" si="5"/>
        <v>3304</v>
      </c>
      <c r="E85" s="7" t="str">
        <f t="shared" si="6"/>
        <v>330402</v>
      </c>
      <c r="F85" s="7" t="str">
        <f t="shared" si="7"/>
        <v>330402007</v>
      </c>
      <c r="G85" s="219" t="s">
        <v>287</v>
      </c>
      <c r="H85" s="219" t="s">
        <v>215</v>
      </c>
      <c r="I85" s="219" t="s">
        <v>188</v>
      </c>
      <c r="J85" s="219" t="s">
        <v>42</v>
      </c>
      <c r="K85" s="337" t="s">
        <v>337</v>
      </c>
      <c r="L85" s="250"/>
      <c r="M85" s="219"/>
      <c r="N85" s="219" t="s">
        <v>52</v>
      </c>
      <c r="O85" s="234" t="s">
        <v>850</v>
      </c>
      <c r="P85" s="234" t="s">
        <v>851</v>
      </c>
      <c r="Q85" s="250" t="s">
        <v>852</v>
      </c>
      <c r="R85" s="313" t="s">
        <v>27</v>
      </c>
      <c r="S85" s="305"/>
      <c r="T85" s="305"/>
      <c r="U85" s="286"/>
      <c r="V85" s="287"/>
      <c r="W85" s="287"/>
      <c r="X85" s="288"/>
    </row>
    <row r="86" s="203" customFormat="1" customHeight="1" spans="1:24">
      <c r="A86" s="222"/>
      <c r="B86" s="234" t="s">
        <v>853</v>
      </c>
      <c r="C86" s="7">
        <f t="shared" si="4"/>
        <v>11</v>
      </c>
      <c r="D86" s="7" t="str">
        <f t="shared" si="5"/>
        <v>3304</v>
      </c>
      <c r="E86" s="7" t="str">
        <f t="shared" si="6"/>
        <v>330402</v>
      </c>
      <c r="F86" s="7" t="str">
        <f t="shared" si="7"/>
        <v>330402007</v>
      </c>
      <c r="G86" s="219" t="s">
        <v>287</v>
      </c>
      <c r="H86" s="219" t="s">
        <v>215</v>
      </c>
      <c r="I86" s="219" t="s">
        <v>188</v>
      </c>
      <c r="J86" s="219" t="s">
        <v>42</v>
      </c>
      <c r="K86" s="250" t="s">
        <v>854</v>
      </c>
      <c r="L86" s="250"/>
      <c r="M86" s="219"/>
      <c r="N86" s="219" t="s">
        <v>52</v>
      </c>
      <c r="O86" s="234" t="s">
        <v>855</v>
      </c>
      <c r="P86" s="234" t="s">
        <v>856</v>
      </c>
      <c r="Q86" s="250"/>
      <c r="R86" s="313" t="s">
        <v>27</v>
      </c>
      <c r="S86" s="305"/>
      <c r="T86" s="305"/>
      <c r="U86" s="286"/>
      <c r="V86" s="287"/>
      <c r="W86" s="287"/>
      <c r="X86" s="288"/>
    </row>
    <row r="87" s="203" customFormat="1" customHeight="1" spans="1:24">
      <c r="A87" s="222"/>
      <c r="B87" s="234" t="s">
        <v>857</v>
      </c>
      <c r="C87" s="7">
        <f t="shared" si="4"/>
        <v>11</v>
      </c>
      <c r="D87" s="7" t="str">
        <f t="shared" si="5"/>
        <v>3304</v>
      </c>
      <c r="E87" s="7" t="str">
        <f t="shared" si="6"/>
        <v>330402</v>
      </c>
      <c r="F87" s="7" t="str">
        <f t="shared" si="7"/>
        <v>330402007</v>
      </c>
      <c r="G87" s="223" t="s">
        <v>287</v>
      </c>
      <c r="H87" s="223" t="s">
        <v>215</v>
      </c>
      <c r="I87" s="223" t="s">
        <v>188</v>
      </c>
      <c r="J87" s="223" t="s">
        <v>42</v>
      </c>
      <c r="K87" s="336" t="s">
        <v>339</v>
      </c>
      <c r="L87" s="338"/>
      <c r="M87" s="223"/>
      <c r="N87" s="223" t="s">
        <v>52</v>
      </c>
      <c r="O87" s="223">
        <v>600</v>
      </c>
      <c r="P87" s="223">
        <v>540</v>
      </c>
      <c r="Q87" s="351"/>
      <c r="R87" s="352" t="s">
        <v>27</v>
      </c>
      <c r="S87" s="305"/>
      <c r="T87" s="305"/>
      <c r="U87" s="286"/>
      <c r="V87" s="287"/>
      <c r="W87" s="287"/>
      <c r="X87" s="288"/>
    </row>
    <row r="88" s="203" customFormat="1" customHeight="1" spans="1:24">
      <c r="A88" s="222" t="s">
        <v>345</v>
      </c>
      <c r="B88" s="223" t="s">
        <v>858</v>
      </c>
      <c r="C88" s="7">
        <f t="shared" si="4"/>
        <v>9</v>
      </c>
      <c r="D88" s="7" t="str">
        <f t="shared" si="5"/>
        <v>3304</v>
      </c>
      <c r="E88" s="7" t="str">
        <f t="shared" si="6"/>
        <v>330406</v>
      </c>
      <c r="F88" s="7" t="str">
        <f t="shared" si="7"/>
        <v>330406005</v>
      </c>
      <c r="G88" s="219" t="s">
        <v>287</v>
      </c>
      <c r="H88" s="219" t="s">
        <v>215</v>
      </c>
      <c r="I88" s="219" t="s">
        <v>188</v>
      </c>
      <c r="J88" s="219" t="s">
        <v>42</v>
      </c>
      <c r="K88" s="250" t="s">
        <v>346</v>
      </c>
      <c r="L88" s="250" t="s">
        <v>859</v>
      </c>
      <c r="M88" s="219" t="s">
        <v>348</v>
      </c>
      <c r="N88" s="219" t="s">
        <v>52</v>
      </c>
      <c r="O88" s="255" t="s">
        <v>860</v>
      </c>
      <c r="P88" s="255" t="s">
        <v>861</v>
      </c>
      <c r="Q88" s="250"/>
      <c r="R88" s="222" t="s">
        <v>27</v>
      </c>
      <c r="S88" s="279"/>
      <c r="T88" s="279"/>
      <c r="U88" s="286" t="s">
        <v>622</v>
      </c>
      <c r="V88" s="287"/>
      <c r="W88" s="287"/>
      <c r="X88" s="288" t="s">
        <v>805</v>
      </c>
    </row>
    <row r="89" s="203" customFormat="1" customHeight="1" spans="1:24">
      <c r="A89" s="222"/>
      <c r="B89" s="3" t="s">
        <v>862</v>
      </c>
      <c r="C89" s="7">
        <f t="shared" si="4"/>
        <v>11</v>
      </c>
      <c r="D89" s="7" t="str">
        <f t="shared" si="5"/>
        <v>3304</v>
      </c>
      <c r="E89" s="7" t="str">
        <f t="shared" si="6"/>
        <v>330406</v>
      </c>
      <c r="F89" s="7" t="str">
        <f t="shared" si="7"/>
        <v>330406005</v>
      </c>
      <c r="G89" s="2" t="s">
        <v>287</v>
      </c>
      <c r="H89" s="2" t="s">
        <v>215</v>
      </c>
      <c r="I89" s="2" t="s">
        <v>188</v>
      </c>
      <c r="J89" s="2" t="s">
        <v>42</v>
      </c>
      <c r="K89" s="339" t="s">
        <v>349</v>
      </c>
      <c r="L89" s="340"/>
      <c r="M89" s="234"/>
      <c r="N89" s="234" t="s">
        <v>52</v>
      </c>
      <c r="O89" s="255" t="s">
        <v>860</v>
      </c>
      <c r="P89" s="255" t="s">
        <v>861</v>
      </c>
      <c r="Q89" s="340"/>
      <c r="R89" s="2" t="s">
        <v>27</v>
      </c>
      <c r="S89" s="234"/>
      <c r="T89" s="279"/>
      <c r="U89" s="286"/>
      <c r="V89" s="287"/>
      <c r="W89" s="287"/>
      <c r="X89" s="288"/>
    </row>
    <row r="90" s="203" customFormat="1" customHeight="1" spans="1:24">
      <c r="A90" s="222"/>
      <c r="B90" s="3">
        <v>33040600503</v>
      </c>
      <c r="C90" s="7">
        <f t="shared" si="4"/>
        <v>11</v>
      </c>
      <c r="D90" s="7" t="str">
        <f t="shared" si="5"/>
        <v>3304</v>
      </c>
      <c r="E90" s="7" t="str">
        <f t="shared" si="6"/>
        <v>330406</v>
      </c>
      <c r="F90" s="7" t="str">
        <f t="shared" si="7"/>
        <v>330406005</v>
      </c>
      <c r="G90" s="2" t="s">
        <v>287</v>
      </c>
      <c r="H90" s="2" t="s">
        <v>215</v>
      </c>
      <c r="I90" s="2" t="s">
        <v>188</v>
      </c>
      <c r="J90" s="2" t="s">
        <v>42</v>
      </c>
      <c r="K90" s="339" t="s">
        <v>350</v>
      </c>
      <c r="L90" s="340"/>
      <c r="M90" s="234"/>
      <c r="N90" s="234" t="s">
        <v>52</v>
      </c>
      <c r="O90" s="237" t="s">
        <v>863</v>
      </c>
      <c r="P90" s="237" t="s">
        <v>864</v>
      </c>
      <c r="Q90" s="340"/>
      <c r="R90" s="2" t="s">
        <v>27</v>
      </c>
      <c r="S90" s="234"/>
      <c r="T90" s="279"/>
      <c r="U90" s="286"/>
      <c r="V90" s="287"/>
      <c r="W90" s="287"/>
      <c r="X90" s="288"/>
    </row>
    <row r="91" s="203" customFormat="1" customHeight="1" spans="1:24">
      <c r="A91" s="222" t="s">
        <v>351</v>
      </c>
      <c r="B91" s="223" t="s">
        <v>865</v>
      </c>
      <c r="C91" s="7">
        <f t="shared" si="4"/>
        <v>9</v>
      </c>
      <c r="D91" s="7" t="str">
        <f t="shared" si="5"/>
        <v>3304</v>
      </c>
      <c r="E91" s="7" t="str">
        <f t="shared" si="6"/>
        <v>330407</v>
      </c>
      <c r="F91" s="7" t="str">
        <f t="shared" si="7"/>
        <v>330407005</v>
      </c>
      <c r="G91" s="219" t="s">
        <v>287</v>
      </c>
      <c r="H91" s="219" t="s">
        <v>215</v>
      </c>
      <c r="I91" s="219" t="s">
        <v>188</v>
      </c>
      <c r="J91" s="219" t="s">
        <v>42</v>
      </c>
      <c r="K91" s="250" t="s">
        <v>352</v>
      </c>
      <c r="L91" s="250" t="s">
        <v>353</v>
      </c>
      <c r="M91" s="219" t="s">
        <v>866</v>
      </c>
      <c r="N91" s="219" t="s">
        <v>52</v>
      </c>
      <c r="O91" s="255" t="s">
        <v>867</v>
      </c>
      <c r="P91" s="255" t="s">
        <v>657</v>
      </c>
      <c r="Q91" s="250" t="s">
        <v>868</v>
      </c>
      <c r="R91" s="222" t="s">
        <v>27</v>
      </c>
      <c r="S91" s="300"/>
      <c r="T91" s="300"/>
      <c r="U91" s="286" t="s">
        <v>869</v>
      </c>
      <c r="V91" s="287"/>
      <c r="W91" s="287"/>
      <c r="X91" s="288" t="s">
        <v>870</v>
      </c>
    </row>
    <row r="92" s="203" customFormat="1" customHeight="1" spans="1:24">
      <c r="A92" s="222"/>
      <c r="B92" s="3" t="s">
        <v>871</v>
      </c>
      <c r="C92" s="7">
        <f t="shared" si="4"/>
        <v>11</v>
      </c>
      <c r="D92" s="7" t="str">
        <f t="shared" si="5"/>
        <v>3304</v>
      </c>
      <c r="E92" s="7" t="str">
        <f t="shared" si="6"/>
        <v>330407</v>
      </c>
      <c r="F92" s="7" t="str">
        <f t="shared" si="7"/>
        <v>330407005</v>
      </c>
      <c r="G92" s="11" t="s">
        <v>287</v>
      </c>
      <c r="H92" s="11" t="s">
        <v>215</v>
      </c>
      <c r="I92" s="11" t="s">
        <v>188</v>
      </c>
      <c r="J92" s="11" t="s">
        <v>42</v>
      </c>
      <c r="K92" s="258" t="s">
        <v>356</v>
      </c>
      <c r="L92" s="258"/>
      <c r="M92" s="11" t="s">
        <v>358</v>
      </c>
      <c r="N92" s="11" t="s">
        <v>52</v>
      </c>
      <c r="O92" s="13" t="s">
        <v>867</v>
      </c>
      <c r="P92" s="13" t="s">
        <v>657</v>
      </c>
      <c r="Q92" s="258"/>
      <c r="R92" s="253" t="s">
        <v>27</v>
      </c>
      <c r="S92" s="305"/>
      <c r="T92" s="305"/>
      <c r="U92" s="286"/>
      <c r="V92" s="287"/>
      <c r="W92" s="287"/>
      <c r="X92" s="288"/>
    </row>
    <row r="93" s="203" customFormat="1" customHeight="1" spans="1:24">
      <c r="A93" s="222"/>
      <c r="B93" s="3">
        <v>33040700505</v>
      </c>
      <c r="C93" s="7">
        <f t="shared" si="4"/>
        <v>11</v>
      </c>
      <c r="D93" s="7" t="str">
        <f t="shared" si="5"/>
        <v>3304</v>
      </c>
      <c r="E93" s="7" t="str">
        <f t="shared" si="6"/>
        <v>330407</v>
      </c>
      <c r="F93" s="7" t="str">
        <f t="shared" si="7"/>
        <v>330407005</v>
      </c>
      <c r="G93" s="11" t="s">
        <v>287</v>
      </c>
      <c r="H93" s="11" t="s">
        <v>215</v>
      </c>
      <c r="I93" s="11" t="s">
        <v>188</v>
      </c>
      <c r="J93" s="11" t="s">
        <v>42</v>
      </c>
      <c r="K93" s="258" t="s">
        <v>359</v>
      </c>
      <c r="L93" s="258"/>
      <c r="M93" s="11" t="s">
        <v>358</v>
      </c>
      <c r="N93" s="11" t="s">
        <v>52</v>
      </c>
      <c r="O93" s="13">
        <f>O92*1.3</f>
        <v>5850</v>
      </c>
      <c r="P93" s="13">
        <f>P92*1.3</f>
        <v>4914</v>
      </c>
      <c r="Q93" s="258"/>
      <c r="R93" s="253" t="s">
        <v>27</v>
      </c>
      <c r="S93" s="305"/>
      <c r="T93" s="305"/>
      <c r="U93" s="286"/>
      <c r="V93" s="287"/>
      <c r="W93" s="287"/>
      <c r="X93" s="288"/>
    </row>
    <row r="94" s="203" customFormat="1" customHeight="1" spans="1:24">
      <c r="A94" s="222"/>
      <c r="B94" s="234" t="s">
        <v>872</v>
      </c>
      <c r="C94" s="7">
        <f t="shared" si="4"/>
        <v>9</v>
      </c>
      <c r="D94" s="7" t="str">
        <f t="shared" si="5"/>
        <v>3305</v>
      </c>
      <c r="E94" s="7" t="str">
        <f t="shared" si="6"/>
        <v>330501</v>
      </c>
      <c r="F94" s="7" t="str">
        <f t="shared" si="7"/>
        <v>330501013</v>
      </c>
      <c r="G94" s="219" t="s">
        <v>287</v>
      </c>
      <c r="H94" s="219" t="s">
        <v>215</v>
      </c>
      <c r="I94" s="219" t="s">
        <v>188</v>
      </c>
      <c r="J94" s="219" t="s">
        <v>42</v>
      </c>
      <c r="K94" s="250" t="s">
        <v>361</v>
      </c>
      <c r="L94" s="250"/>
      <c r="M94" s="219"/>
      <c r="N94" s="219" t="s">
        <v>52</v>
      </c>
      <c r="O94" s="234" t="s">
        <v>873</v>
      </c>
      <c r="P94" s="234" t="s">
        <v>855</v>
      </c>
      <c r="Q94" s="250" t="s">
        <v>852</v>
      </c>
      <c r="R94" s="313" t="s">
        <v>27</v>
      </c>
      <c r="S94" s="305"/>
      <c r="T94" s="305"/>
      <c r="U94" s="286"/>
      <c r="V94" s="287"/>
      <c r="W94" s="287"/>
      <c r="X94" s="288"/>
    </row>
    <row r="95" s="203" customFormat="1" customHeight="1" spans="1:24">
      <c r="A95" s="222"/>
      <c r="B95" s="2" t="s">
        <v>874</v>
      </c>
      <c r="C95" s="7">
        <f t="shared" si="4"/>
        <v>11</v>
      </c>
      <c r="D95" s="7" t="str">
        <f t="shared" si="5"/>
        <v>3305</v>
      </c>
      <c r="E95" s="7" t="str">
        <f t="shared" si="6"/>
        <v>330501</v>
      </c>
      <c r="F95" s="7" t="str">
        <f t="shared" si="7"/>
        <v>330501013</v>
      </c>
      <c r="G95" s="3" t="s">
        <v>287</v>
      </c>
      <c r="H95" s="3" t="s">
        <v>215</v>
      </c>
      <c r="I95" s="3" t="s">
        <v>188</v>
      </c>
      <c r="J95" s="3" t="s">
        <v>42</v>
      </c>
      <c r="K95" s="336" t="s">
        <v>362</v>
      </c>
      <c r="L95" s="336"/>
      <c r="M95" s="3"/>
      <c r="N95" s="3" t="s">
        <v>52</v>
      </c>
      <c r="O95" s="3">
        <v>600</v>
      </c>
      <c r="P95" s="3">
        <v>540</v>
      </c>
      <c r="Q95" s="336"/>
      <c r="R95" s="353" t="s">
        <v>27</v>
      </c>
      <c r="S95" s="305"/>
      <c r="T95" s="305"/>
      <c r="U95" s="286"/>
      <c r="V95" s="287"/>
      <c r="W95" s="287"/>
      <c r="X95" s="288"/>
    </row>
    <row r="96" s="203" customFormat="1" customHeight="1" spans="1:24">
      <c r="A96" s="222"/>
      <c r="B96" s="234" t="s">
        <v>875</v>
      </c>
      <c r="C96" s="7">
        <f t="shared" si="4"/>
        <v>9</v>
      </c>
      <c r="D96" s="7" t="str">
        <f t="shared" si="5"/>
        <v>3305</v>
      </c>
      <c r="E96" s="7" t="str">
        <f t="shared" si="6"/>
        <v>330502</v>
      </c>
      <c r="F96" s="7" t="str">
        <f t="shared" si="7"/>
        <v>330502005</v>
      </c>
      <c r="G96" s="219" t="s">
        <v>287</v>
      </c>
      <c r="H96" s="219" t="s">
        <v>215</v>
      </c>
      <c r="I96" s="219" t="s">
        <v>188</v>
      </c>
      <c r="J96" s="219" t="s">
        <v>42</v>
      </c>
      <c r="K96" s="250" t="s">
        <v>364</v>
      </c>
      <c r="L96" s="250" t="s">
        <v>365</v>
      </c>
      <c r="M96" s="219" t="s">
        <v>366</v>
      </c>
      <c r="N96" s="219" t="s">
        <v>52</v>
      </c>
      <c r="O96" s="234" t="s">
        <v>876</v>
      </c>
      <c r="P96" s="234" t="s">
        <v>877</v>
      </c>
      <c r="Q96" s="250" t="s">
        <v>852</v>
      </c>
      <c r="R96" s="313" t="s">
        <v>27</v>
      </c>
      <c r="S96" s="305"/>
      <c r="T96" s="305"/>
      <c r="U96" s="286"/>
      <c r="V96" s="287"/>
      <c r="W96" s="287"/>
      <c r="X96" s="288"/>
    </row>
    <row r="97" s="203" customFormat="1" customHeight="1" spans="1:24">
      <c r="A97" s="222"/>
      <c r="B97" s="2" t="s">
        <v>878</v>
      </c>
      <c r="C97" s="7">
        <f t="shared" si="4"/>
        <v>11</v>
      </c>
      <c r="D97" s="7" t="str">
        <f t="shared" si="5"/>
        <v>3305</v>
      </c>
      <c r="E97" s="7" t="str">
        <f t="shared" si="6"/>
        <v>330502</v>
      </c>
      <c r="F97" s="7" t="str">
        <f t="shared" si="7"/>
        <v>330502005</v>
      </c>
      <c r="G97" s="3" t="s">
        <v>287</v>
      </c>
      <c r="H97" s="3" t="s">
        <v>215</v>
      </c>
      <c r="I97" s="3" t="s">
        <v>188</v>
      </c>
      <c r="J97" s="3" t="s">
        <v>42</v>
      </c>
      <c r="K97" s="336" t="s">
        <v>367</v>
      </c>
      <c r="L97" s="336"/>
      <c r="M97" s="3"/>
      <c r="N97" s="3" t="s">
        <v>52</v>
      </c>
      <c r="O97" s="3">
        <v>600</v>
      </c>
      <c r="P97" s="3">
        <v>540</v>
      </c>
      <c r="Q97" s="336"/>
      <c r="R97" s="353" t="s">
        <v>27</v>
      </c>
      <c r="S97" s="305"/>
      <c r="T97" s="305"/>
      <c r="U97" s="286"/>
      <c r="V97" s="287"/>
      <c r="W97" s="287"/>
      <c r="X97" s="288"/>
    </row>
    <row r="98" s="203" customFormat="1" customHeight="1" spans="1:24">
      <c r="A98" s="222"/>
      <c r="B98" s="234" t="s">
        <v>879</v>
      </c>
      <c r="C98" s="7">
        <f t="shared" si="4"/>
        <v>9</v>
      </c>
      <c r="D98" s="7" t="str">
        <f t="shared" si="5"/>
        <v>3305</v>
      </c>
      <c r="E98" s="7" t="str">
        <f t="shared" si="6"/>
        <v>330502</v>
      </c>
      <c r="F98" s="7" t="str">
        <f t="shared" si="7"/>
        <v>330502014</v>
      </c>
      <c r="G98" s="219" t="s">
        <v>287</v>
      </c>
      <c r="H98" s="219" t="s">
        <v>215</v>
      </c>
      <c r="I98" s="219" t="s">
        <v>188</v>
      </c>
      <c r="J98" s="219" t="s">
        <v>42</v>
      </c>
      <c r="K98" s="250" t="s">
        <v>369</v>
      </c>
      <c r="L98" s="250" t="s">
        <v>370</v>
      </c>
      <c r="M98" s="219"/>
      <c r="N98" s="219" t="s">
        <v>52</v>
      </c>
      <c r="O98" s="234" t="s">
        <v>880</v>
      </c>
      <c r="P98" s="234" t="s">
        <v>881</v>
      </c>
      <c r="Q98" s="250" t="s">
        <v>852</v>
      </c>
      <c r="R98" s="313" t="s">
        <v>27</v>
      </c>
      <c r="S98" s="305"/>
      <c r="T98" s="305"/>
      <c r="U98" s="286"/>
      <c r="V98" s="287"/>
      <c r="W98" s="287"/>
      <c r="X98" s="288"/>
    </row>
    <row r="99" s="203" customFormat="1" customHeight="1" spans="1:24">
      <c r="A99" s="222"/>
      <c r="B99" s="2" t="s">
        <v>882</v>
      </c>
      <c r="C99" s="7">
        <f t="shared" si="4"/>
        <v>11</v>
      </c>
      <c r="D99" s="7" t="str">
        <f t="shared" si="5"/>
        <v>3305</v>
      </c>
      <c r="E99" s="7" t="str">
        <f t="shared" si="6"/>
        <v>330502</v>
      </c>
      <c r="F99" s="7" t="str">
        <f t="shared" si="7"/>
        <v>330502014</v>
      </c>
      <c r="G99" s="3" t="s">
        <v>287</v>
      </c>
      <c r="H99" s="3" t="s">
        <v>215</v>
      </c>
      <c r="I99" s="3" t="s">
        <v>188</v>
      </c>
      <c r="J99" s="3" t="s">
        <v>42</v>
      </c>
      <c r="K99" s="336" t="s">
        <v>371</v>
      </c>
      <c r="L99" s="336"/>
      <c r="M99" s="3"/>
      <c r="N99" s="3" t="s">
        <v>52</v>
      </c>
      <c r="O99" s="3">
        <v>600</v>
      </c>
      <c r="P99" s="3">
        <v>540</v>
      </c>
      <c r="Q99" s="354"/>
      <c r="R99" s="353" t="s">
        <v>27</v>
      </c>
      <c r="S99" s="305"/>
      <c r="T99" s="305"/>
      <c r="U99" s="286"/>
      <c r="V99" s="287"/>
      <c r="W99" s="287"/>
      <c r="X99" s="288"/>
    </row>
    <row r="100" s="203" customFormat="1" customHeight="1" spans="1:24">
      <c r="A100" s="222"/>
      <c r="B100" s="234" t="s">
        <v>883</v>
      </c>
      <c r="C100" s="7">
        <f t="shared" si="4"/>
        <v>9</v>
      </c>
      <c r="D100" s="7" t="str">
        <f t="shared" si="5"/>
        <v>3305</v>
      </c>
      <c r="E100" s="7" t="str">
        <f t="shared" si="6"/>
        <v>330502</v>
      </c>
      <c r="F100" s="7" t="str">
        <f t="shared" si="7"/>
        <v>330502016</v>
      </c>
      <c r="G100" s="219" t="s">
        <v>287</v>
      </c>
      <c r="H100" s="219" t="s">
        <v>215</v>
      </c>
      <c r="I100" s="219" t="s">
        <v>188</v>
      </c>
      <c r="J100" s="219" t="s">
        <v>42</v>
      </c>
      <c r="K100" s="250" t="s">
        <v>373</v>
      </c>
      <c r="L100" s="250" t="s">
        <v>374</v>
      </c>
      <c r="M100" s="219"/>
      <c r="N100" s="219" t="s">
        <v>52</v>
      </c>
      <c r="O100" s="234" t="s">
        <v>861</v>
      </c>
      <c r="P100" s="234" t="s">
        <v>884</v>
      </c>
      <c r="Q100" s="250" t="s">
        <v>852</v>
      </c>
      <c r="R100" s="313" t="s">
        <v>27</v>
      </c>
      <c r="S100" s="305"/>
      <c r="T100" s="305"/>
      <c r="U100" s="286"/>
      <c r="V100" s="287"/>
      <c r="W100" s="287"/>
      <c r="X100" s="288"/>
    </row>
    <row r="101" s="203" customFormat="1" customHeight="1" spans="1:24">
      <c r="A101" s="222"/>
      <c r="B101" s="2" t="s">
        <v>885</v>
      </c>
      <c r="C101" s="7">
        <f t="shared" si="4"/>
        <v>11</v>
      </c>
      <c r="D101" s="7" t="str">
        <f t="shared" si="5"/>
        <v>3305</v>
      </c>
      <c r="E101" s="7" t="str">
        <f t="shared" si="6"/>
        <v>330502</v>
      </c>
      <c r="F101" s="7" t="str">
        <f t="shared" si="7"/>
        <v>330502016</v>
      </c>
      <c r="G101" s="3" t="s">
        <v>287</v>
      </c>
      <c r="H101" s="3" t="s">
        <v>215</v>
      </c>
      <c r="I101" s="3" t="s">
        <v>188</v>
      </c>
      <c r="J101" s="3" t="s">
        <v>42</v>
      </c>
      <c r="K101" s="336" t="s">
        <v>375</v>
      </c>
      <c r="L101" s="336"/>
      <c r="M101" s="3"/>
      <c r="N101" s="3" t="s">
        <v>52</v>
      </c>
      <c r="O101" s="3">
        <v>600</v>
      </c>
      <c r="P101" s="3">
        <v>540</v>
      </c>
      <c r="Q101" s="336"/>
      <c r="R101" s="353" t="s">
        <v>27</v>
      </c>
      <c r="S101" s="305"/>
      <c r="T101" s="305"/>
      <c r="U101" s="286"/>
      <c r="V101" s="287"/>
      <c r="W101" s="287"/>
      <c r="X101" s="288"/>
    </row>
    <row r="102" s="203" customFormat="1" customHeight="1" spans="1:24">
      <c r="A102" s="222"/>
      <c r="B102" s="234" t="s">
        <v>886</v>
      </c>
      <c r="C102" s="7">
        <f t="shared" si="4"/>
        <v>9</v>
      </c>
      <c r="D102" s="7" t="str">
        <f t="shared" si="5"/>
        <v>3305</v>
      </c>
      <c r="E102" s="7" t="str">
        <f t="shared" si="6"/>
        <v>330502</v>
      </c>
      <c r="F102" s="7" t="str">
        <f t="shared" si="7"/>
        <v>330502018</v>
      </c>
      <c r="G102" s="219" t="s">
        <v>287</v>
      </c>
      <c r="H102" s="219" t="s">
        <v>215</v>
      </c>
      <c r="I102" s="219" t="s">
        <v>188</v>
      </c>
      <c r="J102" s="219" t="s">
        <v>42</v>
      </c>
      <c r="K102" s="250" t="s">
        <v>377</v>
      </c>
      <c r="L102" s="250" t="s">
        <v>378</v>
      </c>
      <c r="M102" s="219"/>
      <c r="N102" s="219" t="s">
        <v>52</v>
      </c>
      <c r="O102" s="234" t="s">
        <v>873</v>
      </c>
      <c r="P102" s="234" t="s">
        <v>855</v>
      </c>
      <c r="Q102" s="250" t="s">
        <v>852</v>
      </c>
      <c r="R102" s="313" t="s">
        <v>27</v>
      </c>
      <c r="S102" s="305"/>
      <c r="T102" s="305"/>
      <c r="U102" s="286"/>
      <c r="V102" s="287"/>
      <c r="W102" s="287"/>
      <c r="X102" s="288"/>
    </row>
    <row r="103" s="203" customFormat="1" customHeight="1" spans="1:24">
      <c r="A103" s="222"/>
      <c r="B103" s="2" t="s">
        <v>887</v>
      </c>
      <c r="C103" s="7">
        <f t="shared" si="4"/>
        <v>11</v>
      </c>
      <c r="D103" s="7" t="str">
        <f t="shared" si="5"/>
        <v>3305</v>
      </c>
      <c r="E103" s="7" t="str">
        <f t="shared" si="6"/>
        <v>330502</v>
      </c>
      <c r="F103" s="7" t="str">
        <f t="shared" si="7"/>
        <v>330502018</v>
      </c>
      <c r="G103" s="3" t="s">
        <v>287</v>
      </c>
      <c r="H103" s="3" t="s">
        <v>215</v>
      </c>
      <c r="I103" s="3" t="s">
        <v>188</v>
      </c>
      <c r="J103" s="3" t="s">
        <v>42</v>
      </c>
      <c r="K103" s="336" t="s">
        <v>379</v>
      </c>
      <c r="L103" s="336"/>
      <c r="M103" s="3"/>
      <c r="N103" s="3" t="s">
        <v>52</v>
      </c>
      <c r="O103" s="3">
        <v>600</v>
      </c>
      <c r="P103" s="3">
        <v>540</v>
      </c>
      <c r="Q103" s="336"/>
      <c r="R103" s="353" t="s">
        <v>27</v>
      </c>
      <c r="S103" s="305"/>
      <c r="T103" s="305"/>
      <c r="U103" s="286"/>
      <c r="V103" s="287"/>
      <c r="W103" s="287"/>
      <c r="X103" s="288"/>
    </row>
    <row r="104" s="203" customFormat="1" customHeight="1" spans="1:24">
      <c r="A104" s="222"/>
      <c r="B104" s="234" t="s">
        <v>888</v>
      </c>
      <c r="C104" s="7">
        <f t="shared" si="4"/>
        <v>9</v>
      </c>
      <c r="D104" s="7" t="str">
        <f t="shared" si="5"/>
        <v>3305</v>
      </c>
      <c r="E104" s="7" t="str">
        <f t="shared" si="6"/>
        <v>330503</v>
      </c>
      <c r="F104" s="7" t="str">
        <f t="shared" si="7"/>
        <v>330503002</v>
      </c>
      <c r="G104" s="219" t="s">
        <v>287</v>
      </c>
      <c r="H104" s="219" t="s">
        <v>215</v>
      </c>
      <c r="I104" s="219" t="s">
        <v>188</v>
      </c>
      <c r="J104" s="219" t="s">
        <v>42</v>
      </c>
      <c r="K104" s="250" t="s">
        <v>381</v>
      </c>
      <c r="L104" s="250" t="s">
        <v>382</v>
      </c>
      <c r="M104" s="219"/>
      <c r="N104" s="219" t="s">
        <v>52</v>
      </c>
      <c r="O104" s="234" t="s">
        <v>877</v>
      </c>
      <c r="P104" s="234" t="s">
        <v>889</v>
      </c>
      <c r="Q104" s="250" t="s">
        <v>852</v>
      </c>
      <c r="R104" s="313" t="s">
        <v>27</v>
      </c>
      <c r="S104" s="305"/>
      <c r="T104" s="305"/>
      <c r="U104" s="286"/>
      <c r="V104" s="287"/>
      <c r="W104" s="287"/>
      <c r="X104" s="288"/>
    </row>
    <row r="105" s="203" customFormat="1" customHeight="1" spans="1:24">
      <c r="A105" s="222"/>
      <c r="B105" s="2" t="s">
        <v>890</v>
      </c>
      <c r="C105" s="7">
        <f t="shared" si="4"/>
        <v>11</v>
      </c>
      <c r="D105" s="7" t="str">
        <f t="shared" si="5"/>
        <v>3305</v>
      </c>
      <c r="E105" s="7" t="str">
        <f t="shared" si="6"/>
        <v>330503</v>
      </c>
      <c r="F105" s="7" t="str">
        <f t="shared" si="7"/>
        <v>330503002</v>
      </c>
      <c r="G105" s="3" t="s">
        <v>287</v>
      </c>
      <c r="H105" s="3" t="s">
        <v>215</v>
      </c>
      <c r="I105" s="3" t="s">
        <v>188</v>
      </c>
      <c r="J105" s="3" t="s">
        <v>42</v>
      </c>
      <c r="K105" s="336" t="s">
        <v>383</v>
      </c>
      <c r="L105" s="336"/>
      <c r="M105" s="3"/>
      <c r="N105" s="3" t="s">
        <v>52</v>
      </c>
      <c r="O105" s="3">
        <v>600</v>
      </c>
      <c r="P105" s="3">
        <v>540</v>
      </c>
      <c r="Q105" s="336"/>
      <c r="R105" s="353" t="s">
        <v>27</v>
      </c>
      <c r="S105" s="305"/>
      <c r="T105" s="305"/>
      <c r="U105" s="286"/>
      <c r="V105" s="287"/>
      <c r="W105" s="287"/>
      <c r="X105" s="288"/>
    </row>
    <row r="106" s="203" customFormat="1" customHeight="1" spans="1:24">
      <c r="A106" s="222"/>
      <c r="B106" s="234" t="s">
        <v>891</v>
      </c>
      <c r="C106" s="7">
        <f t="shared" si="4"/>
        <v>9</v>
      </c>
      <c r="D106" s="7" t="str">
        <f t="shared" si="5"/>
        <v>3305</v>
      </c>
      <c r="E106" s="7" t="str">
        <f t="shared" si="6"/>
        <v>330503</v>
      </c>
      <c r="F106" s="7" t="str">
        <f t="shared" si="7"/>
        <v>330503008</v>
      </c>
      <c r="G106" s="219" t="s">
        <v>287</v>
      </c>
      <c r="H106" s="219" t="s">
        <v>215</v>
      </c>
      <c r="I106" s="219" t="s">
        <v>188</v>
      </c>
      <c r="J106" s="219" t="s">
        <v>42</v>
      </c>
      <c r="K106" s="250" t="s">
        <v>385</v>
      </c>
      <c r="L106" s="250" t="s">
        <v>386</v>
      </c>
      <c r="M106" s="219" t="s">
        <v>387</v>
      </c>
      <c r="N106" s="219" t="s">
        <v>52</v>
      </c>
      <c r="O106" s="234" t="s">
        <v>892</v>
      </c>
      <c r="P106" s="234" t="s">
        <v>827</v>
      </c>
      <c r="Q106" s="250" t="s">
        <v>893</v>
      </c>
      <c r="R106" s="313" t="s">
        <v>27</v>
      </c>
      <c r="S106" s="305"/>
      <c r="T106" s="305"/>
      <c r="U106" s="286"/>
      <c r="V106" s="287"/>
      <c r="W106" s="287"/>
      <c r="X106" s="288"/>
    </row>
    <row r="107" s="203" customFormat="1" customHeight="1" spans="1:24">
      <c r="A107" s="222"/>
      <c r="B107" s="2" t="s">
        <v>894</v>
      </c>
      <c r="C107" s="7">
        <f t="shared" si="4"/>
        <v>11</v>
      </c>
      <c r="D107" s="7" t="str">
        <f t="shared" si="5"/>
        <v>3305</v>
      </c>
      <c r="E107" s="7" t="str">
        <f t="shared" si="6"/>
        <v>330503</v>
      </c>
      <c r="F107" s="7" t="str">
        <f t="shared" si="7"/>
        <v>330503008</v>
      </c>
      <c r="G107" s="3" t="s">
        <v>287</v>
      </c>
      <c r="H107" s="3" t="s">
        <v>215</v>
      </c>
      <c r="I107" s="3" t="s">
        <v>188</v>
      </c>
      <c r="J107" s="3" t="s">
        <v>42</v>
      </c>
      <c r="K107" s="336" t="s">
        <v>389</v>
      </c>
      <c r="L107" s="336"/>
      <c r="M107" s="3"/>
      <c r="N107" s="3" t="s">
        <v>52</v>
      </c>
      <c r="O107" s="3">
        <v>1000</v>
      </c>
      <c r="P107" s="3">
        <v>900</v>
      </c>
      <c r="Q107" s="336"/>
      <c r="R107" s="353" t="s">
        <v>27</v>
      </c>
      <c r="S107" s="305"/>
      <c r="T107" s="305"/>
      <c r="U107" s="286"/>
      <c r="V107" s="287"/>
      <c r="W107" s="287"/>
      <c r="X107" s="288"/>
    </row>
    <row r="108" s="203" customFormat="1" customHeight="1" spans="1:24">
      <c r="A108" s="222"/>
      <c r="B108" s="234" t="s">
        <v>895</v>
      </c>
      <c r="C108" s="7">
        <f t="shared" si="4"/>
        <v>9</v>
      </c>
      <c r="D108" s="7" t="str">
        <f t="shared" si="5"/>
        <v>3305</v>
      </c>
      <c r="E108" s="7" t="str">
        <f t="shared" si="6"/>
        <v>330503</v>
      </c>
      <c r="F108" s="7" t="str">
        <f t="shared" si="7"/>
        <v>330503014</v>
      </c>
      <c r="G108" s="219" t="s">
        <v>287</v>
      </c>
      <c r="H108" s="219" t="s">
        <v>215</v>
      </c>
      <c r="I108" s="219" t="s">
        <v>188</v>
      </c>
      <c r="J108" s="219" t="s">
        <v>42</v>
      </c>
      <c r="K108" s="250" t="s">
        <v>391</v>
      </c>
      <c r="L108" s="250" t="s">
        <v>392</v>
      </c>
      <c r="M108" s="219"/>
      <c r="N108" s="219" t="s">
        <v>52</v>
      </c>
      <c r="O108" s="234" t="s">
        <v>861</v>
      </c>
      <c r="P108" s="234" t="s">
        <v>884</v>
      </c>
      <c r="Q108" s="250" t="s">
        <v>852</v>
      </c>
      <c r="R108" s="313" t="s">
        <v>27</v>
      </c>
      <c r="S108" s="305"/>
      <c r="T108" s="305"/>
      <c r="U108" s="286"/>
      <c r="V108" s="287"/>
      <c r="W108" s="287"/>
      <c r="X108" s="288"/>
    </row>
    <row r="109" s="203" customFormat="1" customHeight="1" spans="1:24">
      <c r="A109" s="222"/>
      <c r="B109" s="2" t="s">
        <v>896</v>
      </c>
      <c r="C109" s="7">
        <f t="shared" si="4"/>
        <v>11</v>
      </c>
      <c r="D109" s="7" t="str">
        <f t="shared" si="5"/>
        <v>3305</v>
      </c>
      <c r="E109" s="7" t="str">
        <f t="shared" si="6"/>
        <v>330503</v>
      </c>
      <c r="F109" s="7" t="str">
        <f t="shared" si="7"/>
        <v>330503014</v>
      </c>
      <c r="G109" s="3" t="s">
        <v>287</v>
      </c>
      <c r="H109" s="3" t="s">
        <v>215</v>
      </c>
      <c r="I109" s="3" t="s">
        <v>188</v>
      </c>
      <c r="J109" s="3" t="s">
        <v>42</v>
      </c>
      <c r="K109" s="336" t="s">
        <v>393</v>
      </c>
      <c r="L109" s="336"/>
      <c r="M109" s="3"/>
      <c r="N109" s="3" t="s">
        <v>52</v>
      </c>
      <c r="O109" s="3">
        <v>600</v>
      </c>
      <c r="P109" s="3">
        <v>540</v>
      </c>
      <c r="Q109" s="336"/>
      <c r="R109" s="353" t="s">
        <v>27</v>
      </c>
      <c r="S109" s="305"/>
      <c r="T109" s="305"/>
      <c r="U109" s="286"/>
      <c r="V109" s="287"/>
      <c r="W109" s="287"/>
      <c r="X109" s="288"/>
    </row>
    <row r="110" s="203" customFormat="1" customHeight="1" spans="1:24">
      <c r="A110" s="222"/>
      <c r="B110" s="234" t="s">
        <v>897</v>
      </c>
      <c r="C110" s="7">
        <f t="shared" si="4"/>
        <v>9</v>
      </c>
      <c r="D110" s="7" t="str">
        <f t="shared" si="5"/>
        <v>3305</v>
      </c>
      <c r="E110" s="7" t="str">
        <f t="shared" si="6"/>
        <v>330503</v>
      </c>
      <c r="F110" s="7" t="str">
        <f t="shared" si="7"/>
        <v>330503015</v>
      </c>
      <c r="G110" s="219" t="s">
        <v>287</v>
      </c>
      <c r="H110" s="219" t="s">
        <v>215</v>
      </c>
      <c r="I110" s="219" t="s">
        <v>188</v>
      </c>
      <c r="J110" s="219" t="s">
        <v>42</v>
      </c>
      <c r="K110" s="250" t="s">
        <v>395</v>
      </c>
      <c r="L110" s="250" t="s">
        <v>396</v>
      </c>
      <c r="M110" s="219"/>
      <c r="N110" s="219" t="s">
        <v>52</v>
      </c>
      <c r="O110" s="234" t="s">
        <v>898</v>
      </c>
      <c r="P110" s="234" t="s">
        <v>899</v>
      </c>
      <c r="Q110" s="250" t="s">
        <v>893</v>
      </c>
      <c r="R110" s="313" t="s">
        <v>27</v>
      </c>
      <c r="S110" s="305"/>
      <c r="T110" s="305"/>
      <c r="U110" s="286"/>
      <c r="V110" s="287"/>
      <c r="W110" s="287"/>
      <c r="X110" s="288"/>
    </row>
    <row r="111" s="203" customFormat="1" customHeight="1" spans="1:24">
      <c r="A111" s="222"/>
      <c r="B111" s="2" t="s">
        <v>900</v>
      </c>
      <c r="C111" s="7">
        <f t="shared" si="4"/>
        <v>11</v>
      </c>
      <c r="D111" s="7" t="str">
        <f t="shared" si="5"/>
        <v>3305</v>
      </c>
      <c r="E111" s="7" t="str">
        <f t="shared" si="6"/>
        <v>330503</v>
      </c>
      <c r="F111" s="7" t="str">
        <f t="shared" si="7"/>
        <v>330503015</v>
      </c>
      <c r="G111" s="3" t="s">
        <v>287</v>
      </c>
      <c r="H111" s="3" t="s">
        <v>215</v>
      </c>
      <c r="I111" s="3" t="s">
        <v>188</v>
      </c>
      <c r="J111" s="3" t="s">
        <v>42</v>
      </c>
      <c r="K111" s="336" t="s">
        <v>397</v>
      </c>
      <c r="L111" s="336"/>
      <c r="M111" s="3"/>
      <c r="N111" s="3" t="s">
        <v>52</v>
      </c>
      <c r="O111" s="3">
        <v>1000</v>
      </c>
      <c r="P111" s="3">
        <v>900</v>
      </c>
      <c r="Q111" s="336"/>
      <c r="R111" s="353" t="s">
        <v>27</v>
      </c>
      <c r="S111" s="305"/>
      <c r="T111" s="305"/>
      <c r="U111" s="286"/>
      <c r="V111" s="287"/>
      <c r="W111" s="287"/>
      <c r="X111" s="288"/>
    </row>
    <row r="112" s="203" customFormat="1" customHeight="1" spans="1:24">
      <c r="A112" s="222"/>
      <c r="B112" s="234" t="s">
        <v>901</v>
      </c>
      <c r="C112" s="7">
        <f t="shared" si="4"/>
        <v>9</v>
      </c>
      <c r="D112" s="7" t="str">
        <f t="shared" si="5"/>
        <v>3305</v>
      </c>
      <c r="E112" s="7" t="str">
        <f t="shared" si="6"/>
        <v>330503</v>
      </c>
      <c r="F112" s="7" t="str">
        <f t="shared" si="7"/>
        <v>330503016</v>
      </c>
      <c r="G112" s="219" t="s">
        <v>287</v>
      </c>
      <c r="H112" s="219" t="s">
        <v>215</v>
      </c>
      <c r="I112" s="219" t="s">
        <v>188</v>
      </c>
      <c r="J112" s="219" t="s">
        <v>42</v>
      </c>
      <c r="K112" s="250" t="s">
        <v>399</v>
      </c>
      <c r="L112" s="250" t="s">
        <v>400</v>
      </c>
      <c r="M112" s="219"/>
      <c r="N112" s="219" t="s">
        <v>52</v>
      </c>
      <c r="O112" s="234" t="s">
        <v>867</v>
      </c>
      <c r="P112" s="234" t="s">
        <v>657</v>
      </c>
      <c r="Q112" s="250" t="s">
        <v>893</v>
      </c>
      <c r="R112" s="313" t="s">
        <v>27</v>
      </c>
      <c r="S112" s="305"/>
      <c r="T112" s="305"/>
      <c r="U112" s="286"/>
      <c r="V112" s="287"/>
      <c r="W112" s="287"/>
      <c r="X112" s="288"/>
    </row>
    <row r="113" s="203" customFormat="1" customHeight="1" spans="1:24">
      <c r="A113" s="222"/>
      <c r="B113" s="2" t="s">
        <v>902</v>
      </c>
      <c r="C113" s="7">
        <f t="shared" si="4"/>
        <v>11</v>
      </c>
      <c r="D113" s="7" t="str">
        <f t="shared" si="5"/>
        <v>3305</v>
      </c>
      <c r="E113" s="7" t="str">
        <f t="shared" si="6"/>
        <v>330503</v>
      </c>
      <c r="F113" s="7" t="str">
        <f t="shared" si="7"/>
        <v>330503016</v>
      </c>
      <c r="G113" s="3" t="s">
        <v>287</v>
      </c>
      <c r="H113" s="3" t="s">
        <v>215</v>
      </c>
      <c r="I113" s="3" t="s">
        <v>188</v>
      </c>
      <c r="J113" s="3" t="s">
        <v>42</v>
      </c>
      <c r="K113" s="336" t="s">
        <v>401</v>
      </c>
      <c r="L113" s="336"/>
      <c r="M113" s="3"/>
      <c r="N113" s="3" t="s">
        <v>52</v>
      </c>
      <c r="O113" s="3">
        <v>1000</v>
      </c>
      <c r="P113" s="3">
        <v>900</v>
      </c>
      <c r="Q113" s="336"/>
      <c r="R113" s="353" t="s">
        <v>27</v>
      </c>
      <c r="S113" s="305"/>
      <c r="T113" s="305"/>
      <c r="U113" s="286"/>
      <c r="V113" s="287"/>
      <c r="W113" s="287"/>
      <c r="X113" s="288"/>
    </row>
    <row r="114" s="203" customFormat="1" customHeight="1" spans="1:24">
      <c r="A114" s="222"/>
      <c r="B114" s="234" t="s">
        <v>903</v>
      </c>
      <c r="C114" s="7">
        <f t="shared" si="4"/>
        <v>9</v>
      </c>
      <c r="D114" s="7" t="str">
        <f t="shared" si="5"/>
        <v>3306</v>
      </c>
      <c r="E114" s="7" t="str">
        <f t="shared" si="6"/>
        <v>330601</v>
      </c>
      <c r="F114" s="7" t="str">
        <f t="shared" si="7"/>
        <v>330601021</v>
      </c>
      <c r="G114" s="219" t="s">
        <v>287</v>
      </c>
      <c r="H114" s="219" t="s">
        <v>215</v>
      </c>
      <c r="I114" s="219" t="s">
        <v>188</v>
      </c>
      <c r="J114" s="219" t="s">
        <v>42</v>
      </c>
      <c r="K114" s="250" t="s">
        <v>403</v>
      </c>
      <c r="L114" s="250"/>
      <c r="M114" s="219"/>
      <c r="N114" s="219" t="s">
        <v>52</v>
      </c>
      <c r="O114" s="234" t="s">
        <v>861</v>
      </c>
      <c r="P114" s="234" t="s">
        <v>884</v>
      </c>
      <c r="Q114" s="250" t="s">
        <v>904</v>
      </c>
      <c r="R114" s="313" t="s">
        <v>27</v>
      </c>
      <c r="S114" s="305"/>
      <c r="T114" s="305"/>
      <c r="U114" s="286"/>
      <c r="V114" s="287"/>
      <c r="W114" s="287"/>
      <c r="X114" s="288" t="s">
        <v>781</v>
      </c>
    </row>
    <row r="115" s="203" customFormat="1" customHeight="1" spans="1:24">
      <c r="A115" s="222"/>
      <c r="B115" s="2" t="s">
        <v>905</v>
      </c>
      <c r="C115" s="7">
        <f t="shared" si="4"/>
        <v>11</v>
      </c>
      <c r="D115" s="7" t="str">
        <f t="shared" si="5"/>
        <v>3306</v>
      </c>
      <c r="E115" s="7" t="str">
        <f t="shared" si="6"/>
        <v>330601</v>
      </c>
      <c r="F115" s="7" t="str">
        <f t="shared" si="7"/>
        <v>330601021</v>
      </c>
      <c r="G115" s="3" t="s">
        <v>287</v>
      </c>
      <c r="H115" s="3" t="s">
        <v>215</v>
      </c>
      <c r="I115" s="3" t="s">
        <v>188</v>
      </c>
      <c r="J115" s="3" t="s">
        <v>42</v>
      </c>
      <c r="K115" s="336" t="s">
        <v>404</v>
      </c>
      <c r="L115" s="336"/>
      <c r="M115" s="3"/>
      <c r="N115" s="3" t="s">
        <v>52</v>
      </c>
      <c r="O115" s="3">
        <v>600</v>
      </c>
      <c r="P115" s="3">
        <v>540</v>
      </c>
      <c r="Q115" s="336"/>
      <c r="R115" s="353" t="s">
        <v>27</v>
      </c>
      <c r="S115" s="305"/>
      <c r="T115" s="305"/>
      <c r="U115" s="286"/>
      <c r="V115" s="287"/>
      <c r="W115" s="287"/>
      <c r="X115" s="288"/>
    </row>
    <row r="116" s="203" customFormat="1" customHeight="1" spans="1:24">
      <c r="A116" s="222"/>
      <c r="B116" s="234" t="s">
        <v>906</v>
      </c>
      <c r="C116" s="7">
        <f t="shared" si="4"/>
        <v>9</v>
      </c>
      <c r="D116" s="7" t="str">
        <f t="shared" si="5"/>
        <v>3306</v>
      </c>
      <c r="E116" s="7" t="str">
        <f t="shared" si="6"/>
        <v>330602</v>
      </c>
      <c r="F116" s="7" t="str">
        <f t="shared" si="7"/>
        <v>330602013</v>
      </c>
      <c r="G116" s="219" t="s">
        <v>287</v>
      </c>
      <c r="H116" s="219" t="s">
        <v>215</v>
      </c>
      <c r="I116" s="219" t="s">
        <v>188</v>
      </c>
      <c r="J116" s="219" t="s">
        <v>42</v>
      </c>
      <c r="K116" s="250" t="s">
        <v>406</v>
      </c>
      <c r="L116" s="250" t="s">
        <v>407</v>
      </c>
      <c r="M116" s="219"/>
      <c r="N116" s="219" t="s">
        <v>52</v>
      </c>
      <c r="O116" s="234" t="s">
        <v>907</v>
      </c>
      <c r="P116" s="234" t="s">
        <v>908</v>
      </c>
      <c r="Q116" s="250" t="s">
        <v>909</v>
      </c>
      <c r="R116" s="313" t="s">
        <v>27</v>
      </c>
      <c r="S116" s="305"/>
      <c r="T116" s="305"/>
      <c r="U116" s="286"/>
      <c r="V116" s="287"/>
      <c r="W116" s="287"/>
      <c r="X116" s="288"/>
    </row>
    <row r="117" s="203" customFormat="1" customHeight="1" spans="1:24">
      <c r="A117" s="222"/>
      <c r="B117" s="2" t="s">
        <v>910</v>
      </c>
      <c r="C117" s="7">
        <f t="shared" si="4"/>
        <v>11</v>
      </c>
      <c r="D117" s="7" t="str">
        <f t="shared" si="5"/>
        <v>3306</v>
      </c>
      <c r="E117" s="7" t="str">
        <f t="shared" si="6"/>
        <v>330602</v>
      </c>
      <c r="F117" s="7" t="str">
        <f t="shared" si="7"/>
        <v>330602013</v>
      </c>
      <c r="G117" s="3" t="s">
        <v>287</v>
      </c>
      <c r="H117" s="3" t="s">
        <v>215</v>
      </c>
      <c r="I117" s="3" t="s">
        <v>188</v>
      </c>
      <c r="J117" s="3" t="s">
        <v>42</v>
      </c>
      <c r="K117" s="336" t="s">
        <v>409</v>
      </c>
      <c r="L117" s="336"/>
      <c r="M117" s="3"/>
      <c r="N117" s="3" t="s">
        <v>52</v>
      </c>
      <c r="O117" s="3">
        <v>600</v>
      </c>
      <c r="P117" s="3">
        <v>540</v>
      </c>
      <c r="Q117" s="336"/>
      <c r="R117" s="353" t="s">
        <v>27</v>
      </c>
      <c r="S117" s="305"/>
      <c r="T117" s="305"/>
      <c r="U117" s="286"/>
      <c r="V117" s="287"/>
      <c r="W117" s="287"/>
      <c r="X117" s="288"/>
    </row>
    <row r="118" s="203" customFormat="1" customHeight="1" spans="1:24">
      <c r="A118" s="222"/>
      <c r="B118" s="234" t="s">
        <v>911</v>
      </c>
      <c r="C118" s="7">
        <f t="shared" si="4"/>
        <v>9</v>
      </c>
      <c r="D118" s="7" t="str">
        <f t="shared" si="5"/>
        <v>3306</v>
      </c>
      <c r="E118" s="7" t="str">
        <f t="shared" si="6"/>
        <v>330603</v>
      </c>
      <c r="F118" s="7" t="str">
        <f t="shared" si="7"/>
        <v>330603003</v>
      </c>
      <c r="G118" s="219" t="s">
        <v>287</v>
      </c>
      <c r="H118" s="219" t="s">
        <v>215</v>
      </c>
      <c r="I118" s="219" t="s">
        <v>188</v>
      </c>
      <c r="J118" s="219" t="s">
        <v>42</v>
      </c>
      <c r="K118" s="250" t="s">
        <v>411</v>
      </c>
      <c r="L118" s="250" t="s">
        <v>412</v>
      </c>
      <c r="M118" s="219"/>
      <c r="N118" s="219" t="s">
        <v>52</v>
      </c>
      <c r="O118" s="234" t="s">
        <v>912</v>
      </c>
      <c r="P118" s="234" t="s">
        <v>913</v>
      </c>
      <c r="Q118" s="250" t="s">
        <v>893</v>
      </c>
      <c r="R118" s="313" t="s">
        <v>27</v>
      </c>
      <c r="S118" s="305"/>
      <c r="T118" s="305"/>
      <c r="U118" s="286"/>
      <c r="V118" s="287"/>
      <c r="W118" s="287"/>
      <c r="X118" s="288"/>
    </row>
    <row r="119" s="203" customFormat="1" customHeight="1" spans="1:24">
      <c r="A119" s="222"/>
      <c r="B119" s="2" t="s">
        <v>914</v>
      </c>
      <c r="C119" s="7">
        <f t="shared" si="4"/>
        <v>11</v>
      </c>
      <c r="D119" s="7" t="str">
        <f t="shared" si="5"/>
        <v>3306</v>
      </c>
      <c r="E119" s="7" t="str">
        <f t="shared" si="6"/>
        <v>330603</v>
      </c>
      <c r="F119" s="7" t="str">
        <f t="shared" si="7"/>
        <v>330603003</v>
      </c>
      <c r="G119" s="3" t="s">
        <v>287</v>
      </c>
      <c r="H119" s="3" t="s">
        <v>215</v>
      </c>
      <c r="I119" s="3" t="s">
        <v>188</v>
      </c>
      <c r="J119" s="3" t="s">
        <v>42</v>
      </c>
      <c r="K119" s="336" t="s">
        <v>413</v>
      </c>
      <c r="L119" s="336"/>
      <c r="M119" s="3"/>
      <c r="N119" s="3" t="s">
        <v>52</v>
      </c>
      <c r="O119" s="3">
        <v>1000</v>
      </c>
      <c r="P119" s="3">
        <v>900</v>
      </c>
      <c r="Q119" s="336"/>
      <c r="R119" s="353" t="s">
        <v>27</v>
      </c>
      <c r="S119" s="305"/>
      <c r="T119" s="305"/>
      <c r="U119" s="286"/>
      <c r="V119" s="287"/>
      <c r="W119" s="287"/>
      <c r="X119" s="288"/>
    </row>
    <row r="120" s="203" customFormat="1" customHeight="1" spans="1:24">
      <c r="A120" s="222"/>
      <c r="B120" s="234" t="s">
        <v>915</v>
      </c>
      <c r="C120" s="7">
        <f t="shared" si="4"/>
        <v>9</v>
      </c>
      <c r="D120" s="7" t="str">
        <f t="shared" si="5"/>
        <v>3306</v>
      </c>
      <c r="E120" s="7" t="str">
        <f t="shared" si="6"/>
        <v>330603</v>
      </c>
      <c r="F120" s="7" t="str">
        <f t="shared" si="7"/>
        <v>330603004</v>
      </c>
      <c r="G120" s="219" t="s">
        <v>287</v>
      </c>
      <c r="H120" s="219" t="s">
        <v>215</v>
      </c>
      <c r="I120" s="219" t="s">
        <v>188</v>
      </c>
      <c r="J120" s="219" t="s">
        <v>42</v>
      </c>
      <c r="K120" s="250" t="s">
        <v>415</v>
      </c>
      <c r="L120" s="250"/>
      <c r="M120" s="219"/>
      <c r="N120" s="219" t="s">
        <v>52</v>
      </c>
      <c r="O120" s="234" t="s">
        <v>916</v>
      </c>
      <c r="P120" s="234" t="s">
        <v>917</v>
      </c>
      <c r="Q120" s="250" t="s">
        <v>893</v>
      </c>
      <c r="R120" s="313" t="s">
        <v>27</v>
      </c>
      <c r="S120" s="305"/>
      <c r="T120" s="305"/>
      <c r="U120" s="286"/>
      <c r="V120" s="287"/>
      <c r="W120" s="287"/>
      <c r="X120" s="288"/>
    </row>
    <row r="121" s="203" customFormat="1" customHeight="1" spans="1:24">
      <c r="A121" s="222"/>
      <c r="B121" s="2" t="s">
        <v>918</v>
      </c>
      <c r="C121" s="7">
        <f t="shared" si="4"/>
        <v>11</v>
      </c>
      <c r="D121" s="7" t="str">
        <f t="shared" si="5"/>
        <v>3306</v>
      </c>
      <c r="E121" s="7" t="str">
        <f t="shared" si="6"/>
        <v>330603</v>
      </c>
      <c r="F121" s="7" t="str">
        <f t="shared" si="7"/>
        <v>330603004</v>
      </c>
      <c r="G121" s="3" t="s">
        <v>287</v>
      </c>
      <c r="H121" s="3" t="s">
        <v>215</v>
      </c>
      <c r="I121" s="3" t="s">
        <v>188</v>
      </c>
      <c r="J121" s="3" t="s">
        <v>42</v>
      </c>
      <c r="K121" s="336" t="s">
        <v>416</v>
      </c>
      <c r="L121" s="336"/>
      <c r="M121" s="3"/>
      <c r="N121" s="3" t="s">
        <v>52</v>
      </c>
      <c r="O121" s="3">
        <v>1000</v>
      </c>
      <c r="P121" s="3">
        <v>900</v>
      </c>
      <c r="Q121" s="336"/>
      <c r="R121" s="353" t="s">
        <v>27</v>
      </c>
      <c r="S121" s="305"/>
      <c r="T121" s="305"/>
      <c r="U121" s="286"/>
      <c r="V121" s="287"/>
      <c r="W121" s="287"/>
      <c r="X121" s="288"/>
    </row>
    <row r="122" s="203" customFormat="1" customHeight="1" spans="1:24">
      <c r="A122" s="222"/>
      <c r="B122" s="234" t="s">
        <v>919</v>
      </c>
      <c r="C122" s="7">
        <f t="shared" si="4"/>
        <v>9</v>
      </c>
      <c r="D122" s="7" t="str">
        <f t="shared" si="5"/>
        <v>3306</v>
      </c>
      <c r="E122" s="7" t="str">
        <f t="shared" si="6"/>
        <v>330603</v>
      </c>
      <c r="F122" s="7" t="str">
        <f t="shared" si="7"/>
        <v>330603007</v>
      </c>
      <c r="G122" s="219" t="s">
        <v>287</v>
      </c>
      <c r="H122" s="219" t="s">
        <v>215</v>
      </c>
      <c r="I122" s="219" t="s">
        <v>188</v>
      </c>
      <c r="J122" s="219" t="s">
        <v>42</v>
      </c>
      <c r="K122" s="250" t="s">
        <v>418</v>
      </c>
      <c r="L122" s="250"/>
      <c r="M122" s="219"/>
      <c r="N122" s="219" t="s">
        <v>52</v>
      </c>
      <c r="O122" s="234" t="s">
        <v>920</v>
      </c>
      <c r="P122" s="234" t="s">
        <v>921</v>
      </c>
      <c r="Q122" s="250" t="s">
        <v>893</v>
      </c>
      <c r="R122" s="313" t="s">
        <v>27</v>
      </c>
      <c r="S122" s="305"/>
      <c r="T122" s="305"/>
      <c r="U122" s="286"/>
      <c r="V122" s="287"/>
      <c r="W122" s="287"/>
      <c r="X122" s="288"/>
    </row>
    <row r="123" s="203" customFormat="1" customHeight="1" spans="1:24">
      <c r="A123" s="222"/>
      <c r="B123" s="2" t="s">
        <v>922</v>
      </c>
      <c r="C123" s="7">
        <f t="shared" si="4"/>
        <v>11</v>
      </c>
      <c r="D123" s="7" t="str">
        <f t="shared" si="5"/>
        <v>3306</v>
      </c>
      <c r="E123" s="7" t="str">
        <f t="shared" si="6"/>
        <v>330603</v>
      </c>
      <c r="F123" s="7" t="str">
        <f t="shared" si="7"/>
        <v>330603007</v>
      </c>
      <c r="G123" s="3" t="s">
        <v>287</v>
      </c>
      <c r="H123" s="3" t="s">
        <v>215</v>
      </c>
      <c r="I123" s="3" t="s">
        <v>188</v>
      </c>
      <c r="J123" s="3" t="s">
        <v>42</v>
      </c>
      <c r="K123" s="336" t="s">
        <v>419</v>
      </c>
      <c r="L123" s="336"/>
      <c r="M123" s="3"/>
      <c r="N123" s="3" t="s">
        <v>52</v>
      </c>
      <c r="O123" s="3">
        <v>1000</v>
      </c>
      <c r="P123" s="3">
        <v>900</v>
      </c>
      <c r="Q123" s="336"/>
      <c r="R123" s="353" t="s">
        <v>27</v>
      </c>
      <c r="S123" s="305"/>
      <c r="T123" s="305"/>
      <c r="U123" s="286"/>
      <c r="V123" s="287"/>
      <c r="W123" s="287"/>
      <c r="X123" s="288"/>
    </row>
    <row r="124" s="203" customFormat="1" customHeight="1" spans="1:24">
      <c r="A124" s="222"/>
      <c r="B124" s="234" t="s">
        <v>923</v>
      </c>
      <c r="C124" s="7">
        <f t="shared" si="4"/>
        <v>9</v>
      </c>
      <c r="D124" s="7" t="str">
        <f t="shared" si="5"/>
        <v>3306</v>
      </c>
      <c r="E124" s="7" t="str">
        <f t="shared" si="6"/>
        <v>330605</v>
      </c>
      <c r="F124" s="7" t="str">
        <f t="shared" si="7"/>
        <v>330605009</v>
      </c>
      <c r="G124" s="219" t="s">
        <v>287</v>
      </c>
      <c r="H124" s="219" t="s">
        <v>215</v>
      </c>
      <c r="I124" s="219" t="s">
        <v>188</v>
      </c>
      <c r="J124" s="219" t="s">
        <v>42</v>
      </c>
      <c r="K124" s="250" t="s">
        <v>421</v>
      </c>
      <c r="L124" s="250" t="s">
        <v>422</v>
      </c>
      <c r="M124" s="219" t="s">
        <v>423</v>
      </c>
      <c r="N124" s="219" t="s">
        <v>52</v>
      </c>
      <c r="O124" s="234" t="s">
        <v>924</v>
      </c>
      <c r="P124" s="234" t="s">
        <v>924</v>
      </c>
      <c r="Q124" s="250" t="s">
        <v>852</v>
      </c>
      <c r="R124" s="313" t="s">
        <v>27</v>
      </c>
      <c r="S124" s="305"/>
      <c r="T124" s="305"/>
      <c r="U124" s="286"/>
      <c r="V124" s="287"/>
      <c r="W124" s="287"/>
      <c r="X124" s="288"/>
    </row>
    <row r="125" s="203" customFormat="1" customHeight="1" spans="1:24">
      <c r="A125" s="222"/>
      <c r="B125" s="2" t="s">
        <v>925</v>
      </c>
      <c r="C125" s="7">
        <f t="shared" si="4"/>
        <v>11</v>
      </c>
      <c r="D125" s="7" t="str">
        <f t="shared" si="5"/>
        <v>3306</v>
      </c>
      <c r="E125" s="7" t="str">
        <f t="shared" si="6"/>
        <v>330605</v>
      </c>
      <c r="F125" s="7" t="str">
        <f t="shared" si="7"/>
        <v>330605009</v>
      </c>
      <c r="G125" s="3" t="s">
        <v>287</v>
      </c>
      <c r="H125" s="3" t="s">
        <v>215</v>
      </c>
      <c r="I125" s="3" t="s">
        <v>188</v>
      </c>
      <c r="J125" s="3" t="s">
        <v>42</v>
      </c>
      <c r="K125" s="336" t="s">
        <v>424</v>
      </c>
      <c r="L125" s="336"/>
      <c r="M125" s="3"/>
      <c r="N125" s="3" t="s">
        <v>52</v>
      </c>
      <c r="O125" s="3">
        <v>600</v>
      </c>
      <c r="P125" s="3">
        <v>540</v>
      </c>
      <c r="Q125" s="336"/>
      <c r="R125" s="353" t="s">
        <v>27</v>
      </c>
      <c r="S125" s="305"/>
      <c r="T125" s="305"/>
      <c r="U125" s="286"/>
      <c r="V125" s="287"/>
      <c r="W125" s="287"/>
      <c r="X125" s="288"/>
    </row>
    <row r="126" s="203" customFormat="1" customHeight="1" spans="1:24">
      <c r="A126" s="222"/>
      <c r="B126" s="234" t="s">
        <v>926</v>
      </c>
      <c r="C126" s="7">
        <f t="shared" si="4"/>
        <v>9</v>
      </c>
      <c r="D126" s="7" t="str">
        <f t="shared" si="5"/>
        <v>3306</v>
      </c>
      <c r="E126" s="7" t="str">
        <f t="shared" si="6"/>
        <v>330605</v>
      </c>
      <c r="F126" s="7" t="str">
        <f t="shared" si="7"/>
        <v>330605010</v>
      </c>
      <c r="G126" s="219" t="s">
        <v>287</v>
      </c>
      <c r="H126" s="219" t="s">
        <v>215</v>
      </c>
      <c r="I126" s="219" t="s">
        <v>188</v>
      </c>
      <c r="J126" s="219" t="s">
        <v>42</v>
      </c>
      <c r="K126" s="250" t="s">
        <v>426</v>
      </c>
      <c r="L126" s="250" t="s">
        <v>427</v>
      </c>
      <c r="M126" s="219" t="s">
        <v>423</v>
      </c>
      <c r="N126" s="219" t="s">
        <v>52</v>
      </c>
      <c r="O126" s="234" t="s">
        <v>927</v>
      </c>
      <c r="P126" s="234" t="s">
        <v>927</v>
      </c>
      <c r="Q126" s="250" t="s">
        <v>852</v>
      </c>
      <c r="R126" s="313" t="s">
        <v>27</v>
      </c>
      <c r="S126" s="305"/>
      <c r="T126" s="305"/>
      <c r="U126" s="286"/>
      <c r="V126" s="287"/>
      <c r="W126" s="287"/>
      <c r="X126" s="288"/>
    </row>
    <row r="127" s="203" customFormat="1" customHeight="1" spans="1:24">
      <c r="A127" s="222"/>
      <c r="B127" s="2" t="s">
        <v>928</v>
      </c>
      <c r="C127" s="7">
        <f t="shared" si="4"/>
        <v>11</v>
      </c>
      <c r="D127" s="7" t="str">
        <f t="shared" si="5"/>
        <v>3306</v>
      </c>
      <c r="E127" s="7" t="str">
        <f t="shared" si="6"/>
        <v>330605</v>
      </c>
      <c r="F127" s="7" t="str">
        <f t="shared" si="7"/>
        <v>330605010</v>
      </c>
      <c r="G127" s="3" t="s">
        <v>287</v>
      </c>
      <c r="H127" s="3" t="s">
        <v>215</v>
      </c>
      <c r="I127" s="3" t="s">
        <v>188</v>
      </c>
      <c r="J127" s="3" t="s">
        <v>42</v>
      </c>
      <c r="K127" s="336" t="s">
        <v>428</v>
      </c>
      <c r="L127" s="336"/>
      <c r="M127" s="3"/>
      <c r="N127" s="3" t="s">
        <v>52</v>
      </c>
      <c r="O127" s="3">
        <v>600</v>
      </c>
      <c r="P127" s="3">
        <v>540</v>
      </c>
      <c r="Q127" s="336"/>
      <c r="R127" s="353" t="s">
        <v>27</v>
      </c>
      <c r="S127" s="305"/>
      <c r="T127" s="305"/>
      <c r="U127" s="286"/>
      <c r="V127" s="287"/>
      <c r="W127" s="287"/>
      <c r="X127" s="288"/>
    </row>
    <row r="128" s="203" customFormat="1" customHeight="1" spans="1:24">
      <c r="A128" s="222"/>
      <c r="B128" s="234" t="s">
        <v>929</v>
      </c>
      <c r="C128" s="7">
        <f t="shared" si="4"/>
        <v>9</v>
      </c>
      <c r="D128" s="7" t="str">
        <f t="shared" si="5"/>
        <v>3306</v>
      </c>
      <c r="E128" s="7" t="str">
        <f t="shared" si="6"/>
        <v>330605</v>
      </c>
      <c r="F128" s="7" t="str">
        <f t="shared" si="7"/>
        <v>330605011</v>
      </c>
      <c r="G128" s="219" t="s">
        <v>287</v>
      </c>
      <c r="H128" s="219" t="s">
        <v>215</v>
      </c>
      <c r="I128" s="219" t="s">
        <v>188</v>
      </c>
      <c r="J128" s="219" t="s">
        <v>42</v>
      </c>
      <c r="K128" s="250" t="s">
        <v>430</v>
      </c>
      <c r="L128" s="250" t="s">
        <v>431</v>
      </c>
      <c r="M128" s="219" t="s">
        <v>423</v>
      </c>
      <c r="N128" s="219" t="s">
        <v>52</v>
      </c>
      <c r="O128" s="234" t="s">
        <v>930</v>
      </c>
      <c r="P128" s="234" t="s">
        <v>930</v>
      </c>
      <c r="Q128" s="250" t="s">
        <v>893</v>
      </c>
      <c r="R128" s="313" t="s">
        <v>27</v>
      </c>
      <c r="S128" s="305"/>
      <c r="T128" s="305"/>
      <c r="U128" s="286"/>
      <c r="V128" s="287"/>
      <c r="W128" s="287"/>
      <c r="X128" s="288"/>
    </row>
    <row r="129" s="203" customFormat="1" customHeight="1" spans="1:24">
      <c r="A129" s="222"/>
      <c r="B129" s="2" t="s">
        <v>931</v>
      </c>
      <c r="C129" s="7">
        <f t="shared" si="4"/>
        <v>11</v>
      </c>
      <c r="D129" s="7" t="str">
        <f t="shared" si="5"/>
        <v>3306</v>
      </c>
      <c r="E129" s="7" t="str">
        <f t="shared" si="6"/>
        <v>330605</v>
      </c>
      <c r="F129" s="7" t="str">
        <f t="shared" si="7"/>
        <v>330605011</v>
      </c>
      <c r="G129" s="3" t="s">
        <v>287</v>
      </c>
      <c r="H129" s="3" t="s">
        <v>215</v>
      </c>
      <c r="I129" s="3" t="s">
        <v>188</v>
      </c>
      <c r="J129" s="3" t="s">
        <v>42</v>
      </c>
      <c r="K129" s="336" t="s">
        <v>432</v>
      </c>
      <c r="L129" s="336"/>
      <c r="M129" s="3"/>
      <c r="N129" s="3" t="s">
        <v>52</v>
      </c>
      <c r="O129" s="3">
        <v>1000</v>
      </c>
      <c r="P129" s="3">
        <v>900</v>
      </c>
      <c r="Q129" s="336"/>
      <c r="R129" s="353" t="s">
        <v>27</v>
      </c>
      <c r="S129" s="305"/>
      <c r="T129" s="305"/>
      <c r="U129" s="286"/>
      <c r="V129" s="287"/>
      <c r="W129" s="287"/>
      <c r="X129" s="288"/>
    </row>
    <row r="130" s="203" customFormat="1" customHeight="1" spans="1:24">
      <c r="A130" s="222"/>
      <c r="B130" s="234" t="s">
        <v>932</v>
      </c>
      <c r="C130" s="7">
        <f t="shared" si="4"/>
        <v>9</v>
      </c>
      <c r="D130" s="7" t="str">
        <f t="shared" si="5"/>
        <v>3306</v>
      </c>
      <c r="E130" s="7" t="str">
        <f t="shared" si="6"/>
        <v>330605</v>
      </c>
      <c r="F130" s="7" t="str">
        <f t="shared" si="7"/>
        <v>330605012</v>
      </c>
      <c r="G130" s="219" t="s">
        <v>287</v>
      </c>
      <c r="H130" s="219" t="s">
        <v>215</v>
      </c>
      <c r="I130" s="219" t="s">
        <v>188</v>
      </c>
      <c r="J130" s="219" t="s">
        <v>42</v>
      </c>
      <c r="K130" s="250" t="s">
        <v>434</v>
      </c>
      <c r="L130" s="250" t="s">
        <v>435</v>
      </c>
      <c r="M130" s="219" t="s">
        <v>436</v>
      </c>
      <c r="N130" s="219" t="s">
        <v>52</v>
      </c>
      <c r="O130" s="234" t="s">
        <v>933</v>
      </c>
      <c r="P130" s="234" t="s">
        <v>933</v>
      </c>
      <c r="Q130" s="250" t="s">
        <v>893</v>
      </c>
      <c r="R130" s="313" t="s">
        <v>27</v>
      </c>
      <c r="S130" s="305"/>
      <c r="T130" s="305"/>
      <c r="U130" s="286"/>
      <c r="V130" s="287"/>
      <c r="W130" s="287"/>
      <c r="X130" s="288"/>
    </row>
    <row r="131" s="203" customFormat="1" customHeight="1" spans="1:24">
      <c r="A131" s="222"/>
      <c r="B131" s="2" t="s">
        <v>934</v>
      </c>
      <c r="C131" s="7">
        <f t="shared" si="4"/>
        <v>11</v>
      </c>
      <c r="D131" s="7" t="str">
        <f t="shared" si="5"/>
        <v>3306</v>
      </c>
      <c r="E131" s="7" t="str">
        <f t="shared" si="6"/>
        <v>330605</v>
      </c>
      <c r="F131" s="7" t="str">
        <f t="shared" si="7"/>
        <v>330605012</v>
      </c>
      <c r="G131" s="3" t="s">
        <v>287</v>
      </c>
      <c r="H131" s="3" t="s">
        <v>215</v>
      </c>
      <c r="I131" s="3" t="s">
        <v>188</v>
      </c>
      <c r="J131" s="3" t="s">
        <v>42</v>
      </c>
      <c r="K131" s="336" t="s">
        <v>437</v>
      </c>
      <c r="L131" s="336"/>
      <c r="M131" s="3"/>
      <c r="N131" s="3" t="s">
        <v>52</v>
      </c>
      <c r="O131" s="3">
        <v>1000</v>
      </c>
      <c r="P131" s="3">
        <v>900</v>
      </c>
      <c r="Q131" s="336"/>
      <c r="R131" s="353" t="s">
        <v>27</v>
      </c>
      <c r="S131" s="305"/>
      <c r="T131" s="305"/>
      <c r="U131" s="286"/>
      <c r="V131" s="287"/>
      <c r="W131" s="287"/>
      <c r="X131" s="288"/>
    </row>
    <row r="132" s="203" customFormat="1" customHeight="1" spans="1:24">
      <c r="A132" s="222"/>
      <c r="B132" s="234" t="s">
        <v>935</v>
      </c>
      <c r="C132" s="7">
        <f t="shared" si="4"/>
        <v>9</v>
      </c>
      <c r="D132" s="7" t="str">
        <f t="shared" si="5"/>
        <v>3306</v>
      </c>
      <c r="E132" s="7" t="str">
        <f t="shared" si="6"/>
        <v>330605</v>
      </c>
      <c r="F132" s="7" t="str">
        <f t="shared" si="7"/>
        <v>330605013</v>
      </c>
      <c r="G132" s="219" t="s">
        <v>287</v>
      </c>
      <c r="H132" s="219" t="s">
        <v>215</v>
      </c>
      <c r="I132" s="219" t="s">
        <v>188</v>
      </c>
      <c r="J132" s="219" t="s">
        <v>42</v>
      </c>
      <c r="K132" s="250" t="s">
        <v>439</v>
      </c>
      <c r="L132" s="250" t="s">
        <v>440</v>
      </c>
      <c r="M132" s="219" t="s">
        <v>441</v>
      </c>
      <c r="N132" s="219" t="s">
        <v>52</v>
      </c>
      <c r="O132" s="234" t="s">
        <v>936</v>
      </c>
      <c r="P132" s="234" t="s">
        <v>936</v>
      </c>
      <c r="Q132" s="250" t="s">
        <v>852</v>
      </c>
      <c r="R132" s="313" t="s">
        <v>27</v>
      </c>
      <c r="S132" s="305"/>
      <c r="T132" s="305"/>
      <c r="U132" s="286"/>
      <c r="V132" s="287"/>
      <c r="W132" s="287"/>
      <c r="X132" s="288"/>
    </row>
    <row r="133" s="203" customFormat="1" customHeight="1" spans="1:24">
      <c r="A133" s="222"/>
      <c r="B133" s="2" t="s">
        <v>937</v>
      </c>
      <c r="C133" s="7">
        <f t="shared" ref="C133:C188" si="8">LEN(B133)</f>
        <v>11</v>
      </c>
      <c r="D133" s="7" t="str">
        <f t="shared" ref="D133:D188" si="9">LEFT(B133,4)</f>
        <v>3306</v>
      </c>
      <c r="E133" s="7" t="str">
        <f t="shared" ref="E133:E188" si="10">LEFT(B133,6)</f>
        <v>330605</v>
      </c>
      <c r="F133" s="7" t="str">
        <f t="shared" ref="F133:F188" si="11">LEFT(B133,9)</f>
        <v>330605013</v>
      </c>
      <c r="G133" s="3" t="s">
        <v>287</v>
      </c>
      <c r="H133" s="3" t="s">
        <v>215</v>
      </c>
      <c r="I133" s="3" t="s">
        <v>188</v>
      </c>
      <c r="J133" s="3" t="s">
        <v>42</v>
      </c>
      <c r="K133" s="336" t="s">
        <v>442</v>
      </c>
      <c r="L133" s="336"/>
      <c r="M133" s="3"/>
      <c r="N133" s="3" t="s">
        <v>52</v>
      </c>
      <c r="O133" s="3">
        <v>600</v>
      </c>
      <c r="P133" s="3">
        <v>540</v>
      </c>
      <c r="Q133" s="336"/>
      <c r="R133" s="353" t="s">
        <v>27</v>
      </c>
      <c r="S133" s="305"/>
      <c r="T133" s="305"/>
      <c r="U133" s="286"/>
      <c r="V133" s="287"/>
      <c r="W133" s="287"/>
      <c r="X133" s="288"/>
    </row>
    <row r="134" s="203" customFormat="1" customHeight="1" spans="1:24">
      <c r="A134" s="222"/>
      <c r="B134" s="234" t="s">
        <v>938</v>
      </c>
      <c r="C134" s="7">
        <f t="shared" si="8"/>
        <v>9</v>
      </c>
      <c r="D134" s="7" t="str">
        <f t="shared" si="9"/>
        <v>3306</v>
      </c>
      <c r="E134" s="7" t="str">
        <f t="shared" si="10"/>
        <v>330611</v>
      </c>
      <c r="F134" s="7" t="str">
        <f t="shared" si="11"/>
        <v>330611003</v>
      </c>
      <c r="G134" s="219" t="s">
        <v>287</v>
      </c>
      <c r="H134" s="219" t="s">
        <v>215</v>
      </c>
      <c r="I134" s="219" t="s">
        <v>188</v>
      </c>
      <c r="J134" s="219" t="s">
        <v>42</v>
      </c>
      <c r="K134" s="250" t="s">
        <v>444</v>
      </c>
      <c r="L134" s="250"/>
      <c r="M134" s="219"/>
      <c r="N134" s="219" t="s">
        <v>52</v>
      </c>
      <c r="O134" s="234" t="s">
        <v>939</v>
      </c>
      <c r="P134" s="234" t="s">
        <v>939</v>
      </c>
      <c r="Q134" s="250" t="s">
        <v>852</v>
      </c>
      <c r="R134" s="313" t="s">
        <v>27</v>
      </c>
      <c r="S134" s="305"/>
      <c r="T134" s="305"/>
      <c r="U134" s="286"/>
      <c r="V134" s="287"/>
      <c r="W134" s="287"/>
      <c r="X134" s="288"/>
    </row>
    <row r="135" s="203" customFormat="1" customHeight="1" spans="1:24">
      <c r="A135" s="222"/>
      <c r="B135" s="2" t="s">
        <v>940</v>
      </c>
      <c r="C135" s="7">
        <f t="shared" si="8"/>
        <v>11</v>
      </c>
      <c r="D135" s="7" t="str">
        <f t="shared" si="9"/>
        <v>3306</v>
      </c>
      <c r="E135" s="7" t="str">
        <f t="shared" si="10"/>
        <v>330611</v>
      </c>
      <c r="F135" s="7" t="str">
        <f t="shared" si="11"/>
        <v>330611003</v>
      </c>
      <c r="G135" s="3" t="s">
        <v>287</v>
      </c>
      <c r="H135" s="3" t="s">
        <v>215</v>
      </c>
      <c r="I135" s="3" t="s">
        <v>188</v>
      </c>
      <c r="J135" s="3" t="s">
        <v>42</v>
      </c>
      <c r="K135" s="336" t="s">
        <v>445</v>
      </c>
      <c r="L135" s="336"/>
      <c r="M135" s="3"/>
      <c r="N135" s="3" t="s">
        <v>52</v>
      </c>
      <c r="O135" s="3">
        <v>600</v>
      </c>
      <c r="P135" s="3">
        <v>540</v>
      </c>
      <c r="Q135" s="336"/>
      <c r="R135" s="353" t="s">
        <v>27</v>
      </c>
      <c r="S135" s="305"/>
      <c r="T135" s="305"/>
      <c r="U135" s="286"/>
      <c r="V135" s="287"/>
      <c r="W135" s="287"/>
      <c r="X135" s="288"/>
    </row>
    <row r="136" s="203" customFormat="1" customHeight="1" spans="1:24">
      <c r="A136" s="222"/>
      <c r="B136" s="234" t="s">
        <v>941</v>
      </c>
      <c r="C136" s="7">
        <f t="shared" si="8"/>
        <v>9</v>
      </c>
      <c r="D136" s="7" t="str">
        <f t="shared" si="9"/>
        <v>3306</v>
      </c>
      <c r="E136" s="7" t="str">
        <f t="shared" si="10"/>
        <v>330611</v>
      </c>
      <c r="F136" s="7" t="str">
        <f t="shared" si="11"/>
        <v>330611004</v>
      </c>
      <c r="G136" s="219" t="s">
        <v>287</v>
      </c>
      <c r="H136" s="219" t="s">
        <v>215</v>
      </c>
      <c r="I136" s="219" t="s">
        <v>188</v>
      </c>
      <c r="J136" s="219" t="s">
        <v>42</v>
      </c>
      <c r="K136" s="250" t="s">
        <v>447</v>
      </c>
      <c r="L136" s="250" t="s">
        <v>448</v>
      </c>
      <c r="M136" s="219"/>
      <c r="N136" s="219" t="s">
        <v>52</v>
      </c>
      <c r="O136" s="234" t="s">
        <v>942</v>
      </c>
      <c r="P136" s="234" t="s">
        <v>942</v>
      </c>
      <c r="Q136" s="250" t="s">
        <v>852</v>
      </c>
      <c r="R136" s="313" t="s">
        <v>27</v>
      </c>
      <c r="S136" s="305"/>
      <c r="T136" s="305"/>
      <c r="U136" s="286"/>
      <c r="V136" s="287"/>
      <c r="W136" s="287"/>
      <c r="X136" s="288"/>
    </row>
    <row r="137" s="203" customFormat="1" customHeight="1" spans="1:24">
      <c r="A137" s="222"/>
      <c r="B137" s="2" t="s">
        <v>943</v>
      </c>
      <c r="C137" s="7">
        <f t="shared" si="8"/>
        <v>11</v>
      </c>
      <c r="D137" s="7" t="str">
        <f t="shared" si="9"/>
        <v>3306</v>
      </c>
      <c r="E137" s="7" t="str">
        <f t="shared" si="10"/>
        <v>330611</v>
      </c>
      <c r="F137" s="7" t="str">
        <f t="shared" si="11"/>
        <v>330611004</v>
      </c>
      <c r="G137" s="3" t="s">
        <v>287</v>
      </c>
      <c r="H137" s="3" t="s">
        <v>215</v>
      </c>
      <c r="I137" s="3" t="s">
        <v>188</v>
      </c>
      <c r="J137" s="3" t="s">
        <v>42</v>
      </c>
      <c r="K137" s="336" t="s">
        <v>449</v>
      </c>
      <c r="L137" s="336"/>
      <c r="M137" s="3"/>
      <c r="N137" s="3" t="s">
        <v>52</v>
      </c>
      <c r="O137" s="3">
        <v>600</v>
      </c>
      <c r="P137" s="3">
        <v>540</v>
      </c>
      <c r="Q137" s="336"/>
      <c r="R137" s="353" t="s">
        <v>27</v>
      </c>
      <c r="S137" s="305"/>
      <c r="T137" s="305"/>
      <c r="U137" s="286"/>
      <c r="V137" s="287"/>
      <c r="W137" s="287"/>
      <c r="X137" s="288"/>
    </row>
    <row r="138" s="203" customFormat="1" customHeight="1" spans="1:24">
      <c r="A138" s="222"/>
      <c r="B138" s="234" t="s">
        <v>944</v>
      </c>
      <c r="C138" s="7">
        <f t="shared" si="8"/>
        <v>9</v>
      </c>
      <c r="D138" s="7" t="str">
        <f t="shared" si="9"/>
        <v>3306</v>
      </c>
      <c r="E138" s="7" t="str">
        <f t="shared" si="10"/>
        <v>330611</v>
      </c>
      <c r="F138" s="7" t="str">
        <f t="shared" si="11"/>
        <v>330611009</v>
      </c>
      <c r="G138" s="219" t="s">
        <v>287</v>
      </c>
      <c r="H138" s="219" t="s">
        <v>215</v>
      </c>
      <c r="I138" s="219" t="s">
        <v>188</v>
      </c>
      <c r="J138" s="219" t="s">
        <v>42</v>
      </c>
      <c r="K138" s="250" t="s">
        <v>451</v>
      </c>
      <c r="L138" s="250"/>
      <c r="M138" s="219" t="s">
        <v>452</v>
      </c>
      <c r="N138" s="219" t="s">
        <v>52</v>
      </c>
      <c r="O138" s="234" t="s">
        <v>945</v>
      </c>
      <c r="P138" s="234" t="s">
        <v>945</v>
      </c>
      <c r="Q138" s="250" t="s">
        <v>893</v>
      </c>
      <c r="R138" s="313" t="s">
        <v>27</v>
      </c>
      <c r="S138" s="305"/>
      <c r="T138" s="305"/>
      <c r="U138" s="286"/>
      <c r="V138" s="287"/>
      <c r="W138" s="287"/>
      <c r="X138" s="288"/>
    </row>
    <row r="139" s="203" customFormat="1" customHeight="1" spans="1:24">
      <c r="A139" s="222"/>
      <c r="B139" s="2" t="s">
        <v>946</v>
      </c>
      <c r="C139" s="7">
        <f t="shared" si="8"/>
        <v>11</v>
      </c>
      <c r="D139" s="7" t="str">
        <f t="shared" si="9"/>
        <v>3306</v>
      </c>
      <c r="E139" s="7" t="str">
        <f t="shared" si="10"/>
        <v>330611</v>
      </c>
      <c r="F139" s="7" t="str">
        <f t="shared" si="11"/>
        <v>330611009</v>
      </c>
      <c r="G139" s="3" t="s">
        <v>287</v>
      </c>
      <c r="H139" s="3" t="s">
        <v>215</v>
      </c>
      <c r="I139" s="3" t="s">
        <v>188</v>
      </c>
      <c r="J139" s="3" t="s">
        <v>42</v>
      </c>
      <c r="K139" s="336" t="s">
        <v>453</v>
      </c>
      <c r="L139" s="336"/>
      <c r="M139" s="3"/>
      <c r="N139" s="3" t="s">
        <v>52</v>
      </c>
      <c r="O139" s="3">
        <v>1000</v>
      </c>
      <c r="P139" s="3">
        <v>900</v>
      </c>
      <c r="Q139" s="336"/>
      <c r="R139" s="353" t="s">
        <v>27</v>
      </c>
      <c r="S139" s="305"/>
      <c r="T139" s="305"/>
      <c r="U139" s="286"/>
      <c r="V139" s="287"/>
      <c r="W139" s="287"/>
      <c r="X139" s="288"/>
    </row>
    <row r="140" s="199" customFormat="1" customHeight="1" spans="1:24">
      <c r="A140" s="228" t="s">
        <v>454</v>
      </c>
      <c r="B140" s="223" t="s">
        <v>947</v>
      </c>
      <c r="C140" s="7">
        <f t="shared" si="8"/>
        <v>9</v>
      </c>
      <c r="D140" s="7" t="str">
        <f t="shared" si="9"/>
        <v>3308</v>
      </c>
      <c r="E140" s="7" t="str">
        <f t="shared" si="10"/>
        <v>330801</v>
      </c>
      <c r="F140" s="7" t="str">
        <f t="shared" si="11"/>
        <v>330801003</v>
      </c>
      <c r="G140" s="219" t="s">
        <v>287</v>
      </c>
      <c r="H140" s="219" t="s">
        <v>215</v>
      </c>
      <c r="I140" s="219" t="s">
        <v>188</v>
      </c>
      <c r="J140" s="219" t="s">
        <v>42</v>
      </c>
      <c r="K140" s="250" t="s">
        <v>455</v>
      </c>
      <c r="L140" s="250" t="s">
        <v>456</v>
      </c>
      <c r="M140" s="219"/>
      <c r="N140" s="219" t="s">
        <v>52</v>
      </c>
      <c r="O140" s="255" t="s">
        <v>948</v>
      </c>
      <c r="P140" s="255" t="s">
        <v>949</v>
      </c>
      <c r="Q140" s="258" t="s">
        <v>950</v>
      </c>
      <c r="R140" s="228" t="s">
        <v>27</v>
      </c>
      <c r="S140" s="308"/>
      <c r="T140" s="4"/>
      <c r="U140" s="362" t="s">
        <v>951</v>
      </c>
      <c r="V140" s="363"/>
      <c r="W140" s="363"/>
      <c r="X140" s="288" t="s">
        <v>770</v>
      </c>
    </row>
    <row r="141" s="199" customFormat="1" customHeight="1" spans="1:24">
      <c r="A141" s="228"/>
      <c r="B141" s="3" t="s">
        <v>952</v>
      </c>
      <c r="C141" s="7">
        <f t="shared" si="8"/>
        <v>11</v>
      </c>
      <c r="D141" s="7" t="str">
        <f t="shared" si="9"/>
        <v>3308</v>
      </c>
      <c r="E141" s="7" t="str">
        <f t="shared" si="10"/>
        <v>330801</v>
      </c>
      <c r="F141" s="7" t="str">
        <f t="shared" si="11"/>
        <v>330801003</v>
      </c>
      <c r="G141" s="11" t="s">
        <v>287</v>
      </c>
      <c r="H141" s="11" t="s">
        <v>215</v>
      </c>
      <c r="I141" s="11" t="s">
        <v>188</v>
      </c>
      <c r="J141" s="11" t="s">
        <v>42</v>
      </c>
      <c r="K141" s="258" t="s">
        <v>458</v>
      </c>
      <c r="L141" s="258" t="s">
        <v>459</v>
      </c>
      <c r="M141" s="11"/>
      <c r="N141" s="11" t="s">
        <v>52</v>
      </c>
      <c r="O141" s="13">
        <v>6130</v>
      </c>
      <c r="P141" s="13">
        <v>5520</v>
      </c>
      <c r="Q141" s="258"/>
      <c r="R141" s="344" t="s">
        <v>27</v>
      </c>
      <c r="S141" s="364"/>
      <c r="T141" s="305"/>
      <c r="U141" s="297" t="s">
        <v>653</v>
      </c>
      <c r="V141" s="298"/>
      <c r="W141" s="298"/>
      <c r="X141" s="288"/>
    </row>
    <row r="142" s="199" customFormat="1" customHeight="1" spans="1:24">
      <c r="A142" s="228"/>
      <c r="B142" s="3" t="s">
        <v>953</v>
      </c>
      <c r="C142" s="7">
        <f t="shared" si="8"/>
        <v>11</v>
      </c>
      <c r="D142" s="7" t="str">
        <f t="shared" si="9"/>
        <v>3308</v>
      </c>
      <c r="E142" s="7" t="str">
        <f t="shared" si="10"/>
        <v>330801</v>
      </c>
      <c r="F142" s="7" t="str">
        <f t="shared" si="11"/>
        <v>330801003</v>
      </c>
      <c r="G142" s="11" t="s">
        <v>287</v>
      </c>
      <c r="H142" s="11" t="s">
        <v>215</v>
      </c>
      <c r="I142" s="11" t="s">
        <v>188</v>
      </c>
      <c r="J142" s="11" t="s">
        <v>42</v>
      </c>
      <c r="K142" s="258" t="s">
        <v>460</v>
      </c>
      <c r="L142" s="278"/>
      <c r="M142" s="11"/>
      <c r="N142" s="11" t="s">
        <v>52</v>
      </c>
      <c r="O142" s="13">
        <f>O141*1.3</f>
        <v>7969</v>
      </c>
      <c r="P142" s="13">
        <f>P141*1.3</f>
        <v>7176</v>
      </c>
      <c r="Q142" s="258"/>
      <c r="R142" s="344" t="s">
        <v>27</v>
      </c>
      <c r="S142" s="365"/>
      <c r="T142" s="305"/>
      <c r="U142" s="297"/>
      <c r="V142" s="298"/>
      <c r="W142" s="298"/>
      <c r="X142" s="288"/>
    </row>
    <row r="143" s="199" customFormat="1" customHeight="1" spans="1:24">
      <c r="A143" s="228" t="s">
        <v>461</v>
      </c>
      <c r="B143" s="223" t="s">
        <v>954</v>
      </c>
      <c r="C143" s="7">
        <f t="shared" si="8"/>
        <v>9</v>
      </c>
      <c r="D143" s="7" t="str">
        <f t="shared" si="9"/>
        <v>3308</v>
      </c>
      <c r="E143" s="7" t="str">
        <f t="shared" si="10"/>
        <v>330801</v>
      </c>
      <c r="F143" s="7" t="str">
        <f t="shared" si="11"/>
        <v>330801005</v>
      </c>
      <c r="G143" s="219" t="s">
        <v>287</v>
      </c>
      <c r="H143" s="219" t="s">
        <v>215</v>
      </c>
      <c r="I143" s="219" t="s">
        <v>188</v>
      </c>
      <c r="J143" s="219" t="s">
        <v>42</v>
      </c>
      <c r="K143" s="250" t="s">
        <v>462</v>
      </c>
      <c r="L143" s="250"/>
      <c r="M143" s="219"/>
      <c r="N143" s="219" t="s">
        <v>52</v>
      </c>
      <c r="O143" s="255" t="s">
        <v>955</v>
      </c>
      <c r="P143" s="255" t="s">
        <v>956</v>
      </c>
      <c r="Q143" s="258" t="s">
        <v>957</v>
      </c>
      <c r="R143" s="228" t="s">
        <v>27</v>
      </c>
      <c r="S143" s="300"/>
      <c r="T143" s="300"/>
      <c r="U143" s="362" t="s">
        <v>951</v>
      </c>
      <c r="V143" s="363"/>
      <c r="W143" s="363"/>
      <c r="X143" s="288"/>
    </row>
    <row r="144" s="199" customFormat="1" customHeight="1" spans="1:24">
      <c r="A144" s="228"/>
      <c r="B144" s="3" t="s">
        <v>958</v>
      </c>
      <c r="C144" s="7">
        <f t="shared" si="8"/>
        <v>11</v>
      </c>
      <c r="D144" s="7" t="str">
        <f t="shared" si="9"/>
        <v>3308</v>
      </c>
      <c r="E144" s="7" t="str">
        <f t="shared" si="10"/>
        <v>330801</v>
      </c>
      <c r="F144" s="7" t="str">
        <f t="shared" si="11"/>
        <v>330801005</v>
      </c>
      <c r="G144" s="11" t="s">
        <v>287</v>
      </c>
      <c r="H144" s="11" t="s">
        <v>215</v>
      </c>
      <c r="I144" s="11" t="s">
        <v>188</v>
      </c>
      <c r="J144" s="11" t="s">
        <v>42</v>
      </c>
      <c r="K144" s="357" t="s">
        <v>464</v>
      </c>
      <c r="L144" s="258" t="s">
        <v>459</v>
      </c>
      <c r="M144" s="11"/>
      <c r="N144" s="11" t="s">
        <v>52</v>
      </c>
      <c r="O144" s="13">
        <f>O143*1.1</f>
        <v>6336</v>
      </c>
      <c r="P144" s="13">
        <f>P143*1.1</f>
        <v>5698</v>
      </c>
      <c r="Q144" s="258"/>
      <c r="R144" s="344" t="s">
        <v>27</v>
      </c>
      <c r="S144" s="305"/>
      <c r="T144" s="305"/>
      <c r="U144" s="366" t="s">
        <v>653</v>
      </c>
      <c r="V144" s="367"/>
      <c r="W144" s="367"/>
      <c r="X144" s="288"/>
    </row>
    <row r="145" s="199" customFormat="1" customHeight="1" spans="1:24">
      <c r="A145" s="228"/>
      <c r="B145" s="3" t="s">
        <v>959</v>
      </c>
      <c r="C145" s="7">
        <f t="shared" si="8"/>
        <v>11</v>
      </c>
      <c r="D145" s="7" t="str">
        <f t="shared" si="9"/>
        <v>3308</v>
      </c>
      <c r="E145" s="7" t="str">
        <f t="shared" si="10"/>
        <v>330801</v>
      </c>
      <c r="F145" s="7" t="str">
        <f t="shared" si="11"/>
        <v>330801005</v>
      </c>
      <c r="G145" s="11" t="s">
        <v>287</v>
      </c>
      <c r="H145" s="11" t="s">
        <v>215</v>
      </c>
      <c r="I145" s="11" t="s">
        <v>188</v>
      </c>
      <c r="J145" s="11" t="s">
        <v>42</v>
      </c>
      <c r="K145" s="357" t="s">
        <v>465</v>
      </c>
      <c r="L145" s="278"/>
      <c r="M145" s="11"/>
      <c r="N145" s="11" t="s">
        <v>52</v>
      </c>
      <c r="O145" s="13">
        <f>O144*1.3</f>
        <v>8236.8</v>
      </c>
      <c r="P145" s="13">
        <f>P144*1.3</f>
        <v>7407.4</v>
      </c>
      <c r="Q145" s="258"/>
      <c r="R145" s="344" t="s">
        <v>27</v>
      </c>
      <c r="S145" s="305"/>
      <c r="T145" s="305"/>
      <c r="U145" s="366" t="s">
        <v>653</v>
      </c>
      <c r="V145" s="367"/>
      <c r="W145" s="367"/>
      <c r="X145" s="288"/>
    </row>
    <row r="146" s="203" customFormat="1" customHeight="1" spans="1:24">
      <c r="A146" s="222" t="s">
        <v>466</v>
      </c>
      <c r="B146" s="223" t="s">
        <v>960</v>
      </c>
      <c r="C146" s="7">
        <f t="shared" si="8"/>
        <v>9</v>
      </c>
      <c r="D146" s="7" t="str">
        <f t="shared" si="9"/>
        <v>3308</v>
      </c>
      <c r="E146" s="7" t="str">
        <f t="shared" si="10"/>
        <v>330801</v>
      </c>
      <c r="F146" s="7" t="str">
        <f t="shared" si="11"/>
        <v>330801009</v>
      </c>
      <c r="G146" s="219" t="s">
        <v>287</v>
      </c>
      <c r="H146" s="219" t="s">
        <v>215</v>
      </c>
      <c r="I146" s="219" t="s">
        <v>188</v>
      </c>
      <c r="J146" s="219" t="s">
        <v>42</v>
      </c>
      <c r="K146" s="250" t="s">
        <v>467</v>
      </c>
      <c r="L146" s="250"/>
      <c r="M146" s="219" t="s">
        <v>468</v>
      </c>
      <c r="N146" s="219" t="s">
        <v>52</v>
      </c>
      <c r="O146" s="255" t="s">
        <v>955</v>
      </c>
      <c r="P146" s="255" t="s">
        <v>956</v>
      </c>
      <c r="Q146" s="258" t="s">
        <v>961</v>
      </c>
      <c r="R146" s="222" t="s">
        <v>27</v>
      </c>
      <c r="S146" s="308"/>
      <c r="T146" s="4"/>
      <c r="U146" s="295" t="s">
        <v>951</v>
      </c>
      <c r="V146" s="296"/>
      <c r="W146" s="296"/>
      <c r="X146" s="288"/>
    </row>
    <row r="147" customHeight="1" spans="1:24">
      <c r="A147" s="222"/>
      <c r="B147" s="3" t="s">
        <v>962</v>
      </c>
      <c r="C147" s="7">
        <f t="shared" si="8"/>
        <v>11</v>
      </c>
      <c r="D147" s="7" t="str">
        <f t="shared" si="9"/>
        <v>3308</v>
      </c>
      <c r="E147" s="7" t="str">
        <f t="shared" si="10"/>
        <v>330801</v>
      </c>
      <c r="F147" s="7" t="str">
        <f t="shared" si="11"/>
        <v>330801009</v>
      </c>
      <c r="G147" s="11" t="s">
        <v>287</v>
      </c>
      <c r="H147" s="11" t="s">
        <v>215</v>
      </c>
      <c r="I147" s="11" t="s">
        <v>188</v>
      </c>
      <c r="J147" s="11" t="s">
        <v>42</v>
      </c>
      <c r="K147" s="335" t="s">
        <v>470</v>
      </c>
      <c r="L147" s="258" t="s">
        <v>459</v>
      </c>
      <c r="M147" s="11"/>
      <c r="N147" s="11" t="s">
        <v>52</v>
      </c>
      <c r="O147" s="13">
        <f>O146*1.1</f>
        <v>6336</v>
      </c>
      <c r="P147" s="13">
        <f>P146*1.1</f>
        <v>5698</v>
      </c>
      <c r="Q147" s="258"/>
      <c r="R147" s="344" t="s">
        <v>27</v>
      </c>
      <c r="S147" s="4"/>
      <c r="T147" s="4"/>
      <c r="U147" s="295" t="s">
        <v>653</v>
      </c>
      <c r="V147" s="296"/>
      <c r="W147" s="296"/>
      <c r="X147" s="288"/>
    </row>
    <row r="148" customHeight="1" spans="1:24">
      <c r="A148" s="222"/>
      <c r="B148" s="3" t="s">
        <v>963</v>
      </c>
      <c r="C148" s="7">
        <f t="shared" si="8"/>
        <v>11</v>
      </c>
      <c r="D148" s="7" t="str">
        <f t="shared" si="9"/>
        <v>3308</v>
      </c>
      <c r="E148" s="7" t="str">
        <f t="shared" si="10"/>
        <v>330801</v>
      </c>
      <c r="F148" s="7" t="str">
        <f t="shared" si="11"/>
        <v>330801009</v>
      </c>
      <c r="G148" s="11" t="s">
        <v>287</v>
      </c>
      <c r="H148" s="11" t="s">
        <v>215</v>
      </c>
      <c r="I148" s="11" t="s">
        <v>188</v>
      </c>
      <c r="J148" s="11" t="s">
        <v>42</v>
      </c>
      <c r="K148" s="335" t="s">
        <v>471</v>
      </c>
      <c r="L148" s="335"/>
      <c r="M148" s="11"/>
      <c r="N148" s="11" t="s">
        <v>52</v>
      </c>
      <c r="O148" s="13">
        <f>O147*1.3</f>
        <v>8236.8</v>
      </c>
      <c r="P148" s="13">
        <f>P147*1.3</f>
        <v>7407.4</v>
      </c>
      <c r="Q148" s="258"/>
      <c r="R148" s="344" t="s">
        <v>27</v>
      </c>
      <c r="S148" s="4"/>
      <c r="T148" s="4"/>
      <c r="U148" s="295"/>
      <c r="V148" s="296"/>
      <c r="W148" s="296"/>
      <c r="X148" s="288"/>
    </row>
    <row r="149" s="199" customFormat="1" customHeight="1" spans="1:24">
      <c r="A149" s="228" t="s">
        <v>472</v>
      </c>
      <c r="B149" s="223" t="s">
        <v>964</v>
      </c>
      <c r="C149" s="7">
        <f t="shared" si="8"/>
        <v>9</v>
      </c>
      <c r="D149" s="7" t="str">
        <f t="shared" si="9"/>
        <v>3308</v>
      </c>
      <c r="E149" s="7" t="str">
        <f t="shared" si="10"/>
        <v>330801</v>
      </c>
      <c r="F149" s="7" t="str">
        <f t="shared" si="11"/>
        <v>330801002</v>
      </c>
      <c r="G149" s="219" t="s">
        <v>287</v>
      </c>
      <c r="H149" s="219" t="s">
        <v>215</v>
      </c>
      <c r="I149" s="219" t="s">
        <v>188</v>
      </c>
      <c r="J149" s="219" t="s">
        <v>42</v>
      </c>
      <c r="K149" s="250" t="s">
        <v>473</v>
      </c>
      <c r="L149" s="250" t="s">
        <v>474</v>
      </c>
      <c r="M149" s="219"/>
      <c r="N149" s="219" t="s">
        <v>52</v>
      </c>
      <c r="O149" s="234" t="s">
        <v>955</v>
      </c>
      <c r="P149" s="234" t="s">
        <v>956</v>
      </c>
      <c r="Q149" s="258" t="s">
        <v>965</v>
      </c>
      <c r="R149" s="313" t="s">
        <v>27</v>
      </c>
      <c r="S149" s="308"/>
      <c r="T149" s="4"/>
      <c r="U149" s="362" t="s">
        <v>966</v>
      </c>
      <c r="V149" s="363"/>
      <c r="W149" s="363"/>
      <c r="X149" s="288"/>
    </row>
    <row r="150" s="199" customFormat="1" customHeight="1" spans="1:24">
      <c r="A150" s="228"/>
      <c r="B150" s="3" t="s">
        <v>967</v>
      </c>
      <c r="C150" s="7">
        <f t="shared" si="8"/>
        <v>11</v>
      </c>
      <c r="D150" s="7" t="str">
        <f t="shared" si="9"/>
        <v>3308</v>
      </c>
      <c r="E150" s="7" t="str">
        <f t="shared" si="10"/>
        <v>330801</v>
      </c>
      <c r="F150" s="7" t="str">
        <f t="shared" si="11"/>
        <v>330801002</v>
      </c>
      <c r="G150" s="11" t="s">
        <v>287</v>
      </c>
      <c r="H150" s="11" t="s">
        <v>215</v>
      </c>
      <c r="I150" s="11" t="s">
        <v>188</v>
      </c>
      <c r="J150" s="11" t="s">
        <v>42</v>
      </c>
      <c r="K150" s="258" t="s">
        <v>476</v>
      </c>
      <c r="L150" s="258" t="s">
        <v>459</v>
      </c>
      <c r="M150" s="11"/>
      <c r="N150" s="11" t="s">
        <v>52</v>
      </c>
      <c r="O150" s="13">
        <f>O149*1.1</f>
        <v>6336</v>
      </c>
      <c r="P150" s="13">
        <f>P149*1.1</f>
        <v>5698</v>
      </c>
      <c r="Q150" s="258"/>
      <c r="R150" s="344" t="s">
        <v>27</v>
      </c>
      <c r="S150" s="4"/>
      <c r="T150" s="4"/>
      <c r="U150" s="362" t="s">
        <v>966</v>
      </c>
      <c r="V150" s="363"/>
      <c r="W150" s="363"/>
      <c r="X150" s="288"/>
    </row>
    <row r="151" s="199" customFormat="1" customHeight="1" spans="1:24">
      <c r="A151" s="228"/>
      <c r="B151" s="3" t="s">
        <v>968</v>
      </c>
      <c r="C151" s="7">
        <f t="shared" si="8"/>
        <v>11</v>
      </c>
      <c r="D151" s="7" t="str">
        <f t="shared" si="9"/>
        <v>3308</v>
      </c>
      <c r="E151" s="7" t="str">
        <f t="shared" si="10"/>
        <v>330801</v>
      </c>
      <c r="F151" s="7" t="str">
        <f t="shared" si="11"/>
        <v>330801002</v>
      </c>
      <c r="G151" s="11" t="s">
        <v>287</v>
      </c>
      <c r="H151" s="11" t="s">
        <v>215</v>
      </c>
      <c r="I151" s="11" t="s">
        <v>188</v>
      </c>
      <c r="J151" s="11" t="s">
        <v>42</v>
      </c>
      <c r="K151" s="258" t="s">
        <v>477</v>
      </c>
      <c r="L151" s="258"/>
      <c r="M151" s="11"/>
      <c r="N151" s="11" t="s">
        <v>52</v>
      </c>
      <c r="O151" s="13">
        <f>O150*1.3</f>
        <v>8236.8</v>
      </c>
      <c r="P151" s="13">
        <f>P150*1.3</f>
        <v>7407.4</v>
      </c>
      <c r="Q151" s="258"/>
      <c r="R151" s="344" t="s">
        <v>27</v>
      </c>
      <c r="S151" s="4"/>
      <c r="T151" s="4"/>
      <c r="U151" s="362"/>
      <c r="V151" s="363"/>
      <c r="W151" s="363"/>
      <c r="X151" s="288"/>
    </row>
    <row r="152" s="199" customFormat="1" customHeight="1" spans="1:24">
      <c r="A152" s="228" t="s">
        <v>478</v>
      </c>
      <c r="B152" s="223" t="s">
        <v>969</v>
      </c>
      <c r="C152" s="7">
        <f t="shared" si="8"/>
        <v>9</v>
      </c>
      <c r="D152" s="7" t="str">
        <f t="shared" si="9"/>
        <v>3308</v>
      </c>
      <c r="E152" s="7" t="str">
        <f t="shared" si="10"/>
        <v>330803</v>
      </c>
      <c r="F152" s="7" t="str">
        <f t="shared" si="11"/>
        <v>330803014</v>
      </c>
      <c r="G152" s="219" t="s">
        <v>287</v>
      </c>
      <c r="H152" s="219" t="s">
        <v>215</v>
      </c>
      <c r="I152" s="219" t="s">
        <v>188</v>
      </c>
      <c r="J152" s="219" t="s">
        <v>42</v>
      </c>
      <c r="K152" s="250" t="s">
        <v>479</v>
      </c>
      <c r="L152" s="250"/>
      <c r="M152" s="219"/>
      <c r="N152" s="219" t="s">
        <v>52</v>
      </c>
      <c r="O152" s="255" t="s">
        <v>970</v>
      </c>
      <c r="P152" s="255" t="s">
        <v>971</v>
      </c>
      <c r="Q152" s="258" t="s">
        <v>480</v>
      </c>
      <c r="R152" s="228" t="s">
        <v>27</v>
      </c>
      <c r="S152" s="308"/>
      <c r="T152" s="4"/>
      <c r="U152" s="362" t="s">
        <v>622</v>
      </c>
      <c r="V152" s="363"/>
      <c r="W152" s="363"/>
      <c r="X152" s="288"/>
    </row>
    <row r="153" s="199" customFormat="1" customHeight="1" spans="1:24">
      <c r="A153" s="228"/>
      <c r="B153" s="3" t="s">
        <v>972</v>
      </c>
      <c r="C153" s="7">
        <f t="shared" si="8"/>
        <v>11</v>
      </c>
      <c r="D153" s="7" t="str">
        <f t="shared" si="9"/>
        <v>3308</v>
      </c>
      <c r="E153" s="7" t="str">
        <f t="shared" si="10"/>
        <v>330803</v>
      </c>
      <c r="F153" s="7" t="str">
        <f t="shared" si="11"/>
        <v>330803014</v>
      </c>
      <c r="G153" s="11" t="s">
        <v>287</v>
      </c>
      <c r="H153" s="11" t="s">
        <v>215</v>
      </c>
      <c r="I153" s="11" t="s">
        <v>188</v>
      </c>
      <c r="J153" s="11" t="s">
        <v>42</v>
      </c>
      <c r="K153" s="258" t="s">
        <v>481</v>
      </c>
      <c r="L153" s="258" t="s">
        <v>459</v>
      </c>
      <c r="M153" s="11"/>
      <c r="N153" s="11" t="s">
        <v>52</v>
      </c>
      <c r="O153" s="13" t="s">
        <v>970</v>
      </c>
      <c r="P153" s="13" t="s">
        <v>971</v>
      </c>
      <c r="Q153" s="258"/>
      <c r="R153" s="344" t="s">
        <v>27</v>
      </c>
      <c r="S153" s="4"/>
      <c r="T153" s="4"/>
      <c r="U153" s="362"/>
      <c r="V153" s="363"/>
      <c r="W153" s="363"/>
      <c r="X153" s="288"/>
    </row>
    <row r="154" s="200" customFormat="1" customHeight="1" spans="1:24">
      <c r="A154" s="228"/>
      <c r="B154" s="3" t="s">
        <v>973</v>
      </c>
      <c r="C154" s="7">
        <f t="shared" si="8"/>
        <v>11</v>
      </c>
      <c r="D154" s="7" t="str">
        <f t="shared" si="9"/>
        <v>3308</v>
      </c>
      <c r="E154" s="7" t="str">
        <f t="shared" si="10"/>
        <v>330803</v>
      </c>
      <c r="F154" s="7" t="str">
        <f t="shared" si="11"/>
        <v>330803014</v>
      </c>
      <c r="G154" s="11" t="s">
        <v>287</v>
      </c>
      <c r="H154" s="11" t="s">
        <v>215</v>
      </c>
      <c r="I154" s="11" t="s">
        <v>188</v>
      </c>
      <c r="J154" s="11" t="s">
        <v>42</v>
      </c>
      <c r="K154" s="258" t="s">
        <v>482</v>
      </c>
      <c r="L154" s="258"/>
      <c r="M154" s="11"/>
      <c r="N154" s="11" t="s">
        <v>52</v>
      </c>
      <c r="O154" s="13">
        <f>O153*1.3</f>
        <v>12480</v>
      </c>
      <c r="P154" s="13">
        <f>P153*1.3</f>
        <v>11232</v>
      </c>
      <c r="Q154" s="258"/>
      <c r="R154" s="344" t="s">
        <v>27</v>
      </c>
      <c r="S154" s="4"/>
      <c r="T154" s="4"/>
      <c r="U154" s="362"/>
      <c r="V154" s="363"/>
      <c r="W154" s="363"/>
      <c r="X154" s="288"/>
    </row>
    <row r="155" customHeight="1" spans="1:24">
      <c r="A155" s="222" t="s">
        <v>483</v>
      </c>
      <c r="B155" s="223" t="s">
        <v>974</v>
      </c>
      <c r="C155" s="7">
        <f t="shared" si="8"/>
        <v>9</v>
      </c>
      <c r="D155" s="7" t="str">
        <f t="shared" si="9"/>
        <v>3308</v>
      </c>
      <c r="E155" s="7" t="str">
        <f t="shared" si="10"/>
        <v>330804</v>
      </c>
      <c r="F155" s="7" t="str">
        <f t="shared" si="11"/>
        <v>330804043</v>
      </c>
      <c r="G155" s="219" t="s">
        <v>287</v>
      </c>
      <c r="H155" s="219" t="s">
        <v>215</v>
      </c>
      <c r="I155" s="219" t="s">
        <v>188</v>
      </c>
      <c r="J155" s="219" t="s">
        <v>42</v>
      </c>
      <c r="K155" s="250" t="s">
        <v>484</v>
      </c>
      <c r="L155" s="250" t="s">
        <v>485</v>
      </c>
      <c r="M155" s="219" t="s">
        <v>486</v>
      </c>
      <c r="N155" s="219" t="s">
        <v>487</v>
      </c>
      <c r="O155" s="255" t="s">
        <v>860</v>
      </c>
      <c r="P155" s="255" t="s">
        <v>861</v>
      </c>
      <c r="Q155" s="250" t="s">
        <v>975</v>
      </c>
      <c r="R155" s="222" t="s">
        <v>27</v>
      </c>
      <c r="S155" s="309"/>
      <c r="T155" s="300"/>
      <c r="U155" s="286" t="s">
        <v>640</v>
      </c>
      <c r="V155" s="287"/>
      <c r="W155" s="287"/>
      <c r="X155" s="288"/>
    </row>
    <row r="156" s="199" customFormat="1" customHeight="1" spans="1:24">
      <c r="A156" s="228"/>
      <c r="B156" s="3" t="s">
        <v>976</v>
      </c>
      <c r="C156" s="7">
        <f t="shared" si="8"/>
        <v>11</v>
      </c>
      <c r="D156" s="7" t="str">
        <f t="shared" si="9"/>
        <v>3308</v>
      </c>
      <c r="E156" s="7" t="str">
        <f t="shared" si="10"/>
        <v>330804</v>
      </c>
      <c r="F156" s="7" t="str">
        <f t="shared" si="11"/>
        <v>330804043</v>
      </c>
      <c r="G156" s="11" t="s">
        <v>287</v>
      </c>
      <c r="H156" s="11" t="s">
        <v>215</v>
      </c>
      <c r="I156" s="11" t="s">
        <v>188</v>
      </c>
      <c r="J156" s="11" t="s">
        <v>42</v>
      </c>
      <c r="K156" s="266" t="s">
        <v>489</v>
      </c>
      <c r="L156" s="258" t="s">
        <v>459</v>
      </c>
      <c r="M156" s="11"/>
      <c r="N156" s="11" t="s">
        <v>487</v>
      </c>
      <c r="O156" s="13">
        <v>2880</v>
      </c>
      <c r="P156" s="13">
        <f>O156*0.9</f>
        <v>2592</v>
      </c>
      <c r="Q156" s="258"/>
      <c r="R156" s="305"/>
      <c r="S156" s="365"/>
      <c r="T156" s="305"/>
      <c r="U156" s="297" t="s">
        <v>653</v>
      </c>
      <c r="V156" s="298"/>
      <c r="W156" s="298"/>
      <c r="X156" s="288"/>
    </row>
    <row r="157" s="199" customFormat="1" customHeight="1" spans="1:24">
      <c r="A157" s="228"/>
      <c r="B157" s="3" t="s">
        <v>976</v>
      </c>
      <c r="C157" s="7">
        <f t="shared" si="8"/>
        <v>11</v>
      </c>
      <c r="D157" s="7" t="str">
        <f t="shared" si="9"/>
        <v>3308</v>
      </c>
      <c r="E157" s="7" t="str">
        <f t="shared" si="10"/>
        <v>330804</v>
      </c>
      <c r="F157" s="7" t="str">
        <f t="shared" si="11"/>
        <v>330804043</v>
      </c>
      <c r="G157" s="11" t="s">
        <v>287</v>
      </c>
      <c r="H157" s="11" t="s">
        <v>215</v>
      </c>
      <c r="I157" s="11" t="s">
        <v>188</v>
      </c>
      <c r="J157" s="11" t="s">
        <v>42</v>
      </c>
      <c r="K157" s="266" t="s">
        <v>490</v>
      </c>
      <c r="L157" s="278"/>
      <c r="M157" s="11"/>
      <c r="N157" s="11" t="s">
        <v>487</v>
      </c>
      <c r="O157" s="13">
        <f>O156*1.3</f>
        <v>3744</v>
      </c>
      <c r="P157" s="13">
        <f>P156*1.3</f>
        <v>3369.6</v>
      </c>
      <c r="Q157" s="258"/>
      <c r="R157" s="305"/>
      <c r="S157" s="365"/>
      <c r="T157" s="305"/>
      <c r="U157" s="297"/>
      <c r="V157" s="298"/>
      <c r="W157" s="298"/>
      <c r="X157" s="288"/>
    </row>
    <row r="158" s="199" customFormat="1" customHeight="1" spans="1:24">
      <c r="A158" s="220" t="s">
        <v>494</v>
      </c>
      <c r="B158" s="223" t="s">
        <v>977</v>
      </c>
      <c r="C158" s="7">
        <f t="shared" si="8"/>
        <v>9</v>
      </c>
      <c r="D158" s="7" t="str">
        <f t="shared" si="9"/>
        <v>3310</v>
      </c>
      <c r="E158" s="7" t="str">
        <f t="shared" si="10"/>
        <v>331005</v>
      </c>
      <c r="F158" s="7" t="str">
        <f t="shared" si="11"/>
        <v>331005007</v>
      </c>
      <c r="G158" s="219" t="s">
        <v>287</v>
      </c>
      <c r="H158" s="219" t="s">
        <v>215</v>
      </c>
      <c r="I158" s="219" t="s">
        <v>188</v>
      </c>
      <c r="J158" s="219" t="s">
        <v>42</v>
      </c>
      <c r="K158" s="250" t="s">
        <v>495</v>
      </c>
      <c r="L158" s="250" t="s">
        <v>496</v>
      </c>
      <c r="M158" s="219"/>
      <c r="N158" s="219" t="s">
        <v>52</v>
      </c>
      <c r="O158" s="255" t="s">
        <v>978</v>
      </c>
      <c r="P158" s="255" t="s">
        <v>979</v>
      </c>
      <c r="Q158" s="258" t="s">
        <v>980</v>
      </c>
      <c r="R158" s="313" t="s">
        <v>27</v>
      </c>
      <c r="S158" s="300"/>
      <c r="T158" s="300"/>
      <c r="U158" s="297"/>
      <c r="V158" s="298"/>
      <c r="W158" s="298"/>
      <c r="X158" s="288"/>
    </row>
    <row r="159" s="199" customFormat="1" customHeight="1" spans="1:24">
      <c r="A159" s="228"/>
      <c r="B159" s="3" t="s">
        <v>981</v>
      </c>
      <c r="C159" s="7">
        <f t="shared" si="8"/>
        <v>11</v>
      </c>
      <c r="D159" s="7" t="str">
        <f t="shared" si="9"/>
        <v>3310</v>
      </c>
      <c r="E159" s="7" t="str">
        <f t="shared" si="10"/>
        <v>331005</v>
      </c>
      <c r="F159" s="7" t="str">
        <f t="shared" si="11"/>
        <v>331005007</v>
      </c>
      <c r="G159" s="11" t="s">
        <v>287</v>
      </c>
      <c r="H159" s="11" t="s">
        <v>215</v>
      </c>
      <c r="I159" s="11" t="s">
        <v>188</v>
      </c>
      <c r="J159" s="11" t="s">
        <v>42</v>
      </c>
      <c r="K159" s="258" t="s">
        <v>982</v>
      </c>
      <c r="L159" s="258"/>
      <c r="M159" s="11"/>
      <c r="N159" s="11"/>
      <c r="O159" s="13">
        <f t="shared" ref="O159:O163" si="12">O158+60</f>
        <v>4620</v>
      </c>
      <c r="P159" s="13">
        <f t="shared" ref="P159:P163" si="13">P158+60</f>
        <v>4160</v>
      </c>
      <c r="Q159" s="258"/>
      <c r="R159" s="301" t="s">
        <v>27</v>
      </c>
      <c r="S159" s="300"/>
      <c r="T159" s="300"/>
      <c r="U159" s="297"/>
      <c r="V159" s="298"/>
      <c r="W159" s="298"/>
      <c r="X159" s="288"/>
    </row>
    <row r="160" s="199" customFormat="1" customHeight="1" spans="1:24">
      <c r="A160" s="220" t="s">
        <v>499</v>
      </c>
      <c r="B160" s="223" t="s">
        <v>983</v>
      </c>
      <c r="C160" s="7">
        <f t="shared" si="8"/>
        <v>9</v>
      </c>
      <c r="D160" s="7" t="str">
        <f t="shared" si="9"/>
        <v>3310</v>
      </c>
      <c r="E160" s="7" t="str">
        <f t="shared" si="10"/>
        <v>331005</v>
      </c>
      <c r="F160" s="7" t="str">
        <f t="shared" si="11"/>
        <v>331005013</v>
      </c>
      <c r="G160" s="219" t="s">
        <v>287</v>
      </c>
      <c r="H160" s="219" t="s">
        <v>215</v>
      </c>
      <c r="I160" s="219" t="s">
        <v>188</v>
      </c>
      <c r="J160" s="219" t="s">
        <v>42</v>
      </c>
      <c r="K160" s="250" t="s">
        <v>500</v>
      </c>
      <c r="L160" s="250" t="s">
        <v>501</v>
      </c>
      <c r="M160" s="219"/>
      <c r="N160" s="219" t="s">
        <v>52</v>
      </c>
      <c r="O160" s="255" t="s">
        <v>920</v>
      </c>
      <c r="P160" s="255" t="s">
        <v>921</v>
      </c>
      <c r="Q160" s="258" t="s">
        <v>980</v>
      </c>
      <c r="R160" s="313" t="s">
        <v>27</v>
      </c>
      <c r="S160" s="300"/>
      <c r="T160" s="300"/>
      <c r="U160" s="297"/>
      <c r="V160" s="298"/>
      <c r="W160" s="298"/>
      <c r="X160" s="288"/>
    </row>
    <row r="161" s="199" customFormat="1" customHeight="1" spans="1:24">
      <c r="A161" s="228"/>
      <c r="B161" s="3" t="s">
        <v>984</v>
      </c>
      <c r="C161" s="7">
        <f t="shared" si="8"/>
        <v>11</v>
      </c>
      <c r="D161" s="7" t="str">
        <f t="shared" si="9"/>
        <v>3310</v>
      </c>
      <c r="E161" s="7" t="str">
        <f t="shared" si="10"/>
        <v>331005</v>
      </c>
      <c r="F161" s="7" t="str">
        <f t="shared" si="11"/>
        <v>331005013</v>
      </c>
      <c r="G161" s="11" t="s">
        <v>287</v>
      </c>
      <c r="H161" s="11" t="s">
        <v>215</v>
      </c>
      <c r="I161" s="11" t="s">
        <v>188</v>
      </c>
      <c r="J161" s="11" t="s">
        <v>42</v>
      </c>
      <c r="K161" s="258" t="s">
        <v>982</v>
      </c>
      <c r="L161" s="258"/>
      <c r="M161" s="11"/>
      <c r="N161" s="11"/>
      <c r="O161" s="13">
        <f t="shared" si="12"/>
        <v>2940</v>
      </c>
      <c r="P161" s="13">
        <f t="shared" si="13"/>
        <v>2650</v>
      </c>
      <c r="Q161" s="258"/>
      <c r="R161" s="301" t="s">
        <v>27</v>
      </c>
      <c r="S161" s="300"/>
      <c r="T161" s="300"/>
      <c r="U161" s="297"/>
      <c r="V161" s="298"/>
      <c r="W161" s="298"/>
      <c r="X161" s="288"/>
    </row>
    <row r="162" s="199" customFormat="1" customHeight="1" spans="1:24">
      <c r="A162" s="220" t="s">
        <v>503</v>
      </c>
      <c r="B162" s="223" t="s">
        <v>985</v>
      </c>
      <c r="C162" s="7">
        <f t="shared" si="8"/>
        <v>9</v>
      </c>
      <c r="D162" s="7" t="str">
        <f t="shared" si="9"/>
        <v>3310</v>
      </c>
      <c r="E162" s="7" t="str">
        <f t="shared" si="10"/>
        <v>331005</v>
      </c>
      <c r="F162" s="7" t="str">
        <f t="shared" si="11"/>
        <v>331005014</v>
      </c>
      <c r="G162" s="219" t="s">
        <v>287</v>
      </c>
      <c r="H162" s="219" t="s">
        <v>215</v>
      </c>
      <c r="I162" s="219" t="s">
        <v>188</v>
      </c>
      <c r="J162" s="219" t="s">
        <v>42</v>
      </c>
      <c r="K162" s="250" t="s">
        <v>504</v>
      </c>
      <c r="L162" s="250" t="s">
        <v>505</v>
      </c>
      <c r="M162" s="219"/>
      <c r="N162" s="219" t="s">
        <v>52</v>
      </c>
      <c r="O162" s="255" t="s">
        <v>920</v>
      </c>
      <c r="P162" s="255" t="s">
        <v>921</v>
      </c>
      <c r="Q162" s="258" t="s">
        <v>980</v>
      </c>
      <c r="R162" s="313" t="s">
        <v>27</v>
      </c>
      <c r="S162" s="300"/>
      <c r="T162" s="300"/>
      <c r="U162" s="297"/>
      <c r="V162" s="298"/>
      <c r="W162" s="298"/>
      <c r="X162" s="288"/>
    </row>
    <row r="163" s="199" customFormat="1" customHeight="1" spans="1:24">
      <c r="A163" s="228"/>
      <c r="B163" s="3" t="s">
        <v>986</v>
      </c>
      <c r="C163" s="7">
        <f t="shared" si="8"/>
        <v>11</v>
      </c>
      <c r="D163" s="7" t="str">
        <f t="shared" si="9"/>
        <v>3310</v>
      </c>
      <c r="E163" s="7" t="str">
        <f t="shared" si="10"/>
        <v>331005</v>
      </c>
      <c r="F163" s="7" t="str">
        <f t="shared" si="11"/>
        <v>331005014</v>
      </c>
      <c r="G163" s="11" t="s">
        <v>287</v>
      </c>
      <c r="H163" s="11" t="s">
        <v>215</v>
      </c>
      <c r="I163" s="11" t="s">
        <v>188</v>
      </c>
      <c r="J163" s="11" t="s">
        <v>42</v>
      </c>
      <c r="K163" s="258" t="s">
        <v>982</v>
      </c>
      <c r="L163" s="258"/>
      <c r="M163" s="11"/>
      <c r="N163" s="11"/>
      <c r="O163" s="13">
        <f t="shared" si="12"/>
        <v>2940</v>
      </c>
      <c r="P163" s="13">
        <f t="shared" si="13"/>
        <v>2650</v>
      </c>
      <c r="Q163" s="258"/>
      <c r="R163" s="301" t="s">
        <v>27</v>
      </c>
      <c r="S163" s="300"/>
      <c r="T163" s="300"/>
      <c r="U163" s="297"/>
      <c r="V163" s="298"/>
      <c r="W163" s="298"/>
      <c r="X163" s="288"/>
    </row>
    <row r="164" s="199" customFormat="1" customHeight="1" spans="1:24">
      <c r="A164" s="220" t="s">
        <v>507</v>
      </c>
      <c r="B164" s="223" t="s">
        <v>987</v>
      </c>
      <c r="C164" s="7">
        <f t="shared" si="8"/>
        <v>9</v>
      </c>
      <c r="D164" s="7" t="str">
        <f t="shared" si="9"/>
        <v>3310</v>
      </c>
      <c r="E164" s="7" t="str">
        <f t="shared" si="10"/>
        <v>331005</v>
      </c>
      <c r="F164" s="7" t="str">
        <f t="shared" si="11"/>
        <v>331005015</v>
      </c>
      <c r="G164" s="219" t="s">
        <v>287</v>
      </c>
      <c r="H164" s="219" t="s">
        <v>215</v>
      </c>
      <c r="I164" s="219" t="s">
        <v>188</v>
      </c>
      <c r="J164" s="219" t="s">
        <v>42</v>
      </c>
      <c r="K164" s="250" t="s">
        <v>508</v>
      </c>
      <c r="L164" s="250" t="s">
        <v>509</v>
      </c>
      <c r="M164" s="219"/>
      <c r="N164" s="219" t="s">
        <v>52</v>
      </c>
      <c r="O164" s="255" t="s">
        <v>988</v>
      </c>
      <c r="P164" s="255" t="s">
        <v>989</v>
      </c>
      <c r="Q164" s="258" t="s">
        <v>980</v>
      </c>
      <c r="R164" s="313" t="s">
        <v>27</v>
      </c>
      <c r="S164" s="300"/>
      <c r="T164" s="300"/>
      <c r="U164" s="297"/>
      <c r="V164" s="298"/>
      <c r="W164" s="298"/>
      <c r="X164" s="288"/>
    </row>
    <row r="165" s="199" customFormat="1" customHeight="1" spans="1:24">
      <c r="A165" s="228"/>
      <c r="B165" s="3" t="s">
        <v>990</v>
      </c>
      <c r="C165" s="7">
        <f t="shared" si="8"/>
        <v>11</v>
      </c>
      <c r="D165" s="7" t="str">
        <f t="shared" si="9"/>
        <v>3310</v>
      </c>
      <c r="E165" s="7" t="str">
        <f t="shared" si="10"/>
        <v>331005</v>
      </c>
      <c r="F165" s="7" t="str">
        <f t="shared" si="11"/>
        <v>331005015</v>
      </c>
      <c r="G165" s="11" t="s">
        <v>287</v>
      </c>
      <c r="H165" s="11" t="s">
        <v>215</v>
      </c>
      <c r="I165" s="11" t="s">
        <v>188</v>
      </c>
      <c r="J165" s="11" t="s">
        <v>42</v>
      </c>
      <c r="K165" s="258" t="s">
        <v>982</v>
      </c>
      <c r="L165" s="258"/>
      <c r="M165" s="11"/>
      <c r="N165" s="11"/>
      <c r="O165" s="13">
        <f>O164+60</f>
        <v>5340</v>
      </c>
      <c r="P165" s="13">
        <f>P164+60</f>
        <v>4810</v>
      </c>
      <c r="Q165" s="258"/>
      <c r="R165" s="301" t="s">
        <v>27</v>
      </c>
      <c r="S165" s="300"/>
      <c r="T165" s="300"/>
      <c r="U165" s="297"/>
      <c r="V165" s="298"/>
      <c r="W165" s="298"/>
      <c r="X165" s="288"/>
    </row>
    <row r="166" s="199" customFormat="1" customHeight="1" spans="1:24">
      <c r="A166" s="220" t="s">
        <v>511</v>
      </c>
      <c r="B166" s="223" t="s">
        <v>991</v>
      </c>
      <c r="C166" s="7">
        <f t="shared" si="8"/>
        <v>9</v>
      </c>
      <c r="D166" s="7" t="str">
        <f t="shared" si="9"/>
        <v>3310</v>
      </c>
      <c r="E166" s="7" t="str">
        <f t="shared" si="10"/>
        <v>331005</v>
      </c>
      <c r="F166" s="7" t="str">
        <f t="shared" si="11"/>
        <v>331005016</v>
      </c>
      <c r="G166" s="219" t="s">
        <v>287</v>
      </c>
      <c r="H166" s="219" t="s">
        <v>215</v>
      </c>
      <c r="I166" s="219" t="s">
        <v>188</v>
      </c>
      <c r="J166" s="219" t="s">
        <v>42</v>
      </c>
      <c r="K166" s="250" t="s">
        <v>512</v>
      </c>
      <c r="L166" s="250" t="s">
        <v>513</v>
      </c>
      <c r="M166" s="219"/>
      <c r="N166" s="219" t="s">
        <v>52</v>
      </c>
      <c r="O166" s="255" t="s">
        <v>992</v>
      </c>
      <c r="P166" s="255" t="s">
        <v>993</v>
      </c>
      <c r="Q166" s="258" t="s">
        <v>980</v>
      </c>
      <c r="R166" s="313" t="s">
        <v>27</v>
      </c>
      <c r="S166" s="300"/>
      <c r="T166" s="300"/>
      <c r="U166" s="297"/>
      <c r="V166" s="298"/>
      <c r="W166" s="298"/>
      <c r="X166" s="288"/>
    </row>
    <row r="167" s="199" customFormat="1" customHeight="1" spans="1:24">
      <c r="A167" s="228"/>
      <c r="B167" s="3" t="s">
        <v>994</v>
      </c>
      <c r="C167" s="7">
        <f t="shared" si="8"/>
        <v>11</v>
      </c>
      <c r="D167" s="7" t="str">
        <f t="shared" si="9"/>
        <v>3310</v>
      </c>
      <c r="E167" s="7" t="str">
        <f t="shared" si="10"/>
        <v>331005</v>
      </c>
      <c r="F167" s="7" t="str">
        <f t="shared" si="11"/>
        <v>331005016</v>
      </c>
      <c r="G167" s="11" t="s">
        <v>287</v>
      </c>
      <c r="H167" s="11" t="s">
        <v>215</v>
      </c>
      <c r="I167" s="11" t="s">
        <v>188</v>
      </c>
      <c r="J167" s="11" t="s">
        <v>42</v>
      </c>
      <c r="K167" s="258" t="s">
        <v>982</v>
      </c>
      <c r="L167" s="258"/>
      <c r="M167" s="11"/>
      <c r="N167" s="11"/>
      <c r="O167" s="13">
        <f>O166+60</f>
        <v>7560</v>
      </c>
      <c r="P167" s="13">
        <f>P166+60</f>
        <v>6360</v>
      </c>
      <c r="Q167" s="258"/>
      <c r="R167" s="301" t="s">
        <v>27</v>
      </c>
      <c r="S167" s="300"/>
      <c r="T167" s="300"/>
      <c r="U167" s="297"/>
      <c r="V167" s="298"/>
      <c r="W167" s="298"/>
      <c r="X167" s="288"/>
    </row>
    <row r="168" customHeight="1" spans="1:24">
      <c r="A168" s="222" t="s">
        <v>515</v>
      </c>
      <c r="B168" s="223" t="s">
        <v>995</v>
      </c>
      <c r="C168" s="7">
        <f t="shared" si="8"/>
        <v>9</v>
      </c>
      <c r="D168" s="7" t="str">
        <f t="shared" si="9"/>
        <v>3312</v>
      </c>
      <c r="E168" s="7" t="str">
        <f t="shared" si="10"/>
        <v>331202</v>
      </c>
      <c r="F168" s="7" t="str">
        <f t="shared" si="11"/>
        <v>331202007</v>
      </c>
      <c r="G168" s="219" t="s">
        <v>287</v>
      </c>
      <c r="H168" s="219" t="s">
        <v>215</v>
      </c>
      <c r="I168" s="219" t="s">
        <v>188</v>
      </c>
      <c r="J168" s="219" t="s">
        <v>42</v>
      </c>
      <c r="K168" s="250" t="s">
        <v>516</v>
      </c>
      <c r="L168" s="250"/>
      <c r="M168" s="219"/>
      <c r="N168" s="219" t="s">
        <v>517</v>
      </c>
      <c r="O168" s="255" t="s">
        <v>996</v>
      </c>
      <c r="P168" s="255" t="s">
        <v>997</v>
      </c>
      <c r="Q168" s="258" t="s">
        <v>998</v>
      </c>
      <c r="R168" s="313" t="s">
        <v>27</v>
      </c>
      <c r="S168" s="279"/>
      <c r="T168" s="279"/>
      <c r="U168" s="286" t="s">
        <v>640</v>
      </c>
      <c r="V168" s="287"/>
      <c r="W168" s="287"/>
      <c r="X168" s="288"/>
    </row>
    <row r="169" customHeight="1" spans="1:24">
      <c r="A169" s="219"/>
      <c r="B169" s="3" t="s">
        <v>999</v>
      </c>
      <c r="C169" s="7">
        <f t="shared" si="8"/>
        <v>11</v>
      </c>
      <c r="D169" s="7" t="str">
        <f t="shared" si="9"/>
        <v>3312</v>
      </c>
      <c r="E169" s="7" t="str">
        <f t="shared" si="10"/>
        <v>331202</v>
      </c>
      <c r="F169" s="7" t="str">
        <f t="shared" si="11"/>
        <v>331202007</v>
      </c>
      <c r="G169" s="11" t="s">
        <v>287</v>
      </c>
      <c r="H169" s="11" t="s">
        <v>215</v>
      </c>
      <c r="I169" s="11" t="s">
        <v>188</v>
      </c>
      <c r="J169" s="11" t="s">
        <v>42</v>
      </c>
      <c r="K169" s="258" t="s">
        <v>519</v>
      </c>
      <c r="L169" s="258"/>
      <c r="M169" s="11"/>
      <c r="N169" s="11" t="s">
        <v>517</v>
      </c>
      <c r="O169" s="11">
        <v>530</v>
      </c>
      <c r="P169" s="11">
        <v>480</v>
      </c>
      <c r="Q169" s="258"/>
      <c r="R169" s="222" t="s">
        <v>27</v>
      </c>
      <c r="S169" s="343"/>
      <c r="T169" s="343"/>
      <c r="U169" s="286" t="s">
        <v>653</v>
      </c>
      <c r="V169" s="287"/>
      <c r="W169" s="287"/>
      <c r="X169" s="288"/>
    </row>
    <row r="170" customHeight="1" spans="1:24">
      <c r="A170" s="219"/>
      <c r="B170" s="3" t="s">
        <v>1000</v>
      </c>
      <c r="C170" s="7">
        <f t="shared" si="8"/>
        <v>11</v>
      </c>
      <c r="D170" s="7" t="str">
        <f t="shared" si="9"/>
        <v>3312</v>
      </c>
      <c r="E170" s="7" t="str">
        <f t="shared" si="10"/>
        <v>331202</v>
      </c>
      <c r="F170" s="7" t="str">
        <f t="shared" si="11"/>
        <v>331202007</v>
      </c>
      <c r="G170" s="11" t="s">
        <v>287</v>
      </c>
      <c r="H170" s="11" t="s">
        <v>215</v>
      </c>
      <c r="I170" s="11" t="s">
        <v>188</v>
      </c>
      <c r="J170" s="11" t="s">
        <v>42</v>
      </c>
      <c r="K170" s="258" t="s">
        <v>520</v>
      </c>
      <c r="L170" s="258"/>
      <c r="M170" s="11"/>
      <c r="N170" s="11" t="s">
        <v>517</v>
      </c>
      <c r="O170" s="11">
        <f>O169*1.3</f>
        <v>689</v>
      </c>
      <c r="P170" s="11">
        <f>P169*1.3</f>
        <v>624</v>
      </c>
      <c r="Q170" s="258"/>
      <c r="R170" s="253" t="s">
        <v>27</v>
      </c>
      <c r="S170" s="343"/>
      <c r="T170" s="343"/>
      <c r="U170" s="286"/>
      <c r="V170" s="287"/>
      <c r="W170" s="287"/>
      <c r="X170" s="288"/>
    </row>
    <row r="171" customHeight="1" spans="1:24">
      <c r="A171" s="222" t="s">
        <v>521</v>
      </c>
      <c r="B171" s="223" t="s">
        <v>1001</v>
      </c>
      <c r="C171" s="7">
        <f t="shared" si="8"/>
        <v>9</v>
      </c>
      <c r="D171" s="7" t="str">
        <f t="shared" si="9"/>
        <v>3313</v>
      </c>
      <c r="E171" s="7" t="str">
        <f t="shared" si="10"/>
        <v>331303</v>
      </c>
      <c r="F171" s="7" t="str">
        <f t="shared" si="11"/>
        <v>331303012</v>
      </c>
      <c r="G171" s="219" t="s">
        <v>287</v>
      </c>
      <c r="H171" s="219" t="s">
        <v>215</v>
      </c>
      <c r="I171" s="219" t="s">
        <v>188</v>
      </c>
      <c r="J171" s="219" t="s">
        <v>42</v>
      </c>
      <c r="K171" s="250" t="s">
        <v>522</v>
      </c>
      <c r="L171" s="258" t="s">
        <v>523</v>
      </c>
      <c r="M171" s="219"/>
      <c r="N171" s="219" t="s">
        <v>52</v>
      </c>
      <c r="O171" s="255" t="s">
        <v>936</v>
      </c>
      <c r="P171" s="255" t="s">
        <v>1002</v>
      </c>
      <c r="Q171" s="250" t="s">
        <v>1003</v>
      </c>
      <c r="R171" s="222" t="s">
        <v>27</v>
      </c>
      <c r="S171" s="279"/>
      <c r="T171" s="279"/>
      <c r="U171" s="286" t="s">
        <v>622</v>
      </c>
      <c r="V171" s="287"/>
      <c r="W171" s="287"/>
      <c r="X171" s="288"/>
    </row>
    <row r="172" customHeight="1" spans="1:24">
      <c r="A172" s="219"/>
      <c r="B172" s="3" t="s">
        <v>1004</v>
      </c>
      <c r="C172" s="7">
        <f t="shared" si="8"/>
        <v>11</v>
      </c>
      <c r="D172" s="7" t="str">
        <f t="shared" si="9"/>
        <v>3313</v>
      </c>
      <c r="E172" s="7" t="str">
        <f t="shared" si="10"/>
        <v>331303</v>
      </c>
      <c r="F172" s="7" t="str">
        <f t="shared" si="11"/>
        <v>331303012</v>
      </c>
      <c r="G172" s="11" t="s">
        <v>287</v>
      </c>
      <c r="H172" s="11" t="s">
        <v>215</v>
      </c>
      <c r="I172" s="11" t="s">
        <v>188</v>
      </c>
      <c r="J172" s="11" t="s">
        <v>42</v>
      </c>
      <c r="K172" s="258" t="s">
        <v>525</v>
      </c>
      <c r="L172" s="258"/>
      <c r="M172" s="11"/>
      <c r="N172" s="11" t="s">
        <v>52</v>
      </c>
      <c r="O172" s="13" t="s">
        <v>936</v>
      </c>
      <c r="P172" s="13" t="s">
        <v>1002</v>
      </c>
      <c r="Q172" s="258"/>
      <c r="R172" s="253" t="s">
        <v>27</v>
      </c>
      <c r="S172" s="279"/>
      <c r="T172" s="279"/>
      <c r="U172" s="286" t="s">
        <v>653</v>
      </c>
      <c r="V172" s="287"/>
      <c r="W172" s="287"/>
      <c r="X172" s="288" t="s">
        <v>770</v>
      </c>
    </row>
    <row r="173" customHeight="1" spans="1:24">
      <c r="A173" s="219"/>
      <c r="B173" s="3" t="s">
        <v>1005</v>
      </c>
      <c r="C173" s="7">
        <f t="shared" si="8"/>
        <v>11</v>
      </c>
      <c r="D173" s="7" t="str">
        <f t="shared" si="9"/>
        <v>3313</v>
      </c>
      <c r="E173" s="7" t="str">
        <f t="shared" si="10"/>
        <v>331303</v>
      </c>
      <c r="F173" s="7" t="str">
        <f t="shared" si="11"/>
        <v>331303012</v>
      </c>
      <c r="G173" s="11" t="s">
        <v>287</v>
      </c>
      <c r="H173" s="11" t="s">
        <v>215</v>
      </c>
      <c r="I173" s="11" t="s">
        <v>188</v>
      </c>
      <c r="J173" s="11" t="s">
        <v>42</v>
      </c>
      <c r="K173" s="258" t="s">
        <v>526</v>
      </c>
      <c r="L173" s="258"/>
      <c r="M173" s="11"/>
      <c r="N173" s="11" t="s">
        <v>52</v>
      </c>
      <c r="O173" s="13" t="s">
        <v>1006</v>
      </c>
      <c r="P173" s="13" t="s">
        <v>1007</v>
      </c>
      <c r="Q173" s="258"/>
      <c r="R173" s="253" t="s">
        <v>27</v>
      </c>
      <c r="S173" s="279"/>
      <c r="T173" s="279"/>
      <c r="U173" s="286"/>
      <c r="V173" s="287"/>
      <c r="W173" s="287"/>
      <c r="X173" s="288"/>
    </row>
    <row r="174" customHeight="1" spans="1:24">
      <c r="A174" s="219"/>
      <c r="B174" s="3" t="s">
        <v>1008</v>
      </c>
      <c r="C174" s="7">
        <f t="shared" si="8"/>
        <v>11</v>
      </c>
      <c r="D174" s="7" t="str">
        <f t="shared" si="9"/>
        <v>3313</v>
      </c>
      <c r="E174" s="7" t="str">
        <f t="shared" si="10"/>
        <v>331303</v>
      </c>
      <c r="F174" s="7" t="str">
        <f t="shared" si="11"/>
        <v>331303012</v>
      </c>
      <c r="G174" s="11" t="s">
        <v>287</v>
      </c>
      <c r="H174" s="11" t="s">
        <v>215</v>
      </c>
      <c r="I174" s="11" t="s">
        <v>188</v>
      </c>
      <c r="J174" s="11" t="s">
        <v>42</v>
      </c>
      <c r="K174" s="258" t="s">
        <v>527</v>
      </c>
      <c r="L174" s="258"/>
      <c r="M174" s="11"/>
      <c r="N174" s="11" t="s">
        <v>52</v>
      </c>
      <c r="O174" s="13" t="s">
        <v>1009</v>
      </c>
      <c r="P174" s="13" t="s">
        <v>1010</v>
      </c>
      <c r="Q174" s="258"/>
      <c r="R174" s="253" t="s">
        <v>27</v>
      </c>
      <c r="S174" s="279"/>
      <c r="T174" s="279"/>
      <c r="U174" s="286"/>
      <c r="V174" s="287"/>
      <c r="W174" s="287"/>
      <c r="X174" s="288"/>
    </row>
    <row r="175" customHeight="1" spans="1:24">
      <c r="A175" s="219"/>
      <c r="B175" s="3" t="s">
        <v>1011</v>
      </c>
      <c r="C175" s="7">
        <f t="shared" si="8"/>
        <v>11</v>
      </c>
      <c r="D175" s="7" t="str">
        <f t="shared" si="9"/>
        <v>3313</v>
      </c>
      <c r="E175" s="7" t="str">
        <f t="shared" si="10"/>
        <v>331303</v>
      </c>
      <c r="F175" s="7" t="str">
        <f t="shared" si="11"/>
        <v>331303012</v>
      </c>
      <c r="G175" s="11" t="s">
        <v>287</v>
      </c>
      <c r="H175" s="11" t="s">
        <v>215</v>
      </c>
      <c r="I175" s="11" t="s">
        <v>188</v>
      </c>
      <c r="J175" s="11" t="s">
        <v>42</v>
      </c>
      <c r="K175" s="258" t="s">
        <v>528</v>
      </c>
      <c r="L175" s="258"/>
      <c r="M175" s="11"/>
      <c r="N175" s="11" t="s">
        <v>52</v>
      </c>
      <c r="O175" s="13" t="s">
        <v>1012</v>
      </c>
      <c r="P175" s="13" t="s">
        <v>924</v>
      </c>
      <c r="Q175" s="258"/>
      <c r="R175" s="253" t="s">
        <v>27</v>
      </c>
      <c r="S175" s="279"/>
      <c r="T175" s="279"/>
      <c r="U175" s="286"/>
      <c r="V175" s="287"/>
      <c r="W175" s="287"/>
      <c r="X175" s="288"/>
    </row>
    <row r="176" customHeight="1" spans="1:24">
      <c r="A176" s="222" t="s">
        <v>529</v>
      </c>
      <c r="B176" s="223" t="s">
        <v>1013</v>
      </c>
      <c r="C176" s="7">
        <f t="shared" si="8"/>
        <v>9</v>
      </c>
      <c r="D176" s="7" t="str">
        <f t="shared" si="9"/>
        <v>3315</v>
      </c>
      <c r="E176" s="7" t="str">
        <f t="shared" si="10"/>
        <v>331501</v>
      </c>
      <c r="F176" s="7" t="str">
        <f t="shared" si="11"/>
        <v>331501021</v>
      </c>
      <c r="G176" s="219" t="s">
        <v>287</v>
      </c>
      <c r="H176" s="219" t="s">
        <v>215</v>
      </c>
      <c r="I176" s="219" t="s">
        <v>188</v>
      </c>
      <c r="J176" s="219" t="s">
        <v>42</v>
      </c>
      <c r="K176" s="250" t="s">
        <v>530</v>
      </c>
      <c r="L176" s="250" t="s">
        <v>1014</v>
      </c>
      <c r="M176" s="219"/>
      <c r="N176" s="219" t="s">
        <v>532</v>
      </c>
      <c r="O176" s="255" t="s">
        <v>933</v>
      </c>
      <c r="P176" s="255" t="s">
        <v>1015</v>
      </c>
      <c r="Q176" s="250" t="s">
        <v>533</v>
      </c>
      <c r="R176" s="222" t="s">
        <v>27</v>
      </c>
      <c r="S176" s="292"/>
      <c r="T176" s="292"/>
      <c r="U176" s="293" t="s">
        <v>622</v>
      </c>
      <c r="V176" s="294"/>
      <c r="W176" s="294"/>
      <c r="X176" s="288"/>
    </row>
    <row r="177" customHeight="1" spans="1:24">
      <c r="A177" s="222"/>
      <c r="B177" s="3" t="s">
        <v>1016</v>
      </c>
      <c r="C177" s="7">
        <f t="shared" si="8"/>
        <v>11</v>
      </c>
      <c r="D177" s="7" t="str">
        <f t="shared" si="9"/>
        <v>3315</v>
      </c>
      <c r="E177" s="7" t="str">
        <f t="shared" si="10"/>
        <v>331501</v>
      </c>
      <c r="F177" s="7" t="str">
        <f t="shared" si="11"/>
        <v>331501021</v>
      </c>
      <c r="G177" s="11" t="s">
        <v>287</v>
      </c>
      <c r="H177" s="11" t="s">
        <v>215</v>
      </c>
      <c r="I177" s="11" t="s">
        <v>188</v>
      </c>
      <c r="J177" s="11" t="s">
        <v>42</v>
      </c>
      <c r="K177" s="358" t="s">
        <v>548</v>
      </c>
      <c r="L177" s="335"/>
      <c r="M177" s="11"/>
      <c r="N177" s="11" t="s">
        <v>532</v>
      </c>
      <c r="O177" s="13" t="s">
        <v>933</v>
      </c>
      <c r="P177" s="13" t="s">
        <v>1015</v>
      </c>
      <c r="Q177" s="258"/>
      <c r="R177" s="356" t="s">
        <v>27</v>
      </c>
      <c r="S177" s="300"/>
      <c r="T177" s="300"/>
      <c r="U177" s="286" t="s">
        <v>653</v>
      </c>
      <c r="V177" s="287"/>
      <c r="W177" s="287"/>
      <c r="X177" s="288" t="s">
        <v>770</v>
      </c>
    </row>
    <row r="178" customHeight="1" spans="1:24">
      <c r="A178" s="222"/>
      <c r="B178" s="355">
        <f t="shared" ref="B178:B182" si="14">B177+1</f>
        <v>33150102107</v>
      </c>
      <c r="C178" s="7">
        <f t="shared" si="8"/>
        <v>11</v>
      </c>
      <c r="D178" s="7" t="str">
        <f t="shared" si="9"/>
        <v>3315</v>
      </c>
      <c r="E178" s="7" t="str">
        <f t="shared" si="10"/>
        <v>331501</v>
      </c>
      <c r="F178" s="7" t="str">
        <f t="shared" si="11"/>
        <v>331501021</v>
      </c>
      <c r="G178" s="356" t="s">
        <v>287</v>
      </c>
      <c r="H178" s="356" t="s">
        <v>215</v>
      </c>
      <c r="I178" s="356" t="s">
        <v>188</v>
      </c>
      <c r="J178" s="356" t="s">
        <v>42</v>
      </c>
      <c r="K178" s="358" t="s">
        <v>549</v>
      </c>
      <c r="L178" s="358" t="s">
        <v>125</v>
      </c>
      <c r="M178" s="356"/>
      <c r="N178" s="356" t="s">
        <v>536</v>
      </c>
      <c r="O178" s="356" t="s">
        <v>955</v>
      </c>
      <c r="P178" s="356" t="s">
        <v>1017</v>
      </c>
      <c r="Q178" s="358" t="s">
        <v>537</v>
      </c>
      <c r="R178" s="356" t="s">
        <v>27</v>
      </c>
      <c r="S178" s="292"/>
      <c r="T178" s="292"/>
      <c r="U178" s="286"/>
      <c r="V178" s="287"/>
      <c r="W178" s="287"/>
      <c r="X178" s="288"/>
    </row>
    <row r="179" customHeight="1" spans="1:24">
      <c r="A179" s="222"/>
      <c r="B179" s="355">
        <f t="shared" si="14"/>
        <v>33150102108</v>
      </c>
      <c r="C179" s="7">
        <f t="shared" si="8"/>
        <v>11</v>
      </c>
      <c r="D179" s="7" t="str">
        <f t="shared" si="9"/>
        <v>3315</v>
      </c>
      <c r="E179" s="7" t="str">
        <f t="shared" si="10"/>
        <v>331501</v>
      </c>
      <c r="F179" s="7" t="str">
        <f t="shared" si="11"/>
        <v>331501021</v>
      </c>
      <c r="G179" s="356" t="s">
        <v>287</v>
      </c>
      <c r="H179" s="356" t="s">
        <v>215</v>
      </c>
      <c r="I179" s="356" t="s">
        <v>188</v>
      </c>
      <c r="J179" s="356" t="s">
        <v>42</v>
      </c>
      <c r="K179" s="358" t="s">
        <v>550</v>
      </c>
      <c r="L179" s="358" t="s">
        <v>125</v>
      </c>
      <c r="M179" s="356"/>
      <c r="N179" s="356" t="s">
        <v>540</v>
      </c>
      <c r="O179" s="356" t="s">
        <v>1018</v>
      </c>
      <c r="P179" s="356" t="s">
        <v>1019</v>
      </c>
      <c r="Q179" s="358" t="s">
        <v>541</v>
      </c>
      <c r="R179" s="356" t="s">
        <v>27</v>
      </c>
      <c r="S179" s="292"/>
      <c r="T179" s="292"/>
      <c r="U179" s="286"/>
      <c r="V179" s="287"/>
      <c r="W179" s="287"/>
      <c r="X179" s="288"/>
    </row>
    <row r="180" customHeight="1" spans="1:24">
      <c r="A180" s="222"/>
      <c r="B180" s="355">
        <f t="shared" si="14"/>
        <v>33150102109</v>
      </c>
      <c r="C180" s="7">
        <f t="shared" si="8"/>
        <v>11</v>
      </c>
      <c r="D180" s="7" t="str">
        <f t="shared" si="9"/>
        <v>3315</v>
      </c>
      <c r="E180" s="7" t="str">
        <f t="shared" si="10"/>
        <v>331501</v>
      </c>
      <c r="F180" s="7" t="str">
        <f t="shared" si="11"/>
        <v>331501021</v>
      </c>
      <c r="G180" s="356" t="s">
        <v>287</v>
      </c>
      <c r="H180" s="356" t="s">
        <v>215</v>
      </c>
      <c r="I180" s="356" t="s">
        <v>188</v>
      </c>
      <c r="J180" s="356" t="s">
        <v>42</v>
      </c>
      <c r="K180" s="358" t="s">
        <v>551</v>
      </c>
      <c r="L180" s="358"/>
      <c r="M180" s="356"/>
      <c r="N180" s="356" t="s">
        <v>532</v>
      </c>
      <c r="O180" s="356" t="s">
        <v>1020</v>
      </c>
      <c r="P180" s="356" t="s">
        <v>867</v>
      </c>
      <c r="Q180" s="358"/>
      <c r="R180" s="356" t="s">
        <v>27</v>
      </c>
      <c r="S180" s="292"/>
      <c r="T180" s="292"/>
      <c r="U180" s="286"/>
      <c r="V180" s="287"/>
      <c r="W180" s="287"/>
      <c r="X180" s="288"/>
    </row>
    <row r="181" customHeight="1" spans="1:24">
      <c r="A181" s="222"/>
      <c r="B181" s="355">
        <f t="shared" si="14"/>
        <v>33150102110</v>
      </c>
      <c r="C181" s="7">
        <f t="shared" si="8"/>
        <v>11</v>
      </c>
      <c r="D181" s="7" t="str">
        <f t="shared" si="9"/>
        <v>3315</v>
      </c>
      <c r="E181" s="7" t="str">
        <f t="shared" si="10"/>
        <v>331501</v>
      </c>
      <c r="F181" s="7" t="str">
        <f t="shared" si="11"/>
        <v>331501021</v>
      </c>
      <c r="G181" s="356" t="s">
        <v>287</v>
      </c>
      <c r="H181" s="356" t="s">
        <v>215</v>
      </c>
      <c r="I181" s="356" t="s">
        <v>188</v>
      </c>
      <c r="J181" s="356" t="s">
        <v>42</v>
      </c>
      <c r="K181" s="358" t="s">
        <v>552</v>
      </c>
      <c r="L181" s="358" t="s">
        <v>125</v>
      </c>
      <c r="M181" s="356"/>
      <c r="N181" s="356" t="s">
        <v>536</v>
      </c>
      <c r="O181" s="356" t="s">
        <v>1021</v>
      </c>
      <c r="P181" s="356" t="s">
        <v>1022</v>
      </c>
      <c r="Q181" s="358" t="s">
        <v>537</v>
      </c>
      <c r="R181" s="356" t="s">
        <v>27</v>
      </c>
      <c r="S181" s="292"/>
      <c r="T181" s="292"/>
      <c r="U181" s="286"/>
      <c r="V181" s="287"/>
      <c r="W181" s="287"/>
      <c r="X181" s="288"/>
    </row>
    <row r="182" customHeight="1" spans="1:24">
      <c r="A182" s="222"/>
      <c r="B182" s="355">
        <f t="shared" si="14"/>
        <v>33150102111</v>
      </c>
      <c r="C182" s="7">
        <f t="shared" si="8"/>
        <v>11</v>
      </c>
      <c r="D182" s="7" t="str">
        <f t="shared" si="9"/>
        <v>3315</v>
      </c>
      <c r="E182" s="7" t="str">
        <f t="shared" si="10"/>
        <v>331501</v>
      </c>
      <c r="F182" s="7" t="str">
        <f t="shared" si="11"/>
        <v>331501021</v>
      </c>
      <c r="G182" s="356" t="s">
        <v>287</v>
      </c>
      <c r="H182" s="356" t="s">
        <v>215</v>
      </c>
      <c r="I182" s="356" t="s">
        <v>188</v>
      </c>
      <c r="J182" s="356" t="s">
        <v>42</v>
      </c>
      <c r="K182" s="358" t="s">
        <v>553</v>
      </c>
      <c r="L182" s="358" t="s">
        <v>125</v>
      </c>
      <c r="M182" s="356"/>
      <c r="N182" s="356" t="s">
        <v>540</v>
      </c>
      <c r="O182" s="356" t="s">
        <v>1023</v>
      </c>
      <c r="P182" s="356" t="s">
        <v>1024</v>
      </c>
      <c r="Q182" s="358" t="s">
        <v>541</v>
      </c>
      <c r="R182" s="356" t="s">
        <v>27</v>
      </c>
      <c r="S182" s="292"/>
      <c r="T182" s="292"/>
      <c r="U182" s="286"/>
      <c r="V182" s="287"/>
      <c r="W182" s="287"/>
      <c r="X182" s="288"/>
    </row>
    <row r="183" customHeight="1" spans="1:24">
      <c r="A183" s="222" t="s">
        <v>554</v>
      </c>
      <c r="B183" s="223" t="s">
        <v>1025</v>
      </c>
      <c r="C183" s="7">
        <f t="shared" si="8"/>
        <v>9</v>
      </c>
      <c r="D183" s="7" t="str">
        <f t="shared" si="9"/>
        <v>3315</v>
      </c>
      <c r="E183" s="7" t="str">
        <f t="shared" si="10"/>
        <v>331501</v>
      </c>
      <c r="F183" s="7" t="str">
        <f t="shared" si="11"/>
        <v>331501052</v>
      </c>
      <c r="G183" s="219" t="s">
        <v>287</v>
      </c>
      <c r="H183" s="219" t="s">
        <v>215</v>
      </c>
      <c r="I183" s="219" t="s">
        <v>188</v>
      </c>
      <c r="J183" s="219" t="s">
        <v>42</v>
      </c>
      <c r="K183" s="250" t="s">
        <v>555</v>
      </c>
      <c r="L183" s="250" t="s">
        <v>556</v>
      </c>
      <c r="M183" s="219"/>
      <c r="N183" s="219" t="s">
        <v>52</v>
      </c>
      <c r="O183" s="255" t="s">
        <v>912</v>
      </c>
      <c r="P183" s="255" t="s">
        <v>1026</v>
      </c>
      <c r="Q183" s="258" t="s">
        <v>1027</v>
      </c>
      <c r="R183" s="222" t="s">
        <v>27</v>
      </c>
      <c r="S183" s="300"/>
      <c r="T183" s="300"/>
      <c r="U183" s="286" t="s">
        <v>622</v>
      </c>
      <c r="V183" s="287"/>
      <c r="W183" s="287"/>
      <c r="X183" s="288" t="s">
        <v>770</v>
      </c>
    </row>
    <row r="184" customHeight="1" spans="1:24">
      <c r="A184" s="222"/>
      <c r="B184" s="3" t="s">
        <v>1028</v>
      </c>
      <c r="C184" s="7">
        <f t="shared" si="8"/>
        <v>11</v>
      </c>
      <c r="D184" s="7" t="str">
        <f t="shared" si="9"/>
        <v>3315</v>
      </c>
      <c r="E184" s="7" t="str">
        <f t="shared" si="10"/>
        <v>331501</v>
      </c>
      <c r="F184" s="7" t="str">
        <f t="shared" si="11"/>
        <v>331501052</v>
      </c>
      <c r="G184" s="11" t="s">
        <v>287</v>
      </c>
      <c r="H184" s="11" t="s">
        <v>215</v>
      </c>
      <c r="I184" s="11" t="s">
        <v>188</v>
      </c>
      <c r="J184" s="11" t="s">
        <v>42</v>
      </c>
      <c r="K184" s="358" t="s">
        <v>558</v>
      </c>
      <c r="L184" s="335"/>
      <c r="M184" s="11"/>
      <c r="N184" s="11" t="s">
        <v>52</v>
      </c>
      <c r="O184" s="13" t="s">
        <v>912</v>
      </c>
      <c r="P184" s="13" t="s">
        <v>1026</v>
      </c>
      <c r="Q184" s="258"/>
      <c r="R184" s="253" t="s">
        <v>27</v>
      </c>
      <c r="S184" s="300"/>
      <c r="T184" s="300"/>
      <c r="U184" s="286" t="s">
        <v>653</v>
      </c>
      <c r="V184" s="287"/>
      <c r="W184" s="287"/>
      <c r="X184" s="288"/>
    </row>
    <row r="185" customHeight="1" spans="1:24">
      <c r="A185" s="222"/>
      <c r="B185" s="3">
        <f>B184+1</f>
        <v>33150105203</v>
      </c>
      <c r="C185" s="7">
        <f t="shared" si="8"/>
        <v>11</v>
      </c>
      <c r="D185" s="7" t="str">
        <f t="shared" si="9"/>
        <v>3315</v>
      </c>
      <c r="E185" s="7" t="str">
        <f t="shared" si="10"/>
        <v>331501</v>
      </c>
      <c r="F185" s="7" t="str">
        <f t="shared" si="11"/>
        <v>331501052</v>
      </c>
      <c r="G185" s="11" t="s">
        <v>287</v>
      </c>
      <c r="H185" s="11" t="s">
        <v>215</v>
      </c>
      <c r="I185" s="11" t="s">
        <v>188</v>
      </c>
      <c r="J185" s="11" t="s">
        <v>42</v>
      </c>
      <c r="K185" s="358" t="s">
        <v>559</v>
      </c>
      <c r="L185" s="335"/>
      <c r="M185" s="11"/>
      <c r="N185" s="11" t="s">
        <v>52</v>
      </c>
      <c r="O185" s="13">
        <f>O184*1.3</f>
        <v>6240</v>
      </c>
      <c r="P185" s="13">
        <f>P184*1.3</f>
        <v>5616</v>
      </c>
      <c r="Q185" s="258"/>
      <c r="R185" s="253" t="s">
        <v>27</v>
      </c>
      <c r="S185" s="300"/>
      <c r="T185" s="300"/>
      <c r="U185" s="286"/>
      <c r="V185" s="287"/>
      <c r="W185" s="287"/>
      <c r="X185" s="288"/>
    </row>
    <row r="186" customHeight="1" spans="1:24">
      <c r="A186" s="234" t="s">
        <v>560</v>
      </c>
      <c r="B186" s="223" t="s">
        <v>1029</v>
      </c>
      <c r="C186" s="7">
        <f t="shared" si="8"/>
        <v>9</v>
      </c>
      <c r="D186" s="7" t="str">
        <f t="shared" si="9"/>
        <v>3315</v>
      </c>
      <c r="E186" s="7" t="str">
        <f t="shared" si="10"/>
        <v>331505</v>
      </c>
      <c r="F186" s="7" t="str">
        <f t="shared" si="11"/>
        <v>331505021</v>
      </c>
      <c r="G186" s="219" t="s">
        <v>287</v>
      </c>
      <c r="H186" s="219" t="s">
        <v>215</v>
      </c>
      <c r="I186" s="219" t="s">
        <v>188</v>
      </c>
      <c r="J186" s="219" t="s">
        <v>42</v>
      </c>
      <c r="K186" s="282" t="s">
        <v>561</v>
      </c>
      <c r="L186" s="282" t="s">
        <v>1030</v>
      </c>
      <c r="M186" s="239"/>
      <c r="N186" s="239" t="s">
        <v>52</v>
      </c>
      <c r="O186" s="237" t="s">
        <v>1031</v>
      </c>
      <c r="P186" s="237" t="s">
        <v>1032</v>
      </c>
      <c r="Q186" s="282"/>
      <c r="R186" s="329" t="s">
        <v>27</v>
      </c>
      <c r="S186" s="329"/>
      <c r="T186" s="329"/>
      <c r="U186" s="286"/>
      <c r="V186" s="287"/>
      <c r="W186" s="287"/>
      <c r="X186" s="288" t="s">
        <v>1033</v>
      </c>
    </row>
    <row r="187" customHeight="1" spans="1:24">
      <c r="A187" s="222"/>
      <c r="B187" s="238" t="s">
        <v>1034</v>
      </c>
      <c r="C187" s="7">
        <f t="shared" si="8"/>
        <v>11</v>
      </c>
      <c r="D187" s="7" t="str">
        <f t="shared" si="9"/>
        <v>3315</v>
      </c>
      <c r="E187" s="7" t="str">
        <f t="shared" si="10"/>
        <v>331505</v>
      </c>
      <c r="F187" s="7" t="str">
        <f t="shared" si="11"/>
        <v>331505021</v>
      </c>
      <c r="G187" s="227" t="s">
        <v>287</v>
      </c>
      <c r="H187" s="227" t="s">
        <v>215</v>
      </c>
      <c r="I187" s="227" t="s">
        <v>188</v>
      </c>
      <c r="J187" s="227" t="s">
        <v>42</v>
      </c>
      <c r="K187" s="257" t="s">
        <v>563</v>
      </c>
      <c r="L187" s="257"/>
      <c r="M187" s="227"/>
      <c r="N187" s="227" t="s">
        <v>52</v>
      </c>
      <c r="O187" s="238" t="s">
        <v>1031</v>
      </c>
      <c r="P187" s="238" t="s">
        <v>1032</v>
      </c>
      <c r="Q187" s="257"/>
      <c r="R187" s="301" t="s">
        <v>27</v>
      </c>
      <c r="S187" s="301"/>
      <c r="T187" s="301"/>
      <c r="U187" s="286"/>
      <c r="V187" s="287"/>
      <c r="W187" s="287"/>
      <c r="X187" s="288"/>
    </row>
    <row r="188" customHeight="1" spans="1:24">
      <c r="A188" s="222"/>
      <c r="B188" s="238" t="s">
        <v>1035</v>
      </c>
      <c r="C188" s="7">
        <f t="shared" si="8"/>
        <v>11</v>
      </c>
      <c r="D188" s="7" t="str">
        <f t="shared" si="9"/>
        <v>3315</v>
      </c>
      <c r="E188" s="7" t="str">
        <f t="shared" si="10"/>
        <v>331505</v>
      </c>
      <c r="F188" s="7" t="str">
        <f t="shared" si="11"/>
        <v>331505021</v>
      </c>
      <c r="G188" s="227" t="s">
        <v>287</v>
      </c>
      <c r="H188" s="227" t="s">
        <v>215</v>
      </c>
      <c r="I188" s="227" t="s">
        <v>188</v>
      </c>
      <c r="J188" s="227" t="s">
        <v>42</v>
      </c>
      <c r="K188" s="257" t="s">
        <v>564</v>
      </c>
      <c r="L188" s="257"/>
      <c r="M188" s="227"/>
      <c r="N188" s="227" t="s">
        <v>52</v>
      </c>
      <c r="O188" s="238" t="s">
        <v>1036</v>
      </c>
      <c r="P188" s="238" t="s">
        <v>1037</v>
      </c>
      <c r="Q188" s="257"/>
      <c r="R188" s="301" t="s">
        <v>27</v>
      </c>
      <c r="S188" s="301"/>
      <c r="T188" s="301"/>
      <c r="U188" s="286"/>
      <c r="V188" s="287"/>
      <c r="W188" s="287"/>
      <c r="X188" s="288"/>
    </row>
    <row r="189" s="204" customFormat="1" customHeight="1" spans="1:24">
      <c r="A189" s="7" t="s">
        <v>568</v>
      </c>
      <c r="B189" s="7" t="s">
        <v>1038</v>
      </c>
      <c r="C189" s="7">
        <v>9</v>
      </c>
      <c r="D189" s="7">
        <v>3315</v>
      </c>
      <c r="E189" s="7">
        <v>331507</v>
      </c>
      <c r="F189" s="7" t="s">
        <v>1038</v>
      </c>
      <c r="G189" s="7" t="s">
        <v>287</v>
      </c>
      <c r="H189" s="7" t="s">
        <v>215</v>
      </c>
      <c r="I189" s="7" t="s">
        <v>188</v>
      </c>
      <c r="J189" s="7">
        <v>10</v>
      </c>
      <c r="K189" s="359" t="s">
        <v>569</v>
      </c>
      <c r="L189" s="268"/>
      <c r="M189" s="239"/>
      <c r="N189" s="255" t="s">
        <v>52</v>
      </c>
      <c r="O189" s="13">
        <v>3840</v>
      </c>
      <c r="P189" s="13">
        <v>3460</v>
      </c>
      <c r="Q189" s="368"/>
      <c r="R189" s="368"/>
      <c r="S189" s="368"/>
      <c r="T189" s="368"/>
      <c r="U189" s="368"/>
      <c r="V189" s="368"/>
      <c r="W189" s="368"/>
      <c r="X189" s="368"/>
    </row>
    <row r="190" s="205" customFormat="1" customHeight="1" spans="1:24">
      <c r="A190" s="221"/>
      <c r="B190" s="221" t="s">
        <v>1039</v>
      </c>
      <c r="C190" s="221">
        <v>11</v>
      </c>
      <c r="D190" s="221">
        <v>3315</v>
      </c>
      <c r="E190" s="221">
        <v>331507</v>
      </c>
      <c r="F190" s="221" t="s">
        <v>1038</v>
      </c>
      <c r="G190" s="221" t="s">
        <v>287</v>
      </c>
      <c r="H190" s="221" t="s">
        <v>215</v>
      </c>
      <c r="I190" s="221" t="s">
        <v>188</v>
      </c>
      <c r="J190" s="221" t="s">
        <v>42</v>
      </c>
      <c r="K190" s="360" t="s">
        <v>570</v>
      </c>
      <c r="L190" s="361"/>
      <c r="M190" s="330"/>
      <c r="N190" s="13" t="s">
        <v>52</v>
      </c>
      <c r="O190" s="13">
        <v>4990</v>
      </c>
      <c r="P190" s="13">
        <v>4490</v>
      </c>
      <c r="Q190" s="369"/>
      <c r="R190" s="369"/>
      <c r="S190" s="369"/>
      <c r="T190" s="369"/>
      <c r="U190" s="369"/>
      <c r="V190" s="369"/>
      <c r="W190" s="369"/>
      <c r="X190" s="369"/>
    </row>
    <row r="191" s="204" customFormat="1" customHeight="1" spans="1:24">
      <c r="A191" s="7" t="s">
        <v>571</v>
      </c>
      <c r="B191" s="7" t="s">
        <v>1040</v>
      </c>
      <c r="C191" s="7">
        <v>9</v>
      </c>
      <c r="D191" s="7">
        <v>3315</v>
      </c>
      <c r="E191" s="7">
        <v>331507</v>
      </c>
      <c r="F191" s="7" t="s">
        <v>1038</v>
      </c>
      <c r="G191" s="7" t="s">
        <v>287</v>
      </c>
      <c r="H191" s="7" t="s">
        <v>215</v>
      </c>
      <c r="I191" s="7" t="s">
        <v>188</v>
      </c>
      <c r="J191" s="7" t="s">
        <v>42</v>
      </c>
      <c r="K191" s="359" t="s">
        <v>572</v>
      </c>
      <c r="L191" s="268"/>
      <c r="M191" s="239"/>
      <c r="N191" s="255" t="s">
        <v>52</v>
      </c>
      <c r="O191" s="13">
        <v>3840</v>
      </c>
      <c r="P191" s="13">
        <v>3460</v>
      </c>
      <c r="Q191" s="368"/>
      <c r="R191" s="368"/>
      <c r="S191" s="368"/>
      <c r="T191" s="368"/>
      <c r="U191" s="368"/>
      <c r="V191" s="368"/>
      <c r="W191" s="368"/>
      <c r="X191" s="368"/>
    </row>
    <row r="192" s="206" customFormat="1" customHeight="1" spans="1:24">
      <c r="A192" s="221"/>
      <c r="B192" s="221" t="s">
        <v>1041</v>
      </c>
      <c r="C192" s="221">
        <v>11</v>
      </c>
      <c r="D192" s="221">
        <v>3315</v>
      </c>
      <c r="E192" s="221">
        <v>331507</v>
      </c>
      <c r="F192" s="221" t="s">
        <v>1038</v>
      </c>
      <c r="G192" s="221" t="s">
        <v>287</v>
      </c>
      <c r="H192" s="221" t="s">
        <v>215</v>
      </c>
      <c r="I192" s="221" t="s">
        <v>188</v>
      </c>
      <c r="J192" s="221" t="s">
        <v>42</v>
      </c>
      <c r="K192" s="360" t="s">
        <v>573</v>
      </c>
      <c r="L192" s="350"/>
      <c r="M192" s="350"/>
      <c r="N192" s="13" t="s">
        <v>52</v>
      </c>
      <c r="O192" s="13">
        <v>4990</v>
      </c>
      <c r="P192" s="13">
        <v>4490</v>
      </c>
      <c r="Q192" s="350"/>
      <c r="R192" s="350"/>
      <c r="S192" s="350"/>
      <c r="T192" s="350"/>
      <c r="U192" s="343"/>
      <c r="V192" s="343"/>
      <c r="W192" s="343"/>
      <c r="X192" s="306"/>
    </row>
    <row r="193" customHeight="1" spans="1:24">
      <c r="A193" s="222" t="s">
        <v>577</v>
      </c>
      <c r="B193" s="223" t="s">
        <v>1042</v>
      </c>
      <c r="C193" s="7">
        <f t="shared" ref="C193:C201" si="15">LEN(B193)</f>
        <v>9</v>
      </c>
      <c r="D193" s="7" t="str">
        <f t="shared" ref="D193:D201" si="16">LEFT(B193,4)</f>
        <v>3316</v>
      </c>
      <c r="E193" s="7" t="str">
        <f t="shared" ref="E193:E201" si="17">LEFT(B193,6)</f>
        <v>331601</v>
      </c>
      <c r="F193" s="7" t="str">
        <f t="shared" ref="F193:F201" si="18">LEFT(B193,9)</f>
        <v>331601005</v>
      </c>
      <c r="G193" s="219" t="s">
        <v>287</v>
      </c>
      <c r="H193" s="219" t="s">
        <v>215</v>
      </c>
      <c r="I193" s="219" t="s">
        <v>188</v>
      </c>
      <c r="J193" s="219" t="s">
        <v>42</v>
      </c>
      <c r="K193" s="250" t="s">
        <v>578</v>
      </c>
      <c r="L193" s="258"/>
      <c r="M193" s="219" t="s">
        <v>579</v>
      </c>
      <c r="N193" s="219" t="s">
        <v>517</v>
      </c>
      <c r="O193" s="219" t="s">
        <v>920</v>
      </c>
      <c r="P193" s="219" t="s">
        <v>921</v>
      </c>
      <c r="Q193" s="250" t="s">
        <v>1043</v>
      </c>
      <c r="R193" s="219" t="s">
        <v>27</v>
      </c>
      <c r="S193" s="279"/>
      <c r="T193" s="279"/>
      <c r="U193" s="286" t="s">
        <v>622</v>
      </c>
      <c r="V193" s="287"/>
      <c r="W193" s="287"/>
      <c r="X193" s="376" t="s">
        <v>1044</v>
      </c>
    </row>
    <row r="194" customHeight="1" spans="1:24">
      <c r="A194" s="220" t="s">
        <v>581</v>
      </c>
      <c r="B194" s="237" t="s">
        <v>1045</v>
      </c>
      <c r="C194" s="7">
        <f t="shared" si="15"/>
        <v>11</v>
      </c>
      <c r="D194" s="7" t="str">
        <f t="shared" si="16"/>
        <v>3316</v>
      </c>
      <c r="E194" s="7" t="str">
        <f t="shared" si="17"/>
        <v>331601</v>
      </c>
      <c r="F194" s="7" t="str">
        <f t="shared" si="18"/>
        <v>331601005</v>
      </c>
      <c r="G194" s="239" t="s">
        <v>287</v>
      </c>
      <c r="H194" s="239" t="s">
        <v>215</v>
      </c>
      <c r="I194" s="239" t="s">
        <v>188</v>
      </c>
      <c r="J194" s="239" t="s">
        <v>42</v>
      </c>
      <c r="K194" s="282" t="s">
        <v>1046</v>
      </c>
      <c r="L194" s="282"/>
      <c r="M194" s="239"/>
      <c r="N194" s="239" t="s">
        <v>517</v>
      </c>
      <c r="O194" s="237" t="s">
        <v>1047</v>
      </c>
      <c r="P194" s="237" t="s">
        <v>1048</v>
      </c>
      <c r="Q194" s="257" t="s">
        <v>1049</v>
      </c>
      <c r="R194" s="313" t="s">
        <v>27</v>
      </c>
      <c r="S194" s="279"/>
      <c r="T194" s="279"/>
      <c r="U194" s="286"/>
      <c r="V194" s="287"/>
      <c r="W194" s="287"/>
      <c r="X194" s="376"/>
    </row>
    <row r="195" customHeight="1" spans="1:24">
      <c r="A195" s="220" t="s">
        <v>583</v>
      </c>
      <c r="B195" s="237" t="s">
        <v>1050</v>
      </c>
      <c r="C195" s="7">
        <f t="shared" si="15"/>
        <v>11</v>
      </c>
      <c r="D195" s="7" t="str">
        <f t="shared" si="16"/>
        <v>3316</v>
      </c>
      <c r="E195" s="7" t="str">
        <f t="shared" si="17"/>
        <v>331601</v>
      </c>
      <c r="F195" s="7" t="str">
        <f t="shared" si="18"/>
        <v>331601005</v>
      </c>
      <c r="G195" s="239" t="s">
        <v>287</v>
      </c>
      <c r="H195" s="239" t="s">
        <v>215</v>
      </c>
      <c r="I195" s="239" t="s">
        <v>188</v>
      </c>
      <c r="J195" s="239" t="s">
        <v>42</v>
      </c>
      <c r="K195" s="282" t="s">
        <v>1051</v>
      </c>
      <c r="L195" s="282"/>
      <c r="M195" s="239"/>
      <c r="N195" s="239" t="s">
        <v>517</v>
      </c>
      <c r="O195" s="237" t="s">
        <v>1052</v>
      </c>
      <c r="P195" s="237" t="s">
        <v>1053</v>
      </c>
      <c r="Q195" s="257" t="s">
        <v>1049</v>
      </c>
      <c r="R195" s="313" t="s">
        <v>27</v>
      </c>
      <c r="S195" s="279"/>
      <c r="T195" s="279"/>
      <c r="U195" s="286"/>
      <c r="V195" s="287"/>
      <c r="W195" s="287"/>
      <c r="X195" s="376"/>
    </row>
    <row r="196" customHeight="1" spans="1:24">
      <c r="A196" s="220" t="s">
        <v>601</v>
      </c>
      <c r="B196" s="237" t="s">
        <v>1054</v>
      </c>
      <c r="C196" s="7">
        <f t="shared" si="15"/>
        <v>9</v>
      </c>
      <c r="D196" s="7" t="str">
        <f t="shared" si="16"/>
        <v>4300</v>
      </c>
      <c r="E196" s="7" t="str">
        <f t="shared" si="17"/>
        <v>430000</v>
      </c>
      <c r="F196" s="7" t="str">
        <f t="shared" si="18"/>
        <v>430000002</v>
      </c>
      <c r="G196" s="239" t="s">
        <v>35</v>
      </c>
      <c r="H196" s="239" t="s">
        <v>36</v>
      </c>
      <c r="I196" s="239" t="s">
        <v>594</v>
      </c>
      <c r="J196" s="239" t="s">
        <v>595</v>
      </c>
      <c r="K196" s="282" t="s">
        <v>602</v>
      </c>
      <c r="L196" s="282"/>
      <c r="M196" s="239"/>
      <c r="N196" s="239" t="s">
        <v>598</v>
      </c>
      <c r="O196" s="237" t="s">
        <v>668</v>
      </c>
      <c r="P196" s="237" t="s">
        <v>668</v>
      </c>
      <c r="Q196" s="257" t="s">
        <v>1055</v>
      </c>
      <c r="R196" s="313" t="s">
        <v>27</v>
      </c>
      <c r="S196" s="313"/>
      <c r="T196" s="313"/>
      <c r="X196" s="377" t="s">
        <v>1056</v>
      </c>
    </row>
    <row r="197" customHeight="1" spans="1:24">
      <c r="A197" s="329"/>
      <c r="B197" s="238" t="s">
        <v>1057</v>
      </c>
      <c r="C197" s="7">
        <f t="shared" si="15"/>
        <v>11</v>
      </c>
      <c r="D197" s="7" t="str">
        <f t="shared" si="16"/>
        <v>4300</v>
      </c>
      <c r="E197" s="7" t="str">
        <f t="shared" si="17"/>
        <v>430000</v>
      </c>
      <c r="F197" s="7" t="str">
        <f t="shared" si="18"/>
        <v>430000002</v>
      </c>
      <c r="G197" s="227" t="s">
        <v>35</v>
      </c>
      <c r="H197" s="227" t="s">
        <v>36</v>
      </c>
      <c r="I197" s="227" t="s">
        <v>594</v>
      </c>
      <c r="J197" s="227" t="s">
        <v>595</v>
      </c>
      <c r="K197" s="257" t="s">
        <v>604</v>
      </c>
      <c r="L197" s="257"/>
      <c r="M197" s="227"/>
      <c r="N197" s="227" t="s">
        <v>598</v>
      </c>
      <c r="O197" s="238" t="s">
        <v>1058</v>
      </c>
      <c r="P197" s="238" t="s">
        <v>1059</v>
      </c>
      <c r="Q197" s="257" t="s">
        <v>604</v>
      </c>
      <c r="R197" s="301" t="s">
        <v>27</v>
      </c>
      <c r="S197" s="301"/>
      <c r="T197" s="301"/>
      <c r="X197" s="377"/>
    </row>
    <row r="198" customHeight="1" spans="1:24">
      <c r="A198" s="329"/>
      <c r="B198" s="238" t="s">
        <v>1060</v>
      </c>
      <c r="C198" s="7">
        <f t="shared" si="15"/>
        <v>11</v>
      </c>
      <c r="D198" s="7" t="str">
        <f t="shared" si="16"/>
        <v>4300</v>
      </c>
      <c r="E198" s="7" t="str">
        <f t="shared" si="17"/>
        <v>430000</v>
      </c>
      <c r="F198" s="7" t="str">
        <f t="shared" si="18"/>
        <v>430000002</v>
      </c>
      <c r="G198" s="227" t="s">
        <v>35</v>
      </c>
      <c r="H198" s="227" t="s">
        <v>36</v>
      </c>
      <c r="I198" s="227" t="s">
        <v>594</v>
      </c>
      <c r="J198" s="227" t="s">
        <v>595</v>
      </c>
      <c r="K198" s="257" t="s">
        <v>600</v>
      </c>
      <c r="L198" s="257"/>
      <c r="M198" s="227"/>
      <c r="N198" s="227" t="s">
        <v>598</v>
      </c>
      <c r="O198" s="238" t="s">
        <v>1058</v>
      </c>
      <c r="P198" s="238" t="s">
        <v>1059</v>
      </c>
      <c r="Q198" s="257" t="s">
        <v>600</v>
      </c>
      <c r="R198" s="301" t="s">
        <v>27</v>
      </c>
      <c r="S198" s="301"/>
      <c r="T198" s="301"/>
      <c r="X198" s="377"/>
    </row>
    <row r="199" customHeight="1" spans="1:24">
      <c r="A199" s="222" t="s">
        <v>605</v>
      </c>
      <c r="B199" s="223" t="s">
        <v>1061</v>
      </c>
      <c r="C199" s="7">
        <f t="shared" si="15"/>
        <v>9</v>
      </c>
      <c r="D199" s="7" t="str">
        <f t="shared" si="16"/>
        <v>4600</v>
      </c>
      <c r="E199" s="7" t="str">
        <f t="shared" si="17"/>
        <v>460000</v>
      </c>
      <c r="F199" s="7" t="str">
        <f t="shared" si="18"/>
        <v>460000007</v>
      </c>
      <c r="G199" s="370" t="s">
        <v>287</v>
      </c>
      <c r="H199" s="371" t="s">
        <v>215</v>
      </c>
      <c r="I199" s="370" t="s">
        <v>594</v>
      </c>
      <c r="J199" s="371" t="s">
        <v>595</v>
      </c>
      <c r="K199" s="250" t="s">
        <v>606</v>
      </c>
      <c r="L199" s="250"/>
      <c r="M199" s="219"/>
      <c r="N199" s="219" t="s">
        <v>52</v>
      </c>
      <c r="O199" s="237" t="s">
        <v>848</v>
      </c>
      <c r="P199" s="237" t="s">
        <v>848</v>
      </c>
      <c r="Q199" s="258" t="s">
        <v>1062</v>
      </c>
      <c r="R199" s="222" t="s">
        <v>27</v>
      </c>
      <c r="S199" s="279"/>
      <c r="T199" s="279"/>
      <c r="U199" s="286" t="s">
        <v>640</v>
      </c>
      <c r="V199" s="287"/>
      <c r="W199" s="287"/>
      <c r="X199" s="288" t="s">
        <v>770</v>
      </c>
    </row>
    <row r="200" customHeight="1" spans="1:24">
      <c r="A200" s="222"/>
      <c r="B200" s="238" t="s">
        <v>1063</v>
      </c>
      <c r="C200" s="7">
        <f t="shared" si="15"/>
        <v>11</v>
      </c>
      <c r="D200" s="7" t="str">
        <f t="shared" si="16"/>
        <v>4600</v>
      </c>
      <c r="E200" s="7" t="str">
        <f t="shared" si="17"/>
        <v>460000</v>
      </c>
      <c r="F200" s="7" t="str">
        <f t="shared" si="18"/>
        <v>460000007</v>
      </c>
      <c r="G200" s="372" t="s">
        <v>287</v>
      </c>
      <c r="H200" s="373" t="s">
        <v>215</v>
      </c>
      <c r="I200" s="372" t="s">
        <v>594</v>
      </c>
      <c r="J200" s="373" t="s">
        <v>595</v>
      </c>
      <c r="K200" s="258" t="s">
        <v>608</v>
      </c>
      <c r="L200" s="258"/>
      <c r="M200" s="11"/>
      <c r="N200" s="11" t="s">
        <v>52</v>
      </c>
      <c r="O200" s="13">
        <v>400</v>
      </c>
      <c r="P200" s="13">
        <v>400</v>
      </c>
      <c r="Q200" s="258"/>
      <c r="R200" s="301" t="s">
        <v>27</v>
      </c>
      <c r="S200" s="279"/>
      <c r="T200" s="279"/>
      <c r="U200" s="286"/>
      <c r="V200" s="287"/>
      <c r="W200" s="287"/>
      <c r="X200" s="288"/>
    </row>
    <row r="201" customHeight="1" spans="1:24">
      <c r="A201" s="329"/>
      <c r="B201" s="238" t="s">
        <v>1064</v>
      </c>
      <c r="C201" s="7">
        <f t="shared" si="15"/>
        <v>11</v>
      </c>
      <c r="D201" s="7" t="str">
        <f t="shared" si="16"/>
        <v>4600</v>
      </c>
      <c r="E201" s="7" t="str">
        <f t="shared" si="17"/>
        <v>460000</v>
      </c>
      <c r="F201" s="7" t="str">
        <f t="shared" si="18"/>
        <v>460000007</v>
      </c>
      <c r="G201" s="374" t="s">
        <v>287</v>
      </c>
      <c r="H201" s="375" t="s">
        <v>215</v>
      </c>
      <c r="I201" s="374" t="s">
        <v>594</v>
      </c>
      <c r="J201" s="375" t="s">
        <v>595</v>
      </c>
      <c r="K201" s="258" t="s">
        <v>1065</v>
      </c>
      <c r="L201" s="257"/>
      <c r="M201" s="227"/>
      <c r="N201" s="227" t="s">
        <v>52</v>
      </c>
      <c r="O201" s="226">
        <f>O200*1.3</f>
        <v>520</v>
      </c>
      <c r="P201" s="226">
        <f>P200*1.3</f>
        <v>520</v>
      </c>
      <c r="Q201" s="282"/>
      <c r="R201" s="301" t="s">
        <v>27</v>
      </c>
      <c r="S201" s="313"/>
      <c r="T201" s="313"/>
      <c r="X201" s="288"/>
    </row>
  </sheetData>
  <sheetProtection formatCells="0" insertHyperlinks="0" autoFilter="0"/>
  <mergeCells count="26">
    <mergeCell ref="A2:T2"/>
    <mergeCell ref="S3:T3"/>
    <mergeCell ref="X5:X6"/>
    <mergeCell ref="X7:X10"/>
    <mergeCell ref="X12:X13"/>
    <mergeCell ref="X14:X15"/>
    <mergeCell ref="X46:X50"/>
    <mergeCell ref="X51:X53"/>
    <mergeCell ref="X55:X57"/>
    <mergeCell ref="X58:X59"/>
    <mergeCell ref="X62:X63"/>
    <mergeCell ref="X64:X65"/>
    <mergeCell ref="X66:X67"/>
    <mergeCell ref="X68:X70"/>
    <mergeCell ref="X75:X76"/>
    <mergeCell ref="X77:X79"/>
    <mergeCell ref="X88:X90"/>
    <mergeCell ref="X91:X93"/>
    <mergeCell ref="X140:X142"/>
    <mergeCell ref="X172:X175"/>
    <mergeCell ref="X177:X182"/>
    <mergeCell ref="X183:X185"/>
    <mergeCell ref="X186:X188"/>
    <mergeCell ref="X193:X195"/>
    <mergeCell ref="X196:X198"/>
    <mergeCell ref="X199:X201"/>
  </mergeCells>
  <pageMargins left="0.354166666666667" right="0.118055555555556" top="0.550694444444444" bottom="0.393055555555556" header="0.298611111111111" footer="0.298611111111111"/>
  <pageSetup paperSize="9" scale="75"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8"/>
  <sheetViews>
    <sheetView zoomScale="90" zoomScaleNormal="90" workbookViewId="0">
      <pane xSplit="1" ySplit="4" topLeftCell="B23" activePane="bottomRight" state="frozen"/>
      <selection/>
      <selection pane="topRight"/>
      <selection pane="bottomLeft"/>
      <selection pane="bottomRight" activeCell="A30" sqref="$A30:$XFD31"/>
    </sheetView>
  </sheetViews>
  <sheetFormatPr defaultColWidth="9" defaultRowHeight="25.05" customHeight="1"/>
  <cols>
    <col min="1" max="1" width="28.6" style="102" customWidth="1"/>
    <col min="2" max="2" width="16.4" style="103" customWidth="1"/>
    <col min="3" max="3" width="13.3" style="104" hidden="1" customWidth="1"/>
    <col min="4" max="4" width="10.7" style="105" hidden="1" customWidth="1"/>
    <col min="5" max="5" width="20.4" style="103" hidden="1" customWidth="1"/>
    <col min="6" max="6" width="7.9" style="103" hidden="1" customWidth="1"/>
    <col min="7" max="7" width="36.9" style="106" customWidth="1"/>
    <col min="8" max="8" width="26.7" style="106" customWidth="1"/>
    <col min="9" max="9" width="20.8" style="106" customWidth="1"/>
    <col min="10" max="10" width="8.9" style="105" customWidth="1"/>
    <col min="11" max="11" width="12.4" style="105" customWidth="1"/>
    <col min="12" max="12" width="15.8" style="105" customWidth="1"/>
    <col min="13" max="13" width="29.9" style="103" customWidth="1"/>
    <col min="14" max="14" width="8.8" style="105" customWidth="1"/>
    <col min="15" max="15" width="7.3" style="103" customWidth="1"/>
    <col min="16" max="16" width="8.3" style="103" customWidth="1"/>
    <col min="17" max="17" width="27.6" style="107" hidden="1" customWidth="1"/>
    <col min="18" max="18" width="31.5" style="103" customWidth="1"/>
    <col min="19" max="16384" width="9" style="108"/>
  </cols>
  <sheetData>
    <row r="1" customHeight="1" spans="1:16">
      <c r="A1" s="109" t="s">
        <v>0</v>
      </c>
      <c r="B1" s="110"/>
      <c r="D1" s="104"/>
      <c r="E1" s="110"/>
      <c r="F1" s="110"/>
      <c r="G1" s="111"/>
      <c r="H1" s="111"/>
      <c r="I1" s="111"/>
      <c r="J1" s="104"/>
      <c r="K1" s="104"/>
      <c r="L1" s="104"/>
      <c r="M1" s="110"/>
      <c r="N1" s="104"/>
      <c r="O1" s="110"/>
      <c r="P1" s="110"/>
    </row>
    <row r="2" customHeight="1" spans="1:16">
      <c r="A2" s="112" t="s">
        <v>610</v>
      </c>
      <c r="B2" s="113"/>
      <c r="C2" s="113"/>
      <c r="D2" s="113"/>
      <c r="E2" s="113"/>
      <c r="F2" s="113"/>
      <c r="G2" s="114"/>
      <c r="H2" s="114"/>
      <c r="I2" s="114"/>
      <c r="J2" s="113"/>
      <c r="K2" s="113"/>
      <c r="L2" s="113"/>
      <c r="M2" s="113"/>
      <c r="N2" s="113"/>
      <c r="O2" s="113"/>
      <c r="P2" s="113"/>
    </row>
    <row r="3" customHeight="1" spans="1:16">
      <c r="A3" s="112"/>
      <c r="B3" s="113"/>
      <c r="C3" s="113"/>
      <c r="D3" s="113"/>
      <c r="E3" s="113"/>
      <c r="F3" s="113"/>
      <c r="G3" s="114"/>
      <c r="H3" s="114"/>
      <c r="I3" s="114"/>
      <c r="J3" s="113"/>
      <c r="K3" s="113"/>
      <c r="L3" s="113"/>
      <c r="M3" s="113"/>
      <c r="N3" s="113"/>
      <c r="O3" s="144" t="s">
        <v>2</v>
      </c>
      <c r="P3" s="145"/>
    </row>
    <row r="4" s="98" customFormat="1" customHeight="1" spans="1:19">
      <c r="A4" s="115" t="s">
        <v>3</v>
      </c>
      <c r="B4" s="115" t="s">
        <v>4</v>
      </c>
      <c r="C4" s="115" t="s">
        <v>5</v>
      </c>
      <c r="D4" s="116" t="s">
        <v>6</v>
      </c>
      <c r="E4" s="116" t="s">
        <v>7</v>
      </c>
      <c r="F4" s="116" t="s">
        <v>8</v>
      </c>
      <c r="G4" s="117" t="s">
        <v>9</v>
      </c>
      <c r="H4" s="117" t="s">
        <v>10</v>
      </c>
      <c r="I4" s="146" t="s">
        <v>11</v>
      </c>
      <c r="J4" s="117" t="s">
        <v>12</v>
      </c>
      <c r="K4" s="147" t="s">
        <v>615</v>
      </c>
      <c r="L4" s="148" t="s">
        <v>616</v>
      </c>
      <c r="M4" s="117" t="s">
        <v>15</v>
      </c>
      <c r="N4" s="115" t="s">
        <v>16</v>
      </c>
      <c r="O4" s="115" t="s">
        <v>617</v>
      </c>
      <c r="P4" s="115" t="s">
        <v>18</v>
      </c>
      <c r="Q4" s="177"/>
      <c r="R4" s="115" t="s">
        <v>1066</v>
      </c>
      <c r="S4" s="177"/>
    </row>
    <row r="5" customHeight="1" spans="1:20">
      <c r="A5" s="118" t="s">
        <v>1067</v>
      </c>
      <c r="B5" s="119" t="s">
        <v>1068</v>
      </c>
      <c r="C5" s="120" t="s">
        <v>35</v>
      </c>
      <c r="D5" s="120" t="s">
        <v>36</v>
      </c>
      <c r="E5" s="120" t="s">
        <v>37</v>
      </c>
      <c r="F5" s="120" t="s">
        <v>38</v>
      </c>
      <c r="G5" s="17" t="s">
        <v>1069</v>
      </c>
      <c r="H5" s="17" t="s">
        <v>1070</v>
      </c>
      <c r="I5" s="17"/>
      <c r="J5" s="149" t="s">
        <v>47</v>
      </c>
      <c r="K5" s="150" t="s">
        <v>631</v>
      </c>
      <c r="L5" s="150">
        <v>110</v>
      </c>
      <c r="M5" s="151" t="s">
        <v>1071</v>
      </c>
      <c r="N5" s="152" t="s">
        <v>27</v>
      </c>
      <c r="O5" s="153"/>
      <c r="P5" s="154"/>
      <c r="Q5" s="178" t="s">
        <v>640</v>
      </c>
      <c r="R5" s="154"/>
      <c r="S5" s="179"/>
      <c r="T5" s="108" t="s">
        <v>1072</v>
      </c>
    </row>
    <row r="6" customHeight="1" spans="1:20">
      <c r="A6" s="121"/>
      <c r="B6" s="119" t="s">
        <v>1073</v>
      </c>
      <c r="C6" s="120" t="s">
        <v>35</v>
      </c>
      <c r="D6" s="120" t="s">
        <v>36</v>
      </c>
      <c r="E6" s="120" t="s">
        <v>37</v>
      </c>
      <c r="F6" s="120" t="s">
        <v>38</v>
      </c>
      <c r="G6" s="122" t="s">
        <v>1074</v>
      </c>
      <c r="H6" s="123" t="s">
        <v>1075</v>
      </c>
      <c r="I6" s="17"/>
      <c r="J6" s="149" t="s">
        <v>41</v>
      </c>
      <c r="K6" s="150"/>
      <c r="L6" s="150"/>
      <c r="M6" s="17"/>
      <c r="N6" s="155"/>
      <c r="O6" s="156"/>
      <c r="P6" s="154"/>
      <c r="Q6" s="178" t="s">
        <v>653</v>
      </c>
      <c r="R6" s="154"/>
      <c r="S6" s="179"/>
      <c r="T6" s="108" t="s">
        <v>1072</v>
      </c>
    </row>
    <row r="7" customHeight="1" spans="1:19">
      <c r="A7" s="17"/>
      <c r="B7" s="124" t="s">
        <v>619</v>
      </c>
      <c r="C7" s="120"/>
      <c r="D7" s="120"/>
      <c r="E7" s="17"/>
      <c r="F7" s="17"/>
      <c r="G7" s="125" t="s">
        <v>31</v>
      </c>
      <c r="H7" s="125" t="s">
        <v>1076</v>
      </c>
      <c r="I7" s="125" t="s">
        <v>33</v>
      </c>
      <c r="J7" s="157" t="s">
        <v>125</v>
      </c>
      <c r="K7" s="157"/>
      <c r="L7" s="157"/>
      <c r="M7" s="125" t="s">
        <v>1077</v>
      </c>
      <c r="N7" s="152" t="s">
        <v>27</v>
      </c>
      <c r="O7" s="158"/>
      <c r="P7" s="158"/>
      <c r="Q7" s="178" t="s">
        <v>622</v>
      </c>
      <c r="R7" s="154"/>
      <c r="S7" s="179"/>
    </row>
    <row r="8" customHeight="1" spans="1:19">
      <c r="A8" s="118" t="s">
        <v>48</v>
      </c>
      <c r="B8" s="119" t="s">
        <v>627</v>
      </c>
      <c r="C8" s="120" t="s">
        <v>35</v>
      </c>
      <c r="D8" s="120" t="s">
        <v>36</v>
      </c>
      <c r="E8" s="120" t="s">
        <v>37</v>
      </c>
      <c r="F8" s="120" t="s">
        <v>38</v>
      </c>
      <c r="G8" s="17" t="s">
        <v>49</v>
      </c>
      <c r="H8" s="17" t="s">
        <v>50</v>
      </c>
      <c r="I8" s="17" t="s">
        <v>51</v>
      </c>
      <c r="J8" s="149" t="s">
        <v>52</v>
      </c>
      <c r="K8" s="159">
        <v>120</v>
      </c>
      <c r="L8" s="159">
        <v>120</v>
      </c>
      <c r="M8" s="160" t="s">
        <v>53</v>
      </c>
      <c r="N8" s="152" t="s">
        <v>27</v>
      </c>
      <c r="O8" s="161"/>
      <c r="P8" s="161"/>
      <c r="Q8" s="180" t="s">
        <v>628</v>
      </c>
      <c r="R8" s="154"/>
      <c r="S8" s="179"/>
    </row>
    <row r="9" s="99" customFormat="1" customHeight="1" spans="1:19">
      <c r="A9" s="17"/>
      <c r="B9" s="126" t="s">
        <v>638</v>
      </c>
      <c r="C9" s="120"/>
      <c r="D9" s="120"/>
      <c r="E9" s="17"/>
      <c r="F9" s="17"/>
      <c r="G9" s="17" t="s">
        <v>58</v>
      </c>
      <c r="H9" s="127" t="s">
        <v>59</v>
      </c>
      <c r="I9" s="17" t="s">
        <v>60</v>
      </c>
      <c r="J9" s="120"/>
      <c r="K9" s="120"/>
      <c r="L9" s="120"/>
      <c r="M9" s="17" t="s">
        <v>1078</v>
      </c>
      <c r="N9" s="120"/>
      <c r="O9" s="132"/>
      <c r="P9" s="162"/>
      <c r="Q9" s="166" t="s">
        <v>640</v>
      </c>
      <c r="R9" s="181" t="s">
        <v>1079</v>
      </c>
      <c r="S9" s="182"/>
    </row>
    <row r="10" customHeight="1" spans="1:19">
      <c r="A10" s="118" t="s">
        <v>71</v>
      </c>
      <c r="B10" s="119" t="s">
        <v>642</v>
      </c>
      <c r="C10" s="120" t="s">
        <v>63</v>
      </c>
      <c r="D10" s="120" t="s">
        <v>64</v>
      </c>
      <c r="E10" s="120" t="s">
        <v>65</v>
      </c>
      <c r="F10" s="120" t="s">
        <v>66</v>
      </c>
      <c r="G10" s="17" t="s">
        <v>72</v>
      </c>
      <c r="H10" s="17" t="s">
        <v>73</v>
      </c>
      <c r="I10" s="17"/>
      <c r="J10" s="120" t="s">
        <v>74</v>
      </c>
      <c r="K10" s="150" t="s">
        <v>643</v>
      </c>
      <c r="L10" s="150" t="s">
        <v>644</v>
      </c>
      <c r="M10" s="17" t="s">
        <v>1080</v>
      </c>
      <c r="N10" s="152" t="s">
        <v>27</v>
      </c>
      <c r="O10" s="163">
        <v>0.1</v>
      </c>
      <c r="P10" s="154"/>
      <c r="Q10" s="178" t="s">
        <v>640</v>
      </c>
      <c r="R10" s="154"/>
      <c r="S10" s="179"/>
    </row>
    <row r="11" customHeight="1" spans="1:19">
      <c r="A11" s="121"/>
      <c r="B11" s="119" t="s">
        <v>648</v>
      </c>
      <c r="C11" s="120" t="s">
        <v>63</v>
      </c>
      <c r="D11" s="120" t="s">
        <v>64</v>
      </c>
      <c r="E11" s="120" t="s">
        <v>65</v>
      </c>
      <c r="F11" s="120" t="s">
        <v>66</v>
      </c>
      <c r="G11" s="17" t="s">
        <v>78</v>
      </c>
      <c r="H11" s="17" t="s">
        <v>79</v>
      </c>
      <c r="I11" s="17"/>
      <c r="J11" s="120" t="s">
        <v>52</v>
      </c>
      <c r="K11" s="150" t="s">
        <v>649</v>
      </c>
      <c r="L11" s="150" t="s">
        <v>650</v>
      </c>
      <c r="M11" s="17" t="s">
        <v>1081</v>
      </c>
      <c r="N11" s="152" t="s">
        <v>27</v>
      </c>
      <c r="O11" s="163">
        <v>0.2</v>
      </c>
      <c r="P11" s="154"/>
      <c r="Q11" s="178" t="s">
        <v>622</v>
      </c>
      <c r="R11" s="154"/>
      <c r="S11" s="179"/>
    </row>
    <row r="12" s="99" customFormat="1" customHeight="1" spans="1:19">
      <c r="A12" s="128"/>
      <c r="B12" s="119" t="s">
        <v>652</v>
      </c>
      <c r="C12" s="120" t="s">
        <v>63</v>
      </c>
      <c r="D12" s="120">
        <v>5</v>
      </c>
      <c r="E12" s="120" t="s">
        <v>65</v>
      </c>
      <c r="F12" s="120" t="s">
        <v>66</v>
      </c>
      <c r="G12" s="17" t="s">
        <v>81</v>
      </c>
      <c r="H12" s="129"/>
      <c r="I12" s="17"/>
      <c r="J12" s="120" t="s">
        <v>52</v>
      </c>
      <c r="K12" s="150" t="s">
        <v>649</v>
      </c>
      <c r="L12" s="150" t="s">
        <v>650</v>
      </c>
      <c r="M12" s="17"/>
      <c r="N12" s="155"/>
      <c r="O12" s="154"/>
      <c r="P12" s="154"/>
      <c r="Q12" s="183" t="s">
        <v>653</v>
      </c>
      <c r="R12" s="181" t="s">
        <v>1082</v>
      </c>
      <c r="S12" s="182"/>
    </row>
    <row r="13" customHeight="1" spans="1:19">
      <c r="A13" s="118" t="s">
        <v>187</v>
      </c>
      <c r="B13" s="119" t="s">
        <v>742</v>
      </c>
      <c r="C13" s="120" t="s">
        <v>35</v>
      </c>
      <c r="D13" s="120" t="s">
        <v>36</v>
      </c>
      <c r="E13" s="120" t="s">
        <v>188</v>
      </c>
      <c r="F13" s="120" t="s">
        <v>42</v>
      </c>
      <c r="G13" s="17" t="s">
        <v>189</v>
      </c>
      <c r="H13" s="17" t="s">
        <v>190</v>
      </c>
      <c r="I13" s="17" t="s">
        <v>191</v>
      </c>
      <c r="J13" s="120" t="s">
        <v>52</v>
      </c>
      <c r="K13" s="150" t="s">
        <v>743</v>
      </c>
      <c r="L13" s="150" t="s">
        <v>744</v>
      </c>
      <c r="M13" s="17" t="s">
        <v>1083</v>
      </c>
      <c r="N13" s="152" t="s">
        <v>27</v>
      </c>
      <c r="O13" s="153"/>
      <c r="P13" s="154"/>
      <c r="Q13" s="178" t="s">
        <v>622</v>
      </c>
      <c r="R13" s="154"/>
      <c r="S13" s="179"/>
    </row>
    <row r="14" s="99" customFormat="1" customHeight="1" spans="1:19">
      <c r="A14" s="128"/>
      <c r="B14" s="119" t="s">
        <v>1084</v>
      </c>
      <c r="C14" s="120" t="s">
        <v>35</v>
      </c>
      <c r="D14" s="120" t="s">
        <v>36</v>
      </c>
      <c r="E14" s="120" t="s">
        <v>188</v>
      </c>
      <c r="F14" s="120" t="s">
        <v>42</v>
      </c>
      <c r="G14" s="17" t="s">
        <v>193</v>
      </c>
      <c r="H14" s="130"/>
      <c r="I14" s="17"/>
      <c r="J14" s="120" t="s">
        <v>52</v>
      </c>
      <c r="K14" s="150">
        <v>200</v>
      </c>
      <c r="L14" s="150">
        <v>180</v>
      </c>
      <c r="M14" s="17"/>
      <c r="N14" s="164"/>
      <c r="O14" s="154"/>
      <c r="P14" s="154"/>
      <c r="Q14" s="183" t="s">
        <v>653</v>
      </c>
      <c r="R14" s="154"/>
      <c r="S14" s="182"/>
    </row>
    <row r="15" s="99" customFormat="1" customHeight="1" spans="1:19">
      <c r="A15" s="128"/>
      <c r="B15" s="119" t="s">
        <v>747</v>
      </c>
      <c r="C15" s="120" t="s">
        <v>35</v>
      </c>
      <c r="D15" s="120" t="s">
        <v>36</v>
      </c>
      <c r="E15" s="120" t="s">
        <v>188</v>
      </c>
      <c r="F15" s="120" t="s">
        <v>42</v>
      </c>
      <c r="G15" s="17" t="s">
        <v>195</v>
      </c>
      <c r="H15" s="130"/>
      <c r="I15" s="17"/>
      <c r="J15" s="120" t="s">
        <v>52</v>
      </c>
      <c r="K15" s="150">
        <v>200</v>
      </c>
      <c r="L15" s="150">
        <v>180</v>
      </c>
      <c r="M15" s="17"/>
      <c r="N15" s="164"/>
      <c r="O15" s="154"/>
      <c r="P15" s="154"/>
      <c r="Q15" s="183" t="s">
        <v>653</v>
      </c>
      <c r="R15" s="154"/>
      <c r="S15" s="182"/>
    </row>
    <row r="16" customHeight="1" spans="1:19">
      <c r="A16" s="118" t="s">
        <v>201</v>
      </c>
      <c r="B16" s="119" t="s">
        <v>751</v>
      </c>
      <c r="C16" s="120" t="s">
        <v>35</v>
      </c>
      <c r="D16" s="120" t="s">
        <v>36</v>
      </c>
      <c r="E16" s="120" t="s">
        <v>198</v>
      </c>
      <c r="F16" s="120" t="s">
        <v>36</v>
      </c>
      <c r="G16" s="17" t="s">
        <v>202</v>
      </c>
      <c r="H16" s="17" t="s">
        <v>752</v>
      </c>
      <c r="I16" s="17"/>
      <c r="J16" s="120" t="s">
        <v>204</v>
      </c>
      <c r="K16" s="150" t="s">
        <v>676</v>
      </c>
      <c r="L16" s="150" t="s">
        <v>676</v>
      </c>
      <c r="M16" s="17" t="s">
        <v>1085</v>
      </c>
      <c r="N16" s="120"/>
      <c r="O16" s="158"/>
      <c r="P16" s="158"/>
      <c r="Q16" s="178" t="s">
        <v>640</v>
      </c>
      <c r="R16" s="154"/>
      <c r="S16" s="179"/>
    </row>
    <row r="17" customHeight="1" spans="1:19">
      <c r="A17" s="118"/>
      <c r="B17" s="119" t="s">
        <v>755</v>
      </c>
      <c r="C17" s="120"/>
      <c r="D17" s="120"/>
      <c r="E17" s="120"/>
      <c r="F17" s="120"/>
      <c r="G17" s="17" t="s">
        <v>756</v>
      </c>
      <c r="H17" s="17"/>
      <c r="I17" s="17"/>
      <c r="J17" s="120" t="s">
        <v>204</v>
      </c>
      <c r="K17" s="150">
        <v>400</v>
      </c>
      <c r="L17" s="150">
        <v>400</v>
      </c>
      <c r="M17" s="17"/>
      <c r="N17" s="120"/>
      <c r="O17" s="158"/>
      <c r="P17" s="158"/>
      <c r="Q17" s="178" t="s">
        <v>653</v>
      </c>
      <c r="R17" s="154"/>
      <c r="S17" s="179"/>
    </row>
    <row r="18" customHeight="1" spans="1:19">
      <c r="A18" s="118" t="s">
        <v>230</v>
      </c>
      <c r="B18" s="119" t="s">
        <v>778</v>
      </c>
      <c r="C18" s="131" t="s">
        <v>35</v>
      </c>
      <c r="D18" s="131" t="s">
        <v>36</v>
      </c>
      <c r="E18" s="131" t="s">
        <v>198</v>
      </c>
      <c r="F18" s="131" t="s">
        <v>36</v>
      </c>
      <c r="G18" s="123" t="s">
        <v>1086</v>
      </c>
      <c r="H18" s="17" t="s">
        <v>1087</v>
      </c>
      <c r="I18" s="123" t="s">
        <v>233</v>
      </c>
      <c r="J18" s="152" t="s">
        <v>52</v>
      </c>
      <c r="K18" s="165"/>
      <c r="L18" s="165"/>
      <c r="M18" s="137" t="s">
        <v>1088</v>
      </c>
      <c r="N18" s="152"/>
      <c r="O18" s="154"/>
      <c r="P18" s="154"/>
      <c r="Q18" s="178" t="s">
        <v>622</v>
      </c>
      <c r="R18" s="184" t="s">
        <v>1089</v>
      </c>
      <c r="S18" s="179"/>
    </row>
    <row r="19" s="99" customFormat="1" customHeight="1" spans="1:19">
      <c r="A19" s="132"/>
      <c r="B19" s="119" t="s">
        <v>782</v>
      </c>
      <c r="C19" s="131" t="s">
        <v>35</v>
      </c>
      <c r="D19" s="131" t="s">
        <v>36</v>
      </c>
      <c r="E19" s="131" t="s">
        <v>198</v>
      </c>
      <c r="F19" s="131" t="s">
        <v>36</v>
      </c>
      <c r="G19" s="130" t="s">
        <v>783</v>
      </c>
      <c r="H19" s="130" t="s">
        <v>784</v>
      </c>
      <c r="I19" s="130"/>
      <c r="J19" s="164" t="s">
        <v>52</v>
      </c>
      <c r="K19" s="166"/>
      <c r="L19" s="166"/>
      <c r="M19" s="167"/>
      <c r="N19" s="164"/>
      <c r="O19" s="154"/>
      <c r="P19" s="154"/>
      <c r="Q19" s="183"/>
      <c r="R19" s="185" t="s">
        <v>1090</v>
      </c>
      <c r="S19" s="182"/>
    </row>
    <row r="20" customHeight="1" spans="1:19">
      <c r="A20" s="118" t="s">
        <v>253</v>
      </c>
      <c r="B20" s="119" t="s">
        <v>801</v>
      </c>
      <c r="C20" s="120" t="s">
        <v>63</v>
      </c>
      <c r="D20" s="120" t="s">
        <v>64</v>
      </c>
      <c r="E20" s="120" t="s">
        <v>214</v>
      </c>
      <c r="F20" s="120" t="s">
        <v>215</v>
      </c>
      <c r="G20" s="17" t="s">
        <v>254</v>
      </c>
      <c r="H20" s="17" t="s">
        <v>1091</v>
      </c>
      <c r="I20" s="17"/>
      <c r="J20" s="120" t="s">
        <v>52</v>
      </c>
      <c r="K20" s="150" t="s">
        <v>803</v>
      </c>
      <c r="L20" s="150" t="s">
        <v>804</v>
      </c>
      <c r="M20" s="17"/>
      <c r="N20" s="152" t="s">
        <v>27</v>
      </c>
      <c r="O20" s="163">
        <v>0.2</v>
      </c>
      <c r="P20" s="158"/>
      <c r="Q20" s="178" t="s">
        <v>622</v>
      </c>
      <c r="R20" s="154"/>
      <c r="S20" s="179"/>
    </row>
    <row r="21" customHeight="1" spans="1:19">
      <c r="A21" s="118"/>
      <c r="B21" s="119" t="s">
        <v>806</v>
      </c>
      <c r="C21" s="120" t="s">
        <v>63</v>
      </c>
      <c r="D21" s="120" t="s">
        <v>64</v>
      </c>
      <c r="E21" s="120" t="s">
        <v>214</v>
      </c>
      <c r="F21" s="120"/>
      <c r="G21" s="17" t="s">
        <v>256</v>
      </c>
      <c r="H21" s="17"/>
      <c r="I21" s="17"/>
      <c r="J21" s="120" t="s">
        <v>52</v>
      </c>
      <c r="K21" s="150" t="s">
        <v>803</v>
      </c>
      <c r="L21" s="150" t="s">
        <v>804</v>
      </c>
      <c r="M21" s="17"/>
      <c r="N21" s="152" t="s">
        <v>27</v>
      </c>
      <c r="O21" s="163">
        <v>0.2</v>
      </c>
      <c r="P21" s="158"/>
      <c r="Q21" s="178"/>
      <c r="R21" s="154"/>
      <c r="S21" s="179"/>
    </row>
    <row r="22" s="99" customFormat="1" customHeight="1" spans="1:19">
      <c r="A22" s="132" t="s">
        <v>257</v>
      </c>
      <c r="B22" s="119" t="s">
        <v>807</v>
      </c>
      <c r="C22" s="120" t="s">
        <v>35</v>
      </c>
      <c r="D22" s="120" t="s">
        <v>36</v>
      </c>
      <c r="E22" s="120" t="s">
        <v>188</v>
      </c>
      <c r="F22" s="120" t="s">
        <v>42</v>
      </c>
      <c r="G22" s="17" t="s">
        <v>258</v>
      </c>
      <c r="H22" s="17" t="s">
        <v>259</v>
      </c>
      <c r="I22" s="17" t="s">
        <v>260</v>
      </c>
      <c r="J22" s="120" t="s">
        <v>52</v>
      </c>
      <c r="K22" s="150" t="s">
        <v>631</v>
      </c>
      <c r="L22" s="150" t="s">
        <v>697</v>
      </c>
      <c r="M22" s="17" t="s">
        <v>1092</v>
      </c>
      <c r="N22" s="164" t="s">
        <v>27</v>
      </c>
      <c r="O22" s="162"/>
      <c r="P22" s="162"/>
      <c r="Q22" s="166" t="s">
        <v>640</v>
      </c>
      <c r="R22" s="154"/>
      <c r="S22" s="182"/>
    </row>
    <row r="23" s="99" customFormat="1" customHeight="1" spans="1:19">
      <c r="A23" s="17"/>
      <c r="B23" s="119" t="s">
        <v>810</v>
      </c>
      <c r="C23" s="120" t="s">
        <v>35</v>
      </c>
      <c r="D23" s="120" t="s">
        <v>36</v>
      </c>
      <c r="E23" s="120" t="s">
        <v>188</v>
      </c>
      <c r="F23" s="120" t="s">
        <v>42</v>
      </c>
      <c r="G23" s="17" t="s">
        <v>262</v>
      </c>
      <c r="H23" s="17"/>
      <c r="I23" s="17"/>
      <c r="J23" s="120" t="s">
        <v>52</v>
      </c>
      <c r="K23" s="120">
        <v>300</v>
      </c>
      <c r="L23" s="120">
        <v>270</v>
      </c>
      <c r="M23" s="17"/>
      <c r="N23" s="120"/>
      <c r="O23" s="162"/>
      <c r="P23" s="162"/>
      <c r="Q23" s="166" t="s">
        <v>653</v>
      </c>
      <c r="R23" s="154"/>
      <c r="S23" s="182"/>
    </row>
    <row r="24" s="99" customFormat="1" customHeight="1" spans="1:19">
      <c r="A24" s="132" t="s">
        <v>264</v>
      </c>
      <c r="B24" s="119" t="s">
        <v>812</v>
      </c>
      <c r="C24" s="120" t="s">
        <v>63</v>
      </c>
      <c r="D24" s="120" t="s">
        <v>64</v>
      </c>
      <c r="E24" s="120" t="s">
        <v>214</v>
      </c>
      <c r="F24" s="120" t="s">
        <v>215</v>
      </c>
      <c r="G24" s="17" t="s">
        <v>265</v>
      </c>
      <c r="H24" s="17" t="s">
        <v>266</v>
      </c>
      <c r="I24" s="17"/>
      <c r="J24" s="120" t="s">
        <v>52</v>
      </c>
      <c r="K24" s="159">
        <v>100</v>
      </c>
      <c r="L24" s="159">
        <v>90</v>
      </c>
      <c r="M24" s="17"/>
      <c r="N24" s="155"/>
      <c r="O24" s="154"/>
      <c r="P24" s="154"/>
      <c r="Q24" s="183" t="s">
        <v>628</v>
      </c>
      <c r="R24" s="154"/>
      <c r="S24" s="182"/>
    </row>
    <row r="25" customHeight="1" spans="1:19">
      <c r="A25" s="118" t="s">
        <v>281</v>
      </c>
      <c r="B25" s="119" t="s">
        <v>821</v>
      </c>
      <c r="C25" s="120" t="s">
        <v>35</v>
      </c>
      <c r="D25" s="120" t="s">
        <v>36</v>
      </c>
      <c r="E25" s="120" t="s">
        <v>188</v>
      </c>
      <c r="F25" s="120" t="s">
        <v>42</v>
      </c>
      <c r="G25" s="17" t="s">
        <v>282</v>
      </c>
      <c r="H25" s="17"/>
      <c r="I25" s="17"/>
      <c r="J25" s="120" t="s">
        <v>52</v>
      </c>
      <c r="K25" s="150" t="s">
        <v>822</v>
      </c>
      <c r="L25" s="150" t="s">
        <v>823</v>
      </c>
      <c r="M25" s="17" t="s">
        <v>1093</v>
      </c>
      <c r="N25" s="152" t="s">
        <v>27</v>
      </c>
      <c r="O25" s="158"/>
      <c r="P25" s="158"/>
      <c r="Q25" s="178" t="s">
        <v>622</v>
      </c>
      <c r="R25" s="154"/>
      <c r="S25" s="179"/>
    </row>
    <row r="26" customHeight="1" spans="1:19">
      <c r="A26" s="17"/>
      <c r="B26" s="119" t="s">
        <v>825</v>
      </c>
      <c r="C26" s="120" t="s">
        <v>35</v>
      </c>
      <c r="D26" s="120" t="s">
        <v>36</v>
      </c>
      <c r="E26" s="120" t="s">
        <v>188</v>
      </c>
      <c r="F26" s="120" t="s">
        <v>42</v>
      </c>
      <c r="G26" s="17" t="s">
        <v>282</v>
      </c>
      <c r="H26" s="17"/>
      <c r="I26" s="17"/>
      <c r="J26" s="120" t="s">
        <v>52</v>
      </c>
      <c r="K26" s="150">
        <v>80</v>
      </c>
      <c r="L26" s="150">
        <v>72</v>
      </c>
      <c r="M26" s="17" t="s">
        <v>285</v>
      </c>
      <c r="N26" s="120"/>
      <c r="O26" s="158"/>
      <c r="P26" s="158"/>
      <c r="Q26" s="178" t="s">
        <v>653</v>
      </c>
      <c r="R26" s="154"/>
      <c r="S26" s="179"/>
    </row>
    <row r="27" s="99" customFormat="1" customHeight="1" spans="1:19">
      <c r="A27" s="132" t="s">
        <v>286</v>
      </c>
      <c r="B27" s="119" t="s">
        <v>826</v>
      </c>
      <c r="C27" s="120" t="s">
        <v>287</v>
      </c>
      <c r="D27" s="120" t="s">
        <v>215</v>
      </c>
      <c r="E27" s="120" t="s">
        <v>188</v>
      </c>
      <c r="F27" s="120" t="s">
        <v>42</v>
      </c>
      <c r="G27" s="17" t="s">
        <v>288</v>
      </c>
      <c r="H27" s="17"/>
      <c r="I27" s="17"/>
      <c r="J27" s="120" t="s">
        <v>52</v>
      </c>
      <c r="K27" s="150" t="s">
        <v>827</v>
      </c>
      <c r="L27" s="150" t="s">
        <v>828</v>
      </c>
      <c r="M27" s="17" t="s">
        <v>1094</v>
      </c>
      <c r="N27" s="164" t="s">
        <v>27</v>
      </c>
      <c r="O27" s="168">
        <v>0.2</v>
      </c>
      <c r="P27" s="154"/>
      <c r="Q27" s="183" t="s">
        <v>640</v>
      </c>
      <c r="R27" s="186"/>
      <c r="S27" s="182"/>
    </row>
    <row r="28" customHeight="1" spans="1:19">
      <c r="A28" s="121"/>
      <c r="B28" s="119" t="s">
        <v>830</v>
      </c>
      <c r="C28" s="120" t="s">
        <v>287</v>
      </c>
      <c r="D28" s="120" t="s">
        <v>215</v>
      </c>
      <c r="E28" s="120" t="s">
        <v>188</v>
      </c>
      <c r="F28" s="120" t="s">
        <v>42</v>
      </c>
      <c r="G28" s="133" t="s">
        <v>290</v>
      </c>
      <c r="H28" s="123"/>
      <c r="I28" s="17"/>
      <c r="J28" s="120" t="s">
        <v>52</v>
      </c>
      <c r="K28" s="150">
        <v>3560</v>
      </c>
      <c r="L28" s="150">
        <v>3200</v>
      </c>
      <c r="M28" s="17"/>
      <c r="N28" s="155"/>
      <c r="O28" s="153"/>
      <c r="P28" s="154"/>
      <c r="Q28" s="178" t="s">
        <v>653</v>
      </c>
      <c r="R28" s="154"/>
      <c r="S28" s="179"/>
    </row>
    <row r="29" customHeight="1" spans="1:19">
      <c r="A29" s="118" t="s">
        <v>345</v>
      </c>
      <c r="B29" s="119" t="s">
        <v>858</v>
      </c>
      <c r="C29" s="120" t="s">
        <v>287</v>
      </c>
      <c r="D29" s="120" t="s">
        <v>215</v>
      </c>
      <c r="E29" s="120" t="s">
        <v>188</v>
      </c>
      <c r="F29" s="120" t="s">
        <v>42</v>
      </c>
      <c r="G29" s="17" t="s">
        <v>346</v>
      </c>
      <c r="H29" s="17" t="s">
        <v>1095</v>
      </c>
      <c r="I29" s="17" t="s">
        <v>348</v>
      </c>
      <c r="J29" s="120" t="s">
        <v>52</v>
      </c>
      <c r="K29" s="150" t="s">
        <v>860</v>
      </c>
      <c r="L29" s="150" t="s">
        <v>861</v>
      </c>
      <c r="M29" s="17"/>
      <c r="N29" s="152" t="s">
        <v>27</v>
      </c>
      <c r="O29" s="158"/>
      <c r="P29" s="158"/>
      <c r="Q29" s="165" t="s">
        <v>622</v>
      </c>
      <c r="R29" s="154"/>
      <c r="S29" s="179"/>
    </row>
    <row r="30" customHeight="1" spans="1:19">
      <c r="A30" s="118" t="s">
        <v>351</v>
      </c>
      <c r="B30" s="119" t="s">
        <v>865</v>
      </c>
      <c r="C30" s="120" t="s">
        <v>287</v>
      </c>
      <c r="D30" s="120" t="s">
        <v>215</v>
      </c>
      <c r="E30" s="120" t="s">
        <v>188</v>
      </c>
      <c r="F30" s="120" t="s">
        <v>42</v>
      </c>
      <c r="G30" s="17" t="s">
        <v>352</v>
      </c>
      <c r="H30" s="17" t="s">
        <v>353</v>
      </c>
      <c r="I30" s="17" t="s">
        <v>1096</v>
      </c>
      <c r="J30" s="120" t="s">
        <v>52</v>
      </c>
      <c r="K30" s="150" t="s">
        <v>867</v>
      </c>
      <c r="L30" s="150" t="s">
        <v>657</v>
      </c>
      <c r="M30" s="17" t="s">
        <v>1097</v>
      </c>
      <c r="N30" s="152" t="s">
        <v>27</v>
      </c>
      <c r="O30" s="154"/>
      <c r="P30" s="154"/>
      <c r="Q30" s="165" t="s">
        <v>869</v>
      </c>
      <c r="R30" s="154"/>
      <c r="S30" s="179"/>
    </row>
    <row r="31" customHeight="1" spans="1:19">
      <c r="A31" s="118"/>
      <c r="B31" s="119" t="s">
        <v>871</v>
      </c>
      <c r="C31" s="120" t="s">
        <v>287</v>
      </c>
      <c r="D31" s="120" t="s">
        <v>215</v>
      </c>
      <c r="E31" s="120" t="s">
        <v>188</v>
      </c>
      <c r="F31" s="120" t="s">
        <v>42</v>
      </c>
      <c r="G31" s="17" t="s">
        <v>356</v>
      </c>
      <c r="H31" s="134"/>
      <c r="I31" s="17" t="s">
        <v>358</v>
      </c>
      <c r="J31" s="120" t="s">
        <v>52</v>
      </c>
      <c r="K31" s="150" t="s">
        <v>867</v>
      </c>
      <c r="L31" s="150" t="s">
        <v>657</v>
      </c>
      <c r="M31" s="17"/>
      <c r="N31" s="152"/>
      <c r="O31" s="154"/>
      <c r="P31" s="154"/>
      <c r="Q31" s="165"/>
      <c r="R31" s="154"/>
      <c r="S31" s="179"/>
    </row>
    <row r="32" customHeight="1" spans="1:19">
      <c r="A32" s="118" t="s">
        <v>402</v>
      </c>
      <c r="B32" s="119" t="s">
        <v>903</v>
      </c>
      <c r="C32" s="120" t="s">
        <v>287</v>
      </c>
      <c r="D32" s="120" t="s">
        <v>215</v>
      </c>
      <c r="E32" s="120" t="s">
        <v>188</v>
      </c>
      <c r="F32" s="120" t="s">
        <v>42</v>
      </c>
      <c r="G32" s="17" t="s">
        <v>403</v>
      </c>
      <c r="H32" s="17"/>
      <c r="I32" s="17"/>
      <c r="J32" s="120" t="s">
        <v>52</v>
      </c>
      <c r="K32" s="150" t="s">
        <v>861</v>
      </c>
      <c r="L32" s="150" t="s">
        <v>884</v>
      </c>
      <c r="M32" s="137" t="s">
        <v>1098</v>
      </c>
      <c r="N32" s="152" t="s">
        <v>27</v>
      </c>
      <c r="O32" s="158"/>
      <c r="P32" s="158"/>
      <c r="Q32" s="165" t="s">
        <v>640</v>
      </c>
      <c r="R32" s="154"/>
      <c r="S32" s="179"/>
    </row>
    <row r="33" customHeight="1" spans="1:19">
      <c r="A33" s="17"/>
      <c r="B33" s="119" t="s">
        <v>905</v>
      </c>
      <c r="C33" s="120" t="s">
        <v>287</v>
      </c>
      <c r="D33" s="120" t="s">
        <v>215</v>
      </c>
      <c r="E33" s="120" t="s">
        <v>188</v>
      </c>
      <c r="F33" s="120" t="s">
        <v>42</v>
      </c>
      <c r="G33" s="17" t="s">
        <v>1099</v>
      </c>
      <c r="H33" s="17"/>
      <c r="I33" s="17"/>
      <c r="J33" s="120" t="s">
        <v>52</v>
      </c>
      <c r="K33" s="120">
        <v>800</v>
      </c>
      <c r="L33" s="120">
        <v>720</v>
      </c>
      <c r="M33" s="17"/>
      <c r="N33" s="120"/>
      <c r="O33" s="158"/>
      <c r="P33" s="158"/>
      <c r="Q33" s="178" t="s">
        <v>653</v>
      </c>
      <c r="R33" s="154"/>
      <c r="S33" s="179"/>
    </row>
    <row r="34" customHeight="1" spans="1:19">
      <c r="A34" s="118" t="s">
        <v>217</v>
      </c>
      <c r="B34" s="119" t="s">
        <v>766</v>
      </c>
      <c r="C34" s="120" t="s">
        <v>35</v>
      </c>
      <c r="D34" s="120" t="s">
        <v>36</v>
      </c>
      <c r="E34" s="120" t="s">
        <v>198</v>
      </c>
      <c r="F34" s="120" t="s">
        <v>36</v>
      </c>
      <c r="G34" s="17" t="s">
        <v>218</v>
      </c>
      <c r="H34" s="17" t="s">
        <v>219</v>
      </c>
      <c r="I34" s="17"/>
      <c r="J34" s="120" t="s">
        <v>52</v>
      </c>
      <c r="K34" s="150" t="s">
        <v>767</v>
      </c>
      <c r="L34" s="150" t="s">
        <v>768</v>
      </c>
      <c r="M34" s="17" t="s">
        <v>1100</v>
      </c>
      <c r="N34" s="152" t="s">
        <v>27</v>
      </c>
      <c r="O34" s="158"/>
      <c r="P34" s="158"/>
      <c r="Q34" s="178" t="s">
        <v>640</v>
      </c>
      <c r="R34" s="154"/>
      <c r="S34" s="179"/>
    </row>
    <row r="35" customHeight="1" spans="1:19">
      <c r="A35" s="118" t="s">
        <v>225</v>
      </c>
      <c r="B35" s="119" t="s">
        <v>774</v>
      </c>
      <c r="C35" s="120" t="s">
        <v>35</v>
      </c>
      <c r="D35" s="120" t="s">
        <v>36</v>
      </c>
      <c r="E35" s="120" t="s">
        <v>198</v>
      </c>
      <c r="F35" s="120" t="s">
        <v>36</v>
      </c>
      <c r="G35" s="17" t="s">
        <v>226</v>
      </c>
      <c r="H35" s="17" t="s">
        <v>1101</v>
      </c>
      <c r="I35" s="17" t="s">
        <v>228</v>
      </c>
      <c r="J35" s="120" t="s">
        <v>52</v>
      </c>
      <c r="K35" s="150" t="s">
        <v>776</v>
      </c>
      <c r="L35" s="150" t="s">
        <v>772</v>
      </c>
      <c r="M35" s="17"/>
      <c r="N35" s="152" t="s">
        <v>27</v>
      </c>
      <c r="O35" s="158"/>
      <c r="P35" s="158"/>
      <c r="Q35" s="178" t="s">
        <v>622</v>
      </c>
      <c r="R35" s="154"/>
      <c r="S35" s="179"/>
    </row>
    <row r="36" s="100" customFormat="1" customHeight="1" spans="1:19">
      <c r="A36" s="17" t="s">
        <v>237</v>
      </c>
      <c r="B36" s="17" t="s">
        <v>785</v>
      </c>
      <c r="C36" s="120" t="s">
        <v>35</v>
      </c>
      <c r="D36" s="120" t="s">
        <v>36</v>
      </c>
      <c r="E36" s="120" t="s">
        <v>188</v>
      </c>
      <c r="F36" s="120" t="s">
        <v>42</v>
      </c>
      <c r="G36" s="17" t="s">
        <v>238</v>
      </c>
      <c r="H36" s="17" t="s">
        <v>786</v>
      </c>
      <c r="I36" s="17"/>
      <c r="J36" s="120" t="s">
        <v>52</v>
      </c>
      <c r="K36" s="120" t="s">
        <v>697</v>
      </c>
      <c r="L36" s="120" t="s">
        <v>764</v>
      </c>
      <c r="M36" s="135" t="s">
        <v>1102</v>
      </c>
      <c r="N36" s="120" t="s">
        <v>27</v>
      </c>
      <c r="O36" s="120"/>
      <c r="P36" s="120"/>
      <c r="Q36" s="120"/>
      <c r="R36" s="120"/>
      <c r="S36" s="120"/>
    </row>
    <row r="37" s="101" customFormat="1" customHeight="1" spans="1:19">
      <c r="A37" s="118"/>
      <c r="B37" s="135">
        <v>31060600202</v>
      </c>
      <c r="C37" s="136" t="s">
        <v>35</v>
      </c>
      <c r="D37" s="136" t="s">
        <v>36</v>
      </c>
      <c r="E37" s="136" t="s">
        <v>188</v>
      </c>
      <c r="F37" s="136" t="s">
        <v>42</v>
      </c>
      <c r="G37" s="135" t="s">
        <v>1103</v>
      </c>
      <c r="H37" s="137"/>
      <c r="I37" s="137"/>
      <c r="J37" s="136"/>
      <c r="K37" s="159">
        <f>K36*5</f>
        <v>550</v>
      </c>
      <c r="L37" s="159">
        <f>L36*5</f>
        <v>495</v>
      </c>
      <c r="M37" s="135" t="s">
        <v>789</v>
      </c>
      <c r="N37" s="169" t="s">
        <v>27</v>
      </c>
      <c r="O37" s="158"/>
      <c r="P37" s="158"/>
      <c r="Q37" s="178"/>
      <c r="R37" s="154"/>
      <c r="S37" s="5"/>
    </row>
    <row r="38" s="99" customFormat="1" customHeight="1" spans="1:19">
      <c r="A38" s="132" t="s">
        <v>454</v>
      </c>
      <c r="B38" s="119" t="s">
        <v>947</v>
      </c>
      <c r="C38" s="120" t="s">
        <v>287</v>
      </c>
      <c r="D38" s="120" t="s">
        <v>215</v>
      </c>
      <c r="E38" s="120" t="s">
        <v>188</v>
      </c>
      <c r="F38" s="120" t="s">
        <v>42</v>
      </c>
      <c r="G38" s="17" t="s">
        <v>455</v>
      </c>
      <c r="H38" s="17" t="s">
        <v>1104</v>
      </c>
      <c r="I38" s="17"/>
      <c r="J38" s="120" t="s">
        <v>52</v>
      </c>
      <c r="K38" s="150" t="s">
        <v>948</v>
      </c>
      <c r="L38" s="150" t="s">
        <v>949</v>
      </c>
      <c r="M38" s="137" t="s">
        <v>1105</v>
      </c>
      <c r="N38" s="164" t="s">
        <v>27</v>
      </c>
      <c r="O38" s="170"/>
      <c r="P38" s="171"/>
      <c r="Q38" s="164" t="s">
        <v>951</v>
      </c>
      <c r="R38" s="154"/>
      <c r="S38" s="182"/>
    </row>
    <row r="39" s="99" customFormat="1" customHeight="1" spans="1:19">
      <c r="A39" s="128"/>
      <c r="B39" s="119" t="s">
        <v>952</v>
      </c>
      <c r="C39" s="120" t="s">
        <v>287</v>
      </c>
      <c r="D39" s="120" t="s">
        <v>215</v>
      </c>
      <c r="E39" s="120" t="s">
        <v>188</v>
      </c>
      <c r="F39" s="120" t="s">
        <v>42</v>
      </c>
      <c r="G39" s="17" t="s">
        <v>458</v>
      </c>
      <c r="H39" s="130"/>
      <c r="I39" s="17"/>
      <c r="J39" s="120" t="s">
        <v>52</v>
      </c>
      <c r="K39" s="150">
        <v>6130</v>
      </c>
      <c r="L39" s="150">
        <v>5520</v>
      </c>
      <c r="M39" s="17"/>
      <c r="N39" s="155"/>
      <c r="O39" s="153"/>
      <c r="P39" s="154"/>
      <c r="Q39" s="183" t="s">
        <v>653</v>
      </c>
      <c r="R39" s="154"/>
      <c r="S39" s="182"/>
    </row>
    <row r="40" s="99" customFormat="1" customHeight="1" spans="1:19">
      <c r="A40" s="132" t="s">
        <v>461</v>
      </c>
      <c r="B40" s="119" t="s">
        <v>954</v>
      </c>
      <c r="C40" s="120" t="s">
        <v>287</v>
      </c>
      <c r="D40" s="120" t="s">
        <v>215</v>
      </c>
      <c r="E40" s="120" t="s">
        <v>188</v>
      </c>
      <c r="F40" s="120" t="s">
        <v>42</v>
      </c>
      <c r="G40" s="17" t="s">
        <v>462</v>
      </c>
      <c r="H40" s="17" t="s">
        <v>459</v>
      </c>
      <c r="I40" s="17"/>
      <c r="J40" s="120" t="s">
        <v>52</v>
      </c>
      <c r="K40" s="150" t="s">
        <v>955</v>
      </c>
      <c r="L40" s="150" t="s">
        <v>956</v>
      </c>
      <c r="M40" s="137" t="s">
        <v>1106</v>
      </c>
      <c r="N40" s="164" t="s">
        <v>27</v>
      </c>
      <c r="O40" s="154"/>
      <c r="P40" s="154"/>
      <c r="Q40" s="164" t="s">
        <v>951</v>
      </c>
      <c r="R40" s="154"/>
      <c r="S40" s="182"/>
    </row>
    <row r="41" s="99" customFormat="1" customHeight="1" spans="1:19">
      <c r="A41" s="128"/>
      <c r="B41" s="119" t="s">
        <v>958</v>
      </c>
      <c r="C41" s="120" t="s">
        <v>287</v>
      </c>
      <c r="D41" s="120" t="s">
        <v>215</v>
      </c>
      <c r="E41" s="120" t="s">
        <v>188</v>
      </c>
      <c r="F41" s="120" t="s">
        <v>42</v>
      </c>
      <c r="G41" s="138" t="s">
        <v>464</v>
      </c>
      <c r="H41" s="130"/>
      <c r="I41" s="17"/>
      <c r="J41" s="120" t="s">
        <v>52</v>
      </c>
      <c r="K41" s="150">
        <v>6130</v>
      </c>
      <c r="L41" s="150">
        <v>5520</v>
      </c>
      <c r="M41" s="17"/>
      <c r="N41" s="155"/>
      <c r="O41" s="154"/>
      <c r="P41" s="154"/>
      <c r="Q41" s="166" t="s">
        <v>653</v>
      </c>
      <c r="R41" s="154"/>
      <c r="S41" s="182"/>
    </row>
    <row r="42" customHeight="1" spans="1:19">
      <c r="A42" s="118" t="s">
        <v>466</v>
      </c>
      <c r="B42" s="119" t="s">
        <v>960</v>
      </c>
      <c r="C42" s="120" t="s">
        <v>287</v>
      </c>
      <c r="D42" s="120" t="s">
        <v>215</v>
      </c>
      <c r="E42" s="120" t="s">
        <v>188</v>
      </c>
      <c r="F42" s="120" t="s">
        <v>42</v>
      </c>
      <c r="G42" s="17" t="s">
        <v>467</v>
      </c>
      <c r="H42" s="17" t="s">
        <v>459</v>
      </c>
      <c r="I42" s="17" t="s">
        <v>468</v>
      </c>
      <c r="J42" s="120" t="s">
        <v>52</v>
      </c>
      <c r="K42" s="150" t="s">
        <v>955</v>
      </c>
      <c r="L42" s="150" t="s">
        <v>956</v>
      </c>
      <c r="M42" s="137" t="s">
        <v>1107</v>
      </c>
      <c r="N42" s="152" t="s">
        <v>27</v>
      </c>
      <c r="O42" s="170"/>
      <c r="P42" s="171"/>
      <c r="Q42" s="152" t="s">
        <v>951</v>
      </c>
      <c r="R42" s="154"/>
      <c r="S42" s="179"/>
    </row>
    <row r="43" customHeight="1" spans="1:19">
      <c r="A43" s="121"/>
      <c r="B43" s="119" t="s">
        <v>962</v>
      </c>
      <c r="C43" s="120" t="s">
        <v>287</v>
      </c>
      <c r="D43" s="120" t="s">
        <v>215</v>
      </c>
      <c r="E43" s="120" t="s">
        <v>188</v>
      </c>
      <c r="F43" s="120" t="s">
        <v>42</v>
      </c>
      <c r="G43" s="139" t="s">
        <v>470</v>
      </c>
      <c r="H43" s="123"/>
      <c r="I43" s="17"/>
      <c r="J43" s="120" t="s">
        <v>52</v>
      </c>
      <c r="K43" s="150">
        <v>6130</v>
      </c>
      <c r="L43" s="150">
        <v>5520</v>
      </c>
      <c r="M43" s="17"/>
      <c r="N43" s="172"/>
      <c r="O43" s="170"/>
      <c r="P43" s="171"/>
      <c r="Q43" s="187" t="s">
        <v>653</v>
      </c>
      <c r="R43" s="154"/>
      <c r="S43" s="179"/>
    </row>
    <row r="44" s="99" customFormat="1" customHeight="1" spans="1:19">
      <c r="A44" s="132" t="s">
        <v>472</v>
      </c>
      <c r="B44" s="119" t="s">
        <v>964</v>
      </c>
      <c r="C44" s="120" t="s">
        <v>287</v>
      </c>
      <c r="D44" s="120" t="s">
        <v>215</v>
      </c>
      <c r="E44" s="120" t="s">
        <v>188</v>
      </c>
      <c r="F44" s="120" t="s">
        <v>42</v>
      </c>
      <c r="G44" s="17" t="s">
        <v>473</v>
      </c>
      <c r="H44" s="17" t="s">
        <v>474</v>
      </c>
      <c r="I44" s="17"/>
      <c r="J44" s="120" t="s">
        <v>52</v>
      </c>
      <c r="K44" s="173" t="s">
        <v>955</v>
      </c>
      <c r="L44" s="173" t="s">
        <v>956</v>
      </c>
      <c r="M44" s="137" t="s">
        <v>1108</v>
      </c>
      <c r="N44" s="174" t="s">
        <v>27</v>
      </c>
      <c r="O44" s="170"/>
      <c r="P44" s="171"/>
      <c r="Q44" s="188" t="s">
        <v>966</v>
      </c>
      <c r="R44" s="154"/>
      <c r="S44" s="182"/>
    </row>
    <row r="45" s="99" customFormat="1" customHeight="1" spans="1:19">
      <c r="A45" s="132"/>
      <c r="B45" s="119" t="s">
        <v>964</v>
      </c>
      <c r="C45" s="120" t="s">
        <v>287</v>
      </c>
      <c r="D45" s="120" t="s">
        <v>215</v>
      </c>
      <c r="E45" s="120" t="s">
        <v>188</v>
      </c>
      <c r="F45" s="120" t="s">
        <v>42</v>
      </c>
      <c r="G45" s="17" t="s">
        <v>476</v>
      </c>
      <c r="H45" s="140"/>
      <c r="I45" s="17"/>
      <c r="J45" s="120" t="s">
        <v>52</v>
      </c>
      <c r="K45" s="150">
        <v>6130</v>
      </c>
      <c r="L45" s="150">
        <v>5520</v>
      </c>
      <c r="M45" s="17"/>
      <c r="N45" s="164" t="s">
        <v>27</v>
      </c>
      <c r="O45" s="170"/>
      <c r="P45" s="171"/>
      <c r="Q45" s="188" t="s">
        <v>966</v>
      </c>
      <c r="R45" s="154"/>
      <c r="S45" s="182"/>
    </row>
    <row r="46" s="99" customFormat="1" customHeight="1" spans="1:19">
      <c r="A46" s="132" t="s">
        <v>1109</v>
      </c>
      <c r="B46" s="119" t="s">
        <v>1110</v>
      </c>
      <c r="C46" s="120" t="s">
        <v>287</v>
      </c>
      <c r="D46" s="120" t="s">
        <v>215</v>
      </c>
      <c r="E46" s="120" t="s">
        <v>188</v>
      </c>
      <c r="F46" s="120" t="s">
        <v>42</v>
      </c>
      <c r="G46" s="17" t="s">
        <v>1111</v>
      </c>
      <c r="H46" s="17" t="s">
        <v>1112</v>
      </c>
      <c r="I46" s="17"/>
      <c r="J46" s="120" t="s">
        <v>52</v>
      </c>
      <c r="K46" s="150" t="s">
        <v>1113</v>
      </c>
      <c r="L46" s="150" t="s">
        <v>1114</v>
      </c>
      <c r="M46" s="17"/>
      <c r="N46" s="164" t="s">
        <v>27</v>
      </c>
      <c r="O46" s="170"/>
      <c r="P46" s="171"/>
      <c r="Q46" s="188" t="s">
        <v>622</v>
      </c>
      <c r="R46" s="189" t="s">
        <v>1115</v>
      </c>
      <c r="S46" s="182"/>
    </row>
    <row r="47" s="99" customFormat="1" customHeight="1" spans="1:19">
      <c r="A47" s="132"/>
      <c r="B47" s="119"/>
      <c r="C47" s="120" t="s">
        <v>287</v>
      </c>
      <c r="D47" s="120" t="s">
        <v>215</v>
      </c>
      <c r="E47" s="120" t="s">
        <v>188</v>
      </c>
      <c r="F47" s="120" t="s">
        <v>42</v>
      </c>
      <c r="G47" s="134" t="s">
        <v>1116</v>
      </c>
      <c r="H47" s="17"/>
      <c r="I47" s="17"/>
      <c r="J47" s="120"/>
      <c r="K47" s="150"/>
      <c r="L47" s="150"/>
      <c r="M47" s="17"/>
      <c r="N47" s="164"/>
      <c r="O47" s="170"/>
      <c r="P47" s="171"/>
      <c r="Q47" s="188" t="s">
        <v>653</v>
      </c>
      <c r="R47" s="154"/>
      <c r="S47" s="182"/>
    </row>
    <row r="48" s="99" customFormat="1" customHeight="1" spans="1:19">
      <c r="A48" s="132" t="s">
        <v>478</v>
      </c>
      <c r="B48" s="119" t="s">
        <v>969</v>
      </c>
      <c r="C48" s="120" t="s">
        <v>287</v>
      </c>
      <c r="D48" s="120" t="s">
        <v>215</v>
      </c>
      <c r="E48" s="120" t="s">
        <v>188</v>
      </c>
      <c r="F48" s="120" t="s">
        <v>42</v>
      </c>
      <c r="G48" s="17" t="s">
        <v>479</v>
      </c>
      <c r="H48" s="17" t="s">
        <v>459</v>
      </c>
      <c r="I48" s="17"/>
      <c r="J48" s="120" t="s">
        <v>52</v>
      </c>
      <c r="K48" s="150" t="s">
        <v>970</v>
      </c>
      <c r="L48" s="150" t="s">
        <v>971</v>
      </c>
      <c r="M48" s="137" t="s">
        <v>1117</v>
      </c>
      <c r="N48" s="164" t="s">
        <v>27</v>
      </c>
      <c r="O48" s="170"/>
      <c r="P48" s="171"/>
      <c r="Q48" s="188" t="s">
        <v>622</v>
      </c>
      <c r="R48" s="154"/>
      <c r="S48" s="182"/>
    </row>
    <row r="49" s="99" customFormat="1" customHeight="1" spans="1:19">
      <c r="A49" s="132"/>
      <c r="B49" s="119" t="s">
        <v>972</v>
      </c>
      <c r="C49" s="120" t="s">
        <v>287</v>
      </c>
      <c r="D49" s="120" t="s">
        <v>215</v>
      </c>
      <c r="E49" s="120" t="s">
        <v>188</v>
      </c>
      <c r="F49" s="120" t="s">
        <v>42</v>
      </c>
      <c r="G49" s="17" t="s">
        <v>481</v>
      </c>
      <c r="H49" s="17" t="s">
        <v>459</v>
      </c>
      <c r="I49" s="17"/>
      <c r="J49" s="120" t="s">
        <v>52</v>
      </c>
      <c r="K49" s="150" t="s">
        <v>970</v>
      </c>
      <c r="L49" s="150" t="s">
        <v>971</v>
      </c>
      <c r="M49" s="17"/>
      <c r="N49" s="164"/>
      <c r="O49" s="170"/>
      <c r="P49" s="171"/>
      <c r="Q49" s="188"/>
      <c r="R49" s="154"/>
      <c r="S49" s="182"/>
    </row>
    <row r="50" customHeight="1" spans="1:19">
      <c r="A50" s="118" t="s">
        <v>483</v>
      </c>
      <c r="B50" s="119" t="s">
        <v>974</v>
      </c>
      <c r="C50" s="120" t="s">
        <v>287</v>
      </c>
      <c r="D50" s="120" t="s">
        <v>215</v>
      </c>
      <c r="E50" s="120" t="s">
        <v>188</v>
      </c>
      <c r="F50" s="120" t="s">
        <v>42</v>
      </c>
      <c r="G50" s="17" t="s">
        <v>484</v>
      </c>
      <c r="H50" s="17" t="s">
        <v>485</v>
      </c>
      <c r="I50" s="17" t="s">
        <v>486</v>
      </c>
      <c r="J50" s="120" t="s">
        <v>487</v>
      </c>
      <c r="K50" s="150" t="s">
        <v>860</v>
      </c>
      <c r="L50" s="150" t="s">
        <v>861</v>
      </c>
      <c r="M50" s="17" t="s">
        <v>1118</v>
      </c>
      <c r="N50" s="152" t="s">
        <v>27</v>
      </c>
      <c r="O50" s="153"/>
      <c r="P50" s="154"/>
      <c r="Q50" s="178" t="s">
        <v>640</v>
      </c>
      <c r="R50" s="154"/>
      <c r="S50" s="179"/>
    </row>
    <row r="51" s="99" customFormat="1" customHeight="1" spans="1:19">
      <c r="A51" s="128"/>
      <c r="B51" s="119" t="s">
        <v>976</v>
      </c>
      <c r="C51" s="120" t="s">
        <v>287</v>
      </c>
      <c r="D51" s="120" t="s">
        <v>215</v>
      </c>
      <c r="E51" s="120" t="s">
        <v>188</v>
      </c>
      <c r="F51" s="120" t="s">
        <v>42</v>
      </c>
      <c r="G51" s="133" t="s">
        <v>489</v>
      </c>
      <c r="H51" s="130"/>
      <c r="I51" s="17"/>
      <c r="J51" s="120" t="s">
        <v>487</v>
      </c>
      <c r="K51" s="150">
        <v>2880</v>
      </c>
      <c r="L51" s="150">
        <f>K51*0.9</f>
        <v>2592</v>
      </c>
      <c r="M51" s="17"/>
      <c r="N51" s="155"/>
      <c r="O51" s="153"/>
      <c r="P51" s="154"/>
      <c r="Q51" s="183" t="s">
        <v>653</v>
      </c>
      <c r="R51" s="154"/>
      <c r="S51" s="182"/>
    </row>
    <row r="52" s="99" customFormat="1" customHeight="1" spans="1:19">
      <c r="A52" s="128"/>
      <c r="B52" s="141" t="s">
        <v>977</v>
      </c>
      <c r="C52" s="142" t="s">
        <v>287</v>
      </c>
      <c r="D52" s="142" t="s">
        <v>215</v>
      </c>
      <c r="E52" s="142" t="s">
        <v>188</v>
      </c>
      <c r="F52" s="142" t="s">
        <v>42</v>
      </c>
      <c r="G52" s="143" t="s">
        <v>495</v>
      </c>
      <c r="H52" s="143" t="s">
        <v>496</v>
      </c>
      <c r="I52" s="143"/>
      <c r="J52" s="142" t="s">
        <v>52</v>
      </c>
      <c r="K52" s="175" t="s">
        <v>978</v>
      </c>
      <c r="L52" s="175" t="s">
        <v>979</v>
      </c>
      <c r="M52" s="137" t="s">
        <v>980</v>
      </c>
      <c r="N52" s="176" t="s">
        <v>27</v>
      </c>
      <c r="O52" s="154"/>
      <c r="P52" s="154"/>
      <c r="Q52" s="183"/>
      <c r="R52" s="154"/>
      <c r="S52" s="182"/>
    </row>
    <row r="53" s="99" customFormat="1" customHeight="1" spans="1:19">
      <c r="A53" s="128"/>
      <c r="B53" s="141" t="s">
        <v>981</v>
      </c>
      <c r="C53" s="142" t="s">
        <v>287</v>
      </c>
      <c r="D53" s="142" t="s">
        <v>215</v>
      </c>
      <c r="E53" s="142" t="s">
        <v>188</v>
      </c>
      <c r="F53" s="142" t="s">
        <v>42</v>
      </c>
      <c r="G53" s="143" t="s">
        <v>982</v>
      </c>
      <c r="H53" s="143"/>
      <c r="I53" s="143"/>
      <c r="J53" s="142"/>
      <c r="K53" s="175">
        <f t="shared" ref="K53:K57" si="0">K52+60</f>
        <v>4620</v>
      </c>
      <c r="L53" s="175">
        <f t="shared" ref="L53:L57" si="1">L52+60</f>
        <v>4160</v>
      </c>
      <c r="M53" s="17"/>
      <c r="N53" s="176"/>
      <c r="O53" s="154"/>
      <c r="P53" s="154"/>
      <c r="Q53" s="183"/>
      <c r="R53" s="154"/>
      <c r="S53" s="182"/>
    </row>
    <row r="54" s="99" customFormat="1" customHeight="1" spans="1:19">
      <c r="A54" s="128"/>
      <c r="B54" s="141" t="s">
        <v>983</v>
      </c>
      <c r="C54" s="142" t="s">
        <v>287</v>
      </c>
      <c r="D54" s="142" t="s">
        <v>215</v>
      </c>
      <c r="E54" s="142" t="s">
        <v>188</v>
      </c>
      <c r="F54" s="142" t="s">
        <v>42</v>
      </c>
      <c r="G54" s="143" t="s">
        <v>500</v>
      </c>
      <c r="H54" s="143" t="s">
        <v>501</v>
      </c>
      <c r="I54" s="143"/>
      <c r="J54" s="142" t="s">
        <v>52</v>
      </c>
      <c r="K54" s="175" t="s">
        <v>920</v>
      </c>
      <c r="L54" s="175" t="s">
        <v>921</v>
      </c>
      <c r="M54" s="17" t="s">
        <v>980</v>
      </c>
      <c r="N54" s="176" t="s">
        <v>27</v>
      </c>
      <c r="O54" s="154"/>
      <c r="P54" s="154"/>
      <c r="Q54" s="183"/>
      <c r="R54" s="154"/>
      <c r="S54" s="182"/>
    </row>
    <row r="55" s="99" customFormat="1" customHeight="1" spans="1:19">
      <c r="A55" s="128"/>
      <c r="B55" s="141" t="s">
        <v>984</v>
      </c>
      <c r="C55" s="142" t="s">
        <v>287</v>
      </c>
      <c r="D55" s="142" t="s">
        <v>215</v>
      </c>
      <c r="E55" s="142" t="s">
        <v>188</v>
      </c>
      <c r="F55" s="142" t="s">
        <v>42</v>
      </c>
      <c r="G55" s="143" t="s">
        <v>982</v>
      </c>
      <c r="H55" s="143"/>
      <c r="I55" s="143"/>
      <c r="J55" s="142"/>
      <c r="K55" s="175">
        <f t="shared" si="0"/>
        <v>2940</v>
      </c>
      <c r="L55" s="175">
        <f t="shared" si="1"/>
        <v>2650</v>
      </c>
      <c r="M55" s="17"/>
      <c r="N55" s="176"/>
      <c r="O55" s="154"/>
      <c r="P55" s="154"/>
      <c r="Q55" s="183"/>
      <c r="R55" s="154"/>
      <c r="S55" s="182"/>
    </row>
    <row r="56" s="99" customFormat="1" customHeight="1" spans="1:19">
      <c r="A56" s="128"/>
      <c r="B56" s="141" t="s">
        <v>985</v>
      </c>
      <c r="C56" s="142" t="s">
        <v>287</v>
      </c>
      <c r="D56" s="142" t="s">
        <v>215</v>
      </c>
      <c r="E56" s="142" t="s">
        <v>188</v>
      </c>
      <c r="F56" s="142" t="s">
        <v>42</v>
      </c>
      <c r="G56" s="143" t="s">
        <v>504</v>
      </c>
      <c r="H56" s="143" t="s">
        <v>505</v>
      </c>
      <c r="I56" s="143"/>
      <c r="J56" s="142" t="s">
        <v>52</v>
      </c>
      <c r="K56" s="175" t="s">
        <v>920</v>
      </c>
      <c r="L56" s="175" t="s">
        <v>921</v>
      </c>
      <c r="M56" s="17" t="s">
        <v>980</v>
      </c>
      <c r="N56" s="176" t="s">
        <v>27</v>
      </c>
      <c r="O56" s="154"/>
      <c r="P56" s="154"/>
      <c r="Q56" s="183"/>
      <c r="R56" s="154"/>
      <c r="S56" s="182"/>
    </row>
    <row r="57" s="99" customFormat="1" customHeight="1" spans="1:19">
      <c r="A57" s="128"/>
      <c r="B57" s="141" t="s">
        <v>986</v>
      </c>
      <c r="C57" s="142" t="s">
        <v>287</v>
      </c>
      <c r="D57" s="142" t="s">
        <v>215</v>
      </c>
      <c r="E57" s="142" t="s">
        <v>188</v>
      </c>
      <c r="F57" s="142" t="s">
        <v>42</v>
      </c>
      <c r="G57" s="143" t="s">
        <v>982</v>
      </c>
      <c r="H57" s="143"/>
      <c r="I57" s="143"/>
      <c r="J57" s="142"/>
      <c r="K57" s="175">
        <f t="shared" si="0"/>
        <v>2940</v>
      </c>
      <c r="L57" s="175">
        <f t="shared" si="1"/>
        <v>2650</v>
      </c>
      <c r="M57" s="17"/>
      <c r="N57" s="176"/>
      <c r="O57" s="154"/>
      <c r="P57" s="154"/>
      <c r="Q57" s="183"/>
      <c r="R57" s="154"/>
      <c r="S57" s="182"/>
    </row>
    <row r="58" s="99" customFormat="1" customHeight="1" spans="1:19">
      <c r="A58" s="128"/>
      <c r="B58" s="141" t="s">
        <v>987</v>
      </c>
      <c r="C58" s="142" t="s">
        <v>287</v>
      </c>
      <c r="D58" s="142" t="s">
        <v>215</v>
      </c>
      <c r="E58" s="142" t="s">
        <v>188</v>
      </c>
      <c r="F58" s="142" t="s">
        <v>42</v>
      </c>
      <c r="G58" s="143" t="s">
        <v>508</v>
      </c>
      <c r="H58" s="143" t="s">
        <v>509</v>
      </c>
      <c r="I58" s="143"/>
      <c r="J58" s="142" t="s">
        <v>52</v>
      </c>
      <c r="K58" s="175" t="s">
        <v>988</v>
      </c>
      <c r="L58" s="175" t="s">
        <v>989</v>
      </c>
      <c r="M58" s="17" t="s">
        <v>980</v>
      </c>
      <c r="N58" s="176" t="s">
        <v>27</v>
      </c>
      <c r="O58" s="154"/>
      <c r="P58" s="154"/>
      <c r="Q58" s="183"/>
      <c r="R58" s="154"/>
      <c r="S58" s="182"/>
    </row>
    <row r="59" s="99" customFormat="1" customHeight="1" spans="1:19">
      <c r="A59" s="128"/>
      <c r="B59" s="141" t="s">
        <v>990</v>
      </c>
      <c r="C59" s="142" t="s">
        <v>287</v>
      </c>
      <c r="D59" s="142" t="s">
        <v>215</v>
      </c>
      <c r="E59" s="142" t="s">
        <v>188</v>
      </c>
      <c r="F59" s="142" t="s">
        <v>42</v>
      </c>
      <c r="G59" s="143" t="s">
        <v>982</v>
      </c>
      <c r="H59" s="143"/>
      <c r="I59" s="143"/>
      <c r="J59" s="142"/>
      <c r="K59" s="175">
        <f>K58+60</f>
        <v>5340</v>
      </c>
      <c r="L59" s="175">
        <f>L58+60</f>
        <v>4810</v>
      </c>
      <c r="M59" s="17"/>
      <c r="N59" s="176"/>
      <c r="O59" s="154"/>
      <c r="P59" s="154"/>
      <c r="Q59" s="183"/>
      <c r="R59" s="154"/>
      <c r="S59" s="182"/>
    </row>
    <row r="60" s="99" customFormat="1" customHeight="1" spans="1:19">
      <c r="A60" s="128"/>
      <c r="B60" s="141" t="s">
        <v>991</v>
      </c>
      <c r="C60" s="142" t="s">
        <v>287</v>
      </c>
      <c r="D60" s="142" t="s">
        <v>215</v>
      </c>
      <c r="E60" s="142" t="s">
        <v>188</v>
      </c>
      <c r="F60" s="142" t="s">
        <v>42</v>
      </c>
      <c r="G60" s="143" t="s">
        <v>512</v>
      </c>
      <c r="H60" s="143" t="s">
        <v>513</v>
      </c>
      <c r="I60" s="143"/>
      <c r="J60" s="142" t="s">
        <v>52</v>
      </c>
      <c r="K60" s="175" t="s">
        <v>992</v>
      </c>
      <c r="L60" s="175" t="s">
        <v>993</v>
      </c>
      <c r="M60" s="17" t="s">
        <v>980</v>
      </c>
      <c r="N60" s="176" t="s">
        <v>27</v>
      </c>
      <c r="O60" s="154"/>
      <c r="P60" s="154"/>
      <c r="Q60" s="183"/>
      <c r="R60" s="154"/>
      <c r="S60" s="182"/>
    </row>
    <row r="61" s="99" customFormat="1" customHeight="1" spans="1:19">
      <c r="A61" s="128"/>
      <c r="B61" s="141" t="s">
        <v>994</v>
      </c>
      <c r="C61" s="142" t="s">
        <v>287</v>
      </c>
      <c r="D61" s="142" t="s">
        <v>215</v>
      </c>
      <c r="E61" s="142" t="s">
        <v>188</v>
      </c>
      <c r="F61" s="142" t="s">
        <v>42</v>
      </c>
      <c r="G61" s="143" t="s">
        <v>982</v>
      </c>
      <c r="H61" s="143"/>
      <c r="I61" s="143"/>
      <c r="J61" s="142"/>
      <c r="K61" s="175">
        <f>K60+60</f>
        <v>7560</v>
      </c>
      <c r="L61" s="175">
        <f>L60+60</f>
        <v>6360</v>
      </c>
      <c r="M61" s="17"/>
      <c r="N61" s="176"/>
      <c r="O61" s="154"/>
      <c r="P61" s="154"/>
      <c r="Q61" s="183"/>
      <c r="R61" s="154"/>
      <c r="S61" s="182"/>
    </row>
    <row r="62" customHeight="1" spans="1:19">
      <c r="A62" s="118" t="s">
        <v>515</v>
      </c>
      <c r="B62" s="119" t="s">
        <v>995</v>
      </c>
      <c r="C62" s="120" t="s">
        <v>287</v>
      </c>
      <c r="D62" s="120" t="s">
        <v>215</v>
      </c>
      <c r="E62" s="120" t="s">
        <v>188</v>
      </c>
      <c r="F62" s="120" t="s">
        <v>42</v>
      </c>
      <c r="G62" s="17" t="s">
        <v>516</v>
      </c>
      <c r="H62" s="17"/>
      <c r="I62" s="17"/>
      <c r="J62" s="120" t="s">
        <v>517</v>
      </c>
      <c r="K62" s="150" t="s">
        <v>996</v>
      </c>
      <c r="L62" s="150" t="s">
        <v>997</v>
      </c>
      <c r="M62" s="137" t="s">
        <v>998</v>
      </c>
      <c r="N62" s="152" t="s">
        <v>27</v>
      </c>
      <c r="O62" s="158"/>
      <c r="P62" s="158"/>
      <c r="Q62" s="178" t="s">
        <v>640</v>
      </c>
      <c r="R62" s="154"/>
      <c r="S62" s="179"/>
    </row>
    <row r="63" customHeight="1" spans="1:19">
      <c r="A63" s="17"/>
      <c r="B63" s="119" t="s">
        <v>999</v>
      </c>
      <c r="C63" s="120" t="s">
        <v>287</v>
      </c>
      <c r="D63" s="120" t="s">
        <v>215</v>
      </c>
      <c r="E63" s="120" t="s">
        <v>188</v>
      </c>
      <c r="F63" s="120" t="s">
        <v>42</v>
      </c>
      <c r="G63" s="17" t="s">
        <v>519</v>
      </c>
      <c r="H63" s="17"/>
      <c r="I63" s="17"/>
      <c r="J63" s="120" t="s">
        <v>517</v>
      </c>
      <c r="K63" s="120">
        <v>530</v>
      </c>
      <c r="L63" s="120">
        <v>480</v>
      </c>
      <c r="M63" s="17"/>
      <c r="N63" s="120"/>
      <c r="O63" s="158"/>
      <c r="P63" s="158"/>
      <c r="Q63" s="178" t="s">
        <v>653</v>
      </c>
      <c r="R63" s="154"/>
      <c r="S63" s="179"/>
    </row>
    <row r="64" customHeight="1" spans="1:19">
      <c r="A64" s="118" t="s">
        <v>521</v>
      </c>
      <c r="B64" s="119" t="s">
        <v>1001</v>
      </c>
      <c r="C64" s="120" t="s">
        <v>287</v>
      </c>
      <c r="D64" s="120" t="s">
        <v>215</v>
      </c>
      <c r="E64" s="120" t="s">
        <v>188</v>
      </c>
      <c r="F64" s="120" t="s">
        <v>42</v>
      </c>
      <c r="G64" s="17" t="s">
        <v>522</v>
      </c>
      <c r="H64" s="137" t="s">
        <v>523</v>
      </c>
      <c r="I64" s="17"/>
      <c r="J64" s="120" t="s">
        <v>52</v>
      </c>
      <c r="K64" s="150" t="s">
        <v>936</v>
      </c>
      <c r="L64" s="150" t="s">
        <v>1002</v>
      </c>
      <c r="M64" s="17" t="s">
        <v>1003</v>
      </c>
      <c r="N64" s="152" t="s">
        <v>27</v>
      </c>
      <c r="O64" s="158"/>
      <c r="P64" s="158"/>
      <c r="Q64" s="178" t="s">
        <v>622</v>
      </c>
      <c r="R64" s="181" t="s">
        <v>1119</v>
      </c>
      <c r="S64" s="179"/>
    </row>
    <row r="65" customHeight="1" spans="1:19">
      <c r="A65" s="17"/>
      <c r="B65" s="119" t="s">
        <v>1004</v>
      </c>
      <c r="C65" s="120" t="s">
        <v>287</v>
      </c>
      <c r="D65" s="120" t="s">
        <v>215</v>
      </c>
      <c r="E65" s="120" t="s">
        <v>188</v>
      </c>
      <c r="F65" s="120" t="s">
        <v>42</v>
      </c>
      <c r="G65" s="17" t="s">
        <v>1120</v>
      </c>
      <c r="H65" s="17"/>
      <c r="I65" s="17"/>
      <c r="J65" s="120" t="s">
        <v>52</v>
      </c>
      <c r="K65" s="150" t="s">
        <v>936</v>
      </c>
      <c r="L65" s="150" t="s">
        <v>1002</v>
      </c>
      <c r="M65" s="17"/>
      <c r="N65" s="120"/>
      <c r="O65" s="158"/>
      <c r="P65" s="158"/>
      <c r="Q65" s="178" t="s">
        <v>653</v>
      </c>
      <c r="R65" s="154"/>
      <c r="S65" s="179"/>
    </row>
    <row r="66" customHeight="1" spans="1:19">
      <c r="A66" s="118" t="s">
        <v>529</v>
      </c>
      <c r="B66" s="119" t="s">
        <v>1013</v>
      </c>
      <c r="C66" s="120" t="s">
        <v>287</v>
      </c>
      <c r="D66" s="120" t="s">
        <v>215</v>
      </c>
      <c r="E66" s="120" t="s">
        <v>188</v>
      </c>
      <c r="F66" s="120" t="s">
        <v>42</v>
      </c>
      <c r="G66" s="17" t="s">
        <v>530</v>
      </c>
      <c r="H66" s="17" t="s">
        <v>1121</v>
      </c>
      <c r="I66" s="17"/>
      <c r="J66" s="120" t="s">
        <v>532</v>
      </c>
      <c r="K66" s="150" t="s">
        <v>933</v>
      </c>
      <c r="L66" s="150" t="s">
        <v>1015</v>
      </c>
      <c r="M66" s="17" t="s">
        <v>533</v>
      </c>
      <c r="N66" s="152" t="s">
        <v>27</v>
      </c>
      <c r="O66" s="161"/>
      <c r="P66" s="161"/>
      <c r="Q66" s="180" t="s">
        <v>622</v>
      </c>
      <c r="R66" s="154"/>
      <c r="S66" s="179"/>
    </row>
    <row r="67" customHeight="1" spans="1:19">
      <c r="A67" s="121"/>
      <c r="B67" s="119" t="s">
        <v>1016</v>
      </c>
      <c r="C67" s="120" t="s">
        <v>287</v>
      </c>
      <c r="D67" s="120" t="s">
        <v>215</v>
      </c>
      <c r="E67" s="120" t="s">
        <v>188</v>
      </c>
      <c r="F67" s="120" t="s">
        <v>42</v>
      </c>
      <c r="G67" s="161" t="s">
        <v>548</v>
      </c>
      <c r="H67" s="123"/>
      <c r="I67" s="17"/>
      <c r="J67" s="120" t="s">
        <v>532</v>
      </c>
      <c r="K67" s="150" t="s">
        <v>933</v>
      </c>
      <c r="L67" s="150" t="s">
        <v>1015</v>
      </c>
      <c r="M67" s="17"/>
      <c r="N67" s="155"/>
      <c r="O67" s="154"/>
      <c r="P67" s="154"/>
      <c r="Q67" s="178" t="s">
        <v>653</v>
      </c>
      <c r="R67" s="154"/>
      <c r="S67" s="179"/>
    </row>
    <row r="68" customHeight="1" spans="1:19">
      <c r="A68" s="118" t="s">
        <v>554</v>
      </c>
      <c r="B68" s="119" t="s">
        <v>1025</v>
      </c>
      <c r="C68" s="120" t="s">
        <v>287</v>
      </c>
      <c r="D68" s="120" t="s">
        <v>215</v>
      </c>
      <c r="E68" s="120" t="s">
        <v>188</v>
      </c>
      <c r="F68" s="120" t="s">
        <v>42</v>
      </c>
      <c r="G68" s="17" t="s">
        <v>555</v>
      </c>
      <c r="H68" s="17" t="s">
        <v>556</v>
      </c>
      <c r="I68" s="17"/>
      <c r="J68" s="120" t="s">
        <v>52</v>
      </c>
      <c r="K68" s="150" t="s">
        <v>912</v>
      </c>
      <c r="L68" s="150" t="s">
        <v>1026</v>
      </c>
      <c r="M68" s="137" t="s">
        <v>1122</v>
      </c>
      <c r="N68" s="152" t="s">
        <v>27</v>
      </c>
      <c r="O68" s="154"/>
      <c r="P68" s="154"/>
      <c r="Q68" s="178" t="s">
        <v>622</v>
      </c>
      <c r="R68" s="154"/>
      <c r="S68" s="179"/>
    </row>
    <row r="69" customHeight="1" spans="1:19">
      <c r="A69" s="121"/>
      <c r="B69" s="119" t="s">
        <v>1028</v>
      </c>
      <c r="C69" s="120" t="s">
        <v>287</v>
      </c>
      <c r="D69" s="120" t="s">
        <v>215</v>
      </c>
      <c r="E69" s="120" t="s">
        <v>188</v>
      </c>
      <c r="F69" s="120" t="s">
        <v>42</v>
      </c>
      <c r="G69" s="161" t="s">
        <v>1123</v>
      </c>
      <c r="H69" s="190"/>
      <c r="I69" s="17"/>
      <c r="J69" s="120" t="s">
        <v>52</v>
      </c>
      <c r="K69" s="150" t="s">
        <v>912</v>
      </c>
      <c r="L69" s="150" t="s">
        <v>1026</v>
      </c>
      <c r="M69" s="17"/>
      <c r="N69" s="155"/>
      <c r="O69" s="154"/>
      <c r="P69" s="154"/>
      <c r="Q69" s="178" t="s">
        <v>653</v>
      </c>
      <c r="R69" s="154"/>
      <c r="S69" s="179"/>
    </row>
    <row r="70" customHeight="1" spans="1:19">
      <c r="A70" s="118" t="s">
        <v>577</v>
      </c>
      <c r="B70" s="17" t="s">
        <v>1042</v>
      </c>
      <c r="C70" s="120" t="s">
        <v>287</v>
      </c>
      <c r="D70" s="120" t="s">
        <v>215</v>
      </c>
      <c r="E70" s="120" t="s">
        <v>188</v>
      </c>
      <c r="F70" s="120" t="s">
        <v>42</v>
      </c>
      <c r="G70" s="17" t="s">
        <v>578</v>
      </c>
      <c r="H70" s="17" t="s">
        <v>1124</v>
      </c>
      <c r="I70" s="17" t="s">
        <v>579</v>
      </c>
      <c r="J70" s="120" t="s">
        <v>517</v>
      </c>
      <c r="K70" s="120" t="s">
        <v>920</v>
      </c>
      <c r="L70" s="120" t="s">
        <v>921</v>
      </c>
      <c r="M70" s="17" t="s">
        <v>1125</v>
      </c>
      <c r="N70" s="120" t="s">
        <v>27</v>
      </c>
      <c r="O70" s="158"/>
      <c r="P70" s="158"/>
      <c r="Q70" s="178" t="s">
        <v>622</v>
      </c>
      <c r="R70" s="154"/>
      <c r="S70" s="179"/>
    </row>
    <row r="71" customHeight="1" spans="1:19">
      <c r="A71" s="17"/>
      <c r="B71" s="17" t="s">
        <v>1126</v>
      </c>
      <c r="C71" s="120" t="s">
        <v>287</v>
      </c>
      <c r="D71" s="120" t="s">
        <v>215</v>
      </c>
      <c r="E71" s="120" t="s">
        <v>188</v>
      </c>
      <c r="F71" s="120" t="s">
        <v>42</v>
      </c>
      <c r="G71" s="17" t="s">
        <v>1127</v>
      </c>
      <c r="H71" s="17"/>
      <c r="I71" s="17"/>
      <c r="J71" s="120" t="s">
        <v>517</v>
      </c>
      <c r="K71" s="120" t="s">
        <v>920</v>
      </c>
      <c r="L71" s="120" t="s">
        <v>921</v>
      </c>
      <c r="M71" s="17"/>
      <c r="N71" s="120"/>
      <c r="O71" s="158"/>
      <c r="P71" s="158"/>
      <c r="Q71" s="178" t="s">
        <v>653</v>
      </c>
      <c r="R71" s="154"/>
      <c r="S71" s="179"/>
    </row>
    <row r="72" customHeight="1" spans="1:19">
      <c r="A72" s="118" t="s">
        <v>605</v>
      </c>
      <c r="B72" s="119" t="s">
        <v>1061</v>
      </c>
      <c r="C72" s="191" t="s">
        <v>287</v>
      </c>
      <c r="D72" s="192" t="s">
        <v>215</v>
      </c>
      <c r="E72" s="191" t="s">
        <v>594</v>
      </c>
      <c r="F72" s="192" t="s">
        <v>595</v>
      </c>
      <c r="G72" s="17" t="s">
        <v>606</v>
      </c>
      <c r="H72" s="17"/>
      <c r="I72" s="17"/>
      <c r="J72" s="120" t="s">
        <v>52</v>
      </c>
      <c r="K72" s="159">
        <v>600</v>
      </c>
      <c r="L72" s="159">
        <v>600</v>
      </c>
      <c r="M72" s="137" t="s">
        <v>1128</v>
      </c>
      <c r="N72" s="152" t="s">
        <v>27</v>
      </c>
      <c r="O72" s="158"/>
      <c r="P72" s="158"/>
      <c r="Q72" s="178" t="s">
        <v>640</v>
      </c>
      <c r="R72" s="154"/>
      <c r="S72" s="179"/>
    </row>
    <row r="73" customHeight="1" spans="1:19">
      <c r="A73" s="118"/>
      <c r="B73" s="119"/>
      <c r="C73" s="191" t="s">
        <v>287</v>
      </c>
      <c r="D73" s="192" t="s">
        <v>215</v>
      </c>
      <c r="E73" s="191" t="s">
        <v>594</v>
      </c>
      <c r="F73" s="192" t="s">
        <v>595</v>
      </c>
      <c r="G73" s="17" t="s">
        <v>608</v>
      </c>
      <c r="H73" s="17"/>
      <c r="I73" s="17"/>
      <c r="J73" s="120" t="s">
        <v>52</v>
      </c>
      <c r="K73" s="159">
        <v>400</v>
      </c>
      <c r="L73" s="159">
        <v>400</v>
      </c>
      <c r="M73" s="137"/>
      <c r="N73" s="152"/>
      <c r="O73" s="158"/>
      <c r="P73" s="158"/>
      <c r="Q73" s="178"/>
      <c r="R73" s="154"/>
      <c r="S73" s="179"/>
    </row>
    <row r="74" customHeight="1" spans="1:19">
      <c r="A74" s="118" t="s">
        <v>1129</v>
      </c>
      <c r="B74" s="17" t="s">
        <v>1130</v>
      </c>
      <c r="C74" s="120" t="s">
        <v>63</v>
      </c>
      <c r="D74" s="120" t="s">
        <v>64</v>
      </c>
      <c r="E74" s="17" t="s">
        <v>65</v>
      </c>
      <c r="F74" s="17" t="s">
        <v>66</v>
      </c>
      <c r="G74" s="137" t="s">
        <v>654</v>
      </c>
      <c r="H74" s="137" t="s">
        <v>655</v>
      </c>
      <c r="I74" s="17" t="s">
        <v>84</v>
      </c>
      <c r="J74" s="120" t="s">
        <v>69</v>
      </c>
      <c r="K74" s="120" t="s">
        <v>656</v>
      </c>
      <c r="L74" s="120" t="s">
        <v>657</v>
      </c>
      <c r="M74" s="17" t="s">
        <v>658</v>
      </c>
      <c r="N74" s="195"/>
      <c r="O74" s="195"/>
      <c r="P74" s="196"/>
      <c r="Q74" s="179"/>
      <c r="R74" s="181" t="s">
        <v>1131</v>
      </c>
      <c r="S74" s="179"/>
    </row>
    <row r="75" customHeight="1" spans="1:19">
      <c r="A75" s="118" t="s">
        <v>1132</v>
      </c>
      <c r="B75" s="17" t="s">
        <v>1133</v>
      </c>
      <c r="C75" s="120" t="s">
        <v>63</v>
      </c>
      <c r="D75" s="120" t="s">
        <v>64</v>
      </c>
      <c r="E75" s="17" t="s">
        <v>65</v>
      </c>
      <c r="F75" s="17" t="s">
        <v>66</v>
      </c>
      <c r="G75" s="137" t="s">
        <v>659</v>
      </c>
      <c r="H75" s="137" t="s">
        <v>655</v>
      </c>
      <c r="I75" s="17" t="s">
        <v>84</v>
      </c>
      <c r="J75" s="120" t="s">
        <v>52</v>
      </c>
      <c r="K75" s="120" t="s">
        <v>660</v>
      </c>
      <c r="L75" s="120" t="s">
        <v>661</v>
      </c>
      <c r="M75" s="17" t="s">
        <v>662</v>
      </c>
      <c r="N75" s="195"/>
      <c r="O75" s="195"/>
      <c r="P75" s="196"/>
      <c r="Q75" s="179"/>
      <c r="R75" s="181" t="s">
        <v>1131</v>
      </c>
      <c r="S75" s="179"/>
    </row>
    <row r="76" customHeight="1" spans="1:19">
      <c r="A76" s="118" t="s">
        <v>1134</v>
      </c>
      <c r="B76" s="17" t="s">
        <v>1135</v>
      </c>
      <c r="C76" s="120" t="s">
        <v>63</v>
      </c>
      <c r="D76" s="120" t="s">
        <v>64</v>
      </c>
      <c r="E76" s="17" t="s">
        <v>65</v>
      </c>
      <c r="F76" s="17" t="s">
        <v>66</v>
      </c>
      <c r="G76" s="137" t="s">
        <v>663</v>
      </c>
      <c r="H76" s="137" t="s">
        <v>655</v>
      </c>
      <c r="I76" s="17" t="s">
        <v>84</v>
      </c>
      <c r="J76" s="120" t="s">
        <v>52</v>
      </c>
      <c r="K76" s="120" t="s">
        <v>664</v>
      </c>
      <c r="L76" s="120" t="s">
        <v>665</v>
      </c>
      <c r="M76" s="17" t="s">
        <v>666</v>
      </c>
      <c r="N76" s="195"/>
      <c r="O76" s="195"/>
      <c r="P76" s="196"/>
      <c r="Q76" s="179"/>
      <c r="R76" s="181" t="s">
        <v>1131</v>
      </c>
      <c r="S76" s="179"/>
    </row>
    <row r="77" customHeight="1" spans="1:19">
      <c r="A77" s="141" t="s">
        <v>560</v>
      </c>
      <c r="B77" s="141" t="s">
        <v>1029</v>
      </c>
      <c r="C77" s="120" t="s">
        <v>287</v>
      </c>
      <c r="D77" s="120" t="s">
        <v>215</v>
      </c>
      <c r="E77" s="120" t="s">
        <v>188</v>
      </c>
      <c r="F77" s="120" t="s">
        <v>42</v>
      </c>
      <c r="G77" s="193" t="s">
        <v>561</v>
      </c>
      <c r="H77" s="193" t="s">
        <v>1136</v>
      </c>
      <c r="I77" s="193"/>
      <c r="J77" s="197" t="s">
        <v>52</v>
      </c>
      <c r="K77" s="198" t="s">
        <v>1031</v>
      </c>
      <c r="L77" s="198" t="s">
        <v>1032</v>
      </c>
      <c r="M77" s="193"/>
      <c r="N77" s="195" t="s">
        <v>27</v>
      </c>
      <c r="O77" s="195"/>
      <c r="P77" s="196"/>
      <c r="Q77" s="143" t="s">
        <v>563</v>
      </c>
      <c r="R77" s="154"/>
      <c r="S77" s="179"/>
    </row>
    <row r="78" customHeight="1" spans="1:19">
      <c r="A78" s="141" t="s">
        <v>217</v>
      </c>
      <c r="B78" s="194" t="s">
        <v>766</v>
      </c>
      <c r="C78" s="142" t="s">
        <v>35</v>
      </c>
      <c r="D78" s="142" t="s">
        <v>36</v>
      </c>
      <c r="E78" s="142" t="s">
        <v>198</v>
      </c>
      <c r="F78" s="142" t="s">
        <v>36</v>
      </c>
      <c r="G78" s="193" t="s">
        <v>218</v>
      </c>
      <c r="H78" s="193" t="s">
        <v>1137</v>
      </c>
      <c r="I78" s="193"/>
      <c r="J78" s="197" t="s">
        <v>52</v>
      </c>
      <c r="K78" s="198" t="s">
        <v>767</v>
      </c>
      <c r="L78" s="198" t="s">
        <v>768</v>
      </c>
      <c r="M78" s="193"/>
      <c r="N78" s="195" t="s">
        <v>27</v>
      </c>
      <c r="O78" s="195"/>
      <c r="P78" s="196"/>
      <c r="Q78" s="178"/>
      <c r="R78" s="154"/>
      <c r="S78" s="179"/>
    </row>
  </sheetData>
  <sheetProtection formatCells="0" insertHyperlinks="0" autoFilter="0"/>
  <mergeCells count="2">
    <mergeCell ref="A2:P2"/>
    <mergeCell ref="O3:P3"/>
  </mergeCells>
  <pageMargins left="0.354166666666667" right="0.118055555555556" top="0.550694444444444" bottom="0.393055555555556" header="0.298611111111111" footer="0.298611111111111"/>
  <pageSetup paperSize="9" scale="75"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6"/>
  <sheetViews>
    <sheetView workbookViewId="0">
      <selection activeCell="G17" sqref="G17"/>
    </sheetView>
  </sheetViews>
  <sheetFormatPr defaultColWidth="9" defaultRowHeight="25.05" customHeight="1"/>
  <cols>
    <col min="1" max="1" width="9" style="49"/>
    <col min="2" max="2" width="14.5" style="49" customWidth="1"/>
    <col min="3" max="3" width="19.4" style="49" customWidth="1"/>
    <col min="4" max="7" width="9" style="49"/>
    <col min="8" max="8" width="35.8" style="49" customWidth="1"/>
    <col min="9" max="16384" width="9" style="49"/>
  </cols>
  <sheetData>
    <row r="1" customHeight="1" spans="1:17">
      <c r="A1" s="50" t="s">
        <v>1138</v>
      </c>
      <c r="B1" s="51" t="s">
        <v>3</v>
      </c>
      <c r="C1" s="52" t="s">
        <v>4</v>
      </c>
      <c r="D1" s="52" t="s">
        <v>5</v>
      </c>
      <c r="E1" s="53" t="s">
        <v>6</v>
      </c>
      <c r="F1" s="53" t="s">
        <v>7</v>
      </c>
      <c r="G1" s="53" t="s">
        <v>8</v>
      </c>
      <c r="H1" s="54" t="s">
        <v>9</v>
      </c>
      <c r="I1" s="54" t="s">
        <v>10</v>
      </c>
      <c r="J1" s="54" t="s">
        <v>11</v>
      </c>
      <c r="K1" s="54" t="s">
        <v>12</v>
      </c>
      <c r="L1" s="72" t="s">
        <v>615</v>
      </c>
      <c r="M1" s="73" t="s">
        <v>616</v>
      </c>
      <c r="N1" s="54" t="s">
        <v>15</v>
      </c>
      <c r="O1" s="52" t="s">
        <v>16</v>
      </c>
      <c r="P1" s="52" t="s">
        <v>617</v>
      </c>
      <c r="Q1" s="52" t="s">
        <v>18</v>
      </c>
    </row>
    <row r="2" customHeight="1" spans="1:17">
      <c r="A2" s="55">
        <v>1</v>
      </c>
      <c r="B2" s="56" t="s">
        <v>670</v>
      </c>
      <c r="C2" s="57" t="s">
        <v>671</v>
      </c>
      <c r="D2" s="15" t="s">
        <v>20</v>
      </c>
      <c r="E2" s="15" t="s">
        <v>21</v>
      </c>
      <c r="F2" s="15" t="s">
        <v>22</v>
      </c>
      <c r="G2" s="15" t="s">
        <v>21</v>
      </c>
      <c r="H2" s="54" t="s">
        <v>95</v>
      </c>
      <c r="I2" s="55" t="s">
        <v>96</v>
      </c>
      <c r="J2" s="74"/>
      <c r="K2" s="15" t="s">
        <v>25</v>
      </c>
      <c r="L2" s="75">
        <v>50</v>
      </c>
      <c r="M2" s="75">
        <v>40</v>
      </c>
      <c r="N2" s="15" t="s">
        <v>1139</v>
      </c>
      <c r="O2" s="76" t="s">
        <v>27</v>
      </c>
      <c r="P2" s="77"/>
      <c r="Q2" s="76"/>
    </row>
    <row r="3" customHeight="1" spans="1:17">
      <c r="A3" s="55">
        <v>2</v>
      </c>
      <c r="B3" s="56"/>
      <c r="C3" s="57" t="s">
        <v>673</v>
      </c>
      <c r="D3" s="15" t="s">
        <v>20</v>
      </c>
      <c r="E3" s="15" t="s">
        <v>21</v>
      </c>
      <c r="F3" s="15" t="s">
        <v>22</v>
      </c>
      <c r="G3" s="15" t="s">
        <v>21</v>
      </c>
      <c r="H3" s="58" t="s">
        <v>98</v>
      </c>
      <c r="I3" s="66"/>
      <c r="J3" s="74"/>
      <c r="K3" s="15" t="s">
        <v>25</v>
      </c>
      <c r="L3" s="75">
        <v>50</v>
      </c>
      <c r="M3" s="75">
        <v>40</v>
      </c>
      <c r="N3" s="78"/>
      <c r="O3" s="76"/>
      <c r="P3" s="77"/>
      <c r="Q3" s="76"/>
    </row>
    <row r="4" customHeight="1" spans="1:17">
      <c r="A4" s="55">
        <v>3</v>
      </c>
      <c r="B4" s="56"/>
      <c r="C4" s="59" t="s">
        <v>683</v>
      </c>
      <c r="D4" s="15" t="s">
        <v>20</v>
      </c>
      <c r="E4" s="15" t="s">
        <v>21</v>
      </c>
      <c r="F4" s="15" t="s">
        <v>22</v>
      </c>
      <c r="G4" s="15" t="s">
        <v>21</v>
      </c>
      <c r="H4" s="54" t="s">
        <v>112</v>
      </c>
      <c r="I4" s="55" t="s">
        <v>113</v>
      </c>
      <c r="J4" s="15"/>
      <c r="K4" s="75" t="s">
        <v>52</v>
      </c>
      <c r="L4" s="75">
        <v>150</v>
      </c>
      <c r="M4" s="75">
        <v>120</v>
      </c>
      <c r="N4" s="73" t="s">
        <v>1140</v>
      </c>
      <c r="O4" s="55" t="s">
        <v>27</v>
      </c>
      <c r="P4" s="55"/>
      <c r="Q4" s="55"/>
    </row>
    <row r="5" customHeight="1" spans="1:17">
      <c r="A5" s="55"/>
      <c r="B5" s="60" t="s">
        <v>698</v>
      </c>
      <c r="C5" s="61" t="s">
        <v>699</v>
      </c>
      <c r="D5" s="15" t="s">
        <v>20</v>
      </c>
      <c r="E5" s="15" t="s">
        <v>21</v>
      </c>
      <c r="F5" s="15" t="s">
        <v>22</v>
      </c>
      <c r="G5" s="15" t="s">
        <v>21</v>
      </c>
      <c r="H5" s="15" t="s">
        <v>700</v>
      </c>
      <c r="I5" s="15"/>
      <c r="J5" s="15"/>
      <c r="K5" s="63" t="s">
        <v>25</v>
      </c>
      <c r="L5" s="79">
        <v>65</v>
      </c>
      <c r="M5" s="79">
        <v>59</v>
      </c>
      <c r="N5" s="54" t="s">
        <v>701</v>
      </c>
      <c r="O5" s="9" t="s">
        <v>27</v>
      </c>
      <c r="P5" s="77"/>
      <c r="Q5" s="76"/>
    </row>
    <row r="6" customHeight="1" spans="1:17">
      <c r="A6" s="55"/>
      <c r="B6" s="56"/>
      <c r="C6" s="62" t="s">
        <v>702</v>
      </c>
      <c r="D6" s="63" t="s">
        <v>20</v>
      </c>
      <c r="E6" s="63" t="s">
        <v>21</v>
      </c>
      <c r="F6" s="63" t="s">
        <v>22</v>
      </c>
      <c r="G6" s="15" t="s">
        <v>21</v>
      </c>
      <c r="H6" s="64" t="s">
        <v>110</v>
      </c>
      <c r="I6" s="55" t="s">
        <v>703</v>
      </c>
      <c r="J6" s="15"/>
      <c r="K6" s="15" t="s">
        <v>25</v>
      </c>
      <c r="L6" s="75">
        <v>140</v>
      </c>
      <c r="M6" s="75">
        <v>126</v>
      </c>
      <c r="N6" s="80"/>
      <c r="O6" s="55" t="s">
        <v>27</v>
      </c>
      <c r="P6" s="77"/>
      <c r="Q6" s="76"/>
    </row>
    <row r="7" customHeight="1" spans="1:17">
      <c r="A7" s="55">
        <v>7</v>
      </c>
      <c r="B7" s="56"/>
      <c r="C7" s="62" t="s">
        <v>691</v>
      </c>
      <c r="D7" s="15" t="s">
        <v>20</v>
      </c>
      <c r="E7" s="15" t="s">
        <v>21</v>
      </c>
      <c r="F7" s="15" t="s">
        <v>22</v>
      </c>
      <c r="G7" s="15" t="s">
        <v>21</v>
      </c>
      <c r="H7" s="15" t="s">
        <v>1141</v>
      </c>
      <c r="I7" s="15" t="s">
        <v>125</v>
      </c>
      <c r="J7" s="15"/>
      <c r="K7" s="15" t="s">
        <v>25</v>
      </c>
      <c r="L7" s="75" t="s">
        <v>693</v>
      </c>
      <c r="M7" s="75" t="s">
        <v>694</v>
      </c>
      <c r="N7" s="15" t="s">
        <v>126</v>
      </c>
      <c r="O7" s="76"/>
      <c r="P7" s="77"/>
      <c r="Q7" s="76"/>
    </row>
    <row r="8" customHeight="1" spans="1:17">
      <c r="A8" s="55">
        <v>8</v>
      </c>
      <c r="B8" s="56"/>
      <c r="C8" s="62" t="s">
        <v>695</v>
      </c>
      <c r="D8" s="15" t="s">
        <v>20</v>
      </c>
      <c r="E8" s="15" t="s">
        <v>21</v>
      </c>
      <c r="F8" s="15" t="s">
        <v>22</v>
      </c>
      <c r="G8" s="15" t="s">
        <v>21</v>
      </c>
      <c r="H8" s="15" t="s">
        <v>1142</v>
      </c>
      <c r="I8" s="15"/>
      <c r="J8" s="15"/>
      <c r="K8" s="15" t="s">
        <v>25</v>
      </c>
      <c r="L8" s="75" t="s">
        <v>697</v>
      </c>
      <c r="M8" s="75" t="s">
        <v>697</v>
      </c>
      <c r="N8" s="15"/>
      <c r="O8" s="76"/>
      <c r="P8" s="76"/>
      <c r="Q8" s="76"/>
    </row>
    <row r="9" customHeight="1" spans="1:17">
      <c r="A9" s="55">
        <v>9</v>
      </c>
      <c r="B9" s="56"/>
      <c r="C9" s="59" t="s">
        <v>704</v>
      </c>
      <c r="D9" s="15" t="s">
        <v>20</v>
      </c>
      <c r="E9" s="15" t="s">
        <v>21</v>
      </c>
      <c r="F9" s="15" t="s">
        <v>22</v>
      </c>
      <c r="G9" s="15" t="s">
        <v>21</v>
      </c>
      <c r="H9" s="54" t="s">
        <v>118</v>
      </c>
      <c r="I9" s="55" t="s">
        <v>686</v>
      </c>
      <c r="J9" s="15"/>
      <c r="K9" s="15" t="s">
        <v>687</v>
      </c>
      <c r="L9" s="55">
        <v>30</v>
      </c>
      <c r="M9" s="75">
        <v>27</v>
      </c>
      <c r="N9" s="54" t="s">
        <v>705</v>
      </c>
      <c r="O9" s="76" t="s">
        <v>27</v>
      </c>
      <c r="P9" s="76"/>
      <c r="Q9" s="76"/>
    </row>
    <row r="10" customHeight="1" spans="1:17">
      <c r="A10" s="55">
        <v>10</v>
      </c>
      <c r="B10" s="56"/>
      <c r="C10" s="59" t="s">
        <v>685</v>
      </c>
      <c r="D10" s="15" t="s">
        <v>20</v>
      </c>
      <c r="E10" s="15" t="s">
        <v>21</v>
      </c>
      <c r="F10" s="15" t="s">
        <v>22</v>
      </c>
      <c r="G10" s="15" t="s">
        <v>21</v>
      </c>
      <c r="H10" s="54" t="s">
        <v>120</v>
      </c>
      <c r="I10" s="55" t="s">
        <v>686</v>
      </c>
      <c r="J10" s="15"/>
      <c r="K10" s="15" t="s">
        <v>687</v>
      </c>
      <c r="L10" s="55">
        <v>30</v>
      </c>
      <c r="M10" s="75">
        <v>27</v>
      </c>
      <c r="N10" s="81"/>
      <c r="O10" s="82" t="s">
        <v>27</v>
      </c>
      <c r="P10" s="82"/>
      <c r="Q10" s="82"/>
    </row>
    <row r="11" customHeight="1" spans="1:17">
      <c r="A11" s="55">
        <v>11</v>
      </c>
      <c r="B11" s="56" t="s">
        <v>88</v>
      </c>
      <c r="C11" s="55" t="s">
        <v>667</v>
      </c>
      <c r="D11" s="55" t="s">
        <v>20</v>
      </c>
      <c r="E11" s="65" t="s">
        <v>21</v>
      </c>
      <c r="F11" s="55" t="s">
        <v>22</v>
      </c>
      <c r="G11" s="65" t="s">
        <v>21</v>
      </c>
      <c r="H11" s="55" t="s">
        <v>89</v>
      </c>
      <c r="I11" s="55" t="s">
        <v>90</v>
      </c>
      <c r="J11" s="55"/>
      <c r="K11" s="55" t="s">
        <v>25</v>
      </c>
      <c r="L11" s="55" t="s">
        <v>668</v>
      </c>
      <c r="M11" s="55"/>
      <c r="N11" s="50" t="s">
        <v>669</v>
      </c>
      <c r="O11" s="55" t="s">
        <v>27</v>
      </c>
      <c r="P11" s="55"/>
      <c r="Q11" s="82"/>
    </row>
    <row r="12" customHeight="1" spans="1:17">
      <c r="A12" s="55">
        <v>12</v>
      </c>
      <c r="B12" s="56"/>
      <c r="C12" s="55">
        <v>25010102301</v>
      </c>
      <c r="D12" s="55" t="s">
        <v>20</v>
      </c>
      <c r="E12" s="65" t="s">
        <v>21</v>
      </c>
      <c r="F12" s="55" t="s">
        <v>22</v>
      </c>
      <c r="G12" s="65" t="s">
        <v>21</v>
      </c>
      <c r="H12" s="55" t="s">
        <v>92</v>
      </c>
      <c r="I12" s="55"/>
      <c r="J12" s="55"/>
      <c r="K12" s="55" t="s">
        <v>52</v>
      </c>
      <c r="L12" s="55">
        <v>10</v>
      </c>
      <c r="M12" s="55"/>
      <c r="N12" s="55"/>
      <c r="O12" s="55"/>
      <c r="P12" s="55"/>
      <c r="Q12" s="82"/>
    </row>
    <row r="13" customHeight="1" spans="1:17">
      <c r="A13" s="55">
        <v>13</v>
      </c>
      <c r="B13" s="56" t="s">
        <v>99</v>
      </c>
      <c r="C13" s="57" t="s">
        <v>674</v>
      </c>
      <c r="D13" s="15" t="s">
        <v>20</v>
      </c>
      <c r="E13" s="15" t="s">
        <v>21</v>
      </c>
      <c r="F13" s="15" t="s">
        <v>22</v>
      </c>
      <c r="G13" s="15" t="s">
        <v>21</v>
      </c>
      <c r="H13" s="15" t="s">
        <v>100</v>
      </c>
      <c r="I13" s="15" t="s">
        <v>1143</v>
      </c>
      <c r="J13" s="15"/>
      <c r="K13" s="15" t="s">
        <v>25</v>
      </c>
      <c r="L13" s="75" t="s">
        <v>676</v>
      </c>
      <c r="M13" s="75" t="s">
        <v>677</v>
      </c>
      <c r="N13" s="54" t="s">
        <v>1144</v>
      </c>
      <c r="O13" s="55" t="s">
        <v>27</v>
      </c>
      <c r="P13" s="83"/>
      <c r="Q13" s="83"/>
    </row>
    <row r="14" customHeight="1" spans="1:17">
      <c r="A14" s="55">
        <v>14</v>
      </c>
      <c r="B14" s="56"/>
      <c r="C14" s="59" t="s">
        <v>688</v>
      </c>
      <c r="D14" s="15" t="s">
        <v>20</v>
      </c>
      <c r="E14" s="15" t="s">
        <v>21</v>
      </c>
      <c r="F14" s="15" t="s">
        <v>22</v>
      </c>
      <c r="G14" s="15" t="s">
        <v>21</v>
      </c>
      <c r="H14" s="54" t="s">
        <v>122</v>
      </c>
      <c r="I14" s="15" t="s">
        <v>1145</v>
      </c>
      <c r="J14" s="15"/>
      <c r="K14" s="15" t="s">
        <v>25</v>
      </c>
      <c r="L14" s="73">
        <v>35</v>
      </c>
      <c r="M14" s="73">
        <v>32</v>
      </c>
      <c r="N14" s="15" t="s">
        <v>690</v>
      </c>
      <c r="O14" s="55" t="s">
        <v>27</v>
      </c>
      <c r="P14" s="83"/>
      <c r="Q14" s="83"/>
    </row>
    <row r="15" customHeight="1" spans="1:17">
      <c r="A15" s="55">
        <v>18</v>
      </c>
      <c r="B15" s="56" t="s">
        <v>158</v>
      </c>
      <c r="C15" s="57" t="s">
        <v>727</v>
      </c>
      <c r="D15" s="15" t="s">
        <v>63</v>
      </c>
      <c r="E15" s="15" t="s">
        <v>64</v>
      </c>
      <c r="F15" s="15" t="s">
        <v>151</v>
      </c>
      <c r="G15" s="15" t="s">
        <v>64</v>
      </c>
      <c r="H15" s="54" t="s">
        <v>728</v>
      </c>
      <c r="I15" s="84" t="s">
        <v>729</v>
      </c>
      <c r="J15" s="15"/>
      <c r="K15" s="15" t="s">
        <v>25</v>
      </c>
      <c r="L15" s="73">
        <v>350</v>
      </c>
      <c r="M15" s="15"/>
      <c r="N15" s="54" t="s">
        <v>730</v>
      </c>
      <c r="O15" s="55"/>
      <c r="P15" s="55"/>
      <c r="Q15" s="55"/>
    </row>
    <row r="16" customHeight="1" spans="1:17">
      <c r="A16" s="55">
        <v>19</v>
      </c>
      <c r="B16" s="56"/>
      <c r="C16" s="57"/>
      <c r="D16" s="15" t="s">
        <v>63</v>
      </c>
      <c r="E16" s="15" t="s">
        <v>64</v>
      </c>
      <c r="F16" s="15" t="s">
        <v>151</v>
      </c>
      <c r="G16" s="15" t="s">
        <v>64</v>
      </c>
      <c r="H16" s="54" t="s">
        <v>732</v>
      </c>
      <c r="I16" s="84"/>
      <c r="J16" s="15"/>
      <c r="K16" s="54" t="s">
        <v>52</v>
      </c>
      <c r="L16" s="73">
        <v>1800</v>
      </c>
      <c r="M16" s="15"/>
      <c r="N16" s="15"/>
      <c r="O16" s="55"/>
      <c r="P16" s="55"/>
      <c r="Q16" s="55"/>
    </row>
    <row r="17" customHeight="1" spans="1:17">
      <c r="A17" s="55">
        <v>21</v>
      </c>
      <c r="B17" s="56" t="s">
        <v>180</v>
      </c>
      <c r="C17" s="59" t="s">
        <v>733</v>
      </c>
      <c r="D17" s="66" t="s">
        <v>63</v>
      </c>
      <c r="E17" s="67" t="s">
        <v>64</v>
      </c>
      <c r="F17" s="66" t="s">
        <v>151</v>
      </c>
      <c r="G17" s="67" t="s">
        <v>64</v>
      </c>
      <c r="H17" s="68" t="s">
        <v>181</v>
      </c>
      <c r="I17" s="85" t="s">
        <v>734</v>
      </c>
      <c r="J17" s="15"/>
      <c r="K17" s="85" t="s">
        <v>25</v>
      </c>
      <c r="L17" s="86">
        <v>1200</v>
      </c>
      <c r="M17" s="86">
        <v>1080</v>
      </c>
      <c r="N17" s="87" t="s">
        <v>735</v>
      </c>
      <c r="O17" s="55"/>
      <c r="P17" s="55"/>
      <c r="Q17" s="55"/>
    </row>
    <row r="18" ht="58.95" customHeight="1" spans="1:17">
      <c r="A18" s="55">
        <v>22</v>
      </c>
      <c r="B18" s="56" t="s">
        <v>150</v>
      </c>
      <c r="C18" s="57" t="s">
        <v>721</v>
      </c>
      <c r="D18" s="15" t="s">
        <v>63</v>
      </c>
      <c r="E18" s="15" t="s">
        <v>64</v>
      </c>
      <c r="F18" s="15" t="s">
        <v>151</v>
      </c>
      <c r="G18" s="15" t="s">
        <v>64</v>
      </c>
      <c r="H18" s="15" t="s">
        <v>152</v>
      </c>
      <c r="I18" s="15" t="s">
        <v>153</v>
      </c>
      <c r="J18" s="15" t="s">
        <v>125</v>
      </c>
      <c r="K18" s="15" t="s">
        <v>154</v>
      </c>
      <c r="L18" s="75" t="s">
        <v>626</v>
      </c>
      <c r="M18" s="75" t="s">
        <v>722</v>
      </c>
      <c r="N18" s="50" t="s">
        <v>723</v>
      </c>
      <c r="O18" s="55" t="s">
        <v>27</v>
      </c>
      <c r="P18" s="82"/>
      <c r="Q18" s="82"/>
    </row>
    <row r="19" customHeight="1" spans="1:17">
      <c r="A19" s="55">
        <v>23</v>
      </c>
      <c r="B19" s="56" t="s">
        <v>724</v>
      </c>
      <c r="C19" s="57" t="s">
        <v>725</v>
      </c>
      <c r="D19" s="15" t="s">
        <v>63</v>
      </c>
      <c r="E19" s="15" t="s">
        <v>64</v>
      </c>
      <c r="F19" s="15" t="s">
        <v>151</v>
      </c>
      <c r="G19" s="15" t="s">
        <v>64</v>
      </c>
      <c r="H19" s="50" t="s">
        <v>726</v>
      </c>
      <c r="I19" s="50" t="s">
        <v>153</v>
      </c>
      <c r="J19" s="55"/>
      <c r="K19" s="15" t="s">
        <v>52</v>
      </c>
      <c r="L19" s="54">
        <v>640</v>
      </c>
      <c r="M19" s="50">
        <v>576</v>
      </c>
      <c r="N19" s="55"/>
      <c r="O19" s="55" t="s">
        <v>27</v>
      </c>
      <c r="P19" s="55"/>
      <c r="Q19" s="55"/>
    </row>
    <row r="20" customHeight="1" spans="1:17">
      <c r="A20" s="55">
        <v>24</v>
      </c>
      <c r="B20" s="60" t="s">
        <v>128</v>
      </c>
      <c r="C20" s="6" t="s">
        <v>707</v>
      </c>
      <c r="D20" s="15" t="s">
        <v>20</v>
      </c>
      <c r="E20" s="15" t="s">
        <v>21</v>
      </c>
      <c r="F20" s="15" t="s">
        <v>22</v>
      </c>
      <c r="G20" s="8" t="s">
        <v>21</v>
      </c>
      <c r="H20" s="15" t="s">
        <v>129</v>
      </c>
      <c r="I20" s="54" t="s">
        <v>708</v>
      </c>
      <c r="J20" s="88"/>
      <c r="K20" s="8" t="s">
        <v>25</v>
      </c>
      <c r="L20" s="89">
        <v>50</v>
      </c>
      <c r="M20" s="89">
        <v>45</v>
      </c>
      <c r="N20" s="87" t="s">
        <v>709</v>
      </c>
      <c r="O20" s="88"/>
      <c r="P20" s="55"/>
      <c r="Q20" s="55"/>
    </row>
    <row r="21" customHeight="1" spans="1:17">
      <c r="A21" s="55">
        <v>25</v>
      </c>
      <c r="B21" s="60" t="s">
        <v>267</v>
      </c>
      <c r="C21" s="6" t="s">
        <v>814</v>
      </c>
      <c r="D21" s="15" t="s">
        <v>35</v>
      </c>
      <c r="E21" s="15" t="s">
        <v>36</v>
      </c>
      <c r="F21" s="15" t="s">
        <v>198</v>
      </c>
      <c r="G21" s="15" t="s">
        <v>36</v>
      </c>
      <c r="H21" s="15" t="s">
        <v>268</v>
      </c>
      <c r="I21" s="54" t="s">
        <v>269</v>
      </c>
      <c r="J21" s="90"/>
      <c r="K21" s="60" t="s">
        <v>52</v>
      </c>
      <c r="L21" s="60" t="s">
        <v>815</v>
      </c>
      <c r="M21" s="91"/>
      <c r="N21" s="92"/>
      <c r="O21" s="90"/>
      <c r="P21" s="93"/>
      <c r="Q21" s="93"/>
    </row>
    <row r="22" customHeight="1" spans="1:17">
      <c r="A22" s="55">
        <v>26</v>
      </c>
      <c r="B22" s="56" t="s">
        <v>276</v>
      </c>
      <c r="C22" s="6" t="s">
        <v>818</v>
      </c>
      <c r="D22" s="15" t="s">
        <v>35</v>
      </c>
      <c r="E22" s="15" t="s">
        <v>36</v>
      </c>
      <c r="F22" s="15" t="s">
        <v>198</v>
      </c>
      <c r="G22" s="15" t="s">
        <v>36</v>
      </c>
      <c r="H22" s="15" t="s">
        <v>277</v>
      </c>
      <c r="I22" s="54" t="s">
        <v>1146</v>
      </c>
      <c r="J22" s="60"/>
      <c r="K22" s="94" t="s">
        <v>52</v>
      </c>
      <c r="L22" s="60" t="s">
        <v>815</v>
      </c>
      <c r="M22" s="60"/>
      <c r="N22" s="94" t="s">
        <v>820</v>
      </c>
      <c r="O22" s="60"/>
      <c r="P22" s="60"/>
      <c r="Q22" s="60"/>
    </row>
    <row r="23" customHeight="1" spans="1:17">
      <c r="A23" s="55">
        <v>27</v>
      </c>
      <c r="B23" s="60" t="s">
        <v>273</v>
      </c>
      <c r="C23" s="6" t="s">
        <v>816</v>
      </c>
      <c r="D23" s="15" t="s">
        <v>35</v>
      </c>
      <c r="E23" s="15" t="s">
        <v>36</v>
      </c>
      <c r="F23" s="15" t="s">
        <v>198</v>
      </c>
      <c r="G23" s="15" t="s">
        <v>36</v>
      </c>
      <c r="H23" s="15" t="s">
        <v>274</v>
      </c>
      <c r="I23" s="95" t="s">
        <v>817</v>
      </c>
      <c r="J23" s="88"/>
      <c r="K23" s="60" t="s">
        <v>52</v>
      </c>
      <c r="L23" s="60" t="s">
        <v>815</v>
      </c>
      <c r="M23" s="96"/>
      <c r="N23" s="88"/>
      <c r="O23" s="88"/>
      <c r="P23" s="88"/>
      <c r="Q23" s="88"/>
    </row>
    <row r="24" customHeight="1" spans="1:17">
      <c r="A24" s="55">
        <v>28</v>
      </c>
      <c r="B24" s="60" t="s">
        <v>715</v>
      </c>
      <c r="C24" s="6" t="s">
        <v>716</v>
      </c>
      <c r="D24" s="8" t="s">
        <v>20</v>
      </c>
      <c r="E24" s="8" t="s">
        <v>21</v>
      </c>
      <c r="F24" s="8" t="s">
        <v>22</v>
      </c>
      <c r="G24" s="8" t="s">
        <v>21</v>
      </c>
      <c r="H24" s="15" t="s">
        <v>145</v>
      </c>
      <c r="I24" s="95"/>
      <c r="J24" s="88"/>
      <c r="K24" s="8" t="s">
        <v>25</v>
      </c>
      <c r="L24" s="89">
        <v>60</v>
      </c>
      <c r="M24" s="89">
        <v>54</v>
      </c>
      <c r="N24" s="95" t="s">
        <v>1147</v>
      </c>
      <c r="O24" s="88"/>
      <c r="P24" s="88"/>
      <c r="Q24" s="88"/>
    </row>
    <row r="25" customHeight="1" spans="1:17">
      <c r="A25" s="55">
        <v>28</v>
      </c>
      <c r="B25" s="60"/>
      <c r="C25" s="6"/>
      <c r="D25" s="8" t="s">
        <v>20</v>
      </c>
      <c r="E25" s="8" t="s">
        <v>21</v>
      </c>
      <c r="F25" s="8" t="s">
        <v>22</v>
      </c>
      <c r="G25" s="8" t="s">
        <v>21</v>
      </c>
      <c r="H25" s="69" t="s">
        <v>719</v>
      </c>
      <c r="I25" s="95" t="s">
        <v>720</v>
      </c>
      <c r="J25" s="88"/>
      <c r="K25" s="94" t="s">
        <v>52</v>
      </c>
      <c r="L25" s="89">
        <v>400</v>
      </c>
      <c r="M25" s="97"/>
      <c r="N25" s="88"/>
      <c r="O25" s="88"/>
      <c r="P25" s="88"/>
      <c r="Q25" s="88"/>
    </row>
    <row r="26" ht="126" customHeight="1" spans="1:17">
      <c r="A26" s="70" t="s">
        <v>1148</v>
      </c>
      <c r="B26" s="70"/>
      <c r="C26" s="70"/>
      <c r="D26" s="71"/>
      <c r="E26" s="71"/>
      <c r="F26" s="71"/>
      <c r="G26" s="71"/>
      <c r="H26" s="70"/>
      <c r="I26" s="70"/>
      <c r="J26" s="70"/>
      <c r="K26" s="70"/>
      <c r="L26" s="70"/>
      <c r="M26" s="70"/>
      <c r="N26" s="70"/>
      <c r="O26" s="70"/>
      <c r="P26" s="70"/>
      <c r="Q26" s="70"/>
    </row>
  </sheetData>
  <sheetProtection formatCells="0" insertHyperlinks="0" autoFilter="0"/>
  <mergeCells count="1">
    <mergeCell ref="A26:Q26"/>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0"/>
  <sheetViews>
    <sheetView zoomScale="70" zoomScaleNormal="70" topLeftCell="E1" workbookViewId="0">
      <selection activeCell="G23" sqref="G23"/>
    </sheetView>
  </sheetViews>
  <sheetFormatPr defaultColWidth="27.9" defaultRowHeight="25.05" customHeight="1"/>
  <cols>
    <col min="1" max="1" width="27.9" style="21" hidden="1" customWidth="1"/>
    <col min="2" max="6" width="27.9" style="22" customWidth="1"/>
    <col min="7" max="7" width="88" style="23" customWidth="1"/>
    <col min="8" max="16382" width="27.9" style="23" customWidth="1"/>
    <col min="16383" max="16384" width="27.9" style="23"/>
  </cols>
  <sheetData>
    <row r="1" customHeight="1" spans="1:14">
      <c r="A1" s="24" t="s">
        <v>3</v>
      </c>
      <c r="B1" s="25" t="s">
        <v>4</v>
      </c>
      <c r="C1" s="26" t="s">
        <v>5</v>
      </c>
      <c r="D1" s="26" t="s">
        <v>6</v>
      </c>
      <c r="E1" s="26" t="s">
        <v>7</v>
      </c>
      <c r="F1" s="26" t="s">
        <v>8</v>
      </c>
      <c r="G1" s="27" t="s">
        <v>9</v>
      </c>
      <c r="H1" s="27" t="s">
        <v>10</v>
      </c>
      <c r="I1" s="27" t="s">
        <v>11</v>
      </c>
      <c r="J1" s="27" t="s">
        <v>12</v>
      </c>
      <c r="K1" s="25" t="s">
        <v>615</v>
      </c>
      <c r="L1" s="25" t="s">
        <v>616</v>
      </c>
      <c r="M1" s="27" t="s">
        <v>15</v>
      </c>
      <c r="N1" s="25" t="s">
        <v>16</v>
      </c>
    </row>
    <row r="2" customHeight="1" spans="1:14">
      <c r="A2" s="28" t="s">
        <v>336</v>
      </c>
      <c r="B2" s="29" t="s">
        <v>849</v>
      </c>
      <c r="C2" s="30" t="s">
        <v>287</v>
      </c>
      <c r="D2" s="30" t="s">
        <v>215</v>
      </c>
      <c r="E2" s="30" t="s">
        <v>188</v>
      </c>
      <c r="F2" s="30" t="s">
        <v>42</v>
      </c>
      <c r="G2" s="31" t="s">
        <v>337</v>
      </c>
      <c r="H2" s="32"/>
      <c r="I2" s="32"/>
      <c r="J2" s="30" t="s">
        <v>52</v>
      </c>
      <c r="K2" s="29" t="s">
        <v>850</v>
      </c>
      <c r="L2" s="29" t="s">
        <v>851</v>
      </c>
      <c r="M2" s="32" t="s">
        <v>852</v>
      </c>
      <c r="N2" s="38" t="s">
        <v>27</v>
      </c>
    </row>
    <row r="3" ht="24" customHeight="1" spans="1:14">
      <c r="A3" s="28" t="s">
        <v>1149</v>
      </c>
      <c r="B3" s="29" t="s">
        <v>853</v>
      </c>
      <c r="C3" s="30" t="s">
        <v>287</v>
      </c>
      <c r="D3" s="30" t="s">
        <v>215</v>
      </c>
      <c r="E3" s="30" t="s">
        <v>188</v>
      </c>
      <c r="F3" s="30" t="s">
        <v>42</v>
      </c>
      <c r="G3" s="32" t="s">
        <v>854</v>
      </c>
      <c r="H3" s="32"/>
      <c r="I3" s="32"/>
      <c r="J3" s="30" t="s">
        <v>52</v>
      </c>
      <c r="K3" s="29" t="s">
        <v>855</v>
      </c>
      <c r="L3" s="29" t="s">
        <v>856</v>
      </c>
      <c r="M3" s="30"/>
      <c r="N3" s="38" t="s">
        <v>27</v>
      </c>
    </row>
    <row r="4" s="18" customFormat="1" customHeight="1" spans="1:14">
      <c r="A4" s="33"/>
      <c r="B4" s="29" t="s">
        <v>857</v>
      </c>
      <c r="C4" s="34" t="s">
        <v>287</v>
      </c>
      <c r="D4" s="34" t="s">
        <v>215</v>
      </c>
      <c r="E4" s="34" t="s">
        <v>188</v>
      </c>
      <c r="F4" s="34" t="s">
        <v>42</v>
      </c>
      <c r="G4" s="35" t="s">
        <v>339</v>
      </c>
      <c r="H4" s="36"/>
      <c r="I4" s="36"/>
      <c r="J4" s="34" t="s">
        <v>52</v>
      </c>
      <c r="K4" s="34">
        <v>600</v>
      </c>
      <c r="L4" s="34">
        <v>540</v>
      </c>
      <c r="M4" s="39"/>
      <c r="N4" s="40" t="s">
        <v>27</v>
      </c>
    </row>
    <row r="5" customHeight="1" spans="1:14">
      <c r="A5" s="28" t="s">
        <v>360</v>
      </c>
      <c r="B5" s="29" t="s">
        <v>872</v>
      </c>
      <c r="C5" s="30" t="s">
        <v>287</v>
      </c>
      <c r="D5" s="30" t="s">
        <v>215</v>
      </c>
      <c r="E5" s="30" t="s">
        <v>188</v>
      </c>
      <c r="F5" s="30" t="s">
        <v>42</v>
      </c>
      <c r="G5" s="32" t="s">
        <v>361</v>
      </c>
      <c r="H5" s="32"/>
      <c r="I5" s="32"/>
      <c r="J5" s="30" t="s">
        <v>52</v>
      </c>
      <c r="K5" s="29" t="s">
        <v>873</v>
      </c>
      <c r="L5" s="29" t="s">
        <v>855</v>
      </c>
      <c r="M5" s="32" t="s">
        <v>852</v>
      </c>
      <c r="N5" s="38" t="s">
        <v>27</v>
      </c>
    </row>
    <row r="6" customHeight="1" spans="1:14">
      <c r="A6" s="28" t="s">
        <v>1150</v>
      </c>
      <c r="B6" s="29" t="s">
        <v>1151</v>
      </c>
      <c r="C6" s="30" t="s">
        <v>287</v>
      </c>
      <c r="D6" s="30" t="s">
        <v>215</v>
      </c>
      <c r="E6" s="30" t="s">
        <v>188</v>
      </c>
      <c r="F6" s="30" t="s">
        <v>42</v>
      </c>
      <c r="G6" s="32" t="s">
        <v>1152</v>
      </c>
      <c r="H6" s="32"/>
      <c r="I6" s="32"/>
      <c r="J6" s="30" t="s">
        <v>52</v>
      </c>
      <c r="K6" s="29" t="s">
        <v>1153</v>
      </c>
      <c r="L6" s="29" t="s">
        <v>1154</v>
      </c>
      <c r="M6" s="30"/>
      <c r="N6" s="38" t="s">
        <v>27</v>
      </c>
    </row>
    <row r="7" s="19" customFormat="1" customHeight="1" spans="1:14">
      <c r="A7" s="28"/>
      <c r="B7" s="29" t="s">
        <v>874</v>
      </c>
      <c r="C7" s="34" t="s">
        <v>287</v>
      </c>
      <c r="D7" s="34" t="s">
        <v>215</v>
      </c>
      <c r="E7" s="34" t="s">
        <v>188</v>
      </c>
      <c r="F7" s="34" t="s">
        <v>42</v>
      </c>
      <c r="G7" s="35" t="s">
        <v>362</v>
      </c>
      <c r="H7" s="36"/>
      <c r="I7" s="36"/>
      <c r="J7" s="34" t="s">
        <v>52</v>
      </c>
      <c r="K7" s="34">
        <v>600</v>
      </c>
      <c r="L7" s="34">
        <v>540</v>
      </c>
      <c r="M7" s="34"/>
      <c r="N7" s="40" t="s">
        <v>27</v>
      </c>
    </row>
    <row r="8" customHeight="1" spans="1:14">
      <c r="A8" s="28" t="s">
        <v>363</v>
      </c>
      <c r="B8" s="29" t="s">
        <v>875</v>
      </c>
      <c r="C8" s="30" t="s">
        <v>287</v>
      </c>
      <c r="D8" s="30" t="s">
        <v>215</v>
      </c>
      <c r="E8" s="30" t="s">
        <v>188</v>
      </c>
      <c r="F8" s="30" t="s">
        <v>42</v>
      </c>
      <c r="G8" s="32" t="s">
        <v>364</v>
      </c>
      <c r="H8" s="32" t="s">
        <v>365</v>
      </c>
      <c r="I8" s="32" t="s">
        <v>366</v>
      </c>
      <c r="J8" s="30" t="s">
        <v>52</v>
      </c>
      <c r="K8" s="29" t="s">
        <v>876</v>
      </c>
      <c r="L8" s="29" t="s">
        <v>877</v>
      </c>
      <c r="M8" s="32" t="s">
        <v>852</v>
      </c>
      <c r="N8" s="38" t="s">
        <v>27</v>
      </c>
    </row>
    <row r="9" customHeight="1" spans="1:14">
      <c r="A9" s="28" t="s">
        <v>1155</v>
      </c>
      <c r="B9" s="29" t="s">
        <v>1156</v>
      </c>
      <c r="C9" s="30" t="s">
        <v>287</v>
      </c>
      <c r="D9" s="30" t="s">
        <v>215</v>
      </c>
      <c r="E9" s="30" t="s">
        <v>188</v>
      </c>
      <c r="F9" s="30" t="s">
        <v>42</v>
      </c>
      <c r="G9" s="32" t="s">
        <v>1157</v>
      </c>
      <c r="H9" s="32"/>
      <c r="I9" s="32"/>
      <c r="J9" s="30" t="s">
        <v>52</v>
      </c>
      <c r="K9" s="29" t="s">
        <v>1158</v>
      </c>
      <c r="L9" s="29" t="s">
        <v>1159</v>
      </c>
      <c r="M9" s="30"/>
      <c r="N9" s="38" t="s">
        <v>27</v>
      </c>
    </row>
    <row r="10" s="19" customFormat="1" customHeight="1" spans="1:14">
      <c r="A10" s="28"/>
      <c r="B10" s="29" t="s">
        <v>878</v>
      </c>
      <c r="C10" s="34" t="s">
        <v>287</v>
      </c>
      <c r="D10" s="34" t="s">
        <v>215</v>
      </c>
      <c r="E10" s="34" t="s">
        <v>188</v>
      </c>
      <c r="F10" s="34" t="s">
        <v>42</v>
      </c>
      <c r="G10" s="35" t="s">
        <v>367</v>
      </c>
      <c r="H10" s="36"/>
      <c r="I10" s="36"/>
      <c r="J10" s="34" t="s">
        <v>52</v>
      </c>
      <c r="K10" s="34">
        <v>600</v>
      </c>
      <c r="L10" s="34">
        <v>540</v>
      </c>
      <c r="M10" s="34"/>
      <c r="N10" s="40" t="s">
        <v>27</v>
      </c>
    </row>
    <row r="11" customHeight="1" spans="1:14">
      <c r="A11" s="28" t="s">
        <v>368</v>
      </c>
      <c r="B11" s="29" t="s">
        <v>879</v>
      </c>
      <c r="C11" s="30" t="s">
        <v>287</v>
      </c>
      <c r="D11" s="30" t="s">
        <v>215</v>
      </c>
      <c r="E11" s="30" t="s">
        <v>188</v>
      </c>
      <c r="F11" s="30" t="s">
        <v>42</v>
      </c>
      <c r="G11" s="32" t="s">
        <v>369</v>
      </c>
      <c r="H11" s="32" t="s">
        <v>370</v>
      </c>
      <c r="I11" s="32"/>
      <c r="J11" s="30" t="s">
        <v>52</v>
      </c>
      <c r="K11" s="29" t="s">
        <v>880</v>
      </c>
      <c r="L11" s="29" t="s">
        <v>881</v>
      </c>
      <c r="M11" s="32" t="s">
        <v>852</v>
      </c>
      <c r="N11" s="38" t="s">
        <v>27</v>
      </c>
    </row>
    <row r="12" customHeight="1" spans="1:14">
      <c r="A12" s="28" t="s">
        <v>1160</v>
      </c>
      <c r="B12" s="29" t="s">
        <v>1161</v>
      </c>
      <c r="C12" s="30" t="s">
        <v>287</v>
      </c>
      <c r="D12" s="30" t="s">
        <v>215</v>
      </c>
      <c r="E12" s="30" t="s">
        <v>188</v>
      </c>
      <c r="F12" s="30" t="s">
        <v>42</v>
      </c>
      <c r="G12" s="32" t="s">
        <v>1162</v>
      </c>
      <c r="H12" s="32"/>
      <c r="I12" s="32"/>
      <c r="J12" s="30" t="s">
        <v>52</v>
      </c>
      <c r="K12" s="29" t="s">
        <v>1163</v>
      </c>
      <c r="L12" s="29" t="s">
        <v>1164</v>
      </c>
      <c r="M12" s="30"/>
      <c r="N12" s="38" t="s">
        <v>27</v>
      </c>
    </row>
    <row r="13" s="19" customFormat="1" customHeight="1" spans="1:14">
      <c r="A13" s="28"/>
      <c r="B13" s="29" t="s">
        <v>882</v>
      </c>
      <c r="C13" s="34" t="s">
        <v>287</v>
      </c>
      <c r="D13" s="34" t="s">
        <v>215</v>
      </c>
      <c r="E13" s="34" t="s">
        <v>188</v>
      </c>
      <c r="F13" s="34" t="s">
        <v>42</v>
      </c>
      <c r="G13" s="35" t="s">
        <v>371</v>
      </c>
      <c r="H13" s="36"/>
      <c r="I13" s="36"/>
      <c r="J13" s="34" t="s">
        <v>52</v>
      </c>
      <c r="K13" s="34">
        <v>600</v>
      </c>
      <c r="L13" s="34">
        <v>540</v>
      </c>
      <c r="M13" s="41"/>
      <c r="N13" s="40" t="s">
        <v>27</v>
      </c>
    </row>
    <row r="14" customHeight="1" spans="1:14">
      <c r="A14" s="28" t="s">
        <v>372</v>
      </c>
      <c r="B14" s="29" t="s">
        <v>883</v>
      </c>
      <c r="C14" s="30" t="s">
        <v>287</v>
      </c>
      <c r="D14" s="30" t="s">
        <v>215</v>
      </c>
      <c r="E14" s="30" t="s">
        <v>188</v>
      </c>
      <c r="F14" s="30" t="s">
        <v>42</v>
      </c>
      <c r="G14" s="32" t="s">
        <v>373</v>
      </c>
      <c r="H14" s="32" t="s">
        <v>374</v>
      </c>
      <c r="I14" s="32"/>
      <c r="J14" s="30" t="s">
        <v>52</v>
      </c>
      <c r="K14" s="29" t="s">
        <v>861</v>
      </c>
      <c r="L14" s="29" t="s">
        <v>884</v>
      </c>
      <c r="M14" s="32" t="s">
        <v>852</v>
      </c>
      <c r="N14" s="38" t="s">
        <v>27</v>
      </c>
    </row>
    <row r="15" customHeight="1" spans="1:14">
      <c r="A15" s="28" t="s">
        <v>1165</v>
      </c>
      <c r="B15" s="29" t="s">
        <v>1166</v>
      </c>
      <c r="C15" s="30" t="s">
        <v>287</v>
      </c>
      <c r="D15" s="30" t="s">
        <v>215</v>
      </c>
      <c r="E15" s="30" t="s">
        <v>188</v>
      </c>
      <c r="F15" s="30" t="s">
        <v>42</v>
      </c>
      <c r="G15" s="32" t="s">
        <v>1167</v>
      </c>
      <c r="H15" s="32"/>
      <c r="I15" s="32"/>
      <c r="J15" s="30" t="s">
        <v>52</v>
      </c>
      <c r="K15" s="29" t="s">
        <v>864</v>
      </c>
      <c r="L15" s="29" t="s">
        <v>1168</v>
      </c>
      <c r="M15" s="30"/>
      <c r="N15" s="38" t="s">
        <v>27</v>
      </c>
    </row>
    <row r="16" s="19" customFormat="1" customHeight="1" spans="1:14">
      <c r="A16" s="28"/>
      <c r="B16" s="29" t="s">
        <v>885</v>
      </c>
      <c r="C16" s="34" t="s">
        <v>287</v>
      </c>
      <c r="D16" s="34" t="s">
        <v>215</v>
      </c>
      <c r="E16" s="34" t="s">
        <v>188</v>
      </c>
      <c r="F16" s="34" t="s">
        <v>42</v>
      </c>
      <c r="G16" s="35" t="s">
        <v>375</v>
      </c>
      <c r="H16" s="36"/>
      <c r="I16" s="36"/>
      <c r="J16" s="34" t="s">
        <v>52</v>
      </c>
      <c r="K16" s="34">
        <v>600</v>
      </c>
      <c r="L16" s="34">
        <v>540</v>
      </c>
      <c r="M16" s="34"/>
      <c r="N16" s="40" t="s">
        <v>27</v>
      </c>
    </row>
    <row r="17" customHeight="1" spans="1:14">
      <c r="A17" s="28" t="s">
        <v>376</v>
      </c>
      <c r="B17" s="29" t="s">
        <v>886</v>
      </c>
      <c r="C17" s="30" t="s">
        <v>287</v>
      </c>
      <c r="D17" s="30" t="s">
        <v>215</v>
      </c>
      <c r="E17" s="30" t="s">
        <v>188</v>
      </c>
      <c r="F17" s="30" t="s">
        <v>42</v>
      </c>
      <c r="G17" s="32" t="s">
        <v>377</v>
      </c>
      <c r="H17" s="32" t="s">
        <v>378</v>
      </c>
      <c r="I17" s="32"/>
      <c r="J17" s="30" t="s">
        <v>52</v>
      </c>
      <c r="K17" s="29" t="s">
        <v>873</v>
      </c>
      <c r="L17" s="29" t="s">
        <v>855</v>
      </c>
      <c r="M17" s="32" t="s">
        <v>852</v>
      </c>
      <c r="N17" s="38" t="s">
        <v>27</v>
      </c>
    </row>
    <row r="18" customHeight="1" spans="1:14">
      <c r="A18" s="28" t="s">
        <v>1169</v>
      </c>
      <c r="B18" s="29" t="s">
        <v>1170</v>
      </c>
      <c r="C18" s="30" t="s">
        <v>287</v>
      </c>
      <c r="D18" s="30" t="s">
        <v>215</v>
      </c>
      <c r="E18" s="30" t="s">
        <v>188</v>
      </c>
      <c r="F18" s="30" t="s">
        <v>42</v>
      </c>
      <c r="G18" s="32" t="s">
        <v>1171</v>
      </c>
      <c r="H18" s="32"/>
      <c r="I18" s="32"/>
      <c r="J18" s="30" t="s">
        <v>52</v>
      </c>
      <c r="K18" s="29" t="s">
        <v>1153</v>
      </c>
      <c r="L18" s="29" t="s">
        <v>1154</v>
      </c>
      <c r="M18" s="30"/>
      <c r="N18" s="38" t="s">
        <v>27</v>
      </c>
    </row>
    <row r="19" s="19" customFormat="1" customHeight="1" spans="1:14">
      <c r="A19" s="28"/>
      <c r="B19" s="29" t="s">
        <v>887</v>
      </c>
      <c r="C19" s="34" t="s">
        <v>287</v>
      </c>
      <c r="D19" s="34" t="s">
        <v>215</v>
      </c>
      <c r="E19" s="34" t="s">
        <v>188</v>
      </c>
      <c r="F19" s="34" t="s">
        <v>42</v>
      </c>
      <c r="G19" s="35" t="s">
        <v>379</v>
      </c>
      <c r="H19" s="36"/>
      <c r="I19" s="36"/>
      <c r="J19" s="34" t="s">
        <v>52</v>
      </c>
      <c r="K19" s="34">
        <v>600</v>
      </c>
      <c r="L19" s="34">
        <v>540</v>
      </c>
      <c r="M19" s="34"/>
      <c r="N19" s="40" t="s">
        <v>27</v>
      </c>
    </row>
    <row r="20" customHeight="1" spans="1:14">
      <c r="A20" s="28" t="s">
        <v>380</v>
      </c>
      <c r="B20" s="29" t="s">
        <v>888</v>
      </c>
      <c r="C20" s="30" t="s">
        <v>287</v>
      </c>
      <c r="D20" s="30" t="s">
        <v>215</v>
      </c>
      <c r="E20" s="30" t="s">
        <v>188</v>
      </c>
      <c r="F20" s="30" t="s">
        <v>42</v>
      </c>
      <c r="G20" s="32" t="s">
        <v>381</v>
      </c>
      <c r="H20" s="32" t="s">
        <v>382</v>
      </c>
      <c r="I20" s="32"/>
      <c r="J20" s="30" t="s">
        <v>52</v>
      </c>
      <c r="K20" s="29" t="s">
        <v>877</v>
      </c>
      <c r="L20" s="29" t="s">
        <v>889</v>
      </c>
      <c r="M20" s="32" t="s">
        <v>852</v>
      </c>
      <c r="N20" s="38" t="s">
        <v>27</v>
      </c>
    </row>
    <row r="21" customHeight="1" spans="1:14">
      <c r="A21" s="28" t="s">
        <v>1172</v>
      </c>
      <c r="B21" s="29" t="s">
        <v>1173</v>
      </c>
      <c r="C21" s="30" t="s">
        <v>287</v>
      </c>
      <c r="D21" s="30" t="s">
        <v>215</v>
      </c>
      <c r="E21" s="30" t="s">
        <v>188</v>
      </c>
      <c r="F21" s="30" t="s">
        <v>42</v>
      </c>
      <c r="G21" s="32" t="s">
        <v>1174</v>
      </c>
      <c r="H21" s="32"/>
      <c r="I21" s="32"/>
      <c r="J21" s="30" t="s">
        <v>52</v>
      </c>
      <c r="K21" s="29" t="s">
        <v>1159</v>
      </c>
      <c r="L21" s="29" t="s">
        <v>1175</v>
      </c>
      <c r="M21" s="30"/>
      <c r="N21" s="38" t="s">
        <v>27</v>
      </c>
    </row>
    <row r="22" s="19" customFormat="1" customHeight="1" spans="1:14">
      <c r="A22" s="28"/>
      <c r="B22" s="29" t="s">
        <v>890</v>
      </c>
      <c r="C22" s="34" t="s">
        <v>287</v>
      </c>
      <c r="D22" s="34" t="s">
        <v>215</v>
      </c>
      <c r="E22" s="34" t="s">
        <v>188</v>
      </c>
      <c r="F22" s="34" t="s">
        <v>42</v>
      </c>
      <c r="G22" s="35" t="s">
        <v>383</v>
      </c>
      <c r="H22" s="36"/>
      <c r="I22" s="36"/>
      <c r="J22" s="34" t="s">
        <v>52</v>
      </c>
      <c r="K22" s="34">
        <v>600</v>
      </c>
      <c r="L22" s="34">
        <v>540</v>
      </c>
      <c r="M22" s="34"/>
      <c r="N22" s="40" t="s">
        <v>27</v>
      </c>
    </row>
    <row r="23" customHeight="1" spans="1:14">
      <c r="A23" s="28" t="s">
        <v>384</v>
      </c>
      <c r="B23" s="29" t="s">
        <v>891</v>
      </c>
      <c r="C23" s="30" t="s">
        <v>287</v>
      </c>
      <c r="D23" s="30" t="s">
        <v>215</v>
      </c>
      <c r="E23" s="30" t="s">
        <v>188</v>
      </c>
      <c r="F23" s="30" t="s">
        <v>42</v>
      </c>
      <c r="G23" s="32" t="s">
        <v>385</v>
      </c>
      <c r="H23" s="32" t="s">
        <v>386</v>
      </c>
      <c r="I23" s="32" t="s">
        <v>387</v>
      </c>
      <c r="J23" s="30" t="s">
        <v>52</v>
      </c>
      <c r="K23" s="29" t="s">
        <v>892</v>
      </c>
      <c r="L23" s="29" t="s">
        <v>827</v>
      </c>
      <c r="M23" s="32" t="s">
        <v>893</v>
      </c>
      <c r="N23" s="38" t="s">
        <v>27</v>
      </c>
    </row>
    <row r="24" customHeight="1" spans="1:14">
      <c r="A24" s="28" t="s">
        <v>1176</v>
      </c>
      <c r="B24" s="29" t="s">
        <v>1177</v>
      </c>
      <c r="C24" s="30" t="s">
        <v>287</v>
      </c>
      <c r="D24" s="30" t="s">
        <v>215</v>
      </c>
      <c r="E24" s="30" t="s">
        <v>188</v>
      </c>
      <c r="F24" s="30" t="s">
        <v>42</v>
      </c>
      <c r="G24" s="32" t="s">
        <v>1178</v>
      </c>
      <c r="H24" s="32"/>
      <c r="I24" s="32"/>
      <c r="J24" s="30" t="s">
        <v>52</v>
      </c>
      <c r="K24" s="29" t="s">
        <v>661</v>
      </c>
      <c r="L24" s="29" t="s">
        <v>1179</v>
      </c>
      <c r="M24" s="30"/>
      <c r="N24" s="38" t="s">
        <v>27</v>
      </c>
    </row>
    <row r="25" s="19" customFormat="1" customHeight="1" spans="1:14">
      <c r="A25" s="28"/>
      <c r="B25" s="29" t="s">
        <v>894</v>
      </c>
      <c r="C25" s="34" t="s">
        <v>287</v>
      </c>
      <c r="D25" s="34" t="s">
        <v>215</v>
      </c>
      <c r="E25" s="34" t="s">
        <v>188</v>
      </c>
      <c r="F25" s="34" t="s">
        <v>42</v>
      </c>
      <c r="G25" s="35" t="s">
        <v>389</v>
      </c>
      <c r="H25" s="36"/>
      <c r="I25" s="36"/>
      <c r="J25" s="34" t="s">
        <v>52</v>
      </c>
      <c r="K25" s="34">
        <v>1000</v>
      </c>
      <c r="L25" s="34">
        <v>900</v>
      </c>
      <c r="M25" s="34"/>
      <c r="N25" s="40" t="s">
        <v>27</v>
      </c>
    </row>
    <row r="26" customHeight="1" spans="1:14">
      <c r="A26" s="28" t="s">
        <v>390</v>
      </c>
      <c r="B26" s="29" t="s">
        <v>895</v>
      </c>
      <c r="C26" s="30" t="s">
        <v>287</v>
      </c>
      <c r="D26" s="30" t="s">
        <v>215</v>
      </c>
      <c r="E26" s="30" t="s">
        <v>188</v>
      </c>
      <c r="F26" s="30" t="s">
        <v>42</v>
      </c>
      <c r="G26" s="32" t="s">
        <v>391</v>
      </c>
      <c r="H26" s="32" t="s">
        <v>392</v>
      </c>
      <c r="I26" s="32"/>
      <c r="J26" s="30" t="s">
        <v>52</v>
      </c>
      <c r="K26" s="29" t="s">
        <v>861</v>
      </c>
      <c r="L26" s="29" t="s">
        <v>884</v>
      </c>
      <c r="M26" s="32" t="s">
        <v>852</v>
      </c>
      <c r="N26" s="38" t="s">
        <v>27</v>
      </c>
    </row>
    <row r="27" customHeight="1" spans="1:14">
      <c r="A27" s="28" t="s">
        <v>1180</v>
      </c>
      <c r="B27" s="29" t="s">
        <v>1181</v>
      </c>
      <c r="C27" s="30" t="s">
        <v>287</v>
      </c>
      <c r="D27" s="30" t="s">
        <v>215</v>
      </c>
      <c r="E27" s="30" t="s">
        <v>188</v>
      </c>
      <c r="F27" s="30" t="s">
        <v>42</v>
      </c>
      <c r="G27" s="32" t="s">
        <v>1182</v>
      </c>
      <c r="H27" s="32"/>
      <c r="I27" s="32"/>
      <c r="J27" s="30" t="s">
        <v>52</v>
      </c>
      <c r="K27" s="29" t="s">
        <v>864</v>
      </c>
      <c r="L27" s="29" t="s">
        <v>1168</v>
      </c>
      <c r="M27" s="30"/>
      <c r="N27" s="38" t="s">
        <v>27</v>
      </c>
    </row>
    <row r="28" s="19" customFormat="1" customHeight="1" spans="1:14">
      <c r="A28" s="28"/>
      <c r="B28" s="29" t="s">
        <v>896</v>
      </c>
      <c r="C28" s="34" t="s">
        <v>287</v>
      </c>
      <c r="D28" s="34" t="s">
        <v>215</v>
      </c>
      <c r="E28" s="34" t="s">
        <v>188</v>
      </c>
      <c r="F28" s="34" t="s">
        <v>42</v>
      </c>
      <c r="G28" s="35" t="s">
        <v>393</v>
      </c>
      <c r="H28" s="36"/>
      <c r="I28" s="36"/>
      <c r="J28" s="34" t="s">
        <v>52</v>
      </c>
      <c r="K28" s="34">
        <v>600</v>
      </c>
      <c r="L28" s="34">
        <v>540</v>
      </c>
      <c r="M28" s="34"/>
      <c r="N28" s="40" t="s">
        <v>27</v>
      </c>
    </row>
    <row r="29" customHeight="1" spans="1:14">
      <c r="A29" s="28" t="s">
        <v>394</v>
      </c>
      <c r="B29" s="29" t="s">
        <v>897</v>
      </c>
      <c r="C29" s="30" t="s">
        <v>287</v>
      </c>
      <c r="D29" s="30" t="s">
        <v>215</v>
      </c>
      <c r="E29" s="30" t="s">
        <v>188</v>
      </c>
      <c r="F29" s="30" t="s">
        <v>42</v>
      </c>
      <c r="G29" s="32" t="s">
        <v>395</v>
      </c>
      <c r="H29" s="32" t="s">
        <v>396</v>
      </c>
      <c r="I29" s="32"/>
      <c r="J29" s="30" t="s">
        <v>52</v>
      </c>
      <c r="K29" s="29" t="s">
        <v>898</v>
      </c>
      <c r="L29" s="29" t="s">
        <v>899</v>
      </c>
      <c r="M29" s="32" t="s">
        <v>893</v>
      </c>
      <c r="N29" s="38" t="s">
        <v>27</v>
      </c>
    </row>
    <row r="30" customHeight="1" spans="1:14">
      <c r="A30" s="28" t="s">
        <v>1183</v>
      </c>
      <c r="B30" s="29" t="s">
        <v>1184</v>
      </c>
      <c r="C30" s="30" t="s">
        <v>287</v>
      </c>
      <c r="D30" s="30" t="s">
        <v>215</v>
      </c>
      <c r="E30" s="30" t="s">
        <v>188</v>
      </c>
      <c r="F30" s="30" t="s">
        <v>42</v>
      </c>
      <c r="G30" s="32" t="s">
        <v>1185</v>
      </c>
      <c r="H30" s="32"/>
      <c r="I30" s="32"/>
      <c r="J30" s="30" t="s">
        <v>52</v>
      </c>
      <c r="K30" s="29" t="s">
        <v>1186</v>
      </c>
      <c r="L30" s="29" t="s">
        <v>892</v>
      </c>
      <c r="M30" s="30"/>
      <c r="N30" s="38" t="s">
        <v>27</v>
      </c>
    </row>
    <row r="31" s="20" customFormat="1" customHeight="1" spans="1:14">
      <c r="A31" s="37"/>
      <c r="B31" s="29" t="s">
        <v>900</v>
      </c>
      <c r="C31" s="34" t="s">
        <v>287</v>
      </c>
      <c r="D31" s="34" t="s">
        <v>215</v>
      </c>
      <c r="E31" s="34" t="s">
        <v>188</v>
      </c>
      <c r="F31" s="34" t="s">
        <v>42</v>
      </c>
      <c r="G31" s="35" t="s">
        <v>397</v>
      </c>
      <c r="H31" s="36"/>
      <c r="I31" s="36"/>
      <c r="J31" s="34" t="s">
        <v>52</v>
      </c>
      <c r="K31" s="34">
        <v>1000</v>
      </c>
      <c r="L31" s="34">
        <v>900</v>
      </c>
      <c r="M31" s="42"/>
      <c r="N31" s="43" t="s">
        <v>27</v>
      </c>
    </row>
    <row r="32" customHeight="1" spans="1:14">
      <c r="A32" s="28" t="s">
        <v>398</v>
      </c>
      <c r="B32" s="29" t="s">
        <v>901</v>
      </c>
      <c r="C32" s="30" t="s">
        <v>287</v>
      </c>
      <c r="D32" s="30" t="s">
        <v>215</v>
      </c>
      <c r="E32" s="30" t="s">
        <v>188</v>
      </c>
      <c r="F32" s="30" t="s">
        <v>42</v>
      </c>
      <c r="G32" s="32" t="s">
        <v>399</v>
      </c>
      <c r="H32" s="32" t="s">
        <v>400</v>
      </c>
      <c r="I32" s="32"/>
      <c r="J32" s="30" t="s">
        <v>52</v>
      </c>
      <c r="K32" s="29" t="s">
        <v>867</v>
      </c>
      <c r="L32" s="29" t="s">
        <v>657</v>
      </c>
      <c r="M32" s="32" t="s">
        <v>893</v>
      </c>
      <c r="N32" s="38" t="s">
        <v>27</v>
      </c>
    </row>
    <row r="33" customHeight="1" spans="1:14">
      <c r="A33" s="28" t="s">
        <v>1187</v>
      </c>
      <c r="B33" s="29" t="s">
        <v>1188</v>
      </c>
      <c r="C33" s="30" t="s">
        <v>287</v>
      </c>
      <c r="D33" s="30" t="s">
        <v>215</v>
      </c>
      <c r="E33" s="30" t="s">
        <v>188</v>
      </c>
      <c r="F33" s="30" t="s">
        <v>42</v>
      </c>
      <c r="G33" s="32" t="s">
        <v>1189</v>
      </c>
      <c r="H33" s="32"/>
      <c r="I33" s="32"/>
      <c r="J33" s="30" t="s">
        <v>52</v>
      </c>
      <c r="K33" s="29" t="s">
        <v>1190</v>
      </c>
      <c r="L33" s="29" t="s">
        <v>1191</v>
      </c>
      <c r="M33" s="30"/>
      <c r="N33" s="38" t="s">
        <v>27</v>
      </c>
    </row>
    <row r="34" s="20" customFormat="1" customHeight="1" spans="1:14">
      <c r="A34" s="37"/>
      <c r="B34" s="29" t="s">
        <v>902</v>
      </c>
      <c r="C34" s="34" t="s">
        <v>287</v>
      </c>
      <c r="D34" s="34" t="s">
        <v>215</v>
      </c>
      <c r="E34" s="34" t="s">
        <v>188</v>
      </c>
      <c r="F34" s="34" t="s">
        <v>42</v>
      </c>
      <c r="G34" s="35" t="s">
        <v>401</v>
      </c>
      <c r="H34" s="36"/>
      <c r="I34" s="36"/>
      <c r="J34" s="34" t="s">
        <v>52</v>
      </c>
      <c r="K34" s="34">
        <v>1000</v>
      </c>
      <c r="L34" s="34">
        <v>900</v>
      </c>
      <c r="M34" s="42"/>
      <c r="N34" s="43" t="s">
        <v>27</v>
      </c>
    </row>
    <row r="35" customHeight="1" spans="1:14">
      <c r="A35" s="28" t="s">
        <v>402</v>
      </c>
      <c r="B35" s="29" t="s">
        <v>903</v>
      </c>
      <c r="C35" s="30" t="s">
        <v>287</v>
      </c>
      <c r="D35" s="30" t="s">
        <v>215</v>
      </c>
      <c r="E35" s="30" t="s">
        <v>188</v>
      </c>
      <c r="F35" s="30" t="s">
        <v>42</v>
      </c>
      <c r="G35" s="32" t="s">
        <v>403</v>
      </c>
      <c r="H35" s="32"/>
      <c r="I35" s="32"/>
      <c r="J35" s="30" t="s">
        <v>52</v>
      </c>
      <c r="K35" s="29" t="s">
        <v>861</v>
      </c>
      <c r="L35" s="29" t="s">
        <v>884</v>
      </c>
      <c r="M35" s="32" t="s">
        <v>852</v>
      </c>
      <c r="N35" s="38" t="s">
        <v>27</v>
      </c>
    </row>
    <row r="36" customHeight="1" spans="1:14">
      <c r="A36" s="28" t="s">
        <v>1192</v>
      </c>
      <c r="B36" s="29" t="s">
        <v>1193</v>
      </c>
      <c r="C36" s="30" t="s">
        <v>287</v>
      </c>
      <c r="D36" s="30" t="s">
        <v>215</v>
      </c>
      <c r="E36" s="30" t="s">
        <v>188</v>
      </c>
      <c r="F36" s="30" t="s">
        <v>42</v>
      </c>
      <c r="G36" s="32" t="s">
        <v>1194</v>
      </c>
      <c r="H36" s="32"/>
      <c r="I36" s="32"/>
      <c r="J36" s="30" t="s">
        <v>52</v>
      </c>
      <c r="K36" s="29" t="s">
        <v>864</v>
      </c>
      <c r="L36" s="29" t="s">
        <v>1168</v>
      </c>
      <c r="M36" s="30"/>
      <c r="N36" s="38" t="s">
        <v>27</v>
      </c>
    </row>
    <row r="37" customHeight="1" spans="1:14">
      <c r="A37" s="28" t="s">
        <v>1195</v>
      </c>
      <c r="B37" s="29" t="s">
        <v>1196</v>
      </c>
      <c r="C37" s="30" t="s">
        <v>287</v>
      </c>
      <c r="D37" s="30" t="s">
        <v>215</v>
      </c>
      <c r="E37" s="30" t="s">
        <v>188</v>
      </c>
      <c r="F37" s="30" t="s">
        <v>42</v>
      </c>
      <c r="G37" s="32" t="s">
        <v>1197</v>
      </c>
      <c r="H37" s="32"/>
      <c r="I37" s="32"/>
      <c r="J37" s="30" t="s">
        <v>52</v>
      </c>
      <c r="K37" s="29" t="s">
        <v>1198</v>
      </c>
      <c r="L37" s="29" t="s">
        <v>1199</v>
      </c>
      <c r="M37" s="30"/>
      <c r="N37" s="38" t="s">
        <v>27</v>
      </c>
    </row>
    <row r="38" customHeight="1" spans="1:14">
      <c r="A38" s="28" t="s">
        <v>1200</v>
      </c>
      <c r="B38" s="29" t="s">
        <v>1201</v>
      </c>
      <c r="C38" s="30" t="s">
        <v>287</v>
      </c>
      <c r="D38" s="30" t="s">
        <v>215</v>
      </c>
      <c r="E38" s="30" t="s">
        <v>188</v>
      </c>
      <c r="F38" s="30" t="s">
        <v>42</v>
      </c>
      <c r="G38" s="32" t="s">
        <v>1202</v>
      </c>
      <c r="H38" s="32"/>
      <c r="I38" s="32"/>
      <c r="J38" s="30" t="s">
        <v>52</v>
      </c>
      <c r="K38" s="29" t="s">
        <v>1203</v>
      </c>
      <c r="L38" s="29" t="s">
        <v>1204</v>
      </c>
      <c r="M38" s="30"/>
      <c r="N38" s="38" t="s">
        <v>27</v>
      </c>
    </row>
    <row r="39" s="19" customFormat="1" customHeight="1" spans="1:14">
      <c r="A39" s="28"/>
      <c r="B39" s="29" t="s">
        <v>905</v>
      </c>
      <c r="C39" s="34" t="s">
        <v>287</v>
      </c>
      <c r="D39" s="34" t="s">
        <v>215</v>
      </c>
      <c r="E39" s="34" t="s">
        <v>188</v>
      </c>
      <c r="F39" s="34" t="s">
        <v>42</v>
      </c>
      <c r="G39" s="35" t="s">
        <v>404</v>
      </c>
      <c r="H39" s="36"/>
      <c r="I39" s="36"/>
      <c r="J39" s="34" t="s">
        <v>52</v>
      </c>
      <c r="K39" s="34">
        <v>600</v>
      </c>
      <c r="L39" s="34">
        <v>540</v>
      </c>
      <c r="M39" s="34"/>
      <c r="N39" s="40" t="s">
        <v>27</v>
      </c>
    </row>
    <row r="40" customHeight="1" spans="1:14">
      <c r="A40" s="28" t="s">
        <v>405</v>
      </c>
      <c r="B40" s="29" t="s">
        <v>906</v>
      </c>
      <c r="C40" s="30" t="s">
        <v>287</v>
      </c>
      <c r="D40" s="30" t="s">
        <v>215</v>
      </c>
      <c r="E40" s="30" t="s">
        <v>188</v>
      </c>
      <c r="F40" s="30" t="s">
        <v>42</v>
      </c>
      <c r="G40" s="32" t="s">
        <v>406</v>
      </c>
      <c r="H40" s="32" t="s">
        <v>407</v>
      </c>
      <c r="I40" s="32"/>
      <c r="J40" s="30" t="s">
        <v>52</v>
      </c>
      <c r="K40" s="29" t="s">
        <v>907</v>
      </c>
      <c r="L40" s="29" t="s">
        <v>908</v>
      </c>
      <c r="M40" s="30" t="s">
        <v>909</v>
      </c>
      <c r="N40" s="38" t="s">
        <v>27</v>
      </c>
    </row>
    <row r="41" customHeight="1" spans="1:14">
      <c r="A41" s="28" t="s">
        <v>1205</v>
      </c>
      <c r="B41" s="29" t="s">
        <v>1206</v>
      </c>
      <c r="C41" s="30" t="s">
        <v>287</v>
      </c>
      <c r="D41" s="30" t="s">
        <v>215</v>
      </c>
      <c r="E41" s="30" t="s">
        <v>188</v>
      </c>
      <c r="F41" s="30" t="s">
        <v>42</v>
      </c>
      <c r="G41" s="32" t="s">
        <v>1207</v>
      </c>
      <c r="H41" s="32" t="s">
        <v>125</v>
      </c>
      <c r="I41" s="32"/>
      <c r="J41" s="30" t="s">
        <v>52</v>
      </c>
      <c r="K41" s="29" t="s">
        <v>1208</v>
      </c>
      <c r="L41" s="29" t="s">
        <v>1209</v>
      </c>
      <c r="M41" s="30" t="s">
        <v>1210</v>
      </c>
      <c r="N41" s="38" t="s">
        <v>27</v>
      </c>
    </row>
    <row r="42" customHeight="1" spans="1:14">
      <c r="A42" s="28" t="s">
        <v>1211</v>
      </c>
      <c r="B42" s="29" t="s">
        <v>1212</v>
      </c>
      <c r="C42" s="30" t="s">
        <v>287</v>
      </c>
      <c r="D42" s="30" t="s">
        <v>215</v>
      </c>
      <c r="E42" s="30" t="s">
        <v>188</v>
      </c>
      <c r="F42" s="30" t="s">
        <v>42</v>
      </c>
      <c r="G42" s="32" t="s">
        <v>1213</v>
      </c>
      <c r="H42" s="32"/>
      <c r="I42" s="32"/>
      <c r="J42" s="30" t="s">
        <v>52</v>
      </c>
      <c r="K42" s="29" t="s">
        <v>1214</v>
      </c>
      <c r="L42" s="29" t="s">
        <v>1215</v>
      </c>
      <c r="M42" s="30"/>
      <c r="N42" s="38" t="s">
        <v>27</v>
      </c>
    </row>
    <row r="43" customHeight="1" spans="1:14">
      <c r="A43" s="28" t="s">
        <v>1216</v>
      </c>
      <c r="B43" s="29" t="s">
        <v>1217</v>
      </c>
      <c r="C43" s="30" t="s">
        <v>287</v>
      </c>
      <c r="D43" s="30" t="s">
        <v>215</v>
      </c>
      <c r="E43" s="30" t="s">
        <v>188</v>
      </c>
      <c r="F43" s="30" t="s">
        <v>42</v>
      </c>
      <c r="G43" s="32" t="s">
        <v>1218</v>
      </c>
      <c r="H43" s="32" t="s">
        <v>125</v>
      </c>
      <c r="I43" s="32"/>
      <c r="J43" s="30" t="s">
        <v>52</v>
      </c>
      <c r="K43" s="29" t="s">
        <v>1219</v>
      </c>
      <c r="L43" s="29" t="s">
        <v>1220</v>
      </c>
      <c r="M43" s="30" t="s">
        <v>1210</v>
      </c>
      <c r="N43" s="38" t="s">
        <v>27</v>
      </c>
    </row>
    <row r="44" s="19" customFormat="1" customHeight="1" spans="1:14">
      <c r="A44" s="28"/>
      <c r="B44" s="29" t="s">
        <v>910</v>
      </c>
      <c r="C44" s="34" t="s">
        <v>287</v>
      </c>
      <c r="D44" s="34" t="s">
        <v>215</v>
      </c>
      <c r="E44" s="34" t="s">
        <v>188</v>
      </c>
      <c r="F44" s="34" t="s">
        <v>42</v>
      </c>
      <c r="G44" s="35" t="s">
        <v>409</v>
      </c>
      <c r="H44" s="36"/>
      <c r="I44" s="36"/>
      <c r="J44" s="34" t="s">
        <v>52</v>
      </c>
      <c r="K44" s="34">
        <v>600</v>
      </c>
      <c r="L44" s="34">
        <v>540</v>
      </c>
      <c r="M44" s="34"/>
      <c r="N44" s="40" t="s">
        <v>27</v>
      </c>
    </row>
    <row r="45" customHeight="1" spans="1:14">
      <c r="A45" s="28" t="s">
        <v>410</v>
      </c>
      <c r="B45" s="29" t="s">
        <v>911</v>
      </c>
      <c r="C45" s="30" t="s">
        <v>287</v>
      </c>
      <c r="D45" s="30" t="s">
        <v>215</v>
      </c>
      <c r="E45" s="30" t="s">
        <v>188</v>
      </c>
      <c r="F45" s="30" t="s">
        <v>42</v>
      </c>
      <c r="G45" s="32" t="s">
        <v>411</v>
      </c>
      <c r="H45" s="32" t="s">
        <v>412</v>
      </c>
      <c r="I45" s="32"/>
      <c r="J45" s="30" t="s">
        <v>52</v>
      </c>
      <c r="K45" s="29" t="s">
        <v>912</v>
      </c>
      <c r="L45" s="29" t="s">
        <v>913</v>
      </c>
      <c r="M45" s="32" t="s">
        <v>893</v>
      </c>
      <c r="N45" s="38" t="s">
        <v>27</v>
      </c>
    </row>
    <row r="46" customHeight="1" spans="1:14">
      <c r="A46" s="28" t="s">
        <v>1221</v>
      </c>
      <c r="B46" s="29" t="s">
        <v>1222</v>
      </c>
      <c r="C46" s="30" t="s">
        <v>287</v>
      </c>
      <c r="D46" s="30" t="s">
        <v>215</v>
      </c>
      <c r="E46" s="30" t="s">
        <v>188</v>
      </c>
      <c r="F46" s="30" t="s">
        <v>42</v>
      </c>
      <c r="G46" s="32" t="s">
        <v>1223</v>
      </c>
      <c r="H46" s="32"/>
      <c r="I46" s="32"/>
      <c r="J46" s="30" t="s">
        <v>52</v>
      </c>
      <c r="K46" s="29" t="s">
        <v>1224</v>
      </c>
      <c r="L46" s="29" t="s">
        <v>1225</v>
      </c>
      <c r="M46" s="30"/>
      <c r="N46" s="38" t="s">
        <v>27</v>
      </c>
    </row>
    <row r="47" s="19" customFormat="1" customHeight="1" spans="1:14">
      <c r="A47" s="28"/>
      <c r="B47" s="29" t="s">
        <v>914</v>
      </c>
      <c r="C47" s="34" t="s">
        <v>287</v>
      </c>
      <c r="D47" s="34" t="s">
        <v>215</v>
      </c>
      <c r="E47" s="34" t="s">
        <v>188</v>
      </c>
      <c r="F47" s="34" t="s">
        <v>42</v>
      </c>
      <c r="G47" s="35" t="s">
        <v>413</v>
      </c>
      <c r="H47" s="36"/>
      <c r="I47" s="36"/>
      <c r="J47" s="34" t="s">
        <v>52</v>
      </c>
      <c r="K47" s="34">
        <v>1000</v>
      </c>
      <c r="L47" s="34">
        <v>900</v>
      </c>
      <c r="M47" s="34"/>
      <c r="N47" s="40" t="s">
        <v>27</v>
      </c>
    </row>
    <row r="48" customHeight="1" spans="1:14">
      <c r="A48" s="28" t="s">
        <v>414</v>
      </c>
      <c r="B48" s="29" t="s">
        <v>915</v>
      </c>
      <c r="C48" s="30" t="s">
        <v>287</v>
      </c>
      <c r="D48" s="30" t="s">
        <v>215</v>
      </c>
      <c r="E48" s="30" t="s">
        <v>188</v>
      </c>
      <c r="F48" s="30" t="s">
        <v>42</v>
      </c>
      <c r="G48" s="32" t="s">
        <v>415</v>
      </c>
      <c r="H48" s="32"/>
      <c r="I48" s="32"/>
      <c r="J48" s="30" t="s">
        <v>52</v>
      </c>
      <c r="K48" s="29" t="s">
        <v>916</v>
      </c>
      <c r="L48" s="29" t="s">
        <v>917</v>
      </c>
      <c r="M48" s="32" t="s">
        <v>893</v>
      </c>
      <c r="N48" s="38" t="s">
        <v>27</v>
      </c>
    </row>
    <row r="49" customHeight="1" spans="1:14">
      <c r="A49" s="28" t="s">
        <v>1226</v>
      </c>
      <c r="B49" s="29" t="s">
        <v>1227</v>
      </c>
      <c r="C49" s="30" t="s">
        <v>287</v>
      </c>
      <c r="D49" s="30" t="s">
        <v>215</v>
      </c>
      <c r="E49" s="30" t="s">
        <v>188</v>
      </c>
      <c r="F49" s="30" t="s">
        <v>42</v>
      </c>
      <c r="G49" s="32" t="s">
        <v>1228</v>
      </c>
      <c r="H49" s="32"/>
      <c r="I49" s="32"/>
      <c r="J49" s="30" t="s">
        <v>52</v>
      </c>
      <c r="K49" s="29" t="s">
        <v>1229</v>
      </c>
      <c r="L49" s="29" t="s">
        <v>1230</v>
      </c>
      <c r="M49" s="30"/>
      <c r="N49" s="38" t="s">
        <v>27</v>
      </c>
    </row>
    <row r="50" s="19" customFormat="1" customHeight="1" spans="1:14">
      <c r="A50" s="28"/>
      <c r="B50" s="29" t="s">
        <v>918</v>
      </c>
      <c r="C50" s="34" t="s">
        <v>287</v>
      </c>
      <c r="D50" s="34" t="s">
        <v>215</v>
      </c>
      <c r="E50" s="34" t="s">
        <v>188</v>
      </c>
      <c r="F50" s="34" t="s">
        <v>42</v>
      </c>
      <c r="G50" s="35" t="s">
        <v>416</v>
      </c>
      <c r="H50" s="36"/>
      <c r="I50" s="36"/>
      <c r="J50" s="34" t="s">
        <v>52</v>
      </c>
      <c r="K50" s="34">
        <v>1000</v>
      </c>
      <c r="L50" s="34">
        <v>900</v>
      </c>
      <c r="M50" s="34"/>
      <c r="N50" s="40" t="s">
        <v>27</v>
      </c>
    </row>
    <row r="51" customHeight="1" spans="1:14">
      <c r="A51" s="28" t="s">
        <v>417</v>
      </c>
      <c r="B51" s="29" t="s">
        <v>919</v>
      </c>
      <c r="C51" s="30" t="s">
        <v>287</v>
      </c>
      <c r="D51" s="30" t="s">
        <v>215</v>
      </c>
      <c r="E51" s="30" t="s">
        <v>188</v>
      </c>
      <c r="F51" s="30" t="s">
        <v>42</v>
      </c>
      <c r="G51" s="32" t="s">
        <v>418</v>
      </c>
      <c r="H51" s="32"/>
      <c r="I51" s="32"/>
      <c r="J51" s="30" t="s">
        <v>52</v>
      </c>
      <c r="K51" s="29" t="s">
        <v>920</v>
      </c>
      <c r="L51" s="29" t="s">
        <v>921</v>
      </c>
      <c r="M51" s="32" t="s">
        <v>893</v>
      </c>
      <c r="N51" s="38" t="s">
        <v>27</v>
      </c>
    </row>
    <row r="52" customHeight="1" spans="1:14">
      <c r="A52" s="28" t="s">
        <v>1231</v>
      </c>
      <c r="B52" s="29" t="s">
        <v>1232</v>
      </c>
      <c r="C52" s="30" t="s">
        <v>287</v>
      </c>
      <c r="D52" s="30" t="s">
        <v>215</v>
      </c>
      <c r="E52" s="30" t="s">
        <v>188</v>
      </c>
      <c r="F52" s="30" t="s">
        <v>42</v>
      </c>
      <c r="G52" s="32" t="s">
        <v>1233</v>
      </c>
      <c r="H52" s="32"/>
      <c r="I52" s="32"/>
      <c r="J52" s="30" t="s">
        <v>52</v>
      </c>
      <c r="K52" s="29" t="s">
        <v>1234</v>
      </c>
      <c r="L52" s="29" t="s">
        <v>1235</v>
      </c>
      <c r="M52" s="30"/>
      <c r="N52" s="38" t="s">
        <v>27</v>
      </c>
    </row>
    <row r="53" s="19" customFormat="1" customHeight="1" spans="1:14">
      <c r="A53" s="28"/>
      <c r="B53" s="29" t="s">
        <v>922</v>
      </c>
      <c r="C53" s="34" t="s">
        <v>287</v>
      </c>
      <c r="D53" s="34" t="s">
        <v>215</v>
      </c>
      <c r="E53" s="34" t="s">
        <v>188</v>
      </c>
      <c r="F53" s="34" t="s">
        <v>42</v>
      </c>
      <c r="G53" s="35" t="s">
        <v>419</v>
      </c>
      <c r="H53" s="36"/>
      <c r="I53" s="36"/>
      <c r="J53" s="34" t="s">
        <v>52</v>
      </c>
      <c r="K53" s="34">
        <v>1000</v>
      </c>
      <c r="L53" s="34">
        <v>900</v>
      </c>
      <c r="M53" s="34"/>
      <c r="N53" s="40" t="s">
        <v>27</v>
      </c>
    </row>
    <row r="54" customHeight="1" spans="1:14">
      <c r="A54" s="28" t="s">
        <v>420</v>
      </c>
      <c r="B54" s="29" t="s">
        <v>923</v>
      </c>
      <c r="C54" s="30" t="s">
        <v>287</v>
      </c>
      <c r="D54" s="30" t="s">
        <v>215</v>
      </c>
      <c r="E54" s="30" t="s">
        <v>188</v>
      </c>
      <c r="F54" s="30" t="s">
        <v>42</v>
      </c>
      <c r="G54" s="32" t="s">
        <v>421</v>
      </c>
      <c r="H54" s="32" t="s">
        <v>422</v>
      </c>
      <c r="I54" s="32" t="s">
        <v>423</v>
      </c>
      <c r="J54" s="30" t="s">
        <v>52</v>
      </c>
      <c r="K54" s="29" t="s">
        <v>924</v>
      </c>
      <c r="L54" s="29" t="s">
        <v>924</v>
      </c>
      <c r="M54" s="32" t="s">
        <v>852</v>
      </c>
      <c r="N54" s="38" t="s">
        <v>27</v>
      </c>
    </row>
    <row r="55" customHeight="1" spans="1:14">
      <c r="A55" s="28" t="s">
        <v>1236</v>
      </c>
      <c r="B55" s="29" t="s">
        <v>1237</v>
      </c>
      <c r="C55" s="30" t="s">
        <v>287</v>
      </c>
      <c r="D55" s="30" t="s">
        <v>215</v>
      </c>
      <c r="E55" s="30" t="s">
        <v>188</v>
      </c>
      <c r="F55" s="30" t="s">
        <v>42</v>
      </c>
      <c r="G55" s="32" t="s">
        <v>1238</v>
      </c>
      <c r="H55" s="32"/>
      <c r="I55" s="32"/>
      <c r="J55" s="30" t="s">
        <v>52</v>
      </c>
      <c r="K55" s="29" t="s">
        <v>1239</v>
      </c>
      <c r="L55" s="29" t="s">
        <v>1239</v>
      </c>
      <c r="M55" s="30"/>
      <c r="N55" s="38" t="s">
        <v>27</v>
      </c>
    </row>
    <row r="56" s="19" customFormat="1" customHeight="1" spans="1:14">
      <c r="A56" s="28"/>
      <c r="B56" s="29" t="s">
        <v>925</v>
      </c>
      <c r="C56" s="34" t="s">
        <v>287</v>
      </c>
      <c r="D56" s="34" t="s">
        <v>215</v>
      </c>
      <c r="E56" s="34" t="s">
        <v>188</v>
      </c>
      <c r="F56" s="34" t="s">
        <v>42</v>
      </c>
      <c r="G56" s="35" t="s">
        <v>424</v>
      </c>
      <c r="H56" s="36"/>
      <c r="I56" s="36"/>
      <c r="J56" s="34" t="s">
        <v>52</v>
      </c>
      <c r="K56" s="34">
        <v>600</v>
      </c>
      <c r="L56" s="34">
        <v>540</v>
      </c>
      <c r="M56" s="34"/>
      <c r="N56" s="40" t="s">
        <v>27</v>
      </c>
    </row>
    <row r="57" customHeight="1" spans="1:14">
      <c r="A57" s="28" t="s">
        <v>425</v>
      </c>
      <c r="B57" s="29" t="s">
        <v>926</v>
      </c>
      <c r="C57" s="30" t="s">
        <v>287</v>
      </c>
      <c r="D57" s="30" t="s">
        <v>215</v>
      </c>
      <c r="E57" s="30" t="s">
        <v>188</v>
      </c>
      <c r="F57" s="30" t="s">
        <v>42</v>
      </c>
      <c r="G57" s="32" t="s">
        <v>426</v>
      </c>
      <c r="H57" s="32" t="s">
        <v>427</v>
      </c>
      <c r="I57" s="32" t="s">
        <v>423</v>
      </c>
      <c r="J57" s="30" t="s">
        <v>52</v>
      </c>
      <c r="K57" s="29" t="s">
        <v>927</v>
      </c>
      <c r="L57" s="29" t="s">
        <v>927</v>
      </c>
      <c r="M57" s="32" t="s">
        <v>852</v>
      </c>
      <c r="N57" s="38" t="s">
        <v>27</v>
      </c>
    </row>
    <row r="58" customHeight="1" spans="1:14">
      <c r="A58" s="28" t="s">
        <v>1240</v>
      </c>
      <c r="B58" s="29" t="s">
        <v>1241</v>
      </c>
      <c r="C58" s="30" t="s">
        <v>287</v>
      </c>
      <c r="D58" s="30" t="s">
        <v>215</v>
      </c>
      <c r="E58" s="30" t="s">
        <v>188</v>
      </c>
      <c r="F58" s="30" t="s">
        <v>42</v>
      </c>
      <c r="G58" s="32" t="s">
        <v>1242</v>
      </c>
      <c r="H58" s="32"/>
      <c r="I58" s="32"/>
      <c r="J58" s="30" t="s">
        <v>52</v>
      </c>
      <c r="K58" s="29" t="s">
        <v>1243</v>
      </c>
      <c r="L58" s="29" t="s">
        <v>1243</v>
      </c>
      <c r="M58" s="30"/>
      <c r="N58" s="38" t="s">
        <v>27</v>
      </c>
    </row>
    <row r="59" s="19" customFormat="1" customHeight="1" spans="1:14">
      <c r="A59" s="28"/>
      <c r="B59" s="29" t="s">
        <v>928</v>
      </c>
      <c r="C59" s="34" t="s">
        <v>287</v>
      </c>
      <c r="D59" s="34" t="s">
        <v>215</v>
      </c>
      <c r="E59" s="34" t="s">
        <v>188</v>
      </c>
      <c r="F59" s="34" t="s">
        <v>42</v>
      </c>
      <c r="G59" s="35" t="s">
        <v>428</v>
      </c>
      <c r="H59" s="36"/>
      <c r="I59" s="36"/>
      <c r="J59" s="34" t="s">
        <v>52</v>
      </c>
      <c r="K59" s="34">
        <v>600</v>
      </c>
      <c r="L59" s="34">
        <v>540</v>
      </c>
      <c r="M59" s="34"/>
      <c r="N59" s="40" t="s">
        <v>27</v>
      </c>
    </row>
    <row r="60" customHeight="1" spans="1:14">
      <c r="A60" s="28" t="s">
        <v>429</v>
      </c>
      <c r="B60" s="29" t="s">
        <v>929</v>
      </c>
      <c r="C60" s="30" t="s">
        <v>287</v>
      </c>
      <c r="D60" s="30" t="s">
        <v>215</v>
      </c>
      <c r="E60" s="30" t="s">
        <v>188</v>
      </c>
      <c r="F60" s="30" t="s">
        <v>42</v>
      </c>
      <c r="G60" s="32" t="s">
        <v>430</v>
      </c>
      <c r="H60" s="32" t="s">
        <v>431</v>
      </c>
      <c r="I60" s="32" t="s">
        <v>423</v>
      </c>
      <c r="J60" s="30" t="s">
        <v>52</v>
      </c>
      <c r="K60" s="29" t="s">
        <v>930</v>
      </c>
      <c r="L60" s="29" t="s">
        <v>930</v>
      </c>
      <c r="M60" s="32" t="s">
        <v>893</v>
      </c>
      <c r="N60" s="38" t="s">
        <v>27</v>
      </c>
    </row>
    <row r="61" customHeight="1" spans="1:14">
      <c r="A61" s="28" t="s">
        <v>1244</v>
      </c>
      <c r="B61" s="29" t="s">
        <v>1245</v>
      </c>
      <c r="C61" s="30" t="s">
        <v>287</v>
      </c>
      <c r="D61" s="30" t="s">
        <v>215</v>
      </c>
      <c r="E61" s="30" t="s">
        <v>188</v>
      </c>
      <c r="F61" s="30" t="s">
        <v>42</v>
      </c>
      <c r="G61" s="32" t="s">
        <v>1246</v>
      </c>
      <c r="H61" s="32"/>
      <c r="I61" s="32"/>
      <c r="J61" s="30" t="s">
        <v>52</v>
      </c>
      <c r="K61" s="29" t="s">
        <v>1247</v>
      </c>
      <c r="L61" s="29" t="s">
        <v>1247</v>
      </c>
      <c r="M61" s="30"/>
      <c r="N61" s="38" t="s">
        <v>27</v>
      </c>
    </row>
    <row r="62" s="19" customFormat="1" customHeight="1" spans="1:14">
      <c r="A62" s="28"/>
      <c r="B62" s="29" t="s">
        <v>931</v>
      </c>
      <c r="C62" s="34" t="s">
        <v>287</v>
      </c>
      <c r="D62" s="34" t="s">
        <v>215</v>
      </c>
      <c r="E62" s="34" t="s">
        <v>188</v>
      </c>
      <c r="F62" s="34" t="s">
        <v>42</v>
      </c>
      <c r="G62" s="35" t="s">
        <v>432</v>
      </c>
      <c r="H62" s="36"/>
      <c r="I62" s="36"/>
      <c r="J62" s="34" t="s">
        <v>52</v>
      </c>
      <c r="K62" s="34">
        <v>1000</v>
      </c>
      <c r="L62" s="34">
        <v>900</v>
      </c>
      <c r="M62" s="34"/>
      <c r="N62" s="40" t="s">
        <v>27</v>
      </c>
    </row>
    <row r="63" customHeight="1" spans="1:14">
      <c r="A63" s="28" t="s">
        <v>433</v>
      </c>
      <c r="B63" s="29" t="s">
        <v>932</v>
      </c>
      <c r="C63" s="30" t="s">
        <v>287</v>
      </c>
      <c r="D63" s="30" t="s">
        <v>215</v>
      </c>
      <c r="E63" s="30" t="s">
        <v>188</v>
      </c>
      <c r="F63" s="30" t="s">
        <v>42</v>
      </c>
      <c r="G63" s="32" t="s">
        <v>434</v>
      </c>
      <c r="H63" s="32" t="s">
        <v>435</v>
      </c>
      <c r="I63" s="32" t="s">
        <v>436</v>
      </c>
      <c r="J63" s="30" t="s">
        <v>52</v>
      </c>
      <c r="K63" s="29" t="s">
        <v>933</v>
      </c>
      <c r="L63" s="29" t="s">
        <v>933</v>
      </c>
      <c r="M63" s="32" t="s">
        <v>893</v>
      </c>
      <c r="N63" s="38" t="s">
        <v>27</v>
      </c>
    </row>
    <row r="64" customHeight="1" spans="1:14">
      <c r="A64" s="28" t="s">
        <v>1248</v>
      </c>
      <c r="B64" s="29" t="s">
        <v>1249</v>
      </c>
      <c r="C64" s="30" t="s">
        <v>287</v>
      </c>
      <c r="D64" s="30" t="s">
        <v>215</v>
      </c>
      <c r="E64" s="30" t="s">
        <v>188</v>
      </c>
      <c r="F64" s="30" t="s">
        <v>42</v>
      </c>
      <c r="G64" s="32" t="s">
        <v>1250</v>
      </c>
      <c r="H64" s="32"/>
      <c r="I64" s="32"/>
      <c r="J64" s="30" t="s">
        <v>52</v>
      </c>
      <c r="K64" s="29" t="s">
        <v>1020</v>
      </c>
      <c r="L64" s="29" t="s">
        <v>1020</v>
      </c>
      <c r="M64" s="30"/>
      <c r="N64" s="38" t="s">
        <v>27</v>
      </c>
    </row>
    <row r="65" s="19" customFormat="1" customHeight="1" spans="1:14">
      <c r="A65" s="28"/>
      <c r="B65" s="29" t="s">
        <v>934</v>
      </c>
      <c r="C65" s="34" t="s">
        <v>287</v>
      </c>
      <c r="D65" s="34" t="s">
        <v>215</v>
      </c>
      <c r="E65" s="34" t="s">
        <v>188</v>
      </c>
      <c r="F65" s="34" t="s">
        <v>42</v>
      </c>
      <c r="G65" s="35" t="s">
        <v>437</v>
      </c>
      <c r="H65" s="36"/>
      <c r="I65" s="36"/>
      <c r="J65" s="34" t="s">
        <v>52</v>
      </c>
      <c r="K65" s="34">
        <v>1000</v>
      </c>
      <c r="L65" s="34">
        <v>900</v>
      </c>
      <c r="M65" s="34"/>
      <c r="N65" s="40" t="s">
        <v>27</v>
      </c>
    </row>
    <row r="66" customHeight="1" spans="1:14">
      <c r="A66" s="28" t="s">
        <v>438</v>
      </c>
      <c r="B66" s="29" t="s">
        <v>935</v>
      </c>
      <c r="C66" s="30" t="s">
        <v>287</v>
      </c>
      <c r="D66" s="30" t="s">
        <v>215</v>
      </c>
      <c r="E66" s="30" t="s">
        <v>188</v>
      </c>
      <c r="F66" s="30" t="s">
        <v>42</v>
      </c>
      <c r="G66" s="32" t="s">
        <v>439</v>
      </c>
      <c r="H66" s="32" t="s">
        <v>440</v>
      </c>
      <c r="I66" s="32" t="s">
        <v>441</v>
      </c>
      <c r="J66" s="30" t="s">
        <v>52</v>
      </c>
      <c r="K66" s="29" t="s">
        <v>936</v>
      </c>
      <c r="L66" s="29" t="s">
        <v>936</v>
      </c>
      <c r="M66" s="32" t="s">
        <v>852</v>
      </c>
      <c r="N66" s="38" t="s">
        <v>27</v>
      </c>
    </row>
    <row r="67" customHeight="1" spans="1:14">
      <c r="A67" s="28" t="s">
        <v>1251</v>
      </c>
      <c r="B67" s="29" t="s">
        <v>1252</v>
      </c>
      <c r="C67" s="30" t="s">
        <v>287</v>
      </c>
      <c r="D67" s="30" t="s">
        <v>215</v>
      </c>
      <c r="E67" s="30" t="s">
        <v>188</v>
      </c>
      <c r="F67" s="30" t="s">
        <v>42</v>
      </c>
      <c r="G67" s="32" t="s">
        <v>1253</v>
      </c>
      <c r="H67" s="32"/>
      <c r="I67" s="32"/>
      <c r="J67" s="30" t="s">
        <v>52</v>
      </c>
      <c r="K67" s="29" t="s">
        <v>1006</v>
      </c>
      <c r="L67" s="29" t="s">
        <v>1006</v>
      </c>
      <c r="M67" s="30"/>
      <c r="N67" s="38" t="s">
        <v>27</v>
      </c>
    </row>
    <row r="68" s="19" customFormat="1" customHeight="1" spans="1:14">
      <c r="A68" s="28"/>
      <c r="B68" s="29" t="s">
        <v>937</v>
      </c>
      <c r="C68" s="34" t="s">
        <v>287</v>
      </c>
      <c r="D68" s="34" t="s">
        <v>215</v>
      </c>
      <c r="E68" s="34" t="s">
        <v>188</v>
      </c>
      <c r="F68" s="34" t="s">
        <v>42</v>
      </c>
      <c r="G68" s="35" t="s">
        <v>442</v>
      </c>
      <c r="H68" s="36"/>
      <c r="I68" s="36"/>
      <c r="J68" s="34" t="s">
        <v>52</v>
      </c>
      <c r="K68" s="34">
        <v>600</v>
      </c>
      <c r="L68" s="34">
        <v>540</v>
      </c>
      <c r="M68" s="34"/>
      <c r="N68" s="40" t="s">
        <v>27</v>
      </c>
    </row>
    <row r="69" customHeight="1" spans="1:14">
      <c r="A69" s="28" t="s">
        <v>443</v>
      </c>
      <c r="B69" s="29" t="s">
        <v>938</v>
      </c>
      <c r="C69" s="30" t="s">
        <v>287</v>
      </c>
      <c r="D69" s="30" t="s">
        <v>215</v>
      </c>
      <c r="E69" s="30" t="s">
        <v>188</v>
      </c>
      <c r="F69" s="30" t="s">
        <v>42</v>
      </c>
      <c r="G69" s="32" t="s">
        <v>444</v>
      </c>
      <c r="H69" s="32"/>
      <c r="I69" s="32"/>
      <c r="J69" s="30" t="s">
        <v>52</v>
      </c>
      <c r="K69" s="29" t="s">
        <v>939</v>
      </c>
      <c r="L69" s="29" t="s">
        <v>939</v>
      </c>
      <c r="M69" s="32" t="s">
        <v>852</v>
      </c>
      <c r="N69" s="38" t="s">
        <v>27</v>
      </c>
    </row>
    <row r="70" customHeight="1" spans="1:14">
      <c r="A70" s="28" t="s">
        <v>1254</v>
      </c>
      <c r="B70" s="29" t="s">
        <v>1255</v>
      </c>
      <c r="C70" s="30" t="s">
        <v>287</v>
      </c>
      <c r="D70" s="30" t="s">
        <v>215</v>
      </c>
      <c r="E70" s="30" t="s">
        <v>188</v>
      </c>
      <c r="F70" s="30" t="s">
        <v>42</v>
      </c>
      <c r="G70" s="32" t="s">
        <v>1256</v>
      </c>
      <c r="H70" s="32"/>
      <c r="I70" s="32"/>
      <c r="J70" s="30" t="s">
        <v>52</v>
      </c>
      <c r="K70" s="29" t="s">
        <v>1257</v>
      </c>
      <c r="L70" s="29" t="s">
        <v>1257</v>
      </c>
      <c r="M70" s="30"/>
      <c r="N70" s="38" t="s">
        <v>27</v>
      </c>
    </row>
    <row r="71" s="19" customFormat="1" customHeight="1" spans="1:14">
      <c r="A71" s="28"/>
      <c r="B71" s="29" t="s">
        <v>940</v>
      </c>
      <c r="C71" s="34" t="s">
        <v>287</v>
      </c>
      <c r="D71" s="34" t="s">
        <v>215</v>
      </c>
      <c r="E71" s="34" t="s">
        <v>188</v>
      </c>
      <c r="F71" s="34" t="s">
        <v>42</v>
      </c>
      <c r="G71" s="35" t="s">
        <v>445</v>
      </c>
      <c r="H71" s="36"/>
      <c r="I71" s="36"/>
      <c r="J71" s="34" t="s">
        <v>52</v>
      </c>
      <c r="K71" s="34">
        <v>600</v>
      </c>
      <c r="L71" s="34">
        <v>540</v>
      </c>
      <c r="M71" s="34"/>
      <c r="N71" s="40" t="s">
        <v>27</v>
      </c>
    </row>
    <row r="72" customHeight="1" spans="1:14">
      <c r="A72" s="28" t="s">
        <v>446</v>
      </c>
      <c r="B72" s="29" t="s">
        <v>941</v>
      </c>
      <c r="C72" s="30" t="s">
        <v>287</v>
      </c>
      <c r="D72" s="30" t="s">
        <v>215</v>
      </c>
      <c r="E72" s="30" t="s">
        <v>188</v>
      </c>
      <c r="F72" s="30" t="s">
        <v>42</v>
      </c>
      <c r="G72" s="32" t="s">
        <v>447</v>
      </c>
      <c r="H72" s="32" t="s">
        <v>448</v>
      </c>
      <c r="I72" s="32"/>
      <c r="J72" s="30" t="s">
        <v>52</v>
      </c>
      <c r="K72" s="29" t="s">
        <v>942</v>
      </c>
      <c r="L72" s="29" t="s">
        <v>942</v>
      </c>
      <c r="M72" s="32" t="s">
        <v>852</v>
      </c>
      <c r="N72" s="38" t="s">
        <v>27</v>
      </c>
    </row>
    <row r="73" customHeight="1" spans="1:14">
      <c r="A73" s="28" t="s">
        <v>1258</v>
      </c>
      <c r="B73" s="29" t="s">
        <v>1259</v>
      </c>
      <c r="C73" s="30" t="s">
        <v>287</v>
      </c>
      <c r="D73" s="30" t="s">
        <v>215</v>
      </c>
      <c r="E73" s="30" t="s">
        <v>188</v>
      </c>
      <c r="F73" s="30" t="s">
        <v>42</v>
      </c>
      <c r="G73" s="32" t="s">
        <v>1260</v>
      </c>
      <c r="H73" s="32"/>
      <c r="I73" s="32"/>
      <c r="J73" s="30" t="s">
        <v>52</v>
      </c>
      <c r="K73" s="29" t="s">
        <v>1261</v>
      </c>
      <c r="L73" s="29" t="s">
        <v>1261</v>
      </c>
      <c r="M73" s="30"/>
      <c r="N73" s="38" t="s">
        <v>27</v>
      </c>
    </row>
    <row r="74" s="19" customFormat="1" customHeight="1" spans="1:14">
      <c r="A74" s="28"/>
      <c r="B74" s="29" t="s">
        <v>943</v>
      </c>
      <c r="C74" s="34" t="s">
        <v>287</v>
      </c>
      <c r="D74" s="34" t="s">
        <v>215</v>
      </c>
      <c r="E74" s="34" t="s">
        <v>188</v>
      </c>
      <c r="F74" s="34" t="s">
        <v>42</v>
      </c>
      <c r="G74" s="35" t="s">
        <v>449</v>
      </c>
      <c r="H74" s="36"/>
      <c r="I74" s="36"/>
      <c r="J74" s="34" t="s">
        <v>52</v>
      </c>
      <c r="K74" s="34">
        <v>600</v>
      </c>
      <c r="L74" s="34">
        <v>540</v>
      </c>
      <c r="M74" s="34"/>
      <c r="N74" s="40" t="s">
        <v>27</v>
      </c>
    </row>
    <row r="75" customHeight="1" spans="1:14">
      <c r="A75" s="28" t="s">
        <v>450</v>
      </c>
      <c r="B75" s="29" t="s">
        <v>944</v>
      </c>
      <c r="C75" s="30" t="s">
        <v>287</v>
      </c>
      <c r="D75" s="30" t="s">
        <v>215</v>
      </c>
      <c r="E75" s="30" t="s">
        <v>188</v>
      </c>
      <c r="F75" s="30" t="s">
        <v>42</v>
      </c>
      <c r="G75" s="32" t="s">
        <v>451</v>
      </c>
      <c r="H75" s="32"/>
      <c r="I75" s="32" t="s">
        <v>452</v>
      </c>
      <c r="J75" s="30" t="s">
        <v>52</v>
      </c>
      <c r="K75" s="29" t="s">
        <v>945</v>
      </c>
      <c r="L75" s="29" t="s">
        <v>945</v>
      </c>
      <c r="M75" s="32" t="s">
        <v>893</v>
      </c>
      <c r="N75" s="38" t="s">
        <v>27</v>
      </c>
    </row>
    <row r="76" customHeight="1" spans="1:14">
      <c r="A76" s="28" t="s">
        <v>1262</v>
      </c>
      <c r="B76" s="29" t="s">
        <v>1263</v>
      </c>
      <c r="C76" s="30" t="s">
        <v>287</v>
      </c>
      <c r="D76" s="30" t="s">
        <v>215</v>
      </c>
      <c r="E76" s="30" t="s">
        <v>188</v>
      </c>
      <c r="F76" s="30" t="s">
        <v>42</v>
      </c>
      <c r="G76" s="32" t="s">
        <v>1264</v>
      </c>
      <c r="H76" s="32"/>
      <c r="I76" s="32"/>
      <c r="J76" s="30" t="s">
        <v>52</v>
      </c>
      <c r="K76" s="29" t="s">
        <v>1265</v>
      </c>
      <c r="L76" s="29" t="s">
        <v>1265</v>
      </c>
      <c r="M76" s="30"/>
      <c r="N76" s="38" t="s">
        <v>27</v>
      </c>
    </row>
    <row r="77" s="19" customFormat="1" customHeight="1" spans="1:14">
      <c r="A77" s="44"/>
      <c r="B77" s="29" t="s">
        <v>946</v>
      </c>
      <c r="C77" s="34" t="s">
        <v>287</v>
      </c>
      <c r="D77" s="34" t="s">
        <v>215</v>
      </c>
      <c r="E77" s="34" t="s">
        <v>188</v>
      </c>
      <c r="F77" s="34" t="s">
        <v>42</v>
      </c>
      <c r="G77" s="35" t="s">
        <v>453</v>
      </c>
      <c r="H77" s="36"/>
      <c r="I77" s="36"/>
      <c r="J77" s="34" t="s">
        <v>52</v>
      </c>
      <c r="K77" s="34">
        <v>1000</v>
      </c>
      <c r="L77" s="34">
        <v>900</v>
      </c>
      <c r="M77" s="34"/>
      <c r="N77" s="40" t="s">
        <v>27</v>
      </c>
    </row>
    <row r="78" ht="49.95" customHeight="1" spans="1:14">
      <c r="A78" s="45" t="s">
        <v>1266</v>
      </c>
      <c r="B78" s="29" t="s">
        <v>835</v>
      </c>
      <c r="C78" s="30" t="s">
        <v>287</v>
      </c>
      <c r="D78" s="30" t="s">
        <v>215</v>
      </c>
      <c r="E78" s="30" t="s">
        <v>188</v>
      </c>
      <c r="F78" s="30" t="s">
        <v>42</v>
      </c>
      <c r="G78" s="46" t="s">
        <v>300</v>
      </c>
      <c r="H78" s="32"/>
      <c r="I78" s="32"/>
      <c r="J78" s="30" t="s">
        <v>52</v>
      </c>
      <c r="K78" s="47" t="s">
        <v>803</v>
      </c>
      <c r="L78" s="47" t="s">
        <v>804</v>
      </c>
      <c r="M78" s="32" t="s">
        <v>301</v>
      </c>
      <c r="N78" s="48" t="s">
        <v>27</v>
      </c>
    </row>
    <row r="79" ht="49.95" customHeight="1" spans="1:14">
      <c r="A79" s="45" t="s">
        <v>1267</v>
      </c>
      <c r="B79" s="29" t="s">
        <v>832</v>
      </c>
      <c r="C79" s="30" t="s">
        <v>287</v>
      </c>
      <c r="D79" s="30" t="s">
        <v>215</v>
      </c>
      <c r="E79" s="30" t="s">
        <v>188</v>
      </c>
      <c r="F79" s="30" t="s">
        <v>42</v>
      </c>
      <c r="G79" s="46" t="s">
        <v>298</v>
      </c>
      <c r="H79" s="32"/>
      <c r="I79" s="32"/>
      <c r="J79" s="30" t="s">
        <v>52</v>
      </c>
      <c r="K79" s="47" t="s">
        <v>833</v>
      </c>
      <c r="L79" s="47" t="s">
        <v>834</v>
      </c>
      <c r="M79" s="32" t="s">
        <v>299</v>
      </c>
      <c r="N79" s="48" t="s">
        <v>27</v>
      </c>
    </row>
    <row r="80" ht="49.95" customHeight="1"/>
  </sheetData>
  <sheetProtection formatCells="0" insertHyperlinks="0" autoFilter="0"/>
  <autoFilter ref="A1:XFB79">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6"/>
  <sheetViews>
    <sheetView workbookViewId="0">
      <selection activeCell="K1" sqref="K$1:K$1048576"/>
    </sheetView>
  </sheetViews>
  <sheetFormatPr defaultColWidth="9" defaultRowHeight="15.6" outlineLevelRow="5"/>
  <cols>
    <col min="2" max="2" width="12.7" customWidth="1"/>
    <col min="6" max="6" width="11.2" customWidth="1"/>
    <col min="11" max="11" width="22.1" customWidth="1"/>
    <col min="12" max="12" width="49.6" customWidth="1"/>
  </cols>
  <sheetData>
    <row r="1" s="1" customFormat="1" ht="49.95" customHeight="1" spans="1:24">
      <c r="A1" s="2" t="s">
        <v>3</v>
      </c>
      <c r="B1" s="3" t="s">
        <v>4</v>
      </c>
      <c r="C1" s="3" t="s">
        <v>611</v>
      </c>
      <c r="D1" s="3" t="s">
        <v>612</v>
      </c>
      <c r="E1" s="3" t="s">
        <v>613</v>
      </c>
      <c r="F1" s="3" t="s">
        <v>614</v>
      </c>
      <c r="G1" s="2" t="s">
        <v>5</v>
      </c>
      <c r="H1" s="4" t="s">
        <v>6</v>
      </c>
      <c r="I1" s="4" t="s">
        <v>7</v>
      </c>
      <c r="J1" s="4" t="s">
        <v>8</v>
      </c>
      <c r="K1" s="11" t="s">
        <v>9</v>
      </c>
      <c r="L1" s="11" t="s">
        <v>10</v>
      </c>
      <c r="M1" s="11" t="s">
        <v>11</v>
      </c>
      <c r="N1" s="11" t="s">
        <v>12</v>
      </c>
      <c r="O1" s="12" t="s">
        <v>615</v>
      </c>
      <c r="P1" s="13" t="s">
        <v>616</v>
      </c>
      <c r="Q1" s="11" t="s">
        <v>15</v>
      </c>
      <c r="R1" s="2" t="s">
        <v>16</v>
      </c>
      <c r="S1" s="2" t="s">
        <v>617</v>
      </c>
      <c r="T1" s="2" t="s">
        <v>18</v>
      </c>
      <c r="U1" s="16"/>
      <c r="V1" s="16"/>
      <c r="W1" s="16"/>
      <c r="X1" s="2" t="s">
        <v>618</v>
      </c>
    </row>
    <row r="2" ht="76.05" customHeight="1" spans="1:24">
      <c r="A2" s="5"/>
      <c r="B2" s="6" t="s">
        <v>1268</v>
      </c>
      <c r="C2" s="7">
        <f>LEN(B2)</f>
        <v>9</v>
      </c>
      <c r="D2" s="7" t="str">
        <f>LEFT(B2,4)</f>
        <v>3304</v>
      </c>
      <c r="E2" s="7" t="str">
        <f>LEFT(B2,6)</f>
        <v>330403</v>
      </c>
      <c r="F2" s="7" t="str">
        <f>LEFT(B2,9)</f>
        <v>330403009</v>
      </c>
      <c r="G2" s="8" t="s">
        <v>287</v>
      </c>
      <c r="H2" s="8" t="s">
        <v>215</v>
      </c>
      <c r="I2" s="8" t="s">
        <v>188</v>
      </c>
      <c r="J2" s="8" t="s">
        <v>42</v>
      </c>
      <c r="K2" s="14" t="s">
        <v>340</v>
      </c>
      <c r="L2" s="14" t="s">
        <v>1269</v>
      </c>
      <c r="M2" s="5"/>
      <c r="N2" s="15" t="s">
        <v>52</v>
      </c>
      <c r="O2" s="5"/>
      <c r="P2" s="5"/>
      <c r="Q2" s="5"/>
      <c r="R2" s="5"/>
      <c r="S2" s="5"/>
      <c r="T2" s="5"/>
      <c r="U2" s="5"/>
      <c r="V2" s="5"/>
      <c r="W2" s="5"/>
      <c r="X2" s="5"/>
    </row>
    <row r="3" ht="109.2" spans="1:24">
      <c r="A3" s="5"/>
      <c r="B3" s="6" t="s">
        <v>1270</v>
      </c>
      <c r="C3" s="7">
        <f>LEN(B3)</f>
        <v>9</v>
      </c>
      <c r="D3" s="7" t="str">
        <f>LEFT(B3,4)</f>
        <v>3310</v>
      </c>
      <c r="E3" s="7" t="str">
        <f>LEFT(B3,6)</f>
        <v>331002</v>
      </c>
      <c r="F3" s="7" t="str">
        <f>LEFT(B3,9)</f>
        <v>331002017</v>
      </c>
      <c r="G3" s="8" t="s">
        <v>287</v>
      </c>
      <c r="H3" s="8" t="s">
        <v>215</v>
      </c>
      <c r="I3" s="8" t="s">
        <v>188</v>
      </c>
      <c r="J3" s="8" t="s">
        <v>42</v>
      </c>
      <c r="K3" s="14" t="s">
        <v>491</v>
      </c>
      <c r="L3" s="14" t="s">
        <v>1271</v>
      </c>
      <c r="M3" s="5"/>
      <c r="N3" s="15" t="s">
        <v>52</v>
      </c>
      <c r="O3" s="5"/>
      <c r="P3" s="5"/>
      <c r="Q3" s="5"/>
      <c r="R3" s="5"/>
      <c r="S3" s="5"/>
      <c r="T3" s="5"/>
      <c r="U3" s="5"/>
      <c r="V3" s="5"/>
      <c r="W3" s="5"/>
      <c r="X3" s="5"/>
    </row>
    <row r="4" ht="93.6" spans="1:24">
      <c r="A4" s="5"/>
      <c r="B4" s="6" t="s">
        <v>1272</v>
      </c>
      <c r="C4" s="7">
        <f>LEN(B4)</f>
        <v>9</v>
      </c>
      <c r="D4" s="7" t="str">
        <f>LEFT(B4,4)</f>
        <v>3315</v>
      </c>
      <c r="E4" s="7" t="str">
        <f>LEFT(B4,6)</f>
        <v>331506</v>
      </c>
      <c r="F4" s="7" t="str">
        <f>LEFT(B4,9)</f>
        <v>331506025</v>
      </c>
      <c r="G4" s="8" t="s">
        <v>287</v>
      </c>
      <c r="H4" s="8" t="s">
        <v>215</v>
      </c>
      <c r="I4" s="8" t="s">
        <v>188</v>
      </c>
      <c r="J4" s="8" t="s">
        <v>42</v>
      </c>
      <c r="K4" s="14" t="s">
        <v>565</v>
      </c>
      <c r="L4" s="14" t="s">
        <v>1273</v>
      </c>
      <c r="M4" s="5"/>
      <c r="N4" s="15" t="s">
        <v>52</v>
      </c>
      <c r="O4" s="5"/>
      <c r="P4" s="5"/>
      <c r="Q4" s="5"/>
      <c r="R4" s="5"/>
      <c r="S4" s="5"/>
      <c r="T4" s="5"/>
      <c r="U4" s="5"/>
      <c r="V4" s="5"/>
      <c r="W4" s="5"/>
      <c r="X4" s="5"/>
    </row>
    <row r="5" ht="72" customHeight="1" spans="1:24">
      <c r="A5" s="5"/>
      <c r="B5" s="6" t="s">
        <v>1274</v>
      </c>
      <c r="C5" s="7">
        <f>LEN(B5)</f>
        <v>9</v>
      </c>
      <c r="D5" s="7" t="str">
        <f>LEFT(B5,4)</f>
        <v>3315</v>
      </c>
      <c r="E5" s="7" t="str">
        <f>LEFT(B5,6)</f>
        <v>331522</v>
      </c>
      <c r="F5" s="7" t="str">
        <f>LEFT(B5,9)</f>
        <v>331522017</v>
      </c>
      <c r="G5" s="8" t="s">
        <v>287</v>
      </c>
      <c r="H5" s="8" t="s">
        <v>215</v>
      </c>
      <c r="I5" s="8" t="s">
        <v>188</v>
      </c>
      <c r="J5" s="8" t="s">
        <v>42</v>
      </c>
      <c r="K5" s="14" t="s">
        <v>574</v>
      </c>
      <c r="L5" s="14" t="s">
        <v>1275</v>
      </c>
      <c r="M5" s="5"/>
      <c r="N5" s="15" t="s">
        <v>52</v>
      </c>
      <c r="O5" s="5"/>
      <c r="P5" s="5"/>
      <c r="Q5" s="5"/>
      <c r="R5" s="5"/>
      <c r="S5" s="5"/>
      <c r="T5" s="5"/>
      <c r="U5" s="5"/>
      <c r="V5" s="5"/>
      <c r="W5" s="5"/>
      <c r="X5" s="17" t="s">
        <v>1276</v>
      </c>
    </row>
    <row r="6" ht="114" customHeight="1" spans="1:24">
      <c r="A6" s="5"/>
      <c r="B6" s="6" t="s">
        <v>1277</v>
      </c>
      <c r="C6" s="7">
        <f>LEN(B6)</f>
        <v>9</v>
      </c>
      <c r="D6" s="7" t="str">
        <f>LEFT(B6,4)</f>
        <v>3401</v>
      </c>
      <c r="E6" s="7" t="str">
        <f>LEFT(B6,6)</f>
        <v>340100</v>
      </c>
      <c r="F6" s="7" t="str">
        <f>LEFT(B6,9)</f>
        <v>340100031</v>
      </c>
      <c r="G6" s="9" t="s">
        <v>35</v>
      </c>
      <c r="H6" s="10" t="s">
        <v>36</v>
      </c>
      <c r="I6" s="9" t="s">
        <v>198</v>
      </c>
      <c r="J6" s="10" t="s">
        <v>36</v>
      </c>
      <c r="K6" s="14" t="s">
        <v>585</v>
      </c>
      <c r="L6" s="14" t="s">
        <v>1278</v>
      </c>
      <c r="M6" s="5"/>
      <c r="N6" s="15" t="s">
        <v>52</v>
      </c>
      <c r="O6" s="5"/>
      <c r="P6" s="5"/>
      <c r="Q6" s="5"/>
      <c r="R6" s="5"/>
      <c r="S6" s="5"/>
      <c r="T6" s="5"/>
      <c r="U6" s="5"/>
      <c r="V6" s="5"/>
      <c r="W6" s="5"/>
      <c r="X6" s="5"/>
    </row>
  </sheetData>
  <sheetProtection formatCells="0" insertHyperlinks="0" autoFilter="0"/>
  <sortState ref="A2:T6">
    <sortCondition ref="D2"/>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Office WWO_wpscloud_20220531170121-5ca797624d</Application>
  <HeadingPairs>
    <vt:vector size="2" baseType="variant">
      <vt:variant>
        <vt:lpstr>工作表</vt:lpstr>
      </vt:variant>
      <vt:variant>
        <vt:i4>6</vt:i4>
      </vt:variant>
    </vt:vector>
  </HeadingPairs>
  <TitlesOfParts>
    <vt:vector size="6" baseType="lpstr">
      <vt:lpstr>附件1</vt:lpstr>
      <vt:lpstr>总表 (不含新增)</vt:lpstr>
      <vt:lpstr>附件1（操作项目已纳入总表）</vt:lpstr>
      <vt:lpstr>附件2（检验项目已纳入总表）</vt:lpstr>
      <vt:lpstr>附件3（辅助操作纳入总表）</vt:lpstr>
      <vt:lpstr>附件4（新增项目纳入总表）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DRG2</dc:creator>
  <cp:lastModifiedBy>shsyj</cp:lastModifiedBy>
  <dcterms:created xsi:type="dcterms:W3CDTF">1997-01-16T17:32:00Z</dcterms:created>
  <dcterms:modified xsi:type="dcterms:W3CDTF">2022-09-09T01:38:56Z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2052-10.8.2.6666</vt:lpwstr>
  </property>
  <property fmtid="{D5CDD505-2E9C-101B-9397-08002B2CF9AE}" pid="3" name="ICV">
    <vt:lpwstr>EE762D8B0BD2412781BB25FE8556EEB6</vt:lpwstr>
  </property>
</Properties>
</file>