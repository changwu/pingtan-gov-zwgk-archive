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项目安排明细表" sheetId="4" r:id="rId1"/>
    <sheet name="Sheet3" sheetId="3" r:id="rId2"/>
  </sheets>
  <calcPr calcId="144525"/>
</workbook>
</file>

<file path=xl/sharedStrings.xml><?xml version="1.0" encoding="utf-8"?>
<sst xmlns="http://schemas.openxmlformats.org/spreadsheetml/2006/main" count="100" uniqueCount="83">
  <si>
    <t>附件1:</t>
  </si>
  <si>
    <t>平潭综合实验区社会事业局2019年义务教育薄弱环节改善与能力提升项目安排明细表</t>
  </si>
  <si>
    <t>项目学校代码</t>
  </si>
  <si>
    <t>项目编号</t>
  </si>
  <si>
    <t>项目名称</t>
  </si>
  <si>
    <t>学校基本信息</t>
  </si>
  <si>
    <t>项目基本情况</t>
  </si>
  <si>
    <t>资金来源(万元)</t>
  </si>
  <si>
    <t>资金投向（万元）</t>
  </si>
  <si>
    <t>备注</t>
  </si>
  <si>
    <t>办学类型</t>
  </si>
  <si>
    <t>班级数（个）</t>
  </si>
  <si>
    <t>现有在校生数（人）</t>
  </si>
  <si>
    <t>项目类型（1城镇扩容2两类学校建设3其他）</t>
  </si>
  <si>
    <t>项目性质（1、2、3、4）</t>
  </si>
  <si>
    <t>建设类项目进展情况</t>
  </si>
  <si>
    <t>立项批文</t>
  </si>
  <si>
    <t>（预计）开工时间（20**年**月）</t>
  </si>
  <si>
    <t>扩容项目拟新增学额（个）</t>
  </si>
  <si>
    <t>合计</t>
  </si>
  <si>
    <t>省级以上</t>
  </si>
  <si>
    <t>其他</t>
  </si>
  <si>
    <t>工程项目类</t>
  </si>
  <si>
    <t>设施设备类</t>
  </si>
  <si>
    <t>小计</t>
  </si>
  <si>
    <t>其中：寄宿生数</t>
  </si>
  <si>
    <t>地(市)级</t>
  </si>
  <si>
    <t>县级</t>
  </si>
  <si>
    <t>小计(万元)</t>
  </si>
  <si>
    <t>校舍建设</t>
  </si>
  <si>
    <t>室外运动场</t>
  </si>
  <si>
    <t>校园校舍其他配套设施建设</t>
  </si>
  <si>
    <t>购置生活设施（万元）</t>
  </si>
  <si>
    <t>图书</t>
  </si>
  <si>
    <t>购置数字教育资源（万元）</t>
  </si>
  <si>
    <t>课桌凳</t>
  </si>
  <si>
    <t>购置计算机、信息技术及教学仪器设备等</t>
  </si>
  <si>
    <t>其他配套设备</t>
  </si>
  <si>
    <t>金额（万元）</t>
  </si>
  <si>
    <t>规划建设面积（平方米）</t>
  </si>
  <si>
    <t>围墙(米)</t>
  </si>
  <si>
    <t>(立方米)
护坎(坡)</t>
  </si>
  <si>
    <t>数量（册）</t>
  </si>
  <si>
    <t>数量（单人套）</t>
  </si>
  <si>
    <t>小计
(万元)</t>
  </si>
  <si>
    <t>计算机</t>
  </si>
  <si>
    <t>多媒体远程教学设备(含接收、播放、网络设备等)（万元）</t>
  </si>
  <si>
    <t>实验实习设备（万元）</t>
  </si>
  <si>
    <t>音体美等器材（万元）</t>
  </si>
  <si>
    <t>计（万元）</t>
  </si>
  <si>
    <t>其中：安防设施设备（万元）</t>
  </si>
  <si>
    <t>数量（台）</t>
  </si>
  <si>
    <t>其中：网络设备（万元）</t>
  </si>
  <si>
    <t>其中：专递课堂、同步课堂设备（万元）</t>
  </si>
  <si>
    <t>平潭综合实验区</t>
  </si>
  <si>
    <t>001</t>
  </si>
  <si>
    <t>平潭先建小学</t>
  </si>
  <si>
    <t>小学</t>
  </si>
  <si>
    <t>两类学校</t>
  </si>
  <si>
    <t>4设备购置</t>
  </si>
  <si>
    <t>002</t>
  </si>
  <si>
    <t>平潭东庠学校</t>
  </si>
  <si>
    <t>九年一贯制学校</t>
  </si>
  <si>
    <t>003</t>
  </si>
  <si>
    <t>平潭苏澳学校</t>
  </si>
  <si>
    <t>004</t>
  </si>
  <si>
    <t>平潭大磹下小学</t>
  </si>
  <si>
    <t>备注：</t>
  </si>
  <si>
    <t>1.办学类型分：小学、 小学教学点、 初级中学、九年一贯制学校、完全中学、十二年一贯制学校。</t>
  </si>
  <si>
    <t>2.项目学校代码、项目学校名称、工程建设类项目名称及项目编号应与义务教育薄弱环节改善与能力提升规划综表4-1-1中相应内容完全一致。</t>
  </si>
  <si>
    <t>3.项目类型分：1城镇扩容、2两类学校建设、3其他。</t>
  </si>
  <si>
    <t>4.项目性质分：1新建 2改扩建 3维修加固 4设备购置，可从下拉菜单中选择。</t>
  </si>
  <si>
    <t>5.建设项目进展情况分完成可研设计,完成初步设计,完成施工图设计,预算审核,施工招标和监理招标,取得施工许可证,基础施工,主体在建,完工,竣工验收，可从下拉菜单中选择。</t>
  </si>
  <si>
    <t>完成可研设计</t>
  </si>
  <si>
    <t>完成初步设计</t>
  </si>
  <si>
    <t>完成施工图设计</t>
  </si>
  <si>
    <t>预算审核</t>
  </si>
  <si>
    <t>施工招标和监理招标</t>
  </si>
  <si>
    <t>取得施工许可证</t>
  </si>
  <si>
    <t>基础施工</t>
  </si>
  <si>
    <t>主体在建</t>
  </si>
  <si>
    <t>完工</t>
  </si>
  <si>
    <t>竣工验收</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</si>
</sst>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 "/>
  </numFmts>
  <fonts count="31">
    <font>
      <sz val="11"/>
      <color theme="1"/>
      <name val="宋体"/>
      <charset val="134"/>
      <scheme val="minor"/>
    </font>
    <font>
      <sz val="11"/>
      <name val="宋体"/>
      <charset val="134"/>
      <scheme val="minor"/>
    </font>
    <font>
      <sz val="16"/>
      <name val="仿宋_GB2312"/>
      <charset val="134"/>
    </font>
    <font>
      <sz val="18"/>
      <name val="方正小标宋简体"/>
      <charset val="134"/>
    </font>
    <font>
      <sz val="9"/>
      <name val="宋体"/>
      <charset val="134"/>
    </font>
    <font>
      <sz val="9"/>
      <name val="仿宋"/>
      <charset val="134"/>
    </font>
    <font>
      <sz val="9"/>
      <name val="宋体"/>
      <charset val="134"/>
      <scheme val="minor"/>
    </font>
    <font>
      <sz val="11"/>
      <name val="宋体"/>
      <charset val="134"/>
    </font>
    <font>
      <sz val="12"/>
      <name val="宋体"/>
      <charset val="134"/>
      <scheme val="minor"/>
    </font>
    <font>
      <sz val="12"/>
      <name val="宋体"/>
      <charset val="134"/>
    </font>
    <font>
      <sz val="6"/>
      <name val="宋体"/>
      <charset val="134"/>
    </font>
    <font>
      <sz val="16"/>
      <name val="黑体"/>
      <charset val="134"/>
    </font>
    <font>
      <b/>
      <sz val="18"/>
      <color theme="3"/>
      <name val="宋体"/>
      <charset val="134"/>
      <scheme val="minor"/>
    </font>
    <font>
      <sz val="11"/>
      <color theme="1"/>
      <name val="宋体"/>
      <charset val="0"/>
      <scheme val="minor"/>
    </font>
    <font>
      <sz val="11"/>
      <color theme="0"/>
      <name val="宋体"/>
      <charset val="0"/>
      <scheme val="minor"/>
    </font>
    <font>
      <sz val="11"/>
      <color rgb="FF3F3F76"/>
      <name val="宋体"/>
      <charset val="0"/>
      <scheme val="minor"/>
    </font>
    <font>
      <b/>
      <sz val="11"/>
      <color rgb="FF3F3F3F"/>
      <name val="宋体"/>
      <charset val="0"/>
      <scheme val="minor"/>
    </font>
    <font>
      <sz val="11"/>
      <color rgb="FFFF0000"/>
      <name val="宋体"/>
      <charset val="0"/>
      <scheme val="minor"/>
    </font>
    <font>
      <sz val="11"/>
      <color rgb="FF9C0006"/>
      <name val="宋体"/>
      <charset val="0"/>
      <scheme val="minor"/>
    </font>
    <font>
      <i/>
      <sz val="11"/>
      <color rgb="FF7F7F7F"/>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b/>
      <sz val="15"/>
      <color theme="3"/>
      <name val="宋体"/>
      <charset val="134"/>
      <scheme val="minor"/>
    </font>
    <font>
      <b/>
      <sz val="13"/>
      <color theme="3"/>
      <name val="宋体"/>
      <charset val="134"/>
      <scheme val="minor"/>
    </font>
    <font>
      <sz val="11"/>
      <color rgb="FFFA7D00"/>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13" fillId="8" borderId="0" applyNumberFormat="0" applyBorder="0" applyAlignment="0" applyProtection="0">
      <alignment vertical="center"/>
    </xf>
    <xf numFmtId="0" fontId="15" fillId="6"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2" borderId="0" applyNumberFormat="0" applyBorder="0" applyAlignment="0" applyProtection="0">
      <alignment vertical="center"/>
    </xf>
    <xf numFmtId="0" fontId="18" fillId="9" borderId="0" applyNumberFormat="0" applyBorder="0" applyAlignment="0" applyProtection="0">
      <alignment vertical="center"/>
    </xf>
    <xf numFmtId="43" fontId="0" fillId="0" borderId="0" applyFont="0" applyFill="0" applyBorder="0" applyAlignment="0" applyProtection="0">
      <alignment vertical="center"/>
    </xf>
    <xf numFmtId="0" fontId="14" fillId="10"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5" borderId="2" applyNumberFormat="0" applyFont="0" applyAlignment="0" applyProtection="0">
      <alignment vertical="center"/>
    </xf>
    <xf numFmtId="0" fontId="14" fillId="14" borderId="0" applyNumberFormat="0" applyBorder="0" applyAlignment="0" applyProtection="0">
      <alignment vertical="center"/>
    </xf>
    <xf numFmtId="0" fontId="2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14" fillId="18" borderId="0" applyNumberFormat="0" applyBorder="0" applyAlignment="0" applyProtection="0">
      <alignment vertical="center"/>
    </xf>
    <xf numFmtId="0" fontId="20" fillId="0" borderId="5" applyNumberFormat="0" applyFill="0" applyAlignment="0" applyProtection="0">
      <alignment vertical="center"/>
    </xf>
    <xf numFmtId="0" fontId="14" fillId="13" borderId="0" applyNumberFormat="0" applyBorder="0" applyAlignment="0" applyProtection="0">
      <alignment vertical="center"/>
    </xf>
    <xf numFmtId="0" fontId="16" fillId="7" borderId="4" applyNumberFormat="0" applyAlignment="0" applyProtection="0">
      <alignment vertical="center"/>
    </xf>
    <xf numFmtId="0" fontId="26" fillId="7" borderId="3" applyNumberFormat="0" applyAlignment="0" applyProtection="0">
      <alignment vertical="center"/>
    </xf>
    <xf numFmtId="0" fontId="27" fillId="21" borderId="8" applyNumberFormat="0" applyAlignment="0" applyProtection="0">
      <alignment vertical="center"/>
    </xf>
    <xf numFmtId="0" fontId="13" fillId="22" borderId="0" applyNumberFormat="0" applyBorder="0" applyAlignment="0" applyProtection="0">
      <alignment vertical="center"/>
    </xf>
    <xf numFmtId="0" fontId="14" fillId="23" borderId="0" applyNumberFormat="0" applyBorder="0" applyAlignment="0" applyProtection="0">
      <alignment vertical="center"/>
    </xf>
    <xf numFmtId="0" fontId="25" fillId="0" borderId="7" applyNumberFormat="0" applyFill="0" applyAlignment="0" applyProtection="0">
      <alignment vertical="center"/>
    </xf>
    <xf numFmtId="0" fontId="28" fillId="0" borderId="9" applyNumberFormat="0" applyFill="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13" fillId="26" borderId="0" applyNumberFormat="0" applyBorder="0" applyAlignment="0" applyProtection="0">
      <alignment vertical="center"/>
    </xf>
    <xf numFmtId="0" fontId="14" fillId="27"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13" fillId="1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3" fillId="16" borderId="0" applyNumberFormat="0" applyBorder="0" applyAlignment="0" applyProtection="0">
      <alignment vertical="center"/>
    </xf>
    <xf numFmtId="0" fontId="13" fillId="11" borderId="0" applyNumberFormat="0" applyBorder="0" applyAlignment="0" applyProtection="0">
      <alignment vertical="center"/>
    </xf>
    <xf numFmtId="0" fontId="14" fillId="3" borderId="0" applyNumberFormat="0" applyBorder="0" applyAlignment="0" applyProtection="0">
      <alignment vertical="center"/>
    </xf>
    <xf numFmtId="0" fontId="13" fillId="28"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3" fillId="31" borderId="0" applyNumberFormat="0" applyBorder="0" applyAlignment="0" applyProtection="0">
      <alignment vertical="center"/>
    </xf>
    <xf numFmtId="0" fontId="14" fillId="32" borderId="0" applyNumberFormat="0" applyBorder="0" applyAlignment="0" applyProtection="0">
      <alignment vertical="center"/>
    </xf>
    <xf numFmtId="0" fontId="0" fillId="0" borderId="0">
      <alignment vertical="center"/>
    </xf>
  </cellStyleXfs>
  <cellXfs count="32">
    <xf numFmtId="0" fontId="0" fillId="0" borderId="0" xfId="0"/>
    <xf numFmtId="0" fontId="1" fillId="0" borderId="0" xfId="0" applyFont="1"/>
    <xf numFmtId="0" fontId="1" fillId="0" borderId="0" xfId="0" applyFont="1" applyAlignment="1">
      <alignment wrapText="1"/>
    </xf>
    <xf numFmtId="0" fontId="2" fillId="0" borderId="0" xfId="0" applyFont="1" applyBorder="1" applyAlignment="1">
      <alignment horizontal="left" vertical="center"/>
    </xf>
    <xf numFmtId="0" fontId="3" fillId="0" borderId="0" xfId="0" applyFont="1" applyAlignment="1">
      <alignment horizontal="center" vertical="center"/>
    </xf>
    <xf numFmtId="49" fontId="4" fillId="0" borderId="1" xfId="0" applyNumberFormat="1" applyFont="1" applyFill="1" applyBorder="1" applyAlignment="1">
      <alignment horizontal="center" vertical="center" wrapText="1"/>
    </xf>
    <xf numFmtId="176" fontId="4" fillId="0" borderId="1" xfId="0" applyNumberFormat="1" applyFont="1" applyFill="1" applyBorder="1" applyAlignment="1" applyProtection="1">
      <alignment horizontal="center" vertical="center" wrapText="1"/>
    </xf>
    <xf numFmtId="176" fontId="4" fillId="0" borderId="1" xfId="0" applyNumberFormat="1" applyFont="1" applyFill="1" applyBorder="1" applyAlignment="1" applyProtection="1">
      <alignment vertical="center" wrapText="1"/>
    </xf>
    <xf numFmtId="49" fontId="4"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pplyProtection="1">
      <alignment horizontal="center" vertical="center" wrapText="1"/>
      <protection locked="0"/>
    </xf>
    <xf numFmtId="0" fontId="4" fillId="0" borderId="1" xfId="0" applyFont="1" applyBorder="1" applyAlignment="1">
      <alignment horizontal="center" vertical="center" wrapText="1"/>
    </xf>
    <xf numFmtId="0" fontId="6" fillId="0" borderId="1" xfId="0" applyFont="1" applyBorder="1" applyAlignment="1">
      <alignment horizontal="center" vertical="center"/>
    </xf>
    <xf numFmtId="0" fontId="1" fillId="0" borderId="1" xfId="0" applyFont="1" applyBorder="1" applyAlignment="1">
      <alignment vertical="center"/>
    </xf>
    <xf numFmtId="0" fontId="6"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wrapText="1"/>
    </xf>
    <xf numFmtId="0" fontId="7" fillId="0" borderId="1" xfId="0" applyFont="1" applyBorder="1" applyAlignment="1">
      <alignment horizontal="center"/>
    </xf>
    <xf numFmtId="0" fontId="8" fillId="0" borderId="0" xfId="0" applyFont="1" applyAlignment="1">
      <alignment horizontal="left" vertical="center"/>
    </xf>
    <xf numFmtId="0" fontId="9" fillId="0" borderId="0" xfId="0" applyFont="1" applyAlignment="1">
      <alignment horizontal="left" vertical="center"/>
    </xf>
    <xf numFmtId="176" fontId="4" fillId="0" borderId="1" xfId="0" applyNumberFormat="1" applyFont="1" applyBorder="1" applyAlignment="1">
      <alignment horizontal="center" vertical="center" wrapText="1"/>
    </xf>
    <xf numFmtId="176" fontId="4" fillId="0"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176" fontId="4" fillId="0" borderId="1" xfId="0" applyNumberFormat="1" applyFont="1" applyFill="1" applyBorder="1" applyAlignment="1">
      <alignment horizontal="center" vertical="center" textRotation="255" wrapText="1"/>
    </xf>
    <xf numFmtId="176" fontId="10" fillId="0" borderId="1" xfId="0" applyNumberFormat="1" applyFont="1" applyFill="1" applyBorder="1" applyAlignment="1">
      <alignment horizontal="center" vertical="center" wrapText="1"/>
    </xf>
    <xf numFmtId="176" fontId="4" fillId="0" borderId="1" xfId="0" applyNumberFormat="1" applyFont="1" applyFill="1" applyBorder="1" applyAlignment="1">
      <alignment vertical="center" wrapText="1"/>
    </xf>
    <xf numFmtId="176" fontId="10" fillId="0" borderId="1" xfId="0" applyNumberFormat="1" applyFont="1" applyFill="1" applyBorder="1" applyAlignment="1">
      <alignment vertical="center" wrapText="1"/>
    </xf>
    <xf numFmtId="0" fontId="11" fillId="0" borderId="0" xfId="0" applyFont="1" applyAlignment="1">
      <alignment horizontal="left" vertical="center"/>
    </xf>
    <xf numFmtId="0" fontId="6" fillId="0" borderId="1" xfId="0" applyFont="1" applyBorder="1" applyAlignment="1">
      <alignment horizont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Medium9"/>
  <colors>
    <mruColors>
      <color rgb="00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S28"/>
  <sheetViews>
    <sheetView tabSelected="1" zoomScale="85" zoomScaleNormal="85" workbookViewId="0">
      <selection activeCell="W13" sqref="W13"/>
    </sheetView>
  </sheetViews>
  <sheetFormatPr defaultColWidth="9" defaultRowHeight="13.5"/>
  <cols>
    <col min="1" max="1" width="9" style="1"/>
    <col min="2" max="2" width="4.75" style="1" customWidth="1"/>
    <col min="3" max="3" width="13.75" style="1" customWidth="1"/>
    <col min="4" max="5" width="5.13333333333333" style="2" customWidth="1"/>
    <col min="6" max="18" width="5.13333333333333" style="1" customWidth="1"/>
    <col min="19" max="19" width="4.75" style="1" customWidth="1"/>
    <col min="20" max="21" width="3.88333333333333" style="1" customWidth="1"/>
    <col min="22" max="22" width="4.75" style="1" customWidth="1"/>
    <col min="23" max="23" width="4.13333333333333" style="1" customWidth="1"/>
    <col min="24" max="27" width="4.75" style="1" customWidth="1"/>
    <col min="28" max="28" width="3.88333333333333" style="1" customWidth="1"/>
    <col min="29" max="29" width="4.75" style="1" customWidth="1"/>
    <col min="30" max="31" width="3.88333333333333" style="1" customWidth="1"/>
    <col min="32" max="32" width="4.75" style="1" customWidth="1"/>
    <col min="33" max="44" width="3.88333333333333" style="1" customWidth="1"/>
    <col min="45" max="266" width="9" style="1"/>
    <col min="267" max="267" width="4.75" style="1" customWidth="1"/>
    <col min="268" max="268" width="13.75" style="1" customWidth="1"/>
    <col min="269" max="277" width="5.13333333333333" style="1" customWidth="1"/>
    <col min="278" max="278" width="4.75" style="1" customWidth="1"/>
    <col min="279" max="280" width="3.88333333333333" style="1" customWidth="1"/>
    <col min="281" max="281" width="4.75" style="1" customWidth="1"/>
    <col min="282" max="282" width="4.13333333333333" style="1" customWidth="1"/>
    <col min="283" max="286" width="4.75" style="1" customWidth="1"/>
    <col min="287" max="287" width="3.88333333333333" style="1" customWidth="1"/>
    <col min="288" max="288" width="4.75" style="1" customWidth="1"/>
    <col min="289" max="290" width="3.88333333333333" style="1" customWidth="1"/>
    <col min="291" max="291" width="4.75" style="1" customWidth="1"/>
    <col min="292" max="300" width="3.88333333333333" style="1" customWidth="1"/>
    <col min="301" max="522" width="9" style="1"/>
    <col min="523" max="523" width="4.75" style="1" customWidth="1"/>
    <col min="524" max="524" width="13.75" style="1" customWidth="1"/>
    <col min="525" max="533" width="5.13333333333333" style="1" customWidth="1"/>
    <col min="534" max="534" width="4.75" style="1" customWidth="1"/>
    <col min="535" max="536" width="3.88333333333333" style="1" customWidth="1"/>
    <col min="537" max="537" width="4.75" style="1" customWidth="1"/>
    <col min="538" max="538" width="4.13333333333333" style="1" customWidth="1"/>
    <col min="539" max="542" width="4.75" style="1" customWidth="1"/>
    <col min="543" max="543" width="3.88333333333333" style="1" customWidth="1"/>
    <col min="544" max="544" width="4.75" style="1" customWidth="1"/>
    <col min="545" max="546" width="3.88333333333333" style="1" customWidth="1"/>
    <col min="547" max="547" width="4.75" style="1" customWidth="1"/>
    <col min="548" max="556" width="3.88333333333333" style="1" customWidth="1"/>
    <col min="557" max="778" width="9" style="1"/>
    <col min="779" max="779" width="4.75" style="1" customWidth="1"/>
    <col min="780" max="780" width="13.75" style="1" customWidth="1"/>
    <col min="781" max="789" width="5.13333333333333" style="1" customWidth="1"/>
    <col min="790" max="790" width="4.75" style="1" customWidth="1"/>
    <col min="791" max="792" width="3.88333333333333" style="1" customWidth="1"/>
    <col min="793" max="793" width="4.75" style="1" customWidth="1"/>
    <col min="794" max="794" width="4.13333333333333" style="1" customWidth="1"/>
    <col min="795" max="798" width="4.75" style="1" customWidth="1"/>
    <col min="799" max="799" width="3.88333333333333" style="1" customWidth="1"/>
    <col min="800" max="800" width="4.75" style="1" customWidth="1"/>
    <col min="801" max="802" width="3.88333333333333" style="1" customWidth="1"/>
    <col min="803" max="803" width="4.75" style="1" customWidth="1"/>
    <col min="804" max="812" width="3.88333333333333" style="1" customWidth="1"/>
    <col min="813" max="1034" width="9" style="1"/>
    <col min="1035" max="1035" width="4.75" style="1" customWidth="1"/>
    <col min="1036" max="1036" width="13.75" style="1" customWidth="1"/>
    <col min="1037" max="1045" width="5.13333333333333" style="1" customWidth="1"/>
    <col min="1046" max="1046" width="4.75" style="1" customWidth="1"/>
    <col min="1047" max="1048" width="3.88333333333333" style="1" customWidth="1"/>
    <col min="1049" max="1049" width="4.75" style="1" customWidth="1"/>
    <col min="1050" max="1050" width="4.13333333333333" style="1" customWidth="1"/>
    <col min="1051" max="1054" width="4.75" style="1" customWidth="1"/>
    <col min="1055" max="1055" width="3.88333333333333" style="1" customWidth="1"/>
    <col min="1056" max="1056" width="4.75" style="1" customWidth="1"/>
    <col min="1057" max="1058" width="3.88333333333333" style="1" customWidth="1"/>
    <col min="1059" max="1059" width="4.75" style="1" customWidth="1"/>
    <col min="1060" max="1068" width="3.88333333333333" style="1" customWidth="1"/>
    <col min="1069" max="1290" width="9" style="1"/>
    <col min="1291" max="1291" width="4.75" style="1" customWidth="1"/>
    <col min="1292" max="1292" width="13.75" style="1" customWidth="1"/>
    <col min="1293" max="1301" width="5.13333333333333" style="1" customWidth="1"/>
    <col min="1302" max="1302" width="4.75" style="1" customWidth="1"/>
    <col min="1303" max="1304" width="3.88333333333333" style="1" customWidth="1"/>
    <col min="1305" max="1305" width="4.75" style="1" customWidth="1"/>
    <col min="1306" max="1306" width="4.13333333333333" style="1" customWidth="1"/>
    <col min="1307" max="1310" width="4.75" style="1" customWidth="1"/>
    <col min="1311" max="1311" width="3.88333333333333" style="1" customWidth="1"/>
    <col min="1312" max="1312" width="4.75" style="1" customWidth="1"/>
    <col min="1313" max="1314" width="3.88333333333333" style="1" customWidth="1"/>
    <col min="1315" max="1315" width="4.75" style="1" customWidth="1"/>
    <col min="1316" max="1324" width="3.88333333333333" style="1" customWidth="1"/>
    <col min="1325" max="1546" width="9" style="1"/>
    <col min="1547" max="1547" width="4.75" style="1" customWidth="1"/>
    <col min="1548" max="1548" width="13.75" style="1" customWidth="1"/>
    <col min="1549" max="1557" width="5.13333333333333" style="1" customWidth="1"/>
    <col min="1558" max="1558" width="4.75" style="1" customWidth="1"/>
    <col min="1559" max="1560" width="3.88333333333333" style="1" customWidth="1"/>
    <col min="1561" max="1561" width="4.75" style="1" customWidth="1"/>
    <col min="1562" max="1562" width="4.13333333333333" style="1" customWidth="1"/>
    <col min="1563" max="1566" width="4.75" style="1" customWidth="1"/>
    <col min="1567" max="1567" width="3.88333333333333" style="1" customWidth="1"/>
    <col min="1568" max="1568" width="4.75" style="1" customWidth="1"/>
    <col min="1569" max="1570" width="3.88333333333333" style="1" customWidth="1"/>
    <col min="1571" max="1571" width="4.75" style="1" customWidth="1"/>
    <col min="1572" max="1580" width="3.88333333333333" style="1" customWidth="1"/>
    <col min="1581" max="1802" width="9" style="1"/>
    <col min="1803" max="1803" width="4.75" style="1" customWidth="1"/>
    <col min="1804" max="1804" width="13.75" style="1" customWidth="1"/>
    <col min="1805" max="1813" width="5.13333333333333" style="1" customWidth="1"/>
    <col min="1814" max="1814" width="4.75" style="1" customWidth="1"/>
    <col min="1815" max="1816" width="3.88333333333333" style="1" customWidth="1"/>
    <col min="1817" max="1817" width="4.75" style="1" customWidth="1"/>
    <col min="1818" max="1818" width="4.13333333333333" style="1" customWidth="1"/>
    <col min="1819" max="1822" width="4.75" style="1" customWidth="1"/>
    <col min="1823" max="1823" width="3.88333333333333" style="1" customWidth="1"/>
    <col min="1824" max="1824" width="4.75" style="1" customWidth="1"/>
    <col min="1825" max="1826" width="3.88333333333333" style="1" customWidth="1"/>
    <col min="1827" max="1827" width="4.75" style="1" customWidth="1"/>
    <col min="1828" max="1836" width="3.88333333333333" style="1" customWidth="1"/>
    <col min="1837" max="2058" width="9" style="1"/>
    <col min="2059" max="2059" width="4.75" style="1" customWidth="1"/>
    <col min="2060" max="2060" width="13.75" style="1" customWidth="1"/>
    <col min="2061" max="2069" width="5.13333333333333" style="1" customWidth="1"/>
    <col min="2070" max="2070" width="4.75" style="1" customWidth="1"/>
    <col min="2071" max="2072" width="3.88333333333333" style="1" customWidth="1"/>
    <col min="2073" max="2073" width="4.75" style="1" customWidth="1"/>
    <col min="2074" max="2074" width="4.13333333333333" style="1" customWidth="1"/>
    <col min="2075" max="2078" width="4.75" style="1" customWidth="1"/>
    <col min="2079" max="2079" width="3.88333333333333" style="1" customWidth="1"/>
    <col min="2080" max="2080" width="4.75" style="1" customWidth="1"/>
    <col min="2081" max="2082" width="3.88333333333333" style="1" customWidth="1"/>
    <col min="2083" max="2083" width="4.75" style="1" customWidth="1"/>
    <col min="2084" max="2092" width="3.88333333333333" style="1" customWidth="1"/>
    <col min="2093" max="2314" width="9" style="1"/>
    <col min="2315" max="2315" width="4.75" style="1" customWidth="1"/>
    <col min="2316" max="2316" width="13.75" style="1" customWidth="1"/>
    <col min="2317" max="2325" width="5.13333333333333" style="1" customWidth="1"/>
    <col min="2326" max="2326" width="4.75" style="1" customWidth="1"/>
    <col min="2327" max="2328" width="3.88333333333333" style="1" customWidth="1"/>
    <col min="2329" max="2329" width="4.75" style="1" customWidth="1"/>
    <col min="2330" max="2330" width="4.13333333333333" style="1" customWidth="1"/>
    <col min="2331" max="2334" width="4.75" style="1" customWidth="1"/>
    <col min="2335" max="2335" width="3.88333333333333" style="1" customWidth="1"/>
    <col min="2336" max="2336" width="4.75" style="1" customWidth="1"/>
    <col min="2337" max="2338" width="3.88333333333333" style="1" customWidth="1"/>
    <col min="2339" max="2339" width="4.75" style="1" customWidth="1"/>
    <col min="2340" max="2348" width="3.88333333333333" style="1" customWidth="1"/>
    <col min="2349" max="2570" width="9" style="1"/>
    <col min="2571" max="2571" width="4.75" style="1" customWidth="1"/>
    <col min="2572" max="2572" width="13.75" style="1" customWidth="1"/>
    <col min="2573" max="2581" width="5.13333333333333" style="1" customWidth="1"/>
    <col min="2582" max="2582" width="4.75" style="1" customWidth="1"/>
    <col min="2583" max="2584" width="3.88333333333333" style="1" customWidth="1"/>
    <col min="2585" max="2585" width="4.75" style="1" customWidth="1"/>
    <col min="2586" max="2586" width="4.13333333333333" style="1" customWidth="1"/>
    <col min="2587" max="2590" width="4.75" style="1" customWidth="1"/>
    <col min="2591" max="2591" width="3.88333333333333" style="1" customWidth="1"/>
    <col min="2592" max="2592" width="4.75" style="1" customWidth="1"/>
    <col min="2593" max="2594" width="3.88333333333333" style="1" customWidth="1"/>
    <col min="2595" max="2595" width="4.75" style="1" customWidth="1"/>
    <col min="2596" max="2604" width="3.88333333333333" style="1" customWidth="1"/>
    <col min="2605" max="2826" width="9" style="1"/>
    <col min="2827" max="2827" width="4.75" style="1" customWidth="1"/>
    <col min="2828" max="2828" width="13.75" style="1" customWidth="1"/>
    <col min="2829" max="2837" width="5.13333333333333" style="1" customWidth="1"/>
    <col min="2838" max="2838" width="4.75" style="1" customWidth="1"/>
    <col min="2839" max="2840" width="3.88333333333333" style="1" customWidth="1"/>
    <col min="2841" max="2841" width="4.75" style="1" customWidth="1"/>
    <col min="2842" max="2842" width="4.13333333333333" style="1" customWidth="1"/>
    <col min="2843" max="2846" width="4.75" style="1" customWidth="1"/>
    <col min="2847" max="2847" width="3.88333333333333" style="1" customWidth="1"/>
    <col min="2848" max="2848" width="4.75" style="1" customWidth="1"/>
    <col min="2849" max="2850" width="3.88333333333333" style="1" customWidth="1"/>
    <col min="2851" max="2851" width="4.75" style="1" customWidth="1"/>
    <col min="2852" max="2860" width="3.88333333333333" style="1" customWidth="1"/>
    <col min="2861" max="3082" width="9" style="1"/>
    <col min="3083" max="3083" width="4.75" style="1" customWidth="1"/>
    <col min="3084" max="3084" width="13.75" style="1" customWidth="1"/>
    <col min="3085" max="3093" width="5.13333333333333" style="1" customWidth="1"/>
    <col min="3094" max="3094" width="4.75" style="1" customWidth="1"/>
    <col min="3095" max="3096" width="3.88333333333333" style="1" customWidth="1"/>
    <col min="3097" max="3097" width="4.75" style="1" customWidth="1"/>
    <col min="3098" max="3098" width="4.13333333333333" style="1" customWidth="1"/>
    <col min="3099" max="3102" width="4.75" style="1" customWidth="1"/>
    <col min="3103" max="3103" width="3.88333333333333" style="1" customWidth="1"/>
    <col min="3104" max="3104" width="4.75" style="1" customWidth="1"/>
    <col min="3105" max="3106" width="3.88333333333333" style="1" customWidth="1"/>
    <col min="3107" max="3107" width="4.75" style="1" customWidth="1"/>
    <col min="3108" max="3116" width="3.88333333333333" style="1" customWidth="1"/>
    <col min="3117" max="3338" width="9" style="1"/>
    <col min="3339" max="3339" width="4.75" style="1" customWidth="1"/>
    <col min="3340" max="3340" width="13.75" style="1" customWidth="1"/>
    <col min="3341" max="3349" width="5.13333333333333" style="1" customWidth="1"/>
    <col min="3350" max="3350" width="4.75" style="1" customWidth="1"/>
    <col min="3351" max="3352" width="3.88333333333333" style="1" customWidth="1"/>
    <col min="3353" max="3353" width="4.75" style="1" customWidth="1"/>
    <col min="3354" max="3354" width="4.13333333333333" style="1" customWidth="1"/>
    <col min="3355" max="3358" width="4.75" style="1" customWidth="1"/>
    <col min="3359" max="3359" width="3.88333333333333" style="1" customWidth="1"/>
    <col min="3360" max="3360" width="4.75" style="1" customWidth="1"/>
    <col min="3361" max="3362" width="3.88333333333333" style="1" customWidth="1"/>
    <col min="3363" max="3363" width="4.75" style="1" customWidth="1"/>
    <col min="3364" max="3372" width="3.88333333333333" style="1" customWidth="1"/>
    <col min="3373" max="3594" width="9" style="1"/>
    <col min="3595" max="3595" width="4.75" style="1" customWidth="1"/>
    <col min="3596" max="3596" width="13.75" style="1" customWidth="1"/>
    <col min="3597" max="3605" width="5.13333333333333" style="1" customWidth="1"/>
    <col min="3606" max="3606" width="4.75" style="1" customWidth="1"/>
    <col min="3607" max="3608" width="3.88333333333333" style="1" customWidth="1"/>
    <col min="3609" max="3609" width="4.75" style="1" customWidth="1"/>
    <col min="3610" max="3610" width="4.13333333333333" style="1" customWidth="1"/>
    <col min="3611" max="3614" width="4.75" style="1" customWidth="1"/>
    <col min="3615" max="3615" width="3.88333333333333" style="1" customWidth="1"/>
    <col min="3616" max="3616" width="4.75" style="1" customWidth="1"/>
    <col min="3617" max="3618" width="3.88333333333333" style="1" customWidth="1"/>
    <col min="3619" max="3619" width="4.75" style="1" customWidth="1"/>
    <col min="3620" max="3628" width="3.88333333333333" style="1" customWidth="1"/>
    <col min="3629" max="3850" width="9" style="1"/>
    <col min="3851" max="3851" width="4.75" style="1" customWidth="1"/>
    <col min="3852" max="3852" width="13.75" style="1" customWidth="1"/>
    <col min="3853" max="3861" width="5.13333333333333" style="1" customWidth="1"/>
    <col min="3862" max="3862" width="4.75" style="1" customWidth="1"/>
    <col min="3863" max="3864" width="3.88333333333333" style="1" customWidth="1"/>
    <col min="3865" max="3865" width="4.75" style="1" customWidth="1"/>
    <col min="3866" max="3866" width="4.13333333333333" style="1" customWidth="1"/>
    <col min="3867" max="3870" width="4.75" style="1" customWidth="1"/>
    <col min="3871" max="3871" width="3.88333333333333" style="1" customWidth="1"/>
    <col min="3872" max="3872" width="4.75" style="1" customWidth="1"/>
    <col min="3873" max="3874" width="3.88333333333333" style="1" customWidth="1"/>
    <col min="3875" max="3875" width="4.75" style="1" customWidth="1"/>
    <col min="3876" max="3884" width="3.88333333333333" style="1" customWidth="1"/>
    <col min="3885" max="4106" width="9" style="1"/>
    <col min="4107" max="4107" width="4.75" style="1" customWidth="1"/>
    <col min="4108" max="4108" width="13.75" style="1" customWidth="1"/>
    <col min="4109" max="4117" width="5.13333333333333" style="1" customWidth="1"/>
    <col min="4118" max="4118" width="4.75" style="1" customWidth="1"/>
    <col min="4119" max="4120" width="3.88333333333333" style="1" customWidth="1"/>
    <col min="4121" max="4121" width="4.75" style="1" customWidth="1"/>
    <col min="4122" max="4122" width="4.13333333333333" style="1" customWidth="1"/>
    <col min="4123" max="4126" width="4.75" style="1" customWidth="1"/>
    <col min="4127" max="4127" width="3.88333333333333" style="1" customWidth="1"/>
    <col min="4128" max="4128" width="4.75" style="1" customWidth="1"/>
    <col min="4129" max="4130" width="3.88333333333333" style="1" customWidth="1"/>
    <col min="4131" max="4131" width="4.75" style="1" customWidth="1"/>
    <col min="4132" max="4140" width="3.88333333333333" style="1" customWidth="1"/>
    <col min="4141" max="4362" width="9" style="1"/>
    <col min="4363" max="4363" width="4.75" style="1" customWidth="1"/>
    <col min="4364" max="4364" width="13.75" style="1" customWidth="1"/>
    <col min="4365" max="4373" width="5.13333333333333" style="1" customWidth="1"/>
    <col min="4374" max="4374" width="4.75" style="1" customWidth="1"/>
    <col min="4375" max="4376" width="3.88333333333333" style="1" customWidth="1"/>
    <col min="4377" max="4377" width="4.75" style="1" customWidth="1"/>
    <col min="4378" max="4378" width="4.13333333333333" style="1" customWidth="1"/>
    <col min="4379" max="4382" width="4.75" style="1" customWidth="1"/>
    <col min="4383" max="4383" width="3.88333333333333" style="1" customWidth="1"/>
    <col min="4384" max="4384" width="4.75" style="1" customWidth="1"/>
    <col min="4385" max="4386" width="3.88333333333333" style="1" customWidth="1"/>
    <col min="4387" max="4387" width="4.75" style="1" customWidth="1"/>
    <col min="4388" max="4396" width="3.88333333333333" style="1" customWidth="1"/>
    <col min="4397" max="4618" width="9" style="1"/>
    <col min="4619" max="4619" width="4.75" style="1" customWidth="1"/>
    <col min="4620" max="4620" width="13.75" style="1" customWidth="1"/>
    <col min="4621" max="4629" width="5.13333333333333" style="1" customWidth="1"/>
    <col min="4630" max="4630" width="4.75" style="1" customWidth="1"/>
    <col min="4631" max="4632" width="3.88333333333333" style="1" customWidth="1"/>
    <col min="4633" max="4633" width="4.75" style="1" customWidth="1"/>
    <col min="4634" max="4634" width="4.13333333333333" style="1" customWidth="1"/>
    <col min="4635" max="4638" width="4.75" style="1" customWidth="1"/>
    <col min="4639" max="4639" width="3.88333333333333" style="1" customWidth="1"/>
    <col min="4640" max="4640" width="4.75" style="1" customWidth="1"/>
    <col min="4641" max="4642" width="3.88333333333333" style="1" customWidth="1"/>
    <col min="4643" max="4643" width="4.75" style="1" customWidth="1"/>
    <col min="4644" max="4652" width="3.88333333333333" style="1" customWidth="1"/>
    <col min="4653" max="4874" width="9" style="1"/>
    <col min="4875" max="4875" width="4.75" style="1" customWidth="1"/>
    <col min="4876" max="4876" width="13.75" style="1" customWidth="1"/>
    <col min="4877" max="4885" width="5.13333333333333" style="1" customWidth="1"/>
    <col min="4886" max="4886" width="4.75" style="1" customWidth="1"/>
    <col min="4887" max="4888" width="3.88333333333333" style="1" customWidth="1"/>
    <col min="4889" max="4889" width="4.75" style="1" customWidth="1"/>
    <col min="4890" max="4890" width="4.13333333333333" style="1" customWidth="1"/>
    <col min="4891" max="4894" width="4.75" style="1" customWidth="1"/>
    <col min="4895" max="4895" width="3.88333333333333" style="1" customWidth="1"/>
    <col min="4896" max="4896" width="4.75" style="1" customWidth="1"/>
    <col min="4897" max="4898" width="3.88333333333333" style="1" customWidth="1"/>
    <col min="4899" max="4899" width="4.75" style="1" customWidth="1"/>
    <col min="4900" max="4908" width="3.88333333333333" style="1" customWidth="1"/>
    <col min="4909" max="5130" width="9" style="1"/>
    <col min="5131" max="5131" width="4.75" style="1" customWidth="1"/>
    <col min="5132" max="5132" width="13.75" style="1" customWidth="1"/>
    <col min="5133" max="5141" width="5.13333333333333" style="1" customWidth="1"/>
    <col min="5142" max="5142" width="4.75" style="1" customWidth="1"/>
    <col min="5143" max="5144" width="3.88333333333333" style="1" customWidth="1"/>
    <col min="5145" max="5145" width="4.75" style="1" customWidth="1"/>
    <col min="5146" max="5146" width="4.13333333333333" style="1" customWidth="1"/>
    <col min="5147" max="5150" width="4.75" style="1" customWidth="1"/>
    <col min="5151" max="5151" width="3.88333333333333" style="1" customWidth="1"/>
    <col min="5152" max="5152" width="4.75" style="1" customWidth="1"/>
    <col min="5153" max="5154" width="3.88333333333333" style="1" customWidth="1"/>
    <col min="5155" max="5155" width="4.75" style="1" customWidth="1"/>
    <col min="5156" max="5164" width="3.88333333333333" style="1" customWidth="1"/>
    <col min="5165" max="5386" width="9" style="1"/>
    <col min="5387" max="5387" width="4.75" style="1" customWidth="1"/>
    <col min="5388" max="5388" width="13.75" style="1" customWidth="1"/>
    <col min="5389" max="5397" width="5.13333333333333" style="1" customWidth="1"/>
    <col min="5398" max="5398" width="4.75" style="1" customWidth="1"/>
    <col min="5399" max="5400" width="3.88333333333333" style="1" customWidth="1"/>
    <col min="5401" max="5401" width="4.75" style="1" customWidth="1"/>
    <col min="5402" max="5402" width="4.13333333333333" style="1" customWidth="1"/>
    <col min="5403" max="5406" width="4.75" style="1" customWidth="1"/>
    <col min="5407" max="5407" width="3.88333333333333" style="1" customWidth="1"/>
    <col min="5408" max="5408" width="4.75" style="1" customWidth="1"/>
    <col min="5409" max="5410" width="3.88333333333333" style="1" customWidth="1"/>
    <col min="5411" max="5411" width="4.75" style="1" customWidth="1"/>
    <col min="5412" max="5420" width="3.88333333333333" style="1" customWidth="1"/>
    <col min="5421" max="5642" width="9" style="1"/>
    <col min="5643" max="5643" width="4.75" style="1" customWidth="1"/>
    <col min="5644" max="5644" width="13.75" style="1" customWidth="1"/>
    <col min="5645" max="5653" width="5.13333333333333" style="1" customWidth="1"/>
    <col min="5654" max="5654" width="4.75" style="1" customWidth="1"/>
    <col min="5655" max="5656" width="3.88333333333333" style="1" customWidth="1"/>
    <col min="5657" max="5657" width="4.75" style="1" customWidth="1"/>
    <col min="5658" max="5658" width="4.13333333333333" style="1" customWidth="1"/>
    <col min="5659" max="5662" width="4.75" style="1" customWidth="1"/>
    <col min="5663" max="5663" width="3.88333333333333" style="1" customWidth="1"/>
    <col min="5664" max="5664" width="4.75" style="1" customWidth="1"/>
    <col min="5665" max="5666" width="3.88333333333333" style="1" customWidth="1"/>
    <col min="5667" max="5667" width="4.75" style="1" customWidth="1"/>
    <col min="5668" max="5676" width="3.88333333333333" style="1" customWidth="1"/>
    <col min="5677" max="5898" width="9" style="1"/>
    <col min="5899" max="5899" width="4.75" style="1" customWidth="1"/>
    <col min="5900" max="5900" width="13.75" style="1" customWidth="1"/>
    <col min="5901" max="5909" width="5.13333333333333" style="1" customWidth="1"/>
    <col min="5910" max="5910" width="4.75" style="1" customWidth="1"/>
    <col min="5911" max="5912" width="3.88333333333333" style="1" customWidth="1"/>
    <col min="5913" max="5913" width="4.75" style="1" customWidth="1"/>
    <col min="5914" max="5914" width="4.13333333333333" style="1" customWidth="1"/>
    <col min="5915" max="5918" width="4.75" style="1" customWidth="1"/>
    <col min="5919" max="5919" width="3.88333333333333" style="1" customWidth="1"/>
    <col min="5920" max="5920" width="4.75" style="1" customWidth="1"/>
    <col min="5921" max="5922" width="3.88333333333333" style="1" customWidth="1"/>
    <col min="5923" max="5923" width="4.75" style="1" customWidth="1"/>
    <col min="5924" max="5932" width="3.88333333333333" style="1" customWidth="1"/>
    <col min="5933" max="6154" width="9" style="1"/>
    <col min="6155" max="6155" width="4.75" style="1" customWidth="1"/>
    <col min="6156" max="6156" width="13.75" style="1" customWidth="1"/>
    <col min="6157" max="6165" width="5.13333333333333" style="1" customWidth="1"/>
    <col min="6166" max="6166" width="4.75" style="1" customWidth="1"/>
    <col min="6167" max="6168" width="3.88333333333333" style="1" customWidth="1"/>
    <col min="6169" max="6169" width="4.75" style="1" customWidth="1"/>
    <col min="6170" max="6170" width="4.13333333333333" style="1" customWidth="1"/>
    <col min="6171" max="6174" width="4.75" style="1" customWidth="1"/>
    <col min="6175" max="6175" width="3.88333333333333" style="1" customWidth="1"/>
    <col min="6176" max="6176" width="4.75" style="1" customWidth="1"/>
    <col min="6177" max="6178" width="3.88333333333333" style="1" customWidth="1"/>
    <col min="6179" max="6179" width="4.75" style="1" customWidth="1"/>
    <col min="6180" max="6188" width="3.88333333333333" style="1" customWidth="1"/>
    <col min="6189" max="6410" width="9" style="1"/>
    <col min="6411" max="6411" width="4.75" style="1" customWidth="1"/>
    <col min="6412" max="6412" width="13.75" style="1" customWidth="1"/>
    <col min="6413" max="6421" width="5.13333333333333" style="1" customWidth="1"/>
    <col min="6422" max="6422" width="4.75" style="1" customWidth="1"/>
    <col min="6423" max="6424" width="3.88333333333333" style="1" customWidth="1"/>
    <col min="6425" max="6425" width="4.75" style="1" customWidth="1"/>
    <col min="6426" max="6426" width="4.13333333333333" style="1" customWidth="1"/>
    <col min="6427" max="6430" width="4.75" style="1" customWidth="1"/>
    <col min="6431" max="6431" width="3.88333333333333" style="1" customWidth="1"/>
    <col min="6432" max="6432" width="4.75" style="1" customWidth="1"/>
    <col min="6433" max="6434" width="3.88333333333333" style="1" customWidth="1"/>
    <col min="6435" max="6435" width="4.75" style="1" customWidth="1"/>
    <col min="6436" max="6444" width="3.88333333333333" style="1" customWidth="1"/>
    <col min="6445" max="6666" width="9" style="1"/>
    <col min="6667" max="6667" width="4.75" style="1" customWidth="1"/>
    <col min="6668" max="6668" width="13.75" style="1" customWidth="1"/>
    <col min="6669" max="6677" width="5.13333333333333" style="1" customWidth="1"/>
    <col min="6678" max="6678" width="4.75" style="1" customWidth="1"/>
    <col min="6679" max="6680" width="3.88333333333333" style="1" customWidth="1"/>
    <col min="6681" max="6681" width="4.75" style="1" customWidth="1"/>
    <col min="6682" max="6682" width="4.13333333333333" style="1" customWidth="1"/>
    <col min="6683" max="6686" width="4.75" style="1" customWidth="1"/>
    <col min="6687" max="6687" width="3.88333333333333" style="1" customWidth="1"/>
    <col min="6688" max="6688" width="4.75" style="1" customWidth="1"/>
    <col min="6689" max="6690" width="3.88333333333333" style="1" customWidth="1"/>
    <col min="6691" max="6691" width="4.75" style="1" customWidth="1"/>
    <col min="6692" max="6700" width="3.88333333333333" style="1" customWidth="1"/>
    <col min="6701" max="6922" width="9" style="1"/>
    <col min="6923" max="6923" width="4.75" style="1" customWidth="1"/>
    <col min="6924" max="6924" width="13.75" style="1" customWidth="1"/>
    <col min="6925" max="6933" width="5.13333333333333" style="1" customWidth="1"/>
    <col min="6934" max="6934" width="4.75" style="1" customWidth="1"/>
    <col min="6935" max="6936" width="3.88333333333333" style="1" customWidth="1"/>
    <col min="6937" max="6937" width="4.75" style="1" customWidth="1"/>
    <col min="6938" max="6938" width="4.13333333333333" style="1" customWidth="1"/>
    <col min="6939" max="6942" width="4.75" style="1" customWidth="1"/>
    <col min="6943" max="6943" width="3.88333333333333" style="1" customWidth="1"/>
    <col min="6944" max="6944" width="4.75" style="1" customWidth="1"/>
    <col min="6945" max="6946" width="3.88333333333333" style="1" customWidth="1"/>
    <col min="6947" max="6947" width="4.75" style="1" customWidth="1"/>
    <col min="6948" max="6956" width="3.88333333333333" style="1" customWidth="1"/>
    <col min="6957" max="7178" width="9" style="1"/>
    <col min="7179" max="7179" width="4.75" style="1" customWidth="1"/>
    <col min="7180" max="7180" width="13.75" style="1" customWidth="1"/>
    <col min="7181" max="7189" width="5.13333333333333" style="1" customWidth="1"/>
    <col min="7190" max="7190" width="4.75" style="1" customWidth="1"/>
    <col min="7191" max="7192" width="3.88333333333333" style="1" customWidth="1"/>
    <col min="7193" max="7193" width="4.75" style="1" customWidth="1"/>
    <col min="7194" max="7194" width="4.13333333333333" style="1" customWidth="1"/>
    <col min="7195" max="7198" width="4.75" style="1" customWidth="1"/>
    <col min="7199" max="7199" width="3.88333333333333" style="1" customWidth="1"/>
    <col min="7200" max="7200" width="4.75" style="1" customWidth="1"/>
    <col min="7201" max="7202" width="3.88333333333333" style="1" customWidth="1"/>
    <col min="7203" max="7203" width="4.75" style="1" customWidth="1"/>
    <col min="7204" max="7212" width="3.88333333333333" style="1" customWidth="1"/>
    <col min="7213" max="7434" width="9" style="1"/>
    <col min="7435" max="7435" width="4.75" style="1" customWidth="1"/>
    <col min="7436" max="7436" width="13.75" style="1" customWidth="1"/>
    <col min="7437" max="7445" width="5.13333333333333" style="1" customWidth="1"/>
    <col min="7446" max="7446" width="4.75" style="1" customWidth="1"/>
    <col min="7447" max="7448" width="3.88333333333333" style="1" customWidth="1"/>
    <col min="7449" max="7449" width="4.75" style="1" customWidth="1"/>
    <col min="7450" max="7450" width="4.13333333333333" style="1" customWidth="1"/>
    <col min="7451" max="7454" width="4.75" style="1" customWidth="1"/>
    <col min="7455" max="7455" width="3.88333333333333" style="1" customWidth="1"/>
    <col min="7456" max="7456" width="4.75" style="1" customWidth="1"/>
    <col min="7457" max="7458" width="3.88333333333333" style="1" customWidth="1"/>
    <col min="7459" max="7459" width="4.75" style="1" customWidth="1"/>
    <col min="7460" max="7468" width="3.88333333333333" style="1" customWidth="1"/>
    <col min="7469" max="7690" width="9" style="1"/>
    <col min="7691" max="7691" width="4.75" style="1" customWidth="1"/>
    <col min="7692" max="7692" width="13.75" style="1" customWidth="1"/>
    <col min="7693" max="7701" width="5.13333333333333" style="1" customWidth="1"/>
    <col min="7702" max="7702" width="4.75" style="1" customWidth="1"/>
    <col min="7703" max="7704" width="3.88333333333333" style="1" customWidth="1"/>
    <col min="7705" max="7705" width="4.75" style="1" customWidth="1"/>
    <col min="7706" max="7706" width="4.13333333333333" style="1" customWidth="1"/>
    <col min="7707" max="7710" width="4.75" style="1" customWidth="1"/>
    <col min="7711" max="7711" width="3.88333333333333" style="1" customWidth="1"/>
    <col min="7712" max="7712" width="4.75" style="1" customWidth="1"/>
    <col min="7713" max="7714" width="3.88333333333333" style="1" customWidth="1"/>
    <col min="7715" max="7715" width="4.75" style="1" customWidth="1"/>
    <col min="7716" max="7724" width="3.88333333333333" style="1" customWidth="1"/>
    <col min="7725" max="7946" width="9" style="1"/>
    <col min="7947" max="7947" width="4.75" style="1" customWidth="1"/>
    <col min="7948" max="7948" width="13.75" style="1" customWidth="1"/>
    <col min="7949" max="7957" width="5.13333333333333" style="1" customWidth="1"/>
    <col min="7958" max="7958" width="4.75" style="1" customWidth="1"/>
    <col min="7959" max="7960" width="3.88333333333333" style="1" customWidth="1"/>
    <col min="7961" max="7961" width="4.75" style="1" customWidth="1"/>
    <col min="7962" max="7962" width="4.13333333333333" style="1" customWidth="1"/>
    <col min="7963" max="7966" width="4.75" style="1" customWidth="1"/>
    <col min="7967" max="7967" width="3.88333333333333" style="1" customWidth="1"/>
    <col min="7968" max="7968" width="4.75" style="1" customWidth="1"/>
    <col min="7969" max="7970" width="3.88333333333333" style="1" customWidth="1"/>
    <col min="7971" max="7971" width="4.75" style="1" customWidth="1"/>
    <col min="7972" max="7980" width="3.88333333333333" style="1" customWidth="1"/>
    <col min="7981" max="8202" width="9" style="1"/>
    <col min="8203" max="8203" width="4.75" style="1" customWidth="1"/>
    <col min="8204" max="8204" width="13.75" style="1" customWidth="1"/>
    <col min="8205" max="8213" width="5.13333333333333" style="1" customWidth="1"/>
    <col min="8214" max="8214" width="4.75" style="1" customWidth="1"/>
    <col min="8215" max="8216" width="3.88333333333333" style="1" customWidth="1"/>
    <col min="8217" max="8217" width="4.75" style="1" customWidth="1"/>
    <col min="8218" max="8218" width="4.13333333333333" style="1" customWidth="1"/>
    <col min="8219" max="8222" width="4.75" style="1" customWidth="1"/>
    <col min="8223" max="8223" width="3.88333333333333" style="1" customWidth="1"/>
    <col min="8224" max="8224" width="4.75" style="1" customWidth="1"/>
    <col min="8225" max="8226" width="3.88333333333333" style="1" customWidth="1"/>
    <col min="8227" max="8227" width="4.75" style="1" customWidth="1"/>
    <col min="8228" max="8236" width="3.88333333333333" style="1" customWidth="1"/>
    <col min="8237" max="8458" width="9" style="1"/>
    <col min="8459" max="8459" width="4.75" style="1" customWidth="1"/>
    <col min="8460" max="8460" width="13.75" style="1" customWidth="1"/>
    <col min="8461" max="8469" width="5.13333333333333" style="1" customWidth="1"/>
    <col min="8470" max="8470" width="4.75" style="1" customWidth="1"/>
    <col min="8471" max="8472" width="3.88333333333333" style="1" customWidth="1"/>
    <col min="8473" max="8473" width="4.75" style="1" customWidth="1"/>
    <col min="8474" max="8474" width="4.13333333333333" style="1" customWidth="1"/>
    <col min="8475" max="8478" width="4.75" style="1" customWidth="1"/>
    <col min="8479" max="8479" width="3.88333333333333" style="1" customWidth="1"/>
    <col min="8480" max="8480" width="4.75" style="1" customWidth="1"/>
    <col min="8481" max="8482" width="3.88333333333333" style="1" customWidth="1"/>
    <col min="8483" max="8483" width="4.75" style="1" customWidth="1"/>
    <col min="8484" max="8492" width="3.88333333333333" style="1" customWidth="1"/>
    <col min="8493" max="8714" width="9" style="1"/>
    <col min="8715" max="8715" width="4.75" style="1" customWidth="1"/>
    <col min="8716" max="8716" width="13.75" style="1" customWidth="1"/>
    <col min="8717" max="8725" width="5.13333333333333" style="1" customWidth="1"/>
    <col min="8726" max="8726" width="4.75" style="1" customWidth="1"/>
    <col min="8727" max="8728" width="3.88333333333333" style="1" customWidth="1"/>
    <col min="8729" max="8729" width="4.75" style="1" customWidth="1"/>
    <col min="8730" max="8730" width="4.13333333333333" style="1" customWidth="1"/>
    <col min="8731" max="8734" width="4.75" style="1" customWidth="1"/>
    <col min="8735" max="8735" width="3.88333333333333" style="1" customWidth="1"/>
    <col min="8736" max="8736" width="4.75" style="1" customWidth="1"/>
    <col min="8737" max="8738" width="3.88333333333333" style="1" customWidth="1"/>
    <col min="8739" max="8739" width="4.75" style="1" customWidth="1"/>
    <col min="8740" max="8748" width="3.88333333333333" style="1" customWidth="1"/>
    <col min="8749" max="8970" width="9" style="1"/>
    <col min="8971" max="8971" width="4.75" style="1" customWidth="1"/>
    <col min="8972" max="8972" width="13.75" style="1" customWidth="1"/>
    <col min="8973" max="8981" width="5.13333333333333" style="1" customWidth="1"/>
    <col min="8982" max="8982" width="4.75" style="1" customWidth="1"/>
    <col min="8983" max="8984" width="3.88333333333333" style="1" customWidth="1"/>
    <col min="8985" max="8985" width="4.75" style="1" customWidth="1"/>
    <col min="8986" max="8986" width="4.13333333333333" style="1" customWidth="1"/>
    <col min="8987" max="8990" width="4.75" style="1" customWidth="1"/>
    <col min="8991" max="8991" width="3.88333333333333" style="1" customWidth="1"/>
    <col min="8992" max="8992" width="4.75" style="1" customWidth="1"/>
    <col min="8993" max="8994" width="3.88333333333333" style="1" customWidth="1"/>
    <col min="8995" max="8995" width="4.75" style="1" customWidth="1"/>
    <col min="8996" max="9004" width="3.88333333333333" style="1" customWidth="1"/>
    <col min="9005" max="9226" width="9" style="1"/>
    <col min="9227" max="9227" width="4.75" style="1" customWidth="1"/>
    <col min="9228" max="9228" width="13.75" style="1" customWidth="1"/>
    <col min="9229" max="9237" width="5.13333333333333" style="1" customWidth="1"/>
    <col min="9238" max="9238" width="4.75" style="1" customWidth="1"/>
    <col min="9239" max="9240" width="3.88333333333333" style="1" customWidth="1"/>
    <col min="9241" max="9241" width="4.75" style="1" customWidth="1"/>
    <col min="9242" max="9242" width="4.13333333333333" style="1" customWidth="1"/>
    <col min="9243" max="9246" width="4.75" style="1" customWidth="1"/>
    <col min="9247" max="9247" width="3.88333333333333" style="1" customWidth="1"/>
    <col min="9248" max="9248" width="4.75" style="1" customWidth="1"/>
    <col min="9249" max="9250" width="3.88333333333333" style="1" customWidth="1"/>
    <col min="9251" max="9251" width="4.75" style="1" customWidth="1"/>
    <col min="9252" max="9260" width="3.88333333333333" style="1" customWidth="1"/>
    <col min="9261" max="9482" width="9" style="1"/>
    <col min="9483" max="9483" width="4.75" style="1" customWidth="1"/>
    <col min="9484" max="9484" width="13.75" style="1" customWidth="1"/>
    <col min="9485" max="9493" width="5.13333333333333" style="1" customWidth="1"/>
    <col min="9494" max="9494" width="4.75" style="1" customWidth="1"/>
    <col min="9495" max="9496" width="3.88333333333333" style="1" customWidth="1"/>
    <col min="9497" max="9497" width="4.75" style="1" customWidth="1"/>
    <col min="9498" max="9498" width="4.13333333333333" style="1" customWidth="1"/>
    <col min="9499" max="9502" width="4.75" style="1" customWidth="1"/>
    <col min="9503" max="9503" width="3.88333333333333" style="1" customWidth="1"/>
    <col min="9504" max="9504" width="4.75" style="1" customWidth="1"/>
    <col min="9505" max="9506" width="3.88333333333333" style="1" customWidth="1"/>
    <col min="9507" max="9507" width="4.75" style="1" customWidth="1"/>
    <col min="9508" max="9516" width="3.88333333333333" style="1" customWidth="1"/>
    <col min="9517" max="9738" width="9" style="1"/>
    <col min="9739" max="9739" width="4.75" style="1" customWidth="1"/>
    <col min="9740" max="9740" width="13.75" style="1" customWidth="1"/>
    <col min="9741" max="9749" width="5.13333333333333" style="1" customWidth="1"/>
    <col min="9750" max="9750" width="4.75" style="1" customWidth="1"/>
    <col min="9751" max="9752" width="3.88333333333333" style="1" customWidth="1"/>
    <col min="9753" max="9753" width="4.75" style="1" customWidth="1"/>
    <col min="9754" max="9754" width="4.13333333333333" style="1" customWidth="1"/>
    <col min="9755" max="9758" width="4.75" style="1" customWidth="1"/>
    <col min="9759" max="9759" width="3.88333333333333" style="1" customWidth="1"/>
    <col min="9760" max="9760" width="4.75" style="1" customWidth="1"/>
    <col min="9761" max="9762" width="3.88333333333333" style="1" customWidth="1"/>
    <col min="9763" max="9763" width="4.75" style="1" customWidth="1"/>
    <col min="9764" max="9772" width="3.88333333333333" style="1" customWidth="1"/>
    <col min="9773" max="9994" width="9" style="1"/>
    <col min="9995" max="9995" width="4.75" style="1" customWidth="1"/>
    <col min="9996" max="9996" width="13.75" style="1" customWidth="1"/>
    <col min="9997" max="10005" width="5.13333333333333" style="1" customWidth="1"/>
    <col min="10006" max="10006" width="4.75" style="1" customWidth="1"/>
    <col min="10007" max="10008" width="3.88333333333333" style="1" customWidth="1"/>
    <col min="10009" max="10009" width="4.75" style="1" customWidth="1"/>
    <col min="10010" max="10010" width="4.13333333333333" style="1" customWidth="1"/>
    <col min="10011" max="10014" width="4.75" style="1" customWidth="1"/>
    <col min="10015" max="10015" width="3.88333333333333" style="1" customWidth="1"/>
    <col min="10016" max="10016" width="4.75" style="1" customWidth="1"/>
    <col min="10017" max="10018" width="3.88333333333333" style="1" customWidth="1"/>
    <col min="10019" max="10019" width="4.75" style="1" customWidth="1"/>
    <col min="10020" max="10028" width="3.88333333333333" style="1" customWidth="1"/>
    <col min="10029" max="10250" width="9" style="1"/>
    <col min="10251" max="10251" width="4.75" style="1" customWidth="1"/>
    <col min="10252" max="10252" width="13.75" style="1" customWidth="1"/>
    <col min="10253" max="10261" width="5.13333333333333" style="1" customWidth="1"/>
    <col min="10262" max="10262" width="4.75" style="1" customWidth="1"/>
    <col min="10263" max="10264" width="3.88333333333333" style="1" customWidth="1"/>
    <col min="10265" max="10265" width="4.75" style="1" customWidth="1"/>
    <col min="10266" max="10266" width="4.13333333333333" style="1" customWidth="1"/>
    <col min="10267" max="10270" width="4.75" style="1" customWidth="1"/>
    <col min="10271" max="10271" width="3.88333333333333" style="1" customWidth="1"/>
    <col min="10272" max="10272" width="4.75" style="1" customWidth="1"/>
    <col min="10273" max="10274" width="3.88333333333333" style="1" customWidth="1"/>
    <col min="10275" max="10275" width="4.75" style="1" customWidth="1"/>
    <col min="10276" max="10284" width="3.88333333333333" style="1" customWidth="1"/>
    <col min="10285" max="10506" width="9" style="1"/>
    <col min="10507" max="10507" width="4.75" style="1" customWidth="1"/>
    <col min="10508" max="10508" width="13.75" style="1" customWidth="1"/>
    <col min="10509" max="10517" width="5.13333333333333" style="1" customWidth="1"/>
    <col min="10518" max="10518" width="4.75" style="1" customWidth="1"/>
    <col min="10519" max="10520" width="3.88333333333333" style="1" customWidth="1"/>
    <col min="10521" max="10521" width="4.75" style="1" customWidth="1"/>
    <col min="10522" max="10522" width="4.13333333333333" style="1" customWidth="1"/>
    <col min="10523" max="10526" width="4.75" style="1" customWidth="1"/>
    <col min="10527" max="10527" width="3.88333333333333" style="1" customWidth="1"/>
    <col min="10528" max="10528" width="4.75" style="1" customWidth="1"/>
    <col min="10529" max="10530" width="3.88333333333333" style="1" customWidth="1"/>
    <col min="10531" max="10531" width="4.75" style="1" customWidth="1"/>
    <col min="10532" max="10540" width="3.88333333333333" style="1" customWidth="1"/>
    <col min="10541" max="10762" width="9" style="1"/>
    <col min="10763" max="10763" width="4.75" style="1" customWidth="1"/>
    <col min="10764" max="10764" width="13.75" style="1" customWidth="1"/>
    <col min="10765" max="10773" width="5.13333333333333" style="1" customWidth="1"/>
    <col min="10774" max="10774" width="4.75" style="1" customWidth="1"/>
    <col min="10775" max="10776" width="3.88333333333333" style="1" customWidth="1"/>
    <col min="10777" max="10777" width="4.75" style="1" customWidth="1"/>
    <col min="10778" max="10778" width="4.13333333333333" style="1" customWidth="1"/>
    <col min="10779" max="10782" width="4.75" style="1" customWidth="1"/>
    <col min="10783" max="10783" width="3.88333333333333" style="1" customWidth="1"/>
    <col min="10784" max="10784" width="4.75" style="1" customWidth="1"/>
    <col min="10785" max="10786" width="3.88333333333333" style="1" customWidth="1"/>
    <col min="10787" max="10787" width="4.75" style="1" customWidth="1"/>
    <col min="10788" max="10796" width="3.88333333333333" style="1" customWidth="1"/>
    <col min="10797" max="11018" width="9" style="1"/>
    <col min="11019" max="11019" width="4.75" style="1" customWidth="1"/>
    <col min="11020" max="11020" width="13.75" style="1" customWidth="1"/>
    <col min="11021" max="11029" width="5.13333333333333" style="1" customWidth="1"/>
    <col min="11030" max="11030" width="4.75" style="1" customWidth="1"/>
    <col min="11031" max="11032" width="3.88333333333333" style="1" customWidth="1"/>
    <col min="11033" max="11033" width="4.75" style="1" customWidth="1"/>
    <col min="11034" max="11034" width="4.13333333333333" style="1" customWidth="1"/>
    <col min="11035" max="11038" width="4.75" style="1" customWidth="1"/>
    <col min="11039" max="11039" width="3.88333333333333" style="1" customWidth="1"/>
    <col min="11040" max="11040" width="4.75" style="1" customWidth="1"/>
    <col min="11041" max="11042" width="3.88333333333333" style="1" customWidth="1"/>
    <col min="11043" max="11043" width="4.75" style="1" customWidth="1"/>
    <col min="11044" max="11052" width="3.88333333333333" style="1" customWidth="1"/>
    <col min="11053" max="11274" width="9" style="1"/>
    <col min="11275" max="11275" width="4.75" style="1" customWidth="1"/>
    <col min="11276" max="11276" width="13.75" style="1" customWidth="1"/>
    <col min="11277" max="11285" width="5.13333333333333" style="1" customWidth="1"/>
    <col min="11286" max="11286" width="4.75" style="1" customWidth="1"/>
    <col min="11287" max="11288" width="3.88333333333333" style="1" customWidth="1"/>
    <col min="11289" max="11289" width="4.75" style="1" customWidth="1"/>
    <col min="11290" max="11290" width="4.13333333333333" style="1" customWidth="1"/>
    <col min="11291" max="11294" width="4.75" style="1" customWidth="1"/>
    <col min="11295" max="11295" width="3.88333333333333" style="1" customWidth="1"/>
    <col min="11296" max="11296" width="4.75" style="1" customWidth="1"/>
    <col min="11297" max="11298" width="3.88333333333333" style="1" customWidth="1"/>
    <col min="11299" max="11299" width="4.75" style="1" customWidth="1"/>
    <col min="11300" max="11308" width="3.88333333333333" style="1" customWidth="1"/>
    <col min="11309" max="11530" width="9" style="1"/>
    <col min="11531" max="11531" width="4.75" style="1" customWidth="1"/>
    <col min="11532" max="11532" width="13.75" style="1" customWidth="1"/>
    <col min="11533" max="11541" width="5.13333333333333" style="1" customWidth="1"/>
    <col min="11542" max="11542" width="4.75" style="1" customWidth="1"/>
    <col min="11543" max="11544" width="3.88333333333333" style="1" customWidth="1"/>
    <col min="11545" max="11545" width="4.75" style="1" customWidth="1"/>
    <col min="11546" max="11546" width="4.13333333333333" style="1" customWidth="1"/>
    <col min="11547" max="11550" width="4.75" style="1" customWidth="1"/>
    <col min="11551" max="11551" width="3.88333333333333" style="1" customWidth="1"/>
    <col min="11552" max="11552" width="4.75" style="1" customWidth="1"/>
    <col min="11553" max="11554" width="3.88333333333333" style="1" customWidth="1"/>
    <col min="11555" max="11555" width="4.75" style="1" customWidth="1"/>
    <col min="11556" max="11564" width="3.88333333333333" style="1" customWidth="1"/>
    <col min="11565" max="11786" width="9" style="1"/>
    <col min="11787" max="11787" width="4.75" style="1" customWidth="1"/>
    <col min="11788" max="11788" width="13.75" style="1" customWidth="1"/>
    <col min="11789" max="11797" width="5.13333333333333" style="1" customWidth="1"/>
    <col min="11798" max="11798" width="4.75" style="1" customWidth="1"/>
    <col min="11799" max="11800" width="3.88333333333333" style="1" customWidth="1"/>
    <col min="11801" max="11801" width="4.75" style="1" customWidth="1"/>
    <col min="11802" max="11802" width="4.13333333333333" style="1" customWidth="1"/>
    <col min="11803" max="11806" width="4.75" style="1" customWidth="1"/>
    <col min="11807" max="11807" width="3.88333333333333" style="1" customWidth="1"/>
    <col min="11808" max="11808" width="4.75" style="1" customWidth="1"/>
    <col min="11809" max="11810" width="3.88333333333333" style="1" customWidth="1"/>
    <col min="11811" max="11811" width="4.75" style="1" customWidth="1"/>
    <col min="11812" max="11820" width="3.88333333333333" style="1" customWidth="1"/>
    <col min="11821" max="12042" width="9" style="1"/>
    <col min="12043" max="12043" width="4.75" style="1" customWidth="1"/>
    <col min="12044" max="12044" width="13.75" style="1" customWidth="1"/>
    <col min="12045" max="12053" width="5.13333333333333" style="1" customWidth="1"/>
    <col min="12054" max="12054" width="4.75" style="1" customWidth="1"/>
    <col min="12055" max="12056" width="3.88333333333333" style="1" customWidth="1"/>
    <col min="12057" max="12057" width="4.75" style="1" customWidth="1"/>
    <col min="12058" max="12058" width="4.13333333333333" style="1" customWidth="1"/>
    <col min="12059" max="12062" width="4.75" style="1" customWidth="1"/>
    <col min="12063" max="12063" width="3.88333333333333" style="1" customWidth="1"/>
    <col min="12064" max="12064" width="4.75" style="1" customWidth="1"/>
    <col min="12065" max="12066" width="3.88333333333333" style="1" customWidth="1"/>
    <col min="12067" max="12067" width="4.75" style="1" customWidth="1"/>
    <col min="12068" max="12076" width="3.88333333333333" style="1" customWidth="1"/>
    <col min="12077" max="12298" width="9" style="1"/>
    <col min="12299" max="12299" width="4.75" style="1" customWidth="1"/>
    <col min="12300" max="12300" width="13.75" style="1" customWidth="1"/>
    <col min="12301" max="12309" width="5.13333333333333" style="1" customWidth="1"/>
    <col min="12310" max="12310" width="4.75" style="1" customWidth="1"/>
    <col min="12311" max="12312" width="3.88333333333333" style="1" customWidth="1"/>
    <col min="12313" max="12313" width="4.75" style="1" customWidth="1"/>
    <col min="12314" max="12314" width="4.13333333333333" style="1" customWidth="1"/>
    <col min="12315" max="12318" width="4.75" style="1" customWidth="1"/>
    <col min="12319" max="12319" width="3.88333333333333" style="1" customWidth="1"/>
    <col min="12320" max="12320" width="4.75" style="1" customWidth="1"/>
    <col min="12321" max="12322" width="3.88333333333333" style="1" customWidth="1"/>
    <col min="12323" max="12323" width="4.75" style="1" customWidth="1"/>
    <col min="12324" max="12332" width="3.88333333333333" style="1" customWidth="1"/>
    <col min="12333" max="12554" width="9" style="1"/>
    <col min="12555" max="12555" width="4.75" style="1" customWidth="1"/>
    <col min="12556" max="12556" width="13.75" style="1" customWidth="1"/>
    <col min="12557" max="12565" width="5.13333333333333" style="1" customWidth="1"/>
    <col min="12566" max="12566" width="4.75" style="1" customWidth="1"/>
    <col min="12567" max="12568" width="3.88333333333333" style="1" customWidth="1"/>
    <col min="12569" max="12569" width="4.75" style="1" customWidth="1"/>
    <col min="12570" max="12570" width="4.13333333333333" style="1" customWidth="1"/>
    <col min="12571" max="12574" width="4.75" style="1" customWidth="1"/>
    <col min="12575" max="12575" width="3.88333333333333" style="1" customWidth="1"/>
    <col min="12576" max="12576" width="4.75" style="1" customWidth="1"/>
    <col min="12577" max="12578" width="3.88333333333333" style="1" customWidth="1"/>
    <col min="12579" max="12579" width="4.75" style="1" customWidth="1"/>
    <col min="12580" max="12588" width="3.88333333333333" style="1" customWidth="1"/>
    <col min="12589" max="12810" width="9" style="1"/>
    <col min="12811" max="12811" width="4.75" style="1" customWidth="1"/>
    <col min="12812" max="12812" width="13.75" style="1" customWidth="1"/>
    <col min="12813" max="12821" width="5.13333333333333" style="1" customWidth="1"/>
    <col min="12822" max="12822" width="4.75" style="1" customWidth="1"/>
    <col min="12823" max="12824" width="3.88333333333333" style="1" customWidth="1"/>
    <col min="12825" max="12825" width="4.75" style="1" customWidth="1"/>
    <col min="12826" max="12826" width="4.13333333333333" style="1" customWidth="1"/>
    <col min="12827" max="12830" width="4.75" style="1" customWidth="1"/>
    <col min="12831" max="12831" width="3.88333333333333" style="1" customWidth="1"/>
    <col min="12832" max="12832" width="4.75" style="1" customWidth="1"/>
    <col min="12833" max="12834" width="3.88333333333333" style="1" customWidth="1"/>
    <col min="12835" max="12835" width="4.75" style="1" customWidth="1"/>
    <col min="12836" max="12844" width="3.88333333333333" style="1" customWidth="1"/>
    <col min="12845" max="13066" width="9" style="1"/>
    <col min="13067" max="13067" width="4.75" style="1" customWidth="1"/>
    <col min="13068" max="13068" width="13.75" style="1" customWidth="1"/>
    <col min="13069" max="13077" width="5.13333333333333" style="1" customWidth="1"/>
    <col min="13078" max="13078" width="4.75" style="1" customWidth="1"/>
    <col min="13079" max="13080" width="3.88333333333333" style="1" customWidth="1"/>
    <col min="13081" max="13081" width="4.75" style="1" customWidth="1"/>
    <col min="13082" max="13082" width="4.13333333333333" style="1" customWidth="1"/>
    <col min="13083" max="13086" width="4.75" style="1" customWidth="1"/>
    <col min="13087" max="13087" width="3.88333333333333" style="1" customWidth="1"/>
    <col min="13088" max="13088" width="4.75" style="1" customWidth="1"/>
    <col min="13089" max="13090" width="3.88333333333333" style="1" customWidth="1"/>
    <col min="13091" max="13091" width="4.75" style="1" customWidth="1"/>
    <col min="13092" max="13100" width="3.88333333333333" style="1" customWidth="1"/>
    <col min="13101" max="13322" width="9" style="1"/>
    <col min="13323" max="13323" width="4.75" style="1" customWidth="1"/>
    <col min="13324" max="13324" width="13.75" style="1" customWidth="1"/>
    <col min="13325" max="13333" width="5.13333333333333" style="1" customWidth="1"/>
    <col min="13334" max="13334" width="4.75" style="1" customWidth="1"/>
    <col min="13335" max="13336" width="3.88333333333333" style="1" customWidth="1"/>
    <col min="13337" max="13337" width="4.75" style="1" customWidth="1"/>
    <col min="13338" max="13338" width="4.13333333333333" style="1" customWidth="1"/>
    <col min="13339" max="13342" width="4.75" style="1" customWidth="1"/>
    <col min="13343" max="13343" width="3.88333333333333" style="1" customWidth="1"/>
    <col min="13344" max="13344" width="4.75" style="1" customWidth="1"/>
    <col min="13345" max="13346" width="3.88333333333333" style="1" customWidth="1"/>
    <col min="13347" max="13347" width="4.75" style="1" customWidth="1"/>
    <col min="13348" max="13356" width="3.88333333333333" style="1" customWidth="1"/>
    <col min="13357" max="13578" width="9" style="1"/>
    <col min="13579" max="13579" width="4.75" style="1" customWidth="1"/>
    <col min="13580" max="13580" width="13.75" style="1" customWidth="1"/>
    <col min="13581" max="13589" width="5.13333333333333" style="1" customWidth="1"/>
    <col min="13590" max="13590" width="4.75" style="1" customWidth="1"/>
    <col min="13591" max="13592" width="3.88333333333333" style="1" customWidth="1"/>
    <col min="13593" max="13593" width="4.75" style="1" customWidth="1"/>
    <col min="13594" max="13594" width="4.13333333333333" style="1" customWidth="1"/>
    <col min="13595" max="13598" width="4.75" style="1" customWidth="1"/>
    <col min="13599" max="13599" width="3.88333333333333" style="1" customWidth="1"/>
    <col min="13600" max="13600" width="4.75" style="1" customWidth="1"/>
    <col min="13601" max="13602" width="3.88333333333333" style="1" customWidth="1"/>
    <col min="13603" max="13603" width="4.75" style="1" customWidth="1"/>
    <col min="13604" max="13612" width="3.88333333333333" style="1" customWidth="1"/>
    <col min="13613" max="13834" width="9" style="1"/>
    <col min="13835" max="13835" width="4.75" style="1" customWidth="1"/>
    <col min="13836" max="13836" width="13.75" style="1" customWidth="1"/>
    <col min="13837" max="13845" width="5.13333333333333" style="1" customWidth="1"/>
    <col min="13846" max="13846" width="4.75" style="1" customWidth="1"/>
    <col min="13847" max="13848" width="3.88333333333333" style="1" customWidth="1"/>
    <col min="13849" max="13849" width="4.75" style="1" customWidth="1"/>
    <col min="13850" max="13850" width="4.13333333333333" style="1" customWidth="1"/>
    <col min="13851" max="13854" width="4.75" style="1" customWidth="1"/>
    <col min="13855" max="13855" width="3.88333333333333" style="1" customWidth="1"/>
    <col min="13856" max="13856" width="4.75" style="1" customWidth="1"/>
    <col min="13857" max="13858" width="3.88333333333333" style="1" customWidth="1"/>
    <col min="13859" max="13859" width="4.75" style="1" customWidth="1"/>
    <col min="13860" max="13868" width="3.88333333333333" style="1" customWidth="1"/>
    <col min="13869" max="14090" width="9" style="1"/>
    <col min="14091" max="14091" width="4.75" style="1" customWidth="1"/>
    <col min="14092" max="14092" width="13.75" style="1" customWidth="1"/>
    <col min="14093" max="14101" width="5.13333333333333" style="1" customWidth="1"/>
    <col min="14102" max="14102" width="4.75" style="1" customWidth="1"/>
    <col min="14103" max="14104" width="3.88333333333333" style="1" customWidth="1"/>
    <col min="14105" max="14105" width="4.75" style="1" customWidth="1"/>
    <col min="14106" max="14106" width="4.13333333333333" style="1" customWidth="1"/>
    <col min="14107" max="14110" width="4.75" style="1" customWidth="1"/>
    <col min="14111" max="14111" width="3.88333333333333" style="1" customWidth="1"/>
    <col min="14112" max="14112" width="4.75" style="1" customWidth="1"/>
    <col min="14113" max="14114" width="3.88333333333333" style="1" customWidth="1"/>
    <col min="14115" max="14115" width="4.75" style="1" customWidth="1"/>
    <col min="14116" max="14124" width="3.88333333333333" style="1" customWidth="1"/>
    <col min="14125" max="14346" width="9" style="1"/>
    <col min="14347" max="14347" width="4.75" style="1" customWidth="1"/>
    <col min="14348" max="14348" width="13.75" style="1" customWidth="1"/>
    <col min="14349" max="14357" width="5.13333333333333" style="1" customWidth="1"/>
    <col min="14358" max="14358" width="4.75" style="1" customWidth="1"/>
    <col min="14359" max="14360" width="3.88333333333333" style="1" customWidth="1"/>
    <col min="14361" max="14361" width="4.75" style="1" customWidth="1"/>
    <col min="14362" max="14362" width="4.13333333333333" style="1" customWidth="1"/>
    <col min="14363" max="14366" width="4.75" style="1" customWidth="1"/>
    <col min="14367" max="14367" width="3.88333333333333" style="1" customWidth="1"/>
    <col min="14368" max="14368" width="4.75" style="1" customWidth="1"/>
    <col min="14369" max="14370" width="3.88333333333333" style="1" customWidth="1"/>
    <col min="14371" max="14371" width="4.75" style="1" customWidth="1"/>
    <col min="14372" max="14380" width="3.88333333333333" style="1" customWidth="1"/>
    <col min="14381" max="14602" width="9" style="1"/>
    <col min="14603" max="14603" width="4.75" style="1" customWidth="1"/>
    <col min="14604" max="14604" width="13.75" style="1" customWidth="1"/>
    <col min="14605" max="14613" width="5.13333333333333" style="1" customWidth="1"/>
    <col min="14614" max="14614" width="4.75" style="1" customWidth="1"/>
    <col min="14615" max="14616" width="3.88333333333333" style="1" customWidth="1"/>
    <col min="14617" max="14617" width="4.75" style="1" customWidth="1"/>
    <col min="14618" max="14618" width="4.13333333333333" style="1" customWidth="1"/>
    <col min="14619" max="14622" width="4.75" style="1" customWidth="1"/>
    <col min="14623" max="14623" width="3.88333333333333" style="1" customWidth="1"/>
    <col min="14624" max="14624" width="4.75" style="1" customWidth="1"/>
    <col min="14625" max="14626" width="3.88333333333333" style="1" customWidth="1"/>
    <col min="14627" max="14627" width="4.75" style="1" customWidth="1"/>
    <col min="14628" max="14636" width="3.88333333333333" style="1" customWidth="1"/>
    <col min="14637" max="14858" width="9" style="1"/>
    <col min="14859" max="14859" width="4.75" style="1" customWidth="1"/>
    <col min="14860" max="14860" width="13.75" style="1" customWidth="1"/>
    <col min="14861" max="14869" width="5.13333333333333" style="1" customWidth="1"/>
    <col min="14870" max="14870" width="4.75" style="1" customWidth="1"/>
    <col min="14871" max="14872" width="3.88333333333333" style="1" customWidth="1"/>
    <col min="14873" max="14873" width="4.75" style="1" customWidth="1"/>
    <col min="14874" max="14874" width="4.13333333333333" style="1" customWidth="1"/>
    <col min="14875" max="14878" width="4.75" style="1" customWidth="1"/>
    <col min="14879" max="14879" width="3.88333333333333" style="1" customWidth="1"/>
    <col min="14880" max="14880" width="4.75" style="1" customWidth="1"/>
    <col min="14881" max="14882" width="3.88333333333333" style="1" customWidth="1"/>
    <col min="14883" max="14883" width="4.75" style="1" customWidth="1"/>
    <col min="14884" max="14892" width="3.88333333333333" style="1" customWidth="1"/>
    <col min="14893" max="15114" width="9" style="1"/>
    <col min="15115" max="15115" width="4.75" style="1" customWidth="1"/>
    <col min="15116" max="15116" width="13.75" style="1" customWidth="1"/>
    <col min="15117" max="15125" width="5.13333333333333" style="1" customWidth="1"/>
    <col min="15126" max="15126" width="4.75" style="1" customWidth="1"/>
    <col min="15127" max="15128" width="3.88333333333333" style="1" customWidth="1"/>
    <col min="15129" max="15129" width="4.75" style="1" customWidth="1"/>
    <col min="15130" max="15130" width="4.13333333333333" style="1" customWidth="1"/>
    <col min="15131" max="15134" width="4.75" style="1" customWidth="1"/>
    <col min="15135" max="15135" width="3.88333333333333" style="1" customWidth="1"/>
    <col min="15136" max="15136" width="4.75" style="1" customWidth="1"/>
    <col min="15137" max="15138" width="3.88333333333333" style="1" customWidth="1"/>
    <col min="15139" max="15139" width="4.75" style="1" customWidth="1"/>
    <col min="15140" max="15148" width="3.88333333333333" style="1" customWidth="1"/>
    <col min="15149" max="15370" width="9" style="1"/>
    <col min="15371" max="15371" width="4.75" style="1" customWidth="1"/>
    <col min="15372" max="15372" width="13.75" style="1" customWidth="1"/>
    <col min="15373" max="15381" width="5.13333333333333" style="1" customWidth="1"/>
    <col min="15382" max="15382" width="4.75" style="1" customWidth="1"/>
    <col min="15383" max="15384" width="3.88333333333333" style="1" customWidth="1"/>
    <col min="15385" max="15385" width="4.75" style="1" customWidth="1"/>
    <col min="15386" max="15386" width="4.13333333333333" style="1" customWidth="1"/>
    <col min="15387" max="15390" width="4.75" style="1" customWidth="1"/>
    <col min="15391" max="15391" width="3.88333333333333" style="1" customWidth="1"/>
    <col min="15392" max="15392" width="4.75" style="1" customWidth="1"/>
    <col min="15393" max="15394" width="3.88333333333333" style="1" customWidth="1"/>
    <col min="15395" max="15395" width="4.75" style="1" customWidth="1"/>
    <col min="15396" max="15404" width="3.88333333333333" style="1" customWidth="1"/>
    <col min="15405" max="15626" width="9" style="1"/>
    <col min="15627" max="15627" width="4.75" style="1" customWidth="1"/>
    <col min="15628" max="15628" width="13.75" style="1" customWidth="1"/>
    <col min="15629" max="15637" width="5.13333333333333" style="1" customWidth="1"/>
    <col min="15638" max="15638" width="4.75" style="1" customWidth="1"/>
    <col min="15639" max="15640" width="3.88333333333333" style="1" customWidth="1"/>
    <col min="15641" max="15641" width="4.75" style="1" customWidth="1"/>
    <col min="15642" max="15642" width="4.13333333333333" style="1" customWidth="1"/>
    <col min="15643" max="15646" width="4.75" style="1" customWidth="1"/>
    <col min="15647" max="15647" width="3.88333333333333" style="1" customWidth="1"/>
    <col min="15648" max="15648" width="4.75" style="1" customWidth="1"/>
    <col min="15649" max="15650" width="3.88333333333333" style="1" customWidth="1"/>
    <col min="15651" max="15651" width="4.75" style="1" customWidth="1"/>
    <col min="15652" max="15660" width="3.88333333333333" style="1" customWidth="1"/>
    <col min="15661" max="15882" width="9" style="1"/>
    <col min="15883" max="15883" width="4.75" style="1" customWidth="1"/>
    <col min="15884" max="15884" width="13.75" style="1" customWidth="1"/>
    <col min="15885" max="15893" width="5.13333333333333" style="1" customWidth="1"/>
    <col min="15894" max="15894" width="4.75" style="1" customWidth="1"/>
    <col min="15895" max="15896" width="3.88333333333333" style="1" customWidth="1"/>
    <col min="15897" max="15897" width="4.75" style="1" customWidth="1"/>
    <col min="15898" max="15898" width="4.13333333333333" style="1" customWidth="1"/>
    <col min="15899" max="15902" width="4.75" style="1" customWidth="1"/>
    <col min="15903" max="15903" width="3.88333333333333" style="1" customWidth="1"/>
    <col min="15904" max="15904" width="4.75" style="1" customWidth="1"/>
    <col min="15905" max="15906" width="3.88333333333333" style="1" customWidth="1"/>
    <col min="15907" max="15907" width="4.75" style="1" customWidth="1"/>
    <col min="15908" max="15916" width="3.88333333333333" style="1" customWidth="1"/>
    <col min="15917" max="16138" width="9" style="1"/>
    <col min="16139" max="16139" width="4.75" style="1" customWidth="1"/>
    <col min="16140" max="16140" width="13.75" style="1" customWidth="1"/>
    <col min="16141" max="16149" width="5.13333333333333" style="1" customWidth="1"/>
    <col min="16150" max="16150" width="4.75" style="1" customWidth="1"/>
    <col min="16151" max="16152" width="3.88333333333333" style="1" customWidth="1"/>
    <col min="16153" max="16153" width="4.75" style="1" customWidth="1"/>
    <col min="16154" max="16154" width="4.13333333333333" style="1" customWidth="1"/>
    <col min="16155" max="16158" width="4.75" style="1" customWidth="1"/>
    <col min="16159" max="16159" width="3.88333333333333" style="1" customWidth="1"/>
    <col min="16160" max="16160" width="4.75" style="1" customWidth="1"/>
    <col min="16161" max="16162" width="3.88333333333333" style="1" customWidth="1"/>
    <col min="16163" max="16163" width="4.75" style="1" customWidth="1"/>
    <col min="16164" max="16172" width="3.88333333333333" style="1" customWidth="1"/>
    <col min="16173" max="16384" width="9" style="1"/>
  </cols>
  <sheetData>
    <row r="1" ht="20.25" spans="1:44">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0"/>
    </row>
    <row r="2" ht="30.75" customHeight="1" spans="1:45">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ht="25.9" customHeight="1" spans="1:45">
      <c r="A3" s="5" t="s">
        <v>2</v>
      </c>
      <c r="B3" s="5" t="s">
        <v>3</v>
      </c>
      <c r="C3" s="5" t="s">
        <v>4</v>
      </c>
      <c r="D3" s="6" t="s">
        <v>5</v>
      </c>
      <c r="E3" s="6"/>
      <c r="F3" s="6"/>
      <c r="G3" s="6"/>
      <c r="H3" s="6" t="s">
        <v>6</v>
      </c>
      <c r="I3" s="6"/>
      <c r="J3" s="6"/>
      <c r="K3" s="6"/>
      <c r="L3" s="6"/>
      <c r="M3" s="6"/>
      <c r="N3" s="23" t="s">
        <v>7</v>
      </c>
      <c r="O3" s="23"/>
      <c r="P3" s="23"/>
      <c r="Q3" s="23"/>
      <c r="R3" s="23"/>
      <c r="S3" s="15" t="s">
        <v>8</v>
      </c>
      <c r="T3" s="15"/>
      <c r="U3" s="15"/>
      <c r="V3" s="15"/>
      <c r="W3" s="15"/>
      <c r="X3" s="15"/>
      <c r="Y3" s="15"/>
      <c r="Z3" s="15"/>
      <c r="AA3" s="15"/>
      <c r="AB3" s="15"/>
      <c r="AC3" s="15"/>
      <c r="AD3" s="15"/>
      <c r="AE3" s="15"/>
      <c r="AF3" s="15"/>
      <c r="AG3" s="15"/>
      <c r="AH3" s="15"/>
      <c r="AI3" s="15"/>
      <c r="AJ3" s="15"/>
      <c r="AK3" s="15"/>
      <c r="AL3" s="15"/>
      <c r="AM3" s="15"/>
      <c r="AN3" s="15"/>
      <c r="AO3" s="15"/>
      <c r="AP3" s="15"/>
      <c r="AQ3" s="15"/>
      <c r="AR3" s="15"/>
      <c r="AS3" s="25" t="s">
        <v>9</v>
      </c>
    </row>
    <row r="4" ht="34" customHeight="1" spans="1:45">
      <c r="A4" s="5"/>
      <c r="B4" s="5"/>
      <c r="C4" s="5"/>
      <c r="D4" s="6" t="s">
        <v>10</v>
      </c>
      <c r="E4" s="6" t="s">
        <v>11</v>
      </c>
      <c r="F4" s="6" t="s">
        <v>12</v>
      </c>
      <c r="G4" s="6"/>
      <c r="H4" s="6" t="s">
        <v>13</v>
      </c>
      <c r="I4" s="6" t="s">
        <v>14</v>
      </c>
      <c r="J4" s="6" t="s">
        <v>15</v>
      </c>
      <c r="K4" s="6" t="s">
        <v>16</v>
      </c>
      <c r="L4" s="6" t="s">
        <v>17</v>
      </c>
      <c r="M4" s="6" t="s">
        <v>18</v>
      </c>
      <c r="N4" s="23" t="s">
        <v>19</v>
      </c>
      <c r="O4" s="23" t="s">
        <v>20</v>
      </c>
      <c r="P4" s="23"/>
      <c r="Q4" s="23"/>
      <c r="R4" s="23" t="s">
        <v>21</v>
      </c>
      <c r="S4" s="24" t="s">
        <v>19</v>
      </c>
      <c r="T4" s="24" t="s">
        <v>22</v>
      </c>
      <c r="U4" s="24"/>
      <c r="V4" s="24"/>
      <c r="W4" s="24"/>
      <c r="X4" s="24"/>
      <c r="Y4" s="24"/>
      <c r="Z4" s="24"/>
      <c r="AA4" s="24"/>
      <c r="AB4" s="25" t="s">
        <v>23</v>
      </c>
      <c r="AC4" s="25"/>
      <c r="AD4" s="25"/>
      <c r="AE4" s="25"/>
      <c r="AF4" s="25"/>
      <c r="AG4" s="25"/>
      <c r="AH4" s="25"/>
      <c r="AI4" s="25"/>
      <c r="AJ4" s="25"/>
      <c r="AK4" s="25"/>
      <c r="AL4" s="25"/>
      <c r="AM4" s="25"/>
      <c r="AN4" s="25"/>
      <c r="AO4" s="25"/>
      <c r="AP4" s="25"/>
      <c r="AQ4" s="25"/>
      <c r="AR4" s="25"/>
      <c r="AS4" s="25"/>
    </row>
    <row r="5" ht="23.65" customHeight="1" spans="1:45">
      <c r="A5" s="5"/>
      <c r="B5" s="5"/>
      <c r="C5" s="5"/>
      <c r="D5" s="6"/>
      <c r="E5" s="6"/>
      <c r="F5" s="6" t="s">
        <v>24</v>
      </c>
      <c r="G5" s="6" t="s">
        <v>25</v>
      </c>
      <c r="H5" s="6"/>
      <c r="I5" s="6"/>
      <c r="J5" s="6"/>
      <c r="K5" s="6"/>
      <c r="L5" s="6"/>
      <c r="M5" s="6"/>
      <c r="N5" s="23"/>
      <c r="O5" s="23"/>
      <c r="P5" s="23" t="s">
        <v>26</v>
      </c>
      <c r="Q5" s="23" t="s">
        <v>27</v>
      </c>
      <c r="R5" s="23"/>
      <c r="S5" s="24"/>
      <c r="T5" s="24" t="s">
        <v>28</v>
      </c>
      <c r="U5" s="24" t="s">
        <v>29</v>
      </c>
      <c r="V5" s="24"/>
      <c r="W5" s="24" t="s">
        <v>30</v>
      </c>
      <c r="X5" s="24"/>
      <c r="Y5" s="24" t="s">
        <v>31</v>
      </c>
      <c r="Z5" s="24"/>
      <c r="AA5" s="24"/>
      <c r="AB5" s="24" t="s">
        <v>28</v>
      </c>
      <c r="AC5" s="24" t="s">
        <v>32</v>
      </c>
      <c r="AD5" s="24" t="s">
        <v>33</v>
      </c>
      <c r="AE5" s="24"/>
      <c r="AF5" s="24" t="s">
        <v>34</v>
      </c>
      <c r="AG5" s="24" t="s">
        <v>35</v>
      </c>
      <c r="AH5" s="24"/>
      <c r="AI5" s="24" t="s">
        <v>36</v>
      </c>
      <c r="AJ5" s="24"/>
      <c r="AK5" s="24"/>
      <c r="AL5" s="24"/>
      <c r="AM5" s="24"/>
      <c r="AN5" s="24"/>
      <c r="AO5" s="24"/>
      <c r="AP5" s="24"/>
      <c r="AQ5" s="24" t="s">
        <v>37</v>
      </c>
      <c r="AR5" s="24"/>
      <c r="AS5" s="25"/>
    </row>
    <row r="6" ht="38" customHeight="1" spans="1:45">
      <c r="A6" s="5"/>
      <c r="B6" s="5"/>
      <c r="C6" s="5"/>
      <c r="D6" s="6"/>
      <c r="E6" s="6"/>
      <c r="F6" s="6"/>
      <c r="G6" s="6"/>
      <c r="H6" s="6"/>
      <c r="I6" s="6"/>
      <c r="J6" s="6"/>
      <c r="K6" s="6"/>
      <c r="L6" s="6"/>
      <c r="M6" s="6"/>
      <c r="N6" s="23"/>
      <c r="O6" s="23"/>
      <c r="P6" s="23"/>
      <c r="Q6" s="23"/>
      <c r="R6" s="23"/>
      <c r="S6" s="24"/>
      <c r="T6" s="24"/>
      <c r="U6" s="24" t="s">
        <v>38</v>
      </c>
      <c r="V6" s="24" t="s">
        <v>39</v>
      </c>
      <c r="W6" s="24" t="s">
        <v>38</v>
      </c>
      <c r="X6" s="24" t="s">
        <v>39</v>
      </c>
      <c r="Y6" s="24" t="s">
        <v>38</v>
      </c>
      <c r="Z6" s="26" t="s">
        <v>40</v>
      </c>
      <c r="AA6" s="26" t="s">
        <v>41</v>
      </c>
      <c r="AB6" s="24"/>
      <c r="AC6" s="24"/>
      <c r="AD6" s="24" t="s">
        <v>38</v>
      </c>
      <c r="AE6" s="24" t="s">
        <v>42</v>
      </c>
      <c r="AF6" s="24"/>
      <c r="AG6" s="24" t="s">
        <v>38</v>
      </c>
      <c r="AH6" s="24" t="s">
        <v>43</v>
      </c>
      <c r="AI6" s="24" t="s">
        <v>44</v>
      </c>
      <c r="AJ6" s="24" t="s">
        <v>45</v>
      </c>
      <c r="AK6" s="24"/>
      <c r="AL6" s="27" t="s">
        <v>46</v>
      </c>
      <c r="AM6" s="27"/>
      <c r="AN6" s="27"/>
      <c r="AO6" s="24" t="s">
        <v>47</v>
      </c>
      <c r="AP6" s="24" t="s">
        <v>48</v>
      </c>
      <c r="AQ6" s="24" t="s">
        <v>49</v>
      </c>
      <c r="AR6" s="24" t="s">
        <v>50</v>
      </c>
      <c r="AS6" s="25"/>
    </row>
    <row r="7" ht="117" customHeight="1" spans="1:45">
      <c r="A7" s="5"/>
      <c r="B7" s="5"/>
      <c r="C7" s="5"/>
      <c r="D7" s="7"/>
      <c r="E7" s="6"/>
      <c r="F7" s="6"/>
      <c r="G7" s="6"/>
      <c r="H7" s="6"/>
      <c r="I7" s="6"/>
      <c r="J7" s="6"/>
      <c r="K7" s="6"/>
      <c r="L7" s="6"/>
      <c r="M7" s="6"/>
      <c r="N7" s="23"/>
      <c r="O7" s="23"/>
      <c r="P7" s="23"/>
      <c r="Q7" s="23"/>
      <c r="R7" s="23"/>
      <c r="S7" s="24"/>
      <c r="T7" s="24"/>
      <c r="U7" s="24"/>
      <c r="V7" s="24"/>
      <c r="W7" s="24"/>
      <c r="X7" s="24"/>
      <c r="Y7" s="24"/>
      <c r="Z7" s="26"/>
      <c r="AA7" s="26"/>
      <c r="AB7" s="24"/>
      <c r="AC7" s="24"/>
      <c r="AD7" s="24"/>
      <c r="AE7" s="24"/>
      <c r="AF7" s="24"/>
      <c r="AG7" s="24"/>
      <c r="AH7" s="24"/>
      <c r="AI7" s="24"/>
      <c r="AJ7" s="28" t="s">
        <v>38</v>
      </c>
      <c r="AK7" s="24" t="s">
        <v>51</v>
      </c>
      <c r="AL7" s="29" t="s">
        <v>44</v>
      </c>
      <c r="AM7" s="29" t="s">
        <v>52</v>
      </c>
      <c r="AN7" s="29" t="s">
        <v>53</v>
      </c>
      <c r="AO7" s="24"/>
      <c r="AP7" s="24"/>
      <c r="AQ7" s="24"/>
      <c r="AR7" s="24"/>
      <c r="AS7" s="25"/>
    </row>
    <row r="8" ht="23.45" customHeight="1" spans="1:45">
      <c r="A8" s="8"/>
      <c r="B8" s="8"/>
      <c r="C8" s="9" t="s">
        <v>54</v>
      </c>
      <c r="D8" s="10"/>
      <c r="E8" s="10">
        <f>SUM(E9:E12)</f>
        <v>37</v>
      </c>
      <c r="F8" s="10">
        <f t="shared" ref="F8:AR8" si="0">SUM(F9:F12)</f>
        <v>1097</v>
      </c>
      <c r="G8" s="10">
        <f t="shared" si="0"/>
        <v>0</v>
      </c>
      <c r="H8" s="10">
        <f t="shared" si="0"/>
        <v>0</v>
      </c>
      <c r="I8" s="10">
        <f t="shared" si="0"/>
        <v>0</v>
      </c>
      <c r="J8" s="10"/>
      <c r="K8" s="10"/>
      <c r="L8" s="10"/>
      <c r="M8" s="10"/>
      <c r="N8" s="10">
        <f t="shared" si="0"/>
        <v>81</v>
      </c>
      <c r="O8" s="10">
        <f t="shared" si="0"/>
        <v>81</v>
      </c>
      <c r="P8" s="10">
        <f t="shared" si="0"/>
        <v>0</v>
      </c>
      <c r="Q8" s="10">
        <f t="shared" si="0"/>
        <v>0</v>
      </c>
      <c r="R8" s="10">
        <f t="shared" si="0"/>
        <v>0</v>
      </c>
      <c r="S8" s="10">
        <f t="shared" si="0"/>
        <v>81</v>
      </c>
      <c r="T8" s="10">
        <f t="shared" si="0"/>
        <v>0</v>
      </c>
      <c r="U8" s="10">
        <f t="shared" si="0"/>
        <v>0</v>
      </c>
      <c r="V8" s="10">
        <f t="shared" si="0"/>
        <v>0</v>
      </c>
      <c r="W8" s="10">
        <f t="shared" si="0"/>
        <v>0</v>
      </c>
      <c r="X8" s="10">
        <f t="shared" si="0"/>
        <v>0</v>
      </c>
      <c r="Y8" s="10">
        <f t="shared" si="0"/>
        <v>0</v>
      </c>
      <c r="Z8" s="10">
        <f t="shared" si="0"/>
        <v>0</v>
      </c>
      <c r="AA8" s="10">
        <f t="shared" si="0"/>
        <v>0</v>
      </c>
      <c r="AB8" s="10">
        <f t="shared" si="0"/>
        <v>81</v>
      </c>
      <c r="AC8" s="10">
        <f t="shared" si="0"/>
        <v>0</v>
      </c>
      <c r="AD8" s="10">
        <f t="shared" si="0"/>
        <v>0</v>
      </c>
      <c r="AE8" s="10">
        <f t="shared" si="0"/>
        <v>0</v>
      </c>
      <c r="AF8" s="10">
        <f t="shared" si="0"/>
        <v>0</v>
      </c>
      <c r="AG8" s="10">
        <f t="shared" si="0"/>
        <v>0</v>
      </c>
      <c r="AH8" s="10">
        <f t="shared" si="0"/>
        <v>0</v>
      </c>
      <c r="AI8" s="10">
        <f t="shared" si="0"/>
        <v>81</v>
      </c>
      <c r="AJ8" s="10">
        <f t="shared" si="0"/>
        <v>51</v>
      </c>
      <c r="AK8" s="10">
        <f t="shared" si="0"/>
        <v>102</v>
      </c>
      <c r="AL8" s="10">
        <f t="shared" si="0"/>
        <v>30</v>
      </c>
      <c r="AM8" s="10">
        <f t="shared" si="0"/>
        <v>0</v>
      </c>
      <c r="AN8" s="10">
        <f t="shared" si="0"/>
        <v>0</v>
      </c>
      <c r="AO8" s="10">
        <f t="shared" si="0"/>
        <v>0</v>
      </c>
      <c r="AP8" s="10">
        <f t="shared" si="0"/>
        <v>0</v>
      </c>
      <c r="AQ8" s="10">
        <f t="shared" si="0"/>
        <v>0</v>
      </c>
      <c r="AR8" s="10">
        <f t="shared" si="0"/>
        <v>0</v>
      </c>
      <c r="AS8" s="18"/>
    </row>
    <row r="9" ht="23.45" customHeight="1" spans="1:45">
      <c r="A9" s="5"/>
      <c r="B9" s="11" t="s">
        <v>55</v>
      </c>
      <c r="C9" s="12" t="s">
        <v>56</v>
      </c>
      <c r="D9" s="13" t="s">
        <v>57</v>
      </c>
      <c r="E9" s="14">
        <v>6</v>
      </c>
      <c r="F9" s="12">
        <v>123</v>
      </c>
      <c r="G9" s="12">
        <v>0</v>
      </c>
      <c r="H9" s="14" t="s">
        <v>58</v>
      </c>
      <c r="I9" s="14" t="s">
        <v>59</v>
      </c>
      <c r="J9" s="14"/>
      <c r="K9" s="12"/>
      <c r="L9" s="12"/>
      <c r="M9" s="12"/>
      <c r="N9" s="15">
        <f>O9</f>
        <v>20</v>
      </c>
      <c r="O9" s="15">
        <v>20</v>
      </c>
      <c r="P9" s="15"/>
      <c r="Q9" s="15"/>
      <c r="R9" s="15"/>
      <c r="S9" s="15">
        <f>AB9</f>
        <v>20</v>
      </c>
      <c r="T9" s="15"/>
      <c r="U9" s="15"/>
      <c r="V9" s="15"/>
      <c r="W9" s="15"/>
      <c r="X9" s="15"/>
      <c r="Y9" s="15"/>
      <c r="Z9" s="15"/>
      <c r="AA9" s="15"/>
      <c r="AB9" s="15">
        <f>AC9+AD9+AF9+AG9+AI9+AQ9</f>
        <v>20</v>
      </c>
      <c r="AC9" s="15"/>
      <c r="AD9" s="15"/>
      <c r="AE9" s="15"/>
      <c r="AF9" s="15"/>
      <c r="AG9" s="15"/>
      <c r="AH9" s="15"/>
      <c r="AI9" s="15">
        <f>AJ9+AL9+AO9+AP9</f>
        <v>20</v>
      </c>
      <c r="AJ9" s="15">
        <v>0</v>
      </c>
      <c r="AK9" s="15">
        <v>0</v>
      </c>
      <c r="AL9" s="15">
        <v>20</v>
      </c>
      <c r="AM9" s="15"/>
      <c r="AN9" s="15"/>
      <c r="AO9" s="15"/>
      <c r="AP9" s="15"/>
      <c r="AQ9" s="15"/>
      <c r="AR9" s="15"/>
      <c r="AS9" s="31"/>
    </row>
    <row r="10" ht="23.45" customHeight="1" spans="1:45">
      <c r="A10" s="5"/>
      <c r="B10" s="11" t="s">
        <v>60</v>
      </c>
      <c r="C10" s="15" t="s">
        <v>61</v>
      </c>
      <c r="D10" s="13" t="s">
        <v>62</v>
      </c>
      <c r="E10" s="14">
        <v>11</v>
      </c>
      <c r="F10" s="12">
        <v>280</v>
      </c>
      <c r="G10" s="12">
        <v>0</v>
      </c>
      <c r="H10" s="14" t="s">
        <v>21</v>
      </c>
      <c r="I10" s="17" t="s">
        <v>59</v>
      </c>
      <c r="J10" s="17"/>
      <c r="K10" s="15"/>
      <c r="L10" s="15"/>
      <c r="M10" s="15"/>
      <c r="N10" s="15">
        <f>O10</f>
        <v>10</v>
      </c>
      <c r="O10" s="15">
        <v>10</v>
      </c>
      <c r="P10" s="15"/>
      <c r="Q10" s="15"/>
      <c r="R10" s="15"/>
      <c r="S10" s="15">
        <f>AB10</f>
        <v>10</v>
      </c>
      <c r="T10" s="15"/>
      <c r="U10" s="15"/>
      <c r="V10" s="15"/>
      <c r="W10" s="15"/>
      <c r="X10" s="15"/>
      <c r="Y10" s="15"/>
      <c r="Z10" s="15"/>
      <c r="AA10" s="15"/>
      <c r="AB10" s="15">
        <f>AC10+AD10+AF10+AG10+AI10+AQ10</f>
        <v>10</v>
      </c>
      <c r="AC10" s="15"/>
      <c r="AD10" s="15"/>
      <c r="AE10" s="15"/>
      <c r="AF10" s="15"/>
      <c r="AG10" s="15"/>
      <c r="AH10" s="15"/>
      <c r="AI10" s="15">
        <f>AJ10+AL10+AO10+AP10</f>
        <v>10</v>
      </c>
      <c r="AJ10" s="15">
        <v>0</v>
      </c>
      <c r="AK10" s="15">
        <v>0</v>
      </c>
      <c r="AL10" s="15">
        <v>10</v>
      </c>
      <c r="AM10" s="15"/>
      <c r="AN10" s="15"/>
      <c r="AO10" s="15"/>
      <c r="AP10" s="15"/>
      <c r="AQ10" s="15"/>
      <c r="AR10" s="15"/>
      <c r="AS10" s="31"/>
    </row>
    <row r="11" ht="23.45" customHeight="1" spans="1:45">
      <c r="A11" s="5"/>
      <c r="B11" s="11" t="s">
        <v>63</v>
      </c>
      <c r="C11" s="12" t="s">
        <v>64</v>
      </c>
      <c r="D11" s="13" t="s">
        <v>62</v>
      </c>
      <c r="E11" s="14">
        <v>12</v>
      </c>
      <c r="F11" s="12">
        <v>383</v>
      </c>
      <c r="G11" s="12">
        <v>0</v>
      </c>
      <c r="H11" s="14" t="s">
        <v>21</v>
      </c>
      <c r="I11" s="17" t="s">
        <v>59</v>
      </c>
      <c r="J11" s="15"/>
      <c r="K11" s="15"/>
      <c r="L11" s="15"/>
      <c r="M11" s="15"/>
      <c r="N11" s="15">
        <f>O11</f>
        <v>25.5</v>
      </c>
      <c r="O11" s="15">
        <v>25.5</v>
      </c>
      <c r="P11" s="15"/>
      <c r="Q11" s="15"/>
      <c r="R11" s="15"/>
      <c r="S11" s="15">
        <f>AB11</f>
        <v>25.5</v>
      </c>
      <c r="T11" s="15"/>
      <c r="U11" s="15"/>
      <c r="V11" s="15"/>
      <c r="W11" s="15"/>
      <c r="X11" s="15"/>
      <c r="Y11" s="15"/>
      <c r="Z11" s="15"/>
      <c r="AA11" s="15"/>
      <c r="AB11" s="15">
        <f>AC11+AD11+AF11+AG11+AI11+AQ11</f>
        <v>25.5</v>
      </c>
      <c r="AC11" s="15"/>
      <c r="AD11" s="15"/>
      <c r="AE11" s="15"/>
      <c r="AF11" s="15"/>
      <c r="AG11" s="15"/>
      <c r="AH11" s="15"/>
      <c r="AI11" s="15">
        <f>AJ11+AL11+AO11+AP11</f>
        <v>25.5</v>
      </c>
      <c r="AJ11" s="15">
        <v>25.5</v>
      </c>
      <c r="AK11" s="15">
        <v>51</v>
      </c>
      <c r="AL11" s="15">
        <f>AM11+AN11</f>
        <v>0</v>
      </c>
      <c r="AM11" s="15"/>
      <c r="AN11" s="15"/>
      <c r="AO11" s="15"/>
      <c r="AP11" s="15"/>
      <c r="AQ11" s="15"/>
      <c r="AR11" s="15"/>
      <c r="AS11" s="31"/>
    </row>
    <row r="12" ht="23.45" customHeight="1" spans="1:45">
      <c r="A12" s="16"/>
      <c r="B12" s="11" t="s">
        <v>65</v>
      </c>
      <c r="C12" s="12" t="s">
        <v>66</v>
      </c>
      <c r="D12" s="17" t="s">
        <v>57</v>
      </c>
      <c r="E12" s="17">
        <v>8</v>
      </c>
      <c r="F12" s="15">
        <v>311</v>
      </c>
      <c r="G12" s="15">
        <v>0</v>
      </c>
      <c r="H12" s="15" t="s">
        <v>21</v>
      </c>
      <c r="I12" s="17" t="s">
        <v>59</v>
      </c>
      <c r="J12" s="15"/>
      <c r="K12" s="15"/>
      <c r="L12" s="15"/>
      <c r="M12" s="15"/>
      <c r="N12" s="15">
        <f>O12</f>
        <v>25.5</v>
      </c>
      <c r="O12" s="15">
        <v>25.5</v>
      </c>
      <c r="P12" s="15"/>
      <c r="Q12" s="15"/>
      <c r="R12" s="15"/>
      <c r="S12" s="15">
        <f>AB12</f>
        <v>25.5</v>
      </c>
      <c r="T12" s="15"/>
      <c r="U12" s="15"/>
      <c r="V12" s="15"/>
      <c r="W12" s="15"/>
      <c r="X12" s="15"/>
      <c r="Y12" s="15"/>
      <c r="Z12" s="15"/>
      <c r="AA12" s="15"/>
      <c r="AB12" s="15">
        <f>AC12+AD12+AF12+AG12+AI12+AQ12</f>
        <v>25.5</v>
      </c>
      <c r="AC12" s="15"/>
      <c r="AD12" s="15"/>
      <c r="AE12" s="15"/>
      <c r="AF12" s="15"/>
      <c r="AG12" s="15"/>
      <c r="AH12" s="15"/>
      <c r="AI12" s="15">
        <f>AJ12+AL12+AO12+AP12</f>
        <v>25.5</v>
      </c>
      <c r="AJ12" s="15">
        <v>25.5</v>
      </c>
      <c r="AK12" s="15">
        <v>51</v>
      </c>
      <c r="AL12" s="15">
        <f>AM12+AN12</f>
        <v>0</v>
      </c>
      <c r="AM12" s="15"/>
      <c r="AN12" s="15"/>
      <c r="AO12" s="15"/>
      <c r="AP12" s="15"/>
      <c r="AQ12" s="15"/>
      <c r="AR12" s="15"/>
      <c r="AS12" s="31"/>
    </row>
    <row r="13" ht="23.45" customHeight="1" spans="1:45">
      <c r="A13" s="18"/>
      <c r="B13" s="18"/>
      <c r="C13" s="18"/>
      <c r="D13" s="19"/>
      <c r="E13" s="19"/>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row>
    <row r="14" ht="23.45" customHeight="1" spans="1:45">
      <c r="A14" s="18"/>
      <c r="B14" s="18"/>
      <c r="C14" s="18"/>
      <c r="D14" s="19"/>
      <c r="E14" s="19"/>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row>
    <row r="15" ht="23.45" customHeight="1" spans="1:45">
      <c r="A15" s="18"/>
      <c r="B15" s="18"/>
      <c r="C15" s="18"/>
      <c r="D15" s="19"/>
      <c r="E15" s="19"/>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row>
    <row r="16" ht="23.45" customHeight="1" spans="1:45">
      <c r="A16" s="18"/>
      <c r="B16" s="18"/>
      <c r="C16" s="18"/>
      <c r="D16" s="19"/>
      <c r="E16" s="19"/>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row>
    <row r="17" ht="23.45" customHeight="1" spans="1:45">
      <c r="A17" s="18"/>
      <c r="B17" s="18"/>
      <c r="C17" s="18"/>
      <c r="D17" s="19"/>
      <c r="E17" s="19"/>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row>
    <row r="18" ht="23.45" customHeight="1" spans="1:45">
      <c r="A18" s="18"/>
      <c r="B18" s="18"/>
      <c r="C18" s="20"/>
      <c r="D18" s="19"/>
      <c r="E18" s="19"/>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row>
    <row r="19" ht="23.45" customHeight="1" spans="1:45">
      <c r="A19" s="18"/>
      <c r="B19" s="18"/>
      <c r="C19" s="18"/>
      <c r="D19" s="19"/>
      <c r="E19" s="19"/>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row>
    <row r="20" ht="23.45" customHeight="1" spans="1:45">
      <c r="A20" s="18"/>
      <c r="B20" s="18"/>
      <c r="C20" s="20"/>
      <c r="D20" s="19"/>
      <c r="E20" s="19"/>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row>
    <row r="21" ht="23.45" customHeight="1" spans="1:45">
      <c r="A21" s="18"/>
      <c r="B21" s="18"/>
      <c r="C21" s="18"/>
      <c r="D21" s="19"/>
      <c r="E21" s="1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row>
    <row r="22" ht="12" customHeight="1"/>
    <row r="23" ht="19.5" customHeight="1" spans="1:44">
      <c r="A23" s="21" t="s">
        <v>67</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row>
    <row r="24" ht="19.5" customHeight="1" spans="1:44">
      <c r="A24" s="21" t="s">
        <v>68</v>
      </c>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row>
    <row r="25" ht="19.5" customHeight="1" spans="1:44">
      <c r="A25" s="22" t="s">
        <v>69</v>
      </c>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row>
    <row r="26" ht="19.5" customHeight="1" spans="1:44">
      <c r="A26" s="21" t="s">
        <v>70</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row>
    <row r="27" ht="19.5" customHeight="1" spans="1:44">
      <c r="A27" s="22" t="s">
        <v>71</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row>
    <row r="28" ht="19.5" customHeight="1" spans="1:44">
      <c r="A28" s="22" t="s">
        <v>72</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row>
  </sheetData>
  <mergeCells count="65">
    <mergeCell ref="A1:AQ1"/>
    <mergeCell ref="A2:AS2"/>
    <mergeCell ref="D3:G3"/>
    <mergeCell ref="H3:M3"/>
    <mergeCell ref="N3:R3"/>
    <mergeCell ref="S3:AR3"/>
    <mergeCell ref="F4:G4"/>
    <mergeCell ref="P4:Q4"/>
    <mergeCell ref="T4:AA4"/>
    <mergeCell ref="AB4:AR4"/>
    <mergeCell ref="U5:V5"/>
    <mergeCell ref="W5:X5"/>
    <mergeCell ref="Y5:AA5"/>
    <mergeCell ref="AD5:AE5"/>
    <mergeCell ref="AG5:AH5"/>
    <mergeCell ref="AI5:AP5"/>
    <mergeCell ref="AQ5:AR5"/>
    <mergeCell ref="AJ6:AK6"/>
    <mergeCell ref="AL6:AN6"/>
    <mergeCell ref="A23:AQ23"/>
    <mergeCell ref="A24:AJ24"/>
    <mergeCell ref="A25:AQ25"/>
    <mergeCell ref="A26:X26"/>
    <mergeCell ref="A27:AQ27"/>
    <mergeCell ref="A28:AQ28"/>
    <mergeCell ref="A3:A7"/>
    <mergeCell ref="B3:B7"/>
    <mergeCell ref="C3:C7"/>
    <mergeCell ref="D4:D7"/>
    <mergeCell ref="E4:E7"/>
    <mergeCell ref="F5:F7"/>
    <mergeCell ref="G5:G7"/>
    <mergeCell ref="H4:H7"/>
    <mergeCell ref="I4:I7"/>
    <mergeCell ref="J4:J7"/>
    <mergeCell ref="K4:K7"/>
    <mergeCell ref="L4:L7"/>
    <mergeCell ref="M4:M7"/>
    <mergeCell ref="N4:N7"/>
    <mergeCell ref="O4:O7"/>
    <mergeCell ref="P5:P7"/>
    <mergeCell ref="Q5:Q7"/>
    <mergeCell ref="R4:R7"/>
    <mergeCell ref="S4:S7"/>
    <mergeCell ref="T5:T7"/>
    <mergeCell ref="U6:U7"/>
    <mergeCell ref="V6:V7"/>
    <mergeCell ref="W6:W7"/>
    <mergeCell ref="X6:X7"/>
    <mergeCell ref="Y6:Y7"/>
    <mergeCell ref="Z6:Z7"/>
    <mergeCell ref="AA6:AA7"/>
    <mergeCell ref="AB5:AB7"/>
    <mergeCell ref="AC5:AC7"/>
    <mergeCell ref="AD6:AD7"/>
    <mergeCell ref="AE6:AE7"/>
    <mergeCell ref="AF5:AF7"/>
    <mergeCell ref="AG6:AG7"/>
    <mergeCell ref="AH6:AH7"/>
    <mergeCell ref="AI6:AI7"/>
    <mergeCell ref="AO6:AO7"/>
    <mergeCell ref="AP6:AP7"/>
    <mergeCell ref="AQ6:AQ7"/>
    <mergeCell ref="AR6:AR7"/>
    <mergeCell ref="AS3:AS7"/>
  </mergeCells>
  <dataValidations count="3">
    <dataValidation allowBlank="1" showInputMessage="1" showErrorMessage="1" sqref="E8:AR8 D9 E9 E10 E11 D17 E17 D1:D8 D10:D11 D12:D13 D14:D16 D18:D21 D22:D25 D26:D1048576 E1:E7 E12:E13 E14:E16 E18:E21 E22:E25 E26:E1048576"/>
    <dataValidation type="list" allowBlank="1" showInputMessage="1" showErrorMessage="1" sqref="J17 J1:J7 J9:J13 J14:J16 J18:J21 J22:J25 J26:J1048576">
      <formula1>Sheet3!$E$10:$E$19</formula1>
    </dataValidation>
    <dataValidation type="list" allowBlank="1" showInputMessage="1" showErrorMessage="1" sqref="I9:I10 I11:I12">
      <formula1>"1新建,2改扩建,3维修加固,4设备购置"</formula1>
    </dataValidation>
  </dataValidations>
  <pageMargins left="0.511805555555556" right="0.313888888888889" top="0.55" bottom="0.55" header="0.313888888888889" footer="0.313888888888889"/>
  <pageSetup paperSize="9" scale="63"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0:E19"/>
  <sheetViews>
    <sheetView workbookViewId="0">
      <selection activeCell="I17" sqref="I17"/>
    </sheetView>
  </sheetViews>
  <sheetFormatPr defaultColWidth="9" defaultRowHeight="13.5" outlineLevelCol="4"/>
  <sheetData>
    <row r="10" spans="5:5">
      <c r="E10" t="s">
        <v>73</v>
      </c>
    </row>
    <row r="11" spans="5:5">
      <c r="E11" t="s">
        <v>74</v>
      </c>
    </row>
    <row r="12" spans="5:5">
      <c r="E12" t="s">
        <v>75</v>
      </c>
    </row>
    <row r="13" spans="5:5">
      <c r="E13" t="s">
        <v>76</v>
      </c>
    </row>
    <row r="14" spans="5:5">
      <c r="E14" t="s">
        <v>77</v>
      </c>
    </row>
    <row r="15" spans="5:5">
      <c r="E15" t="s">
        <v>78</v>
      </c>
    </row>
    <row r="16" spans="5:5">
      <c r="E16" t="s">
        <v>79</v>
      </c>
    </row>
    <row r="17" spans="5:5">
      <c r="E17" t="s">
        <v>80</v>
      </c>
    </row>
    <row r="18" spans="5:5">
      <c r="E18" t="s">
        <v>81</v>
      </c>
    </row>
    <row r="19" spans="5:5">
      <c r="E19" t="s">
        <v>82</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项目安排明细表</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ptlihui</cp:lastModifiedBy>
  <dcterms:created xsi:type="dcterms:W3CDTF">2006-09-16T00:00:00Z</dcterms:created>
  <cp:lastPrinted>2017-11-24T00:57:00Z</cp:lastPrinted>
  <dcterms:modified xsi:type="dcterms:W3CDTF">2020-01-15T01:22:42Z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