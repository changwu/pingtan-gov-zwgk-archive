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附件1" sheetId="1" r:id="rId1"/>
    <sheet name="2022年医疗任务完成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<sst xmlns="http://schemas.openxmlformats.org/spreadsheetml/2006/main" count="184" uniqueCount="58">
  <si>
    <t>附件1</t>
  </si>
  <si>
    <t>2023年基层医疗卫生机构基本药物制度补助资金明细表</t>
  </si>
  <si>
    <t>单位：元</t>
  </si>
  <si>
    <t>序
号</t>
  </si>
  <si>
    <t>单位</t>
  </si>
  <si>
    <t>服务人口补助</t>
  </si>
  <si>
    <t>核定任务完成补助</t>
  </si>
  <si>
    <t>收支差
额补助</t>
  </si>
  <si>
    <t>结算金
额合计</t>
  </si>
  <si>
    <t>已下达
金额</t>
  </si>
  <si>
    <t>本次下
达金额</t>
  </si>
  <si>
    <t>备注</t>
  </si>
  <si>
    <t>服务人口
（人）</t>
  </si>
  <si>
    <t>标准
（元/人）</t>
  </si>
  <si>
    <t>已预拨
金额</t>
  </si>
  <si>
    <t>考核
分数</t>
  </si>
  <si>
    <t>补助
标准</t>
  </si>
  <si>
    <t>补助
金额</t>
  </si>
  <si>
    <t>屿头卫生院</t>
  </si>
  <si>
    <t>小岛工作补助</t>
  </si>
  <si>
    <t>大练卫生院</t>
  </si>
  <si>
    <t>苏沃卫生院</t>
  </si>
  <si>
    <t>平原卫生院</t>
  </si>
  <si>
    <t>中楼卫生院</t>
  </si>
  <si>
    <t>白青卫生院</t>
  </si>
  <si>
    <t>流水卫生院</t>
  </si>
  <si>
    <t>东庠卫生院</t>
  </si>
  <si>
    <t>北厝卫生院</t>
  </si>
  <si>
    <t>敖东卫生院</t>
  </si>
  <si>
    <t>南海卫生院</t>
  </si>
  <si>
    <t>塘屿卫生院</t>
  </si>
  <si>
    <t>海坛街道社区卫生服务中心</t>
  </si>
  <si>
    <t>合  计</t>
  </si>
  <si>
    <t>附件2</t>
  </si>
  <si>
    <t>2022年基层医疗卫生机构医疗任务完成情况表</t>
  </si>
  <si>
    <t>序号</t>
  </si>
  <si>
    <t>单位名称</t>
  </si>
  <si>
    <t>门急诊人次（人次）</t>
  </si>
  <si>
    <t>出院人次（人次）</t>
  </si>
  <si>
    <t>病床使用率</t>
  </si>
  <si>
    <t>药占比</t>
  </si>
  <si>
    <t>次均门急费用(元)</t>
  </si>
  <si>
    <t>次均住院费用(元)</t>
  </si>
  <si>
    <t>总得分</t>
  </si>
  <si>
    <t>基准分:20分</t>
  </si>
  <si>
    <t>实际完成数</t>
  </si>
  <si>
    <t>得分</t>
  </si>
  <si>
    <t>基准分:15分</t>
  </si>
  <si>
    <t>原潭城社区卫生服务中心</t>
  </si>
  <si>
    <t>≥</t>
  </si>
  <si>
    <t>≤</t>
  </si>
  <si>
    <t>原岚城卫生院</t>
  </si>
  <si>
    <t>原澳前卫生院</t>
  </si>
  <si>
    <t>小计</t>
  </si>
  <si>
    <t>备注：</t>
  </si>
  <si>
    <r>
      <rPr>
        <sz val="9"/>
        <rFont val="仿宋_GB2312"/>
        <charset val="134"/>
      </rPr>
      <t>1.门急诊人次、出院人次、病床使用率达到或</t>
    </r>
    <r>
      <rPr>
        <b/>
        <sz val="9"/>
        <rFont val="仿宋_GB2312"/>
        <charset val="134"/>
      </rPr>
      <t>高于</t>
    </r>
    <r>
      <rPr>
        <sz val="9"/>
        <rFont val="仿宋_GB2312"/>
        <charset val="134"/>
      </rPr>
      <t>核定任务数，得基准分；低于核定任务数的，按下降比例扣取基准分。</t>
    </r>
  </si>
  <si>
    <r>
      <rPr>
        <sz val="9"/>
        <rFont val="仿宋_GB2312"/>
        <charset val="134"/>
      </rPr>
      <t>2.药占比、次均门急诊费用、次均住院费用达到或</t>
    </r>
    <r>
      <rPr>
        <b/>
        <sz val="9"/>
        <rFont val="仿宋_GB2312"/>
        <charset val="134"/>
      </rPr>
      <t>低于</t>
    </r>
    <r>
      <rPr>
        <sz val="9"/>
        <rFont val="仿宋_GB2312"/>
        <charset val="134"/>
      </rPr>
      <t>核定任务数，得基准分；高于核定任务数的，按超过比例扣取基准分。</t>
    </r>
  </si>
  <si>
    <t>3.医务性收入提取不得高于，医务性收入×提取比例×核定医疗任务完成系数。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</si>
</sst>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#,##0_ "/>
  </numFmts>
  <fonts count="31">
    <font>
      <sz val="12"/>
      <name val="宋体"/>
      <charset val="134"/>
    </font>
    <font>
      <sz val="12"/>
      <name val="黑体"/>
      <charset val="134"/>
    </font>
    <font>
      <sz val="18"/>
      <name val="方正小标宋简体"/>
      <charset val="134"/>
    </font>
    <font>
      <sz val="9"/>
      <name val="仿宋_GB2312"/>
      <charset val="134"/>
    </font>
    <font>
      <sz val="9"/>
      <color theme="1"/>
      <name val="仿宋_GB2312"/>
      <charset val="134"/>
    </font>
    <font>
      <b/>
      <sz val="9"/>
      <name val="仿宋_GB2312"/>
      <charset val="134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sz val="10"/>
      <name val="仿宋_GB2312"/>
      <charset val="134"/>
    </font>
    <font>
      <sz val="14"/>
      <name val="黑体"/>
      <charset val="134"/>
    </font>
    <font>
      <sz val="22"/>
      <name val="方正小标宋简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7" borderId="11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12" borderId="15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/>
    </xf>
    <xf numFmtId="9" fontId="3" fillId="0" borderId="2" xfId="0" applyNumberFormat="1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9" fontId="5" fillId="0" borderId="2" xfId="0" applyNumberFormat="1" applyFont="1" applyFill="1" applyBorder="1" applyAlignment="1">
      <alignment horizontal="center" vertical="center" wrapText="1"/>
    </xf>
    <xf numFmtId="9" fontId="3" fillId="0" borderId="2" xfId="0" applyNumberFormat="1" applyFont="1" applyFill="1" applyBorder="1" applyAlignment="1">
      <alignment horizontal="center" vertical="center" shrinkToFit="1"/>
    </xf>
    <xf numFmtId="9" fontId="5" fillId="0" borderId="2" xfId="0" applyNumberFormat="1" applyFont="1" applyFill="1" applyBorder="1" applyAlignment="1">
      <alignment horizontal="center" vertical="center" shrinkToFit="1"/>
    </xf>
    <xf numFmtId="0" fontId="3" fillId="0" borderId="2" xfId="0" applyNumberFormat="1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31" fontId="8" fillId="0" borderId="0" xfId="0" applyNumberFormat="1" applyFont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B1" sqref="B1"/>
    </sheetView>
  </sheetViews>
  <sheetFormatPr defaultColWidth="9" defaultRowHeight="12"/>
  <cols>
    <col min="1" max="1" width="3" style="26" customWidth="1"/>
    <col min="2" max="2" width="15.75" style="26" customWidth="1"/>
    <col min="3" max="3" width="8" style="26" customWidth="1"/>
    <col min="4" max="4" width="8.875" style="26" customWidth="1"/>
    <col min="5" max="5" width="9.5" style="26" customWidth="1"/>
    <col min="6" max="9" width="8" style="26" customWidth="1"/>
    <col min="10" max="11" width="10.125" style="26" customWidth="1"/>
    <col min="12" max="12" width="8" style="26" customWidth="1"/>
    <col min="13" max="13" width="12.125" style="26" customWidth="1"/>
    <col min="14" max="16384" width="9" style="26"/>
  </cols>
  <sheetData>
    <row r="1" ht="19" customHeight="1" spans="1:1">
      <c r="A1" s="28" t="s">
        <v>0</v>
      </c>
    </row>
    <row r="2" ht="27" customHeight="1" spans="1:1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="26" customFormat="1" ht="13" customHeight="1" spans="4:13">
      <c r="D3" s="31"/>
      <c r="E3" s="31"/>
      <c r="F3" s="31"/>
      <c r="G3" s="31"/>
      <c r="H3" s="31"/>
      <c r="I3" s="31"/>
      <c r="J3" s="31"/>
      <c r="K3" s="31"/>
      <c r="L3" s="31"/>
      <c r="M3" s="27" t="s">
        <v>2</v>
      </c>
    </row>
    <row r="4" s="27" customFormat="1" ht="22" customHeight="1" spans="1:13">
      <c r="A4" s="32" t="s">
        <v>3</v>
      </c>
      <c r="B4" s="33" t="s">
        <v>4</v>
      </c>
      <c r="C4" s="34" t="s">
        <v>5</v>
      </c>
      <c r="D4" s="34"/>
      <c r="E4" s="34"/>
      <c r="F4" s="35" t="s">
        <v>6</v>
      </c>
      <c r="G4" s="36"/>
      <c r="H4" s="37"/>
      <c r="I4" s="34" t="s">
        <v>7</v>
      </c>
      <c r="J4" s="44" t="s">
        <v>8</v>
      </c>
      <c r="K4" s="44" t="s">
        <v>9</v>
      </c>
      <c r="L4" s="34" t="s">
        <v>10</v>
      </c>
      <c r="M4" s="34" t="s">
        <v>11</v>
      </c>
    </row>
    <row r="5" s="27" customFormat="1" ht="30" customHeight="1" spans="1:13">
      <c r="A5" s="38"/>
      <c r="B5" s="33"/>
      <c r="C5" s="34" t="s">
        <v>12</v>
      </c>
      <c r="D5" s="34" t="s">
        <v>13</v>
      </c>
      <c r="E5" s="34" t="s">
        <v>14</v>
      </c>
      <c r="F5" s="34" t="s">
        <v>15</v>
      </c>
      <c r="G5" s="34" t="s">
        <v>16</v>
      </c>
      <c r="H5" s="34" t="s">
        <v>17</v>
      </c>
      <c r="I5" s="34"/>
      <c r="J5" s="45"/>
      <c r="K5" s="45"/>
      <c r="L5" s="34"/>
      <c r="M5" s="34"/>
    </row>
    <row r="6" s="27" customFormat="1" ht="25" customHeight="1" spans="1:13">
      <c r="A6" s="39">
        <v>1</v>
      </c>
      <c r="B6" s="33" t="s">
        <v>18</v>
      </c>
      <c r="C6" s="40">
        <v>14698</v>
      </c>
      <c r="D6" s="40">
        <v>4</v>
      </c>
      <c r="E6" s="40">
        <v>58792</v>
      </c>
      <c r="F6" s="41">
        <v>64.44</v>
      </c>
      <c r="G6" s="42">
        <v>632.83</v>
      </c>
      <c r="H6" s="40">
        <v>40780</v>
      </c>
      <c r="I6" s="40">
        <v>50000</v>
      </c>
      <c r="J6" s="40">
        <f>E6+H6+I6</f>
        <v>149572</v>
      </c>
      <c r="K6" s="40">
        <f>E6+I6</f>
        <v>108792</v>
      </c>
      <c r="L6" s="40">
        <f>J6-K6</f>
        <v>40780</v>
      </c>
      <c r="M6" s="33" t="s">
        <v>19</v>
      </c>
    </row>
    <row r="7" s="27" customFormat="1" ht="25" customHeight="1" spans="1:13">
      <c r="A7" s="39">
        <v>2</v>
      </c>
      <c r="B7" s="33" t="s">
        <v>20</v>
      </c>
      <c r="C7" s="40">
        <v>6731</v>
      </c>
      <c r="D7" s="40">
        <v>4</v>
      </c>
      <c r="E7" s="40">
        <v>26924</v>
      </c>
      <c r="F7" s="41">
        <v>77.03</v>
      </c>
      <c r="G7" s="42">
        <v>632.83</v>
      </c>
      <c r="H7" s="40">
        <v>48747</v>
      </c>
      <c r="I7" s="40">
        <v>50000</v>
      </c>
      <c r="J7" s="40">
        <f t="shared" ref="J7:J18" si="0">E7+H7+I7</f>
        <v>125671</v>
      </c>
      <c r="K7" s="40">
        <f t="shared" ref="K7:K18" si="1">E7+I7</f>
        <v>76924</v>
      </c>
      <c r="L7" s="40">
        <f t="shared" ref="L7:L18" si="2">J7-K7</f>
        <v>48747</v>
      </c>
      <c r="M7" s="33" t="s">
        <v>19</v>
      </c>
    </row>
    <row r="8" s="27" customFormat="1" ht="25" customHeight="1" spans="1:13">
      <c r="A8" s="39">
        <v>3</v>
      </c>
      <c r="B8" s="33" t="s">
        <v>21</v>
      </c>
      <c r="C8" s="40">
        <v>31405</v>
      </c>
      <c r="D8" s="40">
        <v>4</v>
      </c>
      <c r="E8" s="40">
        <v>125620</v>
      </c>
      <c r="F8" s="41">
        <v>85.45</v>
      </c>
      <c r="G8" s="42">
        <v>632.83</v>
      </c>
      <c r="H8" s="40">
        <v>54076</v>
      </c>
      <c r="I8" s="40"/>
      <c r="J8" s="40">
        <f t="shared" si="0"/>
        <v>179696</v>
      </c>
      <c r="K8" s="40">
        <f t="shared" si="1"/>
        <v>125620</v>
      </c>
      <c r="L8" s="40">
        <f t="shared" si="2"/>
        <v>54076</v>
      </c>
      <c r="M8" s="33"/>
    </row>
    <row r="9" s="27" customFormat="1" ht="25" customHeight="1" spans="1:13">
      <c r="A9" s="39">
        <v>4</v>
      </c>
      <c r="B9" s="33" t="s">
        <v>22</v>
      </c>
      <c r="C9" s="40">
        <v>20736</v>
      </c>
      <c r="D9" s="40">
        <v>4</v>
      </c>
      <c r="E9" s="40">
        <v>82944</v>
      </c>
      <c r="F9" s="41">
        <v>87.81</v>
      </c>
      <c r="G9" s="42">
        <v>632.83</v>
      </c>
      <c r="H9" s="40">
        <v>55569</v>
      </c>
      <c r="I9" s="40"/>
      <c r="J9" s="40">
        <f t="shared" si="0"/>
        <v>138513</v>
      </c>
      <c r="K9" s="40">
        <f t="shared" si="1"/>
        <v>82944</v>
      </c>
      <c r="L9" s="40">
        <f t="shared" si="2"/>
        <v>55569</v>
      </c>
      <c r="M9" s="33"/>
    </row>
    <row r="10" s="27" customFormat="1" ht="25" customHeight="1" spans="1:13">
      <c r="A10" s="39">
        <v>5</v>
      </c>
      <c r="B10" s="33" t="s">
        <v>23</v>
      </c>
      <c r="C10" s="40">
        <v>27787</v>
      </c>
      <c r="D10" s="40">
        <v>4</v>
      </c>
      <c r="E10" s="40">
        <v>111148</v>
      </c>
      <c r="F10" s="41">
        <v>75.24</v>
      </c>
      <c r="G10" s="42">
        <v>632.83</v>
      </c>
      <c r="H10" s="40">
        <v>47615</v>
      </c>
      <c r="I10" s="40"/>
      <c r="J10" s="40">
        <f t="shared" si="0"/>
        <v>158763</v>
      </c>
      <c r="K10" s="40">
        <f t="shared" si="1"/>
        <v>111148</v>
      </c>
      <c r="L10" s="40">
        <f t="shared" si="2"/>
        <v>47615</v>
      </c>
      <c r="M10" s="34"/>
    </row>
    <row r="11" s="27" customFormat="1" ht="25" customHeight="1" spans="1:13">
      <c r="A11" s="39">
        <v>6</v>
      </c>
      <c r="B11" s="33" t="s">
        <v>24</v>
      </c>
      <c r="C11" s="40">
        <v>15109</v>
      </c>
      <c r="D11" s="40">
        <v>4</v>
      </c>
      <c r="E11" s="40">
        <v>60436</v>
      </c>
      <c r="F11" s="41">
        <v>88.93</v>
      </c>
      <c r="G11" s="42">
        <v>632.83</v>
      </c>
      <c r="H11" s="40">
        <v>56278</v>
      </c>
      <c r="I11" s="40"/>
      <c r="J11" s="40">
        <f t="shared" si="0"/>
        <v>116714</v>
      </c>
      <c r="K11" s="40">
        <f t="shared" si="1"/>
        <v>60436</v>
      </c>
      <c r="L11" s="40">
        <f t="shared" si="2"/>
        <v>56278</v>
      </c>
      <c r="M11" s="33"/>
    </row>
    <row r="12" s="27" customFormat="1" ht="25" customHeight="1" spans="1:13">
      <c r="A12" s="39">
        <v>7</v>
      </c>
      <c r="B12" s="33" t="s">
        <v>25</v>
      </c>
      <c r="C12" s="40">
        <v>43627</v>
      </c>
      <c r="D12" s="40">
        <v>4</v>
      </c>
      <c r="E12" s="40">
        <v>174508</v>
      </c>
      <c r="F12" s="41">
        <v>95.1</v>
      </c>
      <c r="G12" s="42">
        <v>632.83</v>
      </c>
      <c r="H12" s="40">
        <v>60183</v>
      </c>
      <c r="I12" s="40"/>
      <c r="J12" s="40">
        <f t="shared" si="0"/>
        <v>234691</v>
      </c>
      <c r="K12" s="40">
        <f t="shared" si="1"/>
        <v>174508</v>
      </c>
      <c r="L12" s="40">
        <f t="shared" si="2"/>
        <v>60183</v>
      </c>
      <c r="M12" s="33"/>
    </row>
    <row r="13" s="27" customFormat="1" ht="25" customHeight="1" spans="1:13">
      <c r="A13" s="39">
        <v>8</v>
      </c>
      <c r="B13" s="33" t="s">
        <v>26</v>
      </c>
      <c r="C13" s="40">
        <v>8000</v>
      </c>
      <c r="D13" s="40">
        <v>4</v>
      </c>
      <c r="E13" s="40">
        <v>32000</v>
      </c>
      <c r="F13" s="41">
        <v>68.37</v>
      </c>
      <c r="G13" s="42">
        <v>632.83</v>
      </c>
      <c r="H13" s="40">
        <v>43267</v>
      </c>
      <c r="I13" s="40">
        <v>50000</v>
      </c>
      <c r="J13" s="40">
        <f t="shared" si="0"/>
        <v>125267</v>
      </c>
      <c r="K13" s="40">
        <f t="shared" si="1"/>
        <v>82000</v>
      </c>
      <c r="L13" s="40">
        <f t="shared" si="2"/>
        <v>43267</v>
      </c>
      <c r="M13" s="33" t="s">
        <v>19</v>
      </c>
    </row>
    <row r="14" s="27" customFormat="1" ht="25" customHeight="1" spans="1:13">
      <c r="A14" s="39">
        <v>9</v>
      </c>
      <c r="B14" s="33" t="s">
        <v>27</v>
      </c>
      <c r="C14" s="40">
        <v>32254</v>
      </c>
      <c r="D14" s="40">
        <v>4</v>
      </c>
      <c r="E14" s="40">
        <v>129016</v>
      </c>
      <c r="F14" s="41">
        <v>79.29</v>
      </c>
      <c r="G14" s="42">
        <v>632.83</v>
      </c>
      <c r="H14" s="40">
        <v>50178</v>
      </c>
      <c r="I14" s="40"/>
      <c r="J14" s="40">
        <f t="shared" si="0"/>
        <v>179194</v>
      </c>
      <c r="K14" s="40">
        <f t="shared" si="1"/>
        <v>129016</v>
      </c>
      <c r="L14" s="40">
        <f t="shared" si="2"/>
        <v>50178</v>
      </c>
      <c r="M14" s="33"/>
    </row>
    <row r="15" s="27" customFormat="1" ht="25" customHeight="1" spans="1:13">
      <c r="A15" s="39">
        <v>10</v>
      </c>
      <c r="B15" s="33" t="s">
        <v>28</v>
      </c>
      <c r="C15" s="40">
        <v>31150</v>
      </c>
      <c r="D15" s="40">
        <v>4</v>
      </c>
      <c r="E15" s="40">
        <v>124600</v>
      </c>
      <c r="F15" s="41">
        <v>78.13</v>
      </c>
      <c r="G15" s="42">
        <v>632.83</v>
      </c>
      <c r="H15" s="40">
        <v>49444</v>
      </c>
      <c r="I15" s="40"/>
      <c r="J15" s="40">
        <f t="shared" si="0"/>
        <v>174044</v>
      </c>
      <c r="K15" s="40">
        <f t="shared" si="1"/>
        <v>124600</v>
      </c>
      <c r="L15" s="40">
        <f t="shared" si="2"/>
        <v>49444</v>
      </c>
      <c r="M15" s="33"/>
    </row>
    <row r="16" s="27" customFormat="1" ht="25" customHeight="1" spans="1:13">
      <c r="A16" s="39">
        <v>11</v>
      </c>
      <c r="B16" s="33" t="s">
        <v>29</v>
      </c>
      <c r="C16" s="40">
        <v>4666</v>
      </c>
      <c r="D16" s="40">
        <v>4</v>
      </c>
      <c r="E16" s="40">
        <v>18664</v>
      </c>
      <c r="F16" s="41">
        <v>78</v>
      </c>
      <c r="G16" s="42">
        <v>632.83</v>
      </c>
      <c r="H16" s="40">
        <v>49361</v>
      </c>
      <c r="I16" s="40">
        <v>50000</v>
      </c>
      <c r="J16" s="40">
        <f t="shared" si="0"/>
        <v>118025</v>
      </c>
      <c r="K16" s="40">
        <f t="shared" si="1"/>
        <v>68664</v>
      </c>
      <c r="L16" s="40">
        <f t="shared" si="2"/>
        <v>49361</v>
      </c>
      <c r="M16" s="33" t="s">
        <v>19</v>
      </c>
    </row>
    <row r="17" s="27" customFormat="1" ht="25" customHeight="1" spans="1:13">
      <c r="A17" s="39">
        <v>12</v>
      </c>
      <c r="B17" s="33" t="s">
        <v>30</v>
      </c>
      <c r="C17" s="40">
        <v>4250</v>
      </c>
      <c r="D17" s="40">
        <v>4</v>
      </c>
      <c r="E17" s="40">
        <v>17000</v>
      </c>
      <c r="F17" s="41">
        <v>87.54</v>
      </c>
      <c r="G17" s="42">
        <v>632.83</v>
      </c>
      <c r="H17" s="40">
        <v>55399</v>
      </c>
      <c r="I17" s="40">
        <v>50000</v>
      </c>
      <c r="J17" s="40">
        <f t="shared" si="0"/>
        <v>122399</v>
      </c>
      <c r="K17" s="40">
        <f t="shared" si="1"/>
        <v>67000</v>
      </c>
      <c r="L17" s="40">
        <f t="shared" si="2"/>
        <v>55399</v>
      </c>
      <c r="M17" s="33" t="s">
        <v>19</v>
      </c>
    </row>
    <row r="18" s="27" customFormat="1" ht="29" customHeight="1" spans="1:13">
      <c r="A18" s="39">
        <v>13</v>
      </c>
      <c r="B18" s="34" t="s">
        <v>31</v>
      </c>
      <c r="C18" s="43">
        <v>149587</v>
      </c>
      <c r="D18" s="40">
        <v>4</v>
      </c>
      <c r="E18" s="40">
        <v>598348</v>
      </c>
      <c r="F18" s="41">
        <v>85.35</v>
      </c>
      <c r="G18" s="42">
        <v>632.83</v>
      </c>
      <c r="H18" s="40">
        <v>54013</v>
      </c>
      <c r="I18" s="40"/>
      <c r="J18" s="40">
        <f t="shared" si="0"/>
        <v>652361</v>
      </c>
      <c r="K18" s="40">
        <f t="shared" si="1"/>
        <v>598348</v>
      </c>
      <c r="L18" s="40">
        <f t="shared" si="2"/>
        <v>54013</v>
      </c>
      <c r="M18" s="33"/>
    </row>
    <row r="19" s="27" customFormat="1" ht="25" customHeight="1" spans="1:13">
      <c r="A19" s="39"/>
      <c r="B19" s="33" t="s">
        <v>32</v>
      </c>
      <c r="C19" s="40">
        <f>SUM(C6:C18)</f>
        <v>390000</v>
      </c>
      <c r="D19" s="40"/>
      <c r="E19" s="40">
        <f>SUM(E6:E18)</f>
        <v>1560000</v>
      </c>
      <c r="F19" s="40"/>
      <c r="G19" s="40"/>
      <c r="H19" s="40">
        <f>SUM(H6:H18)</f>
        <v>664910</v>
      </c>
      <c r="I19" s="40">
        <f>SUM(I6:I18)</f>
        <v>250000</v>
      </c>
      <c r="J19" s="40">
        <f>SUM(J6:J18)</f>
        <v>2474910</v>
      </c>
      <c r="K19" s="40">
        <f>SUM(K6:K18)</f>
        <v>1810000</v>
      </c>
      <c r="L19" s="40">
        <f>SUM(L6:L18)</f>
        <v>664910</v>
      </c>
      <c r="M19" s="33"/>
    </row>
  </sheetData>
  <mergeCells count="11">
    <mergeCell ref="A2:M2"/>
    <mergeCell ref="D3:I3"/>
    <mergeCell ref="C4:E4"/>
    <mergeCell ref="F4:H4"/>
    <mergeCell ref="A4:A5"/>
    <mergeCell ref="B4:B5"/>
    <mergeCell ref="I4:I5"/>
    <mergeCell ref="J4:J5"/>
    <mergeCell ref="K4:K5"/>
    <mergeCell ref="L4:L5"/>
    <mergeCell ref="M4:M5"/>
  </mergeCells>
  <printOptions horizontalCentered="1"/>
  <pageMargins left="0.393055555555556" right="0.393055555555556" top="0.590277777777778" bottom="0.590277777777778" header="0.393055555555556" footer="0.393055555555556"/>
  <pageSetup paperSize="9" orientation="landscape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selection activeCell="AG9" sqref="AG9"/>
    </sheetView>
  </sheetViews>
  <sheetFormatPr defaultColWidth="7" defaultRowHeight="11.25"/>
  <cols>
    <col min="1" max="1" width="3" style="3" customWidth="1"/>
    <col min="2" max="2" width="11" style="3" customWidth="1"/>
    <col min="3" max="3" width="2.875" style="3" customWidth="1"/>
    <col min="4" max="4" width="6.125" style="3" customWidth="1"/>
    <col min="5" max="5" width="6.375" style="3" customWidth="1"/>
    <col min="6" max="7" width="2.875" style="3" customWidth="1"/>
    <col min="8" max="8" width="4.5" style="3" customWidth="1"/>
    <col min="9" max="9" width="5.25" style="3" customWidth="1"/>
    <col min="10" max="10" width="4.88333333333333" style="3" customWidth="1"/>
    <col min="11" max="11" width="2.875" style="3" customWidth="1"/>
    <col min="12" max="13" width="5.25" style="3" customWidth="1"/>
    <col min="14" max="14" width="4.88333333333333" style="3" customWidth="1"/>
    <col min="15" max="15" width="2.875" style="3" customWidth="1"/>
    <col min="16" max="16" width="4.56666666666667" style="3" customWidth="1"/>
    <col min="17" max="17" width="5.24166666666667" style="3" customWidth="1"/>
    <col min="18" max="18" width="4.88333333333333" style="3" customWidth="1"/>
    <col min="19" max="19" width="2.875" style="3" customWidth="1"/>
    <col min="20" max="20" width="4.01666666666667" style="3" customWidth="1"/>
    <col min="21" max="21" width="6" style="3" customWidth="1"/>
    <col min="22" max="22" width="4.88333333333333" style="3" customWidth="1"/>
    <col min="23" max="23" width="2.875" style="3" customWidth="1"/>
    <col min="24" max="24" width="4.5" style="3" customWidth="1"/>
    <col min="25" max="25" width="6.625" style="3" customWidth="1"/>
    <col min="26" max="26" width="4.88333333333333" style="3" customWidth="1"/>
    <col min="27" max="27" width="6.51666666666667" style="3" customWidth="1"/>
    <col min="28" max="28" width="5.21666666666667" style="3" customWidth="1"/>
    <col min="29" max="29" width="12.875" style="3" customWidth="1"/>
    <col min="30" max="16381" width="7" style="3"/>
    <col min="16382" max="16384" width="7" style="4"/>
  </cols>
  <sheetData>
    <row r="1" s="1" customFormat="1" ht="14.25" spans="1:16384">
      <c r="A1" s="1" t="s">
        <v>33</v>
      </c>
      <c r="XFB1" s="24"/>
      <c r="XFC1" s="24"/>
      <c r="XFD1" s="24"/>
    </row>
    <row r="2" s="2" customFormat="1" ht="22" customHeight="1" spans="1:16384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XFB2" s="25"/>
      <c r="XFC2" s="25"/>
      <c r="XFD2" s="25"/>
    </row>
    <row r="3" s="3" customFormat="1" ht="18" customHeight="1" spans="1:28">
      <c r="A3" s="6" t="s">
        <v>35</v>
      </c>
      <c r="B3" s="7" t="s">
        <v>36</v>
      </c>
      <c r="C3" s="7" t="s">
        <v>37</v>
      </c>
      <c r="D3" s="7"/>
      <c r="E3" s="7"/>
      <c r="F3" s="7"/>
      <c r="G3" s="7" t="s">
        <v>38</v>
      </c>
      <c r="H3" s="7"/>
      <c r="I3" s="7"/>
      <c r="J3" s="7"/>
      <c r="K3" s="7" t="s">
        <v>39</v>
      </c>
      <c r="L3" s="7"/>
      <c r="M3" s="7"/>
      <c r="N3" s="7"/>
      <c r="O3" s="7" t="s">
        <v>40</v>
      </c>
      <c r="P3" s="7"/>
      <c r="Q3" s="7"/>
      <c r="R3" s="7"/>
      <c r="S3" s="7" t="s">
        <v>41</v>
      </c>
      <c r="T3" s="7"/>
      <c r="U3" s="7"/>
      <c r="V3" s="7"/>
      <c r="W3" s="7" t="s">
        <v>42</v>
      </c>
      <c r="X3" s="7"/>
      <c r="Y3" s="7"/>
      <c r="Z3" s="7"/>
      <c r="AA3" s="6" t="s">
        <v>43</v>
      </c>
      <c r="AB3" s="6" t="s">
        <v>11</v>
      </c>
    </row>
    <row r="4" s="3" customFormat="1" ht="32" customHeight="1" spans="1:28">
      <c r="A4" s="8"/>
      <c r="B4" s="7"/>
      <c r="C4" s="9" t="s">
        <v>44</v>
      </c>
      <c r="D4" s="10"/>
      <c r="E4" s="7" t="s">
        <v>45</v>
      </c>
      <c r="F4" s="7" t="s">
        <v>46</v>
      </c>
      <c r="G4" s="9" t="s">
        <v>44</v>
      </c>
      <c r="H4" s="10"/>
      <c r="I4" s="7" t="s">
        <v>45</v>
      </c>
      <c r="J4" s="7" t="s">
        <v>46</v>
      </c>
      <c r="K4" s="9" t="s">
        <v>47</v>
      </c>
      <c r="L4" s="10"/>
      <c r="M4" s="7" t="s">
        <v>45</v>
      </c>
      <c r="N4" s="7" t="s">
        <v>46</v>
      </c>
      <c r="O4" s="9" t="s">
        <v>47</v>
      </c>
      <c r="P4" s="10"/>
      <c r="Q4" s="7" t="s">
        <v>45</v>
      </c>
      <c r="R4" s="7" t="s">
        <v>46</v>
      </c>
      <c r="S4" s="9" t="s">
        <v>47</v>
      </c>
      <c r="T4" s="10"/>
      <c r="U4" s="7" t="s">
        <v>45</v>
      </c>
      <c r="V4" s="7" t="s">
        <v>46</v>
      </c>
      <c r="W4" s="9" t="s">
        <v>47</v>
      </c>
      <c r="X4" s="10"/>
      <c r="Y4" s="7" t="s">
        <v>45</v>
      </c>
      <c r="Z4" s="7" t="s">
        <v>46</v>
      </c>
      <c r="AA4" s="8"/>
      <c r="AB4" s="8"/>
    </row>
    <row r="5" s="3" customFormat="1" ht="28" customHeight="1" spans="1:28">
      <c r="A5" s="6">
        <v>1</v>
      </c>
      <c r="B5" s="7" t="s">
        <v>48</v>
      </c>
      <c r="C5" s="11" t="s">
        <v>49</v>
      </c>
      <c r="D5" s="11">
        <v>84556</v>
      </c>
      <c r="E5" s="11"/>
      <c r="F5" s="12"/>
      <c r="G5" s="11" t="s">
        <v>49</v>
      </c>
      <c r="H5" s="11">
        <v>1321</v>
      </c>
      <c r="I5" s="11"/>
      <c r="J5" s="12"/>
      <c r="K5" s="11" t="s">
        <v>49</v>
      </c>
      <c r="L5" s="16">
        <v>0.68</v>
      </c>
      <c r="M5" s="17"/>
      <c r="N5" s="12">
        <f>M5/L5*15</f>
        <v>0</v>
      </c>
      <c r="O5" s="18" t="s">
        <v>50</v>
      </c>
      <c r="P5" s="16">
        <v>0.79</v>
      </c>
      <c r="Q5" s="17"/>
      <c r="R5" s="12">
        <f t="shared" ref="R5:R7" si="0">Q5/P5*15</f>
        <v>0</v>
      </c>
      <c r="S5" s="18" t="s">
        <v>50</v>
      </c>
      <c r="T5" s="11">
        <v>179</v>
      </c>
      <c r="U5" s="12"/>
      <c r="V5" s="12">
        <f t="shared" ref="V5:V7" si="1">U5/T5*15</f>
        <v>0</v>
      </c>
      <c r="W5" s="18" t="s">
        <v>50</v>
      </c>
      <c r="X5" s="11">
        <v>2151</v>
      </c>
      <c r="Y5" s="12"/>
      <c r="Z5" s="12">
        <f t="shared" ref="Z5:Z7" si="2">Y5/X5*15</f>
        <v>0</v>
      </c>
      <c r="AA5" s="12">
        <f>F5+J5+N5+R5+V5+Z5</f>
        <v>0</v>
      </c>
      <c r="AB5" s="7"/>
    </row>
    <row r="6" s="3" customFormat="1" ht="21" customHeight="1" spans="1:28">
      <c r="A6" s="13"/>
      <c r="B6" s="7" t="s">
        <v>51</v>
      </c>
      <c r="C6" s="11" t="s">
        <v>49</v>
      </c>
      <c r="D6" s="11">
        <v>14376</v>
      </c>
      <c r="E6" s="11"/>
      <c r="F6" s="12"/>
      <c r="G6" s="11" t="s">
        <v>49</v>
      </c>
      <c r="H6" s="11">
        <v>389</v>
      </c>
      <c r="I6" s="11"/>
      <c r="J6" s="12"/>
      <c r="K6" s="11" t="s">
        <v>49</v>
      </c>
      <c r="L6" s="16">
        <v>0.36</v>
      </c>
      <c r="M6" s="17"/>
      <c r="N6" s="12">
        <f>M6/L6*15</f>
        <v>0</v>
      </c>
      <c r="O6" s="18" t="s">
        <v>50</v>
      </c>
      <c r="P6" s="16">
        <v>0.85</v>
      </c>
      <c r="Q6" s="17"/>
      <c r="R6" s="12">
        <f t="shared" si="0"/>
        <v>0</v>
      </c>
      <c r="S6" s="18" t="s">
        <v>50</v>
      </c>
      <c r="T6" s="11">
        <v>205</v>
      </c>
      <c r="U6" s="12"/>
      <c r="V6" s="12">
        <f t="shared" si="1"/>
        <v>0</v>
      </c>
      <c r="W6" s="18" t="s">
        <v>50</v>
      </c>
      <c r="X6" s="11">
        <v>2443</v>
      </c>
      <c r="Y6" s="12"/>
      <c r="Z6" s="12">
        <f t="shared" si="2"/>
        <v>0</v>
      </c>
      <c r="AA6" s="12">
        <f>F6+J6+N6+R6+V6+Z6</f>
        <v>0</v>
      </c>
      <c r="AB6" s="7"/>
    </row>
    <row r="7" s="3" customFormat="1" ht="21" customHeight="1" spans="1:28">
      <c r="A7" s="13"/>
      <c r="B7" s="7" t="s">
        <v>52</v>
      </c>
      <c r="C7" s="11" t="s">
        <v>49</v>
      </c>
      <c r="D7" s="11">
        <v>25708</v>
      </c>
      <c r="E7" s="11"/>
      <c r="F7" s="12"/>
      <c r="G7" s="11" t="s">
        <v>49</v>
      </c>
      <c r="H7" s="11">
        <v>825</v>
      </c>
      <c r="I7" s="11"/>
      <c r="J7" s="12"/>
      <c r="K7" s="11" t="s">
        <v>49</v>
      </c>
      <c r="L7" s="16">
        <v>0.54</v>
      </c>
      <c r="M7" s="17"/>
      <c r="N7" s="12">
        <f>M7/L7*15</f>
        <v>0</v>
      </c>
      <c r="O7" s="18" t="s">
        <v>50</v>
      </c>
      <c r="P7" s="16">
        <v>0.71</v>
      </c>
      <c r="Q7" s="17"/>
      <c r="R7" s="12">
        <f t="shared" si="0"/>
        <v>0</v>
      </c>
      <c r="S7" s="18" t="s">
        <v>50</v>
      </c>
      <c r="T7" s="11">
        <v>140</v>
      </c>
      <c r="U7" s="12"/>
      <c r="V7" s="12">
        <f t="shared" si="1"/>
        <v>0</v>
      </c>
      <c r="W7" s="18" t="s">
        <v>50</v>
      </c>
      <c r="X7" s="11">
        <v>3527</v>
      </c>
      <c r="Y7" s="12"/>
      <c r="Z7" s="12">
        <f t="shared" si="2"/>
        <v>0</v>
      </c>
      <c r="AA7" s="12">
        <f>F7+J7+N7+R7+V7+Z7</f>
        <v>0</v>
      </c>
      <c r="AB7" s="7"/>
    </row>
    <row r="8" s="3" customFormat="1" ht="21" customHeight="1" spans="1:28">
      <c r="A8" s="8"/>
      <c r="B8" s="7" t="s">
        <v>53</v>
      </c>
      <c r="C8" s="11" t="s">
        <v>49</v>
      </c>
      <c r="D8" s="14">
        <f>SUM(D5:D7)</f>
        <v>124640</v>
      </c>
      <c r="E8" s="14">
        <v>178818</v>
      </c>
      <c r="F8" s="11">
        <v>20</v>
      </c>
      <c r="G8" s="11" t="s">
        <v>49</v>
      </c>
      <c r="H8" s="11">
        <f>SUM(H5:H7)</f>
        <v>2535</v>
      </c>
      <c r="I8" s="11">
        <v>1968</v>
      </c>
      <c r="J8" s="12">
        <v>15.53</v>
      </c>
      <c r="K8" s="11" t="s">
        <v>49</v>
      </c>
      <c r="L8" s="16">
        <f>AVERAGE(L5:L7)</f>
        <v>0.526666666666667</v>
      </c>
      <c r="M8" s="17">
        <v>0.36</v>
      </c>
      <c r="N8" s="12">
        <v>10.25</v>
      </c>
      <c r="O8" s="18" t="s">
        <v>50</v>
      </c>
      <c r="P8" s="16">
        <f>AVERAGE(P5:P7)</f>
        <v>0.783333333333333</v>
      </c>
      <c r="Q8" s="17">
        <v>0.85</v>
      </c>
      <c r="R8" s="12">
        <v>13.72</v>
      </c>
      <c r="S8" s="18" t="s">
        <v>50</v>
      </c>
      <c r="T8" s="11">
        <f>AVERAGE(T5:T7)</f>
        <v>174.666666666667</v>
      </c>
      <c r="U8" s="12">
        <v>223</v>
      </c>
      <c r="V8" s="12">
        <v>10.85</v>
      </c>
      <c r="W8" s="18" t="s">
        <v>50</v>
      </c>
      <c r="X8" s="21">
        <f>AVERAGE(X5:X7)</f>
        <v>2707</v>
      </c>
      <c r="Y8" s="12">
        <v>2565</v>
      </c>
      <c r="Z8" s="12">
        <v>15</v>
      </c>
      <c r="AA8" s="12">
        <f>F8+J8+N8+R8+V8+Z8</f>
        <v>85.35</v>
      </c>
      <c r="AB8" s="7"/>
    </row>
    <row r="9" s="3" customFormat="1" ht="21" customHeight="1" spans="1:28">
      <c r="A9" s="7">
        <v>2</v>
      </c>
      <c r="B9" s="7" t="s">
        <v>18</v>
      </c>
      <c r="C9" s="11" t="s">
        <v>49</v>
      </c>
      <c r="D9" s="11">
        <v>4969</v>
      </c>
      <c r="E9" s="11">
        <v>6013</v>
      </c>
      <c r="F9" s="11">
        <v>20</v>
      </c>
      <c r="G9" s="11" t="s">
        <v>49</v>
      </c>
      <c r="H9" s="11">
        <v>40</v>
      </c>
      <c r="I9" s="11">
        <v>2</v>
      </c>
      <c r="J9" s="12">
        <v>1</v>
      </c>
      <c r="K9" s="11" t="s">
        <v>49</v>
      </c>
      <c r="L9" s="16">
        <v>0.05</v>
      </c>
      <c r="M9" s="17">
        <v>0.01</v>
      </c>
      <c r="N9" s="12">
        <v>3</v>
      </c>
      <c r="O9" s="18" t="s">
        <v>50</v>
      </c>
      <c r="P9" s="16">
        <v>0.86</v>
      </c>
      <c r="Q9" s="17">
        <v>0.91</v>
      </c>
      <c r="R9" s="12">
        <v>14.13</v>
      </c>
      <c r="S9" s="18" t="s">
        <v>50</v>
      </c>
      <c r="T9" s="11">
        <v>122</v>
      </c>
      <c r="U9" s="12">
        <v>152</v>
      </c>
      <c r="V9" s="12">
        <v>11.31</v>
      </c>
      <c r="W9" s="18" t="s">
        <v>50</v>
      </c>
      <c r="X9" s="11">
        <v>1754</v>
      </c>
      <c r="Y9" s="12">
        <v>222</v>
      </c>
      <c r="Z9" s="12">
        <v>15</v>
      </c>
      <c r="AA9" s="12">
        <f t="shared" ref="AA9:AA20" si="3">F9+J9+N9+R9+V9+Z9</f>
        <v>64.44</v>
      </c>
      <c r="AB9" s="7"/>
    </row>
    <row r="10" s="3" customFormat="1" ht="21" customHeight="1" spans="1:28">
      <c r="A10" s="7">
        <v>3</v>
      </c>
      <c r="B10" s="7" t="s">
        <v>20</v>
      </c>
      <c r="C10" s="11" t="s">
        <v>49</v>
      </c>
      <c r="D10" s="11">
        <v>4217</v>
      </c>
      <c r="E10" s="11">
        <v>5366</v>
      </c>
      <c r="F10" s="11">
        <v>20</v>
      </c>
      <c r="G10" s="11" t="s">
        <v>49</v>
      </c>
      <c r="H10" s="11">
        <v>9</v>
      </c>
      <c r="I10" s="11">
        <v>5</v>
      </c>
      <c r="J10" s="12">
        <v>11.11</v>
      </c>
      <c r="K10" s="11" t="s">
        <v>49</v>
      </c>
      <c r="L10" s="16">
        <v>0.01</v>
      </c>
      <c r="M10" s="17">
        <v>0.0047</v>
      </c>
      <c r="N10" s="12">
        <v>7.05</v>
      </c>
      <c r="O10" s="18" t="s">
        <v>50</v>
      </c>
      <c r="P10" s="16">
        <v>0.81</v>
      </c>
      <c r="Q10" s="17">
        <v>0.85</v>
      </c>
      <c r="R10" s="12">
        <v>14.26</v>
      </c>
      <c r="S10" s="18" t="s">
        <v>50</v>
      </c>
      <c r="T10" s="11">
        <v>67</v>
      </c>
      <c r="U10" s="12">
        <v>90</v>
      </c>
      <c r="V10" s="12">
        <v>9.85</v>
      </c>
      <c r="W10" s="18" t="s">
        <v>50</v>
      </c>
      <c r="X10" s="11">
        <v>442</v>
      </c>
      <c r="Y10" s="12">
        <v>449</v>
      </c>
      <c r="Z10" s="12">
        <v>14.76</v>
      </c>
      <c r="AA10" s="12">
        <f t="shared" si="3"/>
        <v>77.03</v>
      </c>
      <c r="AB10" s="7"/>
    </row>
    <row r="11" s="3" customFormat="1" ht="21" customHeight="1" spans="1:28">
      <c r="A11" s="7">
        <v>4</v>
      </c>
      <c r="B11" s="7" t="s">
        <v>21</v>
      </c>
      <c r="C11" s="11" t="s">
        <v>49</v>
      </c>
      <c r="D11" s="11">
        <v>11271</v>
      </c>
      <c r="E11" s="11">
        <v>15971</v>
      </c>
      <c r="F11" s="11">
        <v>20</v>
      </c>
      <c r="G11" s="11" t="s">
        <v>49</v>
      </c>
      <c r="H11" s="11">
        <v>318</v>
      </c>
      <c r="I11" s="11">
        <v>245</v>
      </c>
      <c r="J11" s="12">
        <v>15.41</v>
      </c>
      <c r="K11" s="11" t="s">
        <v>49</v>
      </c>
      <c r="L11" s="16">
        <v>0.34</v>
      </c>
      <c r="M11" s="17">
        <v>0.23</v>
      </c>
      <c r="N11" s="12">
        <v>10.15</v>
      </c>
      <c r="O11" s="18" t="s">
        <v>50</v>
      </c>
      <c r="P11" s="16">
        <v>0.73</v>
      </c>
      <c r="Q11" s="17">
        <v>0.81</v>
      </c>
      <c r="R11" s="12">
        <v>13.36</v>
      </c>
      <c r="S11" s="18" t="s">
        <v>50</v>
      </c>
      <c r="T11" s="11">
        <v>134</v>
      </c>
      <c r="U11" s="12">
        <v>165</v>
      </c>
      <c r="V11" s="12">
        <v>11.53</v>
      </c>
      <c r="W11" s="18" t="s">
        <v>50</v>
      </c>
      <c r="X11" s="11">
        <v>3254</v>
      </c>
      <c r="Y11" s="12">
        <v>2939</v>
      </c>
      <c r="Z11" s="12">
        <v>15</v>
      </c>
      <c r="AA11" s="12">
        <f t="shared" si="3"/>
        <v>85.45</v>
      </c>
      <c r="AB11" s="7"/>
    </row>
    <row r="12" s="3" customFormat="1" ht="21" customHeight="1" spans="1:28">
      <c r="A12" s="7">
        <v>5</v>
      </c>
      <c r="B12" s="7" t="s">
        <v>22</v>
      </c>
      <c r="C12" s="11" t="s">
        <v>49</v>
      </c>
      <c r="D12" s="11">
        <v>18128</v>
      </c>
      <c r="E12" s="11">
        <v>25685</v>
      </c>
      <c r="F12" s="11">
        <v>20</v>
      </c>
      <c r="G12" s="11" t="s">
        <v>49</v>
      </c>
      <c r="H12" s="11">
        <v>615</v>
      </c>
      <c r="I12" s="11">
        <v>594</v>
      </c>
      <c r="J12" s="12">
        <v>19.32</v>
      </c>
      <c r="K12" s="11" t="s">
        <v>49</v>
      </c>
      <c r="L12" s="16">
        <v>0.45</v>
      </c>
      <c r="M12" s="17">
        <v>0.32</v>
      </c>
      <c r="N12" s="12">
        <v>10.67</v>
      </c>
      <c r="O12" s="18" t="s">
        <v>50</v>
      </c>
      <c r="P12" s="16">
        <v>0.67</v>
      </c>
      <c r="Q12" s="17">
        <v>0.74</v>
      </c>
      <c r="R12" s="12">
        <v>13.43</v>
      </c>
      <c r="S12" s="18" t="s">
        <v>50</v>
      </c>
      <c r="T12" s="11">
        <v>107</v>
      </c>
      <c r="U12" s="12">
        <v>147</v>
      </c>
      <c r="V12" s="12">
        <v>9.39</v>
      </c>
      <c r="W12" s="18" t="s">
        <v>50</v>
      </c>
      <c r="X12" s="11">
        <v>2415</v>
      </c>
      <c r="Y12" s="12">
        <v>2380</v>
      </c>
      <c r="Z12" s="12">
        <v>15</v>
      </c>
      <c r="AA12" s="12">
        <f t="shared" si="3"/>
        <v>87.81</v>
      </c>
      <c r="AB12" s="7"/>
    </row>
    <row r="13" s="3" customFormat="1" ht="21" customHeight="1" spans="1:28">
      <c r="A13" s="7">
        <v>6</v>
      </c>
      <c r="B13" s="7" t="s">
        <v>23</v>
      </c>
      <c r="C13" s="11" t="s">
        <v>49</v>
      </c>
      <c r="D13" s="11">
        <v>27211</v>
      </c>
      <c r="E13" s="11">
        <v>29535</v>
      </c>
      <c r="F13" s="11">
        <v>20</v>
      </c>
      <c r="G13" s="11" t="s">
        <v>49</v>
      </c>
      <c r="H13" s="11">
        <v>799</v>
      </c>
      <c r="I13" s="11">
        <v>568</v>
      </c>
      <c r="J13" s="12">
        <v>14.22</v>
      </c>
      <c r="K13" s="11" t="s">
        <v>49</v>
      </c>
      <c r="L13" s="16">
        <v>0.38</v>
      </c>
      <c r="M13" s="17">
        <v>0.21</v>
      </c>
      <c r="N13" s="12">
        <v>8.29</v>
      </c>
      <c r="O13" s="18" t="s">
        <v>50</v>
      </c>
      <c r="P13" s="16">
        <v>0.56</v>
      </c>
      <c r="Q13" s="17">
        <v>0.78</v>
      </c>
      <c r="R13" s="12">
        <v>9.11</v>
      </c>
      <c r="S13" s="18" t="s">
        <v>50</v>
      </c>
      <c r="T13" s="11">
        <v>141</v>
      </c>
      <c r="U13" s="12">
        <v>201</v>
      </c>
      <c r="V13" s="12">
        <v>8.62</v>
      </c>
      <c r="W13" s="18" t="s">
        <v>50</v>
      </c>
      <c r="X13" s="11">
        <v>2939</v>
      </c>
      <c r="Y13" s="12">
        <v>2790</v>
      </c>
      <c r="Z13" s="12">
        <v>15</v>
      </c>
      <c r="AA13" s="12">
        <f t="shared" si="3"/>
        <v>75.24</v>
      </c>
      <c r="AB13" s="7"/>
    </row>
    <row r="14" s="3" customFormat="1" ht="21" customHeight="1" spans="1:28">
      <c r="A14" s="7">
        <v>7</v>
      </c>
      <c r="B14" s="7" t="s">
        <v>24</v>
      </c>
      <c r="C14" s="11" t="s">
        <v>49</v>
      </c>
      <c r="D14" s="11">
        <v>2364</v>
      </c>
      <c r="E14" s="11">
        <v>3534</v>
      </c>
      <c r="F14" s="11">
        <v>20</v>
      </c>
      <c r="G14" s="11" t="s">
        <v>49</v>
      </c>
      <c r="H14" s="11">
        <v>26</v>
      </c>
      <c r="I14" s="11">
        <v>54</v>
      </c>
      <c r="J14" s="12">
        <v>20</v>
      </c>
      <c r="K14" s="11" t="s">
        <v>49</v>
      </c>
      <c r="L14" s="16">
        <v>0.05</v>
      </c>
      <c r="M14" s="17">
        <v>0.1</v>
      </c>
      <c r="N14" s="12">
        <v>15</v>
      </c>
      <c r="O14" s="18" t="s">
        <v>50</v>
      </c>
      <c r="P14" s="16">
        <v>0.89</v>
      </c>
      <c r="Q14" s="17">
        <v>0.81</v>
      </c>
      <c r="R14" s="12">
        <v>15</v>
      </c>
      <c r="S14" s="18" t="s">
        <v>50</v>
      </c>
      <c r="T14" s="11">
        <v>107</v>
      </c>
      <c r="U14" s="12">
        <v>186</v>
      </c>
      <c r="V14" s="12">
        <v>3.93</v>
      </c>
      <c r="W14" s="18" t="s">
        <v>50</v>
      </c>
      <c r="X14" s="11">
        <v>1677</v>
      </c>
      <c r="Y14" s="12">
        <v>1137</v>
      </c>
      <c r="Z14" s="12">
        <v>15</v>
      </c>
      <c r="AA14" s="12">
        <f t="shared" si="3"/>
        <v>88.93</v>
      </c>
      <c r="AB14" s="7"/>
    </row>
    <row r="15" s="3" customFormat="1" ht="21" customHeight="1" spans="1:28">
      <c r="A15" s="7">
        <v>8</v>
      </c>
      <c r="B15" s="7" t="s">
        <v>25</v>
      </c>
      <c r="C15" s="11" t="s">
        <v>49</v>
      </c>
      <c r="D15" s="11">
        <v>13948</v>
      </c>
      <c r="E15" s="11">
        <v>32242</v>
      </c>
      <c r="F15" s="11">
        <v>20</v>
      </c>
      <c r="G15" s="11" t="s">
        <v>49</v>
      </c>
      <c r="H15" s="11">
        <v>896</v>
      </c>
      <c r="I15" s="11">
        <v>847</v>
      </c>
      <c r="J15" s="12">
        <v>18.91</v>
      </c>
      <c r="K15" s="11" t="s">
        <v>49</v>
      </c>
      <c r="L15" s="16">
        <v>0.48</v>
      </c>
      <c r="M15" s="17">
        <v>0.44</v>
      </c>
      <c r="N15" s="12">
        <v>13.75</v>
      </c>
      <c r="O15" s="18" t="s">
        <v>50</v>
      </c>
      <c r="P15" s="16">
        <v>0.79</v>
      </c>
      <c r="Q15" s="17">
        <v>0.85</v>
      </c>
      <c r="R15" s="12">
        <v>13.86</v>
      </c>
      <c r="S15" s="18" t="s">
        <v>50</v>
      </c>
      <c r="T15" s="11">
        <v>180</v>
      </c>
      <c r="U15" s="12">
        <v>196</v>
      </c>
      <c r="V15" s="12">
        <v>13.67</v>
      </c>
      <c r="W15" s="18" t="s">
        <v>50</v>
      </c>
      <c r="X15" s="11">
        <v>2735</v>
      </c>
      <c r="Y15" s="12">
        <v>2752</v>
      </c>
      <c r="Z15" s="12">
        <v>14.91</v>
      </c>
      <c r="AA15" s="12">
        <f t="shared" si="3"/>
        <v>95.1</v>
      </c>
      <c r="AB15" s="7"/>
    </row>
    <row r="16" s="3" customFormat="1" ht="21" customHeight="1" spans="1:28">
      <c r="A16" s="7">
        <v>9</v>
      </c>
      <c r="B16" s="7" t="s">
        <v>26</v>
      </c>
      <c r="C16" s="11" t="s">
        <v>49</v>
      </c>
      <c r="D16" s="11">
        <v>7962</v>
      </c>
      <c r="E16" s="11">
        <v>9390</v>
      </c>
      <c r="F16" s="11">
        <v>20</v>
      </c>
      <c r="G16" s="11" t="s">
        <v>49</v>
      </c>
      <c r="H16" s="11">
        <v>47</v>
      </c>
      <c r="I16" s="11">
        <v>4</v>
      </c>
      <c r="J16" s="12">
        <v>1.7</v>
      </c>
      <c r="K16" s="11" t="s">
        <v>49</v>
      </c>
      <c r="L16" s="16">
        <v>0.09</v>
      </c>
      <c r="M16" s="17">
        <v>0.01</v>
      </c>
      <c r="N16" s="12">
        <v>1.67</v>
      </c>
      <c r="O16" s="18" t="s">
        <v>50</v>
      </c>
      <c r="P16" s="16">
        <v>0.84</v>
      </c>
      <c r="Q16" s="17">
        <v>0.83</v>
      </c>
      <c r="R16" s="12">
        <v>15</v>
      </c>
      <c r="S16" s="18" t="s">
        <v>50</v>
      </c>
      <c r="T16" s="11">
        <v>108</v>
      </c>
      <c r="U16" s="12">
        <v>102</v>
      </c>
      <c r="V16" s="12">
        <v>15</v>
      </c>
      <c r="W16" s="18" t="s">
        <v>50</v>
      </c>
      <c r="X16" s="11">
        <v>1734</v>
      </c>
      <c r="Y16" s="12">
        <v>1485</v>
      </c>
      <c r="Z16" s="12">
        <v>15</v>
      </c>
      <c r="AA16" s="12">
        <f t="shared" si="3"/>
        <v>68.37</v>
      </c>
      <c r="AB16" s="7"/>
    </row>
    <row r="17" s="3" customFormat="1" ht="21" customHeight="1" spans="1:28">
      <c r="A17" s="7">
        <v>10</v>
      </c>
      <c r="B17" s="7" t="s">
        <v>27</v>
      </c>
      <c r="C17" s="11" t="s">
        <v>49</v>
      </c>
      <c r="D17" s="11">
        <v>11037</v>
      </c>
      <c r="E17" s="11">
        <v>12134</v>
      </c>
      <c r="F17" s="11">
        <v>20</v>
      </c>
      <c r="G17" s="11" t="s">
        <v>49</v>
      </c>
      <c r="H17" s="11">
        <v>353</v>
      </c>
      <c r="I17" s="11">
        <v>285</v>
      </c>
      <c r="J17" s="12">
        <v>16.15</v>
      </c>
      <c r="K17" s="11" t="s">
        <v>49</v>
      </c>
      <c r="L17" s="16">
        <v>0.49</v>
      </c>
      <c r="M17" s="17">
        <v>0.3218</v>
      </c>
      <c r="N17" s="12">
        <v>9.85</v>
      </c>
      <c r="O17" s="18" t="s">
        <v>50</v>
      </c>
      <c r="P17" s="16">
        <v>0.61</v>
      </c>
      <c r="Q17" s="17">
        <v>0.8532</v>
      </c>
      <c r="R17" s="12">
        <v>9.02</v>
      </c>
      <c r="S17" s="18" t="s">
        <v>50</v>
      </c>
      <c r="T17" s="11">
        <v>161</v>
      </c>
      <c r="U17" s="12">
        <v>206.88</v>
      </c>
      <c r="V17" s="12">
        <v>10.73</v>
      </c>
      <c r="W17" s="18" t="s">
        <v>50</v>
      </c>
      <c r="X17" s="11">
        <v>2372</v>
      </c>
      <c r="Y17" s="12">
        <v>2603.33</v>
      </c>
      <c r="Z17" s="12">
        <v>13.54</v>
      </c>
      <c r="AA17" s="12">
        <f t="shared" si="3"/>
        <v>79.29</v>
      </c>
      <c r="AB17" s="7"/>
    </row>
    <row r="18" s="3" customFormat="1" ht="21" customHeight="1" spans="1:28">
      <c r="A18" s="7">
        <v>11</v>
      </c>
      <c r="B18" s="7" t="s">
        <v>28</v>
      </c>
      <c r="C18" s="11" t="s">
        <v>49</v>
      </c>
      <c r="D18" s="11">
        <v>22217</v>
      </c>
      <c r="E18" s="11">
        <v>25517</v>
      </c>
      <c r="F18" s="11">
        <v>20</v>
      </c>
      <c r="G18" s="11" t="s">
        <v>49</v>
      </c>
      <c r="H18" s="11">
        <v>652</v>
      </c>
      <c r="I18" s="11">
        <v>490</v>
      </c>
      <c r="J18" s="12">
        <v>15.03</v>
      </c>
      <c r="K18" s="11" t="s">
        <v>49</v>
      </c>
      <c r="L18" s="16">
        <v>0.37</v>
      </c>
      <c r="M18" s="17">
        <v>0.25</v>
      </c>
      <c r="N18" s="12">
        <v>10.14</v>
      </c>
      <c r="O18" s="18" t="s">
        <v>50</v>
      </c>
      <c r="P18" s="16">
        <v>0.79</v>
      </c>
      <c r="Q18" s="17">
        <v>0.86</v>
      </c>
      <c r="R18" s="12">
        <v>13.67</v>
      </c>
      <c r="S18" s="18" t="s">
        <v>50</v>
      </c>
      <c r="T18" s="11">
        <v>105</v>
      </c>
      <c r="U18" s="12">
        <v>180</v>
      </c>
      <c r="V18" s="12">
        <v>4.29</v>
      </c>
      <c r="W18" s="18" t="s">
        <v>50</v>
      </c>
      <c r="X18" s="11">
        <v>1603</v>
      </c>
      <c r="Y18" s="12">
        <v>1392</v>
      </c>
      <c r="Z18" s="12">
        <v>15</v>
      </c>
      <c r="AA18" s="12">
        <f t="shared" si="3"/>
        <v>78.13</v>
      </c>
      <c r="AB18" s="7"/>
    </row>
    <row r="19" s="3" customFormat="1" ht="21" customHeight="1" spans="1:28">
      <c r="A19" s="7">
        <v>12</v>
      </c>
      <c r="B19" s="7" t="s">
        <v>29</v>
      </c>
      <c r="C19" s="11" t="s">
        <v>49</v>
      </c>
      <c r="D19" s="11">
        <v>10800</v>
      </c>
      <c r="E19" s="11">
        <v>12069</v>
      </c>
      <c r="F19" s="11">
        <v>20</v>
      </c>
      <c r="G19" s="11" t="s">
        <v>49</v>
      </c>
      <c r="H19" s="11">
        <v>12</v>
      </c>
      <c r="I19" s="11">
        <v>9</v>
      </c>
      <c r="J19" s="12">
        <v>15</v>
      </c>
      <c r="K19" s="11" t="s">
        <v>49</v>
      </c>
      <c r="L19" s="16">
        <v>0.03</v>
      </c>
      <c r="M19" s="17">
        <v>0.0215</v>
      </c>
      <c r="N19" s="12">
        <v>10.75</v>
      </c>
      <c r="O19" s="18" t="s">
        <v>50</v>
      </c>
      <c r="P19" s="16">
        <v>0.73</v>
      </c>
      <c r="Q19" s="17">
        <v>0.7866</v>
      </c>
      <c r="R19" s="12">
        <v>13.84</v>
      </c>
      <c r="S19" s="18" t="s">
        <v>50</v>
      </c>
      <c r="T19" s="11">
        <v>54</v>
      </c>
      <c r="U19" s="12">
        <v>52.57</v>
      </c>
      <c r="V19" s="12">
        <v>15</v>
      </c>
      <c r="W19" s="18" t="s">
        <v>50</v>
      </c>
      <c r="X19" s="11">
        <v>632</v>
      </c>
      <c r="Y19" s="12">
        <v>1120.15</v>
      </c>
      <c r="Z19" s="12">
        <v>3.41</v>
      </c>
      <c r="AA19" s="12">
        <f t="shared" si="3"/>
        <v>78</v>
      </c>
      <c r="AB19" s="7"/>
    </row>
    <row r="20" s="3" customFormat="1" ht="21" customHeight="1" spans="1:28">
      <c r="A20" s="7">
        <v>13</v>
      </c>
      <c r="B20" s="7" t="s">
        <v>30</v>
      </c>
      <c r="C20" s="11" t="s">
        <v>49</v>
      </c>
      <c r="D20" s="11">
        <v>7210</v>
      </c>
      <c r="E20" s="11">
        <v>9015</v>
      </c>
      <c r="F20" s="11">
        <v>20</v>
      </c>
      <c r="G20" s="11" t="s">
        <v>49</v>
      </c>
      <c r="H20" s="11">
        <v>45</v>
      </c>
      <c r="I20" s="11">
        <v>36</v>
      </c>
      <c r="J20" s="12">
        <v>16</v>
      </c>
      <c r="K20" s="11" t="s">
        <v>49</v>
      </c>
      <c r="L20" s="16">
        <v>0.08</v>
      </c>
      <c r="M20" s="17">
        <v>0.0677</v>
      </c>
      <c r="N20" s="12">
        <v>12.69</v>
      </c>
      <c r="O20" s="18" t="s">
        <v>50</v>
      </c>
      <c r="P20" s="16">
        <v>0.83</v>
      </c>
      <c r="Q20" s="17">
        <v>0.869</v>
      </c>
      <c r="R20" s="12">
        <v>14.3</v>
      </c>
      <c r="S20" s="18" t="s">
        <v>50</v>
      </c>
      <c r="T20" s="11">
        <v>75</v>
      </c>
      <c r="U20" s="12">
        <v>99</v>
      </c>
      <c r="V20" s="12">
        <v>10.2</v>
      </c>
      <c r="W20" s="18" t="s">
        <v>50</v>
      </c>
      <c r="X20" s="11">
        <v>1240</v>
      </c>
      <c r="Y20" s="12">
        <v>1294</v>
      </c>
      <c r="Z20" s="12">
        <v>14.35</v>
      </c>
      <c r="AA20" s="12">
        <f t="shared" si="3"/>
        <v>87.54</v>
      </c>
      <c r="AB20" s="7"/>
    </row>
    <row r="21" s="3" customFormat="1" ht="21" customHeight="1" spans="1:28">
      <c r="A21" s="9"/>
      <c r="B21" s="9" t="s">
        <v>32</v>
      </c>
      <c r="C21" s="14"/>
      <c r="D21" s="14"/>
      <c r="E21" s="14"/>
      <c r="F21" s="12"/>
      <c r="G21" s="14"/>
      <c r="H21" s="14"/>
      <c r="I21" s="14"/>
      <c r="J21" s="12"/>
      <c r="K21" s="14"/>
      <c r="L21" s="19"/>
      <c r="M21" s="19"/>
      <c r="N21" s="12"/>
      <c r="O21" s="20"/>
      <c r="P21" s="19"/>
      <c r="Q21" s="19"/>
      <c r="R21" s="12"/>
      <c r="S21" s="20"/>
      <c r="T21" s="22"/>
      <c r="U21" s="23"/>
      <c r="V21" s="12"/>
      <c r="W21" s="20"/>
      <c r="X21" s="14"/>
      <c r="Y21" s="14"/>
      <c r="Z21" s="12"/>
      <c r="AA21" s="12">
        <f>SUM(AA5:AA20)</f>
        <v>1050.68</v>
      </c>
      <c r="AB21" s="12"/>
    </row>
    <row r="22" s="3" customFormat="1" ht="18" customHeight="1" spans="1:16384">
      <c r="A22" s="3" t="s">
        <v>54</v>
      </c>
      <c r="B22" s="15" t="s">
        <v>55</v>
      </c>
      <c r="XFB22" s="4"/>
      <c r="XFC22" s="4"/>
      <c r="XFD22" s="4"/>
    </row>
    <row r="23" s="3" customFormat="1" ht="18" customHeight="1" spans="2:16384">
      <c r="B23" s="15" t="s">
        <v>56</v>
      </c>
      <c r="XFB23" s="4"/>
      <c r="XFC23" s="4"/>
      <c r="XFD23" s="4"/>
    </row>
    <row r="24" s="3" customFormat="1" ht="16" customHeight="1" spans="2:16384">
      <c r="B24" s="15" t="s">
        <v>57</v>
      </c>
      <c r="XFB24" s="4"/>
      <c r="XFC24" s="4"/>
      <c r="XFD24" s="4"/>
    </row>
  </sheetData>
  <mergeCells count="18">
    <mergeCell ref="A2:AB2"/>
    <mergeCell ref="C3:F3"/>
    <mergeCell ref="G3:J3"/>
    <mergeCell ref="K3:N3"/>
    <mergeCell ref="O3:R3"/>
    <mergeCell ref="S3:V3"/>
    <mergeCell ref="W3:Z3"/>
    <mergeCell ref="C4:D4"/>
    <mergeCell ref="G4:H4"/>
    <mergeCell ref="K4:L4"/>
    <mergeCell ref="O4:P4"/>
    <mergeCell ref="S4:T4"/>
    <mergeCell ref="W4:X4"/>
    <mergeCell ref="A3:A4"/>
    <mergeCell ref="A5:A8"/>
    <mergeCell ref="B3:B4"/>
    <mergeCell ref="AA3:AA4"/>
    <mergeCell ref="AB3:AB4"/>
  </mergeCells>
  <printOptions horizontalCentered="1"/>
  <pageMargins left="0.196527777777778" right="0.196527777777778" top="0.393055555555556" bottom="0.393055555555556" header="0.66875" footer="0.5"/>
  <pageSetup paperSize="9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</vt:lpstr>
      <vt:lpstr>2022年医疗任务完成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2023-11-08T08:54:00Z</dcterms:created>
  <dcterms:modified xsi:type="dcterms:W3CDTF">2023-11-09T08:11:13Z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87561506297A4DBBA842C5526B600DAC</vt:lpwstr>
  </property>
  <property fmtid="{D5CDD505-2E9C-101B-9397-08002B2CF9AE}" pid="3" name="KSOProductBuildVer">
    <vt:lpwstr>2052-11.8.2.12055</vt:lpwstr>
  </property>
</Properties>
</file>