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<sst xmlns="http://schemas.openxmlformats.org/spreadsheetml/2006/main" count="136" uniqueCount="87">
  <si>
    <t>区君山养老服务中心（区中医院医养中心）所需设备一览表</t>
  </si>
  <si>
    <t>类型</t>
  </si>
  <si>
    <t>采购品目编码</t>
  </si>
  <si>
    <t>名称</t>
  </si>
  <si>
    <t>数量</t>
  </si>
  <si>
    <t>单价（万元）</t>
  </si>
  <si>
    <t>预算价（万元）</t>
  </si>
  <si>
    <t>合计(万元）</t>
  </si>
  <si>
    <t>医疗设备及配套接口</t>
  </si>
  <si>
    <t>A02320500</t>
  </si>
  <si>
    <t>B超机</t>
  </si>
  <si>
    <t>A02321200</t>
  </si>
  <si>
    <t>数字化放射检查（DR)</t>
  </si>
  <si>
    <t>A02010212</t>
  </si>
  <si>
    <t>PACS接口</t>
  </si>
  <si>
    <t>养老病床及配套</t>
  </si>
  <si>
    <t>A02322700</t>
  </si>
  <si>
    <t>双摇护理床</t>
  </si>
  <si>
    <t>A05030499</t>
  </si>
  <si>
    <t>床垫</t>
  </si>
  <si>
    <t>A05010599</t>
  </si>
  <si>
    <t>床头柜</t>
  </si>
  <si>
    <t>A05010399</t>
  </si>
  <si>
    <t>椅子</t>
  </si>
  <si>
    <t>A05010299</t>
  </si>
  <si>
    <t>圆边桌</t>
  </si>
  <si>
    <t>A05010503</t>
  </si>
  <si>
    <t>独立小衣柜</t>
  </si>
  <si>
    <t>椅型座便器</t>
  </si>
  <si>
    <t>A02323100</t>
  </si>
  <si>
    <t>双马达电动轮椅</t>
  </si>
  <si>
    <t>A05020107</t>
  </si>
  <si>
    <t>电动马桶盖</t>
  </si>
  <si>
    <t>轮椅</t>
  </si>
  <si>
    <t xml:space="preserve">沐浴推床，
医用清洗床 </t>
  </si>
  <si>
    <t>移位车</t>
  </si>
  <si>
    <t>双轮助行器
（带坐）</t>
  </si>
  <si>
    <t>康复病床及配套康复设备</t>
  </si>
  <si>
    <t>三摇病床</t>
  </si>
  <si>
    <t>A02320900</t>
  </si>
  <si>
    <t>理疗床</t>
  </si>
  <si>
    <t>起立床</t>
  </si>
  <si>
    <t>成人减重步态
训练器</t>
  </si>
  <si>
    <t>训练用阶梯（三向）</t>
  </si>
  <si>
    <t>辅助步行训练器</t>
  </si>
  <si>
    <t>活动平板</t>
  </si>
  <si>
    <t>A02462600</t>
  </si>
  <si>
    <t>电动跑步机</t>
  </si>
  <si>
    <t>肩关节旋转训练器
（轮式）</t>
  </si>
  <si>
    <t>多功能康复机</t>
  </si>
  <si>
    <t>易站椅</t>
  </si>
  <si>
    <t>电脑颈腰椎牵
引治疗仪(四维)</t>
  </si>
  <si>
    <t>颈椎康复训练器</t>
  </si>
  <si>
    <t>肩、肘康复</t>
  </si>
  <si>
    <t>象鼻式（自动三墩位）电动减重步态训练器</t>
  </si>
  <si>
    <t>步行训练用斜板</t>
  </si>
  <si>
    <t>平行杠及附件</t>
  </si>
  <si>
    <t>医用慢速跑台（国产）</t>
  </si>
  <si>
    <t>滑轮吊环训练器
（简易）</t>
  </si>
  <si>
    <t>划船运动器</t>
  </si>
  <si>
    <t>系列沙袋（绑式）</t>
  </si>
  <si>
    <t>系列沙袋（提式）</t>
  </si>
  <si>
    <t>偏瘫康复器</t>
  </si>
  <si>
    <t>多体位治疗床</t>
  </si>
  <si>
    <t>豪华PT凳</t>
  </si>
  <si>
    <t>手电两用轮椅</t>
  </si>
  <si>
    <t>气垫床</t>
  </si>
  <si>
    <t>体态评估</t>
  </si>
  <si>
    <t>框式助行器</t>
  </si>
  <si>
    <t>四脚拐杖</t>
  </si>
  <si>
    <t>单脚拐杖</t>
  </si>
  <si>
    <t>双人站立架</t>
  </si>
  <si>
    <t>电动直立床</t>
  </si>
  <si>
    <t>上肢体康复训练器</t>
  </si>
  <si>
    <t>下肢体康复训练器</t>
  </si>
  <si>
    <t>四肢联动</t>
  </si>
  <si>
    <t>踝关节矫正板</t>
  </si>
  <si>
    <t>A02460500</t>
  </si>
  <si>
    <t>哑铃（含层架）</t>
  </si>
  <si>
    <t>手功能康复箱</t>
  </si>
  <si>
    <t>PT 床</t>
  </si>
  <si>
    <t>OT桌</t>
  </si>
  <si>
    <t>膝关节关节活动度治疗仪</t>
  </si>
  <si>
    <t>肋木架</t>
  </si>
  <si>
    <t>功率自行车</t>
  </si>
  <si>
    <t>矫正镜</t>
  </si>
  <si>
    <t>合计（万元）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</si>
</sst>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0" borderId="0"/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9" applyNumberFormat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2" borderId="10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19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19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19" applyFill="1" applyBorder="1" applyAlignment="1">
      <alignment horizontal="center" vertical="center" wrapText="1"/>
    </xf>
    <xf numFmtId="0" fontId="0" fillId="0" borderId="2" xfId="19" applyFont="1" applyFill="1" applyBorder="1" applyAlignment="1">
      <alignment horizontal="center" vertical="center" wrapText="1"/>
    </xf>
    <xf numFmtId="0" fontId="0" fillId="0" borderId="2" xfId="19" applyFill="1" applyBorder="1" applyAlignment="1">
      <alignment horizontal="center" vertical="center"/>
    </xf>
    <xf numFmtId="0" fontId="0" fillId="0" borderId="1" xfId="19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19" applyFill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常规 8" xfId="19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6"/>
  <sheetViews>
    <sheetView tabSelected="1" workbookViewId="0">
      <selection activeCell="D10" sqref="D10"/>
    </sheetView>
  </sheetViews>
  <sheetFormatPr defaultColWidth="8.75454545454545" defaultRowHeight="14"/>
  <cols>
    <col min="1" max="2" width="17.6272727272727" style="1" customWidth="1"/>
    <col min="3" max="3" width="21.2545454545455" style="1" customWidth="1"/>
    <col min="4" max="4" width="8.75454545454545" style="1"/>
    <col min="5" max="5" width="14.7545454545455" style="1" customWidth="1"/>
    <col min="6" max="6" width="15.5" style="1" customWidth="1"/>
    <col min="7" max="7" width="15.8727272727273" style="1" customWidth="1"/>
  </cols>
  <sheetData>
    <row r="1" ht="17.5" spans="1:7">
      <c r="A1" s="2" t="s">
        <v>0</v>
      </c>
      <c r="B1" s="2"/>
      <c r="C1" s="2"/>
      <c r="D1" s="2"/>
      <c r="E1" s="2"/>
      <c r="F1" s="2"/>
      <c r="G1" s="2"/>
    </row>
    <row r="2" spans="1:7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>
      <c r="A3" s="5" t="s">
        <v>8</v>
      </c>
      <c r="B3" s="6" t="s">
        <v>9</v>
      </c>
      <c r="C3" s="7" t="s">
        <v>10</v>
      </c>
      <c r="D3" s="3">
        <v>1</v>
      </c>
      <c r="E3" s="3">
        <v>150</v>
      </c>
      <c r="F3" s="3">
        <v>150</v>
      </c>
      <c r="G3" s="8">
        <f>SUM(F3:F6)</f>
        <v>515</v>
      </c>
    </row>
    <row r="4" spans="1:7">
      <c r="A4" s="9"/>
      <c r="B4" s="10"/>
      <c r="C4" s="11"/>
      <c r="D4" s="3">
        <v>1</v>
      </c>
      <c r="E4" s="3">
        <v>250</v>
      </c>
      <c r="F4" s="3">
        <f>D4*E4</f>
        <v>250</v>
      </c>
      <c r="G4" s="12"/>
    </row>
    <row r="5" spans="1:7">
      <c r="A5" s="9"/>
      <c r="B5" s="4" t="s">
        <v>11</v>
      </c>
      <c r="C5" s="13" t="s">
        <v>12</v>
      </c>
      <c r="D5" s="3">
        <v>1</v>
      </c>
      <c r="E5" s="3">
        <v>100</v>
      </c>
      <c r="F5" s="3">
        <f>D5*E5</f>
        <v>100</v>
      </c>
      <c r="G5" s="12"/>
    </row>
    <row r="6" spans="1:11">
      <c r="A6" s="9"/>
      <c r="B6" s="4" t="s">
        <v>13</v>
      </c>
      <c r="C6" s="14" t="s">
        <v>14</v>
      </c>
      <c r="D6" s="14">
        <v>3</v>
      </c>
      <c r="E6" s="14">
        <v>5</v>
      </c>
      <c r="F6" s="3">
        <v>15</v>
      </c>
      <c r="G6" s="15"/>
      <c r="K6" s="25"/>
    </row>
    <row r="7" spans="1:11">
      <c r="A7" s="5" t="s">
        <v>15</v>
      </c>
      <c r="B7" s="4" t="s">
        <v>16</v>
      </c>
      <c r="C7" s="16" t="s">
        <v>17</v>
      </c>
      <c r="D7" s="16">
        <v>100</v>
      </c>
      <c r="E7" s="14">
        <v>0.38</v>
      </c>
      <c r="F7" s="10">
        <f t="shared" ref="F7:F20" si="0">D7*E7</f>
        <v>38</v>
      </c>
      <c r="G7" s="17">
        <f>SUM(F7:F19)</f>
        <v>92</v>
      </c>
      <c r="K7" s="25"/>
    </row>
    <row r="8" spans="1:11">
      <c r="A8" s="9"/>
      <c r="B8" s="4" t="s">
        <v>18</v>
      </c>
      <c r="C8" s="14" t="s">
        <v>19</v>
      </c>
      <c r="D8" s="14">
        <v>100</v>
      </c>
      <c r="E8" s="14">
        <v>0.016</v>
      </c>
      <c r="F8" s="3">
        <f t="shared" si="0"/>
        <v>1.6</v>
      </c>
      <c r="G8" s="17"/>
      <c r="K8" s="25"/>
    </row>
    <row r="9" spans="1:11">
      <c r="A9" s="9"/>
      <c r="B9" s="4" t="s">
        <v>20</v>
      </c>
      <c r="C9" s="18" t="s">
        <v>21</v>
      </c>
      <c r="D9" s="14">
        <v>100</v>
      </c>
      <c r="E9" s="14">
        <v>0.041</v>
      </c>
      <c r="F9" s="3">
        <f t="shared" si="0"/>
        <v>4.1</v>
      </c>
      <c r="G9" s="17"/>
      <c r="K9" s="25"/>
    </row>
    <row r="10" spans="1:11">
      <c r="A10" s="9"/>
      <c r="B10" s="4" t="s">
        <v>22</v>
      </c>
      <c r="C10" s="18" t="s">
        <v>23</v>
      </c>
      <c r="D10" s="14">
        <v>100</v>
      </c>
      <c r="E10" s="14">
        <v>0.04</v>
      </c>
      <c r="F10" s="3">
        <f t="shared" si="0"/>
        <v>4</v>
      </c>
      <c r="G10" s="17"/>
      <c r="K10" s="25"/>
    </row>
    <row r="11" spans="1:11">
      <c r="A11" s="9"/>
      <c r="B11" s="4" t="s">
        <v>24</v>
      </c>
      <c r="C11" s="18" t="s">
        <v>25</v>
      </c>
      <c r="D11" s="14">
        <v>50</v>
      </c>
      <c r="E11" s="14">
        <v>0.052</v>
      </c>
      <c r="F11" s="3">
        <f t="shared" si="0"/>
        <v>2.6</v>
      </c>
      <c r="G11" s="17"/>
      <c r="K11" s="25"/>
    </row>
    <row r="12" spans="1:11">
      <c r="A12" s="9"/>
      <c r="B12" s="4" t="s">
        <v>26</v>
      </c>
      <c r="C12" s="18" t="s">
        <v>27</v>
      </c>
      <c r="D12" s="14">
        <v>100</v>
      </c>
      <c r="E12" s="14">
        <v>0.108</v>
      </c>
      <c r="F12" s="3">
        <f t="shared" si="0"/>
        <v>10.8</v>
      </c>
      <c r="G12" s="17"/>
      <c r="K12" s="25"/>
    </row>
    <row r="13" spans="1:11">
      <c r="A13" s="9"/>
      <c r="B13" s="4" t="s">
        <v>16</v>
      </c>
      <c r="C13" s="18" t="s">
        <v>28</v>
      </c>
      <c r="D13" s="14">
        <v>50</v>
      </c>
      <c r="E13" s="14">
        <v>0.04</v>
      </c>
      <c r="F13" s="3">
        <f t="shared" si="0"/>
        <v>2</v>
      </c>
      <c r="G13" s="17"/>
      <c r="K13" s="25"/>
    </row>
    <row r="14" spans="1:11">
      <c r="A14" s="9"/>
      <c r="B14" s="4" t="s">
        <v>29</v>
      </c>
      <c r="C14" s="19" t="s">
        <v>30</v>
      </c>
      <c r="D14" s="20">
        <v>6</v>
      </c>
      <c r="E14" s="14">
        <v>0.75</v>
      </c>
      <c r="F14" s="6">
        <f t="shared" si="0"/>
        <v>4.5</v>
      </c>
      <c r="G14" s="17"/>
      <c r="K14" s="25"/>
    </row>
    <row r="15" spans="1:11">
      <c r="A15" s="9"/>
      <c r="B15" s="4" t="s">
        <v>31</v>
      </c>
      <c r="C15" s="18" t="s">
        <v>32</v>
      </c>
      <c r="D15" s="14">
        <v>50</v>
      </c>
      <c r="E15" s="14">
        <v>0.07</v>
      </c>
      <c r="F15" s="3">
        <f t="shared" si="0"/>
        <v>3.5</v>
      </c>
      <c r="G15" s="17"/>
      <c r="K15" s="25"/>
    </row>
    <row r="16" spans="1:11">
      <c r="A16" s="9"/>
      <c r="B16" s="4" t="s">
        <v>29</v>
      </c>
      <c r="C16" s="21" t="s">
        <v>33</v>
      </c>
      <c r="D16" s="14">
        <v>15</v>
      </c>
      <c r="E16" s="14">
        <v>0.04</v>
      </c>
      <c r="F16" s="3">
        <f t="shared" si="0"/>
        <v>0.6</v>
      </c>
      <c r="G16" s="17"/>
      <c r="K16" s="25"/>
    </row>
    <row r="17" ht="28" spans="1:11">
      <c r="A17" s="9"/>
      <c r="B17" s="4" t="s">
        <v>16</v>
      </c>
      <c r="C17" s="18" t="s">
        <v>34</v>
      </c>
      <c r="D17" s="14">
        <v>6</v>
      </c>
      <c r="E17" s="14">
        <v>2.8</v>
      </c>
      <c r="F17" s="3">
        <f t="shared" si="0"/>
        <v>16.8</v>
      </c>
      <c r="G17" s="17"/>
      <c r="K17" s="25"/>
    </row>
    <row r="18" spans="1:11">
      <c r="A18" s="9"/>
      <c r="B18" s="4" t="s">
        <v>16</v>
      </c>
      <c r="C18" s="14" t="s">
        <v>35</v>
      </c>
      <c r="D18" s="14">
        <v>3</v>
      </c>
      <c r="E18" s="14">
        <v>0.7</v>
      </c>
      <c r="F18" s="3">
        <f t="shared" si="0"/>
        <v>2.1</v>
      </c>
      <c r="G18" s="17"/>
      <c r="K18" s="25"/>
    </row>
    <row r="19" spans="1:11">
      <c r="A19" s="22"/>
      <c r="B19" s="4" t="s">
        <v>16</v>
      </c>
      <c r="C19" s="14" t="s">
        <v>36</v>
      </c>
      <c r="D19" s="14">
        <v>10</v>
      </c>
      <c r="E19" s="14">
        <v>0.14</v>
      </c>
      <c r="F19" s="3">
        <f t="shared" si="0"/>
        <v>1.4</v>
      </c>
      <c r="G19" s="10"/>
      <c r="K19" s="25"/>
    </row>
    <row r="20" spans="1:7">
      <c r="A20" s="5" t="s">
        <v>37</v>
      </c>
      <c r="B20" s="4" t="s">
        <v>16</v>
      </c>
      <c r="C20" s="13" t="s">
        <v>38</v>
      </c>
      <c r="D20" s="13">
        <v>50</v>
      </c>
      <c r="E20" s="3">
        <v>0.246</v>
      </c>
      <c r="F20" s="3">
        <f t="shared" si="0"/>
        <v>12.3</v>
      </c>
      <c r="G20" s="6">
        <f>SUM(F20:F65)</f>
        <v>89</v>
      </c>
    </row>
    <row r="21" spans="1:7">
      <c r="A21" s="9"/>
      <c r="B21" s="4" t="s">
        <v>39</v>
      </c>
      <c r="C21" s="13" t="s">
        <v>40</v>
      </c>
      <c r="D21" s="13">
        <v>20</v>
      </c>
      <c r="E21" s="3">
        <v>0.076</v>
      </c>
      <c r="F21" s="3">
        <f t="shared" ref="F21:F65" si="1">D21*E21</f>
        <v>1.52</v>
      </c>
      <c r="G21" s="17"/>
    </row>
    <row r="22" spans="1:7">
      <c r="A22" s="9"/>
      <c r="B22" s="3" t="s">
        <v>39</v>
      </c>
      <c r="C22" s="13" t="s">
        <v>41</v>
      </c>
      <c r="D22" s="13">
        <v>2</v>
      </c>
      <c r="E22" s="3">
        <v>0.48</v>
      </c>
      <c r="F22" s="3">
        <f t="shared" si="1"/>
        <v>0.96</v>
      </c>
      <c r="G22" s="17"/>
    </row>
    <row r="23" ht="28" spans="1:7">
      <c r="A23" s="9"/>
      <c r="B23" s="4" t="s">
        <v>39</v>
      </c>
      <c r="C23" s="13" t="s">
        <v>42</v>
      </c>
      <c r="D23" s="13">
        <v>1</v>
      </c>
      <c r="E23" s="3">
        <v>3.24</v>
      </c>
      <c r="F23" s="3">
        <f t="shared" si="1"/>
        <v>3.24</v>
      </c>
      <c r="G23" s="17"/>
    </row>
    <row r="24" spans="1:7">
      <c r="A24" s="9"/>
      <c r="B24" s="4" t="s">
        <v>39</v>
      </c>
      <c r="C24" s="13" t="s">
        <v>43</v>
      </c>
      <c r="D24" s="13">
        <v>1</v>
      </c>
      <c r="E24" s="3">
        <v>0.7</v>
      </c>
      <c r="F24" s="3">
        <f t="shared" si="1"/>
        <v>0.7</v>
      </c>
      <c r="G24" s="17"/>
    </row>
    <row r="25" spans="1:7">
      <c r="A25" s="9"/>
      <c r="B25" s="4" t="s">
        <v>39</v>
      </c>
      <c r="C25" s="13" t="s">
        <v>44</v>
      </c>
      <c r="D25" s="13">
        <v>1</v>
      </c>
      <c r="E25" s="3">
        <v>0.197</v>
      </c>
      <c r="F25" s="3">
        <f t="shared" si="1"/>
        <v>0.197</v>
      </c>
      <c r="G25" s="17"/>
    </row>
    <row r="26" spans="1:7">
      <c r="A26" s="9"/>
      <c r="B26" s="3" t="s">
        <v>39</v>
      </c>
      <c r="C26" s="13" t="s">
        <v>45</v>
      </c>
      <c r="D26" s="13">
        <v>1</v>
      </c>
      <c r="E26" s="3">
        <v>0.28</v>
      </c>
      <c r="F26" s="3">
        <f t="shared" si="1"/>
        <v>0.28</v>
      </c>
      <c r="G26" s="17"/>
    </row>
    <row r="27" spans="1:7">
      <c r="A27" s="9"/>
      <c r="B27" s="3" t="s">
        <v>46</v>
      </c>
      <c r="C27" s="13" t="s">
        <v>47</v>
      </c>
      <c r="D27" s="13">
        <v>1</v>
      </c>
      <c r="E27" s="3">
        <v>0.33</v>
      </c>
      <c r="F27" s="3">
        <f t="shared" si="1"/>
        <v>0.33</v>
      </c>
      <c r="G27" s="17"/>
    </row>
    <row r="28" ht="28" spans="1:7">
      <c r="A28" s="9"/>
      <c r="B28" s="3" t="s">
        <v>39</v>
      </c>
      <c r="C28" s="13" t="s">
        <v>48</v>
      </c>
      <c r="D28" s="13">
        <v>1</v>
      </c>
      <c r="E28" s="3">
        <v>0.32</v>
      </c>
      <c r="F28" s="3">
        <f t="shared" si="1"/>
        <v>0.32</v>
      </c>
      <c r="G28" s="17"/>
    </row>
    <row r="29" spans="1:7">
      <c r="A29" s="9"/>
      <c r="B29" s="3" t="s">
        <v>39</v>
      </c>
      <c r="C29" s="13" t="s">
        <v>49</v>
      </c>
      <c r="D29" s="13">
        <v>2</v>
      </c>
      <c r="E29" s="3">
        <v>0.6</v>
      </c>
      <c r="F29" s="3">
        <f t="shared" si="1"/>
        <v>1.2</v>
      </c>
      <c r="G29" s="17"/>
    </row>
    <row r="30" spans="1:7">
      <c r="A30" s="9"/>
      <c r="B30" s="3" t="s">
        <v>39</v>
      </c>
      <c r="C30" s="13" t="s">
        <v>50</v>
      </c>
      <c r="D30" s="13">
        <v>1</v>
      </c>
      <c r="E30" s="3">
        <v>3.8</v>
      </c>
      <c r="F30" s="3">
        <f t="shared" si="1"/>
        <v>3.8</v>
      </c>
      <c r="G30" s="17"/>
    </row>
    <row r="31" ht="28" spans="1:7">
      <c r="A31" s="9"/>
      <c r="B31" s="4" t="s">
        <v>39</v>
      </c>
      <c r="C31" s="13" t="s">
        <v>51</v>
      </c>
      <c r="D31" s="13">
        <v>1</v>
      </c>
      <c r="E31" s="3">
        <v>3.88</v>
      </c>
      <c r="F31" s="3">
        <f t="shared" si="1"/>
        <v>3.88</v>
      </c>
      <c r="G31" s="17"/>
    </row>
    <row r="32" spans="1:7">
      <c r="A32" s="9"/>
      <c r="B32" s="4" t="s">
        <v>39</v>
      </c>
      <c r="C32" s="13" t="s">
        <v>52</v>
      </c>
      <c r="D32" s="13">
        <v>1</v>
      </c>
      <c r="E32" s="3">
        <v>0.36</v>
      </c>
      <c r="F32" s="3">
        <f t="shared" si="1"/>
        <v>0.36</v>
      </c>
      <c r="G32" s="17"/>
    </row>
    <row r="33" spans="1:7">
      <c r="A33" s="9"/>
      <c r="B33" s="4" t="s">
        <v>39</v>
      </c>
      <c r="C33" s="13" t="s">
        <v>53</v>
      </c>
      <c r="D33" s="13">
        <v>1</v>
      </c>
      <c r="E33" s="3">
        <v>3.267</v>
      </c>
      <c r="F33" s="3">
        <f t="shared" si="1"/>
        <v>3.267</v>
      </c>
      <c r="G33" s="17"/>
    </row>
    <row r="34" ht="28" spans="1:7">
      <c r="A34" s="9"/>
      <c r="B34" s="4" t="s">
        <v>39</v>
      </c>
      <c r="C34" s="13" t="s">
        <v>54</v>
      </c>
      <c r="D34" s="13">
        <v>1</v>
      </c>
      <c r="E34" s="3">
        <v>9.8</v>
      </c>
      <c r="F34" s="3">
        <f t="shared" si="1"/>
        <v>9.8</v>
      </c>
      <c r="G34" s="17"/>
    </row>
    <row r="35" spans="1:7">
      <c r="A35" s="9"/>
      <c r="B35" s="4" t="s">
        <v>39</v>
      </c>
      <c r="C35" s="13" t="s">
        <v>55</v>
      </c>
      <c r="D35" s="13">
        <v>1</v>
      </c>
      <c r="E35" s="3">
        <v>0.3</v>
      </c>
      <c r="F35" s="3">
        <f t="shared" si="1"/>
        <v>0.3</v>
      </c>
      <c r="G35" s="17"/>
    </row>
    <row r="36" spans="1:7">
      <c r="A36" s="9"/>
      <c r="B36" s="4" t="s">
        <v>39</v>
      </c>
      <c r="C36" s="13" t="s">
        <v>56</v>
      </c>
      <c r="D36" s="13">
        <v>1</v>
      </c>
      <c r="E36" s="3">
        <v>0.597</v>
      </c>
      <c r="F36" s="3">
        <f t="shared" si="1"/>
        <v>0.597</v>
      </c>
      <c r="G36" s="17"/>
    </row>
    <row r="37" spans="1:7">
      <c r="A37" s="9"/>
      <c r="B37" s="4" t="s">
        <v>39</v>
      </c>
      <c r="C37" s="13" t="s">
        <v>57</v>
      </c>
      <c r="D37" s="13">
        <v>1</v>
      </c>
      <c r="E37" s="3">
        <v>1.65</v>
      </c>
      <c r="F37" s="3">
        <f t="shared" si="1"/>
        <v>1.65</v>
      </c>
      <c r="G37" s="17"/>
    </row>
    <row r="38" ht="28" spans="1:7">
      <c r="A38" s="9"/>
      <c r="B38" s="4" t="s">
        <v>39</v>
      </c>
      <c r="C38" s="13" t="s">
        <v>58</v>
      </c>
      <c r="D38" s="13">
        <v>1</v>
      </c>
      <c r="E38" s="3">
        <v>0.02</v>
      </c>
      <c r="F38" s="3">
        <f t="shared" si="1"/>
        <v>0.02</v>
      </c>
      <c r="G38" s="17"/>
    </row>
    <row r="39" spans="1:7">
      <c r="A39" s="9"/>
      <c r="B39" s="3" t="s">
        <v>46</v>
      </c>
      <c r="C39" s="13" t="s">
        <v>59</v>
      </c>
      <c r="D39" s="13">
        <v>1</v>
      </c>
      <c r="E39" s="3">
        <v>0.46</v>
      </c>
      <c r="F39" s="3">
        <f t="shared" si="1"/>
        <v>0.46</v>
      </c>
      <c r="G39" s="17"/>
    </row>
    <row r="40" spans="1:7">
      <c r="A40" s="9"/>
      <c r="B40" s="4" t="s">
        <v>39</v>
      </c>
      <c r="C40" s="13" t="s">
        <v>60</v>
      </c>
      <c r="D40" s="13">
        <v>3</v>
      </c>
      <c r="E40" s="3">
        <v>0.18</v>
      </c>
      <c r="F40" s="3">
        <f t="shared" si="1"/>
        <v>0.54</v>
      </c>
      <c r="G40" s="17"/>
    </row>
    <row r="41" spans="1:7">
      <c r="A41" s="9"/>
      <c r="B41" s="4" t="s">
        <v>39</v>
      </c>
      <c r="C41" s="13" t="s">
        <v>61</v>
      </c>
      <c r="D41" s="13">
        <v>3</v>
      </c>
      <c r="E41" s="3">
        <v>0.18</v>
      </c>
      <c r="F41" s="3">
        <f t="shared" si="1"/>
        <v>0.54</v>
      </c>
      <c r="G41" s="17"/>
    </row>
    <row r="42" spans="1:7">
      <c r="A42" s="9"/>
      <c r="B42" s="3" t="s">
        <v>39</v>
      </c>
      <c r="C42" s="13" t="s">
        <v>62</v>
      </c>
      <c r="D42" s="13">
        <v>1</v>
      </c>
      <c r="E42" s="3">
        <v>0.13</v>
      </c>
      <c r="F42" s="3">
        <f t="shared" si="1"/>
        <v>0.13</v>
      </c>
      <c r="G42" s="17"/>
    </row>
    <row r="43" spans="1:7">
      <c r="A43" s="9"/>
      <c r="B43" s="3" t="s">
        <v>39</v>
      </c>
      <c r="C43" s="13" t="s">
        <v>63</v>
      </c>
      <c r="D43" s="13">
        <v>1</v>
      </c>
      <c r="E43" s="3">
        <v>3.8</v>
      </c>
      <c r="F43" s="3">
        <f t="shared" si="1"/>
        <v>3.8</v>
      </c>
      <c r="G43" s="17"/>
    </row>
    <row r="44" spans="1:7">
      <c r="A44" s="9"/>
      <c r="B44" s="3" t="s">
        <v>39</v>
      </c>
      <c r="C44" s="13" t="s">
        <v>64</v>
      </c>
      <c r="D44" s="13">
        <v>8</v>
      </c>
      <c r="E44" s="3">
        <v>0.32</v>
      </c>
      <c r="F44" s="3">
        <f t="shared" si="1"/>
        <v>2.56</v>
      </c>
      <c r="G44" s="17"/>
    </row>
    <row r="45" spans="1:7">
      <c r="A45" s="9"/>
      <c r="B45" s="3" t="s">
        <v>16</v>
      </c>
      <c r="C45" s="13" t="s">
        <v>65</v>
      </c>
      <c r="D45" s="13">
        <v>2</v>
      </c>
      <c r="E45" s="3">
        <v>1.3</v>
      </c>
      <c r="F45" s="3">
        <f t="shared" si="1"/>
        <v>2.6</v>
      </c>
      <c r="G45" s="17"/>
    </row>
    <row r="46" spans="1:7">
      <c r="A46" s="9"/>
      <c r="B46" s="3" t="s">
        <v>16</v>
      </c>
      <c r="C46" s="23" t="s">
        <v>66</v>
      </c>
      <c r="D46" s="13">
        <v>10</v>
      </c>
      <c r="E46" s="3">
        <v>0.089</v>
      </c>
      <c r="F46" s="3">
        <f t="shared" si="1"/>
        <v>0.89</v>
      </c>
      <c r="G46" s="17"/>
    </row>
    <row r="47" spans="1:7">
      <c r="A47" s="9"/>
      <c r="B47" s="3" t="s">
        <v>39</v>
      </c>
      <c r="C47" s="23" t="s">
        <v>67</v>
      </c>
      <c r="D47" s="13">
        <v>1</v>
      </c>
      <c r="E47" s="3">
        <v>18.43</v>
      </c>
      <c r="F47" s="3">
        <f t="shared" si="1"/>
        <v>18.43</v>
      </c>
      <c r="G47" s="17"/>
    </row>
    <row r="48" spans="1:7">
      <c r="A48" s="9"/>
      <c r="B48" s="3" t="s">
        <v>16</v>
      </c>
      <c r="C48" s="23" t="s">
        <v>68</v>
      </c>
      <c r="D48" s="24">
        <v>5</v>
      </c>
      <c r="E48" s="3">
        <v>0.067</v>
      </c>
      <c r="F48" s="3">
        <f t="shared" si="1"/>
        <v>0.335</v>
      </c>
      <c r="G48" s="17"/>
    </row>
    <row r="49" spans="1:7">
      <c r="A49" s="9"/>
      <c r="B49" s="3" t="s">
        <v>16</v>
      </c>
      <c r="C49" s="23" t="s">
        <v>69</v>
      </c>
      <c r="D49" s="24">
        <v>5</v>
      </c>
      <c r="E49" s="3">
        <v>0.028</v>
      </c>
      <c r="F49" s="3">
        <f t="shared" si="1"/>
        <v>0.14</v>
      </c>
      <c r="G49" s="17"/>
    </row>
    <row r="50" spans="1:7">
      <c r="A50" s="9"/>
      <c r="B50" s="3" t="s">
        <v>16</v>
      </c>
      <c r="C50" s="23" t="s">
        <v>70</v>
      </c>
      <c r="D50" s="24">
        <v>5</v>
      </c>
      <c r="E50" s="3">
        <v>0.016</v>
      </c>
      <c r="F50" s="3">
        <f t="shared" si="1"/>
        <v>0.08</v>
      </c>
      <c r="G50" s="17"/>
    </row>
    <row r="51" spans="1:7">
      <c r="A51" s="9"/>
      <c r="B51" s="3" t="s">
        <v>39</v>
      </c>
      <c r="C51" s="23" t="s">
        <v>71</v>
      </c>
      <c r="D51" s="24">
        <v>1</v>
      </c>
      <c r="E51" s="3">
        <v>0.28</v>
      </c>
      <c r="F51" s="3">
        <f t="shared" si="1"/>
        <v>0.28</v>
      </c>
      <c r="G51" s="17"/>
    </row>
    <row r="52" spans="1:7">
      <c r="A52" s="9"/>
      <c r="B52" s="3" t="s">
        <v>39</v>
      </c>
      <c r="C52" s="23" t="s">
        <v>72</v>
      </c>
      <c r="D52" s="24">
        <v>1</v>
      </c>
      <c r="E52" s="3">
        <v>1.89</v>
      </c>
      <c r="F52" s="3">
        <f t="shared" si="1"/>
        <v>1.89</v>
      </c>
      <c r="G52" s="17"/>
    </row>
    <row r="53" spans="1:7">
      <c r="A53" s="9"/>
      <c r="B53" s="3" t="s">
        <v>39</v>
      </c>
      <c r="C53" s="23" t="s">
        <v>73</v>
      </c>
      <c r="D53" s="24">
        <v>1</v>
      </c>
      <c r="E53" s="3">
        <v>1.1</v>
      </c>
      <c r="F53" s="3">
        <f t="shared" si="1"/>
        <v>1.1</v>
      </c>
      <c r="G53" s="17"/>
    </row>
    <row r="54" spans="1:7">
      <c r="A54" s="9"/>
      <c r="B54" s="3" t="s">
        <v>39</v>
      </c>
      <c r="C54" s="23" t="s">
        <v>74</v>
      </c>
      <c r="D54" s="24">
        <v>1</v>
      </c>
      <c r="E54" s="3">
        <v>1.3</v>
      </c>
      <c r="F54" s="3">
        <f t="shared" si="1"/>
        <v>1.3</v>
      </c>
      <c r="G54" s="17"/>
    </row>
    <row r="55" spans="1:7">
      <c r="A55" s="9"/>
      <c r="B55" s="3" t="s">
        <v>39</v>
      </c>
      <c r="C55" s="23" t="s">
        <v>75</v>
      </c>
      <c r="D55" s="24">
        <v>1</v>
      </c>
      <c r="E55" s="3">
        <v>3.2</v>
      </c>
      <c r="F55" s="3">
        <f t="shared" si="1"/>
        <v>3.2</v>
      </c>
      <c r="G55" s="17"/>
    </row>
    <row r="56" spans="1:7">
      <c r="A56" s="9"/>
      <c r="B56" s="3" t="s">
        <v>39</v>
      </c>
      <c r="C56" s="23" t="s">
        <v>76</v>
      </c>
      <c r="D56" s="24">
        <v>1</v>
      </c>
      <c r="E56" s="3">
        <v>0.03</v>
      </c>
      <c r="F56" s="3">
        <f t="shared" si="1"/>
        <v>0.03</v>
      </c>
      <c r="G56" s="17"/>
    </row>
    <row r="57" spans="1:7">
      <c r="A57" s="9"/>
      <c r="B57" s="3" t="s">
        <v>77</v>
      </c>
      <c r="C57" s="23" t="s">
        <v>78</v>
      </c>
      <c r="D57" s="24">
        <v>2</v>
      </c>
      <c r="E57" s="3">
        <v>0.18</v>
      </c>
      <c r="F57" s="3">
        <f t="shared" si="1"/>
        <v>0.36</v>
      </c>
      <c r="G57" s="17"/>
    </row>
    <row r="58" spans="1:7">
      <c r="A58" s="9"/>
      <c r="B58" s="3" t="s">
        <v>39</v>
      </c>
      <c r="C58" s="23" t="s">
        <v>79</v>
      </c>
      <c r="D58" s="24">
        <v>1</v>
      </c>
      <c r="E58" s="3">
        <v>0.18</v>
      </c>
      <c r="F58" s="3">
        <f t="shared" si="1"/>
        <v>0.18</v>
      </c>
      <c r="G58" s="17"/>
    </row>
    <row r="59" spans="1:7">
      <c r="A59" s="9"/>
      <c r="B59" s="3" t="s">
        <v>39</v>
      </c>
      <c r="C59" s="23" t="s">
        <v>80</v>
      </c>
      <c r="D59" s="24">
        <v>2</v>
      </c>
      <c r="E59" s="3">
        <v>0.33</v>
      </c>
      <c r="F59" s="3">
        <f t="shared" si="1"/>
        <v>0.66</v>
      </c>
      <c r="G59" s="17"/>
    </row>
    <row r="60" spans="1:7">
      <c r="A60" s="9"/>
      <c r="B60" s="4" t="s">
        <v>39</v>
      </c>
      <c r="C60" s="23" t="s">
        <v>63</v>
      </c>
      <c r="D60" s="24">
        <v>1</v>
      </c>
      <c r="E60" s="3">
        <v>1.778</v>
      </c>
      <c r="F60" s="3">
        <f t="shared" si="1"/>
        <v>1.778</v>
      </c>
      <c r="G60" s="17"/>
    </row>
    <row r="61" spans="1:7">
      <c r="A61" s="9"/>
      <c r="B61" s="4" t="s">
        <v>39</v>
      </c>
      <c r="C61" s="23" t="s">
        <v>81</v>
      </c>
      <c r="D61" s="24">
        <v>1</v>
      </c>
      <c r="E61" s="3">
        <v>0.23</v>
      </c>
      <c r="F61" s="3">
        <f t="shared" si="1"/>
        <v>0.23</v>
      </c>
      <c r="G61" s="17"/>
    </row>
    <row r="62" ht="28" spans="1:7">
      <c r="A62" s="9"/>
      <c r="B62" s="3" t="s">
        <v>39</v>
      </c>
      <c r="C62" s="23" t="s">
        <v>82</v>
      </c>
      <c r="D62" s="24">
        <v>1</v>
      </c>
      <c r="E62" s="3">
        <v>1.98</v>
      </c>
      <c r="F62" s="3">
        <f t="shared" si="1"/>
        <v>1.98</v>
      </c>
      <c r="G62" s="17"/>
    </row>
    <row r="63" spans="1:7">
      <c r="A63" s="9"/>
      <c r="B63" s="3" t="s">
        <v>39</v>
      </c>
      <c r="C63" s="23" t="s">
        <v>83</v>
      </c>
      <c r="D63" s="24">
        <v>1</v>
      </c>
      <c r="E63" s="3">
        <v>0.27</v>
      </c>
      <c r="F63" s="3">
        <f t="shared" si="1"/>
        <v>0.27</v>
      </c>
      <c r="G63" s="17"/>
    </row>
    <row r="64" spans="1:7">
      <c r="A64" s="9"/>
      <c r="B64" s="3" t="s">
        <v>39</v>
      </c>
      <c r="C64" s="23" t="s">
        <v>84</v>
      </c>
      <c r="D64" s="24">
        <v>2</v>
      </c>
      <c r="E64" s="3">
        <v>0.18</v>
      </c>
      <c r="F64" s="3">
        <f t="shared" si="1"/>
        <v>0.36</v>
      </c>
      <c r="G64" s="17"/>
    </row>
    <row r="65" spans="1:7">
      <c r="A65" s="22"/>
      <c r="B65" s="3" t="s">
        <v>39</v>
      </c>
      <c r="C65" s="23" t="s">
        <v>85</v>
      </c>
      <c r="D65" s="24">
        <v>1</v>
      </c>
      <c r="E65" s="3">
        <v>0.156</v>
      </c>
      <c r="F65" s="3">
        <f t="shared" si="1"/>
        <v>0.156</v>
      </c>
      <c r="G65" s="10"/>
    </row>
    <row r="66" spans="1:7">
      <c r="A66" s="3" t="s">
        <v>86</v>
      </c>
      <c r="B66" s="3"/>
      <c r="C66" s="3"/>
      <c r="D66" s="3"/>
      <c r="E66" s="3"/>
      <c r="F66" s="3">
        <f>SUM(F3:F65)</f>
        <v>696</v>
      </c>
      <c r="G66" s="3"/>
    </row>
  </sheetData>
  <mergeCells count="11">
    <mergeCell ref="A1:G1"/>
    <mergeCell ref="A66:E66"/>
    <mergeCell ref="F66:G66"/>
    <mergeCell ref="A3:A6"/>
    <mergeCell ref="A7:A19"/>
    <mergeCell ref="A20:A65"/>
    <mergeCell ref="B3:B4"/>
    <mergeCell ref="C3:C4"/>
    <mergeCell ref="G3:G6"/>
    <mergeCell ref="G7:G19"/>
    <mergeCell ref="G20:G6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大规模核酸采样10</dc:creator>
  <cp:lastModifiedBy>吃鱼健康，养鱼致富！</cp:lastModifiedBy>
  <dcterms:created xsi:type="dcterms:W3CDTF">2022-10-16T14:21:00Z</dcterms:created>
  <dcterms:modified xsi:type="dcterms:W3CDTF">2022-11-09T07:15:40Z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30F02D57F28A48E7A556BDB4B97522CC</vt:lpwstr>
  </property>
  <property fmtid="{D5CDD505-2E9C-101B-9397-08002B2CF9AE}" pid="3" name="KSOProductBuildVer">
    <vt:lpwstr>2052-11.1.0.12598</vt:lpwstr>
  </property>
</Properties>
</file>