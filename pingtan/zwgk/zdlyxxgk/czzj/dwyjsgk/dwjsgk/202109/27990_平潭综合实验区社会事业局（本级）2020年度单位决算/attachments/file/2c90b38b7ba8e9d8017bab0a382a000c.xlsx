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840" tabRatio="860"/>
  </bookViews>
  <sheets>
    <sheet name="1.融合试点村（居）工作经费" sheetId="4" r:id="rId1"/>
    <sheet name="2.儿童关爱“十、百、千”示范点建设经费" sheetId="14" r:id="rId2"/>
    <sheet name="3.区精神障碍社区康复中心运营管理经费" sheetId="15" r:id="rId3"/>
    <sheet name="4.农村幸福院和居家社区养老服务中心" sheetId="16" r:id="rId4"/>
    <sheet name="5.社区居家养老服务补贴" sheetId="17" r:id="rId5"/>
    <sheet name="6.平潭政区图集编制费及路牌制作费" sheetId="18" r:id="rId6"/>
    <sheet name="7.城乡居民养老和医疗保险村级信息化平台建设经费" sheetId="19" r:id="rId7"/>
    <sheet name="8.福建师范大学平潭附属中学" sheetId="20" r:id="rId8"/>
    <sheet name="9.平潭社会福利中心" sheetId="21" r:id="rId9"/>
    <sheet name="10.平潭综合实验区公益性公墓" sheetId="22" r:id="rId10"/>
    <sheet name="11.新建金井湾社区卫生服务中心建设经费" sheetId="23" r:id="rId11"/>
    <sheet name="12.澳前社区卫生服务中心（红十字医院）" sheetId="24" r:id="rId12"/>
    <sheet name="13.动车站社区卫生服务中心" sheetId="25" r:id="rId13"/>
    <sheet name="14.全区医疗卫生机构安保人员经费" sheetId="26" r:id="rId14"/>
    <sheet name="15.县级医院定向培养本科临床医学人才委培费" sheetId="27" r:id="rId15"/>
    <sheet name="16.预防性体检补助" sheetId="28" r:id="rId16"/>
    <sheet name="17.世行贷款医改促进项目（县级卫生信息化建设）" sheetId="29" r:id="rId17"/>
    <sheet name="18.“三无”及肇事肇祸精神病人医疗费" sheetId="30" r:id="rId18"/>
    <sheet name="19.基层医疗卫生机构设备购置费" sheetId="31" r:id="rId19"/>
    <sheet name="20.基层医疗卫生机构修缮改造费用" sheetId="32" r:id="rId20"/>
    <sheet name="21.村医零差率改革补助经费" sheetId="33" r:id="rId21"/>
    <sheet name="22.基本公共卫生区级配套" sheetId="34" r:id="rId22"/>
    <sheet name="23.重大及突发公共卫生处置、防控经费" sheetId="35" r:id="rId23"/>
    <sheet name="24.农村孕产妇产前筛查区级配套" sheetId="36" r:id="rId24"/>
    <sheet name="25.三格化粪池户厕改造经费与前期无害化户厕末端衔接经费" sheetId="37" r:id="rId25"/>
    <sheet name="26.高考综合评估奖金" sheetId="38" r:id="rId26"/>
    <sheet name="27.普惠性幼儿园补助" sheetId="39" r:id="rId27"/>
    <sheet name="28.区级乡村少年宫运转经费" sheetId="40" r:id="rId28"/>
    <sheet name="29.税改转移支付资金" sheetId="41" r:id="rId29"/>
    <sheet name="30.教育费附加安排的支出" sheetId="42" r:id="rId30"/>
    <sheet name="31.中学乡土教材经费" sheetId="43" r:id="rId31"/>
    <sheet name="32.新校车购买费用" sheetId="44" r:id="rId32"/>
    <sheet name="33.教职工意外险及校园责任险" sheetId="45" r:id="rId33"/>
    <sheet name="34.校车运行费" sheetId="46" r:id="rId34"/>
    <sheet name="35.创建省区级示范性幼儿园奖励资金" sheetId="47" r:id="rId35"/>
    <sheet name="36.校车保险" sheetId="48" r:id="rId36"/>
    <sheet name="37.免作业簿" sheetId="49" r:id="rId37"/>
    <sheet name="38.学校安全管理及安全事故学生人身伤害救助" sheetId="50" r:id="rId38"/>
    <sheet name="39.探头租赁经费" sheetId="51" r:id="rId39"/>
    <sheet name="40.保安工资及团体险等" sheetId="52" r:id="rId40"/>
    <sheet name="41.中小学生运动会及各类赛事经费" sheetId="53" r:id="rId41"/>
    <sheet name="42.特教学生在外寄读交通补助" sheetId="54" r:id="rId42"/>
    <sheet name="43.平潭三中扩建（一期）" sheetId="55" r:id="rId43"/>
    <sheet name="44.平潭一中新校区（一、二期）" sheetId="56" r:id="rId44"/>
    <sheet name="45.平潭中湖小学" sheetId="57" r:id="rId45"/>
    <sheet name="46.平潭滨湖小学(一期）" sheetId="58" r:id="rId46"/>
    <sheet name="47.平原中心幼儿园（改扩建）" sheetId="59" r:id="rId47"/>
    <sheet name="48.苏澳中心幼儿园" sheetId="60" r:id="rId48"/>
    <sheet name="49.平潭中楼中心幼儿园" sheetId="61" r:id="rId49"/>
    <sheet name="50.平潭西航第一幼儿园" sheetId="62" r:id="rId50"/>
    <sheet name="51.平潭特殊教育学校建设项目（一期）" sheetId="63" r:id="rId51"/>
    <sheet name="52.流水中心小学（扩建）" sheetId="64" r:id="rId52"/>
    <sheet name="53.平潭敖东中心小学" sheetId="65" r:id="rId53"/>
    <sheet name="54.全区中小学、幼儿园租用费光纤项目" sheetId="66" r:id="rId54"/>
    <sheet name="55.信息技术学院学生补助" sheetId="67" r:id="rId55"/>
    <sheet name="56.不列编教师工资" sheetId="68" r:id="rId56"/>
    <sheet name="57.终身教育" sheetId="69" r:id="rId57"/>
    <sheet name="58.助学贷款贴息" sheetId="70" r:id="rId58"/>
  </sheets>
  <calcPr calcId="144525"/>
</workbook>
</file>

<file path=xl/comments1.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3.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4.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5.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6.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7.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8.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9.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0.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1.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2.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3.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4.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5.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6.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7.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8.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19.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0.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1.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2.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3.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4.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5.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6.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7.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8.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29.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30.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31.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32.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comments33.xml><?xml version="1.0" encoding="utf-8"?>
<comments xmlns="http://schemas.openxmlformats.org/spreadsheetml/2006/main">
  <authors>
    <author>Administrator</author>
  </authors>
  <commentList>
    <comment ref="I6" authorId="0">
      <text>
        <r>
          <rPr>
            <b/>
            <sz val="9"/>
            <rFont val="Tahoma"/>
            <charset val="134"/>
          </rPr>
          <t>Administrator:</t>
        </r>
        <r>
          <rPr>
            <sz val="9"/>
            <rFont val="Tahoma"/>
            <charset val="134"/>
          </rPr>
          <t xml:space="preserve">
</t>
        </r>
        <r>
          <rPr>
            <sz val="9"/>
            <rFont val="宋体"/>
            <charset val="134"/>
          </rPr>
          <t>得分</t>
        </r>
        <r>
          <rPr>
            <sz val="9"/>
            <rFont val="Tahoma"/>
            <charset val="134"/>
          </rPr>
          <t>=</t>
        </r>
        <r>
          <rPr>
            <sz val="9"/>
            <rFont val="宋体"/>
            <charset val="134"/>
          </rPr>
          <t>分值（</t>
        </r>
        <r>
          <rPr>
            <sz val="9"/>
            <rFont val="Tahoma"/>
            <charset val="134"/>
          </rPr>
          <t>10</t>
        </r>
        <r>
          <rPr>
            <sz val="9"/>
            <rFont val="宋体"/>
            <charset val="134"/>
          </rPr>
          <t>分）</t>
        </r>
        <r>
          <rPr>
            <sz val="9"/>
            <rFont val="Tahoma"/>
            <charset val="134"/>
          </rPr>
          <t>*</t>
        </r>
        <r>
          <rPr>
            <sz val="9"/>
            <rFont val="宋体"/>
            <charset val="134"/>
          </rPr>
          <t xml:space="preserve">执行率，保留两位小数。
</t>
        </r>
      </text>
    </comment>
  </commentList>
</comments>
</file>

<file path=xl/sharedStrings.xml><?xml version="1.0" encoding="utf-8"?>
<sst xmlns="http://schemas.openxmlformats.org/spreadsheetml/2006/main" count="4882" uniqueCount="657">
  <si>
    <t>项目支出绩效自评表</t>
  </si>
  <si>
    <t>（    2020  ）年度</t>
  </si>
  <si>
    <t>项目名称</t>
  </si>
  <si>
    <t>融合试点村（居）工作经费</t>
  </si>
  <si>
    <t>主管部门</t>
  </si>
  <si>
    <t>平潭综合实验区社会事业局</t>
  </si>
  <si>
    <t>实施单位</t>
  </si>
  <si>
    <t>项目资金（万元）</t>
  </si>
  <si>
    <t>年初预算数</t>
  </si>
  <si>
    <t>全年预算数</t>
  </si>
  <si>
    <t>全年执行数</t>
  </si>
  <si>
    <t>分值</t>
  </si>
  <si>
    <t>执行率</t>
  </si>
  <si>
    <t>得分</t>
  </si>
  <si>
    <t>年度资金总额</t>
  </si>
  <si>
    <t>其中：当年财政拨款</t>
  </si>
  <si>
    <t>-</t>
  </si>
  <si>
    <t>上年结转资金</t>
  </si>
  <si>
    <t>其他资金</t>
  </si>
  <si>
    <t>年度总体目标</t>
  </si>
  <si>
    <t>预期目标</t>
  </si>
  <si>
    <t>实际完成情况</t>
  </si>
  <si>
    <t>完成2020年发放融合试点村居专项补助经费的任务</t>
  </si>
  <si>
    <t>已发放全年融合试点村居专项补助经费617万元</t>
  </si>
  <si>
    <t>绩效指标</t>
  </si>
  <si>
    <t>一级指标</t>
  </si>
  <si>
    <t>二级指标</t>
  </si>
  <si>
    <t>三级指标</t>
  </si>
  <si>
    <t>年度指标值</t>
  </si>
  <si>
    <t>实际完成值</t>
  </si>
  <si>
    <t>偏差原因分析及改进措施</t>
  </si>
  <si>
    <t>产出指标（50%）</t>
  </si>
  <si>
    <t>数量指标</t>
  </si>
  <si>
    <t>招收村居工作人员人数</t>
  </si>
  <si>
    <t>≤50人</t>
  </si>
  <si>
    <t>50人</t>
  </si>
  <si>
    <t>质量指标</t>
  </si>
  <si>
    <t>台籍社区营造师在岚工作期间交通、办公等工作</t>
  </si>
  <si>
    <t>正常运行</t>
  </si>
  <si>
    <t>时效指标</t>
  </si>
  <si>
    <t>资金使用时间</t>
  </si>
  <si>
    <t>2020年</t>
  </si>
  <si>
    <t>成本指标</t>
  </si>
  <si>
    <t>资金结余率</t>
  </si>
  <si>
    <t>≤20%</t>
  </si>
  <si>
    <t>效益指标（30%）</t>
  </si>
  <si>
    <t>经济效益指标</t>
  </si>
  <si>
    <t>社会效益指标</t>
  </si>
  <si>
    <t>引进台湾先进管理理念，促进两地文化交流</t>
  </si>
  <si>
    <t>引进台湾人才来管理乡镇社区，给我区带来与众不同的改变。</t>
  </si>
  <si>
    <t>生态效益指标</t>
  </si>
  <si>
    <t>可持续影响指标</t>
  </si>
  <si>
    <t>满意度指标（10%）</t>
  </si>
  <si>
    <t>服务对象满意度指标</t>
  </si>
  <si>
    <t>群众对融合村居试点工作满意度</t>
  </si>
  <si>
    <t>≥90%</t>
  </si>
  <si>
    <t>总分</t>
  </si>
  <si>
    <t>优</t>
  </si>
  <si>
    <t>儿童关爱“十、百、千”示范点建设经费</t>
  </si>
  <si>
    <t>1.建设1个区级儿童之家点，并开展政府购买服务等；2.建设5个村级儿童之家点。</t>
  </si>
  <si>
    <t>区级的示范点未选定，5个儿童之家的经费已调拨给片区，已投入使用。</t>
  </si>
  <si>
    <t>区级示范点</t>
  </si>
  <si>
    <t>1个</t>
  </si>
  <si>
    <t>0个</t>
  </si>
  <si>
    <t>区级示范点未选定</t>
  </si>
  <si>
    <t>村级儿童之家</t>
  </si>
  <si>
    <t>5个</t>
  </si>
  <si>
    <t>区级示范点建设完成率</t>
  </si>
  <si>
    <t>村级儿童之家建成完成率</t>
  </si>
  <si>
    <t>完善儿童之家基础配套设施建设</t>
  </si>
  <si>
    <t>促进儿童健康成长、实现公共服务均等化</t>
  </si>
  <si>
    <t>建成后投入使用，产生一定的效益，但使用的人数较少。</t>
  </si>
  <si>
    <t>儿童参与满意度</t>
  </si>
  <si>
    <t>≥95%</t>
  </si>
  <si>
    <t>良</t>
  </si>
  <si>
    <t>区精神障碍社区康复中心运营管理经费</t>
  </si>
  <si>
    <t>到2025年，60%以上居家患者接受社区康复服务，基本建立以家庭为基础、机构为支撑、“社会化、综合性、开放式”的精神障碍社区康复服务体系，患者病情复发率、致残率显著降低，自理率、就业率不断提高，肇事肇祸案事件持续减少。</t>
  </si>
  <si>
    <t>区精神障碍社区康复中心刚完工，受疫情影响，第三季度才陆续收治病人，所以项目支出受到影响。9月调减90万预算让财政收回。在第四季度支付第三季度运营经费。</t>
  </si>
  <si>
    <t>收治服务精神障碍患者人数</t>
  </si>
  <si>
    <t>12人</t>
  </si>
  <si>
    <t>运营管理服务质量合格率</t>
  </si>
  <si>
    <t>患者病情复发率、致残率显著降低，自理率、就业率不断提高</t>
  </si>
  <si>
    <t>收治精神病人，降低社会风险，产生社会效益。</t>
  </si>
  <si>
    <t>服务对象对康复服务的满意度</t>
  </si>
  <si>
    <t>差</t>
  </si>
  <si>
    <t>农村幸福院和居家社区养老服务中心</t>
  </si>
  <si>
    <t>完成10家农村幸福院以及1所居家社区养老服务照料中心建设补助等民政其他项目支出</t>
  </si>
  <si>
    <t>项目任在设计阶段，资金已到位。</t>
  </si>
  <si>
    <t>完成农村幸福院建设</t>
  </si>
  <si>
    <t>10个</t>
  </si>
  <si>
    <t>12个</t>
  </si>
  <si>
    <t>农村幸福院建设完成率</t>
  </si>
  <si>
    <t>为进一步完善城乡养老服务体系，推进我区养老服务业更好更快发展</t>
  </si>
  <si>
    <t>农村幸福院的建成，是我区养老服务向前迈进的步伐，意味着我区拥有更好的养老条件。</t>
  </si>
  <si>
    <t>群众满意度</t>
  </si>
  <si>
    <t>老年人对于农村幸福院与居家社区养老服务照料中心满意度</t>
  </si>
  <si>
    <t>社区居家养老服务补贴</t>
  </si>
  <si>
    <t>构建以居家为基础、社区为依托、机构为补充、医养相结合的养老服务体系。</t>
  </si>
  <si>
    <t>支出2019年第四季度、2020年第一、三季度城乡社区居家养老专业化服务项目进度款，2个社区养老服务照料中心创新试点建设经费，2019年养老机构一次性、运营补助等。</t>
  </si>
  <si>
    <t>城乡社区居家养老专业化服务项目服务人数</t>
  </si>
  <si>
    <t>7000人</t>
  </si>
  <si>
    <t>提供专业化养老服务覆盖率</t>
  </si>
  <si>
    <t>提升老年人生活质量，增进社会和谐</t>
  </si>
  <si>
    <t>逐步建成我区先进养老服务体系，提升老年人生活质量。</t>
  </si>
  <si>
    <t>专业化养老服务项目服务人群满意度</t>
  </si>
  <si>
    <t>平潭政区图集编制费及路牌制作费</t>
  </si>
  <si>
    <t>2020年6月底前分批完成路牌制作安装项目，以及做好地名普查档案编制工作。</t>
  </si>
  <si>
    <t>已支付平潭综合实验区第二次全国地名普查档案整编服务费用8.65万，105块路牌已安装完成，并验收完毕待付款。</t>
  </si>
  <si>
    <t>制作安装路牌</t>
  </si>
  <si>
    <t>105块</t>
  </si>
  <si>
    <t>路牌、政区图验收通过率</t>
  </si>
  <si>
    <t>2020年内</t>
  </si>
  <si>
    <t>给群众提供清晰直观并且十分易于理解的交通指示信息</t>
  </si>
  <si>
    <t>满足群众能够安全快捷便利出行的要求</t>
  </si>
  <si>
    <t>群众对于路牌满意度</t>
  </si>
  <si>
    <t>城乡居民养老和医疗保险村级信息化平台建设经费</t>
  </si>
  <si>
    <t>计划拨付2019年50个村便民信息化服务点标准化建设办公设施配置采购资金。</t>
  </si>
  <si>
    <t>已下拨4个片区共50万用于信息化平台建设。</t>
  </si>
  <si>
    <t>建设村居数</t>
  </si>
  <si>
    <t>50个</t>
  </si>
  <si>
    <t>配套设施质量合格率</t>
  </si>
  <si>
    <t>2020年12月31日内</t>
  </si>
  <si>
    <t>满足城乡居民养老和医疗保险信息化平台需求</t>
  </si>
  <si>
    <t>满足城乡居民信息化需求，给远离城市的村民提供便利。</t>
  </si>
  <si>
    <t>乡村居民满意度</t>
  </si>
  <si>
    <t>福建师范大学平潭附属中学</t>
  </si>
  <si>
    <t>完成2020年拨付福建师范大学平潭附属中学剩余工程进度款。</t>
  </si>
  <si>
    <t>年初项目超概算，资金无法通过财政审批，年底与财政沟通可支付师大附中供电工程尾款。</t>
  </si>
  <si>
    <t>总建筑面积</t>
  </si>
  <si>
    <t>不低于81878.99㎡</t>
  </si>
  <si>
    <t>81878.99㎡</t>
  </si>
  <si>
    <t>项目建设质量</t>
  </si>
  <si>
    <t>资金投入</t>
  </si>
  <si>
    <t>满足学校教学要求，提高教学质量</t>
  </si>
  <si>
    <t>建成环境优越，条件达标的中学。</t>
  </si>
  <si>
    <t>服务人群满意度</t>
  </si>
  <si>
    <t>中</t>
  </si>
  <si>
    <t>平潭社会福利中心</t>
  </si>
  <si>
    <t xml:space="preserve">    平潭社会福利机构合理、规范，设施更加完备，综合实力增强，并尽快实现功能多样化、资源集约化、设施规模化、服务专业化福利中心的总体规划目标；能为孤寡老人、孤儿、残疾人、优抚军属等特殊群体创造更好的生活环境，提供更优质的服务，为平潭人民构建和谐社会提供更有利的保障。</t>
  </si>
  <si>
    <t>福利中心主体项目现已竣工验收，但财政资金紧张，资金无法通过财政审批，所以执行数为0。</t>
  </si>
  <si>
    <t>不低于26861.55㎡</t>
  </si>
  <si>
    <t>26861.55㎡</t>
  </si>
  <si>
    <t>项目竣工验收合格率</t>
  </si>
  <si>
    <t>不超过900万</t>
  </si>
  <si>
    <t>已使用0万</t>
  </si>
  <si>
    <t>为平潭任命构建和谐社会提供有利保障</t>
  </si>
  <si>
    <t>福利中心投入使用使我区养老服务条件大大改善，群众拥有更好的选择。</t>
  </si>
  <si>
    <t>平潭综合实验区公益性公墓</t>
  </si>
  <si>
    <t>进行管理房、骨灰堂、墓区等设施建设</t>
  </si>
  <si>
    <t>截止9月已建设1700台公益性公墓，与预算处沟通后将这笔资金调剂给土开集团。</t>
  </si>
  <si>
    <t>建设公墓数量</t>
  </si>
  <si>
    <t>5000台</t>
  </si>
  <si>
    <t>公墓质量合格率</t>
  </si>
  <si>
    <t>不超过1000万</t>
  </si>
  <si>
    <t>能为孤寡老人、孤儿、残疾人、优抚军属等特殊群体创造更好的生活环境，提供更优质的服务</t>
  </si>
  <si>
    <t>（2020）年度</t>
  </si>
  <si>
    <t>新建金井湾社区卫生服务中心建设经费</t>
  </si>
  <si>
    <t>平潭综合实验区北厝卫生院</t>
  </si>
  <si>
    <t xml:space="preserve">    方便群众就医，提高医疗服务水平，完成双向转诊，促进医疗体制改革。</t>
  </si>
  <si>
    <t xml:space="preserve">    已完成，2020年新建金井湾社区卫生服务中心建设经费项目年初区级财政预算500万元，年中由澳前社区卫生服务中心项目调剂200万元，实际到位700万元，做到资金到位率100%。截止2020年12月底实际支出金额700万元，支出率100%。</t>
  </si>
  <si>
    <t>新建面积</t>
  </si>
  <si>
    <t>4000平方米</t>
  </si>
  <si>
    <t>/</t>
  </si>
  <si>
    <t>验收合格率</t>
  </si>
  <si>
    <t>资金投入时间</t>
  </si>
  <si>
    <t>资金使用率</t>
  </si>
  <si>
    <t>完善区域配套，提升公共卫生服务水平</t>
  </si>
  <si>
    <t>方便群众就医，提高医疗服务水平，完成双向转诊，促进医疗体制改革</t>
  </si>
  <si>
    <t>方便群众就医</t>
  </si>
  <si>
    <t>90%以上</t>
  </si>
  <si>
    <t>等级：优秀</t>
  </si>
  <si>
    <t>澳前社区卫生服务中心（红十字医院）</t>
  </si>
  <si>
    <t>平潭综合实验区澳前卫生院</t>
  </si>
  <si>
    <t xml:space="preserve">    提升我区医疗卫生服务水平，补充医疗民生项目短板</t>
  </si>
  <si>
    <t xml:space="preserve">    未完成，2020年澳前社区卫生服务中心项目区级财政预算500万元，年中调剂200万元至新建金井湾社区卫生服务中心建设经费项目，剩余300万元指标额度于2020年10月被财政收回。后由福建省财政厅下达2020年卫生领域等项目中央基建投资1100万元，截止2020年12月底实际支出金额81.68万元，支出率7.43%。</t>
  </si>
  <si>
    <t>完成前期工作</t>
  </si>
  <si>
    <t>完成设计方案、可研编制、初步设计及概算等3项</t>
  </si>
  <si>
    <t>前期工作完成情况</t>
  </si>
  <si>
    <t>通过论证或评审</t>
  </si>
  <si>
    <t>偏差原因分析:财政资金保障不足，多次申请未批复，导致资金支出率低
改进措施:下年度加大财政保障力度，提高资金支出率</t>
  </si>
  <si>
    <t>等级：良好</t>
  </si>
  <si>
    <t>动车站社区卫生服务中心</t>
  </si>
  <si>
    <t>平潭综合实验区平原卫生院</t>
  </si>
  <si>
    <t xml:space="preserve">    满足周边地区居民医疗卫生服务需求，为火车站来往旅客提供应急卫生保障。</t>
  </si>
  <si>
    <t xml:space="preserve">    已完成，2020年动车站社区卫生服务中心项目年初区级财政预算300万元，年中由经发局项目前期经费中分解调剂经费26.19万元，做到资金下达率100%。截止2020年12月底实际支出金额26.19万元，支出率8.03%。</t>
  </si>
  <si>
    <t>方案设计、可研编制、初步设计及概算编制、施工图编制及审查等4项</t>
  </si>
  <si>
    <t>符合行业标准</t>
  </si>
  <si>
    <t>完成区域配套，提升公共卫生服务水平</t>
  </si>
  <si>
    <t>方便群众就医，提高医疗服务水平，促进医疗体制改革</t>
  </si>
  <si>
    <t>（ 2020）年度</t>
  </si>
  <si>
    <t>全区医疗卫生机构安保人员经费</t>
  </si>
  <si>
    <t xml:space="preserve">    有效维护正常诊疗秩序，创造良好的诊疗环境，促进卫生事业健康持续发展</t>
  </si>
  <si>
    <t xml:space="preserve">    已完成，2020年全区医疗卫生机构安保人员经费项目年初区级财政预算216万元，年中调剂50万至2100410疫情经费，实际到位166万元，做到资金下达率100%。截止2020年12月底实际支出金额151万元，支出率90.96%。</t>
  </si>
  <si>
    <t>补助人数</t>
  </si>
  <si>
    <t>48人</t>
  </si>
  <si>
    <t>补助金额发放率</t>
  </si>
  <si>
    <t>进一步加强医院安全防范系统建设</t>
  </si>
  <si>
    <t>促进卫生事业健康持续发展</t>
  </si>
  <si>
    <t>有效维护正常诊疗秩序，创造良好的诊疗环境</t>
  </si>
  <si>
    <t>县级医院定向培养本科临床医学人才委培费</t>
  </si>
  <si>
    <t xml:space="preserve">    为2020年全区96人委培生支付学费，有利于进一步提升我区县级医院医疗水平</t>
  </si>
  <si>
    <t xml:space="preserve">    已完成，2020年县级医院定向培养本科临床医学人才委培费项目区级财政预算75万元，做到资金下达率100%。截止2020年12月底实际支出金额74.25万元，支出率99%。</t>
  </si>
  <si>
    <t>委培人数</t>
  </si>
  <si>
    <t>96人</t>
  </si>
  <si>
    <t>毕业率</t>
  </si>
  <si>
    <t>逐步缓解县级医院临床医学人才匮乏的现状</t>
  </si>
  <si>
    <t>进一步增强县级医院医疗水平，方便群众就近就医</t>
  </si>
  <si>
    <t>使县级医院临床医师队伍得到培养和有效补充</t>
  </si>
  <si>
    <t>附件1</t>
  </si>
  <si>
    <t>预防性体检补助</t>
  </si>
  <si>
    <t xml:space="preserve">    确保食品、饮用水生产经营人员公共场所直接为顾客服务的人员等从业人员健康符合标准。</t>
  </si>
  <si>
    <t xml:space="preserve">    已完成，2020年预防性体检补助项目区级财政预算130万元，做到资金下达率100%。截止2020年12月底实际支出金额130万元，支出率100%。</t>
  </si>
  <si>
    <t>服务人次</t>
  </si>
  <si>
    <t>1.1万以上</t>
  </si>
  <si>
    <t>14417人</t>
  </si>
  <si>
    <t>体检项目及标准</t>
  </si>
  <si>
    <t>检验达标率90%以上</t>
  </si>
  <si>
    <t>确保为顾客服务的人员等从业人员健康符合标准</t>
  </si>
  <si>
    <t>提高公共场所经营人员健康水平，降低流行疾病发生率</t>
  </si>
  <si>
    <t>受助对象满意度</t>
  </si>
  <si>
    <t>世行贷款医改促进项目（县级卫生信息化建设）</t>
  </si>
  <si>
    <t xml:space="preserve">    世行贷款医改促进项目工作稳步推进，区域卫生信息化水平稳步提升，逐步实现区域卫生信息互联互通工程和资源共享，为加快县域紧密型医共体建设、推进分级诊疗，提供技术支撑。</t>
  </si>
  <si>
    <t xml:space="preserve">    已完成，2020年世行贷款医改促进项目（县级卫生信息化建设）项目年初区级财政预算250万元，年中调剂46万元用于基本公共卫生项目，实际剩余指标额度204万元，做到资金下达率100%。截止2020年12月底实际支出金额105.26万元，支出率51.6%。</t>
  </si>
  <si>
    <t>分级诊疗信息化和县级医院信息建设</t>
  </si>
  <si>
    <t>双向转诊、远程影像、心电、实验室检验、基层结构化电子病例等模块省级改造建设</t>
  </si>
  <si>
    <t>已完成15家乡镇卫生院的基层结构化电子病例改造、双向转诊、远程影像云平台部署、远程心电。</t>
  </si>
  <si>
    <t>分级诊疗信息化和县级医院信息建设验收情况</t>
  </si>
  <si>
    <t>通过验收</t>
  </si>
  <si>
    <t>推进分级诊疗制度</t>
  </si>
  <si>
    <t>促进信息互联互通、资源共享，优质医疗资源下沉。</t>
  </si>
  <si>
    <t>方便群众看病就医</t>
  </si>
  <si>
    <t>85%以上</t>
  </si>
  <si>
    <t>“三无”及肇事肇祸精神病人医疗费</t>
  </si>
  <si>
    <t xml:space="preserve">    为“三无”及肇事肇祸精神病人提供生活保障和医疗保障</t>
  </si>
  <si>
    <t xml:space="preserve">    已完成，2020年“三无”及肇事肇祸精神病人医疗费项目区级财政预算600万元，做到资金下达率100%。截止2020年12月底实际支出金额380.69万元，支出率为63.45%。</t>
  </si>
  <si>
    <t>资金补助人数</t>
  </si>
  <si>
    <t>不少于180人</t>
  </si>
  <si>
    <t>183人</t>
  </si>
  <si>
    <t>资金补助发放情况</t>
  </si>
  <si>
    <t>及时足额发放</t>
  </si>
  <si>
    <t>投入资金</t>
  </si>
  <si>
    <t>不超过600万</t>
  </si>
  <si>
    <t>380.69万元</t>
  </si>
  <si>
    <t>保障全区精神障碍患者的健康安全和医疗救助</t>
  </si>
  <si>
    <t>有助于社会安定，提升人民幸福感</t>
  </si>
  <si>
    <t>在一定程度上有助于社会安定，提升人民幸福感</t>
  </si>
  <si>
    <t>服务对象满意度</t>
  </si>
  <si>
    <t>填报人：</t>
  </si>
  <si>
    <t>填报单位审核：</t>
  </si>
  <si>
    <t>业务处室审核：</t>
  </si>
  <si>
    <t>基层医疗卫生机构设备购置费</t>
  </si>
  <si>
    <t>各基层医疗卫生机构</t>
  </si>
  <si>
    <t>基层医疗卫生机构专用设备配备达到标准</t>
  </si>
  <si>
    <t xml:space="preserve">    已完成，2020年基层医疗卫生机构设备购置费项目区级财政预算300万元，做到资金下达率100%。截止2020年12月底各医疗卫生机构实际支出金额291.37万元，支出率97.12%。</t>
  </si>
  <si>
    <t>医疗专用设备数量</t>
  </si>
  <si>
    <t xml:space="preserve">10台 </t>
  </si>
  <si>
    <t xml:space="preserve">11台 </t>
  </si>
  <si>
    <t>医疗设备质量</t>
  </si>
  <si>
    <t>质量符合行业标准</t>
  </si>
  <si>
    <t>为农村病患各类检查提供方便</t>
  </si>
  <si>
    <t>方便农村患者就医，农村病患可在基层医疗卫生机构完成基本的检查、化验。</t>
  </si>
  <si>
    <t>方便农村患者就医</t>
  </si>
  <si>
    <t>≥80%</t>
  </si>
  <si>
    <t>基层医疗卫生机构修缮改造费用</t>
  </si>
  <si>
    <t>使基层医疗卫生机构医疗业务用房建设达到相关标准。</t>
  </si>
  <si>
    <t xml:space="preserve">    已完成，2020年基层医疗卫生机构修缮改造费用项目年初区级财政预算300万元，调剂67.79万元用于区医院新型冠状病毒感染肺炎疫情防治工作补助经费，剩余指标额度232.21万元。截止2020年12月底实际支出金额180万元，支出率77.52%。</t>
  </si>
  <si>
    <t>改造基层卫生院</t>
  </si>
  <si>
    <t>6家</t>
  </si>
  <si>
    <t>4家</t>
  </si>
  <si>
    <t>4家100%验收</t>
  </si>
  <si>
    <t>医疗环境改善</t>
  </si>
  <si>
    <t>为农村患者提供更加优越的医疗环境</t>
  </si>
  <si>
    <t>村医零差率改革补助经费</t>
  </si>
  <si>
    <t>各基层医疗卫生机构及村所</t>
  </si>
  <si>
    <t xml:space="preserve">    为全区村卫生所开展药品零差率改革药品差价补助，提高乡村医生工作积极性。</t>
  </si>
  <si>
    <t xml:space="preserve">    已完成，2020年村医零差率改革补助经费项目区级财政预算175万元，做到资金下达率100%，中期调剂用于新型冠状病毒感染肺炎疫情防治工作补助经费。截止2020年12月底实际支出金额175万元，支出率100%。</t>
  </si>
  <si>
    <t>药品零差率覆盖卫生所</t>
  </si>
  <si>
    <t>67个卫生所</t>
  </si>
  <si>
    <t>113个</t>
  </si>
  <si>
    <t>药品零差率卫生所覆盖率</t>
  </si>
  <si>
    <t xml:space="preserve">原因：省级经费已预拨，区级配套用于年末结算，且该项目资金已调剂用于新型冠状病毒感染肺炎疫情防治工作补助经费。 改进措施：变更项目目标   </t>
  </si>
  <si>
    <t>不超过175万</t>
  </si>
  <si>
    <t>175万元</t>
  </si>
  <si>
    <t>村卫生所药品零差率改革补助</t>
  </si>
  <si>
    <t>给予村卫生所药品零差率改革补助,提高村医工作积极性</t>
  </si>
  <si>
    <t>给予村卫生所药品零差率改革补助，在一定程度上提高村医工作积极性</t>
  </si>
  <si>
    <t>基本公共卫生区级配套</t>
  </si>
  <si>
    <t xml:space="preserve">    以重点人群、重点疾病和弱势人群健康管理为主要工作目标，使得全区范围内常住人口（包括在现居住地连续居住半年以上的户籍和非户籍人员）均可免费享受基本公共卫生项目服务。</t>
  </si>
  <si>
    <t xml:space="preserve">    已完成，2020年基本公共卫生区级配套项目年初区级财政预算552万元，但因闽2020年42号文件被收回184万，而又下达184万元，另外从世行贷款项目调剂46万元，实际到位金额为598万元，截止2020年12月底实际支出金额598万元，支出率100%。</t>
  </si>
  <si>
    <t>全区高血压患者规范管理人数</t>
  </si>
  <si>
    <t>不低于24000人</t>
  </si>
  <si>
    <t>24991人</t>
  </si>
  <si>
    <t>全区高血压患者规范管理率</t>
  </si>
  <si>
    <t>不低于60%</t>
  </si>
  <si>
    <t>不断提高服务能力</t>
  </si>
  <si>
    <t>使得全区范围内常住人口（包括在现居住地连续居住半年以上的户籍和非户籍人员）均可免费享受基本公共卫生项目服务</t>
  </si>
  <si>
    <t>全区范围内常住人口均可免费享受基本公共卫生项目服务</t>
  </si>
  <si>
    <t>重大及突发公共卫生处置、防控经费</t>
  </si>
  <si>
    <t xml:space="preserve">    提高流动人口基本公共服务管理的水平，为流动人口基本公共卫生计生服务制度积累经验。</t>
  </si>
  <si>
    <t xml:space="preserve">    已完成，2020年重大及突发公共卫生处置、防控经费项目区级财政预算20万元，做到资金下达率100%。截止2020年12月底实际支出金额17.46万元，支出率87.3%。</t>
  </si>
  <si>
    <t>艾滋病高危人群年干预人数</t>
  </si>
  <si>
    <t>不少于400人次</t>
  </si>
  <si>
    <t>3000人次</t>
  </si>
  <si>
    <t>严重精神障碍患者累计检出人数</t>
  </si>
  <si>
    <t>不少于1800人</t>
  </si>
  <si>
    <t>2172人</t>
  </si>
  <si>
    <t>艾滋病高危人群干预覆盖率</t>
  </si>
  <si>
    <t>70%以上</t>
  </si>
  <si>
    <t>严重精神障碍患者累计检出率</t>
  </si>
  <si>
    <t>4‰以上</t>
  </si>
  <si>
    <t>4.72‰</t>
  </si>
  <si>
    <t>提高流动人口基本公共服务管理的水平</t>
  </si>
  <si>
    <t>提高艾滋病相关知识宣传普及率</t>
  </si>
  <si>
    <t>农村孕产妇产前筛查区级配套</t>
  </si>
  <si>
    <t xml:space="preserve">    为全区农村孕妇和城市低保孕妇实行免费产前筛查、诊断，提高孕28周前出生缺陷发现率，提高孕妇出生缺陷干预知识的知晓率。</t>
  </si>
  <si>
    <t xml:space="preserve">    已完成，2020年农村孕产妇产前筛查区级配套项目区级财政预算25.8万元，做到资金下达率100%。截止2020年12月底实际支出金额25.8万元，支出率100%。</t>
  </si>
  <si>
    <t>免费产前筛查完成数</t>
  </si>
  <si>
    <t>2000例</t>
  </si>
  <si>
    <t>1633例</t>
  </si>
  <si>
    <t>免费产前筛查完成率</t>
  </si>
  <si>
    <t>不低于80%</t>
  </si>
  <si>
    <t>不超过25.8万</t>
  </si>
  <si>
    <t>25.8万元</t>
  </si>
  <si>
    <t>为农村孕妇和城市低保孕妇实行免费产前筛查、诊断</t>
  </si>
  <si>
    <t>减少严重缺陷儿的出生</t>
  </si>
  <si>
    <t>三格化粪池户厕改造经费与前期无害化户厕末端衔接经费</t>
  </si>
  <si>
    <t>四大片区管理局</t>
  </si>
  <si>
    <t>改善农村人居环境，进一步提高农村卫生厕所普及率。</t>
  </si>
  <si>
    <t xml:space="preserve">    已完成，2020年三格化粪池户厕改造经费与前期无害化户厕末端衔接经费年初无预算，年中调整区级财政预算4000万元，由财金局下拨给社会事业局，再由社会事业局调剂给四大片区管理局，做到资金下达率100%。截止2020年12月底四大片区管理局实际支出金额3012.21万元，支出率75.31%。</t>
  </si>
  <si>
    <t>户厕改造数量</t>
  </si>
  <si>
    <t>15205户</t>
  </si>
  <si>
    <t>15904户</t>
  </si>
  <si>
    <t>污水接纳管户数</t>
  </si>
  <si>
    <t>46413户</t>
  </si>
  <si>
    <t>34468户</t>
  </si>
  <si>
    <t>户厕验收合格率</t>
  </si>
  <si>
    <t>污水接纳管验收合格率</t>
  </si>
  <si>
    <t>≧60%</t>
  </si>
  <si>
    <t>提高农村家庭健康水平</t>
  </si>
  <si>
    <t>提升国民素质，促进社会文明进步</t>
  </si>
  <si>
    <t>改善人民群众生活品质</t>
  </si>
  <si>
    <t>改善农村人居环境</t>
  </si>
  <si>
    <t>有效解决厕所脏、乱、差、少、偏等突出问题</t>
  </si>
  <si>
    <t>进一步提高农村卫生厕所普及率</t>
  </si>
  <si>
    <t>农户满意度</t>
  </si>
  <si>
    <t>80%以上</t>
  </si>
  <si>
    <t>高考综合评估奖金</t>
  </si>
  <si>
    <t>按生源入口成绩高低顺序分为一类学校、二类学校、三类学校、四类学校，实行综合评价和专项评价相结合的评价方法。调动高中学校办学积极性，推进新高考制度改革，提高学校教学质量。</t>
  </si>
  <si>
    <t>2020年，完成高考综合评估，调动高中学校办学积极性，推进新高考制度改革，提高学校教学质量。奖励学生高考评估金达51万元。</t>
  </si>
  <si>
    <t>本科上线率</t>
  </si>
  <si>
    <t>不低于68%</t>
  </si>
  <si>
    <t>清华北大录取人数</t>
  </si>
  <si>
    <t>不少于1人</t>
  </si>
  <si>
    <t>4人</t>
  </si>
  <si>
    <t>对教学质量的影响</t>
  </si>
  <si>
    <t>提高教学质量</t>
  </si>
  <si>
    <t>促进教育改革</t>
  </si>
  <si>
    <t>不超过100万元</t>
  </si>
  <si>
    <t>51万元</t>
  </si>
  <si>
    <t>提高教学质量,促进教育改革</t>
  </si>
  <si>
    <t>增强教师竞争意识，提高普通高中教学质量</t>
  </si>
  <si>
    <t>提高普通高中教学质量</t>
  </si>
  <si>
    <t>学生满意度</t>
  </si>
  <si>
    <t>等级:优秀</t>
  </si>
  <si>
    <t>普惠性幼儿园补助</t>
  </si>
  <si>
    <t>普惠性民办幼儿园分级补助：一级园：每生每年1000元；二级园：每生每年800元；三级园：每生每年600元。扶持民办园学前教育发展，促进教育公平，提高教学质量。</t>
  </si>
  <si>
    <t>2020年，扶持民办园学前教育发展，促进教育公平，提高教学质量。实施普惠性幼儿园补助达520万元。</t>
  </si>
  <si>
    <t>惠及幼儿数</t>
  </si>
  <si>
    <t>5200人</t>
  </si>
  <si>
    <t>5672人</t>
  </si>
  <si>
    <t>促进教育公平</t>
  </si>
  <si>
    <t>不超过520万元</t>
  </si>
  <si>
    <t>520万元</t>
  </si>
  <si>
    <t>促进教育公平，提高教学质量</t>
  </si>
  <si>
    <t>普惠园普及，提高学前教育教学质量</t>
  </si>
  <si>
    <t>区级乡村少年宫运转经费</t>
  </si>
  <si>
    <t>为进一步加强学生的思想道德建设，培养广泛的兴趣爱好，促进学生德智体美全面发展，参照省级乡村学校少年宫建设办法，从2015年起建设9所区级乡村学校少年宫，每所每年运行经费3万元。</t>
  </si>
  <si>
    <t>加强了学生的思想道德建设，培养广泛学生兴趣爱好，促进学生德智体美全面发展。</t>
  </si>
  <si>
    <t>乡村学校少年宫数量</t>
  </si>
  <si>
    <t>不低于9所</t>
  </si>
  <si>
    <t>9所</t>
  </si>
  <si>
    <t>下拨</t>
  </si>
  <si>
    <t>少年宫正常运行情况</t>
  </si>
  <si>
    <t>全年正常开放</t>
  </si>
  <si>
    <t>不超过27万元</t>
  </si>
  <si>
    <t>27万元</t>
  </si>
  <si>
    <t>培养学生兴趣爱好</t>
  </si>
  <si>
    <t>促进学生德智体美全面发展</t>
  </si>
  <si>
    <t>促进学生全面素质的提高</t>
  </si>
  <si>
    <t>税改转移支付资金</t>
  </si>
  <si>
    <t>民办退养教师工资250万、修缮费525万、教育技术装备100万、明厨亮灶工程100万，扶持教育发展，提高教学质量。</t>
  </si>
  <si>
    <t>2020年，扶持教育发展，促进教育公平，提高教学质量。实施税改转移支付资金达950.32万元。</t>
  </si>
  <si>
    <t>退养民办教师数量</t>
  </si>
  <si>
    <t>不低于63名</t>
  </si>
  <si>
    <t>63名</t>
  </si>
  <si>
    <t>食堂设备改善学校数量</t>
  </si>
  <si>
    <t>不低于5所</t>
  </si>
  <si>
    <t>5所</t>
  </si>
  <si>
    <t>修缮设备购置学校数量</t>
  </si>
  <si>
    <t>不低于1所</t>
  </si>
  <si>
    <t>1所</t>
  </si>
  <si>
    <t>退养教师工资按时发放率</t>
  </si>
  <si>
    <t>食堂设备改善学校</t>
  </si>
  <si>
    <t>学生就餐环境改善</t>
  </si>
  <si>
    <t>修缮设备购置情况</t>
  </si>
  <si>
    <t>设备验收合格</t>
  </si>
  <si>
    <t>不超过975万元</t>
  </si>
  <si>
    <t>950.32万元</t>
  </si>
  <si>
    <t>改善办学条件，提高教学质量,促进教育改革</t>
  </si>
  <si>
    <t>教育费附加安排的支出</t>
  </si>
  <si>
    <t>根据《福建省教育费附加支出管理暂行办法》，教育费附加用于基础教育和职业教育学校改善办学条件，按照“先收后支、专款专用、结余结转”的原则纳入部门管理和使用。主要用于职教提取资金及长效机制区级配套、新开办幼儿园设备配套等。</t>
  </si>
  <si>
    <t>2020年，合理安排教育费附加，改善办学条件，提高办学效益。实施教育费附加安排的支出达2951.55万元。</t>
  </si>
  <si>
    <t>设备配套学校数量</t>
  </si>
  <si>
    <t>不少于4所</t>
  </si>
  <si>
    <t>4所</t>
  </si>
  <si>
    <t>设备验收合格率</t>
  </si>
  <si>
    <t>不超过3000万元</t>
  </si>
  <si>
    <t>2951.55万元</t>
  </si>
  <si>
    <t>中学乡土教材经费</t>
  </si>
  <si>
    <t>乡土课程要提供给学生与其生活和周围世界密切相关的地理知识，侧重家乡基础性的地理知识和技能，增强学生的社会生存能力。</t>
  </si>
  <si>
    <r>
      <rPr>
        <sz val="12"/>
        <color theme="1"/>
        <rFont val="宋体"/>
        <charset val="134"/>
        <scheme val="minor"/>
      </rPr>
      <t>2020年，提供给学生与其生活和周围世界密切相关的地理知识，侧重家乡基础性的地理知识和技能，增强学生的社会生存能力。购买中学乡土教材经费的支出达</t>
    </r>
    <r>
      <rPr>
        <sz val="12"/>
        <rFont val="宋体"/>
        <charset val="134"/>
      </rPr>
      <t>1.99</t>
    </r>
    <r>
      <rPr>
        <sz val="12"/>
        <color theme="1"/>
        <rFont val="宋体"/>
        <charset val="134"/>
        <scheme val="minor"/>
      </rPr>
      <t>万元。</t>
    </r>
  </si>
  <si>
    <t>乡土教材数量</t>
  </si>
  <si>
    <t>不少于8000本</t>
  </si>
  <si>
    <t>8000本</t>
  </si>
  <si>
    <t>提高教学质量,增强学生社会能力</t>
  </si>
  <si>
    <t>不超过4万元</t>
  </si>
  <si>
    <t>1.99万元</t>
  </si>
  <si>
    <t>增强学生对家乡的了解,促进学生德智体美全面发展</t>
  </si>
  <si>
    <t>增强学生对家乡的了解</t>
  </si>
  <si>
    <t>新校车购买费用</t>
  </si>
  <si>
    <t>购置新校车，每辆车预算30万元，5辆共计150万</t>
  </si>
  <si>
    <t>共购置新校5辆车，每辆车30万元，5辆共计150万。</t>
  </si>
  <si>
    <t>新校车购买数量</t>
  </si>
  <si>
    <t>不少于5辆</t>
  </si>
  <si>
    <t>5辆</t>
  </si>
  <si>
    <t>校车安全运行率</t>
  </si>
  <si>
    <t>不超过150万元</t>
  </si>
  <si>
    <t>150万元</t>
  </si>
  <si>
    <t>保障校车安全出行</t>
  </si>
  <si>
    <t>提供社会和谐安稳安全的学习环境</t>
  </si>
  <si>
    <t>为适龄儿童提供社会和谐安稳安全的学习环境</t>
  </si>
  <si>
    <t>教职工意外险及校园责任险</t>
  </si>
  <si>
    <t>教师责任险区补助100元/年/人，学生每人区补助3元/年/人，省补助5元/年/人。学生校园责任险通过招投标形式。维护全区广大教职工的合法权益，关心教职工医疗医疗负担，为意外伤害教职工解困，保障教职工权益。</t>
  </si>
  <si>
    <t>2020年，维护全区广大教职工的合法权益，关心教职工医疗医疗负担，为意外伤害教职工解困，保障教职工权益。</t>
  </si>
  <si>
    <t>参险人员数量</t>
  </si>
  <si>
    <t>不少于4000名</t>
  </si>
  <si>
    <t>4000名</t>
  </si>
  <si>
    <t>教职工参险率</t>
  </si>
  <si>
    <t>不低于95%</t>
  </si>
  <si>
    <t>不超过120万元</t>
  </si>
  <si>
    <t>81.26万元</t>
  </si>
  <si>
    <t>维护全区广大教职工的合法权益</t>
  </si>
  <si>
    <t>为意外伤害教职工解困,保障教职工权益</t>
  </si>
  <si>
    <t>教师满意度</t>
  </si>
  <si>
    <t>校车运行费</t>
  </si>
  <si>
    <t>每辆校车每年以12.5万的标准委托闽运平潭分公司运营，48辆校车运行费预计600万元。</t>
  </si>
  <si>
    <t>2020年，由于疫情原因，项目资金支出进度较为缓慢。48辆校车运行费支出达562.5万元。</t>
  </si>
  <si>
    <t>校车运行数量</t>
  </si>
  <si>
    <t>不少于48辆</t>
  </si>
  <si>
    <t>48辆</t>
  </si>
  <si>
    <t>不超过600万元</t>
  </si>
  <si>
    <t>562.5万元</t>
  </si>
  <si>
    <t>创建省区级示范性幼儿园奖励资金</t>
  </si>
  <si>
    <t>据《福建省示范性幼儿园评估办法（试行）》、《福建省示范性幼儿园评估标准（试行）》的通知，《省政府关于加快学前教育发展意见》（闽政〔2010〕24号） 将预算金用于省区县级幼儿园，省级每所15万元；区级每所10万元；县级每所8万元。</t>
  </si>
  <si>
    <t>2020年，由于疫情原因，创建省区级示范性幼儿园奖励资金未支出。</t>
  </si>
  <si>
    <t>补贴学校数量</t>
  </si>
  <si>
    <t>不少于7所</t>
  </si>
  <si>
    <t>0所</t>
  </si>
  <si>
    <t>因疫情影响，省厅未组织评选省级示范园</t>
  </si>
  <si>
    <t>资金及时拨付情况</t>
  </si>
  <si>
    <t>按时发放</t>
  </si>
  <si>
    <t>未发放</t>
  </si>
  <si>
    <t>不超过30万元</t>
  </si>
  <si>
    <t>0万元</t>
  </si>
  <si>
    <t>提升我区学前教育水平</t>
  </si>
  <si>
    <t>等级:良好</t>
  </si>
  <si>
    <t>校车保险</t>
  </si>
  <si>
    <t>支付局下属48辆校车全年保险费。</t>
  </si>
  <si>
    <r>
      <rPr>
        <sz val="12"/>
        <color theme="1"/>
        <rFont val="宋体"/>
        <charset val="134"/>
        <scheme val="minor"/>
      </rPr>
      <t>2020年，已支付局下属48辆校车保险费</t>
    </r>
    <r>
      <rPr>
        <sz val="12"/>
        <rFont val="宋体"/>
        <charset val="134"/>
      </rPr>
      <t>46.12</t>
    </r>
    <r>
      <rPr>
        <sz val="12"/>
        <color theme="1"/>
        <rFont val="宋体"/>
        <charset val="134"/>
        <scheme val="minor"/>
      </rPr>
      <t>万元。</t>
    </r>
  </si>
  <si>
    <t>不超过60万元</t>
  </si>
  <si>
    <t>46.12万元</t>
  </si>
  <si>
    <t>免作业簿</t>
  </si>
  <si>
    <t>为全区中小学生约42000名提供免费作业簿。</t>
  </si>
  <si>
    <t>全区中小学生数量</t>
  </si>
  <si>
    <t>不少于42000名</t>
  </si>
  <si>
    <t>42000名</t>
  </si>
  <si>
    <t>作业簿按时发放</t>
  </si>
  <si>
    <t>不超过40万元</t>
  </si>
  <si>
    <t>29.97万元</t>
  </si>
  <si>
    <t>推动免费作业簿进一步普及</t>
  </si>
  <si>
    <t>推动免费作业簿普及</t>
  </si>
  <si>
    <t>学校安全管理及安全事故学生人身伤害救助</t>
  </si>
  <si>
    <t>合理配置救灾资源，最大限度降低灾害造成的损害，确保广大师生生命安全和社会稳定。</t>
  </si>
  <si>
    <t>2020年，关心学生安全管理医疗医疗负担，为安全事故学生进行伤害救助，保障学生权益。学校安全管理及安全事故学生人身伤害救助未支出。</t>
  </si>
  <si>
    <t>补助学生人数</t>
  </si>
  <si>
    <t>不大于1名</t>
  </si>
  <si>
    <t>0名</t>
  </si>
  <si>
    <t>校园安全事故率</t>
  </si>
  <si>
    <t>不超过10万元</t>
  </si>
  <si>
    <t>保障学生权益</t>
  </si>
  <si>
    <t>最大限度保证学生安全</t>
  </si>
  <si>
    <t>探头租赁经费</t>
  </si>
  <si>
    <t>公办学校共安装95路“全球眼”探头。</t>
  </si>
  <si>
    <t>2020年，支付探头租赁经费29.52万元。</t>
  </si>
  <si>
    <t>公办学校共安装“全球眼”探头数量</t>
  </si>
  <si>
    <t>95路</t>
  </si>
  <si>
    <t>设备正常使用率</t>
  </si>
  <si>
    <t>不低于98%</t>
  </si>
  <si>
    <t>不超过35万元</t>
  </si>
  <si>
    <t>29.52万元</t>
  </si>
  <si>
    <t>保护教职工及学生的合法权益</t>
  </si>
  <si>
    <t>维护各公办学校校园的安定稳定</t>
  </si>
  <si>
    <t>保障教职工及学生的安全</t>
  </si>
  <si>
    <t>保安工资及团体险等</t>
  </si>
  <si>
    <t>按校园的实际保安人数由财政局拨付资金以支付保安工资及团体险。</t>
  </si>
  <si>
    <t>2020年，已支付保安工资及团体险627.04万元。</t>
  </si>
  <si>
    <t>保安人员人数</t>
  </si>
  <si>
    <t>180名</t>
  </si>
  <si>
    <t>校园安全事故发生率</t>
  </si>
  <si>
    <t>不超过680万元</t>
  </si>
  <si>
    <t>627.04万元</t>
  </si>
  <si>
    <t>维护校园安全</t>
  </si>
  <si>
    <t>保障各公办学校校园的安定稳定</t>
  </si>
  <si>
    <t>中小学生运动会及各类赛事经费</t>
  </si>
  <si>
    <t>用于支付中小学生田径运动会，小学生、初中生、高中生三级篮球联赛、小学生五人制足球赛。</t>
  </si>
  <si>
    <t>支付中小学生田径运动会，小学生、初中生、高中生三级篮球联赛、小学生五人制足球赛费用56.8万元。</t>
  </si>
  <si>
    <t>运动会场次</t>
  </si>
  <si>
    <t>3次</t>
  </si>
  <si>
    <t>运动会正常举办情况</t>
  </si>
  <si>
    <t>举办成功</t>
  </si>
  <si>
    <t>不超过57万元</t>
  </si>
  <si>
    <t>56.8万元</t>
  </si>
  <si>
    <t>培养学生德、智、体、美、劳全面发展</t>
  </si>
  <si>
    <t>特教学生在外寄读交通补助</t>
  </si>
  <si>
    <t>特教学生在外寄读交通补助,促进教育公平，保障特殊教育学生利益。</t>
  </si>
  <si>
    <t>2020年，因疫情原因，上半年特教学生在外寄读交通补助经费未支出。第四季度支付特教学生在外寄读交通补助0.76万元。</t>
  </si>
  <si>
    <t>特教学生补助数量</t>
  </si>
  <si>
    <t>35名</t>
  </si>
  <si>
    <t>特教学生生活补助按时发放</t>
  </si>
  <si>
    <t>不超过2万元</t>
  </si>
  <si>
    <t>0.76万元</t>
  </si>
  <si>
    <t>保障特教学生利益</t>
  </si>
  <si>
    <t>改善特教学生生活条件</t>
  </si>
  <si>
    <t>及时支付平潭三中扩建（一期）工程进度款。</t>
  </si>
  <si>
    <t>2020年，因疫情原因，财政资金紧张，不能及时拨付到位，项目支出进度缓慢。</t>
  </si>
  <si>
    <t>15084.80㎡</t>
  </si>
  <si>
    <t>达到建设标准，通过验收，交付使用</t>
  </si>
  <si>
    <t>不超过1000万元</t>
  </si>
  <si>
    <t>220万元</t>
  </si>
  <si>
    <t>满足学校自身发展的需求，提高办学质量</t>
  </si>
  <si>
    <t>改善学校教学环境</t>
  </si>
  <si>
    <t>平潭一中新校区（一、二期）</t>
  </si>
  <si>
    <t>及时支付平潭一中新校区（一、二期）工程进度款。</t>
  </si>
  <si>
    <t>2020年支付平潭一中新校区（一、二期）工程进度款1800万元。</t>
  </si>
  <si>
    <t>21596㎡</t>
  </si>
  <si>
    <t>不超过1800万元</t>
  </si>
  <si>
    <t>1800万元</t>
  </si>
  <si>
    <t>填报人：林惠婷</t>
  </si>
  <si>
    <t>填报单位审核：林强</t>
  </si>
  <si>
    <t>平潭中湖小学</t>
  </si>
  <si>
    <t>及时支付平潭中湖小学工程进度款。</t>
  </si>
  <si>
    <t>2020年支付平潭中湖小学进度款800万元。</t>
  </si>
  <si>
    <t>17938.42㎡</t>
  </si>
  <si>
    <t>不超过800万元</t>
  </si>
  <si>
    <t>800万元</t>
  </si>
  <si>
    <t>平潭滨湖小学</t>
  </si>
  <si>
    <t>及时支付平潭滨湖小学（一期）进度款。</t>
  </si>
  <si>
    <t>2020年，因疫情原因，财政资金紧张，不能及时拨付到位。项目支出进度缓慢。支付平潭滨湖小学（一期）进度款580万元。</t>
  </si>
  <si>
    <t>32970㎡</t>
  </si>
  <si>
    <t>580万元</t>
  </si>
  <si>
    <t>2020年度</t>
  </si>
  <si>
    <t>平原中心幼儿园（改扩建）</t>
  </si>
  <si>
    <t>及时支付平原中心幼儿园（改扩建）进度款。</t>
  </si>
  <si>
    <t>2020年，因疫情原因，财政资金紧张，不能及时拨付到位。项目支出进度缓慢。已支付平原中心幼儿园（改扩建）进度款700万元。</t>
  </si>
  <si>
    <t>5674.25㎡</t>
  </si>
  <si>
    <t>不超过700万元</t>
  </si>
  <si>
    <t>700万元</t>
  </si>
  <si>
    <t>苏澳中心幼儿园</t>
  </si>
  <si>
    <t>及时支付苏澳中心幼儿园进度款。</t>
  </si>
  <si>
    <t>2020年支付苏澳中心幼儿园进度款500万元。</t>
  </si>
  <si>
    <t>4790.44㎡</t>
  </si>
  <si>
    <t>4790.44m²</t>
  </si>
  <si>
    <t>不超过500万元</t>
  </si>
  <si>
    <t>500万元</t>
  </si>
  <si>
    <t>改善学校教学环境，方便学生就近入学</t>
  </si>
  <si>
    <t>平潭中楼中心幼儿园</t>
  </si>
  <si>
    <t>及时支付平潭中楼中心幼儿园进度款。</t>
  </si>
  <si>
    <t>2020年，已支付平潭中楼中心幼儿园进度款700万元。</t>
  </si>
  <si>
    <t>5333.74㎡</t>
  </si>
  <si>
    <t>平潭西航第一幼儿园</t>
  </si>
  <si>
    <t>及时支付平潭西航第一幼儿园进度款。</t>
  </si>
  <si>
    <r>
      <rPr>
        <sz val="12"/>
        <color theme="1"/>
        <rFont val="宋体"/>
        <charset val="134"/>
        <scheme val="minor"/>
      </rPr>
      <t>2020年，已支付平潭西航第一幼儿园进度款</t>
    </r>
    <r>
      <rPr>
        <sz val="12"/>
        <rFont val="宋体"/>
        <charset val="134"/>
      </rPr>
      <t>1200</t>
    </r>
    <r>
      <rPr>
        <sz val="12"/>
        <color theme="1"/>
        <rFont val="宋体"/>
        <charset val="134"/>
        <scheme val="minor"/>
      </rPr>
      <t>万元。</t>
    </r>
  </si>
  <si>
    <t>7548.81㎡</t>
  </si>
  <si>
    <t>不超过1200万元</t>
  </si>
  <si>
    <t>1200万元</t>
  </si>
  <si>
    <t>平潭特殊教育学校建设项目（一期）</t>
  </si>
  <si>
    <t>及时支付平潭特殊教育学校建设项目（一期）进度款。</t>
  </si>
  <si>
    <t>2020年支付平潭特殊教育学校建设项目（一期）进度款838.01万元。</t>
  </si>
  <si>
    <t>19350㎡</t>
  </si>
  <si>
    <t>不超过2000万元</t>
  </si>
  <si>
    <t>838.01万元</t>
  </si>
  <si>
    <t>流水中心小学（扩建）</t>
  </si>
  <si>
    <t>及时支付流水中心小学（扩建）进度款。</t>
  </si>
  <si>
    <t>2020年支付流水中心小学（扩建）进度款1350万元。</t>
  </si>
  <si>
    <t>不超过1500万元</t>
  </si>
  <si>
    <t>1350万元</t>
  </si>
  <si>
    <t>平潭敖东中心小学</t>
  </si>
  <si>
    <t>调资</t>
  </si>
  <si>
    <t>及时支付平潭敖东中心小学进度款。</t>
  </si>
  <si>
    <t>2020年支付平潭敖东中心小学进度款200万元。</t>
  </si>
  <si>
    <t>5217.25㎡</t>
  </si>
  <si>
    <t>不超过200万元</t>
  </si>
  <si>
    <t>200万元</t>
  </si>
  <si>
    <t>全区中小学、幼儿园租用费光纤项目</t>
  </si>
  <si>
    <t xml:space="preserve">    对有租用光纤的学校进行光纤租用费补助，带宽按照《福建省教育厅关于印发福建省中小学智慧校园建设标准的通知》标准，建设完成后班班通设备覆盖率达到100%。</t>
  </si>
  <si>
    <t>光纤租赁数</t>
  </si>
  <si>
    <t>光纤正常使用率</t>
  </si>
  <si>
    <t>设备正常使用</t>
  </si>
  <si>
    <t>信息技术学院学生补助</t>
  </si>
  <si>
    <t>及时支付信息技术学院学生学生伙食补助,促进教育公平，保障信息技术学院学生利益。</t>
  </si>
  <si>
    <t>2020年，及时支付信息技术学院学生学生伙食补助,促进教育公平，保障信息技术学院学生利益。</t>
  </si>
  <si>
    <t>信息技术学院学生补助人数</t>
  </si>
  <si>
    <t>7500人</t>
  </si>
  <si>
    <t>信息技术学院学生补助按时发放</t>
  </si>
  <si>
    <t>1271.27万元</t>
  </si>
  <si>
    <t>信息技术学院学生伙食补助，保障信息技术学院学生利益</t>
  </si>
  <si>
    <t>保障信息技术学院学生利益</t>
  </si>
  <si>
    <t>不列编教师工资</t>
  </si>
  <si>
    <t>及时支付75名不列编教师工资,切实维护教师合法权益,提高教师工作积极性，促进社会和谐稳定。</t>
  </si>
  <si>
    <t>2020年，及时支付75名不列编教师工资,切实维护教师合法权益,提高教师工作积极性，促进社会和谐稳定。</t>
  </si>
  <si>
    <t>不列编教师人数</t>
  </si>
  <si>
    <t>75人</t>
  </si>
  <si>
    <t>不超过995万元</t>
  </si>
  <si>
    <t>995万元</t>
  </si>
  <si>
    <t>保障不列编教师的合法权益</t>
  </si>
  <si>
    <t>终身教育</t>
  </si>
  <si>
    <t>调动我区终身教育促进委员会各成员单位、各片区开展终身教育工作的积极性，推进发展终身教育、鼓励终身学习、提高公民素质、促进人的全面发展。</t>
  </si>
  <si>
    <t>2020年，举办了“全民终身学习活动周”活动，提高了公民素质、促进人的全面发展。</t>
  </si>
  <si>
    <t>举办“全民终身学习活动周”系列活动场次</t>
  </si>
  <si>
    <t>1次</t>
  </si>
  <si>
    <t>活动按时举办情况</t>
  </si>
  <si>
    <t>按时举办</t>
  </si>
  <si>
    <t>不超过46万元</t>
  </si>
  <si>
    <t>46万元</t>
  </si>
  <si>
    <t>支持我区终身教育促进委员会各成员单位、各片区开展终身教育活动</t>
  </si>
  <si>
    <t>参加终身教育系列活动人员满意度</t>
  </si>
  <si>
    <t>助学贷款贴息</t>
  </si>
  <si>
    <t>减轻学生还贷负担，对接受助学贷款的学生给予还款利息补贴。</t>
  </si>
  <si>
    <t>2020年，对接受助学贷款的学生给予还款利息补贴，缓解家庭压力，帮助学生顺利完成学业。</t>
  </si>
  <si>
    <t>合计数36309.42，50个优，4个良，1个中，3个差</t>
  </si>
  <si>
    <t>助学贷款贴息学生数</t>
  </si>
  <si>
    <t>1900名</t>
  </si>
  <si>
    <t>1924名</t>
  </si>
  <si>
    <t>助学贷款贴息按时发放</t>
  </si>
  <si>
    <t>不超过99万元</t>
  </si>
  <si>
    <t>98.8万元</t>
  </si>
  <si>
    <t>减轻学生生活压力，确保受助学生顺利完成学业</t>
  </si>
</sst>
</file>

<file path=xl/styles.xml><?xml version="1.0" encoding="utf-8"?>
<styleSheet xmlns="http://schemas.openxmlformats.org/spreadsheetml/2006/main">
  <numFmts count="6">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 numFmtId="176" formatCode="0_ "/>
    <numFmt numFmtId="177" formatCode="0.00_ "/>
  </numFmts>
  <fonts count="38">
    <font>
      <sz val="11"/>
      <color theme="1"/>
      <name val="Tahoma"/>
      <charset val="134"/>
    </font>
    <font>
      <sz val="12"/>
      <color theme="1"/>
      <name val="宋体"/>
      <charset val="134"/>
      <scheme val="minor"/>
    </font>
    <font>
      <sz val="16"/>
      <color theme="1"/>
      <name val="黑体"/>
      <charset val="134"/>
    </font>
    <font>
      <sz val="10"/>
      <name val="宋体"/>
      <charset val="134"/>
    </font>
    <font>
      <sz val="10"/>
      <color indexed="8"/>
      <name val="宋体"/>
      <charset val="134"/>
    </font>
    <font>
      <sz val="10"/>
      <color theme="1"/>
      <name val="宋体"/>
      <charset val="134"/>
      <scheme val="minor"/>
    </font>
    <font>
      <sz val="11"/>
      <color indexed="8"/>
      <name val="宋体"/>
      <charset val="134"/>
    </font>
    <font>
      <sz val="9"/>
      <color indexed="8"/>
      <name val="宋体"/>
      <charset val="134"/>
    </font>
    <font>
      <sz val="11"/>
      <color theme="1"/>
      <name val="宋体"/>
      <charset val="134"/>
      <scheme val="minor"/>
    </font>
    <font>
      <sz val="11"/>
      <color theme="1"/>
      <name val="宋体"/>
      <charset val="134"/>
    </font>
    <font>
      <sz val="11"/>
      <color rgb="FF000000"/>
      <name val="宋体"/>
      <charset val="134"/>
    </font>
    <font>
      <sz val="12"/>
      <name val="宋体"/>
      <charset val="134"/>
      <scheme val="minor"/>
    </font>
    <font>
      <sz val="11"/>
      <name val="宋体"/>
      <charset val="134"/>
    </font>
    <font>
      <sz val="12"/>
      <color indexed="8"/>
      <name val="宋体"/>
      <charset val="134"/>
    </font>
    <font>
      <sz val="12"/>
      <name val="宋体"/>
      <charset val="134"/>
    </font>
    <font>
      <sz val="12"/>
      <color theme="1"/>
      <name val="宋体"/>
      <charset val="134"/>
    </font>
    <font>
      <b/>
      <sz val="13"/>
      <color theme="3"/>
      <name val="宋体"/>
      <charset val="134"/>
      <scheme val="minor"/>
    </font>
    <font>
      <sz val="11"/>
      <color rgb="FF9C0006"/>
      <name val="宋体"/>
      <charset val="0"/>
      <scheme val="minor"/>
    </font>
    <font>
      <sz val="11"/>
      <color rgb="FF006100"/>
      <name val="宋体"/>
      <charset val="0"/>
      <scheme val="minor"/>
    </font>
    <font>
      <b/>
      <sz val="15"/>
      <color theme="3"/>
      <name val="宋体"/>
      <charset val="134"/>
      <scheme val="minor"/>
    </font>
    <font>
      <sz val="11"/>
      <color rgb="FF9C6500"/>
      <name val="宋体"/>
      <charset val="0"/>
      <scheme val="minor"/>
    </font>
    <font>
      <b/>
      <sz val="11"/>
      <color theme="3"/>
      <name val="宋体"/>
      <charset val="134"/>
      <scheme val="minor"/>
    </font>
    <font>
      <u/>
      <sz val="11"/>
      <color rgb="FF0000FF"/>
      <name val="宋体"/>
      <charset val="0"/>
      <scheme val="minor"/>
    </font>
    <font>
      <sz val="11"/>
      <color rgb="FF3F3F76"/>
      <name val="宋体"/>
      <charset val="0"/>
      <scheme val="minor"/>
    </font>
    <font>
      <sz val="11"/>
      <color theme="1"/>
      <name val="宋体"/>
      <charset val="0"/>
      <scheme val="minor"/>
    </font>
    <font>
      <sz val="11"/>
      <color theme="0"/>
      <name val="宋体"/>
      <charset val="0"/>
      <scheme val="minor"/>
    </font>
    <font>
      <b/>
      <sz val="11"/>
      <color rgb="FF3F3F3F"/>
      <name val="宋体"/>
      <charset val="0"/>
      <scheme val="minor"/>
    </font>
    <font>
      <u/>
      <sz val="11"/>
      <color rgb="FF800080"/>
      <name val="宋体"/>
      <charset val="0"/>
      <scheme val="minor"/>
    </font>
    <font>
      <b/>
      <sz val="11"/>
      <color rgb="FFFA7D00"/>
      <name val="宋体"/>
      <charset val="0"/>
      <scheme val="minor"/>
    </font>
    <font>
      <b/>
      <sz val="11"/>
      <color rgb="FFFFFFFF"/>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b/>
      <sz val="11"/>
      <color theme="1"/>
      <name val="宋体"/>
      <charset val="0"/>
      <scheme val="minor"/>
    </font>
    <font>
      <i/>
      <sz val="11"/>
      <color rgb="FF7F7F7F"/>
      <name val="宋体"/>
      <charset val="0"/>
      <scheme val="minor"/>
    </font>
    <font>
      <sz val="9"/>
      <name val="宋体"/>
      <charset val="134"/>
    </font>
    <font>
      <sz val="9"/>
      <name val="Tahoma"/>
      <charset val="134"/>
    </font>
    <font>
      <b/>
      <sz val="9"/>
      <name val="Tahoma"/>
      <charset val="134"/>
    </font>
  </fonts>
  <fills count="33">
    <fill>
      <patternFill patternType="none"/>
    </fill>
    <fill>
      <patternFill patternType="gray125"/>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FCC9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4"/>
        <bgColor indexed="64"/>
      </patternFill>
    </fill>
    <fill>
      <patternFill patternType="solid">
        <fgColor rgb="FFF2F2F2"/>
        <bgColor indexed="64"/>
      </patternFill>
    </fill>
    <fill>
      <patternFill patternType="solid">
        <fgColor theme="4"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7"/>
        <bgColor indexed="64"/>
      </patternFill>
    </fill>
    <fill>
      <patternFill patternType="solid">
        <fgColor theme="5"/>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2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diagonalUp="1">
      <left style="thin">
        <color auto="1"/>
      </left>
      <right style="thin">
        <color auto="1"/>
      </right>
      <top style="thin">
        <color auto="1"/>
      </top>
      <bottom style="thin">
        <color auto="1"/>
      </bottom>
      <diagonal style="thin">
        <color auto="1"/>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2" fontId="8" fillId="0" borderId="0" applyFont="0" applyFill="0" applyBorder="0" applyAlignment="0" applyProtection="0">
      <alignment vertical="center"/>
    </xf>
    <xf numFmtId="0" fontId="24" fillId="7" borderId="0" applyNumberFormat="0" applyBorder="0" applyAlignment="0" applyProtection="0">
      <alignment vertical="center"/>
    </xf>
    <xf numFmtId="0" fontId="23" fillId="5" borderId="19"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24" fillId="6" borderId="0" applyNumberFormat="0" applyBorder="0" applyAlignment="0" applyProtection="0">
      <alignment vertical="center"/>
    </xf>
    <xf numFmtId="0" fontId="17" fillId="2" borderId="0" applyNumberFormat="0" applyBorder="0" applyAlignment="0" applyProtection="0">
      <alignment vertical="center"/>
    </xf>
    <xf numFmtId="43" fontId="8" fillId="0" borderId="0" applyFont="0" applyFill="0" applyBorder="0" applyAlignment="0" applyProtection="0">
      <alignment vertical="center"/>
    </xf>
    <xf numFmtId="0" fontId="25" fillId="9" borderId="0" applyNumberFormat="0" applyBorder="0" applyAlignment="0" applyProtection="0">
      <alignment vertical="center"/>
    </xf>
    <xf numFmtId="0" fontId="22" fillId="0" borderId="0" applyNumberFormat="0" applyFill="0" applyBorder="0" applyAlignment="0" applyProtection="0">
      <alignment vertical="center"/>
    </xf>
    <xf numFmtId="9"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8" fillId="13" borderId="21" applyNumberFormat="0" applyFont="0" applyAlignment="0" applyProtection="0">
      <alignment vertical="center"/>
    </xf>
    <xf numFmtId="0" fontId="25" fillId="14" borderId="0" applyNumberFormat="0" applyBorder="0" applyAlignment="0" applyProtection="0">
      <alignment vertical="center"/>
    </xf>
    <xf numFmtId="0" fontId="2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19" fillId="0" borderId="17" applyNumberFormat="0" applyFill="0" applyAlignment="0" applyProtection="0">
      <alignment vertical="center"/>
    </xf>
    <xf numFmtId="0" fontId="16" fillId="0" borderId="17" applyNumberFormat="0" applyFill="0" applyAlignment="0" applyProtection="0">
      <alignment vertical="center"/>
    </xf>
    <xf numFmtId="0" fontId="25" fillId="8" borderId="0" applyNumberFormat="0" applyBorder="0" applyAlignment="0" applyProtection="0">
      <alignment vertical="center"/>
    </xf>
    <xf numFmtId="0" fontId="21" fillId="0" borderId="18" applyNumberFormat="0" applyFill="0" applyAlignment="0" applyProtection="0">
      <alignment vertical="center"/>
    </xf>
    <xf numFmtId="0" fontId="25" fillId="18" borderId="0" applyNumberFormat="0" applyBorder="0" applyAlignment="0" applyProtection="0">
      <alignment vertical="center"/>
    </xf>
    <xf numFmtId="0" fontId="26" fillId="11" borderId="20" applyNumberFormat="0" applyAlignment="0" applyProtection="0">
      <alignment vertical="center"/>
    </xf>
    <xf numFmtId="0" fontId="28" fillId="11" borderId="19" applyNumberFormat="0" applyAlignment="0" applyProtection="0">
      <alignment vertical="center"/>
    </xf>
    <xf numFmtId="0" fontId="29" fillId="16" borderId="22" applyNumberFormat="0" applyAlignment="0" applyProtection="0">
      <alignment vertical="center"/>
    </xf>
    <xf numFmtId="0" fontId="24" fillId="19" borderId="0" applyNumberFormat="0" applyBorder="0" applyAlignment="0" applyProtection="0">
      <alignment vertical="center"/>
    </xf>
    <xf numFmtId="0" fontId="25" fillId="21" borderId="0" applyNumberFormat="0" applyBorder="0" applyAlignment="0" applyProtection="0">
      <alignment vertical="center"/>
    </xf>
    <xf numFmtId="0" fontId="31" fillId="0" borderId="23" applyNumberFormat="0" applyFill="0" applyAlignment="0" applyProtection="0">
      <alignment vertical="center"/>
    </xf>
    <xf numFmtId="0" fontId="33" fillId="0" borderId="24" applyNumberFormat="0" applyFill="0" applyAlignment="0" applyProtection="0">
      <alignment vertical="center"/>
    </xf>
    <xf numFmtId="0" fontId="18" fillId="3" borderId="0" applyNumberFormat="0" applyBorder="0" applyAlignment="0" applyProtection="0">
      <alignment vertical="center"/>
    </xf>
    <xf numFmtId="0" fontId="20" fillId="4" borderId="0" applyNumberFormat="0" applyBorder="0" applyAlignment="0" applyProtection="0">
      <alignment vertical="center"/>
    </xf>
    <xf numFmtId="0" fontId="24" fillId="22" borderId="0" applyNumberFormat="0" applyBorder="0" applyAlignment="0" applyProtection="0">
      <alignment vertical="center"/>
    </xf>
    <xf numFmtId="0" fontId="25" fillId="10"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24"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0" borderId="0" applyNumberFormat="0" applyBorder="0" applyAlignment="0" applyProtection="0">
      <alignment vertical="center"/>
    </xf>
    <xf numFmtId="0" fontId="24" fillId="23" borderId="0" applyNumberFormat="0" applyBorder="0" applyAlignment="0" applyProtection="0">
      <alignment vertical="center"/>
    </xf>
    <xf numFmtId="0" fontId="24" fillId="25" borderId="0" applyNumberFormat="0" applyBorder="0" applyAlignment="0" applyProtection="0">
      <alignment vertical="center"/>
    </xf>
    <xf numFmtId="0" fontId="25" fillId="28" borderId="0" applyNumberFormat="0" applyBorder="0" applyAlignment="0" applyProtection="0">
      <alignment vertical="center"/>
    </xf>
    <xf numFmtId="0" fontId="14" fillId="0" borderId="0"/>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8" fillId="0" borderId="0">
      <alignment vertical="center"/>
    </xf>
    <xf numFmtId="0" fontId="24" fillId="32" borderId="0" applyNumberFormat="0" applyBorder="0" applyAlignment="0" applyProtection="0">
      <alignment vertical="center"/>
    </xf>
    <xf numFmtId="0" fontId="25" fillId="17" borderId="0" applyNumberFormat="0" applyBorder="0" applyAlignment="0" applyProtection="0">
      <alignment vertical="center"/>
    </xf>
    <xf numFmtId="0" fontId="14" fillId="0" borderId="0"/>
    <xf numFmtId="0" fontId="14" fillId="0" borderId="0"/>
  </cellStyleXfs>
  <cellXfs count="112">
    <xf numFmtId="0" fontId="0" fillId="0" borderId="0" xfId="0"/>
    <xf numFmtId="0" fontId="0"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10" fontId="1" fillId="0" borderId="2" xfId="0" applyNumberFormat="1"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3" fillId="0" borderId="2" xfId="51" applyFont="1" applyFill="1" applyBorder="1" applyAlignment="1">
      <alignment horizontal="center" vertical="center" wrapText="1"/>
    </xf>
    <xf numFmtId="0" fontId="4" fillId="0" borderId="2" xfId="52" applyNumberFormat="1" applyFont="1" applyFill="1" applyBorder="1" applyAlignment="1" applyProtection="1">
      <alignment horizontal="center" vertical="center" wrapText="1"/>
    </xf>
    <xf numFmtId="9" fontId="4" fillId="0" borderId="2" xfId="52" applyNumberFormat="1" applyFont="1" applyFill="1" applyBorder="1" applyAlignment="1">
      <alignment horizontal="center" vertical="center" wrapText="1"/>
    </xf>
    <xf numFmtId="0" fontId="4" fillId="0" borderId="2" xfId="52" applyFont="1" applyFill="1" applyBorder="1" applyAlignment="1">
      <alignment horizontal="center" vertical="center" wrapText="1"/>
    </xf>
    <xf numFmtId="0" fontId="5" fillId="0" borderId="2" xfId="0" applyFont="1" applyFill="1" applyBorder="1" applyAlignment="1">
      <alignment horizontal="center" vertical="center" wrapText="1"/>
    </xf>
    <xf numFmtId="0" fontId="6" fillId="0" borderId="2" xfId="52" applyFont="1" applyFill="1" applyBorder="1" applyAlignment="1">
      <alignment horizontal="center" vertical="center" wrapText="1"/>
    </xf>
    <xf numFmtId="0" fontId="5" fillId="0" borderId="11" xfId="0" applyFont="1" applyFill="1" applyBorder="1" applyAlignment="1">
      <alignment horizontal="center" vertical="center" wrapText="1"/>
    </xf>
    <xf numFmtId="9" fontId="6" fillId="0" borderId="2" xfId="52" applyNumberFormat="1" applyFont="1" applyFill="1" applyBorder="1" applyAlignment="1">
      <alignment horizontal="center" vertical="center" wrapText="1"/>
    </xf>
    <xf numFmtId="9" fontId="1" fillId="0" borderId="2" xfId="0" applyNumberFormat="1" applyFont="1" applyFill="1" applyBorder="1" applyAlignment="1">
      <alignment horizontal="center" vertical="center" wrapText="1"/>
    </xf>
    <xf numFmtId="177" fontId="1" fillId="0" borderId="2" xfId="0" applyNumberFormat="1" applyFont="1" applyFill="1" applyBorder="1" applyAlignment="1">
      <alignment horizontal="center" vertical="center" wrapText="1"/>
    </xf>
    <xf numFmtId="0" fontId="7" fillId="0" borderId="2" xfId="52" applyFont="1" applyFill="1" applyBorder="1" applyAlignment="1">
      <alignment horizontal="left" vertical="center" wrapText="1"/>
    </xf>
    <xf numFmtId="0" fontId="7" fillId="0" borderId="2" xfId="52" applyFont="1" applyFill="1" applyBorder="1" applyAlignment="1">
      <alignment horizontal="center" vertical="center" wrapText="1"/>
    </xf>
    <xf numFmtId="9" fontId="7" fillId="0" borderId="2" xfId="52" applyNumberFormat="1"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0" fillId="0" borderId="15"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1" fillId="0" borderId="2" xfId="0" applyNumberFormat="1" applyFont="1" applyFill="1" applyBorder="1" applyAlignment="1" applyProtection="1">
      <alignment horizontal="center" vertical="center" wrapText="1"/>
    </xf>
    <xf numFmtId="0" fontId="10" fillId="0" borderId="0" xfId="0" applyFont="1" applyFill="1" applyBorder="1" applyAlignment="1">
      <alignment horizontal="center" vertical="center" wrapText="1"/>
    </xf>
    <xf numFmtId="10" fontId="5" fillId="0" borderId="11" xfId="48" applyNumberFormat="1" applyFont="1" applyFill="1" applyBorder="1" applyAlignment="1">
      <alignment horizontal="center" vertical="center" wrapText="1"/>
    </xf>
    <xf numFmtId="0" fontId="11" fillId="0" borderId="2" xfId="0" applyFont="1" applyFill="1" applyBorder="1" applyAlignment="1">
      <alignment horizontal="center" vertical="center" wrapText="1"/>
    </xf>
    <xf numFmtId="0" fontId="12" fillId="0" borderId="2" xfId="44" applyFont="1" applyBorder="1" applyAlignment="1">
      <alignment horizontal="center" vertical="center" wrapText="1"/>
    </xf>
    <xf numFmtId="10" fontId="12" fillId="0" borderId="2" xfId="51" applyNumberFormat="1" applyFont="1" applyFill="1" applyBorder="1" applyAlignment="1">
      <alignment horizontal="center" vertical="center" wrapText="1"/>
    </xf>
    <xf numFmtId="0" fontId="0" fillId="0" borderId="0" xfId="0" applyFont="1" applyFill="1" applyAlignment="1">
      <alignment horizontal="center" vertical="center" wrapText="1"/>
    </xf>
    <xf numFmtId="0" fontId="1" fillId="0" borderId="0" xfId="0" applyFont="1" applyFill="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Fill="1" applyAlignment="1">
      <alignment horizontal="center"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3" fillId="0" borderId="2" xfId="52" applyFont="1" applyBorder="1" applyAlignment="1">
      <alignment horizontal="center" vertical="center" wrapText="1"/>
    </xf>
    <xf numFmtId="9" fontId="13" fillId="0" borderId="2" xfId="52" applyNumberFormat="1" applyFont="1" applyBorder="1" applyAlignment="1">
      <alignment horizontal="center" vertical="center" wrapText="1"/>
    </xf>
    <xf numFmtId="176" fontId="13" fillId="0" borderId="2" xfId="52" applyNumberFormat="1" applyFont="1" applyBorder="1" applyAlignment="1">
      <alignment horizontal="center" vertical="center" wrapText="1"/>
    </xf>
    <xf numFmtId="0" fontId="14" fillId="0" borderId="2" xfId="51" applyFont="1" applyFill="1" applyBorder="1" applyAlignment="1">
      <alignment horizontal="center" vertical="center" wrapText="1"/>
    </xf>
    <xf numFmtId="0" fontId="13" fillId="0" borderId="2" xfId="52" applyFont="1" applyFill="1" applyBorder="1" applyAlignment="1">
      <alignment horizontal="center" vertical="center" wrapText="1"/>
    </xf>
    <xf numFmtId="10" fontId="14" fillId="0" borderId="2" xfId="51" applyNumberFormat="1" applyFont="1" applyFill="1" applyBorder="1" applyAlignment="1">
      <alignment horizontal="center" vertical="center" wrapText="1"/>
    </xf>
    <xf numFmtId="0" fontId="14" fillId="0" borderId="2" xfId="0" applyFont="1" applyFill="1" applyBorder="1" applyAlignment="1" applyProtection="1">
      <alignment horizontal="center" vertical="center" wrapText="1"/>
    </xf>
    <xf numFmtId="9" fontId="14" fillId="0" borderId="2" xfId="51" applyNumberFormat="1" applyFont="1" applyFill="1" applyBorder="1" applyAlignment="1">
      <alignment horizontal="center" vertical="center" wrapText="1"/>
    </xf>
    <xf numFmtId="0" fontId="9" fillId="0" borderId="15" xfId="0" applyFont="1" applyBorder="1" applyAlignment="1">
      <alignment horizontal="center" vertical="center" wrapText="1"/>
    </xf>
    <xf numFmtId="0" fontId="0" fillId="0" borderId="15" xfId="0" applyBorder="1" applyAlignment="1">
      <alignment horizontal="center" vertical="center" wrapText="1"/>
    </xf>
    <xf numFmtId="0" fontId="9" fillId="0" borderId="0" xfId="0" applyFont="1" applyAlignment="1">
      <alignment horizontal="center" vertical="center" wrapText="1"/>
    </xf>
    <xf numFmtId="0" fontId="1" fillId="0" borderId="12" xfId="0" applyFont="1" applyFill="1" applyBorder="1" applyAlignment="1">
      <alignment horizontal="left" vertical="center" wrapText="1"/>
    </xf>
    <xf numFmtId="10" fontId="13" fillId="0" borderId="2" xfId="52" applyNumberFormat="1" applyFont="1" applyFill="1" applyBorder="1" applyAlignment="1">
      <alignment horizontal="center" vertical="center" wrapText="1"/>
    </xf>
    <xf numFmtId="10" fontId="1" fillId="0" borderId="11" xfId="0" applyNumberFormat="1" applyFont="1" applyFill="1" applyBorder="1" applyAlignment="1">
      <alignment horizontal="center" vertical="center" wrapText="1"/>
    </xf>
    <xf numFmtId="9" fontId="13" fillId="0" borderId="2" xfId="52" applyNumberFormat="1" applyFont="1" applyFill="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2" xfId="0" applyFont="1" applyFill="1" applyBorder="1" applyAlignment="1">
      <alignment horizontal="center" vertical="center" wrapText="1"/>
    </xf>
    <xf numFmtId="0" fontId="13" fillId="0" borderId="14" xfId="52" applyFont="1" applyBorder="1" applyAlignment="1">
      <alignment horizontal="center" vertical="center" wrapText="1"/>
    </xf>
    <xf numFmtId="0" fontId="13" fillId="0" borderId="13" xfId="52" applyFont="1" applyBorder="1" applyAlignment="1">
      <alignment horizontal="center" vertical="center" wrapText="1"/>
    </xf>
    <xf numFmtId="0" fontId="15" fillId="0" borderId="2" xfId="0" applyFont="1" applyFill="1" applyBorder="1" applyAlignment="1">
      <alignment horizontal="center" vertical="center" wrapText="1"/>
    </xf>
    <xf numFmtId="0" fontId="2" fillId="0" borderId="0" xfId="0" applyFont="1" applyFill="1" applyAlignment="1">
      <alignment horizontal="left" vertical="center" wrapText="1"/>
    </xf>
    <xf numFmtId="0" fontId="0" fillId="0" borderId="0" xfId="0" applyFont="1" applyAlignment="1">
      <alignment horizontal="center" vertical="center" wrapText="1"/>
    </xf>
    <xf numFmtId="9" fontId="15" fillId="0" borderId="2" xfId="0" applyNumberFormat="1" applyFont="1" applyFill="1" applyBorder="1" applyAlignment="1">
      <alignment horizontal="center" vertical="center" wrapText="1"/>
    </xf>
    <xf numFmtId="177" fontId="1" fillId="0" borderId="2" xfId="0" applyNumberFormat="1" applyFont="1" applyBorder="1" applyAlignment="1">
      <alignment horizontal="center" vertical="center" wrapText="1"/>
    </xf>
    <xf numFmtId="0" fontId="14" fillId="0" borderId="2" xfId="5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9" fontId="5" fillId="0" borderId="2" xfId="11" applyFont="1" applyBorder="1" applyAlignment="1">
      <alignment horizontal="center" vertical="center" wrapText="1"/>
    </xf>
    <xf numFmtId="0" fontId="4" fillId="0" borderId="2"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3" fillId="0" borderId="2" xfId="51" applyFont="1" applyBorder="1" applyAlignment="1">
      <alignment horizontal="center" vertical="center" wrapText="1"/>
    </xf>
    <xf numFmtId="9" fontId="3" fillId="0" borderId="2" xfId="51" applyNumberFormat="1" applyFont="1" applyBorder="1" applyAlignment="1">
      <alignment horizontal="center" vertical="center" wrapText="1"/>
    </xf>
    <xf numFmtId="9" fontId="5" fillId="0" borderId="2" xfId="0" applyNumberFormat="1" applyFont="1" applyBorder="1" applyAlignment="1">
      <alignment horizontal="center" vertical="center" wrapText="1"/>
    </xf>
    <xf numFmtId="31" fontId="3" fillId="0" borderId="2" xfId="51" applyNumberFormat="1" applyFont="1" applyBorder="1" applyAlignment="1">
      <alignment horizontal="center" vertical="center" wrapText="1"/>
    </xf>
    <xf numFmtId="0" fontId="5" fillId="0" borderId="16" xfId="0" applyFont="1" applyBorder="1" applyAlignment="1">
      <alignment horizontal="center" vertical="center" wrapText="1"/>
    </xf>
    <xf numFmtId="0" fontId="5" fillId="0" borderId="1" xfId="0" applyFont="1" applyBorder="1" applyAlignment="1">
      <alignment horizontal="center" vertical="center" wrapText="1"/>
    </xf>
    <xf numFmtId="31" fontId="5" fillId="0" borderId="2" xfId="0" applyNumberFormat="1" applyFont="1" applyBorder="1" applyAlignment="1">
      <alignment horizontal="center" vertical="center" wrapText="1"/>
    </xf>
    <xf numFmtId="10" fontId="5" fillId="0" borderId="2" xfId="0" applyNumberFormat="1" applyFont="1" applyBorder="1" applyAlignment="1">
      <alignment horizontal="center" vertical="center" wrapText="1"/>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常规 10" xfId="48"/>
    <cellStyle name="40% - 强调文字颜色 6" xfId="49" builtinId="51"/>
    <cellStyle name="60% - 强调文字颜色 6" xfId="50" builtinId="52"/>
    <cellStyle name="常规 2" xfId="51"/>
    <cellStyle name="常规_Sheet1" xf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1" Type="http://schemas.openxmlformats.org/officeDocument/2006/relationships/sharedStrings" Target="sharedStrings.xml"/><Relationship Id="rId60" Type="http://schemas.openxmlformats.org/officeDocument/2006/relationships/styles" Target="styles.xml"/><Relationship Id="rId6" Type="http://schemas.openxmlformats.org/officeDocument/2006/relationships/worksheet" Target="worksheets/sheet6.xml"/><Relationship Id="rId59" Type="http://schemas.openxmlformats.org/officeDocument/2006/relationships/theme" Target="theme/theme1.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comments" Target="../comments25.xml"/></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comments" Target="../comments26.xml"/></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comments" Target="../comments29.xml"/></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comments" Target="../comments30.xml"/></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comments" Target="../comments31.xml"/></Relationships>
</file>

<file path=xl/worksheets/_rels/sheet57.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comments" Target="../comments32.xml"/></Relationships>
</file>

<file path=xl/worksheets/_rels/sheet58.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comments" Target="../comments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abSelected="1" topLeftCell="A9" workbookViewId="0">
      <selection activeCell="J24" sqref="J24"/>
    </sheetView>
  </sheetViews>
  <sheetFormatPr defaultColWidth="13.875" defaultRowHeight="24.95" customHeight="1"/>
  <cols>
    <col min="1" max="1" width="6.875" style="44" customWidth="1"/>
    <col min="2" max="2" width="7.75" style="44" customWidth="1"/>
    <col min="3" max="5" width="10.25" style="44" customWidth="1"/>
    <col min="6" max="6" width="14.375" style="44" customWidth="1"/>
    <col min="7" max="9" width="10.25" style="44" customWidth="1"/>
    <col min="10"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3</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v>1000</v>
      </c>
      <c r="E6" s="89">
        <v>717</v>
      </c>
      <c r="F6" s="89">
        <v>617</v>
      </c>
      <c r="G6" s="89">
        <v>10</v>
      </c>
      <c r="H6" s="96">
        <f>F6/E6</f>
        <v>0.860529986052999</v>
      </c>
      <c r="I6" s="89">
        <v>7</v>
      </c>
    </row>
    <row r="7" s="45" customFormat="1" ht="34.5" customHeight="1" spans="1:9">
      <c r="A7" s="94"/>
      <c r="B7" s="95"/>
      <c r="C7" s="89" t="s">
        <v>15</v>
      </c>
      <c r="D7" s="89">
        <v>1000</v>
      </c>
      <c r="E7" s="89">
        <v>717</v>
      </c>
      <c r="F7" s="89">
        <v>617</v>
      </c>
      <c r="G7" s="89" t="s">
        <v>16</v>
      </c>
      <c r="H7" s="96">
        <f>F7/E7</f>
        <v>0.860529986052999</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69" customHeight="1" spans="1:9">
      <c r="A11" s="102"/>
      <c r="B11" s="90" t="s">
        <v>22</v>
      </c>
      <c r="C11" s="91"/>
      <c r="D11" s="91"/>
      <c r="E11" s="101"/>
      <c r="F11" s="90" t="s">
        <v>23</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36" customHeight="1" spans="1:9">
      <c r="A13" s="103"/>
      <c r="B13" s="100" t="s">
        <v>31</v>
      </c>
      <c r="C13" s="100" t="s">
        <v>32</v>
      </c>
      <c r="D13" s="89" t="s">
        <v>33</v>
      </c>
      <c r="E13" s="89" t="s">
        <v>34</v>
      </c>
      <c r="F13" s="89" t="s">
        <v>35</v>
      </c>
      <c r="G13" s="89">
        <v>10</v>
      </c>
      <c r="H13" s="89">
        <v>10</v>
      </c>
      <c r="I13" s="89"/>
    </row>
    <row r="14" s="45" customFormat="1" ht="76" customHeight="1" spans="1:9">
      <c r="A14" s="103"/>
      <c r="B14" s="103"/>
      <c r="C14" s="100" t="s">
        <v>36</v>
      </c>
      <c r="D14" s="89" t="s">
        <v>37</v>
      </c>
      <c r="E14" s="89" t="s">
        <v>38</v>
      </c>
      <c r="F14" s="89" t="s">
        <v>38</v>
      </c>
      <c r="G14" s="89">
        <v>20</v>
      </c>
      <c r="H14" s="89">
        <v>20</v>
      </c>
      <c r="I14" s="89"/>
    </row>
    <row r="15" s="45" customFormat="1" customHeight="1" spans="1:9">
      <c r="A15" s="103"/>
      <c r="B15" s="103"/>
      <c r="C15" s="100" t="s">
        <v>39</v>
      </c>
      <c r="D15" s="89" t="s">
        <v>40</v>
      </c>
      <c r="E15" s="89" t="s">
        <v>41</v>
      </c>
      <c r="F15" s="110">
        <v>44196</v>
      </c>
      <c r="G15" s="89">
        <v>10</v>
      </c>
      <c r="H15" s="89">
        <v>10</v>
      </c>
      <c r="I15" s="89"/>
    </row>
    <row r="16" s="45" customFormat="1" customHeight="1" spans="1:9">
      <c r="A16" s="103"/>
      <c r="B16" s="103"/>
      <c r="C16" s="100" t="s">
        <v>42</v>
      </c>
      <c r="D16" s="89" t="s">
        <v>43</v>
      </c>
      <c r="E16" s="89" t="s">
        <v>44</v>
      </c>
      <c r="F16" s="106">
        <v>0.14</v>
      </c>
      <c r="G16" s="89">
        <v>10</v>
      </c>
      <c r="H16" s="89">
        <v>10</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89" t="s">
        <v>48</v>
      </c>
      <c r="E19" s="89" t="s">
        <v>48</v>
      </c>
      <c r="F19" s="89" t="s">
        <v>49</v>
      </c>
      <c r="G19" s="89">
        <v>30</v>
      </c>
      <c r="H19" s="89">
        <v>30</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54</v>
      </c>
      <c r="E24" s="106" t="s">
        <v>55</v>
      </c>
      <c r="F24" s="106">
        <v>0.9</v>
      </c>
      <c r="G24" s="89">
        <v>10</v>
      </c>
      <c r="H24" s="89">
        <v>10</v>
      </c>
      <c r="I24" s="89"/>
    </row>
    <row r="25" s="45" customFormat="1" customHeight="1" spans="1:9">
      <c r="A25" s="89" t="s">
        <v>56</v>
      </c>
      <c r="B25" s="89"/>
      <c r="C25" s="89"/>
      <c r="D25" s="89"/>
      <c r="E25" s="89"/>
      <c r="F25" s="89"/>
      <c r="G25" s="89">
        <f>SUM(G13:G24,G6)</f>
        <v>100</v>
      </c>
      <c r="H25" s="89">
        <f>SUM(H13:H24,I6)</f>
        <v>97</v>
      </c>
      <c r="I25" s="89" t="s">
        <v>57</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7"/>
  <sheetViews>
    <sheetView topLeftCell="A26" workbookViewId="0">
      <selection activeCell="F17" sqref="F17"/>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58</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35</v>
      </c>
      <c r="E6" s="89">
        <f t="shared" si="0"/>
        <v>35</v>
      </c>
      <c r="F6" s="89">
        <f t="shared" si="0"/>
        <v>25</v>
      </c>
      <c r="G6" s="89">
        <v>10</v>
      </c>
      <c r="H6" s="96">
        <f>F6/E6</f>
        <v>0.714285714285714</v>
      </c>
      <c r="I6" s="89">
        <v>7</v>
      </c>
    </row>
    <row r="7" s="45" customFormat="1" ht="34.5" customHeight="1" spans="1:9">
      <c r="A7" s="94"/>
      <c r="B7" s="95"/>
      <c r="C7" s="89" t="s">
        <v>15</v>
      </c>
      <c r="D7" s="89">
        <v>35</v>
      </c>
      <c r="E7" s="89">
        <v>35</v>
      </c>
      <c r="F7" s="89">
        <v>25</v>
      </c>
      <c r="G7" s="89" t="s">
        <v>16</v>
      </c>
      <c r="H7" s="96">
        <f>F7/E7</f>
        <v>0.714285714285714</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69" customHeight="1" spans="1:9">
      <c r="A11" s="102"/>
      <c r="B11" s="90" t="s">
        <v>59</v>
      </c>
      <c r="C11" s="91"/>
      <c r="D11" s="91"/>
      <c r="E11" s="101"/>
      <c r="F11" s="90" t="s">
        <v>60</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33" customHeight="1" spans="1:9">
      <c r="A13" s="103"/>
      <c r="B13" s="100" t="s">
        <v>31</v>
      </c>
      <c r="C13" s="100" t="s">
        <v>32</v>
      </c>
      <c r="D13" s="22" t="s">
        <v>61</v>
      </c>
      <c r="E13" s="89" t="s">
        <v>62</v>
      </c>
      <c r="F13" s="89" t="s">
        <v>63</v>
      </c>
      <c r="G13" s="89">
        <v>5</v>
      </c>
      <c r="H13" s="89">
        <v>0</v>
      </c>
      <c r="I13" s="89" t="s">
        <v>64</v>
      </c>
    </row>
    <row r="14" s="45" customFormat="1" ht="33" customHeight="1" spans="1:9">
      <c r="A14" s="103"/>
      <c r="B14" s="103"/>
      <c r="C14" s="103"/>
      <c r="D14" s="22" t="s">
        <v>65</v>
      </c>
      <c r="E14" s="89" t="s">
        <v>66</v>
      </c>
      <c r="F14" s="89" t="s">
        <v>66</v>
      </c>
      <c r="G14" s="89">
        <v>10</v>
      </c>
      <c r="H14" s="89">
        <v>10</v>
      </c>
      <c r="I14" s="89"/>
    </row>
    <row r="15" s="45" customFormat="1" ht="27" customHeight="1" spans="1:9">
      <c r="A15" s="103"/>
      <c r="B15" s="103"/>
      <c r="C15" s="100" t="s">
        <v>36</v>
      </c>
      <c r="D15" s="22" t="s">
        <v>67</v>
      </c>
      <c r="E15" s="106">
        <v>1</v>
      </c>
      <c r="F15" s="106">
        <v>0</v>
      </c>
      <c r="G15" s="89">
        <v>5</v>
      </c>
      <c r="H15" s="89">
        <v>0</v>
      </c>
      <c r="I15" s="89" t="s">
        <v>64</v>
      </c>
    </row>
    <row r="16" s="45" customFormat="1" ht="31" customHeight="1" spans="1:9">
      <c r="A16" s="103"/>
      <c r="B16" s="103"/>
      <c r="C16" s="103"/>
      <c r="D16" s="22" t="s">
        <v>68</v>
      </c>
      <c r="E16" s="106">
        <v>1</v>
      </c>
      <c r="F16" s="106">
        <v>1</v>
      </c>
      <c r="G16" s="89">
        <v>10</v>
      </c>
      <c r="H16" s="89">
        <v>10</v>
      </c>
      <c r="I16" s="89"/>
    </row>
    <row r="17" s="45" customFormat="1" customHeight="1" spans="1:9">
      <c r="A17" s="103"/>
      <c r="B17" s="103"/>
      <c r="C17" s="100" t="s">
        <v>39</v>
      </c>
      <c r="D17" s="104" t="s">
        <v>40</v>
      </c>
      <c r="E17" s="89" t="s">
        <v>41</v>
      </c>
      <c r="F17" s="110">
        <v>44196</v>
      </c>
      <c r="G17" s="89">
        <v>10</v>
      </c>
      <c r="H17" s="89">
        <v>10</v>
      </c>
      <c r="I17" s="89"/>
    </row>
    <row r="18" s="45" customFormat="1" customHeight="1" spans="1:9">
      <c r="A18" s="103"/>
      <c r="B18" s="103"/>
      <c r="C18" s="100" t="s">
        <v>42</v>
      </c>
      <c r="D18" s="104" t="s">
        <v>43</v>
      </c>
      <c r="E18" s="89" t="s">
        <v>44</v>
      </c>
      <c r="F18" s="111">
        <v>0.29</v>
      </c>
      <c r="G18" s="89">
        <v>10</v>
      </c>
      <c r="H18" s="89">
        <v>8</v>
      </c>
      <c r="I18" s="89"/>
    </row>
    <row r="19" s="45" customFormat="1" customHeight="1" spans="1:9">
      <c r="A19" s="103"/>
      <c r="B19" s="100" t="s">
        <v>45</v>
      </c>
      <c r="C19" s="92" t="s">
        <v>46</v>
      </c>
      <c r="D19" s="108"/>
      <c r="E19" s="108"/>
      <c r="F19" s="108"/>
      <c r="G19" s="108"/>
      <c r="H19" s="108"/>
      <c r="I19" s="108"/>
    </row>
    <row r="20" s="45" customFormat="1" customHeight="1" spans="1:9">
      <c r="A20" s="103"/>
      <c r="B20" s="103"/>
      <c r="C20" s="98"/>
      <c r="D20" s="108"/>
      <c r="E20" s="108"/>
      <c r="F20" s="108"/>
      <c r="G20" s="108"/>
      <c r="H20" s="108"/>
      <c r="I20" s="108"/>
    </row>
    <row r="21" s="45" customFormat="1" ht="73" customHeight="1" spans="1:9">
      <c r="A21" s="103"/>
      <c r="B21" s="103"/>
      <c r="C21" s="100" t="s">
        <v>47</v>
      </c>
      <c r="D21" s="89" t="s">
        <v>69</v>
      </c>
      <c r="E21" s="89" t="s">
        <v>70</v>
      </c>
      <c r="F21" s="89" t="s">
        <v>71</v>
      </c>
      <c r="G21" s="89">
        <v>30</v>
      </c>
      <c r="H21" s="89">
        <v>25</v>
      </c>
      <c r="I21" s="89"/>
    </row>
    <row r="22" s="45" customFormat="1" customHeight="1" spans="1:9">
      <c r="A22" s="103"/>
      <c r="B22" s="103"/>
      <c r="C22" s="100" t="s">
        <v>50</v>
      </c>
      <c r="D22" s="108"/>
      <c r="E22" s="108"/>
      <c r="F22" s="108"/>
      <c r="G22" s="108"/>
      <c r="H22" s="108"/>
      <c r="I22" s="108"/>
    </row>
    <row r="23" s="45" customFormat="1" customHeight="1" spans="1:9">
      <c r="A23" s="103"/>
      <c r="B23" s="103"/>
      <c r="C23" s="102"/>
      <c r="D23" s="108"/>
      <c r="E23" s="108"/>
      <c r="F23" s="108"/>
      <c r="G23" s="108"/>
      <c r="H23" s="108"/>
      <c r="I23" s="108"/>
    </row>
    <row r="24" s="45" customFormat="1" customHeight="1" spans="1:9">
      <c r="A24" s="103"/>
      <c r="B24" s="103"/>
      <c r="C24" s="100" t="s">
        <v>51</v>
      </c>
      <c r="D24" s="108"/>
      <c r="E24" s="108"/>
      <c r="F24" s="108"/>
      <c r="G24" s="108"/>
      <c r="H24" s="108"/>
      <c r="I24" s="108"/>
    </row>
    <row r="25" s="45" customFormat="1" customHeight="1" spans="1:9">
      <c r="A25" s="103"/>
      <c r="B25" s="102"/>
      <c r="C25" s="102"/>
      <c r="D25" s="108"/>
      <c r="E25" s="108"/>
      <c r="F25" s="108"/>
      <c r="G25" s="108"/>
      <c r="H25" s="108"/>
      <c r="I25" s="108"/>
    </row>
    <row r="26" s="45" customFormat="1" ht="46" customHeight="1" spans="1:9">
      <c r="A26" s="103"/>
      <c r="B26" s="100" t="s">
        <v>52</v>
      </c>
      <c r="C26" s="100" t="s">
        <v>53</v>
      </c>
      <c r="D26" s="89" t="s">
        <v>72</v>
      </c>
      <c r="E26" s="106" t="s">
        <v>73</v>
      </c>
      <c r="F26" s="106">
        <v>0.95</v>
      </c>
      <c r="G26" s="89">
        <v>10</v>
      </c>
      <c r="H26" s="89">
        <v>10</v>
      </c>
      <c r="I26" s="89"/>
    </row>
    <row r="27" s="45" customFormat="1" customHeight="1" spans="1:9">
      <c r="A27" s="89" t="s">
        <v>56</v>
      </c>
      <c r="B27" s="89"/>
      <c r="C27" s="89"/>
      <c r="D27" s="89"/>
      <c r="E27" s="89"/>
      <c r="F27" s="89"/>
      <c r="G27" s="89">
        <f>SUM(G13:G26,G6)</f>
        <v>100</v>
      </c>
      <c r="H27" s="89">
        <f>SUM(H13:H26,I6)</f>
        <v>80</v>
      </c>
      <c r="I27" s="89" t="s">
        <v>74</v>
      </c>
    </row>
  </sheetData>
  <mergeCells count="21">
    <mergeCell ref="A1:I1"/>
    <mergeCell ref="A2:I2"/>
    <mergeCell ref="A3:B3"/>
    <mergeCell ref="C3:I3"/>
    <mergeCell ref="A4:B4"/>
    <mergeCell ref="C4:E4"/>
    <mergeCell ref="G4:I4"/>
    <mergeCell ref="B10:E10"/>
    <mergeCell ref="F10:I10"/>
    <mergeCell ref="B11:E11"/>
    <mergeCell ref="F11:I11"/>
    <mergeCell ref="A10:A11"/>
    <mergeCell ref="A12:A26"/>
    <mergeCell ref="B13:B18"/>
    <mergeCell ref="B19:B25"/>
    <mergeCell ref="C13:C14"/>
    <mergeCell ref="C15:C16"/>
    <mergeCell ref="C19:C20"/>
    <mergeCell ref="C22:C23"/>
    <mergeCell ref="C24:C25"/>
    <mergeCell ref="A5:B9"/>
  </mergeCells>
  <pageMargins left="0.7" right="0.7" top="0.75" bottom="0.75" header="0.3" footer="0.3"/>
  <pageSetup paperSize="9" scale="7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15" workbookViewId="0">
      <selection activeCell="F15" sqref="F15"/>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75</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185.7</v>
      </c>
      <c r="E6" s="89">
        <f t="shared" si="0"/>
        <v>95.7</v>
      </c>
      <c r="F6" s="89">
        <f t="shared" si="0"/>
        <v>16.86</v>
      </c>
      <c r="G6" s="89">
        <v>10</v>
      </c>
      <c r="H6" s="96">
        <f>F6/E6</f>
        <v>0.176175548589342</v>
      </c>
      <c r="I6" s="89">
        <v>2</v>
      </c>
    </row>
    <row r="7" s="45" customFormat="1" ht="34.5" customHeight="1" spans="1:9">
      <c r="A7" s="94"/>
      <c r="B7" s="95"/>
      <c r="C7" s="89" t="s">
        <v>15</v>
      </c>
      <c r="D7" s="89">
        <v>185.7</v>
      </c>
      <c r="E7" s="89">
        <v>95.7</v>
      </c>
      <c r="F7" s="89">
        <v>16.86</v>
      </c>
      <c r="G7" s="89" t="s">
        <v>16</v>
      </c>
      <c r="H7" s="96">
        <f>F7/E7</f>
        <v>0.176175548589342</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0" customHeight="1" spans="1:9">
      <c r="A11" s="102"/>
      <c r="B11" s="90" t="s">
        <v>76</v>
      </c>
      <c r="C11" s="91"/>
      <c r="D11" s="91"/>
      <c r="E11" s="101"/>
      <c r="F11" s="90" t="s">
        <v>77</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37" customHeight="1" spans="1:9">
      <c r="A13" s="103"/>
      <c r="B13" s="100" t="s">
        <v>31</v>
      </c>
      <c r="C13" s="100" t="s">
        <v>32</v>
      </c>
      <c r="D13" s="22" t="s">
        <v>78</v>
      </c>
      <c r="E13" s="89" t="s">
        <v>35</v>
      </c>
      <c r="F13" s="89" t="s">
        <v>79</v>
      </c>
      <c r="G13" s="89">
        <v>15</v>
      </c>
      <c r="H13" s="89">
        <v>3</v>
      </c>
      <c r="I13" s="89"/>
    </row>
    <row r="14" s="45" customFormat="1" ht="38" customHeight="1" spans="1:9">
      <c r="A14" s="103"/>
      <c r="B14" s="103"/>
      <c r="C14" s="100" t="s">
        <v>36</v>
      </c>
      <c r="D14" s="22" t="s">
        <v>80</v>
      </c>
      <c r="E14" s="106">
        <v>1</v>
      </c>
      <c r="F14" s="106">
        <v>1</v>
      </c>
      <c r="G14" s="89">
        <v>15</v>
      </c>
      <c r="H14" s="89">
        <v>15</v>
      </c>
      <c r="I14" s="89"/>
    </row>
    <row r="15" s="45" customFormat="1" customHeight="1" spans="1:9">
      <c r="A15" s="103"/>
      <c r="B15" s="103"/>
      <c r="C15" s="100" t="s">
        <v>39</v>
      </c>
      <c r="D15" s="104" t="s">
        <v>40</v>
      </c>
      <c r="E15" s="89" t="s">
        <v>41</v>
      </c>
      <c r="F15" s="110">
        <v>44196</v>
      </c>
      <c r="G15" s="89">
        <v>10</v>
      </c>
      <c r="H15" s="89">
        <v>10</v>
      </c>
      <c r="I15" s="89"/>
    </row>
    <row r="16" s="45" customFormat="1" customHeight="1" spans="1:9">
      <c r="A16" s="103"/>
      <c r="B16" s="103"/>
      <c r="C16" s="100" t="s">
        <v>42</v>
      </c>
      <c r="D16" s="104" t="s">
        <v>43</v>
      </c>
      <c r="E16" s="89" t="s">
        <v>44</v>
      </c>
      <c r="F16" s="106">
        <v>0.88</v>
      </c>
      <c r="G16" s="89">
        <v>10</v>
      </c>
      <c r="H16" s="89">
        <v>2</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81</v>
      </c>
      <c r="E19" s="22" t="s">
        <v>81</v>
      </c>
      <c r="F19" s="22" t="s">
        <v>82</v>
      </c>
      <c r="G19" s="89">
        <v>30</v>
      </c>
      <c r="H19" s="89">
        <v>30</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83</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72</v>
      </c>
      <c r="I25" s="89" t="s">
        <v>84</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18" workbookViewId="0">
      <selection activeCell="F15" sqref="F15"/>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85</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450</v>
      </c>
      <c r="E6" s="89">
        <f t="shared" si="0"/>
        <v>450</v>
      </c>
      <c r="F6" s="89">
        <f t="shared" si="0"/>
        <v>368.28</v>
      </c>
      <c r="G6" s="89">
        <v>10</v>
      </c>
      <c r="H6" s="96">
        <f>F6/E6</f>
        <v>0.8184</v>
      </c>
      <c r="I6" s="89">
        <v>8</v>
      </c>
    </row>
    <row r="7" s="45" customFormat="1" ht="34.5" customHeight="1" spans="1:9">
      <c r="A7" s="94"/>
      <c r="B7" s="95"/>
      <c r="C7" s="89" t="s">
        <v>15</v>
      </c>
      <c r="D7" s="89">
        <v>450</v>
      </c>
      <c r="E7" s="89">
        <v>450</v>
      </c>
      <c r="F7" s="89">
        <v>368.28</v>
      </c>
      <c r="G7" s="89" t="s">
        <v>16</v>
      </c>
      <c r="H7" s="96">
        <f>F7/E7</f>
        <v>0.8184</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0" customHeight="1" spans="1:9">
      <c r="A11" s="102"/>
      <c r="B11" s="90" t="s">
        <v>86</v>
      </c>
      <c r="C11" s="91"/>
      <c r="D11" s="91"/>
      <c r="E11" s="101"/>
      <c r="F11" s="90" t="s">
        <v>87</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33" customHeight="1" spans="1:9">
      <c r="A13" s="103"/>
      <c r="B13" s="100" t="s">
        <v>31</v>
      </c>
      <c r="C13" s="100" t="s">
        <v>32</v>
      </c>
      <c r="D13" s="22" t="s">
        <v>88</v>
      </c>
      <c r="E13" s="89" t="s">
        <v>89</v>
      </c>
      <c r="F13" s="89" t="s">
        <v>90</v>
      </c>
      <c r="G13" s="89">
        <v>15</v>
      </c>
      <c r="H13" s="89">
        <v>15</v>
      </c>
      <c r="I13" s="89"/>
    </row>
    <row r="14" s="45" customFormat="1" ht="44" customHeight="1" spans="1:9">
      <c r="A14" s="103"/>
      <c r="B14" s="103"/>
      <c r="C14" s="100" t="s">
        <v>36</v>
      </c>
      <c r="D14" s="22" t="s">
        <v>91</v>
      </c>
      <c r="E14" s="106">
        <v>1</v>
      </c>
      <c r="F14" s="106">
        <v>1</v>
      </c>
      <c r="G14" s="89">
        <v>15</v>
      </c>
      <c r="H14" s="89">
        <v>15</v>
      </c>
      <c r="I14" s="89"/>
    </row>
    <row r="15" s="45" customFormat="1" customHeight="1" spans="1:9">
      <c r="A15" s="103"/>
      <c r="B15" s="103"/>
      <c r="C15" s="100" t="s">
        <v>39</v>
      </c>
      <c r="D15" s="104" t="s">
        <v>40</v>
      </c>
      <c r="E15" s="89" t="s">
        <v>41</v>
      </c>
      <c r="F15" s="110">
        <v>44196</v>
      </c>
      <c r="G15" s="89">
        <v>10</v>
      </c>
      <c r="H15" s="89">
        <v>10</v>
      </c>
      <c r="I15" s="89"/>
    </row>
    <row r="16" s="45" customFormat="1" customHeight="1" spans="1:9">
      <c r="A16" s="103"/>
      <c r="B16" s="103"/>
      <c r="C16" s="100" t="s">
        <v>42</v>
      </c>
      <c r="D16" s="104" t="s">
        <v>43</v>
      </c>
      <c r="E16" s="89" t="s">
        <v>44</v>
      </c>
      <c r="F16" s="106">
        <v>0.18</v>
      </c>
      <c r="G16" s="89">
        <v>10</v>
      </c>
      <c r="H16" s="89">
        <v>10</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92</v>
      </c>
      <c r="E19" s="22" t="s">
        <v>92</v>
      </c>
      <c r="F19" s="22" t="s">
        <v>93</v>
      </c>
      <c r="G19" s="89">
        <v>30</v>
      </c>
      <c r="H19" s="89">
        <v>30</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58" customHeight="1" spans="1:9">
      <c r="A24" s="103"/>
      <c r="B24" s="100" t="s">
        <v>52</v>
      </c>
      <c r="C24" s="100" t="s">
        <v>94</v>
      </c>
      <c r="D24" s="89" t="s">
        <v>95</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98</v>
      </c>
      <c r="I25" s="89" t="s">
        <v>57</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13" workbookViewId="0">
      <selection activeCell="F15" sqref="F15"/>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96</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1749.12</v>
      </c>
      <c r="E6" s="89">
        <f t="shared" si="0"/>
        <v>1149.12</v>
      </c>
      <c r="F6" s="89">
        <f t="shared" si="0"/>
        <v>999</v>
      </c>
      <c r="G6" s="89">
        <v>10</v>
      </c>
      <c r="H6" s="96">
        <f>F6/E6</f>
        <v>0.869360902255639</v>
      </c>
      <c r="I6" s="89">
        <v>10</v>
      </c>
    </row>
    <row r="7" s="45" customFormat="1" ht="34.5" customHeight="1" spans="1:9">
      <c r="A7" s="94"/>
      <c r="B7" s="95"/>
      <c r="C7" s="89" t="s">
        <v>15</v>
      </c>
      <c r="D7" s="97">
        <v>1749.12</v>
      </c>
      <c r="E7" s="97">
        <v>1149.12</v>
      </c>
      <c r="F7" s="89">
        <v>999</v>
      </c>
      <c r="G7" s="89" t="s">
        <v>16</v>
      </c>
      <c r="H7" s="96">
        <f>F7/E7</f>
        <v>0.869360902255639</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0" customHeight="1" spans="1:9">
      <c r="A11" s="102"/>
      <c r="B11" s="90" t="s">
        <v>97</v>
      </c>
      <c r="C11" s="91"/>
      <c r="D11" s="91"/>
      <c r="E11" s="101"/>
      <c r="F11" s="90" t="s">
        <v>98</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38" customHeight="1" spans="1:9">
      <c r="A13" s="103"/>
      <c r="B13" s="100" t="s">
        <v>31</v>
      </c>
      <c r="C13" s="100" t="s">
        <v>32</v>
      </c>
      <c r="D13" s="22" t="s">
        <v>99</v>
      </c>
      <c r="E13" s="104" t="s">
        <v>100</v>
      </c>
      <c r="F13" s="104" t="s">
        <v>100</v>
      </c>
      <c r="G13" s="89">
        <v>15</v>
      </c>
      <c r="H13" s="89">
        <v>15</v>
      </c>
      <c r="I13" s="89"/>
    </row>
    <row r="14" s="45" customFormat="1" ht="41" customHeight="1" spans="1:9">
      <c r="A14" s="103"/>
      <c r="B14" s="103"/>
      <c r="C14" s="100" t="s">
        <v>36</v>
      </c>
      <c r="D14" s="22" t="s">
        <v>101</v>
      </c>
      <c r="E14" s="105">
        <v>1</v>
      </c>
      <c r="F14" s="106">
        <v>1</v>
      </c>
      <c r="G14" s="89">
        <v>15</v>
      </c>
      <c r="H14" s="89">
        <v>15</v>
      </c>
      <c r="I14" s="89"/>
    </row>
    <row r="15" s="45" customFormat="1" ht="33" customHeight="1" spans="1:9">
      <c r="A15" s="103"/>
      <c r="B15" s="103"/>
      <c r="C15" s="100" t="s">
        <v>39</v>
      </c>
      <c r="D15" s="104" t="s">
        <v>40</v>
      </c>
      <c r="E15" s="89" t="s">
        <v>41</v>
      </c>
      <c r="F15" s="110">
        <v>44196</v>
      </c>
      <c r="G15" s="89">
        <v>10</v>
      </c>
      <c r="H15" s="89">
        <v>10</v>
      </c>
      <c r="I15" s="89"/>
    </row>
    <row r="16" s="45" customFormat="1" ht="31" customHeight="1" spans="1:9">
      <c r="A16" s="103"/>
      <c r="B16" s="103"/>
      <c r="C16" s="100" t="s">
        <v>42</v>
      </c>
      <c r="D16" s="104" t="s">
        <v>43</v>
      </c>
      <c r="E16" s="89" t="s">
        <v>44</v>
      </c>
      <c r="F16" s="106">
        <v>0.13</v>
      </c>
      <c r="G16" s="89">
        <v>10</v>
      </c>
      <c r="H16" s="89">
        <v>10</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102</v>
      </c>
      <c r="E19" s="22" t="s">
        <v>102</v>
      </c>
      <c r="F19" s="22" t="s">
        <v>103</v>
      </c>
      <c r="G19" s="89">
        <v>30</v>
      </c>
      <c r="H19" s="89">
        <v>27</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104</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97</v>
      </c>
      <c r="I25" s="89" t="s">
        <v>57</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16" workbookViewId="0">
      <selection activeCell="K10" sqref="K10"/>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105</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10</v>
      </c>
      <c r="E6" s="89">
        <f t="shared" si="0"/>
        <v>10</v>
      </c>
      <c r="F6" s="89">
        <f t="shared" si="0"/>
        <v>8.65</v>
      </c>
      <c r="G6" s="89">
        <v>10</v>
      </c>
      <c r="H6" s="96">
        <f>F6/E6</f>
        <v>0.865</v>
      </c>
      <c r="I6" s="89">
        <v>10</v>
      </c>
    </row>
    <row r="7" s="45" customFormat="1" ht="34.5" customHeight="1" spans="1:9">
      <c r="A7" s="94"/>
      <c r="B7" s="95"/>
      <c r="C7" s="89" t="s">
        <v>15</v>
      </c>
      <c r="D7" s="97">
        <v>10</v>
      </c>
      <c r="E7" s="97">
        <v>10</v>
      </c>
      <c r="F7" s="89">
        <v>8.65</v>
      </c>
      <c r="G7" s="89" t="s">
        <v>16</v>
      </c>
      <c r="H7" s="96">
        <f>F7/E7</f>
        <v>0.865</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0" customHeight="1" spans="1:9">
      <c r="A11" s="102"/>
      <c r="B11" s="90" t="s">
        <v>106</v>
      </c>
      <c r="C11" s="91"/>
      <c r="D11" s="91"/>
      <c r="E11" s="101"/>
      <c r="F11" s="90" t="s">
        <v>107</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41" customHeight="1" spans="1:9">
      <c r="A13" s="103"/>
      <c r="B13" s="100" t="s">
        <v>31</v>
      </c>
      <c r="C13" s="100" t="s">
        <v>32</v>
      </c>
      <c r="D13" s="22" t="s">
        <v>108</v>
      </c>
      <c r="E13" s="104" t="s">
        <v>109</v>
      </c>
      <c r="F13" s="104" t="s">
        <v>109</v>
      </c>
      <c r="G13" s="89">
        <v>15</v>
      </c>
      <c r="H13" s="89">
        <v>15</v>
      </c>
      <c r="I13" s="89"/>
    </row>
    <row r="14" s="45" customFormat="1" ht="76" customHeight="1" spans="1:9">
      <c r="A14" s="103"/>
      <c r="B14" s="103"/>
      <c r="C14" s="100" t="s">
        <v>36</v>
      </c>
      <c r="D14" s="22" t="s">
        <v>110</v>
      </c>
      <c r="E14" s="105">
        <v>1</v>
      </c>
      <c r="F14" s="106">
        <v>1</v>
      </c>
      <c r="G14" s="89">
        <v>15</v>
      </c>
      <c r="H14" s="89">
        <v>15</v>
      </c>
      <c r="I14" s="89"/>
    </row>
    <row r="15" s="45" customFormat="1" customHeight="1" spans="1:9">
      <c r="A15" s="103"/>
      <c r="B15" s="103"/>
      <c r="C15" s="100" t="s">
        <v>39</v>
      </c>
      <c r="D15" s="104" t="s">
        <v>40</v>
      </c>
      <c r="E15" s="104" t="s">
        <v>111</v>
      </c>
      <c r="F15" s="107">
        <v>44196</v>
      </c>
      <c r="G15" s="89">
        <v>10</v>
      </c>
      <c r="H15" s="89">
        <v>10</v>
      </c>
      <c r="I15" s="89"/>
    </row>
    <row r="16" s="45" customFormat="1" ht="31" customHeight="1" spans="1:9">
      <c r="A16" s="103"/>
      <c r="B16" s="103"/>
      <c r="C16" s="100" t="s">
        <v>42</v>
      </c>
      <c r="D16" s="104" t="s">
        <v>43</v>
      </c>
      <c r="E16" s="89" t="s">
        <v>44</v>
      </c>
      <c r="F16" s="106">
        <v>0.13</v>
      </c>
      <c r="G16" s="89">
        <v>10</v>
      </c>
      <c r="H16" s="89">
        <v>10</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112</v>
      </c>
      <c r="E19" s="22" t="s">
        <v>112</v>
      </c>
      <c r="F19" s="22" t="s">
        <v>113</v>
      </c>
      <c r="G19" s="89">
        <v>30</v>
      </c>
      <c r="H19" s="89">
        <v>26</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114</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96</v>
      </c>
      <c r="I25" s="89" t="s">
        <v>57</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22" workbookViewId="0">
      <selection activeCell="F15" sqref="F15"/>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115</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50</v>
      </c>
      <c r="E6" s="89">
        <f t="shared" si="0"/>
        <v>50</v>
      </c>
      <c r="F6" s="89">
        <f t="shared" si="0"/>
        <v>50</v>
      </c>
      <c r="G6" s="89">
        <v>10</v>
      </c>
      <c r="H6" s="96">
        <f>F6/E6</f>
        <v>1</v>
      </c>
      <c r="I6" s="89">
        <v>10</v>
      </c>
    </row>
    <row r="7" s="45" customFormat="1" ht="34.5" customHeight="1" spans="1:9">
      <c r="A7" s="94"/>
      <c r="B7" s="95"/>
      <c r="C7" s="89" t="s">
        <v>15</v>
      </c>
      <c r="D7" s="97">
        <v>50</v>
      </c>
      <c r="E7" s="97">
        <v>50</v>
      </c>
      <c r="F7" s="89">
        <v>50</v>
      </c>
      <c r="G7" s="89" t="s">
        <v>16</v>
      </c>
      <c r="H7" s="96">
        <f>F7/E7</f>
        <v>1</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0" customHeight="1" spans="1:9">
      <c r="A11" s="102"/>
      <c r="B11" s="90" t="s">
        <v>116</v>
      </c>
      <c r="C11" s="91"/>
      <c r="D11" s="91"/>
      <c r="E11" s="101"/>
      <c r="F11" s="90" t="s">
        <v>117</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41" customHeight="1" spans="1:9">
      <c r="A13" s="103"/>
      <c r="B13" s="100" t="s">
        <v>31</v>
      </c>
      <c r="C13" s="100" t="s">
        <v>32</v>
      </c>
      <c r="D13" s="22" t="s">
        <v>118</v>
      </c>
      <c r="E13" s="104" t="s">
        <v>119</v>
      </c>
      <c r="F13" s="104" t="s">
        <v>119</v>
      </c>
      <c r="G13" s="89">
        <v>10</v>
      </c>
      <c r="H13" s="89">
        <v>10</v>
      </c>
      <c r="I13" s="89"/>
    </row>
    <row r="14" s="45" customFormat="1" ht="76" customHeight="1" spans="1:9">
      <c r="A14" s="103"/>
      <c r="B14" s="103"/>
      <c r="C14" s="100" t="s">
        <v>36</v>
      </c>
      <c r="D14" s="22" t="s">
        <v>120</v>
      </c>
      <c r="E14" s="105">
        <v>1</v>
      </c>
      <c r="F14" s="106">
        <v>1</v>
      </c>
      <c r="G14" s="89">
        <v>20</v>
      </c>
      <c r="H14" s="89">
        <v>20</v>
      </c>
      <c r="I14" s="89"/>
    </row>
    <row r="15" s="45" customFormat="1" customHeight="1" spans="1:9">
      <c r="A15" s="103"/>
      <c r="B15" s="103"/>
      <c r="C15" s="100" t="s">
        <v>39</v>
      </c>
      <c r="D15" s="104" t="s">
        <v>40</v>
      </c>
      <c r="E15" s="104" t="s">
        <v>111</v>
      </c>
      <c r="F15" s="107" t="s">
        <v>121</v>
      </c>
      <c r="G15" s="89">
        <v>10</v>
      </c>
      <c r="H15" s="89">
        <v>10</v>
      </c>
      <c r="I15" s="89"/>
    </row>
    <row r="16" s="45" customFormat="1" ht="31" customHeight="1" spans="1:9">
      <c r="A16" s="103"/>
      <c r="B16" s="103"/>
      <c r="C16" s="100" t="s">
        <v>42</v>
      </c>
      <c r="D16" s="104" t="s">
        <v>43</v>
      </c>
      <c r="E16" s="89" t="s">
        <v>44</v>
      </c>
      <c r="F16" s="106">
        <v>0</v>
      </c>
      <c r="G16" s="89">
        <v>10</v>
      </c>
      <c r="H16" s="89">
        <v>10</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122</v>
      </c>
      <c r="E19" s="22" t="s">
        <v>122</v>
      </c>
      <c r="F19" s="22" t="s">
        <v>123</v>
      </c>
      <c r="G19" s="89">
        <v>30</v>
      </c>
      <c r="H19" s="89">
        <v>28</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124</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98</v>
      </c>
      <c r="I25" s="89" t="s">
        <v>57</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15" workbookViewId="0">
      <selection activeCell="G19" sqref="G19"/>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109" t="s">
        <v>1</v>
      </c>
      <c r="B2" s="109"/>
      <c r="C2" s="109"/>
      <c r="D2" s="109"/>
      <c r="E2" s="109"/>
      <c r="F2" s="109"/>
      <c r="G2" s="109"/>
      <c r="H2" s="109"/>
      <c r="I2" s="109"/>
    </row>
    <row r="3" s="45" customFormat="1" customHeight="1" spans="1:9">
      <c r="A3" s="89" t="s">
        <v>2</v>
      </c>
      <c r="B3" s="89"/>
      <c r="C3" s="89" t="s">
        <v>125</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1000</v>
      </c>
      <c r="E6" s="89">
        <f t="shared" si="0"/>
        <v>1000</v>
      </c>
      <c r="F6" s="89">
        <f t="shared" si="0"/>
        <v>178.48</v>
      </c>
      <c r="G6" s="89">
        <v>10</v>
      </c>
      <c r="H6" s="96">
        <f>F6/E6</f>
        <v>0.17848</v>
      </c>
      <c r="I6" s="89">
        <v>2</v>
      </c>
    </row>
    <row r="7" s="45" customFormat="1" ht="34.5" customHeight="1" spans="1:9">
      <c r="A7" s="94"/>
      <c r="B7" s="95"/>
      <c r="C7" s="89" t="s">
        <v>15</v>
      </c>
      <c r="D7" s="97">
        <v>1000</v>
      </c>
      <c r="E7" s="97">
        <v>1000</v>
      </c>
      <c r="F7" s="89">
        <v>178.48</v>
      </c>
      <c r="G7" s="89" t="s">
        <v>16</v>
      </c>
      <c r="H7" s="96">
        <f>F7/E7</f>
        <v>0.17848</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0" customHeight="1" spans="1:9">
      <c r="A11" s="102"/>
      <c r="B11" s="90" t="s">
        <v>126</v>
      </c>
      <c r="C11" s="91"/>
      <c r="D11" s="91"/>
      <c r="E11" s="101"/>
      <c r="F11" s="90" t="s">
        <v>127</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41" customHeight="1" spans="1:9">
      <c r="A13" s="103"/>
      <c r="B13" s="100" t="s">
        <v>31</v>
      </c>
      <c r="C13" s="100" t="s">
        <v>32</v>
      </c>
      <c r="D13" s="22" t="s">
        <v>128</v>
      </c>
      <c r="E13" s="104" t="s">
        <v>129</v>
      </c>
      <c r="F13" s="104" t="s">
        <v>130</v>
      </c>
      <c r="G13" s="89">
        <v>10</v>
      </c>
      <c r="H13" s="89">
        <v>10</v>
      </c>
      <c r="I13" s="89"/>
    </row>
    <row r="14" s="45" customFormat="1" ht="41" customHeight="1" spans="1:9">
      <c r="A14" s="103"/>
      <c r="B14" s="103"/>
      <c r="C14" s="100" t="s">
        <v>36</v>
      </c>
      <c r="D14" s="22" t="s">
        <v>131</v>
      </c>
      <c r="E14" s="105">
        <v>1</v>
      </c>
      <c r="F14" s="106">
        <v>1</v>
      </c>
      <c r="G14" s="89">
        <v>20</v>
      </c>
      <c r="H14" s="89">
        <v>20</v>
      </c>
      <c r="I14" s="89"/>
    </row>
    <row r="15" s="45" customFormat="1" customHeight="1" spans="1:9">
      <c r="A15" s="103"/>
      <c r="B15" s="103"/>
      <c r="C15" s="100" t="s">
        <v>39</v>
      </c>
      <c r="D15" s="104" t="s">
        <v>40</v>
      </c>
      <c r="E15" s="104" t="s">
        <v>111</v>
      </c>
      <c r="F15" s="107" t="s">
        <v>121</v>
      </c>
      <c r="G15" s="89">
        <v>10</v>
      </c>
      <c r="H15" s="89">
        <v>10</v>
      </c>
      <c r="I15" s="89"/>
    </row>
    <row r="16" s="45" customFormat="1" ht="31" customHeight="1" spans="1:9">
      <c r="A16" s="103"/>
      <c r="B16" s="103"/>
      <c r="C16" s="100" t="s">
        <v>42</v>
      </c>
      <c r="D16" s="104" t="s">
        <v>132</v>
      </c>
      <c r="E16" s="89" t="s">
        <v>44</v>
      </c>
      <c r="F16" s="106">
        <v>0.82</v>
      </c>
      <c r="G16" s="89">
        <v>10</v>
      </c>
      <c r="H16" s="89">
        <v>2</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133</v>
      </c>
      <c r="E19" s="22" t="s">
        <v>133</v>
      </c>
      <c r="F19" s="22" t="s">
        <v>134</v>
      </c>
      <c r="G19" s="89">
        <v>30</v>
      </c>
      <c r="H19" s="89">
        <v>28</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135</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82</v>
      </c>
      <c r="I25" s="89" t="s">
        <v>136</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22" workbookViewId="0">
      <selection activeCell="F15" sqref="F15"/>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66" t="s">
        <v>1</v>
      </c>
      <c r="B2" s="66"/>
      <c r="C2" s="66"/>
      <c r="D2" s="66"/>
      <c r="E2" s="66"/>
      <c r="F2" s="66"/>
      <c r="G2" s="66"/>
      <c r="H2" s="66"/>
      <c r="I2" s="66"/>
    </row>
    <row r="3" s="45" customFormat="1" customHeight="1" spans="1:9">
      <c r="A3" s="89" t="s">
        <v>2</v>
      </c>
      <c r="B3" s="89"/>
      <c r="C3" s="89" t="s">
        <v>137</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900</v>
      </c>
      <c r="E6" s="89">
        <f t="shared" si="0"/>
        <v>900</v>
      </c>
      <c r="F6" s="89">
        <f t="shared" si="0"/>
        <v>0</v>
      </c>
      <c r="G6" s="89">
        <v>10</v>
      </c>
      <c r="H6" s="96">
        <f>F6/E6</f>
        <v>0</v>
      </c>
      <c r="I6" s="89">
        <v>0</v>
      </c>
    </row>
    <row r="7" s="45" customFormat="1" ht="34.5" customHeight="1" spans="1:9">
      <c r="A7" s="94"/>
      <c r="B7" s="95"/>
      <c r="C7" s="89" t="s">
        <v>15</v>
      </c>
      <c r="D7" s="97">
        <v>900</v>
      </c>
      <c r="E7" s="97">
        <v>900</v>
      </c>
      <c r="F7" s="89">
        <v>0</v>
      </c>
      <c r="G7" s="89" t="s">
        <v>16</v>
      </c>
      <c r="H7" s="96">
        <f>F7/E7</f>
        <v>0</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7" customHeight="1" spans="1:9">
      <c r="A11" s="102"/>
      <c r="B11" s="90" t="s">
        <v>138</v>
      </c>
      <c r="C11" s="91"/>
      <c r="D11" s="91"/>
      <c r="E11" s="101"/>
      <c r="F11" s="90" t="s">
        <v>139</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41" customHeight="1" spans="1:9">
      <c r="A13" s="103"/>
      <c r="B13" s="100" t="s">
        <v>31</v>
      </c>
      <c r="C13" s="100" t="s">
        <v>32</v>
      </c>
      <c r="D13" s="22" t="s">
        <v>128</v>
      </c>
      <c r="E13" s="104" t="s">
        <v>140</v>
      </c>
      <c r="F13" s="104" t="s">
        <v>141</v>
      </c>
      <c r="G13" s="89">
        <v>10</v>
      </c>
      <c r="H13" s="89">
        <v>10</v>
      </c>
      <c r="I13" s="89"/>
    </row>
    <row r="14" s="45" customFormat="1" ht="48" customHeight="1" spans="1:9">
      <c r="A14" s="103"/>
      <c r="B14" s="103"/>
      <c r="C14" s="100" t="s">
        <v>36</v>
      </c>
      <c r="D14" s="22" t="s">
        <v>142</v>
      </c>
      <c r="E14" s="105">
        <v>1</v>
      </c>
      <c r="F14" s="106">
        <v>1</v>
      </c>
      <c r="G14" s="89">
        <v>20</v>
      </c>
      <c r="H14" s="89">
        <v>20</v>
      </c>
      <c r="I14" s="89"/>
    </row>
    <row r="15" s="45" customFormat="1" customHeight="1" spans="1:9">
      <c r="A15" s="103"/>
      <c r="B15" s="103"/>
      <c r="C15" s="100" t="s">
        <v>39</v>
      </c>
      <c r="D15" s="104" t="s">
        <v>40</v>
      </c>
      <c r="E15" s="104" t="s">
        <v>111</v>
      </c>
      <c r="F15" s="107" t="s">
        <v>121</v>
      </c>
      <c r="G15" s="89">
        <v>10</v>
      </c>
      <c r="H15" s="89">
        <v>10</v>
      </c>
      <c r="I15" s="89"/>
    </row>
    <row r="16" s="45" customFormat="1" ht="31" customHeight="1" spans="1:9">
      <c r="A16" s="103"/>
      <c r="B16" s="103"/>
      <c r="C16" s="100" t="s">
        <v>42</v>
      </c>
      <c r="D16" s="104" t="s">
        <v>132</v>
      </c>
      <c r="E16" s="104" t="s">
        <v>143</v>
      </c>
      <c r="F16" s="89" t="s">
        <v>144</v>
      </c>
      <c r="G16" s="89">
        <v>10</v>
      </c>
      <c r="H16" s="89">
        <v>0</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145</v>
      </c>
      <c r="E19" s="22" t="s">
        <v>145</v>
      </c>
      <c r="F19" s="22" t="s">
        <v>146</v>
      </c>
      <c r="G19" s="89">
        <v>30</v>
      </c>
      <c r="H19" s="89">
        <v>29</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135</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79</v>
      </c>
      <c r="I25" s="89" t="s">
        <v>84</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5"/>
  <sheetViews>
    <sheetView topLeftCell="A9" workbookViewId="0">
      <selection activeCell="K12" sqref="K12"/>
    </sheetView>
  </sheetViews>
  <sheetFormatPr defaultColWidth="13.875" defaultRowHeight="24.95" customHeight="1"/>
  <cols>
    <col min="1" max="1" width="6.875" style="44" customWidth="1"/>
    <col min="2" max="2" width="10.25" style="44" customWidth="1"/>
    <col min="3" max="5" width="13.875" style="44"/>
    <col min="6" max="6" width="14.875" style="44"/>
    <col min="7" max="16384" width="13.875" style="44"/>
  </cols>
  <sheetData>
    <row r="1" ht="36" customHeight="1" spans="1:9">
      <c r="A1" s="65" t="s">
        <v>0</v>
      </c>
      <c r="B1" s="65"/>
      <c r="C1" s="65"/>
      <c r="D1" s="65"/>
      <c r="E1" s="65"/>
      <c r="F1" s="65"/>
      <c r="G1" s="65"/>
      <c r="H1" s="65"/>
      <c r="I1" s="65"/>
    </row>
    <row r="2" s="45" customFormat="1" customHeight="1" spans="1:9">
      <c r="A2" s="66" t="s">
        <v>1</v>
      </c>
      <c r="B2" s="66"/>
      <c r="C2" s="66"/>
      <c r="D2" s="66"/>
      <c r="E2" s="66"/>
      <c r="F2" s="66"/>
      <c r="G2" s="66"/>
      <c r="H2" s="66"/>
      <c r="I2" s="66"/>
    </row>
    <row r="3" s="45" customFormat="1" customHeight="1" spans="1:9">
      <c r="A3" s="89" t="s">
        <v>2</v>
      </c>
      <c r="B3" s="89"/>
      <c r="C3" s="89" t="s">
        <v>147</v>
      </c>
      <c r="D3" s="89"/>
      <c r="E3" s="89"/>
      <c r="F3" s="89"/>
      <c r="G3" s="89"/>
      <c r="H3" s="89"/>
      <c r="I3" s="89"/>
    </row>
    <row r="4" s="45" customFormat="1" customHeight="1" spans="1:9">
      <c r="A4" s="90" t="s">
        <v>4</v>
      </c>
      <c r="B4" s="91"/>
      <c r="C4" s="89" t="s">
        <v>5</v>
      </c>
      <c r="D4" s="89"/>
      <c r="E4" s="89"/>
      <c r="F4" s="89" t="s">
        <v>6</v>
      </c>
      <c r="G4" s="90" t="s">
        <v>5</v>
      </c>
      <c r="H4" s="91"/>
      <c r="I4" s="101"/>
    </row>
    <row r="5" s="45" customFormat="1" customHeight="1" spans="1:9">
      <c r="A5" s="92" t="s">
        <v>7</v>
      </c>
      <c r="B5" s="93"/>
      <c r="C5" s="89"/>
      <c r="D5" s="89" t="s">
        <v>8</v>
      </c>
      <c r="E5" s="89" t="s">
        <v>9</v>
      </c>
      <c r="F5" s="89" t="s">
        <v>10</v>
      </c>
      <c r="G5" s="89" t="s">
        <v>11</v>
      </c>
      <c r="H5" s="89" t="s">
        <v>12</v>
      </c>
      <c r="I5" s="89" t="s">
        <v>13</v>
      </c>
    </row>
    <row r="6" s="45" customFormat="1" customHeight="1" spans="1:9">
      <c r="A6" s="94"/>
      <c r="B6" s="95"/>
      <c r="C6" s="89" t="s">
        <v>14</v>
      </c>
      <c r="D6" s="89">
        <f t="shared" ref="D6:F6" si="0">SUM(D7:D9)</f>
        <v>1000</v>
      </c>
      <c r="E6" s="89">
        <f t="shared" si="0"/>
        <v>1000</v>
      </c>
      <c r="F6" s="89">
        <f t="shared" si="0"/>
        <v>0</v>
      </c>
      <c r="G6" s="89">
        <v>10</v>
      </c>
      <c r="H6" s="96">
        <f>F6/E6</f>
        <v>0</v>
      </c>
      <c r="I6" s="89">
        <v>0</v>
      </c>
    </row>
    <row r="7" s="45" customFormat="1" ht="34.5" customHeight="1" spans="1:9">
      <c r="A7" s="94"/>
      <c r="B7" s="95"/>
      <c r="C7" s="89" t="s">
        <v>15</v>
      </c>
      <c r="D7" s="97">
        <v>1000</v>
      </c>
      <c r="E7" s="97">
        <v>1000</v>
      </c>
      <c r="F7" s="89">
        <v>0</v>
      </c>
      <c r="G7" s="89" t="s">
        <v>16</v>
      </c>
      <c r="H7" s="96">
        <f>F7/E7</f>
        <v>0</v>
      </c>
      <c r="I7" s="89" t="s">
        <v>16</v>
      </c>
    </row>
    <row r="8" s="45" customFormat="1" customHeight="1" spans="1:9">
      <c r="A8" s="94"/>
      <c r="B8" s="95"/>
      <c r="C8" s="89" t="s">
        <v>17</v>
      </c>
      <c r="D8" s="89"/>
      <c r="E8" s="89"/>
      <c r="F8" s="89"/>
      <c r="G8" s="89" t="s">
        <v>16</v>
      </c>
      <c r="H8" s="89"/>
      <c r="I8" s="89" t="s">
        <v>16</v>
      </c>
    </row>
    <row r="9" s="45" customFormat="1" customHeight="1" spans="1:9">
      <c r="A9" s="98"/>
      <c r="B9" s="99"/>
      <c r="C9" s="89" t="s">
        <v>18</v>
      </c>
      <c r="D9" s="89"/>
      <c r="E9" s="89"/>
      <c r="F9" s="89"/>
      <c r="G9" s="89" t="s">
        <v>16</v>
      </c>
      <c r="H9" s="89"/>
      <c r="I9" s="89" t="s">
        <v>16</v>
      </c>
    </row>
    <row r="10" s="45" customFormat="1" ht="30" customHeight="1" spans="1:9">
      <c r="A10" s="100" t="s">
        <v>19</v>
      </c>
      <c r="B10" s="90" t="s">
        <v>20</v>
      </c>
      <c r="C10" s="91"/>
      <c r="D10" s="91"/>
      <c r="E10" s="101"/>
      <c r="F10" s="90" t="s">
        <v>21</v>
      </c>
      <c r="G10" s="91"/>
      <c r="H10" s="91"/>
      <c r="I10" s="101"/>
    </row>
    <row r="11" s="45" customFormat="1" ht="87" customHeight="1" spans="1:9">
      <c r="A11" s="102"/>
      <c r="B11" s="90" t="s">
        <v>148</v>
      </c>
      <c r="C11" s="91"/>
      <c r="D11" s="91"/>
      <c r="E11" s="101"/>
      <c r="F11" s="90" t="s">
        <v>149</v>
      </c>
      <c r="G11" s="91"/>
      <c r="H11" s="91"/>
      <c r="I11" s="101"/>
    </row>
    <row r="12" s="45" customFormat="1" ht="41.25" customHeight="1" spans="1:9">
      <c r="A12" s="100" t="s">
        <v>24</v>
      </c>
      <c r="B12" s="89" t="s">
        <v>25</v>
      </c>
      <c r="C12" s="89" t="s">
        <v>26</v>
      </c>
      <c r="D12" s="89" t="s">
        <v>27</v>
      </c>
      <c r="E12" s="89" t="s">
        <v>28</v>
      </c>
      <c r="F12" s="89" t="s">
        <v>29</v>
      </c>
      <c r="G12" s="89" t="s">
        <v>11</v>
      </c>
      <c r="H12" s="89" t="s">
        <v>13</v>
      </c>
      <c r="I12" s="89" t="s">
        <v>30</v>
      </c>
    </row>
    <row r="13" s="45" customFormat="1" ht="41" customHeight="1" spans="1:9">
      <c r="A13" s="103"/>
      <c r="B13" s="100" t="s">
        <v>31</v>
      </c>
      <c r="C13" s="100" t="s">
        <v>32</v>
      </c>
      <c r="D13" s="22" t="s">
        <v>150</v>
      </c>
      <c r="E13" s="104" t="s">
        <v>151</v>
      </c>
      <c r="F13" s="104">
        <v>1700</v>
      </c>
      <c r="G13" s="89">
        <v>10</v>
      </c>
      <c r="H13" s="89">
        <v>6</v>
      </c>
      <c r="I13" s="89"/>
    </row>
    <row r="14" s="45" customFormat="1" ht="76" customHeight="1" spans="1:9">
      <c r="A14" s="103"/>
      <c r="B14" s="103"/>
      <c r="C14" s="100" t="s">
        <v>36</v>
      </c>
      <c r="D14" s="22" t="s">
        <v>152</v>
      </c>
      <c r="E14" s="105">
        <v>1</v>
      </c>
      <c r="F14" s="106">
        <v>1</v>
      </c>
      <c r="G14" s="89">
        <v>20</v>
      </c>
      <c r="H14" s="89">
        <v>20</v>
      </c>
      <c r="I14" s="89"/>
    </row>
    <row r="15" s="45" customFormat="1" customHeight="1" spans="1:9">
      <c r="A15" s="103"/>
      <c r="B15" s="103"/>
      <c r="C15" s="100" t="s">
        <v>39</v>
      </c>
      <c r="D15" s="104" t="s">
        <v>40</v>
      </c>
      <c r="E15" s="104" t="s">
        <v>111</v>
      </c>
      <c r="F15" s="107" t="s">
        <v>121</v>
      </c>
      <c r="G15" s="89">
        <v>10</v>
      </c>
      <c r="H15" s="89">
        <v>10</v>
      </c>
      <c r="I15" s="89"/>
    </row>
    <row r="16" s="45" customFormat="1" ht="31" customHeight="1" spans="1:9">
      <c r="A16" s="103"/>
      <c r="B16" s="103"/>
      <c r="C16" s="100" t="s">
        <v>42</v>
      </c>
      <c r="D16" s="104" t="s">
        <v>132</v>
      </c>
      <c r="E16" s="104" t="s">
        <v>153</v>
      </c>
      <c r="F16" s="89" t="s">
        <v>144</v>
      </c>
      <c r="G16" s="89">
        <v>10</v>
      </c>
      <c r="H16" s="89">
        <v>0</v>
      </c>
      <c r="I16" s="89"/>
    </row>
    <row r="17" s="45" customFormat="1" customHeight="1" spans="1:9">
      <c r="A17" s="103"/>
      <c r="B17" s="100" t="s">
        <v>45</v>
      </c>
      <c r="C17" s="92" t="s">
        <v>46</v>
      </c>
      <c r="D17" s="108"/>
      <c r="E17" s="108"/>
      <c r="F17" s="108"/>
      <c r="G17" s="108"/>
      <c r="H17" s="108"/>
      <c r="I17" s="108"/>
    </row>
    <row r="18" s="45" customFormat="1" customHeight="1" spans="1:9">
      <c r="A18" s="103"/>
      <c r="B18" s="103"/>
      <c r="C18" s="98"/>
      <c r="D18" s="108"/>
      <c r="E18" s="108"/>
      <c r="F18" s="108"/>
      <c r="G18" s="108"/>
      <c r="H18" s="108"/>
      <c r="I18" s="108"/>
    </row>
    <row r="19" s="45" customFormat="1" ht="73" customHeight="1" spans="1:9">
      <c r="A19" s="103"/>
      <c r="B19" s="103"/>
      <c r="C19" s="100" t="s">
        <v>47</v>
      </c>
      <c r="D19" s="22" t="s">
        <v>154</v>
      </c>
      <c r="E19" s="22" t="s">
        <v>154</v>
      </c>
      <c r="F19" s="22" t="s">
        <v>146</v>
      </c>
      <c r="G19" s="89">
        <v>30</v>
      </c>
      <c r="H19" s="89">
        <v>29</v>
      </c>
      <c r="I19" s="89"/>
    </row>
    <row r="20" s="45" customFormat="1" customHeight="1" spans="1:9">
      <c r="A20" s="103"/>
      <c r="B20" s="103"/>
      <c r="C20" s="100" t="s">
        <v>50</v>
      </c>
      <c r="D20" s="108"/>
      <c r="E20" s="108"/>
      <c r="F20" s="108"/>
      <c r="G20" s="108"/>
      <c r="H20" s="108"/>
      <c r="I20" s="108"/>
    </row>
    <row r="21" s="45" customFormat="1" customHeight="1" spans="1:9">
      <c r="A21" s="103"/>
      <c r="B21" s="103"/>
      <c r="C21" s="102"/>
      <c r="D21" s="108"/>
      <c r="E21" s="108"/>
      <c r="F21" s="108"/>
      <c r="G21" s="108"/>
      <c r="H21" s="108"/>
      <c r="I21" s="108"/>
    </row>
    <row r="22" s="45" customFormat="1" customHeight="1" spans="1:9">
      <c r="A22" s="103"/>
      <c r="B22" s="103"/>
      <c r="C22" s="100" t="s">
        <v>51</v>
      </c>
      <c r="D22" s="108"/>
      <c r="E22" s="108"/>
      <c r="F22" s="108"/>
      <c r="G22" s="108"/>
      <c r="H22" s="108"/>
      <c r="I22" s="108"/>
    </row>
    <row r="23" s="45" customFormat="1" customHeight="1" spans="1:9">
      <c r="A23" s="103"/>
      <c r="B23" s="102"/>
      <c r="C23" s="102"/>
      <c r="D23" s="108"/>
      <c r="E23" s="108"/>
      <c r="F23" s="108"/>
      <c r="G23" s="108"/>
      <c r="H23" s="108"/>
      <c r="I23" s="108"/>
    </row>
    <row r="24" s="45" customFormat="1" ht="46" customHeight="1" spans="1:9">
      <c r="A24" s="103"/>
      <c r="B24" s="100" t="s">
        <v>52</v>
      </c>
      <c r="C24" s="100" t="s">
        <v>53</v>
      </c>
      <c r="D24" s="89" t="s">
        <v>135</v>
      </c>
      <c r="E24" s="106" t="s">
        <v>73</v>
      </c>
      <c r="F24" s="106">
        <v>0.95</v>
      </c>
      <c r="G24" s="89">
        <v>10</v>
      </c>
      <c r="H24" s="89">
        <v>10</v>
      </c>
      <c r="I24" s="89"/>
    </row>
    <row r="25" s="45" customFormat="1" customHeight="1" spans="1:9">
      <c r="A25" s="89" t="s">
        <v>56</v>
      </c>
      <c r="B25" s="89"/>
      <c r="C25" s="89"/>
      <c r="D25" s="89"/>
      <c r="E25" s="89"/>
      <c r="F25" s="89"/>
      <c r="G25" s="89">
        <f>SUM(G13:G24,G6)</f>
        <v>100</v>
      </c>
      <c r="H25" s="89">
        <f>SUM(H13:H24,I6)</f>
        <v>75</v>
      </c>
      <c r="I25" s="89" t="s">
        <v>84</v>
      </c>
    </row>
  </sheetData>
  <mergeCells count="19">
    <mergeCell ref="A1:I1"/>
    <mergeCell ref="A2:I2"/>
    <mergeCell ref="A3:B3"/>
    <mergeCell ref="C3:I3"/>
    <mergeCell ref="A4:B4"/>
    <mergeCell ref="C4:E4"/>
    <mergeCell ref="G4:I4"/>
    <mergeCell ref="B10:E10"/>
    <mergeCell ref="F10:I10"/>
    <mergeCell ref="B11:E11"/>
    <mergeCell ref="F11:I11"/>
    <mergeCell ref="A10:A11"/>
    <mergeCell ref="A12:A24"/>
    <mergeCell ref="B13:B16"/>
    <mergeCell ref="B17:B23"/>
    <mergeCell ref="C17:C18"/>
    <mergeCell ref="C20:C21"/>
    <mergeCell ref="C22:C23"/>
    <mergeCell ref="A5:B9"/>
  </mergeCells>
  <pageMargins left="0.7" right="0.7" top="0.75" bottom="0.75" header="0.3" footer="0.3"/>
  <pageSetup paperSize="9" scale="7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topLeftCell="A21" workbookViewId="0">
      <selection activeCell="A24" sqref="$A24:$XFD24"/>
    </sheetView>
  </sheetViews>
  <sheetFormatPr defaultColWidth="13.875" defaultRowHeight="24.95" customHeight="1"/>
  <cols>
    <col min="1" max="1" width="8.5" style="44" customWidth="1"/>
    <col min="2" max="2" width="7.5" style="44" customWidth="1"/>
    <col min="3" max="3" width="13.875" style="44"/>
    <col min="4" max="4" width="14" style="44" customWidth="1"/>
    <col min="5" max="5" width="18.5" style="44" customWidth="1"/>
    <col min="6" max="6" width="11.875" style="44" customWidth="1"/>
    <col min="7" max="7" width="10.125" style="44" customWidth="1"/>
    <col min="8" max="8" width="13.75" style="44" customWidth="1"/>
    <col min="9" max="16384" width="13.875" style="44"/>
  </cols>
  <sheetData>
    <row r="1" s="44" customFormat="1" customHeight="1" spans="1:2">
      <c r="A1" s="46"/>
      <c r="B1" s="46"/>
    </row>
    <row r="2" s="44"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5" t="s">
        <v>156</v>
      </c>
      <c r="D4" s="5"/>
      <c r="E4" s="5"/>
      <c r="F4" s="5"/>
      <c r="G4" s="5"/>
      <c r="H4" s="5"/>
      <c r="I4" s="5"/>
    </row>
    <row r="5" s="45" customFormat="1" customHeight="1" spans="1:9">
      <c r="A5" s="68" t="s">
        <v>4</v>
      </c>
      <c r="B5" s="69"/>
      <c r="C5" s="5" t="s">
        <v>5</v>
      </c>
      <c r="D5" s="5"/>
      <c r="E5" s="5"/>
      <c r="F5" s="5" t="s">
        <v>6</v>
      </c>
      <c r="G5" s="6" t="s">
        <v>157</v>
      </c>
      <c r="H5" s="7"/>
      <c r="I5" s="16"/>
    </row>
    <row r="6" s="45" customFormat="1" customHeight="1" spans="1:9">
      <c r="A6" s="70" t="s">
        <v>7</v>
      </c>
      <c r="B6" s="71"/>
      <c r="C6" s="67"/>
      <c r="D6" s="67" t="s">
        <v>8</v>
      </c>
      <c r="E6" s="67" t="s">
        <v>9</v>
      </c>
      <c r="F6" s="67" t="s">
        <v>10</v>
      </c>
      <c r="G6" s="67" t="s">
        <v>11</v>
      </c>
      <c r="H6" s="67" t="s">
        <v>12</v>
      </c>
      <c r="I6" s="67" t="s">
        <v>13</v>
      </c>
    </row>
    <row r="7" s="45" customFormat="1" customHeight="1" spans="1:9">
      <c r="A7" s="72"/>
      <c r="B7" s="73"/>
      <c r="C7" s="67" t="s">
        <v>14</v>
      </c>
      <c r="D7" s="5">
        <f t="shared" ref="D7:F7" si="0">D8</f>
        <v>500</v>
      </c>
      <c r="E7" s="5">
        <f t="shared" si="0"/>
        <v>700</v>
      </c>
      <c r="F7" s="5">
        <f t="shared" si="0"/>
        <v>700</v>
      </c>
      <c r="G7" s="5">
        <v>10</v>
      </c>
      <c r="H7" s="12">
        <f>H8</f>
        <v>1</v>
      </c>
      <c r="I7" s="5">
        <f>G7*H7</f>
        <v>10</v>
      </c>
    </row>
    <row r="8" s="45" customFormat="1" ht="34.5" customHeight="1" spans="1:9">
      <c r="A8" s="72"/>
      <c r="B8" s="73"/>
      <c r="C8" s="67" t="s">
        <v>15</v>
      </c>
      <c r="D8" s="5">
        <v>500</v>
      </c>
      <c r="E8" s="5">
        <v>700</v>
      </c>
      <c r="F8" s="5">
        <v>700</v>
      </c>
      <c r="G8" s="5" t="s">
        <v>16</v>
      </c>
      <c r="H8" s="12">
        <f>F8/E8</f>
        <v>1</v>
      </c>
      <c r="I8" s="5" t="s">
        <v>16</v>
      </c>
    </row>
    <row r="9" s="45" customFormat="1" customHeight="1" spans="1:9">
      <c r="A9" s="72"/>
      <c r="B9" s="73"/>
      <c r="C9" s="67" t="s">
        <v>17</v>
      </c>
      <c r="D9" s="5">
        <v>0</v>
      </c>
      <c r="E9" s="5">
        <v>0</v>
      </c>
      <c r="F9" s="5">
        <v>0</v>
      </c>
      <c r="G9" s="5" t="s">
        <v>16</v>
      </c>
      <c r="H9" s="12">
        <v>0</v>
      </c>
      <c r="I9" s="5" t="s">
        <v>16</v>
      </c>
    </row>
    <row r="10" s="45" customFormat="1" customHeight="1" spans="1:9">
      <c r="A10" s="74"/>
      <c r="B10" s="75"/>
      <c r="C10" s="67"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84" customHeight="1" spans="1:9">
      <c r="A12" s="78"/>
      <c r="B12" s="48" t="s">
        <v>158</v>
      </c>
      <c r="C12" s="49"/>
      <c r="D12" s="49"/>
      <c r="E12" s="61"/>
      <c r="F12" s="48" t="s">
        <v>159</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30" customHeight="1" spans="1:9">
      <c r="A14" s="79"/>
      <c r="B14" s="76" t="s">
        <v>31</v>
      </c>
      <c r="C14" s="76" t="s">
        <v>32</v>
      </c>
      <c r="D14" s="88" t="s">
        <v>160</v>
      </c>
      <c r="E14" s="50" t="s">
        <v>161</v>
      </c>
      <c r="F14" s="50" t="s">
        <v>161</v>
      </c>
      <c r="G14" s="5">
        <v>20</v>
      </c>
      <c r="H14" s="5">
        <v>20</v>
      </c>
      <c r="I14" s="50" t="s">
        <v>162</v>
      </c>
    </row>
    <row r="15" s="45" customFormat="1" ht="25" customHeight="1" spans="1:9">
      <c r="A15" s="79"/>
      <c r="B15" s="79"/>
      <c r="C15" s="76" t="s">
        <v>36</v>
      </c>
      <c r="D15" s="88" t="s">
        <v>163</v>
      </c>
      <c r="E15" s="51">
        <v>1</v>
      </c>
      <c r="F15" s="51">
        <v>1</v>
      </c>
      <c r="G15" s="5">
        <v>10</v>
      </c>
      <c r="H15" s="5">
        <v>10</v>
      </c>
      <c r="I15" s="50" t="s">
        <v>162</v>
      </c>
    </row>
    <row r="16" s="45" customFormat="1" ht="24" customHeight="1" spans="1:9">
      <c r="A16" s="79"/>
      <c r="B16" s="79"/>
      <c r="C16" s="76" t="s">
        <v>39</v>
      </c>
      <c r="D16" s="53" t="s">
        <v>164</v>
      </c>
      <c r="E16" s="5" t="s">
        <v>41</v>
      </c>
      <c r="F16" s="5" t="s">
        <v>41</v>
      </c>
      <c r="G16" s="5">
        <v>10</v>
      </c>
      <c r="H16" s="5">
        <v>10</v>
      </c>
      <c r="I16" s="50" t="s">
        <v>162</v>
      </c>
    </row>
    <row r="17" s="45" customFormat="1" customHeight="1" spans="1:9">
      <c r="A17" s="79"/>
      <c r="B17" s="79"/>
      <c r="C17" s="76" t="s">
        <v>42</v>
      </c>
      <c r="D17" s="54" t="s">
        <v>165</v>
      </c>
      <c r="E17" s="27">
        <v>0.8</v>
      </c>
      <c r="F17" s="27">
        <v>1</v>
      </c>
      <c r="G17" s="5">
        <v>10</v>
      </c>
      <c r="H17" s="5">
        <v>10</v>
      </c>
      <c r="I17" s="50" t="s">
        <v>162</v>
      </c>
    </row>
    <row r="18" s="45" customFormat="1" ht="32" customHeight="1" spans="1:9">
      <c r="A18" s="79"/>
      <c r="B18" s="76" t="s">
        <v>45</v>
      </c>
      <c r="C18" s="76" t="s">
        <v>46</v>
      </c>
      <c r="D18" s="54" t="s">
        <v>162</v>
      </c>
      <c r="E18" s="54" t="s">
        <v>162</v>
      </c>
      <c r="F18" s="54" t="s">
        <v>162</v>
      </c>
      <c r="G18" s="50" t="s">
        <v>162</v>
      </c>
      <c r="H18" s="50" t="s">
        <v>162</v>
      </c>
      <c r="I18" s="50" t="s">
        <v>162</v>
      </c>
    </row>
    <row r="19" s="45" customFormat="1" ht="75" customHeight="1" spans="1:9">
      <c r="A19" s="79"/>
      <c r="B19" s="79"/>
      <c r="C19" s="76" t="s">
        <v>47</v>
      </c>
      <c r="D19" s="53" t="s">
        <v>166</v>
      </c>
      <c r="E19" s="53" t="s">
        <v>167</v>
      </c>
      <c r="F19" s="53" t="s">
        <v>168</v>
      </c>
      <c r="G19" s="5">
        <v>30</v>
      </c>
      <c r="H19" s="5">
        <v>29</v>
      </c>
      <c r="I19" s="50" t="s">
        <v>162</v>
      </c>
    </row>
    <row r="20" s="45" customFormat="1" ht="32" customHeight="1" spans="1:9">
      <c r="A20" s="79"/>
      <c r="B20" s="79"/>
      <c r="C20" s="76" t="s">
        <v>50</v>
      </c>
      <c r="D20" s="54" t="s">
        <v>162</v>
      </c>
      <c r="E20" s="54" t="s">
        <v>162</v>
      </c>
      <c r="F20" s="54" t="s">
        <v>162</v>
      </c>
      <c r="G20" s="50" t="s">
        <v>162</v>
      </c>
      <c r="H20" s="50" t="s">
        <v>162</v>
      </c>
      <c r="I20" s="50" t="s">
        <v>162</v>
      </c>
    </row>
    <row r="21" s="45" customFormat="1" ht="32" customHeight="1" spans="1:9">
      <c r="A21" s="79"/>
      <c r="B21" s="79"/>
      <c r="C21" s="76" t="s">
        <v>51</v>
      </c>
      <c r="D21" s="54" t="s">
        <v>162</v>
      </c>
      <c r="E21" s="54" t="s">
        <v>162</v>
      </c>
      <c r="F21" s="54" t="s">
        <v>162</v>
      </c>
      <c r="G21" s="50" t="s">
        <v>162</v>
      </c>
      <c r="H21" s="50" t="s">
        <v>162</v>
      </c>
      <c r="I21" s="50" t="s">
        <v>162</v>
      </c>
    </row>
    <row r="22" s="45" customFormat="1" ht="72" customHeight="1" spans="1:9">
      <c r="A22" s="79"/>
      <c r="B22" s="76" t="s">
        <v>52</v>
      </c>
      <c r="C22" s="76" t="s">
        <v>53</v>
      </c>
      <c r="D22" s="53" t="s">
        <v>94</v>
      </c>
      <c r="E22" s="53" t="s">
        <v>169</v>
      </c>
      <c r="F22" s="57">
        <v>0.9</v>
      </c>
      <c r="G22" s="5">
        <v>10</v>
      </c>
      <c r="H22" s="53">
        <v>9</v>
      </c>
      <c r="I22" s="50" t="s">
        <v>162</v>
      </c>
    </row>
    <row r="23" s="45" customFormat="1" customHeight="1" spans="1:9">
      <c r="A23" s="67" t="s">
        <v>56</v>
      </c>
      <c r="B23" s="67"/>
      <c r="C23" s="67"/>
      <c r="D23" s="67"/>
      <c r="E23" s="67"/>
      <c r="F23" s="67"/>
      <c r="G23" s="67">
        <v>100</v>
      </c>
      <c r="H23" s="67">
        <f>I7+H14+H15+H16+H17+H19+H22</f>
        <v>98</v>
      </c>
      <c r="I23" s="67" t="s">
        <v>170</v>
      </c>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topLeftCell="A17" workbookViewId="0">
      <selection activeCell="E26" sqref="E26"/>
    </sheetView>
  </sheetViews>
  <sheetFormatPr defaultColWidth="13.875" defaultRowHeight="24.95" customHeight="1"/>
  <cols>
    <col min="1" max="1" width="8.5" style="85" customWidth="1"/>
    <col min="2" max="2" width="10.875" style="85" customWidth="1"/>
    <col min="3" max="3" width="13.875" style="85"/>
    <col min="4" max="4" width="13.125" style="85" customWidth="1"/>
    <col min="5" max="5" width="17.375" style="85" customWidth="1"/>
    <col min="6" max="6" width="16.75" style="85" customWidth="1"/>
    <col min="7" max="7" width="10.125" style="85" customWidth="1"/>
    <col min="8" max="8" width="13.75" style="85" customWidth="1"/>
    <col min="9" max="9" width="19.5" style="85" customWidth="1"/>
    <col min="10" max="16384" width="13.875" style="85"/>
  </cols>
  <sheetData>
    <row r="1" s="85" customFormat="1" customHeight="1" spans="1:2">
      <c r="A1" s="46"/>
      <c r="B1" s="46"/>
    </row>
    <row r="2" s="85"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67" t="s">
        <v>171</v>
      </c>
      <c r="D4" s="67"/>
      <c r="E4" s="67"/>
      <c r="F4" s="67"/>
      <c r="G4" s="67"/>
      <c r="H4" s="67"/>
      <c r="I4" s="67"/>
    </row>
    <row r="5" s="45" customFormat="1" customHeight="1" spans="1:9">
      <c r="A5" s="68" t="s">
        <v>4</v>
      </c>
      <c r="B5" s="69"/>
      <c r="C5" s="5" t="s">
        <v>5</v>
      </c>
      <c r="D5" s="5"/>
      <c r="E5" s="5"/>
      <c r="F5" s="67" t="s">
        <v>6</v>
      </c>
      <c r="G5" s="6" t="s">
        <v>172</v>
      </c>
      <c r="H5" s="7"/>
      <c r="I5" s="16"/>
    </row>
    <row r="6" s="45" customFormat="1" customHeight="1" spans="1:9">
      <c r="A6" s="70" t="s">
        <v>7</v>
      </c>
      <c r="B6" s="71"/>
      <c r="C6" s="67"/>
      <c r="D6" s="67" t="s">
        <v>8</v>
      </c>
      <c r="E6" s="67" t="s">
        <v>9</v>
      </c>
      <c r="F6" s="67" t="s">
        <v>10</v>
      </c>
      <c r="G6" s="67" t="s">
        <v>11</v>
      </c>
      <c r="H6" s="67" t="s">
        <v>12</v>
      </c>
      <c r="I6" s="67" t="s">
        <v>13</v>
      </c>
    </row>
    <row r="7" s="45" customFormat="1" customHeight="1" spans="1:9">
      <c r="A7" s="72"/>
      <c r="B7" s="73"/>
      <c r="C7" s="67" t="s">
        <v>14</v>
      </c>
      <c r="D7" s="5">
        <f t="shared" ref="D7:F7" si="0">D8</f>
        <v>500</v>
      </c>
      <c r="E7" s="5">
        <f t="shared" si="0"/>
        <v>1100</v>
      </c>
      <c r="F7" s="5">
        <f t="shared" si="0"/>
        <v>81.68</v>
      </c>
      <c r="G7" s="5">
        <v>10</v>
      </c>
      <c r="H7" s="12">
        <f>H8</f>
        <v>0.0742545454545455</v>
      </c>
      <c r="I7" s="28">
        <f>G7*H7</f>
        <v>0.742545454545455</v>
      </c>
    </row>
    <row r="8" s="45" customFormat="1" ht="34.5" customHeight="1" spans="1:9">
      <c r="A8" s="72"/>
      <c r="B8" s="73"/>
      <c r="C8" s="67" t="s">
        <v>15</v>
      </c>
      <c r="D8" s="5">
        <v>500</v>
      </c>
      <c r="E8" s="5">
        <v>1100</v>
      </c>
      <c r="F8" s="5">
        <v>81.68</v>
      </c>
      <c r="G8" s="5" t="s">
        <v>16</v>
      </c>
      <c r="H8" s="12">
        <f>F8/E8</f>
        <v>0.0742545454545455</v>
      </c>
      <c r="I8" s="5" t="s">
        <v>16</v>
      </c>
    </row>
    <row r="9" s="45" customFormat="1" customHeight="1" spans="1:9">
      <c r="A9" s="72"/>
      <c r="B9" s="73"/>
      <c r="C9" s="67" t="s">
        <v>17</v>
      </c>
      <c r="D9" s="5">
        <v>0</v>
      </c>
      <c r="E9" s="5">
        <v>0</v>
      </c>
      <c r="F9" s="5">
        <v>0</v>
      </c>
      <c r="G9" s="5" t="s">
        <v>16</v>
      </c>
      <c r="H9" s="12">
        <v>0</v>
      </c>
      <c r="I9" s="5" t="s">
        <v>16</v>
      </c>
    </row>
    <row r="10" s="45" customFormat="1" customHeight="1" spans="1:9">
      <c r="A10" s="74"/>
      <c r="B10" s="75"/>
      <c r="C10" s="67"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92" customHeight="1" spans="1:9">
      <c r="A12" s="78"/>
      <c r="B12" s="48" t="s">
        <v>173</v>
      </c>
      <c r="C12" s="49"/>
      <c r="D12" s="7"/>
      <c r="E12" s="61"/>
      <c r="F12" s="48" t="s">
        <v>174</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58" customHeight="1" spans="1:9">
      <c r="A14" s="79"/>
      <c r="B14" s="76" t="s">
        <v>31</v>
      </c>
      <c r="C14" s="76" t="s">
        <v>32</v>
      </c>
      <c r="D14" s="54" t="s">
        <v>175</v>
      </c>
      <c r="E14" s="5" t="s">
        <v>176</v>
      </c>
      <c r="F14" s="5" t="s">
        <v>176</v>
      </c>
      <c r="G14" s="5">
        <v>20</v>
      </c>
      <c r="H14" s="5">
        <v>20</v>
      </c>
      <c r="I14" s="50" t="s">
        <v>162</v>
      </c>
    </row>
    <row r="15" s="45" customFormat="1" ht="36" customHeight="1" spans="1:9">
      <c r="A15" s="79"/>
      <c r="B15" s="79"/>
      <c r="C15" s="76" t="s">
        <v>36</v>
      </c>
      <c r="D15" s="54" t="s">
        <v>177</v>
      </c>
      <c r="E15" s="5" t="s">
        <v>178</v>
      </c>
      <c r="F15" s="5" t="s">
        <v>178</v>
      </c>
      <c r="G15" s="5">
        <v>20</v>
      </c>
      <c r="H15" s="5">
        <v>20</v>
      </c>
      <c r="I15" s="50" t="s">
        <v>162</v>
      </c>
    </row>
    <row r="16" s="45" customFormat="1" ht="40" customHeight="1" spans="1:9">
      <c r="A16" s="79"/>
      <c r="B16" s="79"/>
      <c r="C16" s="76" t="s">
        <v>39</v>
      </c>
      <c r="D16" s="53" t="s">
        <v>164</v>
      </c>
      <c r="E16" s="5" t="s">
        <v>41</v>
      </c>
      <c r="F16" s="5" t="s">
        <v>41</v>
      </c>
      <c r="G16" s="5">
        <v>5</v>
      </c>
      <c r="H16" s="5">
        <v>5</v>
      </c>
      <c r="I16" s="54" t="s">
        <v>162</v>
      </c>
    </row>
    <row r="17" s="45" customFormat="1" ht="110" customHeight="1" spans="1:9">
      <c r="A17" s="79"/>
      <c r="B17" s="79"/>
      <c r="C17" s="76" t="s">
        <v>42</v>
      </c>
      <c r="D17" s="54" t="s">
        <v>165</v>
      </c>
      <c r="E17" s="27">
        <v>0.8</v>
      </c>
      <c r="F17" s="12">
        <v>0.0743</v>
      </c>
      <c r="G17" s="5">
        <v>5</v>
      </c>
      <c r="H17" s="28">
        <f>F17/E17*G17</f>
        <v>0.464375</v>
      </c>
      <c r="I17" s="54" t="s">
        <v>179</v>
      </c>
    </row>
    <row r="18" s="45" customFormat="1" ht="47" customHeight="1" spans="1:9">
      <c r="A18" s="79"/>
      <c r="B18" s="76" t="s">
        <v>45</v>
      </c>
      <c r="C18" s="76" t="s">
        <v>46</v>
      </c>
      <c r="D18" s="54" t="s">
        <v>162</v>
      </c>
      <c r="E18" s="54" t="s">
        <v>162</v>
      </c>
      <c r="F18" s="54" t="s">
        <v>162</v>
      </c>
      <c r="G18" s="50" t="s">
        <v>162</v>
      </c>
      <c r="H18" s="50" t="s">
        <v>162</v>
      </c>
      <c r="I18" s="50" t="s">
        <v>162</v>
      </c>
    </row>
    <row r="19" s="45" customFormat="1" ht="74" customHeight="1" spans="1:9">
      <c r="A19" s="79"/>
      <c r="B19" s="79"/>
      <c r="C19" s="76" t="s">
        <v>47</v>
      </c>
      <c r="D19" s="53" t="s">
        <v>166</v>
      </c>
      <c r="E19" s="53" t="s">
        <v>167</v>
      </c>
      <c r="F19" s="53" t="s">
        <v>168</v>
      </c>
      <c r="G19" s="5">
        <v>30</v>
      </c>
      <c r="H19" s="5">
        <v>29</v>
      </c>
      <c r="I19" s="50" t="s">
        <v>162</v>
      </c>
    </row>
    <row r="20" s="45" customFormat="1" customHeight="1" spans="1:9">
      <c r="A20" s="79"/>
      <c r="B20" s="79"/>
      <c r="C20" s="76" t="s">
        <v>50</v>
      </c>
      <c r="D20" s="54" t="s">
        <v>162</v>
      </c>
      <c r="E20" s="54" t="s">
        <v>162</v>
      </c>
      <c r="F20" s="54" t="s">
        <v>162</v>
      </c>
      <c r="G20" s="50" t="s">
        <v>162</v>
      </c>
      <c r="H20" s="50" t="s">
        <v>162</v>
      </c>
      <c r="I20" s="50" t="s">
        <v>162</v>
      </c>
    </row>
    <row r="21" s="45" customFormat="1" ht="33" customHeight="1" spans="1:9">
      <c r="A21" s="79"/>
      <c r="B21" s="79"/>
      <c r="C21" s="76" t="s">
        <v>51</v>
      </c>
      <c r="D21" s="54" t="s">
        <v>162</v>
      </c>
      <c r="E21" s="54" t="s">
        <v>162</v>
      </c>
      <c r="F21" s="54" t="s">
        <v>162</v>
      </c>
      <c r="G21" s="50" t="s">
        <v>162</v>
      </c>
      <c r="H21" s="50" t="s">
        <v>162</v>
      </c>
      <c r="I21" s="50" t="s">
        <v>162</v>
      </c>
    </row>
    <row r="22" s="45" customFormat="1" ht="40" customHeight="1" spans="1:9">
      <c r="A22" s="79"/>
      <c r="B22" s="76" t="s">
        <v>52</v>
      </c>
      <c r="C22" s="76" t="s">
        <v>53</v>
      </c>
      <c r="D22" s="53" t="s">
        <v>94</v>
      </c>
      <c r="E22" s="53" t="s">
        <v>169</v>
      </c>
      <c r="F22" s="57">
        <v>0.9</v>
      </c>
      <c r="G22" s="5">
        <v>10</v>
      </c>
      <c r="H22" s="53">
        <v>9</v>
      </c>
      <c r="I22" s="50" t="s">
        <v>162</v>
      </c>
    </row>
    <row r="23" s="45" customFormat="1" customHeight="1" spans="1:9">
      <c r="A23" s="67" t="s">
        <v>56</v>
      </c>
      <c r="B23" s="67"/>
      <c r="C23" s="67"/>
      <c r="D23" s="67"/>
      <c r="E23" s="67"/>
      <c r="F23" s="67"/>
      <c r="G23" s="67">
        <v>100</v>
      </c>
      <c r="H23" s="87">
        <f>I7+H14+H15+H16+H17+H19+H22</f>
        <v>84.2069204545454</v>
      </c>
      <c r="I23" s="67" t="s">
        <v>180</v>
      </c>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opLeftCell="A7" workbookViewId="0">
      <selection activeCell="F25" sqref="F25"/>
    </sheetView>
  </sheetViews>
  <sheetFormatPr defaultColWidth="13.875" defaultRowHeight="24.95" customHeight="1"/>
  <cols>
    <col min="1" max="1" width="8.5" style="85" customWidth="1"/>
    <col min="2" max="2" width="7.5" style="85" customWidth="1"/>
    <col min="3" max="3" width="13.875" style="85"/>
    <col min="4" max="4" width="14.125" style="85" customWidth="1"/>
    <col min="5" max="5" width="15.125" style="85" customWidth="1"/>
    <col min="6" max="6" width="12.875" style="85" customWidth="1"/>
    <col min="7" max="7" width="10.125" style="85" customWidth="1"/>
    <col min="8" max="8" width="13.75" style="85" customWidth="1"/>
    <col min="9" max="9" width="18.875" style="85" customWidth="1"/>
    <col min="10" max="16384" width="13.875" style="85"/>
  </cols>
  <sheetData>
    <row r="1" s="85" customFormat="1" customHeight="1" spans="1:2">
      <c r="A1" s="46"/>
      <c r="B1" s="46"/>
    </row>
    <row r="2" s="85"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67" t="s">
        <v>181</v>
      </c>
      <c r="D4" s="67"/>
      <c r="E4" s="67"/>
      <c r="F4" s="67"/>
      <c r="G4" s="67"/>
      <c r="H4" s="67"/>
      <c r="I4" s="67"/>
    </row>
    <row r="5" s="45" customFormat="1" customHeight="1" spans="1:9">
      <c r="A5" s="68" t="s">
        <v>4</v>
      </c>
      <c r="B5" s="69"/>
      <c r="C5" s="5" t="s">
        <v>5</v>
      </c>
      <c r="D5" s="5"/>
      <c r="E5" s="5"/>
      <c r="F5" s="67" t="s">
        <v>6</v>
      </c>
      <c r="G5" s="6" t="s">
        <v>182</v>
      </c>
      <c r="H5" s="7"/>
      <c r="I5" s="16"/>
    </row>
    <row r="6" s="45" customFormat="1" customHeight="1" spans="1:9">
      <c r="A6" s="70" t="s">
        <v>7</v>
      </c>
      <c r="B6" s="71"/>
      <c r="C6" s="67"/>
      <c r="D6" s="67" t="s">
        <v>8</v>
      </c>
      <c r="E6" s="67" t="s">
        <v>9</v>
      </c>
      <c r="F6" s="67" t="s">
        <v>10</v>
      </c>
      <c r="G6" s="67" t="s">
        <v>11</v>
      </c>
      <c r="H6" s="67" t="s">
        <v>12</v>
      </c>
      <c r="I6" s="67" t="s">
        <v>13</v>
      </c>
    </row>
    <row r="7" s="45" customFormat="1" customHeight="1" spans="1:9">
      <c r="A7" s="72"/>
      <c r="B7" s="73"/>
      <c r="C7" s="67" t="s">
        <v>14</v>
      </c>
      <c r="D7" s="5">
        <f t="shared" ref="D7:F7" si="0">D8</f>
        <v>300</v>
      </c>
      <c r="E7" s="5">
        <f t="shared" si="0"/>
        <v>326.19</v>
      </c>
      <c r="F7" s="5">
        <f t="shared" si="0"/>
        <v>26.19</v>
      </c>
      <c r="G7" s="5">
        <v>10</v>
      </c>
      <c r="H7" s="12">
        <f>H8</f>
        <v>0.080290628161501</v>
      </c>
      <c r="I7" s="28">
        <f>G7*H7</f>
        <v>0.80290628161501</v>
      </c>
    </row>
    <row r="8" s="45" customFormat="1" ht="34.5" customHeight="1" spans="1:9">
      <c r="A8" s="72"/>
      <c r="B8" s="73"/>
      <c r="C8" s="67" t="s">
        <v>15</v>
      </c>
      <c r="D8" s="5">
        <v>300</v>
      </c>
      <c r="E8" s="5">
        <v>326.19</v>
      </c>
      <c r="F8" s="5">
        <v>26.19</v>
      </c>
      <c r="G8" s="5" t="s">
        <v>16</v>
      </c>
      <c r="H8" s="12">
        <f>F8/E8</f>
        <v>0.080290628161501</v>
      </c>
      <c r="I8" s="5" t="s">
        <v>16</v>
      </c>
    </row>
    <row r="9" s="45" customFormat="1" customHeight="1" spans="1:9">
      <c r="A9" s="72"/>
      <c r="B9" s="73"/>
      <c r="C9" s="67" t="s">
        <v>17</v>
      </c>
      <c r="D9" s="5">
        <v>0</v>
      </c>
      <c r="E9" s="5">
        <v>0</v>
      </c>
      <c r="F9" s="5">
        <v>0</v>
      </c>
      <c r="G9" s="5" t="s">
        <v>16</v>
      </c>
      <c r="H9" s="12">
        <v>0</v>
      </c>
      <c r="I9" s="5" t="s">
        <v>16</v>
      </c>
    </row>
    <row r="10" s="45" customFormat="1" customHeight="1" spans="1:9">
      <c r="A10" s="74"/>
      <c r="B10" s="75"/>
      <c r="C10" s="67"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76" customHeight="1" spans="1:9">
      <c r="A12" s="78"/>
      <c r="B12" s="48" t="s">
        <v>183</v>
      </c>
      <c r="C12" s="49"/>
      <c r="D12" s="49"/>
      <c r="E12" s="61"/>
      <c r="F12" s="48" t="s">
        <v>184</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98" customHeight="1" spans="1:9">
      <c r="A14" s="79"/>
      <c r="B14" s="76" t="s">
        <v>31</v>
      </c>
      <c r="C14" s="76" t="s">
        <v>32</v>
      </c>
      <c r="D14" s="54" t="s">
        <v>175</v>
      </c>
      <c r="E14" s="54" t="s">
        <v>185</v>
      </c>
      <c r="F14" s="54" t="s">
        <v>185</v>
      </c>
      <c r="G14" s="5">
        <v>20</v>
      </c>
      <c r="H14" s="5">
        <v>20</v>
      </c>
      <c r="I14" s="54" t="s">
        <v>162</v>
      </c>
    </row>
    <row r="15" s="45" customFormat="1" ht="35" customHeight="1" spans="1:9">
      <c r="A15" s="79"/>
      <c r="B15" s="79"/>
      <c r="C15" s="76" t="s">
        <v>36</v>
      </c>
      <c r="D15" s="54" t="s">
        <v>177</v>
      </c>
      <c r="E15" s="54" t="s">
        <v>178</v>
      </c>
      <c r="F15" s="86" t="s">
        <v>186</v>
      </c>
      <c r="G15" s="5">
        <v>20</v>
      </c>
      <c r="H15" s="5">
        <v>20</v>
      </c>
      <c r="I15" s="54" t="s">
        <v>162</v>
      </c>
    </row>
    <row r="16" s="45" customFormat="1" ht="36" customHeight="1" spans="1:9">
      <c r="A16" s="79"/>
      <c r="B16" s="79"/>
      <c r="C16" s="76" t="s">
        <v>39</v>
      </c>
      <c r="D16" s="53" t="s">
        <v>164</v>
      </c>
      <c r="E16" s="54" t="s">
        <v>41</v>
      </c>
      <c r="F16" s="54" t="s">
        <v>41</v>
      </c>
      <c r="G16" s="5">
        <v>5</v>
      </c>
      <c r="H16" s="5">
        <v>5</v>
      </c>
      <c r="I16" s="54" t="s">
        <v>162</v>
      </c>
    </row>
    <row r="17" s="45" customFormat="1" ht="110" customHeight="1" spans="1:9">
      <c r="A17" s="79"/>
      <c r="B17" s="79"/>
      <c r="C17" s="76" t="s">
        <v>42</v>
      </c>
      <c r="D17" s="54" t="s">
        <v>165</v>
      </c>
      <c r="E17" s="64">
        <v>0.8</v>
      </c>
      <c r="F17" s="62">
        <v>0.0803</v>
      </c>
      <c r="G17" s="5">
        <v>5</v>
      </c>
      <c r="H17" s="28">
        <f>F17*G17</f>
        <v>0.4015</v>
      </c>
      <c r="I17" s="54" t="s">
        <v>179</v>
      </c>
    </row>
    <row r="18" s="45" customFormat="1" customHeight="1" spans="1:9">
      <c r="A18" s="79"/>
      <c r="B18" s="76" t="s">
        <v>45</v>
      </c>
      <c r="C18" s="76" t="s">
        <v>46</v>
      </c>
      <c r="D18" s="54" t="s">
        <v>162</v>
      </c>
      <c r="E18" s="54" t="s">
        <v>162</v>
      </c>
      <c r="F18" s="54" t="s">
        <v>162</v>
      </c>
      <c r="G18" s="54" t="s">
        <v>162</v>
      </c>
      <c r="H18" s="54" t="s">
        <v>162</v>
      </c>
      <c r="I18" s="54" t="s">
        <v>162</v>
      </c>
    </row>
    <row r="19" s="45" customFormat="1" ht="80" customHeight="1" spans="1:9">
      <c r="A19" s="79"/>
      <c r="B19" s="79"/>
      <c r="C19" s="76" t="s">
        <v>47</v>
      </c>
      <c r="D19" s="54" t="s">
        <v>187</v>
      </c>
      <c r="E19" s="54" t="s">
        <v>188</v>
      </c>
      <c r="F19" s="53" t="s">
        <v>168</v>
      </c>
      <c r="G19" s="5">
        <v>30</v>
      </c>
      <c r="H19" s="5">
        <v>29</v>
      </c>
      <c r="I19" s="50" t="s">
        <v>162</v>
      </c>
    </row>
    <row r="20" s="45" customFormat="1" ht="32" customHeight="1" spans="1:9">
      <c r="A20" s="79"/>
      <c r="B20" s="79"/>
      <c r="C20" s="76" t="s">
        <v>50</v>
      </c>
      <c r="D20" s="54" t="s">
        <v>162</v>
      </c>
      <c r="E20" s="54" t="s">
        <v>162</v>
      </c>
      <c r="F20" s="54" t="s">
        <v>162</v>
      </c>
      <c r="G20" s="50" t="s">
        <v>162</v>
      </c>
      <c r="H20" s="50" t="s">
        <v>162</v>
      </c>
      <c r="I20" s="50" t="s">
        <v>162</v>
      </c>
    </row>
    <row r="21" s="45" customFormat="1" ht="32" customHeight="1" spans="1:9">
      <c r="A21" s="79"/>
      <c r="B21" s="79"/>
      <c r="C21" s="76" t="s">
        <v>51</v>
      </c>
      <c r="D21" s="54" t="s">
        <v>162</v>
      </c>
      <c r="E21" s="54" t="s">
        <v>162</v>
      </c>
      <c r="F21" s="54" t="s">
        <v>162</v>
      </c>
      <c r="G21" s="50" t="s">
        <v>162</v>
      </c>
      <c r="H21" s="50" t="s">
        <v>162</v>
      </c>
      <c r="I21" s="50" t="s">
        <v>162</v>
      </c>
    </row>
    <row r="22" s="45" customFormat="1" ht="57" spans="1:9">
      <c r="A22" s="79"/>
      <c r="B22" s="76" t="s">
        <v>52</v>
      </c>
      <c r="C22" s="76" t="s">
        <v>53</v>
      </c>
      <c r="D22" s="53" t="s">
        <v>94</v>
      </c>
      <c r="E22" s="53" t="s">
        <v>169</v>
      </c>
      <c r="F22" s="57">
        <v>0.9</v>
      </c>
      <c r="G22" s="5">
        <v>10</v>
      </c>
      <c r="H22" s="53">
        <v>9</v>
      </c>
      <c r="I22" s="50" t="s">
        <v>162</v>
      </c>
    </row>
    <row r="23" s="45" customFormat="1" customHeight="1" spans="1:9">
      <c r="A23" s="67" t="s">
        <v>56</v>
      </c>
      <c r="B23" s="67"/>
      <c r="C23" s="67"/>
      <c r="D23" s="67"/>
      <c r="E23" s="67"/>
      <c r="F23" s="67"/>
      <c r="G23" s="67">
        <v>100</v>
      </c>
      <c r="H23" s="87">
        <f>I7+H14+H15+H16+H17+H19+H22</f>
        <v>84.204406281615</v>
      </c>
      <c r="I23" s="67" t="s">
        <v>180</v>
      </c>
    </row>
    <row r="24" s="45" customFormat="1" customHeight="1" spans="1:9">
      <c r="A24" s="85"/>
      <c r="B24" s="85"/>
      <c r="C24" s="85"/>
      <c r="D24" s="85"/>
      <c r="E24" s="85"/>
      <c r="F24" s="85"/>
      <c r="G24" s="85"/>
      <c r="H24" s="85"/>
      <c r="I24" s="85"/>
    </row>
    <row r="25" s="45" customFormat="1" customHeight="1" spans="1:9">
      <c r="A25" s="85"/>
      <c r="B25" s="85"/>
      <c r="C25" s="85"/>
      <c r="D25" s="85"/>
      <c r="E25" s="85"/>
      <c r="F25" s="85"/>
      <c r="G25" s="85"/>
      <c r="H25" s="85"/>
      <c r="I25" s="85"/>
    </row>
    <row r="26" s="45" customFormat="1" customHeight="1" spans="1:9">
      <c r="A26" s="85"/>
      <c r="B26" s="85"/>
      <c r="C26" s="85"/>
      <c r="D26" s="85"/>
      <c r="E26" s="85"/>
      <c r="F26" s="85"/>
      <c r="G26" s="85"/>
      <c r="H26" s="85"/>
      <c r="I26" s="85"/>
    </row>
    <row r="27" s="45" customFormat="1" customHeight="1" spans="1:9">
      <c r="A27" s="85"/>
      <c r="B27" s="85"/>
      <c r="C27" s="85"/>
      <c r="D27" s="85"/>
      <c r="E27" s="85"/>
      <c r="F27" s="85"/>
      <c r="G27" s="85"/>
      <c r="H27" s="85"/>
      <c r="I27" s="85"/>
    </row>
    <row r="28" s="45" customFormat="1" customHeight="1" spans="1:9">
      <c r="A28" s="85"/>
      <c r="B28" s="85"/>
      <c r="C28" s="85"/>
      <c r="D28" s="85"/>
      <c r="E28" s="85"/>
      <c r="F28" s="85"/>
      <c r="G28" s="85"/>
      <c r="H28" s="85"/>
      <c r="I28" s="85"/>
    </row>
    <row r="29" s="45" customFormat="1" customHeight="1" spans="1:9">
      <c r="A29" s="85"/>
      <c r="B29" s="85"/>
      <c r="C29" s="85"/>
      <c r="D29" s="85"/>
      <c r="E29" s="85"/>
      <c r="F29" s="85"/>
      <c r="G29" s="85"/>
      <c r="H29" s="85"/>
      <c r="I29" s="85"/>
    </row>
    <row r="30" s="45" customFormat="1" customHeight="1" spans="1:9">
      <c r="A30" s="85"/>
      <c r="B30" s="85"/>
      <c r="C30" s="85"/>
      <c r="D30" s="85"/>
      <c r="E30" s="85"/>
      <c r="F30" s="85"/>
      <c r="G30" s="85"/>
      <c r="H30" s="85"/>
      <c r="I30" s="85"/>
    </row>
    <row r="31" s="45" customFormat="1" customHeight="1" spans="1:9">
      <c r="A31" s="85"/>
      <c r="B31" s="85"/>
      <c r="C31" s="85"/>
      <c r="D31" s="85"/>
      <c r="E31" s="85"/>
      <c r="F31" s="85"/>
      <c r="G31" s="85"/>
      <c r="H31" s="85"/>
      <c r="I31" s="85"/>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topLeftCell="A18" workbookViewId="0">
      <selection activeCell="H27" sqref="H27"/>
    </sheetView>
  </sheetViews>
  <sheetFormatPr defaultColWidth="13.875" defaultRowHeight="24.95" customHeight="1"/>
  <cols>
    <col min="1" max="1" width="6.875" style="42" customWidth="1"/>
    <col min="2" max="2" width="10.25" style="42" customWidth="1"/>
    <col min="3" max="3" width="13.875" style="42"/>
    <col min="4" max="4" width="16" style="42" customWidth="1"/>
    <col min="5" max="16384" width="13.875" style="42"/>
  </cols>
  <sheetData>
    <row r="1" s="42" customFormat="1" customHeight="1" spans="1:2">
      <c r="A1" s="84"/>
      <c r="B1" s="84"/>
    </row>
    <row r="2" s="42" customFormat="1" ht="36" customHeight="1" spans="1:9">
      <c r="A2" s="47" t="s">
        <v>0</v>
      </c>
      <c r="B2" s="47"/>
      <c r="C2" s="47"/>
      <c r="D2" s="47"/>
      <c r="E2" s="47"/>
      <c r="F2" s="47"/>
      <c r="G2" s="47"/>
      <c r="H2" s="47"/>
      <c r="I2" s="47"/>
    </row>
    <row r="3" s="43" customFormat="1" customHeight="1" spans="1:9">
      <c r="A3" s="4" t="s">
        <v>189</v>
      </c>
      <c r="B3" s="4"/>
      <c r="C3" s="4"/>
      <c r="D3" s="4"/>
      <c r="E3" s="4"/>
      <c r="F3" s="4"/>
      <c r="G3" s="4"/>
      <c r="H3" s="4"/>
      <c r="I3" s="4"/>
    </row>
    <row r="4" s="43" customFormat="1" customHeight="1" spans="1:9">
      <c r="A4" s="5" t="s">
        <v>2</v>
      </c>
      <c r="B4" s="5"/>
      <c r="C4" s="5" t="s">
        <v>190</v>
      </c>
      <c r="D4" s="5"/>
      <c r="E4" s="5"/>
      <c r="F4" s="5"/>
      <c r="G4" s="5"/>
      <c r="H4" s="5"/>
      <c r="I4" s="5"/>
    </row>
    <row r="5" s="43" customFormat="1" customHeight="1" spans="1:9">
      <c r="A5" s="6" t="s">
        <v>4</v>
      </c>
      <c r="B5" s="7"/>
      <c r="C5" s="5" t="s">
        <v>5</v>
      </c>
      <c r="D5" s="5"/>
      <c r="E5" s="5"/>
      <c r="F5" s="5" t="s">
        <v>6</v>
      </c>
      <c r="G5" s="5" t="s">
        <v>5</v>
      </c>
      <c r="H5" s="5"/>
      <c r="I5" s="5"/>
    </row>
    <row r="6" s="43" customFormat="1" customHeight="1" spans="1:9">
      <c r="A6" s="8" t="s">
        <v>7</v>
      </c>
      <c r="B6" s="9"/>
      <c r="C6" s="5"/>
      <c r="D6" s="5" t="s">
        <v>8</v>
      </c>
      <c r="E6" s="5" t="s">
        <v>9</v>
      </c>
      <c r="F6" s="5" t="s">
        <v>10</v>
      </c>
      <c r="G6" s="5" t="s">
        <v>11</v>
      </c>
      <c r="H6" s="5" t="s">
        <v>12</v>
      </c>
      <c r="I6" s="5" t="s">
        <v>13</v>
      </c>
    </row>
    <row r="7" s="43" customFormat="1" customHeight="1" spans="1:9">
      <c r="A7" s="10"/>
      <c r="B7" s="11"/>
      <c r="C7" s="5" t="s">
        <v>14</v>
      </c>
      <c r="D7" s="5">
        <f t="shared" ref="D7:F7" si="0">D8</f>
        <v>216</v>
      </c>
      <c r="E7" s="5">
        <f t="shared" si="0"/>
        <v>166</v>
      </c>
      <c r="F7" s="5">
        <f t="shared" si="0"/>
        <v>151</v>
      </c>
      <c r="G7" s="5">
        <v>10</v>
      </c>
      <c r="H7" s="12">
        <f>H8</f>
        <v>0.909638554216867</v>
      </c>
      <c r="I7" s="28">
        <f>G7*H7</f>
        <v>9.09638554216867</v>
      </c>
    </row>
    <row r="8" s="43" customFormat="1" ht="34.5" customHeight="1" spans="1:9">
      <c r="A8" s="10"/>
      <c r="B8" s="11"/>
      <c r="C8" s="5" t="s">
        <v>15</v>
      </c>
      <c r="D8" s="5">
        <v>216</v>
      </c>
      <c r="E8" s="5">
        <v>166</v>
      </c>
      <c r="F8" s="5">
        <v>151</v>
      </c>
      <c r="G8" s="5" t="s">
        <v>16</v>
      </c>
      <c r="H8" s="12">
        <f>F8/E8</f>
        <v>0.909638554216867</v>
      </c>
      <c r="I8" s="5" t="s">
        <v>16</v>
      </c>
    </row>
    <row r="9" s="43" customFormat="1" customHeight="1" spans="1:9">
      <c r="A9" s="10"/>
      <c r="B9" s="11"/>
      <c r="C9" s="5" t="s">
        <v>17</v>
      </c>
      <c r="D9" s="5">
        <v>0</v>
      </c>
      <c r="E9" s="5">
        <v>0</v>
      </c>
      <c r="F9" s="5">
        <v>0</v>
      </c>
      <c r="G9" s="5" t="s">
        <v>16</v>
      </c>
      <c r="H9" s="12">
        <v>0</v>
      </c>
      <c r="I9" s="5" t="s">
        <v>16</v>
      </c>
    </row>
    <row r="10" s="43" customFormat="1" customHeight="1" spans="1:9">
      <c r="A10" s="13"/>
      <c r="B10" s="14"/>
      <c r="C10" s="5" t="s">
        <v>18</v>
      </c>
      <c r="D10" s="5">
        <v>0</v>
      </c>
      <c r="E10" s="5">
        <v>0</v>
      </c>
      <c r="F10" s="5">
        <v>0</v>
      </c>
      <c r="G10" s="5" t="s">
        <v>16</v>
      </c>
      <c r="H10" s="12">
        <v>0</v>
      </c>
      <c r="I10" s="5" t="s">
        <v>16</v>
      </c>
    </row>
    <row r="11" s="43" customFormat="1" ht="30" customHeight="1" spans="1:9">
      <c r="A11" s="15" t="s">
        <v>19</v>
      </c>
      <c r="B11" s="6" t="s">
        <v>20</v>
      </c>
      <c r="C11" s="7"/>
      <c r="D11" s="7"/>
      <c r="E11" s="16"/>
      <c r="F11" s="6" t="s">
        <v>21</v>
      </c>
      <c r="G11" s="7"/>
      <c r="H11" s="7"/>
      <c r="I11" s="16"/>
    </row>
    <row r="12" s="43" customFormat="1" ht="69" customHeight="1" spans="1:9">
      <c r="A12" s="17"/>
      <c r="B12" s="48" t="s">
        <v>191</v>
      </c>
      <c r="C12" s="49"/>
      <c r="D12" s="49"/>
      <c r="E12" s="61"/>
      <c r="F12" s="48" t="s">
        <v>192</v>
      </c>
      <c r="G12" s="49"/>
      <c r="H12" s="49"/>
      <c r="I12" s="61"/>
    </row>
    <row r="13" s="43" customFormat="1" ht="41.25" customHeight="1" spans="1:9">
      <c r="A13" s="15" t="s">
        <v>24</v>
      </c>
      <c r="B13" s="5" t="s">
        <v>25</v>
      </c>
      <c r="C13" s="5" t="s">
        <v>26</v>
      </c>
      <c r="D13" s="5" t="s">
        <v>27</v>
      </c>
      <c r="E13" s="5" t="s">
        <v>28</v>
      </c>
      <c r="F13" s="5" t="s">
        <v>29</v>
      </c>
      <c r="G13" s="5" t="s">
        <v>11</v>
      </c>
      <c r="H13" s="5" t="s">
        <v>13</v>
      </c>
      <c r="I13" s="5" t="s">
        <v>30</v>
      </c>
    </row>
    <row r="14" s="43" customFormat="1" customHeight="1" spans="1:9">
      <c r="A14" s="18"/>
      <c r="B14" s="15" t="s">
        <v>31</v>
      </c>
      <c r="C14" s="15" t="s">
        <v>32</v>
      </c>
      <c r="D14" s="54" t="s">
        <v>193</v>
      </c>
      <c r="E14" s="54" t="s">
        <v>194</v>
      </c>
      <c r="F14" s="54" t="s">
        <v>194</v>
      </c>
      <c r="G14" s="5">
        <v>20</v>
      </c>
      <c r="H14" s="5">
        <v>20</v>
      </c>
      <c r="I14" s="50" t="s">
        <v>162</v>
      </c>
    </row>
    <row r="15" s="43" customFormat="1" customHeight="1" spans="1:9">
      <c r="A15" s="18"/>
      <c r="B15" s="18"/>
      <c r="C15" s="15" t="s">
        <v>36</v>
      </c>
      <c r="D15" s="54" t="s">
        <v>195</v>
      </c>
      <c r="E15" s="64">
        <v>1</v>
      </c>
      <c r="F15" s="64">
        <v>1</v>
      </c>
      <c r="G15" s="5">
        <v>10</v>
      </c>
      <c r="H15" s="5">
        <v>10</v>
      </c>
      <c r="I15" s="50" t="s">
        <v>162</v>
      </c>
    </row>
    <row r="16" s="43" customFormat="1" customHeight="1" spans="1:9">
      <c r="A16" s="18"/>
      <c r="B16" s="18"/>
      <c r="C16" s="15" t="s">
        <v>39</v>
      </c>
      <c r="D16" s="53" t="s">
        <v>164</v>
      </c>
      <c r="E16" s="54" t="s">
        <v>41</v>
      </c>
      <c r="F16" s="54" t="s">
        <v>41</v>
      </c>
      <c r="G16" s="5">
        <v>10</v>
      </c>
      <c r="H16" s="5">
        <v>10</v>
      </c>
      <c r="I16" s="50" t="s">
        <v>162</v>
      </c>
    </row>
    <row r="17" s="43" customFormat="1" customHeight="1" spans="1:9">
      <c r="A17" s="18"/>
      <c r="B17" s="18"/>
      <c r="C17" s="15" t="s">
        <v>42</v>
      </c>
      <c r="D17" s="54" t="s">
        <v>165</v>
      </c>
      <c r="E17" s="64">
        <v>0.8</v>
      </c>
      <c r="F17" s="55">
        <v>0.9096</v>
      </c>
      <c r="G17" s="5">
        <v>10</v>
      </c>
      <c r="H17" s="5">
        <v>10</v>
      </c>
      <c r="I17" s="50" t="s">
        <v>162</v>
      </c>
    </row>
    <row r="18" s="43" customFormat="1" customHeight="1" spans="1:9">
      <c r="A18" s="18"/>
      <c r="B18" s="15" t="s">
        <v>45</v>
      </c>
      <c r="C18" s="15" t="s">
        <v>46</v>
      </c>
      <c r="D18" s="54" t="s">
        <v>162</v>
      </c>
      <c r="E18" s="54" t="s">
        <v>162</v>
      </c>
      <c r="F18" s="54" t="s">
        <v>162</v>
      </c>
      <c r="G18" s="54" t="s">
        <v>162</v>
      </c>
      <c r="H18" s="54" t="s">
        <v>162</v>
      </c>
      <c r="I18" s="54" t="s">
        <v>162</v>
      </c>
    </row>
    <row r="19" s="43" customFormat="1" ht="61" customHeight="1" spans="1:9">
      <c r="A19" s="18"/>
      <c r="B19" s="18"/>
      <c r="C19" s="15" t="s">
        <v>47</v>
      </c>
      <c r="D19" s="54" t="s">
        <v>196</v>
      </c>
      <c r="E19" s="54" t="s">
        <v>197</v>
      </c>
      <c r="F19" s="54" t="s">
        <v>198</v>
      </c>
      <c r="G19" s="5">
        <v>30</v>
      </c>
      <c r="H19" s="5">
        <v>30</v>
      </c>
      <c r="I19" s="50" t="s">
        <v>162</v>
      </c>
    </row>
    <row r="20" s="43" customFormat="1" customHeight="1" spans="1:9">
      <c r="A20" s="18"/>
      <c r="B20" s="18"/>
      <c r="C20" s="15" t="s">
        <v>50</v>
      </c>
      <c r="D20" s="54" t="s">
        <v>162</v>
      </c>
      <c r="E20" s="54" t="s">
        <v>162</v>
      </c>
      <c r="F20" s="54" t="s">
        <v>162</v>
      </c>
      <c r="G20" s="50" t="s">
        <v>162</v>
      </c>
      <c r="H20" s="50" t="s">
        <v>162</v>
      </c>
      <c r="I20" s="50" t="s">
        <v>162</v>
      </c>
    </row>
    <row r="21" s="43" customFormat="1" ht="36" customHeight="1" spans="1:9">
      <c r="A21" s="18"/>
      <c r="B21" s="18"/>
      <c r="C21" s="15" t="s">
        <v>51</v>
      </c>
      <c r="D21" s="54" t="s">
        <v>162</v>
      </c>
      <c r="E21" s="54" t="s">
        <v>162</v>
      </c>
      <c r="F21" s="54" t="s">
        <v>162</v>
      </c>
      <c r="G21" s="50" t="s">
        <v>162</v>
      </c>
      <c r="H21" s="50" t="s">
        <v>162</v>
      </c>
      <c r="I21" s="50" t="s">
        <v>162</v>
      </c>
    </row>
    <row r="22" s="43" customFormat="1" ht="58" customHeight="1" spans="1:9">
      <c r="A22" s="18"/>
      <c r="B22" s="15" t="s">
        <v>52</v>
      </c>
      <c r="C22" s="15" t="s">
        <v>53</v>
      </c>
      <c r="D22" s="53" t="s">
        <v>94</v>
      </c>
      <c r="E22" s="53" t="s">
        <v>169</v>
      </c>
      <c r="F22" s="57">
        <v>0.9</v>
      </c>
      <c r="G22" s="5">
        <v>10</v>
      </c>
      <c r="H22" s="53">
        <v>10</v>
      </c>
      <c r="I22" s="50" t="s">
        <v>162</v>
      </c>
    </row>
    <row r="23" s="43" customFormat="1" customHeight="1" spans="1:9">
      <c r="A23" s="5" t="s">
        <v>56</v>
      </c>
      <c r="B23" s="5"/>
      <c r="C23" s="5"/>
      <c r="D23" s="5"/>
      <c r="E23" s="5"/>
      <c r="F23" s="5"/>
      <c r="G23" s="5">
        <v>100</v>
      </c>
      <c r="H23" s="28">
        <f>I7+H14+H15+H16+H17+H19+H22</f>
        <v>99.0963855421687</v>
      </c>
      <c r="I23" s="5" t="s">
        <v>170</v>
      </c>
    </row>
    <row r="24" s="45" customFormat="1" customHeight="1" spans="1:9">
      <c r="A24" s="42"/>
      <c r="B24" s="42"/>
      <c r="C24" s="42"/>
      <c r="D24" s="42"/>
      <c r="E24" s="42"/>
      <c r="F24" s="42"/>
      <c r="G24" s="42"/>
      <c r="H24" s="42"/>
      <c r="I24" s="42"/>
    </row>
    <row r="25" s="45" customFormat="1" customHeight="1" spans="1:9">
      <c r="A25" s="42"/>
      <c r="B25" s="42"/>
      <c r="C25" s="42"/>
      <c r="D25" s="42"/>
      <c r="E25" s="42"/>
      <c r="F25" s="42"/>
      <c r="G25" s="42"/>
      <c r="H25" s="42"/>
      <c r="I25" s="42"/>
    </row>
    <row r="26" s="45" customFormat="1" customHeight="1" spans="1:9">
      <c r="A26" s="42"/>
      <c r="B26" s="42"/>
      <c r="C26" s="42"/>
      <c r="D26" s="42"/>
      <c r="E26" s="42"/>
      <c r="F26" s="42"/>
      <c r="G26" s="42"/>
      <c r="H26" s="42"/>
      <c r="I26" s="42"/>
    </row>
    <row r="27" s="45" customFormat="1" customHeight="1" spans="1:9">
      <c r="A27" s="42"/>
      <c r="B27" s="42"/>
      <c r="C27" s="42"/>
      <c r="D27" s="42"/>
      <c r="E27" s="42"/>
      <c r="F27" s="42"/>
      <c r="G27" s="42"/>
      <c r="H27" s="42"/>
      <c r="I27" s="42"/>
    </row>
    <row r="28" s="45" customFormat="1" customHeight="1" spans="1:9">
      <c r="A28" s="42"/>
      <c r="B28" s="42"/>
      <c r="C28" s="42"/>
      <c r="D28" s="42"/>
      <c r="E28" s="42"/>
      <c r="F28" s="42"/>
      <c r="G28" s="42"/>
      <c r="H28" s="42"/>
      <c r="I28" s="42"/>
    </row>
    <row r="29" s="45" customFormat="1" customHeight="1" spans="1:9">
      <c r="A29" s="42"/>
      <c r="B29" s="42"/>
      <c r="C29" s="42"/>
      <c r="D29" s="42"/>
      <c r="E29" s="42"/>
      <c r="F29" s="42"/>
      <c r="G29" s="42"/>
      <c r="H29" s="42"/>
      <c r="I29" s="42"/>
    </row>
    <row r="30" s="45" customFormat="1" customHeight="1" spans="1:9">
      <c r="A30" s="42"/>
      <c r="B30" s="42"/>
      <c r="C30" s="42"/>
      <c r="D30" s="42"/>
      <c r="E30" s="42"/>
      <c r="F30" s="42"/>
      <c r="G30" s="42"/>
      <c r="H30" s="42"/>
      <c r="I30" s="42"/>
    </row>
    <row r="31" s="45" customFormat="1" customHeight="1" spans="1:9">
      <c r="A31" s="42"/>
      <c r="B31" s="42"/>
      <c r="C31" s="42"/>
      <c r="D31" s="42"/>
      <c r="E31" s="42"/>
      <c r="F31" s="42"/>
      <c r="G31" s="42"/>
      <c r="H31" s="42"/>
      <c r="I31" s="42"/>
    </row>
    <row r="32" s="45" customFormat="1" customHeight="1" spans="1:9">
      <c r="A32" s="42"/>
      <c r="B32" s="42"/>
      <c r="C32" s="42"/>
      <c r="D32" s="42"/>
      <c r="E32" s="42"/>
      <c r="F32" s="42"/>
      <c r="G32" s="42"/>
      <c r="H32" s="42"/>
      <c r="I32" s="42"/>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topLeftCell="A13" workbookViewId="0">
      <selection activeCell="A24" sqref="$A24:$XFD24"/>
    </sheetView>
  </sheetViews>
  <sheetFormatPr defaultColWidth="13.875" defaultRowHeight="24.95" customHeight="1"/>
  <cols>
    <col min="1" max="1" width="6.875" style="42" customWidth="1"/>
    <col min="2" max="2" width="10.25" style="42" customWidth="1"/>
    <col min="3" max="16384" width="13.875" style="42"/>
  </cols>
  <sheetData>
    <row r="1" s="42" customFormat="1" customHeight="1" spans="1:2">
      <c r="A1" s="84"/>
      <c r="B1" s="84"/>
    </row>
    <row r="2" s="42" customFormat="1" ht="36" customHeight="1" spans="1:9">
      <c r="A2" s="47" t="s">
        <v>0</v>
      </c>
      <c r="B2" s="47"/>
      <c r="C2" s="47"/>
      <c r="D2" s="47"/>
      <c r="E2" s="47"/>
      <c r="F2" s="47"/>
      <c r="G2" s="47"/>
      <c r="H2" s="47"/>
      <c r="I2" s="47"/>
    </row>
    <row r="3" s="43" customFormat="1" customHeight="1" spans="1:9">
      <c r="A3" s="4" t="s">
        <v>189</v>
      </c>
      <c r="B3" s="4"/>
      <c r="C3" s="4"/>
      <c r="D3" s="4"/>
      <c r="E3" s="4"/>
      <c r="F3" s="4"/>
      <c r="G3" s="4"/>
      <c r="H3" s="4"/>
      <c r="I3" s="4"/>
    </row>
    <row r="4" s="43" customFormat="1" customHeight="1" spans="1:9">
      <c r="A4" s="5" t="s">
        <v>2</v>
      </c>
      <c r="B4" s="5"/>
      <c r="C4" s="5" t="s">
        <v>199</v>
      </c>
      <c r="D4" s="5"/>
      <c r="E4" s="5"/>
      <c r="F4" s="5"/>
      <c r="G4" s="5"/>
      <c r="H4" s="5"/>
      <c r="I4" s="5"/>
    </row>
    <row r="5" s="43" customFormat="1" customHeight="1" spans="1:9">
      <c r="A5" s="6" t="s">
        <v>4</v>
      </c>
      <c r="B5" s="7"/>
      <c r="C5" s="5" t="s">
        <v>5</v>
      </c>
      <c r="D5" s="5"/>
      <c r="E5" s="5"/>
      <c r="F5" s="5" t="s">
        <v>6</v>
      </c>
      <c r="G5" s="5" t="s">
        <v>5</v>
      </c>
      <c r="H5" s="5"/>
      <c r="I5" s="5"/>
    </row>
    <row r="6" s="43" customFormat="1" customHeight="1" spans="1:9">
      <c r="A6" s="8" t="s">
        <v>7</v>
      </c>
      <c r="B6" s="9"/>
      <c r="C6" s="5"/>
      <c r="D6" s="5" t="s">
        <v>8</v>
      </c>
      <c r="E6" s="5" t="s">
        <v>9</v>
      </c>
      <c r="F6" s="5" t="s">
        <v>10</v>
      </c>
      <c r="G6" s="5" t="s">
        <v>11</v>
      </c>
      <c r="H6" s="5" t="s">
        <v>12</v>
      </c>
      <c r="I6" s="5" t="s">
        <v>13</v>
      </c>
    </row>
    <row r="7" s="43" customFormat="1" customHeight="1" spans="1:9">
      <c r="A7" s="10"/>
      <c r="B7" s="11"/>
      <c r="C7" s="5" t="s">
        <v>14</v>
      </c>
      <c r="D7" s="5">
        <f t="shared" ref="D7:F7" si="0">D8</f>
        <v>75</v>
      </c>
      <c r="E7" s="5">
        <f t="shared" si="0"/>
        <v>75</v>
      </c>
      <c r="F7" s="5">
        <f t="shared" si="0"/>
        <v>74.25</v>
      </c>
      <c r="G7" s="5">
        <v>10</v>
      </c>
      <c r="H7" s="12">
        <f>H8</f>
        <v>0.99</v>
      </c>
      <c r="I7" s="28">
        <f>G7*H7</f>
        <v>9.9</v>
      </c>
    </row>
    <row r="8" s="43" customFormat="1" ht="34.5" customHeight="1" spans="1:9">
      <c r="A8" s="10"/>
      <c r="B8" s="11"/>
      <c r="C8" s="5" t="s">
        <v>15</v>
      </c>
      <c r="D8" s="5">
        <v>75</v>
      </c>
      <c r="E8" s="5">
        <v>75</v>
      </c>
      <c r="F8" s="5">
        <v>74.25</v>
      </c>
      <c r="G8" s="5" t="s">
        <v>16</v>
      </c>
      <c r="H8" s="12">
        <f>F8/E8</f>
        <v>0.99</v>
      </c>
      <c r="I8" s="5" t="s">
        <v>16</v>
      </c>
    </row>
    <row r="9" s="43" customFormat="1" customHeight="1" spans="1:9">
      <c r="A9" s="10"/>
      <c r="B9" s="11"/>
      <c r="C9" s="5" t="s">
        <v>17</v>
      </c>
      <c r="D9" s="5">
        <v>0</v>
      </c>
      <c r="E9" s="5">
        <v>0</v>
      </c>
      <c r="F9" s="5">
        <v>0</v>
      </c>
      <c r="G9" s="5" t="s">
        <v>16</v>
      </c>
      <c r="H9" s="12">
        <v>0</v>
      </c>
      <c r="I9" s="5" t="s">
        <v>16</v>
      </c>
    </row>
    <row r="10" s="43" customFormat="1" customHeight="1" spans="1:9">
      <c r="A10" s="13"/>
      <c r="B10" s="14"/>
      <c r="C10" s="5" t="s">
        <v>18</v>
      </c>
      <c r="D10" s="5">
        <v>0</v>
      </c>
      <c r="E10" s="5">
        <v>0</v>
      </c>
      <c r="F10" s="5">
        <v>0</v>
      </c>
      <c r="G10" s="5" t="s">
        <v>16</v>
      </c>
      <c r="H10" s="12">
        <v>0</v>
      </c>
      <c r="I10" s="5" t="s">
        <v>16</v>
      </c>
    </row>
    <row r="11" s="43" customFormat="1" ht="30" customHeight="1" spans="1:9">
      <c r="A11" s="15" t="s">
        <v>19</v>
      </c>
      <c r="B11" s="6" t="s">
        <v>20</v>
      </c>
      <c r="C11" s="7"/>
      <c r="D11" s="7"/>
      <c r="E11" s="16"/>
      <c r="F11" s="6" t="s">
        <v>21</v>
      </c>
      <c r="G11" s="7"/>
      <c r="H11" s="7"/>
      <c r="I11" s="16"/>
    </row>
    <row r="12" s="43" customFormat="1" ht="69" customHeight="1" spans="1:9">
      <c r="A12" s="17"/>
      <c r="B12" s="48" t="s">
        <v>200</v>
      </c>
      <c r="C12" s="49"/>
      <c r="D12" s="49"/>
      <c r="E12" s="61"/>
      <c r="F12" s="48" t="s">
        <v>201</v>
      </c>
      <c r="G12" s="49"/>
      <c r="H12" s="49"/>
      <c r="I12" s="61"/>
    </row>
    <row r="13" s="43" customFormat="1" ht="41.25" customHeight="1" spans="1:9">
      <c r="A13" s="15" t="s">
        <v>24</v>
      </c>
      <c r="B13" s="5" t="s">
        <v>25</v>
      </c>
      <c r="C13" s="5" t="s">
        <v>26</v>
      </c>
      <c r="D13" s="5" t="s">
        <v>27</v>
      </c>
      <c r="E13" s="5" t="s">
        <v>28</v>
      </c>
      <c r="F13" s="5" t="s">
        <v>29</v>
      </c>
      <c r="G13" s="5" t="s">
        <v>11</v>
      </c>
      <c r="H13" s="5" t="s">
        <v>13</v>
      </c>
      <c r="I13" s="5" t="s">
        <v>30</v>
      </c>
    </row>
    <row r="14" s="43" customFormat="1" customHeight="1" spans="1:9">
      <c r="A14" s="18"/>
      <c r="B14" s="15" t="s">
        <v>31</v>
      </c>
      <c r="C14" s="15" t="s">
        <v>32</v>
      </c>
      <c r="D14" s="54" t="s">
        <v>202</v>
      </c>
      <c r="E14" s="54" t="s">
        <v>203</v>
      </c>
      <c r="F14" s="54" t="s">
        <v>203</v>
      </c>
      <c r="G14" s="5">
        <v>20</v>
      </c>
      <c r="H14" s="5">
        <v>20</v>
      </c>
      <c r="I14" s="50" t="s">
        <v>162</v>
      </c>
    </row>
    <row r="15" s="43" customFormat="1" customHeight="1" spans="1:9">
      <c r="A15" s="18"/>
      <c r="B15" s="18"/>
      <c r="C15" s="15" t="s">
        <v>36</v>
      </c>
      <c r="D15" s="54" t="s">
        <v>204</v>
      </c>
      <c r="E15" s="64">
        <v>1</v>
      </c>
      <c r="F15" s="64">
        <v>1</v>
      </c>
      <c r="G15" s="5">
        <v>10</v>
      </c>
      <c r="H15" s="5">
        <v>10</v>
      </c>
      <c r="I15" s="50" t="s">
        <v>162</v>
      </c>
    </row>
    <row r="16" s="43" customFormat="1" customHeight="1" spans="1:9">
      <c r="A16" s="18"/>
      <c r="B16" s="18"/>
      <c r="C16" s="15" t="s">
        <v>39</v>
      </c>
      <c r="D16" s="53" t="s">
        <v>164</v>
      </c>
      <c r="E16" s="54" t="s">
        <v>41</v>
      </c>
      <c r="F16" s="54" t="s">
        <v>41</v>
      </c>
      <c r="G16" s="5">
        <v>10</v>
      </c>
      <c r="H16" s="5">
        <v>10</v>
      </c>
      <c r="I16" s="50" t="s">
        <v>162</v>
      </c>
    </row>
    <row r="17" s="43" customFormat="1" customHeight="1" spans="1:9">
      <c r="A17" s="18"/>
      <c r="B17" s="18"/>
      <c r="C17" s="15" t="s">
        <v>42</v>
      </c>
      <c r="D17" s="54" t="s">
        <v>165</v>
      </c>
      <c r="E17" s="64">
        <v>0.8</v>
      </c>
      <c r="F17" s="57">
        <v>0.99</v>
      </c>
      <c r="G17" s="5">
        <v>10</v>
      </c>
      <c r="H17" s="5">
        <v>10</v>
      </c>
      <c r="I17" s="50" t="s">
        <v>162</v>
      </c>
    </row>
    <row r="18" s="43" customFormat="1" customHeight="1" spans="1:9">
      <c r="A18" s="18"/>
      <c r="B18" s="15" t="s">
        <v>45</v>
      </c>
      <c r="C18" s="15" t="s">
        <v>46</v>
      </c>
      <c r="D18" s="54" t="s">
        <v>162</v>
      </c>
      <c r="E18" s="54" t="s">
        <v>162</v>
      </c>
      <c r="F18" s="54" t="s">
        <v>162</v>
      </c>
      <c r="G18" s="54" t="s">
        <v>162</v>
      </c>
      <c r="H18" s="54" t="s">
        <v>162</v>
      </c>
      <c r="I18" s="54" t="s">
        <v>162</v>
      </c>
    </row>
    <row r="19" s="43" customFormat="1" ht="64" customHeight="1" spans="1:9">
      <c r="A19" s="18"/>
      <c r="B19" s="18"/>
      <c r="C19" s="15" t="s">
        <v>47</v>
      </c>
      <c r="D19" s="54" t="s">
        <v>205</v>
      </c>
      <c r="E19" s="54" t="s">
        <v>206</v>
      </c>
      <c r="F19" s="54" t="s">
        <v>207</v>
      </c>
      <c r="G19" s="5">
        <v>30</v>
      </c>
      <c r="H19" s="5">
        <v>29</v>
      </c>
      <c r="I19" s="54" t="s">
        <v>162</v>
      </c>
    </row>
    <row r="20" s="43" customFormat="1" customHeight="1" spans="1:9">
      <c r="A20" s="18"/>
      <c r="B20" s="18"/>
      <c r="C20" s="15" t="s">
        <v>50</v>
      </c>
      <c r="D20" s="54" t="s">
        <v>162</v>
      </c>
      <c r="E20" s="54" t="s">
        <v>162</v>
      </c>
      <c r="F20" s="54" t="s">
        <v>162</v>
      </c>
      <c r="G20" s="50" t="s">
        <v>162</v>
      </c>
      <c r="H20" s="50" t="s">
        <v>162</v>
      </c>
      <c r="I20" s="54" t="s">
        <v>162</v>
      </c>
    </row>
    <row r="21" s="43" customFormat="1" ht="36" customHeight="1" spans="1:9">
      <c r="A21" s="18"/>
      <c r="B21" s="18"/>
      <c r="C21" s="15" t="s">
        <v>51</v>
      </c>
      <c r="D21" s="54" t="s">
        <v>162</v>
      </c>
      <c r="E21" s="54" t="s">
        <v>162</v>
      </c>
      <c r="F21" s="54" t="s">
        <v>162</v>
      </c>
      <c r="G21" s="50" t="s">
        <v>162</v>
      </c>
      <c r="H21" s="50" t="s">
        <v>162</v>
      </c>
      <c r="I21" s="54" t="s">
        <v>162</v>
      </c>
    </row>
    <row r="22" s="43" customFormat="1" ht="58" customHeight="1" spans="1:9">
      <c r="A22" s="18"/>
      <c r="B22" s="15" t="s">
        <v>52</v>
      </c>
      <c r="C22" s="15" t="s">
        <v>53</v>
      </c>
      <c r="D22" s="53" t="s">
        <v>94</v>
      </c>
      <c r="E22" s="53" t="s">
        <v>169</v>
      </c>
      <c r="F22" s="57">
        <v>0.9</v>
      </c>
      <c r="G22" s="5">
        <v>10</v>
      </c>
      <c r="H22" s="53">
        <v>9</v>
      </c>
      <c r="I22" s="54" t="s">
        <v>162</v>
      </c>
    </row>
    <row r="23" s="43" customFormat="1" customHeight="1" spans="1:9">
      <c r="A23" s="5" t="s">
        <v>56</v>
      </c>
      <c r="B23" s="5"/>
      <c r="C23" s="5"/>
      <c r="D23" s="5"/>
      <c r="E23" s="5"/>
      <c r="F23" s="5"/>
      <c r="G23" s="5">
        <v>100</v>
      </c>
      <c r="H23" s="28">
        <f>I7+H14+H15+H16+H17+H19+H22</f>
        <v>97.9</v>
      </c>
      <c r="I23" s="5" t="s">
        <v>170</v>
      </c>
    </row>
    <row r="24" s="45" customFormat="1" customHeight="1" spans="1:9">
      <c r="A24" s="42"/>
      <c r="B24" s="42"/>
      <c r="C24" s="42"/>
      <c r="D24" s="42"/>
      <c r="E24" s="42"/>
      <c r="F24" s="42"/>
      <c r="G24" s="42"/>
      <c r="H24" s="42"/>
      <c r="I24" s="42"/>
    </row>
    <row r="25" s="45" customFormat="1" customHeight="1" spans="1:9">
      <c r="A25" s="42"/>
      <c r="B25" s="42"/>
      <c r="C25" s="42"/>
      <c r="D25" s="42"/>
      <c r="E25" s="42"/>
      <c r="F25" s="42"/>
      <c r="G25" s="42"/>
      <c r="H25" s="42"/>
      <c r="I25" s="42"/>
    </row>
    <row r="26" s="45" customFormat="1" customHeight="1" spans="1:9">
      <c r="A26" s="42"/>
      <c r="B26" s="42"/>
      <c r="C26" s="42"/>
      <c r="D26" s="42"/>
      <c r="E26" s="42"/>
      <c r="F26" s="42"/>
      <c r="G26" s="42"/>
      <c r="H26" s="42"/>
      <c r="I26" s="42"/>
    </row>
    <row r="27" s="45" customFormat="1" customHeight="1" spans="1:9">
      <c r="A27" s="42"/>
      <c r="B27" s="42"/>
      <c r="C27" s="42"/>
      <c r="D27" s="42"/>
      <c r="E27" s="42"/>
      <c r="F27" s="42"/>
      <c r="G27" s="42"/>
      <c r="H27" s="42"/>
      <c r="I27" s="42"/>
    </row>
    <row r="28" s="45" customFormat="1" customHeight="1" spans="1:9">
      <c r="A28" s="42"/>
      <c r="B28" s="42"/>
      <c r="C28" s="42"/>
      <c r="D28" s="42"/>
      <c r="E28" s="42"/>
      <c r="F28" s="42"/>
      <c r="G28" s="42"/>
      <c r="H28" s="42"/>
      <c r="I28" s="42"/>
    </row>
    <row r="29" s="45" customFormat="1" customHeight="1" spans="1:9">
      <c r="A29" s="42"/>
      <c r="B29" s="42"/>
      <c r="C29" s="42"/>
      <c r="D29" s="42"/>
      <c r="E29" s="42"/>
      <c r="F29" s="42"/>
      <c r="G29" s="42"/>
      <c r="H29" s="42"/>
      <c r="I29" s="42"/>
    </row>
    <row r="30" s="45" customFormat="1" customHeight="1" spans="1:9">
      <c r="A30" s="42"/>
      <c r="B30" s="42"/>
      <c r="C30" s="42"/>
      <c r="D30" s="42"/>
      <c r="E30" s="42"/>
      <c r="F30" s="42"/>
      <c r="G30" s="42"/>
      <c r="H30" s="42"/>
      <c r="I30" s="42"/>
    </row>
    <row r="31" s="45" customFormat="1" customHeight="1" spans="1:9">
      <c r="A31" s="42"/>
      <c r="B31" s="42"/>
      <c r="C31" s="42"/>
      <c r="D31" s="42"/>
      <c r="E31" s="42"/>
      <c r="F31" s="42"/>
      <c r="G31" s="42"/>
      <c r="H31" s="42"/>
      <c r="I31" s="42"/>
    </row>
    <row r="32" s="45" customFormat="1" customHeight="1" spans="1:9">
      <c r="A32" s="42"/>
      <c r="B32" s="42"/>
      <c r="C32" s="42"/>
      <c r="D32" s="42"/>
      <c r="E32" s="42"/>
      <c r="F32" s="42"/>
      <c r="G32" s="42"/>
      <c r="H32" s="42"/>
      <c r="I32" s="42"/>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topLeftCell="A12" workbookViewId="0">
      <selection activeCell="A24" sqref="$A24:$XFD24"/>
    </sheetView>
  </sheetViews>
  <sheetFormatPr defaultColWidth="13.875" defaultRowHeight="24.95" customHeight="1"/>
  <cols>
    <col min="1" max="1" width="6.875" style="42" customWidth="1"/>
    <col min="2" max="2" width="10.25" style="42" customWidth="1"/>
    <col min="3" max="4" width="13.875" style="42"/>
    <col min="5" max="5" width="15.25" style="42" customWidth="1"/>
    <col min="6" max="6" width="14.5" style="42" customWidth="1"/>
    <col min="7" max="16384" width="13.875" style="42"/>
  </cols>
  <sheetData>
    <row r="1" s="42" customFormat="1" customHeight="1" spans="1:2">
      <c r="A1" s="84" t="s">
        <v>208</v>
      </c>
      <c r="B1" s="84"/>
    </row>
    <row r="2" s="42" customFormat="1" ht="36" customHeight="1" spans="1:9">
      <c r="A2" s="47" t="s">
        <v>0</v>
      </c>
      <c r="B2" s="47"/>
      <c r="C2" s="47"/>
      <c r="D2" s="47"/>
      <c r="E2" s="47"/>
      <c r="F2" s="47"/>
      <c r="G2" s="47"/>
      <c r="H2" s="47"/>
      <c r="I2" s="47"/>
    </row>
    <row r="3" s="43" customFormat="1" customHeight="1" spans="1:9">
      <c r="A3" s="4" t="s">
        <v>189</v>
      </c>
      <c r="B3" s="4"/>
      <c r="C3" s="4"/>
      <c r="D3" s="4"/>
      <c r="E3" s="4"/>
      <c r="F3" s="4"/>
      <c r="G3" s="4"/>
      <c r="H3" s="4"/>
      <c r="I3" s="4"/>
    </row>
    <row r="4" s="43" customFormat="1" customHeight="1" spans="1:9">
      <c r="A4" s="5" t="s">
        <v>2</v>
      </c>
      <c r="B4" s="5"/>
      <c r="C4" s="5" t="s">
        <v>209</v>
      </c>
      <c r="D4" s="5"/>
      <c r="E4" s="5"/>
      <c r="F4" s="5"/>
      <c r="G4" s="5"/>
      <c r="H4" s="5"/>
      <c r="I4" s="5"/>
    </row>
    <row r="5" s="43" customFormat="1" customHeight="1" spans="1:9">
      <c r="A5" s="6" t="s">
        <v>4</v>
      </c>
      <c r="B5" s="7"/>
      <c r="C5" s="5" t="s">
        <v>5</v>
      </c>
      <c r="D5" s="5"/>
      <c r="E5" s="5"/>
      <c r="F5" s="5" t="s">
        <v>6</v>
      </c>
      <c r="G5" s="5" t="s">
        <v>5</v>
      </c>
      <c r="H5" s="5"/>
      <c r="I5" s="5"/>
    </row>
    <row r="6" s="43" customFormat="1" customHeight="1" spans="1:9">
      <c r="A6" s="8" t="s">
        <v>7</v>
      </c>
      <c r="B6" s="9"/>
      <c r="C6" s="5"/>
      <c r="D6" s="5" t="s">
        <v>8</v>
      </c>
      <c r="E6" s="5" t="s">
        <v>9</v>
      </c>
      <c r="F6" s="5" t="s">
        <v>10</v>
      </c>
      <c r="G6" s="5" t="s">
        <v>11</v>
      </c>
      <c r="H6" s="5" t="s">
        <v>12</v>
      </c>
      <c r="I6" s="5" t="s">
        <v>13</v>
      </c>
    </row>
    <row r="7" s="43" customFormat="1" customHeight="1" spans="1:9">
      <c r="A7" s="10"/>
      <c r="B7" s="11"/>
      <c r="C7" s="5" t="s">
        <v>14</v>
      </c>
      <c r="D7" s="5">
        <f t="shared" ref="D7:F7" si="0">D8</f>
        <v>130</v>
      </c>
      <c r="E7" s="5">
        <f t="shared" si="0"/>
        <v>130</v>
      </c>
      <c r="F7" s="5">
        <f t="shared" si="0"/>
        <v>130</v>
      </c>
      <c r="G7" s="5">
        <v>10</v>
      </c>
      <c r="H7" s="12">
        <f>H8</f>
        <v>1</v>
      </c>
      <c r="I7" s="28">
        <f>G7*H7</f>
        <v>10</v>
      </c>
    </row>
    <row r="8" s="43" customFormat="1" ht="34.5" customHeight="1" spans="1:9">
      <c r="A8" s="10"/>
      <c r="B8" s="11"/>
      <c r="C8" s="5" t="s">
        <v>15</v>
      </c>
      <c r="D8" s="5">
        <v>130</v>
      </c>
      <c r="E8" s="5">
        <v>130</v>
      </c>
      <c r="F8" s="5">
        <v>130</v>
      </c>
      <c r="G8" s="5" t="s">
        <v>16</v>
      </c>
      <c r="H8" s="12">
        <f>F8/E8</f>
        <v>1</v>
      </c>
      <c r="I8" s="5" t="s">
        <v>16</v>
      </c>
    </row>
    <row r="9" s="43" customFormat="1" customHeight="1" spans="1:9">
      <c r="A9" s="10"/>
      <c r="B9" s="11"/>
      <c r="C9" s="5" t="s">
        <v>17</v>
      </c>
      <c r="D9" s="5">
        <v>0</v>
      </c>
      <c r="E9" s="5">
        <v>0</v>
      </c>
      <c r="F9" s="5">
        <v>0</v>
      </c>
      <c r="G9" s="5" t="s">
        <v>16</v>
      </c>
      <c r="H9" s="12">
        <v>0</v>
      </c>
      <c r="I9" s="5" t="s">
        <v>16</v>
      </c>
    </row>
    <row r="10" s="43" customFormat="1" customHeight="1" spans="1:9">
      <c r="A10" s="13"/>
      <c r="B10" s="14"/>
      <c r="C10" s="5" t="s">
        <v>18</v>
      </c>
      <c r="D10" s="5">
        <v>0</v>
      </c>
      <c r="E10" s="5">
        <v>0</v>
      </c>
      <c r="F10" s="5">
        <v>0</v>
      </c>
      <c r="G10" s="5" t="s">
        <v>16</v>
      </c>
      <c r="H10" s="12">
        <v>0</v>
      </c>
      <c r="I10" s="5" t="s">
        <v>16</v>
      </c>
    </row>
    <row r="11" s="43" customFormat="1" ht="30" customHeight="1" spans="1:9">
      <c r="A11" s="15" t="s">
        <v>19</v>
      </c>
      <c r="B11" s="6" t="s">
        <v>20</v>
      </c>
      <c r="C11" s="7"/>
      <c r="D11" s="7"/>
      <c r="E11" s="16"/>
      <c r="F11" s="6" t="s">
        <v>21</v>
      </c>
      <c r="G11" s="7"/>
      <c r="H11" s="7"/>
      <c r="I11" s="16"/>
    </row>
    <row r="12" s="43" customFormat="1" ht="69" customHeight="1" spans="1:9">
      <c r="A12" s="17"/>
      <c r="B12" s="48" t="s">
        <v>210</v>
      </c>
      <c r="C12" s="49"/>
      <c r="D12" s="49"/>
      <c r="E12" s="61"/>
      <c r="F12" s="48" t="s">
        <v>211</v>
      </c>
      <c r="G12" s="49"/>
      <c r="H12" s="49"/>
      <c r="I12" s="61"/>
    </row>
    <row r="13" s="43" customFormat="1" ht="41.25" customHeight="1" spans="1:9">
      <c r="A13" s="15" t="s">
        <v>24</v>
      </c>
      <c r="B13" s="5" t="s">
        <v>25</v>
      </c>
      <c r="C13" s="5" t="s">
        <v>26</v>
      </c>
      <c r="D13" s="5" t="s">
        <v>27</v>
      </c>
      <c r="E13" s="5" t="s">
        <v>28</v>
      </c>
      <c r="F13" s="5" t="s">
        <v>29</v>
      </c>
      <c r="G13" s="5" t="s">
        <v>11</v>
      </c>
      <c r="H13" s="5" t="s">
        <v>13</v>
      </c>
      <c r="I13" s="5" t="s">
        <v>30</v>
      </c>
    </row>
    <row r="14" s="43" customFormat="1" customHeight="1" spans="1:9">
      <c r="A14" s="18"/>
      <c r="B14" s="15" t="s">
        <v>31</v>
      </c>
      <c r="C14" s="15" t="s">
        <v>32</v>
      </c>
      <c r="D14" s="54" t="s">
        <v>212</v>
      </c>
      <c r="E14" s="54" t="s">
        <v>213</v>
      </c>
      <c r="F14" s="15" t="s">
        <v>214</v>
      </c>
      <c r="G14" s="5">
        <v>20</v>
      </c>
      <c r="H14" s="5">
        <v>20</v>
      </c>
      <c r="I14" s="50" t="s">
        <v>162</v>
      </c>
    </row>
    <row r="15" s="43" customFormat="1" ht="36" customHeight="1" spans="1:9">
      <c r="A15" s="18"/>
      <c r="B15" s="18"/>
      <c r="C15" s="15" t="s">
        <v>36</v>
      </c>
      <c r="D15" s="54" t="s">
        <v>215</v>
      </c>
      <c r="E15" s="54" t="s">
        <v>216</v>
      </c>
      <c r="F15" s="54" t="s">
        <v>216</v>
      </c>
      <c r="G15" s="5">
        <v>10</v>
      </c>
      <c r="H15" s="5">
        <v>10</v>
      </c>
      <c r="I15" s="50" t="s">
        <v>162</v>
      </c>
    </row>
    <row r="16" s="43" customFormat="1" customHeight="1" spans="1:9">
      <c r="A16" s="18"/>
      <c r="B16" s="18"/>
      <c r="C16" s="15" t="s">
        <v>39</v>
      </c>
      <c r="D16" s="53" t="s">
        <v>164</v>
      </c>
      <c r="E16" s="54" t="s">
        <v>41</v>
      </c>
      <c r="F16" s="54" t="s">
        <v>41</v>
      </c>
      <c r="G16" s="5">
        <v>10</v>
      </c>
      <c r="H16" s="5">
        <v>10</v>
      </c>
      <c r="I16" s="50" t="s">
        <v>162</v>
      </c>
    </row>
    <row r="17" s="43" customFormat="1" customHeight="1" spans="1:9">
      <c r="A17" s="18"/>
      <c r="B17" s="18"/>
      <c r="C17" s="15" t="s">
        <v>42</v>
      </c>
      <c r="D17" s="54" t="s">
        <v>165</v>
      </c>
      <c r="E17" s="64">
        <v>0.8</v>
      </c>
      <c r="F17" s="64">
        <v>1</v>
      </c>
      <c r="G17" s="5">
        <v>10</v>
      </c>
      <c r="H17" s="5">
        <v>10</v>
      </c>
      <c r="I17" s="50" t="s">
        <v>162</v>
      </c>
    </row>
    <row r="18" s="43" customFormat="1" customHeight="1" spans="1:9">
      <c r="A18" s="18"/>
      <c r="B18" s="15" t="s">
        <v>45</v>
      </c>
      <c r="C18" s="15" t="s">
        <v>46</v>
      </c>
      <c r="D18" s="54" t="s">
        <v>162</v>
      </c>
      <c r="E18" s="54" t="s">
        <v>162</v>
      </c>
      <c r="F18" s="54" t="s">
        <v>162</v>
      </c>
      <c r="G18" s="54" t="s">
        <v>162</v>
      </c>
      <c r="H18" s="54" t="s">
        <v>162</v>
      </c>
      <c r="I18" s="54" t="s">
        <v>162</v>
      </c>
    </row>
    <row r="19" s="43" customFormat="1" ht="69" customHeight="1" spans="1:9">
      <c r="A19" s="18"/>
      <c r="B19" s="18"/>
      <c r="C19" s="15" t="s">
        <v>47</v>
      </c>
      <c r="D19" s="54" t="s">
        <v>217</v>
      </c>
      <c r="E19" s="54" t="s">
        <v>218</v>
      </c>
      <c r="F19" s="54" t="s">
        <v>218</v>
      </c>
      <c r="G19" s="5">
        <v>30</v>
      </c>
      <c r="H19" s="5">
        <v>29</v>
      </c>
      <c r="I19" s="54" t="s">
        <v>162</v>
      </c>
    </row>
    <row r="20" s="43" customFormat="1" customHeight="1" spans="1:9">
      <c r="A20" s="18"/>
      <c r="B20" s="18"/>
      <c r="C20" s="15" t="s">
        <v>50</v>
      </c>
      <c r="D20" s="54" t="s">
        <v>162</v>
      </c>
      <c r="E20" s="54" t="s">
        <v>162</v>
      </c>
      <c r="F20" s="54" t="s">
        <v>162</v>
      </c>
      <c r="G20" s="50" t="s">
        <v>162</v>
      </c>
      <c r="H20" s="50" t="s">
        <v>162</v>
      </c>
      <c r="I20" s="54" t="s">
        <v>162</v>
      </c>
    </row>
    <row r="21" s="43" customFormat="1" ht="36" customHeight="1" spans="1:9">
      <c r="A21" s="18"/>
      <c r="B21" s="18"/>
      <c r="C21" s="15" t="s">
        <v>51</v>
      </c>
      <c r="D21" s="54" t="s">
        <v>162</v>
      </c>
      <c r="E21" s="54" t="s">
        <v>162</v>
      </c>
      <c r="F21" s="54" t="s">
        <v>162</v>
      </c>
      <c r="G21" s="50" t="s">
        <v>162</v>
      </c>
      <c r="H21" s="50" t="s">
        <v>162</v>
      </c>
      <c r="I21" s="54" t="s">
        <v>162</v>
      </c>
    </row>
    <row r="22" s="43" customFormat="1" ht="58" customHeight="1" spans="1:9">
      <c r="A22" s="18"/>
      <c r="B22" s="15" t="s">
        <v>52</v>
      </c>
      <c r="C22" s="15" t="s">
        <v>53</v>
      </c>
      <c r="D22" s="54" t="s">
        <v>219</v>
      </c>
      <c r="E22" s="54" t="s">
        <v>169</v>
      </c>
      <c r="F22" s="64">
        <v>0.9</v>
      </c>
      <c r="G22" s="5">
        <v>10</v>
      </c>
      <c r="H22" s="53">
        <v>9</v>
      </c>
      <c r="I22" s="54" t="s">
        <v>162</v>
      </c>
    </row>
    <row r="23" s="43" customFormat="1" customHeight="1" spans="1:9">
      <c r="A23" s="5" t="s">
        <v>56</v>
      </c>
      <c r="B23" s="5"/>
      <c r="C23" s="5"/>
      <c r="D23" s="5"/>
      <c r="E23" s="5"/>
      <c r="F23" s="5"/>
      <c r="G23" s="5">
        <v>100</v>
      </c>
      <c r="H23" s="28">
        <f>I7+H14+H15+H16+H17+H19+H22</f>
        <v>98</v>
      </c>
      <c r="I23" s="5" t="s">
        <v>170</v>
      </c>
    </row>
    <row r="24" s="45" customFormat="1" customHeight="1" spans="1:9">
      <c r="A24" s="42"/>
      <c r="B24" s="42"/>
      <c r="C24" s="42"/>
      <c r="D24" s="42"/>
      <c r="E24" s="42"/>
      <c r="F24" s="42"/>
      <c r="G24" s="42"/>
      <c r="H24" s="42"/>
      <c r="I24" s="42"/>
    </row>
    <row r="25" s="45" customFormat="1" customHeight="1" spans="1:9">
      <c r="A25" s="42"/>
      <c r="B25" s="42"/>
      <c r="C25" s="42"/>
      <c r="D25" s="42"/>
      <c r="E25" s="42"/>
      <c r="F25" s="42"/>
      <c r="G25" s="42"/>
      <c r="H25" s="42"/>
      <c r="I25" s="42"/>
    </row>
    <row r="26" s="45" customFormat="1" customHeight="1" spans="1:9">
      <c r="A26" s="42"/>
      <c r="B26" s="42"/>
      <c r="C26" s="42"/>
      <c r="D26" s="42"/>
      <c r="E26" s="42"/>
      <c r="F26" s="42"/>
      <c r="G26" s="42"/>
      <c r="H26" s="42"/>
      <c r="I26" s="42"/>
    </row>
    <row r="27" s="45" customFormat="1" customHeight="1" spans="1:9">
      <c r="A27" s="42"/>
      <c r="B27" s="42"/>
      <c r="C27" s="42"/>
      <c r="D27" s="42"/>
      <c r="E27" s="42"/>
      <c r="F27" s="42"/>
      <c r="G27" s="42"/>
      <c r="H27" s="42"/>
      <c r="I27" s="42"/>
    </row>
    <row r="28" s="45" customFormat="1" customHeight="1" spans="1:9">
      <c r="A28" s="42"/>
      <c r="B28" s="42"/>
      <c r="C28" s="42"/>
      <c r="D28" s="42"/>
      <c r="E28" s="42"/>
      <c r="F28" s="42"/>
      <c r="G28" s="42"/>
      <c r="H28" s="42"/>
      <c r="I28" s="42"/>
    </row>
    <row r="29" s="45" customFormat="1" customHeight="1" spans="1:9">
      <c r="A29" s="42"/>
      <c r="B29" s="42"/>
      <c r="C29" s="42"/>
      <c r="D29" s="42"/>
      <c r="E29" s="42"/>
      <c r="F29" s="42"/>
      <c r="G29" s="42"/>
      <c r="H29" s="42"/>
      <c r="I29" s="42"/>
    </row>
    <row r="30" s="45" customFormat="1" customHeight="1" spans="1:9">
      <c r="A30" s="42"/>
      <c r="B30" s="42"/>
      <c r="C30" s="42"/>
      <c r="D30" s="42"/>
      <c r="E30" s="42"/>
      <c r="F30" s="42"/>
      <c r="G30" s="42"/>
      <c r="H30" s="42"/>
      <c r="I30" s="42"/>
    </row>
    <row r="31" s="45" customFormat="1" customHeight="1" spans="1:9">
      <c r="A31" s="42"/>
      <c r="B31" s="42"/>
      <c r="C31" s="42"/>
      <c r="D31" s="42"/>
      <c r="E31" s="42"/>
      <c r="F31" s="42"/>
      <c r="G31" s="42"/>
      <c r="H31" s="42"/>
      <c r="I31" s="42"/>
    </row>
    <row r="32" s="45" customFormat="1" customHeight="1" spans="1:9">
      <c r="A32" s="42"/>
      <c r="B32" s="42"/>
      <c r="C32" s="42"/>
      <c r="D32" s="42"/>
      <c r="E32" s="42"/>
      <c r="F32" s="42"/>
      <c r="G32" s="42"/>
      <c r="H32" s="42"/>
      <c r="I32" s="42"/>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topLeftCell="A18" workbookViewId="0">
      <selection activeCell="A24" sqref="$A24:$XFD24"/>
    </sheetView>
  </sheetViews>
  <sheetFormatPr defaultColWidth="13.875" defaultRowHeight="24.95" customHeight="1"/>
  <cols>
    <col min="1" max="1" width="8.5" style="44" customWidth="1"/>
    <col min="2" max="2" width="7.5" style="44" customWidth="1"/>
    <col min="3" max="3" width="14.75" style="44" customWidth="1"/>
    <col min="4" max="4" width="13.375" style="44" customWidth="1"/>
    <col min="5" max="5" width="14" style="44" customWidth="1"/>
    <col min="6" max="6" width="17.625" style="44" customWidth="1"/>
    <col min="7" max="7" width="10.125" style="44" customWidth="1"/>
    <col min="8" max="8" width="13.75" style="44" customWidth="1"/>
    <col min="9" max="16384" width="13.875" style="44"/>
  </cols>
  <sheetData>
    <row r="1" s="44" customFormat="1" customHeight="1" spans="1:2">
      <c r="A1" s="46"/>
      <c r="B1" s="46"/>
    </row>
    <row r="2" s="44"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5" t="s">
        <v>220</v>
      </c>
      <c r="D4" s="5"/>
      <c r="E4" s="5"/>
      <c r="F4" s="5"/>
      <c r="G4" s="5"/>
      <c r="H4" s="5"/>
      <c r="I4" s="5"/>
    </row>
    <row r="5" s="45" customFormat="1" customHeight="1" spans="1:9">
      <c r="A5" s="68" t="s">
        <v>4</v>
      </c>
      <c r="B5" s="69"/>
      <c r="C5" s="5" t="s">
        <v>5</v>
      </c>
      <c r="D5" s="5"/>
      <c r="E5" s="5"/>
      <c r="F5" s="5" t="s">
        <v>6</v>
      </c>
      <c r="G5" s="5" t="s">
        <v>5</v>
      </c>
      <c r="H5" s="5"/>
      <c r="I5" s="5"/>
    </row>
    <row r="6" s="45" customFormat="1" customHeight="1" spans="1:9">
      <c r="A6" s="70" t="s">
        <v>7</v>
      </c>
      <c r="B6" s="71"/>
      <c r="C6" s="5"/>
      <c r="D6" s="5" t="s">
        <v>8</v>
      </c>
      <c r="E6" s="5" t="s">
        <v>9</v>
      </c>
      <c r="F6" s="5" t="s">
        <v>10</v>
      </c>
      <c r="G6" s="5" t="s">
        <v>11</v>
      </c>
      <c r="H6" s="5" t="s">
        <v>12</v>
      </c>
      <c r="I6" s="5" t="s">
        <v>13</v>
      </c>
    </row>
    <row r="7" s="45" customFormat="1" customHeight="1" spans="1:9">
      <c r="A7" s="72"/>
      <c r="B7" s="73"/>
      <c r="C7" s="5" t="s">
        <v>14</v>
      </c>
      <c r="D7" s="5">
        <f t="shared" ref="D7:F7" si="0">D8</f>
        <v>250</v>
      </c>
      <c r="E7" s="5">
        <f t="shared" si="0"/>
        <v>204</v>
      </c>
      <c r="F7" s="5">
        <f t="shared" si="0"/>
        <v>105.26</v>
      </c>
      <c r="G7" s="5">
        <v>10</v>
      </c>
      <c r="H7" s="12">
        <f>H8</f>
        <v>0.515980392156863</v>
      </c>
      <c r="I7" s="28">
        <f>G7*H7</f>
        <v>5.15980392156863</v>
      </c>
    </row>
    <row r="8" s="45" customFormat="1" ht="34.5" customHeight="1" spans="1:9">
      <c r="A8" s="72"/>
      <c r="B8" s="73"/>
      <c r="C8" s="5" t="s">
        <v>15</v>
      </c>
      <c r="D8" s="5">
        <v>250</v>
      </c>
      <c r="E8" s="5">
        <v>204</v>
      </c>
      <c r="F8" s="5">
        <v>105.26</v>
      </c>
      <c r="G8" s="5" t="s">
        <v>16</v>
      </c>
      <c r="H8" s="12">
        <f>F8/E8</f>
        <v>0.515980392156863</v>
      </c>
      <c r="I8" s="5" t="s">
        <v>16</v>
      </c>
    </row>
    <row r="9" s="45" customFormat="1" customHeight="1" spans="1:9">
      <c r="A9" s="72"/>
      <c r="B9" s="73"/>
      <c r="C9" s="5" t="s">
        <v>17</v>
      </c>
      <c r="D9" s="5">
        <v>0</v>
      </c>
      <c r="E9" s="5">
        <v>0</v>
      </c>
      <c r="F9" s="5">
        <v>0</v>
      </c>
      <c r="G9" s="5" t="s">
        <v>16</v>
      </c>
      <c r="H9" s="12">
        <v>0</v>
      </c>
      <c r="I9" s="5" t="s">
        <v>16</v>
      </c>
    </row>
    <row r="10" s="45" customFormat="1" customHeight="1" spans="1:9">
      <c r="A10" s="74"/>
      <c r="B10" s="75"/>
      <c r="C10" s="5"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95" customHeight="1" spans="1:9">
      <c r="A12" s="78"/>
      <c r="B12" s="48" t="s">
        <v>221</v>
      </c>
      <c r="C12" s="49"/>
      <c r="D12" s="49"/>
      <c r="E12" s="61"/>
      <c r="F12" s="48" t="s">
        <v>222</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99.75" spans="1:9">
      <c r="A14" s="79"/>
      <c r="B14" s="76" t="s">
        <v>31</v>
      </c>
      <c r="C14" s="76" t="s">
        <v>32</v>
      </c>
      <c r="D14" s="54" t="s">
        <v>223</v>
      </c>
      <c r="E14" s="54" t="s">
        <v>224</v>
      </c>
      <c r="F14" s="53" t="s">
        <v>225</v>
      </c>
      <c r="G14" s="5">
        <v>20</v>
      </c>
      <c r="H14" s="5">
        <v>20</v>
      </c>
      <c r="I14" s="50" t="s">
        <v>162</v>
      </c>
    </row>
    <row r="15" s="45" customFormat="1" ht="63" customHeight="1" spans="1:9">
      <c r="A15" s="79"/>
      <c r="B15" s="79"/>
      <c r="C15" s="76" t="s">
        <v>36</v>
      </c>
      <c r="D15" s="54" t="s">
        <v>226</v>
      </c>
      <c r="E15" s="54" t="s">
        <v>227</v>
      </c>
      <c r="F15" s="54" t="s">
        <v>227</v>
      </c>
      <c r="G15" s="5">
        <v>20</v>
      </c>
      <c r="H15" s="5">
        <v>20</v>
      </c>
      <c r="I15" s="50" t="s">
        <v>162</v>
      </c>
    </row>
    <row r="16" s="45" customFormat="1" ht="14.25" spans="1:9">
      <c r="A16" s="79"/>
      <c r="B16" s="79"/>
      <c r="C16" s="76" t="s">
        <v>39</v>
      </c>
      <c r="D16" s="53" t="s">
        <v>164</v>
      </c>
      <c r="E16" s="54" t="s">
        <v>41</v>
      </c>
      <c r="F16" s="54" t="s">
        <v>41</v>
      </c>
      <c r="G16" s="5">
        <v>5</v>
      </c>
      <c r="H16" s="5">
        <v>5</v>
      </c>
      <c r="I16" s="50" t="s">
        <v>162</v>
      </c>
    </row>
    <row r="17" s="45" customFormat="1" customHeight="1" spans="1:9">
      <c r="A17" s="79"/>
      <c r="B17" s="79"/>
      <c r="C17" s="76" t="s">
        <v>42</v>
      </c>
      <c r="D17" s="54" t="s">
        <v>165</v>
      </c>
      <c r="E17" s="64">
        <v>0.8</v>
      </c>
      <c r="F17" s="55">
        <v>0.516</v>
      </c>
      <c r="G17" s="5">
        <v>5</v>
      </c>
      <c r="H17" s="5">
        <f>F17*G17</f>
        <v>2.58</v>
      </c>
      <c r="I17" s="50" t="s">
        <v>162</v>
      </c>
    </row>
    <row r="18" s="45" customFormat="1" customHeight="1" spans="1:9">
      <c r="A18" s="79"/>
      <c r="B18" s="76" t="s">
        <v>45</v>
      </c>
      <c r="C18" s="76" t="s">
        <v>46</v>
      </c>
      <c r="D18" s="54" t="s">
        <v>162</v>
      </c>
      <c r="E18" s="54" t="s">
        <v>162</v>
      </c>
      <c r="F18" s="54" t="s">
        <v>162</v>
      </c>
      <c r="G18" s="54" t="s">
        <v>162</v>
      </c>
      <c r="H18" s="54" t="s">
        <v>162</v>
      </c>
      <c r="I18" s="54" t="s">
        <v>162</v>
      </c>
    </row>
    <row r="19" s="45" customFormat="1" ht="67" customHeight="1" spans="1:9">
      <c r="A19" s="79"/>
      <c r="B19" s="79"/>
      <c r="C19" s="76" t="s">
        <v>47</v>
      </c>
      <c r="D19" s="54" t="s">
        <v>228</v>
      </c>
      <c r="E19" s="54" t="s">
        <v>229</v>
      </c>
      <c r="F19" s="54" t="s">
        <v>230</v>
      </c>
      <c r="G19" s="5">
        <v>30</v>
      </c>
      <c r="H19" s="5">
        <v>29</v>
      </c>
      <c r="I19" s="54" t="s">
        <v>162</v>
      </c>
    </row>
    <row r="20" s="45" customFormat="1" customHeight="1" spans="1:9">
      <c r="A20" s="79"/>
      <c r="B20" s="79"/>
      <c r="C20" s="76" t="s">
        <v>50</v>
      </c>
      <c r="D20" s="54" t="s">
        <v>162</v>
      </c>
      <c r="E20" s="54" t="s">
        <v>162</v>
      </c>
      <c r="F20" s="54" t="s">
        <v>162</v>
      </c>
      <c r="G20" s="50" t="s">
        <v>162</v>
      </c>
      <c r="H20" s="50" t="s">
        <v>162</v>
      </c>
      <c r="I20" s="54" t="s">
        <v>162</v>
      </c>
    </row>
    <row r="21" s="45" customFormat="1" customHeight="1" spans="1:9">
      <c r="A21" s="79"/>
      <c r="B21" s="79"/>
      <c r="C21" s="76" t="s">
        <v>51</v>
      </c>
      <c r="D21" s="54" t="s">
        <v>162</v>
      </c>
      <c r="E21" s="54" t="s">
        <v>162</v>
      </c>
      <c r="F21" s="54" t="s">
        <v>162</v>
      </c>
      <c r="G21" s="50" t="s">
        <v>162</v>
      </c>
      <c r="H21" s="50" t="s">
        <v>162</v>
      </c>
      <c r="I21" s="54" t="s">
        <v>162</v>
      </c>
    </row>
    <row r="22" s="45" customFormat="1" ht="48" customHeight="1" spans="1:9">
      <c r="A22" s="79"/>
      <c r="B22" s="76" t="s">
        <v>52</v>
      </c>
      <c r="C22" s="76" t="s">
        <v>53</v>
      </c>
      <c r="D22" s="54" t="s">
        <v>94</v>
      </c>
      <c r="E22" s="54" t="s">
        <v>231</v>
      </c>
      <c r="F22" s="57">
        <v>0.9</v>
      </c>
      <c r="G22" s="5">
        <v>10</v>
      </c>
      <c r="H22" s="53">
        <v>10</v>
      </c>
      <c r="I22" s="54" t="s">
        <v>162</v>
      </c>
    </row>
    <row r="23" s="45" customFormat="1" customHeight="1" spans="1:9">
      <c r="A23" s="67" t="s">
        <v>56</v>
      </c>
      <c r="B23" s="67"/>
      <c r="C23" s="67"/>
      <c r="D23" s="5"/>
      <c r="E23" s="5"/>
      <c r="F23" s="5"/>
      <c r="G23" s="5">
        <v>100</v>
      </c>
      <c r="H23" s="28">
        <f>I7+H14+H15+H16+H17+H19+H22</f>
        <v>91.7398039215686</v>
      </c>
      <c r="I23" s="5" t="s">
        <v>170</v>
      </c>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opLeftCell="A18" workbookViewId="0">
      <selection activeCell="K11" sqref="K11"/>
    </sheetView>
  </sheetViews>
  <sheetFormatPr defaultColWidth="13.875" defaultRowHeight="24.95" customHeight="1"/>
  <cols>
    <col min="1" max="1" width="8.5" style="44" customWidth="1"/>
    <col min="2" max="2" width="7.5" style="44" customWidth="1"/>
    <col min="3" max="3" width="13.875" style="44"/>
    <col min="4" max="4" width="12.875" style="44" customWidth="1"/>
    <col min="5" max="5" width="14" style="44" customWidth="1"/>
    <col min="6" max="6" width="14.375" style="44" customWidth="1"/>
    <col min="7" max="7" width="10.125" style="44" customWidth="1"/>
    <col min="8" max="8" width="13.75" style="44" customWidth="1"/>
    <col min="9" max="9" width="14.375" style="44" customWidth="1"/>
    <col min="10" max="16384" width="13.875" style="44"/>
  </cols>
  <sheetData>
    <row r="1" s="44" customFormat="1" customHeight="1" spans="1:2">
      <c r="A1" s="46"/>
      <c r="B1" s="46"/>
    </row>
    <row r="2" s="44"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67" t="s">
        <v>232</v>
      </c>
      <c r="D4" s="67"/>
      <c r="E4" s="67"/>
      <c r="F4" s="67"/>
      <c r="G4" s="67"/>
      <c r="H4" s="67"/>
      <c r="I4" s="67"/>
    </row>
    <row r="5" s="45" customFormat="1" customHeight="1" spans="1:9">
      <c r="A5" s="68" t="s">
        <v>4</v>
      </c>
      <c r="B5" s="69"/>
      <c r="C5" s="5" t="s">
        <v>5</v>
      </c>
      <c r="D5" s="5"/>
      <c r="E5" s="5"/>
      <c r="F5" s="5" t="s">
        <v>6</v>
      </c>
      <c r="G5" s="5" t="s">
        <v>5</v>
      </c>
      <c r="H5" s="5"/>
      <c r="I5" s="5"/>
    </row>
    <row r="6" s="45" customFormat="1" customHeight="1" spans="1:9">
      <c r="A6" s="70" t="s">
        <v>7</v>
      </c>
      <c r="B6" s="71"/>
      <c r="C6" s="5"/>
      <c r="D6" s="5" t="s">
        <v>8</v>
      </c>
      <c r="E6" s="5" t="s">
        <v>9</v>
      </c>
      <c r="F6" s="5" t="s">
        <v>10</v>
      </c>
      <c r="G6" s="5" t="s">
        <v>11</v>
      </c>
      <c r="H6" s="5" t="s">
        <v>12</v>
      </c>
      <c r="I6" s="5" t="s">
        <v>13</v>
      </c>
    </row>
    <row r="7" s="45" customFormat="1" customHeight="1" spans="1:9">
      <c r="A7" s="72"/>
      <c r="B7" s="73"/>
      <c r="C7" s="5" t="s">
        <v>14</v>
      </c>
      <c r="D7" s="5">
        <f t="shared" ref="D7:F7" si="0">D8</f>
        <v>600</v>
      </c>
      <c r="E7" s="5">
        <f t="shared" si="0"/>
        <v>600</v>
      </c>
      <c r="F7" s="5">
        <f t="shared" si="0"/>
        <v>380.69</v>
      </c>
      <c r="G7" s="5">
        <v>10</v>
      </c>
      <c r="H7" s="12">
        <f>H8</f>
        <v>0.634483333333333</v>
      </c>
      <c r="I7" s="28">
        <f>G7*H7</f>
        <v>6.34483333333333</v>
      </c>
    </row>
    <row r="8" s="45" customFormat="1" ht="34.5" customHeight="1" spans="1:9">
      <c r="A8" s="72"/>
      <c r="B8" s="73"/>
      <c r="C8" s="5" t="s">
        <v>15</v>
      </c>
      <c r="D8" s="5">
        <v>600</v>
      </c>
      <c r="E8" s="5">
        <v>600</v>
      </c>
      <c r="F8" s="5">
        <v>380.69</v>
      </c>
      <c r="G8" s="5" t="s">
        <v>16</v>
      </c>
      <c r="H8" s="12">
        <f>F8/E8</f>
        <v>0.634483333333333</v>
      </c>
      <c r="I8" s="5" t="s">
        <v>16</v>
      </c>
    </row>
    <row r="9" s="45" customFormat="1" customHeight="1" spans="1:9">
      <c r="A9" s="72"/>
      <c r="B9" s="73"/>
      <c r="C9" s="5" t="s">
        <v>17</v>
      </c>
      <c r="D9" s="5">
        <v>0</v>
      </c>
      <c r="E9" s="5">
        <v>0</v>
      </c>
      <c r="F9" s="5">
        <v>0</v>
      </c>
      <c r="G9" s="5" t="s">
        <v>16</v>
      </c>
      <c r="H9" s="12">
        <v>0</v>
      </c>
      <c r="I9" s="5" t="s">
        <v>16</v>
      </c>
    </row>
    <row r="10" s="45" customFormat="1" customHeight="1" spans="1:9">
      <c r="A10" s="74"/>
      <c r="B10" s="75"/>
      <c r="C10" s="5"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69" customHeight="1" spans="1:9">
      <c r="A12" s="78"/>
      <c r="B12" s="48" t="s">
        <v>233</v>
      </c>
      <c r="C12" s="49"/>
      <c r="D12" s="49"/>
      <c r="E12" s="61"/>
      <c r="F12" s="48" t="s">
        <v>234</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35" customHeight="1" spans="1:9">
      <c r="A14" s="79"/>
      <c r="B14" s="76" t="s">
        <v>31</v>
      </c>
      <c r="C14" s="76" t="s">
        <v>32</v>
      </c>
      <c r="D14" s="54" t="s">
        <v>235</v>
      </c>
      <c r="E14" s="54" t="s">
        <v>236</v>
      </c>
      <c r="F14" s="53" t="s">
        <v>237</v>
      </c>
      <c r="G14" s="5">
        <v>20</v>
      </c>
      <c r="H14" s="5">
        <v>20</v>
      </c>
      <c r="I14" s="50" t="s">
        <v>162</v>
      </c>
    </row>
    <row r="15" s="45" customFormat="1" ht="35" customHeight="1" spans="1:9">
      <c r="A15" s="79"/>
      <c r="B15" s="79"/>
      <c r="C15" s="76" t="s">
        <v>36</v>
      </c>
      <c r="D15" s="54" t="s">
        <v>238</v>
      </c>
      <c r="E15" s="54" t="s">
        <v>239</v>
      </c>
      <c r="F15" s="54" t="s">
        <v>239</v>
      </c>
      <c r="G15" s="5">
        <v>10</v>
      </c>
      <c r="H15" s="5">
        <v>10</v>
      </c>
      <c r="I15" s="50" t="s">
        <v>162</v>
      </c>
    </row>
    <row r="16" s="45" customFormat="1" ht="37" customHeight="1" spans="1:9">
      <c r="A16" s="79"/>
      <c r="B16" s="79"/>
      <c r="C16" s="76" t="s">
        <v>39</v>
      </c>
      <c r="D16" s="53" t="s">
        <v>164</v>
      </c>
      <c r="E16" s="54" t="s">
        <v>41</v>
      </c>
      <c r="F16" s="54" t="s">
        <v>41</v>
      </c>
      <c r="G16" s="5">
        <v>10</v>
      </c>
      <c r="H16" s="5">
        <v>10</v>
      </c>
      <c r="I16" s="50" t="s">
        <v>162</v>
      </c>
    </row>
    <row r="17" s="45" customFormat="1" customHeight="1" spans="1:9">
      <c r="A17" s="79"/>
      <c r="B17" s="79"/>
      <c r="C17" s="76" t="s">
        <v>42</v>
      </c>
      <c r="D17" s="53" t="s">
        <v>240</v>
      </c>
      <c r="E17" s="54" t="s">
        <v>241</v>
      </c>
      <c r="F17" s="53" t="s">
        <v>242</v>
      </c>
      <c r="G17" s="5">
        <v>10</v>
      </c>
      <c r="H17" s="5">
        <v>10</v>
      </c>
      <c r="I17" s="50" t="s">
        <v>162</v>
      </c>
    </row>
    <row r="18" s="45" customFormat="1" ht="27" customHeight="1" spans="1:9">
      <c r="A18" s="79"/>
      <c r="B18" s="76" t="s">
        <v>45</v>
      </c>
      <c r="C18" s="76" t="s">
        <v>46</v>
      </c>
      <c r="D18" s="54" t="s">
        <v>162</v>
      </c>
      <c r="E18" s="54" t="s">
        <v>162</v>
      </c>
      <c r="F18" s="54" t="s">
        <v>162</v>
      </c>
      <c r="G18" s="54" t="s">
        <v>162</v>
      </c>
      <c r="H18" s="54" t="s">
        <v>162</v>
      </c>
      <c r="I18" s="54" t="s">
        <v>162</v>
      </c>
    </row>
    <row r="19" s="45" customFormat="1" ht="75" customHeight="1" spans="1:9">
      <c r="A19" s="79"/>
      <c r="B19" s="79"/>
      <c r="C19" s="76" t="s">
        <v>47</v>
      </c>
      <c r="D19" s="54" t="s">
        <v>243</v>
      </c>
      <c r="E19" s="54" t="s">
        <v>244</v>
      </c>
      <c r="F19" s="54" t="s">
        <v>245</v>
      </c>
      <c r="G19" s="5">
        <v>30</v>
      </c>
      <c r="H19" s="5">
        <v>29</v>
      </c>
      <c r="I19" s="54" t="s">
        <v>162</v>
      </c>
    </row>
    <row r="20" s="45" customFormat="1" customHeight="1" spans="1:9">
      <c r="A20" s="79"/>
      <c r="B20" s="79"/>
      <c r="C20" s="76" t="s">
        <v>50</v>
      </c>
      <c r="D20" s="54" t="s">
        <v>162</v>
      </c>
      <c r="E20" s="54" t="s">
        <v>162</v>
      </c>
      <c r="F20" s="54" t="s">
        <v>162</v>
      </c>
      <c r="G20" s="50" t="s">
        <v>162</v>
      </c>
      <c r="H20" s="50" t="s">
        <v>162</v>
      </c>
      <c r="I20" s="54" t="s">
        <v>162</v>
      </c>
    </row>
    <row r="21" s="45" customFormat="1" ht="33" customHeight="1" spans="1:9">
      <c r="A21" s="79"/>
      <c r="B21" s="79"/>
      <c r="C21" s="76" t="s">
        <v>51</v>
      </c>
      <c r="D21" s="54" t="s">
        <v>162</v>
      </c>
      <c r="E21" s="54" t="s">
        <v>162</v>
      </c>
      <c r="F21" s="54" t="s">
        <v>162</v>
      </c>
      <c r="G21" s="50" t="s">
        <v>162</v>
      </c>
      <c r="H21" s="50" t="s">
        <v>162</v>
      </c>
      <c r="I21" s="54" t="s">
        <v>162</v>
      </c>
    </row>
    <row r="22" s="45" customFormat="1" ht="57" spans="1:9">
      <c r="A22" s="79"/>
      <c r="B22" s="76" t="s">
        <v>52</v>
      </c>
      <c r="C22" s="76" t="s">
        <v>53</v>
      </c>
      <c r="D22" s="54" t="s">
        <v>246</v>
      </c>
      <c r="E22" s="54" t="s">
        <v>169</v>
      </c>
      <c r="F22" s="57">
        <v>0.9</v>
      </c>
      <c r="G22" s="5">
        <v>10</v>
      </c>
      <c r="H22" s="53">
        <v>9</v>
      </c>
      <c r="I22" s="54" t="s">
        <v>162</v>
      </c>
    </row>
    <row r="23" s="45" customFormat="1" customHeight="1" spans="1:9">
      <c r="A23" s="67" t="s">
        <v>56</v>
      </c>
      <c r="B23" s="67"/>
      <c r="C23" s="67"/>
      <c r="D23" s="67"/>
      <c r="E23" s="67"/>
      <c r="F23" s="67"/>
      <c r="G23" s="5">
        <v>100</v>
      </c>
      <c r="H23" s="28">
        <f>I7+H14+H15+H16+H17+H19+H22</f>
        <v>94.3448333333333</v>
      </c>
      <c r="I23" s="5" t="s">
        <v>170</v>
      </c>
    </row>
    <row r="24" s="44" customFormat="1" hidden="1" customHeight="1" spans="1:8">
      <c r="A24" s="58" t="s">
        <v>247</v>
      </c>
      <c r="B24" s="59"/>
      <c r="E24" s="60" t="s">
        <v>248</v>
      </c>
      <c r="H24" s="60" t="s">
        <v>249</v>
      </c>
    </row>
  </sheetData>
  <mergeCells count="18">
    <mergeCell ref="A1:B1"/>
    <mergeCell ref="A2:I2"/>
    <mergeCell ref="A3:I3"/>
    <mergeCell ref="A4:B4"/>
    <mergeCell ref="C4:I4"/>
    <mergeCell ref="A5:B5"/>
    <mergeCell ref="C5:E5"/>
    <mergeCell ref="G5:I5"/>
    <mergeCell ref="B11:E11"/>
    <mergeCell ref="F11:I11"/>
    <mergeCell ref="B12:E12"/>
    <mergeCell ref="F12:I12"/>
    <mergeCell ref="A24:B24"/>
    <mergeCell ref="A11:A12"/>
    <mergeCell ref="A13:A22"/>
    <mergeCell ref="B14:B17"/>
    <mergeCell ref="B18:B21"/>
    <mergeCell ref="A6:B10"/>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opLeftCell="A16" workbookViewId="0">
      <selection activeCell="A24" sqref="$A24:$XFD24"/>
    </sheetView>
  </sheetViews>
  <sheetFormatPr defaultColWidth="13.875" defaultRowHeight="24.95" customHeight="1"/>
  <cols>
    <col min="1" max="1" width="8.5" style="44" customWidth="1"/>
    <col min="2" max="2" width="7.5" style="44" customWidth="1"/>
    <col min="3" max="3" width="13.875" style="44"/>
    <col min="4" max="4" width="11.125" style="44" customWidth="1"/>
    <col min="5" max="5" width="16.625" style="44" customWidth="1"/>
    <col min="6" max="6" width="11.875" style="44" customWidth="1"/>
    <col min="7" max="7" width="10.125" style="44" customWidth="1"/>
    <col min="8" max="8" width="13.75" style="44" customWidth="1"/>
    <col min="9" max="9" width="12.625" style="44" customWidth="1"/>
    <col min="10" max="16384" width="13.875" style="44"/>
  </cols>
  <sheetData>
    <row r="1" s="44" customFormat="1" customHeight="1" spans="1:2">
      <c r="A1" s="46"/>
      <c r="B1" s="46"/>
    </row>
    <row r="2" s="44"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5" t="s">
        <v>250</v>
      </c>
      <c r="D4" s="5"/>
      <c r="E4" s="5"/>
      <c r="F4" s="5"/>
      <c r="G4" s="5"/>
      <c r="H4" s="5"/>
      <c r="I4" s="5"/>
    </row>
    <row r="5" s="45" customFormat="1" customHeight="1" spans="1:9">
      <c r="A5" s="68" t="s">
        <v>4</v>
      </c>
      <c r="B5" s="69"/>
      <c r="C5" s="5" t="s">
        <v>5</v>
      </c>
      <c r="D5" s="5"/>
      <c r="E5" s="5"/>
      <c r="F5" s="5" t="s">
        <v>6</v>
      </c>
      <c r="G5" s="5" t="s">
        <v>251</v>
      </c>
      <c r="H5" s="5"/>
      <c r="I5" s="5"/>
    </row>
    <row r="6" s="45" customFormat="1" customHeight="1" spans="1:9">
      <c r="A6" s="70" t="s">
        <v>7</v>
      </c>
      <c r="B6" s="71"/>
      <c r="C6" s="5"/>
      <c r="D6" s="5" t="s">
        <v>8</v>
      </c>
      <c r="E6" s="5" t="s">
        <v>9</v>
      </c>
      <c r="F6" s="5" t="s">
        <v>10</v>
      </c>
      <c r="G6" s="5" t="s">
        <v>11</v>
      </c>
      <c r="H6" s="5" t="s">
        <v>12</v>
      </c>
      <c r="I6" s="5" t="s">
        <v>13</v>
      </c>
    </row>
    <row r="7" s="45" customFormat="1" customHeight="1" spans="1:9">
      <c r="A7" s="72"/>
      <c r="B7" s="73"/>
      <c r="C7" s="5" t="s">
        <v>14</v>
      </c>
      <c r="D7" s="5">
        <f t="shared" ref="D7:F7" si="0">D8</f>
        <v>300</v>
      </c>
      <c r="E7" s="5">
        <f t="shared" si="0"/>
        <v>300</v>
      </c>
      <c r="F7" s="5">
        <f t="shared" si="0"/>
        <v>291.37</v>
      </c>
      <c r="G7" s="5">
        <v>10</v>
      </c>
      <c r="H7" s="12">
        <f>H8</f>
        <v>0.971233333333333</v>
      </c>
      <c r="I7" s="28">
        <f>G7*H7</f>
        <v>9.71233333333333</v>
      </c>
    </row>
    <row r="8" s="45" customFormat="1" ht="34.5" customHeight="1" spans="1:9">
      <c r="A8" s="72"/>
      <c r="B8" s="73"/>
      <c r="C8" s="5" t="s">
        <v>15</v>
      </c>
      <c r="D8" s="5">
        <v>300</v>
      </c>
      <c r="E8" s="5">
        <v>300</v>
      </c>
      <c r="F8" s="5">
        <v>291.37</v>
      </c>
      <c r="G8" s="5" t="s">
        <v>16</v>
      </c>
      <c r="H8" s="12">
        <f>F8/E8</f>
        <v>0.971233333333333</v>
      </c>
      <c r="I8" s="5" t="s">
        <v>16</v>
      </c>
    </row>
    <row r="9" s="45" customFormat="1" customHeight="1" spans="1:9">
      <c r="A9" s="72"/>
      <c r="B9" s="73"/>
      <c r="C9" s="5" t="s">
        <v>17</v>
      </c>
      <c r="D9" s="5">
        <v>0</v>
      </c>
      <c r="E9" s="5">
        <v>0</v>
      </c>
      <c r="F9" s="5">
        <v>0</v>
      </c>
      <c r="G9" s="5" t="s">
        <v>16</v>
      </c>
      <c r="H9" s="12">
        <v>0</v>
      </c>
      <c r="I9" s="5" t="s">
        <v>16</v>
      </c>
    </row>
    <row r="10" s="45" customFormat="1" customHeight="1" spans="1:9">
      <c r="A10" s="74"/>
      <c r="B10" s="75"/>
      <c r="C10" s="5"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69" customHeight="1" spans="1:9">
      <c r="A12" s="78"/>
      <c r="B12" s="6" t="s">
        <v>252</v>
      </c>
      <c r="C12" s="7"/>
      <c r="D12" s="7"/>
      <c r="E12" s="16"/>
      <c r="F12" s="48" t="s">
        <v>253</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35" customHeight="1" spans="1:9">
      <c r="A14" s="79"/>
      <c r="B14" s="76" t="s">
        <v>31</v>
      </c>
      <c r="C14" s="76" t="s">
        <v>32</v>
      </c>
      <c r="D14" s="54" t="s">
        <v>254</v>
      </c>
      <c r="E14" s="54" t="s">
        <v>255</v>
      </c>
      <c r="F14" s="54" t="s">
        <v>256</v>
      </c>
      <c r="G14" s="5">
        <v>15</v>
      </c>
      <c r="H14" s="5">
        <v>15</v>
      </c>
      <c r="I14" s="50" t="s">
        <v>162</v>
      </c>
    </row>
    <row r="15" s="45" customFormat="1" ht="35" customHeight="1" spans="1:9">
      <c r="A15" s="79"/>
      <c r="B15" s="79"/>
      <c r="C15" s="76" t="s">
        <v>36</v>
      </c>
      <c r="D15" s="54" t="s">
        <v>257</v>
      </c>
      <c r="E15" s="54" t="s">
        <v>258</v>
      </c>
      <c r="F15" s="54" t="s">
        <v>258</v>
      </c>
      <c r="G15" s="5">
        <v>15</v>
      </c>
      <c r="H15" s="5">
        <v>15</v>
      </c>
      <c r="I15" s="50" t="s">
        <v>162</v>
      </c>
    </row>
    <row r="16" s="45" customFormat="1" ht="37" customHeight="1" spans="1:9">
      <c r="A16" s="79"/>
      <c r="B16" s="79"/>
      <c r="C16" s="76" t="s">
        <v>39</v>
      </c>
      <c r="D16" s="53" t="s">
        <v>164</v>
      </c>
      <c r="E16" s="54" t="s">
        <v>41</v>
      </c>
      <c r="F16" s="54" t="s">
        <v>41</v>
      </c>
      <c r="G16" s="5">
        <v>10</v>
      </c>
      <c r="H16" s="5">
        <v>10</v>
      </c>
      <c r="I16" s="50" t="s">
        <v>162</v>
      </c>
    </row>
    <row r="17" s="45" customFormat="1" customHeight="1" spans="1:9">
      <c r="A17" s="79"/>
      <c r="B17" s="79"/>
      <c r="C17" s="76" t="s">
        <v>42</v>
      </c>
      <c r="D17" s="54" t="s">
        <v>165</v>
      </c>
      <c r="E17" s="64">
        <v>0.8</v>
      </c>
      <c r="F17" s="62">
        <v>0.9712</v>
      </c>
      <c r="G17" s="5">
        <v>10</v>
      </c>
      <c r="H17" s="5">
        <v>10</v>
      </c>
      <c r="I17" s="50" t="s">
        <v>162</v>
      </c>
    </row>
    <row r="18" s="45" customFormat="1" customHeight="1" spans="1:9">
      <c r="A18" s="79"/>
      <c r="B18" s="76" t="s">
        <v>45</v>
      </c>
      <c r="C18" s="76" t="s">
        <v>46</v>
      </c>
      <c r="D18" s="54" t="s">
        <v>162</v>
      </c>
      <c r="E18" s="54" t="s">
        <v>162</v>
      </c>
      <c r="F18" s="54" t="s">
        <v>162</v>
      </c>
      <c r="G18" s="54" t="s">
        <v>162</v>
      </c>
      <c r="H18" s="54" t="s">
        <v>162</v>
      </c>
      <c r="I18" s="54" t="s">
        <v>162</v>
      </c>
    </row>
    <row r="19" s="45" customFormat="1" ht="75" customHeight="1" spans="1:9">
      <c r="A19" s="79"/>
      <c r="B19" s="79"/>
      <c r="C19" s="76" t="s">
        <v>47</v>
      </c>
      <c r="D19" s="83" t="s">
        <v>259</v>
      </c>
      <c r="E19" s="83" t="s">
        <v>260</v>
      </c>
      <c r="F19" s="53" t="s">
        <v>261</v>
      </c>
      <c r="G19" s="5">
        <v>30</v>
      </c>
      <c r="H19" s="5">
        <v>29</v>
      </c>
      <c r="I19" s="54" t="s">
        <v>162</v>
      </c>
    </row>
    <row r="20" s="45" customFormat="1" customHeight="1" spans="1:9">
      <c r="A20" s="79"/>
      <c r="B20" s="79"/>
      <c r="C20" s="76" t="s">
        <v>50</v>
      </c>
      <c r="D20" s="54" t="s">
        <v>162</v>
      </c>
      <c r="E20" s="54" t="s">
        <v>162</v>
      </c>
      <c r="F20" s="54" t="s">
        <v>162</v>
      </c>
      <c r="G20" s="50" t="s">
        <v>162</v>
      </c>
      <c r="H20" s="50" t="s">
        <v>162</v>
      </c>
      <c r="I20" s="54" t="s">
        <v>162</v>
      </c>
    </row>
    <row r="21" s="45" customFormat="1" ht="33" customHeight="1" spans="1:9">
      <c r="A21" s="79"/>
      <c r="B21" s="79"/>
      <c r="C21" s="76" t="s">
        <v>51</v>
      </c>
      <c r="D21" s="54" t="s">
        <v>162</v>
      </c>
      <c r="E21" s="54" t="s">
        <v>162</v>
      </c>
      <c r="F21" s="54" t="s">
        <v>162</v>
      </c>
      <c r="G21" s="50" t="s">
        <v>162</v>
      </c>
      <c r="H21" s="50" t="s">
        <v>162</v>
      </c>
      <c r="I21" s="54" t="s">
        <v>162</v>
      </c>
    </row>
    <row r="22" s="45" customFormat="1" ht="57" spans="1:9">
      <c r="A22" s="79"/>
      <c r="B22" s="76" t="s">
        <v>52</v>
      </c>
      <c r="C22" s="76" t="s">
        <v>53</v>
      </c>
      <c r="D22" s="54" t="s">
        <v>94</v>
      </c>
      <c r="E22" s="54" t="s">
        <v>262</v>
      </c>
      <c r="F22" s="57">
        <v>0.9</v>
      </c>
      <c r="G22" s="5">
        <v>10</v>
      </c>
      <c r="H22" s="53">
        <v>9</v>
      </c>
      <c r="I22" s="54" t="s">
        <v>162</v>
      </c>
    </row>
    <row r="23" s="45" customFormat="1" customHeight="1" spans="1:9">
      <c r="A23" s="67" t="s">
        <v>56</v>
      </c>
      <c r="B23" s="67"/>
      <c r="C23" s="67"/>
      <c r="D23" s="5"/>
      <c r="E23" s="5"/>
      <c r="F23" s="5"/>
      <c r="G23" s="5">
        <v>100</v>
      </c>
      <c r="H23" s="28">
        <f>I7+H14+H15+H16+H17+H19+H22</f>
        <v>97.7123333333333</v>
      </c>
      <c r="I23" s="5" t="s">
        <v>170</v>
      </c>
    </row>
    <row r="24" s="44" customFormat="1" hidden="1" customHeight="1" spans="1:8">
      <c r="A24" s="58" t="s">
        <v>247</v>
      </c>
      <c r="B24" s="59"/>
      <c r="E24" s="60" t="s">
        <v>248</v>
      </c>
      <c r="H24" s="60" t="s">
        <v>249</v>
      </c>
    </row>
  </sheetData>
  <mergeCells count="18">
    <mergeCell ref="A1:B1"/>
    <mergeCell ref="A2:I2"/>
    <mergeCell ref="A3:I3"/>
    <mergeCell ref="A4:B4"/>
    <mergeCell ref="C4:I4"/>
    <mergeCell ref="A5:B5"/>
    <mergeCell ref="C5:E5"/>
    <mergeCell ref="G5:I5"/>
    <mergeCell ref="B11:E11"/>
    <mergeCell ref="F11:I11"/>
    <mergeCell ref="B12:E12"/>
    <mergeCell ref="F12:I12"/>
    <mergeCell ref="A24:B24"/>
    <mergeCell ref="A11:A12"/>
    <mergeCell ref="A13:A22"/>
    <mergeCell ref="B14:B17"/>
    <mergeCell ref="B18:B21"/>
    <mergeCell ref="A6:B10"/>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topLeftCell="A19" workbookViewId="0">
      <selection activeCell="A24" sqref="$A24:$XFD24"/>
    </sheetView>
  </sheetViews>
  <sheetFormatPr defaultColWidth="13.875" defaultRowHeight="24.95" customHeight="1"/>
  <cols>
    <col min="1" max="1" width="8.5" style="44" customWidth="1"/>
    <col min="2" max="2" width="7.5" style="44" customWidth="1"/>
    <col min="3" max="3" width="13.875" style="44"/>
    <col min="4" max="4" width="11.125" style="44" customWidth="1"/>
    <col min="5" max="5" width="14" style="44" customWidth="1"/>
    <col min="6" max="6" width="11.875" style="44" customWidth="1"/>
    <col min="7" max="7" width="10.125" style="44" customWidth="1"/>
    <col min="8" max="8" width="13.75" style="44" customWidth="1"/>
    <col min="9" max="9" width="12.625" style="44" customWidth="1"/>
    <col min="10" max="16384" width="13.875" style="44"/>
  </cols>
  <sheetData>
    <row r="1" s="44" customFormat="1" customHeight="1" spans="1:2">
      <c r="A1" s="46" t="s">
        <v>208</v>
      </c>
      <c r="B1" s="46"/>
    </row>
    <row r="2" s="44"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5" t="s">
        <v>263</v>
      </c>
      <c r="D4" s="5"/>
      <c r="E4" s="5"/>
      <c r="F4" s="5"/>
      <c r="G4" s="5"/>
      <c r="H4" s="5"/>
      <c r="I4" s="5"/>
    </row>
    <row r="5" s="45" customFormat="1" customHeight="1" spans="1:9">
      <c r="A5" s="68" t="s">
        <v>4</v>
      </c>
      <c r="B5" s="69"/>
      <c r="C5" s="5" t="s">
        <v>5</v>
      </c>
      <c r="D5" s="5"/>
      <c r="E5" s="5"/>
      <c r="F5" s="5" t="s">
        <v>6</v>
      </c>
      <c r="G5" s="5" t="s">
        <v>251</v>
      </c>
      <c r="H5" s="5"/>
      <c r="I5" s="5"/>
    </row>
    <row r="6" s="45" customFormat="1" customHeight="1" spans="1:9">
      <c r="A6" s="70" t="s">
        <v>7</v>
      </c>
      <c r="B6" s="71"/>
      <c r="C6" s="5"/>
      <c r="D6" s="5" t="s">
        <v>8</v>
      </c>
      <c r="E6" s="5" t="s">
        <v>9</v>
      </c>
      <c r="F6" s="5" t="s">
        <v>10</v>
      </c>
      <c r="G6" s="5" t="s">
        <v>11</v>
      </c>
      <c r="H6" s="5" t="s">
        <v>12</v>
      </c>
      <c r="I6" s="5" t="s">
        <v>13</v>
      </c>
    </row>
    <row r="7" s="45" customFormat="1" customHeight="1" spans="1:9">
      <c r="A7" s="72"/>
      <c r="B7" s="73"/>
      <c r="C7" s="5" t="s">
        <v>14</v>
      </c>
      <c r="D7" s="5">
        <f t="shared" ref="D7:F7" si="0">D8</f>
        <v>300</v>
      </c>
      <c r="E7" s="5">
        <f t="shared" si="0"/>
        <v>232.21</v>
      </c>
      <c r="F7" s="5">
        <f t="shared" si="0"/>
        <v>180</v>
      </c>
      <c r="G7" s="5">
        <v>10</v>
      </c>
      <c r="H7" s="12">
        <f>H8</f>
        <v>0.775160415141467</v>
      </c>
      <c r="I7" s="28">
        <f>G7*H7</f>
        <v>7.75160415141467</v>
      </c>
    </row>
    <row r="8" s="45" customFormat="1" ht="34.5" customHeight="1" spans="1:9">
      <c r="A8" s="72"/>
      <c r="B8" s="73"/>
      <c r="C8" s="5" t="s">
        <v>15</v>
      </c>
      <c r="D8" s="5">
        <v>300</v>
      </c>
      <c r="E8" s="5">
        <v>232.21</v>
      </c>
      <c r="F8" s="5">
        <v>180</v>
      </c>
      <c r="G8" s="5" t="s">
        <v>16</v>
      </c>
      <c r="H8" s="12">
        <f>F8/E8</f>
        <v>0.775160415141467</v>
      </c>
      <c r="I8" s="5" t="s">
        <v>16</v>
      </c>
    </row>
    <row r="9" s="45" customFormat="1" customHeight="1" spans="1:9">
      <c r="A9" s="72"/>
      <c r="B9" s="73"/>
      <c r="C9" s="5" t="s">
        <v>17</v>
      </c>
      <c r="D9" s="5">
        <v>0</v>
      </c>
      <c r="E9" s="5">
        <v>0</v>
      </c>
      <c r="F9" s="5">
        <v>0</v>
      </c>
      <c r="G9" s="5" t="s">
        <v>16</v>
      </c>
      <c r="H9" s="12">
        <v>0</v>
      </c>
      <c r="I9" s="5" t="s">
        <v>16</v>
      </c>
    </row>
    <row r="10" s="45" customFormat="1" customHeight="1" spans="1:9">
      <c r="A10" s="74"/>
      <c r="B10" s="75"/>
      <c r="C10" s="5"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90" customHeight="1" spans="1:9">
      <c r="A12" s="78"/>
      <c r="B12" s="48" t="s">
        <v>264</v>
      </c>
      <c r="C12" s="49"/>
      <c r="D12" s="49"/>
      <c r="E12" s="61"/>
      <c r="F12" s="48" t="s">
        <v>265</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30" customHeight="1" spans="1:9">
      <c r="A14" s="79"/>
      <c r="B14" s="76" t="s">
        <v>31</v>
      </c>
      <c r="C14" s="76" t="s">
        <v>32</v>
      </c>
      <c r="D14" s="54" t="s">
        <v>266</v>
      </c>
      <c r="E14" s="54" t="s">
        <v>267</v>
      </c>
      <c r="F14" s="53" t="s">
        <v>268</v>
      </c>
      <c r="G14" s="5">
        <v>6</v>
      </c>
      <c r="H14" s="5">
        <v>4</v>
      </c>
      <c r="I14" s="50" t="s">
        <v>162</v>
      </c>
    </row>
    <row r="15" s="45" customFormat="1" ht="30" customHeight="1" spans="1:9">
      <c r="A15" s="79"/>
      <c r="B15" s="79"/>
      <c r="C15" s="76" t="s">
        <v>36</v>
      </c>
      <c r="D15" s="54" t="s">
        <v>163</v>
      </c>
      <c r="E15" s="64">
        <v>1</v>
      </c>
      <c r="F15" s="53" t="s">
        <v>269</v>
      </c>
      <c r="G15" s="5">
        <v>6</v>
      </c>
      <c r="H15" s="5">
        <v>4</v>
      </c>
      <c r="I15" s="50" t="s">
        <v>162</v>
      </c>
    </row>
    <row r="16" s="45" customFormat="1" ht="37" customHeight="1" spans="1:9">
      <c r="A16" s="79"/>
      <c r="B16" s="79"/>
      <c r="C16" s="76" t="s">
        <v>39</v>
      </c>
      <c r="D16" s="53" t="s">
        <v>164</v>
      </c>
      <c r="E16" s="54" t="s">
        <v>41</v>
      </c>
      <c r="F16" s="54" t="s">
        <v>41</v>
      </c>
      <c r="G16" s="5">
        <v>23</v>
      </c>
      <c r="H16" s="5">
        <v>23</v>
      </c>
      <c r="I16" s="50" t="s">
        <v>162</v>
      </c>
    </row>
    <row r="17" s="45" customFormat="1" customHeight="1" spans="1:9">
      <c r="A17" s="79"/>
      <c r="B17" s="79"/>
      <c r="C17" s="76" t="s">
        <v>42</v>
      </c>
      <c r="D17" s="54" t="s">
        <v>165</v>
      </c>
      <c r="E17" s="64">
        <v>0.8</v>
      </c>
      <c r="F17" s="55">
        <v>0.7752</v>
      </c>
      <c r="G17" s="5">
        <v>15</v>
      </c>
      <c r="H17" s="28">
        <f>F17/E17*G17</f>
        <v>14.535</v>
      </c>
      <c r="I17" s="50" t="s">
        <v>162</v>
      </c>
    </row>
    <row r="18" s="45" customFormat="1" customHeight="1" spans="1:9">
      <c r="A18" s="79"/>
      <c r="B18" s="76" t="s">
        <v>45</v>
      </c>
      <c r="C18" s="76" t="s">
        <v>46</v>
      </c>
      <c r="D18" s="54" t="s">
        <v>162</v>
      </c>
      <c r="E18" s="54" t="s">
        <v>162</v>
      </c>
      <c r="F18" s="54" t="s">
        <v>162</v>
      </c>
      <c r="G18" s="54" t="s">
        <v>162</v>
      </c>
      <c r="H18" s="54" t="s">
        <v>162</v>
      </c>
      <c r="I18" s="54" t="s">
        <v>162</v>
      </c>
    </row>
    <row r="19" s="45" customFormat="1" ht="75" customHeight="1" spans="1:9">
      <c r="A19" s="79"/>
      <c r="B19" s="79"/>
      <c r="C19" s="76" t="s">
        <v>47</v>
      </c>
      <c r="D19" s="80" t="s">
        <v>270</v>
      </c>
      <c r="E19" s="80" t="s">
        <v>271</v>
      </c>
      <c r="F19" s="53" t="s">
        <v>261</v>
      </c>
      <c r="G19" s="5">
        <v>30</v>
      </c>
      <c r="H19" s="5">
        <v>29</v>
      </c>
      <c r="I19" s="54" t="s">
        <v>162</v>
      </c>
    </row>
    <row r="20" s="45" customFormat="1" customHeight="1" spans="1:9">
      <c r="A20" s="79"/>
      <c r="B20" s="79"/>
      <c r="C20" s="76" t="s">
        <v>50</v>
      </c>
      <c r="D20" s="54" t="s">
        <v>162</v>
      </c>
      <c r="E20" s="54" t="s">
        <v>162</v>
      </c>
      <c r="F20" s="54" t="s">
        <v>162</v>
      </c>
      <c r="G20" s="50" t="s">
        <v>162</v>
      </c>
      <c r="H20" s="50" t="s">
        <v>162</v>
      </c>
      <c r="I20" s="54" t="s">
        <v>162</v>
      </c>
    </row>
    <row r="21" s="45" customFormat="1" ht="33" customHeight="1" spans="1:9">
      <c r="A21" s="79"/>
      <c r="B21" s="79"/>
      <c r="C21" s="76" t="s">
        <v>51</v>
      </c>
      <c r="D21" s="54" t="s">
        <v>162</v>
      </c>
      <c r="E21" s="54" t="s">
        <v>162</v>
      </c>
      <c r="F21" s="54" t="s">
        <v>162</v>
      </c>
      <c r="G21" s="50" t="s">
        <v>162</v>
      </c>
      <c r="H21" s="50" t="s">
        <v>162</v>
      </c>
      <c r="I21" s="54" t="s">
        <v>162</v>
      </c>
    </row>
    <row r="22" s="45" customFormat="1" ht="57" spans="1:9">
      <c r="A22" s="79"/>
      <c r="B22" s="76" t="s">
        <v>52</v>
      </c>
      <c r="C22" s="76" t="s">
        <v>53</v>
      </c>
      <c r="D22" s="54" t="s">
        <v>94</v>
      </c>
      <c r="E22" s="54" t="s">
        <v>262</v>
      </c>
      <c r="F22" s="57">
        <v>0.9</v>
      </c>
      <c r="G22" s="5">
        <v>10</v>
      </c>
      <c r="H22" s="53">
        <v>9</v>
      </c>
      <c r="I22" s="54" t="s">
        <v>162</v>
      </c>
    </row>
    <row r="23" s="45" customFormat="1" customHeight="1" spans="1:9">
      <c r="A23" s="67" t="s">
        <v>56</v>
      </c>
      <c r="B23" s="67"/>
      <c r="C23" s="67"/>
      <c r="D23" s="5"/>
      <c r="E23" s="5"/>
      <c r="F23" s="5"/>
      <c r="G23" s="5">
        <v>100</v>
      </c>
      <c r="H23" s="28">
        <f>I7+H14+H15+H16+H17+H19+H22</f>
        <v>91.2866041514147</v>
      </c>
      <c r="I23" s="5" t="s">
        <v>170</v>
      </c>
    </row>
  </sheetData>
  <mergeCells count="17">
    <mergeCell ref="A1:B1"/>
    <mergeCell ref="A2:I2"/>
    <mergeCell ref="A3:I3"/>
    <mergeCell ref="A4:B4"/>
    <mergeCell ref="C4:I4"/>
    <mergeCell ref="A5:B5"/>
    <mergeCell ref="C5:E5"/>
    <mergeCell ref="G5:I5"/>
    <mergeCell ref="B11:E11"/>
    <mergeCell ref="F11:I11"/>
    <mergeCell ref="B12:E12"/>
    <mergeCell ref="F12:I12"/>
    <mergeCell ref="A11:A12"/>
    <mergeCell ref="A13:A22"/>
    <mergeCell ref="B14:B17"/>
    <mergeCell ref="B18:B21"/>
    <mergeCell ref="A6:B10"/>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opLeftCell="A18" workbookViewId="0">
      <selection activeCell="K11" sqref="K11"/>
    </sheetView>
  </sheetViews>
  <sheetFormatPr defaultColWidth="13.875" defaultRowHeight="24.95" customHeight="1"/>
  <cols>
    <col min="1" max="1" width="8.5" style="44" customWidth="1"/>
    <col min="2" max="2" width="7.5" style="44" customWidth="1"/>
    <col min="3" max="3" width="13.875" style="44"/>
    <col min="4" max="4" width="12.625" style="44" customWidth="1"/>
    <col min="5" max="5" width="14" style="44" customWidth="1"/>
    <col min="6" max="6" width="14.875" style="44" customWidth="1"/>
    <col min="7" max="7" width="10.125" style="44" customWidth="1"/>
    <col min="8" max="8" width="13.75" style="44" customWidth="1"/>
    <col min="9" max="9" width="18.75" style="44" customWidth="1"/>
    <col min="10" max="16384" width="13.875" style="44"/>
  </cols>
  <sheetData>
    <row r="1" s="44" customFormat="1" customHeight="1" spans="1:2">
      <c r="A1" s="46"/>
      <c r="B1" s="46"/>
    </row>
    <row r="2" s="44"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5" t="s">
        <v>272</v>
      </c>
      <c r="D4" s="5"/>
      <c r="E4" s="5"/>
      <c r="F4" s="5"/>
      <c r="G4" s="5"/>
      <c r="H4" s="5"/>
      <c r="I4" s="5"/>
    </row>
    <row r="5" s="45" customFormat="1" customHeight="1" spans="1:9">
      <c r="A5" s="68" t="s">
        <v>4</v>
      </c>
      <c r="B5" s="69"/>
      <c r="C5" s="5" t="s">
        <v>5</v>
      </c>
      <c r="D5" s="5"/>
      <c r="E5" s="5"/>
      <c r="F5" s="5" t="s">
        <v>6</v>
      </c>
      <c r="G5" s="5" t="s">
        <v>273</v>
      </c>
      <c r="H5" s="5"/>
      <c r="I5" s="5"/>
    </row>
    <row r="6" s="45" customFormat="1" customHeight="1" spans="1:9">
      <c r="A6" s="70" t="s">
        <v>7</v>
      </c>
      <c r="B6" s="71"/>
      <c r="C6" s="5"/>
      <c r="D6" s="5" t="s">
        <v>8</v>
      </c>
      <c r="E6" s="5" t="s">
        <v>9</v>
      </c>
      <c r="F6" s="5" t="s">
        <v>10</v>
      </c>
      <c r="G6" s="5" t="s">
        <v>11</v>
      </c>
      <c r="H6" s="5" t="s">
        <v>12</v>
      </c>
      <c r="I6" s="5" t="s">
        <v>13</v>
      </c>
    </row>
    <row r="7" s="45" customFormat="1" customHeight="1" spans="1:9">
      <c r="A7" s="72"/>
      <c r="B7" s="73"/>
      <c r="C7" s="5" t="s">
        <v>14</v>
      </c>
      <c r="D7" s="5">
        <f t="shared" ref="D7:F7" si="0">D8</f>
        <v>175</v>
      </c>
      <c r="E7" s="5">
        <f t="shared" si="0"/>
        <v>175</v>
      </c>
      <c r="F7" s="5">
        <f t="shared" si="0"/>
        <v>175</v>
      </c>
      <c r="G7" s="5">
        <v>10</v>
      </c>
      <c r="H7" s="12">
        <f>H8</f>
        <v>1</v>
      </c>
      <c r="I7" s="5">
        <f>G7*H7</f>
        <v>10</v>
      </c>
    </row>
    <row r="8" s="45" customFormat="1" ht="34.5" customHeight="1" spans="1:9">
      <c r="A8" s="72"/>
      <c r="B8" s="73"/>
      <c r="C8" s="5" t="s">
        <v>15</v>
      </c>
      <c r="D8" s="5">
        <v>175</v>
      </c>
      <c r="E8" s="5">
        <v>175</v>
      </c>
      <c r="F8" s="5">
        <v>175</v>
      </c>
      <c r="G8" s="5" t="s">
        <v>16</v>
      </c>
      <c r="H8" s="12">
        <f>F8/E8</f>
        <v>1</v>
      </c>
      <c r="I8" s="5" t="s">
        <v>16</v>
      </c>
    </row>
    <row r="9" s="45" customFormat="1" customHeight="1" spans="1:9">
      <c r="A9" s="72"/>
      <c r="B9" s="73"/>
      <c r="C9" s="5" t="s">
        <v>17</v>
      </c>
      <c r="D9" s="5">
        <v>0</v>
      </c>
      <c r="E9" s="5">
        <v>0</v>
      </c>
      <c r="F9" s="5">
        <v>0</v>
      </c>
      <c r="G9" s="5" t="s">
        <v>16</v>
      </c>
      <c r="H9" s="12">
        <v>0</v>
      </c>
      <c r="I9" s="5" t="s">
        <v>16</v>
      </c>
    </row>
    <row r="10" s="45" customFormat="1" customHeight="1" spans="1:9">
      <c r="A10" s="74"/>
      <c r="B10" s="75"/>
      <c r="C10" s="5"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83" customHeight="1" spans="1:9">
      <c r="A12" s="78"/>
      <c r="B12" s="48" t="s">
        <v>274</v>
      </c>
      <c r="C12" s="49"/>
      <c r="D12" s="49"/>
      <c r="E12" s="61"/>
      <c r="F12" s="48" t="s">
        <v>275</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35" customHeight="1" spans="1:9">
      <c r="A14" s="79"/>
      <c r="B14" s="76" t="s">
        <v>31</v>
      </c>
      <c r="C14" s="76" t="s">
        <v>32</v>
      </c>
      <c r="D14" s="54" t="s">
        <v>276</v>
      </c>
      <c r="E14" s="54" t="s">
        <v>277</v>
      </c>
      <c r="F14" s="53" t="s">
        <v>278</v>
      </c>
      <c r="G14" s="5">
        <v>20</v>
      </c>
      <c r="H14" s="5">
        <v>20</v>
      </c>
      <c r="I14" s="54" t="s">
        <v>162</v>
      </c>
    </row>
    <row r="15" s="45" customFormat="1" ht="45" customHeight="1" spans="1:9">
      <c r="A15" s="79"/>
      <c r="B15" s="79"/>
      <c r="C15" s="76" t="s">
        <v>36</v>
      </c>
      <c r="D15" s="54" t="s">
        <v>279</v>
      </c>
      <c r="E15" s="64">
        <v>1</v>
      </c>
      <c r="F15" s="64">
        <v>1</v>
      </c>
      <c r="G15" s="5">
        <v>20</v>
      </c>
      <c r="H15" s="5">
        <v>20</v>
      </c>
      <c r="I15" s="54" t="s">
        <v>162</v>
      </c>
    </row>
    <row r="16" s="45" customFormat="1" ht="43" customHeight="1" spans="1:9">
      <c r="A16" s="79"/>
      <c r="B16" s="79"/>
      <c r="C16" s="76" t="s">
        <v>39</v>
      </c>
      <c r="D16" s="53" t="s">
        <v>164</v>
      </c>
      <c r="E16" s="54" t="s">
        <v>41</v>
      </c>
      <c r="F16" s="54" t="s">
        <v>41</v>
      </c>
      <c r="G16" s="5">
        <v>5</v>
      </c>
      <c r="H16" s="5">
        <v>5</v>
      </c>
      <c r="I16" s="81" t="s">
        <v>280</v>
      </c>
    </row>
    <row r="17" s="45" customFormat="1" ht="83" customHeight="1" spans="1:9">
      <c r="A17" s="79"/>
      <c r="B17" s="79"/>
      <c r="C17" s="76" t="s">
        <v>42</v>
      </c>
      <c r="D17" s="53" t="s">
        <v>240</v>
      </c>
      <c r="E17" s="54" t="s">
        <v>281</v>
      </c>
      <c r="F17" s="53" t="s">
        <v>282</v>
      </c>
      <c r="G17" s="5">
        <v>5</v>
      </c>
      <c r="H17" s="5">
        <v>5</v>
      </c>
      <c r="I17" s="82"/>
    </row>
    <row r="18" s="45" customFormat="1" ht="36" customHeight="1" spans="1:9">
      <c r="A18" s="79"/>
      <c r="B18" s="76" t="s">
        <v>45</v>
      </c>
      <c r="C18" s="76" t="s">
        <v>46</v>
      </c>
      <c r="D18" s="54" t="s">
        <v>162</v>
      </c>
      <c r="E18" s="54" t="s">
        <v>162</v>
      </c>
      <c r="F18" s="54" t="s">
        <v>162</v>
      </c>
      <c r="G18" s="54" t="s">
        <v>162</v>
      </c>
      <c r="H18" s="54" t="s">
        <v>162</v>
      </c>
      <c r="I18" s="54" t="s">
        <v>162</v>
      </c>
    </row>
    <row r="19" s="45" customFormat="1" ht="86" customHeight="1" spans="1:9">
      <c r="A19" s="79"/>
      <c r="B19" s="79"/>
      <c r="C19" s="76" t="s">
        <v>47</v>
      </c>
      <c r="D19" s="80" t="s">
        <v>283</v>
      </c>
      <c r="E19" s="80" t="s">
        <v>284</v>
      </c>
      <c r="F19" s="80" t="s">
        <v>285</v>
      </c>
      <c r="G19" s="5">
        <v>30</v>
      </c>
      <c r="H19" s="5">
        <v>29</v>
      </c>
      <c r="I19" s="54" t="s">
        <v>162</v>
      </c>
    </row>
    <row r="20" s="45" customFormat="1" customHeight="1" spans="1:9">
      <c r="A20" s="79"/>
      <c r="B20" s="79"/>
      <c r="C20" s="76" t="s">
        <v>50</v>
      </c>
      <c r="D20" s="54" t="s">
        <v>162</v>
      </c>
      <c r="E20" s="54" t="s">
        <v>162</v>
      </c>
      <c r="F20" s="54" t="s">
        <v>162</v>
      </c>
      <c r="G20" s="50" t="s">
        <v>162</v>
      </c>
      <c r="H20" s="50" t="s">
        <v>162</v>
      </c>
      <c r="I20" s="54" t="s">
        <v>162</v>
      </c>
    </row>
    <row r="21" s="45" customFormat="1" ht="33" customHeight="1" spans="1:9">
      <c r="A21" s="79"/>
      <c r="B21" s="79"/>
      <c r="C21" s="76" t="s">
        <v>51</v>
      </c>
      <c r="D21" s="54" t="s">
        <v>162</v>
      </c>
      <c r="E21" s="54" t="s">
        <v>162</v>
      </c>
      <c r="F21" s="54" t="s">
        <v>162</v>
      </c>
      <c r="G21" s="50" t="s">
        <v>162</v>
      </c>
      <c r="H21" s="50" t="s">
        <v>162</v>
      </c>
      <c r="I21" s="54" t="s">
        <v>162</v>
      </c>
    </row>
    <row r="22" s="45" customFormat="1" ht="57" spans="1:9">
      <c r="A22" s="79"/>
      <c r="B22" s="76" t="s">
        <v>52</v>
      </c>
      <c r="C22" s="76" t="s">
        <v>53</v>
      </c>
      <c r="D22" s="54" t="s">
        <v>246</v>
      </c>
      <c r="E22" s="64" t="s">
        <v>169</v>
      </c>
      <c r="F22" s="57">
        <v>0.9</v>
      </c>
      <c r="G22" s="5">
        <v>10</v>
      </c>
      <c r="H22" s="53">
        <v>9</v>
      </c>
      <c r="I22" s="54" t="s">
        <v>162</v>
      </c>
    </row>
    <row r="23" s="45" customFormat="1" customHeight="1" spans="1:9">
      <c r="A23" s="67" t="s">
        <v>56</v>
      </c>
      <c r="B23" s="67"/>
      <c r="C23" s="67"/>
      <c r="D23" s="5"/>
      <c r="E23" s="5"/>
      <c r="F23" s="5"/>
      <c r="G23" s="5">
        <v>100</v>
      </c>
      <c r="H23" s="28">
        <f>I7+H14+H15+H16+H17+H19+H22</f>
        <v>98</v>
      </c>
      <c r="I23" s="5" t="s">
        <v>170</v>
      </c>
    </row>
    <row r="24" s="44" customFormat="1" hidden="1" customHeight="1" spans="1:8">
      <c r="A24" s="58" t="s">
        <v>247</v>
      </c>
      <c r="B24" s="59"/>
      <c r="E24" s="60" t="s">
        <v>248</v>
      </c>
      <c r="H24" s="60" t="s">
        <v>249</v>
      </c>
    </row>
  </sheetData>
  <mergeCells count="19">
    <mergeCell ref="A1:B1"/>
    <mergeCell ref="A2:I2"/>
    <mergeCell ref="A3:I3"/>
    <mergeCell ref="A4:B4"/>
    <mergeCell ref="C4:I4"/>
    <mergeCell ref="A5:B5"/>
    <mergeCell ref="C5:E5"/>
    <mergeCell ref="G5:I5"/>
    <mergeCell ref="B11:E11"/>
    <mergeCell ref="F11:I11"/>
    <mergeCell ref="B12:E12"/>
    <mergeCell ref="F12:I12"/>
    <mergeCell ref="A24:B24"/>
    <mergeCell ref="A11:A12"/>
    <mergeCell ref="A13:A22"/>
    <mergeCell ref="B14:B17"/>
    <mergeCell ref="B18:B21"/>
    <mergeCell ref="I16:I17"/>
    <mergeCell ref="A6:B1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opLeftCell="A13" workbookViewId="0">
      <selection activeCell="J14" sqref="J14"/>
    </sheetView>
  </sheetViews>
  <sheetFormatPr defaultColWidth="13.875" defaultRowHeight="24.95" customHeight="1"/>
  <cols>
    <col min="1" max="1" width="8.5" style="44" customWidth="1"/>
    <col min="2" max="2" width="7.5" style="44" customWidth="1"/>
    <col min="3" max="3" width="13.875" style="44"/>
    <col min="4" max="4" width="17.375" style="44" customWidth="1"/>
    <col min="5" max="5" width="18.25" style="44" customWidth="1"/>
    <col min="6" max="6" width="14.75" style="44" customWidth="1"/>
    <col min="7" max="7" width="10.125" style="44" customWidth="1"/>
    <col min="8" max="8" width="13.75" style="44" customWidth="1"/>
    <col min="9" max="9" width="16.5" style="44" customWidth="1"/>
    <col min="10" max="16384" width="13.875" style="44"/>
  </cols>
  <sheetData>
    <row r="1" s="44" customFormat="1" customHeight="1" spans="1:2">
      <c r="A1" s="46"/>
      <c r="B1" s="46"/>
    </row>
    <row r="2" s="44" customFormat="1" ht="36" customHeight="1" spans="1:9">
      <c r="A2" s="65" t="s">
        <v>0</v>
      </c>
      <c r="B2" s="65"/>
      <c r="C2" s="65"/>
      <c r="D2" s="65"/>
      <c r="E2" s="65"/>
      <c r="F2" s="65"/>
      <c r="G2" s="65"/>
      <c r="H2" s="65"/>
      <c r="I2" s="65"/>
    </row>
    <row r="3" s="45" customFormat="1" customHeight="1" spans="1:9">
      <c r="A3" s="66" t="s">
        <v>155</v>
      </c>
      <c r="B3" s="66"/>
      <c r="C3" s="66"/>
      <c r="D3" s="66"/>
      <c r="E3" s="66"/>
      <c r="F3" s="66"/>
      <c r="G3" s="66"/>
      <c r="H3" s="66"/>
      <c r="I3" s="66"/>
    </row>
    <row r="4" s="45" customFormat="1" customHeight="1" spans="1:9">
      <c r="A4" s="67" t="s">
        <v>2</v>
      </c>
      <c r="B4" s="67"/>
      <c r="C4" s="5" t="s">
        <v>286</v>
      </c>
      <c r="D4" s="5"/>
      <c r="E4" s="5"/>
      <c r="F4" s="5"/>
      <c r="G4" s="5"/>
      <c r="H4" s="5"/>
      <c r="I4" s="5"/>
    </row>
    <row r="5" s="45" customFormat="1" customHeight="1" spans="1:9">
      <c r="A5" s="68" t="s">
        <v>4</v>
      </c>
      <c r="B5" s="69"/>
      <c r="C5" s="5" t="s">
        <v>5</v>
      </c>
      <c r="D5" s="5"/>
      <c r="E5" s="5"/>
      <c r="F5" s="5" t="s">
        <v>6</v>
      </c>
      <c r="G5" s="5" t="s">
        <v>251</v>
      </c>
      <c r="H5" s="5"/>
      <c r="I5" s="5"/>
    </row>
    <row r="6" s="45" customFormat="1" customHeight="1" spans="1:9">
      <c r="A6" s="70" t="s">
        <v>7</v>
      </c>
      <c r="B6" s="71"/>
      <c r="C6" s="5"/>
      <c r="D6" s="5" t="s">
        <v>8</v>
      </c>
      <c r="E6" s="5" t="s">
        <v>9</v>
      </c>
      <c r="F6" s="5" t="s">
        <v>10</v>
      </c>
      <c r="G6" s="5" t="s">
        <v>11</v>
      </c>
      <c r="H6" s="5" t="s">
        <v>12</v>
      </c>
      <c r="I6" s="5" t="s">
        <v>13</v>
      </c>
    </row>
    <row r="7" s="45" customFormat="1" customHeight="1" spans="1:9">
      <c r="A7" s="72"/>
      <c r="B7" s="73"/>
      <c r="C7" s="5" t="s">
        <v>14</v>
      </c>
      <c r="D7" s="5">
        <f t="shared" ref="D7:F7" si="0">D8</f>
        <v>552</v>
      </c>
      <c r="E7" s="5">
        <f t="shared" si="0"/>
        <v>598</v>
      </c>
      <c r="F7" s="5">
        <f t="shared" si="0"/>
        <v>598</v>
      </c>
      <c r="G7" s="5">
        <v>10</v>
      </c>
      <c r="H7" s="12">
        <f>H8</f>
        <v>1</v>
      </c>
      <c r="I7" s="5">
        <f>G7*H7</f>
        <v>10</v>
      </c>
    </row>
    <row r="8" s="45" customFormat="1" ht="34.5" customHeight="1" spans="1:9">
      <c r="A8" s="72"/>
      <c r="B8" s="73"/>
      <c r="C8" s="5" t="s">
        <v>15</v>
      </c>
      <c r="D8" s="5">
        <v>552</v>
      </c>
      <c r="E8" s="5">
        <v>598</v>
      </c>
      <c r="F8" s="5">
        <v>598</v>
      </c>
      <c r="G8" s="5" t="s">
        <v>16</v>
      </c>
      <c r="H8" s="12">
        <f>F8/E8</f>
        <v>1</v>
      </c>
      <c r="I8" s="5" t="s">
        <v>16</v>
      </c>
    </row>
    <row r="9" s="45" customFormat="1" customHeight="1" spans="1:9">
      <c r="A9" s="72"/>
      <c r="B9" s="73"/>
      <c r="C9" s="5" t="s">
        <v>17</v>
      </c>
      <c r="D9" s="5">
        <v>0</v>
      </c>
      <c r="E9" s="5">
        <v>0</v>
      </c>
      <c r="F9" s="5">
        <v>0</v>
      </c>
      <c r="G9" s="5" t="s">
        <v>16</v>
      </c>
      <c r="H9" s="12">
        <v>0</v>
      </c>
      <c r="I9" s="5" t="s">
        <v>16</v>
      </c>
    </row>
    <row r="10" s="45" customFormat="1" customHeight="1" spans="1:9">
      <c r="A10" s="74"/>
      <c r="B10" s="75"/>
      <c r="C10" s="5" t="s">
        <v>18</v>
      </c>
      <c r="D10" s="5">
        <v>0</v>
      </c>
      <c r="E10" s="5">
        <v>0</v>
      </c>
      <c r="F10" s="5">
        <v>0</v>
      </c>
      <c r="G10" s="5" t="s">
        <v>16</v>
      </c>
      <c r="H10" s="12">
        <v>0</v>
      </c>
      <c r="I10" s="5" t="s">
        <v>16</v>
      </c>
    </row>
    <row r="11" s="45" customFormat="1" ht="30" customHeight="1" spans="1:9">
      <c r="A11" s="76" t="s">
        <v>19</v>
      </c>
      <c r="B11" s="68" t="s">
        <v>20</v>
      </c>
      <c r="C11" s="69"/>
      <c r="D11" s="69"/>
      <c r="E11" s="77"/>
      <c r="F11" s="68" t="s">
        <v>21</v>
      </c>
      <c r="G11" s="69"/>
      <c r="H11" s="69"/>
      <c r="I11" s="77"/>
    </row>
    <row r="12" s="45" customFormat="1" ht="78" customHeight="1" spans="1:9">
      <c r="A12" s="78"/>
      <c r="B12" s="48" t="s">
        <v>287</v>
      </c>
      <c r="C12" s="49"/>
      <c r="D12" s="49"/>
      <c r="E12" s="61"/>
      <c r="F12" s="48" t="s">
        <v>288</v>
      </c>
      <c r="G12" s="49"/>
      <c r="H12" s="49"/>
      <c r="I12" s="61"/>
    </row>
    <row r="13" s="45" customFormat="1" ht="41.25" customHeight="1" spans="1:9">
      <c r="A13" s="76" t="s">
        <v>24</v>
      </c>
      <c r="B13" s="67" t="s">
        <v>25</v>
      </c>
      <c r="C13" s="67" t="s">
        <v>26</v>
      </c>
      <c r="D13" s="67" t="s">
        <v>27</v>
      </c>
      <c r="E13" s="67" t="s">
        <v>28</v>
      </c>
      <c r="F13" s="67" t="s">
        <v>29</v>
      </c>
      <c r="G13" s="67" t="s">
        <v>11</v>
      </c>
      <c r="H13" s="67" t="s">
        <v>13</v>
      </c>
      <c r="I13" s="67" t="s">
        <v>30</v>
      </c>
    </row>
    <row r="14" s="45" customFormat="1" ht="28.5" spans="1:9">
      <c r="A14" s="79"/>
      <c r="B14" s="76" t="s">
        <v>31</v>
      </c>
      <c r="C14" s="76" t="s">
        <v>32</v>
      </c>
      <c r="D14" s="54" t="s">
        <v>289</v>
      </c>
      <c r="E14" s="54" t="s">
        <v>290</v>
      </c>
      <c r="F14" s="54" t="s">
        <v>291</v>
      </c>
      <c r="G14" s="5">
        <v>20</v>
      </c>
      <c r="H14" s="5">
        <v>20</v>
      </c>
      <c r="I14" s="54" t="s">
        <v>162</v>
      </c>
    </row>
    <row r="15" s="45" customFormat="1" ht="28.5" spans="1:9">
      <c r="A15" s="79"/>
      <c r="B15" s="79"/>
      <c r="C15" s="76" t="s">
        <v>36</v>
      </c>
      <c r="D15" s="54" t="s">
        <v>292</v>
      </c>
      <c r="E15" s="54" t="s">
        <v>293</v>
      </c>
      <c r="F15" s="62">
        <v>0.708</v>
      </c>
      <c r="G15" s="5">
        <v>20</v>
      </c>
      <c r="H15" s="5">
        <v>20</v>
      </c>
      <c r="I15" s="54" t="s">
        <v>162</v>
      </c>
    </row>
    <row r="16" s="45" customFormat="1" ht="42" customHeight="1" spans="1:9">
      <c r="A16" s="79"/>
      <c r="B16" s="79"/>
      <c r="C16" s="76" t="s">
        <v>39</v>
      </c>
      <c r="D16" s="53" t="s">
        <v>164</v>
      </c>
      <c r="E16" s="54" t="s">
        <v>41</v>
      </c>
      <c r="F16" s="54" t="s">
        <v>41</v>
      </c>
      <c r="G16" s="5">
        <v>5</v>
      </c>
      <c r="H16" s="5">
        <v>5</v>
      </c>
      <c r="I16" s="54" t="s">
        <v>162</v>
      </c>
    </row>
    <row r="17" s="45" customFormat="1" ht="42" customHeight="1" spans="1:9">
      <c r="A17" s="79"/>
      <c r="B17" s="79"/>
      <c r="C17" s="76" t="s">
        <v>42</v>
      </c>
      <c r="D17" s="54" t="s">
        <v>165</v>
      </c>
      <c r="E17" s="64">
        <v>0.8</v>
      </c>
      <c r="F17" s="57">
        <v>1</v>
      </c>
      <c r="G17" s="5">
        <v>5</v>
      </c>
      <c r="H17" s="5">
        <v>5</v>
      </c>
      <c r="I17" s="54" t="s">
        <v>162</v>
      </c>
    </row>
    <row r="18" s="45" customFormat="1" ht="33" customHeight="1" spans="1:9">
      <c r="A18" s="79"/>
      <c r="B18" s="76" t="s">
        <v>45</v>
      </c>
      <c r="C18" s="76" t="s">
        <v>46</v>
      </c>
      <c r="D18" s="54" t="s">
        <v>162</v>
      </c>
      <c r="E18" s="54" t="s">
        <v>162</v>
      </c>
      <c r="F18" s="54" t="s">
        <v>162</v>
      </c>
      <c r="G18" s="54" t="s">
        <v>162</v>
      </c>
      <c r="H18" s="54" t="s">
        <v>162</v>
      </c>
      <c r="I18" s="54" t="s">
        <v>162</v>
      </c>
    </row>
    <row r="19" s="45" customFormat="1" ht="115" customHeight="1" spans="1:9">
      <c r="A19" s="79"/>
      <c r="B19" s="79"/>
      <c r="C19" s="76" t="s">
        <v>47</v>
      </c>
      <c r="D19" s="54" t="s">
        <v>294</v>
      </c>
      <c r="E19" s="54" t="s">
        <v>295</v>
      </c>
      <c r="F19" s="57" t="s">
        <v>296</v>
      </c>
      <c r="G19" s="5">
        <v>30</v>
      </c>
      <c r="H19" s="5">
        <v>30</v>
      </c>
      <c r="I19" s="54" t="s">
        <v>162</v>
      </c>
    </row>
    <row r="20" s="45" customFormat="1" customHeight="1" spans="1:9">
      <c r="A20" s="79"/>
      <c r="B20" s="79"/>
      <c r="C20" s="76" t="s">
        <v>50</v>
      </c>
      <c r="D20" s="54" t="s">
        <v>162</v>
      </c>
      <c r="E20" s="54" t="s">
        <v>162</v>
      </c>
      <c r="F20" s="54" t="s">
        <v>162</v>
      </c>
      <c r="G20" s="50" t="s">
        <v>162</v>
      </c>
      <c r="H20" s="50" t="s">
        <v>162</v>
      </c>
      <c r="I20" s="54" t="s">
        <v>162</v>
      </c>
    </row>
    <row r="21" s="45" customFormat="1" ht="33" customHeight="1" spans="1:9">
      <c r="A21" s="79"/>
      <c r="B21" s="79"/>
      <c r="C21" s="76" t="s">
        <v>51</v>
      </c>
      <c r="D21" s="54" t="s">
        <v>162</v>
      </c>
      <c r="E21" s="54" t="s">
        <v>162</v>
      </c>
      <c r="F21" s="54" t="s">
        <v>162</v>
      </c>
      <c r="G21" s="50" t="s">
        <v>162</v>
      </c>
      <c r="H21" s="50" t="s">
        <v>162</v>
      </c>
      <c r="I21" s="54" t="s">
        <v>162</v>
      </c>
    </row>
    <row r="22" s="45" customFormat="1" ht="57" spans="1:9">
      <c r="A22" s="79"/>
      <c r="B22" s="76" t="s">
        <v>52</v>
      </c>
      <c r="C22" s="76" t="s">
        <v>53</v>
      </c>
      <c r="D22" s="54" t="s">
        <v>94</v>
      </c>
      <c r="E22" s="54" t="s">
        <v>262</v>
      </c>
      <c r="F22" s="57">
        <v>0.9</v>
      </c>
      <c r="G22" s="5">
        <v>10</v>
      </c>
      <c r="H22" s="53">
        <v>9</v>
      </c>
      <c r="I22" s="54" t="s">
        <v>162</v>
      </c>
    </row>
    <row r="23" s="45" customFormat="1" customHeight="1" spans="1:9">
      <c r="A23" s="67" t="s">
        <v>56</v>
      </c>
      <c r="B23" s="67"/>
      <c r="C23" s="67"/>
      <c r="D23" s="5"/>
      <c r="E23" s="5"/>
      <c r="F23" s="5"/>
      <c r="G23" s="5">
        <v>100</v>
      </c>
      <c r="H23" s="28">
        <f>I7+H14+H15+H16+H17+H19+H22</f>
        <v>99</v>
      </c>
      <c r="I23" s="5" t="s">
        <v>170</v>
      </c>
    </row>
    <row r="24" s="44" customFormat="1" hidden="1" customHeight="1" spans="1:8">
      <c r="A24" s="58" t="s">
        <v>247</v>
      </c>
      <c r="B24" s="59"/>
      <c r="E24" s="60" t="s">
        <v>248</v>
      </c>
      <c r="H24" s="60" t="s">
        <v>249</v>
      </c>
    </row>
  </sheetData>
  <mergeCells count="18">
    <mergeCell ref="A1:B1"/>
    <mergeCell ref="A2:I2"/>
    <mergeCell ref="A3:I3"/>
    <mergeCell ref="A4:B4"/>
    <mergeCell ref="C4:I4"/>
    <mergeCell ref="A5:B5"/>
    <mergeCell ref="C5:E5"/>
    <mergeCell ref="G5:I5"/>
    <mergeCell ref="B11:E11"/>
    <mergeCell ref="F11:I11"/>
    <mergeCell ref="B12:E12"/>
    <mergeCell ref="F12:I12"/>
    <mergeCell ref="A24:B24"/>
    <mergeCell ref="A11:A12"/>
    <mergeCell ref="A13:A22"/>
    <mergeCell ref="B14:B17"/>
    <mergeCell ref="B18:B21"/>
    <mergeCell ref="A6:B10"/>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topLeftCell="A28" workbookViewId="0">
      <selection activeCell="A26" sqref="$A26:$XFD26"/>
    </sheetView>
  </sheetViews>
  <sheetFormatPr defaultColWidth="13.875" defaultRowHeight="24.95" customHeight="1"/>
  <cols>
    <col min="1" max="1" width="6.875" style="42" customWidth="1"/>
    <col min="2" max="2" width="10.25" style="42" customWidth="1"/>
    <col min="3" max="16384" width="13.875" style="42"/>
  </cols>
  <sheetData>
    <row r="1" s="42" customFormat="1" customHeight="1" spans="1:2">
      <c r="A1" s="46"/>
      <c r="B1" s="46"/>
    </row>
    <row r="2" s="42" customFormat="1" ht="36" customHeight="1" spans="1:9">
      <c r="A2" s="47" t="s">
        <v>0</v>
      </c>
      <c r="B2" s="47"/>
      <c r="C2" s="47"/>
      <c r="D2" s="47"/>
      <c r="E2" s="47"/>
      <c r="F2" s="47"/>
      <c r="G2" s="47"/>
      <c r="H2" s="47"/>
      <c r="I2" s="47"/>
    </row>
    <row r="3" s="43" customFormat="1" customHeight="1" spans="1:9">
      <c r="A3" s="4" t="s">
        <v>189</v>
      </c>
      <c r="B3" s="4"/>
      <c r="C3" s="4"/>
      <c r="D3" s="4"/>
      <c r="E3" s="4"/>
      <c r="F3" s="4"/>
      <c r="G3" s="4"/>
      <c r="H3" s="4"/>
      <c r="I3" s="4"/>
    </row>
    <row r="4" s="43" customFormat="1" customHeight="1" spans="1:9">
      <c r="A4" s="5" t="s">
        <v>2</v>
      </c>
      <c r="B4" s="5"/>
      <c r="C4" s="5" t="s">
        <v>297</v>
      </c>
      <c r="D4" s="5"/>
      <c r="E4" s="5"/>
      <c r="F4" s="5"/>
      <c r="G4" s="5"/>
      <c r="H4" s="5"/>
      <c r="I4" s="5"/>
    </row>
    <row r="5" s="43" customFormat="1" customHeight="1" spans="1:9">
      <c r="A5" s="6" t="s">
        <v>4</v>
      </c>
      <c r="B5" s="7"/>
      <c r="C5" s="5" t="s">
        <v>5</v>
      </c>
      <c r="D5" s="5"/>
      <c r="E5" s="5"/>
      <c r="F5" s="5" t="s">
        <v>6</v>
      </c>
      <c r="G5" s="5" t="s">
        <v>5</v>
      </c>
      <c r="H5" s="5"/>
      <c r="I5" s="5"/>
    </row>
    <row r="6" s="43" customFormat="1" customHeight="1" spans="1:9">
      <c r="A6" s="8" t="s">
        <v>7</v>
      </c>
      <c r="B6" s="9"/>
      <c r="C6" s="5"/>
      <c r="D6" s="5" t="s">
        <v>8</v>
      </c>
      <c r="E6" s="5" t="s">
        <v>9</v>
      </c>
      <c r="F6" s="5" t="s">
        <v>10</v>
      </c>
      <c r="G6" s="5" t="s">
        <v>11</v>
      </c>
      <c r="H6" s="5" t="s">
        <v>12</v>
      </c>
      <c r="I6" s="5" t="s">
        <v>13</v>
      </c>
    </row>
    <row r="7" s="43" customFormat="1" customHeight="1" spans="1:9">
      <c r="A7" s="10"/>
      <c r="B7" s="11"/>
      <c r="C7" s="5" t="s">
        <v>14</v>
      </c>
      <c r="D7" s="5">
        <f t="shared" ref="D7:F7" si="0">D8</f>
        <v>20</v>
      </c>
      <c r="E7" s="5">
        <f t="shared" si="0"/>
        <v>20</v>
      </c>
      <c r="F7" s="5">
        <f t="shared" si="0"/>
        <v>17.46</v>
      </c>
      <c r="G7" s="5">
        <v>10</v>
      </c>
      <c r="H7" s="12">
        <f>H8</f>
        <v>0.873</v>
      </c>
      <c r="I7" s="5">
        <f>G7*H7</f>
        <v>8.73</v>
      </c>
    </row>
    <row r="8" s="43" customFormat="1" ht="34.5" customHeight="1" spans="1:9">
      <c r="A8" s="10"/>
      <c r="B8" s="11"/>
      <c r="C8" s="5" t="s">
        <v>15</v>
      </c>
      <c r="D8" s="5">
        <v>20</v>
      </c>
      <c r="E8" s="5">
        <v>20</v>
      </c>
      <c r="F8" s="5">
        <v>17.46</v>
      </c>
      <c r="G8" s="5" t="s">
        <v>16</v>
      </c>
      <c r="H8" s="12">
        <f>F8/E8</f>
        <v>0.873</v>
      </c>
      <c r="I8" s="5" t="s">
        <v>16</v>
      </c>
    </row>
    <row r="9" s="43" customFormat="1" customHeight="1" spans="1:9">
      <c r="A9" s="10"/>
      <c r="B9" s="11"/>
      <c r="C9" s="5" t="s">
        <v>17</v>
      </c>
      <c r="D9" s="5">
        <v>0</v>
      </c>
      <c r="E9" s="5">
        <v>0</v>
      </c>
      <c r="F9" s="5">
        <v>0</v>
      </c>
      <c r="G9" s="5" t="s">
        <v>16</v>
      </c>
      <c r="H9" s="12">
        <v>0</v>
      </c>
      <c r="I9" s="5" t="s">
        <v>16</v>
      </c>
    </row>
    <row r="10" s="43" customFormat="1" customHeight="1" spans="1:9">
      <c r="A10" s="13"/>
      <c r="B10" s="14"/>
      <c r="C10" s="5" t="s">
        <v>18</v>
      </c>
      <c r="D10" s="5">
        <v>0</v>
      </c>
      <c r="E10" s="5">
        <v>0</v>
      </c>
      <c r="F10" s="5">
        <v>0</v>
      </c>
      <c r="G10" s="5" t="s">
        <v>16</v>
      </c>
      <c r="H10" s="12">
        <v>0</v>
      </c>
      <c r="I10" s="5" t="s">
        <v>16</v>
      </c>
    </row>
    <row r="11" s="43" customFormat="1" ht="30" customHeight="1" spans="1:9">
      <c r="A11" s="15" t="s">
        <v>19</v>
      </c>
      <c r="B11" s="6" t="s">
        <v>20</v>
      </c>
      <c r="C11" s="7"/>
      <c r="D11" s="7"/>
      <c r="E11" s="16"/>
      <c r="F11" s="6" t="s">
        <v>21</v>
      </c>
      <c r="G11" s="7"/>
      <c r="H11" s="7"/>
      <c r="I11" s="16"/>
    </row>
    <row r="12" s="43" customFormat="1" ht="69" customHeight="1" spans="1:9">
      <c r="A12" s="17"/>
      <c r="B12" s="48" t="s">
        <v>298</v>
      </c>
      <c r="C12" s="49"/>
      <c r="D12" s="49"/>
      <c r="E12" s="61"/>
      <c r="F12" s="48" t="s">
        <v>299</v>
      </c>
      <c r="G12" s="49"/>
      <c r="H12" s="49"/>
      <c r="I12" s="61"/>
    </row>
    <row r="13" s="43" customFormat="1" ht="41.25" customHeight="1" spans="1:9">
      <c r="A13" s="15" t="s">
        <v>24</v>
      </c>
      <c r="B13" s="5" t="s">
        <v>25</v>
      </c>
      <c r="C13" s="5" t="s">
        <v>26</v>
      </c>
      <c r="D13" s="5" t="s">
        <v>27</v>
      </c>
      <c r="E13" s="5" t="s">
        <v>28</v>
      </c>
      <c r="F13" s="5" t="s">
        <v>29</v>
      </c>
      <c r="G13" s="5" t="s">
        <v>11</v>
      </c>
      <c r="H13" s="5" t="s">
        <v>13</v>
      </c>
      <c r="I13" s="5" t="s">
        <v>30</v>
      </c>
    </row>
    <row r="14" s="43" customFormat="1" ht="47" customHeight="1" spans="1:9">
      <c r="A14" s="18"/>
      <c r="B14" s="15" t="s">
        <v>31</v>
      </c>
      <c r="C14" s="15" t="s">
        <v>32</v>
      </c>
      <c r="D14" s="54" t="s">
        <v>300</v>
      </c>
      <c r="E14" s="54" t="s">
        <v>301</v>
      </c>
      <c r="F14" s="15" t="s">
        <v>302</v>
      </c>
      <c r="G14" s="5">
        <v>7.5</v>
      </c>
      <c r="H14" s="5">
        <v>7.5</v>
      </c>
      <c r="I14" s="54" t="s">
        <v>162</v>
      </c>
    </row>
    <row r="15" s="43" customFormat="1" ht="48" customHeight="1" spans="1:9">
      <c r="A15" s="18"/>
      <c r="B15" s="18"/>
      <c r="C15" s="18"/>
      <c r="D15" s="54" t="s">
        <v>303</v>
      </c>
      <c r="E15" s="54" t="s">
        <v>304</v>
      </c>
      <c r="F15" s="15" t="s">
        <v>305</v>
      </c>
      <c r="G15" s="5">
        <v>7.5</v>
      </c>
      <c r="H15" s="5">
        <v>7.5</v>
      </c>
      <c r="I15" s="54" t="s">
        <v>162</v>
      </c>
    </row>
    <row r="16" s="43" customFormat="1" ht="44" customHeight="1" spans="1:9">
      <c r="A16" s="18"/>
      <c r="B16" s="18"/>
      <c r="C16" s="15" t="s">
        <v>36</v>
      </c>
      <c r="D16" s="54" t="s">
        <v>306</v>
      </c>
      <c r="E16" s="54" t="s">
        <v>307</v>
      </c>
      <c r="F16" s="63">
        <v>1</v>
      </c>
      <c r="G16" s="5">
        <v>7.5</v>
      </c>
      <c r="H16" s="5">
        <v>7.5</v>
      </c>
      <c r="I16" s="54" t="s">
        <v>162</v>
      </c>
    </row>
    <row r="17" s="43" customFormat="1" ht="48" customHeight="1" spans="1:9">
      <c r="A17" s="18"/>
      <c r="B17" s="18"/>
      <c r="C17" s="18"/>
      <c r="D17" s="54" t="s">
        <v>308</v>
      </c>
      <c r="E17" s="54" t="s">
        <v>309</v>
      </c>
      <c r="F17" s="15" t="s">
        <v>310</v>
      </c>
      <c r="G17" s="5">
        <v>7.5</v>
      </c>
      <c r="H17" s="5">
        <v>7.5</v>
      </c>
      <c r="I17" s="54" t="s">
        <v>162</v>
      </c>
    </row>
    <row r="18" s="43" customFormat="1" customHeight="1" spans="1:9">
      <c r="A18" s="18"/>
      <c r="B18" s="18"/>
      <c r="C18" s="15" t="s">
        <v>39</v>
      </c>
      <c r="D18" s="53" t="s">
        <v>164</v>
      </c>
      <c r="E18" s="54" t="s">
        <v>41</v>
      </c>
      <c r="F18" s="54" t="s">
        <v>41</v>
      </c>
      <c r="G18" s="5">
        <v>10</v>
      </c>
      <c r="H18" s="5">
        <v>10</v>
      </c>
      <c r="I18" s="54" t="s">
        <v>162</v>
      </c>
    </row>
    <row r="19" s="43" customFormat="1" ht="28" customHeight="1" spans="1:9">
      <c r="A19" s="18"/>
      <c r="B19" s="18"/>
      <c r="C19" s="15" t="s">
        <v>42</v>
      </c>
      <c r="D19" s="54" t="s">
        <v>165</v>
      </c>
      <c r="E19" s="64">
        <v>0.8</v>
      </c>
      <c r="F19" s="55">
        <v>0.873</v>
      </c>
      <c r="G19" s="5">
        <v>10</v>
      </c>
      <c r="H19" s="5">
        <v>10</v>
      </c>
      <c r="I19" s="54" t="s">
        <v>162</v>
      </c>
    </row>
    <row r="20" s="43" customFormat="1" customHeight="1" spans="1:9">
      <c r="A20" s="18"/>
      <c r="B20" s="15" t="s">
        <v>45</v>
      </c>
      <c r="C20" s="15" t="s">
        <v>46</v>
      </c>
      <c r="D20" s="54" t="s">
        <v>162</v>
      </c>
      <c r="E20" s="54" t="s">
        <v>162</v>
      </c>
      <c r="F20" s="54" t="s">
        <v>162</v>
      </c>
      <c r="G20" s="54" t="s">
        <v>162</v>
      </c>
      <c r="H20" s="54" t="s">
        <v>162</v>
      </c>
      <c r="I20" s="54" t="s">
        <v>162</v>
      </c>
    </row>
    <row r="21" s="43" customFormat="1" ht="76" customHeight="1" spans="1:9">
      <c r="A21" s="18"/>
      <c r="B21" s="18"/>
      <c r="C21" s="15" t="s">
        <v>47</v>
      </c>
      <c r="D21" s="54" t="s">
        <v>311</v>
      </c>
      <c r="E21" s="54" t="s">
        <v>312</v>
      </c>
      <c r="F21" s="53" t="s">
        <v>312</v>
      </c>
      <c r="G21" s="5">
        <v>30</v>
      </c>
      <c r="H21" s="5">
        <v>30</v>
      </c>
      <c r="I21" s="54" t="s">
        <v>162</v>
      </c>
    </row>
    <row r="22" s="43" customFormat="1" customHeight="1" spans="1:9">
      <c r="A22" s="18"/>
      <c r="B22" s="18"/>
      <c r="C22" s="15" t="s">
        <v>50</v>
      </c>
      <c r="D22" s="54" t="s">
        <v>162</v>
      </c>
      <c r="E22" s="54" t="s">
        <v>162</v>
      </c>
      <c r="F22" s="54" t="s">
        <v>162</v>
      </c>
      <c r="G22" s="50" t="s">
        <v>162</v>
      </c>
      <c r="H22" s="50" t="s">
        <v>162</v>
      </c>
      <c r="I22" s="54" t="s">
        <v>162</v>
      </c>
    </row>
    <row r="23" s="43" customFormat="1" ht="36" customHeight="1" spans="1:9">
      <c r="A23" s="18"/>
      <c r="B23" s="18"/>
      <c r="C23" s="15" t="s">
        <v>51</v>
      </c>
      <c r="D23" s="54" t="s">
        <v>162</v>
      </c>
      <c r="E23" s="54" t="s">
        <v>162</v>
      </c>
      <c r="F23" s="54" t="s">
        <v>162</v>
      </c>
      <c r="G23" s="50" t="s">
        <v>162</v>
      </c>
      <c r="H23" s="50" t="s">
        <v>162</v>
      </c>
      <c r="I23" s="54" t="s">
        <v>162</v>
      </c>
    </row>
    <row r="24" s="43" customFormat="1" ht="45" customHeight="1" spans="1:9">
      <c r="A24" s="18"/>
      <c r="B24" s="15" t="s">
        <v>52</v>
      </c>
      <c r="C24" s="15" t="s">
        <v>53</v>
      </c>
      <c r="D24" s="54" t="s">
        <v>219</v>
      </c>
      <c r="E24" s="54" t="s">
        <v>262</v>
      </c>
      <c r="F24" s="57">
        <v>0.9</v>
      </c>
      <c r="G24" s="5">
        <v>10</v>
      </c>
      <c r="H24" s="53">
        <v>9</v>
      </c>
      <c r="I24" s="54" t="s">
        <v>162</v>
      </c>
    </row>
    <row r="25" s="43" customFormat="1" customHeight="1" spans="1:9">
      <c r="A25" s="5" t="s">
        <v>56</v>
      </c>
      <c r="B25" s="5"/>
      <c r="C25" s="5"/>
      <c r="D25" s="5"/>
      <c r="E25" s="5"/>
      <c r="F25" s="5"/>
      <c r="G25" s="5">
        <v>100</v>
      </c>
      <c r="H25" s="28">
        <f>I7+H14+H15+H16+H17+H18+H19+H21+H24</f>
        <v>97.73</v>
      </c>
      <c r="I25" s="5" t="s">
        <v>170</v>
      </c>
    </row>
    <row r="26" s="44" customFormat="1" hidden="1" customHeight="1" spans="1:8">
      <c r="A26" s="58" t="s">
        <v>247</v>
      </c>
      <c r="B26" s="59"/>
      <c r="E26" s="60" t="s">
        <v>248</v>
      </c>
      <c r="H26" s="60" t="s">
        <v>249</v>
      </c>
    </row>
  </sheetData>
  <mergeCells count="20">
    <mergeCell ref="A1:B1"/>
    <mergeCell ref="A2:I2"/>
    <mergeCell ref="A3:I3"/>
    <mergeCell ref="A4:B4"/>
    <mergeCell ref="C4:I4"/>
    <mergeCell ref="A5:B5"/>
    <mergeCell ref="C5:E5"/>
    <mergeCell ref="G5:I5"/>
    <mergeCell ref="B11:E11"/>
    <mergeCell ref="F11:I11"/>
    <mergeCell ref="B12:E12"/>
    <mergeCell ref="F12:I12"/>
    <mergeCell ref="A26:B26"/>
    <mergeCell ref="A11:A12"/>
    <mergeCell ref="A13:A24"/>
    <mergeCell ref="B14:B19"/>
    <mergeCell ref="B20:B23"/>
    <mergeCell ref="C14:C15"/>
    <mergeCell ref="C16:C17"/>
    <mergeCell ref="A6:B10"/>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
  <sheetViews>
    <sheetView topLeftCell="A15" workbookViewId="0">
      <selection activeCell="K13" sqref="K13"/>
    </sheetView>
  </sheetViews>
  <sheetFormatPr defaultColWidth="13.875" defaultRowHeight="24.95" customHeight="1"/>
  <cols>
    <col min="1" max="1" width="6.875" style="42" customWidth="1"/>
    <col min="2" max="2" width="10.25" style="42" customWidth="1"/>
    <col min="3" max="16384" width="13.875" style="42"/>
  </cols>
  <sheetData>
    <row r="1" s="42" customFormat="1" customHeight="1" spans="1:2">
      <c r="A1" s="46"/>
      <c r="B1" s="46"/>
    </row>
    <row r="2" s="42" customFormat="1" ht="36" customHeight="1" spans="1:9">
      <c r="A2" s="47" t="s">
        <v>0</v>
      </c>
      <c r="B2" s="47"/>
      <c r="C2" s="47"/>
      <c r="D2" s="47"/>
      <c r="E2" s="47"/>
      <c r="F2" s="47"/>
      <c r="G2" s="47"/>
      <c r="H2" s="47"/>
      <c r="I2" s="47"/>
    </row>
    <row r="3" s="43" customFormat="1" customHeight="1" spans="1:9">
      <c r="A3" s="4" t="s">
        <v>189</v>
      </c>
      <c r="B3" s="4"/>
      <c r="C3" s="4"/>
      <c r="D3" s="4"/>
      <c r="E3" s="4"/>
      <c r="F3" s="4"/>
      <c r="G3" s="4"/>
      <c r="H3" s="4"/>
      <c r="I3" s="4"/>
    </row>
    <row r="4" s="43" customFormat="1" customHeight="1" spans="1:9">
      <c r="A4" s="5" t="s">
        <v>2</v>
      </c>
      <c r="B4" s="5"/>
      <c r="C4" s="5" t="s">
        <v>313</v>
      </c>
      <c r="D4" s="5"/>
      <c r="E4" s="5"/>
      <c r="F4" s="5"/>
      <c r="G4" s="5"/>
      <c r="H4" s="5"/>
      <c r="I4" s="5"/>
    </row>
    <row r="5" s="43" customFormat="1" customHeight="1" spans="1:9">
      <c r="A5" s="6" t="s">
        <v>4</v>
      </c>
      <c r="B5" s="7"/>
      <c r="C5" s="5" t="s">
        <v>5</v>
      </c>
      <c r="D5" s="5"/>
      <c r="E5" s="5"/>
      <c r="F5" s="5" t="s">
        <v>6</v>
      </c>
      <c r="G5" s="5" t="s">
        <v>5</v>
      </c>
      <c r="H5" s="5"/>
      <c r="I5" s="5"/>
    </row>
    <row r="6" s="43" customFormat="1" customHeight="1" spans="1:9">
      <c r="A6" s="8" t="s">
        <v>7</v>
      </c>
      <c r="B6" s="9"/>
      <c r="C6" s="5"/>
      <c r="D6" s="5" t="s">
        <v>8</v>
      </c>
      <c r="E6" s="5" t="s">
        <v>9</v>
      </c>
      <c r="F6" s="5" t="s">
        <v>10</v>
      </c>
      <c r="G6" s="5" t="s">
        <v>11</v>
      </c>
      <c r="H6" s="5" t="s">
        <v>12</v>
      </c>
      <c r="I6" s="5" t="s">
        <v>13</v>
      </c>
    </row>
    <row r="7" s="43" customFormat="1" customHeight="1" spans="1:9">
      <c r="A7" s="10"/>
      <c r="B7" s="11"/>
      <c r="C7" s="5" t="s">
        <v>14</v>
      </c>
      <c r="D7" s="5">
        <f t="shared" ref="D7:F7" si="0">D8</f>
        <v>25.8</v>
      </c>
      <c r="E7" s="5">
        <f t="shared" si="0"/>
        <v>25.8</v>
      </c>
      <c r="F7" s="5">
        <f t="shared" si="0"/>
        <v>25.8</v>
      </c>
      <c r="G7" s="5">
        <v>10</v>
      </c>
      <c r="H7" s="12">
        <f>H8</f>
        <v>1</v>
      </c>
      <c r="I7" s="5">
        <f>G7*H7</f>
        <v>10</v>
      </c>
    </row>
    <row r="8" s="43" customFormat="1" ht="34.5" customHeight="1" spans="1:9">
      <c r="A8" s="10"/>
      <c r="B8" s="11"/>
      <c r="C8" s="5" t="s">
        <v>15</v>
      </c>
      <c r="D8" s="5">
        <v>25.8</v>
      </c>
      <c r="E8" s="5">
        <v>25.8</v>
      </c>
      <c r="F8" s="5">
        <v>25.8</v>
      </c>
      <c r="G8" s="5" t="s">
        <v>16</v>
      </c>
      <c r="H8" s="12">
        <f>F8/E8</f>
        <v>1</v>
      </c>
      <c r="I8" s="5" t="s">
        <v>16</v>
      </c>
    </row>
    <row r="9" s="43" customFormat="1" customHeight="1" spans="1:9">
      <c r="A9" s="10"/>
      <c r="B9" s="11"/>
      <c r="C9" s="5" t="s">
        <v>17</v>
      </c>
      <c r="D9" s="5">
        <v>0</v>
      </c>
      <c r="E9" s="5">
        <v>0</v>
      </c>
      <c r="F9" s="5">
        <v>0</v>
      </c>
      <c r="G9" s="5" t="s">
        <v>16</v>
      </c>
      <c r="H9" s="12">
        <v>0</v>
      </c>
      <c r="I9" s="5" t="s">
        <v>16</v>
      </c>
    </row>
    <row r="10" s="43" customFormat="1" customHeight="1" spans="1:9">
      <c r="A10" s="13"/>
      <c r="B10" s="14"/>
      <c r="C10" s="5" t="s">
        <v>18</v>
      </c>
      <c r="D10" s="5">
        <v>0</v>
      </c>
      <c r="E10" s="5">
        <v>0</v>
      </c>
      <c r="F10" s="5">
        <v>0</v>
      </c>
      <c r="G10" s="5" t="s">
        <v>16</v>
      </c>
      <c r="H10" s="12">
        <v>0</v>
      </c>
      <c r="I10" s="5" t="s">
        <v>16</v>
      </c>
    </row>
    <row r="11" s="43" customFormat="1" ht="30" customHeight="1" spans="1:9">
      <c r="A11" s="15" t="s">
        <v>19</v>
      </c>
      <c r="B11" s="6" t="s">
        <v>20</v>
      </c>
      <c r="C11" s="7"/>
      <c r="D11" s="7"/>
      <c r="E11" s="16"/>
      <c r="F11" s="6" t="s">
        <v>21</v>
      </c>
      <c r="G11" s="7"/>
      <c r="H11" s="7"/>
      <c r="I11" s="16"/>
    </row>
    <row r="12" s="43" customFormat="1" ht="69" customHeight="1" spans="1:9">
      <c r="A12" s="17"/>
      <c r="B12" s="48" t="s">
        <v>314</v>
      </c>
      <c r="C12" s="49"/>
      <c r="D12" s="49"/>
      <c r="E12" s="61"/>
      <c r="F12" s="48" t="s">
        <v>315</v>
      </c>
      <c r="G12" s="49"/>
      <c r="H12" s="49"/>
      <c r="I12" s="61"/>
    </row>
    <row r="13" s="43" customFormat="1" ht="41.25" customHeight="1" spans="1:9">
      <c r="A13" s="15" t="s">
        <v>24</v>
      </c>
      <c r="B13" s="5" t="s">
        <v>25</v>
      </c>
      <c r="C13" s="5" t="s">
        <v>26</v>
      </c>
      <c r="D13" s="5" t="s">
        <v>27</v>
      </c>
      <c r="E13" s="5" t="s">
        <v>28</v>
      </c>
      <c r="F13" s="5" t="s">
        <v>29</v>
      </c>
      <c r="G13" s="5" t="s">
        <v>11</v>
      </c>
      <c r="H13" s="5" t="s">
        <v>13</v>
      </c>
      <c r="I13" s="5" t="s">
        <v>30</v>
      </c>
    </row>
    <row r="14" s="43" customFormat="1" ht="38" customHeight="1" spans="1:9">
      <c r="A14" s="18"/>
      <c r="B14" s="15" t="s">
        <v>31</v>
      </c>
      <c r="C14" s="15" t="s">
        <v>32</v>
      </c>
      <c r="D14" s="54" t="s">
        <v>316</v>
      </c>
      <c r="E14" s="54" t="s">
        <v>317</v>
      </c>
      <c r="F14" s="54" t="s">
        <v>318</v>
      </c>
      <c r="G14" s="5">
        <v>10</v>
      </c>
      <c r="H14" s="5">
        <v>8.17</v>
      </c>
      <c r="I14" s="54" t="s">
        <v>162</v>
      </c>
    </row>
    <row r="15" s="43" customFormat="1" ht="44" customHeight="1" spans="1:9">
      <c r="A15" s="18"/>
      <c r="B15" s="18"/>
      <c r="C15" s="15" t="s">
        <v>36</v>
      </c>
      <c r="D15" s="54" t="s">
        <v>319</v>
      </c>
      <c r="E15" s="54" t="s">
        <v>320</v>
      </c>
      <c r="F15" s="62">
        <v>0.8165</v>
      </c>
      <c r="G15" s="5">
        <v>20</v>
      </c>
      <c r="H15" s="5">
        <v>20</v>
      </c>
      <c r="I15" s="54" t="s">
        <v>162</v>
      </c>
    </row>
    <row r="16" s="43" customFormat="1" customHeight="1" spans="1:9">
      <c r="A16" s="18"/>
      <c r="B16" s="18"/>
      <c r="C16" s="15" t="s">
        <v>39</v>
      </c>
      <c r="D16" s="53" t="s">
        <v>164</v>
      </c>
      <c r="E16" s="54" t="s">
        <v>41</v>
      </c>
      <c r="F16" s="54" t="s">
        <v>41</v>
      </c>
      <c r="G16" s="5">
        <v>10</v>
      </c>
      <c r="H16" s="5">
        <v>10</v>
      </c>
      <c r="I16" s="54" t="s">
        <v>162</v>
      </c>
    </row>
    <row r="17" s="43" customFormat="1" ht="28" customHeight="1" spans="1:9">
      <c r="A17" s="18"/>
      <c r="B17" s="18"/>
      <c r="C17" s="15" t="s">
        <v>42</v>
      </c>
      <c r="D17" s="53" t="s">
        <v>240</v>
      </c>
      <c r="E17" s="54" t="s">
        <v>321</v>
      </c>
      <c r="F17" s="53" t="s">
        <v>322</v>
      </c>
      <c r="G17" s="5">
        <v>10</v>
      </c>
      <c r="H17" s="5">
        <v>10</v>
      </c>
      <c r="I17" s="54" t="s">
        <v>162</v>
      </c>
    </row>
    <row r="18" s="43" customFormat="1" customHeight="1" spans="1:9">
      <c r="A18" s="18"/>
      <c r="B18" s="15" t="s">
        <v>45</v>
      </c>
      <c r="C18" s="15" t="s">
        <v>46</v>
      </c>
      <c r="D18" s="54" t="s">
        <v>162</v>
      </c>
      <c r="E18" s="54" t="s">
        <v>162</v>
      </c>
      <c r="F18" s="54" t="s">
        <v>162</v>
      </c>
      <c r="G18" s="54" t="s">
        <v>162</v>
      </c>
      <c r="H18" s="54" t="s">
        <v>162</v>
      </c>
      <c r="I18" s="54" t="s">
        <v>162</v>
      </c>
    </row>
    <row r="19" s="43" customFormat="1" ht="81" customHeight="1" spans="1:9">
      <c r="A19" s="18"/>
      <c r="B19" s="18"/>
      <c r="C19" s="15" t="s">
        <v>47</v>
      </c>
      <c r="D19" s="54" t="s">
        <v>323</v>
      </c>
      <c r="E19" s="54" t="s">
        <v>324</v>
      </c>
      <c r="F19" s="54" t="s">
        <v>324</v>
      </c>
      <c r="G19" s="5">
        <v>30</v>
      </c>
      <c r="H19" s="5">
        <v>30</v>
      </c>
      <c r="I19" s="54" t="s">
        <v>162</v>
      </c>
    </row>
    <row r="20" s="43" customFormat="1" customHeight="1" spans="1:9">
      <c r="A20" s="18"/>
      <c r="B20" s="18"/>
      <c r="C20" s="15" t="s">
        <v>50</v>
      </c>
      <c r="D20" s="54" t="s">
        <v>162</v>
      </c>
      <c r="E20" s="54" t="s">
        <v>162</v>
      </c>
      <c r="F20" s="54" t="s">
        <v>162</v>
      </c>
      <c r="G20" s="50" t="s">
        <v>162</v>
      </c>
      <c r="H20" s="50" t="s">
        <v>162</v>
      </c>
      <c r="I20" s="54" t="s">
        <v>162</v>
      </c>
    </row>
    <row r="21" s="43" customFormat="1" ht="36" customHeight="1" spans="1:9">
      <c r="A21" s="18"/>
      <c r="B21" s="18"/>
      <c r="C21" s="15" t="s">
        <v>51</v>
      </c>
      <c r="D21" s="54" t="s">
        <v>162</v>
      </c>
      <c r="E21" s="54" t="s">
        <v>162</v>
      </c>
      <c r="F21" s="54" t="s">
        <v>162</v>
      </c>
      <c r="G21" s="50" t="s">
        <v>162</v>
      </c>
      <c r="H21" s="50" t="s">
        <v>162</v>
      </c>
      <c r="I21" s="54" t="s">
        <v>162</v>
      </c>
    </row>
    <row r="22" s="43" customFormat="1" ht="64" customHeight="1" spans="1:9">
      <c r="A22" s="18"/>
      <c r="B22" s="15" t="s">
        <v>52</v>
      </c>
      <c r="C22" s="15" t="s">
        <v>53</v>
      </c>
      <c r="D22" s="54" t="s">
        <v>219</v>
      </c>
      <c r="E22" s="54" t="s">
        <v>262</v>
      </c>
      <c r="F22" s="57">
        <v>0.9</v>
      </c>
      <c r="G22" s="5">
        <v>10</v>
      </c>
      <c r="H22" s="53">
        <v>9</v>
      </c>
      <c r="I22" s="54" t="s">
        <v>162</v>
      </c>
    </row>
    <row r="23" s="43" customFormat="1" customHeight="1" spans="1:9">
      <c r="A23" s="5" t="s">
        <v>56</v>
      </c>
      <c r="B23" s="5"/>
      <c r="C23" s="5"/>
      <c r="D23" s="5"/>
      <c r="E23" s="5"/>
      <c r="F23" s="5"/>
      <c r="G23" s="5">
        <v>100</v>
      </c>
      <c r="H23" s="28">
        <f>I7+H14+H15+H16+H17+H19+H22</f>
        <v>97.17</v>
      </c>
      <c r="I23" s="5" t="s">
        <v>170</v>
      </c>
    </row>
    <row r="24" s="44" customFormat="1" hidden="1" customHeight="1" spans="1:8">
      <c r="A24" s="58" t="s">
        <v>247</v>
      </c>
      <c r="B24" s="59"/>
      <c r="E24" s="60" t="s">
        <v>248</v>
      </c>
      <c r="H24" s="60" t="s">
        <v>249</v>
      </c>
    </row>
    <row r="25" s="45" customFormat="1" customHeight="1" spans="1:9">
      <c r="A25" s="42"/>
      <c r="B25" s="42"/>
      <c r="C25" s="42"/>
      <c r="D25" s="42"/>
      <c r="E25" s="42"/>
      <c r="F25" s="42"/>
      <c r="G25" s="42"/>
      <c r="H25" s="42"/>
      <c r="I25" s="42"/>
    </row>
    <row r="26" s="45" customFormat="1" customHeight="1" spans="1:9">
      <c r="A26" s="42"/>
      <c r="B26" s="42"/>
      <c r="C26" s="42"/>
      <c r="D26" s="42"/>
      <c r="E26" s="42"/>
      <c r="F26" s="42"/>
      <c r="G26" s="42"/>
      <c r="H26" s="42"/>
      <c r="I26" s="42"/>
    </row>
    <row r="27" s="45" customFormat="1" customHeight="1" spans="1:9">
      <c r="A27" s="42"/>
      <c r="B27" s="42"/>
      <c r="C27" s="42"/>
      <c r="D27" s="42"/>
      <c r="E27" s="42"/>
      <c r="F27" s="42"/>
      <c r="G27" s="42"/>
      <c r="H27" s="42"/>
      <c r="I27" s="42"/>
    </row>
    <row r="28" s="45" customFormat="1" customHeight="1" spans="1:9">
      <c r="A28" s="42"/>
      <c r="B28" s="42"/>
      <c r="C28" s="42"/>
      <c r="D28" s="42"/>
      <c r="E28" s="42"/>
      <c r="F28" s="42"/>
      <c r="G28" s="42"/>
      <c r="H28" s="42"/>
      <c r="I28" s="42"/>
    </row>
    <row r="29" s="45" customFormat="1" customHeight="1" spans="1:9">
      <c r="A29" s="42"/>
      <c r="B29" s="42"/>
      <c r="C29" s="42"/>
      <c r="D29" s="42"/>
      <c r="E29" s="42"/>
      <c r="F29" s="42"/>
      <c r="G29" s="42"/>
      <c r="H29" s="42"/>
      <c r="I29" s="42"/>
    </row>
    <row r="30" s="45" customFormat="1" customHeight="1" spans="1:9">
      <c r="A30" s="42"/>
      <c r="B30" s="42"/>
      <c r="C30" s="42"/>
      <c r="D30" s="42"/>
      <c r="E30" s="42"/>
      <c r="F30" s="42"/>
      <c r="G30" s="42"/>
      <c r="H30" s="42"/>
      <c r="I30" s="42"/>
    </row>
    <row r="31" s="45" customFormat="1" customHeight="1" spans="1:9">
      <c r="A31" s="42"/>
      <c r="B31" s="42"/>
      <c r="C31" s="42"/>
      <c r="D31" s="42"/>
      <c r="E31" s="42"/>
      <c r="F31" s="42"/>
      <c r="G31" s="42"/>
      <c r="H31" s="42"/>
      <c r="I31" s="42"/>
    </row>
    <row r="32" s="45" customFormat="1" customHeight="1" spans="1:9">
      <c r="A32" s="42"/>
      <c r="B32" s="42"/>
      <c r="C32" s="42"/>
      <c r="D32" s="42"/>
      <c r="E32" s="42"/>
      <c r="F32" s="42"/>
      <c r="G32" s="42"/>
      <c r="H32" s="42"/>
      <c r="I32" s="42"/>
    </row>
    <row r="33" s="45" customFormat="1" customHeight="1" spans="1:9">
      <c r="A33" s="42"/>
      <c r="B33" s="42"/>
      <c r="C33" s="42"/>
      <c r="D33" s="42"/>
      <c r="E33" s="42"/>
      <c r="F33" s="42"/>
      <c r="G33" s="42"/>
      <c r="H33" s="42"/>
      <c r="I33" s="42"/>
    </row>
  </sheetData>
  <mergeCells count="18">
    <mergeCell ref="A1:B1"/>
    <mergeCell ref="A2:I2"/>
    <mergeCell ref="A3:I3"/>
    <mergeCell ref="A4:B4"/>
    <mergeCell ref="C4:I4"/>
    <mergeCell ref="A5:B5"/>
    <mergeCell ref="C5:E5"/>
    <mergeCell ref="G5:I5"/>
    <mergeCell ref="B11:E11"/>
    <mergeCell ref="F11:I11"/>
    <mergeCell ref="B12:E12"/>
    <mergeCell ref="F12:I12"/>
    <mergeCell ref="A24:B24"/>
    <mergeCell ref="A11:A12"/>
    <mergeCell ref="A13:A22"/>
    <mergeCell ref="B14:B17"/>
    <mergeCell ref="B18:B21"/>
    <mergeCell ref="A6:B10"/>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topLeftCell="A20" workbookViewId="0">
      <selection activeCell="L15" sqref="L15"/>
    </sheetView>
  </sheetViews>
  <sheetFormatPr defaultColWidth="13.875" defaultRowHeight="24.95" customHeight="1"/>
  <cols>
    <col min="1" max="1" width="6.875" style="42" customWidth="1"/>
    <col min="2" max="2" width="10.25" style="42" customWidth="1"/>
    <col min="3" max="3" width="13.875" style="42"/>
    <col min="4" max="4" width="15.5" style="42" customWidth="1"/>
    <col min="5" max="16384" width="13.875" style="42"/>
  </cols>
  <sheetData>
    <row r="1" s="42" customFormat="1" customHeight="1" spans="1:2">
      <c r="A1" s="46"/>
      <c r="B1" s="46"/>
    </row>
    <row r="2" s="42" customFormat="1" ht="36" customHeight="1" spans="1:9">
      <c r="A2" s="47" t="s">
        <v>0</v>
      </c>
      <c r="B2" s="47"/>
      <c r="C2" s="47"/>
      <c r="D2" s="47"/>
      <c r="E2" s="47"/>
      <c r="F2" s="47"/>
      <c r="G2" s="47"/>
      <c r="H2" s="47"/>
      <c r="I2" s="47"/>
    </row>
    <row r="3" s="43" customFormat="1" customHeight="1" spans="1:9">
      <c r="A3" s="4" t="s">
        <v>189</v>
      </c>
      <c r="B3" s="4"/>
      <c r="C3" s="4"/>
      <c r="D3" s="4"/>
      <c r="E3" s="4"/>
      <c r="F3" s="4"/>
      <c r="G3" s="4"/>
      <c r="H3" s="4"/>
      <c r="I3" s="4"/>
    </row>
    <row r="4" s="43" customFormat="1" customHeight="1" spans="1:9">
      <c r="A4" s="5" t="s">
        <v>2</v>
      </c>
      <c r="B4" s="5"/>
      <c r="C4" s="5" t="s">
        <v>325</v>
      </c>
      <c r="D4" s="5"/>
      <c r="E4" s="5"/>
      <c r="F4" s="5"/>
      <c r="G4" s="5"/>
      <c r="H4" s="5"/>
      <c r="I4" s="5"/>
    </row>
    <row r="5" s="43" customFormat="1" customHeight="1" spans="1:9">
      <c r="A5" s="6" t="s">
        <v>4</v>
      </c>
      <c r="B5" s="7"/>
      <c r="C5" s="5" t="s">
        <v>5</v>
      </c>
      <c r="D5" s="5"/>
      <c r="E5" s="5"/>
      <c r="F5" s="5" t="s">
        <v>6</v>
      </c>
      <c r="G5" s="5" t="s">
        <v>326</v>
      </c>
      <c r="H5" s="5"/>
      <c r="I5" s="5"/>
    </row>
    <row r="6" s="43" customFormat="1" customHeight="1" spans="1:9">
      <c r="A6" s="8" t="s">
        <v>7</v>
      </c>
      <c r="B6" s="9"/>
      <c r="C6" s="5"/>
      <c r="D6" s="5" t="s">
        <v>8</v>
      </c>
      <c r="E6" s="5" t="s">
        <v>9</v>
      </c>
      <c r="F6" s="5" t="s">
        <v>10</v>
      </c>
      <c r="G6" s="5" t="s">
        <v>11</v>
      </c>
      <c r="H6" s="5" t="s">
        <v>12</v>
      </c>
      <c r="I6" s="5" t="s">
        <v>13</v>
      </c>
    </row>
    <row r="7" s="43" customFormat="1" customHeight="1" spans="1:9">
      <c r="A7" s="10"/>
      <c r="B7" s="11"/>
      <c r="C7" s="5" t="s">
        <v>14</v>
      </c>
      <c r="D7" s="5">
        <f t="shared" ref="D7:F7" si="0">D8</f>
        <v>0</v>
      </c>
      <c r="E7" s="5">
        <f t="shared" si="0"/>
        <v>4000</v>
      </c>
      <c r="F7" s="5">
        <f t="shared" si="0"/>
        <v>3012.21</v>
      </c>
      <c r="G7" s="5">
        <v>10</v>
      </c>
      <c r="H7" s="12">
        <f>H8</f>
        <v>0.7530525</v>
      </c>
      <c r="I7" s="5">
        <f>G7*H7</f>
        <v>7.530525</v>
      </c>
    </row>
    <row r="8" s="43" customFormat="1" ht="34.5" customHeight="1" spans="1:9">
      <c r="A8" s="10"/>
      <c r="B8" s="11"/>
      <c r="C8" s="5" t="s">
        <v>15</v>
      </c>
      <c r="D8" s="5">
        <v>0</v>
      </c>
      <c r="E8" s="5">
        <v>4000</v>
      </c>
      <c r="F8" s="5">
        <v>3012.21</v>
      </c>
      <c r="G8" s="5" t="s">
        <v>16</v>
      </c>
      <c r="H8" s="12">
        <f>F8/E8</f>
        <v>0.7530525</v>
      </c>
      <c r="I8" s="5" t="s">
        <v>16</v>
      </c>
    </row>
    <row r="9" s="43" customFormat="1" customHeight="1" spans="1:9">
      <c r="A9" s="10"/>
      <c r="B9" s="11"/>
      <c r="C9" s="5" t="s">
        <v>17</v>
      </c>
      <c r="D9" s="5">
        <v>0</v>
      </c>
      <c r="E9" s="5">
        <v>0</v>
      </c>
      <c r="F9" s="5">
        <v>0</v>
      </c>
      <c r="G9" s="5" t="s">
        <v>16</v>
      </c>
      <c r="H9" s="12">
        <v>0</v>
      </c>
      <c r="I9" s="5" t="s">
        <v>16</v>
      </c>
    </row>
    <row r="10" s="43" customFormat="1" customHeight="1" spans="1:9">
      <c r="A10" s="13"/>
      <c r="B10" s="14"/>
      <c r="C10" s="5" t="s">
        <v>18</v>
      </c>
      <c r="D10" s="5">
        <v>0</v>
      </c>
      <c r="E10" s="5">
        <v>0</v>
      </c>
      <c r="F10" s="5">
        <v>0</v>
      </c>
      <c r="G10" s="5" t="s">
        <v>16</v>
      </c>
      <c r="H10" s="12">
        <v>0</v>
      </c>
      <c r="I10" s="5" t="s">
        <v>16</v>
      </c>
    </row>
    <row r="11" s="43" customFormat="1" ht="30" customHeight="1" spans="1:9">
      <c r="A11" s="15" t="s">
        <v>19</v>
      </c>
      <c r="B11" s="6" t="s">
        <v>20</v>
      </c>
      <c r="C11" s="7"/>
      <c r="D11" s="7"/>
      <c r="E11" s="16"/>
      <c r="F11" s="6" t="s">
        <v>21</v>
      </c>
      <c r="G11" s="7"/>
      <c r="H11" s="7"/>
      <c r="I11" s="16"/>
    </row>
    <row r="12" s="43" customFormat="1" ht="88" customHeight="1" spans="1:9">
      <c r="A12" s="17"/>
      <c r="B12" s="6" t="s">
        <v>327</v>
      </c>
      <c r="C12" s="7"/>
      <c r="D12" s="7"/>
      <c r="E12" s="16"/>
      <c r="F12" s="48" t="s">
        <v>328</v>
      </c>
      <c r="G12" s="49"/>
      <c r="H12" s="49"/>
      <c r="I12" s="61"/>
    </row>
    <row r="13" s="43" customFormat="1" ht="41.25" customHeight="1" spans="1:9">
      <c r="A13" s="15" t="s">
        <v>24</v>
      </c>
      <c r="B13" s="5" t="s">
        <v>25</v>
      </c>
      <c r="C13" s="5" t="s">
        <v>26</v>
      </c>
      <c r="D13" s="5" t="s">
        <v>27</v>
      </c>
      <c r="E13" s="5" t="s">
        <v>28</v>
      </c>
      <c r="F13" s="5" t="s">
        <v>29</v>
      </c>
      <c r="G13" s="5" t="s">
        <v>11</v>
      </c>
      <c r="H13" s="5" t="s">
        <v>13</v>
      </c>
      <c r="I13" s="5" t="s">
        <v>30</v>
      </c>
    </row>
    <row r="14" s="43" customFormat="1" ht="29" customHeight="1" spans="1:9">
      <c r="A14" s="18"/>
      <c r="B14" s="15" t="s">
        <v>31</v>
      </c>
      <c r="C14" s="15" t="s">
        <v>32</v>
      </c>
      <c r="D14" s="50" t="s">
        <v>329</v>
      </c>
      <c r="E14" s="51" t="s">
        <v>330</v>
      </c>
      <c r="F14" s="51" t="s">
        <v>331</v>
      </c>
      <c r="G14" s="5">
        <v>10</v>
      </c>
      <c r="H14" s="5">
        <v>10</v>
      </c>
      <c r="I14" s="54" t="s">
        <v>162</v>
      </c>
    </row>
    <row r="15" s="43" customFormat="1" ht="29" customHeight="1" spans="1:9">
      <c r="A15" s="18"/>
      <c r="B15" s="18"/>
      <c r="C15" s="18"/>
      <c r="D15" s="50" t="s">
        <v>332</v>
      </c>
      <c r="E15" s="51" t="s">
        <v>333</v>
      </c>
      <c r="F15" s="51" t="s">
        <v>334</v>
      </c>
      <c r="G15" s="5">
        <v>10</v>
      </c>
      <c r="H15" s="5">
        <v>7.43</v>
      </c>
      <c r="I15" s="54" t="s">
        <v>162</v>
      </c>
    </row>
    <row r="16" s="43" customFormat="1" ht="24" customHeight="1" spans="1:9">
      <c r="A16" s="18"/>
      <c r="B16" s="18"/>
      <c r="C16" s="15" t="s">
        <v>36</v>
      </c>
      <c r="D16" s="50" t="s">
        <v>335</v>
      </c>
      <c r="E16" s="51">
        <v>1</v>
      </c>
      <c r="F16" s="51">
        <v>1</v>
      </c>
      <c r="G16" s="5">
        <v>5</v>
      </c>
      <c r="H16" s="52">
        <v>5</v>
      </c>
      <c r="I16" s="54" t="s">
        <v>162</v>
      </c>
    </row>
    <row r="17" s="43" customFormat="1" ht="30" customHeight="1" spans="1:9">
      <c r="A17" s="18"/>
      <c r="B17" s="18"/>
      <c r="C17" s="18"/>
      <c r="D17" s="50" t="s">
        <v>336</v>
      </c>
      <c r="E17" s="51">
        <v>1</v>
      </c>
      <c r="F17" s="51">
        <v>1</v>
      </c>
      <c r="G17" s="5">
        <v>5</v>
      </c>
      <c r="H17" s="5">
        <v>3.71</v>
      </c>
      <c r="I17" s="54" t="s">
        <v>162</v>
      </c>
    </row>
    <row r="18" s="43" customFormat="1" customHeight="1" spans="1:9">
      <c r="A18" s="18"/>
      <c r="B18" s="18"/>
      <c r="C18" s="15" t="s">
        <v>39</v>
      </c>
      <c r="D18" s="53" t="s">
        <v>164</v>
      </c>
      <c r="E18" s="54" t="s">
        <v>41</v>
      </c>
      <c r="F18" s="54" t="s">
        <v>41</v>
      </c>
      <c r="G18" s="5">
        <v>10</v>
      </c>
      <c r="H18" s="5">
        <v>10</v>
      </c>
      <c r="I18" s="54" t="s">
        <v>162</v>
      </c>
    </row>
    <row r="19" s="43" customFormat="1" ht="28" customHeight="1" spans="1:9">
      <c r="A19" s="18"/>
      <c r="B19" s="18"/>
      <c r="C19" s="15" t="s">
        <v>42</v>
      </c>
      <c r="D19" s="50" t="s">
        <v>165</v>
      </c>
      <c r="E19" s="50" t="s">
        <v>337</v>
      </c>
      <c r="F19" s="55">
        <v>0.7531</v>
      </c>
      <c r="G19" s="5">
        <v>10</v>
      </c>
      <c r="H19" s="5">
        <v>10</v>
      </c>
      <c r="I19" s="54" t="s">
        <v>162</v>
      </c>
    </row>
    <row r="20" s="43" customFormat="1" customHeight="1" spans="1:9">
      <c r="A20" s="18"/>
      <c r="B20" s="15" t="s">
        <v>45</v>
      </c>
      <c r="C20" s="15" t="s">
        <v>46</v>
      </c>
      <c r="D20" s="54" t="s">
        <v>162</v>
      </c>
      <c r="E20" s="54" t="s">
        <v>162</v>
      </c>
      <c r="F20" s="54" t="s">
        <v>162</v>
      </c>
      <c r="G20" s="54" t="s">
        <v>162</v>
      </c>
      <c r="H20" s="54" t="s">
        <v>162</v>
      </c>
      <c r="I20" s="54" t="s">
        <v>162</v>
      </c>
    </row>
    <row r="21" s="43" customFormat="1" ht="72" customHeight="1" spans="1:9">
      <c r="A21" s="18"/>
      <c r="B21" s="18"/>
      <c r="C21" s="15" t="s">
        <v>47</v>
      </c>
      <c r="D21" s="56" t="s">
        <v>338</v>
      </c>
      <c r="E21" s="56" t="s">
        <v>339</v>
      </c>
      <c r="F21" s="56" t="s">
        <v>340</v>
      </c>
      <c r="G21" s="5">
        <v>15</v>
      </c>
      <c r="H21" s="5">
        <v>14</v>
      </c>
      <c r="I21" s="54" t="s">
        <v>162</v>
      </c>
    </row>
    <row r="22" s="43" customFormat="1" ht="63" customHeight="1" spans="1:9">
      <c r="A22" s="18"/>
      <c r="B22" s="18"/>
      <c r="C22" s="15" t="s">
        <v>50</v>
      </c>
      <c r="D22" s="56" t="s">
        <v>341</v>
      </c>
      <c r="E22" s="56" t="s">
        <v>342</v>
      </c>
      <c r="F22" s="56" t="s">
        <v>343</v>
      </c>
      <c r="G22" s="5">
        <v>15</v>
      </c>
      <c r="H22" s="5">
        <v>14</v>
      </c>
      <c r="I22" s="54" t="s">
        <v>162</v>
      </c>
    </row>
    <row r="23" s="43" customFormat="1" ht="36" customHeight="1" spans="1:9">
      <c r="A23" s="18"/>
      <c r="B23" s="18"/>
      <c r="C23" s="15" t="s">
        <v>51</v>
      </c>
      <c r="D23" s="54" t="s">
        <v>162</v>
      </c>
      <c r="E23" s="54" t="s">
        <v>162</v>
      </c>
      <c r="F23" s="54" t="s">
        <v>162</v>
      </c>
      <c r="G23" s="50" t="s">
        <v>162</v>
      </c>
      <c r="H23" s="50" t="s">
        <v>162</v>
      </c>
      <c r="I23" s="54" t="s">
        <v>162</v>
      </c>
    </row>
    <row r="24" s="43" customFormat="1" ht="64" customHeight="1" spans="1:9">
      <c r="A24" s="18"/>
      <c r="B24" s="15" t="s">
        <v>52</v>
      </c>
      <c r="C24" s="15" t="s">
        <v>53</v>
      </c>
      <c r="D24" s="56" t="s">
        <v>344</v>
      </c>
      <c r="E24" s="50" t="s">
        <v>345</v>
      </c>
      <c r="F24" s="57">
        <v>0.9</v>
      </c>
      <c r="G24" s="5">
        <v>10</v>
      </c>
      <c r="H24" s="5">
        <v>9</v>
      </c>
      <c r="I24" s="54" t="s">
        <v>162</v>
      </c>
    </row>
    <row r="25" s="43" customFormat="1" customHeight="1" spans="1:9">
      <c r="A25" s="5" t="s">
        <v>56</v>
      </c>
      <c r="B25" s="5"/>
      <c r="C25" s="5"/>
      <c r="D25" s="5"/>
      <c r="E25" s="5"/>
      <c r="F25" s="5"/>
      <c r="G25" s="5">
        <v>100</v>
      </c>
      <c r="H25" s="28">
        <f>I7+H14+H15+H16+H17+H18+H19+H22+H21+H24</f>
        <v>90.670525</v>
      </c>
      <c r="I25" s="5" t="s">
        <v>170</v>
      </c>
    </row>
    <row r="26" s="44" customFormat="1" hidden="1" customHeight="1" spans="1:8">
      <c r="A26" s="58" t="s">
        <v>247</v>
      </c>
      <c r="B26" s="59"/>
      <c r="E26" s="60" t="s">
        <v>248</v>
      </c>
      <c r="H26" s="60" t="s">
        <v>249</v>
      </c>
    </row>
    <row r="27" s="45" customFormat="1" customHeight="1" spans="1:9">
      <c r="A27" s="42"/>
      <c r="B27" s="42"/>
      <c r="C27" s="42"/>
      <c r="D27" s="42"/>
      <c r="E27" s="42"/>
      <c r="F27" s="42"/>
      <c r="G27" s="42"/>
      <c r="H27" s="42"/>
      <c r="I27" s="42"/>
    </row>
    <row r="28" s="45" customFormat="1" customHeight="1" spans="1:9">
      <c r="A28" s="42"/>
      <c r="B28" s="42"/>
      <c r="C28" s="42"/>
      <c r="D28" s="42"/>
      <c r="E28" s="42"/>
      <c r="F28" s="42"/>
      <c r="G28" s="42"/>
      <c r="H28" s="42"/>
      <c r="I28" s="42"/>
    </row>
    <row r="29" s="45" customFormat="1" customHeight="1" spans="1:9">
      <c r="A29" s="42"/>
      <c r="B29" s="42"/>
      <c r="C29" s="42"/>
      <c r="D29" s="42"/>
      <c r="E29" s="42"/>
      <c r="F29" s="42"/>
      <c r="G29" s="42"/>
      <c r="H29" s="42"/>
      <c r="I29" s="42"/>
    </row>
    <row r="30" s="45" customFormat="1" customHeight="1" spans="1:9">
      <c r="A30" s="42"/>
      <c r="B30" s="42"/>
      <c r="C30" s="42"/>
      <c r="D30" s="42"/>
      <c r="E30" s="42"/>
      <c r="F30" s="42"/>
      <c r="G30" s="42"/>
      <c r="H30" s="42"/>
      <c r="I30" s="42"/>
    </row>
    <row r="31" s="45" customFormat="1" customHeight="1" spans="1:9">
      <c r="A31" s="42"/>
      <c r="B31" s="42"/>
      <c r="C31" s="42"/>
      <c r="D31" s="42"/>
      <c r="E31" s="42"/>
      <c r="F31" s="42"/>
      <c r="G31" s="42"/>
      <c r="H31" s="42"/>
      <c r="I31" s="42"/>
    </row>
    <row r="32" s="45" customFormat="1" customHeight="1" spans="1:9">
      <c r="A32" s="42"/>
      <c r="B32" s="42"/>
      <c r="C32" s="42"/>
      <c r="D32" s="42"/>
      <c r="E32" s="42"/>
      <c r="F32" s="42"/>
      <c r="G32" s="42"/>
      <c r="H32" s="42"/>
      <c r="I32" s="42"/>
    </row>
    <row r="33" s="45" customFormat="1" customHeight="1" spans="1:9">
      <c r="A33" s="42"/>
      <c r="B33" s="42"/>
      <c r="C33" s="42"/>
      <c r="D33" s="42"/>
      <c r="E33" s="42"/>
      <c r="F33" s="42"/>
      <c r="G33" s="42"/>
      <c r="H33" s="42"/>
      <c r="I33" s="42"/>
    </row>
    <row r="34" s="45" customFormat="1" customHeight="1" spans="1:9">
      <c r="A34" s="42"/>
      <c r="B34" s="42"/>
      <c r="C34" s="42"/>
      <c r="D34" s="42"/>
      <c r="E34" s="42"/>
      <c r="F34" s="42"/>
      <c r="G34" s="42"/>
      <c r="H34" s="42"/>
      <c r="I34" s="42"/>
    </row>
    <row r="35" s="45" customFormat="1" customHeight="1" spans="1:9">
      <c r="A35" s="42"/>
      <c r="B35" s="42"/>
      <c r="C35" s="42"/>
      <c r="D35" s="42"/>
      <c r="E35" s="42"/>
      <c r="F35" s="42"/>
      <c r="G35" s="42"/>
      <c r="H35" s="42"/>
      <c r="I35" s="42"/>
    </row>
  </sheetData>
  <mergeCells count="20">
    <mergeCell ref="A1:B1"/>
    <mergeCell ref="A2:I2"/>
    <mergeCell ref="A3:I3"/>
    <mergeCell ref="A4:B4"/>
    <mergeCell ref="C4:I4"/>
    <mergeCell ref="A5:B5"/>
    <mergeCell ref="C5:E5"/>
    <mergeCell ref="G5:I5"/>
    <mergeCell ref="B11:E11"/>
    <mergeCell ref="F11:I11"/>
    <mergeCell ref="B12:E12"/>
    <mergeCell ref="F12:I12"/>
    <mergeCell ref="A26:B26"/>
    <mergeCell ref="A11:A12"/>
    <mergeCell ref="A13:A24"/>
    <mergeCell ref="B14:B19"/>
    <mergeCell ref="B20:B23"/>
    <mergeCell ref="C14:C15"/>
    <mergeCell ref="C16:C17"/>
    <mergeCell ref="A6:B10"/>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topLeftCell="A17" workbookViewId="0">
      <selection activeCell="L11" sqref="L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346</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100</v>
      </c>
      <c r="E6" s="5">
        <f>D6</f>
        <v>100</v>
      </c>
      <c r="F6" s="5">
        <v>51</v>
      </c>
      <c r="G6" s="5">
        <v>10</v>
      </c>
      <c r="H6" s="12">
        <f>F6/E6</f>
        <v>0.51</v>
      </c>
      <c r="I6" s="28">
        <f>G6*H6</f>
        <v>5.1</v>
      </c>
    </row>
    <row r="7" s="2" customFormat="1" ht="34.5" customHeight="1" spans="1:9">
      <c r="A7" s="10"/>
      <c r="B7" s="11"/>
      <c r="C7" s="5" t="s">
        <v>15</v>
      </c>
      <c r="D7" s="5">
        <f>D6</f>
        <v>100</v>
      </c>
      <c r="E7" s="5">
        <f>D6</f>
        <v>100</v>
      </c>
      <c r="F7" s="5">
        <f>F6</f>
        <v>51</v>
      </c>
      <c r="G7" s="5" t="s">
        <v>16</v>
      </c>
      <c r="H7" s="12">
        <f>F7/E7</f>
        <v>0.51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347</v>
      </c>
      <c r="C11" s="7"/>
      <c r="D11" s="7"/>
      <c r="E11" s="16"/>
      <c r="F11" s="6" t="s">
        <v>348</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5" t="s">
        <v>349</v>
      </c>
      <c r="E13" s="5" t="s">
        <v>350</v>
      </c>
      <c r="F13" s="12">
        <v>0.689</v>
      </c>
      <c r="G13" s="5">
        <v>7.5</v>
      </c>
      <c r="H13" s="5">
        <v>7.5</v>
      </c>
      <c r="I13" s="5"/>
    </row>
    <row r="14" s="2" customFormat="1" ht="31.5" customHeight="1" spans="1:9">
      <c r="A14" s="18"/>
      <c r="B14" s="18"/>
      <c r="C14" s="17"/>
      <c r="D14" s="5" t="s">
        <v>351</v>
      </c>
      <c r="E14" s="5" t="s">
        <v>352</v>
      </c>
      <c r="F14" s="12" t="s">
        <v>353</v>
      </c>
      <c r="G14" s="5">
        <v>5</v>
      </c>
      <c r="H14" s="5">
        <v>5</v>
      </c>
      <c r="I14" s="5"/>
    </row>
    <row r="15" s="2" customFormat="1" ht="30.75" customHeight="1" spans="1:9">
      <c r="A15" s="18"/>
      <c r="B15" s="18"/>
      <c r="C15" s="15" t="s">
        <v>36</v>
      </c>
      <c r="D15" s="5" t="s">
        <v>354</v>
      </c>
      <c r="E15" s="26" t="s">
        <v>355</v>
      </c>
      <c r="F15" s="26" t="s">
        <v>356</v>
      </c>
      <c r="G15" s="5">
        <v>12.5</v>
      </c>
      <c r="H15" s="5">
        <v>12.5</v>
      </c>
      <c r="I15" s="5"/>
    </row>
    <row r="16" s="2" customFormat="1" ht="31.5" customHeight="1" spans="1:9">
      <c r="A16" s="18"/>
      <c r="B16" s="18"/>
      <c r="C16" s="15" t="s">
        <v>39</v>
      </c>
      <c r="D16" s="5" t="s">
        <v>40</v>
      </c>
      <c r="E16" s="22" t="s">
        <v>41</v>
      </c>
      <c r="F16" s="23" t="s">
        <v>41</v>
      </c>
      <c r="G16" s="5">
        <v>12.5</v>
      </c>
      <c r="H16" s="5">
        <v>12.5</v>
      </c>
      <c r="I16" s="5"/>
    </row>
    <row r="17" s="2" customFormat="1" ht="33.75" customHeight="1" spans="1:9">
      <c r="A17" s="18"/>
      <c r="B17" s="18"/>
      <c r="C17" s="15" t="s">
        <v>42</v>
      </c>
      <c r="D17" s="5" t="s">
        <v>240</v>
      </c>
      <c r="E17" s="24" t="s">
        <v>357</v>
      </c>
      <c r="F17" s="36" t="s">
        <v>358</v>
      </c>
      <c r="G17" s="5">
        <v>12.5</v>
      </c>
      <c r="H17" s="5">
        <v>12.5</v>
      </c>
      <c r="I17" s="5"/>
    </row>
    <row r="18" s="2" customFormat="1" ht="31.5" customHeight="1" spans="1:9">
      <c r="A18" s="18"/>
      <c r="B18" s="15" t="s">
        <v>45</v>
      </c>
      <c r="C18" s="15" t="s">
        <v>46</v>
      </c>
      <c r="D18" s="5" t="s">
        <v>162</v>
      </c>
      <c r="E18" s="5" t="s">
        <v>162</v>
      </c>
      <c r="F18" s="5" t="s">
        <v>162</v>
      </c>
      <c r="G18" s="5" t="s">
        <v>162</v>
      </c>
      <c r="H18" s="5" t="s">
        <v>162</v>
      </c>
      <c r="I18" s="5"/>
    </row>
    <row r="19" s="2" customFormat="1" ht="49.5" customHeight="1" spans="1:9">
      <c r="A19" s="18"/>
      <c r="B19" s="18"/>
      <c r="C19" s="15" t="s">
        <v>47</v>
      </c>
      <c r="D19" s="5" t="s">
        <v>359</v>
      </c>
      <c r="E19" s="32" t="s">
        <v>360</v>
      </c>
      <c r="F19" s="5" t="s">
        <v>361</v>
      </c>
      <c r="G19" s="5">
        <v>30</v>
      </c>
      <c r="H19" s="5">
        <v>30</v>
      </c>
      <c r="I19" s="5"/>
    </row>
    <row r="20" s="2" customFormat="1" ht="27.75" customHeight="1" spans="1:9">
      <c r="A20" s="18"/>
      <c r="B20" s="18"/>
      <c r="C20" s="15" t="s">
        <v>50</v>
      </c>
      <c r="D20" s="5" t="s">
        <v>162</v>
      </c>
      <c r="E20" s="5" t="s">
        <v>162</v>
      </c>
      <c r="F20" s="5" t="s">
        <v>162</v>
      </c>
      <c r="G20" s="5" t="s">
        <v>162</v>
      </c>
      <c r="H20" s="5" t="s">
        <v>162</v>
      </c>
      <c r="I20" s="5"/>
    </row>
    <row r="21" s="2" customFormat="1" ht="31.5" customHeight="1" spans="1:9">
      <c r="A21" s="18"/>
      <c r="B21" s="18"/>
      <c r="C21" s="15" t="s">
        <v>51</v>
      </c>
      <c r="D21" s="5" t="s">
        <v>162</v>
      </c>
      <c r="E21" s="5" t="s">
        <v>162</v>
      </c>
      <c r="F21" s="5" t="s">
        <v>162</v>
      </c>
      <c r="G21" s="5" t="s">
        <v>162</v>
      </c>
      <c r="H21" s="5" t="s">
        <v>162</v>
      </c>
      <c r="I21" s="5"/>
    </row>
    <row r="22" s="2" customFormat="1" ht="37.5" customHeight="1" spans="1:9">
      <c r="A22" s="18"/>
      <c r="B22" s="15" t="s">
        <v>52</v>
      </c>
      <c r="C22" s="15" t="s">
        <v>53</v>
      </c>
      <c r="D22" s="5" t="s">
        <v>362</v>
      </c>
      <c r="E22" s="26" t="s">
        <v>169</v>
      </c>
      <c r="F22" s="27">
        <v>0.95</v>
      </c>
      <c r="G22" s="5">
        <v>10</v>
      </c>
      <c r="H22" s="5">
        <v>10</v>
      </c>
      <c r="I22" s="5"/>
    </row>
    <row r="23" s="2" customFormat="1" customHeight="1" spans="1:9">
      <c r="A23" s="5" t="s">
        <v>56</v>
      </c>
      <c r="B23" s="5"/>
      <c r="C23" s="5"/>
      <c r="D23" s="5"/>
      <c r="E23" s="5"/>
      <c r="F23" s="5"/>
      <c r="G23" s="5">
        <f>SUM(G13:G22)+G6</f>
        <v>100</v>
      </c>
      <c r="H23" s="28">
        <f>SUM(H13:H22)+I6</f>
        <v>95.1</v>
      </c>
      <c r="I23" s="5" t="s">
        <v>363</v>
      </c>
    </row>
  </sheetData>
  <mergeCells count="17">
    <mergeCell ref="A1:I1"/>
    <mergeCell ref="A2:I2"/>
    <mergeCell ref="A3:B3"/>
    <mergeCell ref="C3:I3"/>
    <mergeCell ref="A4:B4"/>
    <mergeCell ref="C4:E4"/>
    <mergeCell ref="G4:I4"/>
    <mergeCell ref="B10:E10"/>
    <mergeCell ref="F10:I10"/>
    <mergeCell ref="B11:E11"/>
    <mergeCell ref="F11:I11"/>
    <mergeCell ref="A10:A11"/>
    <mergeCell ref="A12:A22"/>
    <mergeCell ref="B13:B17"/>
    <mergeCell ref="B18:B21"/>
    <mergeCell ref="C13:C14"/>
    <mergeCell ref="A5:B9"/>
  </mergeCells>
  <pageMargins left="0.75" right="0.75" top="1" bottom="1" header="0.5" footer="0.5"/>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17" workbookViewId="0">
      <selection activeCell="L10" sqref="L10"/>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364</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520</v>
      </c>
      <c r="E6" s="5">
        <f>D6</f>
        <v>520</v>
      </c>
      <c r="F6" s="5">
        <v>520</v>
      </c>
      <c r="G6" s="5">
        <v>10</v>
      </c>
      <c r="H6" s="12">
        <f>F6/E6</f>
        <v>1</v>
      </c>
      <c r="I6" s="28">
        <f>G6*H6</f>
        <v>10</v>
      </c>
    </row>
    <row r="7" s="2" customFormat="1" ht="34.5" customHeight="1" spans="1:9">
      <c r="A7" s="10"/>
      <c r="B7" s="11"/>
      <c r="C7" s="5" t="s">
        <v>15</v>
      </c>
      <c r="D7" s="5">
        <f>D6</f>
        <v>520</v>
      </c>
      <c r="E7" s="5">
        <f>D6</f>
        <v>520</v>
      </c>
      <c r="F7" s="5">
        <f>F6</f>
        <v>520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365</v>
      </c>
      <c r="C11" s="7"/>
      <c r="D11" s="7"/>
      <c r="E11" s="16"/>
      <c r="F11" s="6" t="s">
        <v>366</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5" t="s">
        <v>367</v>
      </c>
      <c r="E13" s="5" t="s">
        <v>368</v>
      </c>
      <c r="F13" s="27" t="s">
        <v>369</v>
      </c>
      <c r="G13" s="5">
        <v>12.5</v>
      </c>
      <c r="H13" s="5">
        <v>12.5</v>
      </c>
      <c r="I13" s="5"/>
    </row>
    <row r="14" s="2" customFormat="1" ht="30.75" customHeight="1" spans="1:9">
      <c r="A14" s="18"/>
      <c r="B14" s="18"/>
      <c r="C14" s="15" t="s">
        <v>36</v>
      </c>
      <c r="D14" s="5" t="s">
        <v>354</v>
      </c>
      <c r="E14" s="26" t="s">
        <v>355</v>
      </c>
      <c r="F14" s="26" t="s">
        <v>370</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371</v>
      </c>
      <c r="F16" s="36" t="s">
        <v>372</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49.5" customHeight="1" spans="1:9">
      <c r="A18" s="18"/>
      <c r="B18" s="18"/>
      <c r="C18" s="15" t="s">
        <v>47</v>
      </c>
      <c r="D18" s="5" t="s">
        <v>359</v>
      </c>
      <c r="E18" s="32" t="s">
        <v>373</v>
      </c>
      <c r="F18" s="5" t="s">
        <v>374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topLeftCell="A16" workbookViewId="0">
      <selection activeCell="A23" sqref="$A23:$XFD23"/>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375</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27</v>
      </c>
      <c r="E6" s="5">
        <f>D6</f>
        <v>27</v>
      </c>
      <c r="F6" s="5">
        <v>27</v>
      </c>
      <c r="G6" s="5">
        <v>10</v>
      </c>
      <c r="H6" s="12">
        <f>F6/E6</f>
        <v>1</v>
      </c>
      <c r="I6" s="28">
        <f>G6*H6</f>
        <v>10</v>
      </c>
    </row>
    <row r="7" s="2" customFormat="1" ht="34.5" customHeight="1" spans="1:9">
      <c r="A7" s="10"/>
      <c r="B7" s="11"/>
      <c r="C7" s="5" t="s">
        <v>15</v>
      </c>
      <c r="D7" s="5">
        <f>D6</f>
        <v>27</v>
      </c>
      <c r="E7" s="5">
        <f>D6</f>
        <v>27</v>
      </c>
      <c r="F7" s="5">
        <f>F6</f>
        <v>27</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376</v>
      </c>
      <c r="C11" s="7"/>
      <c r="D11" s="7"/>
      <c r="E11" s="16"/>
      <c r="F11" s="6" t="s">
        <v>377</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11">
      <c r="A13" s="18"/>
      <c r="B13" s="15" t="s">
        <v>31</v>
      </c>
      <c r="C13" s="15" t="s">
        <v>32</v>
      </c>
      <c r="D13" s="5" t="s">
        <v>378</v>
      </c>
      <c r="E13" s="5" t="s">
        <v>379</v>
      </c>
      <c r="F13" s="27" t="s">
        <v>380</v>
      </c>
      <c r="G13" s="5">
        <v>12.5</v>
      </c>
      <c r="H13" s="5">
        <v>12.5</v>
      </c>
      <c r="I13" s="5"/>
      <c r="K13" s="2" t="s">
        <v>381</v>
      </c>
    </row>
    <row r="14" s="2" customFormat="1" ht="30.75" customHeight="1" spans="1:9">
      <c r="A14" s="18"/>
      <c r="B14" s="18"/>
      <c r="C14" s="15" t="s">
        <v>36</v>
      </c>
      <c r="D14" s="5" t="s">
        <v>382</v>
      </c>
      <c r="E14" s="26" t="s">
        <v>383</v>
      </c>
      <c r="F14" s="26" t="s">
        <v>383</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384</v>
      </c>
      <c r="F16" s="27" t="s">
        <v>385</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49.5" customHeight="1" spans="1:9">
      <c r="A18" s="18"/>
      <c r="B18" s="18"/>
      <c r="C18" s="15" t="s">
        <v>47</v>
      </c>
      <c r="D18" s="5" t="s">
        <v>386</v>
      </c>
      <c r="E18" s="32" t="s">
        <v>387</v>
      </c>
      <c r="F18" s="5" t="s">
        <v>388</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topLeftCell="A17" workbookViewId="0">
      <selection activeCell="L33" sqref="L33"/>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389</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975</v>
      </c>
      <c r="E6" s="5">
        <f>D6</f>
        <v>975</v>
      </c>
      <c r="F6" s="5">
        <v>950.32</v>
      </c>
      <c r="G6" s="5">
        <v>10</v>
      </c>
      <c r="H6" s="12">
        <f>F6/E6</f>
        <v>0.97468717948718</v>
      </c>
      <c r="I6" s="28">
        <f>G6*H6</f>
        <v>9.7468717948718</v>
      </c>
    </row>
    <row r="7" s="2" customFormat="1" ht="34.5" customHeight="1" spans="1:9">
      <c r="A7" s="10"/>
      <c r="B7" s="11"/>
      <c r="C7" s="5" t="s">
        <v>15</v>
      </c>
      <c r="D7" s="5">
        <f>D6</f>
        <v>975</v>
      </c>
      <c r="E7" s="5">
        <f>D6</f>
        <v>975</v>
      </c>
      <c r="F7" s="5">
        <f>F6</f>
        <v>950.32</v>
      </c>
      <c r="G7" s="5" t="s">
        <v>16</v>
      </c>
      <c r="H7" s="12">
        <f>F7/E7</f>
        <v>0.97468717948718</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390</v>
      </c>
      <c r="C11" s="7"/>
      <c r="D11" s="7"/>
      <c r="E11" s="16"/>
      <c r="F11" s="6" t="s">
        <v>391</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40" t="s">
        <v>392</v>
      </c>
      <c r="E13" s="21" t="s">
        <v>393</v>
      </c>
      <c r="F13" s="41" t="s">
        <v>394</v>
      </c>
      <c r="G13" s="5">
        <v>4</v>
      </c>
      <c r="H13" s="5">
        <v>4</v>
      </c>
      <c r="I13" s="5"/>
    </row>
    <row r="14" s="2" customFormat="1" ht="31.5" customHeight="1" spans="1:9">
      <c r="A14" s="18"/>
      <c r="B14" s="18"/>
      <c r="C14" s="18"/>
      <c r="D14" s="40" t="s">
        <v>395</v>
      </c>
      <c r="E14" s="21" t="s">
        <v>396</v>
      </c>
      <c r="F14" s="41" t="s">
        <v>397</v>
      </c>
      <c r="G14" s="5">
        <v>4</v>
      </c>
      <c r="H14" s="5">
        <v>4</v>
      </c>
      <c r="I14" s="5"/>
    </row>
    <row r="15" s="2" customFormat="1" ht="31.5" customHeight="1" spans="1:9">
      <c r="A15" s="18"/>
      <c r="B15" s="18"/>
      <c r="C15" s="17"/>
      <c r="D15" s="40" t="s">
        <v>398</v>
      </c>
      <c r="E15" s="21" t="s">
        <v>399</v>
      </c>
      <c r="F15" s="41" t="s">
        <v>400</v>
      </c>
      <c r="G15" s="5">
        <v>4.5</v>
      </c>
      <c r="H15" s="5">
        <v>4.5</v>
      </c>
      <c r="I15" s="5"/>
    </row>
    <row r="16" s="2" customFormat="1" ht="31.5" customHeight="1" spans="1:9">
      <c r="A16" s="18"/>
      <c r="B16" s="18"/>
      <c r="C16" s="15" t="s">
        <v>36</v>
      </c>
      <c r="D16" s="19" t="s">
        <v>401</v>
      </c>
      <c r="E16" s="19" t="s">
        <v>401</v>
      </c>
      <c r="F16" s="41">
        <v>1</v>
      </c>
      <c r="G16" s="5">
        <v>4</v>
      </c>
      <c r="H16" s="5">
        <v>4</v>
      </c>
      <c r="I16" s="5"/>
    </row>
    <row r="17" s="2" customFormat="1" ht="31.5" customHeight="1" spans="1:9">
      <c r="A17" s="18"/>
      <c r="B17" s="18"/>
      <c r="C17" s="18"/>
      <c r="D17" s="19" t="s">
        <v>402</v>
      </c>
      <c r="E17" s="21" t="s">
        <v>403</v>
      </c>
      <c r="F17" s="41" t="s">
        <v>403</v>
      </c>
      <c r="G17" s="5">
        <v>4</v>
      </c>
      <c r="H17" s="5">
        <v>4</v>
      </c>
      <c r="I17" s="5"/>
    </row>
    <row r="18" s="2" customFormat="1" ht="30.75" customHeight="1" spans="1:9">
      <c r="A18" s="18"/>
      <c r="B18" s="18"/>
      <c r="C18" s="17"/>
      <c r="D18" s="19" t="s">
        <v>404</v>
      </c>
      <c r="E18" s="21" t="s">
        <v>405</v>
      </c>
      <c r="F18" s="26" t="s">
        <v>405</v>
      </c>
      <c r="G18" s="5">
        <v>4.5</v>
      </c>
      <c r="H18" s="5">
        <v>4.5</v>
      </c>
      <c r="I18" s="5"/>
    </row>
    <row r="19" s="2" customFormat="1" ht="31.5" customHeight="1" spans="1:9">
      <c r="A19" s="18"/>
      <c r="B19" s="18"/>
      <c r="C19" s="15" t="s">
        <v>39</v>
      </c>
      <c r="D19" s="5" t="s">
        <v>40</v>
      </c>
      <c r="E19" s="22" t="s">
        <v>41</v>
      </c>
      <c r="F19" s="23" t="s">
        <v>41</v>
      </c>
      <c r="G19" s="5">
        <v>12.5</v>
      </c>
      <c r="H19" s="5">
        <v>12.5</v>
      </c>
      <c r="I19" s="5"/>
    </row>
    <row r="20" s="2" customFormat="1" ht="33.75" customHeight="1" spans="1:9">
      <c r="A20" s="18"/>
      <c r="B20" s="18"/>
      <c r="C20" s="15" t="s">
        <v>42</v>
      </c>
      <c r="D20" s="5" t="s">
        <v>240</v>
      </c>
      <c r="E20" s="24" t="s">
        <v>406</v>
      </c>
      <c r="F20" s="12" t="s">
        <v>407</v>
      </c>
      <c r="G20" s="5">
        <v>12.5</v>
      </c>
      <c r="H20" s="5">
        <v>12.5</v>
      </c>
      <c r="I20" s="5"/>
    </row>
    <row r="21" s="2" customFormat="1" ht="31.5" customHeight="1" spans="1:9">
      <c r="A21" s="18"/>
      <c r="B21" s="15" t="s">
        <v>45</v>
      </c>
      <c r="C21" s="15" t="s">
        <v>46</v>
      </c>
      <c r="D21" s="5" t="s">
        <v>162</v>
      </c>
      <c r="E21" s="5" t="s">
        <v>162</v>
      </c>
      <c r="F21" s="5" t="s">
        <v>162</v>
      </c>
      <c r="G21" s="5" t="s">
        <v>162</v>
      </c>
      <c r="H21" s="5" t="s">
        <v>162</v>
      </c>
      <c r="I21" s="5"/>
    </row>
    <row r="22" s="2" customFormat="1" ht="49.5" customHeight="1" spans="1:9">
      <c r="A22" s="18"/>
      <c r="B22" s="18"/>
      <c r="C22" s="15" t="s">
        <v>47</v>
      </c>
      <c r="D22" s="5" t="s">
        <v>359</v>
      </c>
      <c r="E22" s="32" t="s">
        <v>373</v>
      </c>
      <c r="F22" s="23" t="s">
        <v>408</v>
      </c>
      <c r="G22" s="5">
        <v>30</v>
      </c>
      <c r="H22" s="5">
        <v>30</v>
      </c>
      <c r="I22" s="5"/>
    </row>
    <row r="23" s="2" customFormat="1" ht="27.75" customHeight="1" spans="1:9">
      <c r="A23" s="18"/>
      <c r="B23" s="18"/>
      <c r="C23" s="15" t="s">
        <v>50</v>
      </c>
      <c r="D23" s="5" t="s">
        <v>162</v>
      </c>
      <c r="E23" s="5" t="s">
        <v>162</v>
      </c>
      <c r="F23" s="5" t="s">
        <v>162</v>
      </c>
      <c r="G23" s="5" t="s">
        <v>162</v>
      </c>
      <c r="H23" s="5" t="s">
        <v>162</v>
      </c>
      <c r="I23" s="5"/>
    </row>
    <row r="24" s="2" customFormat="1" ht="31.5" customHeight="1" spans="1:9">
      <c r="A24" s="18"/>
      <c r="B24" s="18"/>
      <c r="C24" s="15" t="s">
        <v>51</v>
      </c>
      <c r="D24" s="5" t="s">
        <v>162</v>
      </c>
      <c r="E24" s="5" t="s">
        <v>162</v>
      </c>
      <c r="F24" s="5" t="s">
        <v>162</v>
      </c>
      <c r="G24" s="5" t="s">
        <v>162</v>
      </c>
      <c r="H24" s="5" t="s">
        <v>162</v>
      </c>
      <c r="I24" s="5"/>
    </row>
    <row r="25" s="2" customFormat="1" ht="37.5" customHeight="1" spans="1:9">
      <c r="A25" s="18"/>
      <c r="B25" s="15" t="s">
        <v>52</v>
      </c>
      <c r="C25" s="15" t="s">
        <v>53</v>
      </c>
      <c r="D25" s="5" t="s">
        <v>362</v>
      </c>
      <c r="E25" s="26" t="s">
        <v>169</v>
      </c>
      <c r="F25" s="27">
        <v>0.95</v>
      </c>
      <c r="G25" s="5">
        <v>10</v>
      </c>
      <c r="H25" s="5">
        <v>10</v>
      </c>
      <c r="I25" s="5"/>
    </row>
    <row r="26" s="2" customFormat="1" customHeight="1" spans="1:9">
      <c r="A26" s="5" t="s">
        <v>56</v>
      </c>
      <c r="B26" s="5"/>
      <c r="C26" s="5"/>
      <c r="D26" s="5"/>
      <c r="E26" s="5"/>
      <c r="F26" s="5"/>
      <c r="G26" s="5">
        <f>SUM(G13:G25)+G6</f>
        <v>100</v>
      </c>
      <c r="H26" s="28">
        <f>SUM(H13:H25)+I6</f>
        <v>99.7468717948718</v>
      </c>
      <c r="I26" s="5" t="s">
        <v>363</v>
      </c>
    </row>
  </sheetData>
  <mergeCells count="18">
    <mergeCell ref="A1:I1"/>
    <mergeCell ref="A2:I2"/>
    <mergeCell ref="A3:B3"/>
    <mergeCell ref="C3:I3"/>
    <mergeCell ref="A4:B4"/>
    <mergeCell ref="C4:E4"/>
    <mergeCell ref="G4:I4"/>
    <mergeCell ref="B10:E10"/>
    <mergeCell ref="F10:I10"/>
    <mergeCell ref="B11:E11"/>
    <mergeCell ref="F11:I11"/>
    <mergeCell ref="A10:A11"/>
    <mergeCell ref="A12:A25"/>
    <mergeCell ref="B13:B20"/>
    <mergeCell ref="B21:B24"/>
    <mergeCell ref="C13:C15"/>
    <mergeCell ref="C16:C18"/>
    <mergeCell ref="A5:B9"/>
  </mergeCells>
  <pageMargins left="0.75" right="0.75" top="1" bottom="1" header="0.5" footer="0.5"/>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25" workbookViewId="0">
      <selection activeCell="P10" sqref="P10"/>
    </sheetView>
  </sheetViews>
  <sheetFormatPr defaultColWidth="9" defaultRowHeight="14.25"/>
  <sheetData>
    <row r="1" ht="20.25" spans="1:9">
      <c r="A1" s="3" t="s">
        <v>0</v>
      </c>
      <c r="B1" s="3"/>
      <c r="C1" s="3"/>
      <c r="D1" s="3"/>
      <c r="E1" s="3"/>
      <c r="F1" s="3"/>
      <c r="G1" s="3"/>
      <c r="H1" s="3"/>
      <c r="I1" s="3"/>
    </row>
    <row r="2" spans="1:9">
      <c r="A2" s="4" t="s">
        <v>155</v>
      </c>
      <c r="B2" s="4"/>
      <c r="C2" s="4"/>
      <c r="D2" s="4"/>
      <c r="E2" s="4"/>
      <c r="F2" s="4"/>
      <c r="G2" s="4"/>
      <c r="H2" s="4"/>
      <c r="I2" s="4"/>
    </row>
    <row r="3" ht="30" customHeight="1" spans="1:9">
      <c r="A3" s="5" t="s">
        <v>2</v>
      </c>
      <c r="B3" s="5"/>
      <c r="C3" s="5" t="s">
        <v>409</v>
      </c>
      <c r="D3" s="5"/>
      <c r="E3" s="5"/>
      <c r="F3" s="5"/>
      <c r="G3" s="5"/>
      <c r="H3" s="5"/>
      <c r="I3" s="5"/>
    </row>
    <row r="4" ht="30" customHeight="1" spans="1:9">
      <c r="A4" s="6" t="s">
        <v>4</v>
      </c>
      <c r="B4" s="7"/>
      <c r="C4" s="5" t="s">
        <v>5</v>
      </c>
      <c r="D4" s="5"/>
      <c r="E4" s="5"/>
      <c r="F4" s="5" t="s">
        <v>6</v>
      </c>
      <c r="G4" s="6" t="s">
        <v>5</v>
      </c>
      <c r="H4" s="7"/>
      <c r="I4" s="16"/>
    </row>
    <row r="5" ht="28.5" spans="1:9">
      <c r="A5" s="8" t="s">
        <v>7</v>
      </c>
      <c r="B5" s="9"/>
      <c r="C5" s="5"/>
      <c r="D5" s="5" t="s">
        <v>8</v>
      </c>
      <c r="E5" s="5" t="s">
        <v>9</v>
      </c>
      <c r="F5" s="5" t="s">
        <v>10</v>
      </c>
      <c r="G5" s="5" t="s">
        <v>11</v>
      </c>
      <c r="H5" s="5" t="s">
        <v>12</v>
      </c>
      <c r="I5" s="5" t="s">
        <v>13</v>
      </c>
    </row>
    <row r="6" ht="28.5" spans="1:9">
      <c r="A6" s="10"/>
      <c r="B6" s="11"/>
      <c r="C6" s="5" t="s">
        <v>14</v>
      </c>
      <c r="D6" s="5">
        <v>3000</v>
      </c>
      <c r="E6" s="5">
        <f>D6</f>
        <v>3000</v>
      </c>
      <c r="F6" s="39">
        <v>2951.55</v>
      </c>
      <c r="G6" s="5">
        <v>10</v>
      </c>
      <c r="H6" s="12">
        <f>F6/E6</f>
        <v>0.98385</v>
      </c>
      <c r="I6" s="28">
        <f>G6*H6</f>
        <v>9.8385</v>
      </c>
    </row>
    <row r="7" ht="42.75" spans="1:9">
      <c r="A7" s="10"/>
      <c r="B7" s="11"/>
      <c r="C7" s="5" t="s">
        <v>15</v>
      </c>
      <c r="D7" s="5">
        <f>D6</f>
        <v>3000</v>
      </c>
      <c r="E7" s="5">
        <f>D6</f>
        <v>3000</v>
      </c>
      <c r="F7" s="5">
        <f>F6</f>
        <v>2951.55</v>
      </c>
      <c r="G7" s="5" t="s">
        <v>16</v>
      </c>
      <c r="H7" s="12">
        <f>F7/E7</f>
        <v>0.98385</v>
      </c>
      <c r="I7" s="5" t="s">
        <v>16</v>
      </c>
    </row>
    <row r="8" ht="28.5" spans="1:9">
      <c r="A8" s="10"/>
      <c r="B8" s="11"/>
      <c r="C8" s="5" t="s">
        <v>17</v>
      </c>
      <c r="D8" s="5"/>
      <c r="E8" s="5"/>
      <c r="F8" s="5"/>
      <c r="G8" s="5" t="s">
        <v>16</v>
      </c>
      <c r="H8" s="5"/>
      <c r="I8" s="5" t="s">
        <v>16</v>
      </c>
    </row>
    <row r="9" spans="1:9">
      <c r="A9" s="13"/>
      <c r="B9" s="14"/>
      <c r="C9" s="5" t="s">
        <v>18</v>
      </c>
      <c r="D9" s="5"/>
      <c r="E9" s="5"/>
      <c r="F9" s="5"/>
      <c r="G9" s="5" t="s">
        <v>16</v>
      </c>
      <c r="H9" s="5"/>
      <c r="I9" s="5" t="s">
        <v>16</v>
      </c>
    </row>
    <row r="10" spans="1:9">
      <c r="A10" s="15" t="s">
        <v>19</v>
      </c>
      <c r="B10" s="6" t="s">
        <v>20</v>
      </c>
      <c r="C10" s="7"/>
      <c r="D10" s="7"/>
      <c r="E10" s="16"/>
      <c r="F10" s="6" t="s">
        <v>21</v>
      </c>
      <c r="G10" s="7"/>
      <c r="H10" s="7"/>
      <c r="I10" s="16"/>
    </row>
    <row r="11" spans="1:9">
      <c r="A11" s="17"/>
      <c r="B11" s="6" t="s">
        <v>410</v>
      </c>
      <c r="C11" s="7"/>
      <c r="D11" s="7"/>
      <c r="E11" s="16"/>
      <c r="F11" s="6" t="s">
        <v>411</v>
      </c>
      <c r="G11" s="7"/>
      <c r="H11" s="7"/>
      <c r="I11" s="16"/>
    </row>
    <row r="12" ht="42.75" spans="1:9">
      <c r="A12" s="15" t="s">
        <v>24</v>
      </c>
      <c r="B12" s="5" t="s">
        <v>25</v>
      </c>
      <c r="C12" s="5" t="s">
        <v>26</v>
      </c>
      <c r="D12" s="5" t="s">
        <v>27</v>
      </c>
      <c r="E12" s="5" t="s">
        <v>28</v>
      </c>
      <c r="F12" s="5" t="s">
        <v>29</v>
      </c>
      <c r="G12" s="5" t="s">
        <v>11</v>
      </c>
      <c r="H12" s="5" t="s">
        <v>13</v>
      </c>
      <c r="I12" s="5" t="s">
        <v>30</v>
      </c>
    </row>
    <row r="13" ht="27" spans="1:9">
      <c r="A13" s="18"/>
      <c r="B13" s="15" t="s">
        <v>31</v>
      </c>
      <c r="C13" s="15" t="s">
        <v>32</v>
      </c>
      <c r="D13" s="40" t="s">
        <v>412</v>
      </c>
      <c r="E13" s="21" t="s">
        <v>413</v>
      </c>
      <c r="F13" s="41" t="s">
        <v>414</v>
      </c>
      <c r="G13" s="5">
        <v>12.5</v>
      </c>
      <c r="H13" s="5">
        <v>12.5</v>
      </c>
      <c r="I13" s="5"/>
    </row>
    <row r="14" ht="24" spans="1:9">
      <c r="A14" s="18"/>
      <c r="B14" s="18"/>
      <c r="C14" s="15" t="s">
        <v>36</v>
      </c>
      <c r="D14" s="22" t="s">
        <v>415</v>
      </c>
      <c r="E14" s="21">
        <v>1</v>
      </c>
      <c r="F14" s="21">
        <v>1</v>
      </c>
      <c r="G14" s="5">
        <v>12.5</v>
      </c>
      <c r="H14" s="5">
        <v>12.5</v>
      </c>
      <c r="I14" s="5"/>
    </row>
    <row r="15" ht="28.5" spans="1:9">
      <c r="A15" s="18"/>
      <c r="B15" s="18"/>
      <c r="C15" s="15" t="s">
        <v>39</v>
      </c>
      <c r="D15" s="5" t="s">
        <v>40</v>
      </c>
      <c r="E15" s="22" t="s">
        <v>41</v>
      </c>
      <c r="F15" s="23" t="s">
        <v>41</v>
      </c>
      <c r="G15" s="5">
        <v>12.5</v>
      </c>
      <c r="H15" s="5">
        <v>12.5</v>
      </c>
      <c r="I15" s="5"/>
    </row>
    <row r="16" ht="28.5" spans="1:9">
      <c r="A16" s="18"/>
      <c r="B16" s="18"/>
      <c r="C16" s="15" t="s">
        <v>42</v>
      </c>
      <c r="D16" s="5" t="s">
        <v>240</v>
      </c>
      <c r="E16" s="24" t="s">
        <v>416</v>
      </c>
      <c r="F16" s="12" t="s">
        <v>417</v>
      </c>
      <c r="G16" s="5">
        <v>12.5</v>
      </c>
      <c r="H16" s="5">
        <v>12.5</v>
      </c>
      <c r="I16" s="5"/>
    </row>
    <row r="17" ht="28.5" spans="1:9">
      <c r="A17" s="18"/>
      <c r="B17" s="15" t="s">
        <v>45</v>
      </c>
      <c r="C17" s="15" t="s">
        <v>46</v>
      </c>
      <c r="D17" s="5" t="s">
        <v>162</v>
      </c>
      <c r="E17" s="5" t="s">
        <v>162</v>
      </c>
      <c r="F17" s="5" t="s">
        <v>162</v>
      </c>
      <c r="G17" s="5" t="s">
        <v>162</v>
      </c>
      <c r="H17" s="5" t="s">
        <v>162</v>
      </c>
      <c r="I17" s="5"/>
    </row>
    <row r="18" ht="57" spans="1:9">
      <c r="A18" s="18"/>
      <c r="B18" s="18"/>
      <c r="C18" s="15" t="s">
        <v>47</v>
      </c>
      <c r="D18" s="5" t="s">
        <v>359</v>
      </c>
      <c r="E18" s="32" t="s">
        <v>373</v>
      </c>
      <c r="F18" s="23" t="s">
        <v>408</v>
      </c>
      <c r="G18" s="5">
        <v>30</v>
      </c>
      <c r="H18" s="5">
        <v>30</v>
      </c>
      <c r="I18" s="5"/>
    </row>
    <row r="19" ht="28.5" spans="1:9">
      <c r="A19" s="18"/>
      <c r="B19" s="18"/>
      <c r="C19" s="15" t="s">
        <v>50</v>
      </c>
      <c r="D19" s="5" t="s">
        <v>162</v>
      </c>
      <c r="E19" s="5" t="s">
        <v>162</v>
      </c>
      <c r="F19" s="5" t="s">
        <v>162</v>
      </c>
      <c r="G19" s="5" t="s">
        <v>162</v>
      </c>
      <c r="H19" s="5" t="s">
        <v>162</v>
      </c>
      <c r="I19" s="5"/>
    </row>
    <row r="20" ht="28.5" spans="1:9">
      <c r="A20" s="18"/>
      <c r="B20" s="18"/>
      <c r="C20" s="15" t="s">
        <v>51</v>
      </c>
      <c r="D20" s="5" t="s">
        <v>162</v>
      </c>
      <c r="E20" s="5" t="s">
        <v>162</v>
      </c>
      <c r="F20" s="5" t="s">
        <v>162</v>
      </c>
      <c r="G20" s="5" t="s">
        <v>162</v>
      </c>
      <c r="H20" s="5" t="s">
        <v>162</v>
      </c>
      <c r="I20" s="5"/>
    </row>
    <row r="21" ht="42.75" spans="1:9">
      <c r="A21" s="18"/>
      <c r="B21" s="15" t="s">
        <v>52</v>
      </c>
      <c r="C21" s="15" t="s">
        <v>53</v>
      </c>
      <c r="D21" s="5" t="s">
        <v>362</v>
      </c>
      <c r="E21" s="26" t="s">
        <v>169</v>
      </c>
      <c r="F21" s="27">
        <v>0.95</v>
      </c>
      <c r="G21" s="5">
        <v>10</v>
      </c>
      <c r="H21" s="5">
        <v>10</v>
      </c>
      <c r="I21" s="5"/>
    </row>
    <row r="22" ht="28.5" spans="1:9">
      <c r="A22" s="5" t="s">
        <v>56</v>
      </c>
      <c r="B22" s="5"/>
      <c r="C22" s="5"/>
      <c r="D22" s="5"/>
      <c r="E22" s="5"/>
      <c r="F22" s="5"/>
      <c r="G22" s="5">
        <f>SUM(G13:G21)+G6</f>
        <v>100</v>
      </c>
      <c r="H22" s="28">
        <f>SUM(H13:H21)+I6</f>
        <v>99.8385</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13" workbookViewId="0">
      <selection activeCell="A23" sqref="$A23:$XFD23"/>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418</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4</v>
      </c>
      <c r="E6" s="5">
        <f>D6</f>
        <v>4</v>
      </c>
      <c r="F6" s="5">
        <v>1.99</v>
      </c>
      <c r="G6" s="5">
        <v>10</v>
      </c>
      <c r="H6" s="12">
        <f>F6/E6</f>
        <v>0.4975</v>
      </c>
      <c r="I6" s="28">
        <f>G6*H6</f>
        <v>4.975</v>
      </c>
    </row>
    <row r="7" s="2" customFormat="1" ht="34.5" customHeight="1" spans="1:9">
      <c r="A7" s="10"/>
      <c r="B7" s="11"/>
      <c r="C7" s="5" t="s">
        <v>15</v>
      </c>
      <c r="D7" s="5">
        <f>D6</f>
        <v>4</v>
      </c>
      <c r="E7" s="5">
        <f>D6</f>
        <v>4</v>
      </c>
      <c r="F7" s="5">
        <f>F6</f>
        <v>1.99</v>
      </c>
      <c r="G7" s="5" t="s">
        <v>16</v>
      </c>
      <c r="H7" s="12">
        <f>F7/E7</f>
        <v>0.4975</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419</v>
      </c>
      <c r="C11" s="7"/>
      <c r="D11" s="7"/>
      <c r="E11" s="16"/>
      <c r="F11" s="6" t="s">
        <v>420</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421</v>
      </c>
      <c r="E13" s="21" t="s">
        <v>422</v>
      </c>
      <c r="F13" s="38" t="s">
        <v>423</v>
      </c>
      <c r="G13" s="5">
        <v>12.5</v>
      </c>
      <c r="H13" s="5">
        <v>12.5</v>
      </c>
      <c r="I13" s="5"/>
    </row>
    <row r="14" s="2" customFormat="1" ht="31.5" customHeight="1" spans="1:9">
      <c r="A14" s="18"/>
      <c r="B14" s="18"/>
      <c r="C14" s="15" t="s">
        <v>36</v>
      </c>
      <c r="D14" s="19" t="s">
        <v>354</v>
      </c>
      <c r="E14" s="31" t="s">
        <v>424</v>
      </c>
      <c r="F14" s="21" t="s">
        <v>424</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425</v>
      </c>
      <c r="F16" s="12" t="s">
        <v>426</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359</v>
      </c>
      <c r="E18" s="32" t="s">
        <v>427</v>
      </c>
      <c r="F18" s="23" t="s">
        <v>428</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94.975</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12" workbookViewId="0">
      <selection activeCell="L11" sqref="L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429</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150</v>
      </c>
      <c r="E6" s="5">
        <f>D6</f>
        <v>150</v>
      </c>
      <c r="F6" s="5">
        <v>150</v>
      </c>
      <c r="G6" s="5">
        <v>10</v>
      </c>
      <c r="H6" s="12">
        <f>F6/E6</f>
        <v>1</v>
      </c>
      <c r="I6" s="28">
        <f>G6*H6</f>
        <v>10</v>
      </c>
    </row>
    <row r="7" s="2" customFormat="1" ht="34.5" customHeight="1" spans="1:9">
      <c r="A7" s="10"/>
      <c r="B7" s="11"/>
      <c r="C7" s="5" t="s">
        <v>15</v>
      </c>
      <c r="D7" s="5">
        <f>D6</f>
        <v>150</v>
      </c>
      <c r="E7" s="5">
        <f>D6</f>
        <v>150</v>
      </c>
      <c r="F7" s="5">
        <f>F6</f>
        <v>150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430</v>
      </c>
      <c r="C11" s="7"/>
      <c r="D11" s="7"/>
      <c r="E11" s="16"/>
      <c r="F11" s="6" t="s">
        <v>431</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432</v>
      </c>
      <c r="E13" s="21" t="s">
        <v>433</v>
      </c>
      <c r="F13" s="21" t="s">
        <v>434</v>
      </c>
      <c r="G13" s="5">
        <v>12.5</v>
      </c>
      <c r="H13" s="5">
        <v>12.5</v>
      </c>
      <c r="I13" s="5"/>
    </row>
    <row r="14" s="2" customFormat="1" ht="31.5" customHeight="1" spans="1:9">
      <c r="A14" s="18"/>
      <c r="B14" s="18"/>
      <c r="C14" s="15" t="s">
        <v>36</v>
      </c>
      <c r="D14" s="19" t="s">
        <v>435</v>
      </c>
      <c r="E14" s="21">
        <v>1</v>
      </c>
      <c r="F14" s="21">
        <v>1</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436</v>
      </c>
      <c r="F16" s="27" t="s">
        <v>437</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438</v>
      </c>
      <c r="E18" s="32" t="s">
        <v>439</v>
      </c>
      <c r="F18" s="23" t="s">
        <v>440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12" workbookViewId="0">
      <selection activeCell="L12" sqref="L12"/>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441</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120</v>
      </c>
      <c r="E6" s="5">
        <f>D6</f>
        <v>120</v>
      </c>
      <c r="F6" s="5">
        <v>81.26</v>
      </c>
      <c r="G6" s="5">
        <v>10</v>
      </c>
      <c r="H6" s="12">
        <f>F6/E6</f>
        <v>0.677166666666667</v>
      </c>
      <c r="I6" s="28">
        <f>G6*H6</f>
        <v>6.77166666666667</v>
      </c>
    </row>
    <row r="7" s="2" customFormat="1" ht="34.5" customHeight="1" spans="1:9">
      <c r="A7" s="10"/>
      <c r="B7" s="11"/>
      <c r="C7" s="5" t="s">
        <v>15</v>
      </c>
      <c r="D7" s="5">
        <f>D6</f>
        <v>120</v>
      </c>
      <c r="E7" s="5">
        <f>D6</f>
        <v>120</v>
      </c>
      <c r="F7" s="5">
        <f>F6</f>
        <v>81.26</v>
      </c>
      <c r="G7" s="5" t="s">
        <v>16</v>
      </c>
      <c r="H7" s="12">
        <f>F7/E7</f>
        <v>0.677166666666667</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442</v>
      </c>
      <c r="C11" s="7"/>
      <c r="D11" s="7"/>
      <c r="E11" s="16"/>
      <c r="F11" s="6" t="s">
        <v>443</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444</v>
      </c>
      <c r="E13" s="21" t="s">
        <v>445</v>
      </c>
      <c r="F13" s="38" t="s">
        <v>446</v>
      </c>
      <c r="G13" s="5">
        <v>12.5</v>
      </c>
      <c r="H13" s="5">
        <v>12.5</v>
      </c>
      <c r="I13" s="5"/>
    </row>
    <row r="14" s="2" customFormat="1" ht="31.5" customHeight="1" spans="1:9">
      <c r="A14" s="18"/>
      <c r="B14" s="18"/>
      <c r="C14" s="15" t="s">
        <v>36</v>
      </c>
      <c r="D14" s="19" t="s">
        <v>447</v>
      </c>
      <c r="E14" s="21" t="s">
        <v>448</v>
      </c>
      <c r="F14" s="21">
        <v>1</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449</v>
      </c>
      <c r="F16" s="27" t="s">
        <v>450</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451</v>
      </c>
      <c r="E18" s="32" t="s">
        <v>452</v>
      </c>
      <c r="F18" s="23" t="s">
        <v>452</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453</v>
      </c>
      <c r="E21" s="26" t="s">
        <v>169</v>
      </c>
      <c r="F21" s="27">
        <v>0.95</v>
      </c>
      <c r="G21" s="5">
        <v>10</v>
      </c>
      <c r="H21" s="5">
        <v>10</v>
      </c>
      <c r="I21" s="5"/>
    </row>
    <row r="22" s="2" customFormat="1" customHeight="1" spans="1:9">
      <c r="A22" s="5" t="s">
        <v>56</v>
      </c>
      <c r="B22" s="5"/>
      <c r="C22" s="5"/>
      <c r="D22" s="5"/>
      <c r="E22" s="5"/>
      <c r="F22" s="5"/>
      <c r="G22" s="5">
        <f>SUM(G13:G21)+G6</f>
        <v>100</v>
      </c>
      <c r="H22" s="28">
        <f>SUM(H13:H21)+I6</f>
        <v>96.7716666666667</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12" workbookViewId="0">
      <selection activeCell="L10" sqref="L10"/>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454</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600</v>
      </c>
      <c r="E6" s="5">
        <f>D6</f>
        <v>600</v>
      </c>
      <c r="F6" s="5">
        <v>562.5</v>
      </c>
      <c r="G6" s="5">
        <v>10</v>
      </c>
      <c r="H6" s="12">
        <f>F6/E6</f>
        <v>0.9375</v>
      </c>
      <c r="I6" s="28">
        <f>G6*H6</f>
        <v>9.375</v>
      </c>
    </row>
    <row r="7" s="2" customFormat="1" ht="34.5" customHeight="1" spans="1:9">
      <c r="A7" s="10"/>
      <c r="B7" s="11"/>
      <c r="C7" s="5" t="s">
        <v>15</v>
      </c>
      <c r="D7" s="5">
        <f>D6</f>
        <v>600</v>
      </c>
      <c r="E7" s="5">
        <f>D6</f>
        <v>600</v>
      </c>
      <c r="F7" s="5">
        <f>F6</f>
        <v>562.5</v>
      </c>
      <c r="G7" s="5" t="s">
        <v>16</v>
      </c>
      <c r="H7" s="12">
        <f>F7/E7</f>
        <v>0.9375</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455</v>
      </c>
      <c r="C11" s="7"/>
      <c r="D11" s="7"/>
      <c r="E11" s="16"/>
      <c r="F11" s="6" t="s">
        <v>456</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457</v>
      </c>
      <c r="E13" s="21" t="s">
        <v>458</v>
      </c>
      <c r="F13" s="21" t="s">
        <v>459</v>
      </c>
      <c r="G13" s="5">
        <v>12.5</v>
      </c>
      <c r="H13" s="5">
        <v>12.5</v>
      </c>
      <c r="I13" s="5"/>
    </row>
    <row r="14" s="2" customFormat="1" ht="31.5" customHeight="1" spans="1:9">
      <c r="A14" s="18"/>
      <c r="B14" s="18"/>
      <c r="C14" s="15" t="s">
        <v>36</v>
      </c>
      <c r="D14" s="19" t="s">
        <v>435</v>
      </c>
      <c r="E14" s="21">
        <v>1</v>
      </c>
      <c r="F14" s="21">
        <v>1</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460</v>
      </c>
      <c r="F16" s="12" t="s">
        <v>461</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438</v>
      </c>
      <c r="E18" s="32" t="s">
        <v>439</v>
      </c>
      <c r="F18" s="23" t="s">
        <v>440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99.375</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11" workbookViewId="0">
      <selection activeCell="L20" sqref="L20"/>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462</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30</v>
      </c>
      <c r="E6" s="5">
        <f>D6</f>
        <v>30</v>
      </c>
      <c r="F6" s="5">
        <v>0</v>
      </c>
      <c r="G6" s="5">
        <v>10</v>
      </c>
      <c r="H6" s="12">
        <f>F6/E6</f>
        <v>0</v>
      </c>
      <c r="I6" s="28">
        <f>G6*H6</f>
        <v>0</v>
      </c>
    </row>
    <row r="7" s="2" customFormat="1" ht="34.5" customHeight="1" spans="1:9">
      <c r="A7" s="10"/>
      <c r="B7" s="11"/>
      <c r="C7" s="5" t="s">
        <v>15</v>
      </c>
      <c r="D7" s="5">
        <f>D6</f>
        <v>30</v>
      </c>
      <c r="E7" s="5">
        <f>D6</f>
        <v>30</v>
      </c>
      <c r="F7" s="5">
        <f>F6</f>
        <v>0</v>
      </c>
      <c r="G7" s="5" t="s">
        <v>16</v>
      </c>
      <c r="H7" s="12">
        <f>F7/E7</f>
        <v>0</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463</v>
      </c>
      <c r="C11" s="7"/>
      <c r="D11" s="7"/>
      <c r="E11" s="16"/>
      <c r="F11" s="6" t="s">
        <v>464</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43.5" customHeight="1" spans="1:9">
      <c r="A13" s="18"/>
      <c r="B13" s="15" t="s">
        <v>31</v>
      </c>
      <c r="C13" s="15" t="s">
        <v>32</v>
      </c>
      <c r="D13" s="19" t="s">
        <v>465</v>
      </c>
      <c r="E13" s="26" t="s">
        <v>466</v>
      </c>
      <c r="F13" s="26" t="s">
        <v>467</v>
      </c>
      <c r="G13" s="5">
        <v>12.5</v>
      </c>
      <c r="H13" s="5">
        <v>8</v>
      </c>
      <c r="I13" s="32" t="s">
        <v>468</v>
      </c>
    </row>
    <row r="14" s="2" customFormat="1" ht="41.25" customHeight="1" spans="1:9">
      <c r="A14" s="18"/>
      <c r="B14" s="18"/>
      <c r="C14" s="15" t="s">
        <v>36</v>
      </c>
      <c r="D14" s="19" t="s">
        <v>469</v>
      </c>
      <c r="E14" s="26" t="s">
        <v>470</v>
      </c>
      <c r="F14" s="26" t="s">
        <v>471</v>
      </c>
      <c r="G14" s="5">
        <v>12.5</v>
      </c>
      <c r="H14" s="5">
        <v>8</v>
      </c>
      <c r="I14" s="32" t="s">
        <v>468</v>
      </c>
    </row>
    <row r="15" s="2" customFormat="1" ht="31.5" customHeight="1" spans="1:9">
      <c r="A15" s="18"/>
      <c r="B15" s="18"/>
      <c r="C15" s="15" t="s">
        <v>39</v>
      </c>
      <c r="D15" s="5" t="s">
        <v>40</v>
      </c>
      <c r="E15" s="22" t="s">
        <v>41</v>
      </c>
      <c r="F15" s="23" t="s">
        <v>41</v>
      </c>
      <c r="G15" s="5">
        <v>12.5</v>
      </c>
      <c r="H15" s="5">
        <v>12.5</v>
      </c>
      <c r="I15" s="5"/>
    </row>
    <row r="16" s="2" customFormat="1" ht="44" customHeight="1" spans="1:9">
      <c r="A16" s="18"/>
      <c r="B16" s="18"/>
      <c r="C16" s="15" t="s">
        <v>42</v>
      </c>
      <c r="D16" s="5" t="s">
        <v>240</v>
      </c>
      <c r="E16" s="24" t="s">
        <v>472</v>
      </c>
      <c r="F16" s="27" t="s">
        <v>473</v>
      </c>
      <c r="G16" s="5">
        <v>12.5</v>
      </c>
      <c r="H16" s="5">
        <v>12.5</v>
      </c>
      <c r="I16" s="32" t="s">
        <v>468</v>
      </c>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474</v>
      </c>
      <c r="E18" s="32" t="s">
        <v>439</v>
      </c>
      <c r="F18" s="23" t="s">
        <v>440</v>
      </c>
      <c r="G18" s="5">
        <v>30</v>
      </c>
      <c r="H18" s="5">
        <v>25</v>
      </c>
      <c r="I18" s="32" t="s">
        <v>468</v>
      </c>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76</v>
      </c>
      <c r="I22" s="5" t="s">
        <v>475</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M10" sqref="M10"/>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476</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60</v>
      </c>
      <c r="E6" s="5">
        <f>D6</f>
        <v>60</v>
      </c>
      <c r="F6" s="5">
        <v>46.12</v>
      </c>
      <c r="G6" s="5">
        <v>10</v>
      </c>
      <c r="H6" s="12">
        <f>F6/E6</f>
        <v>0.768666666666667</v>
      </c>
      <c r="I6" s="28">
        <f>G6*H6</f>
        <v>7.68666666666667</v>
      </c>
    </row>
    <row r="7" s="2" customFormat="1" ht="34.5" customHeight="1" spans="1:9">
      <c r="A7" s="10"/>
      <c r="B7" s="11"/>
      <c r="C7" s="5" t="s">
        <v>15</v>
      </c>
      <c r="D7" s="5">
        <f>D6</f>
        <v>60</v>
      </c>
      <c r="E7" s="5">
        <f>D6</f>
        <v>60</v>
      </c>
      <c r="F7" s="5">
        <f>F6</f>
        <v>46.12</v>
      </c>
      <c r="G7" s="5" t="s">
        <v>16</v>
      </c>
      <c r="H7" s="12">
        <f>F7/E7</f>
        <v>0.768666666666667</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477</v>
      </c>
      <c r="C11" s="7"/>
      <c r="D11" s="7"/>
      <c r="E11" s="16"/>
      <c r="F11" s="6" t="s">
        <v>478</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457</v>
      </c>
      <c r="E13" s="21" t="s">
        <v>458</v>
      </c>
      <c r="F13" s="21" t="s">
        <v>459</v>
      </c>
      <c r="G13" s="5">
        <v>12.5</v>
      </c>
      <c r="H13" s="5">
        <v>12.5</v>
      </c>
      <c r="I13" s="5"/>
    </row>
    <row r="14" s="2" customFormat="1" ht="31.5" customHeight="1" spans="1:9">
      <c r="A14" s="18"/>
      <c r="B14" s="18"/>
      <c r="C14" s="15" t="s">
        <v>36</v>
      </c>
      <c r="D14" s="19" t="s">
        <v>435</v>
      </c>
      <c r="E14" s="26">
        <v>1</v>
      </c>
      <c r="F14" s="26">
        <v>1</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479</v>
      </c>
      <c r="F16" s="12" t="s">
        <v>480</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438</v>
      </c>
      <c r="E18" s="32" t="s">
        <v>439</v>
      </c>
      <c r="F18" s="23" t="s">
        <v>440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97.6866666666667</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N10" sqref="N10"/>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481</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40</v>
      </c>
      <c r="E6" s="5">
        <f>D6</f>
        <v>40</v>
      </c>
      <c r="F6" s="5">
        <v>29.97</v>
      </c>
      <c r="G6" s="5">
        <v>10</v>
      </c>
      <c r="H6" s="12">
        <f>F6/E6</f>
        <v>0.74925</v>
      </c>
      <c r="I6" s="28">
        <f>G6*H6</f>
        <v>7.4925</v>
      </c>
    </row>
    <row r="7" s="2" customFormat="1" ht="34.5" customHeight="1" spans="1:9">
      <c r="A7" s="10"/>
      <c r="B7" s="11"/>
      <c r="C7" s="5" t="s">
        <v>15</v>
      </c>
      <c r="D7" s="5">
        <f>D6</f>
        <v>40</v>
      </c>
      <c r="E7" s="5">
        <f>D6</f>
        <v>40</v>
      </c>
      <c r="F7" s="5">
        <f>F6</f>
        <v>29.97</v>
      </c>
      <c r="G7" s="5" t="s">
        <v>16</v>
      </c>
      <c r="H7" s="12">
        <f>F7/E7</f>
        <v>0.74925</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482</v>
      </c>
      <c r="C11" s="7"/>
      <c r="D11" s="7"/>
      <c r="E11" s="16"/>
      <c r="F11" s="6" t="s">
        <v>482</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483</v>
      </c>
      <c r="E13" s="26" t="s">
        <v>484</v>
      </c>
      <c r="F13" s="26" t="s">
        <v>485</v>
      </c>
      <c r="G13" s="5">
        <v>12.5</v>
      </c>
      <c r="H13" s="5">
        <v>12.5</v>
      </c>
      <c r="I13" s="5"/>
    </row>
    <row r="14" s="2" customFormat="1" ht="31.5" customHeight="1" spans="1:9">
      <c r="A14" s="18"/>
      <c r="B14" s="18"/>
      <c r="C14" s="15" t="s">
        <v>36</v>
      </c>
      <c r="D14" s="19" t="s">
        <v>486</v>
      </c>
      <c r="E14" s="26" t="s">
        <v>470</v>
      </c>
      <c r="F14" s="26" t="s">
        <v>470</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487</v>
      </c>
      <c r="F16" s="27" t="s">
        <v>488</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489</v>
      </c>
      <c r="E18" s="32" t="s">
        <v>490</v>
      </c>
      <c r="F18" s="23" t="s">
        <v>490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97.4925</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K11" sqref="K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491</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10</v>
      </c>
      <c r="E6" s="5">
        <f>D6</f>
        <v>10</v>
      </c>
      <c r="F6" s="5">
        <v>0</v>
      </c>
      <c r="G6" s="5">
        <v>10</v>
      </c>
      <c r="H6" s="12">
        <f>F6/E6</f>
        <v>0</v>
      </c>
      <c r="I6" s="28">
        <f>G6*H6</f>
        <v>0</v>
      </c>
    </row>
    <row r="7" s="2" customFormat="1" ht="34.5" customHeight="1" spans="1:9">
      <c r="A7" s="10"/>
      <c r="B7" s="11"/>
      <c r="C7" s="5" t="s">
        <v>15</v>
      </c>
      <c r="D7" s="5">
        <f>D6</f>
        <v>10</v>
      </c>
      <c r="E7" s="5">
        <f>D6</f>
        <v>10</v>
      </c>
      <c r="F7" s="5">
        <f>F6</f>
        <v>0</v>
      </c>
      <c r="G7" s="5" t="s">
        <v>16</v>
      </c>
      <c r="H7" s="12">
        <f>F7/E7</f>
        <v>0</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492</v>
      </c>
      <c r="C11" s="7"/>
      <c r="D11" s="7"/>
      <c r="E11" s="16"/>
      <c r="F11" s="6" t="s">
        <v>493</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24" t="s">
        <v>494</v>
      </c>
      <c r="E13" s="24" t="s">
        <v>495</v>
      </c>
      <c r="F13" s="24" t="s">
        <v>496</v>
      </c>
      <c r="G13" s="5">
        <v>12.5</v>
      </c>
      <c r="H13" s="5">
        <v>12.5</v>
      </c>
      <c r="I13" s="5"/>
    </row>
    <row r="14" s="2" customFormat="1" ht="31.5" customHeight="1" spans="1:9">
      <c r="A14" s="18"/>
      <c r="B14" s="18"/>
      <c r="C14" s="15" t="s">
        <v>36</v>
      </c>
      <c r="D14" s="24" t="s">
        <v>497</v>
      </c>
      <c r="E14" s="26">
        <v>0</v>
      </c>
      <c r="F14" s="26">
        <v>0</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498</v>
      </c>
      <c r="F16" s="27" t="s">
        <v>473</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499</v>
      </c>
      <c r="E18" s="32" t="s">
        <v>500</v>
      </c>
      <c r="F18" s="23" t="s">
        <v>439</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M11" sqref="M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501</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35</v>
      </c>
      <c r="E6" s="5">
        <f>D6</f>
        <v>35</v>
      </c>
      <c r="F6" s="5">
        <v>29.52</v>
      </c>
      <c r="G6" s="5">
        <v>10</v>
      </c>
      <c r="H6" s="12">
        <f>F6/E6</f>
        <v>0.843428571428571</v>
      </c>
      <c r="I6" s="28">
        <f>G6*H6</f>
        <v>8.43428571428571</v>
      </c>
    </row>
    <row r="7" s="2" customFormat="1" ht="34.5" customHeight="1" spans="1:9">
      <c r="A7" s="10"/>
      <c r="B7" s="11"/>
      <c r="C7" s="5" t="s">
        <v>15</v>
      </c>
      <c r="D7" s="5">
        <f>D6</f>
        <v>35</v>
      </c>
      <c r="E7" s="5">
        <f>D6</f>
        <v>35</v>
      </c>
      <c r="F7" s="5">
        <f>F6</f>
        <v>29.52</v>
      </c>
      <c r="G7" s="5" t="s">
        <v>16</v>
      </c>
      <c r="H7" s="12">
        <f>F7/E7</f>
        <v>0.843428571428571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502</v>
      </c>
      <c r="C11" s="7"/>
      <c r="D11" s="7"/>
      <c r="E11" s="16"/>
      <c r="F11" s="6" t="s">
        <v>503</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7" customHeight="1" spans="1:9">
      <c r="A13" s="18"/>
      <c r="B13" s="15" t="s">
        <v>31</v>
      </c>
      <c r="C13" s="15" t="s">
        <v>32</v>
      </c>
      <c r="D13" s="22" t="s">
        <v>504</v>
      </c>
      <c r="E13" s="22" t="s">
        <v>505</v>
      </c>
      <c r="F13" s="24" t="s">
        <v>505</v>
      </c>
      <c r="G13" s="5">
        <v>12.5</v>
      </c>
      <c r="H13" s="5">
        <v>12.5</v>
      </c>
      <c r="I13" s="5"/>
    </row>
    <row r="14" s="2" customFormat="1" ht="31.5" customHeight="1" spans="1:9">
      <c r="A14" s="18"/>
      <c r="B14" s="18"/>
      <c r="C14" s="15" t="s">
        <v>36</v>
      </c>
      <c r="D14" s="22" t="s">
        <v>506</v>
      </c>
      <c r="E14" s="22" t="s">
        <v>507</v>
      </c>
      <c r="F14" s="26">
        <v>1</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508</v>
      </c>
      <c r="F16" s="27" t="s">
        <v>509</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510</v>
      </c>
      <c r="E18" s="32" t="s">
        <v>511</v>
      </c>
      <c r="F18" s="23" t="s">
        <v>512</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1.5" customHeight="1" spans="1:9">
      <c r="A21" s="18"/>
      <c r="B21" s="5" t="s">
        <v>52</v>
      </c>
      <c r="C21" s="15" t="s">
        <v>53</v>
      </c>
      <c r="D21" s="5" t="s">
        <v>453</v>
      </c>
      <c r="E21" s="26" t="s">
        <v>169</v>
      </c>
      <c r="F21" s="27">
        <v>0.95</v>
      </c>
      <c r="G21" s="5">
        <v>5</v>
      </c>
      <c r="H21" s="5">
        <v>5</v>
      </c>
      <c r="I21" s="5"/>
    </row>
    <row r="22" s="2" customFormat="1" ht="37.5" customHeight="1" spans="1:9">
      <c r="A22" s="18"/>
      <c r="B22" s="5"/>
      <c r="C22" s="17"/>
      <c r="D22" s="5" t="s">
        <v>362</v>
      </c>
      <c r="E22" s="26" t="s">
        <v>169</v>
      </c>
      <c r="F22" s="27">
        <v>0.95</v>
      </c>
      <c r="G22" s="5">
        <v>5</v>
      </c>
      <c r="H22" s="5">
        <v>5</v>
      </c>
      <c r="I22" s="5"/>
    </row>
    <row r="23" s="2" customFormat="1" customHeight="1" spans="1:9">
      <c r="A23" s="5" t="s">
        <v>56</v>
      </c>
      <c r="B23" s="5"/>
      <c r="C23" s="5"/>
      <c r="D23" s="5"/>
      <c r="E23" s="5"/>
      <c r="F23" s="5"/>
      <c r="G23" s="5">
        <f>SUM(G13:G22)+G6</f>
        <v>100</v>
      </c>
      <c r="H23" s="28">
        <f>SUM(H13:H22)+I6</f>
        <v>98.4342857142857</v>
      </c>
      <c r="I23" s="5" t="s">
        <v>363</v>
      </c>
    </row>
  </sheetData>
  <mergeCells count="18">
    <mergeCell ref="A1:I1"/>
    <mergeCell ref="A2:I2"/>
    <mergeCell ref="A3:B3"/>
    <mergeCell ref="C3:I3"/>
    <mergeCell ref="A4:B4"/>
    <mergeCell ref="C4:E4"/>
    <mergeCell ref="G4:I4"/>
    <mergeCell ref="B10:E10"/>
    <mergeCell ref="F10:I10"/>
    <mergeCell ref="B11:E11"/>
    <mergeCell ref="F11:I11"/>
    <mergeCell ref="A10:A11"/>
    <mergeCell ref="A12:A22"/>
    <mergeCell ref="B13:B16"/>
    <mergeCell ref="B17:B20"/>
    <mergeCell ref="B21:B22"/>
    <mergeCell ref="C21:C22"/>
    <mergeCell ref="A5:B9"/>
  </mergeCells>
  <pageMargins left="0.75" right="0.75" top="1" bottom="1" header="0.5" footer="0.5"/>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L12" sqref="L12"/>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513</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680</v>
      </c>
      <c r="E6" s="5">
        <f>D6</f>
        <v>680</v>
      </c>
      <c r="F6" s="5">
        <v>627.04</v>
      </c>
      <c r="G6" s="5">
        <v>10</v>
      </c>
      <c r="H6" s="12">
        <f>F6/E6</f>
        <v>0.922117647058823</v>
      </c>
      <c r="I6" s="28">
        <f>G6*H6</f>
        <v>9.22117647058823</v>
      </c>
    </row>
    <row r="7" s="2" customFormat="1" ht="34.5" customHeight="1" spans="1:9">
      <c r="A7" s="10"/>
      <c r="B7" s="11"/>
      <c r="C7" s="5" t="s">
        <v>15</v>
      </c>
      <c r="D7" s="5">
        <f>D6</f>
        <v>680</v>
      </c>
      <c r="E7" s="5">
        <f>D6</f>
        <v>680</v>
      </c>
      <c r="F7" s="5">
        <f>F6</f>
        <v>627.04</v>
      </c>
      <c r="G7" s="5" t="s">
        <v>16</v>
      </c>
      <c r="H7" s="12">
        <f>F7/E7</f>
        <v>0.922117647058823</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514</v>
      </c>
      <c r="C11" s="7"/>
      <c r="D11" s="7"/>
      <c r="E11" s="16"/>
      <c r="F11" s="6" t="s">
        <v>515</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516</v>
      </c>
      <c r="E13" s="26" t="s">
        <v>517</v>
      </c>
      <c r="F13" s="26" t="s">
        <v>517</v>
      </c>
      <c r="G13" s="5">
        <v>12.5</v>
      </c>
      <c r="H13" s="5">
        <v>12.5</v>
      </c>
      <c r="I13" s="5"/>
    </row>
    <row r="14" s="2" customFormat="1" ht="31.5" customHeight="1" spans="1:9">
      <c r="A14" s="18"/>
      <c r="B14" s="18"/>
      <c r="C14" s="15" t="s">
        <v>36</v>
      </c>
      <c r="D14" s="19" t="s">
        <v>518</v>
      </c>
      <c r="E14" s="26">
        <v>0</v>
      </c>
      <c r="F14" s="26">
        <v>0</v>
      </c>
      <c r="G14" s="5">
        <v>12.5</v>
      </c>
      <c r="H14" s="5">
        <v>12.5</v>
      </c>
      <c r="I14" s="5"/>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519</v>
      </c>
      <c r="F16" s="12" t="s">
        <v>520</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521</v>
      </c>
      <c r="E18" s="32" t="s">
        <v>522</v>
      </c>
      <c r="F18" s="23" t="s">
        <v>522</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99.2211764705882</v>
      </c>
      <c r="I22" s="5" t="s">
        <v>363</v>
      </c>
    </row>
    <row r="23" s="1" customFormat="1" ht="2" customHeight="1"/>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K11" sqref="K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523</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57</v>
      </c>
      <c r="E6" s="5">
        <f>D6</f>
        <v>57</v>
      </c>
      <c r="F6" s="5">
        <v>56.8</v>
      </c>
      <c r="G6" s="5">
        <v>10</v>
      </c>
      <c r="H6" s="12">
        <f>F6/E6</f>
        <v>0.996491228070175</v>
      </c>
      <c r="I6" s="28">
        <f>G6*H6</f>
        <v>9.96491228070175</v>
      </c>
    </row>
    <row r="7" s="2" customFormat="1" ht="34.5" customHeight="1" spans="1:9">
      <c r="A7" s="10"/>
      <c r="B7" s="11"/>
      <c r="C7" s="5" t="s">
        <v>15</v>
      </c>
      <c r="D7" s="5">
        <f>D6</f>
        <v>57</v>
      </c>
      <c r="E7" s="5">
        <f>D6</f>
        <v>57</v>
      </c>
      <c r="F7" s="5">
        <f>F6</f>
        <v>56.8</v>
      </c>
      <c r="G7" s="5" t="s">
        <v>16</v>
      </c>
      <c r="H7" s="12">
        <f>F7/E7</f>
        <v>0.996491228070175</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524</v>
      </c>
      <c r="C11" s="7"/>
      <c r="D11" s="7"/>
      <c r="E11" s="16"/>
      <c r="F11" s="6" t="s">
        <v>525</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526</v>
      </c>
      <c r="E13" s="26" t="s">
        <v>527</v>
      </c>
      <c r="F13" s="26" t="s">
        <v>527</v>
      </c>
      <c r="G13" s="5">
        <v>12.5</v>
      </c>
      <c r="H13" s="5">
        <v>12.5</v>
      </c>
      <c r="I13" s="23"/>
    </row>
    <row r="14" s="2" customFormat="1" ht="31.5" customHeight="1" spans="1:9">
      <c r="A14" s="18"/>
      <c r="B14" s="18"/>
      <c r="C14" s="15" t="s">
        <v>36</v>
      </c>
      <c r="D14" s="19" t="s">
        <v>528</v>
      </c>
      <c r="E14" s="26" t="s">
        <v>529</v>
      </c>
      <c r="F14" s="26" t="s">
        <v>529</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530</v>
      </c>
      <c r="F16" s="27" t="s">
        <v>531</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37" t="s">
        <v>532</v>
      </c>
      <c r="E18" s="32" t="s">
        <v>532</v>
      </c>
      <c r="F18" s="23" t="s">
        <v>532</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99.9649122807018</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K10" sqref="K10"/>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533</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2</v>
      </c>
      <c r="E6" s="5">
        <f>D6</f>
        <v>2</v>
      </c>
      <c r="F6" s="5">
        <v>0.76</v>
      </c>
      <c r="G6" s="5">
        <v>10</v>
      </c>
      <c r="H6" s="12">
        <f>F6/E6</f>
        <v>0.38</v>
      </c>
      <c r="I6" s="28">
        <f>G6*H6</f>
        <v>3.8</v>
      </c>
    </row>
    <row r="7" s="2" customFormat="1" ht="34.5" customHeight="1" spans="1:9">
      <c r="A7" s="10"/>
      <c r="B7" s="11"/>
      <c r="C7" s="5" t="s">
        <v>15</v>
      </c>
      <c r="D7" s="5">
        <f>D6</f>
        <v>2</v>
      </c>
      <c r="E7" s="5">
        <f>D6</f>
        <v>2</v>
      </c>
      <c r="F7" s="5">
        <f>F6</f>
        <v>0.76</v>
      </c>
      <c r="G7" s="5" t="s">
        <v>16</v>
      </c>
      <c r="H7" s="12">
        <f>F7/E7</f>
        <v>0.38</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534</v>
      </c>
      <c r="C11" s="7"/>
      <c r="D11" s="7"/>
      <c r="E11" s="16"/>
      <c r="F11" s="6" t="s">
        <v>535</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536</v>
      </c>
      <c r="E13" s="21" t="s">
        <v>537</v>
      </c>
      <c r="F13" s="21" t="s">
        <v>537</v>
      </c>
      <c r="G13" s="5">
        <v>12.5</v>
      </c>
      <c r="H13" s="5">
        <v>12.5</v>
      </c>
      <c r="I13" s="23"/>
    </row>
    <row r="14" s="2" customFormat="1" ht="31.5" customHeight="1" spans="1:9">
      <c r="A14" s="18"/>
      <c r="B14" s="18"/>
      <c r="C14" s="15" t="s">
        <v>36</v>
      </c>
      <c r="D14" s="19" t="s">
        <v>538</v>
      </c>
      <c r="E14" s="21" t="s">
        <v>470</v>
      </c>
      <c r="F14" s="21" t="s">
        <v>470</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539</v>
      </c>
      <c r="F16" s="36" t="s">
        <v>540</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541</v>
      </c>
      <c r="E18" s="32" t="s">
        <v>541</v>
      </c>
      <c r="F18" s="23" t="s">
        <v>542</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93.8</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L12" sqref="L12"/>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v>43</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1000</v>
      </c>
      <c r="E6" s="5">
        <f>D6</f>
        <v>1000</v>
      </c>
      <c r="F6" s="5">
        <v>220</v>
      </c>
      <c r="G6" s="5">
        <v>10</v>
      </c>
      <c r="H6" s="12">
        <f>F6/E6</f>
        <v>0.22</v>
      </c>
      <c r="I6" s="28">
        <f>G6*H6</f>
        <v>2.2</v>
      </c>
    </row>
    <row r="7" s="2" customFormat="1" ht="34.5" customHeight="1" spans="1:9">
      <c r="A7" s="10"/>
      <c r="B7" s="11"/>
      <c r="C7" s="5" t="s">
        <v>15</v>
      </c>
      <c r="D7" s="5">
        <f>D6</f>
        <v>1000</v>
      </c>
      <c r="E7" s="5">
        <f>D6</f>
        <v>1000</v>
      </c>
      <c r="F7" s="5">
        <f>F6</f>
        <v>220</v>
      </c>
      <c r="G7" s="5" t="s">
        <v>16</v>
      </c>
      <c r="H7" s="12">
        <f>F7/E7</f>
        <v>0.22</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543</v>
      </c>
      <c r="C11" s="7"/>
      <c r="D11" s="7"/>
      <c r="E11" s="16"/>
      <c r="F11" s="6" t="s">
        <v>544</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545</v>
      </c>
      <c r="F13" s="21" t="s">
        <v>545</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547</v>
      </c>
      <c r="F16" s="12" t="s">
        <v>548</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550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92.2</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workbookViewId="0">
      <selection activeCell="K12" sqref="K12"/>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551</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1800</v>
      </c>
      <c r="E6" s="5">
        <f>D6</f>
        <v>1800</v>
      </c>
      <c r="F6" s="5">
        <v>1800</v>
      </c>
      <c r="G6" s="5">
        <v>10</v>
      </c>
      <c r="H6" s="12">
        <f>F6/E6</f>
        <v>1</v>
      </c>
      <c r="I6" s="28">
        <f>G6*H6</f>
        <v>10</v>
      </c>
    </row>
    <row r="7" s="2" customFormat="1" ht="34.5" customHeight="1" spans="1:9">
      <c r="A7" s="10"/>
      <c r="B7" s="11"/>
      <c r="C7" s="5" t="s">
        <v>15</v>
      </c>
      <c r="D7" s="5">
        <f>D6</f>
        <v>1800</v>
      </c>
      <c r="E7" s="5">
        <f>D6</f>
        <v>1800</v>
      </c>
      <c r="F7" s="5">
        <f>F6</f>
        <v>1800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552</v>
      </c>
      <c r="C11" s="7"/>
      <c r="D11" s="7"/>
      <c r="E11" s="16"/>
      <c r="F11" s="6" t="s">
        <v>553</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554</v>
      </c>
      <c r="F13" s="21" t="str">
        <f>E13</f>
        <v>21596㎡</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555</v>
      </c>
      <c r="F16" s="12" t="s">
        <v>556</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550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row r="23" s="1" customFormat="1" ht="41" customHeight="1" spans="1:8">
      <c r="A23" s="33" t="s">
        <v>557</v>
      </c>
      <c r="B23" s="34"/>
      <c r="E23" s="35" t="s">
        <v>558</v>
      </c>
      <c r="F23" s="35"/>
      <c r="H23" s="35" t="s">
        <v>249</v>
      </c>
    </row>
  </sheetData>
  <mergeCells count="18">
    <mergeCell ref="A1:I1"/>
    <mergeCell ref="A2:I2"/>
    <mergeCell ref="A3:B3"/>
    <mergeCell ref="C3:I3"/>
    <mergeCell ref="A4:B4"/>
    <mergeCell ref="C4:E4"/>
    <mergeCell ref="G4:I4"/>
    <mergeCell ref="B10:E10"/>
    <mergeCell ref="F10:I10"/>
    <mergeCell ref="B11:E11"/>
    <mergeCell ref="F11:I11"/>
    <mergeCell ref="A23:B23"/>
    <mergeCell ref="E23:F23"/>
    <mergeCell ref="A10:A11"/>
    <mergeCell ref="A12:A21"/>
    <mergeCell ref="B13:B16"/>
    <mergeCell ref="B17:B20"/>
    <mergeCell ref="A5:B9"/>
  </mergeCells>
  <pageMargins left="0.75" right="0.75" top="1" bottom="1" header="0.5" footer="0.5"/>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L10" sqref="L10"/>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559</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800</v>
      </c>
      <c r="E6" s="5">
        <f>D6</f>
        <v>800</v>
      </c>
      <c r="F6" s="5">
        <v>800</v>
      </c>
      <c r="G6" s="5">
        <v>10</v>
      </c>
      <c r="H6" s="12">
        <f>F6/E6</f>
        <v>1</v>
      </c>
      <c r="I6" s="28">
        <f>G6*H6</f>
        <v>10</v>
      </c>
    </row>
    <row r="7" s="2" customFormat="1" ht="34.5" customHeight="1" spans="1:9">
      <c r="A7" s="10"/>
      <c r="B7" s="11"/>
      <c r="C7" s="5" t="s">
        <v>15</v>
      </c>
      <c r="D7" s="5">
        <f>D6</f>
        <v>800</v>
      </c>
      <c r="E7" s="5">
        <f>D6</f>
        <v>800</v>
      </c>
      <c r="F7" s="5">
        <f>F6</f>
        <v>800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560</v>
      </c>
      <c r="C11" s="7"/>
      <c r="D11" s="7"/>
      <c r="E11" s="16"/>
      <c r="F11" s="6" t="s">
        <v>561</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562</v>
      </c>
      <c r="F13" s="21" t="str">
        <f>E13</f>
        <v>17938.42㎡</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563</v>
      </c>
      <c r="F16" s="12" t="s">
        <v>564</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550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C3" sqref="C3:I3"/>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565</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1000</v>
      </c>
      <c r="E6" s="5">
        <f>D6</f>
        <v>1000</v>
      </c>
      <c r="F6" s="5">
        <v>580</v>
      </c>
      <c r="G6" s="5">
        <v>10</v>
      </c>
      <c r="H6" s="12">
        <f>F6/E6</f>
        <v>0.58</v>
      </c>
      <c r="I6" s="28">
        <f>G6*H6</f>
        <v>5.8</v>
      </c>
    </row>
    <row r="7" s="2" customFormat="1" ht="34.5" customHeight="1" spans="1:9">
      <c r="A7" s="10"/>
      <c r="B7" s="11"/>
      <c r="C7" s="5" t="s">
        <v>15</v>
      </c>
      <c r="D7" s="5">
        <f>D6</f>
        <v>1000</v>
      </c>
      <c r="E7" s="5">
        <f>D6</f>
        <v>1000</v>
      </c>
      <c r="F7" s="5">
        <f>F6</f>
        <v>580</v>
      </c>
      <c r="G7" s="5" t="s">
        <v>16</v>
      </c>
      <c r="H7" s="12">
        <f>F7/E7</f>
        <v>0.58</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566</v>
      </c>
      <c r="C11" s="7"/>
      <c r="D11" s="7"/>
      <c r="E11" s="16"/>
      <c r="F11" s="6" t="s">
        <v>567</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568</v>
      </c>
      <c r="F13" s="21" t="str">
        <f>E13</f>
        <v>32970㎡</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547</v>
      </c>
      <c r="F16" s="27" t="s">
        <v>569</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550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95.8</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L11" sqref="L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570</v>
      </c>
      <c r="B2" s="4"/>
      <c r="C2" s="4"/>
      <c r="D2" s="4"/>
      <c r="E2" s="4"/>
      <c r="F2" s="4"/>
      <c r="G2" s="4"/>
      <c r="H2" s="4"/>
      <c r="I2" s="4"/>
    </row>
    <row r="3" s="2" customFormat="1" customHeight="1" spans="1:9">
      <c r="A3" s="5" t="s">
        <v>2</v>
      </c>
      <c r="B3" s="5"/>
      <c r="C3" s="5" t="s">
        <v>571</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700</v>
      </c>
      <c r="E6" s="5">
        <f>D6</f>
        <v>700</v>
      </c>
      <c r="F6" s="5">
        <v>700</v>
      </c>
      <c r="G6" s="5">
        <v>10</v>
      </c>
      <c r="H6" s="12">
        <f>F6/E6</f>
        <v>1</v>
      </c>
      <c r="I6" s="28">
        <f>G6*H6</f>
        <v>10</v>
      </c>
    </row>
    <row r="7" s="2" customFormat="1" ht="34.5" customHeight="1" spans="1:9">
      <c r="A7" s="10"/>
      <c r="B7" s="11"/>
      <c r="C7" s="5" t="s">
        <v>15</v>
      </c>
      <c r="D7" s="5">
        <f>D6</f>
        <v>700</v>
      </c>
      <c r="E7" s="5">
        <f>D6</f>
        <v>700</v>
      </c>
      <c r="F7" s="5">
        <f>F6</f>
        <v>700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572</v>
      </c>
      <c r="C11" s="7"/>
      <c r="D11" s="7"/>
      <c r="E11" s="16"/>
      <c r="F11" s="6" t="s">
        <v>573</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574</v>
      </c>
      <c r="F13" s="21" t="str">
        <f>E13</f>
        <v>5674.25㎡</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575</v>
      </c>
      <c r="F16" s="12" t="s">
        <v>576</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550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O18" sqref="O18"/>
    </sheetView>
  </sheetViews>
  <sheetFormatPr defaultColWidth="9" defaultRowHeight="14.25"/>
  <sheetData>
    <row r="1" ht="20.25" spans="1:9">
      <c r="A1" s="3" t="s">
        <v>0</v>
      </c>
      <c r="B1" s="3"/>
      <c r="C1" s="3"/>
      <c r="D1" s="3"/>
      <c r="E1" s="3"/>
      <c r="F1" s="3"/>
      <c r="G1" s="3"/>
      <c r="H1" s="3"/>
      <c r="I1" s="3"/>
    </row>
    <row r="2" spans="1:9">
      <c r="A2" s="4" t="s">
        <v>155</v>
      </c>
      <c r="B2" s="4"/>
      <c r="C2" s="4"/>
      <c r="D2" s="4"/>
      <c r="E2" s="4"/>
      <c r="F2" s="4"/>
      <c r="G2" s="4"/>
      <c r="H2" s="4"/>
      <c r="I2" s="4"/>
    </row>
    <row r="3" ht="29" customHeight="1" spans="1:9">
      <c r="A3" s="5" t="s">
        <v>2</v>
      </c>
      <c r="B3" s="5"/>
      <c r="C3" s="5" t="s">
        <v>577</v>
      </c>
      <c r="D3" s="5"/>
      <c r="E3" s="5"/>
      <c r="F3" s="5"/>
      <c r="G3" s="5"/>
      <c r="H3" s="5"/>
      <c r="I3" s="5"/>
    </row>
    <row r="4" ht="24" customHeight="1" spans="1:9">
      <c r="A4" s="6" t="s">
        <v>4</v>
      </c>
      <c r="B4" s="7"/>
      <c r="C4" s="5" t="s">
        <v>5</v>
      </c>
      <c r="D4" s="5"/>
      <c r="E4" s="5"/>
      <c r="F4" s="5" t="s">
        <v>6</v>
      </c>
      <c r="G4" s="6" t="s">
        <v>5</v>
      </c>
      <c r="H4" s="7"/>
      <c r="I4" s="16"/>
    </row>
    <row r="5" ht="28.5" spans="1:9">
      <c r="A5" s="8" t="s">
        <v>7</v>
      </c>
      <c r="B5" s="9"/>
      <c r="C5" s="5"/>
      <c r="D5" s="5" t="s">
        <v>8</v>
      </c>
      <c r="E5" s="5" t="s">
        <v>9</v>
      </c>
      <c r="F5" s="5" t="s">
        <v>10</v>
      </c>
      <c r="G5" s="5" t="s">
        <v>11</v>
      </c>
      <c r="H5" s="5" t="s">
        <v>12</v>
      </c>
      <c r="I5" s="5" t="s">
        <v>13</v>
      </c>
    </row>
    <row r="6" ht="28.5" spans="1:9">
      <c r="A6" s="10"/>
      <c r="B6" s="11"/>
      <c r="C6" s="5" t="s">
        <v>14</v>
      </c>
      <c r="D6" s="5">
        <v>500</v>
      </c>
      <c r="E6" s="5">
        <f>D6</f>
        <v>500</v>
      </c>
      <c r="F6" s="5">
        <v>500</v>
      </c>
      <c r="G6" s="5">
        <v>10</v>
      </c>
      <c r="H6" s="12">
        <f>F6/E6</f>
        <v>1</v>
      </c>
      <c r="I6" s="28">
        <f>G6*H6</f>
        <v>10</v>
      </c>
    </row>
    <row r="7" ht="42.75" spans="1:9">
      <c r="A7" s="10"/>
      <c r="B7" s="11"/>
      <c r="C7" s="5" t="s">
        <v>15</v>
      </c>
      <c r="D7" s="5">
        <f>D6</f>
        <v>500</v>
      </c>
      <c r="E7" s="5">
        <f>D6</f>
        <v>500</v>
      </c>
      <c r="F7" s="5">
        <f>F6</f>
        <v>500</v>
      </c>
      <c r="G7" s="5" t="s">
        <v>16</v>
      </c>
      <c r="H7" s="12">
        <f>F7/E7</f>
        <v>1</v>
      </c>
      <c r="I7" s="5" t="s">
        <v>16</v>
      </c>
    </row>
    <row r="8" ht="28.5" spans="1:9">
      <c r="A8" s="10"/>
      <c r="B8" s="11"/>
      <c r="C8" s="5" t="s">
        <v>17</v>
      </c>
      <c r="D8" s="5"/>
      <c r="E8" s="5"/>
      <c r="F8" s="5"/>
      <c r="G8" s="5" t="s">
        <v>16</v>
      </c>
      <c r="H8" s="5"/>
      <c r="I8" s="5" t="s">
        <v>16</v>
      </c>
    </row>
    <row r="9" spans="1:9">
      <c r="A9" s="13"/>
      <c r="B9" s="14"/>
      <c r="C9" s="5" t="s">
        <v>18</v>
      </c>
      <c r="D9" s="5"/>
      <c r="E9" s="5"/>
      <c r="F9" s="5"/>
      <c r="G9" s="5" t="s">
        <v>16</v>
      </c>
      <c r="H9" s="5"/>
      <c r="I9" s="5" t="s">
        <v>16</v>
      </c>
    </row>
    <row r="10" spans="1:9">
      <c r="A10" s="15" t="s">
        <v>19</v>
      </c>
      <c r="B10" s="6" t="s">
        <v>20</v>
      </c>
      <c r="C10" s="7"/>
      <c r="D10" s="7"/>
      <c r="E10" s="16"/>
      <c r="F10" s="6" t="s">
        <v>21</v>
      </c>
      <c r="G10" s="7"/>
      <c r="H10" s="7"/>
      <c r="I10" s="16"/>
    </row>
    <row r="11" spans="1:9">
      <c r="A11" s="17"/>
      <c r="B11" s="6" t="s">
        <v>578</v>
      </c>
      <c r="C11" s="7"/>
      <c r="D11" s="7"/>
      <c r="E11" s="16"/>
      <c r="F11" s="6" t="s">
        <v>579</v>
      </c>
      <c r="G11" s="7"/>
      <c r="H11" s="7"/>
      <c r="I11" s="16"/>
    </row>
    <row r="12" ht="42.75" spans="1:9">
      <c r="A12" s="15" t="s">
        <v>24</v>
      </c>
      <c r="B12" s="5" t="s">
        <v>25</v>
      </c>
      <c r="C12" s="5" t="s">
        <v>26</v>
      </c>
      <c r="D12" s="5" t="s">
        <v>27</v>
      </c>
      <c r="E12" s="5" t="s">
        <v>28</v>
      </c>
      <c r="F12" s="5" t="s">
        <v>29</v>
      </c>
      <c r="G12" s="5" t="s">
        <v>11</v>
      </c>
      <c r="H12" s="5" t="s">
        <v>13</v>
      </c>
      <c r="I12" s="5" t="s">
        <v>30</v>
      </c>
    </row>
    <row r="13" spans="1:9">
      <c r="A13" s="18"/>
      <c r="B13" s="15" t="s">
        <v>31</v>
      </c>
      <c r="C13" s="15" t="s">
        <v>32</v>
      </c>
      <c r="D13" s="19" t="s">
        <v>128</v>
      </c>
      <c r="E13" s="21" t="s">
        <v>580</v>
      </c>
      <c r="F13" s="21" t="s">
        <v>581</v>
      </c>
      <c r="G13" s="5">
        <v>12.5</v>
      </c>
      <c r="H13" s="5">
        <v>12.5</v>
      </c>
      <c r="I13" s="23"/>
    </row>
    <row r="14" ht="45" spans="1:9">
      <c r="A14" s="18"/>
      <c r="B14" s="18"/>
      <c r="C14" s="15" t="s">
        <v>36</v>
      </c>
      <c r="D14" s="19" t="s">
        <v>131</v>
      </c>
      <c r="E14" s="31" t="s">
        <v>546</v>
      </c>
      <c r="F14" s="31" t="s">
        <v>546</v>
      </c>
      <c r="G14" s="5">
        <v>12.5</v>
      </c>
      <c r="H14" s="5">
        <v>12.5</v>
      </c>
      <c r="I14" s="23"/>
    </row>
    <row r="15" ht="28.5" spans="1:9">
      <c r="A15" s="18"/>
      <c r="B15" s="18"/>
      <c r="C15" s="15" t="s">
        <v>39</v>
      </c>
      <c r="D15" s="5" t="s">
        <v>40</v>
      </c>
      <c r="E15" s="22" t="s">
        <v>41</v>
      </c>
      <c r="F15" s="23" t="s">
        <v>41</v>
      </c>
      <c r="G15" s="5">
        <v>12.5</v>
      </c>
      <c r="H15" s="5">
        <v>12.5</v>
      </c>
      <c r="I15" s="5"/>
    </row>
    <row r="16" ht="27" spans="1:9">
      <c r="A16" s="18"/>
      <c r="B16" s="18"/>
      <c r="C16" s="15" t="s">
        <v>42</v>
      </c>
      <c r="D16" s="5" t="s">
        <v>240</v>
      </c>
      <c r="E16" s="24" t="s">
        <v>582</v>
      </c>
      <c r="F16" s="27" t="s">
        <v>583</v>
      </c>
      <c r="G16" s="5">
        <v>12.5</v>
      </c>
      <c r="H16" s="5">
        <v>12.5</v>
      </c>
      <c r="I16" s="5"/>
    </row>
    <row r="17" ht="28.5" spans="1:9">
      <c r="A17" s="18"/>
      <c r="B17" s="15" t="s">
        <v>45</v>
      </c>
      <c r="C17" s="15" t="s">
        <v>46</v>
      </c>
      <c r="D17" s="5" t="s">
        <v>162</v>
      </c>
      <c r="E17" s="5" t="s">
        <v>162</v>
      </c>
      <c r="F17" s="5" t="s">
        <v>162</v>
      </c>
      <c r="G17" s="5" t="s">
        <v>162</v>
      </c>
      <c r="H17" s="5" t="s">
        <v>162</v>
      </c>
      <c r="I17" s="5"/>
    </row>
    <row r="18" ht="71.25" spans="1:9">
      <c r="A18" s="18"/>
      <c r="B18" s="18"/>
      <c r="C18" s="15" t="s">
        <v>47</v>
      </c>
      <c r="D18" s="5" t="s">
        <v>549</v>
      </c>
      <c r="E18" s="32" t="s">
        <v>549</v>
      </c>
      <c r="F18" s="23" t="s">
        <v>584</v>
      </c>
      <c r="G18" s="5">
        <v>30</v>
      </c>
      <c r="H18" s="5">
        <v>30</v>
      </c>
      <c r="I18" s="5"/>
    </row>
    <row r="19" ht="28.5" spans="1:9">
      <c r="A19" s="18"/>
      <c r="B19" s="18"/>
      <c r="C19" s="15" t="s">
        <v>50</v>
      </c>
      <c r="D19" s="5" t="s">
        <v>162</v>
      </c>
      <c r="E19" s="5" t="s">
        <v>162</v>
      </c>
      <c r="F19" s="5" t="s">
        <v>162</v>
      </c>
      <c r="G19" s="5" t="s">
        <v>162</v>
      </c>
      <c r="H19" s="5" t="s">
        <v>162</v>
      </c>
      <c r="I19" s="5"/>
    </row>
    <row r="20" ht="28.5" spans="1:9">
      <c r="A20" s="18"/>
      <c r="B20" s="18"/>
      <c r="C20" s="15" t="s">
        <v>51</v>
      </c>
      <c r="D20" s="5" t="s">
        <v>162</v>
      </c>
      <c r="E20" s="5" t="s">
        <v>162</v>
      </c>
      <c r="F20" s="5" t="s">
        <v>162</v>
      </c>
      <c r="G20" s="5" t="s">
        <v>162</v>
      </c>
      <c r="H20" s="5" t="s">
        <v>162</v>
      </c>
      <c r="I20" s="5"/>
    </row>
    <row r="21" ht="42.75" spans="1:9">
      <c r="A21" s="18"/>
      <c r="B21" s="15" t="s">
        <v>52</v>
      </c>
      <c r="C21" s="15" t="s">
        <v>53</v>
      </c>
      <c r="D21" s="5" t="s">
        <v>362</v>
      </c>
      <c r="E21" s="26" t="s">
        <v>169</v>
      </c>
      <c r="F21" s="27">
        <v>0.95</v>
      </c>
      <c r="G21" s="5">
        <v>10</v>
      </c>
      <c r="H21" s="5">
        <v>10</v>
      </c>
      <c r="I21" s="5"/>
    </row>
    <row r="22" ht="28.5"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M12" sqref="M12"/>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585</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700</v>
      </c>
      <c r="E6" s="5">
        <f>D6</f>
        <v>700</v>
      </c>
      <c r="F6" s="5">
        <v>700</v>
      </c>
      <c r="G6" s="5">
        <v>10</v>
      </c>
      <c r="H6" s="12">
        <f>F6/E6</f>
        <v>1</v>
      </c>
      <c r="I6" s="28">
        <f>G6*H6</f>
        <v>10</v>
      </c>
    </row>
    <row r="7" s="2" customFormat="1" ht="34.5" customHeight="1" spans="1:9">
      <c r="A7" s="10"/>
      <c r="B7" s="11"/>
      <c r="C7" s="5" t="s">
        <v>15</v>
      </c>
      <c r="D7" s="5">
        <f>D6</f>
        <v>700</v>
      </c>
      <c r="E7" s="5">
        <f>D6</f>
        <v>700</v>
      </c>
      <c r="F7" s="5">
        <f>F6</f>
        <v>700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586</v>
      </c>
      <c r="C11" s="7"/>
      <c r="D11" s="7"/>
      <c r="E11" s="16"/>
      <c r="F11" s="6" t="s">
        <v>587</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588</v>
      </c>
      <c r="F13" s="21" t="str">
        <f>E13</f>
        <v>5333.74㎡</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575</v>
      </c>
      <c r="F16" s="27" t="s">
        <v>576</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584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L11" sqref="L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589</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1200</v>
      </c>
      <c r="E6" s="5">
        <f>D6</f>
        <v>1200</v>
      </c>
      <c r="F6" s="5">
        <v>1200</v>
      </c>
      <c r="G6" s="5">
        <v>10</v>
      </c>
      <c r="H6" s="12">
        <f>F6/E6</f>
        <v>1</v>
      </c>
      <c r="I6" s="28">
        <f>G6*H6</f>
        <v>10</v>
      </c>
    </row>
    <row r="7" s="2" customFormat="1" ht="34.5" customHeight="1" spans="1:9">
      <c r="A7" s="10"/>
      <c r="B7" s="11"/>
      <c r="C7" s="5" t="s">
        <v>15</v>
      </c>
      <c r="D7" s="5">
        <f>D6</f>
        <v>1200</v>
      </c>
      <c r="E7" s="5">
        <f>D6</f>
        <v>1200</v>
      </c>
      <c r="F7" s="5">
        <f>F6</f>
        <v>1200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590</v>
      </c>
      <c r="C11" s="7"/>
      <c r="D11" s="7"/>
      <c r="E11" s="16"/>
      <c r="F11" s="6" t="s">
        <v>591</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592</v>
      </c>
      <c r="F13" s="21" t="str">
        <f>E13</f>
        <v>7548.81㎡</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593</v>
      </c>
      <c r="F16" s="27" t="s">
        <v>594</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584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K13" sqref="K13"/>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3"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595</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2000</v>
      </c>
      <c r="E6" s="5">
        <f>D6</f>
        <v>2000</v>
      </c>
      <c r="F6" s="5">
        <v>838.01</v>
      </c>
      <c r="G6" s="5">
        <v>10</v>
      </c>
      <c r="H6" s="12">
        <f>F6/E6</f>
        <v>0.419005</v>
      </c>
      <c r="I6" s="28">
        <f>G6*H6</f>
        <v>4.19005</v>
      </c>
    </row>
    <row r="7" s="2" customFormat="1" ht="34.5" customHeight="1" spans="1:9">
      <c r="A7" s="10"/>
      <c r="B7" s="11"/>
      <c r="C7" s="5" t="s">
        <v>15</v>
      </c>
      <c r="D7" s="5">
        <f>D6</f>
        <v>2000</v>
      </c>
      <c r="E7" s="5">
        <f>D6</f>
        <v>2000</v>
      </c>
      <c r="F7" s="5">
        <f>F6</f>
        <v>838.01</v>
      </c>
      <c r="G7" s="5" t="s">
        <v>16</v>
      </c>
      <c r="H7" s="12">
        <f>F7/E7</f>
        <v>0.419005</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596</v>
      </c>
      <c r="C11" s="7"/>
      <c r="D11" s="7"/>
      <c r="E11" s="16"/>
      <c r="F11" s="6" t="s">
        <v>597</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598</v>
      </c>
      <c r="F13" s="21" t="str">
        <f>E13</f>
        <v>19350㎡</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599</v>
      </c>
      <c r="F16" s="12" t="s">
        <v>600</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584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ht="31" customHeight="1" spans="1:9">
      <c r="A22" s="5" t="s">
        <v>56</v>
      </c>
      <c r="B22" s="5"/>
      <c r="C22" s="5"/>
      <c r="D22" s="5"/>
      <c r="E22" s="5"/>
      <c r="F22" s="5"/>
      <c r="G22" s="5">
        <f>SUM(G13:G21)+G6</f>
        <v>100</v>
      </c>
      <c r="H22" s="28">
        <f>SUM(H13:H21)+I6</f>
        <v>94.19005</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K11" sqref="K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601</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1500</v>
      </c>
      <c r="E6" s="5">
        <f>D6</f>
        <v>1500</v>
      </c>
      <c r="F6" s="5">
        <v>1350</v>
      </c>
      <c r="G6" s="5">
        <v>10</v>
      </c>
      <c r="H6" s="12">
        <f>F6/E6</f>
        <v>0.9</v>
      </c>
      <c r="I6" s="28">
        <f>G6*H6</f>
        <v>9</v>
      </c>
    </row>
    <row r="7" s="2" customFormat="1" ht="34.5" customHeight="1" spans="1:9">
      <c r="A7" s="10"/>
      <c r="B7" s="11"/>
      <c r="C7" s="5" t="s">
        <v>15</v>
      </c>
      <c r="D7" s="5">
        <f>D6</f>
        <v>1500</v>
      </c>
      <c r="E7" s="5">
        <f>D6</f>
        <v>1500</v>
      </c>
      <c r="F7" s="5">
        <f>F6</f>
        <v>1350</v>
      </c>
      <c r="G7" s="5" t="s">
        <v>16</v>
      </c>
      <c r="H7" s="12">
        <f>F7/E7</f>
        <v>0.9</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602</v>
      </c>
      <c r="C11" s="7"/>
      <c r="D11" s="7"/>
      <c r="E11" s="16"/>
      <c r="F11" s="6" t="s">
        <v>603</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598</v>
      </c>
      <c r="F13" s="21" t="str">
        <f>E13</f>
        <v>19350㎡</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604</v>
      </c>
      <c r="F16" s="12" t="s">
        <v>605</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584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99</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
  <sheetViews>
    <sheetView workbookViewId="0">
      <selection activeCell="M11" sqref="M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606</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200</v>
      </c>
      <c r="E6" s="5">
        <f>D6</f>
        <v>200</v>
      </c>
      <c r="F6" s="5">
        <v>200</v>
      </c>
      <c r="G6" s="5">
        <v>10</v>
      </c>
      <c r="H6" s="12">
        <f>F6/E6</f>
        <v>1</v>
      </c>
      <c r="I6" s="28">
        <f>G6*H6</f>
        <v>10</v>
      </c>
    </row>
    <row r="7" s="2" customFormat="1" ht="34.5" customHeight="1" spans="1:9">
      <c r="A7" s="10"/>
      <c r="B7" s="11"/>
      <c r="C7" s="5" t="s">
        <v>15</v>
      </c>
      <c r="D7" s="5">
        <f>D6</f>
        <v>200</v>
      </c>
      <c r="E7" s="5">
        <f>D6</f>
        <v>200</v>
      </c>
      <c r="F7" s="5">
        <f>F6</f>
        <v>200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12">
      <c r="A10" s="15" t="s">
        <v>19</v>
      </c>
      <c r="B10" s="6" t="s">
        <v>20</v>
      </c>
      <c r="C10" s="7"/>
      <c r="D10" s="7"/>
      <c r="E10" s="16"/>
      <c r="F10" s="6" t="s">
        <v>21</v>
      </c>
      <c r="G10" s="7"/>
      <c r="H10" s="7"/>
      <c r="I10" s="16"/>
      <c r="L10" s="2" t="s">
        <v>607</v>
      </c>
    </row>
    <row r="11" s="2" customFormat="1" ht="103.5" customHeight="1" spans="1:9">
      <c r="A11" s="17"/>
      <c r="B11" s="6" t="s">
        <v>608</v>
      </c>
      <c r="C11" s="7"/>
      <c r="D11" s="7"/>
      <c r="E11" s="16"/>
      <c r="F11" s="6" t="s">
        <v>609</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128</v>
      </c>
      <c r="E13" s="21" t="s">
        <v>610</v>
      </c>
      <c r="F13" s="21" t="str">
        <f>E13</f>
        <v>5217.25㎡</v>
      </c>
      <c r="G13" s="5">
        <v>12.5</v>
      </c>
      <c r="H13" s="5">
        <v>12.5</v>
      </c>
      <c r="I13" s="23"/>
    </row>
    <row r="14" s="2" customFormat="1" ht="31.5" customHeight="1" spans="1:9">
      <c r="A14" s="18"/>
      <c r="B14" s="18"/>
      <c r="C14" s="15" t="s">
        <v>36</v>
      </c>
      <c r="D14" s="19" t="s">
        <v>131</v>
      </c>
      <c r="E14" s="31" t="s">
        <v>546</v>
      </c>
      <c r="F14" s="31" t="s">
        <v>546</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611</v>
      </c>
      <c r="F16" s="27" t="s">
        <v>612</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5" t="s">
        <v>549</v>
      </c>
      <c r="E18" s="32" t="s">
        <v>549</v>
      </c>
      <c r="F18" s="23" t="s">
        <v>584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8" workbookViewId="0">
      <selection activeCell="D25" sqref="D25"/>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3"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613</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200</v>
      </c>
      <c r="E6" s="5">
        <f>D6</f>
        <v>200</v>
      </c>
      <c r="F6" s="5">
        <v>200</v>
      </c>
      <c r="G6" s="5">
        <v>10</v>
      </c>
      <c r="H6" s="12">
        <f>F6/E6</f>
        <v>1</v>
      </c>
      <c r="I6" s="28">
        <f>G6*H6</f>
        <v>10</v>
      </c>
    </row>
    <row r="7" s="2" customFormat="1" ht="34.5" customHeight="1" spans="1:9">
      <c r="A7" s="10"/>
      <c r="B7" s="11"/>
      <c r="C7" s="5" t="s">
        <v>15</v>
      </c>
      <c r="D7" s="5">
        <f>D6</f>
        <v>200</v>
      </c>
      <c r="E7" s="5">
        <f>D6</f>
        <v>200</v>
      </c>
      <c r="F7" s="5">
        <f>F6</f>
        <v>200</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614</v>
      </c>
      <c r="C11" s="7"/>
      <c r="D11" s="7"/>
      <c r="E11" s="16"/>
      <c r="F11" s="6" t="s">
        <v>614</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615</v>
      </c>
      <c r="E13" s="21" t="s">
        <v>505</v>
      </c>
      <c r="F13" s="21" t="str">
        <f>E13</f>
        <v>95路</v>
      </c>
      <c r="G13" s="5">
        <v>12.5</v>
      </c>
      <c r="H13" s="5">
        <v>12.5</v>
      </c>
      <c r="I13" s="23"/>
    </row>
    <row r="14" s="2" customFormat="1" ht="31.5" customHeight="1" spans="1:9">
      <c r="A14" s="18"/>
      <c r="B14" s="18"/>
      <c r="C14" s="15" t="s">
        <v>36</v>
      </c>
      <c r="D14" s="19" t="s">
        <v>616</v>
      </c>
      <c r="E14" s="21" t="s">
        <v>617</v>
      </c>
      <c r="F14" s="21" t="s">
        <v>617</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611</v>
      </c>
      <c r="F16" s="27" t="s">
        <v>612</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23" t="s">
        <v>510</v>
      </c>
      <c r="E18" s="32" t="s">
        <v>510</v>
      </c>
      <c r="F18" s="23" t="s">
        <v>510</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L9" sqref="L9"/>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618</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1500</v>
      </c>
      <c r="E6" s="5">
        <f>D6</f>
        <v>1500</v>
      </c>
      <c r="F6" s="5">
        <v>1271.27</v>
      </c>
      <c r="G6" s="5">
        <v>10</v>
      </c>
      <c r="H6" s="12">
        <f>F6/E6</f>
        <v>0.847513333333333</v>
      </c>
      <c r="I6" s="28">
        <f>G6*H6</f>
        <v>8.47513333333333</v>
      </c>
    </row>
    <row r="7" s="2" customFormat="1" ht="34.5" customHeight="1" spans="1:9">
      <c r="A7" s="10"/>
      <c r="B7" s="11"/>
      <c r="C7" s="5" t="s">
        <v>15</v>
      </c>
      <c r="D7" s="5">
        <f>D6</f>
        <v>1500</v>
      </c>
      <c r="E7" s="5">
        <f>D6</f>
        <v>1500</v>
      </c>
      <c r="F7" s="5">
        <f>F6</f>
        <v>1271.27</v>
      </c>
      <c r="G7" s="5" t="s">
        <v>16</v>
      </c>
      <c r="H7" s="12">
        <f>F7/E7</f>
        <v>0.847513333333333</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619</v>
      </c>
      <c r="C11" s="7"/>
      <c r="D11" s="7"/>
      <c r="E11" s="16"/>
      <c r="F11" s="6" t="s">
        <v>620</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621</v>
      </c>
      <c r="E13" s="21" t="s">
        <v>622</v>
      </c>
      <c r="F13" s="21" t="str">
        <f>E13</f>
        <v>7500人</v>
      </c>
      <c r="G13" s="5">
        <v>12.5</v>
      </c>
      <c r="H13" s="5">
        <v>12.5</v>
      </c>
      <c r="I13" s="23"/>
    </row>
    <row r="14" s="2" customFormat="1" ht="31.5" customHeight="1" spans="1:9">
      <c r="A14" s="18"/>
      <c r="B14" s="18"/>
      <c r="C14" s="15" t="s">
        <v>36</v>
      </c>
      <c r="D14" s="19" t="s">
        <v>623</v>
      </c>
      <c r="E14" s="31" t="s">
        <v>623</v>
      </c>
      <c r="F14" s="31" t="s">
        <v>623</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604</v>
      </c>
      <c r="F16" s="12" t="s">
        <v>624</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23" t="s">
        <v>625</v>
      </c>
      <c r="E18" s="32" t="s">
        <v>626</v>
      </c>
      <c r="F18" s="23" t="s">
        <v>626</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98.4751333333333</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topLeftCell="A2" workbookViewId="0">
      <selection activeCell="A23" sqref="$A23:$XFD23"/>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627</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995</v>
      </c>
      <c r="E6" s="5">
        <f>D6</f>
        <v>995</v>
      </c>
      <c r="F6" s="5">
        <f>E6</f>
        <v>995</v>
      </c>
      <c r="G6" s="5">
        <v>10</v>
      </c>
      <c r="H6" s="12">
        <f>F6/E6</f>
        <v>1</v>
      </c>
      <c r="I6" s="28">
        <f>G6*H6</f>
        <v>10</v>
      </c>
    </row>
    <row r="7" s="2" customFormat="1" ht="34.5" customHeight="1" spans="1:9">
      <c r="A7" s="10"/>
      <c r="B7" s="11"/>
      <c r="C7" s="5" t="s">
        <v>15</v>
      </c>
      <c r="D7" s="5">
        <f>D6</f>
        <v>995</v>
      </c>
      <c r="E7" s="5">
        <f>D6</f>
        <v>995</v>
      </c>
      <c r="F7" s="5">
        <f>F6</f>
        <v>995</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628</v>
      </c>
      <c r="C11" s="7"/>
      <c r="D11" s="7"/>
      <c r="E11" s="16"/>
      <c r="F11" s="6" t="s">
        <v>629</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630</v>
      </c>
      <c r="E13" s="21" t="s">
        <v>631</v>
      </c>
      <c r="F13" s="21" t="str">
        <f>E13</f>
        <v>75人</v>
      </c>
      <c r="G13" s="5">
        <v>12.5</v>
      </c>
      <c r="H13" s="5">
        <v>12.5</v>
      </c>
      <c r="I13" s="23"/>
    </row>
    <row r="14" s="2" customFormat="1" ht="31.5" customHeight="1" spans="1:9">
      <c r="A14" s="18"/>
      <c r="B14" s="18"/>
      <c r="C14" s="15" t="s">
        <v>36</v>
      </c>
      <c r="D14" s="19" t="s">
        <v>354</v>
      </c>
      <c r="E14" s="21" t="s">
        <v>355</v>
      </c>
      <c r="F14" s="21" t="s">
        <v>355</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632</v>
      </c>
      <c r="F16" s="12" t="s">
        <v>633</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25" t="s">
        <v>549</v>
      </c>
      <c r="E18" s="23" t="s">
        <v>634</v>
      </c>
      <c r="F18" s="23" t="s">
        <v>634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453</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K11" sqref="K11"/>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3"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635</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46</v>
      </c>
      <c r="E6" s="5">
        <f>D6</f>
        <v>46</v>
      </c>
      <c r="F6" s="5">
        <v>46</v>
      </c>
      <c r="G6" s="5">
        <v>10</v>
      </c>
      <c r="H6" s="12">
        <f>F6/E6</f>
        <v>1</v>
      </c>
      <c r="I6" s="28">
        <f>G6*H6</f>
        <v>10</v>
      </c>
    </row>
    <row r="7" s="2" customFormat="1" ht="34.5" customHeight="1" spans="1:9">
      <c r="A7" s="10"/>
      <c r="B7" s="11"/>
      <c r="C7" s="5" t="s">
        <v>15</v>
      </c>
      <c r="D7" s="5">
        <f>D6</f>
        <v>46</v>
      </c>
      <c r="E7" s="5">
        <f>D6</f>
        <v>46</v>
      </c>
      <c r="F7" s="5">
        <v>46</v>
      </c>
      <c r="G7" s="5" t="s">
        <v>16</v>
      </c>
      <c r="H7" s="12">
        <f>F7/E7</f>
        <v>1</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9">
      <c r="A11" s="17"/>
      <c r="B11" s="6" t="s">
        <v>636</v>
      </c>
      <c r="C11" s="7"/>
      <c r="D11" s="7"/>
      <c r="E11" s="16"/>
      <c r="F11" s="6" t="s">
        <v>637</v>
      </c>
      <c r="G11" s="7"/>
      <c r="H11" s="7"/>
      <c r="I11" s="16"/>
    </row>
    <row r="12" s="2" customFormat="1" ht="41.25" customHeight="1" spans="1:9">
      <c r="A12" s="15" t="s">
        <v>24</v>
      </c>
      <c r="B12" s="5" t="s">
        <v>25</v>
      </c>
      <c r="C12" s="5" t="s">
        <v>26</v>
      </c>
      <c r="D12" s="5" t="s">
        <v>27</v>
      </c>
      <c r="E12" s="5" t="s">
        <v>28</v>
      </c>
      <c r="F12" s="5" t="s">
        <v>29</v>
      </c>
      <c r="G12" s="5" t="s">
        <v>11</v>
      </c>
      <c r="H12" s="5" t="s">
        <v>13</v>
      </c>
      <c r="I12" s="5" t="s">
        <v>30</v>
      </c>
    </row>
    <row r="13" s="2" customFormat="1" ht="36" customHeight="1" spans="1:9">
      <c r="A13" s="18"/>
      <c r="B13" s="15" t="s">
        <v>31</v>
      </c>
      <c r="C13" s="15" t="s">
        <v>32</v>
      </c>
      <c r="D13" s="29" t="s">
        <v>638</v>
      </c>
      <c r="E13" s="21" t="s">
        <v>639</v>
      </c>
      <c r="F13" s="21" t="str">
        <f>E13</f>
        <v>1次</v>
      </c>
      <c r="G13" s="5">
        <v>12.5</v>
      </c>
      <c r="H13" s="5">
        <v>12.5</v>
      </c>
      <c r="I13" s="23"/>
    </row>
    <row r="14" s="2" customFormat="1" ht="31.5" customHeight="1" spans="1:9">
      <c r="A14" s="18"/>
      <c r="B14" s="18"/>
      <c r="C14" s="15" t="s">
        <v>36</v>
      </c>
      <c r="D14" s="22" t="s">
        <v>640</v>
      </c>
      <c r="E14" s="22" t="s">
        <v>641</v>
      </c>
      <c r="F14" s="22" t="s">
        <v>641</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642</v>
      </c>
      <c r="F16" s="12" t="s">
        <v>643</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30" t="s">
        <v>644</v>
      </c>
      <c r="E18" s="30" t="s">
        <v>644</v>
      </c>
      <c r="F18" s="30" t="s">
        <v>644</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22" t="s">
        <v>645</v>
      </c>
      <c r="E21" s="26" t="s">
        <v>169</v>
      </c>
      <c r="F21" s="27">
        <v>0.95</v>
      </c>
      <c r="G21" s="5">
        <v>10</v>
      </c>
      <c r="H21" s="5">
        <v>10</v>
      </c>
      <c r="I21" s="5"/>
    </row>
    <row r="22" s="2" customFormat="1" customHeight="1" spans="1:9">
      <c r="A22" s="5" t="s">
        <v>56</v>
      </c>
      <c r="B22" s="5"/>
      <c r="C22" s="5"/>
      <c r="D22" s="5"/>
      <c r="E22" s="5"/>
      <c r="F22" s="5"/>
      <c r="G22" s="5">
        <f>SUM(G13:G21)+G6</f>
        <v>100</v>
      </c>
      <c r="H22" s="28">
        <f>SUM(H13:H21)+I6</f>
        <v>100</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workbookViewId="0">
      <selection activeCell="J4" sqref="J4"/>
    </sheetView>
  </sheetViews>
  <sheetFormatPr defaultColWidth="13.9" defaultRowHeight="24.9" customHeight="1"/>
  <cols>
    <col min="1" max="1" width="6.9" style="1" customWidth="1"/>
    <col min="2" max="2" width="10.2" style="1" customWidth="1"/>
    <col min="3" max="5" width="13.9" style="1"/>
    <col min="6" max="6" width="13.1" style="1" customWidth="1"/>
    <col min="7" max="7" width="10.1" style="1" customWidth="1"/>
    <col min="8" max="8" width="9.6" style="1" customWidth="1"/>
    <col min="9" max="16384" width="13.9" style="1"/>
  </cols>
  <sheetData>
    <row r="1" s="1" customFormat="1" ht="36" customHeight="1" spans="1:9">
      <c r="A1" s="3" t="s">
        <v>0</v>
      </c>
      <c r="B1" s="3"/>
      <c r="C1" s="3"/>
      <c r="D1" s="3"/>
      <c r="E1" s="3"/>
      <c r="F1" s="3"/>
      <c r="G1" s="3"/>
      <c r="H1" s="3"/>
      <c r="I1" s="3"/>
    </row>
    <row r="2" s="2" customFormat="1" customHeight="1" spans="1:9">
      <c r="A2" s="4" t="s">
        <v>155</v>
      </c>
      <c r="B2" s="4"/>
      <c r="C2" s="4"/>
      <c r="D2" s="4"/>
      <c r="E2" s="4"/>
      <c r="F2" s="4"/>
      <c r="G2" s="4"/>
      <c r="H2" s="4"/>
      <c r="I2" s="4"/>
    </row>
    <row r="3" s="2" customFormat="1" customHeight="1" spans="1:9">
      <c r="A3" s="5" t="s">
        <v>2</v>
      </c>
      <c r="B3" s="5"/>
      <c r="C3" s="5" t="s">
        <v>646</v>
      </c>
      <c r="D3" s="5"/>
      <c r="E3" s="5"/>
      <c r="F3" s="5"/>
      <c r="G3" s="5"/>
      <c r="H3" s="5"/>
      <c r="I3" s="5"/>
    </row>
    <row r="4" s="2" customFormat="1" customHeight="1" spans="1:9">
      <c r="A4" s="6" t="s">
        <v>4</v>
      </c>
      <c r="B4" s="7"/>
      <c r="C4" s="5" t="s">
        <v>5</v>
      </c>
      <c r="D4" s="5"/>
      <c r="E4" s="5"/>
      <c r="F4" s="5" t="s">
        <v>6</v>
      </c>
      <c r="G4" s="6" t="s">
        <v>5</v>
      </c>
      <c r="H4" s="7"/>
      <c r="I4" s="16"/>
    </row>
    <row r="5" s="2" customFormat="1" customHeight="1" spans="1:9">
      <c r="A5" s="8" t="s">
        <v>7</v>
      </c>
      <c r="B5" s="9"/>
      <c r="C5" s="5"/>
      <c r="D5" s="5" t="s">
        <v>8</v>
      </c>
      <c r="E5" s="5" t="s">
        <v>9</v>
      </c>
      <c r="F5" s="5" t="s">
        <v>10</v>
      </c>
      <c r="G5" s="5" t="s">
        <v>11</v>
      </c>
      <c r="H5" s="5" t="s">
        <v>12</v>
      </c>
      <c r="I5" s="5" t="s">
        <v>13</v>
      </c>
    </row>
    <row r="6" s="2" customFormat="1" customHeight="1" spans="1:9">
      <c r="A6" s="10"/>
      <c r="B6" s="11"/>
      <c r="C6" s="5" t="s">
        <v>14</v>
      </c>
      <c r="D6" s="5">
        <v>99</v>
      </c>
      <c r="E6" s="5">
        <f>D6</f>
        <v>99</v>
      </c>
      <c r="F6" s="5">
        <v>98.8</v>
      </c>
      <c r="G6" s="5">
        <v>10</v>
      </c>
      <c r="H6" s="12">
        <f>F6/E6</f>
        <v>0.997979797979798</v>
      </c>
      <c r="I6" s="28">
        <f>G6*H6</f>
        <v>9.97979797979798</v>
      </c>
    </row>
    <row r="7" s="2" customFormat="1" ht="34.5" customHeight="1" spans="1:9">
      <c r="A7" s="10"/>
      <c r="B7" s="11"/>
      <c r="C7" s="5" t="s">
        <v>15</v>
      </c>
      <c r="D7" s="5">
        <v>99</v>
      </c>
      <c r="E7" s="5">
        <f>D6</f>
        <v>99</v>
      </c>
      <c r="F7" s="5">
        <f>F6</f>
        <v>98.8</v>
      </c>
      <c r="G7" s="5" t="s">
        <v>16</v>
      </c>
      <c r="H7" s="12">
        <f>F7/E7</f>
        <v>0.997979797979798</v>
      </c>
      <c r="I7" s="5" t="s">
        <v>16</v>
      </c>
    </row>
    <row r="8" s="2" customFormat="1" customHeight="1" spans="1:9">
      <c r="A8" s="10"/>
      <c r="B8" s="11"/>
      <c r="C8" s="5" t="s">
        <v>17</v>
      </c>
      <c r="D8" s="5"/>
      <c r="E8" s="5"/>
      <c r="F8" s="5"/>
      <c r="G8" s="5" t="s">
        <v>16</v>
      </c>
      <c r="H8" s="5"/>
      <c r="I8" s="5" t="s">
        <v>16</v>
      </c>
    </row>
    <row r="9" s="2" customFormat="1" customHeight="1" spans="1:9">
      <c r="A9" s="13"/>
      <c r="B9" s="14"/>
      <c r="C9" s="5" t="s">
        <v>18</v>
      </c>
      <c r="D9" s="5"/>
      <c r="E9" s="5"/>
      <c r="F9" s="5"/>
      <c r="G9" s="5" t="s">
        <v>16</v>
      </c>
      <c r="H9" s="5"/>
      <c r="I9" s="5" t="s">
        <v>16</v>
      </c>
    </row>
    <row r="10" s="2" customFormat="1" ht="30" customHeight="1" spans="1:9">
      <c r="A10" s="15" t="s">
        <v>19</v>
      </c>
      <c r="B10" s="6" t="s">
        <v>20</v>
      </c>
      <c r="C10" s="7"/>
      <c r="D10" s="7"/>
      <c r="E10" s="16"/>
      <c r="F10" s="6" t="s">
        <v>21</v>
      </c>
      <c r="G10" s="7"/>
      <c r="H10" s="7"/>
      <c r="I10" s="16"/>
    </row>
    <row r="11" s="2" customFormat="1" ht="103.5" customHeight="1" spans="1:11">
      <c r="A11" s="17"/>
      <c r="B11" s="6" t="s">
        <v>647</v>
      </c>
      <c r="C11" s="7"/>
      <c r="D11" s="7"/>
      <c r="E11" s="16"/>
      <c r="F11" s="6" t="s">
        <v>648</v>
      </c>
      <c r="G11" s="7"/>
      <c r="H11" s="7"/>
      <c r="I11" s="16"/>
      <c r="K11" s="2" t="s">
        <v>649</v>
      </c>
    </row>
    <row r="12" s="2" customFormat="1" ht="41.25" customHeight="1" spans="1:9">
      <c r="A12" s="15" t="s">
        <v>24</v>
      </c>
      <c r="B12" s="5" t="s">
        <v>25</v>
      </c>
      <c r="C12" s="5" t="s">
        <v>26</v>
      </c>
      <c r="D12" s="5" t="s">
        <v>27</v>
      </c>
      <c r="E12" s="5" t="s">
        <v>28</v>
      </c>
      <c r="F12" s="5" t="s">
        <v>29</v>
      </c>
      <c r="G12" s="5" t="s">
        <v>11</v>
      </c>
      <c r="H12" s="5" t="s">
        <v>13</v>
      </c>
      <c r="I12" s="5" t="s">
        <v>30</v>
      </c>
    </row>
    <row r="13" s="2" customFormat="1" ht="31.5" customHeight="1" spans="1:9">
      <c r="A13" s="18"/>
      <c r="B13" s="15" t="s">
        <v>31</v>
      </c>
      <c r="C13" s="15" t="s">
        <v>32</v>
      </c>
      <c r="D13" s="19" t="s">
        <v>650</v>
      </c>
      <c r="E13" s="20" t="s">
        <v>651</v>
      </c>
      <c r="F13" s="21" t="s">
        <v>652</v>
      </c>
      <c r="G13" s="5">
        <v>12.5</v>
      </c>
      <c r="H13" s="5">
        <v>12.5</v>
      </c>
      <c r="I13" s="23"/>
    </row>
    <row r="14" s="2" customFormat="1" ht="31.5" customHeight="1" spans="1:9">
      <c r="A14" s="18"/>
      <c r="B14" s="18"/>
      <c r="C14" s="15" t="s">
        <v>36</v>
      </c>
      <c r="D14" s="19" t="s">
        <v>653</v>
      </c>
      <c r="E14" s="21" t="s">
        <v>470</v>
      </c>
      <c r="F14" s="21" t="s">
        <v>470</v>
      </c>
      <c r="G14" s="5">
        <v>12.5</v>
      </c>
      <c r="H14" s="5">
        <v>12.5</v>
      </c>
      <c r="I14" s="23"/>
    </row>
    <row r="15" s="2" customFormat="1" ht="31.5" customHeight="1" spans="1:9">
      <c r="A15" s="18"/>
      <c r="B15" s="18"/>
      <c r="C15" s="15" t="s">
        <v>39</v>
      </c>
      <c r="D15" s="5" t="s">
        <v>40</v>
      </c>
      <c r="E15" s="22" t="s">
        <v>41</v>
      </c>
      <c r="F15" s="23" t="s">
        <v>41</v>
      </c>
      <c r="G15" s="5">
        <v>12.5</v>
      </c>
      <c r="H15" s="5">
        <v>12.5</v>
      </c>
      <c r="I15" s="5"/>
    </row>
    <row r="16" s="2" customFormat="1" ht="33.75" customHeight="1" spans="1:9">
      <c r="A16" s="18"/>
      <c r="B16" s="18"/>
      <c r="C16" s="15" t="s">
        <v>42</v>
      </c>
      <c r="D16" s="5" t="s">
        <v>240</v>
      </c>
      <c r="E16" s="24" t="s">
        <v>654</v>
      </c>
      <c r="F16" s="12" t="s">
        <v>655</v>
      </c>
      <c r="G16" s="5">
        <v>12.5</v>
      </c>
      <c r="H16" s="5">
        <v>12.5</v>
      </c>
      <c r="I16" s="5"/>
    </row>
    <row r="17" s="2" customFormat="1" ht="31.5" customHeight="1" spans="1:9">
      <c r="A17" s="18"/>
      <c r="B17" s="15" t="s">
        <v>45</v>
      </c>
      <c r="C17" s="15" t="s">
        <v>46</v>
      </c>
      <c r="D17" s="5" t="s">
        <v>162</v>
      </c>
      <c r="E17" s="5" t="s">
        <v>162</v>
      </c>
      <c r="F17" s="5" t="s">
        <v>162</v>
      </c>
      <c r="G17" s="5" t="s">
        <v>162</v>
      </c>
      <c r="H17" s="5" t="s">
        <v>162</v>
      </c>
      <c r="I17" s="5"/>
    </row>
    <row r="18" s="2" customFormat="1" ht="61.5" customHeight="1" spans="1:9">
      <c r="A18" s="18"/>
      <c r="B18" s="18"/>
      <c r="C18" s="15" t="s">
        <v>47</v>
      </c>
      <c r="D18" s="25" t="s">
        <v>656</v>
      </c>
      <c r="E18" s="25" t="s">
        <v>656</v>
      </c>
      <c r="F18" s="25" t="s">
        <v>656</v>
      </c>
      <c r="G18" s="5">
        <v>30</v>
      </c>
      <c r="H18" s="5">
        <v>30</v>
      </c>
      <c r="I18" s="5"/>
    </row>
    <row r="19" s="2" customFormat="1" ht="27.75" customHeight="1" spans="1:9">
      <c r="A19" s="18"/>
      <c r="B19" s="18"/>
      <c r="C19" s="15" t="s">
        <v>50</v>
      </c>
      <c r="D19" s="5" t="s">
        <v>162</v>
      </c>
      <c r="E19" s="5" t="s">
        <v>162</v>
      </c>
      <c r="F19" s="5" t="s">
        <v>162</v>
      </c>
      <c r="G19" s="5" t="s">
        <v>162</v>
      </c>
      <c r="H19" s="5" t="s">
        <v>162</v>
      </c>
      <c r="I19" s="5"/>
    </row>
    <row r="20" s="2" customFormat="1" ht="31.5" customHeight="1" spans="1:9">
      <c r="A20" s="18"/>
      <c r="B20" s="18"/>
      <c r="C20" s="15" t="s">
        <v>51</v>
      </c>
      <c r="D20" s="5" t="s">
        <v>162</v>
      </c>
      <c r="E20" s="5" t="s">
        <v>162</v>
      </c>
      <c r="F20" s="5" t="s">
        <v>162</v>
      </c>
      <c r="G20" s="5" t="s">
        <v>162</v>
      </c>
      <c r="H20" s="5" t="s">
        <v>162</v>
      </c>
      <c r="I20" s="5"/>
    </row>
    <row r="21" s="2" customFormat="1" ht="37.5" customHeight="1" spans="1:9">
      <c r="A21" s="18"/>
      <c r="B21" s="15" t="s">
        <v>52</v>
      </c>
      <c r="C21" s="15" t="s">
        <v>53</v>
      </c>
      <c r="D21" s="5" t="s">
        <v>362</v>
      </c>
      <c r="E21" s="26" t="s">
        <v>169</v>
      </c>
      <c r="F21" s="27">
        <v>0.95</v>
      </c>
      <c r="G21" s="5">
        <v>10</v>
      </c>
      <c r="H21" s="5">
        <v>10</v>
      </c>
      <c r="I21" s="5"/>
    </row>
    <row r="22" s="2" customFormat="1" customHeight="1" spans="1:9">
      <c r="A22" s="5" t="s">
        <v>56</v>
      </c>
      <c r="B22" s="5"/>
      <c r="C22" s="5"/>
      <c r="D22" s="5"/>
      <c r="E22" s="5"/>
      <c r="F22" s="5"/>
      <c r="G22" s="5">
        <f>SUM(G13:G21)+G6</f>
        <v>100</v>
      </c>
      <c r="H22" s="28">
        <f>SUM(H13:H21)+I6</f>
        <v>99.979797979798</v>
      </c>
      <c r="I22" s="5" t="s">
        <v>363</v>
      </c>
    </row>
  </sheetData>
  <mergeCells count="16">
    <mergeCell ref="A1:I1"/>
    <mergeCell ref="A2:I2"/>
    <mergeCell ref="A3:B3"/>
    <mergeCell ref="C3:I3"/>
    <mergeCell ref="A4:B4"/>
    <mergeCell ref="C4:E4"/>
    <mergeCell ref="G4:I4"/>
    <mergeCell ref="B10:E10"/>
    <mergeCell ref="F10:I10"/>
    <mergeCell ref="B11:E11"/>
    <mergeCell ref="F11:I11"/>
    <mergeCell ref="A10:A11"/>
    <mergeCell ref="A12:A21"/>
    <mergeCell ref="B13:B16"/>
    <mergeCell ref="B17:B20"/>
    <mergeCell ref="A5:B9"/>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58</vt:i4>
      </vt:variant>
    </vt:vector>
  </HeadingPairs>
  <TitlesOfParts>
    <vt:vector size="58" baseType="lpstr">
      <vt:lpstr>1.融合试点村（居）工作经费</vt:lpstr>
      <vt:lpstr>2.儿童关爱“十、百、千”示范点建设经费</vt:lpstr>
      <vt:lpstr>3.区精神障碍社区康复中心运营管理经费</vt:lpstr>
      <vt:lpstr>4.农村幸福院和居家社区养老服务中心</vt:lpstr>
      <vt:lpstr>5.社区居家养老服务补贴</vt:lpstr>
      <vt:lpstr>6.平潭政区图集编制费及路牌制作费</vt:lpstr>
      <vt:lpstr>7.城乡居民养老和医疗保险村级信息化平台建设经费</vt:lpstr>
      <vt:lpstr>8.福建师范大学平潭附属中学</vt:lpstr>
      <vt:lpstr>9.平潭社会福利中心</vt:lpstr>
      <vt:lpstr>10.平潭综合实验区公益性公墓</vt:lpstr>
      <vt:lpstr>11.新建金井湾社区卫生服务中心建设经费</vt:lpstr>
      <vt:lpstr>12.澳前社区卫生服务中心（红十字医院）</vt:lpstr>
      <vt:lpstr>13.动车站社区卫生服务中心</vt:lpstr>
      <vt:lpstr>14.全区医疗卫生机构安保人员经费</vt:lpstr>
      <vt:lpstr>15.县级医院定向培养本科临床医学人才委培费</vt:lpstr>
      <vt:lpstr>16.预防性体检补助</vt:lpstr>
      <vt:lpstr>17.世行贷款医改促进项目（县级卫生信息化建设）</vt:lpstr>
      <vt:lpstr>18.“三无”及肇事肇祸精神病人医疗费</vt:lpstr>
      <vt:lpstr>19.基层医疗卫生机构设备购置费</vt:lpstr>
      <vt:lpstr>20.基层医疗卫生机构修缮改造费用</vt:lpstr>
      <vt:lpstr>21.村医零差率改革补助经费</vt:lpstr>
      <vt:lpstr>22.基本公共卫生区级配套</vt:lpstr>
      <vt:lpstr>23.重大及突发公共卫生处置、防控经费</vt:lpstr>
      <vt:lpstr>24.农村孕产妇产前筛查区级配套</vt:lpstr>
      <vt:lpstr>25.三格化粪池户厕改造经费与前期无害化户厕末端衔接经费</vt:lpstr>
      <vt:lpstr>26.高考综合评估奖金</vt:lpstr>
      <vt:lpstr>27.普惠性幼儿园补助</vt:lpstr>
      <vt:lpstr>28.区级乡村少年宫运转经费</vt:lpstr>
      <vt:lpstr>29.税改转移支付资金</vt:lpstr>
      <vt:lpstr>30.教育费附加安排的支出</vt:lpstr>
      <vt:lpstr>31.中学乡土教材经费</vt:lpstr>
      <vt:lpstr>32.新校车购买费用</vt:lpstr>
      <vt:lpstr>33.教职工意外险及校园责任险</vt:lpstr>
      <vt:lpstr>34.校车运行费</vt:lpstr>
      <vt:lpstr>35.创建省区级示范性幼儿园奖励资金</vt:lpstr>
      <vt:lpstr>36.校车保险</vt:lpstr>
      <vt:lpstr>37.免作业簿</vt:lpstr>
      <vt:lpstr>38.学校安全管理及安全事故学生人身伤害救助</vt:lpstr>
      <vt:lpstr>39.探头租赁经费</vt:lpstr>
      <vt:lpstr>40.保安工资及团体险等</vt:lpstr>
      <vt:lpstr>41.中小学生运动会及各类赛事经费</vt:lpstr>
      <vt:lpstr>42.特教学生在外寄读交通补助</vt:lpstr>
      <vt:lpstr>43.平潭三中扩建（一期）</vt:lpstr>
      <vt:lpstr>44.平潭一中新校区（一、二期）</vt:lpstr>
      <vt:lpstr>45.平潭中湖小学</vt:lpstr>
      <vt:lpstr>46.平潭滨湖小学(一期）</vt:lpstr>
      <vt:lpstr>47.平原中心幼儿园（改扩建）</vt:lpstr>
      <vt:lpstr>48.苏澳中心幼儿园</vt:lpstr>
      <vt:lpstr>49.平潭中楼中心幼儿园</vt:lpstr>
      <vt:lpstr>50.平潭西航第一幼儿园</vt:lpstr>
      <vt:lpstr>51.平潭特殊教育学校建设项目（一期）</vt:lpstr>
      <vt:lpstr>52.流水中心小学（扩建）</vt:lpstr>
      <vt:lpstr>53.平潭敖东中心小学</vt:lpstr>
      <vt:lpstr>54.全区中小学、幼儿园租用费光纤项目</vt:lpstr>
      <vt:lpstr>55.信息技术学院学生补助</vt:lpstr>
      <vt:lpstr>56.不列编教师工资</vt:lpstr>
      <vt:lpstr>57.终身教育</vt:lpstr>
      <vt:lpstr>58.助学贷款贴息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云浣沙</cp:lastModifiedBy>
  <dcterms:created xsi:type="dcterms:W3CDTF">2008-09-11T17:22:00Z</dcterms:created>
  <dcterms:modified xsi:type="dcterms:W3CDTF">2021-09-02T09:17:59Z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