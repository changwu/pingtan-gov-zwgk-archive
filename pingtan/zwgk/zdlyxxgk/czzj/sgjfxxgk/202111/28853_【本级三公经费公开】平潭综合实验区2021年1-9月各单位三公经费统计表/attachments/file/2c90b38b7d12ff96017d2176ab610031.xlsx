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 activeTab="2"/>
  </bookViews>
  <sheets>
    <sheet name="对比数" sheetId="2" r:id="rId1"/>
    <sheet name="本年数" sheetId="3" r:id="rId2"/>
    <sheet name="Sheet1" sheetId="4" r:id="rId3"/>
  </sheets>
  <calcPr calcId="144525"/>
</workbook>
</file>

<file path=xl/sharedStrings.xml><?xml version="1.0" encoding="utf-8"?>
<sst xmlns="http://schemas.openxmlformats.org/spreadsheetml/2006/main" count="910" uniqueCount="313">
  <si>
    <t>2021年9月平潭综合实验区各单位三公经费统计表</t>
  </si>
  <si>
    <t>填报处室（盖章):税政处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</si>
  <si>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</si>
  <si>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</si>
  <si>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</si>
  <si>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</si>
  <si>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</si>
  <si>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</si>
  <si>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</si>
  <si>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</si>
  <si>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</si>
  <si>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</si>
  <si>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</si>
  <si>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</si>
  <si>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</si>
  <si>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</si>
  <si>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</si>
  <si>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</si>
  <si>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</si>
  <si>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</si>
  <si>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</si>
  <si>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</si>
  <si>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006001</t>
  </si>
  <si>
    <t>平潭综合实验区台湾工作部</t>
  </si>
  <si>
    <t>007001</t>
  </si>
  <si>
    <t>平潭综合实验区党工委巡察审计办公室</t>
  </si>
  <si>
    <t>0</t>
  </si>
  <si>
    <t>2367</t>
  </si>
  <si>
    <t>10607.5</t>
  </si>
  <si>
    <t>3101.5</t>
  </si>
  <si>
    <t>平潭综合实验区党工委宣传思想工作办公室</t>
  </si>
  <si>
    <t>平潭党工委党校</t>
  </si>
  <si>
    <t>026001</t>
  </si>
  <si>
    <t>平潭台胞台企服务中心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</si>
  <si>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</si>
  <si>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</si>
  <si>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</si>
  <si>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</si>
  <si>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</si>
  <si>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</si>
  <si>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</si>
  <si>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</si>
  <si>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</si>
  <si>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</si>
  <si>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</si>
  <si>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</si>
  <si>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</si>
  <si>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</si>
  <si>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</si>
  <si>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</si>
  <si>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</si>
  <si>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</si>
  <si>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</si>
  <si>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</si>
  <si>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</si>
  <si>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</si>
  <si>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</si>
  <si>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</si>
  <si>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</si>
  <si>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</si>
  <si>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</si>
  <si>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</si>
  <si>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</si>
  <si>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</si>
  <si>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017001</t>
  </si>
  <si>
    <t>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</si>
  <si>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</si>
  <si>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</si>
  <si>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</si>
  <si>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</si>
  <si>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</si>
  <si>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</si>
  <si>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</si>
  <si>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</si>
  <si>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</si>
  <si>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</si>
  <si>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</si>
  <si>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</si>
  <si>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</si>
  <si>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</si>
  <si>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</si>
  <si>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</si>
  <si>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</si>
  <si>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</si>
  <si>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</si>
  <si>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</si>
  <si>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</si>
  <si>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科学技术协会本级</t>
  </si>
  <si>
    <t>046008</t>
  </si>
  <si>
    <t>计划生育协会</t>
  </si>
  <si>
    <t>046009</t>
  </si>
  <si>
    <t>平潭综合实验区红十字会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</si>
  <si>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</si>
  <si>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</si>
  <si>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</si>
  <si>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</si>
  <si>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</si>
  <si>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</si>
  <si>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</si>
  <si>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</si>
  <si>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</si>
  <si>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</si>
  <si>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</si>
  <si>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</si>
  <si>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</si>
  <si>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</si>
  <si>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</si>
  <si>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</si>
  <si>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</si>
  <si>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</si>
  <si>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</si>
  <si>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</si>
  <si>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</si>
  <si>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</si>
  <si>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</si>
  <si>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</si>
  <si>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</si>
  <si>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</si>
  <si>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</si>
  <si>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</si>
  <si>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</si>
  <si>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</si>
  <si>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</si>
  <si>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</si>
  <si>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</si>
  <si>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</si>
  <si>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</si>
  <si>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</si>
  <si>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</si>
  <si>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</si>
  <si>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</si>
  <si>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</si>
  <si>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</si>
  <si>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</si>
  <si>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</si>
  <si>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</si>
  <si>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</si>
  <si>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</si>
  <si>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</si>
  <si>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</si>
  <si>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</si>
  <si>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</si>
  <si>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</si>
  <si>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</si>
  <si>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</si>
  <si>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</si>
  <si>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</si>
  <si>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</si>
  <si>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</si>
  <si>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</si>
  <si>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</si>
  <si>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</si>
  <si>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</si>
  <si>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</si>
  <si>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</si>
  <si>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</si>
  <si>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</si>
  <si>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</si>
  <si>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</si>
  <si>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</si>
  <si>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</si>
  <si>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</si>
  <si>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</si>
  <si>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</si>
  <si>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</si>
  <si>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</si>
  <si>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</si>
  <si>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</si>
  <si>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</si>
  <si>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</si>
  <si>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</si>
  <si>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</si>
  <si>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</si>
  <si>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</si>
  <si>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</si>
  <si>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</si>
  <si>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</si>
  <si>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</si>
  <si>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</si>
  <si>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</si>
  <si>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</si>
  <si>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</si>
  <si>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</si>
  <si>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</si>
  <si>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</si>
  <si>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</si>
  <si>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</si>
  <si>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</si>
  <si>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</si>
  <si>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</si>
  <si>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</si>
  <si>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</si>
  <si>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</si>
  <si>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</si>
  <si>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</si>
  <si>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</si>
  <si>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</si>
  <si>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</si>
  <si>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</si>
  <si>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</si>
  <si>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</si>
  <si>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</si>
  <si>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</si>
  <si>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</si>
  <si>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</si>
  <si>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</si>
  <si>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</si>
  <si>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</si>
  <si>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</si>
  <si>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</si>
  <si>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</si>
  <si>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</si>
  <si>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</si>
  <si>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</si>
  <si>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</si>
  <si>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</si>
  <si>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</si>
  <si>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</si>
  <si>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</si>
  <si>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</si>
  <si>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</si>
  <si>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</si>
  <si>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</si>
  <si>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</si>
  <si>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</si>
  <si>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</si>
  <si>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</si>
  <si>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</si>
  <si>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</si>
  <si>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</si>
  <si>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</si>
  <si>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</si>
  <si>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</si>
  <si>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</si>
  <si>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</si>
  <si>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</si>
  <si>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</si>
  <si>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</si>
  <si>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</si>
  <si>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</si>
  <si>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</si>
  <si>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</si>
  <si>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</si>
  <si>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</si>
  <si>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</si>
  <si>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</si>
  <si>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</si>
  <si>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</si>
  <si>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</si>
  <si>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</si>
  <si>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</si>
  <si>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</si>
  <si>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</si>
  <si>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</si>
  <si>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</si>
  <si>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</si>
  <si>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</si>
  <si>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</si>
  <si>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</si>
  <si>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</si>
  <si>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</si>
  <si>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</si>
  <si>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</si>
  <si>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</si>
  <si>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</si>
  <si>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</si>
  <si>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</si>
  <si>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</si>
  <si>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</si>
  <si>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</si>
  <si>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</si>
  <si>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</si>
  <si>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</si>
  <si>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</si>
  <si>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</si>
  <si>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</si>
  <si>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</si>
  <si>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</si>
  <si>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</si>
  <si>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</si>
  <si>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</si>
  <si>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</si>
  <si>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</si>
  <si>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</si>
  <si>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</si>
  <si>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</si>
  <si>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</si>
  <si>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</si>
  <si>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020001</t>
  </si>
  <si>
    <t>平潭综合实验区国有资产管理局</t>
  </si>
  <si>
    <t>032001</t>
  </si>
  <si>
    <t>平潭综合实验区招商与产业促进中心</t>
  </si>
  <si>
    <t>008001</t>
  </si>
  <si>
    <t>平潭综合实验区经济发展局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</si>
  <si>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</si>
  <si>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</si>
  <si>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</si>
  <si>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</si>
  <si>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</si>
  <si>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</si>
  <si>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</si>
  <si>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</si>
  <si>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</si>
  <si>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</si>
  <si>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平潭综合实验区2021年1-9月各单位三公经费统计表</t>
  </si>
  <si>
    <t>合计</t>
  </si>
  <si>
    <t>区公安局</t>
  </si>
  <si>
    <t>区财政金融局</t>
  </si>
  <si>
    <t>区财政金融事务服务中心</t>
  </si>
  <si>
    <t>区行政审批局</t>
  </si>
  <si>
    <t>区行政服务中心</t>
  </si>
  <si>
    <t>区看守所</t>
  </si>
  <si>
    <t>区拘留所</t>
  </si>
</sst>
</file>

<file path=xl/styles.xml><?xml version="1.0" encoding="utf-8"?>
<styleSheet xmlns="http://schemas.openxmlformats.org/spreadsheetml/2006/main">
  <numFmts count="7">
    <numFmt numFmtId="176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7" formatCode="0.00_ "/>
    <numFmt numFmtId="43" formatCode="_ * #,##0.00_ ;_ * \-#,##0.00_ ;_ * &quot;-&quot;??_ ;_ @_ "/>
    <numFmt numFmtId="178" formatCode="0_ "/>
  </numFmts>
  <fonts count="39">
    <font>
      <sz val="11"/>
      <color theme="1"/>
      <name val="宋体"/>
      <charset val="134"/>
      <scheme val="minor"/>
    </font>
    <font>
      <sz val="10"/>
      <color theme="1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23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2" fillId="7" borderId="12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21" borderId="13" applyNumberFormat="0" applyFon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5" fillId="26" borderId="16" applyNumberFormat="0" applyAlignment="0" applyProtection="0">
      <alignment vertical="center"/>
    </xf>
    <xf numFmtId="0" fontId="31" fillId="26" borderId="12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0" borderId="0">
      <alignment vertical="center"/>
    </xf>
    <xf numFmtId="0" fontId="16" fillId="0" borderId="0"/>
  </cellStyleXfs>
  <cellXfs count="6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5" fillId="0" borderId="3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6" fontId="7" fillId="2" borderId="1" xfId="0" applyNumberFormat="1" applyFont="1" applyFill="1" applyBorder="1" applyAlignment="1" applyProtection="1">
      <alignment horizontal="center" vertical="center" shrinkToFit="1"/>
    </xf>
    <xf numFmtId="49" fontId="8" fillId="0" borderId="3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49" fontId="10" fillId="0" borderId="3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4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vertical="center" wrapText="1"/>
    </xf>
    <xf numFmtId="177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49" fontId="12" fillId="0" borderId="3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center"/>
    </xf>
    <xf numFmtId="0" fontId="9" fillId="0" borderId="1" xfId="0" applyFont="1" applyBorder="1" applyAlignment="1">
      <alignment vertical="center" wrapText="1"/>
    </xf>
    <xf numFmtId="49" fontId="5" fillId="0" borderId="5" xfId="0" applyNumberFormat="1" applyFont="1" applyFill="1" applyBorder="1" applyAlignment="1" applyProtection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7" fillId="2" borderId="1" xfId="0" applyNumberFormat="1" applyFont="1" applyFill="1" applyBorder="1" applyAlignment="1" applyProtection="1">
      <alignment horizontal="center" vertical="center" shrinkToFit="1"/>
    </xf>
    <xf numFmtId="0" fontId="8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7" fontId="7" fillId="2" borderId="1" xfId="0" applyNumberFormat="1" applyFont="1" applyFill="1" applyBorder="1" applyAlignment="1" applyProtection="1">
      <alignment horizontal="center" vertical="center" shrinkToFit="1"/>
    </xf>
    <xf numFmtId="178" fontId="8" fillId="0" borderId="1" xfId="0" applyNumberFormat="1" applyFont="1" applyFill="1" applyBorder="1" applyAlignment="1" applyProtection="1">
      <alignment horizontal="center" vertical="center" shrinkToFit="1"/>
    </xf>
    <xf numFmtId="177" fontId="8" fillId="0" borderId="1" xfId="0" applyNumberFormat="1" applyFont="1" applyFill="1" applyBorder="1" applyAlignment="1" applyProtection="1">
      <alignment horizontal="center" shrinkToFi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5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 applyProtection="1">
      <alignment horizontal="center" vertical="center" shrinkToFit="1"/>
    </xf>
    <xf numFmtId="176" fontId="8" fillId="0" borderId="1" xfId="0" applyNumberFormat="1" applyFont="1" applyFill="1" applyBorder="1" applyAlignment="1" applyProtection="1">
      <alignment horizontal="center" shrinkToFit="1"/>
    </xf>
    <xf numFmtId="0" fontId="16" fillId="3" borderId="1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 applyProtection="1">
      <alignment horizontal="right" shrinkToFit="1"/>
    </xf>
    <xf numFmtId="177" fontId="8" fillId="3" borderId="1" xfId="0" applyNumberFormat="1" applyFont="1" applyFill="1" applyBorder="1" applyAlignment="1" applyProtection="1">
      <alignment horizontal="right" shrinkToFit="1"/>
    </xf>
    <xf numFmtId="176" fontId="5" fillId="3" borderId="1" xfId="0" applyNumberFormat="1" applyFont="1" applyFill="1" applyBorder="1" applyAlignment="1" applyProtection="1">
      <alignment horizontal="right" shrinkToFi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177" fontId="8" fillId="3" borderId="1" xfId="0" applyNumberFormat="1" applyFont="1" applyFill="1" applyBorder="1" applyAlignment="1" applyProtection="1">
      <alignment horizontal="center" vertical="center" shrinkToFit="1"/>
    </xf>
    <xf numFmtId="0" fontId="5" fillId="0" borderId="1" xfId="0" applyFont="1" applyFill="1" applyBorder="1" applyAlignment="1">
      <alignment horizontal="left" wrapText="1"/>
    </xf>
    <xf numFmtId="0" fontId="5" fillId="2" borderId="9" xfId="0" applyNumberFormat="1" applyFont="1" applyFill="1" applyBorder="1" applyAlignment="1" applyProtection="1">
      <alignment vertical="center"/>
    </xf>
    <xf numFmtId="0" fontId="8" fillId="0" borderId="1" xfId="0" applyFont="1" applyBorder="1" applyAlignment="1">
      <alignment horizontal="center" vertical="center" wrapText="1"/>
    </xf>
    <xf numFmtId="176" fontId="17" fillId="3" borderId="1" xfId="0" applyNumberFormat="1" applyFont="1" applyFill="1" applyBorder="1" applyAlignment="1" applyProtection="1">
      <alignment vertical="center" shrinkToFit="1"/>
    </xf>
    <xf numFmtId="0" fontId="5" fillId="0" borderId="1" xfId="0" applyFont="1" applyBorder="1" applyAlignment="1">
      <alignment horizontal="left" wrapText="1"/>
    </xf>
    <xf numFmtId="177" fontId="8" fillId="3" borderId="1" xfId="0" applyNumberFormat="1" applyFont="1" applyFill="1" applyBorder="1" applyAlignment="1" applyProtection="1">
      <alignment horizontal="center" shrinkToFit="1"/>
    </xf>
    <xf numFmtId="177" fontId="17" fillId="3" borderId="1" xfId="0" applyNumberFormat="1" applyFont="1" applyFill="1" applyBorder="1" applyAlignment="1" applyProtection="1">
      <alignment horizontal="center" vertical="center" shrinkToFit="1"/>
    </xf>
    <xf numFmtId="177" fontId="5" fillId="0" borderId="1" xfId="0" applyNumberFormat="1" applyFont="1" applyFill="1" applyBorder="1" applyAlignment="1" applyProtection="1">
      <alignment horizontal="center" shrinkToFit="1"/>
    </xf>
    <xf numFmtId="177" fontId="8" fillId="0" borderId="1" xfId="0" applyNumberFormat="1" applyFont="1" applyFill="1" applyBorder="1" applyAlignment="1" applyProtection="1">
      <alignment horizontal="center" vertical="center" shrinkToFit="1"/>
    </xf>
    <xf numFmtId="49" fontId="5" fillId="0" borderId="3" xfId="0" applyNumberFormat="1" applyFont="1" applyFill="1" applyBorder="1" applyAlignment="1" quotePrefix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64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2"/>
  <sheetViews>
    <sheetView workbookViewId="0">
      <selection activeCell="A1" sqref="$A1:$XFD1048576"/>
    </sheetView>
  </sheetViews>
  <sheetFormatPr defaultColWidth="9" defaultRowHeight="13.5"/>
  <sheetData>
    <row r="1" ht="22.5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27" t="s">
        <v>1</v>
      </c>
      <c r="B2" s="27"/>
      <c r="C2" s="27"/>
      <c r="D2" s="28"/>
      <c r="E2" s="28"/>
      <c r="F2" s="28"/>
      <c r="G2" s="28"/>
      <c r="H2" s="28"/>
      <c r="I2" s="29"/>
      <c r="J2" s="29"/>
      <c r="K2" s="29"/>
      <c r="L2" s="30" t="s">
        <v>2</v>
      </c>
      <c r="M2" s="30"/>
      <c r="N2" s="30"/>
    </row>
    <row r="3" spans="1:14">
      <c r="A3" s="6" t="s">
        <v>3</v>
      </c>
      <c r="B3" s="7" t="s">
        <v>4</v>
      </c>
      <c r="C3" s="36" t="s">
        <v>5</v>
      </c>
      <c r="D3" s="37"/>
      <c r="E3" s="38"/>
      <c r="F3" s="39" t="s">
        <v>6</v>
      </c>
      <c r="G3" s="40"/>
      <c r="H3" s="41"/>
      <c r="I3" s="36" t="s">
        <v>7</v>
      </c>
      <c r="J3" s="37"/>
      <c r="K3" s="38"/>
      <c r="L3" s="36" t="s">
        <v>8</v>
      </c>
      <c r="M3" s="37"/>
      <c r="N3" s="38"/>
    </row>
    <row r="4" spans="1:14">
      <c r="A4" s="6"/>
      <c r="B4" s="42"/>
      <c r="C4" s="6">
        <v>2020</v>
      </c>
      <c r="D4" s="8">
        <v>2021</v>
      </c>
      <c r="E4" s="8" t="s">
        <v>9</v>
      </c>
      <c r="F4" s="6">
        <v>2020</v>
      </c>
      <c r="G4" s="8">
        <v>2021</v>
      </c>
      <c r="H4" s="8" t="s">
        <v>9</v>
      </c>
      <c r="I4" s="6">
        <v>2020</v>
      </c>
      <c r="J4" s="8">
        <v>2021</v>
      </c>
      <c r="K4" s="8" t="s">
        <v>9</v>
      </c>
      <c r="L4" s="6">
        <v>2020</v>
      </c>
      <c r="M4" s="8">
        <v>2021</v>
      </c>
      <c r="N4" s="8" t="s">
        <v>9</v>
      </c>
    </row>
    <row r="5" ht="36" spans="1:14">
      <c r="A5" s="9" t="s">
        <v>10</v>
      </c>
      <c r="B5" s="35" t="s">
        <v>11</v>
      </c>
      <c r="C5" s="11">
        <v>0</v>
      </c>
      <c r="D5" s="11">
        <v>0</v>
      </c>
      <c r="E5" s="43">
        <f>D5-C5</f>
        <v>0</v>
      </c>
      <c r="F5" s="11">
        <v>11288</v>
      </c>
      <c r="G5" s="11">
        <v>16242</v>
      </c>
      <c r="H5" s="43">
        <f>G5-F5</f>
        <v>4954</v>
      </c>
      <c r="I5" s="11">
        <v>6036.5</v>
      </c>
      <c r="J5" s="11">
        <v>5034.25</v>
      </c>
      <c r="K5" s="48">
        <f>J5-I5</f>
        <v>-1002.25</v>
      </c>
      <c r="L5" s="11">
        <f t="shared" ref="L5:M30" si="0">C5+F5+I5</f>
        <v>17324.5</v>
      </c>
      <c r="M5" s="11">
        <f t="shared" si="0"/>
        <v>21276.25</v>
      </c>
      <c r="N5" s="43">
        <f>M5-L5</f>
        <v>3951.75</v>
      </c>
    </row>
    <row r="6" ht="36" spans="1:14">
      <c r="A6" s="12" t="s">
        <v>12</v>
      </c>
      <c r="B6" s="33" t="s">
        <v>13</v>
      </c>
      <c r="C6" s="34">
        <v>0</v>
      </c>
      <c r="D6" s="34">
        <v>0</v>
      </c>
      <c r="E6" s="44">
        <f t="shared" ref="E6:E69" si="1">D6-C6</f>
        <v>0</v>
      </c>
      <c r="F6" s="34">
        <v>11734</v>
      </c>
      <c r="G6" s="34">
        <v>15020</v>
      </c>
      <c r="H6" s="45">
        <f t="shared" ref="H6:H69" si="2">G6-F6</f>
        <v>3286</v>
      </c>
      <c r="I6" s="34">
        <v>11236.5</v>
      </c>
      <c r="J6" s="34">
        <v>7665.81</v>
      </c>
      <c r="K6" s="45">
        <f t="shared" ref="K6:K69" si="3">J6-I6</f>
        <v>-3570.69</v>
      </c>
      <c r="L6" s="49">
        <f t="shared" si="0"/>
        <v>22970.5</v>
      </c>
      <c r="M6" s="49">
        <f t="shared" si="0"/>
        <v>22685.81</v>
      </c>
      <c r="N6" s="45">
        <f t="shared" ref="N6:N69" si="4">M6-L6</f>
        <v>-284.689999999999</v>
      </c>
    </row>
    <row r="7" ht="48" spans="1:14">
      <c r="A7" s="12" t="s">
        <v>14</v>
      </c>
      <c r="B7" s="46" t="s">
        <v>15</v>
      </c>
      <c r="C7" s="34">
        <v>0</v>
      </c>
      <c r="D7" s="34">
        <v>0</v>
      </c>
      <c r="E7" s="44">
        <f t="shared" si="1"/>
        <v>0</v>
      </c>
      <c r="F7" s="34">
        <v>21210</v>
      </c>
      <c r="G7" s="34">
        <v>5452</v>
      </c>
      <c r="H7" s="45">
        <f t="shared" si="2"/>
        <v>-15758</v>
      </c>
      <c r="I7" s="34">
        <v>100373.39</v>
      </c>
      <c r="J7" s="34">
        <v>115251.31</v>
      </c>
      <c r="K7" s="45">
        <f t="shared" si="3"/>
        <v>14877.92</v>
      </c>
      <c r="L7" s="49">
        <f t="shared" si="0"/>
        <v>121583.39</v>
      </c>
      <c r="M7" s="49">
        <f t="shared" si="0"/>
        <v>120703.31</v>
      </c>
      <c r="N7" s="45">
        <f t="shared" si="4"/>
        <v>-880.080000000002</v>
      </c>
    </row>
    <row r="8" ht="48" spans="1:14">
      <c r="A8" s="12" t="s">
        <v>16</v>
      </c>
      <c r="B8" s="33" t="s">
        <v>17</v>
      </c>
      <c r="C8" s="34">
        <v>17874</v>
      </c>
      <c r="D8" s="34">
        <v>0</v>
      </c>
      <c r="E8" s="44">
        <f t="shared" si="1"/>
        <v>-17874</v>
      </c>
      <c r="F8" s="34">
        <v>465397</v>
      </c>
      <c r="G8" s="34">
        <v>374351</v>
      </c>
      <c r="H8" s="45">
        <f t="shared" si="2"/>
        <v>-91046</v>
      </c>
      <c r="I8" s="34">
        <v>561124.99</v>
      </c>
      <c r="J8" s="34">
        <v>406560.28</v>
      </c>
      <c r="K8" s="45">
        <f t="shared" si="3"/>
        <v>-154564.71</v>
      </c>
      <c r="L8" s="49">
        <f t="shared" si="0"/>
        <v>1044395.99</v>
      </c>
      <c r="M8" s="49">
        <f t="shared" si="0"/>
        <v>780911.28</v>
      </c>
      <c r="N8" s="45">
        <f t="shared" si="4"/>
        <v>-263484.71</v>
      </c>
    </row>
    <row r="9" ht="36" spans="1:14">
      <c r="A9" s="12" t="s">
        <v>18</v>
      </c>
      <c r="B9" s="33" t="s">
        <v>19</v>
      </c>
      <c r="C9" s="47">
        <v>0</v>
      </c>
      <c r="D9" s="47">
        <v>0</v>
      </c>
      <c r="E9" s="44">
        <f t="shared" si="1"/>
        <v>0</v>
      </c>
      <c r="F9" s="47">
        <v>2840</v>
      </c>
      <c r="G9" s="47">
        <v>0</v>
      </c>
      <c r="H9" s="45">
        <f t="shared" si="2"/>
        <v>-2840</v>
      </c>
      <c r="I9" s="34">
        <v>32053.58</v>
      </c>
      <c r="J9" s="34">
        <v>21784.42</v>
      </c>
      <c r="K9" s="45">
        <f t="shared" si="3"/>
        <v>-10269.16</v>
      </c>
      <c r="L9" s="49">
        <f t="shared" si="0"/>
        <v>34893.58</v>
      </c>
      <c r="M9" s="49">
        <f t="shared" si="0"/>
        <v>21784.42</v>
      </c>
      <c r="N9" s="45">
        <f t="shared" si="4"/>
        <v>-13109.16</v>
      </c>
    </row>
    <row r="10" ht="36" spans="1:14">
      <c r="A10" s="9" t="s">
        <v>20</v>
      </c>
      <c r="B10" s="35" t="s">
        <v>21</v>
      </c>
      <c r="C10" s="11">
        <v>0</v>
      </c>
      <c r="D10" s="11">
        <v>0</v>
      </c>
      <c r="E10" s="43">
        <f t="shared" si="1"/>
        <v>0</v>
      </c>
      <c r="F10" s="11">
        <v>34958</v>
      </c>
      <c r="G10" s="11">
        <v>37189</v>
      </c>
      <c r="H10" s="43">
        <f t="shared" si="2"/>
        <v>2231</v>
      </c>
      <c r="I10" s="11">
        <v>36004.55</v>
      </c>
      <c r="J10" s="11">
        <v>49643</v>
      </c>
      <c r="K10" s="48">
        <f t="shared" si="3"/>
        <v>13638.45</v>
      </c>
      <c r="L10" s="11">
        <f t="shared" si="0"/>
        <v>70962.55</v>
      </c>
      <c r="M10" s="11">
        <f t="shared" si="0"/>
        <v>86832</v>
      </c>
      <c r="N10" s="43">
        <f t="shared" si="4"/>
        <v>15869.45</v>
      </c>
    </row>
    <row r="11" ht="36" spans="1:14">
      <c r="A11" s="12" t="s">
        <v>22</v>
      </c>
      <c r="B11" s="33" t="s">
        <v>23</v>
      </c>
      <c r="C11" s="34">
        <v>0</v>
      </c>
      <c r="D11" s="34">
        <v>0</v>
      </c>
      <c r="E11" s="44">
        <f t="shared" si="1"/>
        <v>0</v>
      </c>
      <c r="F11" s="34">
        <v>21559</v>
      </c>
      <c r="G11" s="34">
        <v>26711</v>
      </c>
      <c r="H11" s="45">
        <f t="shared" si="2"/>
        <v>5152</v>
      </c>
      <c r="I11" s="34">
        <v>19814.5</v>
      </c>
      <c r="J11" s="34">
        <v>21534.25</v>
      </c>
      <c r="K11" s="45">
        <f t="shared" si="3"/>
        <v>1719.75</v>
      </c>
      <c r="L11" s="49">
        <f t="shared" si="0"/>
        <v>41373.5</v>
      </c>
      <c r="M11" s="49">
        <f t="shared" si="0"/>
        <v>48245.25</v>
      </c>
      <c r="N11" s="45">
        <f t="shared" si="4"/>
        <v>6871.75</v>
      </c>
    </row>
    <row r="12" ht="48" spans="1:14">
      <c r="A12" s="12" t="s">
        <v>24</v>
      </c>
      <c r="B12" s="46" t="s">
        <v>25</v>
      </c>
      <c r="C12" s="34" t="s">
        <v>26</v>
      </c>
      <c r="D12" s="34" t="s">
        <v>26</v>
      </c>
      <c r="E12" s="44">
        <f t="shared" si="1"/>
        <v>0</v>
      </c>
      <c r="F12" s="34" t="s">
        <v>26</v>
      </c>
      <c r="G12" s="34" t="s">
        <v>27</v>
      </c>
      <c r="H12" s="45">
        <f t="shared" si="2"/>
        <v>2367</v>
      </c>
      <c r="I12" s="34" t="s">
        <v>28</v>
      </c>
      <c r="J12" s="34" t="s">
        <v>29</v>
      </c>
      <c r="K12" s="45">
        <f t="shared" si="3"/>
        <v>-7506</v>
      </c>
      <c r="L12" s="49">
        <f t="shared" si="0"/>
        <v>10607.5</v>
      </c>
      <c r="M12" s="49">
        <f t="shared" si="0"/>
        <v>5468.5</v>
      </c>
      <c r="N12" s="45">
        <f t="shared" si="4"/>
        <v>-5139</v>
      </c>
    </row>
    <row r="13" ht="48" spans="1:14">
      <c r="A13" s="12">
        <v>21001</v>
      </c>
      <c r="B13" s="33" t="s">
        <v>30</v>
      </c>
      <c r="C13" s="34">
        <v>0</v>
      </c>
      <c r="D13" s="34">
        <v>0</v>
      </c>
      <c r="E13" s="44">
        <f t="shared" si="1"/>
        <v>0</v>
      </c>
      <c r="F13" s="34">
        <v>20635</v>
      </c>
      <c r="G13" s="34">
        <v>33730</v>
      </c>
      <c r="H13" s="45">
        <f t="shared" si="2"/>
        <v>13095</v>
      </c>
      <c r="I13" s="34">
        <v>12152.25</v>
      </c>
      <c r="J13" s="34">
        <v>21188.3</v>
      </c>
      <c r="K13" s="45">
        <f t="shared" si="3"/>
        <v>9036.05</v>
      </c>
      <c r="L13" s="49">
        <f t="shared" si="0"/>
        <v>32787.25</v>
      </c>
      <c r="M13" s="49">
        <f t="shared" si="0"/>
        <v>54918.3</v>
      </c>
      <c r="N13" s="45">
        <f t="shared" si="4"/>
        <v>22131.05</v>
      </c>
    </row>
    <row r="14" ht="24" spans="1:14">
      <c r="A14" s="12">
        <v>25001</v>
      </c>
      <c r="B14" s="33" t="s">
        <v>31</v>
      </c>
      <c r="C14" s="47">
        <v>0</v>
      </c>
      <c r="D14" s="47">
        <v>0</v>
      </c>
      <c r="E14" s="44">
        <f t="shared" si="1"/>
        <v>0</v>
      </c>
      <c r="F14" s="47">
        <v>1747</v>
      </c>
      <c r="G14" s="47">
        <v>1119</v>
      </c>
      <c r="H14" s="45">
        <f t="shared" si="2"/>
        <v>-628</v>
      </c>
      <c r="I14" s="34">
        <v>0</v>
      </c>
      <c r="J14" s="34">
        <v>0</v>
      </c>
      <c r="K14" s="45">
        <f t="shared" si="3"/>
        <v>0</v>
      </c>
      <c r="L14" s="49">
        <f t="shared" si="0"/>
        <v>1747</v>
      </c>
      <c r="M14" s="49">
        <f t="shared" si="0"/>
        <v>1119</v>
      </c>
      <c r="N14" s="45">
        <f t="shared" si="4"/>
        <v>-628</v>
      </c>
    </row>
    <row r="15" ht="24" spans="1:14">
      <c r="A15" s="9" t="s">
        <v>32</v>
      </c>
      <c r="B15" s="35" t="s">
        <v>33</v>
      </c>
      <c r="C15" s="11">
        <v>0</v>
      </c>
      <c r="D15" s="11">
        <v>0</v>
      </c>
      <c r="E15" s="43">
        <f t="shared" si="1"/>
        <v>0</v>
      </c>
      <c r="F15" s="11">
        <v>0</v>
      </c>
      <c r="G15" s="11">
        <v>1300</v>
      </c>
      <c r="H15" s="43">
        <f t="shared" si="2"/>
        <v>1300</v>
      </c>
      <c r="I15" s="11">
        <v>0</v>
      </c>
      <c r="J15" s="11">
        <v>0</v>
      </c>
      <c r="K15" s="48">
        <f t="shared" si="3"/>
        <v>0</v>
      </c>
      <c r="L15" s="11">
        <f t="shared" si="0"/>
        <v>0</v>
      </c>
      <c r="M15" s="11">
        <f t="shared" si="0"/>
        <v>1300</v>
      </c>
      <c r="N15" s="43">
        <f t="shared" si="4"/>
        <v>1300</v>
      </c>
    </row>
    <row r="16" ht="36" spans="1:14">
      <c r="A16" s="12" t="s">
        <v>34</v>
      </c>
      <c r="B16" s="33" t="s">
        <v>35</v>
      </c>
      <c r="C16" s="34">
        <v>0</v>
      </c>
      <c r="D16" s="34">
        <v>0</v>
      </c>
      <c r="E16" s="44">
        <f t="shared" si="1"/>
        <v>0</v>
      </c>
      <c r="F16" s="34">
        <v>1230</v>
      </c>
      <c r="G16" s="34">
        <v>2310</v>
      </c>
      <c r="H16" s="45">
        <f t="shared" si="2"/>
        <v>1080</v>
      </c>
      <c r="I16" s="34">
        <v>122520.48</v>
      </c>
      <c r="J16" s="34">
        <v>141594.04</v>
      </c>
      <c r="K16" s="45">
        <f t="shared" si="3"/>
        <v>19073.56</v>
      </c>
      <c r="L16" s="49">
        <f t="shared" si="0"/>
        <v>123750.48</v>
      </c>
      <c r="M16" s="49">
        <f t="shared" si="0"/>
        <v>143904.04</v>
      </c>
      <c r="N16" s="45">
        <f t="shared" si="4"/>
        <v>20153.56</v>
      </c>
    </row>
    <row r="17" ht="24" spans="1:14">
      <c r="A17" s="12" t="s">
        <v>36</v>
      </c>
      <c r="B17" s="46" t="s">
        <v>37</v>
      </c>
      <c r="C17" s="34">
        <v>0</v>
      </c>
      <c r="D17" s="34">
        <v>0</v>
      </c>
      <c r="E17" s="44">
        <f t="shared" si="1"/>
        <v>0</v>
      </c>
      <c r="F17" s="34">
        <v>0</v>
      </c>
      <c r="G17" s="34">
        <v>900</v>
      </c>
      <c r="H17" s="45">
        <f t="shared" si="2"/>
        <v>900</v>
      </c>
      <c r="I17" s="34">
        <v>0</v>
      </c>
      <c r="J17" s="34">
        <v>0</v>
      </c>
      <c r="K17" s="45">
        <f t="shared" si="3"/>
        <v>0</v>
      </c>
      <c r="L17" s="49">
        <f t="shared" si="0"/>
        <v>0</v>
      </c>
      <c r="M17" s="49">
        <f t="shared" si="0"/>
        <v>900</v>
      </c>
      <c r="N17" s="45">
        <f t="shared" si="4"/>
        <v>900</v>
      </c>
    </row>
    <row r="18" ht="48" spans="1:14">
      <c r="A18" s="12" t="s">
        <v>38</v>
      </c>
      <c r="B18" s="33" t="s">
        <v>39</v>
      </c>
      <c r="C18" s="34">
        <v>0</v>
      </c>
      <c r="D18" s="34">
        <v>0</v>
      </c>
      <c r="E18" s="44">
        <f t="shared" si="1"/>
        <v>0</v>
      </c>
      <c r="F18" s="34">
        <v>0</v>
      </c>
      <c r="G18" s="34">
        <v>0</v>
      </c>
      <c r="H18" s="45">
        <f t="shared" si="2"/>
        <v>0</v>
      </c>
      <c r="I18" s="34">
        <v>0</v>
      </c>
      <c r="J18" s="34">
        <v>0</v>
      </c>
      <c r="K18" s="45">
        <f t="shared" si="3"/>
        <v>0</v>
      </c>
      <c r="L18" s="49">
        <f t="shared" si="0"/>
        <v>0</v>
      </c>
      <c r="M18" s="49">
        <f t="shared" si="0"/>
        <v>0</v>
      </c>
      <c r="N18" s="45">
        <f t="shared" si="4"/>
        <v>0</v>
      </c>
    </row>
    <row r="19" spans="1:14">
      <c r="A19" s="12" t="s">
        <v>40</v>
      </c>
      <c r="B19" s="33" t="s">
        <v>41</v>
      </c>
      <c r="C19" s="47">
        <v>0</v>
      </c>
      <c r="D19" s="47">
        <v>0</v>
      </c>
      <c r="E19" s="44">
        <f t="shared" si="1"/>
        <v>0</v>
      </c>
      <c r="F19" s="47">
        <v>34148</v>
      </c>
      <c r="G19" s="47">
        <v>2112</v>
      </c>
      <c r="H19" s="45">
        <f t="shared" si="2"/>
        <v>-32036</v>
      </c>
      <c r="I19" s="34">
        <v>1717004.83</v>
      </c>
      <c r="J19" s="34">
        <v>2393659.55</v>
      </c>
      <c r="K19" s="45">
        <f t="shared" si="3"/>
        <v>676654.72</v>
      </c>
      <c r="L19" s="49">
        <f t="shared" si="0"/>
        <v>1751152.83</v>
      </c>
      <c r="M19" s="49">
        <f t="shared" si="0"/>
        <v>2395771.55</v>
      </c>
      <c r="N19" s="45">
        <f t="shared" si="4"/>
        <v>644618.72</v>
      </c>
    </row>
    <row r="20" spans="1:14">
      <c r="A20" s="9" t="s">
        <v>42</v>
      </c>
      <c r="B20" s="35" t="s">
        <v>43</v>
      </c>
      <c r="C20" s="11">
        <v>0</v>
      </c>
      <c r="D20" s="11">
        <v>0</v>
      </c>
      <c r="E20" s="43">
        <f t="shared" si="1"/>
        <v>0</v>
      </c>
      <c r="F20" s="11">
        <v>0</v>
      </c>
      <c r="G20" s="11">
        <v>0</v>
      </c>
      <c r="H20" s="43">
        <f t="shared" si="2"/>
        <v>0</v>
      </c>
      <c r="I20" s="11">
        <v>20772.6</v>
      </c>
      <c r="J20" s="11">
        <v>22963.71</v>
      </c>
      <c r="K20" s="48">
        <f t="shared" si="3"/>
        <v>2191.11</v>
      </c>
      <c r="L20" s="11">
        <f t="shared" si="0"/>
        <v>20772.6</v>
      </c>
      <c r="M20" s="11">
        <f t="shared" si="0"/>
        <v>22963.71</v>
      </c>
      <c r="N20" s="43">
        <f t="shared" si="4"/>
        <v>2191.11</v>
      </c>
    </row>
    <row r="21" spans="1:14">
      <c r="A21" s="12" t="s">
        <v>44</v>
      </c>
      <c r="B21" s="33" t="s">
        <v>45</v>
      </c>
      <c r="C21" s="34">
        <v>0</v>
      </c>
      <c r="D21" s="34">
        <v>0</v>
      </c>
      <c r="E21" s="44">
        <f t="shared" si="1"/>
        <v>0</v>
      </c>
      <c r="F21" s="34">
        <v>0</v>
      </c>
      <c r="G21" s="34">
        <v>0</v>
      </c>
      <c r="H21" s="45">
        <f t="shared" si="2"/>
        <v>0</v>
      </c>
      <c r="I21" s="34">
        <v>260</v>
      </c>
      <c r="J21" s="34">
        <v>260</v>
      </c>
      <c r="K21" s="45">
        <f t="shared" si="3"/>
        <v>0</v>
      </c>
      <c r="L21" s="49">
        <f t="shared" si="0"/>
        <v>260</v>
      </c>
      <c r="M21" s="49">
        <f t="shared" si="0"/>
        <v>260</v>
      </c>
      <c r="N21" s="45">
        <f t="shared" si="4"/>
        <v>0</v>
      </c>
    </row>
    <row r="22" spans="1:14">
      <c r="A22" s="12" t="s">
        <v>46</v>
      </c>
      <c r="B22" s="46" t="s">
        <v>47</v>
      </c>
      <c r="C22" s="34">
        <v>12514</v>
      </c>
      <c r="D22" s="34">
        <v>0</v>
      </c>
      <c r="E22" s="44">
        <f t="shared" si="1"/>
        <v>-12514</v>
      </c>
      <c r="F22" s="34">
        <v>1788</v>
      </c>
      <c r="G22" s="34">
        <v>8130</v>
      </c>
      <c r="H22" s="45">
        <f t="shared" si="2"/>
        <v>6342</v>
      </c>
      <c r="I22" s="34">
        <v>6143</v>
      </c>
      <c r="J22" s="34">
        <v>20448.35</v>
      </c>
      <c r="K22" s="45">
        <f t="shared" si="3"/>
        <v>14305.35</v>
      </c>
      <c r="L22" s="49">
        <f t="shared" si="0"/>
        <v>20445</v>
      </c>
      <c r="M22" s="49">
        <f t="shared" si="0"/>
        <v>28578.35</v>
      </c>
      <c r="N22" s="45">
        <f t="shared" si="4"/>
        <v>8133.35</v>
      </c>
    </row>
    <row r="23" ht="24" spans="1:14">
      <c r="A23" s="12" t="s">
        <v>48</v>
      </c>
      <c r="B23" s="33" t="s">
        <v>49</v>
      </c>
      <c r="C23" s="34">
        <v>0</v>
      </c>
      <c r="D23" s="34">
        <v>0</v>
      </c>
      <c r="E23" s="44">
        <f t="shared" si="1"/>
        <v>0</v>
      </c>
      <c r="F23" s="34">
        <v>0</v>
      </c>
      <c r="G23" s="34">
        <v>0</v>
      </c>
      <c r="H23" s="45">
        <f t="shared" si="2"/>
        <v>0</v>
      </c>
      <c r="I23" s="34">
        <v>6359.9</v>
      </c>
      <c r="J23" s="34">
        <v>7677.42</v>
      </c>
      <c r="K23" s="45">
        <f t="shared" si="3"/>
        <v>1317.52</v>
      </c>
      <c r="L23" s="49">
        <f t="shared" si="0"/>
        <v>6359.9</v>
      </c>
      <c r="M23" s="49">
        <f t="shared" si="0"/>
        <v>7677.42</v>
      </c>
      <c r="N23" s="45">
        <f t="shared" si="4"/>
        <v>1317.52</v>
      </c>
    </row>
    <row r="24" spans="1:14">
      <c r="A24" s="12" t="s">
        <v>50</v>
      </c>
      <c r="B24" s="33" t="s">
        <v>51</v>
      </c>
      <c r="C24" s="47">
        <v>0</v>
      </c>
      <c r="D24" s="47">
        <v>0</v>
      </c>
      <c r="E24" s="44">
        <f t="shared" si="1"/>
        <v>0</v>
      </c>
      <c r="F24" s="47">
        <v>7040</v>
      </c>
      <c r="G24" s="47">
        <v>5590</v>
      </c>
      <c r="H24" s="45">
        <f t="shared" si="2"/>
        <v>-1450</v>
      </c>
      <c r="I24" s="34">
        <v>4107.3</v>
      </c>
      <c r="J24" s="34">
        <v>4606</v>
      </c>
      <c r="K24" s="45">
        <f t="shared" si="3"/>
        <v>498.7</v>
      </c>
      <c r="L24" s="49">
        <f t="shared" si="0"/>
        <v>11147.3</v>
      </c>
      <c r="M24" s="49">
        <f t="shared" si="0"/>
        <v>10196</v>
      </c>
      <c r="N24" s="45">
        <f t="shared" si="4"/>
        <v>-951.299999999999</v>
      </c>
    </row>
    <row r="25" ht="24" spans="1:14">
      <c r="A25" s="9" t="s">
        <v>52</v>
      </c>
      <c r="B25" s="35" t="s">
        <v>53</v>
      </c>
      <c r="C25" s="11">
        <v>0</v>
      </c>
      <c r="D25" s="11">
        <v>0</v>
      </c>
      <c r="E25" s="43">
        <f t="shared" si="1"/>
        <v>0</v>
      </c>
      <c r="F25" s="11">
        <v>4710</v>
      </c>
      <c r="G25" s="11">
        <v>4030</v>
      </c>
      <c r="H25" s="43">
        <f t="shared" si="2"/>
        <v>-680</v>
      </c>
      <c r="I25" s="11">
        <v>146284.39</v>
      </c>
      <c r="J25" s="11">
        <v>396728.1</v>
      </c>
      <c r="K25" s="48">
        <f t="shared" si="3"/>
        <v>250443.71</v>
      </c>
      <c r="L25" s="11">
        <f t="shared" si="0"/>
        <v>150994.39</v>
      </c>
      <c r="M25" s="11">
        <f t="shared" si="0"/>
        <v>400758.1</v>
      </c>
      <c r="N25" s="43">
        <f t="shared" si="4"/>
        <v>249763.71</v>
      </c>
    </row>
    <row r="26" ht="36" spans="1:14">
      <c r="A26" s="12" t="s">
        <v>54</v>
      </c>
      <c r="B26" s="33" t="s">
        <v>55</v>
      </c>
      <c r="C26" s="34">
        <v>0</v>
      </c>
      <c r="D26" s="34">
        <v>0</v>
      </c>
      <c r="E26" s="44">
        <f t="shared" si="1"/>
        <v>0</v>
      </c>
      <c r="F26" s="34">
        <v>7229</v>
      </c>
      <c r="G26" s="34">
        <v>14586</v>
      </c>
      <c r="H26" s="45">
        <f t="shared" si="2"/>
        <v>7357</v>
      </c>
      <c r="I26" s="34">
        <v>427668.37</v>
      </c>
      <c r="J26" s="34">
        <v>442121.64</v>
      </c>
      <c r="K26" s="45">
        <f t="shared" si="3"/>
        <v>14453.27</v>
      </c>
      <c r="L26" s="49">
        <f t="shared" si="0"/>
        <v>434897.37</v>
      </c>
      <c r="M26" s="49">
        <f t="shared" si="0"/>
        <v>456707.64</v>
      </c>
      <c r="N26" s="45">
        <f t="shared" si="4"/>
        <v>21810.27</v>
      </c>
    </row>
    <row r="27" ht="24" spans="1:14">
      <c r="A27" s="12" t="s">
        <v>56</v>
      </c>
      <c r="B27" s="46" t="s">
        <v>57</v>
      </c>
      <c r="C27" s="34">
        <v>0</v>
      </c>
      <c r="D27" s="34">
        <v>0</v>
      </c>
      <c r="E27" s="44">
        <f t="shared" si="1"/>
        <v>0</v>
      </c>
      <c r="F27" s="34">
        <v>0</v>
      </c>
      <c r="G27" s="34">
        <v>0</v>
      </c>
      <c r="H27" s="45">
        <f t="shared" si="2"/>
        <v>0</v>
      </c>
      <c r="I27" s="34">
        <v>0</v>
      </c>
      <c r="J27" s="34">
        <v>0</v>
      </c>
      <c r="K27" s="45">
        <f t="shared" si="3"/>
        <v>0</v>
      </c>
      <c r="L27" s="49">
        <f t="shared" si="0"/>
        <v>0</v>
      </c>
      <c r="M27" s="49">
        <f t="shared" si="0"/>
        <v>0</v>
      </c>
      <c r="N27" s="45">
        <f t="shared" si="4"/>
        <v>0</v>
      </c>
    </row>
    <row r="28" ht="36" spans="1:14">
      <c r="A28" s="12" t="s">
        <v>58</v>
      </c>
      <c r="B28" s="33" t="s">
        <v>59</v>
      </c>
      <c r="C28" s="34">
        <v>0</v>
      </c>
      <c r="D28" s="34">
        <v>0</v>
      </c>
      <c r="E28" s="44">
        <f t="shared" si="1"/>
        <v>0</v>
      </c>
      <c r="F28" s="34">
        <v>0</v>
      </c>
      <c r="G28" s="34">
        <v>0</v>
      </c>
      <c r="H28" s="45">
        <f t="shared" si="2"/>
        <v>0</v>
      </c>
      <c r="I28" s="34">
        <v>0</v>
      </c>
      <c r="J28" s="34">
        <v>0</v>
      </c>
      <c r="K28" s="45">
        <f t="shared" si="3"/>
        <v>0</v>
      </c>
      <c r="L28" s="49">
        <f t="shared" si="0"/>
        <v>0</v>
      </c>
      <c r="M28" s="49">
        <f t="shared" si="0"/>
        <v>0</v>
      </c>
      <c r="N28" s="45">
        <f t="shared" si="4"/>
        <v>0</v>
      </c>
    </row>
    <row r="29" ht="24" spans="1:14">
      <c r="A29" s="12" t="s">
        <v>60</v>
      </c>
      <c r="B29" s="33" t="s">
        <v>61</v>
      </c>
      <c r="C29" s="47">
        <v>0</v>
      </c>
      <c r="D29" s="47">
        <v>0</v>
      </c>
      <c r="E29" s="44">
        <f t="shared" si="1"/>
        <v>0</v>
      </c>
      <c r="F29" s="47">
        <v>0</v>
      </c>
      <c r="G29" s="47">
        <v>0</v>
      </c>
      <c r="H29" s="45">
        <f t="shared" si="2"/>
        <v>0</v>
      </c>
      <c r="I29" s="34">
        <v>0</v>
      </c>
      <c r="J29" s="34">
        <v>0</v>
      </c>
      <c r="K29" s="45">
        <f t="shared" si="3"/>
        <v>0</v>
      </c>
      <c r="L29" s="49">
        <f t="shared" si="0"/>
        <v>0</v>
      </c>
      <c r="M29" s="49">
        <f t="shared" si="0"/>
        <v>0</v>
      </c>
      <c r="N29" s="45">
        <f t="shared" si="4"/>
        <v>0</v>
      </c>
    </row>
    <row r="30" ht="24" spans="1:14">
      <c r="A30" s="9" t="s">
        <v>62</v>
      </c>
      <c r="B30" s="35" t="s">
        <v>63</v>
      </c>
      <c r="C30" s="11">
        <v>0</v>
      </c>
      <c r="D30" s="11">
        <v>0</v>
      </c>
      <c r="E30" s="43">
        <f t="shared" si="1"/>
        <v>0</v>
      </c>
      <c r="F30" s="11">
        <v>0</v>
      </c>
      <c r="G30" s="11">
        <v>0</v>
      </c>
      <c r="H30" s="43">
        <f t="shared" si="2"/>
        <v>0</v>
      </c>
      <c r="I30" s="11">
        <v>0</v>
      </c>
      <c r="J30" s="11">
        <v>0</v>
      </c>
      <c r="K30" s="48">
        <f t="shared" si="3"/>
        <v>0</v>
      </c>
      <c r="L30" s="11">
        <f t="shared" si="0"/>
        <v>0</v>
      </c>
      <c r="M30" s="11">
        <f t="shared" si="0"/>
        <v>0</v>
      </c>
      <c r="N30" s="43">
        <f t="shared" si="4"/>
        <v>0</v>
      </c>
    </row>
    <row r="31" ht="24" spans="1:14">
      <c r="A31" s="12" t="s">
        <v>64</v>
      </c>
      <c r="B31" s="33" t="s">
        <v>65</v>
      </c>
      <c r="C31" s="34">
        <v>0</v>
      </c>
      <c r="D31" s="34">
        <v>0</v>
      </c>
      <c r="E31" s="44">
        <f t="shared" si="1"/>
        <v>0</v>
      </c>
      <c r="F31" s="34">
        <v>16112</v>
      </c>
      <c r="G31" s="34">
        <v>13730</v>
      </c>
      <c r="H31" s="45">
        <f t="shared" si="2"/>
        <v>-2382</v>
      </c>
      <c r="I31" s="34">
        <v>705975.77</v>
      </c>
      <c r="J31" s="34">
        <v>39053.1</v>
      </c>
      <c r="K31" s="45">
        <f t="shared" si="3"/>
        <v>-666922.67</v>
      </c>
      <c r="L31" s="49">
        <f>C31+F31+I31</f>
        <v>722087.77</v>
      </c>
      <c r="M31" s="49">
        <f>D31+G31+J31</f>
        <v>52783.1</v>
      </c>
      <c r="N31" s="45">
        <f t="shared" si="4"/>
        <v>-669304.67</v>
      </c>
    </row>
    <row r="32" ht="36" spans="1:14">
      <c r="A32" s="12" t="s">
        <v>66</v>
      </c>
      <c r="B32" s="46" t="s">
        <v>67</v>
      </c>
      <c r="C32" s="34">
        <v>0</v>
      </c>
      <c r="D32" s="34">
        <v>0</v>
      </c>
      <c r="E32" s="44">
        <f t="shared" si="1"/>
        <v>0</v>
      </c>
      <c r="F32" s="34">
        <v>0</v>
      </c>
      <c r="G32" s="34">
        <v>700</v>
      </c>
      <c r="H32" s="45">
        <f t="shared" si="2"/>
        <v>700</v>
      </c>
      <c r="I32" s="34">
        <v>6000</v>
      </c>
      <c r="J32" s="34">
        <v>4880</v>
      </c>
      <c r="K32" s="45">
        <f t="shared" si="3"/>
        <v>-1120</v>
      </c>
      <c r="L32" s="49">
        <f>C32+F32+I32</f>
        <v>6000</v>
      </c>
      <c r="M32" s="49">
        <f>D32+G32+J32</f>
        <v>5580</v>
      </c>
      <c r="N32" s="45">
        <f t="shared" si="4"/>
        <v>-420</v>
      </c>
    </row>
    <row r="33" ht="24" spans="1:14">
      <c r="A33" s="12" t="s">
        <v>68</v>
      </c>
      <c r="B33" s="33" t="s">
        <v>69</v>
      </c>
      <c r="C33" s="34">
        <v>0</v>
      </c>
      <c r="D33" s="34">
        <v>0</v>
      </c>
      <c r="E33" s="44">
        <f t="shared" si="1"/>
        <v>0</v>
      </c>
      <c r="F33" s="34">
        <v>858</v>
      </c>
      <c r="G33" s="34">
        <v>0</v>
      </c>
      <c r="H33" s="45">
        <f t="shared" si="2"/>
        <v>-858</v>
      </c>
      <c r="I33" s="34">
        <v>0</v>
      </c>
      <c r="J33" s="34">
        <v>0</v>
      </c>
      <c r="K33" s="45">
        <f t="shared" si="3"/>
        <v>0</v>
      </c>
      <c r="L33" s="49">
        <f t="shared" ref="L33:M60" si="5">C33+F33+I33</f>
        <v>858</v>
      </c>
      <c r="M33" s="49">
        <f t="shared" si="5"/>
        <v>0</v>
      </c>
      <c r="N33" s="45">
        <f t="shared" si="4"/>
        <v>-858</v>
      </c>
    </row>
    <row r="34" ht="36" spans="1:14">
      <c r="A34" s="12" t="s">
        <v>70</v>
      </c>
      <c r="B34" s="33" t="s">
        <v>71</v>
      </c>
      <c r="C34" s="47">
        <v>0</v>
      </c>
      <c r="D34" s="47">
        <v>0</v>
      </c>
      <c r="E34" s="44">
        <f t="shared" si="1"/>
        <v>0</v>
      </c>
      <c r="F34" s="47">
        <v>0</v>
      </c>
      <c r="G34" s="47">
        <v>1560</v>
      </c>
      <c r="H34" s="45">
        <f t="shared" si="2"/>
        <v>1560</v>
      </c>
      <c r="I34" s="34">
        <v>0</v>
      </c>
      <c r="J34" s="34">
        <v>0</v>
      </c>
      <c r="K34" s="45">
        <f t="shared" si="3"/>
        <v>0</v>
      </c>
      <c r="L34" s="49">
        <f t="shared" si="5"/>
        <v>0</v>
      </c>
      <c r="M34" s="49">
        <f t="shared" si="5"/>
        <v>1560</v>
      </c>
      <c r="N34" s="45">
        <f t="shared" si="4"/>
        <v>1560</v>
      </c>
    </row>
    <row r="35" ht="24" spans="1:14">
      <c r="A35" s="9" t="s">
        <v>72</v>
      </c>
      <c r="B35" s="35" t="s">
        <v>73</v>
      </c>
      <c r="C35" s="11">
        <v>0</v>
      </c>
      <c r="D35" s="11">
        <v>0</v>
      </c>
      <c r="E35" s="43">
        <f t="shared" si="1"/>
        <v>0</v>
      </c>
      <c r="F35" s="11">
        <v>0</v>
      </c>
      <c r="G35" s="11">
        <v>4149</v>
      </c>
      <c r="H35" s="43">
        <f t="shared" si="2"/>
        <v>4149</v>
      </c>
      <c r="I35" s="11">
        <v>1564.3</v>
      </c>
      <c r="J35" s="11">
        <v>570</v>
      </c>
      <c r="K35" s="48">
        <f t="shared" si="3"/>
        <v>-994.3</v>
      </c>
      <c r="L35" s="11">
        <f t="shared" si="5"/>
        <v>1564.3</v>
      </c>
      <c r="M35" s="11">
        <f t="shared" si="5"/>
        <v>4719</v>
      </c>
      <c r="N35" s="43">
        <f t="shared" si="4"/>
        <v>3154.7</v>
      </c>
    </row>
    <row r="36" ht="36" spans="1:14">
      <c r="A36" s="12" t="s">
        <v>74</v>
      </c>
      <c r="B36" s="33" t="s">
        <v>75</v>
      </c>
      <c r="C36" s="34">
        <v>0</v>
      </c>
      <c r="D36" s="34">
        <v>0</v>
      </c>
      <c r="E36" s="44">
        <f t="shared" si="1"/>
        <v>0</v>
      </c>
      <c r="F36" s="34">
        <v>0</v>
      </c>
      <c r="G36" s="34">
        <v>830</v>
      </c>
      <c r="H36" s="45">
        <f t="shared" si="2"/>
        <v>830</v>
      </c>
      <c r="I36" s="34">
        <v>1426</v>
      </c>
      <c r="J36" s="34">
        <v>4033</v>
      </c>
      <c r="K36" s="45">
        <f t="shared" si="3"/>
        <v>2607</v>
      </c>
      <c r="L36" s="49">
        <f t="shared" si="5"/>
        <v>1426</v>
      </c>
      <c r="M36" s="49">
        <f t="shared" si="5"/>
        <v>4863</v>
      </c>
      <c r="N36" s="45">
        <f t="shared" si="4"/>
        <v>3437</v>
      </c>
    </row>
    <row r="37" spans="1:14">
      <c r="A37" s="12" t="s">
        <v>76</v>
      </c>
      <c r="B37" s="46" t="s">
        <v>77</v>
      </c>
      <c r="C37" s="34">
        <v>0</v>
      </c>
      <c r="D37" s="34">
        <v>0</v>
      </c>
      <c r="E37" s="44">
        <f t="shared" si="1"/>
        <v>0</v>
      </c>
      <c r="F37" s="34">
        <v>850</v>
      </c>
      <c r="G37" s="34">
        <v>1396</v>
      </c>
      <c r="H37" s="45">
        <f t="shared" si="2"/>
        <v>546</v>
      </c>
      <c r="I37" s="34">
        <v>4521.25</v>
      </c>
      <c r="J37" s="34">
        <v>3874.75</v>
      </c>
      <c r="K37" s="45">
        <f t="shared" si="3"/>
        <v>-646.5</v>
      </c>
      <c r="L37" s="49">
        <f t="shared" si="5"/>
        <v>5371.25</v>
      </c>
      <c r="M37" s="49">
        <f t="shared" si="5"/>
        <v>5270.75</v>
      </c>
      <c r="N37" s="45">
        <f t="shared" si="4"/>
        <v>-100.5</v>
      </c>
    </row>
    <row r="38" spans="1:14">
      <c r="A38" s="12" t="s">
        <v>78</v>
      </c>
      <c r="B38" s="33" t="s">
        <v>79</v>
      </c>
      <c r="C38" s="34">
        <v>0</v>
      </c>
      <c r="D38" s="34">
        <v>0</v>
      </c>
      <c r="E38" s="44">
        <f t="shared" si="1"/>
        <v>0</v>
      </c>
      <c r="F38" s="34">
        <v>0</v>
      </c>
      <c r="G38" s="34">
        <v>0</v>
      </c>
      <c r="H38" s="45">
        <f t="shared" si="2"/>
        <v>0</v>
      </c>
      <c r="I38" s="34">
        <v>5336</v>
      </c>
      <c r="J38" s="34">
        <v>3993</v>
      </c>
      <c r="K38" s="45">
        <f t="shared" si="3"/>
        <v>-1343</v>
      </c>
      <c r="L38" s="49">
        <f t="shared" si="5"/>
        <v>5336</v>
      </c>
      <c r="M38" s="49">
        <f t="shared" si="5"/>
        <v>3993</v>
      </c>
      <c r="N38" s="45">
        <f t="shared" si="4"/>
        <v>-1343</v>
      </c>
    </row>
    <row r="39" ht="24" spans="1:14">
      <c r="A39" s="12" t="s">
        <v>80</v>
      </c>
      <c r="B39" s="33" t="s">
        <v>81</v>
      </c>
      <c r="C39" s="47">
        <v>0</v>
      </c>
      <c r="D39" s="47">
        <v>0</v>
      </c>
      <c r="E39" s="44">
        <f t="shared" si="1"/>
        <v>0</v>
      </c>
      <c r="F39" s="47">
        <v>833</v>
      </c>
      <c r="G39" s="47">
        <v>4989</v>
      </c>
      <c r="H39" s="45">
        <f t="shared" si="2"/>
        <v>4156</v>
      </c>
      <c r="I39" s="34">
        <v>2067.5</v>
      </c>
      <c r="J39" s="34">
        <v>2807.25</v>
      </c>
      <c r="K39" s="45">
        <f t="shared" si="3"/>
        <v>739.75</v>
      </c>
      <c r="L39" s="49">
        <f t="shared" si="5"/>
        <v>2900.5</v>
      </c>
      <c r="M39" s="49">
        <f t="shared" si="5"/>
        <v>7796.25</v>
      </c>
      <c r="N39" s="45">
        <f t="shared" si="4"/>
        <v>4895.75</v>
      </c>
    </row>
    <row r="40" ht="24" spans="1:14">
      <c r="A40" s="9" t="s">
        <v>82</v>
      </c>
      <c r="B40" s="35" t="s">
        <v>83</v>
      </c>
      <c r="C40" s="11">
        <v>0</v>
      </c>
      <c r="D40" s="11">
        <v>0</v>
      </c>
      <c r="E40" s="43">
        <f t="shared" si="1"/>
        <v>0</v>
      </c>
      <c r="F40" s="11">
        <v>0</v>
      </c>
      <c r="G40" s="11">
        <v>1405</v>
      </c>
      <c r="H40" s="43">
        <f t="shared" si="2"/>
        <v>1405</v>
      </c>
      <c r="I40" s="11">
        <v>1151</v>
      </c>
      <c r="J40" s="11">
        <v>74.25</v>
      </c>
      <c r="K40" s="48">
        <f t="shared" si="3"/>
        <v>-1076.75</v>
      </c>
      <c r="L40" s="11">
        <f t="shared" si="5"/>
        <v>1151</v>
      </c>
      <c r="M40" s="11">
        <f t="shared" si="5"/>
        <v>1479.25</v>
      </c>
      <c r="N40" s="43">
        <f t="shared" si="4"/>
        <v>328.25</v>
      </c>
    </row>
    <row r="41" ht="24" spans="1:14">
      <c r="A41" s="12" t="s">
        <v>84</v>
      </c>
      <c r="B41" s="33" t="s">
        <v>85</v>
      </c>
      <c r="C41" s="34">
        <v>0</v>
      </c>
      <c r="D41" s="34">
        <v>0</v>
      </c>
      <c r="E41" s="44">
        <f t="shared" si="1"/>
        <v>0</v>
      </c>
      <c r="F41" s="34">
        <v>0</v>
      </c>
      <c r="G41" s="34">
        <v>4149</v>
      </c>
      <c r="H41" s="45">
        <f t="shared" si="2"/>
        <v>4149</v>
      </c>
      <c r="I41" s="34">
        <v>1564.3</v>
      </c>
      <c r="J41" s="34">
        <v>570</v>
      </c>
      <c r="K41" s="45">
        <f t="shared" si="3"/>
        <v>-994.3</v>
      </c>
      <c r="L41" s="49">
        <f>C41+F41+I41</f>
        <v>1564.3</v>
      </c>
      <c r="M41" s="49">
        <f>D41+G41+J41</f>
        <v>4719</v>
      </c>
      <c r="N41" s="45">
        <f t="shared" si="4"/>
        <v>3154.7</v>
      </c>
    </row>
    <row r="42" ht="24" spans="1:14">
      <c r="A42" s="12" t="s">
        <v>86</v>
      </c>
      <c r="B42" s="46" t="s">
        <v>87</v>
      </c>
      <c r="C42" s="34">
        <v>0</v>
      </c>
      <c r="D42" s="34">
        <v>0</v>
      </c>
      <c r="E42" s="44">
        <f t="shared" si="1"/>
        <v>0</v>
      </c>
      <c r="F42" s="34">
        <v>4050</v>
      </c>
      <c r="G42" s="34">
        <v>3550</v>
      </c>
      <c r="H42" s="45">
        <f t="shared" si="2"/>
        <v>-500</v>
      </c>
      <c r="I42" s="34">
        <v>0</v>
      </c>
      <c r="J42" s="34">
        <v>366.5</v>
      </c>
      <c r="K42" s="45">
        <f t="shared" si="3"/>
        <v>366.5</v>
      </c>
      <c r="L42" s="49">
        <f>C42+F42+I42</f>
        <v>4050</v>
      </c>
      <c r="M42" s="49">
        <f>D42+G42+J42</f>
        <v>3916.5</v>
      </c>
      <c r="N42" s="45">
        <f t="shared" si="4"/>
        <v>-133.5</v>
      </c>
    </row>
    <row r="43" ht="24" spans="1:14">
      <c r="A43" s="12" t="s">
        <v>88</v>
      </c>
      <c r="B43" s="33" t="s">
        <v>89</v>
      </c>
      <c r="C43" s="34">
        <v>0</v>
      </c>
      <c r="D43" s="34">
        <v>0</v>
      </c>
      <c r="E43" s="44">
        <f t="shared" si="1"/>
        <v>0</v>
      </c>
      <c r="F43" s="34">
        <v>0</v>
      </c>
      <c r="G43" s="34">
        <v>0</v>
      </c>
      <c r="H43" s="45">
        <f t="shared" si="2"/>
        <v>0</v>
      </c>
      <c r="I43" s="34">
        <v>0</v>
      </c>
      <c r="J43" s="34">
        <v>0</v>
      </c>
      <c r="K43" s="45">
        <f t="shared" si="3"/>
        <v>0</v>
      </c>
      <c r="L43" s="49">
        <f t="shared" si="5"/>
        <v>0</v>
      </c>
      <c r="M43" s="49">
        <f t="shared" si="5"/>
        <v>0</v>
      </c>
      <c r="N43" s="45">
        <f t="shared" si="4"/>
        <v>0</v>
      </c>
    </row>
    <row r="44" ht="36" spans="1:14">
      <c r="A44" s="12" t="s">
        <v>90</v>
      </c>
      <c r="B44" s="33" t="s">
        <v>91</v>
      </c>
      <c r="C44" s="47">
        <v>0</v>
      </c>
      <c r="D44" s="47">
        <v>0</v>
      </c>
      <c r="E44" s="44">
        <f t="shared" si="1"/>
        <v>0</v>
      </c>
      <c r="F44" s="47">
        <v>0</v>
      </c>
      <c r="G44" s="47">
        <v>0</v>
      </c>
      <c r="H44" s="45">
        <f t="shared" si="2"/>
        <v>0</v>
      </c>
      <c r="I44" s="34">
        <v>0</v>
      </c>
      <c r="J44" s="34">
        <v>0</v>
      </c>
      <c r="K44" s="45">
        <f t="shared" si="3"/>
        <v>0</v>
      </c>
      <c r="L44" s="49">
        <f>C44+F44+I44</f>
        <v>0</v>
      </c>
      <c r="M44" s="49">
        <f>D44+G44+J44</f>
        <v>0</v>
      </c>
      <c r="N44" s="45">
        <f t="shared" si="4"/>
        <v>0</v>
      </c>
    </row>
    <row r="45" ht="24" spans="1:14">
      <c r="A45" s="9" t="s">
        <v>92</v>
      </c>
      <c r="B45" s="35" t="s">
        <v>93</v>
      </c>
      <c r="C45" s="11">
        <v>0</v>
      </c>
      <c r="D45" s="11">
        <v>0</v>
      </c>
      <c r="E45" s="43">
        <f t="shared" si="1"/>
        <v>0</v>
      </c>
      <c r="F45" s="11">
        <v>0</v>
      </c>
      <c r="G45" s="11">
        <v>0</v>
      </c>
      <c r="H45" s="43">
        <f t="shared" si="2"/>
        <v>0</v>
      </c>
      <c r="I45" s="11">
        <v>0</v>
      </c>
      <c r="J45" s="11">
        <v>0</v>
      </c>
      <c r="K45" s="48">
        <f t="shared" si="3"/>
        <v>0</v>
      </c>
      <c r="L45" s="11">
        <f t="shared" si="5"/>
        <v>0</v>
      </c>
      <c r="M45" s="11">
        <f t="shared" si="5"/>
        <v>0</v>
      </c>
      <c r="N45" s="43">
        <f t="shared" si="4"/>
        <v>0</v>
      </c>
    </row>
    <row r="46" ht="36" spans="1:14">
      <c r="A46" s="12" t="s">
        <v>94</v>
      </c>
      <c r="B46" s="33" t="s">
        <v>95</v>
      </c>
      <c r="C46" s="34">
        <v>0</v>
      </c>
      <c r="D46" s="34">
        <v>0</v>
      </c>
      <c r="E46" s="44">
        <f t="shared" si="1"/>
        <v>0</v>
      </c>
      <c r="F46" s="34">
        <v>17514</v>
      </c>
      <c r="G46" s="34">
        <v>34375</v>
      </c>
      <c r="H46" s="45">
        <f t="shared" si="2"/>
        <v>16861</v>
      </c>
      <c r="I46" s="34">
        <v>12434.75</v>
      </c>
      <c r="J46" s="34">
        <v>17475.75</v>
      </c>
      <c r="K46" s="45">
        <f t="shared" si="3"/>
        <v>5041</v>
      </c>
      <c r="L46" s="49">
        <f t="shared" si="5"/>
        <v>29948.75</v>
      </c>
      <c r="M46" s="49">
        <f t="shared" si="5"/>
        <v>51850.75</v>
      </c>
      <c r="N46" s="45">
        <f t="shared" si="4"/>
        <v>21902</v>
      </c>
    </row>
    <row r="47" ht="48" spans="1:14">
      <c r="A47" s="12" t="s">
        <v>96</v>
      </c>
      <c r="B47" s="46" t="s">
        <v>97</v>
      </c>
      <c r="C47" s="34">
        <v>0</v>
      </c>
      <c r="D47" s="34">
        <v>0</v>
      </c>
      <c r="E47" s="44">
        <f t="shared" si="1"/>
        <v>0</v>
      </c>
      <c r="F47" s="34">
        <v>0</v>
      </c>
      <c r="G47" s="34">
        <v>0</v>
      </c>
      <c r="H47" s="45">
        <f t="shared" si="2"/>
        <v>0</v>
      </c>
      <c r="I47" s="34">
        <v>0</v>
      </c>
      <c r="J47" s="34">
        <v>0</v>
      </c>
      <c r="K47" s="45">
        <f t="shared" si="3"/>
        <v>0</v>
      </c>
      <c r="L47" s="49">
        <f t="shared" si="5"/>
        <v>0</v>
      </c>
      <c r="M47" s="49">
        <f t="shared" si="5"/>
        <v>0</v>
      </c>
      <c r="N47" s="45">
        <f t="shared" si="4"/>
        <v>0</v>
      </c>
    </row>
    <row r="48" ht="24" spans="1:14">
      <c r="A48" s="12" t="s">
        <v>98</v>
      </c>
      <c r="B48" s="33" t="s">
        <v>99</v>
      </c>
      <c r="C48" s="34">
        <v>0</v>
      </c>
      <c r="D48" s="34">
        <v>0</v>
      </c>
      <c r="E48" s="44">
        <f t="shared" si="1"/>
        <v>0</v>
      </c>
      <c r="F48" s="34">
        <v>0</v>
      </c>
      <c r="G48" s="34">
        <v>0</v>
      </c>
      <c r="H48" s="45">
        <f t="shared" si="2"/>
        <v>0</v>
      </c>
      <c r="I48" s="34">
        <v>0</v>
      </c>
      <c r="J48" s="34">
        <v>0</v>
      </c>
      <c r="K48" s="45">
        <f t="shared" si="3"/>
        <v>0</v>
      </c>
      <c r="L48" s="49">
        <f t="shared" si="5"/>
        <v>0</v>
      </c>
      <c r="M48" s="49">
        <f t="shared" si="5"/>
        <v>0</v>
      </c>
      <c r="N48" s="45">
        <f t="shared" si="4"/>
        <v>0</v>
      </c>
    </row>
    <row r="49" ht="24" spans="1:14">
      <c r="A49" s="12" t="s">
        <v>100</v>
      </c>
      <c r="B49" s="33" t="s">
        <v>101</v>
      </c>
      <c r="C49" s="47">
        <v>33920</v>
      </c>
      <c r="D49" s="47">
        <v>0</v>
      </c>
      <c r="E49" s="44">
        <f t="shared" si="1"/>
        <v>-33920</v>
      </c>
      <c r="F49" s="47">
        <v>21653</v>
      </c>
      <c r="G49" s="47">
        <v>34460</v>
      </c>
      <c r="H49" s="45">
        <f t="shared" si="2"/>
        <v>12807</v>
      </c>
      <c r="I49" s="34">
        <v>13045</v>
      </c>
      <c r="J49" s="34">
        <v>18440</v>
      </c>
      <c r="K49" s="45">
        <f t="shared" si="3"/>
        <v>5395</v>
      </c>
      <c r="L49" s="49">
        <f t="shared" si="5"/>
        <v>68618</v>
      </c>
      <c r="M49" s="49">
        <f t="shared" si="5"/>
        <v>52900</v>
      </c>
      <c r="N49" s="45">
        <f t="shared" si="4"/>
        <v>-15718</v>
      </c>
    </row>
    <row r="50" ht="24" spans="1:14">
      <c r="A50" s="9" t="s">
        <v>102</v>
      </c>
      <c r="B50" s="35" t="s">
        <v>103</v>
      </c>
      <c r="C50" s="11">
        <v>0</v>
      </c>
      <c r="D50" s="11">
        <v>0</v>
      </c>
      <c r="E50" s="43">
        <f t="shared" si="1"/>
        <v>0</v>
      </c>
      <c r="F50" s="11">
        <v>890</v>
      </c>
      <c r="G50" s="11">
        <v>2080</v>
      </c>
      <c r="H50" s="43">
        <f t="shared" si="2"/>
        <v>1190</v>
      </c>
      <c r="I50" s="11">
        <v>46924.17</v>
      </c>
      <c r="J50" s="11">
        <v>49362.5</v>
      </c>
      <c r="K50" s="48">
        <f t="shared" si="3"/>
        <v>2438.33</v>
      </c>
      <c r="L50" s="11">
        <f t="shared" si="5"/>
        <v>47814.17</v>
      </c>
      <c r="M50" s="11">
        <f t="shared" si="5"/>
        <v>51442.5</v>
      </c>
      <c r="N50" s="43">
        <f t="shared" si="4"/>
        <v>3628.33</v>
      </c>
    </row>
    <row r="51" ht="36" spans="1:14">
      <c r="A51" s="12" t="s">
        <v>104</v>
      </c>
      <c r="B51" s="33" t="s">
        <v>105</v>
      </c>
      <c r="C51" s="34">
        <v>0</v>
      </c>
      <c r="D51" s="34">
        <v>0</v>
      </c>
      <c r="E51" s="44">
        <f t="shared" si="1"/>
        <v>0</v>
      </c>
      <c r="F51" s="34">
        <v>4643</v>
      </c>
      <c r="G51" s="34">
        <v>14493</v>
      </c>
      <c r="H51" s="45">
        <f t="shared" si="2"/>
        <v>9850</v>
      </c>
      <c r="I51" s="34">
        <v>35933.01</v>
      </c>
      <c r="J51" s="34">
        <v>0</v>
      </c>
      <c r="K51" s="45">
        <f t="shared" si="3"/>
        <v>-35933.01</v>
      </c>
      <c r="L51" s="49">
        <f t="shared" si="5"/>
        <v>40576.01</v>
      </c>
      <c r="M51" s="49">
        <f t="shared" si="5"/>
        <v>14493</v>
      </c>
      <c r="N51" s="45">
        <f t="shared" si="4"/>
        <v>-26083.01</v>
      </c>
    </row>
    <row r="52" ht="36" spans="1:14">
      <c r="A52" s="12" t="s">
        <v>106</v>
      </c>
      <c r="B52" s="46" t="s">
        <v>107</v>
      </c>
      <c r="C52" s="34">
        <v>0</v>
      </c>
      <c r="D52" s="34">
        <v>0</v>
      </c>
      <c r="E52" s="44">
        <f t="shared" si="1"/>
        <v>0</v>
      </c>
      <c r="F52" s="34">
        <v>10560</v>
      </c>
      <c r="G52" s="34">
        <v>12688</v>
      </c>
      <c r="H52" s="45">
        <f t="shared" si="2"/>
        <v>2128</v>
      </c>
      <c r="I52" s="34">
        <v>62753</v>
      </c>
      <c r="J52" s="34">
        <v>53006.8</v>
      </c>
      <c r="K52" s="45">
        <f t="shared" si="3"/>
        <v>-9746.2</v>
      </c>
      <c r="L52" s="49">
        <f t="shared" si="5"/>
        <v>73313</v>
      </c>
      <c r="M52" s="49">
        <f t="shared" si="5"/>
        <v>65694.8</v>
      </c>
      <c r="N52" s="45">
        <f t="shared" si="4"/>
        <v>-7618.2</v>
      </c>
    </row>
    <row r="53" ht="48" spans="1:14">
      <c r="A53" s="12">
        <v>29009</v>
      </c>
      <c r="B53" s="33" t="s">
        <v>108</v>
      </c>
      <c r="C53" s="34">
        <v>0</v>
      </c>
      <c r="D53" s="34">
        <v>0</v>
      </c>
      <c r="E53" s="44">
        <f t="shared" si="1"/>
        <v>0</v>
      </c>
      <c r="F53" s="34">
        <v>1694</v>
      </c>
      <c r="G53" s="34">
        <v>4687</v>
      </c>
      <c r="H53" s="45">
        <f t="shared" si="2"/>
        <v>2993</v>
      </c>
      <c r="I53" s="34">
        <v>33379.47</v>
      </c>
      <c r="J53" s="34">
        <v>36762.07</v>
      </c>
      <c r="K53" s="45">
        <f t="shared" si="3"/>
        <v>3382.6</v>
      </c>
      <c r="L53" s="49">
        <f t="shared" si="5"/>
        <v>35073.47</v>
      </c>
      <c r="M53" s="49">
        <f t="shared" si="5"/>
        <v>41449.07</v>
      </c>
      <c r="N53" s="45">
        <f t="shared" si="4"/>
        <v>6375.6</v>
      </c>
    </row>
    <row r="54" ht="24" spans="1:14">
      <c r="A54" s="12" t="s">
        <v>109</v>
      </c>
      <c r="B54" s="33" t="s">
        <v>110</v>
      </c>
      <c r="C54" s="47">
        <v>0</v>
      </c>
      <c r="D54" s="47">
        <v>0</v>
      </c>
      <c r="E54" s="44">
        <f t="shared" si="1"/>
        <v>0</v>
      </c>
      <c r="F54" s="47">
        <v>0</v>
      </c>
      <c r="G54" s="47">
        <v>1000</v>
      </c>
      <c r="H54" s="45">
        <f t="shared" si="2"/>
        <v>1000</v>
      </c>
      <c r="I54" s="34">
        <v>135324.68</v>
      </c>
      <c r="J54" s="34">
        <v>131343.01</v>
      </c>
      <c r="K54" s="45">
        <f t="shared" si="3"/>
        <v>-3981.66999999998</v>
      </c>
      <c r="L54" s="49">
        <f t="shared" si="5"/>
        <v>135324.68</v>
      </c>
      <c r="M54" s="49">
        <f t="shared" si="5"/>
        <v>132343.01</v>
      </c>
      <c r="N54" s="45">
        <f t="shared" si="4"/>
        <v>-2981.66999999998</v>
      </c>
    </row>
    <row r="55" ht="24" spans="1:14">
      <c r="A55" s="9" t="s">
        <v>111</v>
      </c>
      <c r="B55" s="35" t="s">
        <v>112</v>
      </c>
      <c r="C55" s="11">
        <v>0</v>
      </c>
      <c r="D55" s="11">
        <v>0</v>
      </c>
      <c r="E55" s="43">
        <f t="shared" si="1"/>
        <v>0</v>
      </c>
      <c r="F55" s="11">
        <v>1853</v>
      </c>
      <c r="G55" s="11">
        <v>2074</v>
      </c>
      <c r="H55" s="43">
        <f t="shared" si="2"/>
        <v>221</v>
      </c>
      <c r="I55" s="11">
        <v>0</v>
      </c>
      <c r="J55" s="11">
        <v>6525</v>
      </c>
      <c r="K55" s="48">
        <f t="shared" si="3"/>
        <v>6525</v>
      </c>
      <c r="L55" s="11">
        <f t="shared" si="5"/>
        <v>1853</v>
      </c>
      <c r="M55" s="11">
        <f t="shared" si="5"/>
        <v>8599</v>
      </c>
      <c r="N55" s="43">
        <f t="shared" si="4"/>
        <v>6746</v>
      </c>
    </row>
    <row r="56" ht="36" spans="1:14">
      <c r="A56" s="12" t="s">
        <v>113</v>
      </c>
      <c r="B56" s="33" t="s">
        <v>114</v>
      </c>
      <c r="C56" s="34">
        <v>0</v>
      </c>
      <c r="D56" s="34">
        <v>0</v>
      </c>
      <c r="E56" s="44">
        <f t="shared" si="1"/>
        <v>0</v>
      </c>
      <c r="F56" s="34">
        <v>0</v>
      </c>
      <c r="G56" s="34">
        <v>0</v>
      </c>
      <c r="H56" s="45">
        <f t="shared" si="2"/>
        <v>0</v>
      </c>
      <c r="I56" s="34">
        <v>0</v>
      </c>
      <c r="J56" s="34">
        <v>0</v>
      </c>
      <c r="K56" s="45">
        <f t="shared" si="3"/>
        <v>0</v>
      </c>
      <c r="L56" s="49">
        <f t="shared" si="5"/>
        <v>0</v>
      </c>
      <c r="M56" s="49">
        <f t="shared" si="5"/>
        <v>0</v>
      </c>
      <c r="N56" s="45">
        <f t="shared" si="4"/>
        <v>0</v>
      </c>
    </row>
    <row r="57" ht="36" spans="1:14">
      <c r="A57" s="12" t="s">
        <v>115</v>
      </c>
      <c r="B57" s="46" t="s">
        <v>116</v>
      </c>
      <c r="C57" s="34">
        <v>0</v>
      </c>
      <c r="D57" s="34">
        <v>0</v>
      </c>
      <c r="E57" s="44">
        <f t="shared" si="1"/>
        <v>0</v>
      </c>
      <c r="F57" s="34">
        <v>0</v>
      </c>
      <c r="G57" s="34">
        <v>0</v>
      </c>
      <c r="H57" s="45">
        <f t="shared" si="2"/>
        <v>0</v>
      </c>
      <c r="I57" s="34">
        <v>10284.25</v>
      </c>
      <c r="J57" s="34">
        <v>7960.47</v>
      </c>
      <c r="K57" s="45">
        <f t="shared" si="3"/>
        <v>-2323.78</v>
      </c>
      <c r="L57" s="49">
        <f t="shared" si="5"/>
        <v>10284.25</v>
      </c>
      <c r="M57" s="49">
        <f t="shared" si="5"/>
        <v>7960.47</v>
      </c>
      <c r="N57" s="45">
        <f t="shared" si="4"/>
        <v>-2323.78</v>
      </c>
    </row>
    <row r="58" ht="36" spans="1:14">
      <c r="A58" s="12" t="s">
        <v>117</v>
      </c>
      <c r="B58" s="33" t="s">
        <v>118</v>
      </c>
      <c r="C58" s="34">
        <v>0</v>
      </c>
      <c r="D58" s="34">
        <v>0</v>
      </c>
      <c r="E58" s="44">
        <f t="shared" si="1"/>
        <v>0</v>
      </c>
      <c r="F58" s="34">
        <v>0</v>
      </c>
      <c r="G58" s="34">
        <v>0</v>
      </c>
      <c r="H58" s="45">
        <f t="shared" si="2"/>
        <v>0</v>
      </c>
      <c r="I58" s="34">
        <v>29179.79</v>
      </c>
      <c r="J58" s="34">
        <v>39176.69</v>
      </c>
      <c r="K58" s="45">
        <f t="shared" si="3"/>
        <v>9996.9</v>
      </c>
      <c r="L58" s="49">
        <f t="shared" si="5"/>
        <v>29179.79</v>
      </c>
      <c r="M58" s="49">
        <f t="shared" si="5"/>
        <v>39176.69</v>
      </c>
      <c r="N58" s="45">
        <f t="shared" si="4"/>
        <v>9996.9</v>
      </c>
    </row>
    <row r="59" ht="48" spans="1:14">
      <c r="A59" s="12" t="s">
        <v>119</v>
      </c>
      <c r="B59" s="33" t="s">
        <v>120</v>
      </c>
      <c r="C59" s="47">
        <v>0</v>
      </c>
      <c r="D59" s="47">
        <v>0</v>
      </c>
      <c r="E59" s="44">
        <f t="shared" si="1"/>
        <v>0</v>
      </c>
      <c r="F59" s="47">
        <v>0</v>
      </c>
      <c r="G59" s="47">
        <v>0</v>
      </c>
      <c r="H59" s="45">
        <f t="shared" si="2"/>
        <v>0</v>
      </c>
      <c r="I59" s="34">
        <v>11075.94</v>
      </c>
      <c r="J59" s="34">
        <v>40361.23</v>
      </c>
      <c r="K59" s="45">
        <f t="shared" si="3"/>
        <v>29285.29</v>
      </c>
      <c r="L59" s="49">
        <f t="shared" si="5"/>
        <v>11075.94</v>
      </c>
      <c r="M59" s="49">
        <f t="shared" si="5"/>
        <v>40361.23</v>
      </c>
      <c r="N59" s="45">
        <f t="shared" si="4"/>
        <v>29285.29</v>
      </c>
    </row>
    <row r="60" ht="36" spans="1:14">
      <c r="A60" s="9" t="s">
        <v>121</v>
      </c>
      <c r="B60" s="35" t="s">
        <v>122</v>
      </c>
      <c r="C60" s="11">
        <v>0</v>
      </c>
      <c r="D60" s="11">
        <v>0</v>
      </c>
      <c r="E60" s="43">
        <f t="shared" si="1"/>
        <v>0</v>
      </c>
      <c r="F60" s="11">
        <v>0</v>
      </c>
      <c r="G60" s="11">
        <v>0</v>
      </c>
      <c r="H60" s="43">
        <f t="shared" si="2"/>
        <v>0</v>
      </c>
      <c r="I60" s="11">
        <v>0</v>
      </c>
      <c r="J60" s="11">
        <v>0</v>
      </c>
      <c r="K60" s="48">
        <f t="shared" si="3"/>
        <v>0</v>
      </c>
      <c r="L60" s="11">
        <f t="shared" si="5"/>
        <v>0</v>
      </c>
      <c r="M60" s="11">
        <f t="shared" si="5"/>
        <v>0</v>
      </c>
      <c r="N60" s="43">
        <f t="shared" si="4"/>
        <v>0</v>
      </c>
    </row>
    <row r="61" ht="36" spans="1:14">
      <c r="A61" s="12" t="s">
        <v>123</v>
      </c>
      <c r="B61" s="33" t="s">
        <v>124</v>
      </c>
      <c r="C61" s="34">
        <v>0</v>
      </c>
      <c r="D61" s="34">
        <v>0</v>
      </c>
      <c r="E61" s="44">
        <f t="shared" si="1"/>
        <v>0</v>
      </c>
      <c r="F61" s="34">
        <v>0</v>
      </c>
      <c r="G61" s="34">
        <v>0</v>
      </c>
      <c r="H61" s="45">
        <f t="shared" si="2"/>
        <v>0</v>
      </c>
      <c r="I61" s="34">
        <v>0</v>
      </c>
      <c r="J61" s="34">
        <v>0</v>
      </c>
      <c r="K61" s="45">
        <f t="shared" si="3"/>
        <v>0</v>
      </c>
      <c r="L61" s="49">
        <f t="shared" ref="L61:M91" si="6">C61+F61+I61</f>
        <v>0</v>
      </c>
      <c r="M61" s="49">
        <f t="shared" si="6"/>
        <v>0</v>
      </c>
      <c r="N61" s="45">
        <f t="shared" si="4"/>
        <v>0</v>
      </c>
    </row>
    <row r="62" ht="36" spans="1:14">
      <c r="A62" s="12" t="s">
        <v>125</v>
      </c>
      <c r="B62" s="46" t="s">
        <v>126</v>
      </c>
      <c r="C62" s="34">
        <v>0</v>
      </c>
      <c r="D62" s="34">
        <v>0</v>
      </c>
      <c r="E62" s="44">
        <f t="shared" si="1"/>
        <v>0</v>
      </c>
      <c r="F62" s="34">
        <v>0</v>
      </c>
      <c r="G62" s="34">
        <v>0</v>
      </c>
      <c r="H62" s="45">
        <f t="shared" si="2"/>
        <v>0</v>
      </c>
      <c r="I62" s="34">
        <v>0</v>
      </c>
      <c r="J62" s="34">
        <v>0</v>
      </c>
      <c r="K62" s="45">
        <f t="shared" si="3"/>
        <v>0</v>
      </c>
      <c r="L62" s="49">
        <f t="shared" si="6"/>
        <v>0</v>
      </c>
      <c r="M62" s="49">
        <f t="shared" si="6"/>
        <v>0</v>
      </c>
      <c r="N62" s="45">
        <f t="shared" si="4"/>
        <v>0</v>
      </c>
    </row>
    <row r="63" ht="36" spans="1:14">
      <c r="A63" s="12" t="s">
        <v>127</v>
      </c>
      <c r="B63" s="33" t="s">
        <v>128</v>
      </c>
      <c r="C63" s="34">
        <v>0</v>
      </c>
      <c r="D63" s="34">
        <v>0</v>
      </c>
      <c r="E63" s="44">
        <f t="shared" si="1"/>
        <v>0</v>
      </c>
      <c r="F63" s="34">
        <v>0</v>
      </c>
      <c r="G63" s="34">
        <v>0</v>
      </c>
      <c r="H63" s="45">
        <f t="shared" si="2"/>
        <v>0</v>
      </c>
      <c r="I63" s="34">
        <v>13023.31</v>
      </c>
      <c r="J63" s="34">
        <v>42295.48</v>
      </c>
      <c r="K63" s="45">
        <f t="shared" si="3"/>
        <v>29272.17</v>
      </c>
      <c r="L63" s="49">
        <f t="shared" si="6"/>
        <v>13023.31</v>
      </c>
      <c r="M63" s="49">
        <f t="shared" si="6"/>
        <v>42295.48</v>
      </c>
      <c r="N63" s="45">
        <f t="shared" si="4"/>
        <v>29272.17</v>
      </c>
    </row>
    <row r="64" ht="36" spans="1:14">
      <c r="A64" s="12" t="s">
        <v>129</v>
      </c>
      <c r="B64" s="33" t="s">
        <v>130</v>
      </c>
      <c r="C64" s="47">
        <v>0</v>
      </c>
      <c r="D64" s="47">
        <v>0</v>
      </c>
      <c r="E64" s="44">
        <f t="shared" si="1"/>
        <v>0</v>
      </c>
      <c r="F64" s="47">
        <v>0</v>
      </c>
      <c r="G64" s="47">
        <v>0</v>
      </c>
      <c r="H64" s="45">
        <f t="shared" si="2"/>
        <v>0</v>
      </c>
      <c r="I64" s="34">
        <v>0</v>
      </c>
      <c r="J64" s="34">
        <v>0</v>
      </c>
      <c r="K64" s="45">
        <f t="shared" si="3"/>
        <v>0</v>
      </c>
      <c r="L64" s="49">
        <f t="shared" si="6"/>
        <v>0</v>
      </c>
      <c r="M64" s="49">
        <f t="shared" si="6"/>
        <v>0</v>
      </c>
      <c r="N64" s="45">
        <f t="shared" si="4"/>
        <v>0</v>
      </c>
    </row>
    <row r="65" ht="36" spans="1:14">
      <c r="A65" s="9" t="s">
        <v>131</v>
      </c>
      <c r="B65" s="35" t="s">
        <v>132</v>
      </c>
      <c r="C65" s="11">
        <v>0</v>
      </c>
      <c r="D65" s="11">
        <v>0</v>
      </c>
      <c r="E65" s="43">
        <f t="shared" si="1"/>
        <v>0</v>
      </c>
      <c r="F65" s="11">
        <v>0</v>
      </c>
      <c r="G65" s="11">
        <v>0</v>
      </c>
      <c r="H65" s="43">
        <f t="shared" si="2"/>
        <v>0</v>
      </c>
      <c r="I65" s="11">
        <v>0</v>
      </c>
      <c r="J65" s="11">
        <v>0</v>
      </c>
      <c r="K65" s="48">
        <f t="shared" si="3"/>
        <v>0</v>
      </c>
      <c r="L65" s="11">
        <f t="shared" si="6"/>
        <v>0</v>
      </c>
      <c r="M65" s="11">
        <f t="shared" si="6"/>
        <v>0</v>
      </c>
      <c r="N65" s="43">
        <f t="shared" si="4"/>
        <v>0</v>
      </c>
    </row>
    <row r="66" ht="36" spans="1:14">
      <c r="A66" s="12" t="s">
        <v>133</v>
      </c>
      <c r="B66" s="33" t="s">
        <v>134</v>
      </c>
      <c r="C66" s="34">
        <v>0</v>
      </c>
      <c r="D66" s="34">
        <v>0</v>
      </c>
      <c r="E66" s="44">
        <f t="shared" si="1"/>
        <v>0</v>
      </c>
      <c r="F66" s="34">
        <v>0</v>
      </c>
      <c r="G66" s="34">
        <v>0</v>
      </c>
      <c r="H66" s="45">
        <f t="shared" si="2"/>
        <v>0</v>
      </c>
      <c r="I66" s="34">
        <v>11285.14</v>
      </c>
      <c r="J66" s="34">
        <v>15903.57</v>
      </c>
      <c r="K66" s="45">
        <f t="shared" si="3"/>
        <v>4618.43</v>
      </c>
      <c r="L66" s="49">
        <f t="shared" si="6"/>
        <v>11285.14</v>
      </c>
      <c r="M66" s="49">
        <f t="shared" si="6"/>
        <v>15903.57</v>
      </c>
      <c r="N66" s="45">
        <f t="shared" si="4"/>
        <v>4618.43</v>
      </c>
    </row>
    <row r="67" ht="36" spans="1:14">
      <c r="A67" s="12" t="s">
        <v>135</v>
      </c>
      <c r="B67" s="46" t="s">
        <v>136</v>
      </c>
      <c r="C67" s="34">
        <v>0</v>
      </c>
      <c r="D67" s="34">
        <v>0</v>
      </c>
      <c r="E67" s="44">
        <f t="shared" si="1"/>
        <v>0</v>
      </c>
      <c r="F67" s="34">
        <v>0</v>
      </c>
      <c r="G67" s="34">
        <v>0</v>
      </c>
      <c r="H67" s="45">
        <f t="shared" si="2"/>
        <v>0</v>
      </c>
      <c r="I67" s="34">
        <v>0</v>
      </c>
      <c r="J67" s="34">
        <v>0</v>
      </c>
      <c r="K67" s="45">
        <f t="shared" si="3"/>
        <v>0</v>
      </c>
      <c r="L67" s="49">
        <f t="shared" si="6"/>
        <v>0</v>
      </c>
      <c r="M67" s="49">
        <f t="shared" si="6"/>
        <v>0</v>
      </c>
      <c r="N67" s="45">
        <f t="shared" si="4"/>
        <v>0</v>
      </c>
    </row>
    <row r="68" ht="36" spans="1:14">
      <c r="A68" s="12" t="s">
        <v>137</v>
      </c>
      <c r="B68" s="33" t="s">
        <v>138</v>
      </c>
      <c r="C68" s="34">
        <v>0</v>
      </c>
      <c r="D68" s="34">
        <v>0</v>
      </c>
      <c r="E68" s="44">
        <f t="shared" si="1"/>
        <v>0</v>
      </c>
      <c r="F68" s="34">
        <v>0</v>
      </c>
      <c r="G68" s="34">
        <v>0</v>
      </c>
      <c r="H68" s="45">
        <f t="shared" si="2"/>
        <v>0</v>
      </c>
      <c r="I68" s="34">
        <v>0</v>
      </c>
      <c r="J68" s="34">
        <v>0</v>
      </c>
      <c r="K68" s="45">
        <f t="shared" si="3"/>
        <v>0</v>
      </c>
      <c r="L68" s="49">
        <f t="shared" si="6"/>
        <v>0</v>
      </c>
      <c r="M68" s="49">
        <f t="shared" si="6"/>
        <v>0</v>
      </c>
      <c r="N68" s="45">
        <f t="shared" si="4"/>
        <v>0</v>
      </c>
    </row>
    <row r="69" ht="36" spans="1:14">
      <c r="A69" s="12" t="s">
        <v>139</v>
      </c>
      <c r="B69" s="33" t="s">
        <v>140</v>
      </c>
      <c r="C69" s="47">
        <v>0</v>
      </c>
      <c r="D69" s="47">
        <v>0</v>
      </c>
      <c r="E69" s="44">
        <f t="shared" si="1"/>
        <v>0</v>
      </c>
      <c r="F69" s="47">
        <v>0</v>
      </c>
      <c r="G69" s="47">
        <v>0</v>
      </c>
      <c r="H69" s="45">
        <f t="shared" si="2"/>
        <v>0</v>
      </c>
      <c r="I69" s="34">
        <v>0</v>
      </c>
      <c r="J69" s="34">
        <v>0</v>
      </c>
      <c r="K69" s="45">
        <f t="shared" si="3"/>
        <v>0</v>
      </c>
      <c r="L69" s="49">
        <f t="shared" si="6"/>
        <v>0</v>
      </c>
      <c r="M69" s="49">
        <f t="shared" si="6"/>
        <v>0</v>
      </c>
      <c r="N69" s="45">
        <f t="shared" si="4"/>
        <v>0</v>
      </c>
    </row>
    <row r="70" ht="36" spans="1:14">
      <c r="A70" s="9" t="s">
        <v>141</v>
      </c>
      <c r="B70" s="35" t="s">
        <v>142</v>
      </c>
      <c r="C70" s="11">
        <v>0</v>
      </c>
      <c r="D70" s="11">
        <v>0</v>
      </c>
      <c r="E70" s="43">
        <f t="shared" ref="E70:E133" si="7">D70-C70</f>
        <v>0</v>
      </c>
      <c r="F70" s="11">
        <v>0</v>
      </c>
      <c r="G70" s="11">
        <v>0</v>
      </c>
      <c r="H70" s="43">
        <f t="shared" ref="H70:H133" si="8">G70-F70</f>
        <v>0</v>
      </c>
      <c r="I70" s="11">
        <v>0</v>
      </c>
      <c r="J70" s="11">
        <v>0</v>
      </c>
      <c r="K70" s="48">
        <f t="shared" ref="K70:K133" si="9">J70-I70</f>
        <v>0</v>
      </c>
      <c r="L70" s="11">
        <f t="shared" si="6"/>
        <v>0</v>
      </c>
      <c r="M70" s="11">
        <f t="shared" si="6"/>
        <v>0</v>
      </c>
      <c r="N70" s="43">
        <f t="shared" ref="N70:N133" si="10">M70-L70</f>
        <v>0</v>
      </c>
    </row>
    <row r="71" ht="36" spans="1:14">
      <c r="A71" s="12" t="s">
        <v>143</v>
      </c>
      <c r="B71" s="33" t="s">
        <v>144</v>
      </c>
      <c r="C71" s="34">
        <v>0</v>
      </c>
      <c r="D71" s="34">
        <v>0</v>
      </c>
      <c r="E71" s="44">
        <f t="shared" si="7"/>
        <v>0</v>
      </c>
      <c r="F71" s="34">
        <v>0</v>
      </c>
      <c r="G71" s="34">
        <v>0</v>
      </c>
      <c r="H71" s="45">
        <f t="shared" si="8"/>
        <v>0</v>
      </c>
      <c r="I71" s="34">
        <v>17220.69</v>
      </c>
      <c r="J71" s="34">
        <v>7868.94</v>
      </c>
      <c r="K71" s="45">
        <f t="shared" si="9"/>
        <v>-9351.75</v>
      </c>
      <c r="L71" s="49">
        <f t="shared" si="6"/>
        <v>17220.69</v>
      </c>
      <c r="M71" s="49">
        <f t="shared" si="6"/>
        <v>7868.94</v>
      </c>
      <c r="N71" s="45">
        <f t="shared" si="10"/>
        <v>-9351.75</v>
      </c>
    </row>
    <row r="72" ht="36" spans="1:14">
      <c r="A72" s="12" t="s">
        <v>145</v>
      </c>
      <c r="B72" s="46" t="s">
        <v>146</v>
      </c>
      <c r="C72" s="34">
        <v>0</v>
      </c>
      <c r="D72" s="34">
        <v>0</v>
      </c>
      <c r="E72" s="44">
        <f t="shared" si="7"/>
        <v>0</v>
      </c>
      <c r="F72" s="34">
        <v>0</v>
      </c>
      <c r="G72" s="34">
        <v>0</v>
      </c>
      <c r="H72" s="45">
        <f t="shared" si="8"/>
        <v>0</v>
      </c>
      <c r="I72" s="34">
        <v>0</v>
      </c>
      <c r="J72" s="34">
        <v>0</v>
      </c>
      <c r="K72" s="45">
        <f t="shared" si="9"/>
        <v>0</v>
      </c>
      <c r="L72" s="49">
        <f t="shared" si="6"/>
        <v>0</v>
      </c>
      <c r="M72" s="49">
        <f t="shared" si="6"/>
        <v>0</v>
      </c>
      <c r="N72" s="45">
        <f t="shared" si="10"/>
        <v>0</v>
      </c>
    </row>
    <row r="73" ht="36" spans="1:14">
      <c r="A73" s="12" t="s">
        <v>147</v>
      </c>
      <c r="B73" s="33" t="s">
        <v>148</v>
      </c>
      <c r="C73" s="34">
        <v>0</v>
      </c>
      <c r="D73" s="34">
        <v>0</v>
      </c>
      <c r="E73" s="44">
        <f t="shared" si="7"/>
        <v>0</v>
      </c>
      <c r="F73" s="34">
        <v>0</v>
      </c>
      <c r="G73" s="34">
        <v>0</v>
      </c>
      <c r="H73" s="45">
        <f t="shared" si="8"/>
        <v>0</v>
      </c>
      <c r="I73" s="34">
        <v>0</v>
      </c>
      <c r="J73" s="34">
        <v>0</v>
      </c>
      <c r="K73" s="45">
        <f t="shared" si="9"/>
        <v>0</v>
      </c>
      <c r="L73" s="49">
        <f t="shared" si="6"/>
        <v>0</v>
      </c>
      <c r="M73" s="49">
        <f t="shared" si="6"/>
        <v>0</v>
      </c>
      <c r="N73" s="45">
        <f t="shared" si="10"/>
        <v>0</v>
      </c>
    </row>
    <row r="74" ht="36" spans="1:14">
      <c r="A74" s="12" t="s">
        <v>149</v>
      </c>
      <c r="B74" s="33" t="s">
        <v>150</v>
      </c>
      <c r="C74" s="47">
        <v>0</v>
      </c>
      <c r="D74" s="47">
        <v>0</v>
      </c>
      <c r="E74" s="44">
        <f t="shared" si="7"/>
        <v>0</v>
      </c>
      <c r="F74" s="47">
        <v>0</v>
      </c>
      <c r="G74" s="47">
        <v>0</v>
      </c>
      <c r="H74" s="45">
        <f t="shared" si="8"/>
        <v>0</v>
      </c>
      <c r="I74" s="34">
        <v>333794.62</v>
      </c>
      <c r="J74" s="34">
        <v>127274.99</v>
      </c>
      <c r="K74" s="45">
        <f t="shared" si="9"/>
        <v>-206519.63</v>
      </c>
      <c r="L74" s="49">
        <f t="shared" si="6"/>
        <v>333794.62</v>
      </c>
      <c r="M74" s="49">
        <f t="shared" si="6"/>
        <v>127274.99</v>
      </c>
      <c r="N74" s="45">
        <f t="shared" si="10"/>
        <v>-206519.63</v>
      </c>
    </row>
    <row r="75" ht="36" spans="1:14">
      <c r="A75" s="9" t="s">
        <v>151</v>
      </c>
      <c r="B75" s="35" t="s">
        <v>152</v>
      </c>
      <c r="C75" s="11">
        <v>0</v>
      </c>
      <c r="D75" s="11">
        <v>0</v>
      </c>
      <c r="E75" s="43">
        <f t="shared" si="7"/>
        <v>0</v>
      </c>
      <c r="F75" s="11">
        <v>0</v>
      </c>
      <c r="G75" s="11">
        <v>0</v>
      </c>
      <c r="H75" s="43">
        <f t="shared" si="8"/>
        <v>0</v>
      </c>
      <c r="I75" s="11">
        <v>8939.8</v>
      </c>
      <c r="J75" s="11">
        <v>4109.21</v>
      </c>
      <c r="K75" s="48">
        <f t="shared" si="9"/>
        <v>-4830.59</v>
      </c>
      <c r="L75" s="11">
        <f t="shared" si="6"/>
        <v>8939.8</v>
      </c>
      <c r="M75" s="11">
        <f t="shared" si="6"/>
        <v>4109.21</v>
      </c>
      <c r="N75" s="43">
        <f t="shared" si="10"/>
        <v>-4830.59</v>
      </c>
    </row>
    <row r="76" ht="24" spans="1:14">
      <c r="A76" s="12" t="s">
        <v>153</v>
      </c>
      <c r="B76" s="33" t="s">
        <v>154</v>
      </c>
      <c r="C76" s="34">
        <v>0</v>
      </c>
      <c r="D76" s="34">
        <v>0</v>
      </c>
      <c r="E76" s="44">
        <f t="shared" si="7"/>
        <v>0</v>
      </c>
      <c r="F76" s="34">
        <v>0</v>
      </c>
      <c r="G76" s="34">
        <v>0</v>
      </c>
      <c r="H76" s="45">
        <f t="shared" si="8"/>
        <v>0</v>
      </c>
      <c r="I76" s="34">
        <v>0</v>
      </c>
      <c r="J76" s="34">
        <v>0</v>
      </c>
      <c r="K76" s="45">
        <f t="shared" si="9"/>
        <v>0</v>
      </c>
      <c r="L76" s="49">
        <f t="shared" si="6"/>
        <v>0</v>
      </c>
      <c r="M76" s="49">
        <f t="shared" si="6"/>
        <v>0</v>
      </c>
      <c r="N76" s="45">
        <f t="shared" si="10"/>
        <v>0</v>
      </c>
    </row>
    <row r="77" ht="24" spans="1:14">
      <c r="A77" s="12" t="s">
        <v>155</v>
      </c>
      <c r="B77" s="46" t="s">
        <v>156</v>
      </c>
      <c r="C77" s="34">
        <v>0</v>
      </c>
      <c r="D77" s="34">
        <v>0</v>
      </c>
      <c r="E77" s="44">
        <f t="shared" si="7"/>
        <v>0</v>
      </c>
      <c r="F77" s="34">
        <v>0</v>
      </c>
      <c r="G77" s="34">
        <v>0</v>
      </c>
      <c r="H77" s="45">
        <f t="shared" si="8"/>
        <v>0</v>
      </c>
      <c r="I77" s="34">
        <v>0</v>
      </c>
      <c r="J77" s="34">
        <v>0</v>
      </c>
      <c r="K77" s="45">
        <f t="shared" si="9"/>
        <v>0</v>
      </c>
      <c r="L77" s="49">
        <f t="shared" si="6"/>
        <v>0</v>
      </c>
      <c r="M77" s="49">
        <f t="shared" si="6"/>
        <v>0</v>
      </c>
      <c r="N77" s="45">
        <f t="shared" si="10"/>
        <v>0</v>
      </c>
    </row>
    <row r="78" ht="24" spans="1:14">
      <c r="A78" s="12" t="s">
        <v>157</v>
      </c>
      <c r="B78" s="33" t="s">
        <v>158</v>
      </c>
      <c r="C78" s="34">
        <v>0</v>
      </c>
      <c r="D78" s="34">
        <v>0</v>
      </c>
      <c r="E78" s="44">
        <f t="shared" si="7"/>
        <v>0</v>
      </c>
      <c r="F78" s="34">
        <v>0</v>
      </c>
      <c r="G78" s="34">
        <v>0</v>
      </c>
      <c r="H78" s="45">
        <f t="shared" si="8"/>
        <v>0</v>
      </c>
      <c r="I78" s="34">
        <v>0</v>
      </c>
      <c r="J78" s="34">
        <v>0</v>
      </c>
      <c r="K78" s="45">
        <f t="shared" si="9"/>
        <v>0</v>
      </c>
      <c r="L78" s="49">
        <f t="shared" si="6"/>
        <v>0</v>
      </c>
      <c r="M78" s="49">
        <f t="shared" si="6"/>
        <v>0</v>
      </c>
      <c r="N78" s="45">
        <f t="shared" si="10"/>
        <v>0</v>
      </c>
    </row>
    <row r="79" ht="24" spans="1:14">
      <c r="A79" s="12" t="s">
        <v>159</v>
      </c>
      <c r="B79" s="33" t="s">
        <v>160</v>
      </c>
      <c r="C79" s="47">
        <v>0</v>
      </c>
      <c r="D79" s="47">
        <v>0</v>
      </c>
      <c r="E79" s="44">
        <f t="shared" si="7"/>
        <v>0</v>
      </c>
      <c r="F79" s="47">
        <v>0</v>
      </c>
      <c r="G79" s="47">
        <v>0</v>
      </c>
      <c r="H79" s="45">
        <f t="shared" si="8"/>
        <v>0</v>
      </c>
      <c r="I79" s="34">
        <v>0</v>
      </c>
      <c r="J79" s="34">
        <v>0</v>
      </c>
      <c r="K79" s="45">
        <f t="shared" si="9"/>
        <v>0</v>
      </c>
      <c r="L79" s="49">
        <f t="shared" si="6"/>
        <v>0</v>
      </c>
      <c r="M79" s="49">
        <f t="shared" si="6"/>
        <v>0</v>
      </c>
      <c r="N79" s="45">
        <f t="shared" si="10"/>
        <v>0</v>
      </c>
    </row>
    <row r="80" ht="24" spans="1:14">
      <c r="A80" s="9" t="s">
        <v>161</v>
      </c>
      <c r="B80" s="35" t="s">
        <v>162</v>
      </c>
      <c r="C80" s="11">
        <v>0</v>
      </c>
      <c r="D80" s="11">
        <v>0</v>
      </c>
      <c r="E80" s="43">
        <f t="shared" si="7"/>
        <v>0</v>
      </c>
      <c r="F80" s="11">
        <v>0</v>
      </c>
      <c r="G80" s="11">
        <v>0</v>
      </c>
      <c r="H80" s="43">
        <f t="shared" si="8"/>
        <v>0</v>
      </c>
      <c r="I80" s="11">
        <v>10763.51</v>
      </c>
      <c r="J80" s="11">
        <v>13662.32</v>
      </c>
      <c r="K80" s="48">
        <f t="shared" si="9"/>
        <v>2898.81</v>
      </c>
      <c r="L80" s="11">
        <f t="shared" si="6"/>
        <v>10763.51</v>
      </c>
      <c r="M80" s="11">
        <f t="shared" si="6"/>
        <v>13662.32</v>
      </c>
      <c r="N80" s="43">
        <f t="shared" si="10"/>
        <v>2898.81</v>
      </c>
    </row>
    <row r="81" ht="36" spans="1:14">
      <c r="A81" s="12" t="s">
        <v>163</v>
      </c>
      <c r="B81" s="33" t="s">
        <v>164</v>
      </c>
      <c r="C81" s="34">
        <v>0</v>
      </c>
      <c r="D81" s="34">
        <v>0</v>
      </c>
      <c r="E81" s="44">
        <f t="shared" si="7"/>
        <v>0</v>
      </c>
      <c r="F81" s="34">
        <v>0</v>
      </c>
      <c r="G81" s="34">
        <v>0</v>
      </c>
      <c r="H81" s="45">
        <f t="shared" si="8"/>
        <v>0</v>
      </c>
      <c r="I81" s="34">
        <v>12610.08</v>
      </c>
      <c r="J81" s="34">
        <v>13547.62</v>
      </c>
      <c r="K81" s="45">
        <f t="shared" si="9"/>
        <v>937.540000000001</v>
      </c>
      <c r="L81" s="49">
        <f t="shared" si="6"/>
        <v>12610.08</v>
      </c>
      <c r="M81" s="49">
        <f t="shared" si="6"/>
        <v>13547.62</v>
      </c>
      <c r="N81" s="45">
        <f t="shared" si="10"/>
        <v>937.540000000001</v>
      </c>
    </row>
    <row r="82" ht="24" spans="1:14">
      <c r="A82" s="12" t="s">
        <v>165</v>
      </c>
      <c r="B82" s="46" t="s">
        <v>166</v>
      </c>
      <c r="C82" s="34">
        <v>0</v>
      </c>
      <c r="D82" s="34">
        <v>0</v>
      </c>
      <c r="E82" s="44">
        <f t="shared" si="7"/>
        <v>0</v>
      </c>
      <c r="F82" s="34">
        <v>0</v>
      </c>
      <c r="G82" s="34">
        <v>0</v>
      </c>
      <c r="H82" s="45">
        <f t="shared" si="8"/>
        <v>0</v>
      </c>
      <c r="I82" s="34">
        <v>0</v>
      </c>
      <c r="J82" s="34">
        <v>0</v>
      </c>
      <c r="K82" s="45">
        <f t="shared" si="9"/>
        <v>0</v>
      </c>
      <c r="L82" s="49">
        <f t="shared" si="6"/>
        <v>0</v>
      </c>
      <c r="M82" s="49">
        <f t="shared" si="6"/>
        <v>0</v>
      </c>
      <c r="N82" s="45">
        <f t="shared" si="10"/>
        <v>0</v>
      </c>
    </row>
    <row r="83" ht="24" spans="1:14">
      <c r="A83" s="12" t="s">
        <v>167</v>
      </c>
      <c r="B83" s="33" t="s">
        <v>168</v>
      </c>
      <c r="C83" s="34">
        <v>0</v>
      </c>
      <c r="D83" s="34">
        <v>0</v>
      </c>
      <c r="E83" s="44">
        <f t="shared" si="7"/>
        <v>0</v>
      </c>
      <c r="F83" s="34">
        <v>0</v>
      </c>
      <c r="G83" s="34">
        <v>0</v>
      </c>
      <c r="H83" s="45">
        <f t="shared" si="8"/>
        <v>0</v>
      </c>
      <c r="I83" s="34">
        <v>0</v>
      </c>
      <c r="J83" s="34">
        <v>0</v>
      </c>
      <c r="K83" s="45">
        <f t="shared" si="9"/>
        <v>0</v>
      </c>
      <c r="L83" s="49">
        <f t="shared" si="6"/>
        <v>0</v>
      </c>
      <c r="M83" s="49">
        <f t="shared" si="6"/>
        <v>0</v>
      </c>
      <c r="N83" s="45">
        <f t="shared" si="10"/>
        <v>0</v>
      </c>
    </row>
    <row r="84" ht="24" spans="1:14">
      <c r="A84" s="12" t="s">
        <v>169</v>
      </c>
      <c r="B84" s="33" t="s">
        <v>170</v>
      </c>
      <c r="C84" s="47">
        <v>0</v>
      </c>
      <c r="D84" s="47">
        <v>0</v>
      </c>
      <c r="E84" s="44">
        <f t="shared" si="7"/>
        <v>0</v>
      </c>
      <c r="F84" s="47">
        <v>0</v>
      </c>
      <c r="G84" s="47">
        <v>0</v>
      </c>
      <c r="H84" s="45">
        <f t="shared" si="8"/>
        <v>0</v>
      </c>
      <c r="I84" s="34">
        <v>0</v>
      </c>
      <c r="J84" s="34">
        <v>0</v>
      </c>
      <c r="K84" s="45">
        <f t="shared" si="9"/>
        <v>0</v>
      </c>
      <c r="L84" s="49">
        <f t="shared" si="6"/>
        <v>0</v>
      </c>
      <c r="M84" s="49">
        <f t="shared" si="6"/>
        <v>0</v>
      </c>
      <c r="N84" s="45">
        <f t="shared" si="10"/>
        <v>0</v>
      </c>
    </row>
    <row r="85" ht="24" spans="1:14">
      <c r="A85" s="9" t="s">
        <v>171</v>
      </c>
      <c r="B85" s="35" t="s">
        <v>172</v>
      </c>
      <c r="C85" s="11">
        <v>0</v>
      </c>
      <c r="D85" s="11">
        <v>0</v>
      </c>
      <c r="E85" s="43">
        <f t="shared" si="7"/>
        <v>0</v>
      </c>
      <c r="F85" s="11">
        <v>0</v>
      </c>
      <c r="G85" s="11">
        <v>0</v>
      </c>
      <c r="H85" s="43">
        <f t="shared" si="8"/>
        <v>0</v>
      </c>
      <c r="I85" s="11">
        <v>0</v>
      </c>
      <c r="J85" s="11">
        <v>0</v>
      </c>
      <c r="K85" s="48">
        <f t="shared" si="9"/>
        <v>0</v>
      </c>
      <c r="L85" s="11">
        <f t="shared" si="6"/>
        <v>0</v>
      </c>
      <c r="M85" s="11">
        <f t="shared" si="6"/>
        <v>0</v>
      </c>
      <c r="N85" s="43">
        <f t="shared" si="10"/>
        <v>0</v>
      </c>
    </row>
    <row r="86" ht="24" spans="1:14">
      <c r="A86" s="12" t="s">
        <v>173</v>
      </c>
      <c r="B86" s="33" t="s">
        <v>174</v>
      </c>
      <c r="C86" s="34">
        <v>0</v>
      </c>
      <c r="D86" s="34">
        <v>0</v>
      </c>
      <c r="E86" s="44">
        <f t="shared" si="7"/>
        <v>0</v>
      </c>
      <c r="F86" s="34">
        <v>0</v>
      </c>
      <c r="G86" s="34">
        <v>0</v>
      </c>
      <c r="H86" s="45">
        <f t="shared" si="8"/>
        <v>0</v>
      </c>
      <c r="I86" s="34">
        <v>0</v>
      </c>
      <c r="J86" s="34">
        <v>0</v>
      </c>
      <c r="K86" s="45">
        <f t="shared" si="9"/>
        <v>0</v>
      </c>
      <c r="L86" s="49">
        <f t="shared" si="6"/>
        <v>0</v>
      </c>
      <c r="M86" s="49">
        <f t="shared" si="6"/>
        <v>0</v>
      </c>
      <c r="N86" s="45">
        <f t="shared" si="10"/>
        <v>0</v>
      </c>
    </row>
    <row r="87" ht="24" spans="1:14">
      <c r="A87" s="12" t="s">
        <v>175</v>
      </c>
      <c r="B87" s="46" t="s">
        <v>176</v>
      </c>
      <c r="C87" s="34">
        <v>0</v>
      </c>
      <c r="D87" s="34">
        <v>0</v>
      </c>
      <c r="E87" s="44">
        <f t="shared" si="7"/>
        <v>0</v>
      </c>
      <c r="F87" s="34">
        <v>0</v>
      </c>
      <c r="G87" s="34">
        <v>0</v>
      </c>
      <c r="H87" s="45">
        <f t="shared" si="8"/>
        <v>0</v>
      </c>
      <c r="I87" s="34">
        <v>0</v>
      </c>
      <c r="J87" s="34">
        <v>0</v>
      </c>
      <c r="K87" s="45">
        <f t="shared" si="9"/>
        <v>0</v>
      </c>
      <c r="L87" s="49">
        <f t="shared" si="6"/>
        <v>0</v>
      </c>
      <c r="M87" s="49">
        <f t="shared" si="6"/>
        <v>0</v>
      </c>
      <c r="N87" s="45">
        <f t="shared" si="10"/>
        <v>0</v>
      </c>
    </row>
    <row r="88" ht="24" spans="1:14">
      <c r="A88" s="12" t="s">
        <v>177</v>
      </c>
      <c r="B88" s="33" t="s">
        <v>178</v>
      </c>
      <c r="C88" s="34">
        <v>0</v>
      </c>
      <c r="D88" s="34">
        <v>0</v>
      </c>
      <c r="E88" s="44">
        <f t="shared" si="7"/>
        <v>0</v>
      </c>
      <c r="F88" s="34">
        <v>0</v>
      </c>
      <c r="G88" s="34">
        <v>0</v>
      </c>
      <c r="H88" s="45">
        <f t="shared" si="8"/>
        <v>0</v>
      </c>
      <c r="I88" s="34">
        <v>0</v>
      </c>
      <c r="J88" s="34">
        <v>0</v>
      </c>
      <c r="K88" s="45">
        <f t="shared" si="9"/>
        <v>0</v>
      </c>
      <c r="L88" s="49">
        <f t="shared" si="6"/>
        <v>0</v>
      </c>
      <c r="M88" s="49">
        <f t="shared" si="6"/>
        <v>0</v>
      </c>
      <c r="N88" s="45">
        <f t="shared" si="10"/>
        <v>0</v>
      </c>
    </row>
    <row r="89" ht="36" spans="1:14">
      <c r="A89" s="12" t="s">
        <v>179</v>
      </c>
      <c r="B89" s="33" t="s">
        <v>180</v>
      </c>
      <c r="C89" s="47">
        <v>0</v>
      </c>
      <c r="D89" s="47">
        <v>0</v>
      </c>
      <c r="E89" s="44">
        <f t="shared" si="7"/>
        <v>0</v>
      </c>
      <c r="F89" s="47">
        <v>0</v>
      </c>
      <c r="G89" s="47">
        <v>0</v>
      </c>
      <c r="H89" s="45">
        <f t="shared" si="8"/>
        <v>0</v>
      </c>
      <c r="I89" s="34">
        <v>0</v>
      </c>
      <c r="J89" s="34">
        <v>0</v>
      </c>
      <c r="K89" s="45">
        <f t="shared" si="9"/>
        <v>0</v>
      </c>
      <c r="L89" s="49">
        <f t="shared" si="6"/>
        <v>0</v>
      </c>
      <c r="M89" s="49">
        <f t="shared" si="6"/>
        <v>0</v>
      </c>
      <c r="N89" s="45">
        <f t="shared" si="10"/>
        <v>0</v>
      </c>
    </row>
    <row r="90" ht="36" spans="1:14">
      <c r="A90" s="9" t="s">
        <v>181</v>
      </c>
      <c r="B90" s="35" t="s">
        <v>182</v>
      </c>
      <c r="C90" s="11">
        <v>0</v>
      </c>
      <c r="D90" s="11">
        <v>0</v>
      </c>
      <c r="E90" s="43">
        <f t="shared" si="7"/>
        <v>0</v>
      </c>
      <c r="F90" s="11">
        <v>0</v>
      </c>
      <c r="G90" s="11">
        <v>0</v>
      </c>
      <c r="H90" s="43">
        <f t="shared" si="8"/>
        <v>0</v>
      </c>
      <c r="I90" s="11">
        <v>0</v>
      </c>
      <c r="J90" s="11">
        <v>0</v>
      </c>
      <c r="K90" s="48">
        <f t="shared" si="9"/>
        <v>0</v>
      </c>
      <c r="L90" s="11">
        <f t="shared" si="6"/>
        <v>0</v>
      </c>
      <c r="M90" s="11">
        <f t="shared" si="6"/>
        <v>0</v>
      </c>
      <c r="N90" s="43">
        <f t="shared" si="10"/>
        <v>0</v>
      </c>
    </row>
    <row r="91" ht="36" spans="1:14">
      <c r="A91" s="12" t="s">
        <v>183</v>
      </c>
      <c r="B91" s="33" t="s">
        <v>184</v>
      </c>
      <c r="C91" s="34">
        <v>0</v>
      </c>
      <c r="D91" s="34">
        <v>0</v>
      </c>
      <c r="E91" s="44">
        <f t="shared" si="7"/>
        <v>0</v>
      </c>
      <c r="F91" s="34">
        <v>0</v>
      </c>
      <c r="G91" s="34">
        <v>0</v>
      </c>
      <c r="H91" s="45">
        <f t="shared" si="8"/>
        <v>0</v>
      </c>
      <c r="I91" s="34">
        <v>0</v>
      </c>
      <c r="J91" s="34">
        <v>0</v>
      </c>
      <c r="K91" s="45">
        <f t="shared" si="9"/>
        <v>0</v>
      </c>
      <c r="L91" s="49">
        <f t="shared" si="6"/>
        <v>0</v>
      </c>
      <c r="M91" s="49">
        <f t="shared" si="6"/>
        <v>0</v>
      </c>
      <c r="N91" s="45">
        <f t="shared" si="10"/>
        <v>0</v>
      </c>
    </row>
    <row r="92" ht="24" spans="1:14">
      <c r="A92" s="12" t="s">
        <v>185</v>
      </c>
      <c r="B92" s="46" t="s">
        <v>186</v>
      </c>
      <c r="C92" s="34">
        <v>0</v>
      </c>
      <c r="D92" s="34">
        <v>0</v>
      </c>
      <c r="E92" s="44">
        <f t="shared" si="7"/>
        <v>0</v>
      </c>
      <c r="F92" s="34">
        <v>0</v>
      </c>
      <c r="G92" s="34">
        <v>0</v>
      </c>
      <c r="H92" s="45">
        <f t="shared" si="8"/>
        <v>0</v>
      </c>
      <c r="I92" s="34">
        <v>0</v>
      </c>
      <c r="J92" s="34">
        <v>0</v>
      </c>
      <c r="K92" s="45">
        <f t="shared" si="9"/>
        <v>0</v>
      </c>
      <c r="L92" s="49">
        <f t="shared" ref="L92:M123" si="11">C92+F92+I92</f>
        <v>0</v>
      </c>
      <c r="M92" s="49">
        <f t="shared" si="11"/>
        <v>0</v>
      </c>
      <c r="N92" s="45">
        <f t="shared" si="10"/>
        <v>0</v>
      </c>
    </row>
    <row r="93" ht="36" spans="1:14">
      <c r="A93" s="12" t="s">
        <v>187</v>
      </c>
      <c r="B93" s="33" t="s">
        <v>188</v>
      </c>
      <c r="C93" s="34">
        <v>0</v>
      </c>
      <c r="D93" s="34">
        <v>0</v>
      </c>
      <c r="E93" s="44">
        <f t="shared" si="7"/>
        <v>0</v>
      </c>
      <c r="F93" s="34">
        <v>0</v>
      </c>
      <c r="G93" s="34">
        <v>0</v>
      </c>
      <c r="H93" s="45">
        <f t="shared" si="8"/>
        <v>0</v>
      </c>
      <c r="I93" s="34">
        <v>0</v>
      </c>
      <c r="J93" s="34">
        <v>0</v>
      </c>
      <c r="K93" s="45">
        <f t="shared" si="9"/>
        <v>0</v>
      </c>
      <c r="L93" s="49">
        <f t="shared" si="11"/>
        <v>0</v>
      </c>
      <c r="M93" s="49">
        <f t="shared" si="11"/>
        <v>0</v>
      </c>
      <c r="N93" s="45">
        <f t="shared" si="10"/>
        <v>0</v>
      </c>
    </row>
    <row r="94" ht="24" spans="1:14">
      <c r="A94" s="12" t="s">
        <v>189</v>
      </c>
      <c r="B94" s="33" t="s">
        <v>190</v>
      </c>
      <c r="C94" s="47">
        <v>0</v>
      </c>
      <c r="D94" s="47">
        <v>0</v>
      </c>
      <c r="E94" s="44">
        <f t="shared" si="7"/>
        <v>0</v>
      </c>
      <c r="F94" s="47">
        <v>0</v>
      </c>
      <c r="G94" s="47">
        <v>0</v>
      </c>
      <c r="H94" s="45">
        <f t="shared" si="8"/>
        <v>0</v>
      </c>
      <c r="I94" s="34">
        <v>0</v>
      </c>
      <c r="J94" s="34">
        <v>0</v>
      </c>
      <c r="K94" s="45">
        <f t="shared" si="9"/>
        <v>0</v>
      </c>
      <c r="L94" s="49">
        <f t="shared" si="11"/>
        <v>0</v>
      </c>
      <c r="M94" s="49">
        <f t="shared" si="11"/>
        <v>0</v>
      </c>
      <c r="N94" s="45">
        <f t="shared" si="10"/>
        <v>0</v>
      </c>
    </row>
    <row r="95" ht="24" spans="1:14">
      <c r="A95" s="9" t="s">
        <v>191</v>
      </c>
      <c r="B95" s="35" t="s">
        <v>192</v>
      </c>
      <c r="C95" s="11">
        <v>0</v>
      </c>
      <c r="D95" s="11">
        <v>0</v>
      </c>
      <c r="E95" s="43">
        <f t="shared" si="7"/>
        <v>0</v>
      </c>
      <c r="F95" s="11">
        <v>0</v>
      </c>
      <c r="G95" s="11">
        <v>0</v>
      </c>
      <c r="H95" s="43">
        <f t="shared" si="8"/>
        <v>0</v>
      </c>
      <c r="I95" s="11">
        <v>0</v>
      </c>
      <c r="J95" s="11">
        <v>0</v>
      </c>
      <c r="K95" s="48">
        <f t="shared" si="9"/>
        <v>0</v>
      </c>
      <c r="L95" s="11">
        <f t="shared" si="11"/>
        <v>0</v>
      </c>
      <c r="M95" s="11">
        <f t="shared" si="11"/>
        <v>0</v>
      </c>
      <c r="N95" s="43">
        <f t="shared" si="10"/>
        <v>0</v>
      </c>
    </row>
    <row r="96" ht="24" spans="1:14">
      <c r="A96" s="12" t="s">
        <v>193</v>
      </c>
      <c r="B96" s="33" t="s">
        <v>194</v>
      </c>
      <c r="C96" s="34">
        <v>0</v>
      </c>
      <c r="D96" s="34">
        <v>0</v>
      </c>
      <c r="E96" s="44">
        <f t="shared" si="7"/>
        <v>0</v>
      </c>
      <c r="F96" s="34">
        <v>0</v>
      </c>
      <c r="G96" s="34">
        <v>0</v>
      </c>
      <c r="H96" s="45">
        <f t="shared" si="8"/>
        <v>0</v>
      </c>
      <c r="I96" s="34">
        <v>0</v>
      </c>
      <c r="J96" s="34">
        <v>0</v>
      </c>
      <c r="K96" s="45">
        <f t="shared" si="9"/>
        <v>0</v>
      </c>
      <c r="L96" s="49">
        <f t="shared" si="11"/>
        <v>0</v>
      </c>
      <c r="M96" s="49">
        <f t="shared" si="11"/>
        <v>0</v>
      </c>
      <c r="N96" s="45">
        <f t="shared" si="10"/>
        <v>0</v>
      </c>
    </row>
    <row r="97" ht="24" spans="1:14">
      <c r="A97" s="12" t="s">
        <v>195</v>
      </c>
      <c r="B97" s="46" t="s">
        <v>196</v>
      </c>
      <c r="C97" s="34">
        <v>0</v>
      </c>
      <c r="D97" s="34">
        <v>0</v>
      </c>
      <c r="E97" s="44">
        <f t="shared" si="7"/>
        <v>0</v>
      </c>
      <c r="F97" s="34">
        <v>0</v>
      </c>
      <c r="G97" s="34">
        <v>0</v>
      </c>
      <c r="H97" s="45">
        <f t="shared" si="8"/>
        <v>0</v>
      </c>
      <c r="I97" s="34">
        <v>0</v>
      </c>
      <c r="J97" s="34">
        <v>0</v>
      </c>
      <c r="K97" s="45">
        <f t="shared" si="9"/>
        <v>0</v>
      </c>
      <c r="L97" s="49">
        <f t="shared" si="11"/>
        <v>0</v>
      </c>
      <c r="M97" s="49">
        <f t="shared" si="11"/>
        <v>0</v>
      </c>
      <c r="N97" s="45">
        <f t="shared" si="10"/>
        <v>0</v>
      </c>
    </row>
    <row r="98" ht="24" spans="1:14">
      <c r="A98" s="12" t="s">
        <v>197</v>
      </c>
      <c r="B98" s="33" t="s">
        <v>198</v>
      </c>
      <c r="C98" s="34">
        <v>0</v>
      </c>
      <c r="D98" s="34">
        <v>0</v>
      </c>
      <c r="E98" s="44">
        <f t="shared" si="7"/>
        <v>0</v>
      </c>
      <c r="F98" s="34">
        <v>0</v>
      </c>
      <c r="G98" s="34">
        <v>0</v>
      </c>
      <c r="H98" s="45">
        <f t="shared" si="8"/>
        <v>0</v>
      </c>
      <c r="I98" s="34">
        <v>0</v>
      </c>
      <c r="J98" s="34">
        <v>0</v>
      </c>
      <c r="K98" s="45">
        <f t="shared" si="9"/>
        <v>0</v>
      </c>
      <c r="L98" s="49">
        <f t="shared" si="11"/>
        <v>0</v>
      </c>
      <c r="M98" s="49">
        <f t="shared" si="11"/>
        <v>0</v>
      </c>
      <c r="N98" s="45">
        <f t="shared" si="10"/>
        <v>0</v>
      </c>
    </row>
    <row r="99" ht="24" spans="1:14">
      <c r="A99" s="12" t="s">
        <v>199</v>
      </c>
      <c r="B99" s="33" t="s">
        <v>200</v>
      </c>
      <c r="C99" s="47">
        <v>0</v>
      </c>
      <c r="D99" s="47">
        <v>0</v>
      </c>
      <c r="E99" s="44">
        <f t="shared" si="7"/>
        <v>0</v>
      </c>
      <c r="F99" s="47">
        <v>0</v>
      </c>
      <c r="G99" s="47">
        <v>0</v>
      </c>
      <c r="H99" s="45">
        <f t="shared" si="8"/>
        <v>0</v>
      </c>
      <c r="I99" s="34">
        <v>0</v>
      </c>
      <c r="J99" s="34">
        <v>0</v>
      </c>
      <c r="K99" s="45">
        <f t="shared" si="9"/>
        <v>0</v>
      </c>
      <c r="L99" s="49">
        <f t="shared" si="11"/>
        <v>0</v>
      </c>
      <c r="M99" s="49">
        <f t="shared" si="11"/>
        <v>0</v>
      </c>
      <c r="N99" s="45">
        <f t="shared" si="10"/>
        <v>0</v>
      </c>
    </row>
    <row r="100" ht="24" spans="1:14">
      <c r="A100" s="9" t="s">
        <v>201</v>
      </c>
      <c r="B100" s="35" t="s">
        <v>202</v>
      </c>
      <c r="C100" s="11">
        <v>0</v>
      </c>
      <c r="D100" s="11">
        <v>0</v>
      </c>
      <c r="E100" s="43">
        <f t="shared" si="7"/>
        <v>0</v>
      </c>
      <c r="F100" s="11">
        <v>0</v>
      </c>
      <c r="G100" s="11">
        <v>0</v>
      </c>
      <c r="H100" s="43">
        <f t="shared" si="8"/>
        <v>0</v>
      </c>
      <c r="I100" s="11">
        <v>0</v>
      </c>
      <c r="J100" s="11">
        <v>0</v>
      </c>
      <c r="K100" s="48">
        <f t="shared" si="9"/>
        <v>0</v>
      </c>
      <c r="L100" s="11">
        <f t="shared" si="11"/>
        <v>0</v>
      </c>
      <c r="M100" s="11">
        <f t="shared" si="11"/>
        <v>0</v>
      </c>
      <c r="N100" s="43">
        <f t="shared" si="10"/>
        <v>0</v>
      </c>
    </row>
    <row r="101" ht="24" spans="1:14">
      <c r="A101" s="12" t="s">
        <v>203</v>
      </c>
      <c r="B101" s="33" t="s">
        <v>204</v>
      </c>
      <c r="C101" s="34">
        <v>0</v>
      </c>
      <c r="D101" s="34">
        <v>0</v>
      </c>
      <c r="E101" s="44">
        <f t="shared" si="7"/>
        <v>0</v>
      </c>
      <c r="F101" s="34">
        <v>0</v>
      </c>
      <c r="G101" s="34">
        <v>0</v>
      </c>
      <c r="H101" s="45">
        <f t="shared" si="8"/>
        <v>0</v>
      </c>
      <c r="I101" s="34">
        <v>0</v>
      </c>
      <c r="J101" s="34">
        <v>0</v>
      </c>
      <c r="K101" s="45">
        <f t="shared" si="9"/>
        <v>0</v>
      </c>
      <c r="L101" s="49">
        <f t="shared" si="11"/>
        <v>0</v>
      </c>
      <c r="M101" s="49">
        <f t="shared" si="11"/>
        <v>0</v>
      </c>
      <c r="N101" s="45">
        <f t="shared" si="10"/>
        <v>0</v>
      </c>
    </row>
    <row r="102" ht="24" spans="1:14">
      <c r="A102" s="12" t="s">
        <v>205</v>
      </c>
      <c r="B102" s="46" t="s">
        <v>206</v>
      </c>
      <c r="C102" s="34">
        <v>0</v>
      </c>
      <c r="D102" s="34">
        <v>0</v>
      </c>
      <c r="E102" s="44">
        <f t="shared" si="7"/>
        <v>0</v>
      </c>
      <c r="F102" s="34">
        <v>0</v>
      </c>
      <c r="G102" s="34">
        <v>0</v>
      </c>
      <c r="H102" s="45">
        <f t="shared" si="8"/>
        <v>0</v>
      </c>
      <c r="I102" s="34">
        <v>0</v>
      </c>
      <c r="J102" s="34">
        <v>0</v>
      </c>
      <c r="K102" s="45">
        <f t="shared" si="9"/>
        <v>0</v>
      </c>
      <c r="L102" s="49">
        <f t="shared" si="11"/>
        <v>0</v>
      </c>
      <c r="M102" s="49">
        <f t="shared" si="11"/>
        <v>0</v>
      </c>
      <c r="N102" s="45">
        <f t="shared" si="10"/>
        <v>0</v>
      </c>
    </row>
    <row r="103" ht="24" spans="1:14">
      <c r="A103" s="12" t="s">
        <v>207</v>
      </c>
      <c r="B103" s="33" t="s">
        <v>208</v>
      </c>
      <c r="C103" s="34">
        <v>0</v>
      </c>
      <c r="D103" s="34">
        <v>0</v>
      </c>
      <c r="E103" s="44">
        <f t="shared" si="7"/>
        <v>0</v>
      </c>
      <c r="F103" s="34">
        <v>0</v>
      </c>
      <c r="G103" s="34">
        <v>0</v>
      </c>
      <c r="H103" s="45">
        <f t="shared" si="8"/>
        <v>0</v>
      </c>
      <c r="I103" s="34">
        <v>0</v>
      </c>
      <c r="J103" s="34">
        <v>0</v>
      </c>
      <c r="K103" s="45">
        <f t="shared" si="9"/>
        <v>0</v>
      </c>
      <c r="L103" s="49">
        <f t="shared" si="11"/>
        <v>0</v>
      </c>
      <c r="M103" s="49">
        <f t="shared" si="11"/>
        <v>0</v>
      </c>
      <c r="N103" s="45">
        <f t="shared" si="10"/>
        <v>0</v>
      </c>
    </row>
    <row r="104" ht="24" spans="1:14">
      <c r="A104" s="12" t="s">
        <v>209</v>
      </c>
      <c r="B104" s="33" t="s">
        <v>210</v>
      </c>
      <c r="C104" s="47">
        <v>0</v>
      </c>
      <c r="D104" s="47">
        <v>0</v>
      </c>
      <c r="E104" s="44">
        <f t="shared" si="7"/>
        <v>0</v>
      </c>
      <c r="F104" s="47">
        <v>0</v>
      </c>
      <c r="G104" s="47">
        <v>0</v>
      </c>
      <c r="H104" s="45">
        <f t="shared" si="8"/>
        <v>0</v>
      </c>
      <c r="I104" s="34">
        <v>0</v>
      </c>
      <c r="J104" s="34">
        <v>0</v>
      </c>
      <c r="K104" s="45">
        <f t="shared" si="9"/>
        <v>0</v>
      </c>
      <c r="L104" s="49">
        <f t="shared" si="11"/>
        <v>0</v>
      </c>
      <c r="M104" s="49">
        <f t="shared" si="11"/>
        <v>0</v>
      </c>
      <c r="N104" s="45">
        <f t="shared" si="10"/>
        <v>0</v>
      </c>
    </row>
    <row r="105" ht="24" spans="1:14">
      <c r="A105" s="9" t="s">
        <v>211</v>
      </c>
      <c r="B105" s="35" t="s">
        <v>212</v>
      </c>
      <c r="C105" s="11">
        <v>0</v>
      </c>
      <c r="D105" s="11">
        <v>0</v>
      </c>
      <c r="E105" s="43">
        <f t="shared" si="7"/>
        <v>0</v>
      </c>
      <c r="F105" s="11">
        <v>0</v>
      </c>
      <c r="G105" s="11">
        <v>0</v>
      </c>
      <c r="H105" s="43">
        <f t="shared" si="8"/>
        <v>0</v>
      </c>
      <c r="I105" s="11">
        <v>0</v>
      </c>
      <c r="J105" s="11">
        <v>0</v>
      </c>
      <c r="K105" s="48">
        <f t="shared" si="9"/>
        <v>0</v>
      </c>
      <c r="L105" s="11">
        <f t="shared" si="11"/>
        <v>0</v>
      </c>
      <c r="M105" s="11">
        <f t="shared" si="11"/>
        <v>0</v>
      </c>
      <c r="N105" s="43">
        <f t="shared" si="10"/>
        <v>0</v>
      </c>
    </row>
    <row r="106" ht="24" spans="1:14">
      <c r="A106" s="12" t="s">
        <v>213</v>
      </c>
      <c r="B106" s="33" t="s">
        <v>214</v>
      </c>
      <c r="C106" s="34">
        <v>0</v>
      </c>
      <c r="D106" s="34">
        <v>0</v>
      </c>
      <c r="E106" s="44">
        <f t="shared" si="7"/>
        <v>0</v>
      </c>
      <c r="F106" s="34">
        <v>0</v>
      </c>
      <c r="G106" s="34">
        <v>0</v>
      </c>
      <c r="H106" s="45">
        <f t="shared" si="8"/>
        <v>0</v>
      </c>
      <c r="I106" s="34">
        <v>0</v>
      </c>
      <c r="J106" s="34">
        <v>0</v>
      </c>
      <c r="K106" s="45">
        <f t="shared" si="9"/>
        <v>0</v>
      </c>
      <c r="L106" s="49">
        <f t="shared" si="11"/>
        <v>0</v>
      </c>
      <c r="M106" s="49">
        <f t="shared" si="11"/>
        <v>0</v>
      </c>
      <c r="N106" s="45">
        <f t="shared" si="10"/>
        <v>0</v>
      </c>
    </row>
    <row r="107" ht="24" spans="1:14">
      <c r="A107" s="12" t="s">
        <v>215</v>
      </c>
      <c r="B107" s="46" t="s">
        <v>216</v>
      </c>
      <c r="C107" s="34">
        <v>0</v>
      </c>
      <c r="D107" s="34">
        <v>0</v>
      </c>
      <c r="E107" s="44">
        <f t="shared" si="7"/>
        <v>0</v>
      </c>
      <c r="F107" s="34">
        <v>0</v>
      </c>
      <c r="G107" s="34">
        <v>0</v>
      </c>
      <c r="H107" s="45">
        <f t="shared" si="8"/>
        <v>0</v>
      </c>
      <c r="I107" s="34">
        <v>0</v>
      </c>
      <c r="J107" s="34">
        <v>0</v>
      </c>
      <c r="K107" s="45">
        <f t="shared" si="9"/>
        <v>0</v>
      </c>
      <c r="L107" s="49">
        <f t="shared" si="11"/>
        <v>0</v>
      </c>
      <c r="M107" s="49">
        <f t="shared" si="11"/>
        <v>0</v>
      </c>
      <c r="N107" s="45">
        <f t="shared" si="10"/>
        <v>0</v>
      </c>
    </row>
    <row r="108" ht="24" spans="1:14">
      <c r="A108" s="12" t="s">
        <v>217</v>
      </c>
      <c r="B108" s="33" t="s">
        <v>218</v>
      </c>
      <c r="C108" s="34">
        <v>0</v>
      </c>
      <c r="D108" s="34">
        <v>0</v>
      </c>
      <c r="E108" s="44">
        <f t="shared" si="7"/>
        <v>0</v>
      </c>
      <c r="F108" s="34">
        <v>0</v>
      </c>
      <c r="G108" s="34">
        <v>0</v>
      </c>
      <c r="H108" s="45">
        <f t="shared" si="8"/>
        <v>0</v>
      </c>
      <c r="I108" s="34">
        <v>0</v>
      </c>
      <c r="J108" s="34">
        <v>0</v>
      </c>
      <c r="K108" s="45">
        <f t="shared" si="9"/>
        <v>0</v>
      </c>
      <c r="L108" s="49">
        <f t="shared" si="11"/>
        <v>0</v>
      </c>
      <c r="M108" s="49">
        <f t="shared" si="11"/>
        <v>0</v>
      </c>
      <c r="N108" s="45">
        <f t="shared" si="10"/>
        <v>0</v>
      </c>
    </row>
    <row r="109" ht="24" spans="1:14">
      <c r="A109" s="12" t="s">
        <v>219</v>
      </c>
      <c r="B109" s="33" t="s">
        <v>220</v>
      </c>
      <c r="C109" s="47">
        <v>0</v>
      </c>
      <c r="D109" s="47">
        <v>0</v>
      </c>
      <c r="E109" s="44">
        <f t="shared" si="7"/>
        <v>0</v>
      </c>
      <c r="F109" s="47">
        <v>0</v>
      </c>
      <c r="G109" s="47">
        <v>0</v>
      </c>
      <c r="H109" s="45">
        <f t="shared" si="8"/>
        <v>0</v>
      </c>
      <c r="I109" s="34">
        <v>0</v>
      </c>
      <c r="J109" s="34">
        <v>0</v>
      </c>
      <c r="K109" s="45">
        <f t="shared" si="9"/>
        <v>0</v>
      </c>
      <c r="L109" s="49">
        <f t="shared" si="11"/>
        <v>0</v>
      </c>
      <c r="M109" s="49">
        <f t="shared" si="11"/>
        <v>0</v>
      </c>
      <c r="N109" s="45">
        <f t="shared" si="10"/>
        <v>0</v>
      </c>
    </row>
    <row r="110" ht="24" spans="1:14">
      <c r="A110" s="9" t="s">
        <v>221</v>
      </c>
      <c r="B110" s="35" t="s">
        <v>222</v>
      </c>
      <c r="C110" s="11">
        <v>0</v>
      </c>
      <c r="D110" s="11">
        <v>0</v>
      </c>
      <c r="E110" s="43">
        <f t="shared" si="7"/>
        <v>0</v>
      </c>
      <c r="F110" s="11">
        <v>0</v>
      </c>
      <c r="G110" s="11">
        <v>0</v>
      </c>
      <c r="H110" s="43">
        <f t="shared" si="8"/>
        <v>0</v>
      </c>
      <c r="I110" s="11">
        <v>0</v>
      </c>
      <c r="J110" s="11">
        <v>0</v>
      </c>
      <c r="K110" s="48">
        <f t="shared" si="9"/>
        <v>0</v>
      </c>
      <c r="L110" s="11">
        <f t="shared" si="11"/>
        <v>0</v>
      </c>
      <c r="M110" s="11">
        <f t="shared" si="11"/>
        <v>0</v>
      </c>
      <c r="N110" s="43">
        <f t="shared" si="10"/>
        <v>0</v>
      </c>
    </row>
    <row r="111" ht="24" spans="1:14">
      <c r="A111" s="12" t="s">
        <v>223</v>
      </c>
      <c r="B111" s="33" t="s">
        <v>224</v>
      </c>
      <c r="C111" s="34">
        <v>0</v>
      </c>
      <c r="D111" s="34">
        <v>0</v>
      </c>
      <c r="E111" s="44">
        <f t="shared" si="7"/>
        <v>0</v>
      </c>
      <c r="F111" s="34">
        <v>0</v>
      </c>
      <c r="G111" s="34">
        <v>0</v>
      </c>
      <c r="H111" s="45">
        <f t="shared" si="8"/>
        <v>0</v>
      </c>
      <c r="I111" s="34">
        <v>0</v>
      </c>
      <c r="J111" s="34">
        <v>0</v>
      </c>
      <c r="K111" s="45">
        <f t="shared" si="9"/>
        <v>0</v>
      </c>
      <c r="L111" s="49">
        <f t="shared" si="11"/>
        <v>0</v>
      </c>
      <c r="M111" s="49">
        <f t="shared" si="11"/>
        <v>0</v>
      </c>
      <c r="N111" s="45">
        <f t="shared" si="10"/>
        <v>0</v>
      </c>
    </row>
    <row r="112" ht="24" spans="1:14">
      <c r="A112" s="12" t="s">
        <v>225</v>
      </c>
      <c r="B112" s="46" t="s">
        <v>226</v>
      </c>
      <c r="C112" s="34">
        <v>0</v>
      </c>
      <c r="D112" s="34">
        <v>0</v>
      </c>
      <c r="E112" s="44">
        <f t="shared" si="7"/>
        <v>0</v>
      </c>
      <c r="F112" s="34">
        <v>0</v>
      </c>
      <c r="G112" s="34">
        <v>0</v>
      </c>
      <c r="H112" s="45">
        <f t="shared" si="8"/>
        <v>0</v>
      </c>
      <c r="I112" s="34">
        <v>0</v>
      </c>
      <c r="J112" s="34">
        <v>0</v>
      </c>
      <c r="K112" s="45">
        <f t="shared" si="9"/>
        <v>0</v>
      </c>
      <c r="L112" s="49">
        <f t="shared" si="11"/>
        <v>0</v>
      </c>
      <c r="M112" s="49">
        <f t="shared" si="11"/>
        <v>0</v>
      </c>
      <c r="N112" s="45">
        <f t="shared" si="10"/>
        <v>0</v>
      </c>
    </row>
    <row r="113" ht="24" spans="1:14">
      <c r="A113" s="12" t="s">
        <v>227</v>
      </c>
      <c r="B113" s="33" t="s">
        <v>228</v>
      </c>
      <c r="C113" s="34">
        <v>0</v>
      </c>
      <c r="D113" s="34">
        <v>0</v>
      </c>
      <c r="E113" s="44">
        <f t="shared" si="7"/>
        <v>0</v>
      </c>
      <c r="F113" s="34">
        <v>0</v>
      </c>
      <c r="G113" s="34">
        <v>0</v>
      </c>
      <c r="H113" s="45">
        <f t="shared" si="8"/>
        <v>0</v>
      </c>
      <c r="I113" s="34">
        <v>0</v>
      </c>
      <c r="J113" s="34">
        <v>0</v>
      </c>
      <c r="K113" s="45">
        <f t="shared" si="9"/>
        <v>0</v>
      </c>
      <c r="L113" s="49">
        <f t="shared" si="11"/>
        <v>0</v>
      </c>
      <c r="M113" s="49">
        <f t="shared" si="11"/>
        <v>0</v>
      </c>
      <c r="N113" s="45">
        <f t="shared" si="10"/>
        <v>0</v>
      </c>
    </row>
    <row r="114" ht="24" spans="1:14">
      <c r="A114" s="12" t="s">
        <v>229</v>
      </c>
      <c r="B114" s="33" t="s">
        <v>230</v>
      </c>
      <c r="C114" s="47">
        <v>0</v>
      </c>
      <c r="D114" s="47">
        <v>0</v>
      </c>
      <c r="E114" s="44">
        <f t="shared" si="7"/>
        <v>0</v>
      </c>
      <c r="F114" s="47">
        <v>0</v>
      </c>
      <c r="G114" s="47">
        <v>0</v>
      </c>
      <c r="H114" s="45">
        <f t="shared" si="8"/>
        <v>0</v>
      </c>
      <c r="I114" s="34">
        <v>0</v>
      </c>
      <c r="J114" s="34">
        <v>0</v>
      </c>
      <c r="K114" s="45">
        <f t="shared" si="9"/>
        <v>0</v>
      </c>
      <c r="L114" s="49">
        <f t="shared" si="11"/>
        <v>0</v>
      </c>
      <c r="M114" s="49">
        <f t="shared" si="11"/>
        <v>0</v>
      </c>
      <c r="N114" s="45">
        <f t="shared" si="10"/>
        <v>0</v>
      </c>
    </row>
    <row r="115" ht="24" spans="1:14">
      <c r="A115" s="9" t="s">
        <v>231</v>
      </c>
      <c r="B115" s="35" t="s">
        <v>232</v>
      </c>
      <c r="C115" s="11">
        <v>0</v>
      </c>
      <c r="D115" s="11">
        <v>0</v>
      </c>
      <c r="E115" s="43">
        <f t="shared" si="7"/>
        <v>0</v>
      </c>
      <c r="F115" s="11">
        <v>0</v>
      </c>
      <c r="G115" s="11">
        <v>0</v>
      </c>
      <c r="H115" s="43">
        <f t="shared" si="8"/>
        <v>0</v>
      </c>
      <c r="I115" s="11">
        <v>0</v>
      </c>
      <c r="J115" s="11">
        <v>0</v>
      </c>
      <c r="K115" s="48">
        <f t="shared" si="9"/>
        <v>0</v>
      </c>
      <c r="L115" s="11">
        <f t="shared" si="11"/>
        <v>0</v>
      </c>
      <c r="M115" s="11">
        <f t="shared" si="11"/>
        <v>0</v>
      </c>
      <c r="N115" s="43">
        <f t="shared" si="10"/>
        <v>0</v>
      </c>
    </row>
    <row r="116" ht="24" spans="1:14">
      <c r="A116" s="12" t="s">
        <v>233</v>
      </c>
      <c r="B116" s="33" t="s">
        <v>234</v>
      </c>
      <c r="C116" s="34">
        <v>0</v>
      </c>
      <c r="D116" s="34">
        <v>0</v>
      </c>
      <c r="E116" s="44">
        <f t="shared" si="7"/>
        <v>0</v>
      </c>
      <c r="F116" s="34">
        <v>0</v>
      </c>
      <c r="G116" s="34">
        <v>0</v>
      </c>
      <c r="H116" s="45">
        <f t="shared" si="8"/>
        <v>0</v>
      </c>
      <c r="I116" s="34">
        <v>0</v>
      </c>
      <c r="J116" s="34">
        <v>0</v>
      </c>
      <c r="K116" s="45">
        <f t="shared" si="9"/>
        <v>0</v>
      </c>
      <c r="L116" s="49">
        <f t="shared" si="11"/>
        <v>0</v>
      </c>
      <c r="M116" s="49">
        <f t="shared" si="11"/>
        <v>0</v>
      </c>
      <c r="N116" s="45">
        <f t="shared" si="10"/>
        <v>0</v>
      </c>
    </row>
    <row r="117" ht="24" spans="1:14">
      <c r="A117" s="12" t="s">
        <v>235</v>
      </c>
      <c r="B117" s="46" t="s">
        <v>236</v>
      </c>
      <c r="C117" s="34">
        <v>0</v>
      </c>
      <c r="D117" s="34">
        <v>0</v>
      </c>
      <c r="E117" s="44">
        <f t="shared" si="7"/>
        <v>0</v>
      </c>
      <c r="F117" s="34">
        <v>0</v>
      </c>
      <c r="G117" s="34">
        <v>0</v>
      </c>
      <c r="H117" s="45">
        <f t="shared" si="8"/>
        <v>0</v>
      </c>
      <c r="I117" s="34">
        <v>0</v>
      </c>
      <c r="J117" s="34">
        <v>0</v>
      </c>
      <c r="K117" s="45">
        <f t="shared" si="9"/>
        <v>0</v>
      </c>
      <c r="L117" s="49">
        <f t="shared" si="11"/>
        <v>0</v>
      </c>
      <c r="M117" s="49">
        <f t="shared" si="11"/>
        <v>0</v>
      </c>
      <c r="N117" s="45">
        <f t="shared" si="10"/>
        <v>0</v>
      </c>
    </row>
    <row r="118" ht="24" spans="1:14">
      <c r="A118" s="12" t="s">
        <v>237</v>
      </c>
      <c r="B118" s="33" t="s">
        <v>238</v>
      </c>
      <c r="C118" s="34">
        <v>0</v>
      </c>
      <c r="D118" s="34">
        <v>0</v>
      </c>
      <c r="E118" s="44">
        <f t="shared" si="7"/>
        <v>0</v>
      </c>
      <c r="F118" s="34">
        <v>0</v>
      </c>
      <c r="G118" s="34">
        <v>0</v>
      </c>
      <c r="H118" s="45">
        <f t="shared" si="8"/>
        <v>0</v>
      </c>
      <c r="I118" s="34">
        <v>0</v>
      </c>
      <c r="J118" s="34">
        <v>0</v>
      </c>
      <c r="K118" s="45">
        <f t="shared" si="9"/>
        <v>0</v>
      </c>
      <c r="L118" s="49">
        <f t="shared" si="11"/>
        <v>0</v>
      </c>
      <c r="M118" s="49">
        <f t="shared" si="11"/>
        <v>0</v>
      </c>
      <c r="N118" s="45">
        <f t="shared" si="10"/>
        <v>0</v>
      </c>
    </row>
    <row r="119" ht="24" spans="1:14">
      <c r="A119" s="12" t="s">
        <v>239</v>
      </c>
      <c r="B119" s="33" t="s">
        <v>240</v>
      </c>
      <c r="C119" s="47">
        <v>0</v>
      </c>
      <c r="D119" s="47">
        <v>0</v>
      </c>
      <c r="E119" s="44">
        <f t="shared" si="7"/>
        <v>0</v>
      </c>
      <c r="F119" s="47">
        <v>0</v>
      </c>
      <c r="G119" s="47">
        <v>0</v>
      </c>
      <c r="H119" s="45">
        <f t="shared" si="8"/>
        <v>0</v>
      </c>
      <c r="I119" s="34">
        <v>0</v>
      </c>
      <c r="J119" s="34">
        <v>0</v>
      </c>
      <c r="K119" s="45">
        <f t="shared" si="9"/>
        <v>0</v>
      </c>
      <c r="L119" s="49">
        <f t="shared" si="11"/>
        <v>0</v>
      </c>
      <c r="M119" s="49">
        <f t="shared" si="11"/>
        <v>0</v>
      </c>
      <c r="N119" s="45">
        <f t="shared" si="10"/>
        <v>0</v>
      </c>
    </row>
    <row r="120" ht="24" spans="1:14">
      <c r="A120" s="9" t="s">
        <v>241</v>
      </c>
      <c r="B120" s="35" t="s">
        <v>242</v>
      </c>
      <c r="C120" s="11">
        <v>0</v>
      </c>
      <c r="D120" s="11">
        <v>0</v>
      </c>
      <c r="E120" s="43">
        <f t="shared" si="7"/>
        <v>0</v>
      </c>
      <c r="F120" s="11">
        <v>0</v>
      </c>
      <c r="G120" s="11">
        <v>0</v>
      </c>
      <c r="H120" s="43">
        <f t="shared" si="8"/>
        <v>0</v>
      </c>
      <c r="I120" s="11">
        <v>0</v>
      </c>
      <c r="J120" s="11">
        <v>0</v>
      </c>
      <c r="K120" s="48">
        <f t="shared" si="9"/>
        <v>0</v>
      </c>
      <c r="L120" s="11">
        <f t="shared" si="11"/>
        <v>0</v>
      </c>
      <c r="M120" s="11">
        <f t="shared" si="11"/>
        <v>0</v>
      </c>
      <c r="N120" s="43">
        <f t="shared" si="10"/>
        <v>0</v>
      </c>
    </row>
    <row r="121" ht="24" spans="1:14">
      <c r="A121" s="12" t="s">
        <v>243</v>
      </c>
      <c r="B121" s="33" t="s">
        <v>244</v>
      </c>
      <c r="C121" s="34">
        <v>0</v>
      </c>
      <c r="D121" s="34">
        <v>0</v>
      </c>
      <c r="E121" s="44">
        <f t="shared" si="7"/>
        <v>0</v>
      </c>
      <c r="F121" s="34">
        <v>0</v>
      </c>
      <c r="G121" s="34">
        <v>0</v>
      </c>
      <c r="H121" s="45">
        <f t="shared" si="8"/>
        <v>0</v>
      </c>
      <c r="I121" s="34">
        <v>0</v>
      </c>
      <c r="J121" s="34">
        <v>0</v>
      </c>
      <c r="K121" s="45">
        <f t="shared" si="9"/>
        <v>0</v>
      </c>
      <c r="L121" s="49">
        <f t="shared" si="11"/>
        <v>0</v>
      </c>
      <c r="M121" s="49">
        <f t="shared" si="11"/>
        <v>0</v>
      </c>
      <c r="N121" s="45">
        <f t="shared" si="10"/>
        <v>0</v>
      </c>
    </row>
    <row r="122" ht="24" spans="1:14">
      <c r="A122" s="12" t="s">
        <v>245</v>
      </c>
      <c r="B122" s="46" t="s">
        <v>246</v>
      </c>
      <c r="C122" s="34">
        <v>0</v>
      </c>
      <c r="D122" s="34">
        <v>0</v>
      </c>
      <c r="E122" s="44">
        <f t="shared" si="7"/>
        <v>0</v>
      </c>
      <c r="F122" s="34">
        <v>0</v>
      </c>
      <c r="G122" s="34">
        <v>0</v>
      </c>
      <c r="H122" s="45">
        <f t="shared" si="8"/>
        <v>0</v>
      </c>
      <c r="I122" s="34">
        <v>0</v>
      </c>
      <c r="J122" s="34">
        <v>0</v>
      </c>
      <c r="K122" s="45">
        <f t="shared" si="9"/>
        <v>0</v>
      </c>
      <c r="L122" s="49">
        <f t="shared" si="11"/>
        <v>0</v>
      </c>
      <c r="M122" s="49">
        <f t="shared" si="11"/>
        <v>0</v>
      </c>
      <c r="N122" s="45">
        <f t="shared" si="10"/>
        <v>0</v>
      </c>
    </row>
    <row r="123" ht="36" spans="1:14">
      <c r="A123" s="12" t="s">
        <v>247</v>
      </c>
      <c r="B123" s="33" t="s">
        <v>248</v>
      </c>
      <c r="C123" s="34">
        <v>0</v>
      </c>
      <c r="D123" s="34">
        <v>0</v>
      </c>
      <c r="E123" s="44">
        <f t="shared" si="7"/>
        <v>0</v>
      </c>
      <c r="F123" s="34">
        <v>0</v>
      </c>
      <c r="G123" s="34">
        <v>0</v>
      </c>
      <c r="H123" s="45">
        <f t="shared" si="8"/>
        <v>0</v>
      </c>
      <c r="I123" s="34">
        <v>0</v>
      </c>
      <c r="J123" s="34">
        <v>0</v>
      </c>
      <c r="K123" s="45">
        <f t="shared" si="9"/>
        <v>0</v>
      </c>
      <c r="L123" s="49">
        <f t="shared" si="11"/>
        <v>0</v>
      </c>
      <c r="M123" s="49">
        <f t="shared" si="11"/>
        <v>0</v>
      </c>
      <c r="N123" s="45">
        <f t="shared" si="10"/>
        <v>0</v>
      </c>
    </row>
    <row r="124" ht="36" spans="1:14">
      <c r="A124" s="12" t="s">
        <v>249</v>
      </c>
      <c r="B124" s="33" t="s">
        <v>250</v>
      </c>
      <c r="C124" s="47">
        <v>0</v>
      </c>
      <c r="D124" s="47">
        <v>0</v>
      </c>
      <c r="E124" s="44">
        <f t="shared" si="7"/>
        <v>0</v>
      </c>
      <c r="F124" s="47">
        <v>0</v>
      </c>
      <c r="G124" s="47">
        <v>0</v>
      </c>
      <c r="H124" s="45">
        <f t="shared" si="8"/>
        <v>0</v>
      </c>
      <c r="I124" s="34">
        <v>0</v>
      </c>
      <c r="J124" s="34">
        <v>0</v>
      </c>
      <c r="K124" s="45">
        <f t="shared" si="9"/>
        <v>0</v>
      </c>
      <c r="L124" s="49">
        <f t="shared" ref="L124:M139" si="12">C124+F124+I124</f>
        <v>0</v>
      </c>
      <c r="M124" s="49">
        <f t="shared" si="12"/>
        <v>0</v>
      </c>
      <c r="N124" s="45">
        <f t="shared" si="10"/>
        <v>0</v>
      </c>
    </row>
    <row r="125" ht="24" spans="1:14">
      <c r="A125" s="9" t="s">
        <v>251</v>
      </c>
      <c r="B125" s="35" t="s">
        <v>252</v>
      </c>
      <c r="C125" s="11">
        <v>0</v>
      </c>
      <c r="D125" s="11">
        <v>0</v>
      </c>
      <c r="E125" s="43">
        <f t="shared" si="7"/>
        <v>0</v>
      </c>
      <c r="F125" s="11">
        <v>0</v>
      </c>
      <c r="G125" s="11">
        <v>0</v>
      </c>
      <c r="H125" s="43">
        <f t="shared" si="8"/>
        <v>0</v>
      </c>
      <c r="I125" s="11">
        <v>0</v>
      </c>
      <c r="J125" s="11">
        <v>0</v>
      </c>
      <c r="K125" s="48">
        <f t="shared" si="9"/>
        <v>0</v>
      </c>
      <c r="L125" s="11">
        <f t="shared" si="12"/>
        <v>0</v>
      </c>
      <c r="M125" s="11">
        <f t="shared" si="12"/>
        <v>0</v>
      </c>
      <c r="N125" s="43">
        <f t="shared" si="10"/>
        <v>0</v>
      </c>
    </row>
    <row r="126" ht="24" spans="1:14">
      <c r="A126" s="12" t="s">
        <v>253</v>
      </c>
      <c r="B126" s="33" t="s">
        <v>254</v>
      </c>
      <c r="C126" s="34">
        <v>0</v>
      </c>
      <c r="D126" s="34">
        <v>0</v>
      </c>
      <c r="E126" s="44">
        <f t="shared" si="7"/>
        <v>0</v>
      </c>
      <c r="F126" s="34">
        <v>0</v>
      </c>
      <c r="G126" s="34">
        <v>0</v>
      </c>
      <c r="H126" s="45">
        <f t="shared" si="8"/>
        <v>0</v>
      </c>
      <c r="I126" s="34">
        <v>0</v>
      </c>
      <c r="J126" s="34">
        <v>0</v>
      </c>
      <c r="K126" s="45">
        <f t="shared" si="9"/>
        <v>0</v>
      </c>
      <c r="L126" s="49">
        <f t="shared" si="12"/>
        <v>0</v>
      </c>
      <c r="M126" s="49">
        <f t="shared" si="12"/>
        <v>0</v>
      </c>
      <c r="N126" s="45">
        <f t="shared" si="10"/>
        <v>0</v>
      </c>
    </row>
    <row r="127" ht="24" spans="1:14">
      <c r="A127" s="12" t="s">
        <v>255</v>
      </c>
      <c r="B127" s="46" t="s">
        <v>256</v>
      </c>
      <c r="C127" s="34">
        <v>0</v>
      </c>
      <c r="D127" s="34">
        <v>0</v>
      </c>
      <c r="E127" s="44">
        <f t="shared" si="7"/>
        <v>0</v>
      </c>
      <c r="F127" s="34">
        <v>0</v>
      </c>
      <c r="G127" s="34">
        <v>0</v>
      </c>
      <c r="H127" s="45">
        <f t="shared" si="8"/>
        <v>0</v>
      </c>
      <c r="I127" s="34">
        <v>0</v>
      </c>
      <c r="J127" s="34">
        <v>0</v>
      </c>
      <c r="K127" s="45">
        <f t="shared" si="9"/>
        <v>0</v>
      </c>
      <c r="L127" s="49">
        <f t="shared" si="12"/>
        <v>0</v>
      </c>
      <c r="M127" s="49">
        <f t="shared" si="12"/>
        <v>0</v>
      </c>
      <c r="N127" s="45">
        <f t="shared" si="10"/>
        <v>0</v>
      </c>
    </row>
    <row r="128" ht="36" spans="1:14">
      <c r="A128" s="12" t="s">
        <v>257</v>
      </c>
      <c r="B128" s="33" t="s">
        <v>258</v>
      </c>
      <c r="C128" s="34">
        <v>0</v>
      </c>
      <c r="D128" s="34">
        <v>0</v>
      </c>
      <c r="E128" s="44">
        <f t="shared" si="7"/>
        <v>0</v>
      </c>
      <c r="F128" s="34">
        <v>0</v>
      </c>
      <c r="G128" s="34">
        <v>0</v>
      </c>
      <c r="H128" s="45">
        <f t="shared" si="8"/>
        <v>0</v>
      </c>
      <c r="I128" s="34">
        <v>0</v>
      </c>
      <c r="J128" s="34">
        <v>0</v>
      </c>
      <c r="K128" s="45">
        <f t="shared" si="9"/>
        <v>0</v>
      </c>
      <c r="L128" s="49">
        <f t="shared" si="12"/>
        <v>0</v>
      </c>
      <c r="M128" s="49">
        <f t="shared" si="12"/>
        <v>0</v>
      </c>
      <c r="N128" s="45">
        <f t="shared" si="10"/>
        <v>0</v>
      </c>
    </row>
    <row r="129" ht="24" spans="1:14">
      <c r="A129" s="12" t="s">
        <v>259</v>
      </c>
      <c r="B129" s="33" t="s">
        <v>260</v>
      </c>
      <c r="C129" s="47">
        <v>0</v>
      </c>
      <c r="D129" s="47">
        <v>0</v>
      </c>
      <c r="E129" s="44">
        <f t="shared" si="7"/>
        <v>0</v>
      </c>
      <c r="F129" s="47">
        <v>0</v>
      </c>
      <c r="G129" s="47">
        <v>0</v>
      </c>
      <c r="H129" s="45">
        <f t="shared" si="8"/>
        <v>0</v>
      </c>
      <c r="I129" s="34">
        <v>0</v>
      </c>
      <c r="J129" s="34">
        <v>0</v>
      </c>
      <c r="K129" s="45">
        <f t="shared" si="9"/>
        <v>0</v>
      </c>
      <c r="L129" s="49">
        <f t="shared" si="12"/>
        <v>0</v>
      </c>
      <c r="M129" s="49">
        <f t="shared" si="12"/>
        <v>0</v>
      </c>
      <c r="N129" s="45">
        <f t="shared" si="10"/>
        <v>0</v>
      </c>
    </row>
    <row r="130" ht="24" spans="1:14">
      <c r="A130" s="9" t="s">
        <v>261</v>
      </c>
      <c r="B130" s="35" t="s">
        <v>262</v>
      </c>
      <c r="C130" s="11">
        <v>0</v>
      </c>
      <c r="D130" s="11">
        <v>0</v>
      </c>
      <c r="E130" s="43">
        <f t="shared" si="7"/>
        <v>0</v>
      </c>
      <c r="F130" s="11">
        <v>0</v>
      </c>
      <c r="G130" s="11">
        <v>0</v>
      </c>
      <c r="H130" s="43">
        <f t="shared" si="8"/>
        <v>0</v>
      </c>
      <c r="I130" s="11">
        <v>0</v>
      </c>
      <c r="J130" s="11">
        <v>0</v>
      </c>
      <c r="K130" s="48">
        <f t="shared" si="9"/>
        <v>0</v>
      </c>
      <c r="L130" s="11">
        <f t="shared" si="12"/>
        <v>0</v>
      </c>
      <c r="M130" s="11">
        <f t="shared" si="12"/>
        <v>0</v>
      </c>
      <c r="N130" s="43">
        <f t="shared" si="10"/>
        <v>0</v>
      </c>
    </row>
    <row r="131" ht="24" spans="1:14">
      <c r="A131" s="12" t="s">
        <v>263</v>
      </c>
      <c r="B131" s="33" t="s">
        <v>264</v>
      </c>
      <c r="C131" s="34">
        <v>0</v>
      </c>
      <c r="D131" s="34">
        <v>0</v>
      </c>
      <c r="E131" s="44">
        <f t="shared" si="7"/>
        <v>0</v>
      </c>
      <c r="F131" s="34">
        <v>0</v>
      </c>
      <c r="G131" s="34">
        <v>0</v>
      </c>
      <c r="H131" s="45">
        <f t="shared" si="8"/>
        <v>0</v>
      </c>
      <c r="I131" s="34">
        <v>0</v>
      </c>
      <c r="J131" s="34">
        <v>0</v>
      </c>
      <c r="K131" s="45">
        <f t="shared" si="9"/>
        <v>0</v>
      </c>
      <c r="L131" s="49">
        <f t="shared" si="12"/>
        <v>0</v>
      </c>
      <c r="M131" s="49">
        <f t="shared" si="12"/>
        <v>0</v>
      </c>
      <c r="N131" s="45">
        <f t="shared" si="10"/>
        <v>0</v>
      </c>
    </row>
    <row r="132" ht="24" spans="1:14">
      <c r="A132" s="12" t="s">
        <v>265</v>
      </c>
      <c r="B132" s="46" t="s">
        <v>266</v>
      </c>
      <c r="C132" s="34">
        <v>0</v>
      </c>
      <c r="D132" s="34">
        <v>0</v>
      </c>
      <c r="E132" s="44">
        <f t="shared" si="7"/>
        <v>0</v>
      </c>
      <c r="F132" s="34">
        <v>0</v>
      </c>
      <c r="G132" s="34">
        <v>0</v>
      </c>
      <c r="H132" s="45">
        <f t="shared" si="8"/>
        <v>0</v>
      </c>
      <c r="I132" s="34">
        <v>0</v>
      </c>
      <c r="J132" s="34">
        <v>0</v>
      </c>
      <c r="K132" s="45">
        <f t="shared" si="9"/>
        <v>0</v>
      </c>
      <c r="L132" s="49">
        <f t="shared" si="12"/>
        <v>0</v>
      </c>
      <c r="M132" s="49">
        <f t="shared" si="12"/>
        <v>0</v>
      </c>
      <c r="N132" s="45">
        <f t="shared" si="10"/>
        <v>0</v>
      </c>
    </row>
    <row r="133" ht="24" spans="1:14">
      <c r="A133" s="12" t="s">
        <v>267</v>
      </c>
      <c r="B133" s="33" t="s">
        <v>268</v>
      </c>
      <c r="C133" s="34">
        <v>0</v>
      </c>
      <c r="D133" s="34">
        <v>0</v>
      </c>
      <c r="E133" s="44">
        <f t="shared" si="7"/>
        <v>0</v>
      </c>
      <c r="F133" s="34">
        <v>0</v>
      </c>
      <c r="G133" s="34">
        <v>0</v>
      </c>
      <c r="H133" s="45">
        <f t="shared" si="8"/>
        <v>0</v>
      </c>
      <c r="I133" s="34">
        <v>0</v>
      </c>
      <c r="J133" s="34">
        <v>0</v>
      </c>
      <c r="K133" s="45">
        <f t="shared" si="9"/>
        <v>0</v>
      </c>
      <c r="L133" s="49">
        <f t="shared" si="12"/>
        <v>0</v>
      </c>
      <c r="M133" s="49">
        <f t="shared" si="12"/>
        <v>0</v>
      </c>
      <c r="N133" s="45">
        <f t="shared" si="10"/>
        <v>0</v>
      </c>
    </row>
    <row r="134" ht="36" spans="1:14">
      <c r="A134" s="12" t="s">
        <v>269</v>
      </c>
      <c r="B134" s="33" t="s">
        <v>270</v>
      </c>
      <c r="C134" s="47">
        <v>0</v>
      </c>
      <c r="D134" s="47">
        <v>0</v>
      </c>
      <c r="E134" s="44">
        <f t="shared" ref="E134:E139" si="13">D134-C134</f>
        <v>0</v>
      </c>
      <c r="F134" s="47">
        <v>0</v>
      </c>
      <c r="G134" s="47">
        <v>0</v>
      </c>
      <c r="H134" s="45">
        <f t="shared" ref="H134:H147" si="14">G134-F134</f>
        <v>0</v>
      </c>
      <c r="I134" s="34">
        <v>0</v>
      </c>
      <c r="J134" s="34">
        <v>0</v>
      </c>
      <c r="K134" s="45">
        <f t="shared" ref="K134:K146" si="15">J134-I134</f>
        <v>0</v>
      </c>
      <c r="L134" s="49">
        <f>C134+F134+I134</f>
        <v>0</v>
      </c>
      <c r="M134" s="49">
        <f>D134+G134+J134</f>
        <v>0</v>
      </c>
      <c r="N134" s="45">
        <f t="shared" ref="N134:N143" si="16">M134-L134</f>
        <v>0</v>
      </c>
    </row>
    <row r="135" ht="36" spans="1:14">
      <c r="A135" s="9" t="s">
        <v>271</v>
      </c>
      <c r="B135" s="35" t="s">
        <v>272</v>
      </c>
      <c r="C135" s="11">
        <v>0</v>
      </c>
      <c r="D135" s="11">
        <v>0</v>
      </c>
      <c r="E135" s="43">
        <f t="shared" si="13"/>
        <v>0</v>
      </c>
      <c r="F135" s="11">
        <v>0</v>
      </c>
      <c r="G135" s="11">
        <v>0</v>
      </c>
      <c r="H135" s="43">
        <f t="shared" si="14"/>
        <v>0</v>
      </c>
      <c r="I135" s="11">
        <v>0</v>
      </c>
      <c r="J135" s="11">
        <v>0</v>
      </c>
      <c r="K135" s="48">
        <f t="shared" si="15"/>
        <v>0</v>
      </c>
      <c r="L135" s="11">
        <f>C135+F135+I135</f>
        <v>0</v>
      </c>
      <c r="M135" s="11">
        <f>D135+G135+J135</f>
        <v>0</v>
      </c>
      <c r="N135" s="43">
        <f t="shared" si="16"/>
        <v>0</v>
      </c>
    </row>
    <row r="136" ht="36" spans="1:14">
      <c r="A136" s="12" t="s">
        <v>273</v>
      </c>
      <c r="B136" s="33" t="s">
        <v>274</v>
      </c>
      <c r="C136" s="34">
        <v>0</v>
      </c>
      <c r="D136" s="34">
        <v>0</v>
      </c>
      <c r="E136" s="44">
        <f t="shared" si="13"/>
        <v>0</v>
      </c>
      <c r="F136" s="34">
        <v>0</v>
      </c>
      <c r="G136" s="34">
        <v>1200</v>
      </c>
      <c r="H136" s="45">
        <f t="shared" si="14"/>
        <v>1200</v>
      </c>
      <c r="I136" s="34">
        <v>4467.35</v>
      </c>
      <c r="J136" s="34">
        <v>3763.11</v>
      </c>
      <c r="K136" s="45">
        <f t="shared" si="15"/>
        <v>-704.24</v>
      </c>
      <c r="L136" s="49">
        <v>4467.35</v>
      </c>
      <c r="M136" s="49">
        <v>4963.11</v>
      </c>
      <c r="N136" s="45">
        <f t="shared" si="16"/>
        <v>495.76</v>
      </c>
    </row>
    <row r="137" ht="36" spans="1:14">
      <c r="A137" s="12" t="s">
        <v>275</v>
      </c>
      <c r="B137" s="46" t="s">
        <v>276</v>
      </c>
      <c r="C137" s="34">
        <v>0</v>
      </c>
      <c r="D137" s="34">
        <v>0</v>
      </c>
      <c r="E137" s="44">
        <f t="shared" si="13"/>
        <v>0</v>
      </c>
      <c r="F137" s="34">
        <v>0</v>
      </c>
      <c r="G137" s="34">
        <v>0</v>
      </c>
      <c r="H137" s="45">
        <f t="shared" si="14"/>
        <v>0</v>
      </c>
      <c r="I137" s="34">
        <v>520</v>
      </c>
      <c r="J137" s="34">
        <v>0</v>
      </c>
      <c r="K137" s="45">
        <f t="shared" si="15"/>
        <v>-520</v>
      </c>
      <c r="L137" s="49">
        <v>520</v>
      </c>
      <c r="M137" s="49">
        <v>0</v>
      </c>
      <c r="N137" s="45">
        <f t="shared" si="16"/>
        <v>-520</v>
      </c>
    </row>
    <row r="138" ht="48" spans="1:14">
      <c r="A138" s="12" t="s">
        <v>277</v>
      </c>
      <c r="B138" s="33" t="s">
        <v>278</v>
      </c>
      <c r="C138" s="34">
        <v>0</v>
      </c>
      <c r="D138" s="34">
        <v>0</v>
      </c>
      <c r="E138" s="44">
        <f t="shared" si="13"/>
        <v>0</v>
      </c>
      <c r="F138" s="34">
        <v>0</v>
      </c>
      <c r="G138" s="34">
        <v>1500</v>
      </c>
      <c r="H138" s="45">
        <f t="shared" si="14"/>
        <v>1500</v>
      </c>
      <c r="I138" s="34">
        <v>0</v>
      </c>
      <c r="J138" s="34">
        <v>0</v>
      </c>
      <c r="K138" s="45">
        <f t="shared" si="15"/>
        <v>0</v>
      </c>
      <c r="L138" s="49">
        <f t="shared" si="12"/>
        <v>0</v>
      </c>
      <c r="M138" s="49">
        <f t="shared" si="12"/>
        <v>1500</v>
      </c>
      <c r="N138" s="45">
        <f t="shared" si="16"/>
        <v>1500</v>
      </c>
    </row>
    <row r="139" s="1" customFormat="1" ht="71.25" spans="1:14">
      <c r="A139" s="14" t="s">
        <v>279</v>
      </c>
      <c r="B139" s="50" t="s">
        <v>280</v>
      </c>
      <c r="C139" s="51">
        <v>0</v>
      </c>
      <c r="D139" s="51">
        <v>0</v>
      </c>
      <c r="E139" s="52">
        <f t="shared" si="13"/>
        <v>0</v>
      </c>
      <c r="F139" s="51">
        <v>16440</v>
      </c>
      <c r="G139" s="51">
        <v>16527</v>
      </c>
      <c r="H139" s="52">
        <f t="shared" si="14"/>
        <v>87</v>
      </c>
      <c r="I139" s="51">
        <v>21417.32</v>
      </c>
      <c r="J139" s="51">
        <v>26325</v>
      </c>
      <c r="K139" s="61">
        <f t="shared" si="15"/>
        <v>4907.68</v>
      </c>
      <c r="L139" s="52">
        <f t="shared" si="12"/>
        <v>37857.32</v>
      </c>
      <c r="M139" s="52">
        <f t="shared" si="12"/>
        <v>42852</v>
      </c>
      <c r="N139" s="52">
        <f t="shared" si="16"/>
        <v>4994.68</v>
      </c>
    </row>
    <row r="140" s="1" customFormat="1" ht="57" spans="1:14">
      <c r="A140" s="14" t="s">
        <v>281</v>
      </c>
      <c r="B140" s="50" t="s">
        <v>282</v>
      </c>
      <c r="C140" s="51">
        <v>0</v>
      </c>
      <c r="D140" s="51">
        <v>0</v>
      </c>
      <c r="E140" s="52">
        <v>0</v>
      </c>
      <c r="F140" s="51">
        <v>0</v>
      </c>
      <c r="G140" s="51">
        <v>0</v>
      </c>
      <c r="H140" s="52">
        <f t="shared" si="14"/>
        <v>0</v>
      </c>
      <c r="I140" s="51">
        <v>0</v>
      </c>
      <c r="J140" s="51">
        <v>0</v>
      </c>
      <c r="K140" s="61">
        <v>0</v>
      </c>
      <c r="L140" s="52">
        <f t="shared" ref="L140:M143" si="17">C140+F140+I140</f>
        <v>0</v>
      </c>
      <c r="M140" s="52">
        <f t="shared" si="17"/>
        <v>0</v>
      </c>
      <c r="N140" s="52">
        <f t="shared" si="16"/>
        <v>0</v>
      </c>
    </row>
    <row r="141" s="1" customFormat="1" ht="57" spans="1:14">
      <c r="A141" s="16" t="s">
        <v>283</v>
      </c>
      <c r="B141" s="50" t="s">
        <v>284</v>
      </c>
      <c r="C141" s="53">
        <v>0</v>
      </c>
      <c r="D141" s="53">
        <v>0</v>
      </c>
      <c r="E141" s="52">
        <v>0</v>
      </c>
      <c r="F141" s="53">
        <v>930</v>
      </c>
      <c r="G141" s="53">
        <v>5788</v>
      </c>
      <c r="H141" s="52">
        <f t="shared" si="14"/>
        <v>4858</v>
      </c>
      <c r="I141" s="53">
        <v>62668.02</v>
      </c>
      <c r="J141" s="53">
        <v>72431.71</v>
      </c>
      <c r="K141" s="61">
        <f t="shared" si="15"/>
        <v>9763.69000000001</v>
      </c>
      <c r="L141" s="52">
        <f t="shared" si="17"/>
        <v>63598.02</v>
      </c>
      <c r="M141" s="52">
        <f t="shared" si="17"/>
        <v>78219.71</v>
      </c>
      <c r="N141" s="52">
        <f t="shared" si="16"/>
        <v>14621.69</v>
      </c>
    </row>
    <row r="142" s="1" customFormat="1" ht="99.75" spans="1:14">
      <c r="A142" s="14" t="s">
        <v>285</v>
      </c>
      <c r="B142" s="50" t="s">
        <v>286</v>
      </c>
      <c r="C142" s="51">
        <v>0</v>
      </c>
      <c r="D142" s="51">
        <v>0</v>
      </c>
      <c r="E142" s="52">
        <v>0</v>
      </c>
      <c r="F142" s="51">
        <v>19556</v>
      </c>
      <c r="G142" s="51">
        <v>19480</v>
      </c>
      <c r="H142" s="52">
        <f t="shared" si="14"/>
        <v>-76</v>
      </c>
      <c r="I142" s="51">
        <v>45329.2</v>
      </c>
      <c r="J142" s="51">
        <v>12782.25</v>
      </c>
      <c r="K142" s="61">
        <f t="shared" si="15"/>
        <v>-32546.95</v>
      </c>
      <c r="L142" s="52">
        <f t="shared" si="17"/>
        <v>64885.2</v>
      </c>
      <c r="M142" s="52">
        <f t="shared" si="17"/>
        <v>32262.25</v>
      </c>
      <c r="N142" s="52">
        <f t="shared" si="16"/>
        <v>-32622.95</v>
      </c>
    </row>
    <row r="143" s="1" customFormat="1" ht="71.25" spans="1:14">
      <c r="A143" s="65" t="s">
        <v>14</v>
      </c>
      <c r="B143" s="50" t="s">
        <v>287</v>
      </c>
      <c r="C143" s="51">
        <v>0</v>
      </c>
      <c r="D143" s="51">
        <v>0</v>
      </c>
      <c r="E143" s="52">
        <v>0</v>
      </c>
      <c r="F143" s="51">
        <v>2940</v>
      </c>
      <c r="G143" s="51">
        <v>4020</v>
      </c>
      <c r="H143" s="52">
        <f t="shared" si="14"/>
        <v>1080</v>
      </c>
      <c r="I143" s="51">
        <v>79580.52</v>
      </c>
      <c r="J143" s="51">
        <v>45800.07</v>
      </c>
      <c r="K143" s="61">
        <f t="shared" si="15"/>
        <v>-33780.45</v>
      </c>
      <c r="L143" s="52">
        <f t="shared" si="17"/>
        <v>82520.52</v>
      </c>
      <c r="M143" s="52">
        <f t="shared" si="17"/>
        <v>49820.07</v>
      </c>
      <c r="N143" s="52">
        <f t="shared" si="16"/>
        <v>-32700.45</v>
      </c>
    </row>
    <row r="144" s="2" customFormat="1" ht="45" customHeight="1" spans="1:24">
      <c r="A144" s="18" t="s">
        <v>288</v>
      </c>
      <c r="B144" s="54" t="s">
        <v>289</v>
      </c>
      <c r="C144" s="55">
        <v>12514</v>
      </c>
      <c r="D144" s="55">
        <v>0</v>
      </c>
      <c r="E144" s="55">
        <f t="shared" ref="E144:E146" si="18">D144-C144</f>
        <v>-12514</v>
      </c>
      <c r="F144" s="55">
        <v>0</v>
      </c>
      <c r="G144" s="55">
        <v>1210</v>
      </c>
      <c r="H144" s="55">
        <f t="shared" si="14"/>
        <v>1210</v>
      </c>
      <c r="I144" s="55">
        <v>5514.75</v>
      </c>
      <c r="J144" s="55">
        <v>0</v>
      </c>
      <c r="K144" s="55">
        <f t="shared" si="15"/>
        <v>-5514.75</v>
      </c>
      <c r="L144" s="55">
        <f>C144+F144+I144</f>
        <v>18028.75</v>
      </c>
      <c r="M144" s="55">
        <f>D144+G144+J144</f>
        <v>1210</v>
      </c>
      <c r="N144" s="62">
        <f>E144+H144+K144</f>
        <v>-16818.75</v>
      </c>
      <c r="O144" s="20"/>
      <c r="P144" s="21"/>
      <c r="Q144" s="21"/>
      <c r="R144" s="21"/>
      <c r="S144" s="21"/>
      <c r="T144" s="21"/>
      <c r="U144" s="21"/>
      <c r="V144" s="21"/>
      <c r="W144" s="21"/>
      <c r="X144" s="21"/>
    </row>
    <row r="145" s="3" customFormat="1" ht="38.1" customHeight="1" spans="1:24">
      <c r="A145" s="22" t="s">
        <v>290</v>
      </c>
      <c r="B145" s="56" t="s">
        <v>291</v>
      </c>
      <c r="C145" s="57">
        <v>0</v>
      </c>
      <c r="D145" s="57">
        <v>0</v>
      </c>
      <c r="E145" s="57">
        <f t="shared" si="18"/>
        <v>0</v>
      </c>
      <c r="F145" s="57">
        <v>43045</v>
      </c>
      <c r="G145" s="57">
        <v>87111</v>
      </c>
      <c r="H145" s="57">
        <f t="shared" si="14"/>
        <v>44066</v>
      </c>
      <c r="I145" s="57">
        <v>0</v>
      </c>
      <c r="J145" s="57">
        <v>0</v>
      </c>
      <c r="K145" s="57">
        <f t="shared" si="15"/>
        <v>0</v>
      </c>
      <c r="L145" s="57">
        <f>SUM(C145,F145,I145)</f>
        <v>43045</v>
      </c>
      <c r="M145" s="57">
        <f>SUM(D145,G145,J145)</f>
        <v>87111</v>
      </c>
      <c r="N145" s="63">
        <f>M145-L145</f>
        <v>44066</v>
      </c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="3" customFormat="1" ht="44.1" customHeight="1" spans="1:24">
      <c r="A146" s="12" t="s">
        <v>292</v>
      </c>
      <c r="B146" s="58" t="s">
        <v>293</v>
      </c>
      <c r="C146" s="59">
        <v>12531</v>
      </c>
      <c r="D146" s="57">
        <v>0</v>
      </c>
      <c r="E146" s="57">
        <f t="shared" si="18"/>
        <v>-12531</v>
      </c>
      <c r="F146" s="57">
        <v>29901</v>
      </c>
      <c r="G146" s="57">
        <v>86898</v>
      </c>
      <c r="H146" s="57">
        <f t="shared" si="14"/>
        <v>56997</v>
      </c>
      <c r="I146" s="57">
        <v>8767.25</v>
      </c>
      <c r="J146" s="57">
        <v>0</v>
      </c>
      <c r="K146" s="57">
        <f t="shared" si="15"/>
        <v>-8767.25</v>
      </c>
      <c r="L146" s="57">
        <f>C146+F146+I146</f>
        <v>51199.25</v>
      </c>
      <c r="M146" s="57">
        <f>D146+G146+J146</f>
        <v>86898</v>
      </c>
      <c r="N146" s="64">
        <f>M146-L146</f>
        <v>35698.75</v>
      </c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36" spans="1:14">
      <c r="A147" s="9" t="s">
        <v>294</v>
      </c>
      <c r="B147" s="35" t="s">
        <v>295</v>
      </c>
      <c r="C147" s="11">
        <v>0</v>
      </c>
      <c r="D147" s="11">
        <v>0</v>
      </c>
      <c r="E147" s="43">
        <v>0</v>
      </c>
      <c r="F147" s="11">
        <v>840</v>
      </c>
      <c r="G147" s="11">
        <v>3240</v>
      </c>
      <c r="H147" s="43">
        <f t="shared" si="14"/>
        <v>2400</v>
      </c>
      <c r="I147" s="11">
        <v>0</v>
      </c>
      <c r="J147" s="11">
        <v>0</v>
      </c>
      <c r="K147" s="48">
        <v>0</v>
      </c>
      <c r="L147" s="11">
        <v>840</v>
      </c>
      <c r="M147" s="11">
        <v>3240</v>
      </c>
      <c r="N147" s="43">
        <f>M147-L147</f>
        <v>2400</v>
      </c>
    </row>
    <row r="148" ht="24" spans="1:14">
      <c r="A148" s="12" t="s">
        <v>296</v>
      </c>
      <c r="B148" s="33" t="s">
        <v>297</v>
      </c>
      <c r="C148" s="34">
        <v>0</v>
      </c>
      <c r="D148" s="34">
        <v>0</v>
      </c>
      <c r="E148" s="44">
        <f t="shared" ref="E148:E151" si="19">D148-C148</f>
        <v>0</v>
      </c>
      <c r="F148" s="34">
        <v>56713</v>
      </c>
      <c r="G148" s="34">
        <v>18838</v>
      </c>
      <c r="H148" s="45">
        <f t="shared" ref="H148:H151" si="20">G148-F148</f>
        <v>-37875</v>
      </c>
      <c r="I148" s="34">
        <v>101722.68</v>
      </c>
      <c r="J148" s="34">
        <v>36685.42</v>
      </c>
      <c r="K148" s="45">
        <f t="shared" ref="K148:K151" si="21">J148-I148</f>
        <v>-65037.26</v>
      </c>
      <c r="L148" s="49">
        <f t="shared" ref="L148:M151" si="22">C148+F148+I148</f>
        <v>158435.68</v>
      </c>
      <c r="M148" s="49">
        <f t="shared" si="22"/>
        <v>55523.42</v>
      </c>
      <c r="N148" s="45">
        <f t="shared" ref="N148:N151" si="23">M148-L148</f>
        <v>-102912.26</v>
      </c>
    </row>
    <row r="149" ht="24" spans="1:14">
      <c r="A149" s="12" t="s">
        <v>298</v>
      </c>
      <c r="B149" s="46" t="s">
        <v>299</v>
      </c>
      <c r="C149" s="34">
        <v>0</v>
      </c>
      <c r="D149" s="34">
        <v>0</v>
      </c>
      <c r="E149" s="44">
        <f t="shared" si="19"/>
        <v>0</v>
      </c>
      <c r="F149" s="34">
        <v>0</v>
      </c>
      <c r="G149" s="34">
        <v>0</v>
      </c>
      <c r="H149" s="45">
        <f t="shared" si="20"/>
        <v>0</v>
      </c>
      <c r="I149" s="34">
        <v>90562.49</v>
      </c>
      <c r="J149" s="34">
        <v>218187.32</v>
      </c>
      <c r="K149" s="45">
        <f t="shared" si="21"/>
        <v>127624.83</v>
      </c>
      <c r="L149" s="49">
        <f t="shared" si="22"/>
        <v>90562.49</v>
      </c>
      <c r="M149" s="49">
        <f t="shared" si="22"/>
        <v>218187.32</v>
      </c>
      <c r="N149" s="45">
        <f t="shared" si="23"/>
        <v>127624.83</v>
      </c>
    </row>
    <row r="150" ht="24" spans="1:14">
      <c r="A150" s="12" t="s">
        <v>300</v>
      </c>
      <c r="B150" s="33" t="s">
        <v>301</v>
      </c>
      <c r="C150" s="34">
        <v>0</v>
      </c>
      <c r="D150" s="34">
        <v>0</v>
      </c>
      <c r="E150" s="44">
        <f t="shared" si="19"/>
        <v>0</v>
      </c>
      <c r="F150" s="34">
        <v>2374</v>
      </c>
      <c r="G150" s="34">
        <v>350</v>
      </c>
      <c r="H150" s="45">
        <f t="shared" si="20"/>
        <v>-2024</v>
      </c>
      <c r="I150" s="34">
        <v>104055.36</v>
      </c>
      <c r="J150" s="34">
        <v>120987.84</v>
      </c>
      <c r="K150" s="45">
        <f t="shared" si="21"/>
        <v>16932.48</v>
      </c>
      <c r="L150" s="49">
        <f t="shared" si="22"/>
        <v>106429.36</v>
      </c>
      <c r="M150" s="49">
        <f t="shared" si="22"/>
        <v>121337.84</v>
      </c>
      <c r="N150" s="45">
        <f t="shared" si="23"/>
        <v>14908.48</v>
      </c>
    </row>
    <row r="151" ht="24" spans="1:14">
      <c r="A151" s="12" t="s">
        <v>302</v>
      </c>
      <c r="B151" s="33" t="s">
        <v>303</v>
      </c>
      <c r="C151" s="47">
        <v>0</v>
      </c>
      <c r="D151" s="47">
        <v>0</v>
      </c>
      <c r="E151" s="44">
        <f t="shared" si="19"/>
        <v>0</v>
      </c>
      <c r="F151" s="47">
        <v>616</v>
      </c>
      <c r="G151" s="47">
        <v>1882</v>
      </c>
      <c r="H151" s="45">
        <f t="shared" si="20"/>
        <v>1266</v>
      </c>
      <c r="I151" s="34">
        <v>35600.94</v>
      </c>
      <c r="J151" s="34">
        <v>33580.61</v>
      </c>
      <c r="K151" s="45">
        <f t="shared" si="21"/>
        <v>-2020.33</v>
      </c>
      <c r="L151" s="49">
        <f t="shared" si="22"/>
        <v>36216.94</v>
      </c>
      <c r="M151" s="49">
        <f t="shared" si="22"/>
        <v>35462.61</v>
      </c>
      <c r="N151" s="45">
        <f t="shared" si="23"/>
        <v>-754.330000000002</v>
      </c>
    </row>
    <row r="152" spans="1:14">
      <c r="A152" s="9"/>
      <c r="B152" s="60"/>
      <c r="C152" s="11"/>
      <c r="D152" s="11"/>
      <c r="E152" s="43"/>
      <c r="F152" s="43"/>
      <c r="G152" s="11"/>
      <c r="H152" s="43"/>
      <c r="I152" s="43"/>
      <c r="J152" s="11"/>
      <c r="K152" s="48"/>
      <c r="L152" s="11"/>
      <c r="M152" s="11"/>
      <c r="N152" s="48"/>
    </row>
  </sheetData>
  <mergeCells count="10">
    <mergeCell ref="A1:N1"/>
    <mergeCell ref="A2:C2"/>
    <mergeCell ref="I2:K2"/>
    <mergeCell ref="L2:N2"/>
    <mergeCell ref="C3:E3"/>
    <mergeCell ref="F3:H3"/>
    <mergeCell ref="I3:K3"/>
    <mergeCell ref="L3:N3"/>
    <mergeCell ref="A3:A4"/>
    <mergeCell ref="B3:B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1"/>
  <sheetViews>
    <sheetView workbookViewId="0">
      <selection activeCell="J147" sqref="J147"/>
    </sheetView>
  </sheetViews>
  <sheetFormatPr defaultColWidth="9" defaultRowHeight="13.5" outlineLevelCol="7"/>
  <cols>
    <col min="2" max="2" width="34.625" customWidth="1"/>
    <col min="3" max="3" width="10.125" customWidth="1"/>
    <col min="4" max="4" width="10.625" customWidth="1"/>
    <col min="5" max="5" width="11.625" customWidth="1"/>
    <col min="6" max="6" width="13" customWidth="1"/>
  </cols>
  <sheetData>
    <row r="1" ht="42" customHeight="1" spans="1:6">
      <c r="A1" s="4" t="s">
        <v>304</v>
      </c>
      <c r="B1" s="4"/>
      <c r="C1" s="4"/>
      <c r="D1" s="4"/>
      <c r="E1" s="4"/>
      <c r="F1" s="4"/>
    </row>
    <row r="2" spans="1:6">
      <c r="A2" s="27"/>
      <c r="B2" s="27"/>
      <c r="C2" s="28"/>
      <c r="D2" s="28"/>
      <c r="E2" s="29"/>
      <c r="F2" s="30" t="s">
        <v>2</v>
      </c>
    </row>
    <row r="3" ht="36" customHeight="1" spans="1:6">
      <c r="A3" s="6" t="s">
        <v>3</v>
      </c>
      <c r="B3" s="7" t="s">
        <v>4</v>
      </c>
      <c r="C3" s="8" t="s">
        <v>5</v>
      </c>
      <c r="D3" s="6" t="s">
        <v>6</v>
      </c>
      <c r="E3" s="8" t="s">
        <v>7</v>
      </c>
      <c r="F3" s="8" t="s">
        <v>305</v>
      </c>
    </row>
    <row r="4" ht="20.25" customHeight="1" spans="1:6">
      <c r="A4" s="9" t="s">
        <v>10</v>
      </c>
      <c r="B4" s="31" t="s">
        <v>11</v>
      </c>
      <c r="C4" s="11">
        <v>0</v>
      </c>
      <c r="D4" s="11">
        <v>16242</v>
      </c>
      <c r="E4" s="11">
        <v>5034.25</v>
      </c>
      <c r="F4" s="11">
        <f>SUM(C4:E4)</f>
        <v>21276.25</v>
      </c>
    </row>
    <row r="5" ht="20.25" customHeight="1" spans="1:6">
      <c r="A5" s="9" t="s">
        <v>12</v>
      </c>
      <c r="B5" s="31" t="s">
        <v>13</v>
      </c>
      <c r="C5" s="11">
        <v>0</v>
      </c>
      <c r="D5" s="11">
        <v>15020</v>
      </c>
      <c r="E5" s="11">
        <v>7665.81</v>
      </c>
      <c r="F5" s="11">
        <f t="shared" ref="F5:F68" si="0">SUM(C5:E5)</f>
        <v>22685.81</v>
      </c>
    </row>
    <row r="6" ht="20.25" customHeight="1" spans="1:6">
      <c r="A6" s="9" t="s">
        <v>14</v>
      </c>
      <c r="B6" s="31" t="s">
        <v>15</v>
      </c>
      <c r="C6" s="11">
        <v>0</v>
      </c>
      <c r="D6" s="11">
        <v>5452</v>
      </c>
      <c r="E6" s="11">
        <v>115251.31</v>
      </c>
      <c r="F6" s="11">
        <f t="shared" si="0"/>
        <v>120703.31</v>
      </c>
    </row>
    <row r="7" ht="20.25" customHeight="1" spans="1:6">
      <c r="A7" s="9" t="s">
        <v>16</v>
      </c>
      <c r="B7" s="31" t="s">
        <v>17</v>
      </c>
      <c r="C7" s="11">
        <v>0</v>
      </c>
      <c r="D7" s="11">
        <v>374351</v>
      </c>
      <c r="E7" s="11">
        <v>406560.28</v>
      </c>
      <c r="F7" s="11">
        <f t="shared" si="0"/>
        <v>780911.28</v>
      </c>
    </row>
    <row r="8" ht="20.25" customHeight="1" spans="1:6">
      <c r="A8" s="9" t="s">
        <v>18</v>
      </c>
      <c r="B8" s="31" t="s">
        <v>19</v>
      </c>
      <c r="C8" s="11">
        <v>0</v>
      </c>
      <c r="D8" s="11">
        <v>0</v>
      </c>
      <c r="E8" s="11">
        <v>21784.42</v>
      </c>
      <c r="F8" s="11">
        <f t="shared" si="0"/>
        <v>21784.42</v>
      </c>
    </row>
    <row r="9" ht="20.25" customHeight="1" spans="1:6">
      <c r="A9" s="9" t="s">
        <v>20</v>
      </c>
      <c r="B9" s="31" t="s">
        <v>21</v>
      </c>
      <c r="C9" s="11">
        <v>0</v>
      </c>
      <c r="D9" s="11">
        <v>37189</v>
      </c>
      <c r="E9" s="11">
        <v>49643</v>
      </c>
      <c r="F9" s="11">
        <f t="shared" si="0"/>
        <v>86832</v>
      </c>
    </row>
    <row r="10" ht="20.25" customHeight="1" spans="1:6">
      <c r="A10" s="9" t="s">
        <v>24</v>
      </c>
      <c r="B10" s="31" t="s">
        <v>25</v>
      </c>
      <c r="C10" s="11">
        <v>0</v>
      </c>
      <c r="D10" s="32">
        <v>2367</v>
      </c>
      <c r="E10" s="32">
        <v>3101.5</v>
      </c>
      <c r="F10" s="11">
        <f t="shared" si="0"/>
        <v>5468.5</v>
      </c>
    </row>
    <row r="11" ht="25.5" customHeight="1" spans="1:6">
      <c r="A11" s="9">
        <v>21001</v>
      </c>
      <c r="B11" s="31" t="s">
        <v>30</v>
      </c>
      <c r="C11" s="11">
        <v>0</v>
      </c>
      <c r="D11" s="11">
        <v>33730</v>
      </c>
      <c r="E11" s="11">
        <v>21188.3</v>
      </c>
      <c r="F11" s="11">
        <f t="shared" si="0"/>
        <v>54918.3</v>
      </c>
    </row>
    <row r="12" ht="20.25" customHeight="1" spans="1:6">
      <c r="A12" s="12" t="s">
        <v>22</v>
      </c>
      <c r="B12" s="33" t="s">
        <v>23</v>
      </c>
      <c r="C12" s="34">
        <v>0</v>
      </c>
      <c r="D12" s="11">
        <v>26711</v>
      </c>
      <c r="E12" s="11">
        <v>21534.25</v>
      </c>
      <c r="F12" s="11">
        <f t="shared" si="0"/>
        <v>48245.25</v>
      </c>
    </row>
    <row r="13" ht="17.25" customHeight="1" spans="1:6">
      <c r="A13" s="9" t="s">
        <v>32</v>
      </c>
      <c r="B13" s="31" t="s">
        <v>33</v>
      </c>
      <c r="C13" s="11">
        <v>0</v>
      </c>
      <c r="D13" s="11">
        <v>1300</v>
      </c>
      <c r="E13" s="11">
        <v>0</v>
      </c>
      <c r="F13" s="11">
        <f t="shared" si="0"/>
        <v>1300</v>
      </c>
    </row>
    <row r="14" ht="20.25" customHeight="1" spans="1:6">
      <c r="A14" s="9">
        <v>25001</v>
      </c>
      <c r="B14" s="31" t="s">
        <v>31</v>
      </c>
      <c r="C14" s="11">
        <v>0</v>
      </c>
      <c r="D14" s="11">
        <v>1119</v>
      </c>
      <c r="E14" s="11">
        <v>0</v>
      </c>
      <c r="F14" s="11">
        <f t="shared" si="0"/>
        <v>1119</v>
      </c>
    </row>
    <row r="15" ht="20.25" customHeight="1" spans="1:6">
      <c r="A15" s="9" t="s">
        <v>34</v>
      </c>
      <c r="B15" s="31" t="s">
        <v>35</v>
      </c>
      <c r="C15" s="11">
        <v>0</v>
      </c>
      <c r="D15" s="11">
        <v>2310</v>
      </c>
      <c r="E15" s="11">
        <v>141594.14</v>
      </c>
      <c r="F15" s="11">
        <f t="shared" si="0"/>
        <v>143904.14</v>
      </c>
    </row>
    <row r="16" ht="20.25" customHeight="1" spans="1:6">
      <c r="A16" s="9" t="s">
        <v>36</v>
      </c>
      <c r="B16" s="31" t="s">
        <v>37</v>
      </c>
      <c r="C16" s="11">
        <v>0</v>
      </c>
      <c r="D16" s="11">
        <v>900</v>
      </c>
      <c r="E16" s="11">
        <v>0</v>
      </c>
      <c r="F16" s="11">
        <f t="shared" si="0"/>
        <v>900</v>
      </c>
    </row>
    <row r="17" ht="20.25" customHeight="1" spans="1:6">
      <c r="A17" s="9" t="s">
        <v>38</v>
      </c>
      <c r="B17" s="31" t="s">
        <v>39</v>
      </c>
      <c r="C17" s="11">
        <v>0</v>
      </c>
      <c r="D17" s="11">
        <v>0</v>
      </c>
      <c r="E17" s="11">
        <v>0</v>
      </c>
      <c r="F17" s="11">
        <f t="shared" si="0"/>
        <v>0</v>
      </c>
    </row>
    <row r="18" ht="20.25" customHeight="1" spans="1:6">
      <c r="A18" s="9" t="s">
        <v>40</v>
      </c>
      <c r="B18" s="31" t="s">
        <v>306</v>
      </c>
      <c r="C18" s="11">
        <v>0</v>
      </c>
      <c r="D18" s="11">
        <v>2112</v>
      </c>
      <c r="E18" s="11">
        <v>2393659.55</v>
      </c>
      <c r="F18" s="11">
        <f t="shared" si="0"/>
        <v>2395771.55</v>
      </c>
    </row>
    <row r="19" ht="20.25" customHeight="1" spans="1:6">
      <c r="A19" s="9" t="s">
        <v>42</v>
      </c>
      <c r="B19" s="31" t="s">
        <v>43</v>
      </c>
      <c r="C19" s="11">
        <v>0</v>
      </c>
      <c r="D19" s="11">
        <v>0</v>
      </c>
      <c r="E19" s="11">
        <v>22963.71</v>
      </c>
      <c r="F19" s="11">
        <f t="shared" si="0"/>
        <v>22963.71</v>
      </c>
    </row>
    <row r="20" ht="20.25" customHeight="1" spans="1:6">
      <c r="A20" s="9" t="s">
        <v>44</v>
      </c>
      <c r="B20" s="31" t="s">
        <v>45</v>
      </c>
      <c r="C20" s="11">
        <v>0</v>
      </c>
      <c r="D20" s="11">
        <v>0</v>
      </c>
      <c r="E20" s="11">
        <v>260</v>
      </c>
      <c r="F20" s="11">
        <f t="shared" si="0"/>
        <v>260</v>
      </c>
    </row>
    <row r="21" ht="20.25" customHeight="1" spans="1:6">
      <c r="A21" s="9" t="s">
        <v>46</v>
      </c>
      <c r="B21" s="31" t="s">
        <v>307</v>
      </c>
      <c r="C21" s="11">
        <v>0</v>
      </c>
      <c r="D21" s="11">
        <v>8130</v>
      </c>
      <c r="E21" s="11">
        <v>20448.35</v>
      </c>
      <c r="F21" s="11">
        <f t="shared" si="0"/>
        <v>28578.35</v>
      </c>
    </row>
    <row r="22" ht="20.25" customHeight="1" spans="1:6">
      <c r="A22" s="9" t="s">
        <v>48</v>
      </c>
      <c r="B22" s="31" t="s">
        <v>308</v>
      </c>
      <c r="C22" s="11">
        <v>0</v>
      </c>
      <c r="D22" s="11">
        <v>4030</v>
      </c>
      <c r="E22" s="11">
        <v>396728.1</v>
      </c>
      <c r="F22" s="11">
        <f t="shared" si="0"/>
        <v>400758.1</v>
      </c>
    </row>
    <row r="23" ht="20.25" customHeight="1" spans="1:6">
      <c r="A23" s="9" t="s">
        <v>50</v>
      </c>
      <c r="B23" s="31" t="s">
        <v>309</v>
      </c>
      <c r="C23" s="11">
        <v>0</v>
      </c>
      <c r="D23" s="11">
        <v>14586</v>
      </c>
      <c r="E23" s="11">
        <v>442121.64</v>
      </c>
      <c r="F23" s="11">
        <f t="shared" si="0"/>
        <v>456707.64</v>
      </c>
    </row>
    <row r="24" ht="20.25" customHeight="1" spans="1:6">
      <c r="A24" s="9" t="s">
        <v>52</v>
      </c>
      <c r="B24" s="31" t="s">
        <v>310</v>
      </c>
      <c r="C24" s="11">
        <v>0</v>
      </c>
      <c r="D24" s="11">
        <v>0</v>
      </c>
      <c r="E24" s="11">
        <v>0</v>
      </c>
      <c r="F24" s="11">
        <f t="shared" si="0"/>
        <v>0</v>
      </c>
    </row>
    <row r="25" ht="20.25" customHeight="1" spans="1:6">
      <c r="A25" s="9" t="s">
        <v>54</v>
      </c>
      <c r="B25" s="31" t="s">
        <v>55</v>
      </c>
      <c r="C25" s="11">
        <v>0</v>
      </c>
      <c r="D25" s="11">
        <v>0</v>
      </c>
      <c r="E25" s="11">
        <v>0</v>
      </c>
      <c r="F25" s="11">
        <f t="shared" si="0"/>
        <v>0</v>
      </c>
    </row>
    <row r="26" ht="20.25" customHeight="1" spans="1:6">
      <c r="A26" s="9" t="s">
        <v>56</v>
      </c>
      <c r="B26" s="31" t="s">
        <v>57</v>
      </c>
      <c r="C26" s="11">
        <v>0</v>
      </c>
      <c r="D26" s="11">
        <v>0</v>
      </c>
      <c r="E26" s="11">
        <v>0</v>
      </c>
      <c r="F26" s="11">
        <f t="shared" si="0"/>
        <v>0</v>
      </c>
    </row>
    <row r="27" ht="20.25" customHeight="1" spans="1:6">
      <c r="A27" s="9" t="s">
        <v>58</v>
      </c>
      <c r="B27" s="31" t="s">
        <v>59</v>
      </c>
      <c r="C27" s="11">
        <v>0</v>
      </c>
      <c r="D27" s="11">
        <v>0</v>
      </c>
      <c r="E27" s="11">
        <v>0</v>
      </c>
      <c r="F27" s="11">
        <f t="shared" si="0"/>
        <v>0</v>
      </c>
    </row>
    <row r="28" ht="20.25" customHeight="1" spans="1:6">
      <c r="A28" s="9" t="s">
        <v>60</v>
      </c>
      <c r="B28" s="31" t="s">
        <v>61</v>
      </c>
      <c r="C28" s="11">
        <v>0</v>
      </c>
      <c r="D28" s="11">
        <v>13730</v>
      </c>
      <c r="E28" s="11">
        <v>39053.1</v>
      </c>
      <c r="F28" s="11">
        <f t="shared" si="0"/>
        <v>52783.1</v>
      </c>
    </row>
    <row r="29" ht="20.25" customHeight="1" spans="1:6">
      <c r="A29" s="9" t="s">
        <v>62</v>
      </c>
      <c r="B29" s="31" t="s">
        <v>63</v>
      </c>
      <c r="C29" s="11">
        <v>0</v>
      </c>
      <c r="D29" s="11">
        <v>700</v>
      </c>
      <c r="E29" s="11">
        <v>4880</v>
      </c>
      <c r="F29" s="11">
        <f t="shared" si="0"/>
        <v>5580</v>
      </c>
    </row>
    <row r="30" ht="20.25" customHeight="1" spans="1:6">
      <c r="A30" s="9" t="s">
        <v>64</v>
      </c>
      <c r="B30" s="31" t="s">
        <v>65</v>
      </c>
      <c r="C30" s="11">
        <v>0</v>
      </c>
      <c r="D30" s="11">
        <v>0</v>
      </c>
      <c r="E30" s="11">
        <v>0</v>
      </c>
      <c r="F30" s="11">
        <f t="shared" si="0"/>
        <v>0</v>
      </c>
    </row>
    <row r="31" ht="20.25" customHeight="1" spans="1:6">
      <c r="A31" s="9" t="s">
        <v>66</v>
      </c>
      <c r="B31" s="31" t="s">
        <v>67</v>
      </c>
      <c r="C31" s="11">
        <v>0</v>
      </c>
      <c r="D31" s="11">
        <v>1560</v>
      </c>
      <c r="E31" s="11">
        <v>0</v>
      </c>
      <c r="F31" s="11">
        <f t="shared" si="0"/>
        <v>1560</v>
      </c>
    </row>
    <row r="32" ht="20.25" customHeight="1" spans="1:6">
      <c r="A32" s="9" t="s">
        <v>68</v>
      </c>
      <c r="B32" s="31" t="s">
        <v>69</v>
      </c>
      <c r="C32" s="11">
        <v>0</v>
      </c>
      <c r="D32" s="11">
        <v>4149</v>
      </c>
      <c r="E32" s="11">
        <v>570</v>
      </c>
      <c r="F32" s="11">
        <f t="shared" si="0"/>
        <v>4719</v>
      </c>
    </row>
    <row r="33" ht="20.25" customHeight="1" spans="1:6">
      <c r="A33" s="9" t="s">
        <v>70</v>
      </c>
      <c r="B33" s="31" t="s">
        <v>71</v>
      </c>
      <c r="C33" s="11">
        <v>0</v>
      </c>
      <c r="D33" s="11">
        <v>830</v>
      </c>
      <c r="E33" s="11">
        <v>4033</v>
      </c>
      <c r="F33" s="11">
        <f t="shared" si="0"/>
        <v>4863</v>
      </c>
    </row>
    <row r="34" ht="20.25" customHeight="1" spans="1:6">
      <c r="A34" s="9" t="s">
        <v>72</v>
      </c>
      <c r="B34" s="31" t="s">
        <v>73</v>
      </c>
      <c r="C34" s="11">
        <v>0</v>
      </c>
      <c r="D34" s="11">
        <v>1396</v>
      </c>
      <c r="E34" s="11">
        <v>3874.75</v>
      </c>
      <c r="F34" s="11">
        <f t="shared" si="0"/>
        <v>5270.75</v>
      </c>
    </row>
    <row r="35" ht="20.25" customHeight="1" spans="1:6">
      <c r="A35" s="9" t="s">
        <v>74</v>
      </c>
      <c r="B35" s="31" t="s">
        <v>75</v>
      </c>
      <c r="C35" s="11">
        <v>0</v>
      </c>
      <c r="D35" s="11">
        <v>0</v>
      </c>
      <c r="E35" s="11">
        <v>3993</v>
      </c>
      <c r="F35" s="11">
        <f t="shared" si="0"/>
        <v>3993</v>
      </c>
    </row>
    <row r="36" ht="20.25" customHeight="1" spans="1:6">
      <c r="A36" s="9" t="s">
        <v>76</v>
      </c>
      <c r="B36" s="31" t="s">
        <v>77</v>
      </c>
      <c r="C36" s="11">
        <v>0</v>
      </c>
      <c r="D36" s="11">
        <v>4989</v>
      </c>
      <c r="E36" s="11">
        <v>2807.25</v>
      </c>
      <c r="F36" s="11">
        <f t="shared" si="0"/>
        <v>7796.25</v>
      </c>
    </row>
    <row r="37" ht="20.25" customHeight="1" spans="1:6">
      <c r="A37" s="9" t="s">
        <v>78</v>
      </c>
      <c r="B37" s="31" t="s">
        <v>79</v>
      </c>
      <c r="C37" s="11">
        <v>0</v>
      </c>
      <c r="D37" s="11">
        <v>1405</v>
      </c>
      <c r="E37" s="11">
        <v>74.25</v>
      </c>
      <c r="F37" s="11">
        <f t="shared" si="0"/>
        <v>1479.25</v>
      </c>
    </row>
    <row r="38" ht="20.25" customHeight="1" spans="1:6">
      <c r="A38" s="9" t="s">
        <v>80</v>
      </c>
      <c r="B38" s="31" t="s">
        <v>81</v>
      </c>
      <c r="C38" s="11">
        <v>0</v>
      </c>
      <c r="D38" s="11">
        <v>4149</v>
      </c>
      <c r="E38" s="11">
        <v>570</v>
      </c>
      <c r="F38" s="11">
        <f t="shared" si="0"/>
        <v>4719</v>
      </c>
    </row>
    <row r="39" ht="20.25" customHeight="1" spans="1:6">
      <c r="A39" s="9" t="s">
        <v>82</v>
      </c>
      <c r="B39" s="31" t="s">
        <v>83</v>
      </c>
      <c r="C39" s="11">
        <v>0</v>
      </c>
      <c r="D39" s="11">
        <v>3550</v>
      </c>
      <c r="E39" s="11">
        <v>366.5</v>
      </c>
      <c r="F39" s="11">
        <f t="shared" si="0"/>
        <v>3916.5</v>
      </c>
    </row>
    <row r="40" ht="20.25" customHeight="1" spans="1:6">
      <c r="A40" s="9" t="s">
        <v>84</v>
      </c>
      <c r="B40" s="31" t="s">
        <v>85</v>
      </c>
      <c r="C40" s="11">
        <v>0</v>
      </c>
      <c r="D40" s="11">
        <v>0</v>
      </c>
      <c r="E40" s="11">
        <v>0</v>
      </c>
      <c r="F40" s="11">
        <f t="shared" si="0"/>
        <v>0</v>
      </c>
    </row>
    <row r="41" ht="20.25" customHeight="1" spans="1:6">
      <c r="A41" s="9" t="s">
        <v>86</v>
      </c>
      <c r="B41" s="31" t="s">
        <v>87</v>
      </c>
      <c r="C41" s="11">
        <v>0</v>
      </c>
      <c r="D41" s="11">
        <v>0</v>
      </c>
      <c r="E41" s="11">
        <v>0</v>
      </c>
      <c r="F41" s="11">
        <f t="shared" si="0"/>
        <v>0</v>
      </c>
    </row>
    <row r="42" ht="20.25" customHeight="1" spans="1:6">
      <c r="A42" s="9" t="s">
        <v>88</v>
      </c>
      <c r="B42" s="31" t="s">
        <v>89</v>
      </c>
      <c r="C42" s="11">
        <v>0</v>
      </c>
      <c r="D42" s="11">
        <v>0</v>
      </c>
      <c r="E42" s="11">
        <v>0</v>
      </c>
      <c r="F42" s="11">
        <f t="shared" si="0"/>
        <v>0</v>
      </c>
    </row>
    <row r="43" ht="20.25" customHeight="1" spans="1:6">
      <c r="A43" s="9" t="s">
        <v>90</v>
      </c>
      <c r="B43" s="31" t="s">
        <v>91</v>
      </c>
      <c r="C43" s="11">
        <v>0</v>
      </c>
      <c r="D43" s="11">
        <v>34375</v>
      </c>
      <c r="E43" s="11">
        <v>17475.75</v>
      </c>
      <c r="F43" s="11">
        <f t="shared" si="0"/>
        <v>51850.75</v>
      </c>
    </row>
    <row r="44" ht="20.25" customHeight="1" spans="1:6">
      <c r="A44" s="9" t="s">
        <v>92</v>
      </c>
      <c r="B44" s="31" t="s">
        <v>93</v>
      </c>
      <c r="C44" s="11">
        <v>0</v>
      </c>
      <c r="D44" s="11">
        <v>0</v>
      </c>
      <c r="E44" s="11">
        <v>0</v>
      </c>
      <c r="F44" s="11">
        <f t="shared" si="0"/>
        <v>0</v>
      </c>
    </row>
    <row r="45" ht="20.25" customHeight="1" spans="1:6">
      <c r="A45" s="9" t="s">
        <v>94</v>
      </c>
      <c r="B45" s="31" t="s">
        <v>95</v>
      </c>
      <c r="C45" s="11">
        <v>0</v>
      </c>
      <c r="D45" s="11">
        <v>0</v>
      </c>
      <c r="E45" s="11">
        <v>0</v>
      </c>
      <c r="F45" s="11">
        <f t="shared" si="0"/>
        <v>0</v>
      </c>
    </row>
    <row r="46" ht="20.25" customHeight="1" spans="1:6">
      <c r="A46" s="9" t="s">
        <v>96</v>
      </c>
      <c r="B46" s="31" t="s">
        <v>97</v>
      </c>
      <c r="C46" s="11">
        <v>0</v>
      </c>
      <c r="D46" s="11">
        <v>34460</v>
      </c>
      <c r="E46" s="11">
        <v>18440</v>
      </c>
      <c r="F46" s="11">
        <f t="shared" si="0"/>
        <v>52900</v>
      </c>
    </row>
    <row r="47" ht="20.25" customHeight="1" spans="1:6">
      <c r="A47" s="9" t="s">
        <v>98</v>
      </c>
      <c r="B47" s="31" t="s">
        <v>99</v>
      </c>
      <c r="C47" s="11">
        <v>0</v>
      </c>
      <c r="D47" s="11">
        <v>2080</v>
      </c>
      <c r="E47" s="11">
        <v>49362.5</v>
      </c>
      <c r="F47" s="11">
        <f t="shared" si="0"/>
        <v>51442.5</v>
      </c>
    </row>
    <row r="48" ht="20.25" customHeight="1" spans="1:6">
      <c r="A48" s="9" t="s">
        <v>100</v>
      </c>
      <c r="B48" s="31" t="s">
        <v>101</v>
      </c>
      <c r="C48" s="11">
        <v>0</v>
      </c>
      <c r="D48" s="11">
        <v>14493</v>
      </c>
      <c r="E48" s="11">
        <v>0</v>
      </c>
      <c r="F48" s="11">
        <f t="shared" si="0"/>
        <v>14493</v>
      </c>
    </row>
    <row r="49" ht="20.25" customHeight="1" spans="1:6">
      <c r="A49" s="9" t="s">
        <v>102</v>
      </c>
      <c r="B49" s="31" t="s">
        <v>103</v>
      </c>
      <c r="C49" s="11">
        <v>0</v>
      </c>
      <c r="D49" s="11">
        <v>12688</v>
      </c>
      <c r="E49" s="11">
        <v>53006.8</v>
      </c>
      <c r="F49" s="11">
        <f t="shared" si="0"/>
        <v>65694.8</v>
      </c>
    </row>
    <row r="50" ht="20.25" customHeight="1" spans="1:6">
      <c r="A50" s="9" t="s">
        <v>104</v>
      </c>
      <c r="B50" s="31" t="s">
        <v>105</v>
      </c>
      <c r="C50" s="11">
        <v>0</v>
      </c>
      <c r="D50" s="11">
        <v>4687</v>
      </c>
      <c r="E50" s="11">
        <v>36762.07</v>
      </c>
      <c r="F50" s="11">
        <f t="shared" si="0"/>
        <v>41449.07</v>
      </c>
    </row>
    <row r="51" ht="20.25" customHeight="1" spans="1:6">
      <c r="A51" s="9" t="s">
        <v>106</v>
      </c>
      <c r="B51" s="31" t="s">
        <v>107</v>
      </c>
      <c r="C51" s="11">
        <v>0</v>
      </c>
      <c r="D51" s="11">
        <v>1000</v>
      </c>
      <c r="E51" s="11">
        <v>131343.01</v>
      </c>
      <c r="F51" s="11">
        <f t="shared" si="0"/>
        <v>132343.01</v>
      </c>
    </row>
    <row r="52" ht="20.25" customHeight="1" spans="1:6">
      <c r="A52" s="9">
        <v>29009</v>
      </c>
      <c r="B52" s="31" t="s">
        <v>108</v>
      </c>
      <c r="C52" s="11">
        <v>0</v>
      </c>
      <c r="D52" s="11">
        <v>2074</v>
      </c>
      <c r="E52" s="11">
        <v>6525</v>
      </c>
      <c r="F52" s="11">
        <f t="shared" si="0"/>
        <v>8599</v>
      </c>
    </row>
    <row r="53" ht="20.25" customHeight="1" spans="1:6">
      <c r="A53" s="9" t="s">
        <v>109</v>
      </c>
      <c r="B53" s="31" t="s">
        <v>110</v>
      </c>
      <c r="C53" s="11">
        <v>0</v>
      </c>
      <c r="D53" s="11">
        <v>0</v>
      </c>
      <c r="E53" s="11">
        <v>0</v>
      </c>
      <c r="F53" s="11">
        <f t="shared" si="0"/>
        <v>0</v>
      </c>
    </row>
    <row r="54" ht="20.25" customHeight="1" spans="1:6">
      <c r="A54" s="9" t="s">
        <v>111</v>
      </c>
      <c r="B54" s="31" t="s">
        <v>112</v>
      </c>
      <c r="C54" s="11">
        <v>0</v>
      </c>
      <c r="D54" s="11">
        <v>0</v>
      </c>
      <c r="E54" s="11">
        <v>7960.47</v>
      </c>
      <c r="F54" s="11">
        <f t="shared" si="0"/>
        <v>7960.47</v>
      </c>
    </row>
    <row r="55" ht="20.25" customHeight="1" spans="1:6">
      <c r="A55" s="9" t="s">
        <v>113</v>
      </c>
      <c r="B55" s="31" t="s">
        <v>114</v>
      </c>
      <c r="C55" s="11">
        <v>0</v>
      </c>
      <c r="D55" s="11">
        <v>0</v>
      </c>
      <c r="E55" s="11">
        <v>39176.69</v>
      </c>
      <c r="F55" s="11">
        <f t="shared" si="0"/>
        <v>39176.69</v>
      </c>
    </row>
    <row r="56" ht="20.25" customHeight="1" spans="1:6">
      <c r="A56" s="9" t="s">
        <v>115</v>
      </c>
      <c r="B56" s="31" t="s">
        <v>116</v>
      </c>
      <c r="C56" s="11">
        <v>0</v>
      </c>
      <c r="D56" s="11">
        <v>0</v>
      </c>
      <c r="E56" s="11">
        <v>40361.23</v>
      </c>
      <c r="F56" s="11">
        <f t="shared" si="0"/>
        <v>40361.23</v>
      </c>
    </row>
    <row r="57" ht="20.25" customHeight="1" spans="1:6">
      <c r="A57" s="9" t="s">
        <v>117</v>
      </c>
      <c r="B57" s="31" t="s">
        <v>118</v>
      </c>
      <c r="C57" s="11">
        <v>0</v>
      </c>
      <c r="D57" s="11">
        <v>0</v>
      </c>
      <c r="E57" s="11">
        <v>0</v>
      </c>
      <c r="F57" s="11">
        <f t="shared" si="0"/>
        <v>0</v>
      </c>
    </row>
    <row r="58" ht="20.25" customHeight="1" spans="1:6">
      <c r="A58" s="9" t="s">
        <v>119</v>
      </c>
      <c r="B58" s="31" t="s">
        <v>120</v>
      </c>
      <c r="C58" s="11">
        <v>0</v>
      </c>
      <c r="D58" s="11">
        <v>0</v>
      </c>
      <c r="E58" s="11">
        <v>0</v>
      </c>
      <c r="F58" s="11">
        <f t="shared" si="0"/>
        <v>0</v>
      </c>
    </row>
    <row r="59" ht="20.25" customHeight="1" spans="1:6">
      <c r="A59" s="9" t="s">
        <v>121</v>
      </c>
      <c r="B59" s="31" t="s">
        <v>122</v>
      </c>
      <c r="C59" s="11">
        <v>0</v>
      </c>
      <c r="D59" s="11">
        <v>0</v>
      </c>
      <c r="E59" s="11">
        <v>0</v>
      </c>
      <c r="F59" s="11">
        <f t="shared" si="0"/>
        <v>0</v>
      </c>
    </row>
    <row r="60" ht="20.25" customHeight="1" spans="1:6">
      <c r="A60" s="9" t="s">
        <v>123</v>
      </c>
      <c r="B60" s="31" t="s">
        <v>124</v>
      </c>
      <c r="C60" s="11">
        <v>0</v>
      </c>
      <c r="D60" s="11">
        <v>0</v>
      </c>
      <c r="E60" s="11">
        <v>42295.48</v>
      </c>
      <c r="F60" s="11">
        <f t="shared" si="0"/>
        <v>42295.48</v>
      </c>
    </row>
    <row r="61" ht="20.25" customHeight="1" spans="1:6">
      <c r="A61" s="9" t="s">
        <v>125</v>
      </c>
      <c r="B61" s="31" t="s">
        <v>126</v>
      </c>
      <c r="C61" s="11">
        <v>0</v>
      </c>
      <c r="D61" s="11">
        <v>0</v>
      </c>
      <c r="E61" s="11">
        <v>0</v>
      </c>
      <c r="F61" s="11">
        <f t="shared" si="0"/>
        <v>0</v>
      </c>
    </row>
    <row r="62" ht="20.25" customHeight="1" spans="1:6">
      <c r="A62" s="9" t="s">
        <v>127</v>
      </c>
      <c r="B62" s="31" t="s">
        <v>128</v>
      </c>
      <c r="C62" s="11">
        <v>0</v>
      </c>
      <c r="D62" s="11">
        <v>0</v>
      </c>
      <c r="E62" s="11">
        <v>0</v>
      </c>
      <c r="F62" s="11">
        <f t="shared" si="0"/>
        <v>0</v>
      </c>
    </row>
    <row r="63" ht="20.25" customHeight="1" spans="1:6">
      <c r="A63" s="9" t="s">
        <v>129</v>
      </c>
      <c r="B63" s="31" t="s">
        <v>130</v>
      </c>
      <c r="C63" s="11">
        <v>0</v>
      </c>
      <c r="D63" s="11">
        <v>0</v>
      </c>
      <c r="E63" s="11">
        <v>15903.57</v>
      </c>
      <c r="F63" s="11">
        <f t="shared" si="0"/>
        <v>15903.57</v>
      </c>
    </row>
    <row r="64" ht="20.25" customHeight="1" spans="1:6">
      <c r="A64" s="9" t="s">
        <v>131</v>
      </c>
      <c r="B64" s="31" t="s">
        <v>132</v>
      </c>
      <c r="C64" s="11">
        <v>0</v>
      </c>
      <c r="D64" s="11">
        <v>0</v>
      </c>
      <c r="E64" s="11">
        <v>0</v>
      </c>
      <c r="F64" s="11">
        <f t="shared" si="0"/>
        <v>0</v>
      </c>
    </row>
    <row r="65" ht="20.25" customHeight="1" spans="1:6">
      <c r="A65" s="9" t="s">
        <v>133</v>
      </c>
      <c r="B65" s="31" t="s">
        <v>134</v>
      </c>
      <c r="C65" s="11">
        <v>0</v>
      </c>
      <c r="D65" s="11">
        <v>0</v>
      </c>
      <c r="E65" s="11">
        <v>0</v>
      </c>
      <c r="F65" s="11">
        <f t="shared" si="0"/>
        <v>0</v>
      </c>
    </row>
    <row r="66" ht="20.25" customHeight="1" spans="1:6">
      <c r="A66" s="9" t="s">
        <v>135</v>
      </c>
      <c r="B66" s="31" t="s">
        <v>136</v>
      </c>
      <c r="C66" s="11">
        <v>0</v>
      </c>
      <c r="D66" s="11">
        <v>0</v>
      </c>
      <c r="E66" s="11">
        <v>0</v>
      </c>
      <c r="F66" s="11">
        <f t="shared" si="0"/>
        <v>0</v>
      </c>
    </row>
    <row r="67" ht="20.25" customHeight="1" spans="1:6">
      <c r="A67" s="9" t="s">
        <v>137</v>
      </c>
      <c r="B67" s="31" t="s">
        <v>138</v>
      </c>
      <c r="C67" s="11">
        <v>0</v>
      </c>
      <c r="D67" s="11">
        <v>0</v>
      </c>
      <c r="E67" s="11">
        <v>0</v>
      </c>
      <c r="F67" s="11">
        <f t="shared" si="0"/>
        <v>0</v>
      </c>
    </row>
    <row r="68" ht="20.25" customHeight="1" spans="1:6">
      <c r="A68" s="9" t="s">
        <v>139</v>
      </c>
      <c r="B68" s="31" t="s">
        <v>140</v>
      </c>
      <c r="C68" s="11">
        <v>0</v>
      </c>
      <c r="D68" s="11">
        <v>0</v>
      </c>
      <c r="E68" s="11">
        <v>7868.94</v>
      </c>
      <c r="F68" s="11">
        <f t="shared" si="0"/>
        <v>7868.94</v>
      </c>
    </row>
    <row r="69" ht="20.25" customHeight="1" spans="1:6">
      <c r="A69" s="9" t="s">
        <v>141</v>
      </c>
      <c r="B69" s="31" t="s">
        <v>142</v>
      </c>
      <c r="C69" s="11">
        <v>0</v>
      </c>
      <c r="D69" s="11">
        <v>0</v>
      </c>
      <c r="E69" s="11">
        <v>0</v>
      </c>
      <c r="F69" s="11">
        <f t="shared" ref="F69:F132" si="1">SUM(C69:E69)</f>
        <v>0</v>
      </c>
    </row>
    <row r="70" ht="20.25" customHeight="1" spans="1:6">
      <c r="A70" s="9" t="s">
        <v>143</v>
      </c>
      <c r="B70" s="31" t="s">
        <v>144</v>
      </c>
      <c r="C70" s="11">
        <v>0</v>
      </c>
      <c r="D70" s="11">
        <v>0</v>
      </c>
      <c r="E70" s="11">
        <v>0</v>
      </c>
      <c r="F70" s="11">
        <f t="shared" si="1"/>
        <v>0</v>
      </c>
    </row>
    <row r="71" ht="20.25" customHeight="1" spans="1:6">
      <c r="A71" s="9" t="s">
        <v>145</v>
      </c>
      <c r="B71" s="31" t="s">
        <v>146</v>
      </c>
      <c r="C71" s="11">
        <v>0</v>
      </c>
      <c r="D71" s="11">
        <v>0</v>
      </c>
      <c r="E71" s="11">
        <v>127274.99</v>
      </c>
      <c r="F71" s="11">
        <f t="shared" si="1"/>
        <v>127274.99</v>
      </c>
    </row>
    <row r="72" ht="20.25" customHeight="1" spans="1:6">
      <c r="A72" s="9" t="s">
        <v>147</v>
      </c>
      <c r="B72" s="31" t="s">
        <v>148</v>
      </c>
      <c r="C72" s="11">
        <v>0</v>
      </c>
      <c r="D72" s="11">
        <v>0</v>
      </c>
      <c r="E72" s="11">
        <v>4109.21</v>
      </c>
      <c r="F72" s="11">
        <f t="shared" si="1"/>
        <v>4109.21</v>
      </c>
    </row>
    <row r="73" ht="20.25" customHeight="1" spans="1:6">
      <c r="A73" s="9" t="s">
        <v>149</v>
      </c>
      <c r="B73" s="31" t="s">
        <v>150</v>
      </c>
      <c r="C73" s="11">
        <v>0</v>
      </c>
      <c r="D73" s="11">
        <v>0</v>
      </c>
      <c r="E73" s="11">
        <v>0</v>
      </c>
      <c r="F73" s="11">
        <f t="shared" si="1"/>
        <v>0</v>
      </c>
    </row>
    <row r="74" ht="20.25" customHeight="1" spans="1:6">
      <c r="A74" s="9" t="s">
        <v>151</v>
      </c>
      <c r="B74" s="31" t="s">
        <v>152</v>
      </c>
      <c r="C74" s="11">
        <v>0</v>
      </c>
      <c r="D74" s="11">
        <v>0</v>
      </c>
      <c r="E74" s="11">
        <v>0</v>
      </c>
      <c r="F74" s="11">
        <f t="shared" si="1"/>
        <v>0</v>
      </c>
    </row>
    <row r="75" ht="20.25" customHeight="1" spans="1:6">
      <c r="A75" s="9" t="s">
        <v>153</v>
      </c>
      <c r="B75" s="31" t="s">
        <v>154</v>
      </c>
      <c r="C75" s="11">
        <v>0</v>
      </c>
      <c r="D75" s="11">
        <v>0</v>
      </c>
      <c r="E75" s="11">
        <v>0</v>
      </c>
      <c r="F75" s="11">
        <f t="shared" si="1"/>
        <v>0</v>
      </c>
    </row>
    <row r="76" ht="20.25" customHeight="1" spans="1:6">
      <c r="A76" s="9" t="s">
        <v>155</v>
      </c>
      <c r="B76" s="31" t="s">
        <v>156</v>
      </c>
      <c r="C76" s="11">
        <v>0</v>
      </c>
      <c r="D76" s="11">
        <v>0</v>
      </c>
      <c r="E76" s="11">
        <v>0</v>
      </c>
      <c r="F76" s="11">
        <f t="shared" si="1"/>
        <v>0</v>
      </c>
    </row>
    <row r="77" ht="20.25" customHeight="1" spans="1:6">
      <c r="A77" s="9" t="s">
        <v>157</v>
      </c>
      <c r="B77" s="31" t="s">
        <v>158</v>
      </c>
      <c r="C77" s="11">
        <v>0</v>
      </c>
      <c r="D77" s="11">
        <v>0</v>
      </c>
      <c r="E77" s="11">
        <v>13662.32</v>
      </c>
      <c r="F77" s="11">
        <f t="shared" si="1"/>
        <v>13662.32</v>
      </c>
    </row>
    <row r="78" ht="20.25" customHeight="1" spans="1:6">
      <c r="A78" s="9" t="s">
        <v>159</v>
      </c>
      <c r="B78" s="31" t="s">
        <v>160</v>
      </c>
      <c r="C78" s="11">
        <v>0</v>
      </c>
      <c r="D78" s="11">
        <v>0</v>
      </c>
      <c r="E78" s="11">
        <v>13547.62</v>
      </c>
      <c r="F78" s="11">
        <f t="shared" si="1"/>
        <v>13547.62</v>
      </c>
    </row>
    <row r="79" ht="20.25" customHeight="1" spans="1:6">
      <c r="A79" s="9" t="s">
        <v>161</v>
      </c>
      <c r="B79" s="31" t="s">
        <v>162</v>
      </c>
      <c r="C79" s="11">
        <v>0</v>
      </c>
      <c r="D79" s="11">
        <v>0</v>
      </c>
      <c r="E79" s="11">
        <v>0</v>
      </c>
      <c r="F79" s="11">
        <f t="shared" si="1"/>
        <v>0</v>
      </c>
    </row>
    <row r="80" ht="20.25" customHeight="1" spans="1:6">
      <c r="A80" s="9" t="s">
        <v>163</v>
      </c>
      <c r="B80" s="31" t="s">
        <v>164</v>
      </c>
      <c r="C80" s="11">
        <v>0</v>
      </c>
      <c r="D80" s="11">
        <v>0</v>
      </c>
      <c r="E80" s="11">
        <v>0</v>
      </c>
      <c r="F80" s="11">
        <f t="shared" si="1"/>
        <v>0</v>
      </c>
    </row>
    <row r="81" ht="20.25" customHeight="1" spans="1:6">
      <c r="A81" s="9" t="s">
        <v>165</v>
      </c>
      <c r="B81" s="31" t="s">
        <v>166</v>
      </c>
      <c r="C81" s="11">
        <v>0</v>
      </c>
      <c r="D81" s="11">
        <v>0</v>
      </c>
      <c r="E81" s="11">
        <v>0</v>
      </c>
      <c r="F81" s="11">
        <f t="shared" si="1"/>
        <v>0</v>
      </c>
    </row>
    <row r="82" ht="20.25" customHeight="1" spans="1:6">
      <c r="A82" s="9" t="s">
        <v>167</v>
      </c>
      <c r="B82" s="31" t="s">
        <v>168</v>
      </c>
      <c r="C82" s="11">
        <v>0</v>
      </c>
      <c r="D82" s="11">
        <v>0</v>
      </c>
      <c r="E82" s="11">
        <v>0</v>
      </c>
      <c r="F82" s="11">
        <f t="shared" si="1"/>
        <v>0</v>
      </c>
    </row>
    <row r="83" ht="20.25" customHeight="1" spans="1:6">
      <c r="A83" s="9" t="s">
        <v>169</v>
      </c>
      <c r="B83" s="31" t="s">
        <v>170</v>
      </c>
      <c r="C83" s="11">
        <v>0</v>
      </c>
      <c r="D83" s="11">
        <v>0</v>
      </c>
      <c r="E83" s="11">
        <v>0</v>
      </c>
      <c r="F83" s="11">
        <f t="shared" si="1"/>
        <v>0</v>
      </c>
    </row>
    <row r="84" ht="20.25" customHeight="1" spans="1:6">
      <c r="A84" s="9" t="s">
        <v>171</v>
      </c>
      <c r="B84" s="31" t="s">
        <v>172</v>
      </c>
      <c r="C84" s="11">
        <v>0</v>
      </c>
      <c r="D84" s="11">
        <v>0</v>
      </c>
      <c r="E84" s="11">
        <v>0</v>
      </c>
      <c r="F84" s="11">
        <f t="shared" si="1"/>
        <v>0</v>
      </c>
    </row>
    <row r="85" ht="20.25" customHeight="1" spans="1:6">
      <c r="A85" s="9" t="s">
        <v>173</v>
      </c>
      <c r="B85" s="31" t="s">
        <v>174</v>
      </c>
      <c r="C85" s="11">
        <v>0</v>
      </c>
      <c r="D85" s="11">
        <v>0</v>
      </c>
      <c r="E85" s="11">
        <v>0</v>
      </c>
      <c r="F85" s="11">
        <f t="shared" si="1"/>
        <v>0</v>
      </c>
    </row>
    <row r="86" ht="20.25" customHeight="1" spans="1:6">
      <c r="A86" s="9" t="s">
        <v>175</v>
      </c>
      <c r="B86" s="31" t="s">
        <v>176</v>
      </c>
      <c r="C86" s="11">
        <v>0</v>
      </c>
      <c r="D86" s="11">
        <v>0</v>
      </c>
      <c r="E86" s="11">
        <v>0</v>
      </c>
      <c r="F86" s="11">
        <f t="shared" si="1"/>
        <v>0</v>
      </c>
    </row>
    <row r="87" ht="20.25" customHeight="1" spans="1:6">
      <c r="A87" s="9" t="s">
        <v>177</v>
      </c>
      <c r="B87" s="31" t="s">
        <v>178</v>
      </c>
      <c r="C87" s="11">
        <v>0</v>
      </c>
      <c r="D87" s="11">
        <v>0</v>
      </c>
      <c r="E87" s="11">
        <v>0</v>
      </c>
      <c r="F87" s="11">
        <f t="shared" si="1"/>
        <v>0</v>
      </c>
    </row>
    <row r="88" ht="20.25" customHeight="1" spans="1:6">
      <c r="A88" s="9" t="s">
        <v>179</v>
      </c>
      <c r="B88" s="31" t="s">
        <v>180</v>
      </c>
      <c r="C88" s="11">
        <v>0</v>
      </c>
      <c r="D88" s="11">
        <v>0</v>
      </c>
      <c r="E88" s="11">
        <v>0</v>
      </c>
      <c r="F88" s="11">
        <f t="shared" si="1"/>
        <v>0</v>
      </c>
    </row>
    <row r="89" ht="20.25" customHeight="1" spans="1:6">
      <c r="A89" s="9" t="s">
        <v>181</v>
      </c>
      <c r="B89" s="31" t="s">
        <v>182</v>
      </c>
      <c r="C89" s="11">
        <v>0</v>
      </c>
      <c r="D89" s="11">
        <v>0</v>
      </c>
      <c r="E89" s="11">
        <v>0</v>
      </c>
      <c r="F89" s="11">
        <f t="shared" si="1"/>
        <v>0</v>
      </c>
    </row>
    <row r="90" ht="20.25" customHeight="1" spans="1:6">
      <c r="A90" s="9" t="s">
        <v>183</v>
      </c>
      <c r="B90" s="31" t="s">
        <v>184</v>
      </c>
      <c r="C90" s="11">
        <v>0</v>
      </c>
      <c r="D90" s="11">
        <v>0</v>
      </c>
      <c r="E90" s="11">
        <v>0</v>
      </c>
      <c r="F90" s="11">
        <f t="shared" si="1"/>
        <v>0</v>
      </c>
    </row>
    <row r="91" ht="20.25" customHeight="1" spans="1:6">
      <c r="A91" s="9" t="s">
        <v>185</v>
      </c>
      <c r="B91" s="31" t="s">
        <v>186</v>
      </c>
      <c r="C91" s="11">
        <v>0</v>
      </c>
      <c r="D91" s="11">
        <v>0</v>
      </c>
      <c r="E91" s="11">
        <v>0</v>
      </c>
      <c r="F91" s="11">
        <f t="shared" si="1"/>
        <v>0</v>
      </c>
    </row>
    <row r="92" ht="20.25" customHeight="1" spans="1:6">
      <c r="A92" s="9" t="s">
        <v>187</v>
      </c>
      <c r="B92" s="31" t="s">
        <v>188</v>
      </c>
      <c r="C92" s="11">
        <v>0</v>
      </c>
      <c r="D92" s="11">
        <v>0</v>
      </c>
      <c r="E92" s="11">
        <v>0</v>
      </c>
      <c r="F92" s="11">
        <f t="shared" si="1"/>
        <v>0</v>
      </c>
    </row>
    <row r="93" ht="20.25" customHeight="1" spans="1:6">
      <c r="A93" s="9" t="s">
        <v>189</v>
      </c>
      <c r="B93" s="31" t="s">
        <v>190</v>
      </c>
      <c r="C93" s="11">
        <v>0</v>
      </c>
      <c r="D93" s="11">
        <v>0</v>
      </c>
      <c r="E93" s="11">
        <v>0</v>
      </c>
      <c r="F93" s="11">
        <f t="shared" si="1"/>
        <v>0</v>
      </c>
    </row>
    <row r="94" ht="20.25" customHeight="1" spans="1:6">
      <c r="A94" s="9" t="s">
        <v>191</v>
      </c>
      <c r="B94" s="31" t="s">
        <v>192</v>
      </c>
      <c r="C94" s="11">
        <v>0</v>
      </c>
      <c r="D94" s="11">
        <v>0</v>
      </c>
      <c r="E94" s="11">
        <v>0</v>
      </c>
      <c r="F94" s="11">
        <f t="shared" si="1"/>
        <v>0</v>
      </c>
    </row>
    <row r="95" ht="20.25" customHeight="1" spans="1:6">
      <c r="A95" s="9" t="s">
        <v>193</v>
      </c>
      <c r="B95" s="31" t="s">
        <v>194</v>
      </c>
      <c r="C95" s="11">
        <v>0</v>
      </c>
      <c r="D95" s="11">
        <v>0</v>
      </c>
      <c r="E95" s="11">
        <v>0</v>
      </c>
      <c r="F95" s="11">
        <f t="shared" si="1"/>
        <v>0</v>
      </c>
    </row>
    <row r="96" ht="20.25" customHeight="1" spans="1:6">
      <c r="A96" s="9" t="s">
        <v>195</v>
      </c>
      <c r="B96" s="31" t="s">
        <v>196</v>
      </c>
      <c r="C96" s="11">
        <v>0</v>
      </c>
      <c r="D96" s="11">
        <v>0</v>
      </c>
      <c r="E96" s="11">
        <v>0</v>
      </c>
      <c r="F96" s="11">
        <f t="shared" si="1"/>
        <v>0</v>
      </c>
    </row>
    <row r="97" ht="20.25" customHeight="1" spans="1:6">
      <c r="A97" s="9" t="s">
        <v>197</v>
      </c>
      <c r="B97" s="31" t="s">
        <v>198</v>
      </c>
      <c r="C97" s="11">
        <v>0</v>
      </c>
      <c r="D97" s="11">
        <v>0</v>
      </c>
      <c r="E97" s="11">
        <v>0</v>
      </c>
      <c r="F97" s="11">
        <f t="shared" si="1"/>
        <v>0</v>
      </c>
    </row>
    <row r="98" ht="20.25" customHeight="1" spans="1:6">
      <c r="A98" s="9" t="s">
        <v>199</v>
      </c>
      <c r="B98" s="31" t="s">
        <v>200</v>
      </c>
      <c r="C98" s="11">
        <v>0</v>
      </c>
      <c r="D98" s="11">
        <v>0</v>
      </c>
      <c r="E98" s="11">
        <v>0</v>
      </c>
      <c r="F98" s="11">
        <f t="shared" si="1"/>
        <v>0</v>
      </c>
    </row>
    <row r="99" ht="20.25" customHeight="1" spans="1:6">
      <c r="A99" s="9" t="s">
        <v>201</v>
      </c>
      <c r="B99" s="31" t="s">
        <v>202</v>
      </c>
      <c r="C99" s="11">
        <v>0</v>
      </c>
      <c r="D99" s="11">
        <v>0</v>
      </c>
      <c r="E99" s="11">
        <v>0</v>
      </c>
      <c r="F99" s="11">
        <f t="shared" si="1"/>
        <v>0</v>
      </c>
    </row>
    <row r="100" ht="20.25" customHeight="1" spans="1:6">
      <c r="A100" s="9" t="s">
        <v>203</v>
      </c>
      <c r="B100" s="31" t="s">
        <v>204</v>
      </c>
      <c r="C100" s="11">
        <v>0</v>
      </c>
      <c r="D100" s="11">
        <v>0</v>
      </c>
      <c r="E100" s="11">
        <v>0</v>
      </c>
      <c r="F100" s="11">
        <f t="shared" si="1"/>
        <v>0</v>
      </c>
    </row>
    <row r="101" ht="20.25" customHeight="1" spans="1:6">
      <c r="A101" s="9" t="s">
        <v>205</v>
      </c>
      <c r="B101" s="31" t="s">
        <v>206</v>
      </c>
      <c r="C101" s="11">
        <v>0</v>
      </c>
      <c r="D101" s="11">
        <v>0</v>
      </c>
      <c r="E101" s="11">
        <v>0</v>
      </c>
      <c r="F101" s="11">
        <f t="shared" si="1"/>
        <v>0</v>
      </c>
    </row>
    <row r="102" ht="20.25" customHeight="1" spans="1:6">
      <c r="A102" s="9" t="s">
        <v>207</v>
      </c>
      <c r="B102" s="31" t="s">
        <v>208</v>
      </c>
      <c r="C102" s="11">
        <v>0</v>
      </c>
      <c r="D102" s="11">
        <v>0</v>
      </c>
      <c r="E102" s="11">
        <v>0</v>
      </c>
      <c r="F102" s="11">
        <f t="shared" si="1"/>
        <v>0</v>
      </c>
    </row>
    <row r="103" ht="20.25" customHeight="1" spans="1:6">
      <c r="A103" s="9" t="s">
        <v>209</v>
      </c>
      <c r="B103" s="31" t="s">
        <v>210</v>
      </c>
      <c r="C103" s="11">
        <v>0</v>
      </c>
      <c r="D103" s="11">
        <v>0</v>
      </c>
      <c r="E103" s="11">
        <v>0</v>
      </c>
      <c r="F103" s="11">
        <f t="shared" si="1"/>
        <v>0</v>
      </c>
    </row>
    <row r="104" ht="20.25" customHeight="1" spans="1:6">
      <c r="A104" s="9" t="s">
        <v>211</v>
      </c>
      <c r="B104" s="31" t="s">
        <v>212</v>
      </c>
      <c r="C104" s="11">
        <v>0</v>
      </c>
      <c r="D104" s="11">
        <v>0</v>
      </c>
      <c r="E104" s="11">
        <v>0</v>
      </c>
      <c r="F104" s="11">
        <f t="shared" si="1"/>
        <v>0</v>
      </c>
    </row>
    <row r="105" ht="20.25" customHeight="1" spans="1:6">
      <c r="A105" s="9" t="s">
        <v>213</v>
      </c>
      <c r="B105" s="31" t="s">
        <v>214</v>
      </c>
      <c r="C105" s="11">
        <v>0</v>
      </c>
      <c r="D105" s="11">
        <v>0</v>
      </c>
      <c r="E105" s="11">
        <v>0</v>
      </c>
      <c r="F105" s="11">
        <f t="shared" si="1"/>
        <v>0</v>
      </c>
    </row>
    <row r="106" ht="20.25" customHeight="1" spans="1:6">
      <c r="A106" s="9" t="s">
        <v>215</v>
      </c>
      <c r="B106" s="31" t="s">
        <v>216</v>
      </c>
      <c r="C106" s="11">
        <v>0</v>
      </c>
      <c r="D106" s="11">
        <v>0</v>
      </c>
      <c r="E106" s="11">
        <v>0</v>
      </c>
      <c r="F106" s="11">
        <f t="shared" si="1"/>
        <v>0</v>
      </c>
    </row>
    <row r="107" ht="20.25" customHeight="1" spans="1:6">
      <c r="A107" s="9" t="s">
        <v>217</v>
      </c>
      <c r="B107" s="31" t="s">
        <v>218</v>
      </c>
      <c r="C107" s="11">
        <v>0</v>
      </c>
      <c r="D107" s="11">
        <v>0</v>
      </c>
      <c r="E107" s="11">
        <v>0</v>
      </c>
      <c r="F107" s="11">
        <f t="shared" si="1"/>
        <v>0</v>
      </c>
    </row>
    <row r="108" ht="20.25" customHeight="1" spans="1:6">
      <c r="A108" s="9" t="s">
        <v>219</v>
      </c>
      <c r="B108" s="31" t="s">
        <v>220</v>
      </c>
      <c r="C108" s="11">
        <v>0</v>
      </c>
      <c r="D108" s="11">
        <v>0</v>
      </c>
      <c r="E108" s="11">
        <v>0</v>
      </c>
      <c r="F108" s="11">
        <f t="shared" si="1"/>
        <v>0</v>
      </c>
    </row>
    <row r="109" ht="20.25" customHeight="1" spans="1:6">
      <c r="A109" s="9" t="s">
        <v>221</v>
      </c>
      <c r="B109" s="31" t="s">
        <v>222</v>
      </c>
      <c r="C109" s="11">
        <v>0</v>
      </c>
      <c r="D109" s="11">
        <v>0</v>
      </c>
      <c r="E109" s="11">
        <v>0</v>
      </c>
      <c r="F109" s="11">
        <f t="shared" si="1"/>
        <v>0</v>
      </c>
    </row>
    <row r="110" ht="20.25" customHeight="1" spans="1:6">
      <c r="A110" s="9" t="s">
        <v>223</v>
      </c>
      <c r="B110" s="31" t="s">
        <v>224</v>
      </c>
      <c r="C110" s="11">
        <v>0</v>
      </c>
      <c r="D110" s="11">
        <v>0</v>
      </c>
      <c r="E110" s="11">
        <v>0</v>
      </c>
      <c r="F110" s="11">
        <f t="shared" si="1"/>
        <v>0</v>
      </c>
    </row>
    <row r="111" ht="20.25" customHeight="1" spans="1:6">
      <c r="A111" s="9" t="s">
        <v>225</v>
      </c>
      <c r="B111" s="31" t="s">
        <v>226</v>
      </c>
      <c r="C111" s="11">
        <v>0</v>
      </c>
      <c r="D111" s="11">
        <v>0</v>
      </c>
      <c r="E111" s="11">
        <v>0</v>
      </c>
      <c r="F111" s="11">
        <f t="shared" si="1"/>
        <v>0</v>
      </c>
    </row>
    <row r="112" ht="20.25" customHeight="1" spans="1:6">
      <c r="A112" s="9" t="s">
        <v>227</v>
      </c>
      <c r="B112" s="31" t="s">
        <v>228</v>
      </c>
      <c r="C112" s="11">
        <v>0</v>
      </c>
      <c r="D112" s="11">
        <v>0</v>
      </c>
      <c r="E112" s="11">
        <v>0</v>
      </c>
      <c r="F112" s="11">
        <f t="shared" si="1"/>
        <v>0</v>
      </c>
    </row>
    <row r="113" ht="20.25" customHeight="1" spans="1:6">
      <c r="A113" s="9" t="s">
        <v>229</v>
      </c>
      <c r="B113" s="31" t="s">
        <v>230</v>
      </c>
      <c r="C113" s="11">
        <v>0</v>
      </c>
      <c r="D113" s="11">
        <v>0</v>
      </c>
      <c r="E113" s="11">
        <v>0</v>
      </c>
      <c r="F113" s="11">
        <f t="shared" si="1"/>
        <v>0</v>
      </c>
    </row>
    <row r="114" ht="20.25" customHeight="1" spans="1:6">
      <c r="A114" s="9" t="s">
        <v>231</v>
      </c>
      <c r="B114" s="31" t="s">
        <v>232</v>
      </c>
      <c r="C114" s="11">
        <v>0</v>
      </c>
      <c r="D114" s="11">
        <v>0</v>
      </c>
      <c r="E114" s="11">
        <v>0</v>
      </c>
      <c r="F114" s="11">
        <f t="shared" si="1"/>
        <v>0</v>
      </c>
    </row>
    <row r="115" ht="20.25" customHeight="1" spans="1:6">
      <c r="A115" s="9" t="s">
        <v>233</v>
      </c>
      <c r="B115" s="31" t="s">
        <v>234</v>
      </c>
      <c r="C115" s="11">
        <v>0</v>
      </c>
      <c r="D115" s="11">
        <v>0</v>
      </c>
      <c r="E115" s="11">
        <v>0</v>
      </c>
      <c r="F115" s="11">
        <f t="shared" si="1"/>
        <v>0</v>
      </c>
    </row>
    <row r="116" ht="20.25" customHeight="1" spans="1:6">
      <c r="A116" s="9" t="s">
        <v>235</v>
      </c>
      <c r="B116" s="31" t="s">
        <v>236</v>
      </c>
      <c r="C116" s="11">
        <v>0</v>
      </c>
      <c r="D116" s="11">
        <v>0</v>
      </c>
      <c r="E116" s="11">
        <v>0</v>
      </c>
      <c r="F116" s="11">
        <f t="shared" si="1"/>
        <v>0</v>
      </c>
    </row>
    <row r="117" ht="20.25" customHeight="1" spans="1:6">
      <c r="A117" s="9" t="s">
        <v>237</v>
      </c>
      <c r="B117" s="31" t="s">
        <v>238</v>
      </c>
      <c r="C117" s="11">
        <v>0</v>
      </c>
      <c r="D117" s="11">
        <v>0</v>
      </c>
      <c r="E117" s="11">
        <v>0</v>
      </c>
      <c r="F117" s="11">
        <f t="shared" si="1"/>
        <v>0</v>
      </c>
    </row>
    <row r="118" ht="20.25" customHeight="1" spans="1:6">
      <c r="A118" s="9" t="s">
        <v>239</v>
      </c>
      <c r="B118" s="31" t="s">
        <v>240</v>
      </c>
      <c r="C118" s="11">
        <v>0</v>
      </c>
      <c r="D118" s="11">
        <v>0</v>
      </c>
      <c r="E118" s="11">
        <v>0</v>
      </c>
      <c r="F118" s="11">
        <f t="shared" si="1"/>
        <v>0</v>
      </c>
    </row>
    <row r="119" ht="20.25" customHeight="1" spans="1:6">
      <c r="A119" s="9" t="s">
        <v>241</v>
      </c>
      <c r="B119" s="31" t="s">
        <v>242</v>
      </c>
      <c r="C119" s="11">
        <v>0</v>
      </c>
      <c r="D119" s="11">
        <v>0</v>
      </c>
      <c r="E119" s="11">
        <v>0</v>
      </c>
      <c r="F119" s="11">
        <f t="shared" si="1"/>
        <v>0</v>
      </c>
    </row>
    <row r="120" ht="20.25" customHeight="1" spans="1:6">
      <c r="A120" s="9" t="s">
        <v>243</v>
      </c>
      <c r="B120" s="31" t="s">
        <v>244</v>
      </c>
      <c r="C120" s="11">
        <v>0</v>
      </c>
      <c r="D120" s="11">
        <v>0</v>
      </c>
      <c r="E120" s="11">
        <v>0</v>
      </c>
      <c r="F120" s="11">
        <f t="shared" si="1"/>
        <v>0</v>
      </c>
    </row>
    <row r="121" ht="20.25" customHeight="1" spans="1:6">
      <c r="A121" s="9" t="s">
        <v>245</v>
      </c>
      <c r="B121" s="31" t="s">
        <v>246</v>
      </c>
      <c r="C121" s="11">
        <v>0</v>
      </c>
      <c r="D121" s="11">
        <v>0</v>
      </c>
      <c r="E121" s="11">
        <v>0</v>
      </c>
      <c r="F121" s="11">
        <f t="shared" si="1"/>
        <v>0</v>
      </c>
    </row>
    <row r="122" ht="20.25" customHeight="1" spans="1:6">
      <c r="A122" s="9" t="s">
        <v>247</v>
      </c>
      <c r="B122" s="31" t="s">
        <v>248</v>
      </c>
      <c r="C122" s="11">
        <v>0</v>
      </c>
      <c r="D122" s="11">
        <v>0</v>
      </c>
      <c r="E122" s="11">
        <v>0</v>
      </c>
      <c r="F122" s="11">
        <f t="shared" si="1"/>
        <v>0</v>
      </c>
    </row>
    <row r="123" ht="20.25" customHeight="1" spans="1:6">
      <c r="A123" s="9" t="s">
        <v>249</v>
      </c>
      <c r="B123" s="31" t="s">
        <v>250</v>
      </c>
      <c r="C123" s="11">
        <v>0</v>
      </c>
      <c r="D123" s="11">
        <v>0</v>
      </c>
      <c r="E123" s="11">
        <v>0</v>
      </c>
      <c r="F123" s="11">
        <f t="shared" si="1"/>
        <v>0</v>
      </c>
    </row>
    <row r="124" ht="20.25" customHeight="1" spans="1:6">
      <c r="A124" s="9" t="s">
        <v>251</v>
      </c>
      <c r="B124" s="31" t="s">
        <v>252</v>
      </c>
      <c r="C124" s="11">
        <v>0</v>
      </c>
      <c r="D124" s="11">
        <v>0</v>
      </c>
      <c r="E124" s="11">
        <v>0</v>
      </c>
      <c r="F124" s="11">
        <f t="shared" si="1"/>
        <v>0</v>
      </c>
    </row>
    <row r="125" ht="20.25" customHeight="1" spans="1:6">
      <c r="A125" s="9" t="s">
        <v>253</v>
      </c>
      <c r="B125" s="31" t="s">
        <v>254</v>
      </c>
      <c r="C125" s="11">
        <v>0</v>
      </c>
      <c r="D125" s="11">
        <v>0</v>
      </c>
      <c r="E125" s="11">
        <v>0</v>
      </c>
      <c r="F125" s="11">
        <f t="shared" si="1"/>
        <v>0</v>
      </c>
    </row>
    <row r="126" ht="20.25" customHeight="1" spans="1:6">
      <c r="A126" s="9" t="s">
        <v>255</v>
      </c>
      <c r="B126" s="31" t="s">
        <v>256</v>
      </c>
      <c r="C126" s="11">
        <v>0</v>
      </c>
      <c r="D126" s="11">
        <v>0</v>
      </c>
      <c r="E126" s="11">
        <v>0</v>
      </c>
      <c r="F126" s="11">
        <f t="shared" si="1"/>
        <v>0</v>
      </c>
    </row>
    <row r="127" ht="20.25" customHeight="1" spans="1:6">
      <c r="A127" s="9" t="s">
        <v>257</v>
      </c>
      <c r="B127" s="31" t="s">
        <v>258</v>
      </c>
      <c r="C127" s="11">
        <v>0</v>
      </c>
      <c r="D127" s="11">
        <v>0</v>
      </c>
      <c r="E127" s="11">
        <v>0</v>
      </c>
      <c r="F127" s="11">
        <f t="shared" si="1"/>
        <v>0</v>
      </c>
    </row>
    <row r="128" ht="20.25" customHeight="1" spans="1:6">
      <c r="A128" s="9" t="s">
        <v>259</v>
      </c>
      <c r="B128" s="31" t="s">
        <v>260</v>
      </c>
      <c r="C128" s="11">
        <v>0</v>
      </c>
      <c r="D128" s="11">
        <v>0</v>
      </c>
      <c r="E128" s="11">
        <v>0</v>
      </c>
      <c r="F128" s="11">
        <f t="shared" si="1"/>
        <v>0</v>
      </c>
    </row>
    <row r="129" ht="20.25" customHeight="1" spans="1:6">
      <c r="A129" s="9" t="s">
        <v>261</v>
      </c>
      <c r="B129" s="31" t="s">
        <v>262</v>
      </c>
      <c r="C129" s="11">
        <v>0</v>
      </c>
      <c r="D129" s="11">
        <v>0</v>
      </c>
      <c r="E129" s="11">
        <v>0</v>
      </c>
      <c r="F129" s="11">
        <f t="shared" si="1"/>
        <v>0</v>
      </c>
    </row>
    <row r="130" ht="20.25" customHeight="1" spans="1:6">
      <c r="A130" s="9" t="s">
        <v>263</v>
      </c>
      <c r="B130" s="31" t="s">
        <v>264</v>
      </c>
      <c r="C130" s="11">
        <v>0</v>
      </c>
      <c r="D130" s="11">
        <v>0</v>
      </c>
      <c r="E130" s="11">
        <v>0</v>
      </c>
      <c r="F130" s="11">
        <f t="shared" si="1"/>
        <v>0</v>
      </c>
    </row>
    <row r="131" ht="20.25" customHeight="1" spans="1:6">
      <c r="A131" s="9" t="s">
        <v>265</v>
      </c>
      <c r="B131" s="31" t="s">
        <v>266</v>
      </c>
      <c r="C131" s="11">
        <v>0</v>
      </c>
      <c r="D131" s="11">
        <v>0</v>
      </c>
      <c r="E131" s="11">
        <v>0</v>
      </c>
      <c r="F131" s="11">
        <f t="shared" si="1"/>
        <v>0</v>
      </c>
    </row>
    <row r="132" ht="20.25" customHeight="1" spans="1:6">
      <c r="A132" s="9" t="s">
        <v>267</v>
      </c>
      <c r="B132" s="31" t="s">
        <v>268</v>
      </c>
      <c r="C132" s="11">
        <v>0</v>
      </c>
      <c r="D132" s="11">
        <v>0</v>
      </c>
      <c r="E132" s="11">
        <v>0</v>
      </c>
      <c r="F132" s="11">
        <f t="shared" si="1"/>
        <v>0</v>
      </c>
    </row>
    <row r="133" ht="20.25" customHeight="1" spans="1:6">
      <c r="A133" s="9" t="s">
        <v>269</v>
      </c>
      <c r="B133" s="31" t="s">
        <v>270</v>
      </c>
      <c r="C133" s="11">
        <v>0</v>
      </c>
      <c r="D133" s="11">
        <v>1200</v>
      </c>
      <c r="E133" s="11">
        <v>3763.11</v>
      </c>
      <c r="F133" s="11">
        <f t="shared" ref="F133:F151" si="2">SUM(C133:E133)</f>
        <v>4963.11</v>
      </c>
    </row>
    <row r="134" ht="20.25" customHeight="1" spans="1:6">
      <c r="A134" s="9" t="s">
        <v>271</v>
      </c>
      <c r="B134" s="31" t="s">
        <v>272</v>
      </c>
      <c r="C134" s="11">
        <v>0</v>
      </c>
      <c r="D134" s="11">
        <v>0</v>
      </c>
      <c r="E134" s="11">
        <v>0</v>
      </c>
      <c r="F134" s="11">
        <f t="shared" si="2"/>
        <v>0</v>
      </c>
    </row>
    <row r="135" ht="20.25" customHeight="1" spans="1:6">
      <c r="A135" s="9" t="s">
        <v>273</v>
      </c>
      <c r="B135" s="31" t="s">
        <v>274</v>
      </c>
      <c r="C135" s="11">
        <v>0</v>
      </c>
      <c r="D135" s="11">
        <v>1500</v>
      </c>
      <c r="E135" s="11">
        <v>0</v>
      </c>
      <c r="F135" s="11">
        <f t="shared" si="2"/>
        <v>1500</v>
      </c>
    </row>
    <row r="136" ht="20.25" customHeight="1" spans="1:6">
      <c r="A136" s="9" t="s">
        <v>275</v>
      </c>
      <c r="B136" s="31" t="s">
        <v>276</v>
      </c>
      <c r="C136" s="11">
        <v>0</v>
      </c>
      <c r="D136" s="11">
        <v>16527</v>
      </c>
      <c r="E136" s="11">
        <v>26325</v>
      </c>
      <c r="F136" s="11">
        <f t="shared" si="2"/>
        <v>42852</v>
      </c>
    </row>
    <row r="137" ht="20.25" customHeight="1" spans="1:6">
      <c r="A137" s="9" t="s">
        <v>277</v>
      </c>
      <c r="B137" s="31" t="s">
        <v>278</v>
      </c>
      <c r="C137" s="11">
        <v>0</v>
      </c>
      <c r="D137" s="11">
        <v>0</v>
      </c>
      <c r="E137" s="11">
        <v>0</v>
      </c>
      <c r="F137" s="11">
        <f t="shared" si="2"/>
        <v>0</v>
      </c>
    </row>
    <row r="138" s="1" customFormat="1" ht="20.25" customHeight="1" spans="1:6">
      <c r="A138" s="9" t="s">
        <v>279</v>
      </c>
      <c r="B138" s="31" t="s">
        <v>280</v>
      </c>
      <c r="C138" s="11">
        <v>0</v>
      </c>
      <c r="D138" s="11">
        <v>5788</v>
      </c>
      <c r="E138" s="11">
        <v>72431.71</v>
      </c>
      <c r="F138" s="11">
        <f t="shared" si="2"/>
        <v>78219.71</v>
      </c>
    </row>
    <row r="139" s="1" customFormat="1" ht="20.25" customHeight="1" spans="1:6">
      <c r="A139" s="9" t="s">
        <v>281</v>
      </c>
      <c r="B139" s="31" t="s">
        <v>282</v>
      </c>
      <c r="C139" s="11">
        <v>0</v>
      </c>
      <c r="D139" s="11">
        <v>19480</v>
      </c>
      <c r="E139" s="11">
        <v>12782.25</v>
      </c>
      <c r="F139" s="11">
        <f t="shared" si="2"/>
        <v>32262.25</v>
      </c>
    </row>
    <row r="140" s="1" customFormat="1" ht="20.25" customHeight="1" spans="1:6">
      <c r="A140" s="9" t="s">
        <v>283</v>
      </c>
      <c r="B140" s="31" t="s">
        <v>284</v>
      </c>
      <c r="C140" s="11">
        <v>0</v>
      </c>
      <c r="D140" s="11">
        <v>4020</v>
      </c>
      <c r="E140" s="11">
        <v>45800.07</v>
      </c>
      <c r="F140" s="11">
        <f t="shared" si="2"/>
        <v>49820.07</v>
      </c>
    </row>
    <row r="141" s="1" customFormat="1" ht="20.25" customHeight="1" spans="1:6">
      <c r="A141" s="9" t="s">
        <v>285</v>
      </c>
      <c r="B141" s="31" t="s">
        <v>286</v>
      </c>
      <c r="C141" s="11">
        <v>0</v>
      </c>
      <c r="D141" s="11">
        <v>1210</v>
      </c>
      <c r="E141" s="11">
        <v>0</v>
      </c>
      <c r="F141" s="11">
        <f t="shared" si="2"/>
        <v>1210</v>
      </c>
    </row>
    <row r="142" s="1" customFormat="1" ht="33.75" customHeight="1" spans="1:6">
      <c r="A142" s="9" t="s">
        <v>14</v>
      </c>
      <c r="B142" s="31" t="s">
        <v>287</v>
      </c>
      <c r="C142" s="11">
        <v>0</v>
      </c>
      <c r="D142" s="11">
        <v>87111</v>
      </c>
      <c r="E142" s="11">
        <v>0</v>
      </c>
      <c r="F142" s="11">
        <f t="shared" si="2"/>
        <v>87111</v>
      </c>
    </row>
    <row r="143" s="2" customFormat="1" ht="20.25" customHeight="1" spans="1:8">
      <c r="A143" s="9" t="s">
        <v>288</v>
      </c>
      <c r="B143" s="31" t="s">
        <v>289</v>
      </c>
      <c r="C143" s="11">
        <v>0</v>
      </c>
      <c r="D143" s="11">
        <v>86898</v>
      </c>
      <c r="E143" s="11">
        <v>0</v>
      </c>
      <c r="F143" s="11">
        <f t="shared" si="2"/>
        <v>86898</v>
      </c>
      <c r="G143" s="21"/>
      <c r="H143" s="21"/>
    </row>
    <row r="144" s="3" customFormat="1" ht="20.25" customHeight="1" spans="1:8">
      <c r="A144" s="9" t="s">
        <v>290</v>
      </c>
      <c r="B144" s="31" t="s">
        <v>291</v>
      </c>
      <c r="C144" s="11">
        <v>0</v>
      </c>
      <c r="D144" s="11">
        <v>3240</v>
      </c>
      <c r="E144" s="11">
        <v>0</v>
      </c>
      <c r="F144" s="11">
        <f t="shared" si="2"/>
        <v>3240</v>
      </c>
      <c r="G144" s="24"/>
      <c r="H144" s="24"/>
    </row>
    <row r="145" s="3" customFormat="1" ht="20.25" customHeight="1" spans="1:8">
      <c r="A145" s="9" t="s">
        <v>292</v>
      </c>
      <c r="B145" s="31" t="s">
        <v>293</v>
      </c>
      <c r="C145" s="11">
        <v>0</v>
      </c>
      <c r="D145" s="11">
        <v>18838</v>
      </c>
      <c r="E145" s="11">
        <v>36685.42</v>
      </c>
      <c r="F145" s="11">
        <f t="shared" si="2"/>
        <v>55523.42</v>
      </c>
      <c r="G145" s="24"/>
      <c r="H145" s="24"/>
    </row>
    <row r="146" ht="20.25" customHeight="1" spans="1:6">
      <c r="A146" s="9" t="s">
        <v>294</v>
      </c>
      <c r="B146" s="31" t="s">
        <v>295</v>
      </c>
      <c r="C146" s="11">
        <v>0</v>
      </c>
      <c r="D146" s="11">
        <v>0</v>
      </c>
      <c r="E146" s="11">
        <v>218187.32</v>
      </c>
      <c r="F146" s="11">
        <f t="shared" si="2"/>
        <v>218187.32</v>
      </c>
    </row>
    <row r="147" ht="20.25" customHeight="1" spans="1:6">
      <c r="A147" s="9" t="s">
        <v>296</v>
      </c>
      <c r="B147" s="31" t="s">
        <v>297</v>
      </c>
      <c r="C147" s="11">
        <v>0</v>
      </c>
      <c r="D147" s="11">
        <v>350</v>
      </c>
      <c r="E147" s="11">
        <v>120987.84</v>
      </c>
      <c r="F147" s="11">
        <f t="shared" si="2"/>
        <v>121337.84</v>
      </c>
    </row>
    <row r="148" ht="20.25" customHeight="1" spans="1:6">
      <c r="A148" s="9" t="s">
        <v>298</v>
      </c>
      <c r="B148" s="31" t="s">
        <v>299</v>
      </c>
      <c r="C148" s="11">
        <v>0</v>
      </c>
      <c r="D148" s="11">
        <v>1882</v>
      </c>
      <c r="E148" s="11">
        <v>33580.61</v>
      </c>
      <c r="F148" s="11">
        <f t="shared" si="2"/>
        <v>35462.61</v>
      </c>
    </row>
    <row r="149" ht="20.25" customHeight="1" spans="1:6">
      <c r="A149" s="9" t="s">
        <v>300</v>
      </c>
      <c r="B149" s="31" t="s">
        <v>301</v>
      </c>
      <c r="C149" s="11">
        <v>0</v>
      </c>
      <c r="D149" s="11">
        <f>SUM(D4:D148)</f>
        <v>935908</v>
      </c>
      <c r="E149" s="11">
        <f>SUM(E4:E148)</f>
        <v>5325379.44</v>
      </c>
      <c r="F149" s="11">
        <f t="shared" si="2"/>
        <v>6261287.44</v>
      </c>
    </row>
    <row r="150" ht="20.25" customHeight="1" spans="1:6">
      <c r="A150" s="9" t="s">
        <v>302</v>
      </c>
      <c r="B150" s="31" t="s">
        <v>303</v>
      </c>
      <c r="C150" s="11">
        <v>0</v>
      </c>
      <c r="D150" s="11">
        <v>1882</v>
      </c>
      <c r="E150" s="11">
        <v>33580.61</v>
      </c>
      <c r="F150" s="11">
        <f t="shared" si="2"/>
        <v>35462.61</v>
      </c>
    </row>
    <row r="151" ht="20.25" customHeight="1" spans="1:6">
      <c r="A151" s="9"/>
      <c r="B151" s="35" t="s">
        <v>305</v>
      </c>
      <c r="C151" s="11">
        <f>SUM(C4:C150)</f>
        <v>0</v>
      </c>
      <c r="D151" s="11">
        <f t="shared" ref="D151:E151" si="3">SUM(D4:D150)</f>
        <v>1873698</v>
      </c>
      <c r="E151" s="11">
        <f t="shared" si="3"/>
        <v>10684339.49</v>
      </c>
      <c r="F151" s="11">
        <f t="shared" si="2"/>
        <v>12558037.49</v>
      </c>
    </row>
  </sheetData>
  <mergeCells count="2">
    <mergeCell ref="A1:F1"/>
    <mergeCell ref="A2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tabSelected="1" topLeftCell="A43" workbookViewId="0">
      <selection activeCell="H9" sqref="H9"/>
    </sheetView>
  </sheetViews>
  <sheetFormatPr defaultColWidth="9" defaultRowHeight="13.5"/>
  <cols>
    <col min="2" max="2" width="31.875" customWidth="1"/>
    <col min="3" max="3" width="9" customWidth="1"/>
    <col min="4" max="4" width="12.125" customWidth="1"/>
    <col min="5" max="5" width="11" customWidth="1"/>
    <col min="6" max="6" width="13.5" customWidth="1"/>
  </cols>
  <sheetData>
    <row r="1" ht="22.5" spans="1:6">
      <c r="A1" s="4" t="s">
        <v>304</v>
      </c>
      <c r="B1" s="4"/>
      <c r="C1" s="4"/>
      <c r="D1" s="4"/>
      <c r="E1" s="4"/>
      <c r="F1" s="4"/>
    </row>
    <row r="2" ht="42.75" customHeight="1" spans="1:6">
      <c r="A2" s="4"/>
      <c r="B2" s="4"/>
      <c r="C2" s="4"/>
      <c r="D2" s="4"/>
      <c r="E2" s="4"/>
      <c r="F2" s="5" t="s">
        <v>2</v>
      </c>
    </row>
    <row r="3" ht="30" customHeight="1" spans="1:6">
      <c r="A3" s="6" t="s">
        <v>3</v>
      </c>
      <c r="B3" s="7" t="s">
        <v>4</v>
      </c>
      <c r="C3" s="8" t="s">
        <v>5</v>
      </c>
      <c r="D3" s="6" t="s">
        <v>6</v>
      </c>
      <c r="E3" s="8" t="s">
        <v>7</v>
      </c>
      <c r="F3" s="8" t="s">
        <v>305</v>
      </c>
    </row>
    <row r="4" ht="19.5" customHeight="1" spans="1:6">
      <c r="A4" s="9" t="s">
        <v>10</v>
      </c>
      <c r="B4" s="10" t="s">
        <v>11</v>
      </c>
      <c r="C4" s="11">
        <v>0</v>
      </c>
      <c r="D4" s="11">
        <v>16242</v>
      </c>
      <c r="E4" s="11">
        <v>5034.25</v>
      </c>
      <c r="F4" s="11">
        <f>SUM(C4:E4)</f>
        <v>21276.25</v>
      </c>
    </row>
    <row r="5" ht="19.5" customHeight="1" spans="1:6">
      <c r="A5" s="12" t="s">
        <v>12</v>
      </c>
      <c r="B5" s="13" t="s">
        <v>13</v>
      </c>
      <c r="C5" s="11">
        <v>0</v>
      </c>
      <c r="D5" s="11">
        <v>15020</v>
      </c>
      <c r="E5" s="11">
        <v>7665.81</v>
      </c>
      <c r="F5" s="11">
        <f t="shared" ref="F5:F68" si="0">SUM(C5:E5)</f>
        <v>22685.81</v>
      </c>
    </row>
    <row r="6" ht="30" customHeight="1" spans="1:6">
      <c r="A6" s="12" t="s">
        <v>14</v>
      </c>
      <c r="B6" s="13" t="s">
        <v>15</v>
      </c>
      <c r="C6" s="11">
        <v>0</v>
      </c>
      <c r="D6" s="11">
        <v>5452</v>
      </c>
      <c r="E6" s="11">
        <v>115251.31</v>
      </c>
      <c r="F6" s="11">
        <f t="shared" si="0"/>
        <v>120703.31</v>
      </c>
    </row>
    <row r="7" ht="30" customHeight="1" spans="1:6">
      <c r="A7" s="12" t="s">
        <v>16</v>
      </c>
      <c r="B7" s="13" t="s">
        <v>17</v>
      </c>
      <c r="C7" s="11">
        <v>0</v>
      </c>
      <c r="D7" s="11">
        <v>374351</v>
      </c>
      <c r="E7" s="11">
        <v>406560.28</v>
      </c>
      <c r="F7" s="11">
        <f t="shared" si="0"/>
        <v>780911.28</v>
      </c>
    </row>
    <row r="8" ht="19.5" customHeight="1" spans="1:6">
      <c r="A8" s="12" t="s">
        <v>18</v>
      </c>
      <c r="B8" s="13" t="s">
        <v>19</v>
      </c>
      <c r="C8" s="11">
        <v>0</v>
      </c>
      <c r="D8" s="11">
        <v>0</v>
      </c>
      <c r="E8" s="11">
        <v>21784.42</v>
      </c>
      <c r="F8" s="11">
        <f t="shared" si="0"/>
        <v>21784.42</v>
      </c>
    </row>
    <row r="9" ht="19.5" customHeight="1" spans="1:6">
      <c r="A9" s="9" t="s">
        <v>20</v>
      </c>
      <c r="B9" s="10" t="s">
        <v>21</v>
      </c>
      <c r="C9" s="11">
        <v>0</v>
      </c>
      <c r="D9" s="11">
        <v>37189</v>
      </c>
      <c r="E9" s="11">
        <v>49643</v>
      </c>
      <c r="F9" s="11">
        <f t="shared" si="0"/>
        <v>86832</v>
      </c>
    </row>
    <row r="10" ht="19.5" customHeight="1" spans="1:6">
      <c r="A10" s="12" t="s">
        <v>22</v>
      </c>
      <c r="B10" s="13" t="s">
        <v>23</v>
      </c>
      <c r="C10" s="11">
        <v>0</v>
      </c>
      <c r="D10" s="11">
        <v>26711</v>
      </c>
      <c r="E10" s="11">
        <v>21534.25</v>
      </c>
      <c r="F10" s="11">
        <f t="shared" si="0"/>
        <v>48245.25</v>
      </c>
    </row>
    <row r="11" ht="27" customHeight="1" spans="1:6">
      <c r="A11" s="12" t="s">
        <v>24</v>
      </c>
      <c r="B11" s="13" t="s">
        <v>25</v>
      </c>
      <c r="C11" s="11">
        <v>0</v>
      </c>
      <c r="D11" s="11">
        <v>2367</v>
      </c>
      <c r="E11" s="11">
        <v>3101.5</v>
      </c>
      <c r="F11" s="11">
        <f t="shared" si="0"/>
        <v>5468.5</v>
      </c>
    </row>
    <row r="12" ht="24" customHeight="1" spans="1:6">
      <c r="A12" s="12">
        <v>21001</v>
      </c>
      <c r="B12" s="13" t="s">
        <v>30</v>
      </c>
      <c r="C12" s="11">
        <v>0</v>
      </c>
      <c r="D12" s="11">
        <v>33730</v>
      </c>
      <c r="E12" s="11">
        <v>21188.3</v>
      </c>
      <c r="F12" s="11">
        <f t="shared" si="0"/>
        <v>54918.3</v>
      </c>
    </row>
    <row r="13" ht="19.5" customHeight="1" spans="1:6">
      <c r="A13" s="12">
        <v>25001</v>
      </c>
      <c r="B13" s="13" t="s">
        <v>31</v>
      </c>
      <c r="C13" s="11">
        <v>0</v>
      </c>
      <c r="D13" s="11">
        <v>1119</v>
      </c>
      <c r="E13" s="11">
        <v>0</v>
      </c>
      <c r="F13" s="11">
        <f t="shared" si="0"/>
        <v>1119</v>
      </c>
    </row>
    <row r="14" ht="19.5" customHeight="1" spans="1:6">
      <c r="A14" s="9" t="s">
        <v>32</v>
      </c>
      <c r="B14" s="10" t="s">
        <v>33</v>
      </c>
      <c r="C14" s="11">
        <v>0</v>
      </c>
      <c r="D14" s="11">
        <v>1300</v>
      </c>
      <c r="E14" s="11">
        <v>0</v>
      </c>
      <c r="F14" s="11">
        <f t="shared" si="0"/>
        <v>1300</v>
      </c>
    </row>
    <row r="15" ht="19.5" customHeight="1" spans="1:6">
      <c r="A15" s="12" t="s">
        <v>34</v>
      </c>
      <c r="B15" s="13" t="s">
        <v>35</v>
      </c>
      <c r="C15" s="11">
        <v>0</v>
      </c>
      <c r="D15" s="11">
        <v>2310</v>
      </c>
      <c r="E15" s="11">
        <v>141594.04</v>
      </c>
      <c r="F15" s="11">
        <f t="shared" si="0"/>
        <v>143904.04</v>
      </c>
    </row>
    <row r="16" ht="19.5" customHeight="1" spans="1:6">
      <c r="A16" s="12" t="s">
        <v>36</v>
      </c>
      <c r="B16" s="13" t="s">
        <v>37</v>
      </c>
      <c r="C16" s="11">
        <v>0</v>
      </c>
      <c r="D16" s="11">
        <v>900</v>
      </c>
      <c r="E16" s="11">
        <v>0</v>
      </c>
      <c r="F16" s="11">
        <f t="shared" si="0"/>
        <v>900</v>
      </c>
    </row>
    <row r="17" ht="23.25" customHeight="1" spans="1:6">
      <c r="A17" s="12" t="s">
        <v>38</v>
      </c>
      <c r="B17" s="13" t="s">
        <v>39</v>
      </c>
      <c r="C17" s="11">
        <v>0</v>
      </c>
      <c r="D17" s="11">
        <v>0</v>
      </c>
      <c r="E17" s="11">
        <v>0</v>
      </c>
      <c r="F17" s="11">
        <f t="shared" si="0"/>
        <v>0</v>
      </c>
    </row>
    <row r="18" ht="19.5" customHeight="1" spans="1:6">
      <c r="A18" s="12" t="s">
        <v>40</v>
      </c>
      <c r="B18" s="13" t="s">
        <v>306</v>
      </c>
      <c r="C18" s="11">
        <v>0</v>
      </c>
      <c r="D18" s="11">
        <v>2112</v>
      </c>
      <c r="E18" s="11">
        <v>2393659.55</v>
      </c>
      <c r="F18" s="11">
        <f t="shared" si="0"/>
        <v>2395771.55</v>
      </c>
    </row>
    <row r="19" ht="19.5" customHeight="1" spans="1:6">
      <c r="A19" s="9" t="s">
        <v>42</v>
      </c>
      <c r="B19" s="10" t="s">
        <v>311</v>
      </c>
      <c r="C19" s="11">
        <v>0</v>
      </c>
      <c r="D19" s="11">
        <v>0</v>
      </c>
      <c r="E19" s="11">
        <v>22963.71</v>
      </c>
      <c r="F19" s="11">
        <f t="shared" si="0"/>
        <v>22963.71</v>
      </c>
    </row>
    <row r="20" ht="19.5" customHeight="1" spans="1:6">
      <c r="A20" s="12" t="s">
        <v>44</v>
      </c>
      <c r="B20" s="13" t="s">
        <v>312</v>
      </c>
      <c r="C20" s="11">
        <v>0</v>
      </c>
      <c r="D20" s="11">
        <v>0</v>
      </c>
      <c r="E20" s="11">
        <v>260</v>
      </c>
      <c r="F20" s="11">
        <f t="shared" si="0"/>
        <v>260</v>
      </c>
    </row>
    <row r="21" ht="19.5" customHeight="1" spans="1:6">
      <c r="A21" s="12" t="s">
        <v>46</v>
      </c>
      <c r="B21" s="13" t="s">
        <v>307</v>
      </c>
      <c r="C21" s="11">
        <v>0</v>
      </c>
      <c r="D21" s="11">
        <v>8130</v>
      </c>
      <c r="E21" s="11">
        <v>20448.35</v>
      </c>
      <c r="F21" s="11">
        <f t="shared" si="0"/>
        <v>28578.35</v>
      </c>
    </row>
    <row r="22" ht="19.5" customHeight="1" spans="1:6">
      <c r="A22" s="12" t="s">
        <v>48</v>
      </c>
      <c r="B22" s="13" t="s">
        <v>308</v>
      </c>
      <c r="C22" s="11">
        <v>0</v>
      </c>
      <c r="D22" s="11">
        <v>0</v>
      </c>
      <c r="E22" s="11">
        <v>7677.42</v>
      </c>
      <c r="F22" s="11">
        <f t="shared" si="0"/>
        <v>7677.42</v>
      </c>
    </row>
    <row r="23" ht="19.5" customHeight="1" spans="1:6">
      <c r="A23" s="12" t="s">
        <v>50</v>
      </c>
      <c r="B23" s="13" t="s">
        <v>309</v>
      </c>
      <c r="C23" s="11">
        <v>0</v>
      </c>
      <c r="D23" s="11">
        <v>5590</v>
      </c>
      <c r="E23" s="11">
        <v>4606</v>
      </c>
      <c r="F23" s="11">
        <f t="shared" si="0"/>
        <v>10196</v>
      </c>
    </row>
    <row r="24" ht="19.5" customHeight="1" spans="1:6">
      <c r="A24" s="9" t="s">
        <v>52</v>
      </c>
      <c r="B24" s="10" t="s">
        <v>310</v>
      </c>
      <c r="C24" s="11">
        <v>0</v>
      </c>
      <c r="D24" s="11">
        <v>4030</v>
      </c>
      <c r="E24" s="11">
        <v>396728.1</v>
      </c>
      <c r="F24" s="11">
        <f t="shared" si="0"/>
        <v>400758.1</v>
      </c>
    </row>
    <row r="25" ht="19.5" customHeight="1" spans="1:6">
      <c r="A25" s="12" t="s">
        <v>54</v>
      </c>
      <c r="B25" s="13" t="s">
        <v>55</v>
      </c>
      <c r="C25" s="11">
        <v>0</v>
      </c>
      <c r="D25" s="11">
        <v>14586</v>
      </c>
      <c r="E25" s="11">
        <v>442121.64</v>
      </c>
      <c r="F25" s="11">
        <f t="shared" si="0"/>
        <v>456707.64</v>
      </c>
    </row>
    <row r="26" ht="19.5" customHeight="1" spans="1:6">
      <c r="A26" s="12" t="s">
        <v>56</v>
      </c>
      <c r="B26" s="13" t="s">
        <v>57</v>
      </c>
      <c r="C26" s="11">
        <v>0</v>
      </c>
      <c r="D26" s="11">
        <v>0</v>
      </c>
      <c r="E26" s="11">
        <v>0</v>
      </c>
      <c r="F26" s="11">
        <f t="shared" si="0"/>
        <v>0</v>
      </c>
    </row>
    <row r="27" ht="19.5" customHeight="1" spans="1:6">
      <c r="A27" s="12" t="s">
        <v>58</v>
      </c>
      <c r="B27" s="13" t="s">
        <v>59</v>
      </c>
      <c r="C27" s="11">
        <v>0</v>
      </c>
      <c r="D27" s="11">
        <v>0</v>
      </c>
      <c r="E27" s="11">
        <v>0</v>
      </c>
      <c r="F27" s="11">
        <f t="shared" si="0"/>
        <v>0</v>
      </c>
    </row>
    <row r="28" ht="19.5" customHeight="1" spans="1:6">
      <c r="A28" s="12" t="s">
        <v>60</v>
      </c>
      <c r="B28" s="13" t="s">
        <v>61</v>
      </c>
      <c r="C28" s="11">
        <v>0</v>
      </c>
      <c r="D28" s="11">
        <v>0</v>
      </c>
      <c r="E28" s="11">
        <v>0</v>
      </c>
      <c r="F28" s="11">
        <f t="shared" si="0"/>
        <v>0</v>
      </c>
    </row>
    <row r="29" ht="19.5" customHeight="1" spans="1:6">
      <c r="A29" s="9" t="s">
        <v>62</v>
      </c>
      <c r="B29" s="10" t="s">
        <v>63</v>
      </c>
      <c r="C29" s="11">
        <v>0</v>
      </c>
      <c r="D29" s="11">
        <v>0</v>
      </c>
      <c r="E29" s="11">
        <v>0</v>
      </c>
      <c r="F29" s="11">
        <f t="shared" si="0"/>
        <v>0</v>
      </c>
    </row>
    <row r="30" ht="19.5" customHeight="1" spans="1:6">
      <c r="A30" s="12" t="s">
        <v>64</v>
      </c>
      <c r="B30" s="13" t="s">
        <v>65</v>
      </c>
      <c r="C30" s="11">
        <v>0</v>
      </c>
      <c r="D30" s="11">
        <v>13730</v>
      </c>
      <c r="E30" s="11">
        <v>39053.1</v>
      </c>
      <c r="F30" s="11">
        <f t="shared" si="0"/>
        <v>52783.1</v>
      </c>
    </row>
    <row r="31" ht="19.5" customHeight="1" spans="1:6">
      <c r="A31" s="12" t="s">
        <v>66</v>
      </c>
      <c r="B31" s="13" t="s">
        <v>67</v>
      </c>
      <c r="C31" s="11">
        <v>0</v>
      </c>
      <c r="D31" s="11">
        <v>700</v>
      </c>
      <c r="E31" s="11">
        <v>4880</v>
      </c>
      <c r="F31" s="11">
        <f t="shared" si="0"/>
        <v>5580</v>
      </c>
    </row>
    <row r="32" ht="19.5" customHeight="1" spans="1:6">
      <c r="A32" s="12" t="s">
        <v>68</v>
      </c>
      <c r="B32" s="13" t="s">
        <v>69</v>
      </c>
      <c r="C32" s="11">
        <v>0</v>
      </c>
      <c r="D32" s="11">
        <v>0</v>
      </c>
      <c r="E32" s="11">
        <v>0</v>
      </c>
      <c r="F32" s="11">
        <f t="shared" si="0"/>
        <v>0</v>
      </c>
    </row>
    <row r="33" ht="19.5" customHeight="1" spans="1:6">
      <c r="A33" s="12" t="s">
        <v>70</v>
      </c>
      <c r="B33" s="13" t="s">
        <v>71</v>
      </c>
      <c r="C33" s="11">
        <v>0</v>
      </c>
      <c r="D33" s="11">
        <v>1560</v>
      </c>
      <c r="E33" s="11">
        <v>0</v>
      </c>
      <c r="F33" s="11">
        <f t="shared" si="0"/>
        <v>1560</v>
      </c>
    </row>
    <row r="34" ht="19.5" customHeight="1" spans="1:6">
      <c r="A34" s="9" t="s">
        <v>72</v>
      </c>
      <c r="B34" s="10" t="s">
        <v>73</v>
      </c>
      <c r="C34" s="11">
        <v>0</v>
      </c>
      <c r="D34" s="11">
        <v>4149</v>
      </c>
      <c r="E34" s="11">
        <v>570</v>
      </c>
      <c r="F34" s="11">
        <f t="shared" si="0"/>
        <v>4719</v>
      </c>
    </row>
    <row r="35" ht="19.5" customHeight="1" spans="1:6">
      <c r="A35" s="12" t="s">
        <v>74</v>
      </c>
      <c r="B35" s="13" t="s">
        <v>75</v>
      </c>
      <c r="C35" s="11">
        <v>0</v>
      </c>
      <c r="D35" s="11">
        <v>830</v>
      </c>
      <c r="E35" s="11">
        <v>4033</v>
      </c>
      <c r="F35" s="11">
        <f t="shared" si="0"/>
        <v>4863</v>
      </c>
    </row>
    <row r="36" ht="19.5" customHeight="1" spans="1:6">
      <c r="A36" s="12" t="s">
        <v>76</v>
      </c>
      <c r="B36" s="13" t="s">
        <v>77</v>
      </c>
      <c r="C36" s="11">
        <v>0</v>
      </c>
      <c r="D36" s="11">
        <v>1396</v>
      </c>
      <c r="E36" s="11">
        <v>3874.75</v>
      </c>
      <c r="F36" s="11">
        <f t="shared" si="0"/>
        <v>5270.75</v>
      </c>
    </row>
    <row r="37" ht="19.5" customHeight="1" spans="1:6">
      <c r="A37" s="12" t="s">
        <v>78</v>
      </c>
      <c r="B37" s="13" t="s">
        <v>79</v>
      </c>
      <c r="C37" s="11">
        <v>0</v>
      </c>
      <c r="D37" s="11">
        <v>0</v>
      </c>
      <c r="E37" s="11">
        <v>3993</v>
      </c>
      <c r="F37" s="11">
        <f t="shared" si="0"/>
        <v>3993</v>
      </c>
    </row>
    <row r="38" ht="19.5" customHeight="1" spans="1:6">
      <c r="A38" s="12" t="s">
        <v>80</v>
      </c>
      <c r="B38" s="13" t="s">
        <v>81</v>
      </c>
      <c r="C38" s="11">
        <v>0</v>
      </c>
      <c r="D38" s="11">
        <v>4989</v>
      </c>
      <c r="E38" s="11">
        <v>2807.25</v>
      </c>
      <c r="F38" s="11">
        <f t="shared" si="0"/>
        <v>7796.25</v>
      </c>
    </row>
    <row r="39" ht="19.5" customHeight="1" spans="1:6">
      <c r="A39" s="9" t="s">
        <v>82</v>
      </c>
      <c r="B39" s="10" t="s">
        <v>83</v>
      </c>
      <c r="C39" s="11">
        <v>0</v>
      </c>
      <c r="D39" s="11">
        <v>1405</v>
      </c>
      <c r="E39" s="11">
        <v>74.25</v>
      </c>
      <c r="F39" s="11">
        <f t="shared" si="0"/>
        <v>1479.25</v>
      </c>
    </row>
    <row r="40" ht="19.5" customHeight="1" spans="1:6">
      <c r="A40" s="12" t="s">
        <v>84</v>
      </c>
      <c r="B40" s="13" t="s">
        <v>85</v>
      </c>
      <c r="C40" s="11">
        <v>0</v>
      </c>
      <c r="D40" s="11">
        <v>4149</v>
      </c>
      <c r="E40" s="11">
        <v>570</v>
      </c>
      <c r="F40" s="11">
        <f t="shared" si="0"/>
        <v>4719</v>
      </c>
    </row>
    <row r="41" ht="19.5" customHeight="1" spans="1:6">
      <c r="A41" s="12" t="s">
        <v>86</v>
      </c>
      <c r="B41" s="13" t="s">
        <v>87</v>
      </c>
      <c r="C41" s="11">
        <v>0</v>
      </c>
      <c r="D41" s="11">
        <v>3550</v>
      </c>
      <c r="E41" s="11">
        <v>366.5</v>
      </c>
      <c r="F41" s="11">
        <f t="shared" si="0"/>
        <v>3916.5</v>
      </c>
    </row>
    <row r="42" ht="19.5" customHeight="1" spans="1:6">
      <c r="A42" s="12" t="s">
        <v>88</v>
      </c>
      <c r="B42" s="13" t="s">
        <v>89</v>
      </c>
      <c r="C42" s="11">
        <v>0</v>
      </c>
      <c r="D42" s="11">
        <v>0</v>
      </c>
      <c r="E42" s="11">
        <v>0</v>
      </c>
      <c r="F42" s="11">
        <f t="shared" si="0"/>
        <v>0</v>
      </c>
    </row>
    <row r="43" ht="19.5" customHeight="1" spans="1:6">
      <c r="A43" s="12" t="s">
        <v>90</v>
      </c>
      <c r="B43" s="13" t="s">
        <v>91</v>
      </c>
      <c r="C43" s="11">
        <v>0</v>
      </c>
      <c r="D43" s="11">
        <v>0</v>
      </c>
      <c r="E43" s="11">
        <v>0</v>
      </c>
      <c r="F43" s="11">
        <f t="shared" si="0"/>
        <v>0</v>
      </c>
    </row>
    <row r="44" ht="19.5" customHeight="1" spans="1:6">
      <c r="A44" s="9" t="s">
        <v>92</v>
      </c>
      <c r="B44" s="10" t="s">
        <v>93</v>
      </c>
      <c r="C44" s="11">
        <v>0</v>
      </c>
      <c r="D44" s="11">
        <v>0</v>
      </c>
      <c r="E44" s="11">
        <v>0</v>
      </c>
      <c r="F44" s="11">
        <f t="shared" si="0"/>
        <v>0</v>
      </c>
    </row>
    <row r="45" ht="19.5" customHeight="1" spans="1:6">
      <c r="A45" s="12" t="s">
        <v>94</v>
      </c>
      <c r="B45" s="13" t="s">
        <v>95</v>
      </c>
      <c r="C45" s="11">
        <v>0</v>
      </c>
      <c r="D45" s="11">
        <v>34375</v>
      </c>
      <c r="E45" s="11">
        <v>17475.75</v>
      </c>
      <c r="F45" s="11">
        <f t="shared" si="0"/>
        <v>51850.75</v>
      </c>
    </row>
    <row r="46" ht="21.75" customHeight="1" spans="1:6">
      <c r="A46" s="12" t="s">
        <v>96</v>
      </c>
      <c r="B46" s="13" t="s">
        <v>97</v>
      </c>
      <c r="C46" s="11">
        <v>0</v>
      </c>
      <c r="D46" s="11">
        <v>0</v>
      </c>
      <c r="E46" s="11">
        <v>0</v>
      </c>
      <c r="F46" s="11">
        <f t="shared" si="0"/>
        <v>0</v>
      </c>
    </row>
    <row r="47" ht="19.5" customHeight="1" spans="1:6">
      <c r="A47" s="12" t="s">
        <v>98</v>
      </c>
      <c r="B47" s="13" t="s">
        <v>99</v>
      </c>
      <c r="C47" s="11">
        <v>0</v>
      </c>
      <c r="D47" s="11">
        <v>0</v>
      </c>
      <c r="E47" s="11">
        <v>0</v>
      </c>
      <c r="F47" s="11">
        <f t="shared" si="0"/>
        <v>0</v>
      </c>
    </row>
    <row r="48" ht="19.5" customHeight="1" spans="1:6">
      <c r="A48" s="12" t="s">
        <v>100</v>
      </c>
      <c r="B48" s="13" t="s">
        <v>101</v>
      </c>
      <c r="C48" s="11">
        <v>0</v>
      </c>
      <c r="D48" s="11">
        <v>34460</v>
      </c>
      <c r="E48" s="11">
        <v>18440</v>
      </c>
      <c r="F48" s="11">
        <f t="shared" si="0"/>
        <v>52900</v>
      </c>
    </row>
    <row r="49" ht="19.5" customHeight="1" spans="1:6">
      <c r="A49" s="9" t="s">
        <v>102</v>
      </c>
      <c r="B49" s="10" t="s">
        <v>103</v>
      </c>
      <c r="C49" s="11">
        <v>0</v>
      </c>
      <c r="D49" s="11">
        <v>2080</v>
      </c>
      <c r="E49" s="11">
        <v>49362.5</v>
      </c>
      <c r="F49" s="11">
        <f t="shared" si="0"/>
        <v>51442.5</v>
      </c>
    </row>
    <row r="50" ht="19.5" customHeight="1" spans="1:6">
      <c r="A50" s="12" t="s">
        <v>104</v>
      </c>
      <c r="B50" s="13" t="s">
        <v>105</v>
      </c>
      <c r="C50" s="11">
        <v>0</v>
      </c>
      <c r="D50" s="11">
        <v>14493</v>
      </c>
      <c r="E50" s="11">
        <v>0</v>
      </c>
      <c r="F50" s="11">
        <f t="shared" si="0"/>
        <v>14493</v>
      </c>
    </row>
    <row r="51" ht="19.5" customHeight="1" spans="1:6">
      <c r="A51" s="12" t="s">
        <v>106</v>
      </c>
      <c r="B51" s="13" t="s">
        <v>107</v>
      </c>
      <c r="C51" s="11">
        <v>0</v>
      </c>
      <c r="D51" s="11">
        <v>12688</v>
      </c>
      <c r="E51" s="11">
        <v>53006.8</v>
      </c>
      <c r="F51" s="11">
        <f t="shared" si="0"/>
        <v>65694.8</v>
      </c>
    </row>
    <row r="52" ht="21.75" customHeight="1" spans="1:6">
      <c r="A52" s="12">
        <v>29009</v>
      </c>
      <c r="B52" s="13" t="s">
        <v>108</v>
      </c>
      <c r="C52" s="11">
        <v>0</v>
      </c>
      <c r="D52" s="11">
        <v>4687</v>
      </c>
      <c r="E52" s="11">
        <v>36762.07</v>
      </c>
      <c r="F52" s="11">
        <f t="shared" si="0"/>
        <v>41449.07</v>
      </c>
    </row>
    <row r="53" ht="19.5" customHeight="1" spans="1:6">
      <c r="A53" s="12" t="s">
        <v>109</v>
      </c>
      <c r="B53" s="13" t="s">
        <v>110</v>
      </c>
      <c r="C53" s="11">
        <v>0</v>
      </c>
      <c r="D53" s="11">
        <v>1000</v>
      </c>
      <c r="E53" s="11">
        <v>131343.01</v>
      </c>
      <c r="F53" s="11">
        <f t="shared" si="0"/>
        <v>132343.01</v>
      </c>
    </row>
    <row r="54" ht="19.5" customHeight="1" spans="1:6">
      <c r="A54" s="9" t="s">
        <v>111</v>
      </c>
      <c r="B54" s="10" t="s">
        <v>112</v>
      </c>
      <c r="C54" s="11">
        <v>0</v>
      </c>
      <c r="D54" s="11">
        <v>2074</v>
      </c>
      <c r="E54" s="11">
        <v>6525</v>
      </c>
      <c r="F54" s="11">
        <f t="shared" si="0"/>
        <v>8599</v>
      </c>
    </row>
    <row r="55" ht="19.5" customHeight="1" spans="1:6">
      <c r="A55" s="12" t="s">
        <v>113</v>
      </c>
      <c r="B55" s="13" t="s">
        <v>114</v>
      </c>
      <c r="C55" s="11">
        <v>0</v>
      </c>
      <c r="D55" s="11">
        <v>0</v>
      </c>
      <c r="E55" s="11">
        <v>0</v>
      </c>
      <c r="F55" s="11">
        <f t="shared" si="0"/>
        <v>0</v>
      </c>
    </row>
    <row r="56" ht="26.25" customHeight="1" spans="1:6">
      <c r="A56" s="12" t="s">
        <v>115</v>
      </c>
      <c r="B56" s="13" t="s">
        <v>116</v>
      </c>
      <c r="C56" s="11">
        <v>0</v>
      </c>
      <c r="D56" s="11">
        <v>0</v>
      </c>
      <c r="E56" s="11">
        <v>7960.47</v>
      </c>
      <c r="F56" s="11">
        <f t="shared" si="0"/>
        <v>7960.47</v>
      </c>
    </row>
    <row r="57" ht="19.5" customHeight="1" spans="1:6">
      <c r="A57" s="12" t="s">
        <v>117</v>
      </c>
      <c r="B57" s="13" t="s">
        <v>118</v>
      </c>
      <c r="C57" s="11">
        <v>0</v>
      </c>
      <c r="D57" s="11">
        <v>0</v>
      </c>
      <c r="E57" s="11">
        <v>39176.69</v>
      </c>
      <c r="F57" s="11">
        <f t="shared" si="0"/>
        <v>39176.69</v>
      </c>
    </row>
    <row r="58" ht="24" customHeight="1" spans="1:6">
      <c r="A58" s="12" t="s">
        <v>119</v>
      </c>
      <c r="B58" s="13" t="s">
        <v>120</v>
      </c>
      <c r="C58" s="11">
        <v>0</v>
      </c>
      <c r="D58" s="11">
        <v>0</v>
      </c>
      <c r="E58" s="11">
        <v>40361.23</v>
      </c>
      <c r="F58" s="11">
        <f t="shared" si="0"/>
        <v>40361.23</v>
      </c>
    </row>
    <row r="59" ht="19.5" customHeight="1" spans="1:6">
      <c r="A59" s="9" t="s">
        <v>121</v>
      </c>
      <c r="B59" s="10" t="s">
        <v>122</v>
      </c>
      <c r="C59" s="11">
        <v>0</v>
      </c>
      <c r="D59" s="11">
        <v>0</v>
      </c>
      <c r="E59" s="11">
        <v>0</v>
      </c>
      <c r="F59" s="11">
        <f t="shared" si="0"/>
        <v>0</v>
      </c>
    </row>
    <row r="60" ht="19.5" customHeight="1" spans="1:6">
      <c r="A60" s="12" t="s">
        <v>123</v>
      </c>
      <c r="B60" s="13" t="s">
        <v>124</v>
      </c>
      <c r="C60" s="11">
        <v>0</v>
      </c>
      <c r="D60" s="11">
        <v>0</v>
      </c>
      <c r="E60" s="11">
        <v>0</v>
      </c>
      <c r="F60" s="11">
        <f t="shared" si="0"/>
        <v>0</v>
      </c>
    </row>
    <row r="61" ht="19.5" customHeight="1" spans="1:6">
      <c r="A61" s="12" t="s">
        <v>125</v>
      </c>
      <c r="B61" s="13" t="s">
        <v>126</v>
      </c>
      <c r="C61" s="11">
        <v>0</v>
      </c>
      <c r="D61" s="11">
        <v>0</v>
      </c>
      <c r="E61" s="11">
        <v>0</v>
      </c>
      <c r="F61" s="11">
        <f t="shared" si="0"/>
        <v>0</v>
      </c>
    </row>
    <row r="62" ht="19.5" customHeight="1" spans="1:6">
      <c r="A62" s="12" t="s">
        <v>127</v>
      </c>
      <c r="B62" s="13" t="s">
        <v>128</v>
      </c>
      <c r="C62" s="11">
        <v>0</v>
      </c>
      <c r="D62" s="11">
        <v>0</v>
      </c>
      <c r="E62" s="11">
        <v>42295.48</v>
      </c>
      <c r="F62" s="11">
        <f t="shared" si="0"/>
        <v>42295.48</v>
      </c>
    </row>
    <row r="63" ht="19.5" customHeight="1" spans="1:6">
      <c r="A63" s="12" t="s">
        <v>129</v>
      </c>
      <c r="B63" s="13" t="s">
        <v>130</v>
      </c>
      <c r="C63" s="11">
        <v>0</v>
      </c>
      <c r="D63" s="11">
        <v>0</v>
      </c>
      <c r="E63" s="11">
        <v>0</v>
      </c>
      <c r="F63" s="11">
        <f t="shared" si="0"/>
        <v>0</v>
      </c>
    </row>
    <row r="64" ht="19.5" customHeight="1" spans="1:6">
      <c r="A64" s="9" t="s">
        <v>131</v>
      </c>
      <c r="B64" s="10" t="s">
        <v>132</v>
      </c>
      <c r="C64" s="11">
        <v>0</v>
      </c>
      <c r="D64" s="11">
        <v>0</v>
      </c>
      <c r="E64" s="11">
        <v>0</v>
      </c>
      <c r="F64" s="11">
        <f t="shared" si="0"/>
        <v>0</v>
      </c>
    </row>
    <row r="65" ht="19.5" customHeight="1" spans="1:6">
      <c r="A65" s="12" t="s">
        <v>133</v>
      </c>
      <c r="B65" s="13" t="s">
        <v>134</v>
      </c>
      <c r="C65" s="11">
        <v>0</v>
      </c>
      <c r="D65" s="11">
        <v>0</v>
      </c>
      <c r="E65" s="11">
        <v>15903.57</v>
      </c>
      <c r="F65" s="11">
        <f t="shared" si="0"/>
        <v>15903.57</v>
      </c>
    </row>
    <row r="66" ht="19.5" customHeight="1" spans="1:6">
      <c r="A66" s="12" t="s">
        <v>135</v>
      </c>
      <c r="B66" s="13" t="s">
        <v>136</v>
      </c>
      <c r="C66" s="11">
        <v>0</v>
      </c>
      <c r="D66" s="11">
        <v>0</v>
      </c>
      <c r="E66" s="11">
        <v>0</v>
      </c>
      <c r="F66" s="11">
        <f t="shared" si="0"/>
        <v>0</v>
      </c>
    </row>
    <row r="67" ht="19.5" customHeight="1" spans="1:6">
      <c r="A67" s="12" t="s">
        <v>137</v>
      </c>
      <c r="B67" s="13" t="s">
        <v>138</v>
      </c>
      <c r="C67" s="11">
        <v>0</v>
      </c>
      <c r="D67" s="11">
        <v>0</v>
      </c>
      <c r="E67" s="11">
        <v>0</v>
      </c>
      <c r="F67" s="11">
        <f t="shared" si="0"/>
        <v>0</v>
      </c>
    </row>
    <row r="68" ht="19.5" customHeight="1" spans="1:6">
      <c r="A68" s="12" t="s">
        <v>139</v>
      </c>
      <c r="B68" s="13" t="s">
        <v>140</v>
      </c>
      <c r="C68" s="11">
        <v>0</v>
      </c>
      <c r="D68" s="11">
        <v>0</v>
      </c>
      <c r="E68" s="11">
        <v>0</v>
      </c>
      <c r="F68" s="11">
        <f t="shared" si="0"/>
        <v>0</v>
      </c>
    </row>
    <row r="69" ht="19.5" customHeight="1" spans="1:6">
      <c r="A69" s="9" t="s">
        <v>141</v>
      </c>
      <c r="B69" s="10" t="s">
        <v>142</v>
      </c>
      <c r="C69" s="11">
        <v>0</v>
      </c>
      <c r="D69" s="11">
        <v>0</v>
      </c>
      <c r="E69" s="11">
        <v>0</v>
      </c>
      <c r="F69" s="11">
        <f t="shared" ref="F69:F132" si="1">SUM(C69:E69)</f>
        <v>0</v>
      </c>
    </row>
    <row r="70" ht="19.5" customHeight="1" spans="1:6">
      <c r="A70" s="12" t="s">
        <v>143</v>
      </c>
      <c r="B70" s="13" t="s">
        <v>144</v>
      </c>
      <c r="C70" s="11">
        <v>0</v>
      </c>
      <c r="D70" s="11">
        <v>0</v>
      </c>
      <c r="E70" s="11">
        <v>7868.94</v>
      </c>
      <c r="F70" s="11">
        <f t="shared" si="1"/>
        <v>7868.94</v>
      </c>
    </row>
    <row r="71" ht="19.5" customHeight="1" spans="1:6">
      <c r="A71" s="12" t="s">
        <v>145</v>
      </c>
      <c r="B71" s="13" t="s">
        <v>146</v>
      </c>
      <c r="C71" s="11">
        <v>0</v>
      </c>
      <c r="D71" s="11">
        <v>0</v>
      </c>
      <c r="E71" s="11">
        <v>0</v>
      </c>
      <c r="F71" s="11">
        <f t="shared" si="1"/>
        <v>0</v>
      </c>
    </row>
    <row r="72" ht="19.5" customHeight="1" spans="1:6">
      <c r="A72" s="12" t="s">
        <v>147</v>
      </c>
      <c r="B72" s="13" t="s">
        <v>148</v>
      </c>
      <c r="C72" s="11">
        <v>0</v>
      </c>
      <c r="D72" s="11">
        <v>0</v>
      </c>
      <c r="E72" s="11">
        <v>0</v>
      </c>
      <c r="F72" s="11">
        <f t="shared" si="1"/>
        <v>0</v>
      </c>
    </row>
    <row r="73" ht="19.5" customHeight="1" spans="1:6">
      <c r="A73" s="12" t="s">
        <v>149</v>
      </c>
      <c r="B73" s="13" t="s">
        <v>150</v>
      </c>
      <c r="C73" s="11">
        <v>0</v>
      </c>
      <c r="D73" s="11">
        <v>0</v>
      </c>
      <c r="E73" s="11">
        <v>127274.99</v>
      </c>
      <c r="F73" s="11">
        <f t="shared" si="1"/>
        <v>127274.99</v>
      </c>
    </row>
    <row r="74" ht="19.5" customHeight="1" spans="1:6">
      <c r="A74" s="9" t="s">
        <v>151</v>
      </c>
      <c r="B74" s="10" t="s">
        <v>152</v>
      </c>
      <c r="C74" s="11">
        <v>0</v>
      </c>
      <c r="D74" s="11">
        <v>0</v>
      </c>
      <c r="E74" s="11">
        <v>4109.21</v>
      </c>
      <c r="F74" s="11">
        <f t="shared" si="1"/>
        <v>4109.21</v>
      </c>
    </row>
    <row r="75" ht="19.5" customHeight="1" spans="1:6">
      <c r="A75" s="12" t="s">
        <v>153</v>
      </c>
      <c r="B75" s="13" t="s">
        <v>154</v>
      </c>
      <c r="C75" s="11">
        <v>0</v>
      </c>
      <c r="D75" s="11">
        <v>0</v>
      </c>
      <c r="E75" s="11">
        <v>0</v>
      </c>
      <c r="F75" s="11">
        <f t="shared" si="1"/>
        <v>0</v>
      </c>
    </row>
    <row r="76" ht="19.5" customHeight="1" spans="1:6">
      <c r="A76" s="12" t="s">
        <v>155</v>
      </c>
      <c r="B76" s="13" t="s">
        <v>156</v>
      </c>
      <c r="C76" s="11">
        <v>0</v>
      </c>
      <c r="D76" s="11">
        <v>0</v>
      </c>
      <c r="E76" s="11">
        <v>0</v>
      </c>
      <c r="F76" s="11">
        <f t="shared" si="1"/>
        <v>0</v>
      </c>
    </row>
    <row r="77" ht="19.5" customHeight="1" spans="1:6">
      <c r="A77" s="12" t="s">
        <v>157</v>
      </c>
      <c r="B77" s="13" t="s">
        <v>158</v>
      </c>
      <c r="C77" s="11">
        <v>0</v>
      </c>
      <c r="D77" s="11">
        <v>0</v>
      </c>
      <c r="E77" s="11">
        <v>0</v>
      </c>
      <c r="F77" s="11">
        <f t="shared" si="1"/>
        <v>0</v>
      </c>
    </row>
    <row r="78" ht="19.5" customHeight="1" spans="1:6">
      <c r="A78" s="12" t="s">
        <v>159</v>
      </c>
      <c r="B78" s="13" t="s">
        <v>160</v>
      </c>
      <c r="C78" s="11">
        <v>0</v>
      </c>
      <c r="D78" s="11">
        <v>0</v>
      </c>
      <c r="E78" s="11">
        <v>0</v>
      </c>
      <c r="F78" s="11">
        <f t="shared" si="1"/>
        <v>0</v>
      </c>
    </row>
    <row r="79" ht="19.5" customHeight="1" spans="1:6">
      <c r="A79" s="9" t="s">
        <v>161</v>
      </c>
      <c r="B79" s="10" t="s">
        <v>162</v>
      </c>
      <c r="C79" s="11">
        <v>0</v>
      </c>
      <c r="D79" s="11">
        <v>0</v>
      </c>
      <c r="E79" s="11">
        <v>13662.32</v>
      </c>
      <c r="F79" s="11">
        <f t="shared" si="1"/>
        <v>13662.32</v>
      </c>
    </row>
    <row r="80" ht="19.5" customHeight="1" spans="1:6">
      <c r="A80" s="12" t="s">
        <v>163</v>
      </c>
      <c r="B80" s="13" t="s">
        <v>164</v>
      </c>
      <c r="C80" s="11">
        <v>0</v>
      </c>
      <c r="D80" s="11">
        <v>0</v>
      </c>
      <c r="E80" s="11">
        <v>13547.62</v>
      </c>
      <c r="F80" s="11">
        <f t="shared" si="1"/>
        <v>13547.62</v>
      </c>
    </row>
    <row r="81" ht="19.5" customHeight="1" spans="1:6">
      <c r="A81" s="12" t="s">
        <v>165</v>
      </c>
      <c r="B81" s="13" t="s">
        <v>166</v>
      </c>
      <c r="C81" s="11">
        <v>0</v>
      </c>
      <c r="D81" s="11">
        <v>0</v>
      </c>
      <c r="E81" s="11">
        <v>0</v>
      </c>
      <c r="F81" s="11">
        <f t="shared" si="1"/>
        <v>0</v>
      </c>
    </row>
    <row r="82" ht="19.5" customHeight="1" spans="1:6">
      <c r="A82" s="12" t="s">
        <v>167</v>
      </c>
      <c r="B82" s="13" t="s">
        <v>168</v>
      </c>
      <c r="C82" s="11">
        <v>0</v>
      </c>
      <c r="D82" s="11">
        <v>0</v>
      </c>
      <c r="E82" s="11">
        <v>0</v>
      </c>
      <c r="F82" s="11">
        <f t="shared" si="1"/>
        <v>0</v>
      </c>
    </row>
    <row r="83" ht="19.5" customHeight="1" spans="1:6">
      <c r="A83" s="12" t="s">
        <v>169</v>
      </c>
      <c r="B83" s="13" t="s">
        <v>170</v>
      </c>
      <c r="C83" s="11">
        <v>0</v>
      </c>
      <c r="D83" s="11">
        <v>0</v>
      </c>
      <c r="E83" s="11">
        <v>0</v>
      </c>
      <c r="F83" s="11">
        <f t="shared" si="1"/>
        <v>0</v>
      </c>
    </row>
    <row r="84" ht="19.5" customHeight="1" spans="1:6">
      <c r="A84" s="9" t="s">
        <v>171</v>
      </c>
      <c r="B84" s="10" t="s">
        <v>172</v>
      </c>
      <c r="C84" s="11">
        <v>0</v>
      </c>
      <c r="D84" s="11">
        <v>0</v>
      </c>
      <c r="E84" s="11">
        <v>0</v>
      </c>
      <c r="F84" s="11">
        <f t="shared" si="1"/>
        <v>0</v>
      </c>
    </row>
    <row r="85" ht="19.5" customHeight="1" spans="1:6">
      <c r="A85" s="12" t="s">
        <v>173</v>
      </c>
      <c r="B85" s="13" t="s">
        <v>174</v>
      </c>
      <c r="C85" s="11">
        <v>0</v>
      </c>
      <c r="D85" s="11">
        <v>0</v>
      </c>
      <c r="E85" s="11">
        <v>0</v>
      </c>
      <c r="F85" s="11">
        <f t="shared" si="1"/>
        <v>0</v>
      </c>
    </row>
    <row r="86" ht="19.5" customHeight="1" spans="1:6">
      <c r="A86" s="12" t="s">
        <v>175</v>
      </c>
      <c r="B86" s="13" t="s">
        <v>176</v>
      </c>
      <c r="C86" s="11">
        <v>0</v>
      </c>
      <c r="D86" s="11">
        <v>0</v>
      </c>
      <c r="E86" s="11">
        <v>0</v>
      </c>
      <c r="F86" s="11">
        <f t="shared" si="1"/>
        <v>0</v>
      </c>
    </row>
    <row r="87" ht="19.5" customHeight="1" spans="1:6">
      <c r="A87" s="12" t="s">
        <v>177</v>
      </c>
      <c r="B87" s="13" t="s">
        <v>178</v>
      </c>
      <c r="C87" s="11">
        <v>0</v>
      </c>
      <c r="D87" s="11">
        <v>0</v>
      </c>
      <c r="E87" s="11">
        <v>0</v>
      </c>
      <c r="F87" s="11">
        <f t="shared" si="1"/>
        <v>0</v>
      </c>
    </row>
    <row r="88" ht="19.5" customHeight="1" spans="1:6">
      <c r="A88" s="12" t="s">
        <v>179</v>
      </c>
      <c r="B88" s="13" t="s">
        <v>180</v>
      </c>
      <c r="C88" s="11">
        <v>0</v>
      </c>
      <c r="D88" s="11">
        <v>0</v>
      </c>
      <c r="E88" s="11">
        <v>0</v>
      </c>
      <c r="F88" s="11">
        <f t="shared" si="1"/>
        <v>0</v>
      </c>
    </row>
    <row r="89" ht="19.5" customHeight="1" spans="1:6">
      <c r="A89" s="9" t="s">
        <v>181</v>
      </c>
      <c r="B89" s="10" t="s">
        <v>182</v>
      </c>
      <c r="C89" s="11">
        <v>0</v>
      </c>
      <c r="D89" s="11">
        <v>0</v>
      </c>
      <c r="E89" s="11">
        <v>0</v>
      </c>
      <c r="F89" s="11">
        <f t="shared" si="1"/>
        <v>0</v>
      </c>
    </row>
    <row r="90" ht="19.5" customHeight="1" spans="1:6">
      <c r="A90" s="12" t="s">
        <v>183</v>
      </c>
      <c r="B90" s="13" t="s">
        <v>184</v>
      </c>
      <c r="C90" s="11">
        <v>0</v>
      </c>
      <c r="D90" s="11">
        <v>0</v>
      </c>
      <c r="E90" s="11">
        <v>0</v>
      </c>
      <c r="F90" s="11">
        <f t="shared" si="1"/>
        <v>0</v>
      </c>
    </row>
    <row r="91" ht="19.5" customHeight="1" spans="1:6">
      <c r="A91" s="12" t="s">
        <v>185</v>
      </c>
      <c r="B91" s="13" t="s">
        <v>186</v>
      </c>
      <c r="C91" s="11">
        <v>0</v>
      </c>
      <c r="D91" s="11">
        <v>0</v>
      </c>
      <c r="E91" s="11">
        <v>0</v>
      </c>
      <c r="F91" s="11">
        <f t="shared" si="1"/>
        <v>0</v>
      </c>
    </row>
    <row r="92" ht="19.5" customHeight="1" spans="1:6">
      <c r="A92" s="12" t="s">
        <v>187</v>
      </c>
      <c r="B92" s="13" t="s">
        <v>188</v>
      </c>
      <c r="C92" s="11">
        <v>0</v>
      </c>
      <c r="D92" s="11">
        <v>0</v>
      </c>
      <c r="E92" s="11">
        <v>0</v>
      </c>
      <c r="F92" s="11">
        <f t="shared" si="1"/>
        <v>0</v>
      </c>
    </row>
    <row r="93" ht="19.5" customHeight="1" spans="1:6">
      <c r="A93" s="12" t="s">
        <v>189</v>
      </c>
      <c r="B93" s="13" t="s">
        <v>190</v>
      </c>
      <c r="C93" s="11">
        <v>0</v>
      </c>
      <c r="D93" s="11">
        <v>0</v>
      </c>
      <c r="E93" s="11">
        <v>0</v>
      </c>
      <c r="F93" s="11">
        <f t="shared" si="1"/>
        <v>0</v>
      </c>
    </row>
    <row r="94" ht="19.5" customHeight="1" spans="1:6">
      <c r="A94" s="9" t="s">
        <v>191</v>
      </c>
      <c r="B94" s="10" t="s">
        <v>192</v>
      </c>
      <c r="C94" s="11">
        <v>0</v>
      </c>
      <c r="D94" s="11">
        <v>0</v>
      </c>
      <c r="E94" s="11">
        <v>0</v>
      </c>
      <c r="F94" s="11">
        <f t="shared" si="1"/>
        <v>0</v>
      </c>
    </row>
    <row r="95" ht="19.5" customHeight="1" spans="1:6">
      <c r="A95" s="12" t="s">
        <v>193</v>
      </c>
      <c r="B95" s="13" t="s">
        <v>194</v>
      </c>
      <c r="C95" s="11">
        <v>0</v>
      </c>
      <c r="D95" s="11">
        <v>0</v>
      </c>
      <c r="E95" s="11">
        <v>0</v>
      </c>
      <c r="F95" s="11">
        <f t="shared" si="1"/>
        <v>0</v>
      </c>
    </row>
    <row r="96" ht="19.5" customHeight="1" spans="1:6">
      <c r="A96" s="12" t="s">
        <v>195</v>
      </c>
      <c r="B96" s="13" t="s">
        <v>196</v>
      </c>
      <c r="C96" s="11">
        <v>0</v>
      </c>
      <c r="D96" s="11">
        <v>0</v>
      </c>
      <c r="E96" s="11">
        <v>0</v>
      </c>
      <c r="F96" s="11">
        <f t="shared" si="1"/>
        <v>0</v>
      </c>
    </row>
    <row r="97" ht="19.5" customHeight="1" spans="1:6">
      <c r="A97" s="12" t="s">
        <v>197</v>
      </c>
      <c r="B97" s="13" t="s">
        <v>198</v>
      </c>
      <c r="C97" s="11">
        <v>0</v>
      </c>
      <c r="D97" s="11">
        <v>0</v>
      </c>
      <c r="E97" s="11">
        <v>0</v>
      </c>
      <c r="F97" s="11">
        <f t="shared" si="1"/>
        <v>0</v>
      </c>
    </row>
    <row r="98" ht="19.5" customHeight="1" spans="1:6">
      <c r="A98" s="12" t="s">
        <v>199</v>
      </c>
      <c r="B98" s="13" t="s">
        <v>200</v>
      </c>
      <c r="C98" s="11">
        <v>0</v>
      </c>
      <c r="D98" s="11">
        <v>0</v>
      </c>
      <c r="E98" s="11">
        <v>0</v>
      </c>
      <c r="F98" s="11">
        <f t="shared" si="1"/>
        <v>0</v>
      </c>
    </row>
    <row r="99" ht="19.5" customHeight="1" spans="1:6">
      <c r="A99" s="9" t="s">
        <v>201</v>
      </c>
      <c r="B99" s="10" t="s">
        <v>202</v>
      </c>
      <c r="C99" s="11">
        <v>0</v>
      </c>
      <c r="D99" s="11">
        <v>0</v>
      </c>
      <c r="E99" s="11">
        <v>0</v>
      </c>
      <c r="F99" s="11">
        <f t="shared" si="1"/>
        <v>0</v>
      </c>
    </row>
    <row r="100" ht="19.5" customHeight="1" spans="1:6">
      <c r="A100" s="12" t="s">
        <v>203</v>
      </c>
      <c r="B100" s="13" t="s">
        <v>204</v>
      </c>
      <c r="C100" s="11">
        <v>0</v>
      </c>
      <c r="D100" s="11">
        <v>0</v>
      </c>
      <c r="E100" s="11">
        <v>0</v>
      </c>
      <c r="F100" s="11">
        <f t="shared" si="1"/>
        <v>0</v>
      </c>
    </row>
    <row r="101" ht="19.5" customHeight="1" spans="1:6">
      <c r="A101" s="12" t="s">
        <v>205</v>
      </c>
      <c r="B101" s="13" t="s">
        <v>206</v>
      </c>
      <c r="C101" s="11">
        <v>0</v>
      </c>
      <c r="D101" s="11">
        <v>0</v>
      </c>
      <c r="E101" s="11">
        <v>0</v>
      </c>
      <c r="F101" s="11">
        <f t="shared" si="1"/>
        <v>0</v>
      </c>
    </row>
    <row r="102" ht="19.5" customHeight="1" spans="1:6">
      <c r="A102" s="12" t="s">
        <v>207</v>
      </c>
      <c r="B102" s="13" t="s">
        <v>208</v>
      </c>
      <c r="C102" s="11">
        <v>0</v>
      </c>
      <c r="D102" s="11">
        <v>0</v>
      </c>
      <c r="E102" s="11">
        <v>0</v>
      </c>
      <c r="F102" s="11">
        <f t="shared" si="1"/>
        <v>0</v>
      </c>
    </row>
    <row r="103" ht="19.5" customHeight="1" spans="1:6">
      <c r="A103" s="12" t="s">
        <v>209</v>
      </c>
      <c r="B103" s="13" t="s">
        <v>210</v>
      </c>
      <c r="C103" s="11">
        <v>0</v>
      </c>
      <c r="D103" s="11">
        <v>0</v>
      </c>
      <c r="E103" s="11">
        <v>0</v>
      </c>
      <c r="F103" s="11">
        <f t="shared" si="1"/>
        <v>0</v>
      </c>
    </row>
    <row r="104" ht="19.5" customHeight="1" spans="1:6">
      <c r="A104" s="9" t="s">
        <v>211</v>
      </c>
      <c r="B104" s="10" t="s">
        <v>212</v>
      </c>
      <c r="C104" s="11">
        <v>0</v>
      </c>
      <c r="D104" s="11">
        <v>0</v>
      </c>
      <c r="E104" s="11">
        <v>0</v>
      </c>
      <c r="F104" s="11">
        <f t="shared" si="1"/>
        <v>0</v>
      </c>
    </row>
    <row r="105" ht="19.5" customHeight="1" spans="1:6">
      <c r="A105" s="12" t="s">
        <v>213</v>
      </c>
      <c r="B105" s="13" t="s">
        <v>214</v>
      </c>
      <c r="C105" s="11">
        <v>0</v>
      </c>
      <c r="D105" s="11">
        <v>0</v>
      </c>
      <c r="E105" s="11">
        <v>0</v>
      </c>
      <c r="F105" s="11">
        <f t="shared" si="1"/>
        <v>0</v>
      </c>
    </row>
    <row r="106" ht="19.5" customHeight="1" spans="1:6">
      <c r="A106" s="12" t="s">
        <v>215</v>
      </c>
      <c r="B106" s="13" t="s">
        <v>216</v>
      </c>
      <c r="C106" s="11">
        <v>0</v>
      </c>
      <c r="D106" s="11">
        <v>0</v>
      </c>
      <c r="E106" s="11">
        <v>0</v>
      </c>
      <c r="F106" s="11">
        <f t="shared" si="1"/>
        <v>0</v>
      </c>
    </row>
    <row r="107" ht="19.5" customHeight="1" spans="1:6">
      <c r="A107" s="12" t="s">
        <v>217</v>
      </c>
      <c r="B107" s="13" t="s">
        <v>218</v>
      </c>
      <c r="C107" s="11">
        <v>0</v>
      </c>
      <c r="D107" s="11">
        <v>0</v>
      </c>
      <c r="E107" s="11">
        <v>0</v>
      </c>
      <c r="F107" s="11">
        <f t="shared" si="1"/>
        <v>0</v>
      </c>
    </row>
    <row r="108" ht="19.5" customHeight="1" spans="1:6">
      <c r="A108" s="12" t="s">
        <v>219</v>
      </c>
      <c r="B108" s="13" t="s">
        <v>220</v>
      </c>
      <c r="C108" s="11">
        <v>0</v>
      </c>
      <c r="D108" s="11">
        <v>0</v>
      </c>
      <c r="E108" s="11">
        <v>0</v>
      </c>
      <c r="F108" s="11">
        <f t="shared" si="1"/>
        <v>0</v>
      </c>
    </row>
    <row r="109" ht="19.5" customHeight="1" spans="1:6">
      <c r="A109" s="9" t="s">
        <v>221</v>
      </c>
      <c r="B109" s="10" t="s">
        <v>222</v>
      </c>
      <c r="C109" s="11">
        <v>0</v>
      </c>
      <c r="D109" s="11">
        <v>0</v>
      </c>
      <c r="E109" s="11">
        <v>0</v>
      </c>
      <c r="F109" s="11">
        <f t="shared" si="1"/>
        <v>0</v>
      </c>
    </row>
    <row r="110" ht="19.5" customHeight="1" spans="1:6">
      <c r="A110" s="12" t="s">
        <v>223</v>
      </c>
      <c r="B110" s="13" t="s">
        <v>224</v>
      </c>
      <c r="C110" s="11">
        <v>0</v>
      </c>
      <c r="D110" s="11">
        <v>0</v>
      </c>
      <c r="E110" s="11">
        <v>0</v>
      </c>
      <c r="F110" s="11">
        <f t="shared" si="1"/>
        <v>0</v>
      </c>
    </row>
    <row r="111" ht="19.5" customHeight="1" spans="1:6">
      <c r="A111" s="12" t="s">
        <v>225</v>
      </c>
      <c r="B111" s="13" t="s">
        <v>226</v>
      </c>
      <c r="C111" s="11">
        <v>0</v>
      </c>
      <c r="D111" s="11">
        <v>0</v>
      </c>
      <c r="E111" s="11">
        <v>0</v>
      </c>
      <c r="F111" s="11">
        <f t="shared" si="1"/>
        <v>0</v>
      </c>
    </row>
    <row r="112" ht="19.5" customHeight="1" spans="1:6">
      <c r="A112" s="12" t="s">
        <v>227</v>
      </c>
      <c r="B112" s="13" t="s">
        <v>228</v>
      </c>
      <c r="C112" s="11">
        <v>0</v>
      </c>
      <c r="D112" s="11">
        <v>0</v>
      </c>
      <c r="E112" s="11">
        <v>0</v>
      </c>
      <c r="F112" s="11">
        <f t="shared" si="1"/>
        <v>0</v>
      </c>
    </row>
    <row r="113" ht="19.5" customHeight="1" spans="1:6">
      <c r="A113" s="12" t="s">
        <v>229</v>
      </c>
      <c r="B113" s="13" t="s">
        <v>230</v>
      </c>
      <c r="C113" s="11">
        <v>0</v>
      </c>
      <c r="D113" s="11">
        <v>0</v>
      </c>
      <c r="E113" s="11">
        <v>0</v>
      </c>
      <c r="F113" s="11">
        <f t="shared" si="1"/>
        <v>0</v>
      </c>
    </row>
    <row r="114" ht="19.5" customHeight="1" spans="1:6">
      <c r="A114" s="9" t="s">
        <v>231</v>
      </c>
      <c r="B114" s="10" t="s">
        <v>232</v>
      </c>
      <c r="C114" s="11">
        <v>0</v>
      </c>
      <c r="D114" s="11">
        <v>0</v>
      </c>
      <c r="E114" s="11">
        <v>0</v>
      </c>
      <c r="F114" s="11">
        <f t="shared" si="1"/>
        <v>0</v>
      </c>
    </row>
    <row r="115" ht="19.5" customHeight="1" spans="1:6">
      <c r="A115" s="12" t="s">
        <v>233</v>
      </c>
      <c r="B115" s="13" t="s">
        <v>234</v>
      </c>
      <c r="C115" s="11">
        <v>0</v>
      </c>
      <c r="D115" s="11">
        <v>0</v>
      </c>
      <c r="E115" s="11">
        <v>0</v>
      </c>
      <c r="F115" s="11">
        <f t="shared" si="1"/>
        <v>0</v>
      </c>
    </row>
    <row r="116" ht="19.5" customHeight="1" spans="1:6">
      <c r="A116" s="12" t="s">
        <v>235</v>
      </c>
      <c r="B116" s="13" t="s">
        <v>236</v>
      </c>
      <c r="C116" s="11">
        <v>0</v>
      </c>
      <c r="D116" s="11">
        <v>0</v>
      </c>
      <c r="E116" s="11">
        <v>0</v>
      </c>
      <c r="F116" s="11">
        <f t="shared" si="1"/>
        <v>0</v>
      </c>
    </row>
    <row r="117" ht="19.5" customHeight="1" spans="1:6">
      <c r="A117" s="12" t="s">
        <v>237</v>
      </c>
      <c r="B117" s="13" t="s">
        <v>238</v>
      </c>
      <c r="C117" s="11">
        <v>0</v>
      </c>
      <c r="D117" s="11">
        <v>0</v>
      </c>
      <c r="E117" s="11">
        <v>0</v>
      </c>
      <c r="F117" s="11">
        <f t="shared" si="1"/>
        <v>0</v>
      </c>
    </row>
    <row r="118" ht="19.5" customHeight="1" spans="1:6">
      <c r="A118" s="12" t="s">
        <v>239</v>
      </c>
      <c r="B118" s="13" t="s">
        <v>240</v>
      </c>
      <c r="C118" s="11">
        <v>0</v>
      </c>
      <c r="D118" s="11">
        <v>0</v>
      </c>
      <c r="E118" s="11">
        <v>0</v>
      </c>
      <c r="F118" s="11">
        <f t="shared" si="1"/>
        <v>0</v>
      </c>
    </row>
    <row r="119" ht="19.5" customHeight="1" spans="1:6">
      <c r="A119" s="9" t="s">
        <v>241</v>
      </c>
      <c r="B119" s="10" t="s">
        <v>242</v>
      </c>
      <c r="C119" s="11">
        <v>0</v>
      </c>
      <c r="D119" s="11">
        <v>0</v>
      </c>
      <c r="E119" s="11">
        <v>0</v>
      </c>
      <c r="F119" s="11">
        <f t="shared" si="1"/>
        <v>0</v>
      </c>
    </row>
    <row r="120" ht="19.5" customHeight="1" spans="1:6">
      <c r="A120" s="12" t="s">
        <v>243</v>
      </c>
      <c r="B120" s="13" t="s">
        <v>244</v>
      </c>
      <c r="C120" s="11">
        <v>0</v>
      </c>
      <c r="D120" s="11">
        <v>0</v>
      </c>
      <c r="E120" s="11">
        <v>0</v>
      </c>
      <c r="F120" s="11">
        <f t="shared" si="1"/>
        <v>0</v>
      </c>
    </row>
    <row r="121" ht="19.5" customHeight="1" spans="1:6">
      <c r="A121" s="12" t="s">
        <v>245</v>
      </c>
      <c r="B121" s="13" t="s">
        <v>246</v>
      </c>
      <c r="C121" s="11">
        <v>0</v>
      </c>
      <c r="D121" s="11">
        <v>0</v>
      </c>
      <c r="E121" s="11">
        <v>0</v>
      </c>
      <c r="F121" s="11">
        <f t="shared" si="1"/>
        <v>0</v>
      </c>
    </row>
    <row r="122" ht="19.5" customHeight="1" spans="1:6">
      <c r="A122" s="12" t="s">
        <v>247</v>
      </c>
      <c r="B122" s="13" t="s">
        <v>248</v>
      </c>
      <c r="C122" s="11">
        <v>0</v>
      </c>
      <c r="D122" s="11">
        <v>0</v>
      </c>
      <c r="E122" s="11">
        <v>0</v>
      </c>
      <c r="F122" s="11">
        <f t="shared" si="1"/>
        <v>0</v>
      </c>
    </row>
    <row r="123" ht="19.5" customHeight="1" spans="1:6">
      <c r="A123" s="12" t="s">
        <v>249</v>
      </c>
      <c r="B123" s="13" t="s">
        <v>250</v>
      </c>
      <c r="C123" s="11">
        <v>0</v>
      </c>
      <c r="D123" s="11">
        <v>0</v>
      </c>
      <c r="E123" s="11">
        <v>0</v>
      </c>
      <c r="F123" s="11">
        <f t="shared" si="1"/>
        <v>0</v>
      </c>
    </row>
    <row r="124" ht="19.5" customHeight="1" spans="1:6">
      <c r="A124" s="9" t="s">
        <v>251</v>
      </c>
      <c r="B124" s="10" t="s">
        <v>252</v>
      </c>
      <c r="C124" s="11">
        <v>0</v>
      </c>
      <c r="D124" s="11">
        <v>0</v>
      </c>
      <c r="E124" s="11">
        <v>0</v>
      </c>
      <c r="F124" s="11">
        <f t="shared" si="1"/>
        <v>0</v>
      </c>
    </row>
    <row r="125" ht="19.5" customHeight="1" spans="1:6">
      <c r="A125" s="12" t="s">
        <v>253</v>
      </c>
      <c r="B125" s="13" t="s">
        <v>254</v>
      </c>
      <c r="C125" s="11">
        <v>0</v>
      </c>
      <c r="D125" s="11">
        <v>0</v>
      </c>
      <c r="E125" s="11">
        <v>0</v>
      </c>
      <c r="F125" s="11">
        <f t="shared" si="1"/>
        <v>0</v>
      </c>
    </row>
    <row r="126" ht="19.5" customHeight="1" spans="1:6">
      <c r="A126" s="12" t="s">
        <v>255</v>
      </c>
      <c r="B126" s="13" t="s">
        <v>256</v>
      </c>
      <c r="C126" s="11">
        <v>0</v>
      </c>
      <c r="D126" s="11">
        <v>0</v>
      </c>
      <c r="E126" s="11">
        <v>0</v>
      </c>
      <c r="F126" s="11">
        <f t="shared" si="1"/>
        <v>0</v>
      </c>
    </row>
    <row r="127" ht="19.5" customHeight="1" spans="1:6">
      <c r="A127" s="12" t="s">
        <v>257</v>
      </c>
      <c r="B127" s="13" t="s">
        <v>258</v>
      </c>
      <c r="C127" s="11">
        <v>0</v>
      </c>
      <c r="D127" s="11">
        <v>0</v>
      </c>
      <c r="E127" s="11">
        <v>0</v>
      </c>
      <c r="F127" s="11">
        <f t="shared" si="1"/>
        <v>0</v>
      </c>
    </row>
    <row r="128" ht="19.5" customHeight="1" spans="1:6">
      <c r="A128" s="12" t="s">
        <v>259</v>
      </c>
      <c r="B128" s="13" t="s">
        <v>260</v>
      </c>
      <c r="C128" s="11">
        <v>0</v>
      </c>
      <c r="D128" s="11">
        <v>0</v>
      </c>
      <c r="E128" s="11">
        <v>0</v>
      </c>
      <c r="F128" s="11">
        <f t="shared" si="1"/>
        <v>0</v>
      </c>
    </row>
    <row r="129" ht="19.5" customHeight="1" spans="1:6">
      <c r="A129" s="9" t="s">
        <v>261</v>
      </c>
      <c r="B129" s="10" t="s">
        <v>262</v>
      </c>
      <c r="C129" s="11">
        <v>0</v>
      </c>
      <c r="D129" s="11">
        <v>0</v>
      </c>
      <c r="E129" s="11">
        <v>0</v>
      </c>
      <c r="F129" s="11">
        <f t="shared" si="1"/>
        <v>0</v>
      </c>
    </row>
    <row r="130" ht="19.5" customHeight="1" spans="1:6">
      <c r="A130" s="12" t="s">
        <v>263</v>
      </c>
      <c r="B130" s="13" t="s">
        <v>264</v>
      </c>
      <c r="C130" s="11">
        <v>0</v>
      </c>
      <c r="D130" s="11">
        <v>0</v>
      </c>
      <c r="E130" s="11">
        <v>0</v>
      </c>
      <c r="F130" s="11">
        <f t="shared" si="1"/>
        <v>0</v>
      </c>
    </row>
    <row r="131" ht="19.5" customHeight="1" spans="1:6">
      <c r="A131" s="12" t="s">
        <v>265</v>
      </c>
      <c r="B131" s="13" t="s">
        <v>266</v>
      </c>
      <c r="C131" s="11">
        <v>0</v>
      </c>
      <c r="D131" s="11">
        <v>0</v>
      </c>
      <c r="E131" s="11">
        <v>0</v>
      </c>
      <c r="F131" s="11">
        <f t="shared" si="1"/>
        <v>0</v>
      </c>
    </row>
    <row r="132" ht="19.5" customHeight="1" spans="1:6">
      <c r="A132" s="12" t="s">
        <v>267</v>
      </c>
      <c r="B132" s="13" t="s">
        <v>268</v>
      </c>
      <c r="C132" s="11">
        <v>0</v>
      </c>
      <c r="D132" s="11">
        <v>0</v>
      </c>
      <c r="E132" s="11">
        <v>0</v>
      </c>
      <c r="F132" s="11">
        <f t="shared" si="1"/>
        <v>0</v>
      </c>
    </row>
    <row r="133" ht="19.5" customHeight="1" spans="1:6">
      <c r="A133" s="12" t="s">
        <v>269</v>
      </c>
      <c r="B133" s="13" t="s">
        <v>270</v>
      </c>
      <c r="C133" s="11">
        <v>0</v>
      </c>
      <c r="D133" s="11">
        <v>0</v>
      </c>
      <c r="E133" s="11">
        <v>0</v>
      </c>
      <c r="F133" s="11">
        <f t="shared" ref="F133:F150" si="2">SUM(C133:E133)</f>
        <v>0</v>
      </c>
    </row>
    <row r="134" ht="19.5" customHeight="1" spans="1:6">
      <c r="A134" s="9" t="s">
        <v>271</v>
      </c>
      <c r="B134" s="10" t="s">
        <v>272</v>
      </c>
      <c r="C134" s="11">
        <v>0</v>
      </c>
      <c r="D134" s="11">
        <v>0</v>
      </c>
      <c r="E134" s="11">
        <v>0</v>
      </c>
      <c r="F134" s="11">
        <f t="shared" si="2"/>
        <v>0</v>
      </c>
    </row>
    <row r="135" ht="19.5" customHeight="1" spans="1:6">
      <c r="A135" s="12" t="s">
        <v>273</v>
      </c>
      <c r="B135" s="13" t="s">
        <v>274</v>
      </c>
      <c r="C135" s="11">
        <v>0</v>
      </c>
      <c r="D135" s="11">
        <v>1200</v>
      </c>
      <c r="E135" s="11">
        <v>3763.11</v>
      </c>
      <c r="F135" s="11">
        <f t="shared" si="2"/>
        <v>4963.11</v>
      </c>
    </row>
    <row r="136" ht="19.5" customHeight="1" spans="1:6">
      <c r="A136" s="12" t="s">
        <v>275</v>
      </c>
      <c r="B136" s="13" t="s">
        <v>276</v>
      </c>
      <c r="C136" s="11">
        <v>0</v>
      </c>
      <c r="D136" s="11">
        <v>0</v>
      </c>
      <c r="E136" s="11">
        <v>0</v>
      </c>
      <c r="F136" s="11">
        <f t="shared" si="2"/>
        <v>0</v>
      </c>
    </row>
    <row r="137" ht="19.5" customHeight="1" spans="1:6">
      <c r="A137" s="12" t="s">
        <v>277</v>
      </c>
      <c r="B137" s="13" t="s">
        <v>278</v>
      </c>
      <c r="C137" s="11">
        <v>0</v>
      </c>
      <c r="D137" s="11">
        <v>1500</v>
      </c>
      <c r="E137" s="11">
        <v>0</v>
      </c>
      <c r="F137" s="11">
        <f t="shared" si="2"/>
        <v>1500</v>
      </c>
    </row>
    <row r="138" s="1" customFormat="1" ht="19.5" customHeight="1" spans="1:6">
      <c r="A138" s="14" t="s">
        <v>279</v>
      </c>
      <c r="B138" s="15" t="s">
        <v>280</v>
      </c>
      <c r="C138" s="11">
        <v>0</v>
      </c>
      <c r="D138" s="11">
        <v>16527</v>
      </c>
      <c r="E138" s="11">
        <v>26325</v>
      </c>
      <c r="F138" s="11">
        <f t="shared" si="2"/>
        <v>42852</v>
      </c>
    </row>
    <row r="139" s="1" customFormat="1" ht="19.5" customHeight="1" spans="1:6">
      <c r="A139" s="14" t="s">
        <v>281</v>
      </c>
      <c r="B139" s="15" t="s">
        <v>282</v>
      </c>
      <c r="C139" s="11">
        <v>0</v>
      </c>
      <c r="D139" s="11">
        <v>0</v>
      </c>
      <c r="E139" s="11">
        <v>0</v>
      </c>
      <c r="F139" s="11">
        <f t="shared" si="2"/>
        <v>0</v>
      </c>
    </row>
    <row r="140" s="1" customFormat="1" ht="19.5" customHeight="1" spans="1:6">
      <c r="A140" s="16" t="s">
        <v>283</v>
      </c>
      <c r="B140" s="15" t="s">
        <v>284</v>
      </c>
      <c r="C140" s="11">
        <v>0</v>
      </c>
      <c r="D140" s="11">
        <v>5788</v>
      </c>
      <c r="E140" s="11">
        <v>72431.71</v>
      </c>
      <c r="F140" s="11">
        <f t="shared" si="2"/>
        <v>78219.71</v>
      </c>
    </row>
    <row r="141" s="1" customFormat="1" ht="31.5" customHeight="1" spans="1:6">
      <c r="A141" s="14" t="s">
        <v>285</v>
      </c>
      <c r="B141" s="15" t="s">
        <v>286</v>
      </c>
      <c r="C141" s="11">
        <v>0</v>
      </c>
      <c r="D141" s="11">
        <v>19480</v>
      </c>
      <c r="E141" s="11">
        <v>12782.25</v>
      </c>
      <c r="F141" s="11">
        <f t="shared" si="2"/>
        <v>32262.25</v>
      </c>
    </row>
    <row r="142" s="1" customFormat="1" ht="33" customHeight="1" spans="1:6">
      <c r="A142" s="65" t="s">
        <v>14</v>
      </c>
      <c r="B142" s="15" t="s">
        <v>287</v>
      </c>
      <c r="C142" s="11">
        <v>0</v>
      </c>
      <c r="D142" s="11">
        <v>4020</v>
      </c>
      <c r="E142" s="11">
        <v>45800.07</v>
      </c>
      <c r="F142" s="11">
        <f t="shared" si="2"/>
        <v>49820.07</v>
      </c>
    </row>
    <row r="143" s="2" customFormat="1" ht="19.5" customHeight="1" spans="1:15">
      <c r="A143" s="18" t="s">
        <v>288</v>
      </c>
      <c r="B143" s="19" t="s">
        <v>289</v>
      </c>
      <c r="C143" s="11">
        <v>0</v>
      </c>
      <c r="D143" s="11">
        <v>1210</v>
      </c>
      <c r="E143" s="11">
        <v>0</v>
      </c>
      <c r="F143" s="11">
        <f t="shared" si="2"/>
        <v>1210</v>
      </c>
      <c r="G143" s="20"/>
      <c r="H143" s="21"/>
      <c r="I143" s="21"/>
      <c r="J143" s="21"/>
      <c r="K143" s="21"/>
      <c r="L143" s="21"/>
      <c r="M143" s="21"/>
      <c r="N143" s="21"/>
      <c r="O143" s="21"/>
    </row>
    <row r="144" s="3" customFormat="1" ht="19.5" customHeight="1" spans="1:15">
      <c r="A144" s="22" t="s">
        <v>290</v>
      </c>
      <c r="B144" s="23" t="s">
        <v>291</v>
      </c>
      <c r="C144" s="11">
        <v>0</v>
      </c>
      <c r="D144" s="11">
        <v>87111</v>
      </c>
      <c r="E144" s="11">
        <v>0</v>
      </c>
      <c r="F144" s="11">
        <f t="shared" si="2"/>
        <v>87111</v>
      </c>
      <c r="G144" s="24"/>
      <c r="H144" s="24"/>
      <c r="I144" s="24"/>
      <c r="J144" s="24"/>
      <c r="K144" s="24"/>
      <c r="L144" s="24"/>
      <c r="M144" s="24"/>
      <c r="N144" s="24"/>
      <c r="O144" s="24"/>
    </row>
    <row r="145" s="3" customFormat="1" ht="19.5" customHeight="1" spans="1:15">
      <c r="A145" s="12" t="s">
        <v>292</v>
      </c>
      <c r="B145" s="25" t="s">
        <v>293</v>
      </c>
      <c r="C145" s="11">
        <v>0</v>
      </c>
      <c r="D145" s="11">
        <v>86898</v>
      </c>
      <c r="E145" s="11">
        <v>0</v>
      </c>
      <c r="F145" s="11">
        <f t="shared" si="2"/>
        <v>86898</v>
      </c>
      <c r="G145" s="24"/>
      <c r="H145" s="24"/>
      <c r="I145" s="24"/>
      <c r="J145" s="24"/>
      <c r="K145" s="24"/>
      <c r="L145" s="24"/>
      <c r="M145" s="24"/>
      <c r="N145" s="24"/>
      <c r="O145" s="24"/>
    </row>
    <row r="146" ht="19.5" customHeight="1" spans="1:6">
      <c r="A146" s="9" t="s">
        <v>294</v>
      </c>
      <c r="B146" s="10" t="s">
        <v>295</v>
      </c>
      <c r="C146" s="11">
        <v>0</v>
      </c>
      <c r="D146" s="11">
        <v>3240</v>
      </c>
      <c r="E146" s="11">
        <v>0</v>
      </c>
      <c r="F146" s="11">
        <f t="shared" si="2"/>
        <v>3240</v>
      </c>
    </row>
    <row r="147" ht="19.5" customHeight="1" spans="1:6">
      <c r="A147" s="12" t="s">
        <v>296</v>
      </c>
      <c r="B147" s="13" t="s">
        <v>297</v>
      </c>
      <c r="C147" s="11">
        <v>0</v>
      </c>
      <c r="D147" s="11">
        <v>18838</v>
      </c>
      <c r="E147" s="11">
        <v>36685.42</v>
      </c>
      <c r="F147" s="11">
        <f t="shared" si="2"/>
        <v>55523.42</v>
      </c>
    </row>
    <row r="148" ht="19.5" customHeight="1" spans="1:6">
      <c r="A148" s="12" t="s">
        <v>298</v>
      </c>
      <c r="B148" s="13" t="s">
        <v>299</v>
      </c>
      <c r="C148" s="11">
        <v>0</v>
      </c>
      <c r="D148" s="11">
        <v>0</v>
      </c>
      <c r="E148" s="11">
        <v>218187.32</v>
      </c>
      <c r="F148" s="11">
        <f t="shared" si="2"/>
        <v>218187.32</v>
      </c>
    </row>
    <row r="149" ht="19.5" customHeight="1" spans="1:6">
      <c r="A149" s="12" t="s">
        <v>300</v>
      </c>
      <c r="B149" s="13" t="s">
        <v>301</v>
      </c>
      <c r="C149" s="11">
        <v>0</v>
      </c>
      <c r="D149" s="11">
        <v>350</v>
      </c>
      <c r="E149" s="11">
        <v>120987.84</v>
      </c>
      <c r="F149" s="11">
        <f t="shared" si="2"/>
        <v>121337.84</v>
      </c>
    </row>
    <row r="150" ht="19.5" customHeight="1" spans="1:6">
      <c r="A150" s="12" t="s">
        <v>302</v>
      </c>
      <c r="B150" s="13" t="s">
        <v>303</v>
      </c>
      <c r="C150" s="11">
        <v>0</v>
      </c>
      <c r="D150" s="11">
        <v>1882</v>
      </c>
      <c r="E150" s="11">
        <v>33580.61</v>
      </c>
      <c r="F150" s="11">
        <f t="shared" si="2"/>
        <v>35462.61</v>
      </c>
    </row>
    <row r="151" ht="19.5" customHeight="1" spans="1:6">
      <c r="A151" s="9" t="s">
        <v>305</v>
      </c>
      <c r="B151" s="26"/>
      <c r="C151" s="11">
        <f>SUM(C4:C150)</f>
        <v>0</v>
      </c>
      <c r="D151" s="11">
        <f t="shared" ref="D151:F151" si="3">SUM(D4:D150)</f>
        <v>941498</v>
      </c>
      <c r="E151" s="11">
        <f t="shared" si="3"/>
        <v>5337662.76</v>
      </c>
      <c r="F151" s="11">
        <f t="shared" si="3"/>
        <v>6279160.76</v>
      </c>
    </row>
  </sheetData>
  <mergeCells count="2">
    <mergeCell ref="A1:F1"/>
    <mergeCell ref="A151:B15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对比数</vt:lpstr>
      <vt:lpstr>本年数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刘芳</cp:lastModifiedBy>
  <dcterms:created xsi:type="dcterms:W3CDTF">2021-10-27T02:02:00Z</dcterms:created>
  <cp:lastPrinted>2021-11-15T02:46:00Z</cp:lastPrinted>
  <dcterms:modified xsi:type="dcterms:W3CDTF">2021-11-15T03:00:01Z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5BC53118E97842288643EC9A3C28023F</vt:lpwstr>
  </property>
  <property fmtid="{D5CDD505-2E9C-101B-9397-08002B2CF9AE}" pid="3" name="KSOProductBuildVer">
    <vt:lpwstr>2052-11.1.0.10700</vt:lpwstr>
  </property>
</Properties>
</file>