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00" windowHeight="852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<sst xmlns="http://schemas.openxmlformats.org/spreadsheetml/2006/main" count="758" uniqueCount="380">
  <si>
    <t>2020年3月平潭综合实验区各单位三公经费统计表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</si>
  <si>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</si>
  <si>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</si>
  <si>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</si>
  <si>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</si>
  <si>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</si>
  <si>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</si>
  <si>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</si>
  <si>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</si>
  <si>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</si>
  <si>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</si>
  <si>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</si>
  <si>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</si>
  <si>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</si>
  <si>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</si>
  <si>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</si>
  <si>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</si>
  <si>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</si>
  <si>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</si>
  <si>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</si>
  <si>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</si>
  <si>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006001</t>
  </si>
  <si>
    <t>平潭综合实验区管委会台湾工作部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</si>
  <si>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</si>
  <si>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</si>
  <si>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</si>
  <si>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</si>
  <si>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</si>
  <si>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</si>
  <si>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026001</t>
  </si>
  <si>
    <t>平潭台胞台企服务中心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</si>
  <si>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</si>
  <si>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</si>
  <si>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</si>
  <si>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</si>
  <si>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</si>
  <si>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</si>
  <si>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</si>
  <si>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</si>
  <si>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</si>
  <si>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</si>
  <si>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</si>
  <si>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</si>
  <si>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</si>
  <si>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</si>
  <si>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</si>
  <si>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</si>
  <si>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</si>
  <si>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</si>
  <si>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</si>
  <si>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</si>
  <si>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</si>
  <si>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</si>
  <si>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</si>
  <si>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</si>
  <si>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</si>
  <si>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</si>
  <si>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033012</t>
  </si>
  <si>
    <t>社会服务管理指挥中心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</si>
  <si>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</si>
  <si>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</si>
  <si>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</si>
  <si>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</si>
  <si>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</si>
  <si>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</si>
  <si>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</si>
  <si>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</si>
  <si>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</si>
  <si>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</si>
  <si>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</si>
  <si>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</si>
  <si>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</si>
  <si>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</si>
  <si>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</si>
  <si>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</si>
  <si>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</si>
  <si>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</si>
  <si>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</si>
  <si>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</si>
  <si>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</si>
  <si>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</si>
  <si>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</si>
  <si>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</si>
  <si>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020001</t>
  </si>
  <si>
    <t>国有资产管理局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</si>
  <si>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</si>
  <si>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</si>
  <si>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</si>
  <si>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</si>
  <si>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</si>
  <si>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</si>
  <si>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</si>
  <si>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</si>
  <si>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</si>
  <si>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</si>
  <si>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</si>
  <si>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</si>
  <si>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</si>
  <si>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</si>
  <si>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</si>
  <si>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</si>
  <si>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</si>
  <si>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</si>
  <si>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033010</t>
  </si>
  <si>
    <t>区接待服务中心</t>
  </si>
  <si>
    <t>033011</t>
  </si>
  <si>
    <t>区机关事务服务中心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</si>
  <si>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</si>
  <si>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</si>
  <si>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</si>
  <si>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</si>
  <si>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</si>
  <si>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</si>
  <si>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036002</t>
  </si>
  <si>
    <t>平潭综合实验区风景名胜区管理局</t>
  </si>
  <si>
    <t>036003</t>
  </si>
  <si>
    <t>平潭综合实验区文化馆</t>
  </si>
  <si>
    <t>036004</t>
  </si>
  <si>
    <t>平潭综合实验区图书馆</t>
  </si>
  <si>
    <t>036005</t>
  </si>
  <si>
    <t>平潭综合实验区博物馆</t>
  </si>
  <si>
    <t>046006</t>
  </si>
  <si>
    <t>平潭综合实验区残联</t>
  </si>
  <si>
    <t>008001</t>
  </si>
  <si>
    <t>平潭综合实验区经济发展局</t>
  </si>
  <si>
    <t>032002</t>
  </si>
  <si>
    <t>物流服务中心</t>
  </si>
  <si>
    <t>032003</t>
  </si>
  <si>
    <t>平潭综合实验区经济社会调查队</t>
  </si>
  <si>
    <t>032004</t>
  </si>
  <si>
    <t>市场服务中心</t>
  </si>
  <si>
    <t>032005</t>
  </si>
  <si>
    <t>经贸服务中心</t>
  </si>
  <si>
    <t>032006</t>
  </si>
  <si>
    <t>平潭综合实验区口岸服务中心</t>
  </si>
  <si>
    <t>032007</t>
  </si>
  <si>
    <t>平潭综合实验区重点项目服务中心</t>
  </si>
  <si>
    <t>032008</t>
  </si>
  <si>
    <t>产业发展服务中心</t>
  </si>
  <si>
    <t>032009</t>
  </si>
  <si>
    <t>平潭综合实验区招商局</t>
  </si>
  <si>
    <t>018001</t>
  </si>
  <si>
    <t>区农村发展局本级</t>
  </si>
  <si>
    <t>018003</t>
  </si>
  <si>
    <t>区海洋渔业执法大队</t>
  </si>
  <si>
    <t>034002</t>
  </si>
  <si>
    <t>区农业机械管理站</t>
  </si>
  <si>
    <t>034003</t>
  </si>
  <si>
    <t>区动物卫生监督所</t>
  </si>
  <si>
    <t>034004</t>
  </si>
  <si>
    <t>区农村经营管理中心</t>
  </si>
  <si>
    <t>034005</t>
  </si>
  <si>
    <t>区农业技术服务中心</t>
  </si>
  <si>
    <t>034006</t>
  </si>
  <si>
    <t>平潭县供销合作联合社</t>
  </si>
  <si>
    <t>034008</t>
  </si>
  <si>
    <t>区海洋与渔业技术中心</t>
  </si>
  <si>
    <t>034009</t>
  </si>
  <si>
    <t>区水利综合服务中心</t>
  </si>
  <si>
    <t>034010</t>
  </si>
  <si>
    <t>区海洋与渔业海上应急指挥中心</t>
  </si>
  <si>
    <t>012001</t>
  </si>
  <si>
    <t>平潭综合实验区社会事业局</t>
  </si>
  <si>
    <t>029007</t>
  </si>
  <si>
    <t>平潭综合实验区军休所</t>
  </si>
  <si>
    <t>029005</t>
  </si>
  <si>
    <t>平潭综合实验区殡葬服务中心</t>
  </si>
  <si>
    <t>029006</t>
  </si>
  <si>
    <t>平潭综合实验区福利院</t>
  </si>
  <si>
    <t>029004</t>
  </si>
  <si>
    <t>平潭综合实验区残疾人服务中心</t>
  </si>
  <si>
    <t>029008</t>
  </si>
  <si>
    <t>平潭综合实验区仲裁院</t>
  </si>
  <si>
    <t>029003</t>
  </si>
  <si>
    <t>平潭综合实验区民政事务服务中心</t>
  </si>
  <si>
    <t>029012</t>
  </si>
  <si>
    <t>关心下一代工作委员会办公室</t>
  </si>
  <si>
    <t>029013</t>
  </si>
  <si>
    <t>平潭综合实验区未成年人思想道德建设中心</t>
  </si>
  <si>
    <t>029002</t>
  </si>
  <si>
    <t>平潭综合实验区为计生事务服务中心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</si>
  <si>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</si>
  <si>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</si>
  <si>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</si>
  <si>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</si>
  <si>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</si>
  <si>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</si>
  <si>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</si>
  <si>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</si>
  <si>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</si>
  <si>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</si>
  <si>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</si>
  <si>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</si>
  <si>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</si>
  <si>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</si>
  <si>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</si>
  <si>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</si>
  <si>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</si>
  <si>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</si>
  <si>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</si>
  <si>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</si>
  <si>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</si>
  <si>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</si>
  <si>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</si>
  <si>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</si>
  <si>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</si>
  <si>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</si>
  <si>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</si>
  <si>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</si>
  <si>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</si>
  <si>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</si>
  <si>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</si>
  <si>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</si>
  <si>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</si>
  <si>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</si>
  <si>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</si>
  <si>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</si>
  <si>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</si>
  <si>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</si>
  <si>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</si>
  <si>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</si>
  <si>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</si>
  <si>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</si>
  <si>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</si>
  <si>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</si>
  <si>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</si>
  <si>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</si>
  <si>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</si>
  <si>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</si>
  <si>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</si>
  <si>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</si>
  <si>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</si>
  <si>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</si>
  <si>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</si>
  <si>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</si>
  <si>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</si>
  <si>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</si>
  <si>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</si>
  <si>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</si>
  <si>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</si>
  <si>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</si>
  <si>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</si>
  <si>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</si>
  <si>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</si>
  <si>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</si>
  <si>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</si>
  <si>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</si>
  <si>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</si>
  <si>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</si>
  <si>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</si>
  <si>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</si>
  <si>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</si>
  <si>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</si>
  <si>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</si>
  <si>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</si>
  <si>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</si>
  <si>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</si>
  <si>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</si>
  <si>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</si>
  <si>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</si>
  <si>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</si>
  <si>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</si>
  <si>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</si>
  <si>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</si>
  <si>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</si>
  <si>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</si>
  <si>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</si>
  <si>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</si>
  <si>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</si>
  <si>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</si>
  <si>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</si>
  <si>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</si>
  <si>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</si>
  <si>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</si>
  <si>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</si>
  <si>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</si>
  <si>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</si>
  <si>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</si>
  <si>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</si>
  <si>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</si>
  <si>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</si>
  <si>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</si>
  <si>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</si>
  <si>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</si>
  <si>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</si>
  <si>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</si>
  <si>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</si>
  <si>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</si>
  <si>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</si>
  <si>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</si>
  <si>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</si>
  <si>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</si>
  <si>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</si>
  <si>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</si>
  <si>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</si>
  <si>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</si>
  <si>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</si>
  <si>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</si>
  <si>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</si>
  <si>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</si>
  <si>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</si>
  <si>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</si>
  <si>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</si>
  <si>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</si>
  <si>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</si>
  <si>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</si>
  <si>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</si>
  <si>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</si>
  <si>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</si>
  <si>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</si>
  <si>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</si>
  <si>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</si>
  <si>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</si>
  <si>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</si>
  <si>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</si>
  <si>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</si>
  <si>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</si>
  <si>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</si>
  <si>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</si>
  <si>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</si>
  <si>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</si>
  <si>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</si>
  <si>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</si>
  <si>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</si>
  <si>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</si>
  <si>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</si>
  <si>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</si>
  <si>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</si>
  <si>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</si>
  <si>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</si>
  <si>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</si>
  <si>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</si>
  <si>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</si>
  <si>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</si>
  <si>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</si>
  <si>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</si>
  <si>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</si>
  <si>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</si>
  <si>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</si>
  <si>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</si>
  <si>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</si>
  <si>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</si>
  <si>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</si>
  <si>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</si>
  <si>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</si>
  <si>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029009</t>
  </si>
  <si>
    <t>平潭综合实验区教育服务中心</t>
  </si>
  <si>
    <t>029010</t>
  </si>
  <si>
    <t>平潭综合实验区教育督导室</t>
  </si>
  <si>
    <t>029011</t>
  </si>
  <si>
    <t>平潭综合实验区教育考试中心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</si>
  <si>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</si>
  <si>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</si>
  <si>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</si>
  <si>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</si>
  <si>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</si>
  <si>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</si>
  <si>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</si>
  <si>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</si>
  <si>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</si>
  <si>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</si>
  <si>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</si>
  <si>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</si>
  <si>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</si>
  <si>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</si>
  <si>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</si>
  <si>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</si>
  <si>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</si>
  <si>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</si>
  <si>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</si>
  <si>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</si>
  <si>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</si>
  <si>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</si>
  <si>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发展研究中心</t>
  </si>
  <si>
    <t>金井片区管理局</t>
  </si>
  <si>
    <t>君山片区管理局</t>
  </si>
  <si>
    <t>苏平片区管理局</t>
  </si>
  <si>
    <t>海坛片区管理局</t>
  </si>
  <si>
    <t>合计</t>
  </si>
  <si>
    <t>平潭综合实验区2020年1-3月各单位三公经费统计表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</si>
</sst>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0"/>
      <name val="宋体"/>
      <charset val="134"/>
      <scheme val="major"/>
    </font>
    <font>
      <sz val="10"/>
      <color indexed="8"/>
      <name val="宋体"/>
      <charset val="134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7" fillId="2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30" fillId="16" borderId="10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0" borderId="0"/>
    <xf numFmtId="0" fontId="11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3" fontId="3" fillId="2" borderId="3" xfId="8" applyFont="1" applyFill="1" applyBorder="1" applyAlignment="1">
      <alignment horizontal="center" vertical="center" wrapText="1"/>
    </xf>
    <xf numFmtId="43" fontId="3" fillId="2" borderId="2" xfId="8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left" wrapText="1"/>
    </xf>
    <xf numFmtId="176" fontId="5" fillId="3" borderId="2" xfId="0" applyNumberFormat="1" applyFont="1" applyFill="1" applyBorder="1" applyAlignment="1" applyProtection="1">
      <alignment horizontal="right" vertical="center" shrinkToFit="1"/>
    </xf>
    <xf numFmtId="176" fontId="6" fillId="0" borderId="3" xfId="0" applyNumberFormat="1" applyFont="1" applyFill="1" applyBorder="1" applyAlignment="1" applyProtection="1">
      <alignment horizontal="right" vertical="center" wrapText="1"/>
    </xf>
    <xf numFmtId="176" fontId="6" fillId="0" borderId="2" xfId="0" applyNumberFormat="1" applyFont="1" applyBorder="1" applyAlignment="1">
      <alignment horizontal="right" vertical="center" wrapText="1"/>
    </xf>
    <xf numFmtId="176" fontId="6" fillId="0" borderId="2" xfId="0" applyNumberFormat="1" applyFont="1" applyFill="1" applyBorder="1" applyAlignment="1" applyProtection="1">
      <alignment horizontal="right" vertical="center" wrapText="1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76" fontId="5" fillId="3" borderId="2" xfId="0" applyNumberFormat="1" applyFont="1" applyFill="1" applyBorder="1" applyAlignment="1" applyProtection="1">
      <alignment horizontal="center" vertical="center" shrinkToFit="1"/>
    </xf>
    <xf numFmtId="176" fontId="5" fillId="3" borderId="2" xfId="0" applyNumberFormat="1" applyFont="1" applyFill="1" applyBorder="1" applyAlignment="1" applyProtection="1">
      <alignment horizontal="center" shrinkToFit="1"/>
    </xf>
    <xf numFmtId="176" fontId="5" fillId="3" borderId="2" xfId="0" applyNumberFormat="1" applyFont="1" applyFill="1" applyBorder="1" applyAlignment="1" applyProtection="1">
      <alignment horizontal="right" shrinkToFit="1"/>
    </xf>
    <xf numFmtId="176" fontId="6" fillId="0" borderId="2" xfId="0" applyNumberFormat="1" applyFont="1" applyBorder="1" applyAlignment="1">
      <alignment horizontal="right"/>
    </xf>
    <xf numFmtId="0" fontId="8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176" fontId="5" fillId="0" borderId="3" xfId="0" applyNumberFormat="1" applyFont="1" applyFill="1" applyBorder="1" applyAlignment="1" applyProtection="1">
      <alignment horizontal="right" vertical="center" wrapText="1"/>
    </xf>
    <xf numFmtId="176" fontId="5" fillId="0" borderId="2" xfId="0" applyNumberFormat="1" applyFont="1" applyBorder="1" applyAlignment="1">
      <alignment horizontal="right" wrapText="1"/>
    </xf>
    <xf numFmtId="176" fontId="9" fillId="2" borderId="2" xfId="0" applyNumberFormat="1" applyFont="1" applyFill="1" applyBorder="1" applyAlignment="1">
      <alignment horizontal="right" vertical="center" wrapText="1"/>
    </xf>
    <xf numFmtId="176" fontId="9" fillId="2" borderId="2" xfId="8" applyNumberFormat="1" applyFont="1" applyFill="1" applyBorder="1" applyAlignment="1">
      <alignment horizontal="right" vertical="center" wrapText="1"/>
    </xf>
    <xf numFmtId="176" fontId="4" fillId="3" borderId="2" xfId="0" applyNumberFormat="1" applyFont="1" applyFill="1" applyBorder="1" applyAlignment="1" applyProtection="1">
      <alignment horizontal="center" vertical="center" shrinkToFit="1"/>
    </xf>
    <xf numFmtId="176" fontId="7" fillId="2" borderId="2" xfId="0" applyNumberFormat="1" applyFont="1" applyFill="1" applyBorder="1" applyAlignment="1" applyProtection="1">
      <alignment horizontal="center" vertical="center" shrinkToFit="1"/>
    </xf>
    <xf numFmtId="176" fontId="7" fillId="0" borderId="3" xfId="0" applyNumberFormat="1" applyFont="1" applyFill="1" applyBorder="1" applyAlignment="1" applyProtection="1">
      <alignment horizontal="center" vertical="center" wrapText="1"/>
    </xf>
    <xf numFmtId="176" fontId="7" fillId="0" borderId="2" xfId="0" applyNumberFormat="1" applyFont="1" applyBorder="1" applyAlignment="1">
      <alignment horizontal="left" vertical="center" wrapText="1"/>
    </xf>
    <xf numFmtId="176" fontId="4" fillId="3" borderId="2" xfId="0" applyNumberFormat="1" applyFont="1" applyFill="1" applyBorder="1" applyAlignment="1" applyProtection="1">
      <alignment horizontal="right" shrinkToFit="1"/>
    </xf>
    <xf numFmtId="176" fontId="10" fillId="0" borderId="2" xfId="0" applyNumberFormat="1" applyFont="1" applyBorder="1" applyAlignment="1"/>
    <xf numFmtId="176" fontId="4" fillId="0" borderId="3" xfId="0" applyNumberFormat="1" applyFont="1" applyFill="1" applyBorder="1" applyAlignment="1" applyProtection="1">
      <alignment horizontal="center" vertical="center" wrapText="1"/>
    </xf>
    <xf numFmtId="176" fontId="4" fillId="0" borderId="2" xfId="0" applyNumberFormat="1" applyFont="1" applyBorder="1" applyAlignment="1">
      <alignment horizontal="left" wrapText="1"/>
    </xf>
    <xf numFmtId="176" fontId="9" fillId="2" borderId="2" xfId="0" applyNumberFormat="1" applyFont="1" applyFill="1" applyBorder="1" applyAlignment="1">
      <alignment vertical="center" wrapText="1"/>
    </xf>
    <xf numFmtId="176" fontId="9" fillId="2" borderId="2" xfId="8" applyNumberFormat="1" applyFont="1" applyFill="1" applyBorder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千位分隔 2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2"/>
  <sheetViews>
    <sheetView topLeftCell="C162" workbookViewId="0">
      <selection activeCell="C162" sqref="$A1:$XFD1048576"/>
    </sheetView>
  </sheetViews>
  <sheetFormatPr defaultColWidth="9" defaultRowHeight="13.5"/>
  <cols>
    <col min="2" max="2" width="29.5" customWidth="1"/>
    <col min="3" max="3" width="13.125" customWidth="1"/>
    <col min="4" max="4" width="12.25" customWidth="1"/>
    <col min="5" max="5" width="13.125" customWidth="1"/>
    <col min="6" max="6" width="12" customWidth="1"/>
    <col min="7" max="7" width="11.875" customWidth="1"/>
    <col min="8" max="8" width="12.375" customWidth="1"/>
    <col min="9" max="9" width="12.25" customWidth="1"/>
    <col min="10" max="10" width="13.375" customWidth="1"/>
    <col min="11" max="12" width="13.5" customWidth="1"/>
    <col min="13" max="13" width="11.875" customWidth="1"/>
    <col min="14" max="14" width="16" customWidth="1"/>
  </cols>
  <sheetData>
    <row r="1" ht="22.5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4" t="s">
        <v>1</v>
      </c>
      <c r="B2" s="4" t="s">
        <v>2</v>
      </c>
      <c r="C2" s="6" t="s">
        <v>3</v>
      </c>
      <c r="D2" s="6"/>
      <c r="E2" s="6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</row>
    <row r="3" spans="1:14">
      <c r="A3" s="7" t="s">
        <v>7</v>
      </c>
      <c r="B3" s="8" t="s">
        <v>8</v>
      </c>
      <c r="C3" s="25">
        <v>0</v>
      </c>
      <c r="D3" s="25">
        <v>0</v>
      </c>
      <c r="E3" s="25">
        <f>D3-C3</f>
        <v>0</v>
      </c>
      <c r="F3" s="26">
        <v>27834</v>
      </c>
      <c r="G3" s="27">
        <v>4580</v>
      </c>
      <c r="H3" s="28">
        <f>G3-F3</f>
        <v>-23254</v>
      </c>
      <c r="I3" s="27">
        <v>20644.8</v>
      </c>
      <c r="J3" s="28">
        <v>0</v>
      </c>
      <c r="K3" s="27">
        <f>J3-I3</f>
        <v>-20644.8</v>
      </c>
      <c r="L3" s="28">
        <f>C3+F3+I3</f>
        <v>48478.8</v>
      </c>
      <c r="M3" s="27">
        <f>D3+G3+J3</f>
        <v>4580</v>
      </c>
      <c r="N3" s="28">
        <f>M3-L3</f>
        <v>-43898.8</v>
      </c>
    </row>
    <row r="4" spans="1:14">
      <c r="A4" s="13" t="s">
        <v>9</v>
      </c>
      <c r="B4" s="14" t="s">
        <v>10</v>
      </c>
      <c r="C4" s="25">
        <v>0</v>
      </c>
      <c r="D4" s="25">
        <v>0</v>
      </c>
      <c r="E4" s="25">
        <f t="shared" ref="E4:E67" si="0">D4-C4</f>
        <v>0</v>
      </c>
      <c r="F4" s="26">
        <v>0</v>
      </c>
      <c r="G4" s="27">
        <v>0</v>
      </c>
      <c r="H4" s="28">
        <f t="shared" ref="H4:H67" si="1">G4-F4</f>
        <v>0</v>
      </c>
      <c r="I4" s="27">
        <v>1083</v>
      </c>
      <c r="J4" s="28">
        <v>0</v>
      </c>
      <c r="K4" s="27">
        <f t="shared" ref="K4:K67" si="2">J4-I4</f>
        <v>-1083</v>
      </c>
      <c r="L4" s="28">
        <f t="shared" ref="L4:L67" si="3">C4+F4+I4</f>
        <v>1083</v>
      </c>
      <c r="M4" s="27">
        <f t="shared" ref="M4:M67" si="4">D4+G4+J4</f>
        <v>0</v>
      </c>
      <c r="N4" s="28">
        <f t="shared" ref="N4:N67" si="5">M4-L4</f>
        <v>-1083</v>
      </c>
    </row>
    <row r="5" spans="1:14">
      <c r="A5" s="13" t="s">
        <v>11</v>
      </c>
      <c r="B5" s="14" t="s">
        <v>12</v>
      </c>
      <c r="C5" s="25">
        <v>0</v>
      </c>
      <c r="D5" s="25">
        <v>0</v>
      </c>
      <c r="E5" s="25">
        <f t="shared" si="0"/>
        <v>0</v>
      </c>
      <c r="F5" s="26">
        <v>4120</v>
      </c>
      <c r="G5" s="27">
        <v>1600</v>
      </c>
      <c r="H5" s="28">
        <f t="shared" si="1"/>
        <v>-2520</v>
      </c>
      <c r="I5" s="27">
        <v>46017.8</v>
      </c>
      <c r="J5" s="28">
        <v>32549.34</v>
      </c>
      <c r="K5" s="27">
        <f t="shared" si="2"/>
        <v>-13468.46</v>
      </c>
      <c r="L5" s="28">
        <f t="shared" si="3"/>
        <v>50137.8</v>
      </c>
      <c r="M5" s="27">
        <f t="shared" si="4"/>
        <v>34149.34</v>
      </c>
      <c r="N5" s="28">
        <f t="shared" si="5"/>
        <v>-15988.46</v>
      </c>
    </row>
    <row r="6" spans="1:14">
      <c r="A6" s="13" t="s">
        <v>13</v>
      </c>
      <c r="B6" s="14" t="s">
        <v>14</v>
      </c>
      <c r="C6" s="25">
        <v>0</v>
      </c>
      <c r="D6" s="25">
        <v>0</v>
      </c>
      <c r="E6" s="25">
        <f t="shared" si="0"/>
        <v>0</v>
      </c>
      <c r="F6" s="26">
        <v>0</v>
      </c>
      <c r="G6" s="27">
        <v>0</v>
      </c>
      <c r="H6" s="28">
        <f t="shared" si="1"/>
        <v>0</v>
      </c>
      <c r="I6" s="27">
        <v>0</v>
      </c>
      <c r="J6" s="28">
        <v>0</v>
      </c>
      <c r="K6" s="27">
        <f t="shared" si="2"/>
        <v>0</v>
      </c>
      <c r="L6" s="28">
        <f t="shared" si="3"/>
        <v>0</v>
      </c>
      <c r="M6" s="27">
        <f t="shared" si="4"/>
        <v>0</v>
      </c>
      <c r="N6" s="28">
        <f t="shared" si="5"/>
        <v>0</v>
      </c>
    </row>
    <row r="7" spans="1:14">
      <c r="A7" s="13" t="s">
        <v>15</v>
      </c>
      <c r="B7" s="14" t="s">
        <v>16</v>
      </c>
      <c r="C7" s="29">
        <v>0</v>
      </c>
      <c r="D7" s="29">
        <v>17874</v>
      </c>
      <c r="E7" s="25">
        <f t="shared" si="0"/>
        <v>17874</v>
      </c>
      <c r="F7" s="29">
        <v>118076.5</v>
      </c>
      <c r="G7" s="29">
        <v>183407</v>
      </c>
      <c r="H7" s="28">
        <f t="shared" si="1"/>
        <v>65330.5</v>
      </c>
      <c r="I7" s="29">
        <v>38968.6</v>
      </c>
      <c r="J7" s="29">
        <v>183736.55</v>
      </c>
      <c r="K7" s="27">
        <f t="shared" si="2"/>
        <v>144767.95</v>
      </c>
      <c r="L7" s="28">
        <f t="shared" si="3"/>
        <v>157045.1</v>
      </c>
      <c r="M7" s="27">
        <f t="shared" si="4"/>
        <v>385017.55</v>
      </c>
      <c r="N7" s="28">
        <f t="shared" si="5"/>
        <v>227972.45</v>
      </c>
    </row>
    <row r="8" spans="1:14">
      <c r="A8" s="7" t="s">
        <v>17</v>
      </c>
      <c r="B8" s="8" t="s">
        <v>18</v>
      </c>
      <c r="C8" s="25">
        <v>0</v>
      </c>
      <c r="D8" s="25">
        <v>0</v>
      </c>
      <c r="E8" s="25">
        <f t="shared" si="0"/>
        <v>0</v>
      </c>
      <c r="F8" s="26">
        <v>0</v>
      </c>
      <c r="G8" s="30">
        <v>0</v>
      </c>
      <c r="H8" s="28">
        <f t="shared" si="1"/>
        <v>0</v>
      </c>
      <c r="I8" s="30">
        <v>15331.82</v>
      </c>
      <c r="J8" s="30">
        <v>15246.51</v>
      </c>
      <c r="K8" s="27">
        <f t="shared" si="2"/>
        <v>-85.3099999999995</v>
      </c>
      <c r="L8" s="28">
        <f t="shared" si="3"/>
        <v>15331.82</v>
      </c>
      <c r="M8" s="27">
        <f t="shared" si="4"/>
        <v>15246.51</v>
      </c>
      <c r="N8" s="28">
        <f t="shared" si="5"/>
        <v>-85.3099999999995</v>
      </c>
    </row>
    <row r="9" spans="1:14">
      <c r="A9" s="13" t="s">
        <v>19</v>
      </c>
      <c r="B9" s="14" t="s">
        <v>20</v>
      </c>
      <c r="C9" s="25">
        <v>0</v>
      </c>
      <c r="D9" s="25">
        <v>0</v>
      </c>
      <c r="E9" s="25">
        <f t="shared" si="0"/>
        <v>0</v>
      </c>
      <c r="F9" s="26">
        <v>46271</v>
      </c>
      <c r="G9" s="27">
        <v>14750</v>
      </c>
      <c r="H9" s="28">
        <f t="shared" si="1"/>
        <v>-31521</v>
      </c>
      <c r="I9" s="27">
        <v>126</v>
      </c>
      <c r="J9" s="28">
        <v>0</v>
      </c>
      <c r="K9" s="27">
        <f t="shared" si="2"/>
        <v>-126</v>
      </c>
      <c r="L9" s="28">
        <f t="shared" si="3"/>
        <v>46397</v>
      </c>
      <c r="M9" s="27">
        <f t="shared" si="4"/>
        <v>14750</v>
      </c>
      <c r="N9" s="28">
        <f t="shared" si="5"/>
        <v>-31647</v>
      </c>
    </row>
    <row r="10" spans="1:14">
      <c r="A10" s="13" t="s">
        <v>21</v>
      </c>
      <c r="B10" s="14" t="s">
        <v>22</v>
      </c>
      <c r="C10" s="25">
        <v>0</v>
      </c>
      <c r="D10" s="25">
        <v>0</v>
      </c>
      <c r="E10" s="25">
        <f t="shared" si="0"/>
        <v>0</v>
      </c>
      <c r="F10" s="26">
        <v>21801</v>
      </c>
      <c r="G10" s="27">
        <v>0</v>
      </c>
      <c r="H10" s="28">
        <f t="shared" si="1"/>
        <v>-21801</v>
      </c>
      <c r="I10" s="27">
        <v>0</v>
      </c>
      <c r="J10" s="28">
        <v>0</v>
      </c>
      <c r="K10" s="27">
        <f t="shared" si="2"/>
        <v>0</v>
      </c>
      <c r="L10" s="28">
        <f t="shared" si="3"/>
        <v>21801</v>
      </c>
      <c r="M10" s="27">
        <f t="shared" si="4"/>
        <v>0</v>
      </c>
      <c r="N10" s="28">
        <f t="shared" si="5"/>
        <v>-21801</v>
      </c>
    </row>
    <row r="11" spans="1:14">
      <c r="A11" s="13" t="s">
        <v>23</v>
      </c>
      <c r="B11" s="14" t="s">
        <v>24</v>
      </c>
      <c r="C11" s="25">
        <v>0</v>
      </c>
      <c r="D11" s="25">
        <v>0</v>
      </c>
      <c r="E11" s="25">
        <f t="shared" si="0"/>
        <v>0</v>
      </c>
      <c r="F11" s="26">
        <v>0</v>
      </c>
      <c r="G11" s="27">
        <v>0</v>
      </c>
      <c r="H11" s="28">
        <f t="shared" si="1"/>
        <v>0</v>
      </c>
      <c r="I11" s="27">
        <v>0</v>
      </c>
      <c r="J11" s="28">
        <v>0</v>
      </c>
      <c r="K11" s="27">
        <f t="shared" si="2"/>
        <v>0</v>
      </c>
      <c r="L11" s="28">
        <f t="shared" si="3"/>
        <v>0</v>
      </c>
      <c r="M11" s="27">
        <f t="shared" si="4"/>
        <v>0</v>
      </c>
      <c r="N11" s="28">
        <f t="shared" si="5"/>
        <v>0</v>
      </c>
    </row>
    <row r="12" spans="1:14">
      <c r="A12" s="13" t="s">
        <v>25</v>
      </c>
      <c r="B12" s="14" t="s">
        <v>26</v>
      </c>
      <c r="C12" s="25">
        <v>2520</v>
      </c>
      <c r="D12" s="25">
        <v>0</v>
      </c>
      <c r="E12" s="25">
        <f t="shared" si="0"/>
        <v>-2520</v>
      </c>
      <c r="F12" s="26">
        <v>14570</v>
      </c>
      <c r="G12" s="27">
        <v>8669</v>
      </c>
      <c r="H12" s="28">
        <f t="shared" si="1"/>
        <v>-5901</v>
      </c>
      <c r="I12" s="27">
        <v>0</v>
      </c>
      <c r="J12" s="28">
        <v>0</v>
      </c>
      <c r="K12" s="27">
        <f t="shared" si="2"/>
        <v>0</v>
      </c>
      <c r="L12" s="28">
        <f t="shared" si="3"/>
        <v>17090</v>
      </c>
      <c r="M12" s="27">
        <f t="shared" si="4"/>
        <v>8669</v>
      </c>
      <c r="N12" s="28">
        <f t="shared" si="5"/>
        <v>-8421</v>
      </c>
    </row>
    <row r="13" spans="1:14">
      <c r="A13" s="19" t="s">
        <v>27</v>
      </c>
      <c r="B13" s="19" t="s">
        <v>28</v>
      </c>
      <c r="C13" s="29">
        <v>0</v>
      </c>
      <c r="D13" s="29">
        <v>0</v>
      </c>
      <c r="E13" s="25">
        <f t="shared" si="0"/>
        <v>0</v>
      </c>
      <c r="F13" s="29">
        <v>780</v>
      </c>
      <c r="G13" s="29">
        <v>0</v>
      </c>
      <c r="H13" s="28">
        <f t="shared" si="1"/>
        <v>-780</v>
      </c>
      <c r="I13" s="29">
        <v>0</v>
      </c>
      <c r="J13" s="29">
        <v>0</v>
      </c>
      <c r="K13" s="27">
        <f t="shared" si="2"/>
        <v>0</v>
      </c>
      <c r="L13" s="28">
        <f t="shared" si="3"/>
        <v>780</v>
      </c>
      <c r="M13" s="27">
        <f t="shared" si="4"/>
        <v>0</v>
      </c>
      <c r="N13" s="28">
        <f t="shared" si="5"/>
        <v>-780</v>
      </c>
    </row>
    <row r="14" spans="1:14">
      <c r="A14" s="7" t="s">
        <v>29</v>
      </c>
      <c r="B14" s="8" t="s">
        <v>30</v>
      </c>
      <c r="C14" s="25">
        <v>0</v>
      </c>
      <c r="D14" s="25">
        <v>0</v>
      </c>
      <c r="E14" s="25">
        <f t="shared" si="0"/>
        <v>0</v>
      </c>
      <c r="F14" s="26">
        <v>0</v>
      </c>
      <c r="G14" s="30">
        <v>0</v>
      </c>
      <c r="H14" s="28">
        <f t="shared" si="1"/>
        <v>0</v>
      </c>
      <c r="I14" s="30">
        <v>0</v>
      </c>
      <c r="J14" s="30">
        <v>0</v>
      </c>
      <c r="K14" s="27">
        <f t="shared" si="2"/>
        <v>0</v>
      </c>
      <c r="L14" s="28">
        <f t="shared" si="3"/>
        <v>0</v>
      </c>
      <c r="M14" s="27">
        <f t="shared" si="4"/>
        <v>0</v>
      </c>
      <c r="N14" s="28">
        <f t="shared" si="5"/>
        <v>0</v>
      </c>
    </row>
    <row r="15" spans="1:14">
      <c r="A15" s="13" t="s">
        <v>31</v>
      </c>
      <c r="B15" s="14" t="s">
        <v>32</v>
      </c>
      <c r="C15" s="25">
        <v>0</v>
      </c>
      <c r="D15" s="25">
        <v>0</v>
      </c>
      <c r="E15" s="25">
        <f t="shared" si="0"/>
        <v>0</v>
      </c>
      <c r="F15" s="26">
        <v>0</v>
      </c>
      <c r="G15" s="27">
        <v>0</v>
      </c>
      <c r="H15" s="28">
        <f t="shared" si="1"/>
        <v>0</v>
      </c>
      <c r="I15" s="27">
        <v>6205</v>
      </c>
      <c r="J15" s="28">
        <v>532.04</v>
      </c>
      <c r="K15" s="27">
        <f t="shared" si="2"/>
        <v>-5672.96</v>
      </c>
      <c r="L15" s="28">
        <f t="shared" si="3"/>
        <v>6205</v>
      </c>
      <c r="M15" s="27">
        <f t="shared" si="4"/>
        <v>532.04</v>
      </c>
      <c r="N15" s="28">
        <f t="shared" si="5"/>
        <v>-5672.96</v>
      </c>
    </row>
    <row r="16" spans="1:14">
      <c r="A16" s="13" t="s">
        <v>33</v>
      </c>
      <c r="B16" s="14" t="s">
        <v>34</v>
      </c>
      <c r="C16" s="25">
        <v>0</v>
      </c>
      <c r="D16" s="25">
        <v>0</v>
      </c>
      <c r="E16" s="25">
        <f t="shared" si="0"/>
        <v>0</v>
      </c>
      <c r="F16" s="26">
        <v>750</v>
      </c>
      <c r="G16" s="27">
        <v>750</v>
      </c>
      <c r="H16" s="28">
        <f t="shared" si="1"/>
        <v>0</v>
      </c>
      <c r="I16" s="27">
        <v>18747.85</v>
      </c>
      <c r="J16" s="28">
        <v>19587</v>
      </c>
      <c r="K16" s="27">
        <f t="shared" si="2"/>
        <v>839.150000000001</v>
      </c>
      <c r="L16" s="28">
        <f t="shared" si="3"/>
        <v>19497.85</v>
      </c>
      <c r="M16" s="27">
        <f t="shared" si="4"/>
        <v>20337</v>
      </c>
      <c r="N16" s="28">
        <f t="shared" si="5"/>
        <v>839.150000000001</v>
      </c>
    </row>
    <row r="17" spans="1:14">
      <c r="A17" s="13" t="s">
        <v>35</v>
      </c>
      <c r="B17" s="14" t="s">
        <v>36</v>
      </c>
      <c r="C17" s="25">
        <v>16180</v>
      </c>
      <c r="D17" s="25">
        <v>0</v>
      </c>
      <c r="E17" s="25">
        <f t="shared" si="0"/>
        <v>-16180</v>
      </c>
      <c r="F17" s="26">
        <v>0</v>
      </c>
      <c r="G17" s="27">
        <v>0</v>
      </c>
      <c r="H17" s="28">
        <f t="shared" si="1"/>
        <v>0</v>
      </c>
      <c r="I17" s="27">
        <v>3715</v>
      </c>
      <c r="J17" s="28">
        <v>6438.18</v>
      </c>
      <c r="K17" s="27">
        <f t="shared" si="2"/>
        <v>2723.18</v>
      </c>
      <c r="L17" s="28">
        <f t="shared" si="3"/>
        <v>19895</v>
      </c>
      <c r="M17" s="27">
        <f t="shared" si="4"/>
        <v>6438.18</v>
      </c>
      <c r="N17" s="28">
        <f t="shared" si="5"/>
        <v>-13456.82</v>
      </c>
    </row>
    <row r="18" spans="1:14">
      <c r="A18" s="13" t="s">
        <v>37</v>
      </c>
      <c r="B18" s="14" t="s">
        <v>38</v>
      </c>
      <c r="C18" s="25">
        <v>0</v>
      </c>
      <c r="D18" s="25">
        <v>0</v>
      </c>
      <c r="E18" s="25">
        <f t="shared" si="0"/>
        <v>0</v>
      </c>
      <c r="F18" s="26">
        <v>0</v>
      </c>
      <c r="G18" s="27">
        <v>0</v>
      </c>
      <c r="H18" s="28">
        <f t="shared" si="1"/>
        <v>0</v>
      </c>
      <c r="I18" s="27">
        <v>0</v>
      </c>
      <c r="J18" s="28">
        <v>0</v>
      </c>
      <c r="K18" s="27">
        <f t="shared" si="2"/>
        <v>0</v>
      </c>
      <c r="L18" s="28">
        <f t="shared" si="3"/>
        <v>0</v>
      </c>
      <c r="M18" s="27">
        <f t="shared" si="4"/>
        <v>0</v>
      </c>
      <c r="N18" s="28">
        <f t="shared" si="5"/>
        <v>0</v>
      </c>
    </row>
    <row r="19" spans="1:14">
      <c r="A19" s="7" t="s">
        <v>39</v>
      </c>
      <c r="B19" s="8" t="s">
        <v>40</v>
      </c>
      <c r="C19" s="29">
        <v>0</v>
      </c>
      <c r="D19" s="29">
        <v>0</v>
      </c>
      <c r="E19" s="25">
        <f t="shared" si="0"/>
        <v>0</v>
      </c>
      <c r="F19" s="29">
        <v>0</v>
      </c>
      <c r="G19" s="29">
        <v>0</v>
      </c>
      <c r="H19" s="28">
        <f t="shared" si="1"/>
        <v>0</v>
      </c>
      <c r="I19" s="29">
        <v>0</v>
      </c>
      <c r="J19" s="29">
        <v>0</v>
      </c>
      <c r="K19" s="27">
        <f t="shared" si="2"/>
        <v>0</v>
      </c>
      <c r="L19" s="28">
        <f t="shared" si="3"/>
        <v>0</v>
      </c>
      <c r="M19" s="27">
        <f t="shared" si="4"/>
        <v>0</v>
      </c>
      <c r="N19" s="28">
        <f t="shared" si="5"/>
        <v>0</v>
      </c>
    </row>
    <row r="20" spans="1:14">
      <c r="A20" s="13" t="s">
        <v>41</v>
      </c>
      <c r="B20" s="14" t="s">
        <v>42</v>
      </c>
      <c r="C20" s="25">
        <v>0</v>
      </c>
      <c r="D20" s="25">
        <v>0</v>
      </c>
      <c r="E20" s="25">
        <f t="shared" si="0"/>
        <v>0</v>
      </c>
      <c r="F20" s="26">
        <v>0</v>
      </c>
      <c r="G20" s="30">
        <v>0</v>
      </c>
      <c r="H20" s="28">
        <f t="shared" si="1"/>
        <v>0</v>
      </c>
      <c r="I20" s="30">
        <v>0</v>
      </c>
      <c r="J20" s="30">
        <v>0</v>
      </c>
      <c r="K20" s="27">
        <f t="shared" si="2"/>
        <v>0</v>
      </c>
      <c r="L20" s="28">
        <f t="shared" si="3"/>
        <v>0</v>
      </c>
      <c r="M20" s="27">
        <f t="shared" si="4"/>
        <v>0</v>
      </c>
      <c r="N20" s="28">
        <f t="shared" si="5"/>
        <v>0</v>
      </c>
    </row>
    <row r="21" spans="1:14">
      <c r="A21" s="13" t="s">
        <v>43</v>
      </c>
      <c r="B21" s="14" t="s">
        <v>44</v>
      </c>
      <c r="C21" s="25">
        <v>0</v>
      </c>
      <c r="D21" s="25">
        <v>0</v>
      </c>
      <c r="E21" s="25">
        <f t="shared" si="0"/>
        <v>0</v>
      </c>
      <c r="F21" s="26">
        <v>27850</v>
      </c>
      <c r="G21" s="27">
        <v>2920</v>
      </c>
      <c r="H21" s="28">
        <f t="shared" si="1"/>
        <v>-24930</v>
      </c>
      <c r="I21" s="27">
        <v>718433.84</v>
      </c>
      <c r="J21" s="28">
        <v>799413.5</v>
      </c>
      <c r="K21" s="27">
        <f t="shared" si="2"/>
        <v>80979.66</v>
      </c>
      <c r="L21" s="28">
        <f t="shared" si="3"/>
        <v>746283.84</v>
      </c>
      <c r="M21" s="27">
        <f t="shared" si="4"/>
        <v>802333.5</v>
      </c>
      <c r="N21" s="28">
        <f t="shared" si="5"/>
        <v>56049.66</v>
      </c>
    </row>
    <row r="22" spans="1:14">
      <c r="A22" s="13" t="s">
        <v>45</v>
      </c>
      <c r="B22" s="14" t="s">
        <v>46</v>
      </c>
      <c r="C22" s="25">
        <v>0</v>
      </c>
      <c r="D22" s="25">
        <v>0</v>
      </c>
      <c r="E22" s="25">
        <f t="shared" si="0"/>
        <v>0</v>
      </c>
      <c r="F22" s="26">
        <v>0</v>
      </c>
      <c r="G22" s="27">
        <v>0</v>
      </c>
      <c r="H22" s="28">
        <f t="shared" si="1"/>
        <v>0</v>
      </c>
      <c r="I22" s="27">
        <v>5205</v>
      </c>
      <c r="J22" s="28">
        <v>5265</v>
      </c>
      <c r="K22" s="27">
        <f t="shared" si="2"/>
        <v>60</v>
      </c>
      <c r="L22" s="28">
        <f t="shared" si="3"/>
        <v>5205</v>
      </c>
      <c r="M22" s="27">
        <f t="shared" si="4"/>
        <v>5265</v>
      </c>
      <c r="N22" s="28">
        <f t="shared" si="5"/>
        <v>60</v>
      </c>
    </row>
    <row r="23" spans="1:14">
      <c r="A23" s="13" t="s">
        <v>47</v>
      </c>
      <c r="B23" s="14" t="s">
        <v>48</v>
      </c>
      <c r="C23" s="25">
        <v>0</v>
      </c>
      <c r="D23" s="25">
        <v>0</v>
      </c>
      <c r="E23" s="25">
        <f t="shared" si="0"/>
        <v>0</v>
      </c>
      <c r="F23" s="26">
        <v>0</v>
      </c>
      <c r="G23" s="27">
        <v>0</v>
      </c>
      <c r="H23" s="28">
        <f t="shared" si="1"/>
        <v>0</v>
      </c>
      <c r="I23" s="27">
        <v>260</v>
      </c>
      <c r="J23" s="28">
        <v>0</v>
      </c>
      <c r="K23" s="27">
        <f t="shared" si="2"/>
        <v>-260</v>
      </c>
      <c r="L23" s="28">
        <f t="shared" si="3"/>
        <v>260</v>
      </c>
      <c r="M23" s="27">
        <f t="shared" si="4"/>
        <v>0</v>
      </c>
      <c r="N23" s="28">
        <f t="shared" si="5"/>
        <v>-260</v>
      </c>
    </row>
    <row r="24" spans="1:14">
      <c r="A24" s="19" t="s">
        <v>49</v>
      </c>
      <c r="B24" s="19" t="s">
        <v>50</v>
      </c>
      <c r="C24" s="25">
        <v>0</v>
      </c>
      <c r="D24" s="25">
        <v>12514</v>
      </c>
      <c r="E24" s="25">
        <f t="shared" si="0"/>
        <v>12514</v>
      </c>
      <c r="F24" s="26">
        <v>0</v>
      </c>
      <c r="G24" s="27">
        <v>0</v>
      </c>
      <c r="H24" s="28">
        <f t="shared" si="1"/>
        <v>0</v>
      </c>
      <c r="I24" s="27">
        <v>6810.1</v>
      </c>
      <c r="J24" s="28">
        <v>0</v>
      </c>
      <c r="K24" s="27">
        <f t="shared" si="2"/>
        <v>-6810.1</v>
      </c>
      <c r="L24" s="28">
        <f t="shared" si="3"/>
        <v>6810.1</v>
      </c>
      <c r="M24" s="27">
        <f t="shared" si="4"/>
        <v>12514</v>
      </c>
      <c r="N24" s="28">
        <f t="shared" si="5"/>
        <v>5703.9</v>
      </c>
    </row>
    <row r="25" spans="1:14">
      <c r="A25" s="7" t="s">
        <v>51</v>
      </c>
      <c r="B25" s="8" t="s">
        <v>52</v>
      </c>
      <c r="C25" s="29">
        <v>0</v>
      </c>
      <c r="D25" s="29">
        <v>0</v>
      </c>
      <c r="E25" s="25">
        <f t="shared" si="0"/>
        <v>0</v>
      </c>
      <c r="F25" s="29">
        <v>0</v>
      </c>
      <c r="G25" s="29">
        <v>0</v>
      </c>
      <c r="H25" s="28">
        <f t="shared" si="1"/>
        <v>0</v>
      </c>
      <c r="I25" s="29">
        <v>0</v>
      </c>
      <c r="J25" s="29">
        <v>0</v>
      </c>
      <c r="K25" s="27">
        <f t="shared" si="2"/>
        <v>0</v>
      </c>
      <c r="L25" s="28">
        <f t="shared" si="3"/>
        <v>0</v>
      </c>
      <c r="M25" s="27">
        <f t="shared" si="4"/>
        <v>0</v>
      </c>
      <c r="N25" s="28">
        <f t="shared" si="5"/>
        <v>0</v>
      </c>
    </row>
    <row r="26" spans="1:14">
      <c r="A26" s="13" t="s">
        <v>53</v>
      </c>
      <c r="B26" s="14" t="s">
        <v>54</v>
      </c>
      <c r="C26" s="25">
        <v>0</v>
      </c>
      <c r="D26" s="25">
        <v>0</v>
      </c>
      <c r="E26" s="25">
        <f t="shared" si="0"/>
        <v>0</v>
      </c>
      <c r="F26" s="26">
        <v>0</v>
      </c>
      <c r="G26" s="30">
        <v>0</v>
      </c>
      <c r="H26" s="28">
        <f t="shared" si="1"/>
        <v>0</v>
      </c>
      <c r="I26" s="30">
        <v>18094.27</v>
      </c>
      <c r="J26" s="30">
        <v>0</v>
      </c>
      <c r="K26" s="27">
        <f t="shared" si="2"/>
        <v>-18094.27</v>
      </c>
      <c r="L26" s="28">
        <f t="shared" si="3"/>
        <v>18094.27</v>
      </c>
      <c r="M26" s="27">
        <f t="shared" si="4"/>
        <v>0</v>
      </c>
      <c r="N26" s="28">
        <f t="shared" si="5"/>
        <v>-18094.27</v>
      </c>
    </row>
    <row r="27" spans="1:14">
      <c r="A27" s="13" t="s">
        <v>55</v>
      </c>
      <c r="B27" s="14" t="s">
        <v>56</v>
      </c>
      <c r="C27" s="25">
        <v>0</v>
      </c>
      <c r="D27" s="25">
        <v>0</v>
      </c>
      <c r="E27" s="25">
        <f t="shared" si="0"/>
        <v>0</v>
      </c>
      <c r="F27" s="26">
        <v>0</v>
      </c>
      <c r="G27" s="27">
        <v>0</v>
      </c>
      <c r="H27" s="28">
        <f t="shared" si="1"/>
        <v>0</v>
      </c>
      <c r="I27" s="27">
        <v>2040</v>
      </c>
      <c r="J27" s="28">
        <v>0</v>
      </c>
      <c r="K27" s="27">
        <f t="shared" si="2"/>
        <v>-2040</v>
      </c>
      <c r="L27" s="28">
        <f t="shared" si="3"/>
        <v>2040</v>
      </c>
      <c r="M27" s="27">
        <f t="shared" si="4"/>
        <v>0</v>
      </c>
      <c r="N27" s="28">
        <f t="shared" si="5"/>
        <v>-2040</v>
      </c>
    </row>
    <row r="28" spans="1:14">
      <c r="A28" s="13" t="s">
        <v>57</v>
      </c>
      <c r="B28" s="14" t="s">
        <v>58</v>
      </c>
      <c r="C28" s="25">
        <v>0</v>
      </c>
      <c r="D28" s="25">
        <v>0</v>
      </c>
      <c r="E28" s="25">
        <f t="shared" si="0"/>
        <v>0</v>
      </c>
      <c r="F28" s="26">
        <v>0</v>
      </c>
      <c r="G28" s="27">
        <v>0</v>
      </c>
      <c r="H28" s="28">
        <f t="shared" si="1"/>
        <v>0</v>
      </c>
      <c r="I28" s="27">
        <v>0</v>
      </c>
      <c r="J28" s="28">
        <v>0</v>
      </c>
      <c r="K28" s="27">
        <f t="shared" si="2"/>
        <v>0</v>
      </c>
      <c r="L28" s="28">
        <f t="shared" si="3"/>
        <v>0</v>
      </c>
      <c r="M28" s="27">
        <f t="shared" si="4"/>
        <v>0</v>
      </c>
      <c r="N28" s="28">
        <f t="shared" si="5"/>
        <v>0</v>
      </c>
    </row>
    <row r="29" spans="1:14">
      <c r="A29" s="13" t="s">
        <v>59</v>
      </c>
      <c r="B29" s="14" t="s">
        <v>60</v>
      </c>
      <c r="C29" s="25">
        <v>72240</v>
      </c>
      <c r="D29" s="25">
        <v>0</v>
      </c>
      <c r="E29" s="25">
        <f t="shared" si="0"/>
        <v>-72240</v>
      </c>
      <c r="F29" s="26">
        <v>0</v>
      </c>
      <c r="G29" s="27">
        <v>0</v>
      </c>
      <c r="H29" s="28">
        <f t="shared" si="1"/>
        <v>0</v>
      </c>
      <c r="I29" s="27">
        <v>100661.35</v>
      </c>
      <c r="J29" s="28">
        <v>106176.52</v>
      </c>
      <c r="K29" s="27">
        <f t="shared" si="2"/>
        <v>5515.16999999998</v>
      </c>
      <c r="L29" s="28">
        <f t="shared" si="3"/>
        <v>172901.35</v>
      </c>
      <c r="M29" s="27">
        <f t="shared" si="4"/>
        <v>106176.52</v>
      </c>
      <c r="N29" s="28">
        <f t="shared" si="5"/>
        <v>-66724.83</v>
      </c>
    </row>
    <row r="30" spans="1:14">
      <c r="A30" s="7" t="s">
        <v>61</v>
      </c>
      <c r="B30" s="8" t="s">
        <v>62</v>
      </c>
      <c r="C30" s="25">
        <v>0</v>
      </c>
      <c r="D30" s="25">
        <v>0</v>
      </c>
      <c r="E30" s="25">
        <f t="shared" si="0"/>
        <v>0</v>
      </c>
      <c r="F30" s="26">
        <v>0</v>
      </c>
      <c r="G30" s="27">
        <v>0</v>
      </c>
      <c r="H30" s="28">
        <f t="shared" si="1"/>
        <v>0</v>
      </c>
      <c r="I30" s="27">
        <v>0</v>
      </c>
      <c r="J30" s="28">
        <v>0</v>
      </c>
      <c r="K30" s="27">
        <f t="shared" si="2"/>
        <v>0</v>
      </c>
      <c r="L30" s="28">
        <f t="shared" si="3"/>
        <v>0</v>
      </c>
      <c r="M30" s="27">
        <f t="shared" si="4"/>
        <v>0</v>
      </c>
      <c r="N30" s="28">
        <f t="shared" si="5"/>
        <v>0</v>
      </c>
    </row>
    <row r="31" spans="1:14">
      <c r="A31" s="13" t="s">
        <v>63</v>
      </c>
      <c r="B31" s="14" t="s">
        <v>64</v>
      </c>
      <c r="C31" s="29">
        <v>0</v>
      </c>
      <c r="D31" s="29">
        <v>0</v>
      </c>
      <c r="E31" s="25">
        <f t="shared" si="0"/>
        <v>0</v>
      </c>
      <c r="F31" s="29">
        <v>1296</v>
      </c>
      <c r="G31" s="29">
        <v>0</v>
      </c>
      <c r="H31" s="28">
        <f t="shared" si="1"/>
        <v>-1296</v>
      </c>
      <c r="I31" s="29">
        <v>0</v>
      </c>
      <c r="J31" s="29">
        <v>0</v>
      </c>
      <c r="K31" s="27">
        <f t="shared" si="2"/>
        <v>0</v>
      </c>
      <c r="L31" s="28">
        <f t="shared" si="3"/>
        <v>1296</v>
      </c>
      <c r="M31" s="27">
        <f t="shared" si="4"/>
        <v>0</v>
      </c>
      <c r="N31" s="28">
        <f t="shared" si="5"/>
        <v>-1296</v>
      </c>
    </row>
    <row r="32" spans="1:14">
      <c r="A32" s="13" t="s">
        <v>65</v>
      </c>
      <c r="B32" s="14" t="s">
        <v>66</v>
      </c>
      <c r="C32" s="25">
        <v>0</v>
      </c>
      <c r="D32" s="25">
        <v>0</v>
      </c>
      <c r="E32" s="25">
        <f t="shared" si="0"/>
        <v>0</v>
      </c>
      <c r="F32" s="26">
        <v>0</v>
      </c>
      <c r="G32" s="30">
        <v>0</v>
      </c>
      <c r="H32" s="28">
        <f t="shared" si="1"/>
        <v>0</v>
      </c>
      <c r="I32" s="30">
        <v>0</v>
      </c>
      <c r="J32" s="30">
        <v>0</v>
      </c>
      <c r="K32" s="27">
        <f t="shared" si="2"/>
        <v>0</v>
      </c>
      <c r="L32" s="28">
        <f t="shared" si="3"/>
        <v>0</v>
      </c>
      <c r="M32" s="27">
        <f t="shared" si="4"/>
        <v>0</v>
      </c>
      <c r="N32" s="28">
        <f t="shared" si="5"/>
        <v>0</v>
      </c>
    </row>
    <row r="33" spans="1:14">
      <c r="A33" s="13" t="s">
        <v>67</v>
      </c>
      <c r="B33" s="14" t="s">
        <v>68</v>
      </c>
      <c r="C33" s="25">
        <v>0</v>
      </c>
      <c r="D33" s="25">
        <v>0</v>
      </c>
      <c r="E33" s="25">
        <f t="shared" si="0"/>
        <v>0</v>
      </c>
      <c r="F33" s="26">
        <v>0</v>
      </c>
      <c r="G33" s="27">
        <v>0</v>
      </c>
      <c r="H33" s="28">
        <f t="shared" si="1"/>
        <v>0</v>
      </c>
      <c r="I33" s="27">
        <v>0</v>
      </c>
      <c r="J33" s="28">
        <v>0</v>
      </c>
      <c r="K33" s="27">
        <f t="shared" si="2"/>
        <v>0</v>
      </c>
      <c r="L33" s="28">
        <f t="shared" si="3"/>
        <v>0</v>
      </c>
      <c r="M33" s="27">
        <f t="shared" si="4"/>
        <v>0</v>
      </c>
      <c r="N33" s="28">
        <f t="shared" si="5"/>
        <v>0</v>
      </c>
    </row>
    <row r="34" spans="1:14">
      <c r="A34" s="13" t="s">
        <v>69</v>
      </c>
      <c r="B34" s="14" t="s">
        <v>70</v>
      </c>
      <c r="C34" s="25">
        <v>0</v>
      </c>
      <c r="D34" s="25">
        <v>0</v>
      </c>
      <c r="E34" s="25">
        <f t="shared" si="0"/>
        <v>0</v>
      </c>
      <c r="F34" s="26">
        <v>0</v>
      </c>
      <c r="G34" s="27">
        <v>0</v>
      </c>
      <c r="H34" s="28">
        <f t="shared" si="1"/>
        <v>0</v>
      </c>
      <c r="I34" s="27">
        <v>0</v>
      </c>
      <c r="J34" s="28">
        <v>0</v>
      </c>
      <c r="K34" s="27">
        <f t="shared" si="2"/>
        <v>0</v>
      </c>
      <c r="L34" s="28">
        <f t="shared" si="3"/>
        <v>0</v>
      </c>
      <c r="M34" s="27">
        <f t="shared" si="4"/>
        <v>0</v>
      </c>
      <c r="N34" s="28">
        <f t="shared" si="5"/>
        <v>0</v>
      </c>
    </row>
    <row r="35" spans="1:14">
      <c r="A35" s="19" t="s">
        <v>71</v>
      </c>
      <c r="B35" s="19" t="s">
        <v>72</v>
      </c>
      <c r="C35" s="25">
        <v>0</v>
      </c>
      <c r="D35" s="25">
        <v>0</v>
      </c>
      <c r="E35" s="25">
        <f t="shared" si="0"/>
        <v>0</v>
      </c>
      <c r="F35" s="26">
        <v>0</v>
      </c>
      <c r="G35" s="27">
        <v>0</v>
      </c>
      <c r="H35" s="28">
        <f t="shared" si="1"/>
        <v>0</v>
      </c>
      <c r="I35" s="27">
        <v>0</v>
      </c>
      <c r="J35" s="28">
        <v>0</v>
      </c>
      <c r="K35" s="27">
        <f t="shared" si="2"/>
        <v>0</v>
      </c>
      <c r="L35" s="28">
        <f t="shared" si="3"/>
        <v>0</v>
      </c>
      <c r="M35" s="27">
        <f t="shared" si="4"/>
        <v>0</v>
      </c>
      <c r="N35" s="28">
        <f t="shared" si="5"/>
        <v>0</v>
      </c>
    </row>
    <row r="36" spans="1:14">
      <c r="A36" s="7" t="s">
        <v>73</v>
      </c>
      <c r="B36" s="8" t="s">
        <v>74</v>
      </c>
      <c r="C36" s="25">
        <v>0</v>
      </c>
      <c r="D36" s="25">
        <v>0</v>
      </c>
      <c r="E36" s="25">
        <f t="shared" si="0"/>
        <v>0</v>
      </c>
      <c r="F36" s="26">
        <v>0</v>
      </c>
      <c r="G36" s="27">
        <v>0</v>
      </c>
      <c r="H36" s="28">
        <f t="shared" si="1"/>
        <v>0</v>
      </c>
      <c r="I36" s="27">
        <v>260</v>
      </c>
      <c r="J36" s="28">
        <v>0</v>
      </c>
      <c r="K36" s="27">
        <f t="shared" si="2"/>
        <v>-260</v>
      </c>
      <c r="L36" s="28">
        <f t="shared" si="3"/>
        <v>260</v>
      </c>
      <c r="M36" s="27">
        <f t="shared" si="4"/>
        <v>0</v>
      </c>
      <c r="N36" s="28">
        <f t="shared" si="5"/>
        <v>-260</v>
      </c>
    </row>
    <row r="37" spans="1:14">
      <c r="A37" s="13" t="s">
        <v>75</v>
      </c>
      <c r="B37" s="14" t="s">
        <v>76</v>
      </c>
      <c r="C37" s="29">
        <v>0</v>
      </c>
      <c r="D37" s="29">
        <v>0</v>
      </c>
      <c r="E37" s="25">
        <f t="shared" si="0"/>
        <v>0</v>
      </c>
      <c r="F37" s="29">
        <v>0</v>
      </c>
      <c r="G37" s="29">
        <v>0</v>
      </c>
      <c r="H37" s="28">
        <f t="shared" si="1"/>
        <v>0</v>
      </c>
      <c r="I37" s="29">
        <v>0</v>
      </c>
      <c r="J37" s="29">
        <v>0</v>
      </c>
      <c r="K37" s="27">
        <f t="shared" si="2"/>
        <v>0</v>
      </c>
      <c r="L37" s="28">
        <f t="shared" si="3"/>
        <v>0</v>
      </c>
      <c r="M37" s="27">
        <f t="shared" si="4"/>
        <v>0</v>
      </c>
      <c r="N37" s="28">
        <f t="shared" si="5"/>
        <v>0</v>
      </c>
    </row>
    <row r="38" spans="1:14">
      <c r="A38" s="13" t="s">
        <v>77</v>
      </c>
      <c r="B38" s="14" t="s">
        <v>78</v>
      </c>
      <c r="C38" s="25">
        <v>0</v>
      </c>
      <c r="D38" s="25">
        <v>0</v>
      </c>
      <c r="E38" s="25">
        <f t="shared" si="0"/>
        <v>0</v>
      </c>
      <c r="F38" s="26">
        <v>0</v>
      </c>
      <c r="G38" s="30">
        <v>0</v>
      </c>
      <c r="H38" s="28">
        <f t="shared" si="1"/>
        <v>0</v>
      </c>
      <c r="I38" s="30">
        <v>0</v>
      </c>
      <c r="J38" s="30">
        <v>0</v>
      </c>
      <c r="K38" s="27">
        <f t="shared" si="2"/>
        <v>0</v>
      </c>
      <c r="L38" s="28">
        <f t="shared" si="3"/>
        <v>0</v>
      </c>
      <c r="M38" s="27">
        <f t="shared" si="4"/>
        <v>0</v>
      </c>
      <c r="N38" s="28">
        <f t="shared" si="5"/>
        <v>0</v>
      </c>
    </row>
    <row r="39" spans="1:14">
      <c r="A39" s="13" t="s">
        <v>79</v>
      </c>
      <c r="B39" s="14" t="s">
        <v>80</v>
      </c>
      <c r="C39" s="25">
        <v>0</v>
      </c>
      <c r="D39" s="25">
        <v>0</v>
      </c>
      <c r="E39" s="25">
        <f t="shared" si="0"/>
        <v>0</v>
      </c>
      <c r="F39" s="26">
        <v>1036</v>
      </c>
      <c r="G39" s="27">
        <v>0</v>
      </c>
      <c r="H39" s="28">
        <f t="shared" si="1"/>
        <v>-1036</v>
      </c>
      <c r="I39" s="27">
        <v>0</v>
      </c>
      <c r="J39" s="28">
        <v>0</v>
      </c>
      <c r="K39" s="27">
        <f t="shared" si="2"/>
        <v>0</v>
      </c>
      <c r="L39" s="28">
        <f t="shared" si="3"/>
        <v>1036</v>
      </c>
      <c r="M39" s="27">
        <f t="shared" si="4"/>
        <v>0</v>
      </c>
      <c r="N39" s="28">
        <f t="shared" si="5"/>
        <v>-1036</v>
      </c>
    </row>
    <row r="40" spans="1:14">
      <c r="A40" s="13" t="s">
        <v>81</v>
      </c>
      <c r="B40" s="14" t="s">
        <v>82</v>
      </c>
      <c r="C40" s="25">
        <v>0</v>
      </c>
      <c r="D40" s="25">
        <v>0</v>
      </c>
      <c r="E40" s="25">
        <f t="shared" si="0"/>
        <v>0</v>
      </c>
      <c r="F40" s="26">
        <v>1190</v>
      </c>
      <c r="G40" s="27">
        <v>0</v>
      </c>
      <c r="H40" s="28">
        <f t="shared" si="1"/>
        <v>-1190</v>
      </c>
      <c r="I40" s="27">
        <v>5235.87</v>
      </c>
      <c r="J40" s="28">
        <v>24223.03</v>
      </c>
      <c r="K40" s="27">
        <f t="shared" si="2"/>
        <v>18987.16</v>
      </c>
      <c r="L40" s="28">
        <f t="shared" si="3"/>
        <v>6425.87</v>
      </c>
      <c r="M40" s="27">
        <f t="shared" si="4"/>
        <v>24223.03</v>
      </c>
      <c r="N40" s="28">
        <f t="shared" si="5"/>
        <v>17797.16</v>
      </c>
    </row>
    <row r="41" spans="1:14">
      <c r="A41" s="7" t="s">
        <v>83</v>
      </c>
      <c r="B41" s="8" t="s">
        <v>84</v>
      </c>
      <c r="C41" s="25">
        <v>0</v>
      </c>
      <c r="D41" s="25">
        <v>12514</v>
      </c>
      <c r="E41" s="25">
        <f t="shared" si="0"/>
        <v>12514</v>
      </c>
      <c r="F41" s="26">
        <v>6530</v>
      </c>
      <c r="G41" s="27">
        <v>0</v>
      </c>
      <c r="H41" s="28">
        <f t="shared" si="1"/>
        <v>-6530</v>
      </c>
      <c r="I41" s="27">
        <v>0</v>
      </c>
      <c r="J41" s="28">
        <v>0</v>
      </c>
      <c r="K41" s="27">
        <f t="shared" si="2"/>
        <v>0</v>
      </c>
      <c r="L41" s="28">
        <f t="shared" si="3"/>
        <v>6530</v>
      </c>
      <c r="M41" s="27">
        <f t="shared" si="4"/>
        <v>12514</v>
      </c>
      <c r="N41" s="28">
        <f t="shared" si="5"/>
        <v>5984</v>
      </c>
    </row>
    <row r="42" spans="1:14">
      <c r="A42" s="13" t="s">
        <v>85</v>
      </c>
      <c r="B42" s="14" t="s">
        <v>86</v>
      </c>
      <c r="C42" s="25">
        <v>0</v>
      </c>
      <c r="D42" s="25">
        <v>0</v>
      </c>
      <c r="E42" s="25">
        <f t="shared" si="0"/>
        <v>0</v>
      </c>
      <c r="F42" s="26">
        <v>0</v>
      </c>
      <c r="G42" s="27">
        <v>0</v>
      </c>
      <c r="H42" s="28">
        <f t="shared" si="1"/>
        <v>0</v>
      </c>
      <c r="I42" s="27">
        <v>0</v>
      </c>
      <c r="J42" s="28">
        <v>0</v>
      </c>
      <c r="K42" s="27">
        <f t="shared" si="2"/>
        <v>0</v>
      </c>
      <c r="L42" s="28">
        <f t="shared" si="3"/>
        <v>0</v>
      </c>
      <c r="M42" s="27">
        <f t="shared" si="4"/>
        <v>0</v>
      </c>
      <c r="N42" s="28">
        <f t="shared" si="5"/>
        <v>0</v>
      </c>
    </row>
    <row r="43" spans="1:14">
      <c r="A43" s="13" t="s">
        <v>87</v>
      </c>
      <c r="B43" s="14" t="s">
        <v>88</v>
      </c>
      <c r="C43" s="29">
        <v>0</v>
      </c>
      <c r="D43" s="29">
        <v>0</v>
      </c>
      <c r="E43" s="25">
        <f t="shared" si="0"/>
        <v>0</v>
      </c>
      <c r="F43" s="29">
        <v>0</v>
      </c>
      <c r="G43" s="29">
        <v>0</v>
      </c>
      <c r="H43" s="28">
        <f t="shared" si="1"/>
        <v>0</v>
      </c>
      <c r="I43" s="29">
        <v>388.5</v>
      </c>
      <c r="J43" s="29">
        <v>0</v>
      </c>
      <c r="K43" s="27">
        <f t="shared" si="2"/>
        <v>-388.5</v>
      </c>
      <c r="L43" s="28">
        <f t="shared" si="3"/>
        <v>388.5</v>
      </c>
      <c r="M43" s="27">
        <f t="shared" si="4"/>
        <v>0</v>
      </c>
      <c r="N43" s="28">
        <f t="shared" si="5"/>
        <v>-388.5</v>
      </c>
    </row>
    <row r="44" spans="1:14">
      <c r="A44" s="13" t="s">
        <v>89</v>
      </c>
      <c r="B44" s="14" t="s">
        <v>90</v>
      </c>
      <c r="C44" s="25">
        <v>0</v>
      </c>
      <c r="D44" s="25">
        <v>0</v>
      </c>
      <c r="E44" s="25">
        <f t="shared" si="0"/>
        <v>0</v>
      </c>
      <c r="F44" s="26">
        <v>0</v>
      </c>
      <c r="G44" s="30">
        <v>0</v>
      </c>
      <c r="H44" s="28">
        <f t="shared" si="1"/>
        <v>0</v>
      </c>
      <c r="I44" s="30">
        <v>0</v>
      </c>
      <c r="J44" s="30">
        <v>0</v>
      </c>
      <c r="K44" s="27">
        <f t="shared" si="2"/>
        <v>0</v>
      </c>
      <c r="L44" s="28">
        <f t="shared" si="3"/>
        <v>0</v>
      </c>
      <c r="M44" s="27">
        <f t="shared" si="4"/>
        <v>0</v>
      </c>
      <c r="N44" s="28">
        <f t="shared" si="5"/>
        <v>0</v>
      </c>
    </row>
    <row r="45" spans="1:14">
      <c r="A45" s="13" t="s">
        <v>91</v>
      </c>
      <c r="B45" s="14" t="s">
        <v>92</v>
      </c>
      <c r="C45" s="25">
        <v>0</v>
      </c>
      <c r="D45" s="25">
        <v>0</v>
      </c>
      <c r="E45" s="25">
        <f t="shared" si="0"/>
        <v>0</v>
      </c>
      <c r="F45" s="26">
        <v>0</v>
      </c>
      <c r="G45" s="27">
        <v>0</v>
      </c>
      <c r="H45" s="28">
        <f t="shared" si="1"/>
        <v>0</v>
      </c>
      <c r="I45" s="27">
        <v>0</v>
      </c>
      <c r="J45" s="28">
        <v>0</v>
      </c>
      <c r="K45" s="27">
        <f t="shared" si="2"/>
        <v>0</v>
      </c>
      <c r="L45" s="28">
        <f t="shared" si="3"/>
        <v>0</v>
      </c>
      <c r="M45" s="27">
        <f t="shared" si="4"/>
        <v>0</v>
      </c>
      <c r="N45" s="28">
        <f t="shared" si="5"/>
        <v>0</v>
      </c>
    </row>
    <row r="46" spans="1:14">
      <c r="A46" s="19" t="s">
        <v>93</v>
      </c>
      <c r="B46" s="19" t="s">
        <v>94</v>
      </c>
      <c r="C46" s="25">
        <v>0</v>
      </c>
      <c r="D46" s="25">
        <v>0</v>
      </c>
      <c r="E46" s="25">
        <f t="shared" si="0"/>
        <v>0</v>
      </c>
      <c r="F46" s="26">
        <v>0</v>
      </c>
      <c r="G46" s="27">
        <v>0</v>
      </c>
      <c r="H46" s="28">
        <f t="shared" si="1"/>
        <v>0</v>
      </c>
      <c r="I46" s="27">
        <v>0</v>
      </c>
      <c r="J46" s="28">
        <v>0</v>
      </c>
      <c r="K46" s="27">
        <f t="shared" si="2"/>
        <v>0</v>
      </c>
      <c r="L46" s="28">
        <f t="shared" si="3"/>
        <v>0</v>
      </c>
      <c r="M46" s="27">
        <f t="shared" si="4"/>
        <v>0</v>
      </c>
      <c r="N46" s="28">
        <f t="shared" si="5"/>
        <v>0</v>
      </c>
    </row>
    <row r="47" spans="1:14">
      <c r="A47" s="7" t="s">
        <v>95</v>
      </c>
      <c r="B47" s="8" t="s">
        <v>96</v>
      </c>
      <c r="C47" s="25">
        <v>0</v>
      </c>
      <c r="D47" s="25">
        <v>0</v>
      </c>
      <c r="E47" s="25">
        <f t="shared" si="0"/>
        <v>0</v>
      </c>
      <c r="F47" s="26">
        <v>0</v>
      </c>
      <c r="G47" s="27">
        <v>533</v>
      </c>
      <c r="H47" s="28">
        <f t="shared" si="1"/>
        <v>533</v>
      </c>
      <c r="I47" s="27">
        <v>866</v>
      </c>
      <c r="J47" s="28">
        <v>0</v>
      </c>
      <c r="K47" s="27">
        <f t="shared" si="2"/>
        <v>-866</v>
      </c>
      <c r="L47" s="28">
        <f t="shared" si="3"/>
        <v>866</v>
      </c>
      <c r="M47" s="27">
        <f t="shared" si="4"/>
        <v>533</v>
      </c>
      <c r="N47" s="28">
        <f t="shared" si="5"/>
        <v>-333</v>
      </c>
    </row>
    <row r="48" spans="1:14">
      <c r="A48" s="13" t="s">
        <v>97</v>
      </c>
      <c r="B48" s="14" t="s">
        <v>98</v>
      </c>
      <c r="C48" s="25">
        <v>9990.3</v>
      </c>
      <c r="D48" s="25">
        <v>0</v>
      </c>
      <c r="E48" s="25">
        <f t="shared" si="0"/>
        <v>-9990.3</v>
      </c>
      <c r="F48" s="26">
        <v>5431</v>
      </c>
      <c r="G48" s="27">
        <v>0</v>
      </c>
      <c r="H48" s="28">
        <f t="shared" si="1"/>
        <v>-5431</v>
      </c>
      <c r="I48" s="27">
        <v>8372.9</v>
      </c>
      <c r="J48" s="28">
        <v>0</v>
      </c>
      <c r="K48" s="27">
        <f t="shared" si="2"/>
        <v>-8372.9</v>
      </c>
      <c r="L48" s="28">
        <f t="shared" si="3"/>
        <v>23794.2</v>
      </c>
      <c r="M48" s="27">
        <f t="shared" si="4"/>
        <v>0</v>
      </c>
      <c r="N48" s="28">
        <f t="shared" si="5"/>
        <v>-23794.2</v>
      </c>
    </row>
    <row r="49" spans="1:14">
      <c r="A49" s="13" t="s">
        <v>99</v>
      </c>
      <c r="B49" s="14" t="s">
        <v>100</v>
      </c>
      <c r="C49" s="29">
        <v>8896.2</v>
      </c>
      <c r="D49" s="29">
        <v>0</v>
      </c>
      <c r="E49" s="25">
        <f t="shared" si="0"/>
        <v>-8896.2</v>
      </c>
      <c r="F49" s="29">
        <v>0</v>
      </c>
      <c r="G49" s="29">
        <v>780</v>
      </c>
      <c r="H49" s="28">
        <f t="shared" si="1"/>
        <v>780</v>
      </c>
      <c r="I49" s="29">
        <v>0</v>
      </c>
      <c r="J49" s="29">
        <v>0</v>
      </c>
      <c r="K49" s="27">
        <f t="shared" si="2"/>
        <v>0</v>
      </c>
      <c r="L49" s="28">
        <f t="shared" si="3"/>
        <v>8896.2</v>
      </c>
      <c r="M49" s="27">
        <f t="shared" si="4"/>
        <v>780</v>
      </c>
      <c r="N49" s="28">
        <f t="shared" si="5"/>
        <v>-8116.2</v>
      </c>
    </row>
    <row r="50" spans="1:14">
      <c r="A50" s="13" t="s">
        <v>101</v>
      </c>
      <c r="B50" s="14" t="s">
        <v>102</v>
      </c>
      <c r="C50" s="25">
        <v>0</v>
      </c>
      <c r="D50" s="25">
        <v>0</v>
      </c>
      <c r="E50" s="25">
        <f t="shared" si="0"/>
        <v>0</v>
      </c>
      <c r="F50" s="26">
        <v>0</v>
      </c>
      <c r="G50" s="30">
        <v>0</v>
      </c>
      <c r="H50" s="28">
        <f t="shared" si="1"/>
        <v>0</v>
      </c>
      <c r="I50" s="30">
        <v>0</v>
      </c>
      <c r="J50" s="30">
        <v>0</v>
      </c>
      <c r="K50" s="27">
        <f t="shared" si="2"/>
        <v>0</v>
      </c>
      <c r="L50" s="28">
        <f t="shared" si="3"/>
        <v>0</v>
      </c>
      <c r="M50" s="27">
        <f t="shared" si="4"/>
        <v>0</v>
      </c>
      <c r="N50" s="28">
        <f t="shared" si="5"/>
        <v>0</v>
      </c>
    </row>
    <row r="51" spans="1:14">
      <c r="A51" s="13" t="s">
        <v>103</v>
      </c>
      <c r="B51" s="14" t="s">
        <v>104</v>
      </c>
      <c r="C51" s="25">
        <v>0</v>
      </c>
      <c r="D51" s="25">
        <v>0</v>
      </c>
      <c r="E51" s="25">
        <f t="shared" si="0"/>
        <v>0</v>
      </c>
      <c r="F51" s="26">
        <v>0</v>
      </c>
      <c r="G51" s="27">
        <v>0</v>
      </c>
      <c r="H51" s="28">
        <f t="shared" si="1"/>
        <v>0</v>
      </c>
      <c r="I51" s="27">
        <v>0</v>
      </c>
      <c r="J51" s="28">
        <v>0</v>
      </c>
      <c r="K51" s="27">
        <f t="shared" si="2"/>
        <v>0</v>
      </c>
      <c r="L51" s="28">
        <f t="shared" si="3"/>
        <v>0</v>
      </c>
      <c r="M51" s="27">
        <f t="shared" si="4"/>
        <v>0</v>
      </c>
      <c r="N51" s="28">
        <f t="shared" si="5"/>
        <v>0</v>
      </c>
    </row>
    <row r="52" spans="1:14">
      <c r="A52" s="7" t="s">
        <v>105</v>
      </c>
      <c r="B52" s="8" t="s">
        <v>106</v>
      </c>
      <c r="C52" s="25">
        <v>0</v>
      </c>
      <c r="D52" s="25">
        <v>0</v>
      </c>
      <c r="E52" s="25">
        <f t="shared" si="0"/>
        <v>0</v>
      </c>
      <c r="F52" s="26">
        <v>0</v>
      </c>
      <c r="G52" s="27">
        <v>0</v>
      </c>
      <c r="H52" s="28">
        <f t="shared" si="1"/>
        <v>0</v>
      </c>
      <c r="I52" s="27">
        <v>1320545.11</v>
      </c>
      <c r="J52" s="28">
        <v>11754.26</v>
      </c>
      <c r="K52" s="27">
        <f t="shared" si="2"/>
        <v>-1308790.85</v>
      </c>
      <c r="L52" s="28">
        <f t="shared" si="3"/>
        <v>1320545.11</v>
      </c>
      <c r="M52" s="27">
        <f t="shared" si="4"/>
        <v>11754.26</v>
      </c>
      <c r="N52" s="28">
        <f t="shared" si="5"/>
        <v>-1308790.85</v>
      </c>
    </row>
    <row r="53" spans="1:14">
      <c r="A53" s="13" t="s">
        <v>107</v>
      </c>
      <c r="B53" s="14" t="s">
        <v>108</v>
      </c>
      <c r="C53" s="25">
        <v>155696.8</v>
      </c>
      <c r="D53" s="25">
        <v>0</v>
      </c>
      <c r="E53" s="25">
        <f t="shared" si="0"/>
        <v>-155696.8</v>
      </c>
      <c r="F53" s="26">
        <v>48837</v>
      </c>
      <c r="G53" s="27">
        <v>0</v>
      </c>
      <c r="H53" s="28">
        <f t="shared" si="1"/>
        <v>-48837</v>
      </c>
      <c r="I53" s="27">
        <v>20249.7</v>
      </c>
      <c r="J53" s="28">
        <v>0</v>
      </c>
      <c r="K53" s="27">
        <f t="shared" si="2"/>
        <v>-20249.7</v>
      </c>
      <c r="L53" s="28">
        <f t="shared" si="3"/>
        <v>224783.5</v>
      </c>
      <c r="M53" s="27">
        <f t="shared" si="4"/>
        <v>0</v>
      </c>
      <c r="N53" s="28">
        <f t="shared" si="5"/>
        <v>-224783.5</v>
      </c>
    </row>
    <row r="54" spans="1:14">
      <c r="A54" s="13" t="s">
        <v>109</v>
      </c>
      <c r="B54" s="14" t="s">
        <v>110</v>
      </c>
      <c r="C54" s="25">
        <v>0</v>
      </c>
      <c r="D54" s="25">
        <v>0</v>
      </c>
      <c r="E54" s="25">
        <f t="shared" si="0"/>
        <v>0</v>
      </c>
      <c r="F54" s="26">
        <v>0</v>
      </c>
      <c r="G54" s="27">
        <v>0</v>
      </c>
      <c r="H54" s="28">
        <f t="shared" si="1"/>
        <v>0</v>
      </c>
      <c r="I54" s="27">
        <v>0</v>
      </c>
      <c r="J54" s="28">
        <v>0</v>
      </c>
      <c r="K54" s="27">
        <f t="shared" si="2"/>
        <v>0</v>
      </c>
      <c r="L54" s="28">
        <f t="shared" si="3"/>
        <v>0</v>
      </c>
      <c r="M54" s="27">
        <f t="shared" si="4"/>
        <v>0</v>
      </c>
      <c r="N54" s="28">
        <f t="shared" si="5"/>
        <v>0</v>
      </c>
    </row>
    <row r="55" spans="1:14">
      <c r="A55" s="13" t="s">
        <v>111</v>
      </c>
      <c r="B55" s="14" t="s">
        <v>112</v>
      </c>
      <c r="C55" s="29">
        <v>0</v>
      </c>
      <c r="D55" s="29">
        <v>0</v>
      </c>
      <c r="E55" s="25">
        <f t="shared" si="0"/>
        <v>0</v>
      </c>
      <c r="F55" s="29">
        <v>0</v>
      </c>
      <c r="G55" s="29">
        <v>0</v>
      </c>
      <c r="H55" s="28">
        <f t="shared" si="1"/>
        <v>0</v>
      </c>
      <c r="I55" s="29">
        <v>0</v>
      </c>
      <c r="J55" s="29">
        <v>0</v>
      </c>
      <c r="K55" s="27">
        <f t="shared" si="2"/>
        <v>0</v>
      </c>
      <c r="L55" s="28">
        <f t="shared" si="3"/>
        <v>0</v>
      </c>
      <c r="M55" s="27">
        <f t="shared" si="4"/>
        <v>0</v>
      </c>
      <c r="N55" s="28">
        <f t="shared" si="5"/>
        <v>0</v>
      </c>
    </row>
    <row r="56" spans="1:14">
      <c r="A56" s="13" t="s">
        <v>113</v>
      </c>
      <c r="B56" s="14" t="s">
        <v>114</v>
      </c>
      <c r="C56" s="25">
        <v>0</v>
      </c>
      <c r="D56" s="25">
        <v>0</v>
      </c>
      <c r="E56" s="25">
        <f t="shared" si="0"/>
        <v>0</v>
      </c>
      <c r="F56" s="26">
        <v>0</v>
      </c>
      <c r="G56" s="30">
        <v>0</v>
      </c>
      <c r="H56" s="28">
        <f t="shared" si="1"/>
        <v>0</v>
      </c>
      <c r="I56" s="30">
        <v>0</v>
      </c>
      <c r="J56" s="30">
        <v>0</v>
      </c>
      <c r="K56" s="27">
        <f t="shared" si="2"/>
        <v>0</v>
      </c>
      <c r="L56" s="28">
        <f t="shared" si="3"/>
        <v>0</v>
      </c>
      <c r="M56" s="27">
        <f t="shared" si="4"/>
        <v>0</v>
      </c>
      <c r="N56" s="28">
        <f t="shared" si="5"/>
        <v>0</v>
      </c>
    </row>
    <row r="57" spans="1:14">
      <c r="A57" s="19" t="s">
        <v>115</v>
      </c>
      <c r="B57" s="19" t="s">
        <v>116</v>
      </c>
      <c r="C57" s="25">
        <v>0</v>
      </c>
      <c r="D57" s="25">
        <v>0</v>
      </c>
      <c r="E57" s="25">
        <f t="shared" si="0"/>
        <v>0</v>
      </c>
      <c r="F57" s="26">
        <v>0</v>
      </c>
      <c r="G57" s="27">
        <v>0</v>
      </c>
      <c r="H57" s="28">
        <f t="shared" si="1"/>
        <v>0</v>
      </c>
      <c r="I57" s="27">
        <v>0</v>
      </c>
      <c r="J57" s="28">
        <v>0</v>
      </c>
      <c r="K57" s="27">
        <f t="shared" si="2"/>
        <v>0</v>
      </c>
      <c r="L57" s="28">
        <f t="shared" si="3"/>
        <v>0</v>
      </c>
      <c r="M57" s="27">
        <f t="shared" si="4"/>
        <v>0</v>
      </c>
      <c r="N57" s="28">
        <f t="shared" si="5"/>
        <v>0</v>
      </c>
    </row>
    <row r="58" spans="1:14">
      <c r="A58" s="7" t="s">
        <v>117</v>
      </c>
      <c r="B58" s="8" t="s">
        <v>118</v>
      </c>
      <c r="C58" s="25">
        <v>0</v>
      </c>
      <c r="D58" s="25">
        <v>0</v>
      </c>
      <c r="E58" s="25">
        <f t="shared" si="0"/>
        <v>0</v>
      </c>
      <c r="F58" s="26">
        <v>0</v>
      </c>
      <c r="G58" s="27">
        <v>0</v>
      </c>
      <c r="H58" s="28">
        <f t="shared" si="1"/>
        <v>0</v>
      </c>
      <c r="I58" s="27">
        <v>0</v>
      </c>
      <c r="J58" s="28">
        <v>0</v>
      </c>
      <c r="K58" s="27">
        <f t="shared" si="2"/>
        <v>0</v>
      </c>
      <c r="L58" s="28">
        <f t="shared" si="3"/>
        <v>0</v>
      </c>
      <c r="M58" s="27">
        <f t="shared" si="4"/>
        <v>0</v>
      </c>
      <c r="N58" s="28">
        <f t="shared" si="5"/>
        <v>0</v>
      </c>
    </row>
    <row r="59" spans="1:14">
      <c r="A59" s="13" t="s">
        <v>119</v>
      </c>
      <c r="B59" s="14" t="s">
        <v>120</v>
      </c>
      <c r="C59" s="25">
        <v>0</v>
      </c>
      <c r="D59" s="25">
        <v>0</v>
      </c>
      <c r="E59" s="25">
        <f t="shared" si="0"/>
        <v>0</v>
      </c>
      <c r="F59" s="26">
        <v>0</v>
      </c>
      <c r="G59" s="27">
        <v>0</v>
      </c>
      <c r="H59" s="28">
        <f t="shared" si="1"/>
        <v>0</v>
      </c>
      <c r="I59" s="27">
        <v>0</v>
      </c>
      <c r="J59" s="28">
        <v>0</v>
      </c>
      <c r="K59" s="27">
        <f t="shared" si="2"/>
        <v>0</v>
      </c>
      <c r="L59" s="28">
        <f t="shared" si="3"/>
        <v>0</v>
      </c>
      <c r="M59" s="27">
        <f t="shared" si="4"/>
        <v>0</v>
      </c>
      <c r="N59" s="28">
        <f t="shared" si="5"/>
        <v>0</v>
      </c>
    </row>
    <row r="60" spans="1:14">
      <c r="A60" s="13" t="s">
        <v>121</v>
      </c>
      <c r="B60" s="14" t="s">
        <v>122</v>
      </c>
      <c r="C60" s="25">
        <v>0</v>
      </c>
      <c r="D60" s="25">
        <v>0</v>
      </c>
      <c r="E60" s="25">
        <f t="shared" si="0"/>
        <v>0</v>
      </c>
      <c r="F60" s="26">
        <v>0</v>
      </c>
      <c r="G60" s="27">
        <v>840</v>
      </c>
      <c r="H60" s="28">
        <f t="shared" si="1"/>
        <v>840</v>
      </c>
      <c r="I60" s="27">
        <v>0</v>
      </c>
      <c r="J60" s="28">
        <v>0</v>
      </c>
      <c r="K60" s="27">
        <f t="shared" si="2"/>
        <v>0</v>
      </c>
      <c r="L60" s="28">
        <f t="shared" si="3"/>
        <v>0</v>
      </c>
      <c r="M60" s="27">
        <f t="shared" si="4"/>
        <v>840</v>
      </c>
      <c r="N60" s="28">
        <f t="shared" si="5"/>
        <v>840</v>
      </c>
    </row>
    <row r="61" spans="1:14">
      <c r="A61" s="13" t="s">
        <v>123</v>
      </c>
      <c r="B61" s="14" t="s">
        <v>124</v>
      </c>
      <c r="C61" s="29">
        <v>225734.8</v>
      </c>
      <c r="D61" s="29">
        <v>0</v>
      </c>
      <c r="E61" s="25">
        <f t="shared" si="0"/>
        <v>-225734.8</v>
      </c>
      <c r="F61" s="29">
        <v>39366</v>
      </c>
      <c r="G61" s="29">
        <v>1680</v>
      </c>
      <c r="H61" s="28">
        <f t="shared" si="1"/>
        <v>-37686</v>
      </c>
      <c r="I61" s="29">
        <v>0</v>
      </c>
      <c r="J61" s="29">
        <v>0</v>
      </c>
      <c r="K61" s="27">
        <f t="shared" si="2"/>
        <v>0</v>
      </c>
      <c r="L61" s="28">
        <f t="shared" si="3"/>
        <v>265100.8</v>
      </c>
      <c r="M61" s="27">
        <f t="shared" si="4"/>
        <v>1680</v>
      </c>
      <c r="N61" s="28">
        <f t="shared" si="5"/>
        <v>-263420.8</v>
      </c>
    </row>
    <row r="62" spans="1:14">
      <c r="A62" s="13" t="s">
        <v>125</v>
      </c>
      <c r="B62" s="14" t="s">
        <v>126</v>
      </c>
      <c r="C62" s="25">
        <v>0</v>
      </c>
      <c r="D62" s="25">
        <v>0</v>
      </c>
      <c r="E62" s="25">
        <f t="shared" si="0"/>
        <v>0</v>
      </c>
      <c r="F62" s="26">
        <v>0</v>
      </c>
      <c r="G62" s="30">
        <v>0</v>
      </c>
      <c r="H62" s="28">
        <f t="shared" si="1"/>
        <v>0</v>
      </c>
      <c r="I62" s="30">
        <v>0</v>
      </c>
      <c r="J62" s="30">
        <v>0</v>
      </c>
      <c r="K62" s="27">
        <f t="shared" si="2"/>
        <v>0</v>
      </c>
      <c r="L62" s="28">
        <f t="shared" si="3"/>
        <v>0</v>
      </c>
      <c r="M62" s="27">
        <f t="shared" si="4"/>
        <v>0</v>
      </c>
      <c r="N62" s="28">
        <f t="shared" si="5"/>
        <v>0</v>
      </c>
    </row>
    <row r="63" spans="1:14">
      <c r="A63" s="7" t="s">
        <v>127</v>
      </c>
      <c r="B63" s="8" t="s">
        <v>128</v>
      </c>
      <c r="C63" s="25">
        <v>0</v>
      </c>
      <c r="D63" s="25">
        <v>0</v>
      </c>
      <c r="E63" s="25">
        <f t="shared" si="0"/>
        <v>0</v>
      </c>
      <c r="F63" s="26">
        <v>0</v>
      </c>
      <c r="G63" s="27">
        <v>0</v>
      </c>
      <c r="H63" s="28">
        <f t="shared" si="1"/>
        <v>0</v>
      </c>
      <c r="I63" s="27">
        <v>0</v>
      </c>
      <c r="J63" s="28">
        <v>0</v>
      </c>
      <c r="K63" s="27">
        <f t="shared" si="2"/>
        <v>0</v>
      </c>
      <c r="L63" s="28">
        <f t="shared" si="3"/>
        <v>0</v>
      </c>
      <c r="M63" s="27">
        <f t="shared" si="4"/>
        <v>0</v>
      </c>
      <c r="N63" s="28">
        <f t="shared" si="5"/>
        <v>0</v>
      </c>
    </row>
    <row r="64" spans="1:14">
      <c r="A64" s="13" t="s">
        <v>129</v>
      </c>
      <c r="B64" s="14" t="s">
        <v>130</v>
      </c>
      <c r="C64" s="25">
        <v>0</v>
      </c>
      <c r="D64" s="25">
        <v>0</v>
      </c>
      <c r="E64" s="25">
        <f t="shared" si="0"/>
        <v>0</v>
      </c>
      <c r="F64" s="26">
        <v>0</v>
      </c>
      <c r="G64" s="27">
        <v>0</v>
      </c>
      <c r="H64" s="28">
        <f t="shared" si="1"/>
        <v>0</v>
      </c>
      <c r="I64" s="27">
        <v>0</v>
      </c>
      <c r="J64" s="28">
        <v>0</v>
      </c>
      <c r="K64" s="27">
        <f t="shared" si="2"/>
        <v>0</v>
      </c>
      <c r="L64" s="28">
        <f t="shared" si="3"/>
        <v>0</v>
      </c>
      <c r="M64" s="27">
        <f t="shared" si="4"/>
        <v>0</v>
      </c>
      <c r="N64" s="28">
        <f t="shared" si="5"/>
        <v>0</v>
      </c>
    </row>
    <row r="65" spans="1:14">
      <c r="A65" s="13" t="s">
        <v>131</v>
      </c>
      <c r="B65" s="14" t="s">
        <v>132</v>
      </c>
      <c r="C65" s="25">
        <v>0</v>
      </c>
      <c r="D65" s="25">
        <v>0</v>
      </c>
      <c r="E65" s="25">
        <f t="shared" si="0"/>
        <v>0</v>
      </c>
      <c r="F65" s="26">
        <v>0</v>
      </c>
      <c r="G65" s="27">
        <v>0</v>
      </c>
      <c r="H65" s="28">
        <f t="shared" si="1"/>
        <v>0</v>
      </c>
      <c r="I65" s="27">
        <v>0</v>
      </c>
      <c r="J65" s="28">
        <v>0</v>
      </c>
      <c r="K65" s="27">
        <f t="shared" si="2"/>
        <v>0</v>
      </c>
      <c r="L65" s="28">
        <f t="shared" si="3"/>
        <v>0</v>
      </c>
      <c r="M65" s="27">
        <f t="shared" si="4"/>
        <v>0</v>
      </c>
      <c r="N65" s="28">
        <f t="shared" si="5"/>
        <v>0</v>
      </c>
    </row>
    <row r="66" spans="1:14">
      <c r="A66" s="13" t="s">
        <v>133</v>
      </c>
      <c r="B66" s="14" t="s">
        <v>134</v>
      </c>
      <c r="C66" s="25">
        <v>0</v>
      </c>
      <c r="D66" s="25">
        <v>0</v>
      </c>
      <c r="E66" s="25">
        <f t="shared" si="0"/>
        <v>0</v>
      </c>
      <c r="F66" s="26">
        <v>0</v>
      </c>
      <c r="G66" s="27">
        <v>0</v>
      </c>
      <c r="H66" s="28">
        <f t="shared" si="1"/>
        <v>0</v>
      </c>
      <c r="I66" s="27">
        <v>0</v>
      </c>
      <c r="J66" s="28">
        <v>0</v>
      </c>
      <c r="K66" s="27">
        <f t="shared" si="2"/>
        <v>0</v>
      </c>
      <c r="L66" s="28">
        <f t="shared" si="3"/>
        <v>0</v>
      </c>
      <c r="M66" s="27">
        <f t="shared" si="4"/>
        <v>0</v>
      </c>
      <c r="N66" s="28">
        <f t="shared" si="5"/>
        <v>0</v>
      </c>
    </row>
    <row r="67" spans="1:14">
      <c r="A67" s="13" t="s">
        <v>135</v>
      </c>
      <c r="B67" s="14" t="s">
        <v>136</v>
      </c>
      <c r="C67" s="29">
        <v>0</v>
      </c>
      <c r="D67" s="29">
        <v>0</v>
      </c>
      <c r="E67" s="25">
        <f t="shared" si="0"/>
        <v>0</v>
      </c>
      <c r="F67" s="29">
        <v>0</v>
      </c>
      <c r="G67" s="29">
        <v>0</v>
      </c>
      <c r="H67" s="28">
        <f t="shared" si="1"/>
        <v>0</v>
      </c>
      <c r="I67" s="29">
        <v>0</v>
      </c>
      <c r="J67" s="29">
        <v>0</v>
      </c>
      <c r="K67" s="27">
        <f t="shared" si="2"/>
        <v>0</v>
      </c>
      <c r="L67" s="28">
        <f t="shared" si="3"/>
        <v>0</v>
      </c>
      <c r="M67" s="27">
        <f t="shared" si="4"/>
        <v>0</v>
      </c>
      <c r="N67" s="28">
        <f t="shared" si="5"/>
        <v>0</v>
      </c>
    </row>
    <row r="68" spans="1:14">
      <c r="A68" s="19" t="s">
        <v>137</v>
      </c>
      <c r="B68" s="19" t="s">
        <v>138</v>
      </c>
      <c r="C68" s="25">
        <v>0</v>
      </c>
      <c r="D68" s="25">
        <v>0</v>
      </c>
      <c r="E68" s="25">
        <f t="shared" ref="E68:E131" si="6">D68-C68</f>
        <v>0</v>
      </c>
      <c r="F68" s="26">
        <v>0</v>
      </c>
      <c r="G68" s="30">
        <v>0</v>
      </c>
      <c r="H68" s="28">
        <f t="shared" ref="H68:H131" si="7">G68-F68</f>
        <v>0</v>
      </c>
      <c r="I68" s="30">
        <v>0</v>
      </c>
      <c r="J68" s="30">
        <v>0</v>
      </c>
      <c r="K68" s="27">
        <f t="shared" ref="K68:K131" si="8">J68-I68</f>
        <v>0</v>
      </c>
      <c r="L68" s="28">
        <f t="shared" ref="L68:L131" si="9">C68+F68+I68</f>
        <v>0</v>
      </c>
      <c r="M68" s="27">
        <f t="shared" ref="M68:M131" si="10">D68+G68+J68</f>
        <v>0</v>
      </c>
      <c r="N68" s="28">
        <f t="shared" ref="N68:N131" si="11">M68-L68</f>
        <v>0</v>
      </c>
    </row>
    <row r="69" spans="1:14">
      <c r="A69" s="7" t="s">
        <v>139</v>
      </c>
      <c r="B69" s="8" t="s">
        <v>140</v>
      </c>
      <c r="C69" s="25">
        <v>0</v>
      </c>
      <c r="D69" s="25">
        <v>0</v>
      </c>
      <c r="E69" s="25">
        <f t="shared" si="6"/>
        <v>0</v>
      </c>
      <c r="F69" s="26">
        <v>5506</v>
      </c>
      <c r="G69" s="27">
        <v>0</v>
      </c>
      <c r="H69" s="28">
        <f t="shared" si="7"/>
        <v>-5506</v>
      </c>
      <c r="I69" s="27">
        <v>0</v>
      </c>
      <c r="J69" s="28">
        <v>0</v>
      </c>
      <c r="K69" s="27">
        <f t="shared" si="8"/>
        <v>0</v>
      </c>
      <c r="L69" s="28">
        <f t="shared" si="9"/>
        <v>5506</v>
      </c>
      <c r="M69" s="27">
        <f t="shared" si="10"/>
        <v>0</v>
      </c>
      <c r="N69" s="28">
        <f t="shared" si="11"/>
        <v>-5506</v>
      </c>
    </row>
    <row r="70" spans="1:14">
      <c r="A70" s="13" t="s">
        <v>141</v>
      </c>
      <c r="B70" s="14" t="s">
        <v>142</v>
      </c>
      <c r="C70" s="25">
        <v>35439.32</v>
      </c>
      <c r="D70" s="25">
        <v>0</v>
      </c>
      <c r="E70" s="25">
        <f t="shared" si="6"/>
        <v>-35439.32</v>
      </c>
      <c r="F70" s="26">
        <v>8511</v>
      </c>
      <c r="G70" s="27">
        <v>8243</v>
      </c>
      <c r="H70" s="28">
        <f t="shared" si="7"/>
        <v>-268</v>
      </c>
      <c r="I70" s="27">
        <v>48164.7</v>
      </c>
      <c r="J70" s="28">
        <v>0</v>
      </c>
      <c r="K70" s="27">
        <f t="shared" si="8"/>
        <v>-48164.7</v>
      </c>
      <c r="L70" s="28">
        <f t="shared" si="9"/>
        <v>92115.02</v>
      </c>
      <c r="M70" s="27">
        <f t="shared" si="10"/>
        <v>8243</v>
      </c>
      <c r="N70" s="28">
        <f t="shared" si="11"/>
        <v>-83872.02</v>
      </c>
    </row>
    <row r="71" spans="1:14">
      <c r="A71" s="13" t="s">
        <v>143</v>
      </c>
      <c r="B71" s="14" t="s">
        <v>144</v>
      </c>
      <c r="C71" s="25">
        <v>0</v>
      </c>
      <c r="D71" s="25">
        <v>0</v>
      </c>
      <c r="E71" s="25">
        <f t="shared" si="6"/>
        <v>0</v>
      </c>
      <c r="F71" s="26">
        <v>0</v>
      </c>
      <c r="G71" s="27">
        <v>0</v>
      </c>
      <c r="H71" s="28">
        <f t="shared" si="7"/>
        <v>0</v>
      </c>
      <c r="I71" s="27">
        <v>7143.03</v>
      </c>
      <c r="J71" s="28">
        <v>10001.11</v>
      </c>
      <c r="K71" s="27">
        <f t="shared" si="8"/>
        <v>2858.08</v>
      </c>
      <c r="L71" s="28">
        <f t="shared" si="9"/>
        <v>7143.03</v>
      </c>
      <c r="M71" s="27">
        <f t="shared" si="10"/>
        <v>10001.11</v>
      </c>
      <c r="N71" s="28">
        <f t="shared" si="11"/>
        <v>2858.08</v>
      </c>
    </row>
    <row r="72" spans="1:14">
      <c r="A72" s="13" t="s">
        <v>145</v>
      </c>
      <c r="B72" s="14" t="s">
        <v>146</v>
      </c>
      <c r="C72" s="25">
        <v>0</v>
      </c>
      <c r="D72" s="25">
        <v>0</v>
      </c>
      <c r="E72" s="25">
        <f t="shared" si="6"/>
        <v>0</v>
      </c>
      <c r="F72" s="26">
        <v>0</v>
      </c>
      <c r="G72" s="27">
        <v>0</v>
      </c>
      <c r="H72" s="28">
        <f t="shared" si="7"/>
        <v>0</v>
      </c>
      <c r="I72" s="27">
        <v>0</v>
      </c>
      <c r="J72" s="28">
        <v>3090</v>
      </c>
      <c r="K72" s="27">
        <f t="shared" si="8"/>
        <v>3090</v>
      </c>
      <c r="L72" s="28">
        <f t="shared" si="9"/>
        <v>0</v>
      </c>
      <c r="M72" s="27">
        <f t="shared" si="10"/>
        <v>3090</v>
      </c>
      <c r="N72" s="28">
        <f t="shared" si="11"/>
        <v>3090</v>
      </c>
    </row>
    <row r="73" spans="1:14">
      <c r="A73" s="13" t="s">
        <v>147</v>
      </c>
      <c r="B73" s="14" t="s">
        <v>148</v>
      </c>
      <c r="C73" s="29">
        <v>0</v>
      </c>
      <c r="D73" s="29">
        <v>0</v>
      </c>
      <c r="E73" s="25">
        <f t="shared" si="6"/>
        <v>0</v>
      </c>
      <c r="F73" s="29">
        <v>0</v>
      </c>
      <c r="G73" s="29">
        <v>0</v>
      </c>
      <c r="H73" s="28">
        <f t="shared" si="7"/>
        <v>0</v>
      </c>
      <c r="I73" s="29">
        <v>5610</v>
      </c>
      <c r="J73" s="29">
        <v>6070</v>
      </c>
      <c r="K73" s="27">
        <f t="shared" si="8"/>
        <v>460</v>
      </c>
      <c r="L73" s="28">
        <f t="shared" si="9"/>
        <v>5610</v>
      </c>
      <c r="M73" s="27">
        <f t="shared" si="10"/>
        <v>6070</v>
      </c>
      <c r="N73" s="28">
        <f t="shared" si="11"/>
        <v>460</v>
      </c>
    </row>
    <row r="74" spans="1:14">
      <c r="A74" s="7" t="s">
        <v>149</v>
      </c>
      <c r="B74" s="8" t="s">
        <v>150</v>
      </c>
      <c r="C74" s="25">
        <v>0</v>
      </c>
      <c r="D74" s="25">
        <v>0</v>
      </c>
      <c r="E74" s="25">
        <f t="shared" si="6"/>
        <v>0</v>
      </c>
      <c r="F74" s="26">
        <v>0</v>
      </c>
      <c r="G74" s="30">
        <v>0</v>
      </c>
      <c r="H74" s="28">
        <f t="shared" si="7"/>
        <v>0</v>
      </c>
      <c r="I74" s="30">
        <v>0</v>
      </c>
      <c r="J74" s="30">
        <v>0</v>
      </c>
      <c r="K74" s="27">
        <f t="shared" si="8"/>
        <v>0</v>
      </c>
      <c r="L74" s="28">
        <f t="shared" si="9"/>
        <v>0</v>
      </c>
      <c r="M74" s="27">
        <f t="shared" si="10"/>
        <v>0</v>
      </c>
      <c r="N74" s="28">
        <f t="shared" si="11"/>
        <v>0</v>
      </c>
    </row>
    <row r="75" spans="1:14">
      <c r="A75" s="13" t="s">
        <v>151</v>
      </c>
      <c r="B75" s="14" t="s">
        <v>152</v>
      </c>
      <c r="C75" s="25">
        <v>0</v>
      </c>
      <c r="D75" s="25">
        <v>0</v>
      </c>
      <c r="E75" s="25">
        <f t="shared" si="6"/>
        <v>0</v>
      </c>
      <c r="F75" s="26">
        <v>5125</v>
      </c>
      <c r="G75" s="27">
        <v>0</v>
      </c>
      <c r="H75" s="28">
        <f t="shared" si="7"/>
        <v>-5125</v>
      </c>
      <c r="I75" s="27">
        <v>40702.8</v>
      </c>
      <c r="J75" s="28">
        <v>1295</v>
      </c>
      <c r="K75" s="27">
        <f t="shared" si="8"/>
        <v>-39407.8</v>
      </c>
      <c r="L75" s="28">
        <f t="shared" si="9"/>
        <v>45827.8</v>
      </c>
      <c r="M75" s="27">
        <f t="shared" si="10"/>
        <v>1295</v>
      </c>
      <c r="N75" s="28">
        <f t="shared" si="11"/>
        <v>-44532.8</v>
      </c>
    </row>
    <row r="76" spans="1:14">
      <c r="A76" s="13" t="s">
        <v>153</v>
      </c>
      <c r="B76" s="14" t="s">
        <v>154</v>
      </c>
      <c r="C76" s="25">
        <v>0</v>
      </c>
      <c r="D76" s="25">
        <v>0</v>
      </c>
      <c r="E76" s="25">
        <f t="shared" si="6"/>
        <v>0</v>
      </c>
      <c r="F76" s="26">
        <v>0</v>
      </c>
      <c r="G76" s="27">
        <v>0</v>
      </c>
      <c r="H76" s="28">
        <f t="shared" si="7"/>
        <v>0</v>
      </c>
      <c r="I76" s="27">
        <v>0</v>
      </c>
      <c r="J76" s="28">
        <v>0</v>
      </c>
      <c r="K76" s="27">
        <f t="shared" si="8"/>
        <v>0</v>
      </c>
      <c r="L76" s="28">
        <f t="shared" si="9"/>
        <v>0</v>
      </c>
      <c r="M76" s="27">
        <f t="shared" si="10"/>
        <v>0</v>
      </c>
      <c r="N76" s="28">
        <f t="shared" si="11"/>
        <v>0</v>
      </c>
    </row>
    <row r="77" spans="1:14">
      <c r="A77" s="13" t="s">
        <v>155</v>
      </c>
      <c r="B77" s="14" t="s">
        <v>156</v>
      </c>
      <c r="C77" s="25">
        <v>0</v>
      </c>
      <c r="D77" s="25">
        <v>0</v>
      </c>
      <c r="E77" s="25">
        <f t="shared" si="6"/>
        <v>0</v>
      </c>
      <c r="F77" s="26">
        <v>737</v>
      </c>
      <c r="G77" s="27">
        <v>0</v>
      </c>
      <c r="H77" s="28">
        <f t="shared" si="7"/>
        <v>-737</v>
      </c>
      <c r="I77" s="27">
        <v>0</v>
      </c>
      <c r="J77" s="28">
        <v>0</v>
      </c>
      <c r="K77" s="27">
        <f t="shared" si="8"/>
        <v>0</v>
      </c>
      <c r="L77" s="28">
        <f t="shared" si="9"/>
        <v>737</v>
      </c>
      <c r="M77" s="27">
        <f t="shared" si="10"/>
        <v>0</v>
      </c>
      <c r="N77" s="28">
        <f t="shared" si="11"/>
        <v>-737</v>
      </c>
    </row>
    <row r="78" spans="1:14">
      <c r="A78" s="13" t="s">
        <v>157</v>
      </c>
      <c r="B78" s="14" t="s">
        <v>158</v>
      </c>
      <c r="C78" s="25">
        <v>0</v>
      </c>
      <c r="D78" s="25">
        <v>0</v>
      </c>
      <c r="E78" s="25">
        <f t="shared" si="6"/>
        <v>0</v>
      </c>
      <c r="F78" s="26">
        <v>0</v>
      </c>
      <c r="G78" s="27">
        <v>0</v>
      </c>
      <c r="H78" s="28">
        <f t="shared" si="7"/>
        <v>0</v>
      </c>
      <c r="I78" s="27">
        <v>0</v>
      </c>
      <c r="J78" s="28">
        <v>0</v>
      </c>
      <c r="K78" s="27">
        <f t="shared" si="8"/>
        <v>0</v>
      </c>
      <c r="L78" s="28">
        <f t="shared" si="9"/>
        <v>0</v>
      </c>
      <c r="M78" s="27">
        <f t="shared" si="10"/>
        <v>0</v>
      </c>
      <c r="N78" s="28">
        <f t="shared" si="11"/>
        <v>0</v>
      </c>
    </row>
    <row r="79" spans="1:14">
      <c r="A79" s="19" t="s">
        <v>159</v>
      </c>
      <c r="B79" s="19" t="s">
        <v>160</v>
      </c>
      <c r="C79" s="29">
        <v>0</v>
      </c>
      <c r="D79" s="29">
        <v>0</v>
      </c>
      <c r="E79" s="25">
        <f t="shared" si="6"/>
        <v>0</v>
      </c>
      <c r="F79" s="29">
        <v>0</v>
      </c>
      <c r="G79" s="29">
        <v>0</v>
      </c>
      <c r="H79" s="28">
        <f t="shared" si="7"/>
        <v>0</v>
      </c>
      <c r="I79" s="29">
        <v>0</v>
      </c>
      <c r="J79" s="29">
        <v>0</v>
      </c>
      <c r="K79" s="27">
        <f t="shared" si="8"/>
        <v>0</v>
      </c>
      <c r="L79" s="28">
        <f t="shared" si="9"/>
        <v>0</v>
      </c>
      <c r="M79" s="27">
        <f t="shared" si="10"/>
        <v>0</v>
      </c>
      <c r="N79" s="28">
        <f t="shared" si="11"/>
        <v>0</v>
      </c>
    </row>
    <row r="80" spans="1:14">
      <c r="A80" s="7" t="s">
        <v>161</v>
      </c>
      <c r="B80" s="8" t="s">
        <v>162</v>
      </c>
      <c r="C80" s="25">
        <v>0</v>
      </c>
      <c r="D80" s="25">
        <v>0</v>
      </c>
      <c r="E80" s="25">
        <f t="shared" si="6"/>
        <v>0</v>
      </c>
      <c r="F80" s="26">
        <v>8267</v>
      </c>
      <c r="G80" s="30">
        <v>0</v>
      </c>
      <c r="H80" s="28">
        <f t="shared" si="7"/>
        <v>-8267</v>
      </c>
      <c r="I80" s="30">
        <v>4253.7</v>
      </c>
      <c r="J80" s="30">
        <v>0</v>
      </c>
      <c r="K80" s="27">
        <f t="shared" si="8"/>
        <v>-4253.7</v>
      </c>
      <c r="L80" s="28">
        <f t="shared" si="9"/>
        <v>12520.7</v>
      </c>
      <c r="M80" s="27">
        <f t="shared" si="10"/>
        <v>0</v>
      </c>
      <c r="N80" s="28">
        <f t="shared" si="11"/>
        <v>-12520.7</v>
      </c>
    </row>
    <row r="81" spans="1:14">
      <c r="A81" s="13" t="s">
        <v>163</v>
      </c>
      <c r="B81" s="14" t="s">
        <v>164</v>
      </c>
      <c r="C81" s="25">
        <v>0</v>
      </c>
      <c r="D81" s="25">
        <v>0</v>
      </c>
      <c r="E81" s="25">
        <f t="shared" si="6"/>
        <v>0</v>
      </c>
      <c r="F81" s="26">
        <v>0</v>
      </c>
      <c r="G81" s="27">
        <v>0</v>
      </c>
      <c r="H81" s="28">
        <f t="shared" si="7"/>
        <v>0</v>
      </c>
      <c r="I81" s="27">
        <v>12390.45</v>
      </c>
      <c r="J81" s="28">
        <v>11751.96</v>
      </c>
      <c r="K81" s="27">
        <f t="shared" si="8"/>
        <v>-638.490000000002</v>
      </c>
      <c r="L81" s="28">
        <f t="shared" si="9"/>
        <v>12390.45</v>
      </c>
      <c r="M81" s="27">
        <f t="shared" si="10"/>
        <v>11751.96</v>
      </c>
      <c r="N81" s="28">
        <f t="shared" si="11"/>
        <v>-638.490000000002</v>
      </c>
    </row>
    <row r="82" spans="1:14">
      <c r="A82" s="13" t="s">
        <v>165</v>
      </c>
      <c r="B82" s="14" t="s">
        <v>166</v>
      </c>
      <c r="C82" s="25">
        <v>0</v>
      </c>
      <c r="D82" s="25">
        <v>0</v>
      </c>
      <c r="E82" s="25">
        <f t="shared" si="6"/>
        <v>0</v>
      </c>
      <c r="F82" s="26">
        <v>0</v>
      </c>
      <c r="G82" s="27">
        <v>0</v>
      </c>
      <c r="H82" s="28">
        <f t="shared" si="7"/>
        <v>0</v>
      </c>
      <c r="I82" s="27">
        <v>36298.75</v>
      </c>
      <c r="J82" s="28">
        <v>0</v>
      </c>
      <c r="K82" s="27">
        <f t="shared" si="8"/>
        <v>-36298.75</v>
      </c>
      <c r="L82" s="28">
        <f t="shared" si="9"/>
        <v>36298.75</v>
      </c>
      <c r="M82" s="27">
        <f t="shared" si="10"/>
        <v>0</v>
      </c>
      <c r="N82" s="28">
        <f t="shared" si="11"/>
        <v>-36298.75</v>
      </c>
    </row>
    <row r="83" spans="1:14">
      <c r="A83" s="13" t="s">
        <v>167</v>
      </c>
      <c r="B83" s="14" t="s">
        <v>168</v>
      </c>
      <c r="C83" s="25">
        <v>0</v>
      </c>
      <c r="D83" s="25">
        <v>0</v>
      </c>
      <c r="E83" s="25">
        <f t="shared" si="6"/>
        <v>0</v>
      </c>
      <c r="F83" s="26">
        <v>0</v>
      </c>
      <c r="G83" s="27">
        <v>0</v>
      </c>
      <c r="H83" s="28">
        <f t="shared" si="7"/>
        <v>0</v>
      </c>
      <c r="I83" s="27">
        <v>4343.71</v>
      </c>
      <c r="J83" s="28">
        <v>4105.84</v>
      </c>
      <c r="K83" s="27">
        <f t="shared" si="8"/>
        <v>-237.87</v>
      </c>
      <c r="L83" s="28">
        <f t="shared" si="9"/>
        <v>4343.71</v>
      </c>
      <c r="M83" s="27">
        <f t="shared" si="10"/>
        <v>4105.84</v>
      </c>
      <c r="N83" s="28">
        <f t="shared" si="11"/>
        <v>-237.87</v>
      </c>
    </row>
    <row r="84" spans="1:14">
      <c r="A84" s="13" t="s">
        <v>169</v>
      </c>
      <c r="B84" s="14" t="s">
        <v>170</v>
      </c>
      <c r="C84" s="25">
        <v>0</v>
      </c>
      <c r="D84" s="25">
        <v>0</v>
      </c>
      <c r="E84" s="25">
        <f t="shared" si="6"/>
        <v>0</v>
      </c>
      <c r="F84" s="26">
        <v>0</v>
      </c>
      <c r="G84" s="27">
        <v>0</v>
      </c>
      <c r="H84" s="28">
        <f t="shared" si="7"/>
        <v>0</v>
      </c>
      <c r="I84" s="27">
        <v>0</v>
      </c>
      <c r="J84" s="28">
        <v>0</v>
      </c>
      <c r="K84" s="27">
        <f t="shared" si="8"/>
        <v>0</v>
      </c>
      <c r="L84" s="28">
        <f t="shared" si="9"/>
        <v>0</v>
      </c>
      <c r="M84" s="27">
        <f t="shared" si="10"/>
        <v>0</v>
      </c>
      <c r="N84" s="28">
        <f t="shared" si="11"/>
        <v>0</v>
      </c>
    </row>
    <row r="85" spans="1:14">
      <c r="A85" s="7" t="s">
        <v>171</v>
      </c>
      <c r="B85" s="8" t="s">
        <v>172</v>
      </c>
      <c r="C85" s="29">
        <v>0</v>
      </c>
      <c r="D85" s="29">
        <v>0</v>
      </c>
      <c r="E85" s="25">
        <f t="shared" si="6"/>
        <v>0</v>
      </c>
      <c r="F85" s="29">
        <v>0</v>
      </c>
      <c r="G85" s="29">
        <v>0</v>
      </c>
      <c r="H85" s="28">
        <f t="shared" si="7"/>
        <v>0</v>
      </c>
      <c r="I85" s="29">
        <v>0</v>
      </c>
      <c r="J85" s="29">
        <v>0</v>
      </c>
      <c r="K85" s="27">
        <f t="shared" si="8"/>
        <v>0</v>
      </c>
      <c r="L85" s="28">
        <f t="shared" si="9"/>
        <v>0</v>
      </c>
      <c r="M85" s="27">
        <f t="shared" si="10"/>
        <v>0</v>
      </c>
      <c r="N85" s="28">
        <f t="shared" si="11"/>
        <v>0</v>
      </c>
    </row>
    <row r="86" spans="1:14">
      <c r="A86" s="13" t="s">
        <v>173</v>
      </c>
      <c r="B86" s="14" t="s">
        <v>174</v>
      </c>
      <c r="C86" s="25">
        <v>0</v>
      </c>
      <c r="D86" s="25">
        <v>0</v>
      </c>
      <c r="E86" s="25">
        <f t="shared" si="6"/>
        <v>0</v>
      </c>
      <c r="F86" s="26">
        <v>0</v>
      </c>
      <c r="G86" s="30">
        <v>0</v>
      </c>
      <c r="H86" s="28">
        <f t="shared" si="7"/>
        <v>0</v>
      </c>
      <c r="I86" s="30">
        <v>0</v>
      </c>
      <c r="J86" s="30">
        <v>0</v>
      </c>
      <c r="K86" s="27">
        <f t="shared" si="8"/>
        <v>0</v>
      </c>
      <c r="L86" s="28">
        <f t="shared" si="9"/>
        <v>0</v>
      </c>
      <c r="M86" s="27">
        <f t="shared" si="10"/>
        <v>0</v>
      </c>
      <c r="N86" s="28">
        <f t="shared" si="11"/>
        <v>0</v>
      </c>
    </row>
    <row r="87" spans="1:14">
      <c r="A87" s="13" t="s">
        <v>175</v>
      </c>
      <c r="B87" s="14" t="s">
        <v>176</v>
      </c>
      <c r="C87" s="25">
        <v>0</v>
      </c>
      <c r="D87" s="25">
        <v>0</v>
      </c>
      <c r="E87" s="25">
        <f t="shared" si="6"/>
        <v>0</v>
      </c>
      <c r="F87" s="26">
        <v>0</v>
      </c>
      <c r="G87" s="27">
        <v>0</v>
      </c>
      <c r="H87" s="28">
        <f t="shared" si="7"/>
        <v>0</v>
      </c>
      <c r="I87" s="27">
        <v>0</v>
      </c>
      <c r="J87" s="28">
        <v>0</v>
      </c>
      <c r="K87" s="27">
        <f t="shared" si="8"/>
        <v>0</v>
      </c>
      <c r="L87" s="28">
        <f t="shared" si="9"/>
        <v>0</v>
      </c>
      <c r="M87" s="27">
        <f t="shared" si="10"/>
        <v>0</v>
      </c>
      <c r="N87" s="28">
        <f t="shared" si="11"/>
        <v>0</v>
      </c>
    </row>
    <row r="88" ht="24" spans="1:14">
      <c r="A88" s="13" t="s">
        <v>177</v>
      </c>
      <c r="B88" s="14" t="s">
        <v>178</v>
      </c>
      <c r="C88" s="25">
        <v>0</v>
      </c>
      <c r="D88" s="25">
        <v>0</v>
      </c>
      <c r="E88" s="25">
        <f t="shared" si="6"/>
        <v>0</v>
      </c>
      <c r="F88" s="26">
        <v>0</v>
      </c>
      <c r="G88" s="27">
        <v>0</v>
      </c>
      <c r="H88" s="28">
        <f t="shared" si="7"/>
        <v>0</v>
      </c>
      <c r="I88" s="27">
        <v>0</v>
      </c>
      <c r="J88" s="28">
        <v>0</v>
      </c>
      <c r="K88" s="27">
        <f t="shared" si="8"/>
        <v>0</v>
      </c>
      <c r="L88" s="28">
        <f t="shared" si="9"/>
        <v>0</v>
      </c>
      <c r="M88" s="27">
        <f t="shared" si="10"/>
        <v>0</v>
      </c>
      <c r="N88" s="28">
        <f t="shared" si="11"/>
        <v>0</v>
      </c>
    </row>
    <row r="89" spans="1:14">
      <c r="A89" s="13" t="s">
        <v>179</v>
      </c>
      <c r="B89" s="14" t="s">
        <v>180</v>
      </c>
      <c r="C89" s="25">
        <v>0</v>
      </c>
      <c r="D89" s="25">
        <v>0</v>
      </c>
      <c r="E89" s="25">
        <f t="shared" si="6"/>
        <v>0</v>
      </c>
      <c r="F89" s="26">
        <v>0</v>
      </c>
      <c r="G89" s="27">
        <v>0</v>
      </c>
      <c r="H89" s="28">
        <f t="shared" si="7"/>
        <v>0</v>
      </c>
      <c r="I89" s="27">
        <v>0</v>
      </c>
      <c r="J89" s="28">
        <v>0</v>
      </c>
      <c r="K89" s="27">
        <f t="shared" si="8"/>
        <v>0</v>
      </c>
      <c r="L89" s="28">
        <f t="shared" si="9"/>
        <v>0</v>
      </c>
      <c r="M89" s="27">
        <f t="shared" si="10"/>
        <v>0</v>
      </c>
      <c r="N89" s="28">
        <f t="shared" si="11"/>
        <v>0</v>
      </c>
    </row>
    <row r="90" spans="1:14">
      <c r="A90" s="19" t="s">
        <v>181</v>
      </c>
      <c r="B90" s="19" t="s">
        <v>182</v>
      </c>
      <c r="C90" s="25">
        <v>0</v>
      </c>
      <c r="D90" s="25">
        <v>0</v>
      </c>
      <c r="E90" s="25">
        <f t="shared" si="6"/>
        <v>0</v>
      </c>
      <c r="F90" s="26">
        <v>1502</v>
      </c>
      <c r="G90" s="27">
        <v>0</v>
      </c>
      <c r="H90" s="28">
        <f t="shared" si="7"/>
        <v>-1502</v>
      </c>
      <c r="I90" s="27">
        <v>0</v>
      </c>
      <c r="J90" s="28">
        <v>0</v>
      </c>
      <c r="K90" s="27">
        <f t="shared" si="8"/>
        <v>0</v>
      </c>
      <c r="L90" s="28">
        <f t="shared" si="9"/>
        <v>1502</v>
      </c>
      <c r="M90" s="27">
        <f t="shared" si="10"/>
        <v>0</v>
      </c>
      <c r="N90" s="28">
        <f t="shared" si="11"/>
        <v>-1502</v>
      </c>
    </row>
    <row r="91" spans="1:14">
      <c r="A91" s="7" t="s">
        <v>183</v>
      </c>
      <c r="B91" s="8" t="s">
        <v>184</v>
      </c>
      <c r="C91" s="29">
        <v>0</v>
      </c>
      <c r="D91" s="29">
        <v>0</v>
      </c>
      <c r="E91" s="25">
        <f t="shared" si="6"/>
        <v>0</v>
      </c>
      <c r="F91" s="29">
        <v>0</v>
      </c>
      <c r="G91" s="29">
        <v>0</v>
      </c>
      <c r="H91" s="28">
        <f t="shared" si="7"/>
        <v>0</v>
      </c>
      <c r="I91" s="29">
        <v>37669.05</v>
      </c>
      <c r="J91" s="29">
        <v>15692.06</v>
      </c>
      <c r="K91" s="27">
        <f t="shared" si="8"/>
        <v>-21976.99</v>
      </c>
      <c r="L91" s="28">
        <f t="shared" si="9"/>
        <v>37669.05</v>
      </c>
      <c r="M91" s="27">
        <f t="shared" si="10"/>
        <v>15692.06</v>
      </c>
      <c r="N91" s="28">
        <f t="shared" si="11"/>
        <v>-21976.99</v>
      </c>
    </row>
    <row r="92" spans="1:14">
      <c r="A92" s="13" t="s">
        <v>185</v>
      </c>
      <c r="B92" s="14" t="s">
        <v>186</v>
      </c>
      <c r="C92" s="25">
        <v>0</v>
      </c>
      <c r="D92" s="25">
        <v>0</v>
      </c>
      <c r="E92" s="25">
        <f t="shared" si="6"/>
        <v>0</v>
      </c>
      <c r="F92" s="26">
        <v>3210</v>
      </c>
      <c r="G92" s="30">
        <v>1475</v>
      </c>
      <c r="H92" s="28">
        <f t="shared" si="7"/>
        <v>-1735</v>
      </c>
      <c r="I92" s="30">
        <v>0</v>
      </c>
      <c r="J92" s="30">
        <v>0</v>
      </c>
      <c r="K92" s="27">
        <f t="shared" si="8"/>
        <v>0</v>
      </c>
      <c r="L92" s="28">
        <f t="shared" si="9"/>
        <v>3210</v>
      </c>
      <c r="M92" s="27">
        <f t="shared" si="10"/>
        <v>1475</v>
      </c>
      <c r="N92" s="28">
        <f t="shared" si="11"/>
        <v>-1735</v>
      </c>
    </row>
    <row r="93" spans="1:14">
      <c r="A93" s="13" t="s">
        <v>187</v>
      </c>
      <c r="B93" s="14" t="s">
        <v>188</v>
      </c>
      <c r="C93" s="25">
        <v>0</v>
      </c>
      <c r="D93" s="25">
        <v>0</v>
      </c>
      <c r="E93" s="25">
        <f t="shared" si="6"/>
        <v>0</v>
      </c>
      <c r="F93" s="26">
        <v>0</v>
      </c>
      <c r="G93" s="27">
        <v>0</v>
      </c>
      <c r="H93" s="28">
        <f t="shared" si="7"/>
        <v>0</v>
      </c>
      <c r="I93" s="27">
        <v>0</v>
      </c>
      <c r="J93" s="28">
        <v>0</v>
      </c>
      <c r="K93" s="27">
        <f t="shared" si="8"/>
        <v>0</v>
      </c>
      <c r="L93" s="28">
        <f t="shared" si="9"/>
        <v>0</v>
      </c>
      <c r="M93" s="27">
        <f t="shared" si="10"/>
        <v>0</v>
      </c>
      <c r="N93" s="28">
        <f t="shared" si="11"/>
        <v>0</v>
      </c>
    </row>
    <row r="94" spans="1:14">
      <c r="A94" s="13" t="s">
        <v>189</v>
      </c>
      <c r="B94" s="14" t="s">
        <v>190</v>
      </c>
      <c r="C94" s="25">
        <v>0</v>
      </c>
      <c r="D94" s="25">
        <v>0</v>
      </c>
      <c r="E94" s="25">
        <f t="shared" si="6"/>
        <v>0</v>
      </c>
      <c r="F94" s="26">
        <v>0</v>
      </c>
      <c r="G94" s="27">
        <v>0</v>
      </c>
      <c r="H94" s="28">
        <f t="shared" si="7"/>
        <v>0</v>
      </c>
      <c r="I94" s="27">
        <v>4580</v>
      </c>
      <c r="J94" s="28">
        <v>580</v>
      </c>
      <c r="K94" s="27">
        <f t="shared" si="8"/>
        <v>-4000</v>
      </c>
      <c r="L94" s="28">
        <f t="shared" si="9"/>
        <v>4580</v>
      </c>
      <c r="M94" s="27">
        <f t="shared" si="10"/>
        <v>580</v>
      </c>
      <c r="N94" s="28">
        <f t="shared" si="11"/>
        <v>-4000</v>
      </c>
    </row>
    <row r="95" spans="1:14">
      <c r="A95" s="13" t="s">
        <v>191</v>
      </c>
      <c r="B95" s="14" t="s">
        <v>192</v>
      </c>
      <c r="C95" s="25">
        <v>0</v>
      </c>
      <c r="D95" s="25">
        <v>0</v>
      </c>
      <c r="E95" s="25">
        <f t="shared" si="6"/>
        <v>0</v>
      </c>
      <c r="F95" s="26">
        <v>0</v>
      </c>
      <c r="G95" s="27">
        <v>0</v>
      </c>
      <c r="H95" s="28">
        <f t="shared" si="7"/>
        <v>0</v>
      </c>
      <c r="I95" s="27">
        <v>23238.76</v>
      </c>
      <c r="J95" s="28">
        <v>13537.33</v>
      </c>
      <c r="K95" s="27">
        <f t="shared" si="8"/>
        <v>-9701.43</v>
      </c>
      <c r="L95" s="28">
        <f t="shared" si="9"/>
        <v>23238.76</v>
      </c>
      <c r="M95" s="27">
        <f t="shared" si="10"/>
        <v>13537.33</v>
      </c>
      <c r="N95" s="28">
        <f t="shared" si="11"/>
        <v>-9701.43</v>
      </c>
    </row>
    <row r="96" ht="24" spans="1:14">
      <c r="A96" s="7" t="s">
        <v>193</v>
      </c>
      <c r="B96" s="8" t="s">
        <v>194</v>
      </c>
      <c r="C96" s="25">
        <v>0</v>
      </c>
      <c r="D96" s="25">
        <v>0</v>
      </c>
      <c r="E96" s="25">
        <f t="shared" si="6"/>
        <v>0</v>
      </c>
      <c r="F96" s="26">
        <v>0</v>
      </c>
      <c r="G96" s="27">
        <v>0</v>
      </c>
      <c r="H96" s="28">
        <f t="shared" si="7"/>
        <v>0</v>
      </c>
      <c r="I96" s="27">
        <v>0</v>
      </c>
      <c r="J96" s="28">
        <v>2400</v>
      </c>
      <c r="K96" s="27">
        <f t="shared" si="8"/>
        <v>2400</v>
      </c>
      <c r="L96" s="28">
        <f t="shared" si="9"/>
        <v>0</v>
      </c>
      <c r="M96" s="27">
        <f t="shared" si="10"/>
        <v>2400</v>
      </c>
      <c r="N96" s="28">
        <f t="shared" si="11"/>
        <v>2400</v>
      </c>
    </row>
    <row r="97" spans="1:14">
      <c r="A97" s="13" t="s">
        <v>195</v>
      </c>
      <c r="B97" s="14" t="s">
        <v>196</v>
      </c>
      <c r="C97" s="29">
        <v>0</v>
      </c>
      <c r="D97" s="29">
        <v>0</v>
      </c>
      <c r="E97" s="25">
        <f t="shared" si="6"/>
        <v>0</v>
      </c>
      <c r="F97" s="29">
        <v>0</v>
      </c>
      <c r="G97" s="29">
        <v>0</v>
      </c>
      <c r="H97" s="28">
        <f t="shared" si="7"/>
        <v>0</v>
      </c>
      <c r="I97" s="29">
        <v>0</v>
      </c>
      <c r="J97" s="29">
        <v>0</v>
      </c>
      <c r="K97" s="27">
        <f t="shared" si="8"/>
        <v>0</v>
      </c>
      <c r="L97" s="28">
        <f t="shared" si="9"/>
        <v>0</v>
      </c>
      <c r="M97" s="27">
        <f t="shared" si="10"/>
        <v>0</v>
      </c>
      <c r="N97" s="28">
        <f t="shared" si="11"/>
        <v>0</v>
      </c>
    </row>
    <row r="98" spans="1:14">
      <c r="A98" s="13" t="s">
        <v>197</v>
      </c>
      <c r="B98" s="14" t="s">
        <v>198</v>
      </c>
      <c r="C98" s="25">
        <v>0</v>
      </c>
      <c r="D98" s="25">
        <v>0</v>
      </c>
      <c r="E98" s="25">
        <f t="shared" si="6"/>
        <v>0</v>
      </c>
      <c r="F98" s="26">
        <v>0</v>
      </c>
      <c r="G98" s="30">
        <v>0</v>
      </c>
      <c r="H98" s="28">
        <f t="shared" si="7"/>
        <v>0</v>
      </c>
      <c r="I98" s="30">
        <v>0</v>
      </c>
      <c r="J98" s="30">
        <v>0</v>
      </c>
      <c r="K98" s="27">
        <f t="shared" si="8"/>
        <v>0</v>
      </c>
      <c r="L98" s="28">
        <f t="shared" si="9"/>
        <v>0</v>
      </c>
      <c r="M98" s="27">
        <f t="shared" si="10"/>
        <v>0</v>
      </c>
      <c r="N98" s="28">
        <f t="shared" si="11"/>
        <v>0</v>
      </c>
    </row>
    <row r="99" spans="1:14">
      <c r="A99" s="13" t="s">
        <v>199</v>
      </c>
      <c r="B99" s="14" t="s">
        <v>200</v>
      </c>
      <c r="C99" s="25">
        <v>0</v>
      </c>
      <c r="D99" s="25">
        <v>0</v>
      </c>
      <c r="E99" s="25">
        <f t="shared" si="6"/>
        <v>0</v>
      </c>
      <c r="F99" s="26">
        <v>0</v>
      </c>
      <c r="G99" s="27">
        <v>0</v>
      </c>
      <c r="H99" s="28">
        <f t="shared" si="7"/>
        <v>0</v>
      </c>
      <c r="I99" s="27">
        <v>0</v>
      </c>
      <c r="J99" s="28">
        <v>0</v>
      </c>
      <c r="K99" s="27">
        <f t="shared" si="8"/>
        <v>0</v>
      </c>
      <c r="L99" s="28">
        <f t="shared" si="9"/>
        <v>0</v>
      </c>
      <c r="M99" s="27">
        <f t="shared" si="10"/>
        <v>0</v>
      </c>
      <c r="N99" s="28">
        <f t="shared" si="11"/>
        <v>0</v>
      </c>
    </row>
    <row r="100" spans="1:14">
      <c r="A100" s="13" t="s">
        <v>201</v>
      </c>
      <c r="B100" s="14" t="s">
        <v>202</v>
      </c>
      <c r="C100" s="25">
        <v>0</v>
      </c>
      <c r="D100" s="25">
        <v>0</v>
      </c>
      <c r="E100" s="25">
        <f t="shared" si="6"/>
        <v>0</v>
      </c>
      <c r="F100" s="26">
        <v>0</v>
      </c>
      <c r="G100" s="27">
        <v>0</v>
      </c>
      <c r="H100" s="28">
        <f t="shared" si="7"/>
        <v>0</v>
      </c>
      <c r="I100" s="27">
        <v>8281.3</v>
      </c>
      <c r="J100" s="28">
        <v>4454.64</v>
      </c>
      <c r="K100" s="27">
        <f t="shared" si="8"/>
        <v>-3826.66</v>
      </c>
      <c r="L100" s="28">
        <f t="shared" si="9"/>
        <v>8281.3</v>
      </c>
      <c r="M100" s="27">
        <f t="shared" si="10"/>
        <v>4454.64</v>
      </c>
      <c r="N100" s="28">
        <f t="shared" si="11"/>
        <v>-3826.66</v>
      </c>
    </row>
    <row r="101" spans="1:14">
      <c r="A101" s="19" t="s">
        <v>203</v>
      </c>
      <c r="B101" s="19" t="s">
        <v>204</v>
      </c>
      <c r="C101" s="25">
        <v>0</v>
      </c>
      <c r="D101" s="25">
        <v>0</v>
      </c>
      <c r="E101" s="25">
        <f t="shared" si="6"/>
        <v>0</v>
      </c>
      <c r="F101" s="26">
        <v>0</v>
      </c>
      <c r="G101" s="27">
        <v>0</v>
      </c>
      <c r="H101" s="28">
        <f t="shared" si="7"/>
        <v>0</v>
      </c>
      <c r="I101" s="27">
        <v>0</v>
      </c>
      <c r="J101" s="28">
        <v>0</v>
      </c>
      <c r="K101" s="27">
        <f t="shared" si="8"/>
        <v>0</v>
      </c>
      <c r="L101" s="28">
        <f t="shared" si="9"/>
        <v>0</v>
      </c>
      <c r="M101" s="27">
        <f t="shared" si="10"/>
        <v>0</v>
      </c>
      <c r="N101" s="28">
        <f t="shared" si="11"/>
        <v>0</v>
      </c>
    </row>
    <row r="102" spans="1:14">
      <c r="A102" s="7" t="s">
        <v>205</v>
      </c>
      <c r="B102" s="8" t="s">
        <v>206</v>
      </c>
      <c r="C102" s="25">
        <v>0</v>
      </c>
      <c r="D102" s="25">
        <v>0</v>
      </c>
      <c r="E102" s="25">
        <f t="shared" si="6"/>
        <v>0</v>
      </c>
      <c r="F102" s="26">
        <v>0</v>
      </c>
      <c r="G102" s="27">
        <v>0</v>
      </c>
      <c r="H102" s="28">
        <f t="shared" si="7"/>
        <v>0</v>
      </c>
      <c r="I102" s="27">
        <v>0</v>
      </c>
      <c r="J102" s="28">
        <v>0</v>
      </c>
      <c r="K102" s="27">
        <f t="shared" si="8"/>
        <v>0</v>
      </c>
      <c r="L102" s="28">
        <f t="shared" si="9"/>
        <v>0</v>
      </c>
      <c r="M102" s="27">
        <f t="shared" si="10"/>
        <v>0</v>
      </c>
      <c r="N102" s="28">
        <f t="shared" si="11"/>
        <v>0</v>
      </c>
    </row>
    <row r="103" spans="1:14">
      <c r="A103" s="13" t="s">
        <v>207</v>
      </c>
      <c r="B103" s="14" t="s">
        <v>208</v>
      </c>
      <c r="C103" s="29">
        <v>0</v>
      </c>
      <c r="D103" s="29">
        <v>0</v>
      </c>
      <c r="E103" s="25">
        <f t="shared" si="6"/>
        <v>0</v>
      </c>
      <c r="F103" s="29">
        <v>1450</v>
      </c>
      <c r="G103" s="29">
        <v>0</v>
      </c>
      <c r="H103" s="28">
        <f t="shared" si="7"/>
        <v>-1450</v>
      </c>
      <c r="I103" s="29">
        <v>7003.68</v>
      </c>
      <c r="J103" s="29">
        <v>5470.14</v>
      </c>
      <c r="K103" s="27">
        <f t="shared" si="8"/>
        <v>-1533.54</v>
      </c>
      <c r="L103" s="28">
        <f t="shared" si="9"/>
        <v>8453.68</v>
      </c>
      <c r="M103" s="27">
        <f t="shared" si="10"/>
        <v>5470.14</v>
      </c>
      <c r="N103" s="28">
        <f t="shared" si="11"/>
        <v>-2983.54</v>
      </c>
    </row>
    <row r="104" spans="1:14">
      <c r="A104" s="13" t="s">
        <v>209</v>
      </c>
      <c r="B104" s="14" t="s">
        <v>210</v>
      </c>
      <c r="C104" s="25">
        <v>0</v>
      </c>
      <c r="D104" s="25">
        <v>0</v>
      </c>
      <c r="E104" s="25">
        <f t="shared" si="6"/>
        <v>0</v>
      </c>
      <c r="F104" s="26">
        <v>0</v>
      </c>
      <c r="G104" s="30">
        <v>0</v>
      </c>
      <c r="H104" s="28">
        <f t="shared" si="7"/>
        <v>0</v>
      </c>
      <c r="I104" s="30">
        <v>0</v>
      </c>
      <c r="J104" s="30">
        <v>0</v>
      </c>
      <c r="K104" s="27">
        <f t="shared" si="8"/>
        <v>0</v>
      </c>
      <c r="L104" s="28">
        <f t="shared" si="9"/>
        <v>0</v>
      </c>
      <c r="M104" s="27">
        <f t="shared" si="10"/>
        <v>0</v>
      </c>
      <c r="N104" s="28">
        <f t="shared" si="11"/>
        <v>0</v>
      </c>
    </row>
    <row r="105" spans="1:14">
      <c r="A105" s="13" t="s">
        <v>211</v>
      </c>
      <c r="B105" s="14" t="s">
        <v>212</v>
      </c>
      <c r="C105" s="25">
        <v>0</v>
      </c>
      <c r="D105" s="25">
        <v>0</v>
      </c>
      <c r="E105" s="25">
        <f t="shared" si="6"/>
        <v>0</v>
      </c>
      <c r="F105" s="26">
        <v>0</v>
      </c>
      <c r="G105" s="27">
        <v>0</v>
      </c>
      <c r="H105" s="28">
        <f t="shared" si="7"/>
        <v>0</v>
      </c>
      <c r="I105" s="27">
        <v>0</v>
      </c>
      <c r="J105" s="28">
        <v>0</v>
      </c>
      <c r="K105" s="27">
        <f t="shared" si="8"/>
        <v>0</v>
      </c>
      <c r="L105" s="28">
        <f t="shared" si="9"/>
        <v>0</v>
      </c>
      <c r="M105" s="27">
        <f t="shared" si="10"/>
        <v>0</v>
      </c>
      <c r="N105" s="28">
        <f t="shared" si="11"/>
        <v>0</v>
      </c>
    </row>
    <row r="106" spans="1:14">
      <c r="A106" s="13" t="s">
        <v>213</v>
      </c>
      <c r="B106" s="14" t="s">
        <v>214</v>
      </c>
      <c r="C106" s="25">
        <v>0</v>
      </c>
      <c r="D106" s="25">
        <v>0</v>
      </c>
      <c r="E106" s="25">
        <f t="shared" si="6"/>
        <v>0</v>
      </c>
      <c r="F106" s="26">
        <v>0</v>
      </c>
      <c r="G106" s="27">
        <v>0</v>
      </c>
      <c r="H106" s="28">
        <f t="shared" si="7"/>
        <v>0</v>
      </c>
      <c r="I106" s="27">
        <v>0</v>
      </c>
      <c r="J106" s="28">
        <v>0</v>
      </c>
      <c r="K106" s="27">
        <f t="shared" si="8"/>
        <v>0</v>
      </c>
      <c r="L106" s="28">
        <f t="shared" si="9"/>
        <v>0</v>
      </c>
      <c r="M106" s="27">
        <f t="shared" si="10"/>
        <v>0</v>
      </c>
      <c r="N106" s="28">
        <f t="shared" si="11"/>
        <v>0</v>
      </c>
    </row>
    <row r="107" spans="1:14">
      <c r="A107" s="7" t="s">
        <v>215</v>
      </c>
      <c r="B107" s="8" t="s">
        <v>216</v>
      </c>
      <c r="C107" s="25">
        <v>0</v>
      </c>
      <c r="D107" s="25">
        <v>0</v>
      </c>
      <c r="E107" s="25">
        <f t="shared" si="6"/>
        <v>0</v>
      </c>
      <c r="F107" s="26">
        <v>0</v>
      </c>
      <c r="G107" s="27">
        <v>0</v>
      </c>
      <c r="H107" s="28">
        <f t="shared" si="7"/>
        <v>0</v>
      </c>
      <c r="I107" s="27">
        <v>0</v>
      </c>
      <c r="J107" s="28">
        <v>0</v>
      </c>
      <c r="K107" s="27">
        <f t="shared" si="8"/>
        <v>0</v>
      </c>
      <c r="L107" s="28">
        <f t="shared" si="9"/>
        <v>0</v>
      </c>
      <c r="M107" s="27">
        <f t="shared" si="10"/>
        <v>0</v>
      </c>
      <c r="N107" s="28">
        <f t="shared" si="11"/>
        <v>0</v>
      </c>
    </row>
    <row r="108" spans="1:14">
      <c r="A108" s="13" t="s">
        <v>217</v>
      </c>
      <c r="B108" s="14" t="s">
        <v>218</v>
      </c>
      <c r="C108" s="25">
        <v>0</v>
      </c>
      <c r="D108" s="25">
        <v>0</v>
      </c>
      <c r="E108" s="25">
        <f t="shared" si="6"/>
        <v>0</v>
      </c>
      <c r="F108" s="26">
        <v>0</v>
      </c>
      <c r="G108" s="27">
        <v>0</v>
      </c>
      <c r="H108" s="28">
        <f t="shared" si="7"/>
        <v>0</v>
      </c>
      <c r="I108" s="27">
        <v>0</v>
      </c>
      <c r="J108" s="28">
        <v>0</v>
      </c>
      <c r="K108" s="27">
        <f t="shared" si="8"/>
        <v>0</v>
      </c>
      <c r="L108" s="28">
        <f t="shared" si="9"/>
        <v>0</v>
      </c>
      <c r="M108" s="27">
        <f t="shared" si="10"/>
        <v>0</v>
      </c>
      <c r="N108" s="28">
        <f t="shared" si="11"/>
        <v>0</v>
      </c>
    </row>
    <row r="109" spans="1:14">
      <c r="A109" s="13" t="s">
        <v>219</v>
      </c>
      <c r="B109" s="14" t="s">
        <v>220</v>
      </c>
      <c r="C109" s="29">
        <v>0</v>
      </c>
      <c r="D109" s="29">
        <v>0</v>
      </c>
      <c r="E109" s="25">
        <f t="shared" si="6"/>
        <v>0</v>
      </c>
      <c r="F109" s="29">
        <v>0</v>
      </c>
      <c r="G109" s="29">
        <v>0</v>
      </c>
      <c r="H109" s="28">
        <f t="shared" si="7"/>
        <v>0</v>
      </c>
      <c r="I109" s="29">
        <v>0</v>
      </c>
      <c r="J109" s="29">
        <v>0</v>
      </c>
      <c r="K109" s="27">
        <f t="shared" si="8"/>
        <v>0</v>
      </c>
      <c r="L109" s="28">
        <f t="shared" si="9"/>
        <v>0</v>
      </c>
      <c r="M109" s="27">
        <f t="shared" si="10"/>
        <v>0</v>
      </c>
      <c r="N109" s="28">
        <f t="shared" si="11"/>
        <v>0</v>
      </c>
    </row>
    <row r="110" spans="1:14">
      <c r="A110" s="13" t="s">
        <v>221</v>
      </c>
      <c r="B110" s="14" t="s">
        <v>222</v>
      </c>
      <c r="C110" s="25">
        <v>0</v>
      </c>
      <c r="D110" s="25">
        <v>0</v>
      </c>
      <c r="E110" s="25">
        <f t="shared" si="6"/>
        <v>0</v>
      </c>
      <c r="F110" s="26">
        <v>0</v>
      </c>
      <c r="G110" s="30">
        <v>0</v>
      </c>
      <c r="H110" s="28">
        <f t="shared" si="7"/>
        <v>0</v>
      </c>
      <c r="I110" s="30">
        <v>0</v>
      </c>
      <c r="J110" s="30">
        <v>0</v>
      </c>
      <c r="K110" s="27">
        <f t="shared" si="8"/>
        <v>0</v>
      </c>
      <c r="L110" s="28">
        <f t="shared" si="9"/>
        <v>0</v>
      </c>
      <c r="M110" s="27">
        <f t="shared" si="10"/>
        <v>0</v>
      </c>
      <c r="N110" s="28">
        <f t="shared" si="11"/>
        <v>0</v>
      </c>
    </row>
    <row r="111" spans="1:14">
      <c r="A111" s="13" t="s">
        <v>223</v>
      </c>
      <c r="B111" s="14" t="s">
        <v>224</v>
      </c>
      <c r="C111" s="25">
        <v>0</v>
      </c>
      <c r="D111" s="25">
        <v>0</v>
      </c>
      <c r="E111" s="25">
        <f t="shared" si="6"/>
        <v>0</v>
      </c>
      <c r="F111" s="26">
        <v>0</v>
      </c>
      <c r="G111" s="27">
        <v>0</v>
      </c>
      <c r="H111" s="28">
        <f t="shared" si="7"/>
        <v>0</v>
      </c>
      <c r="I111" s="27">
        <v>39130</v>
      </c>
      <c r="J111" s="28">
        <v>284942.65</v>
      </c>
      <c r="K111" s="27">
        <f t="shared" si="8"/>
        <v>245812.65</v>
      </c>
      <c r="L111" s="28">
        <f t="shared" si="9"/>
        <v>39130</v>
      </c>
      <c r="M111" s="27">
        <f t="shared" si="10"/>
        <v>284942.65</v>
      </c>
      <c r="N111" s="28">
        <f t="shared" si="11"/>
        <v>245812.65</v>
      </c>
    </row>
    <row r="112" spans="1:14">
      <c r="A112" s="19" t="s">
        <v>225</v>
      </c>
      <c r="B112" s="19" t="s">
        <v>226</v>
      </c>
      <c r="C112" s="25">
        <v>0</v>
      </c>
      <c r="D112" s="25">
        <v>0</v>
      </c>
      <c r="E112" s="25">
        <f t="shared" si="6"/>
        <v>0</v>
      </c>
      <c r="F112" s="26">
        <v>0</v>
      </c>
      <c r="G112" s="27">
        <v>0</v>
      </c>
      <c r="H112" s="28">
        <f t="shared" si="7"/>
        <v>0</v>
      </c>
      <c r="I112" s="27">
        <v>0</v>
      </c>
      <c r="J112" s="28">
        <v>0</v>
      </c>
      <c r="K112" s="27">
        <f t="shared" si="8"/>
        <v>0</v>
      </c>
      <c r="L112" s="28">
        <f t="shared" si="9"/>
        <v>0</v>
      </c>
      <c r="M112" s="27">
        <f t="shared" si="10"/>
        <v>0</v>
      </c>
      <c r="N112" s="28">
        <f t="shared" si="11"/>
        <v>0</v>
      </c>
    </row>
    <row r="113" spans="1:14">
      <c r="A113" s="7" t="s">
        <v>227</v>
      </c>
      <c r="B113" s="8" t="s">
        <v>228</v>
      </c>
      <c r="C113" s="25">
        <v>0</v>
      </c>
      <c r="D113" s="25">
        <v>0</v>
      </c>
      <c r="E113" s="25">
        <f t="shared" si="6"/>
        <v>0</v>
      </c>
      <c r="F113" s="26">
        <v>0</v>
      </c>
      <c r="G113" s="27">
        <v>0</v>
      </c>
      <c r="H113" s="28">
        <f t="shared" si="7"/>
        <v>0</v>
      </c>
      <c r="I113" s="27">
        <v>0</v>
      </c>
      <c r="J113" s="28">
        <v>0</v>
      </c>
      <c r="K113" s="27">
        <f t="shared" si="8"/>
        <v>0</v>
      </c>
      <c r="L113" s="28">
        <f t="shared" si="9"/>
        <v>0</v>
      </c>
      <c r="M113" s="27">
        <f t="shared" si="10"/>
        <v>0</v>
      </c>
      <c r="N113" s="28">
        <f t="shared" si="11"/>
        <v>0</v>
      </c>
    </row>
    <row r="114" spans="1:14">
      <c r="A114" s="13" t="s">
        <v>229</v>
      </c>
      <c r="B114" s="14" t="s">
        <v>230</v>
      </c>
      <c r="C114" s="25">
        <v>0</v>
      </c>
      <c r="D114" s="25">
        <v>0</v>
      </c>
      <c r="E114" s="25">
        <f t="shared" si="6"/>
        <v>0</v>
      </c>
      <c r="F114" s="26">
        <v>0</v>
      </c>
      <c r="G114" s="27">
        <v>0</v>
      </c>
      <c r="H114" s="28">
        <f t="shared" si="7"/>
        <v>0</v>
      </c>
      <c r="I114" s="27">
        <v>0</v>
      </c>
      <c r="J114" s="28">
        <v>0</v>
      </c>
      <c r="K114" s="27">
        <f t="shared" si="8"/>
        <v>0</v>
      </c>
      <c r="L114" s="28">
        <f t="shared" si="9"/>
        <v>0</v>
      </c>
      <c r="M114" s="27">
        <f t="shared" si="10"/>
        <v>0</v>
      </c>
      <c r="N114" s="28">
        <f t="shared" si="11"/>
        <v>0</v>
      </c>
    </row>
    <row r="115" spans="1:14">
      <c r="A115" s="13" t="s">
        <v>231</v>
      </c>
      <c r="B115" s="14" t="s">
        <v>232</v>
      </c>
      <c r="C115" s="29">
        <v>0</v>
      </c>
      <c r="D115" s="29">
        <v>0</v>
      </c>
      <c r="E115" s="25">
        <f t="shared" si="6"/>
        <v>0</v>
      </c>
      <c r="F115" s="29">
        <v>0</v>
      </c>
      <c r="G115" s="29">
        <v>0</v>
      </c>
      <c r="H115" s="28">
        <f t="shared" si="7"/>
        <v>0</v>
      </c>
      <c r="I115" s="29">
        <v>6370.98</v>
      </c>
      <c r="J115" s="29">
        <v>0</v>
      </c>
      <c r="K115" s="27">
        <f t="shared" si="8"/>
        <v>-6370.98</v>
      </c>
      <c r="L115" s="28">
        <f t="shared" si="9"/>
        <v>6370.98</v>
      </c>
      <c r="M115" s="27">
        <f t="shared" si="10"/>
        <v>0</v>
      </c>
      <c r="N115" s="28">
        <f t="shared" si="11"/>
        <v>-6370.98</v>
      </c>
    </row>
    <row r="116" spans="1:14">
      <c r="A116" s="13" t="s">
        <v>233</v>
      </c>
      <c r="B116" s="14" t="s">
        <v>234</v>
      </c>
      <c r="C116" s="25">
        <v>0</v>
      </c>
      <c r="D116" s="25">
        <v>0</v>
      </c>
      <c r="E116" s="25">
        <f t="shared" si="6"/>
        <v>0</v>
      </c>
      <c r="F116" s="26">
        <v>0</v>
      </c>
      <c r="G116" s="30">
        <v>0</v>
      </c>
      <c r="H116" s="28">
        <f t="shared" si="7"/>
        <v>0</v>
      </c>
      <c r="I116" s="30">
        <v>0</v>
      </c>
      <c r="J116" s="30">
        <v>0</v>
      </c>
      <c r="K116" s="27">
        <f t="shared" si="8"/>
        <v>0</v>
      </c>
      <c r="L116" s="28">
        <f t="shared" si="9"/>
        <v>0</v>
      </c>
      <c r="M116" s="27">
        <f t="shared" si="10"/>
        <v>0</v>
      </c>
      <c r="N116" s="28">
        <f t="shared" si="11"/>
        <v>0</v>
      </c>
    </row>
    <row r="117" spans="1:14">
      <c r="A117" s="13" t="s">
        <v>235</v>
      </c>
      <c r="B117" s="14" t="s">
        <v>236</v>
      </c>
      <c r="C117" s="25">
        <v>0</v>
      </c>
      <c r="D117" s="25">
        <v>0</v>
      </c>
      <c r="E117" s="25">
        <f t="shared" si="6"/>
        <v>0</v>
      </c>
      <c r="F117" s="26">
        <v>0</v>
      </c>
      <c r="G117" s="27">
        <v>0</v>
      </c>
      <c r="H117" s="28">
        <f t="shared" si="7"/>
        <v>0</v>
      </c>
      <c r="I117" s="27">
        <v>0</v>
      </c>
      <c r="J117" s="28">
        <v>0</v>
      </c>
      <c r="K117" s="27">
        <f t="shared" si="8"/>
        <v>0</v>
      </c>
      <c r="L117" s="28">
        <f t="shared" si="9"/>
        <v>0</v>
      </c>
      <c r="M117" s="27">
        <f t="shared" si="10"/>
        <v>0</v>
      </c>
      <c r="N117" s="28">
        <f t="shared" si="11"/>
        <v>0</v>
      </c>
    </row>
    <row r="118" spans="1:14">
      <c r="A118" s="7" t="s">
        <v>237</v>
      </c>
      <c r="B118" s="8" t="s">
        <v>238</v>
      </c>
      <c r="C118" s="25">
        <v>0</v>
      </c>
      <c r="D118" s="25">
        <v>0</v>
      </c>
      <c r="E118" s="25">
        <f t="shared" si="6"/>
        <v>0</v>
      </c>
      <c r="F118" s="26">
        <v>0</v>
      </c>
      <c r="G118" s="27">
        <v>0</v>
      </c>
      <c r="H118" s="28">
        <f t="shared" si="7"/>
        <v>0</v>
      </c>
      <c r="I118" s="27">
        <v>0</v>
      </c>
      <c r="J118" s="28">
        <v>5000</v>
      </c>
      <c r="K118" s="27">
        <f t="shared" si="8"/>
        <v>5000</v>
      </c>
      <c r="L118" s="28">
        <f t="shared" si="9"/>
        <v>0</v>
      </c>
      <c r="M118" s="27">
        <f t="shared" si="10"/>
        <v>5000</v>
      </c>
      <c r="N118" s="28">
        <f t="shared" si="11"/>
        <v>5000</v>
      </c>
    </row>
    <row r="119" spans="1:14">
      <c r="A119" s="13" t="s">
        <v>239</v>
      </c>
      <c r="B119" s="14" t="s">
        <v>240</v>
      </c>
      <c r="C119" s="25">
        <v>0</v>
      </c>
      <c r="D119" s="25">
        <v>0</v>
      </c>
      <c r="E119" s="25">
        <f t="shared" si="6"/>
        <v>0</v>
      </c>
      <c r="F119" s="26">
        <v>0</v>
      </c>
      <c r="G119" s="27">
        <v>0</v>
      </c>
      <c r="H119" s="28">
        <f t="shared" si="7"/>
        <v>0</v>
      </c>
      <c r="I119" s="27">
        <v>0</v>
      </c>
      <c r="J119" s="28">
        <v>0</v>
      </c>
      <c r="K119" s="27">
        <f t="shared" si="8"/>
        <v>0</v>
      </c>
      <c r="L119" s="28">
        <f t="shared" si="9"/>
        <v>0</v>
      </c>
      <c r="M119" s="27">
        <f t="shared" si="10"/>
        <v>0</v>
      </c>
      <c r="N119" s="28">
        <f t="shared" si="11"/>
        <v>0</v>
      </c>
    </row>
    <row r="120" spans="1:14">
      <c r="A120" s="13" t="s">
        <v>241</v>
      </c>
      <c r="B120" s="14" t="s">
        <v>242</v>
      </c>
      <c r="C120" s="25">
        <v>0</v>
      </c>
      <c r="D120" s="25">
        <v>0</v>
      </c>
      <c r="E120" s="25">
        <f t="shared" si="6"/>
        <v>0</v>
      </c>
      <c r="F120" s="26">
        <v>0</v>
      </c>
      <c r="G120" s="27">
        <v>0</v>
      </c>
      <c r="H120" s="28">
        <f t="shared" si="7"/>
        <v>0</v>
      </c>
      <c r="I120" s="27">
        <v>0</v>
      </c>
      <c r="J120" s="28">
        <v>0</v>
      </c>
      <c r="K120" s="27">
        <f t="shared" si="8"/>
        <v>0</v>
      </c>
      <c r="L120" s="28">
        <f t="shared" si="9"/>
        <v>0</v>
      </c>
      <c r="M120" s="27">
        <f t="shared" si="10"/>
        <v>0</v>
      </c>
      <c r="N120" s="28">
        <f t="shared" si="11"/>
        <v>0</v>
      </c>
    </row>
    <row r="121" spans="1:14">
      <c r="A121" s="13" t="s">
        <v>243</v>
      </c>
      <c r="B121" s="14" t="s">
        <v>244</v>
      </c>
      <c r="C121" s="29">
        <v>0</v>
      </c>
      <c r="D121" s="29">
        <v>0</v>
      </c>
      <c r="E121" s="25">
        <f t="shared" si="6"/>
        <v>0</v>
      </c>
      <c r="F121" s="29">
        <v>0</v>
      </c>
      <c r="G121" s="29">
        <v>0</v>
      </c>
      <c r="H121" s="28">
        <f t="shared" si="7"/>
        <v>0</v>
      </c>
      <c r="I121" s="29">
        <v>0</v>
      </c>
      <c r="J121" s="29">
        <v>0</v>
      </c>
      <c r="K121" s="27">
        <f t="shared" si="8"/>
        <v>0</v>
      </c>
      <c r="L121" s="28">
        <f t="shared" si="9"/>
        <v>0</v>
      </c>
      <c r="M121" s="27">
        <f t="shared" si="10"/>
        <v>0</v>
      </c>
      <c r="N121" s="28">
        <f t="shared" si="11"/>
        <v>0</v>
      </c>
    </row>
    <row r="122" spans="1:14">
      <c r="A122" s="13" t="s">
        <v>245</v>
      </c>
      <c r="B122" s="14" t="s">
        <v>246</v>
      </c>
      <c r="C122" s="25">
        <v>0</v>
      </c>
      <c r="D122" s="25">
        <v>0</v>
      </c>
      <c r="E122" s="25">
        <f t="shared" si="6"/>
        <v>0</v>
      </c>
      <c r="F122" s="26">
        <v>0</v>
      </c>
      <c r="G122" s="30">
        <v>0</v>
      </c>
      <c r="H122" s="28">
        <f t="shared" si="7"/>
        <v>0</v>
      </c>
      <c r="I122" s="30">
        <v>0</v>
      </c>
      <c r="J122" s="30">
        <v>0</v>
      </c>
      <c r="K122" s="27">
        <f t="shared" si="8"/>
        <v>0</v>
      </c>
      <c r="L122" s="28">
        <f t="shared" si="9"/>
        <v>0</v>
      </c>
      <c r="M122" s="27">
        <f t="shared" si="10"/>
        <v>0</v>
      </c>
      <c r="N122" s="28">
        <f t="shared" si="11"/>
        <v>0</v>
      </c>
    </row>
    <row r="123" spans="1:14">
      <c r="A123" s="19" t="s">
        <v>247</v>
      </c>
      <c r="B123" s="19" t="s">
        <v>248</v>
      </c>
      <c r="C123" s="25">
        <v>0</v>
      </c>
      <c r="D123" s="25">
        <v>0</v>
      </c>
      <c r="E123" s="25">
        <f t="shared" si="6"/>
        <v>0</v>
      </c>
      <c r="F123" s="26">
        <v>0</v>
      </c>
      <c r="G123" s="27">
        <v>0</v>
      </c>
      <c r="H123" s="28">
        <f t="shared" si="7"/>
        <v>0</v>
      </c>
      <c r="I123" s="27">
        <v>0</v>
      </c>
      <c r="J123" s="28">
        <v>0</v>
      </c>
      <c r="K123" s="27">
        <f t="shared" si="8"/>
        <v>0</v>
      </c>
      <c r="L123" s="28">
        <f t="shared" si="9"/>
        <v>0</v>
      </c>
      <c r="M123" s="27">
        <f t="shared" si="10"/>
        <v>0</v>
      </c>
      <c r="N123" s="28">
        <f t="shared" si="11"/>
        <v>0</v>
      </c>
    </row>
    <row r="124" spans="1:14">
      <c r="A124" s="7" t="s">
        <v>249</v>
      </c>
      <c r="B124" s="8" t="s">
        <v>250</v>
      </c>
      <c r="C124" s="25">
        <v>0</v>
      </c>
      <c r="D124" s="25">
        <v>0</v>
      </c>
      <c r="E124" s="25">
        <f t="shared" si="6"/>
        <v>0</v>
      </c>
      <c r="F124" s="26">
        <v>0</v>
      </c>
      <c r="G124" s="27">
        <v>0</v>
      </c>
      <c r="H124" s="28">
        <f t="shared" si="7"/>
        <v>0</v>
      </c>
      <c r="I124" s="27">
        <v>0</v>
      </c>
      <c r="J124" s="28">
        <v>0</v>
      </c>
      <c r="K124" s="27">
        <f t="shared" si="8"/>
        <v>0</v>
      </c>
      <c r="L124" s="28">
        <f t="shared" si="9"/>
        <v>0</v>
      </c>
      <c r="M124" s="27">
        <f t="shared" si="10"/>
        <v>0</v>
      </c>
      <c r="N124" s="28">
        <f t="shared" si="11"/>
        <v>0</v>
      </c>
    </row>
    <row r="125" spans="1:14">
      <c r="A125" s="13" t="s">
        <v>251</v>
      </c>
      <c r="B125" s="14" t="s">
        <v>252</v>
      </c>
      <c r="C125" s="25">
        <v>0</v>
      </c>
      <c r="D125" s="25">
        <v>0</v>
      </c>
      <c r="E125" s="25">
        <f t="shared" si="6"/>
        <v>0</v>
      </c>
      <c r="F125" s="26">
        <v>0</v>
      </c>
      <c r="G125" s="27">
        <v>0</v>
      </c>
      <c r="H125" s="28">
        <f t="shared" si="7"/>
        <v>0</v>
      </c>
      <c r="I125" s="27">
        <v>0</v>
      </c>
      <c r="J125" s="28">
        <v>0</v>
      </c>
      <c r="K125" s="27">
        <f t="shared" si="8"/>
        <v>0</v>
      </c>
      <c r="L125" s="28">
        <f t="shared" si="9"/>
        <v>0</v>
      </c>
      <c r="M125" s="27">
        <f t="shared" si="10"/>
        <v>0</v>
      </c>
      <c r="N125" s="28">
        <f t="shared" si="11"/>
        <v>0</v>
      </c>
    </row>
    <row r="126" spans="1:14">
      <c r="A126" s="13" t="s">
        <v>253</v>
      </c>
      <c r="B126" s="14" t="s">
        <v>254</v>
      </c>
      <c r="C126" s="25">
        <v>0</v>
      </c>
      <c r="D126" s="25">
        <v>0</v>
      </c>
      <c r="E126" s="25">
        <f t="shared" si="6"/>
        <v>0</v>
      </c>
      <c r="F126" s="26">
        <v>0</v>
      </c>
      <c r="G126" s="27">
        <v>0</v>
      </c>
      <c r="H126" s="28">
        <f t="shared" si="7"/>
        <v>0</v>
      </c>
      <c r="I126" s="27">
        <v>0</v>
      </c>
      <c r="J126" s="28">
        <v>0</v>
      </c>
      <c r="K126" s="27">
        <f t="shared" si="8"/>
        <v>0</v>
      </c>
      <c r="L126" s="28">
        <f t="shared" si="9"/>
        <v>0</v>
      </c>
      <c r="M126" s="27">
        <f t="shared" si="10"/>
        <v>0</v>
      </c>
      <c r="N126" s="28">
        <f t="shared" si="11"/>
        <v>0</v>
      </c>
    </row>
    <row r="127" spans="1:14">
      <c r="A127" s="13" t="s">
        <v>255</v>
      </c>
      <c r="B127" s="14" t="s">
        <v>256</v>
      </c>
      <c r="C127" s="29">
        <v>0</v>
      </c>
      <c r="D127" s="29">
        <v>0</v>
      </c>
      <c r="E127" s="25">
        <f t="shared" si="6"/>
        <v>0</v>
      </c>
      <c r="F127" s="29">
        <v>0</v>
      </c>
      <c r="G127" s="29">
        <v>0</v>
      </c>
      <c r="H127" s="28">
        <f t="shared" si="7"/>
        <v>0</v>
      </c>
      <c r="I127" s="29">
        <v>0</v>
      </c>
      <c r="J127" s="29">
        <v>0</v>
      </c>
      <c r="K127" s="27">
        <f t="shared" si="8"/>
        <v>0</v>
      </c>
      <c r="L127" s="28">
        <f t="shared" si="9"/>
        <v>0</v>
      </c>
      <c r="M127" s="27">
        <f t="shared" si="10"/>
        <v>0</v>
      </c>
      <c r="N127" s="28">
        <f t="shared" si="11"/>
        <v>0</v>
      </c>
    </row>
    <row r="128" spans="1:14">
      <c r="A128" s="13" t="s">
        <v>257</v>
      </c>
      <c r="B128" s="14" t="s">
        <v>258</v>
      </c>
      <c r="C128" s="25">
        <v>0</v>
      </c>
      <c r="D128" s="25">
        <v>0</v>
      </c>
      <c r="E128" s="25">
        <f t="shared" si="6"/>
        <v>0</v>
      </c>
      <c r="F128" s="26">
        <v>0</v>
      </c>
      <c r="G128" s="30">
        <v>0</v>
      </c>
      <c r="H128" s="28">
        <f t="shared" si="7"/>
        <v>0</v>
      </c>
      <c r="I128" s="30">
        <v>0</v>
      </c>
      <c r="J128" s="30">
        <v>0</v>
      </c>
      <c r="K128" s="27">
        <f t="shared" si="8"/>
        <v>0</v>
      </c>
      <c r="L128" s="28">
        <f t="shared" si="9"/>
        <v>0</v>
      </c>
      <c r="M128" s="27">
        <f t="shared" si="10"/>
        <v>0</v>
      </c>
      <c r="N128" s="28">
        <f t="shared" si="11"/>
        <v>0</v>
      </c>
    </row>
    <row r="129" spans="1:14">
      <c r="A129" s="7" t="s">
        <v>259</v>
      </c>
      <c r="B129" s="8" t="s">
        <v>260</v>
      </c>
      <c r="C129" s="25">
        <v>0</v>
      </c>
      <c r="D129" s="25">
        <v>0</v>
      </c>
      <c r="E129" s="25">
        <f t="shared" si="6"/>
        <v>0</v>
      </c>
      <c r="F129" s="26">
        <v>0</v>
      </c>
      <c r="G129" s="27">
        <v>0</v>
      </c>
      <c r="H129" s="28">
        <f t="shared" si="7"/>
        <v>0</v>
      </c>
      <c r="I129" s="27">
        <v>0</v>
      </c>
      <c r="J129" s="28">
        <v>0</v>
      </c>
      <c r="K129" s="27">
        <f t="shared" si="8"/>
        <v>0</v>
      </c>
      <c r="L129" s="28">
        <f t="shared" si="9"/>
        <v>0</v>
      </c>
      <c r="M129" s="27">
        <f t="shared" si="10"/>
        <v>0</v>
      </c>
      <c r="N129" s="28">
        <f t="shared" si="11"/>
        <v>0</v>
      </c>
    </row>
    <row r="130" spans="1:14">
      <c r="A130" s="13" t="s">
        <v>261</v>
      </c>
      <c r="B130" s="14" t="s">
        <v>262</v>
      </c>
      <c r="C130" s="25">
        <v>0</v>
      </c>
      <c r="D130" s="25">
        <v>0</v>
      </c>
      <c r="E130" s="25">
        <f t="shared" si="6"/>
        <v>0</v>
      </c>
      <c r="F130" s="26">
        <v>0</v>
      </c>
      <c r="G130" s="27">
        <v>0</v>
      </c>
      <c r="H130" s="28">
        <f t="shared" si="7"/>
        <v>0</v>
      </c>
      <c r="I130" s="27">
        <v>0</v>
      </c>
      <c r="J130" s="28">
        <v>0</v>
      </c>
      <c r="K130" s="27">
        <f t="shared" si="8"/>
        <v>0</v>
      </c>
      <c r="L130" s="28">
        <f t="shared" si="9"/>
        <v>0</v>
      </c>
      <c r="M130" s="27">
        <f t="shared" si="10"/>
        <v>0</v>
      </c>
      <c r="N130" s="28">
        <f t="shared" si="11"/>
        <v>0</v>
      </c>
    </row>
    <row r="131" spans="1:14">
      <c r="A131" s="13" t="s">
        <v>263</v>
      </c>
      <c r="B131" s="14" t="s">
        <v>264</v>
      </c>
      <c r="C131" s="25">
        <v>0</v>
      </c>
      <c r="D131" s="25">
        <v>0</v>
      </c>
      <c r="E131" s="25">
        <f t="shared" si="6"/>
        <v>0</v>
      </c>
      <c r="F131" s="26">
        <v>0</v>
      </c>
      <c r="G131" s="27">
        <v>0</v>
      </c>
      <c r="H131" s="28">
        <f t="shared" si="7"/>
        <v>0</v>
      </c>
      <c r="I131" s="27">
        <v>0</v>
      </c>
      <c r="J131" s="28">
        <v>0</v>
      </c>
      <c r="K131" s="27">
        <f t="shared" si="8"/>
        <v>0</v>
      </c>
      <c r="L131" s="28">
        <f t="shared" si="9"/>
        <v>0</v>
      </c>
      <c r="M131" s="27">
        <f t="shared" si="10"/>
        <v>0</v>
      </c>
      <c r="N131" s="28">
        <f t="shared" si="11"/>
        <v>0</v>
      </c>
    </row>
    <row r="132" spans="1:14">
      <c r="A132" s="13" t="s">
        <v>265</v>
      </c>
      <c r="B132" s="14" t="s">
        <v>266</v>
      </c>
      <c r="C132" s="25">
        <v>0</v>
      </c>
      <c r="D132" s="25">
        <v>0</v>
      </c>
      <c r="E132" s="25">
        <f t="shared" ref="E132:E192" si="12">D132-C132</f>
        <v>0</v>
      </c>
      <c r="F132" s="26">
        <v>0</v>
      </c>
      <c r="G132" s="27">
        <v>0</v>
      </c>
      <c r="H132" s="28">
        <f t="shared" ref="H132:H192" si="13">G132-F132</f>
        <v>0</v>
      </c>
      <c r="I132" s="27">
        <v>0</v>
      </c>
      <c r="J132" s="28">
        <v>0</v>
      </c>
      <c r="K132" s="27">
        <f t="shared" ref="K132:K192" si="14">J132-I132</f>
        <v>0</v>
      </c>
      <c r="L132" s="28">
        <f t="shared" ref="L132:L192" si="15">C132+F132+I132</f>
        <v>0</v>
      </c>
      <c r="M132" s="27">
        <f t="shared" ref="M132:M192" si="16">D132+G132+J132</f>
        <v>0</v>
      </c>
      <c r="N132" s="28">
        <f t="shared" ref="N132:N192" si="17">M132-L132</f>
        <v>0</v>
      </c>
    </row>
    <row r="133" spans="1:14">
      <c r="A133" s="13" t="s">
        <v>267</v>
      </c>
      <c r="B133" s="14" t="s">
        <v>268</v>
      </c>
      <c r="C133" s="29">
        <v>0</v>
      </c>
      <c r="D133" s="29">
        <v>0</v>
      </c>
      <c r="E133" s="25">
        <f t="shared" si="12"/>
        <v>0</v>
      </c>
      <c r="F133" s="29">
        <v>0</v>
      </c>
      <c r="G133" s="29">
        <v>0</v>
      </c>
      <c r="H133" s="28">
        <f t="shared" si="13"/>
        <v>0</v>
      </c>
      <c r="I133" s="29">
        <v>0</v>
      </c>
      <c r="J133" s="29">
        <v>0</v>
      </c>
      <c r="K133" s="27">
        <f t="shared" si="14"/>
        <v>0</v>
      </c>
      <c r="L133" s="28">
        <f t="shared" si="15"/>
        <v>0</v>
      </c>
      <c r="M133" s="27">
        <f t="shared" si="16"/>
        <v>0</v>
      </c>
      <c r="N133" s="28">
        <f t="shared" si="17"/>
        <v>0</v>
      </c>
    </row>
    <row r="134" spans="1:14">
      <c r="A134" s="19" t="s">
        <v>269</v>
      </c>
      <c r="B134" s="19" t="s">
        <v>270</v>
      </c>
      <c r="C134" s="25">
        <v>0</v>
      </c>
      <c r="D134" s="25">
        <v>0</v>
      </c>
      <c r="E134" s="25">
        <f t="shared" si="12"/>
        <v>0</v>
      </c>
      <c r="F134" s="26">
        <v>0</v>
      </c>
      <c r="G134" s="30">
        <v>0</v>
      </c>
      <c r="H134" s="28">
        <f t="shared" si="13"/>
        <v>0</v>
      </c>
      <c r="I134" s="30">
        <v>0</v>
      </c>
      <c r="J134" s="30">
        <v>0</v>
      </c>
      <c r="K134" s="27">
        <f t="shared" si="14"/>
        <v>0</v>
      </c>
      <c r="L134" s="28">
        <f t="shared" si="15"/>
        <v>0</v>
      </c>
      <c r="M134" s="27">
        <f t="shared" si="16"/>
        <v>0</v>
      </c>
      <c r="N134" s="28">
        <f t="shared" si="17"/>
        <v>0</v>
      </c>
    </row>
    <row r="135" spans="1:14">
      <c r="A135" s="7" t="s">
        <v>271</v>
      </c>
      <c r="B135" s="8" t="s">
        <v>272</v>
      </c>
      <c r="C135" s="25">
        <v>0</v>
      </c>
      <c r="D135" s="25">
        <v>0</v>
      </c>
      <c r="E135" s="25">
        <f t="shared" si="12"/>
        <v>0</v>
      </c>
      <c r="F135" s="26">
        <v>0</v>
      </c>
      <c r="G135" s="27">
        <v>0</v>
      </c>
      <c r="H135" s="28">
        <f t="shared" si="13"/>
        <v>0</v>
      </c>
      <c r="I135" s="27">
        <v>0</v>
      </c>
      <c r="J135" s="28">
        <v>0</v>
      </c>
      <c r="K135" s="27">
        <f t="shared" si="14"/>
        <v>0</v>
      </c>
      <c r="L135" s="28">
        <f t="shared" si="15"/>
        <v>0</v>
      </c>
      <c r="M135" s="27">
        <f t="shared" si="16"/>
        <v>0</v>
      </c>
      <c r="N135" s="28">
        <f t="shared" si="17"/>
        <v>0</v>
      </c>
    </row>
    <row r="136" spans="1:14">
      <c r="A136" s="13" t="s">
        <v>273</v>
      </c>
      <c r="B136" s="14" t="s">
        <v>274</v>
      </c>
      <c r="C136" s="25">
        <v>0</v>
      </c>
      <c r="D136" s="25">
        <v>0</v>
      </c>
      <c r="E136" s="25">
        <f t="shared" si="12"/>
        <v>0</v>
      </c>
      <c r="F136" s="26">
        <v>0</v>
      </c>
      <c r="G136" s="27">
        <v>0</v>
      </c>
      <c r="H136" s="28">
        <f t="shared" si="13"/>
        <v>0</v>
      </c>
      <c r="I136" s="27">
        <v>0</v>
      </c>
      <c r="J136" s="28">
        <v>0</v>
      </c>
      <c r="K136" s="27">
        <f t="shared" si="14"/>
        <v>0</v>
      </c>
      <c r="L136" s="28">
        <f t="shared" si="15"/>
        <v>0</v>
      </c>
      <c r="M136" s="27">
        <f t="shared" si="16"/>
        <v>0</v>
      </c>
      <c r="N136" s="28">
        <f t="shared" si="17"/>
        <v>0</v>
      </c>
    </row>
    <row r="137" spans="1:14">
      <c r="A137" s="13" t="s">
        <v>275</v>
      </c>
      <c r="B137" s="14" t="s">
        <v>276</v>
      </c>
      <c r="C137" s="25">
        <v>0</v>
      </c>
      <c r="D137" s="25">
        <v>0</v>
      </c>
      <c r="E137" s="25">
        <f t="shared" si="12"/>
        <v>0</v>
      </c>
      <c r="F137" s="26">
        <v>0</v>
      </c>
      <c r="G137" s="27">
        <v>0</v>
      </c>
      <c r="H137" s="28">
        <f t="shared" si="13"/>
        <v>0</v>
      </c>
      <c r="I137" s="27">
        <v>0</v>
      </c>
      <c r="J137" s="28">
        <v>0</v>
      </c>
      <c r="K137" s="27">
        <f t="shared" si="14"/>
        <v>0</v>
      </c>
      <c r="L137" s="28">
        <f t="shared" si="15"/>
        <v>0</v>
      </c>
      <c r="M137" s="27">
        <f t="shared" si="16"/>
        <v>0</v>
      </c>
      <c r="N137" s="28">
        <f t="shared" si="17"/>
        <v>0</v>
      </c>
    </row>
    <row r="138" spans="1:14">
      <c r="A138" s="13" t="s">
        <v>277</v>
      </c>
      <c r="B138" s="14" t="s">
        <v>278</v>
      </c>
      <c r="C138" s="25">
        <v>0</v>
      </c>
      <c r="D138" s="25">
        <v>0</v>
      </c>
      <c r="E138" s="25">
        <f t="shared" si="12"/>
        <v>0</v>
      </c>
      <c r="F138" s="26">
        <v>0</v>
      </c>
      <c r="G138" s="27">
        <v>0</v>
      </c>
      <c r="H138" s="28">
        <f t="shared" si="13"/>
        <v>0</v>
      </c>
      <c r="I138" s="27">
        <v>0</v>
      </c>
      <c r="J138" s="28">
        <v>0</v>
      </c>
      <c r="K138" s="27">
        <f t="shared" si="14"/>
        <v>0</v>
      </c>
      <c r="L138" s="28">
        <f t="shared" si="15"/>
        <v>0</v>
      </c>
      <c r="M138" s="27">
        <f t="shared" si="16"/>
        <v>0</v>
      </c>
      <c r="N138" s="28">
        <f t="shared" si="17"/>
        <v>0</v>
      </c>
    </row>
    <row r="139" spans="1:14">
      <c r="A139" s="13" t="s">
        <v>279</v>
      </c>
      <c r="B139" s="14" t="s">
        <v>280</v>
      </c>
      <c r="C139" s="29">
        <v>0</v>
      </c>
      <c r="D139" s="29">
        <v>0</v>
      </c>
      <c r="E139" s="25">
        <f t="shared" si="12"/>
        <v>0</v>
      </c>
      <c r="F139" s="29">
        <v>0</v>
      </c>
      <c r="G139" s="29">
        <v>0</v>
      </c>
      <c r="H139" s="28">
        <f t="shared" si="13"/>
        <v>0</v>
      </c>
      <c r="I139" s="29">
        <v>0</v>
      </c>
      <c r="J139" s="29">
        <v>0</v>
      </c>
      <c r="K139" s="27">
        <f t="shared" si="14"/>
        <v>0</v>
      </c>
      <c r="L139" s="28">
        <f t="shared" si="15"/>
        <v>0</v>
      </c>
      <c r="M139" s="27">
        <f t="shared" si="16"/>
        <v>0</v>
      </c>
      <c r="N139" s="28">
        <f t="shared" si="17"/>
        <v>0</v>
      </c>
    </row>
    <row r="140" spans="1:14">
      <c r="A140" s="7" t="s">
        <v>281</v>
      </c>
      <c r="B140" s="8" t="s">
        <v>282</v>
      </c>
      <c r="C140" s="25">
        <v>0</v>
      </c>
      <c r="D140" s="25">
        <v>0</v>
      </c>
      <c r="E140" s="25">
        <f t="shared" si="12"/>
        <v>0</v>
      </c>
      <c r="F140" s="26">
        <v>0</v>
      </c>
      <c r="G140" s="30">
        <v>0</v>
      </c>
      <c r="H140" s="28">
        <f t="shared" si="13"/>
        <v>0</v>
      </c>
      <c r="I140" s="30">
        <v>0</v>
      </c>
      <c r="J140" s="30">
        <v>0</v>
      </c>
      <c r="K140" s="27">
        <f t="shared" si="14"/>
        <v>0</v>
      </c>
      <c r="L140" s="28">
        <f t="shared" si="15"/>
        <v>0</v>
      </c>
      <c r="M140" s="27">
        <f t="shared" si="16"/>
        <v>0</v>
      </c>
      <c r="N140" s="28">
        <f t="shared" si="17"/>
        <v>0</v>
      </c>
    </row>
    <row r="141" spans="1:14">
      <c r="A141" s="13" t="s">
        <v>283</v>
      </c>
      <c r="B141" s="14" t="s">
        <v>284</v>
      </c>
      <c r="C141" s="25">
        <v>0</v>
      </c>
      <c r="D141" s="25">
        <v>0</v>
      </c>
      <c r="E141" s="25">
        <f t="shared" si="12"/>
        <v>0</v>
      </c>
      <c r="F141" s="26">
        <v>0</v>
      </c>
      <c r="G141" s="27">
        <v>0</v>
      </c>
      <c r="H141" s="28">
        <f t="shared" si="13"/>
        <v>0</v>
      </c>
      <c r="I141" s="27">
        <v>0</v>
      </c>
      <c r="J141" s="28">
        <v>0</v>
      </c>
      <c r="K141" s="27">
        <f t="shared" si="14"/>
        <v>0</v>
      </c>
      <c r="L141" s="28">
        <f t="shared" si="15"/>
        <v>0</v>
      </c>
      <c r="M141" s="27">
        <f t="shared" si="16"/>
        <v>0</v>
      </c>
      <c r="N141" s="28">
        <f t="shared" si="17"/>
        <v>0</v>
      </c>
    </row>
    <row r="142" spans="1:14">
      <c r="A142" s="13" t="s">
        <v>285</v>
      </c>
      <c r="B142" s="14" t="s">
        <v>286</v>
      </c>
      <c r="C142" s="25">
        <v>0</v>
      </c>
      <c r="D142" s="25">
        <v>0</v>
      </c>
      <c r="E142" s="25">
        <f t="shared" si="12"/>
        <v>0</v>
      </c>
      <c r="F142" s="26">
        <v>0</v>
      </c>
      <c r="G142" s="27">
        <v>0</v>
      </c>
      <c r="H142" s="28">
        <f t="shared" si="13"/>
        <v>0</v>
      </c>
      <c r="I142" s="27">
        <v>0</v>
      </c>
      <c r="J142" s="28">
        <v>0</v>
      </c>
      <c r="K142" s="27">
        <f t="shared" si="14"/>
        <v>0</v>
      </c>
      <c r="L142" s="28">
        <f t="shared" si="15"/>
        <v>0</v>
      </c>
      <c r="M142" s="27">
        <f t="shared" si="16"/>
        <v>0</v>
      </c>
      <c r="N142" s="28">
        <f t="shared" si="17"/>
        <v>0</v>
      </c>
    </row>
    <row r="143" spans="1:14">
      <c r="A143" s="13" t="s">
        <v>287</v>
      </c>
      <c r="B143" s="14" t="s">
        <v>288</v>
      </c>
      <c r="C143" s="25">
        <v>0</v>
      </c>
      <c r="D143" s="25">
        <v>0</v>
      </c>
      <c r="E143" s="25">
        <f t="shared" si="12"/>
        <v>0</v>
      </c>
      <c r="F143" s="26">
        <v>0</v>
      </c>
      <c r="G143" s="27">
        <v>0</v>
      </c>
      <c r="H143" s="28">
        <f t="shared" si="13"/>
        <v>0</v>
      </c>
      <c r="I143" s="27">
        <v>0</v>
      </c>
      <c r="J143" s="28">
        <v>0</v>
      </c>
      <c r="K143" s="27">
        <f t="shared" si="14"/>
        <v>0</v>
      </c>
      <c r="L143" s="28">
        <f t="shared" si="15"/>
        <v>0</v>
      </c>
      <c r="M143" s="27">
        <f t="shared" si="16"/>
        <v>0</v>
      </c>
      <c r="N143" s="28">
        <f t="shared" si="17"/>
        <v>0</v>
      </c>
    </row>
    <row r="144" spans="1:14">
      <c r="A144" s="13" t="s">
        <v>289</v>
      </c>
      <c r="B144" s="14" t="s">
        <v>290</v>
      </c>
      <c r="C144" s="25">
        <v>0</v>
      </c>
      <c r="D144" s="25">
        <v>0</v>
      </c>
      <c r="E144" s="25">
        <f t="shared" si="12"/>
        <v>0</v>
      </c>
      <c r="F144" s="26">
        <v>0</v>
      </c>
      <c r="G144" s="27">
        <v>0</v>
      </c>
      <c r="H144" s="28">
        <f t="shared" si="13"/>
        <v>0</v>
      </c>
      <c r="I144" s="27">
        <v>0</v>
      </c>
      <c r="J144" s="28">
        <v>0</v>
      </c>
      <c r="K144" s="27">
        <f t="shared" si="14"/>
        <v>0</v>
      </c>
      <c r="L144" s="28">
        <f t="shared" si="15"/>
        <v>0</v>
      </c>
      <c r="M144" s="27">
        <f t="shared" si="16"/>
        <v>0</v>
      </c>
      <c r="N144" s="28">
        <f t="shared" si="17"/>
        <v>0</v>
      </c>
    </row>
    <row r="145" spans="1:14">
      <c r="A145" s="19" t="s">
        <v>291</v>
      </c>
      <c r="B145" s="19" t="s">
        <v>292</v>
      </c>
      <c r="C145" s="29">
        <v>0</v>
      </c>
      <c r="D145" s="29">
        <v>0</v>
      </c>
      <c r="E145" s="25">
        <f t="shared" si="12"/>
        <v>0</v>
      </c>
      <c r="F145" s="29">
        <v>0</v>
      </c>
      <c r="G145" s="29">
        <v>0</v>
      </c>
      <c r="H145" s="28">
        <f t="shared" si="13"/>
        <v>0</v>
      </c>
      <c r="I145" s="29">
        <v>0</v>
      </c>
      <c r="J145" s="29">
        <v>0</v>
      </c>
      <c r="K145" s="27">
        <f t="shared" si="14"/>
        <v>0</v>
      </c>
      <c r="L145" s="28">
        <f t="shared" si="15"/>
        <v>0</v>
      </c>
      <c r="M145" s="27">
        <f t="shared" si="16"/>
        <v>0</v>
      </c>
      <c r="N145" s="28">
        <f t="shared" si="17"/>
        <v>0</v>
      </c>
    </row>
    <row r="146" spans="1:14">
      <c r="A146" s="7" t="s">
        <v>293</v>
      </c>
      <c r="B146" s="8" t="s">
        <v>294</v>
      </c>
      <c r="C146" s="25">
        <v>0</v>
      </c>
      <c r="D146" s="25">
        <v>0</v>
      </c>
      <c r="E146" s="25">
        <f t="shared" si="12"/>
        <v>0</v>
      </c>
      <c r="F146" s="26">
        <v>0</v>
      </c>
      <c r="G146" s="30">
        <v>0</v>
      </c>
      <c r="H146" s="28">
        <f t="shared" si="13"/>
        <v>0</v>
      </c>
      <c r="I146" s="30">
        <v>0</v>
      </c>
      <c r="J146" s="30">
        <v>0</v>
      </c>
      <c r="K146" s="27">
        <f t="shared" si="14"/>
        <v>0</v>
      </c>
      <c r="L146" s="28">
        <f t="shared" si="15"/>
        <v>0</v>
      </c>
      <c r="M146" s="27">
        <f t="shared" si="16"/>
        <v>0</v>
      </c>
      <c r="N146" s="28">
        <f t="shared" si="17"/>
        <v>0</v>
      </c>
    </row>
    <row r="147" spans="1:14">
      <c r="A147" s="13" t="s">
        <v>295</v>
      </c>
      <c r="B147" s="14" t="s">
        <v>296</v>
      </c>
      <c r="C147" s="25">
        <v>0</v>
      </c>
      <c r="D147" s="25">
        <v>0</v>
      </c>
      <c r="E147" s="25">
        <f t="shared" si="12"/>
        <v>0</v>
      </c>
      <c r="F147" s="26">
        <v>0</v>
      </c>
      <c r="G147" s="27">
        <v>0</v>
      </c>
      <c r="H147" s="28">
        <f t="shared" si="13"/>
        <v>0</v>
      </c>
      <c r="I147" s="27">
        <v>0</v>
      </c>
      <c r="J147" s="28">
        <v>0</v>
      </c>
      <c r="K147" s="27">
        <f t="shared" si="14"/>
        <v>0</v>
      </c>
      <c r="L147" s="28">
        <f t="shared" si="15"/>
        <v>0</v>
      </c>
      <c r="M147" s="27">
        <f t="shared" si="16"/>
        <v>0</v>
      </c>
      <c r="N147" s="28">
        <f t="shared" si="17"/>
        <v>0</v>
      </c>
    </row>
    <row r="148" spans="1:14">
      <c r="A148" s="13" t="s">
        <v>297</v>
      </c>
      <c r="B148" s="14" t="s">
        <v>298</v>
      </c>
      <c r="C148" s="25">
        <v>0</v>
      </c>
      <c r="D148" s="25">
        <v>0</v>
      </c>
      <c r="E148" s="25">
        <f t="shared" si="12"/>
        <v>0</v>
      </c>
      <c r="F148" s="26">
        <v>0</v>
      </c>
      <c r="G148" s="27">
        <v>0</v>
      </c>
      <c r="H148" s="28">
        <f t="shared" si="13"/>
        <v>0</v>
      </c>
      <c r="I148" s="27">
        <v>0</v>
      </c>
      <c r="J148" s="28">
        <v>0</v>
      </c>
      <c r="K148" s="27">
        <f t="shared" si="14"/>
        <v>0</v>
      </c>
      <c r="L148" s="28">
        <f t="shared" si="15"/>
        <v>0</v>
      </c>
      <c r="M148" s="27">
        <f t="shared" si="16"/>
        <v>0</v>
      </c>
      <c r="N148" s="28">
        <f t="shared" si="17"/>
        <v>0</v>
      </c>
    </row>
    <row r="149" spans="1:14">
      <c r="A149" s="13" t="s">
        <v>299</v>
      </c>
      <c r="B149" s="14" t="s">
        <v>300</v>
      </c>
      <c r="C149" s="25">
        <v>0</v>
      </c>
      <c r="D149" s="25">
        <v>0</v>
      </c>
      <c r="E149" s="25">
        <f t="shared" si="12"/>
        <v>0</v>
      </c>
      <c r="F149" s="26">
        <v>0</v>
      </c>
      <c r="G149" s="27">
        <v>0</v>
      </c>
      <c r="H149" s="28">
        <f t="shared" si="13"/>
        <v>0</v>
      </c>
      <c r="I149" s="27">
        <v>0</v>
      </c>
      <c r="J149" s="28">
        <v>0</v>
      </c>
      <c r="K149" s="27">
        <f t="shared" si="14"/>
        <v>0</v>
      </c>
      <c r="L149" s="28">
        <f t="shared" si="15"/>
        <v>0</v>
      </c>
      <c r="M149" s="27">
        <f t="shared" si="16"/>
        <v>0</v>
      </c>
      <c r="N149" s="28">
        <f t="shared" si="17"/>
        <v>0</v>
      </c>
    </row>
    <row r="150" spans="1:14">
      <c r="A150" s="13" t="s">
        <v>301</v>
      </c>
      <c r="B150" s="14" t="s">
        <v>302</v>
      </c>
      <c r="C150" s="25">
        <v>0</v>
      </c>
      <c r="D150" s="25">
        <v>0</v>
      </c>
      <c r="E150" s="25">
        <f t="shared" si="12"/>
        <v>0</v>
      </c>
      <c r="F150" s="26">
        <v>0</v>
      </c>
      <c r="G150" s="27">
        <v>0</v>
      </c>
      <c r="H150" s="28">
        <f t="shared" si="13"/>
        <v>0</v>
      </c>
      <c r="I150" s="27">
        <v>0</v>
      </c>
      <c r="J150" s="28">
        <v>0</v>
      </c>
      <c r="K150" s="27">
        <f t="shared" si="14"/>
        <v>0</v>
      </c>
      <c r="L150" s="28">
        <f t="shared" si="15"/>
        <v>0</v>
      </c>
      <c r="M150" s="27">
        <f t="shared" si="16"/>
        <v>0</v>
      </c>
      <c r="N150" s="28">
        <f t="shared" si="17"/>
        <v>0</v>
      </c>
    </row>
    <row r="151" spans="1:14">
      <c r="A151" s="7" t="s">
        <v>303</v>
      </c>
      <c r="B151" s="8" t="s">
        <v>304</v>
      </c>
      <c r="C151" s="29">
        <v>0</v>
      </c>
      <c r="D151" s="29">
        <v>0</v>
      </c>
      <c r="E151" s="25">
        <f t="shared" si="12"/>
        <v>0</v>
      </c>
      <c r="F151" s="29">
        <v>0</v>
      </c>
      <c r="G151" s="29">
        <v>0</v>
      </c>
      <c r="H151" s="28">
        <f t="shared" si="13"/>
        <v>0</v>
      </c>
      <c r="I151" s="29">
        <v>0</v>
      </c>
      <c r="J151" s="29">
        <v>0</v>
      </c>
      <c r="K151" s="27">
        <f t="shared" si="14"/>
        <v>0</v>
      </c>
      <c r="L151" s="28">
        <f t="shared" si="15"/>
        <v>0</v>
      </c>
      <c r="M151" s="27">
        <f t="shared" si="16"/>
        <v>0</v>
      </c>
      <c r="N151" s="28">
        <f t="shared" si="17"/>
        <v>0</v>
      </c>
    </row>
    <row r="152" spans="1:14">
      <c r="A152" s="13" t="s">
        <v>305</v>
      </c>
      <c r="B152" s="14" t="s">
        <v>306</v>
      </c>
      <c r="C152" s="25">
        <v>0</v>
      </c>
      <c r="D152" s="25">
        <v>0</v>
      </c>
      <c r="E152" s="25">
        <f t="shared" si="12"/>
        <v>0</v>
      </c>
      <c r="F152" s="26">
        <v>0</v>
      </c>
      <c r="G152" s="30">
        <v>0</v>
      </c>
      <c r="H152" s="28">
        <f t="shared" si="13"/>
        <v>0</v>
      </c>
      <c r="I152" s="30">
        <v>0</v>
      </c>
      <c r="J152" s="30">
        <v>0</v>
      </c>
      <c r="K152" s="27">
        <f t="shared" si="14"/>
        <v>0</v>
      </c>
      <c r="L152" s="28">
        <f t="shared" si="15"/>
        <v>0</v>
      </c>
      <c r="M152" s="27">
        <f t="shared" si="16"/>
        <v>0</v>
      </c>
      <c r="N152" s="28">
        <f t="shared" si="17"/>
        <v>0</v>
      </c>
    </row>
    <row r="153" spans="1:14">
      <c r="A153" s="13" t="s">
        <v>307</v>
      </c>
      <c r="B153" s="14" t="s">
        <v>308</v>
      </c>
      <c r="C153" s="25">
        <v>0</v>
      </c>
      <c r="D153" s="25">
        <v>0</v>
      </c>
      <c r="E153" s="25">
        <f t="shared" si="12"/>
        <v>0</v>
      </c>
      <c r="F153" s="26">
        <v>0</v>
      </c>
      <c r="G153" s="27">
        <v>0</v>
      </c>
      <c r="H153" s="28">
        <f t="shared" si="13"/>
        <v>0</v>
      </c>
      <c r="I153" s="27">
        <v>0</v>
      </c>
      <c r="J153" s="28">
        <v>0</v>
      </c>
      <c r="K153" s="27">
        <f t="shared" si="14"/>
        <v>0</v>
      </c>
      <c r="L153" s="28">
        <f t="shared" si="15"/>
        <v>0</v>
      </c>
      <c r="M153" s="27">
        <f t="shared" si="16"/>
        <v>0</v>
      </c>
      <c r="N153" s="28">
        <f t="shared" si="17"/>
        <v>0</v>
      </c>
    </row>
    <row r="154" spans="1:14">
      <c r="A154" s="13" t="s">
        <v>309</v>
      </c>
      <c r="B154" s="14" t="s">
        <v>310</v>
      </c>
      <c r="C154" s="25">
        <v>0</v>
      </c>
      <c r="D154" s="25">
        <v>0</v>
      </c>
      <c r="E154" s="25">
        <f t="shared" si="12"/>
        <v>0</v>
      </c>
      <c r="F154" s="26">
        <v>0</v>
      </c>
      <c r="G154" s="27">
        <v>0</v>
      </c>
      <c r="H154" s="28">
        <f t="shared" si="13"/>
        <v>0</v>
      </c>
      <c r="I154" s="27">
        <v>0</v>
      </c>
      <c r="J154" s="28">
        <v>0</v>
      </c>
      <c r="K154" s="27">
        <f t="shared" si="14"/>
        <v>0</v>
      </c>
      <c r="L154" s="28">
        <f t="shared" si="15"/>
        <v>0</v>
      </c>
      <c r="M154" s="27">
        <f t="shared" si="16"/>
        <v>0</v>
      </c>
      <c r="N154" s="28">
        <f t="shared" si="17"/>
        <v>0</v>
      </c>
    </row>
    <row r="155" spans="1:14">
      <c r="A155" s="13" t="s">
        <v>311</v>
      </c>
      <c r="B155" s="14" t="s">
        <v>312</v>
      </c>
      <c r="C155" s="25">
        <v>0</v>
      </c>
      <c r="D155" s="25">
        <v>0</v>
      </c>
      <c r="E155" s="25">
        <f t="shared" si="12"/>
        <v>0</v>
      </c>
      <c r="F155" s="26">
        <v>0</v>
      </c>
      <c r="G155" s="27">
        <v>0</v>
      </c>
      <c r="H155" s="28">
        <f t="shared" si="13"/>
        <v>0</v>
      </c>
      <c r="I155" s="27">
        <v>0</v>
      </c>
      <c r="J155" s="28">
        <v>0</v>
      </c>
      <c r="K155" s="27">
        <f t="shared" si="14"/>
        <v>0</v>
      </c>
      <c r="L155" s="28">
        <f t="shared" si="15"/>
        <v>0</v>
      </c>
      <c r="M155" s="27">
        <f t="shared" si="16"/>
        <v>0</v>
      </c>
      <c r="N155" s="28">
        <f t="shared" si="17"/>
        <v>0</v>
      </c>
    </row>
    <row r="156" spans="1:14">
      <c r="A156" s="19" t="s">
        <v>313</v>
      </c>
      <c r="B156" s="19" t="s">
        <v>314</v>
      </c>
      <c r="C156" s="25">
        <v>0</v>
      </c>
      <c r="D156" s="25">
        <v>0</v>
      </c>
      <c r="E156" s="25">
        <f t="shared" si="12"/>
        <v>0</v>
      </c>
      <c r="F156" s="26">
        <v>0</v>
      </c>
      <c r="G156" s="27">
        <v>0</v>
      </c>
      <c r="H156" s="28">
        <f t="shared" si="13"/>
        <v>0</v>
      </c>
      <c r="I156" s="27">
        <v>0</v>
      </c>
      <c r="J156" s="28">
        <v>0</v>
      </c>
      <c r="K156" s="27">
        <f t="shared" si="14"/>
        <v>0</v>
      </c>
      <c r="L156" s="28">
        <f t="shared" si="15"/>
        <v>0</v>
      </c>
      <c r="M156" s="27">
        <f t="shared" si="16"/>
        <v>0</v>
      </c>
      <c r="N156" s="28">
        <f t="shared" si="17"/>
        <v>0</v>
      </c>
    </row>
    <row r="157" spans="1:14">
      <c r="A157" s="7" t="s">
        <v>315</v>
      </c>
      <c r="B157" s="8" t="s">
        <v>316</v>
      </c>
      <c r="C157" s="29">
        <v>0</v>
      </c>
      <c r="D157" s="29">
        <v>0</v>
      </c>
      <c r="E157" s="25">
        <f t="shared" si="12"/>
        <v>0</v>
      </c>
      <c r="F157" s="29">
        <v>0</v>
      </c>
      <c r="G157" s="31">
        <v>0</v>
      </c>
      <c r="H157" s="28">
        <f t="shared" si="13"/>
        <v>0</v>
      </c>
      <c r="I157" s="31">
        <v>0</v>
      </c>
      <c r="J157" s="32">
        <v>0</v>
      </c>
      <c r="K157" s="27">
        <f t="shared" si="14"/>
        <v>0</v>
      </c>
      <c r="L157" s="28">
        <f t="shared" si="15"/>
        <v>0</v>
      </c>
      <c r="M157" s="27">
        <f t="shared" si="16"/>
        <v>0</v>
      </c>
      <c r="N157" s="28">
        <f t="shared" si="17"/>
        <v>0</v>
      </c>
    </row>
    <row r="158" spans="1:14">
      <c r="A158" s="13" t="s">
        <v>317</v>
      </c>
      <c r="B158" s="14" t="s">
        <v>318</v>
      </c>
      <c r="C158" s="28">
        <v>0</v>
      </c>
      <c r="D158" s="28">
        <v>0</v>
      </c>
      <c r="E158" s="25">
        <f t="shared" si="12"/>
        <v>0</v>
      </c>
      <c r="F158" s="28">
        <v>0</v>
      </c>
      <c r="G158" s="28">
        <v>0</v>
      </c>
      <c r="H158" s="28">
        <f t="shared" si="13"/>
        <v>0</v>
      </c>
      <c r="I158" s="28">
        <v>0</v>
      </c>
      <c r="J158" s="28">
        <v>0</v>
      </c>
      <c r="K158" s="27">
        <f t="shared" si="14"/>
        <v>0</v>
      </c>
      <c r="L158" s="28">
        <f t="shared" si="15"/>
        <v>0</v>
      </c>
      <c r="M158" s="27">
        <f t="shared" si="16"/>
        <v>0</v>
      </c>
      <c r="N158" s="28">
        <f t="shared" si="17"/>
        <v>0</v>
      </c>
    </row>
    <row r="159" spans="1:14">
      <c r="A159" s="13" t="s">
        <v>319</v>
      </c>
      <c r="B159" s="14" t="s">
        <v>320</v>
      </c>
      <c r="C159" s="28">
        <v>0</v>
      </c>
      <c r="D159" s="28">
        <v>0</v>
      </c>
      <c r="E159" s="25">
        <f t="shared" si="12"/>
        <v>0</v>
      </c>
      <c r="F159" s="28">
        <v>0</v>
      </c>
      <c r="G159" s="28">
        <v>0</v>
      </c>
      <c r="H159" s="28">
        <f t="shared" si="13"/>
        <v>0</v>
      </c>
      <c r="I159" s="28">
        <v>0</v>
      </c>
      <c r="J159" s="28">
        <v>0</v>
      </c>
      <c r="K159" s="27">
        <f t="shared" si="14"/>
        <v>0</v>
      </c>
      <c r="L159" s="28">
        <f t="shared" si="15"/>
        <v>0</v>
      </c>
      <c r="M159" s="27">
        <f t="shared" si="16"/>
        <v>0</v>
      </c>
      <c r="N159" s="28">
        <f t="shared" si="17"/>
        <v>0</v>
      </c>
    </row>
    <row r="160" spans="1:14">
      <c r="A160" s="13" t="s">
        <v>321</v>
      </c>
      <c r="B160" s="14" t="s">
        <v>322</v>
      </c>
      <c r="C160" s="32">
        <v>0</v>
      </c>
      <c r="D160" s="32">
        <v>0</v>
      </c>
      <c r="E160" s="25">
        <f t="shared" si="12"/>
        <v>0</v>
      </c>
      <c r="F160" s="32">
        <v>0</v>
      </c>
      <c r="G160" s="32">
        <v>0</v>
      </c>
      <c r="H160" s="28">
        <f t="shared" si="13"/>
        <v>0</v>
      </c>
      <c r="I160" s="32">
        <v>0</v>
      </c>
      <c r="J160" s="32">
        <v>0</v>
      </c>
      <c r="K160" s="27">
        <f t="shared" si="14"/>
        <v>0</v>
      </c>
      <c r="L160" s="28">
        <f t="shared" si="15"/>
        <v>0</v>
      </c>
      <c r="M160" s="27">
        <f t="shared" si="16"/>
        <v>0</v>
      </c>
      <c r="N160" s="28">
        <f t="shared" si="17"/>
        <v>0</v>
      </c>
    </row>
    <row r="161" spans="1:14">
      <c r="A161" s="13" t="s">
        <v>323</v>
      </c>
      <c r="B161" s="14" t="s">
        <v>324</v>
      </c>
      <c r="C161" s="28">
        <v>0</v>
      </c>
      <c r="D161" s="28">
        <v>0</v>
      </c>
      <c r="E161" s="25">
        <f t="shared" si="12"/>
        <v>0</v>
      </c>
      <c r="F161" s="28">
        <v>0</v>
      </c>
      <c r="G161" s="28">
        <v>0</v>
      </c>
      <c r="H161" s="28">
        <f t="shared" si="13"/>
        <v>0</v>
      </c>
      <c r="I161" s="28">
        <v>0</v>
      </c>
      <c r="J161" s="28">
        <v>0</v>
      </c>
      <c r="K161" s="27">
        <f t="shared" si="14"/>
        <v>0</v>
      </c>
      <c r="L161" s="28">
        <f t="shared" si="15"/>
        <v>0</v>
      </c>
      <c r="M161" s="27">
        <f t="shared" si="16"/>
        <v>0</v>
      </c>
      <c r="N161" s="28">
        <f t="shared" si="17"/>
        <v>0</v>
      </c>
    </row>
    <row r="162" spans="1:14">
      <c r="A162" s="7" t="s">
        <v>325</v>
      </c>
      <c r="B162" s="8" t="s">
        <v>326</v>
      </c>
      <c r="C162" s="28">
        <v>0</v>
      </c>
      <c r="D162" s="28">
        <v>0</v>
      </c>
      <c r="E162" s="25">
        <f t="shared" si="12"/>
        <v>0</v>
      </c>
      <c r="F162" s="28">
        <v>0</v>
      </c>
      <c r="G162" s="28">
        <v>0</v>
      </c>
      <c r="H162" s="28">
        <f t="shared" si="13"/>
        <v>0</v>
      </c>
      <c r="I162" s="28">
        <v>0</v>
      </c>
      <c r="J162" s="28">
        <v>0</v>
      </c>
      <c r="K162" s="27">
        <f t="shared" si="14"/>
        <v>0</v>
      </c>
      <c r="L162" s="28">
        <f t="shared" si="15"/>
        <v>0</v>
      </c>
      <c r="M162" s="27">
        <f t="shared" si="16"/>
        <v>0</v>
      </c>
      <c r="N162" s="28">
        <f t="shared" si="17"/>
        <v>0</v>
      </c>
    </row>
    <row r="163" spans="1:14">
      <c r="A163" s="13" t="s">
        <v>327</v>
      </c>
      <c r="B163" s="14" t="s">
        <v>328</v>
      </c>
      <c r="C163" s="28">
        <v>0</v>
      </c>
      <c r="D163" s="28">
        <v>0</v>
      </c>
      <c r="E163" s="25">
        <f t="shared" si="12"/>
        <v>0</v>
      </c>
      <c r="F163" s="28">
        <v>0</v>
      </c>
      <c r="G163" s="28">
        <v>0</v>
      </c>
      <c r="H163" s="28">
        <f t="shared" si="13"/>
        <v>0</v>
      </c>
      <c r="I163" s="28">
        <v>0</v>
      </c>
      <c r="J163" s="28">
        <v>0</v>
      </c>
      <c r="K163" s="27">
        <f t="shared" si="14"/>
        <v>0</v>
      </c>
      <c r="L163" s="28">
        <f t="shared" si="15"/>
        <v>0</v>
      </c>
      <c r="M163" s="27">
        <f t="shared" si="16"/>
        <v>0</v>
      </c>
      <c r="N163" s="28">
        <f t="shared" si="17"/>
        <v>0</v>
      </c>
    </row>
    <row r="164" spans="1:14">
      <c r="A164" s="13" t="s">
        <v>329</v>
      </c>
      <c r="B164" s="14" t="s">
        <v>330</v>
      </c>
      <c r="C164" s="28">
        <v>0</v>
      </c>
      <c r="D164" s="28">
        <v>0</v>
      </c>
      <c r="E164" s="25">
        <f t="shared" si="12"/>
        <v>0</v>
      </c>
      <c r="F164" s="28">
        <v>0</v>
      </c>
      <c r="G164" s="28">
        <v>0</v>
      </c>
      <c r="H164" s="28">
        <f t="shared" si="13"/>
        <v>0</v>
      </c>
      <c r="I164" s="28">
        <v>0</v>
      </c>
      <c r="J164" s="28">
        <v>0</v>
      </c>
      <c r="K164" s="27">
        <f t="shared" si="14"/>
        <v>0</v>
      </c>
      <c r="L164" s="28">
        <f t="shared" si="15"/>
        <v>0</v>
      </c>
      <c r="M164" s="27">
        <f t="shared" si="16"/>
        <v>0</v>
      </c>
      <c r="N164" s="28">
        <f t="shared" si="17"/>
        <v>0</v>
      </c>
    </row>
    <row r="165" spans="1:14">
      <c r="A165" s="13" t="s">
        <v>331</v>
      </c>
      <c r="B165" s="14" t="s">
        <v>332</v>
      </c>
      <c r="C165" s="32">
        <v>0</v>
      </c>
      <c r="D165" s="32">
        <v>0</v>
      </c>
      <c r="E165" s="25">
        <f t="shared" si="12"/>
        <v>0</v>
      </c>
      <c r="F165" s="32">
        <v>0</v>
      </c>
      <c r="G165" s="32">
        <v>0</v>
      </c>
      <c r="H165" s="28">
        <f t="shared" si="13"/>
        <v>0</v>
      </c>
      <c r="I165" s="32">
        <v>0</v>
      </c>
      <c r="J165" s="32">
        <v>0</v>
      </c>
      <c r="K165" s="27">
        <f t="shared" si="14"/>
        <v>0</v>
      </c>
      <c r="L165" s="28">
        <f t="shared" si="15"/>
        <v>0</v>
      </c>
      <c r="M165" s="27">
        <f t="shared" si="16"/>
        <v>0</v>
      </c>
      <c r="N165" s="28">
        <f t="shared" si="17"/>
        <v>0</v>
      </c>
    </row>
    <row r="166" spans="1:14">
      <c r="A166" s="13" t="s">
        <v>333</v>
      </c>
      <c r="B166" s="14" t="s">
        <v>334</v>
      </c>
      <c r="C166" s="28">
        <v>0</v>
      </c>
      <c r="D166" s="28">
        <v>0</v>
      </c>
      <c r="E166" s="25">
        <f t="shared" si="12"/>
        <v>0</v>
      </c>
      <c r="F166" s="28">
        <v>0</v>
      </c>
      <c r="G166" s="28">
        <v>0</v>
      </c>
      <c r="H166" s="28">
        <f t="shared" si="13"/>
        <v>0</v>
      </c>
      <c r="I166" s="28">
        <v>0</v>
      </c>
      <c r="J166" s="28">
        <v>0</v>
      </c>
      <c r="K166" s="27">
        <f t="shared" si="14"/>
        <v>0</v>
      </c>
      <c r="L166" s="28">
        <f t="shared" si="15"/>
        <v>0</v>
      </c>
      <c r="M166" s="27">
        <f t="shared" si="16"/>
        <v>0</v>
      </c>
      <c r="N166" s="28">
        <f t="shared" si="17"/>
        <v>0</v>
      </c>
    </row>
    <row r="167" spans="1:14">
      <c r="A167" s="19" t="s">
        <v>335</v>
      </c>
      <c r="B167" s="19" t="s">
        <v>336</v>
      </c>
      <c r="C167" s="28">
        <v>0</v>
      </c>
      <c r="D167" s="28">
        <v>0</v>
      </c>
      <c r="E167" s="25">
        <f t="shared" si="12"/>
        <v>0</v>
      </c>
      <c r="F167" s="28">
        <v>0</v>
      </c>
      <c r="G167" s="28">
        <v>0</v>
      </c>
      <c r="H167" s="28">
        <f t="shared" si="13"/>
        <v>0</v>
      </c>
      <c r="I167" s="28">
        <v>0</v>
      </c>
      <c r="J167" s="28">
        <v>0</v>
      </c>
      <c r="K167" s="27">
        <f t="shared" si="14"/>
        <v>0</v>
      </c>
      <c r="L167" s="28">
        <f t="shared" si="15"/>
        <v>0</v>
      </c>
      <c r="M167" s="27">
        <f t="shared" si="16"/>
        <v>0</v>
      </c>
      <c r="N167" s="28">
        <f t="shared" si="17"/>
        <v>0</v>
      </c>
    </row>
    <row r="168" spans="1:14">
      <c r="A168" s="7" t="s">
        <v>337</v>
      </c>
      <c r="B168" s="8" t="s">
        <v>338</v>
      </c>
      <c r="C168" s="28">
        <v>0</v>
      </c>
      <c r="D168" s="28">
        <v>0</v>
      </c>
      <c r="E168" s="25">
        <f t="shared" si="12"/>
        <v>0</v>
      </c>
      <c r="F168" s="28">
        <v>0</v>
      </c>
      <c r="G168" s="28">
        <v>0</v>
      </c>
      <c r="H168" s="28">
        <f t="shared" si="13"/>
        <v>0</v>
      </c>
      <c r="I168" s="28">
        <v>0</v>
      </c>
      <c r="J168" s="28">
        <v>0</v>
      </c>
      <c r="K168" s="27">
        <f t="shared" si="14"/>
        <v>0</v>
      </c>
      <c r="L168" s="28">
        <f t="shared" si="15"/>
        <v>0</v>
      </c>
      <c r="M168" s="27">
        <f t="shared" si="16"/>
        <v>0</v>
      </c>
      <c r="N168" s="28">
        <f t="shared" si="17"/>
        <v>0</v>
      </c>
    </row>
    <row r="169" spans="1:14">
      <c r="A169" s="13" t="s">
        <v>339</v>
      </c>
      <c r="B169" s="14" t="s">
        <v>340</v>
      </c>
      <c r="C169" s="28">
        <v>0</v>
      </c>
      <c r="D169" s="28">
        <v>0</v>
      </c>
      <c r="E169" s="25">
        <f t="shared" si="12"/>
        <v>0</v>
      </c>
      <c r="F169" s="28">
        <v>0</v>
      </c>
      <c r="G169" s="28">
        <v>0</v>
      </c>
      <c r="H169" s="28">
        <f t="shared" si="13"/>
        <v>0</v>
      </c>
      <c r="I169" s="28">
        <v>0</v>
      </c>
      <c r="J169" s="28">
        <v>0</v>
      </c>
      <c r="K169" s="27">
        <f t="shared" si="14"/>
        <v>0</v>
      </c>
      <c r="L169" s="28">
        <f t="shared" si="15"/>
        <v>0</v>
      </c>
      <c r="M169" s="27">
        <f t="shared" si="16"/>
        <v>0</v>
      </c>
      <c r="N169" s="28">
        <f t="shared" si="17"/>
        <v>0</v>
      </c>
    </row>
    <row r="170" spans="1:14">
      <c r="A170" s="13" t="s">
        <v>341</v>
      </c>
      <c r="B170" s="14" t="s">
        <v>342</v>
      </c>
      <c r="C170" s="33">
        <v>0</v>
      </c>
      <c r="D170" s="33">
        <v>0</v>
      </c>
      <c r="E170" s="25">
        <f t="shared" si="12"/>
        <v>0</v>
      </c>
      <c r="F170" s="33">
        <v>0</v>
      </c>
      <c r="G170" s="33">
        <v>0</v>
      </c>
      <c r="H170" s="28">
        <f t="shared" si="13"/>
        <v>0</v>
      </c>
      <c r="I170" s="33">
        <v>0</v>
      </c>
      <c r="J170" s="33">
        <v>0</v>
      </c>
      <c r="K170" s="27">
        <f t="shared" si="14"/>
        <v>0</v>
      </c>
      <c r="L170" s="28">
        <f t="shared" si="15"/>
        <v>0</v>
      </c>
      <c r="M170" s="27">
        <f t="shared" si="16"/>
        <v>0</v>
      </c>
      <c r="N170" s="28">
        <f t="shared" si="17"/>
        <v>0</v>
      </c>
    </row>
    <row r="171" spans="1:14">
      <c r="A171" s="13" t="s">
        <v>343</v>
      </c>
      <c r="B171" s="14" t="s">
        <v>344</v>
      </c>
      <c r="C171" s="28">
        <v>0</v>
      </c>
      <c r="D171" s="28">
        <v>0</v>
      </c>
      <c r="E171" s="25">
        <f t="shared" si="12"/>
        <v>0</v>
      </c>
      <c r="F171" s="28">
        <v>0</v>
      </c>
      <c r="G171" s="28">
        <v>0</v>
      </c>
      <c r="H171" s="28">
        <f t="shared" si="13"/>
        <v>0</v>
      </c>
      <c r="I171" s="28">
        <v>0</v>
      </c>
      <c r="J171" s="28">
        <v>0</v>
      </c>
      <c r="K171" s="27">
        <f t="shared" si="14"/>
        <v>0</v>
      </c>
      <c r="L171" s="28">
        <f t="shared" si="15"/>
        <v>0</v>
      </c>
      <c r="M171" s="27">
        <f t="shared" si="16"/>
        <v>0</v>
      </c>
      <c r="N171" s="28">
        <f t="shared" si="17"/>
        <v>0</v>
      </c>
    </row>
    <row r="172" spans="1:14">
      <c r="A172" s="13" t="s">
        <v>345</v>
      </c>
      <c r="B172" s="14" t="s">
        <v>346</v>
      </c>
      <c r="C172" s="28">
        <v>0</v>
      </c>
      <c r="D172" s="28">
        <v>0</v>
      </c>
      <c r="E172" s="25">
        <f t="shared" si="12"/>
        <v>0</v>
      </c>
      <c r="F172" s="28">
        <v>0</v>
      </c>
      <c r="G172" s="28">
        <v>0</v>
      </c>
      <c r="H172" s="28">
        <f t="shared" si="13"/>
        <v>0</v>
      </c>
      <c r="I172" s="28">
        <v>0</v>
      </c>
      <c r="J172" s="28">
        <v>0</v>
      </c>
      <c r="K172" s="27">
        <f t="shared" si="14"/>
        <v>0</v>
      </c>
      <c r="L172" s="28">
        <f t="shared" si="15"/>
        <v>0</v>
      </c>
      <c r="M172" s="27">
        <f t="shared" si="16"/>
        <v>0</v>
      </c>
      <c r="N172" s="28">
        <f t="shared" si="17"/>
        <v>0</v>
      </c>
    </row>
    <row r="173" spans="1:14">
      <c r="A173" s="7" t="s">
        <v>347</v>
      </c>
      <c r="B173" s="8" t="s">
        <v>348</v>
      </c>
      <c r="C173" s="32">
        <v>0</v>
      </c>
      <c r="D173" s="32">
        <v>0</v>
      </c>
      <c r="E173" s="25">
        <f t="shared" si="12"/>
        <v>0</v>
      </c>
      <c r="F173" s="32">
        <v>0</v>
      </c>
      <c r="G173" s="32">
        <v>0</v>
      </c>
      <c r="H173" s="28">
        <f t="shared" si="13"/>
        <v>0</v>
      </c>
      <c r="I173" s="32">
        <v>0</v>
      </c>
      <c r="J173" s="32">
        <v>0</v>
      </c>
      <c r="K173" s="27">
        <f t="shared" si="14"/>
        <v>0</v>
      </c>
      <c r="L173" s="28">
        <f t="shared" si="15"/>
        <v>0</v>
      </c>
      <c r="M173" s="27">
        <f t="shared" si="16"/>
        <v>0</v>
      </c>
      <c r="N173" s="28">
        <f t="shared" si="17"/>
        <v>0</v>
      </c>
    </row>
    <row r="174" spans="1:14">
      <c r="A174" s="13" t="s">
        <v>349</v>
      </c>
      <c r="B174" s="14" t="s">
        <v>350</v>
      </c>
      <c r="C174" s="28">
        <v>0</v>
      </c>
      <c r="D174" s="28">
        <v>0</v>
      </c>
      <c r="E174" s="25">
        <f t="shared" si="12"/>
        <v>0</v>
      </c>
      <c r="F174" s="28">
        <v>0</v>
      </c>
      <c r="G174" s="28">
        <v>0</v>
      </c>
      <c r="H174" s="28">
        <f t="shared" si="13"/>
        <v>0</v>
      </c>
      <c r="I174" s="28">
        <v>0</v>
      </c>
      <c r="J174" s="28">
        <v>0</v>
      </c>
      <c r="K174" s="27">
        <f t="shared" si="14"/>
        <v>0</v>
      </c>
      <c r="L174" s="28">
        <f t="shared" si="15"/>
        <v>0</v>
      </c>
      <c r="M174" s="27">
        <f t="shared" si="16"/>
        <v>0</v>
      </c>
      <c r="N174" s="28">
        <f t="shared" si="17"/>
        <v>0</v>
      </c>
    </row>
    <row r="175" spans="1:14">
      <c r="A175" s="13" t="s">
        <v>351</v>
      </c>
      <c r="B175" s="14" t="s">
        <v>352</v>
      </c>
      <c r="C175" s="28">
        <v>0</v>
      </c>
      <c r="D175" s="28">
        <v>0</v>
      </c>
      <c r="E175" s="25">
        <f t="shared" si="12"/>
        <v>0</v>
      </c>
      <c r="F175" s="28">
        <v>450</v>
      </c>
      <c r="G175" s="28">
        <v>0</v>
      </c>
      <c r="H175" s="28">
        <f t="shared" si="13"/>
        <v>-450</v>
      </c>
      <c r="I175" s="28">
        <v>15887.61</v>
      </c>
      <c r="J175" s="28">
        <v>780</v>
      </c>
      <c r="K175" s="27">
        <f t="shared" si="14"/>
        <v>-15107.61</v>
      </c>
      <c r="L175" s="28">
        <f t="shared" si="15"/>
        <v>16337.61</v>
      </c>
      <c r="M175" s="27">
        <f t="shared" si="16"/>
        <v>780</v>
      </c>
      <c r="N175" s="28">
        <f t="shared" si="17"/>
        <v>-15557.61</v>
      </c>
    </row>
    <row r="176" spans="1:14">
      <c r="A176" s="13" t="s">
        <v>353</v>
      </c>
      <c r="B176" s="14" t="s">
        <v>354</v>
      </c>
      <c r="C176" s="28">
        <v>0</v>
      </c>
      <c r="D176" s="28">
        <v>0</v>
      </c>
      <c r="E176" s="25">
        <f t="shared" si="12"/>
        <v>0</v>
      </c>
      <c r="F176" s="28">
        <v>0</v>
      </c>
      <c r="G176" s="28">
        <v>0</v>
      </c>
      <c r="H176" s="28">
        <f t="shared" si="13"/>
        <v>0</v>
      </c>
      <c r="I176" s="28">
        <v>0</v>
      </c>
      <c r="J176" s="28">
        <v>0</v>
      </c>
      <c r="K176" s="27">
        <f t="shared" si="14"/>
        <v>0</v>
      </c>
      <c r="L176" s="28">
        <f t="shared" si="15"/>
        <v>0</v>
      </c>
      <c r="M176" s="27">
        <f t="shared" si="16"/>
        <v>0</v>
      </c>
      <c r="N176" s="28">
        <f t="shared" si="17"/>
        <v>0</v>
      </c>
    </row>
    <row r="177" spans="1:14">
      <c r="A177" s="13" t="s">
        <v>355</v>
      </c>
      <c r="B177" s="14" t="s">
        <v>356</v>
      </c>
      <c r="C177" s="25">
        <v>0</v>
      </c>
      <c r="D177" s="25">
        <v>0</v>
      </c>
      <c r="E177" s="25">
        <f t="shared" si="12"/>
        <v>0</v>
      </c>
      <c r="F177" s="26">
        <v>0</v>
      </c>
      <c r="G177" s="30">
        <v>0</v>
      </c>
      <c r="H177" s="28">
        <f t="shared" si="13"/>
        <v>0</v>
      </c>
      <c r="I177" s="30">
        <v>0</v>
      </c>
      <c r="J177" s="30">
        <v>0</v>
      </c>
      <c r="K177" s="27">
        <f t="shared" si="14"/>
        <v>0</v>
      </c>
      <c r="L177" s="28">
        <f t="shared" si="15"/>
        <v>0</v>
      </c>
      <c r="M177" s="27">
        <f t="shared" si="16"/>
        <v>0</v>
      </c>
      <c r="N177" s="28">
        <f t="shared" si="17"/>
        <v>0</v>
      </c>
    </row>
    <row r="178" spans="1:14">
      <c r="A178" s="19" t="s">
        <v>357</v>
      </c>
      <c r="B178" s="19" t="s">
        <v>358</v>
      </c>
      <c r="C178" s="34">
        <v>0</v>
      </c>
      <c r="D178" s="34">
        <v>0</v>
      </c>
      <c r="E178" s="25">
        <f t="shared" si="12"/>
        <v>0</v>
      </c>
      <c r="F178" s="34">
        <v>0</v>
      </c>
      <c r="G178" s="34">
        <v>0</v>
      </c>
      <c r="H178" s="28">
        <f t="shared" si="13"/>
        <v>0</v>
      </c>
      <c r="I178" s="34">
        <v>0</v>
      </c>
      <c r="J178" s="34">
        <v>0</v>
      </c>
      <c r="K178" s="27">
        <f t="shared" si="14"/>
        <v>0</v>
      </c>
      <c r="L178" s="28">
        <f t="shared" si="15"/>
        <v>0</v>
      </c>
      <c r="M178" s="27">
        <f t="shared" si="16"/>
        <v>0</v>
      </c>
      <c r="N178" s="28">
        <f t="shared" si="17"/>
        <v>0</v>
      </c>
    </row>
    <row r="179" spans="1:14">
      <c r="A179" s="7" t="s">
        <v>359</v>
      </c>
      <c r="B179" s="8" t="s">
        <v>360</v>
      </c>
      <c r="C179" s="29">
        <v>0</v>
      </c>
      <c r="D179" s="29">
        <v>0</v>
      </c>
      <c r="E179" s="25">
        <f t="shared" si="12"/>
        <v>0</v>
      </c>
      <c r="F179" s="29">
        <v>0</v>
      </c>
      <c r="G179" s="31">
        <v>0</v>
      </c>
      <c r="H179" s="28">
        <f t="shared" si="13"/>
        <v>0</v>
      </c>
      <c r="I179" s="31">
        <v>0</v>
      </c>
      <c r="J179" s="32">
        <v>0</v>
      </c>
      <c r="K179" s="27">
        <f t="shared" si="14"/>
        <v>0</v>
      </c>
      <c r="L179" s="28">
        <f t="shared" si="15"/>
        <v>0</v>
      </c>
      <c r="M179" s="27">
        <f t="shared" si="16"/>
        <v>0</v>
      </c>
      <c r="N179" s="28">
        <f t="shared" si="17"/>
        <v>0</v>
      </c>
    </row>
    <row r="180" spans="1:14">
      <c r="A180" s="13" t="s">
        <v>361</v>
      </c>
      <c r="B180" s="14" t="s">
        <v>362</v>
      </c>
      <c r="C180" s="25"/>
      <c r="D180" s="25"/>
      <c r="E180" s="25">
        <f t="shared" si="12"/>
        <v>0</v>
      </c>
      <c r="F180" s="26"/>
      <c r="G180" s="27">
        <v>1440</v>
      </c>
      <c r="H180" s="28">
        <f t="shared" si="13"/>
        <v>1440</v>
      </c>
      <c r="I180" s="27">
        <v>6310</v>
      </c>
      <c r="J180" s="28">
        <v>2860</v>
      </c>
      <c r="K180" s="27">
        <f t="shared" si="14"/>
        <v>-3450</v>
      </c>
      <c r="L180" s="28">
        <f t="shared" si="15"/>
        <v>6310</v>
      </c>
      <c r="M180" s="27">
        <f t="shared" si="16"/>
        <v>4300</v>
      </c>
      <c r="N180" s="28">
        <f t="shared" si="17"/>
        <v>-2010</v>
      </c>
    </row>
    <row r="181" spans="1:14">
      <c r="A181" s="13" t="s">
        <v>363</v>
      </c>
      <c r="B181" s="14" t="s">
        <v>364</v>
      </c>
      <c r="C181" s="25"/>
      <c r="D181" s="25"/>
      <c r="E181" s="25">
        <f t="shared" si="12"/>
        <v>0</v>
      </c>
      <c r="F181" s="26"/>
      <c r="G181" s="27"/>
      <c r="H181" s="28">
        <f t="shared" si="13"/>
        <v>0</v>
      </c>
      <c r="I181" s="27"/>
      <c r="J181" s="28"/>
      <c r="K181" s="27">
        <f t="shared" si="14"/>
        <v>0</v>
      </c>
      <c r="L181" s="28">
        <f t="shared" si="15"/>
        <v>0</v>
      </c>
      <c r="M181" s="27">
        <f t="shared" si="16"/>
        <v>0</v>
      </c>
      <c r="N181" s="28">
        <f t="shared" si="17"/>
        <v>0</v>
      </c>
    </row>
    <row r="182" spans="1:14">
      <c r="A182" s="7" t="s">
        <v>365</v>
      </c>
      <c r="B182" s="8" t="s">
        <v>366</v>
      </c>
      <c r="C182" s="29"/>
      <c r="D182" s="29"/>
      <c r="E182" s="25">
        <f t="shared" si="12"/>
        <v>0</v>
      </c>
      <c r="F182" s="29">
        <v>1174</v>
      </c>
      <c r="G182" s="31"/>
      <c r="H182" s="28">
        <f t="shared" si="13"/>
        <v>-1174</v>
      </c>
      <c r="I182" s="31">
        <v>22937.55</v>
      </c>
      <c r="J182" s="32">
        <v>11751.5</v>
      </c>
      <c r="K182" s="27">
        <f t="shared" si="14"/>
        <v>-11186.05</v>
      </c>
      <c r="L182" s="28">
        <f t="shared" si="15"/>
        <v>24111.55</v>
      </c>
      <c r="M182" s="27">
        <f t="shared" si="16"/>
        <v>11751.5</v>
      </c>
      <c r="N182" s="28">
        <f t="shared" si="17"/>
        <v>-12360.05</v>
      </c>
    </row>
    <row r="183" spans="1:14">
      <c r="A183" s="13" t="s">
        <v>367</v>
      </c>
      <c r="B183" s="14" t="s">
        <v>368</v>
      </c>
      <c r="C183" s="25">
        <v>0</v>
      </c>
      <c r="D183" s="25">
        <v>0</v>
      </c>
      <c r="E183" s="25">
        <f t="shared" si="12"/>
        <v>0</v>
      </c>
      <c r="F183" s="26">
        <v>13414</v>
      </c>
      <c r="G183" s="27">
        <v>680</v>
      </c>
      <c r="H183" s="28">
        <f t="shared" si="13"/>
        <v>-12734</v>
      </c>
      <c r="I183" s="27">
        <v>0</v>
      </c>
      <c r="J183" s="28">
        <v>0</v>
      </c>
      <c r="K183" s="27">
        <f t="shared" si="14"/>
        <v>0</v>
      </c>
      <c r="L183" s="28">
        <f t="shared" si="15"/>
        <v>13414</v>
      </c>
      <c r="M183" s="27">
        <f t="shared" si="16"/>
        <v>680</v>
      </c>
      <c r="N183" s="28">
        <f t="shared" si="17"/>
        <v>-12734</v>
      </c>
    </row>
    <row r="184" ht="24" spans="1:14">
      <c r="A184" s="13"/>
      <c r="B184" s="14" t="s">
        <v>369</v>
      </c>
      <c r="C184" s="25"/>
      <c r="D184" s="25"/>
      <c r="E184" s="25">
        <f t="shared" si="12"/>
        <v>0</v>
      </c>
      <c r="F184" s="26"/>
      <c r="G184" s="27"/>
      <c r="H184" s="28">
        <f t="shared" si="13"/>
        <v>0</v>
      </c>
      <c r="I184" s="27">
        <v>6695</v>
      </c>
      <c r="J184" s="28"/>
      <c r="K184" s="27">
        <f t="shared" si="14"/>
        <v>-6695</v>
      </c>
      <c r="L184" s="28">
        <f t="shared" si="15"/>
        <v>6695</v>
      </c>
      <c r="M184" s="27">
        <f t="shared" si="16"/>
        <v>0</v>
      </c>
      <c r="N184" s="28">
        <f t="shared" si="17"/>
        <v>-6695</v>
      </c>
    </row>
    <row r="185" spans="1:14">
      <c r="A185" s="13" t="s">
        <v>370</v>
      </c>
      <c r="B185" s="14" t="s">
        <v>371</v>
      </c>
      <c r="C185" s="25"/>
      <c r="D185" s="25"/>
      <c r="E185" s="25">
        <f t="shared" si="12"/>
        <v>0</v>
      </c>
      <c r="F185" s="26"/>
      <c r="G185" s="27">
        <v>1713</v>
      </c>
      <c r="H185" s="28">
        <f t="shared" si="13"/>
        <v>1713</v>
      </c>
      <c r="I185" s="27">
        <v>2434.47</v>
      </c>
      <c r="J185" s="28">
        <v>4553.87</v>
      </c>
      <c r="K185" s="27">
        <f t="shared" si="14"/>
        <v>2119.4</v>
      </c>
      <c r="L185" s="28">
        <f t="shared" si="15"/>
        <v>2434.47</v>
      </c>
      <c r="M185" s="27">
        <f t="shared" si="16"/>
        <v>6266.87</v>
      </c>
      <c r="N185" s="28">
        <f t="shared" si="17"/>
        <v>3832.4</v>
      </c>
    </row>
    <row r="186" ht="24" spans="1:14">
      <c r="A186" s="13" t="s">
        <v>11</v>
      </c>
      <c r="B186" s="14" t="s">
        <v>372</v>
      </c>
      <c r="C186" s="25">
        <v>0</v>
      </c>
      <c r="D186" s="25">
        <v>0</v>
      </c>
      <c r="E186" s="25">
        <f t="shared" si="12"/>
        <v>0</v>
      </c>
      <c r="F186" s="26">
        <v>580</v>
      </c>
      <c r="G186" s="27"/>
      <c r="H186" s="28">
        <f t="shared" si="13"/>
        <v>-580</v>
      </c>
      <c r="I186" s="27">
        <v>16460</v>
      </c>
      <c r="J186" s="28">
        <v>800</v>
      </c>
      <c r="K186" s="27">
        <f t="shared" si="14"/>
        <v>-15660</v>
      </c>
      <c r="L186" s="28">
        <f t="shared" si="15"/>
        <v>17040</v>
      </c>
      <c r="M186" s="27">
        <f t="shared" si="16"/>
        <v>800</v>
      </c>
      <c r="N186" s="28">
        <f t="shared" si="17"/>
        <v>-16240</v>
      </c>
    </row>
    <row r="187" spans="1:14">
      <c r="A187" s="7">
        <v>31002</v>
      </c>
      <c r="B187" s="8" t="s">
        <v>373</v>
      </c>
      <c r="C187" s="29">
        <v>0</v>
      </c>
      <c r="D187" s="29">
        <v>0</v>
      </c>
      <c r="E187" s="25">
        <f t="shared" si="12"/>
        <v>0</v>
      </c>
      <c r="F187" s="29">
        <v>0</v>
      </c>
      <c r="G187" s="29">
        <v>0</v>
      </c>
      <c r="H187" s="28">
        <f t="shared" si="13"/>
        <v>0</v>
      </c>
      <c r="I187" s="29">
        <v>0</v>
      </c>
      <c r="J187" s="29">
        <v>0</v>
      </c>
      <c r="K187" s="27">
        <f t="shared" si="14"/>
        <v>0</v>
      </c>
      <c r="L187" s="28">
        <f t="shared" si="15"/>
        <v>0</v>
      </c>
      <c r="M187" s="27">
        <f t="shared" si="16"/>
        <v>0</v>
      </c>
      <c r="N187" s="28">
        <f t="shared" si="17"/>
        <v>0</v>
      </c>
    </row>
    <row r="188" s="1" customFormat="1" ht="16.5" customHeight="1" spans="1:14">
      <c r="A188" s="13"/>
      <c r="B188" s="14" t="s">
        <v>374</v>
      </c>
      <c r="C188" s="29">
        <v>0</v>
      </c>
      <c r="D188" s="25"/>
      <c r="E188" s="25">
        <f t="shared" si="12"/>
        <v>0</v>
      </c>
      <c r="F188" s="26">
        <v>910</v>
      </c>
      <c r="G188" s="30"/>
      <c r="H188" s="28">
        <f t="shared" si="13"/>
        <v>-910</v>
      </c>
      <c r="I188" s="30">
        <v>33310.56</v>
      </c>
      <c r="J188" s="30">
        <v>36307.17</v>
      </c>
      <c r="K188" s="27">
        <f t="shared" si="14"/>
        <v>2996.61</v>
      </c>
      <c r="L188" s="28">
        <f t="shared" si="15"/>
        <v>34220.56</v>
      </c>
      <c r="M188" s="27">
        <f t="shared" si="16"/>
        <v>36307.17</v>
      </c>
      <c r="N188" s="28">
        <f t="shared" si="17"/>
        <v>2086.61</v>
      </c>
    </row>
    <row r="189" s="1" customFormat="1" ht="16.5" customHeight="1" spans="1:14">
      <c r="A189" s="13"/>
      <c r="B189" s="14" t="s">
        <v>375</v>
      </c>
      <c r="C189" s="29">
        <v>0</v>
      </c>
      <c r="D189" s="25"/>
      <c r="E189" s="25">
        <f t="shared" si="12"/>
        <v>0</v>
      </c>
      <c r="F189" s="26"/>
      <c r="G189" s="30"/>
      <c r="H189" s="28">
        <f t="shared" si="13"/>
        <v>0</v>
      </c>
      <c r="I189" s="30">
        <v>22270.9</v>
      </c>
      <c r="J189" s="30">
        <v>20598</v>
      </c>
      <c r="K189" s="27">
        <f t="shared" si="14"/>
        <v>-1672.9</v>
      </c>
      <c r="L189" s="28">
        <f t="shared" si="15"/>
        <v>22270.9</v>
      </c>
      <c r="M189" s="27">
        <f t="shared" si="16"/>
        <v>20598</v>
      </c>
      <c r="N189" s="28">
        <f t="shared" si="17"/>
        <v>-1672.9</v>
      </c>
    </row>
    <row r="190" s="1" customFormat="1" ht="16.5" customHeight="1" spans="1:14">
      <c r="A190" s="13"/>
      <c r="B190" s="14" t="s">
        <v>376</v>
      </c>
      <c r="C190" s="29">
        <v>0</v>
      </c>
      <c r="D190" s="25"/>
      <c r="E190" s="25">
        <f t="shared" si="12"/>
        <v>0</v>
      </c>
      <c r="F190" s="26">
        <v>7210</v>
      </c>
      <c r="G190" s="30"/>
      <c r="H190" s="28">
        <f t="shared" si="13"/>
        <v>-7210</v>
      </c>
      <c r="I190" s="30">
        <v>59312</v>
      </c>
      <c r="J190" s="30">
        <v>27840</v>
      </c>
      <c r="K190" s="27">
        <f t="shared" si="14"/>
        <v>-31472</v>
      </c>
      <c r="L190" s="28">
        <f t="shared" si="15"/>
        <v>66522</v>
      </c>
      <c r="M190" s="27">
        <f t="shared" si="16"/>
        <v>27840</v>
      </c>
      <c r="N190" s="28">
        <f t="shared" si="17"/>
        <v>-38682</v>
      </c>
    </row>
    <row r="191" s="1" customFormat="1" ht="16.5" customHeight="1" spans="1:14">
      <c r="A191" s="13"/>
      <c r="B191" s="14" t="s">
        <v>377</v>
      </c>
      <c r="C191" s="29">
        <v>0</v>
      </c>
      <c r="D191" s="25"/>
      <c r="E191" s="25">
        <f t="shared" si="12"/>
        <v>0</v>
      </c>
      <c r="F191" s="26"/>
      <c r="G191" s="30"/>
      <c r="H191" s="28">
        <f t="shared" si="13"/>
        <v>0</v>
      </c>
      <c r="I191" s="30">
        <v>11042</v>
      </c>
      <c r="J191" s="30">
        <v>5850</v>
      </c>
      <c r="K191" s="27">
        <f t="shared" si="14"/>
        <v>-5192</v>
      </c>
      <c r="L191" s="28">
        <f t="shared" si="15"/>
        <v>11042</v>
      </c>
      <c r="M191" s="27">
        <f t="shared" si="16"/>
        <v>5850</v>
      </c>
      <c r="N191" s="28">
        <f t="shared" si="17"/>
        <v>-5192</v>
      </c>
    </row>
    <row r="192" spans="1:14">
      <c r="A192" s="19"/>
      <c r="B192" s="19" t="s">
        <v>378</v>
      </c>
      <c r="C192" s="34">
        <f>SUM(C3:C191)</f>
        <v>526697.42</v>
      </c>
      <c r="D192" s="34">
        <f>SUM(D3:D191)</f>
        <v>42902</v>
      </c>
      <c r="E192" s="25">
        <f t="shared" si="12"/>
        <v>-483795.42</v>
      </c>
      <c r="F192" s="34">
        <f>SUM(F3:F191)</f>
        <v>423784.5</v>
      </c>
      <c r="G192" s="34">
        <f>SUM(G3:G191)</f>
        <v>234060</v>
      </c>
      <c r="H192" s="28">
        <f t="shared" si="13"/>
        <v>-189724.5</v>
      </c>
      <c r="I192" s="34">
        <f>SUM(I3:I191)</f>
        <v>2840103.51</v>
      </c>
      <c r="J192" s="34">
        <f>SUM(J3:J191)</f>
        <v>1684653.2</v>
      </c>
      <c r="K192" s="27">
        <f t="shared" si="14"/>
        <v>-1155450.31</v>
      </c>
      <c r="L192" s="28">
        <f t="shared" si="15"/>
        <v>3790585.43</v>
      </c>
      <c r="M192" s="27">
        <f t="shared" si="16"/>
        <v>1961615.2</v>
      </c>
      <c r="N192" s="28">
        <f t="shared" si="17"/>
        <v>-1828970.23</v>
      </c>
    </row>
  </sheetData>
  <mergeCells count="5">
    <mergeCell ref="A1:N1"/>
    <mergeCell ref="C2:E2"/>
    <mergeCell ref="F2:H2"/>
    <mergeCell ref="I2:K2"/>
    <mergeCell ref="L2:N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tabSelected="1" topLeftCell="A110" workbookViewId="0">
      <selection activeCell="B179" sqref="B179"/>
    </sheetView>
  </sheetViews>
  <sheetFormatPr defaultColWidth="9" defaultRowHeight="35.25" customHeight="1" outlineLevelCol="5"/>
  <cols>
    <col min="2" max="2" width="29.5" customWidth="1"/>
    <col min="3" max="3" width="12.25" customWidth="1"/>
    <col min="4" max="6" width="11.875" customWidth="1"/>
  </cols>
  <sheetData>
    <row r="1" ht="42" customHeight="1" spans="1:6">
      <c r="A1" s="2" t="s">
        <v>379</v>
      </c>
      <c r="B1" s="3"/>
      <c r="C1" s="3"/>
      <c r="D1" s="3"/>
      <c r="E1" s="3"/>
      <c r="F1" s="3"/>
    </row>
    <row r="2" customHeight="1" spans="1:6">
      <c r="A2" s="4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</row>
    <row r="3" ht="23.25" customHeight="1" spans="1:6">
      <c r="A3" s="7" t="s">
        <v>7</v>
      </c>
      <c r="B3" s="8" t="s">
        <v>8</v>
      </c>
      <c r="C3" s="9">
        <v>0</v>
      </c>
      <c r="D3" s="10">
        <v>4580</v>
      </c>
      <c r="E3" s="11">
        <v>0</v>
      </c>
      <c r="F3" s="12">
        <f t="shared" ref="F3:F33" si="0">C3+D3+E3</f>
        <v>4580</v>
      </c>
    </row>
    <row r="4" ht="23.25" customHeight="1" spans="1:6">
      <c r="A4" s="13" t="s">
        <v>9</v>
      </c>
      <c r="B4" s="14" t="s">
        <v>10</v>
      </c>
      <c r="C4" s="9">
        <v>0</v>
      </c>
      <c r="D4" s="10">
        <v>0</v>
      </c>
      <c r="E4" s="11">
        <v>0</v>
      </c>
      <c r="F4" s="12">
        <f t="shared" si="0"/>
        <v>0</v>
      </c>
    </row>
    <row r="5" ht="23.25" customHeight="1" spans="1:6">
      <c r="A5" s="13" t="s">
        <v>11</v>
      </c>
      <c r="B5" s="14" t="s">
        <v>12</v>
      </c>
      <c r="C5" s="15">
        <v>0</v>
      </c>
      <c r="D5" s="10">
        <v>1600</v>
      </c>
      <c r="E5" s="11">
        <v>32549.34</v>
      </c>
      <c r="F5" s="12">
        <f t="shared" si="0"/>
        <v>34149.34</v>
      </c>
    </row>
    <row r="6" ht="23.25" customHeight="1" spans="1:6">
      <c r="A6" s="13" t="s">
        <v>13</v>
      </c>
      <c r="B6" s="14" t="s">
        <v>14</v>
      </c>
      <c r="C6" s="15">
        <v>0</v>
      </c>
      <c r="D6" s="10">
        <v>0</v>
      </c>
      <c r="E6" s="11">
        <v>0</v>
      </c>
      <c r="F6" s="12">
        <f t="shared" si="0"/>
        <v>0</v>
      </c>
    </row>
    <row r="7" ht="23.25" customHeight="1" spans="1:6">
      <c r="A7" s="13" t="s">
        <v>15</v>
      </c>
      <c r="B7" s="14" t="s">
        <v>16</v>
      </c>
      <c r="C7" s="16">
        <v>17874</v>
      </c>
      <c r="D7" s="17">
        <v>183407</v>
      </c>
      <c r="E7" s="17">
        <v>183736.55</v>
      </c>
      <c r="F7" s="12">
        <f t="shared" si="0"/>
        <v>385017.55</v>
      </c>
    </row>
    <row r="8" ht="23.25" customHeight="1" spans="1:6">
      <c r="A8" s="7" t="s">
        <v>17</v>
      </c>
      <c r="B8" s="8" t="s">
        <v>18</v>
      </c>
      <c r="C8" s="15">
        <v>0</v>
      </c>
      <c r="D8" s="18">
        <v>0</v>
      </c>
      <c r="E8" s="18">
        <v>15246.51</v>
      </c>
      <c r="F8" s="12">
        <f t="shared" si="0"/>
        <v>15246.51</v>
      </c>
    </row>
    <row r="9" ht="23.25" customHeight="1" spans="1:6">
      <c r="A9" s="13" t="s">
        <v>19</v>
      </c>
      <c r="B9" s="14" t="s">
        <v>20</v>
      </c>
      <c r="C9" s="15">
        <v>0</v>
      </c>
      <c r="D9" s="10">
        <v>14750</v>
      </c>
      <c r="E9" s="11">
        <v>0</v>
      </c>
      <c r="F9" s="12">
        <f t="shared" si="0"/>
        <v>14750</v>
      </c>
    </row>
    <row r="10" ht="23.25" customHeight="1" spans="1:6">
      <c r="A10" s="13" t="s">
        <v>21</v>
      </c>
      <c r="B10" s="14" t="s">
        <v>22</v>
      </c>
      <c r="C10" s="15">
        <v>0</v>
      </c>
      <c r="D10" s="10">
        <v>0</v>
      </c>
      <c r="E10" s="11">
        <v>0</v>
      </c>
      <c r="F10" s="12">
        <f t="shared" si="0"/>
        <v>0</v>
      </c>
    </row>
    <row r="11" ht="23.25" customHeight="1" spans="1:6">
      <c r="A11" s="13" t="s">
        <v>23</v>
      </c>
      <c r="B11" s="14" t="s">
        <v>24</v>
      </c>
      <c r="C11" s="15">
        <v>0</v>
      </c>
      <c r="D11" s="10">
        <v>0</v>
      </c>
      <c r="E11" s="11">
        <v>0</v>
      </c>
      <c r="F11" s="12">
        <f t="shared" si="0"/>
        <v>0</v>
      </c>
    </row>
    <row r="12" ht="23.25" customHeight="1" spans="1:6">
      <c r="A12" s="13" t="s">
        <v>25</v>
      </c>
      <c r="B12" s="14" t="s">
        <v>26</v>
      </c>
      <c r="C12" s="15">
        <v>0</v>
      </c>
      <c r="D12" s="10">
        <v>8669</v>
      </c>
      <c r="E12" s="11">
        <v>0</v>
      </c>
      <c r="F12" s="12">
        <f t="shared" si="0"/>
        <v>8669</v>
      </c>
    </row>
    <row r="13" ht="23.25" customHeight="1" spans="1:6">
      <c r="A13" s="19" t="s">
        <v>27</v>
      </c>
      <c r="B13" s="20" t="s">
        <v>28</v>
      </c>
      <c r="C13" s="16">
        <v>0</v>
      </c>
      <c r="D13" s="17">
        <v>0</v>
      </c>
      <c r="E13" s="17">
        <v>0</v>
      </c>
      <c r="F13" s="12">
        <f t="shared" si="0"/>
        <v>0</v>
      </c>
    </row>
    <row r="14" ht="23.25" customHeight="1" spans="1:6">
      <c r="A14" s="13" t="s">
        <v>31</v>
      </c>
      <c r="B14" s="14" t="s">
        <v>32</v>
      </c>
      <c r="C14" s="15">
        <v>0</v>
      </c>
      <c r="D14" s="10">
        <v>0</v>
      </c>
      <c r="E14" s="11">
        <v>532.04</v>
      </c>
      <c r="F14" s="12">
        <f t="shared" si="0"/>
        <v>532.04</v>
      </c>
    </row>
    <row r="15" ht="23.25" customHeight="1" spans="1:6">
      <c r="A15" s="13" t="s">
        <v>33</v>
      </c>
      <c r="B15" s="14" t="s">
        <v>34</v>
      </c>
      <c r="C15" s="15">
        <v>0</v>
      </c>
      <c r="D15" s="10">
        <v>750</v>
      </c>
      <c r="E15" s="11">
        <v>19587</v>
      </c>
      <c r="F15" s="12">
        <f t="shared" si="0"/>
        <v>20337</v>
      </c>
    </row>
    <row r="16" ht="23.25" customHeight="1" spans="1:6">
      <c r="A16" s="13" t="s">
        <v>35</v>
      </c>
      <c r="B16" s="14" t="s">
        <v>36</v>
      </c>
      <c r="C16" s="9">
        <v>0</v>
      </c>
      <c r="D16" s="10">
        <v>0</v>
      </c>
      <c r="E16" s="11">
        <v>6438.18</v>
      </c>
      <c r="F16" s="12">
        <f t="shared" si="0"/>
        <v>6438.18</v>
      </c>
    </row>
    <row r="17" ht="23.25" customHeight="1" spans="1:6">
      <c r="A17" s="13" t="s">
        <v>37</v>
      </c>
      <c r="B17" s="14" t="s">
        <v>38</v>
      </c>
      <c r="C17" s="9">
        <v>0</v>
      </c>
      <c r="D17" s="10">
        <v>0</v>
      </c>
      <c r="E17" s="11">
        <v>0</v>
      </c>
      <c r="F17" s="12">
        <f t="shared" si="0"/>
        <v>0</v>
      </c>
    </row>
    <row r="18" ht="23.25" customHeight="1" spans="1:6">
      <c r="A18" s="7" t="s">
        <v>39</v>
      </c>
      <c r="B18" s="8" t="s">
        <v>40</v>
      </c>
      <c r="C18" s="17">
        <v>0</v>
      </c>
      <c r="D18" s="17">
        <v>0</v>
      </c>
      <c r="E18" s="17">
        <v>0</v>
      </c>
      <c r="F18" s="12">
        <f t="shared" si="0"/>
        <v>0</v>
      </c>
    </row>
    <row r="19" ht="23.25" customHeight="1" spans="1:6">
      <c r="A19" s="13" t="s">
        <v>41</v>
      </c>
      <c r="B19" s="14" t="s">
        <v>42</v>
      </c>
      <c r="C19" s="9">
        <v>0</v>
      </c>
      <c r="D19" s="18">
        <v>0</v>
      </c>
      <c r="E19" s="18">
        <v>0</v>
      </c>
      <c r="F19" s="12">
        <f t="shared" si="0"/>
        <v>0</v>
      </c>
    </row>
    <row r="20" ht="23.25" customHeight="1" spans="1:6">
      <c r="A20" s="13" t="s">
        <v>43</v>
      </c>
      <c r="B20" s="14" t="s">
        <v>44</v>
      </c>
      <c r="C20" s="9">
        <v>0</v>
      </c>
      <c r="D20" s="10">
        <v>2920</v>
      </c>
      <c r="E20" s="11">
        <v>799413.5</v>
      </c>
      <c r="F20" s="12">
        <f t="shared" si="0"/>
        <v>802333.5</v>
      </c>
    </row>
    <row r="21" ht="23.25" customHeight="1" spans="1:6">
      <c r="A21" s="13" t="s">
        <v>45</v>
      </c>
      <c r="B21" s="14" t="s">
        <v>46</v>
      </c>
      <c r="C21" s="9">
        <v>0</v>
      </c>
      <c r="D21" s="10">
        <v>0</v>
      </c>
      <c r="E21" s="11">
        <v>5265</v>
      </c>
      <c r="F21" s="12">
        <f t="shared" si="0"/>
        <v>5265</v>
      </c>
    </row>
    <row r="22" ht="23.25" customHeight="1" spans="1:6">
      <c r="A22" s="13" t="s">
        <v>47</v>
      </c>
      <c r="B22" s="14" t="s">
        <v>48</v>
      </c>
      <c r="C22" s="9">
        <v>0</v>
      </c>
      <c r="D22" s="10">
        <v>0</v>
      </c>
      <c r="E22" s="11">
        <v>0</v>
      </c>
      <c r="F22" s="12">
        <f t="shared" si="0"/>
        <v>0</v>
      </c>
    </row>
    <row r="23" ht="23.25" customHeight="1" spans="1:6">
      <c r="A23" s="19" t="s">
        <v>49</v>
      </c>
      <c r="B23" s="14" t="s">
        <v>50</v>
      </c>
      <c r="C23" s="9">
        <v>12514</v>
      </c>
      <c r="D23" s="10">
        <v>0</v>
      </c>
      <c r="E23" s="11">
        <v>0</v>
      </c>
      <c r="F23" s="12">
        <f t="shared" si="0"/>
        <v>12514</v>
      </c>
    </row>
    <row r="24" ht="23.25" customHeight="1" spans="1:6">
      <c r="A24" s="7" t="s">
        <v>51</v>
      </c>
      <c r="B24" s="14" t="s">
        <v>52</v>
      </c>
      <c r="C24" s="17">
        <v>0</v>
      </c>
      <c r="D24" s="17">
        <v>0</v>
      </c>
      <c r="E24" s="17">
        <v>0</v>
      </c>
      <c r="F24" s="12">
        <f t="shared" si="0"/>
        <v>0</v>
      </c>
    </row>
    <row r="25" ht="23.25" customHeight="1" spans="1:6">
      <c r="A25" s="13" t="s">
        <v>53</v>
      </c>
      <c r="B25" s="14" t="s">
        <v>54</v>
      </c>
      <c r="C25" s="9">
        <v>0</v>
      </c>
      <c r="D25" s="18">
        <v>0</v>
      </c>
      <c r="E25" s="18">
        <v>0</v>
      </c>
      <c r="F25" s="12">
        <f t="shared" si="0"/>
        <v>0</v>
      </c>
    </row>
    <row r="26" ht="23.25" customHeight="1" spans="1:6">
      <c r="A26" s="13" t="s">
        <v>55</v>
      </c>
      <c r="B26" s="14" t="s">
        <v>56</v>
      </c>
      <c r="C26" s="9">
        <v>0</v>
      </c>
      <c r="D26" s="10">
        <v>0</v>
      </c>
      <c r="E26" s="11">
        <v>0</v>
      </c>
      <c r="F26" s="12">
        <f t="shared" si="0"/>
        <v>0</v>
      </c>
    </row>
    <row r="27" ht="23.25" customHeight="1" spans="1:6">
      <c r="A27" s="13" t="s">
        <v>57</v>
      </c>
      <c r="B27" s="14" t="s">
        <v>58</v>
      </c>
      <c r="C27" s="9">
        <v>0</v>
      </c>
      <c r="D27" s="10">
        <v>0</v>
      </c>
      <c r="E27" s="11">
        <v>0</v>
      </c>
      <c r="F27" s="12">
        <f t="shared" si="0"/>
        <v>0</v>
      </c>
    </row>
    <row r="28" ht="23.25" customHeight="1" spans="1:6">
      <c r="A28" s="13" t="s">
        <v>59</v>
      </c>
      <c r="B28" s="14" t="s">
        <v>60</v>
      </c>
      <c r="C28" s="9">
        <v>0</v>
      </c>
      <c r="D28" s="10">
        <v>0</v>
      </c>
      <c r="E28" s="11">
        <v>106176.52</v>
      </c>
      <c r="F28" s="12">
        <f t="shared" si="0"/>
        <v>106176.52</v>
      </c>
    </row>
    <row r="29" ht="23.25" customHeight="1" spans="1:6">
      <c r="A29" s="7" t="s">
        <v>61</v>
      </c>
      <c r="B29" s="14" t="s">
        <v>62</v>
      </c>
      <c r="C29" s="9">
        <v>0</v>
      </c>
      <c r="D29" s="10">
        <v>0</v>
      </c>
      <c r="E29" s="11">
        <v>0</v>
      </c>
      <c r="F29" s="12">
        <f t="shared" si="0"/>
        <v>0</v>
      </c>
    </row>
    <row r="30" ht="23.25" customHeight="1" spans="1:6">
      <c r="A30" s="13" t="s">
        <v>63</v>
      </c>
      <c r="B30" s="14" t="s">
        <v>64</v>
      </c>
      <c r="C30" s="17">
        <v>0</v>
      </c>
      <c r="D30" s="17">
        <v>0</v>
      </c>
      <c r="E30" s="17">
        <v>0</v>
      </c>
      <c r="F30" s="12">
        <f t="shared" si="0"/>
        <v>0</v>
      </c>
    </row>
    <row r="31" ht="23.25" customHeight="1" spans="1:6">
      <c r="A31" s="13" t="s">
        <v>65</v>
      </c>
      <c r="B31" s="14" t="s">
        <v>66</v>
      </c>
      <c r="C31" s="9">
        <v>0</v>
      </c>
      <c r="D31" s="18">
        <v>0</v>
      </c>
      <c r="E31" s="18">
        <v>0</v>
      </c>
      <c r="F31" s="12">
        <f t="shared" si="0"/>
        <v>0</v>
      </c>
    </row>
    <row r="32" ht="23.25" customHeight="1" spans="1:6">
      <c r="A32" s="13" t="s">
        <v>67</v>
      </c>
      <c r="B32" s="14" t="s">
        <v>68</v>
      </c>
      <c r="C32" s="9">
        <v>0</v>
      </c>
      <c r="D32" s="10">
        <v>0</v>
      </c>
      <c r="E32" s="11">
        <v>0</v>
      </c>
      <c r="F32" s="12">
        <f t="shared" si="0"/>
        <v>0</v>
      </c>
    </row>
    <row r="33" ht="23.25" customHeight="1" spans="1:6">
      <c r="A33" s="13" t="s">
        <v>69</v>
      </c>
      <c r="B33" s="14" t="s">
        <v>70</v>
      </c>
      <c r="C33" s="9">
        <v>0</v>
      </c>
      <c r="D33" s="10">
        <v>0</v>
      </c>
      <c r="E33" s="11">
        <v>0</v>
      </c>
      <c r="F33" s="12">
        <f t="shared" si="0"/>
        <v>0</v>
      </c>
    </row>
    <row r="34" ht="23.25" customHeight="1" spans="1:6">
      <c r="A34" s="19" t="s">
        <v>71</v>
      </c>
      <c r="B34" s="14" t="s">
        <v>72</v>
      </c>
      <c r="C34" s="9">
        <v>0</v>
      </c>
      <c r="D34" s="10">
        <v>0</v>
      </c>
      <c r="E34" s="11">
        <v>0</v>
      </c>
      <c r="F34" s="12">
        <f t="shared" ref="F34:F65" si="1">C34+D34+E34</f>
        <v>0</v>
      </c>
    </row>
    <row r="35" ht="23.25" customHeight="1" spans="1:6">
      <c r="A35" s="7" t="s">
        <v>73</v>
      </c>
      <c r="B35" s="14" t="s">
        <v>74</v>
      </c>
      <c r="C35" s="9">
        <v>0</v>
      </c>
      <c r="D35" s="10">
        <v>0</v>
      </c>
      <c r="E35" s="11">
        <v>0</v>
      </c>
      <c r="F35" s="12">
        <f t="shared" si="1"/>
        <v>0</v>
      </c>
    </row>
    <row r="36" ht="23.25" customHeight="1" spans="1:6">
      <c r="A36" s="13" t="s">
        <v>75</v>
      </c>
      <c r="B36" s="14" t="s">
        <v>76</v>
      </c>
      <c r="C36" s="17">
        <v>0</v>
      </c>
      <c r="D36" s="17">
        <v>0</v>
      </c>
      <c r="E36" s="17">
        <v>0</v>
      </c>
      <c r="F36" s="12">
        <f t="shared" si="1"/>
        <v>0</v>
      </c>
    </row>
    <row r="37" ht="23.25" customHeight="1" spans="1:6">
      <c r="A37" s="13" t="s">
        <v>77</v>
      </c>
      <c r="B37" s="14" t="s">
        <v>78</v>
      </c>
      <c r="C37" s="9">
        <v>0</v>
      </c>
      <c r="D37" s="18">
        <v>0</v>
      </c>
      <c r="E37" s="18">
        <v>0</v>
      </c>
      <c r="F37" s="12">
        <f t="shared" si="1"/>
        <v>0</v>
      </c>
    </row>
    <row r="38" ht="23.25" customHeight="1" spans="1:6">
      <c r="A38" s="13" t="s">
        <v>79</v>
      </c>
      <c r="B38" s="14" t="s">
        <v>80</v>
      </c>
      <c r="C38" s="9">
        <v>0</v>
      </c>
      <c r="D38" s="10">
        <v>0</v>
      </c>
      <c r="E38" s="11">
        <v>0</v>
      </c>
      <c r="F38" s="12">
        <f t="shared" si="1"/>
        <v>0</v>
      </c>
    </row>
    <row r="39" ht="23.25" customHeight="1" spans="1:6">
      <c r="A39" s="13" t="s">
        <v>81</v>
      </c>
      <c r="B39" s="14" t="s">
        <v>82</v>
      </c>
      <c r="C39" s="9">
        <v>0</v>
      </c>
      <c r="D39" s="10">
        <v>0</v>
      </c>
      <c r="E39" s="11">
        <v>24223.03</v>
      </c>
      <c r="F39" s="12">
        <f t="shared" si="1"/>
        <v>24223.03</v>
      </c>
    </row>
    <row r="40" ht="23.25" customHeight="1" spans="1:6">
      <c r="A40" s="7" t="s">
        <v>83</v>
      </c>
      <c r="B40" s="8" t="s">
        <v>84</v>
      </c>
      <c r="C40" s="9">
        <v>12514</v>
      </c>
      <c r="D40" s="10">
        <v>0</v>
      </c>
      <c r="E40" s="11">
        <v>0</v>
      </c>
      <c r="F40" s="12">
        <f t="shared" si="1"/>
        <v>12514</v>
      </c>
    </row>
    <row r="41" ht="23.25" customHeight="1" spans="1:6">
      <c r="A41" s="13" t="s">
        <v>85</v>
      </c>
      <c r="B41" s="14" t="s">
        <v>86</v>
      </c>
      <c r="C41" s="9">
        <v>0</v>
      </c>
      <c r="D41" s="10">
        <v>0</v>
      </c>
      <c r="E41" s="11">
        <v>0</v>
      </c>
      <c r="F41" s="12">
        <f t="shared" si="1"/>
        <v>0</v>
      </c>
    </row>
    <row r="42" ht="23.25" customHeight="1" spans="1:6">
      <c r="A42" s="13" t="s">
        <v>87</v>
      </c>
      <c r="B42" s="14" t="s">
        <v>88</v>
      </c>
      <c r="C42" s="17">
        <v>0</v>
      </c>
      <c r="D42" s="17">
        <v>0</v>
      </c>
      <c r="E42" s="17">
        <v>0</v>
      </c>
      <c r="F42" s="12">
        <f t="shared" si="1"/>
        <v>0</v>
      </c>
    </row>
    <row r="43" ht="23.25" customHeight="1" spans="1:6">
      <c r="A43" s="13" t="s">
        <v>89</v>
      </c>
      <c r="B43" s="14" t="s">
        <v>90</v>
      </c>
      <c r="C43" s="9">
        <v>0</v>
      </c>
      <c r="D43" s="18">
        <v>0</v>
      </c>
      <c r="E43" s="18">
        <v>0</v>
      </c>
      <c r="F43" s="12">
        <f t="shared" si="1"/>
        <v>0</v>
      </c>
    </row>
    <row r="44" ht="23.25" customHeight="1" spans="1:6">
      <c r="A44" s="13" t="s">
        <v>91</v>
      </c>
      <c r="B44" s="14" t="s">
        <v>92</v>
      </c>
      <c r="C44" s="9">
        <v>0</v>
      </c>
      <c r="D44" s="10">
        <v>0</v>
      </c>
      <c r="E44" s="11">
        <v>0</v>
      </c>
      <c r="F44" s="12">
        <f t="shared" si="1"/>
        <v>0</v>
      </c>
    </row>
    <row r="45" ht="23.25" customHeight="1" spans="1:6">
      <c r="A45" s="19" t="s">
        <v>93</v>
      </c>
      <c r="B45" s="14" t="s">
        <v>94</v>
      </c>
      <c r="C45" s="9">
        <v>0</v>
      </c>
      <c r="D45" s="10">
        <v>0</v>
      </c>
      <c r="E45" s="11">
        <v>0</v>
      </c>
      <c r="F45" s="12">
        <f t="shared" si="1"/>
        <v>0</v>
      </c>
    </row>
    <row r="46" ht="23.25" customHeight="1" spans="1:6">
      <c r="A46" s="7" t="s">
        <v>95</v>
      </c>
      <c r="B46" s="14" t="s">
        <v>96</v>
      </c>
      <c r="C46" s="9">
        <v>0</v>
      </c>
      <c r="D46" s="10">
        <v>533</v>
      </c>
      <c r="E46" s="11">
        <v>0</v>
      </c>
      <c r="F46" s="12">
        <f t="shared" si="1"/>
        <v>533</v>
      </c>
    </row>
    <row r="47" ht="23.25" customHeight="1" spans="1:6">
      <c r="A47" s="13" t="s">
        <v>97</v>
      </c>
      <c r="B47" s="14" t="s">
        <v>98</v>
      </c>
      <c r="C47" s="9">
        <v>0</v>
      </c>
      <c r="D47" s="10">
        <v>0</v>
      </c>
      <c r="E47" s="11">
        <v>0</v>
      </c>
      <c r="F47" s="12">
        <f t="shared" si="1"/>
        <v>0</v>
      </c>
    </row>
    <row r="48" ht="23.25" customHeight="1" spans="1:6">
      <c r="A48" s="13" t="s">
        <v>99</v>
      </c>
      <c r="B48" s="14" t="s">
        <v>100</v>
      </c>
      <c r="C48" s="17">
        <v>0</v>
      </c>
      <c r="D48" s="17">
        <v>780</v>
      </c>
      <c r="E48" s="17">
        <v>0</v>
      </c>
      <c r="F48" s="12">
        <f t="shared" si="1"/>
        <v>780</v>
      </c>
    </row>
    <row r="49" ht="23.25" customHeight="1" spans="1:6">
      <c r="A49" s="13" t="s">
        <v>101</v>
      </c>
      <c r="B49" s="14" t="s">
        <v>102</v>
      </c>
      <c r="C49" s="9">
        <v>0</v>
      </c>
      <c r="D49" s="18">
        <v>0</v>
      </c>
      <c r="E49" s="18">
        <v>0</v>
      </c>
      <c r="F49" s="12">
        <f t="shared" si="1"/>
        <v>0</v>
      </c>
    </row>
    <row r="50" ht="23.25" customHeight="1" spans="1:6">
      <c r="A50" s="13" t="s">
        <v>103</v>
      </c>
      <c r="B50" s="14" t="s">
        <v>104</v>
      </c>
      <c r="C50" s="9">
        <v>0</v>
      </c>
      <c r="D50" s="10">
        <v>0</v>
      </c>
      <c r="E50" s="11">
        <v>0</v>
      </c>
      <c r="F50" s="12">
        <f t="shared" si="1"/>
        <v>0</v>
      </c>
    </row>
    <row r="51" ht="23.25" customHeight="1" spans="1:6">
      <c r="A51" s="7" t="s">
        <v>105</v>
      </c>
      <c r="B51" s="14" t="s">
        <v>106</v>
      </c>
      <c r="C51" s="9">
        <v>0</v>
      </c>
      <c r="D51" s="10">
        <v>0</v>
      </c>
      <c r="E51" s="11">
        <v>11754.26</v>
      </c>
      <c r="F51" s="12">
        <f t="shared" si="1"/>
        <v>11754.26</v>
      </c>
    </row>
    <row r="52" ht="23.25" customHeight="1" spans="1:6">
      <c r="A52" s="13" t="s">
        <v>107</v>
      </c>
      <c r="B52" s="14" t="s">
        <v>108</v>
      </c>
      <c r="C52" s="9">
        <v>0</v>
      </c>
      <c r="D52" s="10">
        <v>0</v>
      </c>
      <c r="E52" s="11">
        <v>0</v>
      </c>
      <c r="F52" s="12">
        <f t="shared" si="1"/>
        <v>0</v>
      </c>
    </row>
    <row r="53" ht="23.25" customHeight="1" spans="1:6">
      <c r="A53" s="13" t="s">
        <v>109</v>
      </c>
      <c r="B53" s="14" t="s">
        <v>110</v>
      </c>
      <c r="C53" s="9">
        <v>0</v>
      </c>
      <c r="D53" s="10">
        <v>0</v>
      </c>
      <c r="E53" s="11">
        <v>0</v>
      </c>
      <c r="F53" s="12">
        <f t="shared" si="1"/>
        <v>0</v>
      </c>
    </row>
    <row r="54" ht="23.25" customHeight="1" spans="1:6">
      <c r="A54" s="13" t="s">
        <v>111</v>
      </c>
      <c r="B54" s="14" t="s">
        <v>112</v>
      </c>
      <c r="C54" s="17">
        <v>0</v>
      </c>
      <c r="D54" s="17">
        <v>0</v>
      </c>
      <c r="E54" s="17">
        <v>0</v>
      </c>
      <c r="F54" s="12">
        <f t="shared" si="1"/>
        <v>0</v>
      </c>
    </row>
    <row r="55" ht="23.25" customHeight="1" spans="1:6">
      <c r="A55" s="13" t="s">
        <v>113</v>
      </c>
      <c r="B55" s="14" t="s">
        <v>114</v>
      </c>
      <c r="C55" s="9">
        <v>0</v>
      </c>
      <c r="D55" s="18">
        <v>0</v>
      </c>
      <c r="E55" s="18">
        <v>0</v>
      </c>
      <c r="F55" s="12">
        <f t="shared" si="1"/>
        <v>0</v>
      </c>
    </row>
    <row r="56" ht="23.25" customHeight="1" spans="1:6">
      <c r="A56" s="19" t="s">
        <v>115</v>
      </c>
      <c r="B56" s="14" t="s">
        <v>116</v>
      </c>
      <c r="C56" s="9">
        <v>0</v>
      </c>
      <c r="D56" s="10">
        <v>0</v>
      </c>
      <c r="E56" s="11">
        <v>0</v>
      </c>
      <c r="F56" s="12">
        <f t="shared" si="1"/>
        <v>0</v>
      </c>
    </row>
    <row r="57" ht="23.25" customHeight="1" spans="1:6">
      <c r="A57" s="7" t="s">
        <v>117</v>
      </c>
      <c r="B57" s="14" t="s">
        <v>118</v>
      </c>
      <c r="C57" s="9">
        <v>0</v>
      </c>
      <c r="D57" s="10">
        <v>0</v>
      </c>
      <c r="E57" s="11">
        <v>0</v>
      </c>
      <c r="F57" s="12">
        <f t="shared" si="1"/>
        <v>0</v>
      </c>
    </row>
    <row r="58" ht="23.25" customHeight="1" spans="1:6">
      <c r="A58" s="13" t="s">
        <v>119</v>
      </c>
      <c r="B58" s="14" t="s">
        <v>120</v>
      </c>
      <c r="C58" s="9">
        <v>0</v>
      </c>
      <c r="D58" s="10">
        <v>0</v>
      </c>
      <c r="E58" s="11">
        <v>0</v>
      </c>
      <c r="F58" s="12">
        <f t="shared" si="1"/>
        <v>0</v>
      </c>
    </row>
    <row r="59" ht="23.25" customHeight="1" spans="1:6">
      <c r="A59" s="13" t="s">
        <v>121</v>
      </c>
      <c r="B59" s="14" t="s">
        <v>122</v>
      </c>
      <c r="C59" s="9">
        <v>0</v>
      </c>
      <c r="D59" s="10">
        <v>840</v>
      </c>
      <c r="E59" s="11">
        <v>0</v>
      </c>
      <c r="F59" s="12">
        <f t="shared" si="1"/>
        <v>840</v>
      </c>
    </row>
    <row r="60" ht="23.25" customHeight="1" spans="1:6">
      <c r="A60" s="13" t="s">
        <v>123</v>
      </c>
      <c r="B60" s="14" t="s">
        <v>124</v>
      </c>
      <c r="C60" s="17">
        <v>0</v>
      </c>
      <c r="D60" s="17">
        <v>1680</v>
      </c>
      <c r="E60" s="17">
        <v>0</v>
      </c>
      <c r="F60" s="12">
        <f t="shared" si="1"/>
        <v>1680</v>
      </c>
    </row>
    <row r="61" ht="23.25" customHeight="1" spans="1:6">
      <c r="A61" s="13" t="s">
        <v>125</v>
      </c>
      <c r="B61" s="14" t="s">
        <v>126</v>
      </c>
      <c r="C61" s="9">
        <v>0</v>
      </c>
      <c r="D61" s="18">
        <v>0</v>
      </c>
      <c r="E61" s="18">
        <v>0</v>
      </c>
      <c r="F61" s="12">
        <f t="shared" si="1"/>
        <v>0</v>
      </c>
    </row>
    <row r="62" ht="23.25" customHeight="1" spans="1:6">
      <c r="A62" s="7" t="s">
        <v>127</v>
      </c>
      <c r="B62" s="14" t="s">
        <v>128</v>
      </c>
      <c r="C62" s="9">
        <v>0</v>
      </c>
      <c r="D62" s="10">
        <v>0</v>
      </c>
      <c r="E62" s="11">
        <v>0</v>
      </c>
      <c r="F62" s="12">
        <f t="shared" si="1"/>
        <v>0</v>
      </c>
    </row>
    <row r="63" ht="23.25" customHeight="1" spans="1:6">
      <c r="A63" s="13" t="s">
        <v>129</v>
      </c>
      <c r="B63" s="14" t="s">
        <v>130</v>
      </c>
      <c r="C63" s="9">
        <v>0</v>
      </c>
      <c r="D63" s="10">
        <v>0</v>
      </c>
      <c r="E63" s="11">
        <v>0</v>
      </c>
      <c r="F63" s="12">
        <f t="shared" si="1"/>
        <v>0</v>
      </c>
    </row>
    <row r="64" ht="23.25" customHeight="1" spans="1:6">
      <c r="A64" s="13" t="s">
        <v>131</v>
      </c>
      <c r="B64" s="14" t="s">
        <v>132</v>
      </c>
      <c r="C64" s="9">
        <v>0</v>
      </c>
      <c r="D64" s="10">
        <v>0</v>
      </c>
      <c r="E64" s="11">
        <v>0</v>
      </c>
      <c r="F64" s="12">
        <f t="shared" si="1"/>
        <v>0</v>
      </c>
    </row>
    <row r="65" ht="23.25" customHeight="1" spans="1:6">
      <c r="A65" s="13" t="s">
        <v>133</v>
      </c>
      <c r="B65" s="14" t="s">
        <v>134</v>
      </c>
      <c r="C65" s="9">
        <v>0</v>
      </c>
      <c r="D65" s="10">
        <v>0</v>
      </c>
      <c r="E65" s="11">
        <v>0</v>
      </c>
      <c r="F65" s="12">
        <f t="shared" si="1"/>
        <v>0</v>
      </c>
    </row>
    <row r="66" ht="23.25" customHeight="1" spans="1:6">
      <c r="A66" s="13" t="s">
        <v>135</v>
      </c>
      <c r="B66" s="14" t="s">
        <v>136</v>
      </c>
      <c r="C66" s="17">
        <v>0</v>
      </c>
      <c r="D66" s="17">
        <v>0</v>
      </c>
      <c r="E66" s="17">
        <v>0</v>
      </c>
      <c r="F66" s="12">
        <f t="shared" ref="F66:F97" si="2">C66+D66+E66</f>
        <v>0</v>
      </c>
    </row>
    <row r="67" ht="23.25" customHeight="1" spans="1:6">
      <c r="A67" s="19" t="s">
        <v>137</v>
      </c>
      <c r="B67" s="14" t="s">
        <v>138</v>
      </c>
      <c r="C67" s="9">
        <v>0</v>
      </c>
      <c r="D67" s="18">
        <v>0</v>
      </c>
      <c r="E67" s="18">
        <v>0</v>
      </c>
      <c r="F67" s="12">
        <f t="shared" si="2"/>
        <v>0</v>
      </c>
    </row>
    <row r="68" ht="23.25" customHeight="1" spans="1:6">
      <c r="A68" s="7" t="s">
        <v>139</v>
      </c>
      <c r="B68" s="14" t="s">
        <v>140</v>
      </c>
      <c r="C68" s="9">
        <v>0</v>
      </c>
      <c r="D68" s="10">
        <v>0</v>
      </c>
      <c r="E68" s="11">
        <v>0</v>
      </c>
      <c r="F68" s="12">
        <f t="shared" si="2"/>
        <v>0</v>
      </c>
    </row>
    <row r="69" ht="23.25" customHeight="1" spans="1:6">
      <c r="A69" s="13" t="s">
        <v>141</v>
      </c>
      <c r="B69" s="14" t="s">
        <v>142</v>
      </c>
      <c r="C69" s="9">
        <v>0</v>
      </c>
      <c r="D69" s="10">
        <v>8243</v>
      </c>
      <c r="E69" s="11">
        <v>0</v>
      </c>
      <c r="F69" s="12">
        <f t="shared" si="2"/>
        <v>8243</v>
      </c>
    </row>
    <row r="70" ht="23.25" customHeight="1" spans="1:6">
      <c r="A70" s="13" t="s">
        <v>143</v>
      </c>
      <c r="B70" s="14" t="s">
        <v>144</v>
      </c>
      <c r="C70" s="9">
        <v>0</v>
      </c>
      <c r="D70" s="10">
        <v>0</v>
      </c>
      <c r="E70" s="11">
        <v>10001.11</v>
      </c>
      <c r="F70" s="12">
        <f t="shared" si="2"/>
        <v>10001.11</v>
      </c>
    </row>
    <row r="71" ht="23.25" customHeight="1" spans="1:6">
      <c r="A71" s="13" t="s">
        <v>145</v>
      </c>
      <c r="B71" s="14" t="s">
        <v>146</v>
      </c>
      <c r="C71" s="9">
        <v>0</v>
      </c>
      <c r="D71" s="10">
        <v>0</v>
      </c>
      <c r="E71" s="11">
        <v>3090</v>
      </c>
      <c r="F71" s="12">
        <f t="shared" si="2"/>
        <v>3090</v>
      </c>
    </row>
    <row r="72" ht="23.25" customHeight="1" spans="1:6">
      <c r="A72" s="13" t="s">
        <v>147</v>
      </c>
      <c r="B72" s="14" t="s">
        <v>148</v>
      </c>
      <c r="C72" s="17">
        <v>0</v>
      </c>
      <c r="D72" s="17">
        <v>0</v>
      </c>
      <c r="E72" s="17">
        <v>6070</v>
      </c>
      <c r="F72" s="12">
        <f t="shared" si="2"/>
        <v>6070</v>
      </c>
    </row>
    <row r="73" ht="23.25" customHeight="1" spans="1:6">
      <c r="A73" s="7" t="s">
        <v>149</v>
      </c>
      <c r="B73" s="14" t="s">
        <v>150</v>
      </c>
      <c r="C73" s="9">
        <v>0</v>
      </c>
      <c r="D73" s="18">
        <v>0</v>
      </c>
      <c r="E73" s="18">
        <v>0</v>
      </c>
      <c r="F73" s="12">
        <f t="shared" si="2"/>
        <v>0</v>
      </c>
    </row>
    <row r="74" ht="23.25" customHeight="1" spans="1:6">
      <c r="A74" s="13" t="s">
        <v>151</v>
      </c>
      <c r="B74" s="14" t="s">
        <v>152</v>
      </c>
      <c r="C74" s="9">
        <v>0</v>
      </c>
      <c r="D74" s="10">
        <v>0</v>
      </c>
      <c r="E74" s="11">
        <v>1295</v>
      </c>
      <c r="F74" s="12">
        <f t="shared" si="2"/>
        <v>1295</v>
      </c>
    </row>
    <row r="75" ht="23.25" customHeight="1" spans="1:6">
      <c r="A75" s="13" t="s">
        <v>153</v>
      </c>
      <c r="B75" s="14" t="s">
        <v>154</v>
      </c>
      <c r="C75" s="9">
        <v>0</v>
      </c>
      <c r="D75" s="10">
        <v>0</v>
      </c>
      <c r="E75" s="11">
        <v>0</v>
      </c>
      <c r="F75" s="12">
        <f t="shared" si="2"/>
        <v>0</v>
      </c>
    </row>
    <row r="76" ht="23.25" customHeight="1" spans="1:6">
      <c r="A76" s="13" t="s">
        <v>155</v>
      </c>
      <c r="B76" s="14" t="s">
        <v>156</v>
      </c>
      <c r="C76" s="9">
        <v>0</v>
      </c>
      <c r="D76" s="10">
        <v>0</v>
      </c>
      <c r="E76" s="11">
        <v>0</v>
      </c>
      <c r="F76" s="12">
        <f t="shared" si="2"/>
        <v>0</v>
      </c>
    </row>
    <row r="77" ht="23.25" customHeight="1" spans="1:6">
      <c r="A77" s="13" t="s">
        <v>157</v>
      </c>
      <c r="B77" s="14" t="s">
        <v>158</v>
      </c>
      <c r="C77" s="9">
        <v>0</v>
      </c>
      <c r="D77" s="10">
        <v>0</v>
      </c>
      <c r="E77" s="11">
        <v>0</v>
      </c>
      <c r="F77" s="12">
        <f t="shared" si="2"/>
        <v>0</v>
      </c>
    </row>
    <row r="78" ht="23.25" customHeight="1" spans="1:6">
      <c r="A78" s="19" t="s">
        <v>159</v>
      </c>
      <c r="B78" s="14" t="s">
        <v>160</v>
      </c>
      <c r="C78" s="17">
        <v>0</v>
      </c>
      <c r="D78" s="17">
        <v>0</v>
      </c>
      <c r="E78" s="17">
        <v>0</v>
      </c>
      <c r="F78" s="12">
        <f t="shared" si="2"/>
        <v>0</v>
      </c>
    </row>
    <row r="79" ht="23.25" customHeight="1" spans="1:6">
      <c r="A79" s="7" t="s">
        <v>161</v>
      </c>
      <c r="B79" s="14" t="s">
        <v>162</v>
      </c>
      <c r="C79" s="9">
        <v>0</v>
      </c>
      <c r="D79" s="18">
        <v>0</v>
      </c>
      <c r="E79" s="18">
        <v>0</v>
      </c>
      <c r="F79" s="12">
        <f t="shared" si="2"/>
        <v>0</v>
      </c>
    </row>
    <row r="80" ht="23.25" customHeight="1" spans="1:6">
      <c r="A80" s="13" t="s">
        <v>163</v>
      </c>
      <c r="B80" s="14" t="s">
        <v>164</v>
      </c>
      <c r="C80" s="9">
        <v>0</v>
      </c>
      <c r="D80" s="10">
        <v>0</v>
      </c>
      <c r="E80" s="11">
        <v>11751.96</v>
      </c>
      <c r="F80" s="12">
        <f t="shared" si="2"/>
        <v>11751.96</v>
      </c>
    </row>
    <row r="81" ht="23.25" customHeight="1" spans="1:6">
      <c r="A81" s="13" t="s">
        <v>165</v>
      </c>
      <c r="B81" s="14" t="s">
        <v>166</v>
      </c>
      <c r="C81" s="9">
        <v>0</v>
      </c>
      <c r="D81" s="10">
        <v>0</v>
      </c>
      <c r="E81" s="11">
        <v>0</v>
      </c>
      <c r="F81" s="12">
        <f t="shared" si="2"/>
        <v>0</v>
      </c>
    </row>
    <row r="82" ht="23.25" customHeight="1" spans="1:6">
      <c r="A82" s="13" t="s">
        <v>167</v>
      </c>
      <c r="B82" s="14" t="s">
        <v>168</v>
      </c>
      <c r="C82" s="9">
        <v>0</v>
      </c>
      <c r="D82" s="10">
        <v>0</v>
      </c>
      <c r="E82" s="11">
        <v>4105.84</v>
      </c>
      <c r="F82" s="12">
        <f t="shared" si="2"/>
        <v>4105.84</v>
      </c>
    </row>
    <row r="83" ht="23.25" customHeight="1" spans="1:6">
      <c r="A83" s="13" t="s">
        <v>169</v>
      </c>
      <c r="B83" s="14" t="s">
        <v>170</v>
      </c>
      <c r="C83" s="9">
        <v>0</v>
      </c>
      <c r="D83" s="10">
        <v>0</v>
      </c>
      <c r="E83" s="11">
        <v>0</v>
      </c>
      <c r="F83" s="12">
        <f t="shared" si="2"/>
        <v>0</v>
      </c>
    </row>
    <row r="84" ht="23.25" customHeight="1" spans="1:6">
      <c r="A84" s="7" t="s">
        <v>171</v>
      </c>
      <c r="B84" s="14" t="s">
        <v>172</v>
      </c>
      <c r="C84" s="17">
        <v>0</v>
      </c>
      <c r="D84" s="17">
        <v>0</v>
      </c>
      <c r="E84" s="17">
        <v>0</v>
      </c>
      <c r="F84" s="12">
        <f t="shared" si="2"/>
        <v>0</v>
      </c>
    </row>
    <row r="85" ht="23.25" customHeight="1" spans="1:6">
      <c r="A85" s="13" t="s">
        <v>173</v>
      </c>
      <c r="B85" s="14" t="s">
        <v>174</v>
      </c>
      <c r="C85" s="9">
        <v>0</v>
      </c>
      <c r="D85" s="18">
        <v>0</v>
      </c>
      <c r="E85" s="18">
        <v>0</v>
      </c>
      <c r="F85" s="12">
        <f t="shared" si="2"/>
        <v>0</v>
      </c>
    </row>
    <row r="86" ht="23.25" customHeight="1" spans="1:6">
      <c r="A86" s="13" t="s">
        <v>175</v>
      </c>
      <c r="B86" s="14" t="s">
        <v>176</v>
      </c>
      <c r="C86" s="9">
        <v>0</v>
      </c>
      <c r="D86" s="10">
        <v>0</v>
      </c>
      <c r="E86" s="11">
        <v>0</v>
      </c>
      <c r="F86" s="12">
        <f t="shared" si="2"/>
        <v>0</v>
      </c>
    </row>
    <row r="87" ht="23.25" customHeight="1" spans="1:6">
      <c r="A87" s="13" t="s">
        <v>177</v>
      </c>
      <c r="B87" s="14" t="s">
        <v>178</v>
      </c>
      <c r="C87" s="9">
        <v>0</v>
      </c>
      <c r="D87" s="10">
        <v>0</v>
      </c>
      <c r="E87" s="11">
        <v>0</v>
      </c>
      <c r="F87" s="12">
        <f t="shared" si="2"/>
        <v>0</v>
      </c>
    </row>
    <row r="88" ht="23.25" customHeight="1" spans="1:6">
      <c r="A88" s="13" t="s">
        <v>179</v>
      </c>
      <c r="B88" s="14" t="s">
        <v>180</v>
      </c>
      <c r="C88" s="9">
        <v>0</v>
      </c>
      <c r="D88" s="10">
        <v>0</v>
      </c>
      <c r="E88" s="11">
        <v>0</v>
      </c>
      <c r="F88" s="12">
        <f t="shared" si="2"/>
        <v>0</v>
      </c>
    </row>
    <row r="89" ht="23.25" customHeight="1" spans="1:6">
      <c r="A89" s="19" t="s">
        <v>181</v>
      </c>
      <c r="B89" s="14" t="s">
        <v>182</v>
      </c>
      <c r="C89" s="9">
        <v>0</v>
      </c>
      <c r="D89" s="10">
        <v>0</v>
      </c>
      <c r="E89" s="11">
        <v>0</v>
      </c>
      <c r="F89" s="12">
        <f t="shared" si="2"/>
        <v>0</v>
      </c>
    </row>
    <row r="90" ht="23.25" customHeight="1" spans="1:6">
      <c r="A90" s="7" t="s">
        <v>183</v>
      </c>
      <c r="B90" s="14" t="s">
        <v>184</v>
      </c>
      <c r="C90" s="17">
        <v>0</v>
      </c>
      <c r="D90" s="17">
        <v>0</v>
      </c>
      <c r="E90" s="17">
        <v>15692.06</v>
      </c>
      <c r="F90" s="12">
        <f t="shared" si="2"/>
        <v>15692.06</v>
      </c>
    </row>
    <row r="91" ht="23.25" customHeight="1" spans="1:6">
      <c r="A91" s="13" t="s">
        <v>185</v>
      </c>
      <c r="B91" s="14" t="s">
        <v>186</v>
      </c>
      <c r="C91" s="9">
        <v>0</v>
      </c>
      <c r="D91" s="18">
        <v>1475</v>
      </c>
      <c r="E91" s="18">
        <v>0</v>
      </c>
      <c r="F91" s="12">
        <f t="shared" si="2"/>
        <v>1475</v>
      </c>
    </row>
    <row r="92" ht="23.25" customHeight="1" spans="1:6">
      <c r="A92" s="13" t="s">
        <v>187</v>
      </c>
      <c r="B92" s="14" t="s">
        <v>188</v>
      </c>
      <c r="C92" s="9">
        <v>0</v>
      </c>
      <c r="D92" s="10">
        <v>0</v>
      </c>
      <c r="E92" s="11">
        <v>0</v>
      </c>
      <c r="F92" s="12">
        <f t="shared" si="2"/>
        <v>0</v>
      </c>
    </row>
    <row r="93" ht="23.25" customHeight="1" spans="1:6">
      <c r="A93" s="13" t="s">
        <v>189</v>
      </c>
      <c r="B93" s="14" t="s">
        <v>190</v>
      </c>
      <c r="C93" s="9">
        <v>0</v>
      </c>
      <c r="D93" s="10">
        <v>0</v>
      </c>
      <c r="E93" s="11">
        <v>580</v>
      </c>
      <c r="F93" s="12">
        <f t="shared" si="2"/>
        <v>580</v>
      </c>
    </row>
    <row r="94" ht="23.25" customHeight="1" spans="1:6">
      <c r="A94" s="13" t="s">
        <v>191</v>
      </c>
      <c r="B94" s="14" t="s">
        <v>192</v>
      </c>
      <c r="C94" s="9">
        <v>0</v>
      </c>
      <c r="D94" s="10">
        <v>0</v>
      </c>
      <c r="E94" s="11">
        <v>13537.33</v>
      </c>
      <c r="F94" s="12">
        <f t="shared" si="2"/>
        <v>13537.33</v>
      </c>
    </row>
    <row r="95" ht="23.25" customHeight="1" spans="1:6">
      <c r="A95" s="7" t="s">
        <v>193</v>
      </c>
      <c r="B95" s="14" t="s">
        <v>194</v>
      </c>
      <c r="C95" s="9">
        <v>0</v>
      </c>
      <c r="D95" s="10">
        <v>0</v>
      </c>
      <c r="E95" s="11">
        <v>2400</v>
      </c>
      <c r="F95" s="12">
        <f t="shared" si="2"/>
        <v>2400</v>
      </c>
    </row>
    <row r="96" ht="23.25" customHeight="1" spans="1:6">
      <c r="A96" s="13" t="s">
        <v>195</v>
      </c>
      <c r="B96" s="14" t="s">
        <v>196</v>
      </c>
      <c r="C96" s="17">
        <v>0</v>
      </c>
      <c r="D96" s="17">
        <v>0</v>
      </c>
      <c r="E96" s="17">
        <v>0</v>
      </c>
      <c r="F96" s="12">
        <f t="shared" si="2"/>
        <v>0</v>
      </c>
    </row>
    <row r="97" ht="23.25" customHeight="1" spans="1:6">
      <c r="A97" s="13" t="s">
        <v>197</v>
      </c>
      <c r="B97" s="14" t="s">
        <v>198</v>
      </c>
      <c r="C97" s="9">
        <v>0</v>
      </c>
      <c r="D97" s="18">
        <v>0</v>
      </c>
      <c r="E97" s="18">
        <v>0</v>
      </c>
      <c r="F97" s="12">
        <f t="shared" si="2"/>
        <v>0</v>
      </c>
    </row>
    <row r="98" ht="23.25" customHeight="1" spans="1:6">
      <c r="A98" s="13" t="s">
        <v>199</v>
      </c>
      <c r="B98" s="14" t="s">
        <v>200</v>
      </c>
      <c r="C98" s="9">
        <v>0</v>
      </c>
      <c r="D98" s="10">
        <v>0</v>
      </c>
      <c r="E98" s="11">
        <v>0</v>
      </c>
      <c r="F98" s="12">
        <f t="shared" ref="F98:F129" si="3">C98+D98+E98</f>
        <v>0</v>
      </c>
    </row>
    <row r="99" ht="23.25" customHeight="1" spans="1:6">
      <c r="A99" s="13" t="s">
        <v>201</v>
      </c>
      <c r="B99" s="14" t="s">
        <v>202</v>
      </c>
      <c r="C99" s="9">
        <v>0</v>
      </c>
      <c r="D99" s="10">
        <v>0</v>
      </c>
      <c r="E99" s="11">
        <v>4454.64</v>
      </c>
      <c r="F99" s="12">
        <f t="shared" si="3"/>
        <v>4454.64</v>
      </c>
    </row>
    <row r="100" ht="23.25" customHeight="1" spans="1:6">
      <c r="A100" s="19" t="s">
        <v>203</v>
      </c>
      <c r="B100" s="14" t="s">
        <v>204</v>
      </c>
      <c r="C100" s="9">
        <v>0</v>
      </c>
      <c r="D100" s="10">
        <v>0</v>
      </c>
      <c r="E100" s="11">
        <v>0</v>
      </c>
      <c r="F100" s="12">
        <f t="shared" si="3"/>
        <v>0</v>
      </c>
    </row>
    <row r="101" ht="23.25" customHeight="1" spans="1:6">
      <c r="A101" s="7" t="s">
        <v>205</v>
      </c>
      <c r="B101" s="14" t="s">
        <v>206</v>
      </c>
      <c r="C101" s="9">
        <v>0</v>
      </c>
      <c r="D101" s="10">
        <v>0</v>
      </c>
      <c r="E101" s="11">
        <v>0</v>
      </c>
      <c r="F101" s="12">
        <f t="shared" si="3"/>
        <v>0</v>
      </c>
    </row>
    <row r="102" ht="23.25" customHeight="1" spans="1:6">
      <c r="A102" s="13" t="s">
        <v>207</v>
      </c>
      <c r="B102" s="14" t="s">
        <v>208</v>
      </c>
      <c r="C102" s="17">
        <v>0</v>
      </c>
      <c r="D102" s="17">
        <v>0</v>
      </c>
      <c r="E102" s="17">
        <v>5470.14</v>
      </c>
      <c r="F102" s="12">
        <f t="shared" si="3"/>
        <v>5470.14</v>
      </c>
    </row>
    <row r="103" ht="23.25" customHeight="1" spans="1:6">
      <c r="A103" s="13" t="s">
        <v>209</v>
      </c>
      <c r="B103" s="14" t="s">
        <v>210</v>
      </c>
      <c r="C103" s="9">
        <v>0</v>
      </c>
      <c r="D103" s="18">
        <v>0</v>
      </c>
      <c r="E103" s="18">
        <v>0</v>
      </c>
      <c r="F103" s="12">
        <f t="shared" si="3"/>
        <v>0</v>
      </c>
    </row>
    <row r="104" ht="23.25" customHeight="1" spans="1:6">
      <c r="A104" s="13" t="s">
        <v>211</v>
      </c>
      <c r="B104" s="14" t="s">
        <v>212</v>
      </c>
      <c r="C104" s="9">
        <v>0</v>
      </c>
      <c r="D104" s="10">
        <v>0</v>
      </c>
      <c r="E104" s="11">
        <v>0</v>
      </c>
      <c r="F104" s="12">
        <f t="shared" si="3"/>
        <v>0</v>
      </c>
    </row>
    <row r="105" ht="23.25" customHeight="1" spans="1:6">
      <c r="A105" s="13" t="s">
        <v>213</v>
      </c>
      <c r="B105" s="14" t="s">
        <v>214</v>
      </c>
      <c r="C105" s="9">
        <v>0</v>
      </c>
      <c r="D105" s="10">
        <v>0</v>
      </c>
      <c r="E105" s="11">
        <v>0</v>
      </c>
      <c r="F105" s="12">
        <f t="shared" si="3"/>
        <v>0</v>
      </c>
    </row>
    <row r="106" ht="23.25" customHeight="1" spans="1:6">
      <c r="A106" s="7" t="s">
        <v>215</v>
      </c>
      <c r="B106" s="14" t="s">
        <v>216</v>
      </c>
      <c r="C106" s="9">
        <v>0</v>
      </c>
      <c r="D106" s="10">
        <v>0</v>
      </c>
      <c r="E106" s="11">
        <v>0</v>
      </c>
      <c r="F106" s="12">
        <f t="shared" si="3"/>
        <v>0</v>
      </c>
    </row>
    <row r="107" ht="23.25" customHeight="1" spans="1:6">
      <c r="A107" s="13" t="s">
        <v>217</v>
      </c>
      <c r="B107" s="14" t="s">
        <v>218</v>
      </c>
      <c r="C107" s="9">
        <v>0</v>
      </c>
      <c r="D107" s="10">
        <v>0</v>
      </c>
      <c r="E107" s="11">
        <v>0</v>
      </c>
      <c r="F107" s="12">
        <f t="shared" si="3"/>
        <v>0</v>
      </c>
    </row>
    <row r="108" ht="23.25" customHeight="1" spans="1:6">
      <c r="A108" s="13" t="s">
        <v>219</v>
      </c>
      <c r="B108" s="14" t="s">
        <v>220</v>
      </c>
      <c r="C108" s="17">
        <v>0</v>
      </c>
      <c r="D108" s="17">
        <v>0</v>
      </c>
      <c r="E108" s="17">
        <v>0</v>
      </c>
      <c r="F108" s="12">
        <f t="shared" si="3"/>
        <v>0</v>
      </c>
    </row>
    <row r="109" ht="23.25" customHeight="1" spans="1:6">
      <c r="A109" s="13" t="s">
        <v>221</v>
      </c>
      <c r="B109" s="14" t="s">
        <v>222</v>
      </c>
      <c r="C109" s="9">
        <v>0</v>
      </c>
      <c r="D109" s="18">
        <v>0</v>
      </c>
      <c r="E109" s="18">
        <v>0</v>
      </c>
      <c r="F109" s="12">
        <f t="shared" si="3"/>
        <v>0</v>
      </c>
    </row>
    <row r="110" ht="23.25" customHeight="1" spans="1:6">
      <c r="A110" s="13" t="s">
        <v>223</v>
      </c>
      <c r="B110" s="14" t="s">
        <v>224</v>
      </c>
      <c r="C110" s="9">
        <v>0</v>
      </c>
      <c r="D110" s="10">
        <v>0</v>
      </c>
      <c r="E110" s="11">
        <v>284942.65</v>
      </c>
      <c r="F110" s="12">
        <f t="shared" si="3"/>
        <v>284942.65</v>
      </c>
    </row>
    <row r="111" ht="23.25" customHeight="1" spans="1:6">
      <c r="A111" s="19" t="s">
        <v>225</v>
      </c>
      <c r="B111" s="14" t="s">
        <v>226</v>
      </c>
      <c r="C111" s="9">
        <v>0</v>
      </c>
      <c r="D111" s="10">
        <v>0</v>
      </c>
      <c r="E111" s="11">
        <v>0</v>
      </c>
      <c r="F111" s="12">
        <f t="shared" si="3"/>
        <v>0</v>
      </c>
    </row>
    <row r="112" ht="23.25" customHeight="1" spans="1:6">
      <c r="A112" s="7" t="s">
        <v>227</v>
      </c>
      <c r="B112" s="14" t="s">
        <v>228</v>
      </c>
      <c r="C112" s="9">
        <v>0</v>
      </c>
      <c r="D112" s="10">
        <v>0</v>
      </c>
      <c r="E112" s="11">
        <v>0</v>
      </c>
      <c r="F112" s="12">
        <f t="shared" si="3"/>
        <v>0</v>
      </c>
    </row>
    <row r="113" ht="23.25" customHeight="1" spans="1:6">
      <c r="A113" s="13" t="s">
        <v>229</v>
      </c>
      <c r="B113" s="14" t="s">
        <v>230</v>
      </c>
      <c r="C113" s="9">
        <v>0</v>
      </c>
      <c r="D113" s="10">
        <v>0</v>
      </c>
      <c r="E113" s="11">
        <v>0</v>
      </c>
      <c r="F113" s="12">
        <f t="shared" si="3"/>
        <v>0</v>
      </c>
    </row>
    <row r="114" ht="23.25" customHeight="1" spans="1:6">
      <c r="A114" s="13" t="s">
        <v>231</v>
      </c>
      <c r="B114" s="14" t="s">
        <v>232</v>
      </c>
      <c r="C114" s="17">
        <v>0</v>
      </c>
      <c r="D114" s="17">
        <v>0</v>
      </c>
      <c r="E114" s="17">
        <v>0</v>
      </c>
      <c r="F114" s="12">
        <f t="shared" si="3"/>
        <v>0</v>
      </c>
    </row>
    <row r="115" ht="23.25" customHeight="1" spans="1:6">
      <c r="A115" s="13" t="s">
        <v>233</v>
      </c>
      <c r="B115" s="14" t="s">
        <v>234</v>
      </c>
      <c r="C115" s="9">
        <v>0</v>
      </c>
      <c r="D115" s="18">
        <v>0</v>
      </c>
      <c r="E115" s="18">
        <v>0</v>
      </c>
      <c r="F115" s="12">
        <f t="shared" si="3"/>
        <v>0</v>
      </c>
    </row>
    <row r="116" ht="23.25" customHeight="1" spans="1:6">
      <c r="A116" s="13" t="s">
        <v>235</v>
      </c>
      <c r="B116" s="14" t="s">
        <v>236</v>
      </c>
      <c r="C116" s="9">
        <v>0</v>
      </c>
      <c r="D116" s="10">
        <v>0</v>
      </c>
      <c r="E116" s="11">
        <v>0</v>
      </c>
      <c r="F116" s="12">
        <f t="shared" si="3"/>
        <v>0</v>
      </c>
    </row>
    <row r="117" ht="23.25" customHeight="1" spans="1:6">
      <c r="A117" s="7" t="s">
        <v>237</v>
      </c>
      <c r="B117" s="14" t="s">
        <v>238</v>
      </c>
      <c r="C117" s="9">
        <v>0</v>
      </c>
      <c r="D117" s="10">
        <v>0</v>
      </c>
      <c r="E117" s="11">
        <v>5000</v>
      </c>
      <c r="F117" s="12">
        <f t="shared" si="3"/>
        <v>5000</v>
      </c>
    </row>
    <row r="118" ht="23.25" customHeight="1" spans="1:6">
      <c r="A118" s="13" t="s">
        <v>239</v>
      </c>
      <c r="B118" s="14" t="s">
        <v>240</v>
      </c>
      <c r="C118" s="9">
        <v>0</v>
      </c>
      <c r="D118" s="10">
        <v>0</v>
      </c>
      <c r="E118" s="11">
        <v>0</v>
      </c>
      <c r="F118" s="12">
        <f t="shared" si="3"/>
        <v>0</v>
      </c>
    </row>
    <row r="119" ht="23.25" customHeight="1" spans="1:6">
      <c r="A119" s="13" t="s">
        <v>241</v>
      </c>
      <c r="B119" s="14" t="s">
        <v>242</v>
      </c>
      <c r="C119" s="9">
        <v>0</v>
      </c>
      <c r="D119" s="10">
        <v>0</v>
      </c>
      <c r="E119" s="11">
        <v>0</v>
      </c>
      <c r="F119" s="12">
        <f t="shared" si="3"/>
        <v>0</v>
      </c>
    </row>
    <row r="120" ht="23.25" customHeight="1" spans="1:6">
      <c r="A120" s="13" t="s">
        <v>243</v>
      </c>
      <c r="B120" s="14" t="s">
        <v>244</v>
      </c>
      <c r="C120" s="17">
        <v>0</v>
      </c>
      <c r="D120" s="17">
        <v>0</v>
      </c>
      <c r="E120" s="17">
        <v>0</v>
      </c>
      <c r="F120" s="12">
        <f t="shared" si="3"/>
        <v>0</v>
      </c>
    </row>
    <row r="121" ht="23.25" customHeight="1" spans="1:6">
      <c r="A121" s="13" t="s">
        <v>245</v>
      </c>
      <c r="B121" s="14" t="s">
        <v>246</v>
      </c>
      <c r="C121" s="9">
        <v>0</v>
      </c>
      <c r="D121" s="18">
        <v>0</v>
      </c>
      <c r="E121" s="18">
        <v>0</v>
      </c>
      <c r="F121" s="12">
        <f t="shared" si="3"/>
        <v>0</v>
      </c>
    </row>
    <row r="122" ht="23.25" customHeight="1" spans="1:6">
      <c r="A122" s="19" t="s">
        <v>247</v>
      </c>
      <c r="B122" s="14" t="s">
        <v>248</v>
      </c>
      <c r="C122" s="9">
        <v>0</v>
      </c>
      <c r="D122" s="10">
        <v>0</v>
      </c>
      <c r="E122" s="11">
        <v>0</v>
      </c>
      <c r="F122" s="12">
        <f t="shared" si="3"/>
        <v>0</v>
      </c>
    </row>
    <row r="123" ht="23.25" customHeight="1" spans="1:6">
      <c r="A123" s="7" t="s">
        <v>249</v>
      </c>
      <c r="B123" s="14" t="s">
        <v>250</v>
      </c>
      <c r="C123" s="9">
        <v>0</v>
      </c>
      <c r="D123" s="10">
        <v>0</v>
      </c>
      <c r="E123" s="11">
        <v>0</v>
      </c>
      <c r="F123" s="12">
        <f t="shared" si="3"/>
        <v>0</v>
      </c>
    </row>
    <row r="124" ht="23.25" customHeight="1" spans="1:6">
      <c r="A124" s="13" t="s">
        <v>251</v>
      </c>
      <c r="B124" s="14" t="s">
        <v>252</v>
      </c>
      <c r="C124" s="9">
        <v>0</v>
      </c>
      <c r="D124" s="10">
        <v>0</v>
      </c>
      <c r="E124" s="11">
        <v>0</v>
      </c>
      <c r="F124" s="12">
        <f t="shared" si="3"/>
        <v>0</v>
      </c>
    </row>
    <row r="125" ht="23.25" customHeight="1" spans="1:6">
      <c r="A125" s="13" t="s">
        <v>253</v>
      </c>
      <c r="B125" s="14" t="s">
        <v>254</v>
      </c>
      <c r="C125" s="9">
        <v>0</v>
      </c>
      <c r="D125" s="10">
        <v>0</v>
      </c>
      <c r="E125" s="11">
        <v>0</v>
      </c>
      <c r="F125" s="12">
        <f t="shared" si="3"/>
        <v>0</v>
      </c>
    </row>
    <row r="126" ht="23.25" customHeight="1" spans="1:6">
      <c r="A126" s="13" t="s">
        <v>255</v>
      </c>
      <c r="B126" s="14" t="s">
        <v>256</v>
      </c>
      <c r="C126" s="17">
        <v>0</v>
      </c>
      <c r="D126" s="17">
        <v>0</v>
      </c>
      <c r="E126" s="17">
        <v>0</v>
      </c>
      <c r="F126" s="12">
        <f t="shared" si="3"/>
        <v>0</v>
      </c>
    </row>
    <row r="127" ht="23.25" customHeight="1" spans="1:6">
      <c r="A127" s="13" t="s">
        <v>257</v>
      </c>
      <c r="B127" s="14" t="s">
        <v>258</v>
      </c>
      <c r="C127" s="9">
        <v>0</v>
      </c>
      <c r="D127" s="18">
        <v>0</v>
      </c>
      <c r="E127" s="18">
        <v>0</v>
      </c>
      <c r="F127" s="12">
        <f t="shared" si="3"/>
        <v>0</v>
      </c>
    </row>
    <row r="128" ht="23.25" customHeight="1" spans="1:6">
      <c r="A128" s="7" t="s">
        <v>259</v>
      </c>
      <c r="B128" s="14" t="s">
        <v>260</v>
      </c>
      <c r="C128" s="9">
        <v>0</v>
      </c>
      <c r="D128" s="10">
        <v>0</v>
      </c>
      <c r="E128" s="11">
        <v>0</v>
      </c>
      <c r="F128" s="12">
        <f t="shared" si="3"/>
        <v>0</v>
      </c>
    </row>
    <row r="129" ht="23.25" customHeight="1" spans="1:6">
      <c r="A129" s="13" t="s">
        <v>261</v>
      </c>
      <c r="B129" s="14" t="s">
        <v>262</v>
      </c>
      <c r="C129" s="9">
        <v>0</v>
      </c>
      <c r="D129" s="10">
        <v>0</v>
      </c>
      <c r="E129" s="11">
        <v>0</v>
      </c>
      <c r="F129" s="12">
        <f t="shared" si="3"/>
        <v>0</v>
      </c>
    </row>
    <row r="130" ht="23.25" customHeight="1" spans="1:6">
      <c r="A130" s="13" t="s">
        <v>263</v>
      </c>
      <c r="B130" s="14" t="s">
        <v>264</v>
      </c>
      <c r="C130" s="9">
        <v>0</v>
      </c>
      <c r="D130" s="10">
        <v>0</v>
      </c>
      <c r="E130" s="11">
        <v>0</v>
      </c>
      <c r="F130" s="12">
        <f t="shared" ref="F130:F161" si="4">C130+D130+E130</f>
        <v>0</v>
      </c>
    </row>
    <row r="131" ht="23.25" customHeight="1" spans="1:6">
      <c r="A131" s="13" t="s">
        <v>265</v>
      </c>
      <c r="B131" s="14" t="s">
        <v>266</v>
      </c>
      <c r="C131" s="9">
        <v>0</v>
      </c>
      <c r="D131" s="10">
        <v>0</v>
      </c>
      <c r="E131" s="11">
        <v>0</v>
      </c>
      <c r="F131" s="12">
        <f t="shared" si="4"/>
        <v>0</v>
      </c>
    </row>
    <row r="132" ht="23.25" customHeight="1" spans="1:6">
      <c r="A132" s="13" t="s">
        <v>267</v>
      </c>
      <c r="B132" s="14" t="s">
        <v>268</v>
      </c>
      <c r="C132" s="17">
        <v>0</v>
      </c>
      <c r="D132" s="17">
        <v>0</v>
      </c>
      <c r="E132" s="17">
        <v>0</v>
      </c>
      <c r="F132" s="12">
        <f t="shared" si="4"/>
        <v>0</v>
      </c>
    </row>
    <row r="133" ht="23.25" customHeight="1" spans="1:6">
      <c r="A133" s="19" t="s">
        <v>269</v>
      </c>
      <c r="B133" s="14" t="s">
        <v>270</v>
      </c>
      <c r="C133" s="9">
        <v>0</v>
      </c>
      <c r="D133" s="18">
        <v>0</v>
      </c>
      <c r="E133" s="18">
        <v>0</v>
      </c>
      <c r="F133" s="12">
        <f t="shared" si="4"/>
        <v>0</v>
      </c>
    </row>
    <row r="134" ht="23.25" customHeight="1" spans="1:6">
      <c r="A134" s="7" t="s">
        <v>271</v>
      </c>
      <c r="B134" s="14" t="s">
        <v>272</v>
      </c>
      <c r="C134" s="9">
        <v>0</v>
      </c>
      <c r="D134" s="10">
        <v>0</v>
      </c>
      <c r="E134" s="11">
        <v>0</v>
      </c>
      <c r="F134" s="12">
        <f t="shared" si="4"/>
        <v>0</v>
      </c>
    </row>
    <row r="135" ht="23.25" customHeight="1" spans="1:6">
      <c r="A135" s="13" t="s">
        <v>273</v>
      </c>
      <c r="B135" s="14" t="s">
        <v>274</v>
      </c>
      <c r="C135" s="9">
        <v>0</v>
      </c>
      <c r="D135" s="10">
        <v>0</v>
      </c>
      <c r="E135" s="11">
        <v>0</v>
      </c>
      <c r="F135" s="12">
        <f t="shared" si="4"/>
        <v>0</v>
      </c>
    </row>
    <row r="136" ht="23.25" customHeight="1" spans="1:6">
      <c r="A136" s="13" t="s">
        <v>275</v>
      </c>
      <c r="B136" s="14" t="s">
        <v>276</v>
      </c>
      <c r="C136" s="9">
        <v>0</v>
      </c>
      <c r="D136" s="10">
        <v>0</v>
      </c>
      <c r="E136" s="11">
        <v>0</v>
      </c>
      <c r="F136" s="12">
        <f t="shared" si="4"/>
        <v>0</v>
      </c>
    </row>
    <row r="137" ht="23.25" customHeight="1" spans="1:6">
      <c r="A137" s="13" t="s">
        <v>277</v>
      </c>
      <c r="B137" s="14" t="s">
        <v>278</v>
      </c>
      <c r="C137" s="9">
        <v>0</v>
      </c>
      <c r="D137" s="10">
        <v>0</v>
      </c>
      <c r="E137" s="11">
        <v>0</v>
      </c>
      <c r="F137" s="12">
        <f t="shared" si="4"/>
        <v>0</v>
      </c>
    </row>
    <row r="138" ht="23.25" customHeight="1" spans="1:6">
      <c r="A138" s="13" t="s">
        <v>279</v>
      </c>
      <c r="B138" s="14" t="s">
        <v>280</v>
      </c>
      <c r="C138" s="17">
        <v>0</v>
      </c>
      <c r="D138" s="17">
        <v>0</v>
      </c>
      <c r="E138" s="17">
        <v>0</v>
      </c>
      <c r="F138" s="12">
        <f t="shared" si="4"/>
        <v>0</v>
      </c>
    </row>
    <row r="139" ht="23.25" customHeight="1" spans="1:6">
      <c r="A139" s="7" t="s">
        <v>281</v>
      </c>
      <c r="B139" s="14" t="s">
        <v>282</v>
      </c>
      <c r="C139" s="9">
        <v>0</v>
      </c>
      <c r="D139" s="18">
        <v>0</v>
      </c>
      <c r="E139" s="18">
        <v>0</v>
      </c>
      <c r="F139" s="12">
        <f t="shared" si="4"/>
        <v>0</v>
      </c>
    </row>
    <row r="140" ht="23.25" customHeight="1" spans="1:6">
      <c r="A140" s="13" t="s">
        <v>283</v>
      </c>
      <c r="B140" s="14" t="s">
        <v>284</v>
      </c>
      <c r="C140" s="9">
        <v>0</v>
      </c>
      <c r="D140" s="10">
        <v>0</v>
      </c>
      <c r="E140" s="11">
        <v>0</v>
      </c>
      <c r="F140" s="12">
        <f t="shared" si="4"/>
        <v>0</v>
      </c>
    </row>
    <row r="141" ht="23.25" customHeight="1" spans="1:6">
      <c r="A141" s="13" t="s">
        <v>285</v>
      </c>
      <c r="B141" s="14" t="s">
        <v>286</v>
      </c>
      <c r="C141" s="9">
        <v>0</v>
      </c>
      <c r="D141" s="10">
        <v>0</v>
      </c>
      <c r="E141" s="11">
        <v>0</v>
      </c>
      <c r="F141" s="12">
        <f t="shared" si="4"/>
        <v>0</v>
      </c>
    </row>
    <row r="142" ht="23.25" customHeight="1" spans="1:6">
      <c r="A142" s="13" t="s">
        <v>287</v>
      </c>
      <c r="B142" s="14" t="s">
        <v>288</v>
      </c>
      <c r="C142" s="9">
        <v>0</v>
      </c>
      <c r="D142" s="10">
        <v>0</v>
      </c>
      <c r="E142" s="11">
        <v>0</v>
      </c>
      <c r="F142" s="12">
        <f t="shared" si="4"/>
        <v>0</v>
      </c>
    </row>
    <row r="143" ht="23.25" customHeight="1" spans="1:6">
      <c r="A143" s="13" t="s">
        <v>289</v>
      </c>
      <c r="B143" s="14" t="s">
        <v>290</v>
      </c>
      <c r="C143" s="9">
        <v>0</v>
      </c>
      <c r="D143" s="10">
        <v>0</v>
      </c>
      <c r="E143" s="11">
        <v>0</v>
      </c>
      <c r="F143" s="12">
        <f t="shared" si="4"/>
        <v>0</v>
      </c>
    </row>
    <row r="144" ht="23.25" customHeight="1" spans="1:6">
      <c r="A144" s="19" t="s">
        <v>291</v>
      </c>
      <c r="B144" s="14" t="s">
        <v>292</v>
      </c>
      <c r="C144" s="17">
        <v>0</v>
      </c>
      <c r="D144" s="17">
        <v>0</v>
      </c>
      <c r="E144" s="17">
        <v>0</v>
      </c>
      <c r="F144" s="12">
        <f t="shared" si="4"/>
        <v>0</v>
      </c>
    </row>
    <row r="145" ht="23.25" customHeight="1" spans="1:6">
      <c r="A145" s="7" t="s">
        <v>293</v>
      </c>
      <c r="B145" s="14" t="s">
        <v>294</v>
      </c>
      <c r="C145" s="9">
        <v>0</v>
      </c>
      <c r="D145" s="18">
        <v>0</v>
      </c>
      <c r="E145" s="18">
        <v>0</v>
      </c>
      <c r="F145" s="12">
        <f t="shared" si="4"/>
        <v>0</v>
      </c>
    </row>
    <row r="146" ht="23.25" customHeight="1" spans="1:6">
      <c r="A146" s="13" t="s">
        <v>295</v>
      </c>
      <c r="B146" s="14" t="s">
        <v>296</v>
      </c>
      <c r="C146" s="9">
        <v>0</v>
      </c>
      <c r="D146" s="10">
        <v>0</v>
      </c>
      <c r="E146" s="11">
        <v>0</v>
      </c>
      <c r="F146" s="12">
        <f t="shared" si="4"/>
        <v>0</v>
      </c>
    </row>
    <row r="147" ht="23.25" customHeight="1" spans="1:6">
      <c r="A147" s="13" t="s">
        <v>297</v>
      </c>
      <c r="B147" s="14" t="s">
        <v>298</v>
      </c>
      <c r="C147" s="9">
        <v>0</v>
      </c>
      <c r="D147" s="10">
        <v>0</v>
      </c>
      <c r="E147" s="11">
        <v>0</v>
      </c>
      <c r="F147" s="12">
        <f t="shared" si="4"/>
        <v>0</v>
      </c>
    </row>
    <row r="148" ht="23.25" customHeight="1" spans="1:6">
      <c r="A148" s="13" t="s">
        <v>299</v>
      </c>
      <c r="B148" s="14" t="s">
        <v>300</v>
      </c>
      <c r="C148" s="9">
        <v>0</v>
      </c>
      <c r="D148" s="10">
        <v>0</v>
      </c>
      <c r="E148" s="11">
        <v>0</v>
      </c>
      <c r="F148" s="12">
        <f t="shared" si="4"/>
        <v>0</v>
      </c>
    </row>
    <row r="149" ht="23.25" customHeight="1" spans="1:6">
      <c r="A149" s="13" t="s">
        <v>301</v>
      </c>
      <c r="B149" s="14" t="s">
        <v>302</v>
      </c>
      <c r="C149" s="9">
        <v>0</v>
      </c>
      <c r="D149" s="10">
        <v>0</v>
      </c>
      <c r="E149" s="11">
        <v>0</v>
      </c>
      <c r="F149" s="12">
        <f t="shared" si="4"/>
        <v>0</v>
      </c>
    </row>
    <row r="150" ht="23.25" customHeight="1" spans="1:6">
      <c r="A150" s="7" t="s">
        <v>303</v>
      </c>
      <c r="B150" s="14" t="s">
        <v>304</v>
      </c>
      <c r="C150" s="17">
        <v>0</v>
      </c>
      <c r="D150" s="17">
        <v>0</v>
      </c>
      <c r="E150" s="17">
        <v>0</v>
      </c>
      <c r="F150" s="12">
        <f t="shared" si="4"/>
        <v>0</v>
      </c>
    </row>
    <row r="151" ht="23.25" customHeight="1" spans="1:6">
      <c r="A151" s="13" t="s">
        <v>305</v>
      </c>
      <c r="B151" s="14" t="s">
        <v>306</v>
      </c>
      <c r="C151" s="9">
        <v>0</v>
      </c>
      <c r="D151" s="18">
        <v>0</v>
      </c>
      <c r="E151" s="18">
        <v>0</v>
      </c>
      <c r="F151" s="12">
        <f t="shared" si="4"/>
        <v>0</v>
      </c>
    </row>
    <row r="152" ht="23.25" customHeight="1" spans="1:6">
      <c r="A152" s="13" t="s">
        <v>307</v>
      </c>
      <c r="B152" s="14" t="s">
        <v>308</v>
      </c>
      <c r="C152" s="9">
        <v>0</v>
      </c>
      <c r="D152" s="10">
        <v>0</v>
      </c>
      <c r="E152" s="11">
        <v>0</v>
      </c>
      <c r="F152" s="12">
        <f t="shared" si="4"/>
        <v>0</v>
      </c>
    </row>
    <row r="153" ht="23.25" customHeight="1" spans="1:6">
      <c r="A153" s="13" t="s">
        <v>309</v>
      </c>
      <c r="B153" s="14" t="s">
        <v>310</v>
      </c>
      <c r="C153" s="9">
        <v>0</v>
      </c>
      <c r="D153" s="10">
        <v>0</v>
      </c>
      <c r="E153" s="11">
        <v>0</v>
      </c>
      <c r="F153" s="12">
        <f t="shared" si="4"/>
        <v>0</v>
      </c>
    </row>
    <row r="154" ht="23.25" customHeight="1" spans="1:6">
      <c r="A154" s="13" t="s">
        <v>311</v>
      </c>
      <c r="B154" s="14" t="s">
        <v>312</v>
      </c>
      <c r="C154" s="9">
        <v>0</v>
      </c>
      <c r="D154" s="10">
        <v>0</v>
      </c>
      <c r="E154" s="11">
        <v>0</v>
      </c>
      <c r="F154" s="12">
        <f t="shared" si="4"/>
        <v>0</v>
      </c>
    </row>
    <row r="155" ht="23.25" customHeight="1" spans="1:6">
      <c r="A155" s="19" t="s">
        <v>313</v>
      </c>
      <c r="B155" s="14" t="s">
        <v>314</v>
      </c>
      <c r="C155" s="9">
        <v>0</v>
      </c>
      <c r="D155" s="10">
        <v>0</v>
      </c>
      <c r="E155" s="11">
        <v>0</v>
      </c>
      <c r="F155" s="12">
        <f t="shared" si="4"/>
        <v>0</v>
      </c>
    </row>
    <row r="156" ht="23.25" customHeight="1" spans="1:6">
      <c r="A156" s="7" t="s">
        <v>315</v>
      </c>
      <c r="B156" s="14" t="s">
        <v>316</v>
      </c>
      <c r="C156" s="17">
        <v>0</v>
      </c>
      <c r="D156" s="21">
        <v>0</v>
      </c>
      <c r="E156" s="22">
        <v>0</v>
      </c>
      <c r="F156" s="12">
        <f t="shared" si="4"/>
        <v>0</v>
      </c>
    </row>
    <row r="157" ht="23.25" customHeight="1" spans="1:6">
      <c r="A157" s="13" t="s">
        <v>317</v>
      </c>
      <c r="B157" s="14" t="s">
        <v>318</v>
      </c>
      <c r="C157" s="11">
        <v>0</v>
      </c>
      <c r="D157" s="11">
        <v>0</v>
      </c>
      <c r="E157" s="11">
        <v>0</v>
      </c>
      <c r="F157" s="12">
        <f t="shared" si="4"/>
        <v>0</v>
      </c>
    </row>
    <row r="158" ht="23.25" customHeight="1" spans="1:6">
      <c r="A158" s="13" t="s">
        <v>319</v>
      </c>
      <c r="B158" s="14" t="s">
        <v>320</v>
      </c>
      <c r="C158" s="11">
        <v>0</v>
      </c>
      <c r="D158" s="11">
        <v>0</v>
      </c>
      <c r="E158" s="11">
        <v>0</v>
      </c>
      <c r="F158" s="12">
        <f t="shared" si="4"/>
        <v>0</v>
      </c>
    </row>
    <row r="159" ht="23.25" customHeight="1" spans="1:6">
      <c r="A159" s="13" t="s">
        <v>321</v>
      </c>
      <c r="B159" s="14" t="s">
        <v>322</v>
      </c>
      <c r="C159" s="22">
        <v>0</v>
      </c>
      <c r="D159" s="22">
        <v>0</v>
      </c>
      <c r="E159" s="22">
        <v>0</v>
      </c>
      <c r="F159" s="12">
        <f t="shared" si="4"/>
        <v>0</v>
      </c>
    </row>
    <row r="160" ht="23.25" customHeight="1" spans="1:6">
      <c r="A160" s="13" t="s">
        <v>323</v>
      </c>
      <c r="B160" s="14" t="s">
        <v>324</v>
      </c>
      <c r="C160" s="11">
        <v>0</v>
      </c>
      <c r="D160" s="11">
        <v>0</v>
      </c>
      <c r="E160" s="11">
        <v>0</v>
      </c>
      <c r="F160" s="12">
        <f t="shared" si="4"/>
        <v>0</v>
      </c>
    </row>
    <row r="161" ht="23.25" customHeight="1" spans="1:6">
      <c r="A161" s="7" t="s">
        <v>325</v>
      </c>
      <c r="B161" s="14" t="s">
        <v>326</v>
      </c>
      <c r="C161" s="11">
        <v>0</v>
      </c>
      <c r="D161" s="11">
        <v>0</v>
      </c>
      <c r="E161" s="11">
        <v>0</v>
      </c>
      <c r="F161" s="12">
        <f t="shared" si="4"/>
        <v>0</v>
      </c>
    </row>
    <row r="162" ht="23.25" customHeight="1" spans="1:6">
      <c r="A162" s="13" t="s">
        <v>327</v>
      </c>
      <c r="B162" s="14" t="s">
        <v>328</v>
      </c>
      <c r="C162" s="11">
        <v>0</v>
      </c>
      <c r="D162" s="11">
        <v>0</v>
      </c>
      <c r="E162" s="11">
        <v>0</v>
      </c>
      <c r="F162" s="12">
        <f t="shared" ref="F162:F190" si="5">C162+D162+E162</f>
        <v>0</v>
      </c>
    </row>
    <row r="163" ht="23.25" customHeight="1" spans="1:6">
      <c r="A163" s="13" t="s">
        <v>329</v>
      </c>
      <c r="B163" s="14" t="s">
        <v>330</v>
      </c>
      <c r="C163" s="11">
        <v>0</v>
      </c>
      <c r="D163" s="11">
        <v>0</v>
      </c>
      <c r="E163" s="11">
        <v>0</v>
      </c>
      <c r="F163" s="12">
        <f t="shared" si="5"/>
        <v>0</v>
      </c>
    </row>
    <row r="164" ht="23.25" customHeight="1" spans="1:6">
      <c r="A164" s="13" t="s">
        <v>331</v>
      </c>
      <c r="B164" s="14" t="s">
        <v>332</v>
      </c>
      <c r="C164" s="22">
        <v>0</v>
      </c>
      <c r="D164" s="22">
        <v>0</v>
      </c>
      <c r="E164" s="22">
        <v>0</v>
      </c>
      <c r="F164" s="12">
        <f t="shared" si="5"/>
        <v>0</v>
      </c>
    </row>
    <row r="165" ht="23.25" customHeight="1" spans="1:6">
      <c r="A165" s="13" t="s">
        <v>333</v>
      </c>
      <c r="B165" s="14" t="s">
        <v>334</v>
      </c>
      <c r="C165" s="11">
        <v>0</v>
      </c>
      <c r="D165" s="11">
        <v>0</v>
      </c>
      <c r="E165" s="11">
        <v>0</v>
      </c>
      <c r="F165" s="12">
        <f t="shared" si="5"/>
        <v>0</v>
      </c>
    </row>
    <row r="166" ht="23.25" customHeight="1" spans="1:6">
      <c r="A166" s="19" t="s">
        <v>335</v>
      </c>
      <c r="B166" s="14" t="s">
        <v>336</v>
      </c>
      <c r="C166" s="11">
        <v>0</v>
      </c>
      <c r="D166" s="11">
        <v>0</v>
      </c>
      <c r="E166" s="11">
        <v>0</v>
      </c>
      <c r="F166" s="12">
        <f t="shared" si="5"/>
        <v>0</v>
      </c>
    </row>
    <row r="167" ht="23.25" customHeight="1" spans="1:6">
      <c r="A167" s="7" t="s">
        <v>337</v>
      </c>
      <c r="B167" s="14" t="s">
        <v>338</v>
      </c>
      <c r="C167" s="11">
        <v>0</v>
      </c>
      <c r="D167" s="11">
        <v>0</v>
      </c>
      <c r="E167" s="11">
        <v>0</v>
      </c>
      <c r="F167" s="12">
        <f t="shared" si="5"/>
        <v>0</v>
      </c>
    </row>
    <row r="168" ht="23.25" customHeight="1" spans="1:6">
      <c r="A168" s="13" t="s">
        <v>339</v>
      </c>
      <c r="B168" s="14" t="s">
        <v>340</v>
      </c>
      <c r="C168" s="11">
        <v>0</v>
      </c>
      <c r="D168" s="11">
        <v>0</v>
      </c>
      <c r="E168" s="11">
        <v>0</v>
      </c>
      <c r="F168" s="12">
        <f t="shared" si="5"/>
        <v>0</v>
      </c>
    </row>
    <row r="169" ht="23.25" customHeight="1" spans="1:6">
      <c r="A169" s="13" t="s">
        <v>341</v>
      </c>
      <c r="B169" s="14" t="s">
        <v>342</v>
      </c>
      <c r="C169" s="23">
        <v>0</v>
      </c>
      <c r="D169" s="23">
        <v>0</v>
      </c>
      <c r="E169" s="23">
        <v>0</v>
      </c>
      <c r="F169" s="12">
        <f t="shared" si="5"/>
        <v>0</v>
      </c>
    </row>
    <row r="170" ht="23.25" customHeight="1" spans="1:6">
      <c r="A170" s="13" t="s">
        <v>343</v>
      </c>
      <c r="B170" s="14" t="s">
        <v>344</v>
      </c>
      <c r="C170" s="11">
        <v>0</v>
      </c>
      <c r="D170" s="11">
        <v>0</v>
      </c>
      <c r="E170" s="11">
        <v>0</v>
      </c>
      <c r="F170" s="12">
        <f t="shared" si="5"/>
        <v>0</v>
      </c>
    </row>
    <row r="171" ht="23.25" customHeight="1" spans="1:6">
      <c r="A171" s="13" t="s">
        <v>345</v>
      </c>
      <c r="B171" s="14" t="s">
        <v>346</v>
      </c>
      <c r="C171" s="11">
        <v>0</v>
      </c>
      <c r="D171" s="11">
        <v>0</v>
      </c>
      <c r="E171" s="11">
        <v>0</v>
      </c>
      <c r="F171" s="12">
        <f t="shared" si="5"/>
        <v>0</v>
      </c>
    </row>
    <row r="172" ht="23.25" customHeight="1" spans="1:6">
      <c r="A172" s="7" t="s">
        <v>347</v>
      </c>
      <c r="B172" s="14" t="s">
        <v>348</v>
      </c>
      <c r="C172" s="22">
        <v>0</v>
      </c>
      <c r="D172" s="22">
        <v>0</v>
      </c>
      <c r="E172" s="22">
        <v>0</v>
      </c>
      <c r="F172" s="12">
        <f t="shared" si="5"/>
        <v>0</v>
      </c>
    </row>
    <row r="173" ht="23.25" customHeight="1" spans="1:6">
      <c r="A173" s="13" t="s">
        <v>349</v>
      </c>
      <c r="B173" s="14" t="s">
        <v>350</v>
      </c>
      <c r="C173" s="11">
        <v>0</v>
      </c>
      <c r="D173" s="11">
        <v>0</v>
      </c>
      <c r="E173" s="11">
        <v>0</v>
      </c>
      <c r="F173" s="12">
        <f t="shared" si="5"/>
        <v>0</v>
      </c>
    </row>
    <row r="174" ht="23.25" customHeight="1" spans="1:6">
      <c r="A174" s="13" t="s">
        <v>351</v>
      </c>
      <c r="B174" s="14" t="s">
        <v>352</v>
      </c>
      <c r="C174" s="11">
        <v>0</v>
      </c>
      <c r="D174" s="11">
        <v>0</v>
      </c>
      <c r="E174" s="11">
        <v>780</v>
      </c>
      <c r="F174" s="12">
        <f t="shared" si="5"/>
        <v>780</v>
      </c>
    </row>
    <row r="175" ht="23.25" customHeight="1" spans="1:6">
      <c r="A175" s="13" t="s">
        <v>353</v>
      </c>
      <c r="B175" s="14" t="s">
        <v>354</v>
      </c>
      <c r="C175" s="11">
        <v>0</v>
      </c>
      <c r="D175" s="11">
        <v>0</v>
      </c>
      <c r="E175" s="11">
        <v>0</v>
      </c>
      <c r="F175" s="12">
        <f t="shared" si="5"/>
        <v>0</v>
      </c>
    </row>
    <row r="176" ht="23.25" customHeight="1" spans="1:6">
      <c r="A176" s="13" t="s">
        <v>355</v>
      </c>
      <c r="B176" s="14" t="s">
        <v>356</v>
      </c>
      <c r="C176" s="9">
        <v>0</v>
      </c>
      <c r="D176" s="18">
        <v>0</v>
      </c>
      <c r="E176" s="18">
        <v>0</v>
      </c>
      <c r="F176" s="12">
        <f t="shared" si="5"/>
        <v>0</v>
      </c>
    </row>
    <row r="177" ht="23.25" customHeight="1" spans="1:6">
      <c r="A177" s="19" t="s">
        <v>357</v>
      </c>
      <c r="B177" s="14" t="s">
        <v>358</v>
      </c>
      <c r="C177" s="24">
        <v>0</v>
      </c>
      <c r="D177" s="24">
        <v>0</v>
      </c>
      <c r="E177" s="24">
        <v>0</v>
      </c>
      <c r="F177" s="12">
        <f t="shared" si="5"/>
        <v>0</v>
      </c>
    </row>
    <row r="178" ht="23.25" customHeight="1" spans="1:6">
      <c r="A178" s="7" t="s">
        <v>359</v>
      </c>
      <c r="B178" s="14" t="s">
        <v>360</v>
      </c>
      <c r="C178" s="17">
        <v>0</v>
      </c>
      <c r="D178" s="21">
        <v>0</v>
      </c>
      <c r="E178" s="22">
        <v>0</v>
      </c>
      <c r="F178" s="12">
        <f t="shared" si="5"/>
        <v>0</v>
      </c>
    </row>
    <row r="179" ht="23.25" customHeight="1" spans="1:6">
      <c r="A179" s="13" t="s">
        <v>361</v>
      </c>
      <c r="B179" s="14" t="s">
        <v>362</v>
      </c>
      <c r="C179" s="9">
        <v>0</v>
      </c>
      <c r="D179" s="10">
        <v>1440</v>
      </c>
      <c r="E179" s="11">
        <v>2860</v>
      </c>
      <c r="F179" s="12">
        <f t="shared" si="5"/>
        <v>4300</v>
      </c>
    </row>
    <row r="180" ht="23.25" customHeight="1" spans="1:6">
      <c r="A180" s="13" t="s">
        <v>363</v>
      </c>
      <c r="B180" s="14" t="s">
        <v>364</v>
      </c>
      <c r="C180" s="9">
        <v>0</v>
      </c>
      <c r="D180" s="10">
        <v>0</v>
      </c>
      <c r="E180" s="11">
        <v>0</v>
      </c>
      <c r="F180" s="12">
        <f t="shared" si="5"/>
        <v>0</v>
      </c>
    </row>
    <row r="181" ht="23.25" customHeight="1" spans="1:6">
      <c r="A181" s="7" t="s">
        <v>365</v>
      </c>
      <c r="B181" s="14" t="s">
        <v>366</v>
      </c>
      <c r="C181" s="17">
        <v>0</v>
      </c>
      <c r="D181" s="21">
        <v>0</v>
      </c>
      <c r="E181" s="22">
        <v>11751.5</v>
      </c>
      <c r="F181" s="12">
        <f t="shared" si="5"/>
        <v>11751.5</v>
      </c>
    </row>
    <row r="182" ht="23.25" customHeight="1" spans="1:6">
      <c r="A182" s="13" t="s">
        <v>367</v>
      </c>
      <c r="B182" s="14" t="s">
        <v>368</v>
      </c>
      <c r="C182" s="9">
        <v>0</v>
      </c>
      <c r="D182" s="10">
        <v>680</v>
      </c>
      <c r="E182" s="11">
        <v>0</v>
      </c>
      <c r="F182" s="12">
        <f t="shared" si="5"/>
        <v>680</v>
      </c>
    </row>
    <row r="183" ht="23.25" customHeight="1" spans="1:6">
      <c r="A183" s="13"/>
      <c r="B183" s="14" t="s">
        <v>369</v>
      </c>
      <c r="C183" s="9">
        <v>0</v>
      </c>
      <c r="D183" s="10">
        <v>0</v>
      </c>
      <c r="E183" s="11">
        <v>0</v>
      </c>
      <c r="F183" s="12">
        <f t="shared" si="5"/>
        <v>0</v>
      </c>
    </row>
    <row r="184" ht="23.25" customHeight="1" spans="1:6">
      <c r="A184" s="13" t="s">
        <v>370</v>
      </c>
      <c r="B184" s="14" t="s">
        <v>371</v>
      </c>
      <c r="C184" s="9">
        <v>0</v>
      </c>
      <c r="D184" s="10">
        <v>1713</v>
      </c>
      <c r="E184" s="11">
        <v>4553.87</v>
      </c>
      <c r="F184" s="12">
        <f t="shared" si="5"/>
        <v>6266.87</v>
      </c>
    </row>
    <row r="185" ht="23.25" customHeight="1" spans="1:6">
      <c r="A185" s="13" t="s">
        <v>11</v>
      </c>
      <c r="B185" s="14" t="s">
        <v>372</v>
      </c>
      <c r="C185" s="9">
        <v>0</v>
      </c>
      <c r="D185" s="10">
        <v>0</v>
      </c>
      <c r="E185" s="11">
        <v>800</v>
      </c>
      <c r="F185" s="12">
        <f t="shared" si="5"/>
        <v>800</v>
      </c>
    </row>
    <row r="186" ht="23.25" customHeight="1" spans="1:6">
      <c r="A186" s="7">
        <v>31002</v>
      </c>
      <c r="B186" s="14" t="s">
        <v>373</v>
      </c>
      <c r="C186" s="17">
        <v>0</v>
      </c>
      <c r="D186" s="17">
        <v>0</v>
      </c>
      <c r="E186" s="17">
        <v>0</v>
      </c>
      <c r="F186" s="12">
        <f t="shared" si="5"/>
        <v>0</v>
      </c>
    </row>
    <row r="187" s="1" customFormat="1" ht="23.25" customHeight="1" spans="1:6">
      <c r="A187" s="13"/>
      <c r="B187" s="14" t="s">
        <v>374</v>
      </c>
      <c r="C187" s="17">
        <v>0</v>
      </c>
      <c r="D187" s="17">
        <v>0</v>
      </c>
      <c r="E187" s="18">
        <v>36307.17</v>
      </c>
      <c r="F187" s="12">
        <f t="shared" si="5"/>
        <v>36307.17</v>
      </c>
    </row>
    <row r="188" s="1" customFormat="1" ht="23.25" customHeight="1" spans="1:6">
      <c r="A188" s="13"/>
      <c r="B188" s="14" t="s">
        <v>375</v>
      </c>
      <c r="C188" s="17">
        <v>0</v>
      </c>
      <c r="D188" s="17">
        <v>0</v>
      </c>
      <c r="E188" s="18">
        <v>20598</v>
      </c>
      <c r="F188" s="12">
        <f t="shared" si="5"/>
        <v>20598</v>
      </c>
    </row>
    <row r="189" s="1" customFormat="1" ht="23.25" customHeight="1" spans="1:6">
      <c r="A189" s="13"/>
      <c r="B189" s="14" t="s">
        <v>376</v>
      </c>
      <c r="C189" s="17">
        <v>0</v>
      </c>
      <c r="D189" s="17">
        <v>0</v>
      </c>
      <c r="E189" s="18">
        <v>27840</v>
      </c>
      <c r="F189" s="12">
        <f t="shared" si="5"/>
        <v>27840</v>
      </c>
    </row>
    <row r="190" s="1" customFormat="1" ht="23.25" customHeight="1" spans="1:6">
      <c r="A190" s="13"/>
      <c r="B190" s="14" t="s">
        <v>377</v>
      </c>
      <c r="C190" s="17">
        <v>0</v>
      </c>
      <c r="D190" s="17">
        <v>616</v>
      </c>
      <c r="E190" s="18">
        <v>5850</v>
      </c>
      <c r="F190" s="12">
        <f t="shared" si="5"/>
        <v>6466</v>
      </c>
    </row>
    <row r="191" ht="23.25" customHeight="1" spans="1:6">
      <c r="A191" s="19"/>
      <c r="B191" s="19" t="s">
        <v>378</v>
      </c>
      <c r="C191" s="24">
        <f>SUM(C3:C190)</f>
        <v>42902</v>
      </c>
      <c r="D191" s="24">
        <f t="shared" ref="D191:F191" si="6">SUM(D3:D190)</f>
        <v>234676</v>
      </c>
      <c r="E191" s="24">
        <f t="shared" si="6"/>
        <v>1684653.2</v>
      </c>
      <c r="F191" s="24">
        <f t="shared" si="6"/>
        <v>1962231.2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2020-04-30T07:58:00Z</dcterms:created>
  <dcterms:modified xsi:type="dcterms:W3CDTF">2020-05-06T07:23:43Z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