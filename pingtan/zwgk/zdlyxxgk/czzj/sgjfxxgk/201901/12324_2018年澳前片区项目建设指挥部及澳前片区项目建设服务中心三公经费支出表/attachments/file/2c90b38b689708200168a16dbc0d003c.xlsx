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30" windowWidth="24240" windowHeight="11595" tabRatio="830"/>
  </bookViews>
  <sheets>
    <sheet name="1月" sheetId="13" r:id="rId1"/>
    <sheet name="2月" sheetId="12" r:id="rId2"/>
    <sheet name="3月" sheetId="11" r:id="rId3"/>
    <sheet name="4月" sheetId="10" r:id="rId4"/>
    <sheet name="5月" sheetId="9" r:id="rId5"/>
    <sheet name="6月" sheetId="8" r:id="rId6"/>
    <sheet name="7月" sheetId="7" r:id="rId7"/>
    <sheet name="8月" sheetId="1" r:id="rId8"/>
    <sheet name="9月" sheetId="6" r:id="rId9"/>
    <sheet name="10月" sheetId="5" r:id="rId10"/>
    <sheet name="11月" sheetId="4" r:id="rId11"/>
    <sheet name="12月" sheetId="2" r:id="rId12"/>
  </sheets>
  <calcPr calcId="152511"/>
</workbook>
</file>

<file path=xl/calcChain.xml><?xml version="1.0" encoding="utf-8"?>
<calcChain xmlns="http://schemas.openxmlformats.org/spreadsheetml/2006/main">
  <c r="N5" i="2"/>
  <c r="M5"/>
  <c r="K5"/>
  <c r="H5"/>
  <c r="N5" i="4"/>
  <c r="M5"/>
  <c r="K5"/>
  <c r="H5"/>
  <c r="N5" i="5"/>
  <c r="M5"/>
  <c r="K5"/>
  <c r="H5"/>
  <c r="N5" i="6"/>
  <c r="K5"/>
  <c r="H5"/>
  <c r="N5" i="1"/>
  <c r="K5"/>
  <c r="H5"/>
  <c r="N5" i="7"/>
  <c r="K5"/>
  <c r="H5"/>
  <c r="N5" i="8"/>
  <c r="K5"/>
  <c r="H5"/>
  <c r="N5" i="9"/>
  <c r="K5"/>
  <c r="H5"/>
  <c r="N5" i="10"/>
  <c r="K5"/>
  <c r="H5"/>
  <c r="N5" i="11"/>
  <c r="K5"/>
  <c r="H5"/>
  <c r="N5" i="12"/>
  <c r="K5"/>
  <c r="H5"/>
  <c r="N5" i="13"/>
  <c r="K5"/>
  <c r="H5"/>
</calcChain>
</file>

<file path=xl/sharedStrings.xml><?xml version="1.0" encoding="utf-8"?>
<sst xmlns="http://schemas.openxmlformats.org/spreadsheetml/2006/main" count="240" uniqueCount="28">
  <si>
    <t>2018年1-8月平潭综合实验区各单位三公经费统计表</t>
  </si>
  <si>
    <t>填报单位（盖章):</t>
  </si>
  <si>
    <t>单位编号</t>
  </si>
  <si>
    <t>单位负责人:</t>
  </si>
  <si>
    <t>单位名称</t>
  </si>
  <si>
    <t>平潭综合实验区澳前片区项目建设指挥部</t>
  </si>
  <si>
    <t>平潭综合实验区澳前片区项目服务中心</t>
  </si>
  <si>
    <t>合        计</t>
  </si>
  <si>
    <t>因公出国（境）费</t>
  </si>
  <si>
    <t>增减数</t>
  </si>
  <si>
    <t>公务接待费</t>
  </si>
  <si>
    <t>处室负责人:</t>
  </si>
  <si>
    <t>公务用车运行维护费</t>
  </si>
  <si>
    <t xml:space="preserve">             单位：元</t>
  </si>
  <si>
    <t>三公经费</t>
  </si>
  <si>
    <t xml:space="preserve"> </t>
  </si>
  <si>
    <t>经办人:</t>
  </si>
  <si>
    <t>2018年1月平潭综合实验区各单位三公经费统计表</t>
  </si>
  <si>
    <t>2018年1-2月平潭综合实验区各单位三公经费统计表</t>
  </si>
  <si>
    <t>2018年1-3月平潭综合实验区各单位三公经费统计表</t>
  </si>
  <si>
    <t>2018年1-4月平潭综合实验区各单位三公经费统计表</t>
  </si>
  <si>
    <t>2018年1-5月平潭综合实验区各单位三公经费统计表</t>
  </si>
  <si>
    <t>2018年1-6月平潭综合实验区各单位三公经费统计表</t>
  </si>
  <si>
    <t>2018年1-7月平潭综合实验区各单位三公经费统计表</t>
  </si>
  <si>
    <t>2018年1-9月平潭综合实验区各单位三公经费统计表</t>
  </si>
  <si>
    <t>2018年1-10月平潭综合实验区各单位三公经费统计表</t>
  </si>
  <si>
    <t>2018年1-11月平潭综合实验区各单位三公经费统计表</t>
  </si>
  <si>
    <t>2018年1-12月平潭综合实验区各单位三公经费统计表</t>
  </si>
</sst>
</file>

<file path=xl/styles.xml><?xml version="1.0" encoding="utf-8"?>
<styleSheet xmlns="http://schemas.openxmlformats.org/spreadsheetml/2006/main">
  <numFmts count="2">
    <numFmt numFmtId="177" formatCode="0.00_);[Red]\(0.00\)"/>
    <numFmt numFmtId="178" formatCode="0.00_ "/>
  </numFmts>
  <fonts count="22">
    <font>
      <sz val="11"/>
      <color theme="1"/>
      <name val="宋体"/>
    </font>
    <font>
      <sz val="8"/>
      <color rgb="FF000000"/>
      <name val="宋体"/>
      <charset val="134"/>
    </font>
    <font>
      <u/>
      <sz val="11"/>
      <color theme="10"/>
      <name val="宋体"/>
      <charset val="134"/>
    </font>
    <font>
      <u/>
      <sz val="11"/>
      <color theme="11"/>
      <name val="宋体"/>
      <charset val="134"/>
    </font>
    <font>
      <sz val="18"/>
      <color rgb="FF000000"/>
      <name val="方正小标宋简体"/>
      <family val="4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8"/>
      <color theme="1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b/>
      <sz val="10"/>
      <color theme="1"/>
      <name val="宋体"/>
      <charset val="134"/>
    </font>
    <font>
      <sz val="14"/>
      <color theme="1"/>
      <name val="仿宋_GB2312"/>
      <family val="3"/>
      <charset val="134"/>
    </font>
    <font>
      <sz val="10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</font>
    <font>
      <sz val="14"/>
      <color theme="1"/>
      <name val="仿宋_GB2312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177" fontId="7" fillId="2" borderId="2" xfId="0" applyNumberFormat="1" applyFont="1" applyFill="1" applyBorder="1" applyAlignment="1">
      <alignment horizontal="right" vertical="center"/>
    </xf>
    <xf numFmtId="177" fontId="6" fillId="3" borderId="2" xfId="0" applyNumberFormat="1" applyFont="1" applyFill="1" applyBorder="1" applyAlignment="1">
      <alignment horizontal="right" vertical="center"/>
    </xf>
    <xf numFmtId="177" fontId="1" fillId="3" borderId="2" xfId="0" applyNumberFormat="1" applyFont="1" applyFill="1" applyBorder="1" applyAlignment="1">
      <alignment horizontal="right" vertical="center"/>
    </xf>
    <xf numFmtId="177" fontId="10" fillId="3" borderId="2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2" borderId="2" xfId="0" applyNumberFormat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78" fontId="7" fillId="2" borderId="2" xfId="0" applyNumberFormat="1" applyFont="1" applyFill="1" applyBorder="1" applyAlignment="1">
      <alignment horizontal="right" vertical="center"/>
    </xf>
    <xf numFmtId="178" fontId="6" fillId="3" borderId="2" xfId="0" applyNumberFormat="1" applyFont="1" applyFill="1" applyBorder="1" applyAlignment="1">
      <alignment horizontal="right" vertical="center"/>
    </xf>
    <xf numFmtId="178" fontId="1" fillId="3" borderId="2" xfId="0" applyNumberFormat="1" applyFont="1" applyFill="1" applyBorder="1" applyAlignment="1">
      <alignment horizontal="right" vertical="center"/>
    </xf>
    <xf numFmtId="178" fontId="10" fillId="3" borderId="2" xfId="0" applyNumberFormat="1" applyFont="1" applyFill="1" applyBorder="1" applyAlignment="1">
      <alignment horizontal="right" vertical="center"/>
    </xf>
    <xf numFmtId="178" fontId="9" fillId="2" borderId="2" xfId="0" applyNumberFormat="1" applyFont="1" applyFill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177" fontId="11" fillId="2" borderId="2" xfId="0" applyNumberFormat="1" applyFont="1" applyFill="1" applyBorder="1" applyAlignment="1">
      <alignment horizontal="right" vertical="center"/>
    </xf>
    <xf numFmtId="178" fontId="11" fillId="2" borderId="2" xfId="0" applyNumberFormat="1" applyFont="1" applyFill="1" applyBorder="1" applyAlignment="1">
      <alignment horizontal="right" vertical="center"/>
    </xf>
    <xf numFmtId="178" fontId="11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12" fillId="0" borderId="0" xfId="0" applyFont="1" applyBorder="1" applyAlignment="1">
      <alignment horizontal="center"/>
    </xf>
    <xf numFmtId="177" fontId="7" fillId="2" borderId="2" xfId="0" applyNumberFormat="1" applyFont="1" applyFill="1" applyBorder="1" applyAlignment="1">
      <alignment vertical="center"/>
    </xf>
    <xf numFmtId="177" fontId="6" fillId="3" borderId="2" xfId="0" applyNumberFormat="1" applyFont="1" applyFill="1" applyBorder="1" applyAlignment="1">
      <alignment vertical="center"/>
    </xf>
    <xf numFmtId="178" fontId="7" fillId="2" borderId="2" xfId="0" applyNumberFormat="1" applyFont="1" applyFill="1" applyBorder="1" applyAlignment="1">
      <alignment vertical="center"/>
    </xf>
    <xf numFmtId="178" fontId="6" fillId="3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177" fontId="11" fillId="2" borderId="2" xfId="0" applyNumberFormat="1" applyFont="1" applyFill="1" applyBorder="1" applyAlignment="1">
      <alignment vertical="center"/>
    </xf>
    <xf numFmtId="178" fontId="11" fillId="2" borderId="2" xfId="0" applyNumberFormat="1" applyFont="1" applyFill="1" applyBorder="1" applyAlignment="1">
      <alignment vertical="center"/>
    </xf>
    <xf numFmtId="178" fontId="11" fillId="0" borderId="2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177" fontId="7" fillId="2" borderId="11" xfId="0" applyNumberFormat="1" applyFont="1" applyFill="1" applyBorder="1" applyAlignment="1">
      <alignment vertical="center"/>
    </xf>
    <xf numFmtId="177" fontId="6" fillId="3" borderId="11" xfId="0" applyNumberFormat="1" applyFont="1" applyFill="1" applyBorder="1" applyAlignment="1">
      <alignment vertical="center"/>
    </xf>
    <xf numFmtId="177" fontId="1" fillId="3" borderId="11" xfId="0" applyNumberFormat="1" applyFont="1" applyFill="1" applyBorder="1" applyAlignment="1">
      <alignment horizontal="right" vertical="center"/>
    </xf>
    <xf numFmtId="177" fontId="10" fillId="3" borderId="11" xfId="0" applyNumberFormat="1" applyFont="1" applyFill="1" applyBorder="1" applyAlignment="1">
      <alignment horizontal="right" vertical="center"/>
    </xf>
    <xf numFmtId="177" fontId="9" fillId="2" borderId="11" xfId="0" applyNumberFormat="1" applyFont="1" applyFill="1" applyBorder="1" applyAlignment="1">
      <alignment horizontal="right" vertical="center"/>
    </xf>
    <xf numFmtId="178" fontId="9" fillId="2" borderId="11" xfId="0" applyNumberFormat="1" applyFont="1" applyFill="1" applyBorder="1" applyAlignment="1">
      <alignment horizontal="right"/>
    </xf>
    <xf numFmtId="0" fontId="0" fillId="0" borderId="9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78" fontId="7" fillId="2" borderId="11" xfId="0" applyNumberFormat="1" applyFont="1" applyFill="1" applyBorder="1" applyAlignment="1">
      <alignment vertical="center"/>
    </xf>
    <xf numFmtId="178" fontId="6" fillId="3" borderId="11" xfId="0" applyNumberFormat="1" applyFont="1" applyFill="1" applyBorder="1" applyAlignment="1">
      <alignment vertical="center"/>
    </xf>
    <xf numFmtId="178" fontId="1" fillId="3" borderId="11" xfId="0" applyNumberFormat="1" applyFont="1" applyFill="1" applyBorder="1" applyAlignment="1">
      <alignment horizontal="right" vertical="center"/>
    </xf>
    <xf numFmtId="178" fontId="10" fillId="3" borderId="11" xfId="0" applyNumberFormat="1" applyFont="1" applyFill="1" applyBorder="1" applyAlignment="1">
      <alignment horizontal="right" vertical="center"/>
    </xf>
    <xf numFmtId="178" fontId="9" fillId="2" borderId="11" xfId="0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vertical="center"/>
    </xf>
    <xf numFmtId="177" fontId="11" fillId="2" borderId="11" xfId="0" applyNumberFormat="1" applyFont="1" applyFill="1" applyBorder="1" applyAlignment="1">
      <alignment vertical="center"/>
    </xf>
    <xf numFmtId="178" fontId="11" fillId="2" borderId="11" xfId="0" applyNumberFormat="1" applyFont="1" applyFill="1" applyBorder="1" applyAlignment="1">
      <alignment vertical="center"/>
    </xf>
    <xf numFmtId="178" fontId="11" fillId="0" borderId="11" xfId="0" applyNumberFormat="1" applyFont="1" applyBorder="1" applyAlignment="1">
      <alignment vertical="center"/>
    </xf>
    <xf numFmtId="178" fontId="6" fillId="0" borderId="11" xfId="0" applyNumberFormat="1" applyFont="1" applyBorder="1" applyAlignment="1">
      <alignment vertical="center"/>
    </xf>
    <xf numFmtId="178" fontId="1" fillId="0" borderId="11" xfId="0" applyNumberFormat="1" applyFont="1" applyBorder="1" applyAlignment="1">
      <alignment horizontal="center" vertical="center"/>
    </xf>
    <xf numFmtId="178" fontId="10" fillId="0" borderId="11" xfId="0" applyNumberFormat="1" applyFont="1" applyBorder="1" applyAlignment="1">
      <alignment horizontal="center" vertical="center"/>
    </xf>
    <xf numFmtId="178" fontId="9" fillId="0" borderId="11" xfId="0" applyNumberFormat="1" applyFont="1" applyBorder="1" applyAlignment="1">
      <alignment horizontal="center" vertical="center"/>
    </xf>
    <xf numFmtId="0" fontId="0" fillId="0" borderId="9" xfId="0" applyBorder="1">
      <alignment vertical="center"/>
    </xf>
    <xf numFmtId="177" fontId="11" fillId="0" borderId="11" xfId="0" applyNumberFormat="1" applyFont="1" applyBorder="1" applyAlignment="1">
      <alignment vertical="center"/>
    </xf>
    <xf numFmtId="0" fontId="7" fillId="0" borderId="9" xfId="0" applyFont="1" applyBorder="1">
      <alignment vertical="center"/>
    </xf>
    <xf numFmtId="0" fontId="12" fillId="0" borderId="9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177" fontId="15" fillId="4" borderId="11" xfId="0" applyNumberFormat="1" applyFont="1" applyFill="1" applyBorder="1" applyAlignment="1">
      <alignment vertical="center"/>
    </xf>
    <xf numFmtId="177" fontId="18" fillId="4" borderId="11" xfId="0" applyNumberFormat="1" applyFont="1" applyFill="1" applyBorder="1" applyAlignment="1">
      <alignment horizontal="right" vertical="center"/>
    </xf>
    <xf numFmtId="178" fontId="18" fillId="4" borderId="11" xfId="0" applyNumberFormat="1" applyFont="1" applyFill="1" applyBorder="1" applyAlignment="1">
      <alignment horizontal="right"/>
    </xf>
    <xf numFmtId="0" fontId="16" fillId="0" borderId="9" xfId="0" applyFont="1" applyBorder="1" applyAlignment="1">
      <alignment horizontal="left" vertical="center"/>
    </xf>
    <xf numFmtId="178" fontId="15" fillId="4" borderId="11" xfId="0" applyNumberFormat="1" applyFont="1" applyFill="1" applyBorder="1" applyAlignment="1">
      <alignment vertical="center"/>
    </xf>
    <xf numFmtId="178" fontId="18" fillId="4" borderId="11" xfId="0" applyNumberFormat="1" applyFont="1" applyFill="1" applyBorder="1" applyAlignment="1">
      <alignment horizontal="right" vertical="center"/>
    </xf>
    <xf numFmtId="0" fontId="19" fillId="0" borderId="11" xfId="0" applyFont="1" applyBorder="1" applyAlignment="1">
      <alignment vertical="center"/>
    </xf>
    <xf numFmtId="177" fontId="20" fillId="4" borderId="11" xfId="0" applyNumberFormat="1" applyFont="1" applyFill="1" applyBorder="1" applyAlignment="1">
      <alignment vertical="center"/>
    </xf>
    <xf numFmtId="178" fontId="20" fillId="4" borderId="11" xfId="0" applyNumberFormat="1" applyFont="1" applyFill="1" applyBorder="1" applyAlignment="1">
      <alignment vertical="center"/>
    </xf>
    <xf numFmtId="178" fontId="20" fillId="0" borderId="11" xfId="0" applyNumberFormat="1" applyFont="1" applyBorder="1" applyAlignment="1">
      <alignment vertical="center"/>
    </xf>
    <xf numFmtId="178" fontId="18" fillId="0" borderId="11" xfId="0" applyNumberFormat="1" applyFont="1" applyBorder="1" applyAlignment="1">
      <alignment horizontal="center" vertical="center"/>
    </xf>
    <xf numFmtId="178" fontId="19" fillId="0" borderId="11" xfId="0" applyNumberFormat="1" applyFont="1" applyBorder="1" applyAlignment="1">
      <alignment vertical="center"/>
    </xf>
    <xf numFmtId="0" fontId="16" fillId="0" borderId="9" xfId="0" applyFont="1" applyBorder="1">
      <alignment vertical="center"/>
    </xf>
    <xf numFmtId="177" fontId="19" fillId="0" borderId="11" xfId="0" applyNumberFormat="1" applyFont="1" applyBorder="1" applyAlignment="1">
      <alignment vertical="center"/>
    </xf>
    <xf numFmtId="0" fontId="15" fillId="0" borderId="9" xfId="0" applyFont="1" applyBorder="1">
      <alignment vertical="center"/>
    </xf>
    <xf numFmtId="0" fontId="21" fillId="0" borderId="9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>
      <selection activeCell="M10" sqref="M10"/>
    </sheetView>
  </sheetViews>
  <sheetFormatPr defaultRowHeight="13.5"/>
  <cols>
    <col min="1" max="1" width="7.375" customWidth="1"/>
    <col min="2" max="2" width="29.25" customWidth="1"/>
    <col min="3" max="5" width="5.625" customWidth="1"/>
    <col min="6" max="7" width="9.125" customWidth="1"/>
    <col min="8" max="8" width="11.125" customWidth="1"/>
    <col min="9" max="10" width="9.125" customWidth="1"/>
    <col min="11" max="11" width="11.25" customWidth="1"/>
    <col min="12" max="12" width="10" customWidth="1"/>
    <col min="13" max="13" width="7.625" customWidth="1"/>
    <col min="14" max="14" width="11.375" customWidth="1"/>
    <col min="15" max="24" width="17.125" customWidth="1"/>
  </cols>
  <sheetData>
    <row r="1" spans="1:24" ht="28.5" customHeight="1">
      <c r="A1" s="102" t="s">
        <v>17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6" t="s">
        <v>5</v>
      </c>
      <c r="C5" s="10">
        <v>0</v>
      </c>
      <c r="D5" s="10">
        <v>0</v>
      </c>
      <c r="E5" s="19">
        <v>0</v>
      </c>
      <c r="F5" s="24">
        <v>18770</v>
      </c>
      <c r="G5" s="25">
        <v>0</v>
      </c>
      <c r="H5" s="26">
        <f>G5-F5</f>
        <v>-18770</v>
      </c>
      <c r="I5" s="24">
        <v>37037.15</v>
      </c>
      <c r="J5" s="24">
        <v>0</v>
      </c>
      <c r="K5" s="27">
        <f>J5-I5</f>
        <v>-37037.15</v>
      </c>
      <c r="L5" s="27">
        <v>55807.15</v>
      </c>
      <c r="M5" s="24">
        <v>0</v>
      </c>
      <c r="N5" s="27">
        <f>M5-L5</f>
        <v>-55807.15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21" customHeight="1">
      <c r="A6" s="2">
        <v>803003</v>
      </c>
      <c r="B6" s="6" t="s">
        <v>6</v>
      </c>
      <c r="C6" s="11">
        <v>0</v>
      </c>
      <c r="D6" s="11">
        <v>0</v>
      </c>
      <c r="E6" s="20">
        <v>0</v>
      </c>
      <c r="F6" s="11">
        <v>0</v>
      </c>
      <c r="G6" s="11">
        <v>0</v>
      </c>
      <c r="H6" s="20">
        <v>0</v>
      </c>
      <c r="I6" s="11">
        <v>0</v>
      </c>
      <c r="J6" s="11">
        <v>0</v>
      </c>
      <c r="K6" s="28">
        <v>0</v>
      </c>
      <c r="L6" s="11">
        <v>0</v>
      </c>
      <c r="M6" s="11">
        <v>0</v>
      </c>
      <c r="N6" s="28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45" right="0.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J10" sqref="J10"/>
    </sheetView>
  </sheetViews>
  <sheetFormatPr defaultRowHeight="13.5"/>
  <cols>
    <col min="1" max="1" width="7.375" customWidth="1"/>
    <col min="2" max="2" width="29.25" customWidth="1"/>
    <col min="3" max="5" width="5.625" customWidth="1"/>
    <col min="6" max="7" width="9.125" customWidth="1"/>
    <col min="8" max="8" width="10.625" customWidth="1"/>
    <col min="9" max="10" width="9.125" customWidth="1"/>
    <col min="11" max="11" width="12.125" customWidth="1"/>
    <col min="12" max="12" width="11.125" customWidth="1"/>
    <col min="13" max="13" width="9.125" customWidth="1"/>
    <col min="14" max="14" width="10.875" customWidth="1"/>
    <col min="15" max="24" width="17.125" customWidth="1"/>
  </cols>
  <sheetData>
    <row r="1" spans="1:24" ht="28.5" customHeight="1">
      <c r="A1" s="102" t="s">
        <v>18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6" t="s">
        <v>5</v>
      </c>
      <c r="C5" s="10">
        <v>0</v>
      </c>
      <c r="D5" s="10">
        <v>0</v>
      </c>
      <c r="E5" s="19">
        <v>0</v>
      </c>
      <c r="F5" s="24">
        <v>18770</v>
      </c>
      <c r="G5" s="25">
        <v>0</v>
      </c>
      <c r="H5" s="26">
        <f>G5-F5</f>
        <v>-18770</v>
      </c>
      <c r="I5" s="24">
        <v>37037.15</v>
      </c>
      <c r="J5" s="24">
        <v>4350</v>
      </c>
      <c r="K5" s="27">
        <f>J5-I5</f>
        <v>-32687.15</v>
      </c>
      <c r="L5" s="27">
        <v>55807.15</v>
      </c>
      <c r="M5" s="24">
        <v>4350</v>
      </c>
      <c r="N5" s="27">
        <f>M5-L5</f>
        <v>-51457.15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21" customHeight="1">
      <c r="A6" s="2">
        <v>803003</v>
      </c>
      <c r="B6" s="6" t="s">
        <v>6</v>
      </c>
      <c r="C6" s="11">
        <v>0</v>
      </c>
      <c r="D6" s="11">
        <v>0</v>
      </c>
      <c r="E6" s="20">
        <v>0</v>
      </c>
      <c r="F6" s="11">
        <v>0</v>
      </c>
      <c r="G6" s="11">
        <v>0</v>
      </c>
      <c r="H6" s="20">
        <v>0</v>
      </c>
      <c r="I6" s="11">
        <v>0</v>
      </c>
      <c r="J6" s="11">
        <v>0</v>
      </c>
      <c r="K6" s="28">
        <v>0</v>
      </c>
      <c r="L6" s="11">
        <v>0</v>
      </c>
      <c r="M6" s="11">
        <v>0</v>
      </c>
      <c r="N6" s="28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28000000000000003" right="0.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J9" sqref="J9"/>
    </sheetView>
  </sheetViews>
  <sheetFormatPr defaultRowHeight="13.5"/>
  <cols>
    <col min="1" max="1" width="7.375" customWidth="1"/>
    <col min="2" max="2" width="29.25" customWidth="1"/>
    <col min="3" max="5" width="5.625" customWidth="1"/>
    <col min="6" max="6" width="9.125" customWidth="1"/>
    <col min="7" max="7" width="5.625" customWidth="1"/>
    <col min="8" max="8" width="11" customWidth="1"/>
    <col min="9" max="10" width="9.125" customWidth="1"/>
    <col min="11" max="11" width="11.5" customWidth="1"/>
    <col min="12" max="12" width="11.375" customWidth="1"/>
    <col min="13" max="13" width="8.125" customWidth="1"/>
    <col min="14" max="14" width="11.75" customWidth="1"/>
    <col min="15" max="24" width="17.125" customWidth="1"/>
  </cols>
  <sheetData>
    <row r="1" spans="1:24" ht="28.5" customHeight="1">
      <c r="A1" s="102" t="s">
        <v>19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6" t="s">
        <v>5</v>
      </c>
      <c r="C5" s="10">
        <v>0</v>
      </c>
      <c r="D5" s="10">
        <v>0</v>
      </c>
      <c r="E5" s="19">
        <v>0</v>
      </c>
      <c r="F5" s="24">
        <v>18770</v>
      </c>
      <c r="G5" s="25">
        <v>0</v>
      </c>
      <c r="H5" s="26">
        <f>G5-F5</f>
        <v>-18770</v>
      </c>
      <c r="I5" s="24">
        <v>37037.15</v>
      </c>
      <c r="J5" s="24">
        <v>4350</v>
      </c>
      <c r="K5" s="27">
        <f>J5-I5</f>
        <v>-32687.15</v>
      </c>
      <c r="L5" s="27">
        <v>55807.15</v>
      </c>
      <c r="M5" s="24">
        <v>4350</v>
      </c>
      <c r="N5" s="27">
        <f>M5-L5</f>
        <v>-51457.15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21" customHeight="1">
      <c r="A6" s="2">
        <v>803003</v>
      </c>
      <c r="B6" s="6" t="s">
        <v>6</v>
      </c>
      <c r="C6" s="11">
        <v>0</v>
      </c>
      <c r="D6" s="11">
        <v>0</v>
      </c>
      <c r="E6" s="20">
        <v>0</v>
      </c>
      <c r="F6" s="11">
        <v>0</v>
      </c>
      <c r="G6" s="11">
        <v>0</v>
      </c>
      <c r="H6" s="20">
        <v>0</v>
      </c>
      <c r="I6" s="11">
        <v>0</v>
      </c>
      <c r="J6" s="11">
        <v>0</v>
      </c>
      <c r="K6" s="28">
        <v>0</v>
      </c>
      <c r="L6" s="11">
        <v>0</v>
      </c>
      <c r="M6" s="11">
        <v>0</v>
      </c>
      <c r="N6" s="28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2" right="0.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J9" sqref="J9"/>
    </sheetView>
  </sheetViews>
  <sheetFormatPr defaultRowHeight="13.5"/>
  <cols>
    <col min="1" max="1" width="7.375" customWidth="1"/>
    <col min="2" max="2" width="29.25" customWidth="1"/>
    <col min="3" max="5" width="5.625" customWidth="1"/>
    <col min="6" max="6" width="9.125" customWidth="1"/>
    <col min="7" max="7" width="6.625" customWidth="1"/>
    <col min="8" max="8" width="11.125" customWidth="1"/>
    <col min="9" max="10" width="9.125" customWidth="1"/>
    <col min="11" max="11" width="11.75" customWidth="1"/>
    <col min="12" max="12" width="11.5" customWidth="1"/>
    <col min="13" max="13" width="9.125" customWidth="1"/>
    <col min="14" max="14" width="11.375" customWidth="1"/>
    <col min="15" max="24" width="17.125" customWidth="1"/>
  </cols>
  <sheetData>
    <row r="1" spans="1:24" ht="28.5" customHeight="1">
      <c r="A1" s="102" t="s">
        <v>20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6" t="s">
        <v>5</v>
      </c>
      <c r="C5" s="10">
        <v>0</v>
      </c>
      <c r="D5" s="10">
        <v>0</v>
      </c>
      <c r="E5" s="19">
        <v>0</v>
      </c>
      <c r="F5" s="24">
        <v>18770</v>
      </c>
      <c r="G5" s="25">
        <v>0</v>
      </c>
      <c r="H5" s="26">
        <f>G5-F5</f>
        <v>-18770</v>
      </c>
      <c r="I5" s="24">
        <v>37037.15</v>
      </c>
      <c r="J5" s="24">
        <v>12034</v>
      </c>
      <c r="K5" s="27">
        <f>J5-I5</f>
        <v>-25003.15</v>
      </c>
      <c r="L5" s="27">
        <v>55807.15</v>
      </c>
      <c r="M5" s="24">
        <v>12034</v>
      </c>
      <c r="N5" s="27">
        <f>M5-L5</f>
        <v>-43773.15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21" customHeight="1">
      <c r="A6" s="2">
        <v>803003</v>
      </c>
      <c r="B6" s="6" t="s">
        <v>6</v>
      </c>
      <c r="C6" s="11">
        <v>0</v>
      </c>
      <c r="D6" s="11">
        <v>0</v>
      </c>
      <c r="E6" s="20">
        <v>0</v>
      </c>
      <c r="F6" s="11">
        <v>0</v>
      </c>
      <c r="G6" s="11">
        <v>0</v>
      </c>
      <c r="H6" s="20">
        <v>0</v>
      </c>
      <c r="I6" s="11">
        <v>0</v>
      </c>
      <c r="J6" s="11">
        <v>0</v>
      </c>
      <c r="K6" s="28">
        <v>0</v>
      </c>
      <c r="L6" s="11">
        <v>0</v>
      </c>
      <c r="M6" s="11">
        <v>0</v>
      </c>
      <c r="N6" s="28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2" right="0.23622047244094491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M7" sqref="M7"/>
    </sheetView>
  </sheetViews>
  <sheetFormatPr defaultRowHeight="13.5"/>
  <cols>
    <col min="1" max="1" width="7.375" customWidth="1"/>
    <col min="2" max="2" width="29.25" customWidth="1"/>
    <col min="3" max="5" width="5.625" customWidth="1"/>
    <col min="6" max="6" width="9.125" customWidth="1"/>
    <col min="7" max="7" width="6.875" customWidth="1"/>
    <col min="8" max="8" width="10.875" customWidth="1"/>
    <col min="9" max="10" width="9.125" customWidth="1"/>
    <col min="11" max="11" width="13" customWidth="1"/>
    <col min="12" max="12" width="11.875" customWidth="1"/>
    <col min="13" max="13" width="9.125" customWidth="1"/>
    <col min="14" max="14" width="11.25" customWidth="1"/>
    <col min="15" max="24" width="17.125" customWidth="1"/>
  </cols>
  <sheetData>
    <row r="1" spans="1:24" ht="28.5" customHeight="1">
      <c r="A1" s="102" t="s">
        <v>21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6" t="s">
        <v>5</v>
      </c>
      <c r="C5" s="10">
        <v>0</v>
      </c>
      <c r="D5" s="10">
        <v>0</v>
      </c>
      <c r="E5" s="19">
        <v>0</v>
      </c>
      <c r="F5" s="24">
        <v>18770</v>
      </c>
      <c r="G5" s="25">
        <v>0</v>
      </c>
      <c r="H5" s="26">
        <f>G5-F5</f>
        <v>-18770</v>
      </c>
      <c r="I5" s="24">
        <v>37037.15</v>
      </c>
      <c r="J5" s="24">
        <v>12034</v>
      </c>
      <c r="K5" s="27">
        <f>J5-I5</f>
        <v>-25003.15</v>
      </c>
      <c r="L5" s="27">
        <v>55807.15</v>
      </c>
      <c r="M5" s="24">
        <v>12034</v>
      </c>
      <c r="N5" s="27">
        <f>M5-L5</f>
        <v>-43773.15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21" customHeight="1">
      <c r="A6" s="2">
        <v>803003</v>
      </c>
      <c r="B6" s="6" t="s">
        <v>6</v>
      </c>
      <c r="C6" s="11">
        <v>0</v>
      </c>
      <c r="D6" s="11">
        <v>0</v>
      </c>
      <c r="E6" s="20">
        <v>0</v>
      </c>
      <c r="F6" s="11">
        <v>0</v>
      </c>
      <c r="G6" s="11">
        <v>0</v>
      </c>
      <c r="H6" s="20">
        <v>0</v>
      </c>
      <c r="I6" s="11">
        <v>0</v>
      </c>
      <c r="J6" s="11">
        <v>0</v>
      </c>
      <c r="K6" s="28">
        <v>0</v>
      </c>
      <c r="L6" s="11">
        <v>0</v>
      </c>
      <c r="M6" s="11">
        <v>0</v>
      </c>
      <c r="N6" s="28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2" right="0.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K9" sqref="K9"/>
    </sheetView>
  </sheetViews>
  <sheetFormatPr defaultRowHeight="13.5"/>
  <cols>
    <col min="1" max="1" width="7.375" customWidth="1"/>
    <col min="2" max="2" width="29.25" customWidth="1"/>
    <col min="3" max="5" width="5.625" customWidth="1"/>
    <col min="6" max="6" width="9.125" customWidth="1"/>
    <col min="7" max="7" width="6" customWidth="1"/>
    <col min="8" max="8" width="10.875" customWidth="1"/>
    <col min="9" max="10" width="9.125" customWidth="1"/>
    <col min="11" max="11" width="11.25" customWidth="1"/>
    <col min="12" max="12" width="11.375" customWidth="1"/>
    <col min="13" max="13" width="9.125" customWidth="1"/>
    <col min="14" max="14" width="12.75" customWidth="1"/>
    <col min="15" max="24" width="17.125" customWidth="1"/>
  </cols>
  <sheetData>
    <row r="1" spans="1:24" ht="28.5" customHeight="1">
      <c r="A1" s="102" t="s">
        <v>22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6" t="s">
        <v>5</v>
      </c>
      <c r="C5" s="10">
        <v>0</v>
      </c>
      <c r="D5" s="10">
        <v>0</v>
      </c>
      <c r="E5" s="19">
        <v>0</v>
      </c>
      <c r="F5" s="24">
        <v>18770</v>
      </c>
      <c r="G5" s="25">
        <v>0</v>
      </c>
      <c r="H5" s="26">
        <f>G5-F5</f>
        <v>-18770</v>
      </c>
      <c r="I5" s="24">
        <v>37037.15</v>
      </c>
      <c r="J5" s="24">
        <v>12034</v>
      </c>
      <c r="K5" s="27">
        <f>J5-I5</f>
        <v>-25003.15</v>
      </c>
      <c r="L5" s="27">
        <v>55807.15</v>
      </c>
      <c r="M5" s="24">
        <v>12034</v>
      </c>
      <c r="N5" s="27">
        <f>M5-L5</f>
        <v>-43773.15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21" customHeight="1">
      <c r="A6" s="2">
        <v>803003</v>
      </c>
      <c r="B6" s="6" t="s">
        <v>6</v>
      </c>
      <c r="C6" s="11">
        <v>0</v>
      </c>
      <c r="D6" s="11">
        <v>0</v>
      </c>
      <c r="E6" s="20">
        <v>0</v>
      </c>
      <c r="F6" s="11">
        <v>0</v>
      </c>
      <c r="G6" s="11">
        <v>0</v>
      </c>
      <c r="H6" s="20">
        <v>0</v>
      </c>
      <c r="I6" s="11">
        <v>0</v>
      </c>
      <c r="J6" s="11">
        <v>0</v>
      </c>
      <c r="K6" s="28">
        <v>0</v>
      </c>
      <c r="L6" s="11">
        <v>0</v>
      </c>
      <c r="M6" s="11">
        <v>0</v>
      </c>
      <c r="N6" s="28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2" right="0.26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G9" sqref="G9"/>
    </sheetView>
  </sheetViews>
  <sheetFormatPr defaultRowHeight="13.5"/>
  <cols>
    <col min="1" max="1" width="7.375" customWidth="1"/>
    <col min="2" max="2" width="23.875" customWidth="1"/>
    <col min="3" max="5" width="5.625" customWidth="1"/>
    <col min="6" max="6" width="9.125" customWidth="1"/>
    <col min="7" max="7" width="7.75" customWidth="1"/>
    <col min="8" max="8" width="10.875" customWidth="1"/>
    <col min="9" max="10" width="9.125" customWidth="1"/>
    <col min="11" max="11" width="13.625" customWidth="1"/>
    <col min="12" max="12" width="12.375" customWidth="1"/>
    <col min="13" max="13" width="9.125" customWidth="1"/>
    <col min="14" max="14" width="11.75" customWidth="1"/>
    <col min="15" max="24" width="17.125" customWidth="1"/>
  </cols>
  <sheetData>
    <row r="1" spans="1:24" ht="28.5" customHeight="1">
      <c r="A1" s="102" t="s">
        <v>23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101" t="s">
        <v>5</v>
      </c>
      <c r="C5" s="10">
        <v>0</v>
      </c>
      <c r="D5" s="10">
        <v>0</v>
      </c>
      <c r="E5" s="19">
        <v>0</v>
      </c>
      <c r="F5" s="24">
        <v>18770</v>
      </c>
      <c r="G5" s="25">
        <v>0</v>
      </c>
      <c r="H5" s="26">
        <f>G5-F5</f>
        <v>-18770</v>
      </c>
      <c r="I5" s="24">
        <v>37037.15</v>
      </c>
      <c r="J5" s="24">
        <v>12034</v>
      </c>
      <c r="K5" s="27">
        <f>J5-I5</f>
        <v>-25003.15</v>
      </c>
      <c r="L5" s="27">
        <v>55807.15</v>
      </c>
      <c r="M5" s="24">
        <v>12034</v>
      </c>
      <c r="N5" s="27">
        <f>M5-L5</f>
        <v>-43773.15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36.75" customHeight="1">
      <c r="A6" s="2">
        <v>803003</v>
      </c>
      <c r="B6" s="101" t="s">
        <v>6</v>
      </c>
      <c r="C6" s="11">
        <v>0</v>
      </c>
      <c r="D6" s="11">
        <v>0</v>
      </c>
      <c r="E6" s="20">
        <v>0</v>
      </c>
      <c r="F6" s="11">
        <v>0</v>
      </c>
      <c r="G6" s="11">
        <v>0</v>
      </c>
      <c r="H6" s="20">
        <v>0</v>
      </c>
      <c r="I6" s="11">
        <v>0</v>
      </c>
      <c r="J6" s="11">
        <v>0</v>
      </c>
      <c r="K6" s="28">
        <v>0</v>
      </c>
      <c r="L6" s="11">
        <v>0</v>
      </c>
      <c r="M6" s="11">
        <v>0</v>
      </c>
      <c r="N6" s="28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2" right="0.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F9" sqref="F9"/>
    </sheetView>
  </sheetViews>
  <sheetFormatPr defaultRowHeight="13.5"/>
  <cols>
    <col min="1" max="1" width="7.375" customWidth="1"/>
    <col min="2" max="2" width="23.125" customWidth="1"/>
    <col min="3" max="5" width="5.625" customWidth="1"/>
    <col min="6" max="6" width="9.125" customWidth="1"/>
    <col min="7" max="7" width="8.125" customWidth="1"/>
    <col min="8" max="8" width="10.75" customWidth="1"/>
    <col min="9" max="10" width="9.125" customWidth="1"/>
    <col min="11" max="11" width="11.5" customWidth="1"/>
    <col min="12" max="12" width="12.25" customWidth="1"/>
    <col min="13" max="13" width="9.125" customWidth="1"/>
    <col min="14" max="14" width="13.25" customWidth="1"/>
    <col min="15" max="24" width="17.125" customWidth="1"/>
  </cols>
  <sheetData>
    <row r="1" spans="1:24" ht="28.5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101" t="s">
        <v>5</v>
      </c>
      <c r="C5" s="10">
        <v>0</v>
      </c>
      <c r="D5" s="10">
        <v>0</v>
      </c>
      <c r="E5" s="19">
        <v>0</v>
      </c>
      <c r="F5" s="24">
        <v>18770</v>
      </c>
      <c r="G5" s="25">
        <v>0</v>
      </c>
      <c r="H5" s="26">
        <f>G5-F5</f>
        <v>-18770</v>
      </c>
      <c r="I5" s="24">
        <v>37037.15</v>
      </c>
      <c r="J5" s="24">
        <v>12034</v>
      </c>
      <c r="K5" s="27">
        <f>J5-I5</f>
        <v>-25003.15</v>
      </c>
      <c r="L5" s="27">
        <v>55807.15</v>
      </c>
      <c r="M5" s="24">
        <v>12034</v>
      </c>
      <c r="N5" s="27">
        <f>M5-L5</f>
        <v>-43773.15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31.5" customHeight="1">
      <c r="A6" s="2">
        <v>803003</v>
      </c>
      <c r="B6" s="101" t="s">
        <v>6</v>
      </c>
      <c r="C6" s="11">
        <v>0</v>
      </c>
      <c r="D6" s="11">
        <v>0</v>
      </c>
      <c r="E6" s="20">
        <v>0</v>
      </c>
      <c r="F6" s="11">
        <v>0</v>
      </c>
      <c r="G6" s="11">
        <v>0</v>
      </c>
      <c r="H6" s="20">
        <v>0</v>
      </c>
      <c r="I6" s="11">
        <v>0</v>
      </c>
      <c r="J6" s="11">
        <v>0</v>
      </c>
      <c r="K6" s="28">
        <v>0</v>
      </c>
      <c r="L6" s="11">
        <v>0</v>
      </c>
      <c r="M6" s="11">
        <v>0</v>
      </c>
      <c r="N6" s="28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32" right="0.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E9" sqref="E9"/>
    </sheetView>
  </sheetViews>
  <sheetFormatPr defaultRowHeight="13.5"/>
  <cols>
    <col min="1" max="1" width="7.375" customWidth="1"/>
    <col min="2" max="2" width="22.875" customWidth="1"/>
    <col min="3" max="5" width="5.625" customWidth="1"/>
    <col min="6" max="7" width="9.125" customWidth="1"/>
    <col min="8" max="8" width="10.75" customWidth="1"/>
    <col min="9" max="10" width="9.125" customWidth="1"/>
    <col min="11" max="11" width="11" customWidth="1"/>
    <col min="12" max="12" width="11.125" customWidth="1"/>
    <col min="13" max="13" width="8.125" customWidth="1"/>
    <col min="14" max="14" width="10.75" customWidth="1"/>
    <col min="15" max="24" width="17.125" customWidth="1"/>
  </cols>
  <sheetData>
    <row r="1" spans="1:24" ht="28.5" customHeight="1">
      <c r="A1" s="102" t="s">
        <v>24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4" ht="24.75" customHeight="1">
      <c r="A2" s="103" t="s">
        <v>1</v>
      </c>
      <c r="B2" s="103"/>
      <c r="C2" s="103"/>
      <c r="D2" s="17"/>
      <c r="E2" s="17"/>
      <c r="F2" s="17"/>
      <c r="G2" s="17"/>
      <c r="H2" s="17"/>
      <c r="I2" s="104"/>
      <c r="J2" s="104"/>
      <c r="K2" s="104"/>
      <c r="L2" s="104" t="s">
        <v>13</v>
      </c>
      <c r="M2" s="104"/>
      <c r="N2" s="104"/>
    </row>
    <row r="3" spans="1:24" ht="18" customHeight="1">
      <c r="A3" s="105" t="s">
        <v>2</v>
      </c>
      <c r="B3" s="106" t="s">
        <v>4</v>
      </c>
      <c r="C3" s="108" t="s">
        <v>8</v>
      </c>
      <c r="D3" s="109"/>
      <c r="E3" s="110"/>
      <c r="F3" s="111" t="s">
        <v>10</v>
      </c>
      <c r="G3" s="112"/>
      <c r="H3" s="113"/>
      <c r="I3" s="108" t="s">
        <v>12</v>
      </c>
      <c r="J3" s="109"/>
      <c r="K3" s="110"/>
      <c r="L3" s="108" t="s">
        <v>14</v>
      </c>
      <c r="M3" s="109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8" customHeight="1">
      <c r="A4" s="105"/>
      <c r="B4" s="107"/>
      <c r="C4" s="1">
        <v>2017</v>
      </c>
      <c r="D4" s="18">
        <v>2018</v>
      </c>
      <c r="E4" s="18" t="s">
        <v>9</v>
      </c>
      <c r="F4" s="1">
        <v>2017</v>
      </c>
      <c r="G4" s="18">
        <v>2018</v>
      </c>
      <c r="H4" s="18" t="s">
        <v>9</v>
      </c>
      <c r="I4" s="1">
        <v>2017</v>
      </c>
      <c r="J4" s="18">
        <v>2018</v>
      </c>
      <c r="K4" s="18" t="s">
        <v>9</v>
      </c>
      <c r="L4" s="1">
        <v>2017</v>
      </c>
      <c r="M4" s="18">
        <v>2018</v>
      </c>
      <c r="N4" s="18" t="s">
        <v>9</v>
      </c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42" customHeight="1">
      <c r="A5" s="2">
        <v>803001</v>
      </c>
      <c r="B5" s="101" t="s">
        <v>5</v>
      </c>
      <c r="C5" s="34">
        <v>0</v>
      </c>
      <c r="D5" s="34">
        <v>0</v>
      </c>
      <c r="E5" s="36">
        <v>0</v>
      </c>
      <c r="F5" s="38">
        <v>18770</v>
      </c>
      <c r="G5" s="39">
        <v>0</v>
      </c>
      <c r="H5" s="40">
        <f>G5-F5</f>
        <v>-18770</v>
      </c>
      <c r="I5" s="38">
        <v>37037.15</v>
      </c>
      <c r="J5" s="38">
        <v>12034</v>
      </c>
      <c r="K5" s="41">
        <f>J5-I5</f>
        <v>-25003.15</v>
      </c>
      <c r="L5" s="41">
        <v>55807.15</v>
      </c>
      <c r="M5" s="38">
        <v>12034</v>
      </c>
      <c r="N5" s="41">
        <f>M5-L5</f>
        <v>-43773.15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32.25" customHeight="1">
      <c r="A6" s="2">
        <v>803003</v>
      </c>
      <c r="B6" s="101" t="s">
        <v>6</v>
      </c>
      <c r="C6" s="35">
        <v>0</v>
      </c>
      <c r="D6" s="35">
        <v>0</v>
      </c>
      <c r="E6" s="37">
        <v>0</v>
      </c>
      <c r="F6" s="35">
        <v>0</v>
      </c>
      <c r="G6" s="35">
        <v>0</v>
      </c>
      <c r="H6" s="37">
        <v>0</v>
      </c>
      <c r="I6" s="35">
        <v>0</v>
      </c>
      <c r="J6" s="35">
        <v>0</v>
      </c>
      <c r="K6" s="42">
        <v>0</v>
      </c>
      <c r="L6" s="35">
        <v>0</v>
      </c>
      <c r="M6" s="35">
        <v>0</v>
      </c>
      <c r="N6" s="42">
        <v>0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75" customHeight="1">
      <c r="A7" s="3"/>
      <c r="B7" s="7"/>
      <c r="C7" s="12"/>
      <c r="D7" s="12"/>
      <c r="E7" s="21"/>
      <c r="F7" s="12"/>
      <c r="G7" s="12"/>
      <c r="H7" s="21"/>
      <c r="I7" s="12"/>
      <c r="J7" s="12"/>
      <c r="K7" s="29"/>
      <c r="L7" s="12"/>
      <c r="M7" s="12"/>
      <c r="N7" s="29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75" customHeight="1">
      <c r="A8" s="4"/>
      <c r="B8" s="8"/>
      <c r="C8" s="13"/>
      <c r="D8" s="13"/>
      <c r="E8" s="22"/>
      <c r="F8" s="22"/>
      <c r="G8" s="13"/>
      <c r="H8" s="22"/>
      <c r="I8" s="22"/>
      <c r="J8" s="13"/>
      <c r="K8" s="30"/>
      <c r="L8" s="13"/>
      <c r="M8" s="13"/>
      <c r="N8" s="30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75" customHeight="1">
      <c r="A9" s="4"/>
      <c r="B9" s="8"/>
      <c r="C9" s="14"/>
      <c r="D9" s="14"/>
      <c r="E9" s="23"/>
      <c r="F9" s="14"/>
      <c r="G9" s="14"/>
      <c r="H9" s="23"/>
      <c r="I9" s="14"/>
      <c r="J9" s="14"/>
      <c r="K9" s="31"/>
      <c r="L9" s="14"/>
      <c r="M9" s="14"/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75" customHeight="1">
      <c r="A10" s="4"/>
      <c r="B10" s="8"/>
      <c r="C10" s="14"/>
      <c r="D10" s="14"/>
      <c r="E10" s="23"/>
      <c r="F10" s="23"/>
      <c r="G10" s="14"/>
      <c r="H10" s="23"/>
      <c r="I10" s="23"/>
      <c r="J10" s="14"/>
      <c r="K10" s="31"/>
      <c r="L10" s="14"/>
      <c r="M10" s="14"/>
      <c r="N10" s="31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75" customHeight="1">
      <c r="A11" s="5"/>
      <c r="B11" s="8"/>
      <c r="C11" s="14"/>
      <c r="D11" s="14"/>
      <c r="E11" s="23"/>
      <c r="F11" s="14"/>
      <c r="G11" s="14"/>
      <c r="H11" s="23"/>
      <c r="I11" s="14"/>
      <c r="J11" s="14"/>
      <c r="K11" s="31"/>
      <c r="L11" s="14"/>
      <c r="M11" s="14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75" customHeight="1">
      <c r="A12" s="4"/>
      <c r="B12" s="8"/>
      <c r="C12" s="14"/>
      <c r="D12" s="14"/>
      <c r="E12" s="23"/>
      <c r="F12" s="14"/>
      <c r="G12" s="14"/>
      <c r="H12" s="23"/>
      <c r="I12" s="14"/>
      <c r="J12" s="14"/>
      <c r="K12" s="31"/>
      <c r="L12" s="14"/>
      <c r="M12" s="14"/>
      <c r="N12" s="31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75" customHeight="1">
      <c r="A13" s="4"/>
      <c r="B13" s="8"/>
      <c r="C13" s="14"/>
      <c r="D13" s="14"/>
      <c r="E13" s="23"/>
      <c r="F13" s="23"/>
      <c r="G13" s="14"/>
      <c r="H13" s="23"/>
      <c r="I13" s="23"/>
      <c r="J13" s="14"/>
      <c r="K13" s="31"/>
      <c r="L13" s="14"/>
      <c r="M13" s="14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75" customHeight="1">
      <c r="A14" s="4"/>
      <c r="B14" s="8"/>
      <c r="C14" s="14"/>
      <c r="D14" s="14"/>
      <c r="E14" s="23"/>
      <c r="F14" s="14"/>
      <c r="G14" s="14"/>
      <c r="H14" s="23"/>
      <c r="I14" s="14"/>
      <c r="J14" s="14"/>
      <c r="K14" s="31"/>
      <c r="L14" s="14"/>
      <c r="M14" s="14"/>
      <c r="N14" s="31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75" customHeight="1">
      <c r="A15" s="4"/>
      <c r="B15" s="8"/>
      <c r="C15" s="14"/>
      <c r="D15" s="14"/>
      <c r="E15" s="23"/>
      <c r="F15" s="23"/>
      <c r="G15" s="14"/>
      <c r="H15" s="23"/>
      <c r="I15" s="23"/>
      <c r="J15" s="14"/>
      <c r="K15" s="31"/>
      <c r="L15" s="14"/>
      <c r="M15" s="14"/>
      <c r="N15" s="31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75" customHeight="1">
      <c r="A16" s="4"/>
      <c r="B16" s="8"/>
      <c r="C16" s="14"/>
      <c r="D16" s="14"/>
      <c r="E16" s="23"/>
      <c r="F16" s="14"/>
      <c r="G16" s="14"/>
      <c r="H16" s="23"/>
      <c r="I16" s="14"/>
      <c r="J16" s="14"/>
      <c r="K16" s="31"/>
      <c r="L16" s="14"/>
      <c r="M16" s="14"/>
      <c r="N16" s="31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75" customHeight="1">
      <c r="A17" s="4"/>
      <c r="B17" s="8"/>
      <c r="C17" s="14"/>
      <c r="D17" s="14"/>
      <c r="E17" s="23"/>
      <c r="F17" s="23"/>
      <c r="G17" s="14"/>
      <c r="H17" s="23"/>
      <c r="I17" s="23"/>
      <c r="J17" s="14"/>
      <c r="K17" s="31"/>
      <c r="L17" s="14" t="s">
        <v>15</v>
      </c>
      <c r="M17" s="14"/>
      <c r="N17" s="31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customHeight="1">
      <c r="A18" s="4"/>
      <c r="B18" s="8"/>
      <c r="C18" s="14"/>
      <c r="D18" s="14"/>
      <c r="E18" s="23"/>
      <c r="F18" s="14"/>
      <c r="G18" s="14"/>
      <c r="H18" s="23"/>
      <c r="I18" s="14"/>
      <c r="J18" s="14"/>
      <c r="K18" s="31"/>
      <c r="L18" s="14"/>
      <c r="M18" s="14"/>
      <c r="N18" s="31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8" customHeight="1">
      <c r="A19" s="4"/>
      <c r="B19" s="9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24" ht="28.5" customHeight="1">
      <c r="A20" s="114" t="s">
        <v>3</v>
      </c>
      <c r="B20" s="114"/>
      <c r="C20" s="16"/>
      <c r="F20" s="115" t="s">
        <v>11</v>
      </c>
      <c r="G20" s="115"/>
      <c r="J20" s="115"/>
      <c r="K20" s="115"/>
      <c r="L20" t="s">
        <v>16</v>
      </c>
      <c r="M20" s="114"/>
      <c r="N20" s="114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33" right="0.24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M15" sqref="L15:M18"/>
    </sheetView>
  </sheetViews>
  <sheetFormatPr defaultRowHeight="13.5"/>
  <cols>
    <col min="1" max="1" width="6.75" customWidth="1"/>
    <col min="2" max="2" width="22.75" customWidth="1"/>
    <col min="3" max="5" width="6.125" customWidth="1"/>
    <col min="6" max="7" width="9.125" customWidth="1"/>
    <col min="8" max="8" width="10.75" customWidth="1"/>
    <col min="9" max="10" width="9.125" customWidth="1"/>
    <col min="11" max="11" width="10.75" customWidth="1"/>
    <col min="12" max="12" width="11.125" customWidth="1"/>
    <col min="13" max="13" width="10.5" customWidth="1"/>
    <col min="14" max="14" width="10.75" customWidth="1"/>
    <col min="15" max="24" width="17.125" customWidth="1"/>
  </cols>
  <sheetData>
    <row r="1" spans="1:24" ht="28.5" customHeight="1">
      <c r="A1" s="116" t="s">
        <v>25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24" ht="24.75" customHeight="1">
      <c r="A2" s="117" t="s">
        <v>1</v>
      </c>
      <c r="B2" s="117"/>
      <c r="C2" s="117"/>
      <c r="D2" s="58"/>
      <c r="E2" s="58"/>
      <c r="F2" s="58"/>
      <c r="G2" s="58"/>
      <c r="H2" s="58"/>
      <c r="I2" s="118"/>
      <c r="J2" s="118"/>
      <c r="K2" s="118"/>
      <c r="L2" s="118" t="s">
        <v>13</v>
      </c>
      <c r="M2" s="118"/>
      <c r="N2" s="118"/>
    </row>
    <row r="3" spans="1:24" ht="18" customHeight="1">
      <c r="A3" s="119" t="s">
        <v>2</v>
      </c>
      <c r="B3" s="120" t="s">
        <v>4</v>
      </c>
      <c r="C3" s="122" t="s">
        <v>8</v>
      </c>
      <c r="D3" s="123"/>
      <c r="E3" s="124"/>
      <c r="F3" s="125" t="s">
        <v>10</v>
      </c>
      <c r="G3" s="126"/>
      <c r="H3" s="127"/>
      <c r="I3" s="122" t="s">
        <v>12</v>
      </c>
      <c r="J3" s="123"/>
      <c r="K3" s="124"/>
      <c r="L3" s="122" t="s">
        <v>14</v>
      </c>
      <c r="M3" s="123"/>
      <c r="N3" s="124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8" customHeight="1">
      <c r="A4" s="119"/>
      <c r="B4" s="121"/>
      <c r="C4" s="43">
        <v>2017</v>
      </c>
      <c r="D4" s="59">
        <v>2018</v>
      </c>
      <c r="E4" s="59" t="s">
        <v>9</v>
      </c>
      <c r="F4" s="43">
        <v>2017</v>
      </c>
      <c r="G4" s="59">
        <v>2018</v>
      </c>
      <c r="H4" s="59" t="s">
        <v>9</v>
      </c>
      <c r="I4" s="43">
        <v>2017</v>
      </c>
      <c r="J4" s="59">
        <v>2018</v>
      </c>
      <c r="K4" s="59" t="s">
        <v>9</v>
      </c>
      <c r="L4" s="43">
        <v>2017</v>
      </c>
      <c r="M4" s="59">
        <v>2018</v>
      </c>
      <c r="N4" s="59" t="s">
        <v>9</v>
      </c>
      <c r="O4" s="75"/>
      <c r="P4" s="75"/>
      <c r="Q4" s="75"/>
      <c r="R4" s="75"/>
      <c r="S4" s="75"/>
      <c r="T4" s="75"/>
      <c r="U4" s="75"/>
      <c r="V4" s="75"/>
      <c r="W4" s="75"/>
      <c r="X4" s="75"/>
    </row>
    <row r="5" spans="1:24" ht="42" customHeight="1">
      <c r="A5" s="44">
        <v>803001</v>
      </c>
      <c r="B5" s="100" t="s">
        <v>5</v>
      </c>
      <c r="C5" s="51">
        <v>0</v>
      </c>
      <c r="D5" s="51">
        <v>0</v>
      </c>
      <c r="E5" s="60">
        <v>0</v>
      </c>
      <c r="F5" s="65">
        <v>18770</v>
      </c>
      <c r="G5" s="66">
        <v>0</v>
      </c>
      <c r="H5" s="67">
        <f>G5-F5</f>
        <v>-18770</v>
      </c>
      <c r="I5" s="65">
        <v>37037.15</v>
      </c>
      <c r="J5" s="65">
        <v>20276.07</v>
      </c>
      <c r="K5" s="68">
        <f>J5-I5</f>
        <v>-16761.080000000002</v>
      </c>
      <c r="L5" s="68">
        <v>55807.15</v>
      </c>
      <c r="M5" s="74">
        <f>D5+G5+J5</f>
        <v>20276.07</v>
      </c>
      <c r="N5" s="68">
        <f>M5-L5</f>
        <v>-35531.08</v>
      </c>
      <c r="O5" s="76"/>
      <c r="P5" s="76"/>
      <c r="Q5" s="76"/>
      <c r="R5" s="76"/>
      <c r="S5" s="76"/>
      <c r="T5" s="76"/>
      <c r="U5" s="76"/>
      <c r="V5" s="76"/>
      <c r="W5" s="76"/>
      <c r="X5" s="76"/>
    </row>
    <row r="6" spans="1:24" ht="21" customHeight="1">
      <c r="A6" s="44">
        <v>803003</v>
      </c>
      <c r="B6" s="100" t="s">
        <v>6</v>
      </c>
      <c r="C6" s="52">
        <v>0</v>
      </c>
      <c r="D6" s="52">
        <v>0</v>
      </c>
      <c r="E6" s="61">
        <v>0</v>
      </c>
      <c r="F6" s="52">
        <v>0</v>
      </c>
      <c r="G6" s="52">
        <v>0</v>
      </c>
      <c r="H6" s="61">
        <v>0</v>
      </c>
      <c r="I6" s="52">
        <v>0</v>
      </c>
      <c r="J6" s="52">
        <v>0</v>
      </c>
      <c r="K6" s="69">
        <v>0</v>
      </c>
      <c r="L6" s="52">
        <v>0</v>
      </c>
      <c r="M6" s="52">
        <v>0</v>
      </c>
      <c r="N6" s="69">
        <v>0</v>
      </c>
      <c r="O6" s="76"/>
      <c r="P6" s="76"/>
      <c r="Q6" s="76"/>
      <c r="R6" s="76"/>
      <c r="S6" s="76"/>
      <c r="T6" s="76"/>
      <c r="U6" s="76"/>
      <c r="V6" s="76"/>
      <c r="W6" s="76"/>
      <c r="X6" s="76"/>
    </row>
    <row r="7" spans="1:24" ht="15.75" customHeight="1">
      <c r="A7" s="45"/>
      <c r="B7" s="48"/>
      <c r="C7" s="53"/>
      <c r="D7" s="53"/>
      <c r="E7" s="62"/>
      <c r="F7" s="53"/>
      <c r="G7" s="53"/>
      <c r="H7" s="62"/>
      <c r="I7" s="53"/>
      <c r="J7" s="53"/>
      <c r="K7" s="70"/>
      <c r="L7" s="53"/>
      <c r="M7" s="53"/>
      <c r="N7" s="70"/>
      <c r="O7" s="76"/>
      <c r="P7" s="76"/>
      <c r="Q7" s="76"/>
      <c r="R7" s="76"/>
      <c r="S7" s="76"/>
      <c r="T7" s="76"/>
      <c r="U7" s="76"/>
      <c r="V7" s="76"/>
      <c r="W7" s="76"/>
      <c r="X7" s="76"/>
    </row>
    <row r="8" spans="1:24" ht="15.75" customHeight="1">
      <c r="A8" s="46"/>
      <c r="B8" s="49"/>
      <c r="C8" s="54"/>
      <c r="D8" s="54"/>
      <c r="E8" s="63"/>
      <c r="F8" s="63"/>
      <c r="G8" s="54"/>
      <c r="H8" s="63"/>
      <c r="I8" s="63"/>
      <c r="J8" s="54"/>
      <c r="K8" s="71"/>
      <c r="L8" s="54"/>
      <c r="M8" s="54"/>
      <c r="N8" s="71"/>
      <c r="O8" s="76"/>
      <c r="P8" s="76"/>
      <c r="Q8" s="76"/>
      <c r="R8" s="76"/>
      <c r="S8" s="76"/>
      <c r="T8" s="76"/>
      <c r="U8" s="76"/>
      <c r="V8" s="76"/>
      <c r="W8" s="76"/>
      <c r="X8" s="76"/>
    </row>
    <row r="9" spans="1:24" ht="15.75" customHeight="1">
      <c r="A9" s="46"/>
      <c r="B9" s="49"/>
      <c r="C9" s="55"/>
      <c r="D9" s="55"/>
      <c r="E9" s="64"/>
      <c r="F9" s="55"/>
      <c r="G9" s="55"/>
      <c r="H9" s="64"/>
      <c r="I9" s="55"/>
      <c r="J9" s="55"/>
      <c r="K9" s="72"/>
      <c r="L9" s="55"/>
      <c r="M9" s="55"/>
      <c r="N9" s="72"/>
      <c r="O9" s="76"/>
      <c r="P9" s="76"/>
      <c r="Q9" s="76"/>
      <c r="R9" s="76"/>
      <c r="S9" s="76"/>
      <c r="T9" s="76"/>
      <c r="U9" s="76"/>
      <c r="V9" s="76"/>
      <c r="W9" s="76"/>
      <c r="X9" s="76"/>
    </row>
    <row r="10" spans="1:24" ht="15.75" customHeight="1">
      <c r="A10" s="46"/>
      <c r="B10" s="49"/>
      <c r="C10" s="55"/>
      <c r="D10" s="55"/>
      <c r="E10" s="64"/>
      <c r="F10" s="64"/>
      <c r="G10" s="55"/>
      <c r="H10" s="64"/>
      <c r="I10" s="64"/>
      <c r="J10" s="55"/>
      <c r="K10" s="72"/>
      <c r="L10" s="55"/>
      <c r="M10" s="55"/>
      <c r="N10" s="72"/>
      <c r="O10" s="76"/>
      <c r="P10" s="76"/>
      <c r="Q10" s="76"/>
      <c r="R10" s="76"/>
      <c r="S10" s="76"/>
      <c r="T10" s="76"/>
      <c r="U10" s="76"/>
      <c r="V10" s="76"/>
      <c r="W10" s="76"/>
      <c r="X10" s="76"/>
    </row>
    <row r="11" spans="1:24" ht="15.75" customHeight="1">
      <c r="A11" s="47"/>
      <c r="B11" s="49"/>
      <c r="C11" s="55"/>
      <c r="D11" s="55"/>
      <c r="E11" s="64"/>
      <c r="F11" s="55"/>
      <c r="G11" s="55"/>
      <c r="H11" s="64"/>
      <c r="I11" s="55"/>
      <c r="J11" s="55"/>
      <c r="K11" s="72"/>
      <c r="L11" s="55"/>
      <c r="M11" s="55"/>
      <c r="N11" s="72"/>
      <c r="O11" s="76"/>
      <c r="P11" s="76"/>
      <c r="Q11" s="76"/>
      <c r="R11" s="76"/>
      <c r="S11" s="76"/>
      <c r="T11" s="76"/>
      <c r="U11" s="76"/>
      <c r="V11" s="76"/>
      <c r="W11" s="76"/>
      <c r="X11" s="76"/>
    </row>
    <row r="12" spans="1:24" ht="15.75" customHeight="1">
      <c r="A12" s="46"/>
      <c r="B12" s="49"/>
      <c r="C12" s="55"/>
      <c r="D12" s="55"/>
      <c r="E12" s="64"/>
      <c r="F12" s="55"/>
      <c r="G12" s="55"/>
      <c r="H12" s="64"/>
      <c r="I12" s="55"/>
      <c r="J12" s="55"/>
      <c r="K12" s="72"/>
      <c r="L12" s="55"/>
      <c r="M12" s="55"/>
      <c r="N12" s="72"/>
      <c r="O12" s="76"/>
      <c r="P12" s="76"/>
      <c r="Q12" s="76"/>
      <c r="R12" s="76"/>
      <c r="S12" s="76"/>
      <c r="T12" s="76"/>
      <c r="U12" s="76"/>
      <c r="V12" s="76"/>
      <c r="W12" s="76"/>
      <c r="X12" s="76"/>
    </row>
    <row r="13" spans="1:24" ht="15.75" customHeight="1">
      <c r="A13" s="46"/>
      <c r="B13" s="49"/>
      <c r="C13" s="55"/>
      <c r="D13" s="55"/>
      <c r="E13" s="64"/>
      <c r="F13" s="64"/>
      <c r="G13" s="55"/>
      <c r="H13" s="64"/>
      <c r="I13" s="64"/>
      <c r="J13" s="55"/>
      <c r="K13" s="72"/>
      <c r="L13" s="55"/>
      <c r="M13" s="55"/>
      <c r="N13" s="72"/>
      <c r="O13" s="76"/>
      <c r="P13" s="76"/>
      <c r="Q13" s="76"/>
      <c r="R13" s="76"/>
      <c r="S13" s="76"/>
      <c r="T13" s="76"/>
      <c r="U13" s="76"/>
      <c r="V13" s="76"/>
      <c r="W13" s="76"/>
      <c r="X13" s="76"/>
    </row>
    <row r="14" spans="1:24" ht="15.75" customHeight="1">
      <c r="A14" s="46"/>
      <c r="B14" s="49"/>
      <c r="C14" s="55"/>
      <c r="D14" s="55"/>
      <c r="E14" s="64"/>
      <c r="F14" s="55"/>
      <c r="G14" s="55"/>
      <c r="H14" s="64"/>
      <c r="I14" s="55"/>
      <c r="J14" s="55"/>
      <c r="K14" s="72"/>
      <c r="L14" s="55"/>
      <c r="M14" s="55"/>
      <c r="N14" s="72"/>
      <c r="O14" s="76"/>
      <c r="P14" s="76"/>
      <c r="Q14" s="76"/>
      <c r="R14" s="76"/>
      <c r="S14" s="76"/>
      <c r="T14" s="76"/>
      <c r="U14" s="76"/>
      <c r="V14" s="76"/>
      <c r="W14" s="76"/>
      <c r="X14" s="76"/>
    </row>
    <row r="15" spans="1:24" ht="15.75" customHeight="1">
      <c r="A15" s="46"/>
      <c r="B15" s="49"/>
      <c r="C15" s="55"/>
      <c r="D15" s="55"/>
      <c r="E15" s="64"/>
      <c r="F15" s="64"/>
      <c r="G15" s="55"/>
      <c r="H15" s="64"/>
      <c r="I15" s="64"/>
      <c r="J15" s="55"/>
      <c r="K15" s="72"/>
      <c r="L15" s="55"/>
      <c r="M15" s="55"/>
      <c r="N15" s="72"/>
      <c r="O15" s="76"/>
      <c r="P15" s="76"/>
      <c r="Q15" s="76"/>
      <c r="R15" s="76"/>
      <c r="S15" s="76"/>
      <c r="T15" s="76"/>
      <c r="U15" s="76"/>
      <c r="V15" s="76"/>
      <c r="W15" s="76"/>
      <c r="X15" s="76"/>
    </row>
    <row r="16" spans="1:24" ht="15.75" customHeight="1">
      <c r="A16" s="46"/>
      <c r="B16" s="49"/>
      <c r="C16" s="55"/>
      <c r="D16" s="55"/>
      <c r="E16" s="64"/>
      <c r="F16" s="55"/>
      <c r="G16" s="55"/>
      <c r="H16" s="64"/>
      <c r="I16" s="55"/>
      <c r="J16" s="55"/>
      <c r="K16" s="72"/>
      <c r="L16" s="55"/>
      <c r="M16" s="55"/>
      <c r="N16" s="72"/>
      <c r="O16" s="76"/>
      <c r="P16" s="76"/>
      <c r="Q16" s="76"/>
      <c r="R16" s="76"/>
      <c r="S16" s="76"/>
      <c r="T16" s="76"/>
      <c r="U16" s="76"/>
      <c r="V16" s="76"/>
      <c r="W16" s="76"/>
      <c r="X16" s="76"/>
    </row>
    <row r="17" spans="1:24" ht="15.75" customHeight="1">
      <c r="A17" s="46"/>
      <c r="B17" s="49"/>
      <c r="C17" s="55"/>
      <c r="D17" s="55"/>
      <c r="E17" s="64"/>
      <c r="F17" s="64"/>
      <c r="G17" s="55"/>
      <c r="H17" s="64"/>
      <c r="I17" s="64"/>
      <c r="J17" s="55"/>
      <c r="K17" s="72"/>
      <c r="L17" s="55" t="s">
        <v>15</v>
      </c>
      <c r="M17" s="55"/>
      <c r="N17" s="72"/>
      <c r="O17" s="76"/>
      <c r="P17" s="76"/>
      <c r="Q17" s="76"/>
      <c r="R17" s="76"/>
      <c r="S17" s="76"/>
      <c r="T17" s="76"/>
      <c r="U17" s="76"/>
      <c r="V17" s="76"/>
      <c r="W17" s="76"/>
      <c r="X17" s="76"/>
    </row>
    <row r="18" spans="1:24" ht="15.75" customHeight="1">
      <c r="A18" s="46"/>
      <c r="B18" s="49"/>
      <c r="C18" s="55"/>
      <c r="D18" s="55"/>
      <c r="E18" s="64"/>
      <c r="F18" s="55"/>
      <c r="G18" s="55"/>
      <c r="H18" s="64"/>
      <c r="I18" s="55"/>
      <c r="J18" s="55"/>
      <c r="K18" s="72"/>
      <c r="L18" s="55"/>
      <c r="M18" s="55"/>
      <c r="N18" s="72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 spans="1:24" ht="18" customHeight="1">
      <c r="A19" s="46"/>
      <c r="B19" s="50" t="s">
        <v>7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</row>
    <row r="20" spans="1:24" ht="28.5" customHeight="1">
      <c r="A20" s="128" t="s">
        <v>3</v>
      </c>
      <c r="B20" s="128"/>
      <c r="C20" s="57"/>
      <c r="F20" s="129" t="s">
        <v>11</v>
      </c>
      <c r="G20" s="129"/>
      <c r="J20" s="129"/>
      <c r="K20" s="129"/>
      <c r="L20" s="73" t="s">
        <v>16</v>
      </c>
      <c r="M20" s="128"/>
      <c r="N20" s="128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28999999999999998" right="0.2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I13" sqref="I13"/>
    </sheetView>
  </sheetViews>
  <sheetFormatPr defaultRowHeight="13.5"/>
  <cols>
    <col min="1" max="1" width="6.625" customWidth="1"/>
    <col min="2" max="2" width="23.75" customWidth="1"/>
    <col min="3" max="3" width="5.5" customWidth="1"/>
    <col min="4" max="4" width="5.125" customWidth="1"/>
    <col min="5" max="5" width="5.375" customWidth="1"/>
    <col min="6" max="6" width="7.875" customWidth="1"/>
    <col min="7" max="7" width="7.75" customWidth="1"/>
    <col min="8" max="8" width="11.375" customWidth="1"/>
    <col min="9" max="10" width="9.125" customWidth="1"/>
    <col min="11" max="12" width="11.75" customWidth="1"/>
    <col min="13" max="13" width="10.625" customWidth="1"/>
    <col min="14" max="14" width="10.875" customWidth="1"/>
    <col min="15" max="24" width="17.125" customWidth="1"/>
  </cols>
  <sheetData>
    <row r="1" spans="1:24" ht="28.5" customHeight="1">
      <c r="A1" s="116" t="s">
        <v>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24" ht="24.75" customHeight="1">
      <c r="A2" s="117" t="s">
        <v>1</v>
      </c>
      <c r="B2" s="117"/>
      <c r="C2" s="117"/>
      <c r="D2" s="58"/>
      <c r="E2" s="58"/>
      <c r="F2" s="58"/>
      <c r="G2" s="58"/>
      <c r="H2" s="58"/>
      <c r="I2" s="118"/>
      <c r="J2" s="118"/>
      <c r="K2" s="118"/>
      <c r="L2" s="118" t="s">
        <v>13</v>
      </c>
      <c r="M2" s="118"/>
      <c r="N2" s="118"/>
    </row>
    <row r="3" spans="1:24" ht="18" customHeight="1">
      <c r="A3" s="119" t="s">
        <v>2</v>
      </c>
      <c r="B3" s="120" t="s">
        <v>4</v>
      </c>
      <c r="C3" s="122" t="s">
        <v>8</v>
      </c>
      <c r="D3" s="123"/>
      <c r="E3" s="124"/>
      <c r="F3" s="125" t="s">
        <v>10</v>
      </c>
      <c r="G3" s="126"/>
      <c r="H3" s="127"/>
      <c r="I3" s="122" t="s">
        <v>12</v>
      </c>
      <c r="J3" s="123"/>
      <c r="K3" s="124"/>
      <c r="L3" s="122" t="s">
        <v>14</v>
      </c>
      <c r="M3" s="123"/>
      <c r="N3" s="124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8" customHeight="1">
      <c r="A4" s="119"/>
      <c r="B4" s="121"/>
      <c r="C4" s="43">
        <v>2017</v>
      </c>
      <c r="D4" s="59">
        <v>2018</v>
      </c>
      <c r="E4" s="59" t="s">
        <v>9</v>
      </c>
      <c r="F4" s="43">
        <v>2017</v>
      </c>
      <c r="G4" s="59">
        <v>2018</v>
      </c>
      <c r="H4" s="59" t="s">
        <v>9</v>
      </c>
      <c r="I4" s="43">
        <v>2017</v>
      </c>
      <c r="J4" s="59">
        <v>2018</v>
      </c>
      <c r="K4" s="59" t="s">
        <v>9</v>
      </c>
      <c r="L4" s="43">
        <v>2017</v>
      </c>
      <c r="M4" s="59">
        <v>2018</v>
      </c>
      <c r="N4" s="59" t="s">
        <v>9</v>
      </c>
      <c r="O4" s="75"/>
      <c r="P4" s="75"/>
      <c r="Q4" s="75"/>
      <c r="R4" s="75"/>
      <c r="S4" s="75"/>
      <c r="T4" s="75"/>
      <c r="U4" s="75"/>
      <c r="V4" s="75"/>
      <c r="W4" s="75"/>
      <c r="X4" s="75"/>
    </row>
    <row r="5" spans="1:24" ht="42" customHeight="1">
      <c r="A5" s="44">
        <v>803001</v>
      </c>
      <c r="B5" s="100" t="s">
        <v>5</v>
      </c>
      <c r="C5" s="51">
        <v>0</v>
      </c>
      <c r="D5" s="51">
        <v>0</v>
      </c>
      <c r="E5" s="60">
        <v>0</v>
      </c>
      <c r="F5" s="65">
        <v>18770</v>
      </c>
      <c r="G5" s="66">
        <v>0</v>
      </c>
      <c r="H5" s="67">
        <f>G5-F5</f>
        <v>-18770</v>
      </c>
      <c r="I5" s="65">
        <v>37037.15</v>
      </c>
      <c r="J5" s="65">
        <v>30446.07</v>
      </c>
      <c r="K5" s="68">
        <f>J5-I5</f>
        <v>-6591.08</v>
      </c>
      <c r="L5" s="68">
        <v>55807.15</v>
      </c>
      <c r="M5" s="74">
        <f>D5+G5+J5</f>
        <v>30446.07</v>
      </c>
      <c r="N5" s="68">
        <f>M5-L5</f>
        <v>-25361.08</v>
      </c>
      <c r="O5" s="76"/>
      <c r="P5" s="76"/>
      <c r="Q5" s="76"/>
      <c r="R5" s="76"/>
      <c r="S5" s="76"/>
      <c r="T5" s="76"/>
      <c r="U5" s="76"/>
      <c r="V5" s="76"/>
      <c r="W5" s="76"/>
      <c r="X5" s="76"/>
    </row>
    <row r="6" spans="1:24" ht="21" customHeight="1">
      <c r="A6" s="44">
        <v>803003</v>
      </c>
      <c r="B6" s="100" t="s">
        <v>6</v>
      </c>
      <c r="C6" s="52">
        <v>0</v>
      </c>
      <c r="D6" s="52">
        <v>0</v>
      </c>
      <c r="E6" s="61">
        <v>0</v>
      </c>
      <c r="F6" s="52">
        <v>0</v>
      </c>
      <c r="G6" s="52">
        <v>0</v>
      </c>
      <c r="H6" s="61">
        <v>0</v>
      </c>
      <c r="I6" s="52">
        <v>0</v>
      </c>
      <c r="J6" s="52">
        <v>0</v>
      </c>
      <c r="K6" s="69">
        <v>0</v>
      </c>
      <c r="L6" s="52">
        <v>0</v>
      </c>
      <c r="M6" s="52">
        <v>0</v>
      </c>
      <c r="N6" s="69">
        <v>0</v>
      </c>
      <c r="O6" s="76"/>
      <c r="P6" s="76"/>
      <c r="Q6" s="76"/>
      <c r="R6" s="76"/>
      <c r="S6" s="76"/>
      <c r="T6" s="76"/>
      <c r="U6" s="76"/>
      <c r="V6" s="76"/>
      <c r="W6" s="76"/>
      <c r="X6" s="76"/>
    </row>
    <row r="7" spans="1:24" ht="15.75" customHeight="1">
      <c r="A7" s="45"/>
      <c r="B7" s="48"/>
      <c r="C7" s="53"/>
      <c r="D7" s="53"/>
      <c r="E7" s="62"/>
      <c r="F7" s="53"/>
      <c r="G7" s="53"/>
      <c r="H7" s="62"/>
      <c r="I7" s="53"/>
      <c r="J7" s="53"/>
      <c r="K7" s="70"/>
      <c r="L7" s="53"/>
      <c r="M7" s="53"/>
      <c r="N7" s="70"/>
      <c r="O7" s="76"/>
      <c r="P7" s="76"/>
      <c r="Q7" s="76"/>
      <c r="R7" s="76"/>
      <c r="S7" s="76"/>
      <c r="T7" s="76"/>
      <c r="U7" s="76"/>
      <c r="V7" s="76"/>
      <c r="W7" s="76"/>
      <c r="X7" s="76"/>
    </row>
    <row r="8" spans="1:24" ht="15.75" customHeight="1">
      <c r="A8" s="46"/>
      <c r="B8" s="49"/>
      <c r="C8" s="54"/>
      <c r="D8" s="54"/>
      <c r="E8" s="63"/>
      <c r="F8" s="63"/>
      <c r="G8" s="54"/>
      <c r="H8" s="63"/>
      <c r="I8" s="63"/>
      <c r="J8" s="54"/>
      <c r="K8" s="71"/>
      <c r="L8" s="54"/>
      <c r="M8" s="54"/>
      <c r="N8" s="71"/>
      <c r="O8" s="76"/>
      <c r="P8" s="76"/>
      <c r="Q8" s="76"/>
      <c r="R8" s="76"/>
      <c r="S8" s="76"/>
      <c r="T8" s="76"/>
      <c r="U8" s="76"/>
      <c r="V8" s="76"/>
      <c r="W8" s="76"/>
      <c r="X8" s="76"/>
    </row>
    <row r="9" spans="1:24" ht="15.75" customHeight="1">
      <c r="A9" s="46"/>
      <c r="B9" s="49"/>
      <c r="C9" s="55"/>
      <c r="D9" s="55"/>
      <c r="E9" s="64"/>
      <c r="F9" s="55"/>
      <c r="G9" s="55"/>
      <c r="H9" s="64"/>
      <c r="I9" s="55"/>
      <c r="J9" s="55"/>
      <c r="K9" s="72"/>
      <c r="L9" s="55"/>
      <c r="M9" s="55"/>
      <c r="N9" s="72"/>
      <c r="O9" s="76"/>
      <c r="P9" s="76"/>
      <c r="Q9" s="76"/>
      <c r="R9" s="76"/>
      <c r="S9" s="76"/>
      <c r="T9" s="76"/>
      <c r="U9" s="76"/>
      <c r="V9" s="76"/>
      <c r="W9" s="76"/>
      <c r="X9" s="76"/>
    </row>
    <row r="10" spans="1:24" ht="15.75" customHeight="1">
      <c r="A10" s="46"/>
      <c r="B10" s="49"/>
      <c r="C10" s="55"/>
      <c r="D10" s="55"/>
      <c r="E10" s="64"/>
      <c r="F10" s="64"/>
      <c r="G10" s="55"/>
      <c r="H10" s="64"/>
      <c r="I10" s="64"/>
      <c r="J10" s="55"/>
      <c r="K10" s="72"/>
      <c r="L10" s="55"/>
      <c r="M10" s="55"/>
      <c r="N10" s="72"/>
      <c r="O10" s="76"/>
      <c r="P10" s="76"/>
      <c r="Q10" s="76"/>
      <c r="R10" s="76"/>
      <c r="S10" s="76"/>
      <c r="T10" s="76"/>
      <c r="U10" s="76"/>
      <c r="V10" s="76"/>
      <c r="W10" s="76"/>
      <c r="X10" s="76"/>
    </row>
    <row r="11" spans="1:24" ht="15.75" customHeight="1">
      <c r="A11" s="47"/>
      <c r="B11" s="49"/>
      <c r="C11" s="55"/>
      <c r="D11" s="55"/>
      <c r="E11" s="64"/>
      <c r="F11" s="55"/>
      <c r="G11" s="55"/>
      <c r="H11" s="64"/>
      <c r="I11" s="55"/>
      <c r="J11" s="55"/>
      <c r="K11" s="72"/>
      <c r="L11" s="55"/>
      <c r="M11" s="55"/>
      <c r="N11" s="72"/>
      <c r="O11" s="76"/>
      <c r="P11" s="76"/>
      <c r="Q11" s="76"/>
      <c r="R11" s="76"/>
      <c r="S11" s="76"/>
      <c r="T11" s="76"/>
      <c r="U11" s="76"/>
      <c r="V11" s="76"/>
      <c r="W11" s="76"/>
      <c r="X11" s="76"/>
    </row>
    <row r="12" spans="1:24" ht="15.75" customHeight="1">
      <c r="A12" s="46"/>
      <c r="B12" s="49"/>
      <c r="C12" s="55"/>
      <c r="D12" s="55"/>
      <c r="E12" s="64"/>
      <c r="F12" s="55"/>
      <c r="G12" s="55"/>
      <c r="H12" s="64"/>
      <c r="I12" s="55"/>
      <c r="J12" s="55"/>
      <c r="K12" s="72"/>
      <c r="L12" s="55"/>
      <c r="M12" s="55"/>
      <c r="N12" s="72"/>
      <c r="O12" s="76"/>
      <c r="P12" s="76"/>
      <c r="Q12" s="76"/>
      <c r="R12" s="76"/>
      <c r="S12" s="76"/>
      <c r="T12" s="76"/>
      <c r="U12" s="76"/>
      <c r="V12" s="76"/>
      <c r="W12" s="76"/>
      <c r="X12" s="76"/>
    </row>
    <row r="13" spans="1:24" ht="15.75" customHeight="1">
      <c r="A13" s="46"/>
      <c r="B13" s="49"/>
      <c r="C13" s="55"/>
      <c r="D13" s="55"/>
      <c r="E13" s="64"/>
      <c r="F13" s="64"/>
      <c r="G13" s="55"/>
      <c r="H13" s="64"/>
      <c r="I13" s="64"/>
      <c r="J13" s="55"/>
      <c r="K13" s="72"/>
      <c r="L13" s="55"/>
      <c r="M13" s="55"/>
      <c r="N13" s="72"/>
      <c r="O13" s="76"/>
      <c r="P13" s="76"/>
      <c r="Q13" s="76"/>
      <c r="R13" s="76"/>
      <c r="S13" s="76"/>
      <c r="T13" s="76"/>
      <c r="U13" s="76"/>
      <c r="V13" s="76"/>
      <c r="W13" s="76"/>
      <c r="X13" s="76"/>
    </row>
    <row r="14" spans="1:24" ht="15.75" customHeight="1">
      <c r="A14" s="46"/>
      <c r="B14" s="49"/>
      <c r="C14" s="55"/>
      <c r="D14" s="55"/>
      <c r="E14" s="64"/>
      <c r="F14" s="55"/>
      <c r="G14" s="55"/>
      <c r="H14" s="64"/>
      <c r="I14" s="55"/>
      <c r="J14" s="55"/>
      <c r="K14" s="72"/>
      <c r="L14" s="55"/>
      <c r="M14" s="55"/>
      <c r="N14" s="72"/>
      <c r="O14" s="76"/>
      <c r="P14" s="76"/>
      <c r="Q14" s="76"/>
      <c r="R14" s="76"/>
      <c r="S14" s="76"/>
      <c r="T14" s="76"/>
      <c r="U14" s="76"/>
      <c r="V14" s="76"/>
      <c r="W14" s="76"/>
      <c r="X14" s="76"/>
    </row>
    <row r="15" spans="1:24" ht="15.75" customHeight="1">
      <c r="A15" s="46"/>
      <c r="B15" s="49"/>
      <c r="C15" s="55"/>
      <c r="D15" s="55"/>
      <c r="E15" s="64"/>
      <c r="F15" s="64"/>
      <c r="G15" s="55"/>
      <c r="H15" s="64"/>
      <c r="I15" s="64"/>
      <c r="J15" s="55"/>
      <c r="K15" s="72"/>
      <c r="L15" s="55"/>
      <c r="M15" s="55"/>
      <c r="N15" s="72"/>
      <c r="O15" s="76"/>
      <c r="P15" s="76"/>
      <c r="Q15" s="76"/>
      <c r="R15" s="76"/>
      <c r="S15" s="76"/>
      <c r="T15" s="76"/>
      <c r="U15" s="76"/>
      <c r="V15" s="76"/>
      <c r="W15" s="76"/>
      <c r="X15" s="76"/>
    </row>
    <row r="16" spans="1:24" ht="15.75" customHeight="1">
      <c r="A16" s="46"/>
      <c r="B16" s="49"/>
      <c r="C16" s="55"/>
      <c r="D16" s="55"/>
      <c r="E16" s="64"/>
      <c r="F16" s="55"/>
      <c r="G16" s="55"/>
      <c r="H16" s="64"/>
      <c r="I16" s="55"/>
      <c r="J16" s="55"/>
      <c r="K16" s="72"/>
      <c r="L16" s="55"/>
      <c r="M16" s="55"/>
      <c r="N16" s="72"/>
      <c r="O16" s="76"/>
      <c r="P16" s="76"/>
      <c r="Q16" s="76"/>
      <c r="R16" s="76"/>
      <c r="S16" s="76"/>
      <c r="T16" s="76"/>
      <c r="U16" s="76"/>
      <c r="V16" s="76"/>
      <c r="W16" s="76"/>
      <c r="X16" s="76"/>
    </row>
    <row r="17" spans="1:24" ht="15.75" customHeight="1">
      <c r="A17" s="46"/>
      <c r="B17" s="49"/>
      <c r="C17" s="55"/>
      <c r="D17" s="55"/>
      <c r="E17" s="64"/>
      <c r="F17" s="64"/>
      <c r="G17" s="55"/>
      <c r="H17" s="64"/>
      <c r="I17" s="64"/>
      <c r="J17" s="55"/>
      <c r="K17" s="72"/>
      <c r="L17" s="55" t="s">
        <v>15</v>
      </c>
      <c r="M17" s="55"/>
      <c r="N17" s="72"/>
      <c r="O17" s="76"/>
      <c r="P17" s="76"/>
      <c r="Q17" s="76"/>
      <c r="R17" s="76"/>
      <c r="S17" s="76"/>
      <c r="T17" s="76"/>
      <c r="U17" s="76"/>
      <c r="V17" s="76"/>
      <c r="W17" s="76"/>
      <c r="X17" s="76"/>
    </row>
    <row r="18" spans="1:24" ht="15.75" customHeight="1">
      <c r="A18" s="46"/>
      <c r="B18" s="49"/>
      <c r="C18" s="55"/>
      <c r="D18" s="55"/>
      <c r="E18" s="64"/>
      <c r="F18" s="55"/>
      <c r="G18" s="55"/>
      <c r="H18" s="64"/>
      <c r="I18" s="55"/>
      <c r="J18" s="55"/>
      <c r="K18" s="72"/>
      <c r="L18" s="55"/>
      <c r="M18" s="55"/>
      <c r="N18" s="72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 spans="1:24" ht="18" customHeight="1">
      <c r="A19" s="46"/>
      <c r="B19" s="50" t="s">
        <v>7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</row>
    <row r="20" spans="1:24" ht="28.5" customHeight="1">
      <c r="A20" s="128" t="s">
        <v>3</v>
      </c>
      <c r="B20" s="128"/>
      <c r="C20" s="57"/>
      <c r="F20" s="129" t="s">
        <v>11</v>
      </c>
      <c r="G20" s="129"/>
      <c r="J20" s="129"/>
      <c r="K20" s="129"/>
      <c r="L20" s="73" t="s">
        <v>16</v>
      </c>
      <c r="M20" s="128"/>
      <c r="N20" s="128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3" right="0.2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selection activeCell="N7" sqref="N7"/>
    </sheetView>
  </sheetViews>
  <sheetFormatPr defaultRowHeight="13.5"/>
  <cols>
    <col min="1" max="1" width="6.625" customWidth="1"/>
    <col min="2" max="2" width="23.625" customWidth="1"/>
    <col min="3" max="3" width="5.5" customWidth="1"/>
    <col min="4" max="4" width="5.125" customWidth="1"/>
    <col min="5" max="5" width="5.375" customWidth="1"/>
    <col min="6" max="6" width="7.875" customWidth="1"/>
    <col min="7" max="7" width="7.75" customWidth="1"/>
    <col min="8" max="8" width="12.25" customWidth="1"/>
    <col min="9" max="10" width="9.125" customWidth="1"/>
    <col min="11" max="11" width="10.5" customWidth="1"/>
    <col min="12" max="12" width="10.375" customWidth="1"/>
    <col min="13" max="13" width="10.125" customWidth="1"/>
    <col min="14" max="14" width="12.125" customWidth="1"/>
    <col min="15" max="24" width="17.125" customWidth="1"/>
  </cols>
  <sheetData>
    <row r="1" spans="1:24" ht="28.5" customHeight="1">
      <c r="A1" s="116" t="s">
        <v>27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24" ht="24.75" customHeight="1">
      <c r="A2" s="117" t="s">
        <v>1</v>
      </c>
      <c r="B2" s="117"/>
      <c r="C2" s="117"/>
      <c r="D2" s="58"/>
      <c r="E2" s="58"/>
      <c r="F2" s="58"/>
      <c r="G2" s="58"/>
      <c r="H2" s="58"/>
      <c r="I2" s="118"/>
      <c r="J2" s="118"/>
      <c r="K2" s="118"/>
      <c r="L2" s="118" t="s">
        <v>13</v>
      </c>
      <c r="M2" s="118"/>
      <c r="N2" s="118"/>
    </row>
    <row r="3" spans="1:24" ht="18" customHeight="1">
      <c r="A3" s="119" t="s">
        <v>2</v>
      </c>
      <c r="B3" s="120" t="s">
        <v>4</v>
      </c>
      <c r="C3" s="122" t="s">
        <v>8</v>
      </c>
      <c r="D3" s="123"/>
      <c r="E3" s="124"/>
      <c r="F3" s="125" t="s">
        <v>10</v>
      </c>
      <c r="G3" s="126"/>
      <c r="H3" s="127"/>
      <c r="I3" s="122" t="s">
        <v>12</v>
      </c>
      <c r="J3" s="123"/>
      <c r="K3" s="124"/>
      <c r="L3" s="122" t="s">
        <v>14</v>
      </c>
      <c r="M3" s="123"/>
      <c r="N3" s="124"/>
      <c r="O3" s="97"/>
      <c r="P3" s="97"/>
      <c r="Q3" s="97"/>
      <c r="R3" s="97"/>
      <c r="S3" s="97"/>
      <c r="T3" s="97"/>
      <c r="U3" s="97"/>
      <c r="V3" s="97"/>
      <c r="W3" s="97"/>
      <c r="X3" s="97"/>
    </row>
    <row r="4" spans="1:24" ht="18" customHeight="1">
      <c r="A4" s="119"/>
      <c r="B4" s="121"/>
      <c r="C4" s="43">
        <v>2017</v>
      </c>
      <c r="D4" s="59">
        <v>2018</v>
      </c>
      <c r="E4" s="59" t="s">
        <v>9</v>
      </c>
      <c r="F4" s="43">
        <v>2017</v>
      </c>
      <c r="G4" s="59">
        <v>2018</v>
      </c>
      <c r="H4" s="59" t="s">
        <v>9</v>
      </c>
      <c r="I4" s="43">
        <v>2017</v>
      </c>
      <c r="J4" s="59">
        <v>2018</v>
      </c>
      <c r="K4" s="59" t="s">
        <v>9</v>
      </c>
      <c r="L4" s="43">
        <v>2017</v>
      </c>
      <c r="M4" s="59">
        <v>2018</v>
      </c>
      <c r="N4" s="59" t="s">
        <v>9</v>
      </c>
      <c r="O4" s="97"/>
      <c r="P4" s="97"/>
      <c r="Q4" s="97"/>
      <c r="R4" s="97"/>
      <c r="S4" s="97"/>
      <c r="T4" s="97"/>
      <c r="U4" s="97"/>
      <c r="V4" s="97"/>
      <c r="W4" s="97"/>
      <c r="X4" s="97"/>
    </row>
    <row r="5" spans="1:24" ht="42" customHeight="1">
      <c r="A5" s="77">
        <v>803001</v>
      </c>
      <c r="B5" s="99" t="s">
        <v>5</v>
      </c>
      <c r="C5" s="83">
        <v>0</v>
      </c>
      <c r="D5" s="83">
        <v>0</v>
      </c>
      <c r="E5" s="87">
        <v>0</v>
      </c>
      <c r="F5" s="89">
        <v>18770</v>
      </c>
      <c r="G5" s="90">
        <v>0</v>
      </c>
      <c r="H5" s="91">
        <f>G5-F5</f>
        <v>-18770</v>
      </c>
      <c r="I5" s="89">
        <v>37037.15</v>
      </c>
      <c r="J5" s="89">
        <v>35880.07</v>
      </c>
      <c r="K5" s="92">
        <f>J5-I5</f>
        <v>-1157.08</v>
      </c>
      <c r="L5" s="94">
        <v>55807.15</v>
      </c>
      <c r="M5" s="96">
        <f>D5+G5+J5</f>
        <v>35880.07</v>
      </c>
      <c r="N5" s="92">
        <f>M5-L5</f>
        <v>-19927.080000000002</v>
      </c>
      <c r="O5" s="98"/>
      <c r="P5" s="98"/>
      <c r="Q5" s="98"/>
      <c r="R5" s="98"/>
      <c r="S5" s="98"/>
      <c r="T5" s="98"/>
      <c r="U5" s="98"/>
      <c r="V5" s="98"/>
      <c r="W5" s="98"/>
      <c r="X5" s="98"/>
    </row>
    <row r="6" spans="1:24" ht="32.25" customHeight="1">
      <c r="A6" s="77">
        <v>803003</v>
      </c>
      <c r="B6" s="99" t="s">
        <v>6</v>
      </c>
      <c r="C6" s="52">
        <v>0</v>
      </c>
      <c r="D6" s="52">
        <v>0</v>
      </c>
      <c r="E6" s="61">
        <v>0</v>
      </c>
      <c r="F6" s="52">
        <v>0</v>
      </c>
      <c r="G6" s="52">
        <v>0</v>
      </c>
      <c r="H6" s="61">
        <v>0</v>
      </c>
      <c r="I6" s="52">
        <v>0</v>
      </c>
      <c r="J6" s="52">
        <v>0</v>
      </c>
      <c r="K6" s="69">
        <v>0</v>
      </c>
      <c r="L6" s="52">
        <v>0</v>
      </c>
      <c r="M6" s="52">
        <v>0</v>
      </c>
      <c r="N6" s="69">
        <v>0</v>
      </c>
      <c r="O6" s="98"/>
      <c r="P6" s="98"/>
      <c r="Q6" s="98"/>
      <c r="R6" s="98"/>
      <c r="S6" s="98"/>
      <c r="T6" s="98"/>
      <c r="U6" s="98"/>
      <c r="V6" s="98"/>
      <c r="W6" s="98"/>
      <c r="X6" s="98"/>
    </row>
    <row r="7" spans="1:24" ht="15.75" customHeight="1">
      <c r="A7" s="78"/>
      <c r="B7" s="80"/>
      <c r="C7" s="53"/>
      <c r="D7" s="53"/>
      <c r="E7" s="62"/>
      <c r="F7" s="53"/>
      <c r="G7" s="53"/>
      <c r="H7" s="62"/>
      <c r="I7" s="53"/>
      <c r="J7" s="53"/>
      <c r="K7" s="70"/>
      <c r="L7" s="53"/>
      <c r="M7" s="53"/>
      <c r="N7" s="70"/>
      <c r="O7" s="98"/>
      <c r="P7" s="98"/>
      <c r="Q7" s="98"/>
      <c r="R7" s="98"/>
      <c r="S7" s="98"/>
      <c r="T7" s="98"/>
      <c r="U7" s="98"/>
      <c r="V7" s="98"/>
      <c r="W7" s="98"/>
      <c r="X7" s="98"/>
    </row>
    <row r="8" spans="1:24" ht="15.75" customHeight="1">
      <c r="A8" s="79"/>
      <c r="B8" s="81"/>
      <c r="C8" s="54"/>
      <c r="D8" s="54"/>
      <c r="E8" s="63"/>
      <c r="F8" s="63"/>
      <c r="G8" s="54"/>
      <c r="H8" s="63"/>
      <c r="I8" s="63"/>
      <c r="J8" s="54"/>
      <c r="K8" s="71"/>
      <c r="L8" s="54"/>
      <c r="M8" s="54"/>
      <c r="N8" s="71"/>
      <c r="O8" s="98"/>
      <c r="P8" s="98"/>
      <c r="Q8" s="98"/>
      <c r="R8" s="98"/>
      <c r="S8" s="98"/>
      <c r="T8" s="98"/>
      <c r="U8" s="98"/>
      <c r="V8" s="98"/>
      <c r="W8" s="98"/>
      <c r="X8" s="98"/>
    </row>
    <row r="9" spans="1:24" ht="15.75" customHeight="1">
      <c r="A9" s="79"/>
      <c r="B9" s="81"/>
      <c r="C9" s="84"/>
      <c r="D9" s="84"/>
      <c r="E9" s="88"/>
      <c r="F9" s="84"/>
      <c r="G9" s="84"/>
      <c r="H9" s="88"/>
      <c r="I9" s="84"/>
      <c r="J9" s="84"/>
      <c r="K9" s="93"/>
      <c r="L9" s="84"/>
      <c r="M9" s="84"/>
      <c r="N9" s="93"/>
      <c r="O9" s="98"/>
      <c r="P9" s="98"/>
      <c r="Q9" s="98"/>
      <c r="R9" s="98"/>
      <c r="S9" s="98"/>
      <c r="T9" s="98"/>
      <c r="U9" s="98"/>
      <c r="V9" s="98"/>
      <c r="W9" s="98"/>
      <c r="X9" s="98"/>
    </row>
    <row r="10" spans="1:24" ht="15.75" customHeight="1">
      <c r="A10" s="79"/>
      <c r="B10" s="81"/>
      <c r="C10" s="84"/>
      <c r="D10" s="84"/>
      <c r="E10" s="88"/>
      <c r="F10" s="88"/>
      <c r="G10" s="84"/>
      <c r="H10" s="88"/>
      <c r="I10" s="88"/>
      <c r="J10" s="84"/>
      <c r="K10" s="93"/>
      <c r="L10" s="84"/>
      <c r="M10" s="84"/>
      <c r="N10" s="93"/>
      <c r="O10" s="98"/>
      <c r="P10" s="98"/>
      <c r="Q10" s="98"/>
      <c r="R10" s="98"/>
      <c r="S10" s="98"/>
      <c r="T10" s="98"/>
      <c r="U10" s="98"/>
      <c r="V10" s="98"/>
      <c r="W10" s="98"/>
      <c r="X10" s="98"/>
    </row>
    <row r="11" spans="1:24" ht="15.75" customHeight="1">
      <c r="A11" s="47"/>
      <c r="B11" s="81"/>
      <c r="C11" s="84"/>
      <c r="D11" s="84"/>
      <c r="E11" s="88"/>
      <c r="F11" s="84"/>
      <c r="G11" s="84"/>
      <c r="H11" s="88"/>
      <c r="I11" s="84"/>
      <c r="J11" s="84"/>
      <c r="K11" s="93"/>
      <c r="L11" s="84"/>
      <c r="M11" s="84"/>
      <c r="N11" s="93"/>
      <c r="O11" s="98"/>
      <c r="P11" s="98"/>
      <c r="Q11" s="98"/>
      <c r="R11" s="98"/>
      <c r="S11" s="98"/>
      <c r="T11" s="98"/>
      <c r="U11" s="98"/>
      <c r="V11" s="98"/>
      <c r="W11" s="98"/>
      <c r="X11" s="98"/>
    </row>
    <row r="12" spans="1:24" ht="15.75" customHeight="1">
      <c r="A12" s="79"/>
      <c r="B12" s="81"/>
      <c r="C12" s="84"/>
      <c r="D12" s="84"/>
      <c r="E12" s="88"/>
      <c r="F12" s="84"/>
      <c r="G12" s="84"/>
      <c r="H12" s="88"/>
      <c r="I12" s="84"/>
      <c r="J12" s="84"/>
      <c r="K12" s="93"/>
      <c r="L12" s="84"/>
      <c r="M12" s="84"/>
      <c r="N12" s="93"/>
      <c r="O12" s="98"/>
      <c r="P12" s="98"/>
      <c r="Q12" s="98"/>
      <c r="R12" s="98"/>
      <c r="S12" s="98"/>
      <c r="T12" s="98"/>
      <c r="U12" s="98"/>
      <c r="V12" s="98"/>
      <c r="W12" s="98"/>
      <c r="X12" s="98"/>
    </row>
    <row r="13" spans="1:24" ht="15.75" customHeight="1">
      <c r="A13" s="79"/>
      <c r="B13" s="81"/>
      <c r="C13" s="84"/>
      <c r="D13" s="84"/>
      <c r="E13" s="88"/>
      <c r="F13" s="88"/>
      <c r="G13" s="84"/>
      <c r="H13" s="88"/>
      <c r="I13" s="88"/>
      <c r="J13" s="84"/>
      <c r="K13" s="93"/>
      <c r="L13" s="84"/>
      <c r="M13" s="84"/>
      <c r="N13" s="93"/>
      <c r="O13" s="98"/>
      <c r="P13" s="98"/>
      <c r="Q13" s="98"/>
      <c r="R13" s="98"/>
      <c r="S13" s="98"/>
      <c r="T13" s="98"/>
      <c r="U13" s="98"/>
      <c r="V13" s="98"/>
      <c r="W13" s="98"/>
      <c r="X13" s="98"/>
    </row>
    <row r="14" spans="1:24" ht="15.75" customHeight="1">
      <c r="A14" s="79"/>
      <c r="B14" s="81"/>
      <c r="C14" s="84"/>
      <c r="D14" s="84"/>
      <c r="E14" s="88"/>
      <c r="F14" s="84"/>
      <c r="G14" s="84"/>
      <c r="H14" s="88"/>
      <c r="I14" s="84"/>
      <c r="J14" s="84"/>
      <c r="K14" s="93"/>
      <c r="L14" s="84"/>
      <c r="M14" s="84"/>
      <c r="N14" s="93"/>
      <c r="O14" s="98"/>
      <c r="P14" s="98"/>
      <c r="Q14" s="98"/>
      <c r="R14" s="98"/>
      <c r="S14" s="98"/>
      <c r="T14" s="98"/>
      <c r="U14" s="98"/>
      <c r="V14" s="98"/>
      <c r="W14" s="98"/>
      <c r="X14" s="98"/>
    </row>
    <row r="15" spans="1:24" ht="15.75" customHeight="1">
      <c r="A15" s="79"/>
      <c r="B15" s="81"/>
      <c r="C15" s="84"/>
      <c r="D15" s="84"/>
      <c r="E15" s="88"/>
      <c r="F15" s="88"/>
      <c r="G15" s="84"/>
      <c r="H15" s="88"/>
      <c r="I15" s="88"/>
      <c r="J15" s="84"/>
      <c r="K15" s="93"/>
      <c r="L15" s="84"/>
      <c r="M15" s="84"/>
      <c r="N15" s="93"/>
      <c r="O15" s="98"/>
      <c r="P15" s="98"/>
      <c r="Q15" s="98"/>
      <c r="R15" s="98"/>
      <c r="S15" s="98"/>
      <c r="T15" s="98"/>
      <c r="U15" s="98"/>
      <c r="V15" s="98"/>
      <c r="W15" s="98"/>
      <c r="X15" s="98"/>
    </row>
    <row r="16" spans="1:24" ht="15.75" customHeight="1">
      <c r="A16" s="79"/>
      <c r="B16" s="81"/>
      <c r="C16" s="84"/>
      <c r="D16" s="84"/>
      <c r="E16" s="88"/>
      <c r="F16" s="84"/>
      <c r="G16" s="84"/>
      <c r="H16" s="88"/>
      <c r="I16" s="84"/>
      <c r="J16" s="84"/>
      <c r="K16" s="93"/>
      <c r="L16" s="84"/>
      <c r="M16" s="84"/>
      <c r="N16" s="93"/>
      <c r="O16" s="98"/>
      <c r="P16" s="98"/>
      <c r="Q16" s="98"/>
      <c r="R16" s="98"/>
      <c r="S16" s="98"/>
      <c r="T16" s="98"/>
      <c r="U16" s="98"/>
      <c r="V16" s="98"/>
      <c r="W16" s="98"/>
      <c r="X16" s="98"/>
    </row>
    <row r="17" spans="1:24" ht="15.75" customHeight="1">
      <c r="A17" s="79"/>
      <c r="B17" s="81"/>
      <c r="C17" s="84"/>
      <c r="D17" s="84"/>
      <c r="E17" s="88"/>
      <c r="F17" s="88"/>
      <c r="G17" s="84"/>
      <c r="H17" s="88"/>
      <c r="I17" s="88"/>
      <c r="J17" s="84"/>
      <c r="K17" s="93"/>
      <c r="L17" s="84" t="s">
        <v>15</v>
      </c>
      <c r="M17" s="84"/>
      <c r="N17" s="93"/>
      <c r="O17" s="98"/>
      <c r="P17" s="98"/>
      <c r="Q17" s="98"/>
      <c r="R17" s="98"/>
      <c r="S17" s="98"/>
      <c r="T17" s="98"/>
      <c r="U17" s="98"/>
      <c r="V17" s="98"/>
      <c r="W17" s="98"/>
      <c r="X17" s="98"/>
    </row>
    <row r="18" spans="1:24" ht="15.75" customHeight="1">
      <c r="A18" s="79"/>
      <c r="B18" s="81"/>
      <c r="C18" s="84"/>
      <c r="D18" s="84"/>
      <c r="E18" s="88"/>
      <c r="F18" s="84"/>
      <c r="G18" s="84"/>
      <c r="H18" s="88"/>
      <c r="I18" s="84"/>
      <c r="J18" s="84"/>
      <c r="K18" s="93"/>
      <c r="L18" s="84"/>
      <c r="M18" s="84"/>
      <c r="N18" s="93"/>
      <c r="O18" s="98"/>
      <c r="P18" s="98"/>
      <c r="Q18" s="98"/>
      <c r="R18" s="98"/>
      <c r="S18" s="98"/>
      <c r="T18" s="98"/>
      <c r="U18" s="98"/>
      <c r="V18" s="98"/>
      <c r="W18" s="98"/>
      <c r="X18" s="98"/>
    </row>
    <row r="19" spans="1:24" ht="18" customHeight="1">
      <c r="A19" s="79"/>
      <c r="B19" s="82" t="s">
        <v>7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</row>
    <row r="20" spans="1:24" ht="28.5" customHeight="1">
      <c r="A20" s="130" t="s">
        <v>3</v>
      </c>
      <c r="B20" s="130"/>
      <c r="C20" s="86"/>
      <c r="F20" s="131" t="s">
        <v>11</v>
      </c>
      <c r="G20" s="131"/>
      <c r="J20" s="131"/>
      <c r="K20" s="131"/>
      <c r="L20" s="95" t="s">
        <v>16</v>
      </c>
      <c r="M20" s="130"/>
      <c r="N20" s="130"/>
    </row>
  </sheetData>
  <mergeCells count="14">
    <mergeCell ref="A20:B20"/>
    <mergeCell ref="F20:G20"/>
    <mergeCell ref="J20:K20"/>
    <mergeCell ref="M20:N20"/>
    <mergeCell ref="A1:N1"/>
    <mergeCell ref="A2:C2"/>
    <mergeCell ref="I2:K2"/>
    <mergeCell ref="L2:N2"/>
    <mergeCell ref="A3:A4"/>
    <mergeCell ref="B3:B4"/>
    <mergeCell ref="C3:E3"/>
    <mergeCell ref="F3:H3"/>
    <mergeCell ref="I3:K3"/>
    <mergeCell ref="L3:N3"/>
  </mergeCells>
  <phoneticPr fontId="1" type="noConversion"/>
  <pageMargins left="0.35" right="0.2800000000000000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12</Pages>
  <Words>0</Words>
  <Characters>0</Characters>
  <Application>Polaris Office Sheet</Application>
  <DocSecurity>0</DocSecurity>
  <Lines>0</Lines>
  <Paragraphs>0</Paragraphs>
  <MMClips>0</MMClips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cp:revision>3</cp:revision>
  <cp:lastPrinted>2019-01-31T01:04:04Z</cp:lastPrinted>
  <dcterms:modified xsi:type="dcterms:W3CDTF">2019-01-31T01:04:21Z</dcterms:modified>
</cp:coreProperties>
</file>