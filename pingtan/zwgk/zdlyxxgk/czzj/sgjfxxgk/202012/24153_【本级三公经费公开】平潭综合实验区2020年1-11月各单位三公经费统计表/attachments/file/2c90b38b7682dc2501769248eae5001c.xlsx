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25" windowHeight="9840" activeTab="1"/>
  </bookViews>
  <sheets>
    <sheet name="对比数" sheetId="2" r:id="rId1"/>
    <sheet name="本年数" sheetId="3" r:id="rId2"/>
  </sheets>
  <calcPr calcId="144525"/>
</workbook>
</file>

<file path=xl/sharedStrings.xml><?xml version="1.0" encoding="utf-8"?>
<sst xmlns="http://schemas.openxmlformats.org/spreadsheetml/2006/main" count="639" uniqueCount="322">
  <si>
    <t>平潭综合实验区2020年1-11月各单位三公经费统计表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</si>
  <si>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</si>
  <si>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</si>
  <si>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</si>
  <si>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</si>
  <si>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</si>
  <si>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</si>
  <si>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</si>
  <si>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001002</t>
  </si>
  <si>
    <t>平潭县人大常委会</t>
  </si>
  <si>
    <t>002002</t>
  </si>
  <si>
    <t>平潭县政协</t>
  </si>
  <si>
    <t>003001</t>
  </si>
  <si>
    <t>平潭综合实验区纪工委</t>
  </si>
  <si>
    <t>039003</t>
  </si>
  <si>
    <t>平潭综合实验区廉政及审计事务中心</t>
  </si>
  <si>
    <t>004001</t>
  </si>
  <si>
    <t>区管委办</t>
  </si>
  <si>
    <t>004002</t>
  </si>
  <si>
    <t>平潭综合实验区司法办公室</t>
  </si>
  <si>
    <t>005001</t>
  </si>
  <si>
    <t>平潭党群工作部</t>
  </si>
  <si>
    <t>006001</t>
  </si>
  <si>
    <t>平潭综合实验区管委会台湾工作部</t>
  </si>
  <si>
    <t>007001</t>
  </si>
  <si>
    <t>平潭巡审办</t>
  </si>
  <si>
    <t>11564</t>
  </si>
  <si>
    <t>021001</t>
  </si>
  <si>
    <t>平潭综合实验区党工委宣传办</t>
  </si>
  <si>
    <t>025002</t>
  </si>
  <si>
    <t>平潭党工委党校</t>
  </si>
  <si>
    <t>026001</t>
  </si>
  <si>
    <t>平潭台胞台企服务中心</t>
  </si>
  <si>
    <t>平潭综合实验区融媒体中心</t>
  </si>
  <si>
    <t>027002</t>
  </si>
  <si>
    <t>平潭综合实验区传媒中心</t>
  </si>
  <si>
    <t>027004</t>
  </si>
  <si>
    <t>平潭广播电视台</t>
  </si>
  <si>
    <t>027003</t>
  </si>
  <si>
    <t>平潭时报社</t>
  </si>
  <si>
    <t>027005</t>
  </si>
  <si>
    <t>互联网中心</t>
  </si>
  <si>
    <t>027006</t>
  </si>
  <si>
    <t>广电中心</t>
  </si>
  <si>
    <t>035002</t>
  </si>
  <si>
    <t>平潭人力资源服务中心</t>
  </si>
  <si>
    <t>009001</t>
  </si>
  <si>
    <t xml:space="preserve"> 公安局</t>
  </si>
  <si>
    <t>009002</t>
  </si>
  <si>
    <t>看守所</t>
  </si>
  <si>
    <t>009003</t>
  </si>
  <si>
    <t>拘留所</t>
  </si>
  <si>
    <t>010001</t>
  </si>
  <si>
    <t>财政金融局</t>
  </si>
  <si>
    <t>038001</t>
  </si>
  <si>
    <t>财政金融事务服务中心</t>
  </si>
  <si>
    <t>015001</t>
  </si>
  <si>
    <t>行政审批局</t>
  </si>
  <si>
    <t>033002</t>
  </si>
  <si>
    <t>行政服务中心</t>
  </si>
  <si>
    <t>016001</t>
  </si>
  <si>
    <t>区综合执法与应急管理局本级</t>
  </si>
  <si>
    <t>016003</t>
  </si>
  <si>
    <t>区交通综合执法支队</t>
  </si>
  <si>
    <t>016004</t>
  </si>
  <si>
    <t>区安全生产与劳动保障执法支队</t>
  </si>
  <si>
    <t>016005</t>
  </si>
  <si>
    <t>文化市场综合执法支队</t>
  </si>
  <si>
    <t>016006</t>
  </si>
  <si>
    <t>农业综合执法支队</t>
  </si>
  <si>
    <t>046007</t>
  </si>
  <si>
    <t>科学技术协会本级</t>
  </si>
  <si>
    <t>037001</t>
  </si>
  <si>
    <t>区应急事务中心</t>
  </si>
  <si>
    <t>037002</t>
  </si>
  <si>
    <t>区防汛抗旱指挥部办公室</t>
  </si>
  <si>
    <t>037003</t>
  </si>
  <si>
    <t>区地灾防治与环境事故应急中心</t>
  </si>
  <si>
    <t>037004</t>
  </si>
  <si>
    <t>区地震办</t>
  </si>
  <si>
    <t>037005</t>
  </si>
  <si>
    <t>区安全生产综合服务中心</t>
  </si>
  <si>
    <t>017001</t>
  </si>
  <si>
    <t>市场监督管理局</t>
  </si>
  <si>
    <t>020002</t>
  </si>
  <si>
    <t>平潭综合实验区科技研究院</t>
  </si>
  <si>
    <t>045001</t>
  </si>
  <si>
    <t>工商业联合会</t>
  </si>
  <si>
    <t>046001</t>
  </si>
  <si>
    <t>共青团平潭综合实验区委员会</t>
  </si>
  <si>
    <t>046002</t>
  </si>
  <si>
    <t>妇女联合会</t>
  </si>
  <si>
    <t>046003</t>
  </si>
  <si>
    <t>总工会</t>
  </si>
  <si>
    <t>046004</t>
  </si>
  <si>
    <t>归国华侨联合会</t>
  </si>
  <si>
    <t>046005</t>
  </si>
  <si>
    <t>文学艺术界联合会</t>
  </si>
  <si>
    <t>046008</t>
  </si>
  <si>
    <t>计划生育协会</t>
  </si>
  <si>
    <t>036001</t>
  </si>
  <si>
    <t>旅游文化服务中心</t>
  </si>
  <si>
    <t>011001</t>
  </si>
  <si>
    <t>平潭综合实验区旅游文体局</t>
  </si>
  <si>
    <t>011002</t>
  </si>
  <si>
    <t>平潭综合实验区风景区与旅游执法支队</t>
  </si>
  <si>
    <t>011003</t>
  </si>
  <si>
    <t>平潭县闽剧团</t>
  </si>
  <si>
    <t>046006</t>
  </si>
  <si>
    <t>平潭综合实验区残联</t>
  </si>
  <si>
    <t>018001</t>
  </si>
  <si>
    <t>区农村发展局本级</t>
  </si>
  <si>
    <t>018003</t>
  </si>
  <si>
    <t>区海洋渔业执法大队</t>
  </si>
  <si>
    <t>034001</t>
  </si>
  <si>
    <t>区农业农村发展服务中心</t>
  </si>
  <si>
    <t>012001</t>
  </si>
  <si>
    <t>平潭综合实验区社会事业局</t>
  </si>
  <si>
    <t>平潭综合实验区社会事业服务发展中心</t>
  </si>
  <si>
    <t>012081</t>
  </si>
  <si>
    <t>平潭综合实验区红十字会</t>
  </si>
  <si>
    <t>012061</t>
  </si>
  <si>
    <t>平潭综合实验区医院</t>
  </si>
  <si>
    <t>012062</t>
  </si>
  <si>
    <t>平潭综合实验区中医院</t>
  </si>
  <si>
    <t>012063</t>
  </si>
  <si>
    <t>平潭综合实验区妇幼保健院</t>
  </si>
  <si>
    <t>012064</t>
  </si>
  <si>
    <t>平潭综合实验区皮肤病性病防治院</t>
  </si>
  <si>
    <t>012065</t>
  </si>
  <si>
    <t>平潭综合实验区疾病预防控制中心</t>
  </si>
  <si>
    <t>012066</t>
  </si>
  <si>
    <t>平潭综合实验区潭城镇社区卫生服务中心</t>
  </si>
  <si>
    <t>012067</t>
  </si>
  <si>
    <t>平潭综合实验区屿头乡卫生院</t>
  </si>
  <si>
    <t>012068</t>
  </si>
  <si>
    <t>平潭综合实验区大练乡卫生院</t>
  </si>
  <si>
    <t>012069</t>
  </si>
  <si>
    <t>平潭综合实验区苏澳镇中心卫生院</t>
  </si>
  <si>
    <t>012070</t>
  </si>
  <si>
    <t>平潭综合实验区平原镇中心卫生院</t>
  </si>
  <si>
    <t>012071</t>
  </si>
  <si>
    <t>平潭综合实验区中楼乡卫生院</t>
  </si>
  <si>
    <t>012072</t>
  </si>
  <si>
    <t>平潭综合实验区白青乡卫生院</t>
  </si>
  <si>
    <t>012073</t>
  </si>
  <si>
    <t>平潭综合实验区流水镇中心卫生院</t>
  </si>
  <si>
    <t>012074</t>
  </si>
  <si>
    <t>平潭综合实验区东庠乡卫生院</t>
  </si>
  <si>
    <t>012075</t>
  </si>
  <si>
    <t>平潭综合实验区岚城乡中心卫生院</t>
  </si>
  <si>
    <t>010076</t>
  </si>
  <si>
    <t>平潭综合实验区澳前镇中心卫生院</t>
  </si>
  <si>
    <t>012077</t>
  </si>
  <si>
    <t>平潭综合实验区北厝镇中心卫生院</t>
  </si>
  <si>
    <t>012078</t>
  </si>
  <si>
    <t>平潭综合实验区敖东镇中心卫生院</t>
  </si>
  <si>
    <t>012079</t>
  </si>
  <si>
    <t>平潭综合实验区南海乡卫生院</t>
  </si>
  <si>
    <t>012080</t>
  </si>
  <si>
    <t>平潭综合实验区南海乡塘屿卫生院</t>
  </si>
  <si>
    <t>012082</t>
  </si>
  <si>
    <t>平潭综合实验区急救中心</t>
  </si>
  <si>
    <t>012083</t>
  </si>
  <si>
    <t>平潭综合实验区卫生监督所</t>
  </si>
  <si>
    <t>012002</t>
  </si>
  <si>
    <t>平潭综合实验区进修学校</t>
  </si>
  <si>
    <t>012003</t>
  </si>
  <si>
    <t>平潭职业中专学校</t>
  </si>
  <si>
    <t>012004</t>
  </si>
  <si>
    <t>平潭第一中学</t>
  </si>
  <si>
    <t>012005</t>
  </si>
  <si>
    <t>平潭第二中学</t>
  </si>
  <si>
    <t>012006</t>
  </si>
  <si>
    <t>平潭第三中学</t>
  </si>
  <si>
    <t>012007</t>
  </si>
  <si>
    <t>平潭城关中学</t>
  </si>
  <si>
    <t>012008</t>
  </si>
  <si>
    <t>福建师范大学平潭附属中学</t>
  </si>
  <si>
    <t>012009</t>
  </si>
  <si>
    <t>平潭流水中学</t>
  </si>
  <si>
    <t>012010</t>
  </si>
  <si>
    <t>平潭城南学校</t>
  </si>
  <si>
    <t>012011</t>
  </si>
  <si>
    <t>平潭强兴中学</t>
  </si>
  <si>
    <t>012012</t>
  </si>
  <si>
    <t>平潭潭东初级中学</t>
  </si>
  <si>
    <t>012013</t>
  </si>
  <si>
    <t>平潭龙南初级中学</t>
  </si>
  <si>
    <t>012014</t>
  </si>
  <si>
    <t>平潭北厝初级中学</t>
  </si>
  <si>
    <t>012015</t>
  </si>
  <si>
    <t>平潭屿头初级中学</t>
  </si>
  <si>
    <t>012016</t>
  </si>
  <si>
    <t>平潭渔限学校（小学、初中）</t>
  </si>
  <si>
    <t>012017</t>
  </si>
  <si>
    <t>平潭芦洋学校（小学、初中）</t>
  </si>
  <si>
    <t>012018</t>
  </si>
  <si>
    <t>平潭国彩学校(小学、初中）</t>
  </si>
  <si>
    <t>012019</t>
  </si>
  <si>
    <t>平潭思源学校</t>
  </si>
  <si>
    <t>012020</t>
  </si>
  <si>
    <t>平潭东庠学校（小学、初中）</t>
  </si>
  <si>
    <t>012021</t>
  </si>
  <si>
    <t>平潭实验小学</t>
  </si>
  <si>
    <t>012022</t>
  </si>
  <si>
    <t>平潭城中小学</t>
  </si>
  <si>
    <t>012023</t>
  </si>
  <si>
    <t>平潭城东小学</t>
  </si>
  <si>
    <t>012024</t>
  </si>
  <si>
    <t>平潭城北小学</t>
  </si>
  <si>
    <t>012025</t>
  </si>
  <si>
    <t>平潭城关小学</t>
  </si>
  <si>
    <t>012026</t>
  </si>
  <si>
    <t>平潭北门小学</t>
  </si>
  <si>
    <t>012027</t>
  </si>
  <si>
    <t>平潭流水镇中心小学</t>
  </si>
  <si>
    <t>012028</t>
  </si>
  <si>
    <t>平潭敖东镇中心小学</t>
  </si>
  <si>
    <t>012029</t>
  </si>
  <si>
    <t>平潭澳前镇中心校</t>
  </si>
  <si>
    <t>012030</t>
  </si>
  <si>
    <t>平潭岚城乡中心小学</t>
  </si>
  <si>
    <t>012031</t>
  </si>
  <si>
    <t>平潭北厝镇中心小学</t>
  </si>
  <si>
    <t>012032</t>
  </si>
  <si>
    <t>平潭大练乡中心小学</t>
  </si>
  <si>
    <t>012033</t>
  </si>
  <si>
    <t>平潭屿头乡中心小学</t>
  </si>
  <si>
    <t>012034</t>
  </si>
  <si>
    <t>平潭平原镇中心小学</t>
  </si>
  <si>
    <t>012035</t>
  </si>
  <si>
    <t>平潭特殊教育学校</t>
  </si>
  <si>
    <t>012036</t>
  </si>
  <si>
    <t>平潭实验幼儿园</t>
  </si>
  <si>
    <t>012037</t>
  </si>
  <si>
    <t>平潭城关幼儿园</t>
  </si>
  <si>
    <t>012038</t>
  </si>
  <si>
    <t>平潭流水镇中心幼儿园</t>
  </si>
  <si>
    <t>012039</t>
  </si>
  <si>
    <t>平潭北厝镇中心幼儿园</t>
  </si>
  <si>
    <t>012040</t>
  </si>
  <si>
    <t>平潭敖东镇中心幼儿园</t>
  </si>
  <si>
    <t>012041</t>
  </si>
  <si>
    <t>平潭中楼乡中心幼儿园</t>
  </si>
  <si>
    <t>012042</t>
  </si>
  <si>
    <t>平潭澳前镇中心幼儿园</t>
  </si>
  <si>
    <t>012043</t>
  </si>
  <si>
    <t>平潭屿头乡中心幼儿园</t>
  </si>
  <si>
    <t>012044</t>
  </si>
  <si>
    <t>平潭海峡儿童学园</t>
  </si>
  <si>
    <t>012045</t>
  </si>
  <si>
    <t>平潭第二实验小学</t>
  </si>
  <si>
    <t>012046</t>
  </si>
  <si>
    <t>平潭第二实验幼儿园</t>
  </si>
  <si>
    <t>012047</t>
  </si>
  <si>
    <t>平潭海坛幼儿园</t>
  </si>
  <si>
    <t>012048</t>
  </si>
  <si>
    <t>平潭如意幼儿园</t>
  </si>
  <si>
    <t>012049</t>
  </si>
  <si>
    <t>平潭东升幼儿园</t>
  </si>
  <si>
    <t>012050</t>
  </si>
  <si>
    <t>平潭苏澳学校（小学、初中）</t>
  </si>
  <si>
    <t>012051</t>
  </si>
  <si>
    <t>平潭中楼学校（小学、初中）</t>
  </si>
  <si>
    <t>012052</t>
  </si>
  <si>
    <t>平潭麒麟小学</t>
  </si>
  <si>
    <t>012053</t>
  </si>
  <si>
    <t>平潭双玉幼儿园</t>
  </si>
  <si>
    <t>012054</t>
  </si>
  <si>
    <t>平潭东岚幼儿园</t>
  </si>
  <si>
    <t>012055</t>
  </si>
  <si>
    <t>平潭岚城新区中心幼儿园</t>
  </si>
  <si>
    <t>012056</t>
  </si>
  <si>
    <t>平潭芦洋乡中心幼儿园</t>
  </si>
  <si>
    <t>012057</t>
  </si>
  <si>
    <t>平潭白青乡中心幼儿园</t>
  </si>
  <si>
    <t>012058</t>
  </si>
  <si>
    <t>平潭金井湾幼儿园</t>
  </si>
  <si>
    <t>012059</t>
  </si>
  <si>
    <t>平潭中湖小学</t>
  </si>
  <si>
    <t>012060</t>
  </si>
  <si>
    <t>平潭南海学校</t>
  </si>
  <si>
    <t>048008</t>
  </si>
  <si>
    <t>平潭综合实验区质量计量所</t>
  </si>
  <si>
    <t>048009</t>
  </si>
  <si>
    <t>平潭综合实验区检验检测中心</t>
  </si>
  <si>
    <t>048006</t>
  </si>
  <si>
    <t>区老年大学</t>
  </si>
  <si>
    <t>048007</t>
  </si>
  <si>
    <t>青少年宫</t>
  </si>
  <si>
    <t>048001</t>
  </si>
  <si>
    <t>挂职办</t>
  </si>
  <si>
    <t>013001</t>
  </si>
  <si>
    <t>平潭综合实验区自然资源与生态环境局</t>
  </si>
  <si>
    <t>013002</t>
  </si>
  <si>
    <t>平潭综合实验区环境监察支队</t>
  </si>
  <si>
    <t>028001</t>
  </si>
  <si>
    <t>平潭综合实验区自然资源服务中心</t>
  </si>
  <si>
    <t>014001</t>
  </si>
  <si>
    <t>平潭综合实验区交通与建设局本级</t>
  </si>
  <si>
    <t>平潭综合实验区交通与建设局本级（环岛指挥部）</t>
  </si>
  <si>
    <t>014002</t>
  </si>
  <si>
    <t>平潭综合实验区人防办</t>
  </si>
  <si>
    <t>平潭综合实验区城乡建设与交通运输服务中心</t>
  </si>
  <si>
    <t>301001</t>
  </si>
  <si>
    <t>平潭综合实验区经济发展局</t>
  </si>
  <si>
    <t>平潭综合实验区招商与产业促进中心</t>
  </si>
  <si>
    <t>020001</t>
  </si>
  <si>
    <t>平潭综合实验区国有资产管理局</t>
  </si>
  <si>
    <t>031001</t>
  </si>
  <si>
    <t>平潭综合实验区创新研究院</t>
  </si>
  <si>
    <t>049001</t>
  </si>
  <si>
    <t>金井片区管理局</t>
  </si>
  <si>
    <t>051001</t>
  </si>
  <si>
    <t>君山片区管理局</t>
  </si>
  <si>
    <t>052001</t>
  </si>
  <si>
    <t>苏平片区管理局</t>
  </si>
  <si>
    <t>050001</t>
  </si>
  <si>
    <t>海坛片区管理局</t>
  </si>
  <si>
    <t>合计</t>
  </si>
  <si>
    <t>公安局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</si>
</sst>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</numFmts>
  <fonts count="26">
    <font>
      <sz val="11"/>
      <color theme="1"/>
      <name val="宋体"/>
      <charset val="134"/>
      <scheme val="minor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0" fillId="18" borderId="13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2" borderId="10" applyNumberFormat="0" applyFon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4" fillId="11" borderId="9" applyNumberFormat="0" applyAlignment="0" applyProtection="0">
      <alignment vertical="center"/>
    </xf>
    <xf numFmtId="0" fontId="21" fillId="11" borderId="13" applyNumberFormat="0" applyAlignment="0" applyProtection="0">
      <alignment vertical="center"/>
    </xf>
    <xf numFmtId="0" fontId="5" fillId="3" borderId="7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4" fillId="0" borderId="0"/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  <cellStyle name="常规 64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2"/>
  <sheetViews>
    <sheetView topLeftCell="A151" workbookViewId="0">
      <selection activeCell="I173" sqref="I173"/>
    </sheetView>
  </sheetViews>
  <sheetFormatPr defaultColWidth="9" defaultRowHeight="13.5"/>
  <cols>
    <col min="2" max="2" width="21" customWidth="1"/>
    <col min="3" max="3" width="10.625" customWidth="1"/>
    <col min="4" max="4" width="9.875" customWidth="1"/>
    <col min="5" max="5" width="10.375" customWidth="1"/>
    <col min="6" max="7" width="10.5" customWidth="1"/>
    <col min="10" max="10" width="11.625" customWidth="1"/>
    <col min="13" max="13" width="11.625" customWidth="1"/>
    <col min="14" max="14" width="12.75" customWidth="1"/>
  </cols>
  <sheetData>
    <row r="1" ht="22.5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/>
      <c r="B2" s="2"/>
      <c r="C2" s="2"/>
      <c r="D2" s="3"/>
      <c r="E2" s="3"/>
      <c r="F2" s="3"/>
      <c r="G2" s="3"/>
      <c r="H2" s="3"/>
      <c r="I2" s="4"/>
      <c r="J2" s="4"/>
      <c r="K2" s="4"/>
      <c r="L2" s="4" t="s">
        <v>1</v>
      </c>
      <c r="M2" s="4"/>
      <c r="N2" s="4"/>
    </row>
    <row r="3" ht="19.5" customHeight="1" spans="1:14">
      <c r="A3" s="5" t="s">
        <v>2</v>
      </c>
      <c r="B3" s="6" t="s">
        <v>3</v>
      </c>
      <c r="C3" s="12" t="s">
        <v>4</v>
      </c>
      <c r="D3" s="13"/>
      <c r="E3" s="14"/>
      <c r="F3" s="15" t="s">
        <v>5</v>
      </c>
      <c r="G3" s="16"/>
      <c r="H3" s="17"/>
      <c r="I3" s="12" t="s">
        <v>6</v>
      </c>
      <c r="J3" s="13"/>
      <c r="K3" s="14"/>
      <c r="L3" s="12" t="s">
        <v>7</v>
      </c>
      <c r="M3" s="13"/>
      <c r="N3" s="14"/>
    </row>
    <row r="4" spans="1:14">
      <c r="A4" s="7" t="s">
        <v>8</v>
      </c>
      <c r="B4" s="8" t="s">
        <v>9</v>
      </c>
      <c r="C4" s="18">
        <v>0</v>
      </c>
      <c r="D4" s="18">
        <v>0</v>
      </c>
      <c r="E4" s="18">
        <f>D4-C4</f>
        <v>0</v>
      </c>
      <c r="F4" s="18">
        <v>19830</v>
      </c>
      <c r="G4" s="18">
        <v>16888</v>
      </c>
      <c r="H4" s="18">
        <f>G4-F4</f>
        <v>-2942</v>
      </c>
      <c r="I4" s="18">
        <v>19404.8</v>
      </c>
      <c r="J4" s="18">
        <v>8372.5</v>
      </c>
      <c r="K4" s="18">
        <f>J4-I4</f>
        <v>-11032.3</v>
      </c>
      <c r="L4" s="18">
        <f>C4+F4+I4</f>
        <v>39234.8</v>
      </c>
      <c r="M4" s="18">
        <f>D4+G4+J4</f>
        <v>25260.5</v>
      </c>
      <c r="N4" s="18">
        <f>M4-L4</f>
        <v>-13974.3</v>
      </c>
    </row>
    <row r="5" spans="1:14">
      <c r="A5" s="7" t="s">
        <v>10</v>
      </c>
      <c r="B5" s="8" t="s">
        <v>11</v>
      </c>
      <c r="C5" s="18">
        <v>11960</v>
      </c>
      <c r="D5" s="18">
        <v>0</v>
      </c>
      <c r="E5" s="18">
        <f t="shared" ref="E5:E68" si="0">D5-C5</f>
        <v>-11960</v>
      </c>
      <c r="F5" s="18">
        <v>39804</v>
      </c>
      <c r="G5" s="18">
        <v>17185</v>
      </c>
      <c r="H5" s="18">
        <f t="shared" ref="H5:H68" si="1">G5-F5</f>
        <v>-22619</v>
      </c>
      <c r="I5" s="18">
        <v>22674</v>
      </c>
      <c r="J5" s="18">
        <v>15783</v>
      </c>
      <c r="K5" s="18">
        <f t="shared" ref="K5:K68" si="2">J5-I5</f>
        <v>-6891</v>
      </c>
      <c r="L5" s="18">
        <f t="shared" ref="L5:L68" si="3">C5+F5+I5</f>
        <v>74438</v>
      </c>
      <c r="M5" s="18">
        <f t="shared" ref="M5:M68" si="4">D5+G5+J5</f>
        <v>32968</v>
      </c>
      <c r="N5" s="18">
        <f t="shared" ref="N5:N68" si="5">M5-L5</f>
        <v>-41470</v>
      </c>
    </row>
    <row r="6" spans="1:14">
      <c r="A6" s="7" t="s">
        <v>12</v>
      </c>
      <c r="B6" s="8" t="s">
        <v>13</v>
      </c>
      <c r="C6" s="18">
        <v>0</v>
      </c>
      <c r="D6" s="18">
        <v>0</v>
      </c>
      <c r="E6" s="18">
        <f t="shared" si="0"/>
        <v>0</v>
      </c>
      <c r="F6" s="18">
        <v>20560</v>
      </c>
      <c r="G6" s="18">
        <v>23210</v>
      </c>
      <c r="H6" s="18">
        <f t="shared" si="1"/>
        <v>2650</v>
      </c>
      <c r="I6" s="18">
        <v>252710.06</v>
      </c>
      <c r="J6" s="18">
        <v>125637.8</v>
      </c>
      <c r="K6" s="18">
        <f t="shared" si="2"/>
        <v>-127072.26</v>
      </c>
      <c r="L6" s="18">
        <f t="shared" si="3"/>
        <v>273270.06</v>
      </c>
      <c r="M6" s="18">
        <f t="shared" si="4"/>
        <v>148847.8</v>
      </c>
      <c r="N6" s="18">
        <f t="shared" si="5"/>
        <v>-124422.26</v>
      </c>
    </row>
    <row r="7" ht="27" customHeight="1" spans="1:14">
      <c r="A7" s="7" t="s">
        <v>14</v>
      </c>
      <c r="B7" s="8" t="s">
        <v>15</v>
      </c>
      <c r="C7" s="18">
        <v>0</v>
      </c>
      <c r="D7" s="18">
        <v>0</v>
      </c>
      <c r="E7" s="18">
        <f t="shared" si="0"/>
        <v>0</v>
      </c>
      <c r="F7" s="18">
        <v>0</v>
      </c>
      <c r="G7" s="18">
        <v>0</v>
      </c>
      <c r="H7" s="18">
        <f t="shared" si="1"/>
        <v>0</v>
      </c>
      <c r="I7" s="18">
        <v>0</v>
      </c>
      <c r="J7" s="18">
        <v>0</v>
      </c>
      <c r="K7" s="18">
        <f t="shared" si="2"/>
        <v>0</v>
      </c>
      <c r="L7" s="18">
        <f t="shared" si="3"/>
        <v>0</v>
      </c>
      <c r="M7" s="18">
        <f t="shared" si="4"/>
        <v>0</v>
      </c>
      <c r="N7" s="18">
        <f t="shared" si="5"/>
        <v>0</v>
      </c>
    </row>
    <row r="8" spans="1:14">
      <c r="A8" s="7" t="s">
        <v>16</v>
      </c>
      <c r="B8" s="8" t="s">
        <v>17</v>
      </c>
      <c r="C8" s="18">
        <v>774803.58</v>
      </c>
      <c r="D8" s="18">
        <v>17874</v>
      </c>
      <c r="E8" s="18">
        <f t="shared" si="0"/>
        <v>-756929.58</v>
      </c>
      <c r="F8" s="18">
        <v>2296341.5</v>
      </c>
      <c r="G8" s="18">
        <v>586760</v>
      </c>
      <c r="H8" s="18">
        <f t="shared" si="1"/>
        <v>-1709581.5</v>
      </c>
      <c r="I8" s="18">
        <v>793145.4</v>
      </c>
      <c r="J8" s="18">
        <v>649840.44</v>
      </c>
      <c r="K8" s="18">
        <f t="shared" si="2"/>
        <v>-143304.96</v>
      </c>
      <c r="L8" s="18">
        <f t="shared" si="3"/>
        <v>3864290.48</v>
      </c>
      <c r="M8" s="18">
        <f t="shared" si="4"/>
        <v>1254474.44</v>
      </c>
      <c r="N8" s="18">
        <f t="shared" si="5"/>
        <v>-2609816.04</v>
      </c>
    </row>
    <row r="9" spans="1:14">
      <c r="A9" s="7" t="s">
        <v>18</v>
      </c>
      <c r="B9" s="8" t="s">
        <v>19</v>
      </c>
      <c r="C9" s="18">
        <v>0</v>
      </c>
      <c r="D9" s="18">
        <v>0</v>
      </c>
      <c r="E9" s="18">
        <f t="shared" si="0"/>
        <v>0</v>
      </c>
      <c r="F9" s="18">
        <v>3896</v>
      </c>
      <c r="G9" s="18">
        <v>2115</v>
      </c>
      <c r="H9" s="18">
        <f t="shared" si="1"/>
        <v>-1781</v>
      </c>
      <c r="I9" s="18">
        <v>34769.76</v>
      </c>
      <c r="J9" s="18">
        <v>32979.46</v>
      </c>
      <c r="K9" s="18">
        <f t="shared" si="2"/>
        <v>-1790.3</v>
      </c>
      <c r="L9" s="18">
        <f t="shared" si="3"/>
        <v>38665.76</v>
      </c>
      <c r="M9" s="18">
        <f t="shared" si="4"/>
        <v>35094.46</v>
      </c>
      <c r="N9" s="18">
        <f t="shared" si="5"/>
        <v>-3571.3</v>
      </c>
    </row>
    <row r="10" spans="1:14">
      <c r="A10" s="7" t="s">
        <v>20</v>
      </c>
      <c r="B10" s="8" t="s">
        <v>21</v>
      </c>
      <c r="C10" s="18">
        <v>175090</v>
      </c>
      <c r="D10" s="18">
        <v>0</v>
      </c>
      <c r="E10" s="18">
        <f t="shared" si="0"/>
        <v>-175090</v>
      </c>
      <c r="F10" s="18">
        <v>116315</v>
      </c>
      <c r="G10" s="18">
        <v>53276</v>
      </c>
      <c r="H10" s="18">
        <f t="shared" si="1"/>
        <v>-63039</v>
      </c>
      <c r="I10" s="18">
        <v>254944.17</v>
      </c>
      <c r="J10" s="18">
        <v>50562.55</v>
      </c>
      <c r="K10" s="18">
        <f t="shared" si="2"/>
        <v>-204381.62</v>
      </c>
      <c r="L10" s="18">
        <f t="shared" si="3"/>
        <v>546349.17</v>
      </c>
      <c r="M10" s="18">
        <f t="shared" si="4"/>
        <v>103838.55</v>
      </c>
      <c r="N10" s="18">
        <f t="shared" si="5"/>
        <v>-442510.62</v>
      </c>
    </row>
    <row r="11" ht="24" spans="1:14">
      <c r="A11" s="7" t="s">
        <v>22</v>
      </c>
      <c r="B11" s="8" t="s">
        <v>23</v>
      </c>
      <c r="C11" s="18">
        <v>36603</v>
      </c>
      <c r="D11" s="18">
        <v>0</v>
      </c>
      <c r="E11" s="18">
        <f t="shared" si="0"/>
        <v>-36603</v>
      </c>
      <c r="F11" s="18">
        <v>125362</v>
      </c>
      <c r="G11" s="18">
        <v>101866</v>
      </c>
      <c r="H11" s="18">
        <f t="shared" si="1"/>
        <v>-23496</v>
      </c>
      <c r="I11" s="18">
        <v>37723.2</v>
      </c>
      <c r="J11" s="18">
        <v>24963</v>
      </c>
      <c r="K11" s="18">
        <f t="shared" si="2"/>
        <v>-12760.2</v>
      </c>
      <c r="L11" s="18">
        <f t="shared" si="3"/>
        <v>199688.2</v>
      </c>
      <c r="M11" s="18">
        <f t="shared" si="4"/>
        <v>126829</v>
      </c>
      <c r="N11" s="18">
        <f t="shared" si="5"/>
        <v>-72859.2</v>
      </c>
    </row>
    <row r="12" spans="1:14">
      <c r="A12" s="7" t="s">
        <v>24</v>
      </c>
      <c r="B12" s="8" t="s">
        <v>25</v>
      </c>
      <c r="C12" s="18">
        <v>0</v>
      </c>
      <c r="D12" s="18">
        <v>0</v>
      </c>
      <c r="E12" s="18">
        <f t="shared" si="0"/>
        <v>0</v>
      </c>
      <c r="F12" s="18">
        <v>0</v>
      </c>
      <c r="G12" s="18">
        <v>0</v>
      </c>
      <c r="H12" s="18">
        <f t="shared" si="1"/>
        <v>0</v>
      </c>
      <c r="I12" s="18">
        <v>0</v>
      </c>
      <c r="J12" s="18" t="s">
        <v>26</v>
      </c>
      <c r="K12" s="18">
        <f t="shared" si="2"/>
        <v>11564</v>
      </c>
      <c r="L12" s="18">
        <f t="shared" si="3"/>
        <v>0</v>
      </c>
      <c r="M12" s="18">
        <f t="shared" si="4"/>
        <v>11564</v>
      </c>
      <c r="N12" s="18">
        <f t="shared" si="5"/>
        <v>11564</v>
      </c>
    </row>
    <row r="13" ht="24" spans="1:14">
      <c r="A13" s="7" t="s">
        <v>27</v>
      </c>
      <c r="B13" s="8" t="s">
        <v>28</v>
      </c>
      <c r="C13" s="18">
        <v>10154.3</v>
      </c>
      <c r="D13" s="18">
        <v>0</v>
      </c>
      <c r="E13" s="18">
        <f t="shared" si="0"/>
        <v>-10154.3</v>
      </c>
      <c r="F13" s="18">
        <v>74210</v>
      </c>
      <c r="G13" s="18">
        <v>26445</v>
      </c>
      <c r="H13" s="18">
        <f t="shared" si="1"/>
        <v>-47765</v>
      </c>
      <c r="I13" s="18">
        <v>38665.6</v>
      </c>
      <c r="J13" s="18">
        <v>14349.8</v>
      </c>
      <c r="K13" s="18">
        <f t="shared" si="2"/>
        <v>-24315.8</v>
      </c>
      <c r="L13" s="18">
        <f t="shared" si="3"/>
        <v>123029.9</v>
      </c>
      <c r="M13" s="18">
        <f t="shared" si="4"/>
        <v>40794.8</v>
      </c>
      <c r="N13" s="18">
        <f t="shared" si="5"/>
        <v>-82235.1</v>
      </c>
    </row>
    <row r="14" spans="1:14">
      <c r="A14" s="7" t="s">
        <v>29</v>
      </c>
      <c r="B14" s="8" t="s">
        <v>30</v>
      </c>
      <c r="C14" s="18">
        <v>14000</v>
      </c>
      <c r="D14" s="18">
        <v>0</v>
      </c>
      <c r="E14" s="18">
        <f t="shared" si="0"/>
        <v>-14000</v>
      </c>
      <c r="F14" s="18">
        <v>780</v>
      </c>
      <c r="G14" s="18">
        <v>1747</v>
      </c>
      <c r="H14" s="18">
        <f t="shared" si="1"/>
        <v>967</v>
      </c>
      <c r="I14" s="18">
        <v>0</v>
      </c>
      <c r="J14" s="18">
        <v>0</v>
      </c>
      <c r="K14" s="18">
        <f t="shared" si="2"/>
        <v>0</v>
      </c>
      <c r="L14" s="18">
        <f t="shared" si="3"/>
        <v>14780</v>
      </c>
      <c r="M14" s="18">
        <f t="shared" si="4"/>
        <v>1747</v>
      </c>
      <c r="N14" s="18">
        <f t="shared" si="5"/>
        <v>-13033</v>
      </c>
    </row>
    <row r="15" spans="1:14">
      <c r="A15" s="7" t="s">
        <v>31</v>
      </c>
      <c r="B15" s="8" t="s">
        <v>32</v>
      </c>
      <c r="C15" s="18">
        <v>0</v>
      </c>
      <c r="D15" s="18">
        <v>0</v>
      </c>
      <c r="E15" s="18">
        <f t="shared" si="0"/>
        <v>0</v>
      </c>
      <c r="F15" s="18">
        <v>0</v>
      </c>
      <c r="G15" s="18">
        <v>0</v>
      </c>
      <c r="H15" s="18">
        <f t="shared" si="1"/>
        <v>0</v>
      </c>
      <c r="I15" s="18">
        <v>0</v>
      </c>
      <c r="J15" s="18">
        <v>0</v>
      </c>
      <c r="K15" s="18">
        <f t="shared" si="2"/>
        <v>0</v>
      </c>
      <c r="L15" s="18">
        <f t="shared" si="3"/>
        <v>0</v>
      </c>
      <c r="M15" s="18">
        <f t="shared" si="4"/>
        <v>0</v>
      </c>
      <c r="N15" s="18">
        <f t="shared" si="5"/>
        <v>0</v>
      </c>
    </row>
    <row r="16" spans="1:14">
      <c r="A16" s="7"/>
      <c r="B16" s="8" t="s">
        <v>33</v>
      </c>
      <c r="C16" s="18">
        <v>0</v>
      </c>
      <c r="D16" s="18">
        <v>0</v>
      </c>
      <c r="E16" s="18">
        <f t="shared" si="0"/>
        <v>0</v>
      </c>
      <c r="F16" s="18">
        <v>0</v>
      </c>
      <c r="G16" s="18">
        <v>1230</v>
      </c>
      <c r="H16" s="18">
        <f t="shared" si="1"/>
        <v>1230</v>
      </c>
      <c r="I16" s="18">
        <v>0</v>
      </c>
      <c r="J16" s="18">
        <v>61773.22</v>
      </c>
      <c r="K16" s="18">
        <f t="shared" si="2"/>
        <v>61773.22</v>
      </c>
      <c r="L16" s="18">
        <f t="shared" si="3"/>
        <v>0</v>
      </c>
      <c r="M16" s="18">
        <f t="shared" si="4"/>
        <v>63003.22</v>
      </c>
      <c r="N16" s="18">
        <f t="shared" si="5"/>
        <v>63003.22</v>
      </c>
    </row>
    <row r="17" spans="1:14">
      <c r="A17" s="7" t="s">
        <v>34</v>
      </c>
      <c r="B17" s="8" t="s">
        <v>35</v>
      </c>
      <c r="C17" s="18">
        <v>0</v>
      </c>
      <c r="D17" s="18">
        <v>0</v>
      </c>
      <c r="E17" s="18">
        <f t="shared" si="0"/>
        <v>0</v>
      </c>
      <c r="F17" s="18">
        <v>3032</v>
      </c>
      <c r="G17" s="18">
        <v>0</v>
      </c>
      <c r="H17" s="18">
        <f t="shared" si="1"/>
        <v>-3032</v>
      </c>
      <c r="I17" s="18">
        <v>21106.9</v>
      </c>
      <c r="J17" s="18">
        <v>15799.04</v>
      </c>
      <c r="K17" s="18">
        <f t="shared" si="2"/>
        <v>-5307.86</v>
      </c>
      <c r="L17" s="18">
        <f t="shared" si="3"/>
        <v>24138.9</v>
      </c>
      <c r="M17" s="18">
        <f t="shared" si="4"/>
        <v>15799.04</v>
      </c>
      <c r="N17" s="18">
        <f t="shared" si="5"/>
        <v>-8339.86</v>
      </c>
    </row>
    <row r="18" spans="1:14">
      <c r="A18" s="7" t="s">
        <v>36</v>
      </c>
      <c r="B18" s="8" t="s">
        <v>37</v>
      </c>
      <c r="C18" s="18">
        <v>16232</v>
      </c>
      <c r="D18" s="18">
        <v>0</v>
      </c>
      <c r="E18" s="18">
        <f t="shared" si="0"/>
        <v>-16232</v>
      </c>
      <c r="F18" s="18">
        <v>2000</v>
      </c>
      <c r="G18" s="18">
        <v>0</v>
      </c>
      <c r="H18" s="18">
        <f t="shared" si="1"/>
        <v>-2000</v>
      </c>
      <c r="I18" s="18">
        <v>92977.85</v>
      </c>
      <c r="J18" s="18">
        <v>41257</v>
      </c>
      <c r="K18" s="18">
        <f t="shared" si="2"/>
        <v>-51720.85</v>
      </c>
      <c r="L18" s="18">
        <f t="shared" si="3"/>
        <v>111209.85</v>
      </c>
      <c r="M18" s="18">
        <f t="shared" si="4"/>
        <v>41257</v>
      </c>
      <c r="N18" s="18">
        <f t="shared" si="5"/>
        <v>-69952.85</v>
      </c>
    </row>
    <row r="19" spans="1:14">
      <c r="A19" s="7" t="s">
        <v>38</v>
      </c>
      <c r="B19" s="8" t="s">
        <v>39</v>
      </c>
      <c r="C19" s="18">
        <v>16180</v>
      </c>
      <c r="D19" s="18">
        <v>0</v>
      </c>
      <c r="E19" s="18">
        <f t="shared" si="0"/>
        <v>-16180</v>
      </c>
      <c r="F19" s="18">
        <v>0</v>
      </c>
      <c r="G19" s="18">
        <v>0</v>
      </c>
      <c r="H19" s="18">
        <f t="shared" si="1"/>
        <v>0</v>
      </c>
      <c r="I19" s="18">
        <v>47196</v>
      </c>
      <c r="J19" s="18">
        <v>19578.18</v>
      </c>
      <c r="K19" s="18">
        <f t="shared" si="2"/>
        <v>-27617.82</v>
      </c>
      <c r="L19" s="18">
        <f t="shared" si="3"/>
        <v>63376</v>
      </c>
      <c r="M19" s="18">
        <f t="shared" si="4"/>
        <v>19578.18</v>
      </c>
      <c r="N19" s="18">
        <f t="shared" si="5"/>
        <v>-43797.82</v>
      </c>
    </row>
    <row r="20" spans="1:14">
      <c r="A20" s="7" t="s">
        <v>40</v>
      </c>
      <c r="B20" s="8" t="s">
        <v>41</v>
      </c>
      <c r="C20" s="18">
        <v>0</v>
      </c>
      <c r="D20" s="18">
        <v>0</v>
      </c>
      <c r="E20" s="18">
        <f t="shared" si="0"/>
        <v>0</v>
      </c>
      <c r="F20" s="18">
        <v>0</v>
      </c>
      <c r="G20" s="18">
        <v>0</v>
      </c>
      <c r="H20" s="18">
        <f t="shared" si="1"/>
        <v>0</v>
      </c>
      <c r="I20" s="18">
        <v>0</v>
      </c>
      <c r="J20" s="18">
        <v>0</v>
      </c>
      <c r="K20" s="18">
        <f t="shared" si="2"/>
        <v>0</v>
      </c>
      <c r="L20" s="18">
        <f t="shared" si="3"/>
        <v>0</v>
      </c>
      <c r="M20" s="18">
        <f t="shared" si="4"/>
        <v>0</v>
      </c>
      <c r="N20" s="18">
        <f t="shared" si="5"/>
        <v>0</v>
      </c>
    </row>
    <row r="21" spans="1:14">
      <c r="A21" s="7" t="s">
        <v>42</v>
      </c>
      <c r="B21" s="8" t="s">
        <v>43</v>
      </c>
      <c r="C21" s="18">
        <v>0</v>
      </c>
      <c r="D21" s="18">
        <v>0</v>
      </c>
      <c r="E21" s="18">
        <f t="shared" si="0"/>
        <v>0</v>
      </c>
      <c r="F21" s="18">
        <v>0</v>
      </c>
      <c r="G21" s="18">
        <v>0</v>
      </c>
      <c r="H21" s="18">
        <f t="shared" si="1"/>
        <v>0</v>
      </c>
      <c r="I21" s="18">
        <v>0</v>
      </c>
      <c r="J21" s="18">
        <v>0</v>
      </c>
      <c r="K21" s="18">
        <f t="shared" si="2"/>
        <v>0</v>
      </c>
      <c r="L21" s="18">
        <f t="shared" si="3"/>
        <v>0</v>
      </c>
      <c r="M21" s="18">
        <f t="shared" si="4"/>
        <v>0</v>
      </c>
      <c r="N21" s="18">
        <f t="shared" si="5"/>
        <v>0</v>
      </c>
    </row>
    <row r="22" spans="1:14">
      <c r="A22" s="7" t="s">
        <v>44</v>
      </c>
      <c r="B22" s="8" t="s">
        <v>45</v>
      </c>
      <c r="C22" s="18">
        <v>0</v>
      </c>
      <c r="D22" s="18">
        <v>0</v>
      </c>
      <c r="E22" s="18">
        <f t="shared" si="0"/>
        <v>0</v>
      </c>
      <c r="F22" s="18">
        <v>0</v>
      </c>
      <c r="G22" s="18">
        <v>480</v>
      </c>
      <c r="H22" s="18">
        <f t="shared" si="1"/>
        <v>480</v>
      </c>
      <c r="I22" s="18">
        <v>0</v>
      </c>
      <c r="J22" s="18">
        <v>0</v>
      </c>
      <c r="K22" s="18">
        <f t="shared" si="2"/>
        <v>0</v>
      </c>
      <c r="L22" s="18">
        <f t="shared" si="3"/>
        <v>0</v>
      </c>
      <c r="M22" s="18">
        <f t="shared" si="4"/>
        <v>480</v>
      </c>
      <c r="N22" s="18">
        <f t="shared" si="5"/>
        <v>480</v>
      </c>
    </row>
    <row r="23" spans="1:14">
      <c r="A23" s="7" t="s">
        <v>46</v>
      </c>
      <c r="B23" s="8" t="s">
        <v>47</v>
      </c>
      <c r="C23" s="18">
        <v>0</v>
      </c>
      <c r="D23" s="18">
        <v>0</v>
      </c>
      <c r="E23" s="18">
        <f t="shared" si="0"/>
        <v>0</v>
      </c>
      <c r="F23" s="18">
        <v>95698</v>
      </c>
      <c r="G23" s="18">
        <v>37216</v>
      </c>
      <c r="H23" s="18">
        <f t="shared" si="1"/>
        <v>-58482</v>
      </c>
      <c r="I23" s="18">
        <v>3940721.13</v>
      </c>
      <c r="J23" s="18">
        <v>1918948.59</v>
      </c>
      <c r="K23" s="18">
        <f t="shared" si="2"/>
        <v>-2021772.54</v>
      </c>
      <c r="L23" s="18">
        <f t="shared" si="3"/>
        <v>4036419.13</v>
      </c>
      <c r="M23" s="18">
        <f t="shared" si="4"/>
        <v>1956164.59</v>
      </c>
      <c r="N23" s="18">
        <f t="shared" si="5"/>
        <v>-2080254.54</v>
      </c>
    </row>
    <row r="24" spans="1:14">
      <c r="A24" s="7" t="s">
        <v>48</v>
      </c>
      <c r="B24" s="8" t="s">
        <v>49</v>
      </c>
      <c r="C24" s="18">
        <v>0</v>
      </c>
      <c r="D24" s="18">
        <v>0</v>
      </c>
      <c r="E24" s="18">
        <f t="shared" si="0"/>
        <v>0</v>
      </c>
      <c r="F24" s="18">
        <v>0</v>
      </c>
      <c r="G24" s="18">
        <v>0</v>
      </c>
      <c r="H24" s="18">
        <f t="shared" si="1"/>
        <v>0</v>
      </c>
      <c r="I24" s="18">
        <v>39683.78</v>
      </c>
      <c r="J24" s="18">
        <v>22762.6</v>
      </c>
      <c r="K24" s="18">
        <f t="shared" si="2"/>
        <v>-16921.18</v>
      </c>
      <c r="L24" s="18">
        <f t="shared" si="3"/>
        <v>39683.78</v>
      </c>
      <c r="M24" s="18">
        <f t="shared" si="4"/>
        <v>22762.6</v>
      </c>
      <c r="N24" s="18">
        <f t="shared" si="5"/>
        <v>-16921.18</v>
      </c>
    </row>
    <row r="25" spans="1:14">
      <c r="A25" s="7" t="s">
        <v>50</v>
      </c>
      <c r="B25" s="8" t="s">
        <v>51</v>
      </c>
      <c r="C25" s="18">
        <v>0</v>
      </c>
      <c r="D25" s="18">
        <v>0</v>
      </c>
      <c r="E25" s="18">
        <f t="shared" si="0"/>
        <v>0</v>
      </c>
      <c r="F25" s="18">
        <v>0</v>
      </c>
      <c r="G25" s="18">
        <v>0</v>
      </c>
      <c r="H25" s="18">
        <f t="shared" si="1"/>
        <v>0</v>
      </c>
      <c r="I25" s="18">
        <v>260</v>
      </c>
      <c r="J25" s="18">
        <v>2548</v>
      </c>
      <c r="K25" s="18">
        <f t="shared" si="2"/>
        <v>2288</v>
      </c>
      <c r="L25" s="18">
        <f t="shared" si="3"/>
        <v>260</v>
      </c>
      <c r="M25" s="18">
        <f t="shared" si="4"/>
        <v>2548</v>
      </c>
      <c r="N25" s="18">
        <f t="shared" si="5"/>
        <v>2288</v>
      </c>
    </row>
    <row r="26" spans="1:14">
      <c r="A26" s="7" t="s">
        <v>52</v>
      </c>
      <c r="B26" s="8" t="s">
        <v>53</v>
      </c>
      <c r="C26" s="18">
        <v>0</v>
      </c>
      <c r="D26" s="18">
        <v>12514</v>
      </c>
      <c r="E26" s="18">
        <f t="shared" si="0"/>
        <v>12514</v>
      </c>
      <c r="F26" s="18">
        <v>7733</v>
      </c>
      <c r="G26" s="18">
        <v>5909</v>
      </c>
      <c r="H26" s="18">
        <f t="shared" si="1"/>
        <v>-1824</v>
      </c>
      <c r="I26" s="18">
        <v>31495.4</v>
      </c>
      <c r="J26" s="18">
        <v>14010.5</v>
      </c>
      <c r="K26" s="18">
        <f t="shared" si="2"/>
        <v>-17484.9</v>
      </c>
      <c r="L26" s="18">
        <f t="shared" si="3"/>
        <v>39228.4</v>
      </c>
      <c r="M26" s="18">
        <f t="shared" si="4"/>
        <v>32433.5</v>
      </c>
      <c r="N26" s="18">
        <f t="shared" si="5"/>
        <v>-6794.9</v>
      </c>
    </row>
    <row r="27" spans="1:14">
      <c r="A27" s="7" t="s">
        <v>54</v>
      </c>
      <c r="B27" s="8" t="s">
        <v>55</v>
      </c>
      <c r="C27" s="18">
        <v>0</v>
      </c>
      <c r="D27" s="18">
        <v>0</v>
      </c>
      <c r="E27" s="18">
        <f t="shared" si="0"/>
        <v>0</v>
      </c>
      <c r="F27" s="18">
        <v>0</v>
      </c>
      <c r="G27" s="18">
        <v>0</v>
      </c>
      <c r="H27" s="18">
        <f t="shared" si="1"/>
        <v>0</v>
      </c>
      <c r="I27" s="18">
        <v>0</v>
      </c>
      <c r="J27" s="18">
        <v>5969.9</v>
      </c>
      <c r="K27" s="18">
        <f t="shared" si="2"/>
        <v>5969.9</v>
      </c>
      <c r="L27" s="18">
        <f t="shared" si="3"/>
        <v>0</v>
      </c>
      <c r="M27" s="18">
        <f t="shared" si="4"/>
        <v>5969.9</v>
      </c>
      <c r="N27" s="18">
        <f t="shared" si="5"/>
        <v>5969.9</v>
      </c>
    </row>
    <row r="28" spans="1:14">
      <c r="A28" s="7" t="s">
        <v>56</v>
      </c>
      <c r="B28" s="8" t="s">
        <v>57</v>
      </c>
      <c r="C28" s="18">
        <v>0</v>
      </c>
      <c r="D28" s="18">
        <v>0</v>
      </c>
      <c r="E28" s="18">
        <f t="shared" si="0"/>
        <v>0</v>
      </c>
      <c r="F28" s="18">
        <v>5611.5</v>
      </c>
      <c r="G28" s="18">
        <v>7440</v>
      </c>
      <c r="H28" s="18">
        <f t="shared" si="1"/>
        <v>1828.5</v>
      </c>
      <c r="I28" s="18">
        <v>31199.87</v>
      </c>
      <c r="J28" s="18">
        <v>6466.3</v>
      </c>
      <c r="K28" s="18">
        <f t="shared" si="2"/>
        <v>-24733.57</v>
      </c>
      <c r="L28" s="18">
        <f t="shared" si="3"/>
        <v>36811.37</v>
      </c>
      <c r="M28" s="18">
        <f t="shared" si="4"/>
        <v>13906.3</v>
      </c>
      <c r="N28" s="18">
        <f t="shared" si="5"/>
        <v>-22905.07</v>
      </c>
    </row>
    <row r="29" spans="1:14">
      <c r="A29" s="7" t="s">
        <v>58</v>
      </c>
      <c r="B29" s="8" t="s">
        <v>59</v>
      </c>
      <c r="C29" s="18">
        <v>0</v>
      </c>
      <c r="D29" s="18">
        <v>0</v>
      </c>
      <c r="E29" s="18">
        <f t="shared" si="0"/>
        <v>0</v>
      </c>
      <c r="F29" s="18">
        <v>11848</v>
      </c>
      <c r="G29" s="18">
        <v>4710</v>
      </c>
      <c r="H29" s="18">
        <f t="shared" si="1"/>
        <v>-7138</v>
      </c>
      <c r="I29" s="18">
        <v>289531.65</v>
      </c>
      <c r="J29" s="18">
        <v>263917.89</v>
      </c>
      <c r="K29" s="18">
        <f t="shared" si="2"/>
        <v>-25613.76</v>
      </c>
      <c r="L29" s="18">
        <f t="shared" si="3"/>
        <v>301379.65</v>
      </c>
      <c r="M29" s="18">
        <f t="shared" si="4"/>
        <v>268627.89</v>
      </c>
      <c r="N29" s="18">
        <f t="shared" si="5"/>
        <v>-32751.76</v>
      </c>
    </row>
    <row r="30" ht="24" spans="1:14">
      <c r="A30" s="7" t="s">
        <v>60</v>
      </c>
      <c r="B30" s="8" t="s">
        <v>61</v>
      </c>
      <c r="C30" s="18">
        <v>72240</v>
      </c>
      <c r="D30" s="18">
        <v>0</v>
      </c>
      <c r="E30" s="18">
        <f t="shared" si="0"/>
        <v>-72240</v>
      </c>
      <c r="F30" s="18">
        <v>7702</v>
      </c>
      <c r="G30" s="18">
        <v>7229</v>
      </c>
      <c r="H30" s="18">
        <f t="shared" si="1"/>
        <v>-473</v>
      </c>
      <c r="I30" s="18">
        <v>644530.58</v>
      </c>
      <c r="J30" s="18">
        <v>605086.4</v>
      </c>
      <c r="K30" s="18">
        <f t="shared" si="2"/>
        <v>-39444.1799999999</v>
      </c>
      <c r="L30" s="18">
        <f t="shared" si="3"/>
        <v>724472.58</v>
      </c>
      <c r="M30" s="18">
        <f t="shared" si="4"/>
        <v>612315.4</v>
      </c>
      <c r="N30" s="18">
        <f t="shared" si="5"/>
        <v>-112157.18</v>
      </c>
    </row>
    <row r="31" spans="1:14">
      <c r="A31" s="7" t="s">
        <v>62</v>
      </c>
      <c r="B31" s="8" t="s">
        <v>63</v>
      </c>
      <c r="C31" s="18">
        <v>0</v>
      </c>
      <c r="D31" s="18">
        <v>0</v>
      </c>
      <c r="E31" s="18">
        <f t="shared" si="0"/>
        <v>0</v>
      </c>
      <c r="F31" s="18">
        <v>0</v>
      </c>
      <c r="G31" s="18">
        <v>0</v>
      </c>
      <c r="H31" s="18">
        <f t="shared" si="1"/>
        <v>0</v>
      </c>
      <c r="I31" s="18">
        <v>0</v>
      </c>
      <c r="J31" s="18">
        <v>0</v>
      </c>
      <c r="K31" s="18">
        <f t="shared" si="2"/>
        <v>0</v>
      </c>
      <c r="L31" s="18">
        <f t="shared" si="3"/>
        <v>0</v>
      </c>
      <c r="M31" s="18">
        <f t="shared" si="4"/>
        <v>0</v>
      </c>
      <c r="N31" s="18">
        <f t="shared" si="5"/>
        <v>0</v>
      </c>
    </row>
    <row r="32" ht="24" spans="1:14">
      <c r="A32" s="7" t="s">
        <v>64</v>
      </c>
      <c r="B32" s="8" t="s">
        <v>65</v>
      </c>
      <c r="C32" s="18">
        <v>0</v>
      </c>
      <c r="D32" s="18">
        <v>0</v>
      </c>
      <c r="E32" s="18">
        <f t="shared" si="0"/>
        <v>0</v>
      </c>
      <c r="F32" s="18">
        <v>1686</v>
      </c>
      <c r="G32" s="18">
        <v>0</v>
      </c>
      <c r="H32" s="18">
        <f t="shared" si="1"/>
        <v>-1686</v>
      </c>
      <c r="I32" s="18">
        <v>0</v>
      </c>
      <c r="J32" s="18">
        <v>0</v>
      </c>
      <c r="K32" s="18">
        <f t="shared" si="2"/>
        <v>0</v>
      </c>
      <c r="L32" s="18">
        <f t="shared" si="3"/>
        <v>1686</v>
      </c>
      <c r="M32" s="18">
        <f t="shared" si="4"/>
        <v>0</v>
      </c>
      <c r="N32" s="18">
        <f t="shared" si="5"/>
        <v>-1686</v>
      </c>
    </row>
    <row r="33" spans="1:14">
      <c r="A33" s="7" t="s">
        <v>66</v>
      </c>
      <c r="B33" s="8" t="s">
        <v>67</v>
      </c>
      <c r="C33" s="18">
        <v>0</v>
      </c>
      <c r="D33" s="18">
        <v>0</v>
      </c>
      <c r="E33" s="18">
        <f t="shared" si="0"/>
        <v>0</v>
      </c>
      <c r="F33" s="18">
        <v>0</v>
      </c>
      <c r="G33" s="18">
        <v>0</v>
      </c>
      <c r="H33" s="18">
        <f t="shared" si="1"/>
        <v>0</v>
      </c>
      <c r="I33" s="18">
        <v>0</v>
      </c>
      <c r="J33" s="18">
        <v>0</v>
      </c>
      <c r="K33" s="18">
        <f t="shared" si="2"/>
        <v>0</v>
      </c>
      <c r="L33" s="18">
        <f t="shared" si="3"/>
        <v>0</v>
      </c>
      <c r="M33" s="18">
        <f t="shared" si="4"/>
        <v>0</v>
      </c>
      <c r="N33" s="18">
        <f t="shared" si="5"/>
        <v>0</v>
      </c>
    </row>
    <row r="34" spans="1:14">
      <c r="A34" s="7" t="s">
        <v>68</v>
      </c>
      <c r="B34" s="8" t="s">
        <v>69</v>
      </c>
      <c r="C34" s="18">
        <v>0</v>
      </c>
      <c r="D34" s="18">
        <v>0</v>
      </c>
      <c r="E34" s="18">
        <f t="shared" si="0"/>
        <v>0</v>
      </c>
      <c r="F34" s="18">
        <v>0</v>
      </c>
      <c r="G34" s="18">
        <v>0</v>
      </c>
      <c r="H34" s="18">
        <f t="shared" si="1"/>
        <v>0</v>
      </c>
      <c r="I34" s="18">
        <v>0</v>
      </c>
      <c r="J34" s="18">
        <v>0</v>
      </c>
      <c r="K34" s="18">
        <f t="shared" si="2"/>
        <v>0</v>
      </c>
      <c r="L34" s="18">
        <f t="shared" si="3"/>
        <v>0</v>
      </c>
      <c r="M34" s="18">
        <f t="shared" si="4"/>
        <v>0</v>
      </c>
      <c r="N34" s="18">
        <f t="shared" si="5"/>
        <v>0</v>
      </c>
    </row>
    <row r="35" spans="1:14">
      <c r="A35" s="7" t="s">
        <v>70</v>
      </c>
      <c r="B35" s="8" t="s">
        <v>71</v>
      </c>
      <c r="C35" s="18">
        <v>0</v>
      </c>
      <c r="D35" s="18">
        <v>0</v>
      </c>
      <c r="E35" s="18">
        <f t="shared" si="0"/>
        <v>0</v>
      </c>
      <c r="F35" s="18">
        <v>1651</v>
      </c>
      <c r="G35" s="18">
        <v>4050</v>
      </c>
      <c r="H35" s="18">
        <f t="shared" si="1"/>
        <v>2399</v>
      </c>
      <c r="I35" s="18">
        <v>0</v>
      </c>
      <c r="J35" s="18">
        <v>0</v>
      </c>
      <c r="K35" s="18">
        <f t="shared" si="2"/>
        <v>0</v>
      </c>
      <c r="L35" s="18">
        <f t="shared" si="3"/>
        <v>1651</v>
      </c>
      <c r="M35" s="18">
        <f t="shared" si="4"/>
        <v>4050</v>
      </c>
      <c r="N35" s="18">
        <f t="shared" si="5"/>
        <v>2399</v>
      </c>
    </row>
    <row r="36" spans="1:14">
      <c r="A36" s="7" t="s">
        <v>72</v>
      </c>
      <c r="B36" s="8" t="s">
        <v>73</v>
      </c>
      <c r="C36" s="18">
        <v>0</v>
      </c>
      <c r="D36" s="18">
        <v>0</v>
      </c>
      <c r="E36" s="18">
        <f t="shared" si="0"/>
        <v>0</v>
      </c>
      <c r="F36" s="18">
        <v>0</v>
      </c>
      <c r="G36" s="18">
        <v>1653</v>
      </c>
      <c r="H36" s="18">
        <f t="shared" si="1"/>
        <v>1653</v>
      </c>
      <c r="I36" s="18">
        <v>0</v>
      </c>
      <c r="J36" s="18">
        <v>260</v>
      </c>
      <c r="K36" s="18">
        <f t="shared" si="2"/>
        <v>260</v>
      </c>
      <c r="L36" s="18">
        <f t="shared" si="3"/>
        <v>0</v>
      </c>
      <c r="M36" s="18">
        <f t="shared" si="4"/>
        <v>1913</v>
      </c>
      <c r="N36" s="18">
        <f t="shared" si="5"/>
        <v>1913</v>
      </c>
    </row>
    <row r="37" spans="1:14">
      <c r="A37" s="7" t="s">
        <v>74</v>
      </c>
      <c r="B37" s="8" t="s">
        <v>75</v>
      </c>
      <c r="C37" s="18">
        <v>0</v>
      </c>
      <c r="D37" s="18">
        <v>0</v>
      </c>
      <c r="E37" s="18">
        <f t="shared" si="0"/>
        <v>0</v>
      </c>
      <c r="F37" s="18">
        <v>780</v>
      </c>
      <c r="G37" s="18">
        <v>0</v>
      </c>
      <c r="H37" s="18">
        <f t="shared" si="1"/>
        <v>-780</v>
      </c>
      <c r="I37" s="18">
        <v>7418.17</v>
      </c>
      <c r="J37" s="18">
        <v>0</v>
      </c>
      <c r="K37" s="18">
        <f t="shared" si="2"/>
        <v>-7418.17</v>
      </c>
      <c r="L37" s="18">
        <f t="shared" si="3"/>
        <v>8198.17</v>
      </c>
      <c r="M37" s="18">
        <f t="shared" si="4"/>
        <v>0</v>
      </c>
      <c r="N37" s="18">
        <f t="shared" si="5"/>
        <v>-8198.17</v>
      </c>
    </row>
    <row r="38" ht="24" spans="1:14">
      <c r="A38" s="7" t="s">
        <v>76</v>
      </c>
      <c r="B38" s="8" t="s">
        <v>77</v>
      </c>
      <c r="C38" s="18">
        <v>0</v>
      </c>
      <c r="D38" s="18">
        <v>0</v>
      </c>
      <c r="E38" s="18">
        <f t="shared" si="0"/>
        <v>0</v>
      </c>
      <c r="F38" s="18">
        <v>0</v>
      </c>
      <c r="G38" s="18">
        <v>0</v>
      </c>
      <c r="H38" s="18">
        <f t="shared" si="1"/>
        <v>0</v>
      </c>
      <c r="I38" s="18">
        <v>0</v>
      </c>
      <c r="J38" s="18">
        <v>0</v>
      </c>
      <c r="K38" s="18">
        <f t="shared" si="2"/>
        <v>0</v>
      </c>
      <c r="L38" s="18">
        <f t="shared" si="3"/>
        <v>0</v>
      </c>
      <c r="M38" s="18">
        <f t="shared" si="4"/>
        <v>0</v>
      </c>
      <c r="N38" s="18">
        <f t="shared" si="5"/>
        <v>0</v>
      </c>
    </row>
    <row r="39" spans="1:14">
      <c r="A39" s="7" t="s">
        <v>78</v>
      </c>
      <c r="B39" s="8" t="s">
        <v>79</v>
      </c>
      <c r="C39" s="18">
        <v>0</v>
      </c>
      <c r="D39" s="18">
        <v>0</v>
      </c>
      <c r="E39" s="18">
        <f t="shared" si="0"/>
        <v>0</v>
      </c>
      <c r="F39" s="18">
        <v>0</v>
      </c>
      <c r="G39" s="18">
        <v>0</v>
      </c>
      <c r="H39" s="18">
        <f t="shared" si="1"/>
        <v>0</v>
      </c>
      <c r="I39" s="18">
        <v>0</v>
      </c>
      <c r="J39" s="18">
        <v>0</v>
      </c>
      <c r="K39" s="18">
        <f t="shared" si="2"/>
        <v>0</v>
      </c>
      <c r="L39" s="18">
        <f t="shared" si="3"/>
        <v>0</v>
      </c>
      <c r="M39" s="18">
        <f t="shared" si="4"/>
        <v>0</v>
      </c>
      <c r="N39" s="18">
        <f t="shared" si="5"/>
        <v>0</v>
      </c>
    </row>
    <row r="40" spans="1:14">
      <c r="A40" s="7" t="s">
        <v>80</v>
      </c>
      <c r="B40" s="8" t="s">
        <v>81</v>
      </c>
      <c r="C40" s="18">
        <v>0</v>
      </c>
      <c r="D40" s="18">
        <v>0</v>
      </c>
      <c r="E40" s="18">
        <f t="shared" si="0"/>
        <v>0</v>
      </c>
      <c r="F40" s="18">
        <v>2438</v>
      </c>
      <c r="G40" s="18">
        <v>0</v>
      </c>
      <c r="H40" s="18">
        <f t="shared" si="1"/>
        <v>-2438</v>
      </c>
      <c r="I40" s="18">
        <v>0</v>
      </c>
      <c r="J40" s="18">
        <v>0</v>
      </c>
      <c r="K40" s="18">
        <f t="shared" si="2"/>
        <v>0</v>
      </c>
      <c r="L40" s="18">
        <f t="shared" si="3"/>
        <v>2438</v>
      </c>
      <c r="M40" s="18">
        <f t="shared" si="4"/>
        <v>0</v>
      </c>
      <c r="N40" s="18">
        <f t="shared" si="5"/>
        <v>-2438</v>
      </c>
    </row>
    <row r="41" spans="1:14">
      <c r="A41" s="7" t="s">
        <v>82</v>
      </c>
      <c r="B41" s="8" t="s">
        <v>83</v>
      </c>
      <c r="C41" s="18">
        <v>0</v>
      </c>
      <c r="D41" s="18">
        <v>0</v>
      </c>
      <c r="E41" s="18">
        <f t="shared" si="0"/>
        <v>0</v>
      </c>
      <c r="F41" s="18">
        <v>32634</v>
      </c>
      <c r="G41" s="18">
        <v>16832</v>
      </c>
      <c r="H41" s="18">
        <f t="shared" si="1"/>
        <v>-15802</v>
      </c>
      <c r="I41" s="18">
        <v>86172.91</v>
      </c>
      <c r="J41" s="18">
        <v>719694.27</v>
      </c>
      <c r="K41" s="18">
        <f t="shared" si="2"/>
        <v>633521.36</v>
      </c>
      <c r="L41" s="18">
        <f t="shared" si="3"/>
        <v>118806.91</v>
      </c>
      <c r="M41" s="18">
        <f t="shared" si="4"/>
        <v>736526.27</v>
      </c>
      <c r="N41" s="18">
        <f t="shared" si="5"/>
        <v>617719.36</v>
      </c>
    </row>
    <row r="42" spans="1:14">
      <c r="A42" s="7" t="s">
        <v>84</v>
      </c>
      <c r="B42" s="8" t="s">
        <v>85</v>
      </c>
      <c r="C42" s="18">
        <v>0</v>
      </c>
      <c r="D42" s="18">
        <v>0</v>
      </c>
      <c r="E42" s="18">
        <f t="shared" si="0"/>
        <v>0</v>
      </c>
      <c r="F42" s="18">
        <v>5388</v>
      </c>
      <c r="G42" s="18">
        <v>2060</v>
      </c>
      <c r="H42" s="18">
        <f t="shared" si="1"/>
        <v>-3328</v>
      </c>
      <c r="I42" s="18">
        <v>0</v>
      </c>
      <c r="J42" s="18">
        <v>0</v>
      </c>
      <c r="K42" s="18">
        <f t="shared" si="2"/>
        <v>0</v>
      </c>
      <c r="L42" s="18">
        <f t="shared" si="3"/>
        <v>5388</v>
      </c>
      <c r="M42" s="18">
        <f t="shared" si="4"/>
        <v>2060</v>
      </c>
      <c r="N42" s="18">
        <f t="shared" si="5"/>
        <v>-3328</v>
      </c>
    </row>
    <row r="43" spans="1:14">
      <c r="A43" s="7" t="s">
        <v>86</v>
      </c>
      <c r="B43" s="8" t="s">
        <v>87</v>
      </c>
      <c r="C43" s="18">
        <v>0</v>
      </c>
      <c r="D43" s="18">
        <v>0</v>
      </c>
      <c r="E43" s="18">
        <f t="shared" si="0"/>
        <v>0</v>
      </c>
      <c r="F43" s="18">
        <v>6660</v>
      </c>
      <c r="G43" s="18">
        <v>0</v>
      </c>
      <c r="H43" s="18">
        <f t="shared" si="1"/>
        <v>-6660</v>
      </c>
      <c r="I43" s="18">
        <v>4419.9</v>
      </c>
      <c r="J43" s="18">
        <v>1564.3</v>
      </c>
      <c r="K43" s="18">
        <f t="shared" si="2"/>
        <v>-2855.6</v>
      </c>
      <c r="L43" s="18">
        <f t="shared" si="3"/>
        <v>11079.9</v>
      </c>
      <c r="M43" s="18">
        <f t="shared" si="4"/>
        <v>1564.3</v>
      </c>
      <c r="N43" s="18">
        <f t="shared" si="5"/>
        <v>-9515.6</v>
      </c>
    </row>
    <row r="44" ht="24" spans="1:14">
      <c r="A44" s="7" t="s">
        <v>88</v>
      </c>
      <c r="B44" s="8" t="s">
        <v>89</v>
      </c>
      <c r="C44" s="18">
        <v>0</v>
      </c>
      <c r="D44" s="18">
        <v>0</v>
      </c>
      <c r="E44" s="18">
        <f t="shared" si="0"/>
        <v>0</v>
      </c>
      <c r="F44" s="18">
        <v>0</v>
      </c>
      <c r="G44" s="18">
        <v>0</v>
      </c>
      <c r="H44" s="18">
        <f t="shared" si="1"/>
        <v>0</v>
      </c>
      <c r="I44" s="18">
        <v>9839.8</v>
      </c>
      <c r="J44" s="18">
        <v>4630.25</v>
      </c>
      <c r="K44" s="18">
        <f t="shared" si="2"/>
        <v>-5209.55</v>
      </c>
      <c r="L44" s="18">
        <f t="shared" si="3"/>
        <v>9839.8</v>
      </c>
      <c r="M44" s="18">
        <f t="shared" si="4"/>
        <v>4630.25</v>
      </c>
      <c r="N44" s="18">
        <f t="shared" si="5"/>
        <v>-5209.55</v>
      </c>
    </row>
    <row r="45" spans="1:14">
      <c r="A45" s="7" t="s">
        <v>90</v>
      </c>
      <c r="B45" s="8" t="s">
        <v>91</v>
      </c>
      <c r="C45" s="18">
        <v>0</v>
      </c>
      <c r="D45" s="18">
        <v>0</v>
      </c>
      <c r="E45" s="18">
        <f t="shared" si="0"/>
        <v>0</v>
      </c>
      <c r="F45" s="18">
        <v>4200</v>
      </c>
      <c r="G45" s="18">
        <v>1500</v>
      </c>
      <c r="H45" s="18">
        <f t="shared" si="1"/>
        <v>-2700</v>
      </c>
      <c r="I45" s="18">
        <v>9378.1</v>
      </c>
      <c r="J45" s="18">
        <v>5535.5</v>
      </c>
      <c r="K45" s="18">
        <f t="shared" si="2"/>
        <v>-3842.6</v>
      </c>
      <c r="L45" s="18">
        <f t="shared" si="3"/>
        <v>13578.1</v>
      </c>
      <c r="M45" s="18">
        <f t="shared" si="4"/>
        <v>7035.5</v>
      </c>
      <c r="N45" s="18">
        <f t="shared" si="5"/>
        <v>-6542.6</v>
      </c>
    </row>
    <row r="46" spans="1:14">
      <c r="A46" s="7" t="s">
        <v>92</v>
      </c>
      <c r="B46" s="8" t="s">
        <v>93</v>
      </c>
      <c r="C46" s="18">
        <v>0</v>
      </c>
      <c r="D46" s="18">
        <v>0</v>
      </c>
      <c r="E46" s="18">
        <f t="shared" si="0"/>
        <v>0</v>
      </c>
      <c r="F46" s="18">
        <v>0</v>
      </c>
      <c r="G46" s="18">
        <v>0</v>
      </c>
      <c r="H46" s="18">
        <f t="shared" si="1"/>
        <v>0</v>
      </c>
      <c r="I46" s="18">
        <v>9532.6</v>
      </c>
      <c r="J46" s="18">
        <v>7248.75</v>
      </c>
      <c r="K46" s="18">
        <f t="shared" si="2"/>
        <v>-2283.85</v>
      </c>
      <c r="L46" s="18">
        <f t="shared" si="3"/>
        <v>9532.6</v>
      </c>
      <c r="M46" s="18">
        <f t="shared" si="4"/>
        <v>7248.75</v>
      </c>
      <c r="N46" s="18">
        <f t="shared" si="5"/>
        <v>-2283.85</v>
      </c>
    </row>
    <row r="47" spans="1:14">
      <c r="A47" s="7" t="s">
        <v>94</v>
      </c>
      <c r="B47" s="8" t="s">
        <v>95</v>
      </c>
      <c r="C47" s="18">
        <v>0</v>
      </c>
      <c r="D47" s="18">
        <v>0</v>
      </c>
      <c r="E47" s="18">
        <f t="shared" si="0"/>
        <v>0</v>
      </c>
      <c r="F47" s="18">
        <v>3398</v>
      </c>
      <c r="G47" s="18">
        <v>833</v>
      </c>
      <c r="H47" s="18">
        <f t="shared" si="1"/>
        <v>-2565</v>
      </c>
      <c r="I47" s="18">
        <v>5061.6</v>
      </c>
      <c r="J47" s="18">
        <v>4517</v>
      </c>
      <c r="K47" s="18">
        <f t="shared" si="2"/>
        <v>-544.6</v>
      </c>
      <c r="L47" s="18">
        <f t="shared" si="3"/>
        <v>8459.6</v>
      </c>
      <c r="M47" s="18">
        <f t="shared" si="4"/>
        <v>5350</v>
      </c>
      <c r="N47" s="18">
        <f t="shared" si="5"/>
        <v>-3109.6</v>
      </c>
    </row>
    <row r="48" spans="1:14">
      <c r="A48" s="7" t="s">
        <v>96</v>
      </c>
      <c r="B48" s="8" t="s">
        <v>97</v>
      </c>
      <c r="C48" s="18">
        <v>9990.3</v>
      </c>
      <c r="D48" s="18">
        <v>0</v>
      </c>
      <c r="E48" s="18">
        <f t="shared" si="0"/>
        <v>-9990.3</v>
      </c>
      <c r="F48" s="18">
        <v>5431</v>
      </c>
      <c r="G48" s="18">
        <v>0</v>
      </c>
      <c r="H48" s="18">
        <f t="shared" si="1"/>
        <v>-5431</v>
      </c>
      <c r="I48" s="18">
        <v>8372.9</v>
      </c>
      <c r="J48" s="18">
        <v>776</v>
      </c>
      <c r="K48" s="18">
        <f t="shared" si="2"/>
        <v>-7596.9</v>
      </c>
      <c r="L48" s="18">
        <f t="shared" si="3"/>
        <v>23794.2</v>
      </c>
      <c r="M48" s="18">
        <f t="shared" si="4"/>
        <v>776</v>
      </c>
      <c r="N48" s="18">
        <f t="shared" si="5"/>
        <v>-23018.2</v>
      </c>
    </row>
    <row r="49" spans="1:14">
      <c r="A49" s="7" t="s">
        <v>98</v>
      </c>
      <c r="B49" s="8" t="s">
        <v>99</v>
      </c>
      <c r="C49" s="18">
        <v>8896.2</v>
      </c>
      <c r="D49" s="18">
        <v>0</v>
      </c>
      <c r="E49" s="18">
        <f t="shared" si="0"/>
        <v>-8896.2</v>
      </c>
      <c r="F49" s="18">
        <v>1150</v>
      </c>
      <c r="G49" s="18">
        <v>780</v>
      </c>
      <c r="H49" s="18">
        <f t="shared" si="1"/>
        <v>-370</v>
      </c>
      <c r="I49" s="18">
        <v>0</v>
      </c>
      <c r="J49" s="18">
        <v>0</v>
      </c>
      <c r="K49" s="18">
        <f t="shared" si="2"/>
        <v>0</v>
      </c>
      <c r="L49" s="18">
        <f t="shared" si="3"/>
        <v>10046.2</v>
      </c>
      <c r="M49" s="18">
        <f t="shared" si="4"/>
        <v>780</v>
      </c>
      <c r="N49" s="18">
        <f t="shared" si="5"/>
        <v>-9266.2</v>
      </c>
    </row>
    <row r="50" spans="1:14">
      <c r="A50" s="7" t="s">
        <v>100</v>
      </c>
      <c r="B50" s="8" t="s">
        <v>101</v>
      </c>
      <c r="C50" s="18">
        <v>0</v>
      </c>
      <c r="D50" s="18">
        <v>0</v>
      </c>
      <c r="E50" s="18">
        <f t="shared" si="0"/>
        <v>0</v>
      </c>
      <c r="F50" s="18">
        <v>0</v>
      </c>
      <c r="G50" s="18">
        <v>0</v>
      </c>
      <c r="H50" s="18">
        <f t="shared" si="1"/>
        <v>0</v>
      </c>
      <c r="I50" s="18">
        <v>0</v>
      </c>
      <c r="J50" s="18">
        <v>0</v>
      </c>
      <c r="K50" s="18">
        <f t="shared" si="2"/>
        <v>0</v>
      </c>
      <c r="L50" s="18">
        <f t="shared" si="3"/>
        <v>0</v>
      </c>
      <c r="M50" s="18">
        <f t="shared" si="4"/>
        <v>0</v>
      </c>
      <c r="N50" s="18">
        <f t="shared" si="5"/>
        <v>0</v>
      </c>
    </row>
    <row r="51" spans="1:14">
      <c r="A51" s="7" t="s">
        <v>102</v>
      </c>
      <c r="B51" s="8" t="s">
        <v>103</v>
      </c>
      <c r="C51" s="18">
        <v>155696.8</v>
      </c>
      <c r="D51" s="18">
        <v>0</v>
      </c>
      <c r="E51" s="18">
        <f t="shared" si="0"/>
        <v>-155696.8</v>
      </c>
      <c r="F51" s="18">
        <v>48837</v>
      </c>
      <c r="G51" s="18">
        <v>17514</v>
      </c>
      <c r="H51" s="18">
        <f t="shared" si="1"/>
        <v>-31323</v>
      </c>
      <c r="I51" s="18">
        <v>20249.7</v>
      </c>
      <c r="J51" s="18">
        <v>14556.35</v>
      </c>
      <c r="K51" s="18">
        <f t="shared" si="2"/>
        <v>-5693.35</v>
      </c>
      <c r="L51" s="18">
        <f t="shared" si="3"/>
        <v>224783.5</v>
      </c>
      <c r="M51" s="18">
        <f t="shared" si="4"/>
        <v>32070.35</v>
      </c>
      <c r="N51" s="18">
        <f t="shared" si="5"/>
        <v>-192713.15</v>
      </c>
    </row>
    <row r="52" ht="24" spans="1:14">
      <c r="A52" s="7" t="s">
        <v>104</v>
      </c>
      <c r="B52" s="8" t="s">
        <v>105</v>
      </c>
      <c r="C52" s="18">
        <v>0</v>
      </c>
      <c r="D52" s="18">
        <v>0</v>
      </c>
      <c r="E52" s="18">
        <f t="shared" si="0"/>
        <v>0</v>
      </c>
      <c r="F52" s="18">
        <v>0</v>
      </c>
      <c r="G52" s="18">
        <v>0</v>
      </c>
      <c r="H52" s="18">
        <f t="shared" si="1"/>
        <v>0</v>
      </c>
      <c r="I52" s="18">
        <v>0</v>
      </c>
      <c r="J52" s="18">
        <v>0</v>
      </c>
      <c r="K52" s="18">
        <f t="shared" si="2"/>
        <v>0</v>
      </c>
      <c r="L52" s="18">
        <f t="shared" si="3"/>
        <v>0</v>
      </c>
      <c r="M52" s="18">
        <f t="shared" si="4"/>
        <v>0</v>
      </c>
      <c r="N52" s="18">
        <f t="shared" si="5"/>
        <v>0</v>
      </c>
    </row>
    <row r="53" spans="1:14">
      <c r="A53" s="7" t="s">
        <v>106</v>
      </c>
      <c r="B53" s="8" t="s">
        <v>107</v>
      </c>
      <c r="C53" s="18">
        <v>0</v>
      </c>
      <c r="D53" s="18">
        <v>0</v>
      </c>
      <c r="E53" s="18">
        <f t="shared" si="0"/>
        <v>0</v>
      </c>
      <c r="F53" s="18">
        <v>0</v>
      </c>
      <c r="G53" s="18">
        <v>0</v>
      </c>
      <c r="H53" s="18">
        <f t="shared" si="1"/>
        <v>0</v>
      </c>
      <c r="I53" s="18">
        <v>0</v>
      </c>
      <c r="J53" s="18">
        <v>0</v>
      </c>
      <c r="K53" s="18">
        <f t="shared" si="2"/>
        <v>0</v>
      </c>
      <c r="L53" s="18">
        <f t="shared" si="3"/>
        <v>0</v>
      </c>
      <c r="M53" s="18">
        <f t="shared" si="4"/>
        <v>0</v>
      </c>
      <c r="N53" s="18">
        <f t="shared" si="5"/>
        <v>0</v>
      </c>
    </row>
    <row r="54" spans="1:14">
      <c r="A54" s="7" t="s">
        <v>108</v>
      </c>
      <c r="B54" s="8" t="s">
        <v>109</v>
      </c>
      <c r="C54" s="18">
        <v>0</v>
      </c>
      <c r="D54" s="18">
        <v>0</v>
      </c>
      <c r="E54" s="18">
        <f t="shared" si="0"/>
        <v>0</v>
      </c>
      <c r="F54" s="18">
        <v>2006</v>
      </c>
      <c r="G54" s="18">
        <v>1440</v>
      </c>
      <c r="H54" s="18">
        <f t="shared" si="1"/>
        <v>-566</v>
      </c>
      <c r="I54" s="18">
        <v>0</v>
      </c>
      <c r="J54" s="18">
        <v>0</v>
      </c>
      <c r="K54" s="18">
        <f t="shared" si="2"/>
        <v>0</v>
      </c>
      <c r="L54" s="18">
        <f t="shared" si="3"/>
        <v>2006</v>
      </c>
      <c r="M54" s="18">
        <f t="shared" si="4"/>
        <v>1440</v>
      </c>
      <c r="N54" s="18">
        <f t="shared" si="5"/>
        <v>-566</v>
      </c>
    </row>
    <row r="55" spans="1:14">
      <c r="A55" s="7" t="s">
        <v>110</v>
      </c>
      <c r="B55" s="8" t="s">
        <v>111</v>
      </c>
      <c r="C55" s="18">
        <v>85487.32</v>
      </c>
      <c r="D55" s="18">
        <v>33920</v>
      </c>
      <c r="E55" s="18">
        <f t="shared" si="0"/>
        <v>-51567.32</v>
      </c>
      <c r="F55" s="18">
        <v>41183</v>
      </c>
      <c r="G55" s="18">
        <v>23933</v>
      </c>
      <c r="H55" s="18">
        <f t="shared" si="1"/>
        <v>-17250</v>
      </c>
      <c r="I55" s="18">
        <v>124151.55</v>
      </c>
      <c r="J55" s="18">
        <v>17390</v>
      </c>
      <c r="K55" s="18">
        <f t="shared" si="2"/>
        <v>-106761.55</v>
      </c>
      <c r="L55" s="18">
        <f t="shared" si="3"/>
        <v>250821.87</v>
      </c>
      <c r="M55" s="18">
        <f t="shared" si="4"/>
        <v>75243</v>
      </c>
      <c r="N55" s="18">
        <f t="shared" si="5"/>
        <v>-175578.87</v>
      </c>
    </row>
    <row r="56" spans="1:14">
      <c r="A56" s="7" t="s">
        <v>112</v>
      </c>
      <c r="B56" s="8" t="s">
        <v>113</v>
      </c>
      <c r="C56" s="18">
        <v>0</v>
      </c>
      <c r="D56" s="18">
        <v>0</v>
      </c>
      <c r="E56" s="18">
        <f t="shared" si="0"/>
        <v>0</v>
      </c>
      <c r="F56" s="18">
        <v>4184</v>
      </c>
      <c r="G56" s="18">
        <v>890</v>
      </c>
      <c r="H56" s="18">
        <f t="shared" si="1"/>
        <v>-3294</v>
      </c>
      <c r="I56" s="18">
        <v>64152.13</v>
      </c>
      <c r="J56" s="18">
        <v>46924.17</v>
      </c>
      <c r="K56" s="18">
        <f t="shared" si="2"/>
        <v>-17227.96</v>
      </c>
      <c r="L56" s="18">
        <f t="shared" si="3"/>
        <v>68336.13</v>
      </c>
      <c r="M56" s="18">
        <f t="shared" si="4"/>
        <v>47814.17</v>
      </c>
      <c r="N56" s="18">
        <f t="shared" si="5"/>
        <v>-20521.96</v>
      </c>
    </row>
    <row r="57" spans="1:14">
      <c r="A57" s="7" t="s">
        <v>114</v>
      </c>
      <c r="B57" s="8" t="s">
        <v>115</v>
      </c>
      <c r="C57" s="18">
        <v>0</v>
      </c>
      <c r="D57" s="18">
        <v>0</v>
      </c>
      <c r="E57" s="18">
        <f t="shared" si="0"/>
        <v>0</v>
      </c>
      <c r="F57" s="18">
        <v>5862</v>
      </c>
      <c r="G57" s="18">
        <v>4643</v>
      </c>
      <c r="H57" s="18">
        <f t="shared" si="1"/>
        <v>-1219</v>
      </c>
      <c r="I57" s="18">
        <v>57430.8</v>
      </c>
      <c r="J57" s="18">
        <v>40101.9</v>
      </c>
      <c r="K57" s="18">
        <f t="shared" si="2"/>
        <v>-17328.9</v>
      </c>
      <c r="L57" s="18">
        <f t="shared" si="3"/>
        <v>63292.8</v>
      </c>
      <c r="M57" s="18">
        <f t="shared" si="4"/>
        <v>44744.9</v>
      </c>
      <c r="N57" s="18">
        <f t="shared" si="5"/>
        <v>-18547.9</v>
      </c>
    </row>
    <row r="58" spans="1:14">
      <c r="A58" s="7" t="s">
        <v>116</v>
      </c>
      <c r="B58" s="8" t="s">
        <v>117</v>
      </c>
      <c r="C58" s="18">
        <v>207730</v>
      </c>
      <c r="D58" s="18">
        <v>0</v>
      </c>
      <c r="E58" s="18">
        <f t="shared" si="0"/>
        <v>-207730</v>
      </c>
      <c r="F58" s="18">
        <v>77648</v>
      </c>
      <c r="G58" s="18">
        <v>21352</v>
      </c>
      <c r="H58" s="18">
        <f t="shared" si="1"/>
        <v>-56296</v>
      </c>
      <c r="I58" s="18">
        <v>153006</v>
      </c>
      <c r="J58" s="18">
        <v>74040.25</v>
      </c>
      <c r="K58" s="18">
        <f t="shared" si="2"/>
        <v>-78965.75</v>
      </c>
      <c r="L58" s="18">
        <f t="shared" si="3"/>
        <v>438384</v>
      </c>
      <c r="M58" s="18">
        <f t="shared" si="4"/>
        <v>95392.25</v>
      </c>
      <c r="N58" s="18">
        <f t="shared" si="5"/>
        <v>-342991.75</v>
      </c>
    </row>
    <row r="59" ht="24" spans="1:14">
      <c r="A59" s="7">
        <v>29009</v>
      </c>
      <c r="B59" s="8" t="s">
        <v>118</v>
      </c>
      <c r="C59" s="18">
        <v>0</v>
      </c>
      <c r="D59" s="18">
        <v>0</v>
      </c>
      <c r="E59" s="18">
        <f t="shared" si="0"/>
        <v>0</v>
      </c>
      <c r="F59" s="18">
        <v>0</v>
      </c>
      <c r="G59" s="18">
        <v>6218</v>
      </c>
      <c r="H59" s="18">
        <f t="shared" si="1"/>
        <v>6218</v>
      </c>
      <c r="I59" s="18">
        <v>101513.01</v>
      </c>
      <c r="J59" s="18">
        <v>48661.87</v>
      </c>
      <c r="K59" s="18">
        <f t="shared" si="2"/>
        <v>-52851.14</v>
      </c>
      <c r="L59" s="18">
        <f t="shared" si="3"/>
        <v>101513.01</v>
      </c>
      <c r="M59" s="18">
        <f t="shared" si="4"/>
        <v>54879.87</v>
      </c>
      <c r="N59" s="18">
        <f t="shared" si="5"/>
        <v>-46633.14</v>
      </c>
    </row>
    <row r="60" spans="1:14">
      <c r="A60" s="7" t="s">
        <v>119</v>
      </c>
      <c r="B60" s="8" t="s">
        <v>120</v>
      </c>
      <c r="C60" s="18">
        <v>0</v>
      </c>
      <c r="D60" s="18">
        <v>0</v>
      </c>
      <c r="E60" s="18">
        <f t="shared" si="0"/>
        <v>0</v>
      </c>
      <c r="F60" s="18">
        <v>1502</v>
      </c>
      <c r="G60" s="18">
        <v>1920</v>
      </c>
      <c r="H60" s="18">
        <f t="shared" si="1"/>
        <v>418</v>
      </c>
      <c r="I60" s="18">
        <v>0</v>
      </c>
      <c r="J60" s="18">
        <v>0</v>
      </c>
      <c r="K60" s="18">
        <f t="shared" si="2"/>
        <v>0</v>
      </c>
      <c r="L60" s="18">
        <f t="shared" si="3"/>
        <v>1502</v>
      </c>
      <c r="M60" s="18">
        <f t="shared" si="4"/>
        <v>1920</v>
      </c>
      <c r="N60" s="18">
        <f t="shared" si="5"/>
        <v>418</v>
      </c>
    </row>
    <row r="61" spans="1:14">
      <c r="A61" s="7" t="s">
        <v>121</v>
      </c>
      <c r="B61" s="8" t="s">
        <v>122</v>
      </c>
      <c r="C61" s="18">
        <v>0</v>
      </c>
      <c r="D61" s="18">
        <v>0</v>
      </c>
      <c r="E61" s="18">
        <f t="shared" si="0"/>
        <v>0</v>
      </c>
      <c r="F61" s="18">
        <v>0</v>
      </c>
      <c r="G61" s="18">
        <v>0</v>
      </c>
      <c r="H61" s="18">
        <f t="shared" si="1"/>
        <v>0</v>
      </c>
      <c r="I61" s="18">
        <v>144988.02</v>
      </c>
      <c r="J61" s="18">
        <v>228528.25</v>
      </c>
      <c r="K61" s="18">
        <f t="shared" si="2"/>
        <v>83540.23</v>
      </c>
      <c r="L61" s="18">
        <f t="shared" si="3"/>
        <v>144988.02</v>
      </c>
      <c r="M61" s="18">
        <f t="shared" si="4"/>
        <v>228528.25</v>
      </c>
      <c r="N61" s="18">
        <f t="shared" si="5"/>
        <v>83540.23</v>
      </c>
    </row>
    <row r="62" spans="1:14">
      <c r="A62" s="7" t="s">
        <v>123</v>
      </c>
      <c r="B62" s="8" t="s">
        <v>124</v>
      </c>
      <c r="C62" s="18">
        <v>0</v>
      </c>
      <c r="D62" s="18">
        <v>0</v>
      </c>
      <c r="E62" s="18">
        <f t="shared" si="0"/>
        <v>0</v>
      </c>
      <c r="F62" s="18">
        <v>5482</v>
      </c>
      <c r="G62" s="18">
        <v>1928</v>
      </c>
      <c r="H62" s="18">
        <f t="shared" si="1"/>
        <v>-3554</v>
      </c>
      <c r="I62" s="18">
        <v>0</v>
      </c>
      <c r="J62" s="18">
        <v>19487.57</v>
      </c>
      <c r="K62" s="18">
        <f t="shared" si="2"/>
        <v>19487.57</v>
      </c>
      <c r="L62" s="18">
        <f t="shared" si="3"/>
        <v>5482</v>
      </c>
      <c r="M62" s="18">
        <f t="shared" si="4"/>
        <v>21415.57</v>
      </c>
      <c r="N62" s="18">
        <f t="shared" si="5"/>
        <v>15933.57</v>
      </c>
    </row>
    <row r="63" spans="1:14">
      <c r="A63" s="7" t="s">
        <v>125</v>
      </c>
      <c r="B63" s="8" t="s">
        <v>126</v>
      </c>
      <c r="C63" s="18">
        <v>0</v>
      </c>
      <c r="D63" s="18">
        <v>0</v>
      </c>
      <c r="E63" s="18">
        <f t="shared" si="0"/>
        <v>0</v>
      </c>
      <c r="F63" s="18">
        <v>0</v>
      </c>
      <c r="G63" s="18">
        <v>0</v>
      </c>
      <c r="H63" s="18">
        <f t="shared" si="1"/>
        <v>0</v>
      </c>
      <c r="I63" s="18">
        <v>0</v>
      </c>
      <c r="J63" s="18">
        <v>0</v>
      </c>
      <c r="K63" s="18">
        <f t="shared" si="2"/>
        <v>0</v>
      </c>
      <c r="L63" s="18">
        <f t="shared" si="3"/>
        <v>0</v>
      </c>
      <c r="M63" s="18">
        <f t="shared" si="4"/>
        <v>0</v>
      </c>
      <c r="N63" s="18">
        <f t="shared" si="5"/>
        <v>0</v>
      </c>
    </row>
    <row r="64" ht="24" spans="1:14">
      <c r="A64" s="7" t="s">
        <v>127</v>
      </c>
      <c r="B64" s="8" t="s">
        <v>128</v>
      </c>
      <c r="C64" s="18">
        <v>0</v>
      </c>
      <c r="D64" s="18">
        <v>0</v>
      </c>
      <c r="E64" s="18">
        <f t="shared" si="0"/>
        <v>0</v>
      </c>
      <c r="F64" s="18">
        <v>0</v>
      </c>
      <c r="G64" s="18">
        <v>0</v>
      </c>
      <c r="H64" s="18">
        <f t="shared" si="1"/>
        <v>0</v>
      </c>
      <c r="I64" s="18">
        <v>21249.54</v>
      </c>
      <c r="J64" s="18">
        <v>10937.95</v>
      </c>
      <c r="K64" s="18">
        <f t="shared" si="2"/>
        <v>-10311.59</v>
      </c>
      <c r="L64" s="18">
        <f t="shared" si="3"/>
        <v>21249.54</v>
      </c>
      <c r="M64" s="18">
        <f t="shared" si="4"/>
        <v>10937.95</v>
      </c>
      <c r="N64" s="18">
        <f t="shared" si="5"/>
        <v>-10311.59</v>
      </c>
    </row>
    <row r="65" ht="24" spans="1:14">
      <c r="A65" s="7" t="s">
        <v>129</v>
      </c>
      <c r="B65" s="8" t="s">
        <v>130</v>
      </c>
      <c r="C65" s="18">
        <v>0</v>
      </c>
      <c r="D65" s="18">
        <v>0</v>
      </c>
      <c r="E65" s="18">
        <f t="shared" si="0"/>
        <v>0</v>
      </c>
      <c r="F65" s="18">
        <v>0</v>
      </c>
      <c r="G65" s="18">
        <v>0</v>
      </c>
      <c r="H65" s="18">
        <f t="shared" si="1"/>
        <v>0</v>
      </c>
      <c r="I65" s="18">
        <v>44647.75</v>
      </c>
      <c r="J65" s="18">
        <v>39664.59</v>
      </c>
      <c r="K65" s="18">
        <f t="shared" si="2"/>
        <v>-4983.16</v>
      </c>
      <c r="L65" s="18">
        <f t="shared" si="3"/>
        <v>44647.75</v>
      </c>
      <c r="M65" s="18">
        <f t="shared" si="4"/>
        <v>39664.59</v>
      </c>
      <c r="N65" s="18">
        <f t="shared" si="5"/>
        <v>-4983.16</v>
      </c>
    </row>
    <row r="66" ht="24" spans="1:14">
      <c r="A66" s="7" t="s">
        <v>131</v>
      </c>
      <c r="B66" s="8" t="s">
        <v>132</v>
      </c>
      <c r="C66" s="18">
        <v>0</v>
      </c>
      <c r="D66" s="18">
        <v>0</v>
      </c>
      <c r="E66" s="18">
        <f t="shared" si="0"/>
        <v>0</v>
      </c>
      <c r="F66" s="18">
        <v>0</v>
      </c>
      <c r="G66" s="18">
        <v>0</v>
      </c>
      <c r="H66" s="18">
        <f t="shared" si="1"/>
        <v>0</v>
      </c>
      <c r="I66" s="18">
        <v>11098.59</v>
      </c>
      <c r="J66" s="18">
        <v>11075.94</v>
      </c>
      <c r="K66" s="18">
        <f t="shared" si="2"/>
        <v>-22.6499999999996</v>
      </c>
      <c r="L66" s="18">
        <f t="shared" si="3"/>
        <v>11098.59</v>
      </c>
      <c r="M66" s="18">
        <f t="shared" si="4"/>
        <v>11075.94</v>
      </c>
      <c r="N66" s="18">
        <f t="shared" si="5"/>
        <v>-22.6499999999996</v>
      </c>
    </row>
    <row r="67" ht="24" spans="1:14">
      <c r="A67" s="7" t="s">
        <v>133</v>
      </c>
      <c r="B67" s="8" t="s">
        <v>134</v>
      </c>
      <c r="C67" s="18">
        <v>0</v>
      </c>
      <c r="D67" s="18">
        <v>0</v>
      </c>
      <c r="E67" s="18">
        <f t="shared" si="0"/>
        <v>0</v>
      </c>
      <c r="F67" s="18">
        <v>0</v>
      </c>
      <c r="G67" s="18">
        <v>0</v>
      </c>
      <c r="H67" s="18">
        <f t="shared" si="1"/>
        <v>0</v>
      </c>
      <c r="I67" s="18">
        <v>0</v>
      </c>
      <c r="J67" s="18">
        <v>0</v>
      </c>
      <c r="K67" s="18">
        <f t="shared" si="2"/>
        <v>0</v>
      </c>
      <c r="L67" s="18">
        <f t="shared" si="3"/>
        <v>0</v>
      </c>
      <c r="M67" s="18">
        <f t="shared" si="4"/>
        <v>0</v>
      </c>
      <c r="N67" s="18">
        <f t="shared" si="5"/>
        <v>0</v>
      </c>
    </row>
    <row r="68" ht="24" spans="1:14">
      <c r="A68" s="7" t="s">
        <v>135</v>
      </c>
      <c r="B68" s="8" t="s">
        <v>136</v>
      </c>
      <c r="C68" s="18">
        <v>0</v>
      </c>
      <c r="D68" s="18">
        <v>0</v>
      </c>
      <c r="E68" s="18">
        <f t="shared" si="0"/>
        <v>0</v>
      </c>
      <c r="F68" s="18">
        <v>0</v>
      </c>
      <c r="G68" s="18">
        <v>0</v>
      </c>
      <c r="H68" s="18">
        <f t="shared" si="1"/>
        <v>0</v>
      </c>
      <c r="I68" s="18">
        <v>0</v>
      </c>
      <c r="J68" s="18">
        <v>0</v>
      </c>
      <c r="K68" s="18">
        <f t="shared" si="2"/>
        <v>0</v>
      </c>
      <c r="L68" s="18">
        <f t="shared" si="3"/>
        <v>0</v>
      </c>
      <c r="M68" s="18">
        <f t="shared" si="4"/>
        <v>0</v>
      </c>
      <c r="N68" s="18">
        <f t="shared" si="5"/>
        <v>0</v>
      </c>
    </row>
    <row r="69" ht="24" spans="1:14">
      <c r="A69" s="7" t="s">
        <v>137</v>
      </c>
      <c r="B69" s="8" t="s">
        <v>138</v>
      </c>
      <c r="C69" s="18">
        <v>0</v>
      </c>
      <c r="D69" s="18">
        <v>0</v>
      </c>
      <c r="E69" s="18">
        <f t="shared" ref="E69:E132" si="6">D69-C69</f>
        <v>0</v>
      </c>
      <c r="F69" s="18">
        <v>0</v>
      </c>
      <c r="G69" s="18">
        <v>0</v>
      </c>
      <c r="H69" s="18">
        <f t="shared" ref="H69:H132" si="7">G69-F69</f>
        <v>0</v>
      </c>
      <c r="I69" s="18">
        <v>0</v>
      </c>
      <c r="J69" s="18">
        <v>0</v>
      </c>
      <c r="K69" s="18">
        <f t="shared" ref="K69:K132" si="8">J69-I69</f>
        <v>0</v>
      </c>
      <c r="L69" s="18">
        <f t="shared" ref="L69:L132" si="9">C69+F69+I69</f>
        <v>0</v>
      </c>
      <c r="M69" s="18">
        <f t="shared" ref="M69:M132" si="10">D69+G69+J69</f>
        <v>0</v>
      </c>
      <c r="N69" s="18">
        <f t="shared" ref="N69:N132" si="11">M69-L69</f>
        <v>0</v>
      </c>
    </row>
    <row r="70" ht="24" spans="1:14">
      <c r="A70" s="7" t="s">
        <v>139</v>
      </c>
      <c r="B70" s="8" t="s">
        <v>140</v>
      </c>
      <c r="C70" s="18">
        <v>0</v>
      </c>
      <c r="D70" s="18">
        <v>0</v>
      </c>
      <c r="E70" s="18">
        <f t="shared" si="6"/>
        <v>0</v>
      </c>
      <c r="F70" s="18">
        <v>0</v>
      </c>
      <c r="G70" s="18">
        <v>0</v>
      </c>
      <c r="H70" s="18">
        <f t="shared" si="7"/>
        <v>0</v>
      </c>
      <c r="I70" s="18">
        <v>12582.68</v>
      </c>
      <c r="J70" s="18">
        <v>14801.25</v>
      </c>
      <c r="K70" s="18">
        <f t="shared" si="8"/>
        <v>2218.57</v>
      </c>
      <c r="L70" s="18">
        <f t="shared" si="9"/>
        <v>12582.68</v>
      </c>
      <c r="M70" s="18">
        <f t="shared" si="10"/>
        <v>14801.25</v>
      </c>
      <c r="N70" s="18">
        <f t="shared" si="11"/>
        <v>2218.57</v>
      </c>
    </row>
    <row r="71" ht="24" spans="1:14">
      <c r="A71" s="7" t="s">
        <v>141</v>
      </c>
      <c r="B71" s="8" t="s">
        <v>142</v>
      </c>
      <c r="C71" s="18">
        <v>0</v>
      </c>
      <c r="D71" s="18">
        <v>0</v>
      </c>
      <c r="E71" s="18">
        <f t="shared" si="6"/>
        <v>0</v>
      </c>
      <c r="F71" s="18">
        <v>0</v>
      </c>
      <c r="G71" s="18">
        <v>0</v>
      </c>
      <c r="H71" s="18">
        <f t="shared" si="7"/>
        <v>0</v>
      </c>
      <c r="I71" s="18">
        <v>0</v>
      </c>
      <c r="J71" s="18">
        <v>0</v>
      </c>
      <c r="K71" s="18">
        <f t="shared" si="8"/>
        <v>0</v>
      </c>
      <c r="L71" s="18">
        <f t="shared" si="9"/>
        <v>0</v>
      </c>
      <c r="M71" s="18">
        <f t="shared" si="10"/>
        <v>0</v>
      </c>
      <c r="N71" s="18">
        <f t="shared" si="11"/>
        <v>0</v>
      </c>
    </row>
    <row r="72" ht="24" spans="1:14">
      <c r="A72" s="7" t="s">
        <v>143</v>
      </c>
      <c r="B72" s="8" t="s">
        <v>144</v>
      </c>
      <c r="C72" s="18">
        <v>0</v>
      </c>
      <c r="D72" s="18">
        <v>0</v>
      </c>
      <c r="E72" s="18">
        <f t="shared" si="6"/>
        <v>0</v>
      </c>
      <c r="F72" s="18">
        <v>0</v>
      </c>
      <c r="G72" s="18">
        <v>0</v>
      </c>
      <c r="H72" s="18">
        <f t="shared" si="7"/>
        <v>0</v>
      </c>
      <c r="I72" s="18">
        <v>0</v>
      </c>
      <c r="J72" s="18">
        <v>0</v>
      </c>
      <c r="K72" s="18">
        <f t="shared" si="8"/>
        <v>0</v>
      </c>
      <c r="L72" s="18">
        <f t="shared" si="9"/>
        <v>0</v>
      </c>
      <c r="M72" s="18">
        <f t="shared" si="10"/>
        <v>0</v>
      </c>
      <c r="N72" s="18">
        <f t="shared" si="11"/>
        <v>0</v>
      </c>
    </row>
    <row r="73" ht="24" spans="1:14">
      <c r="A73" s="7" t="s">
        <v>145</v>
      </c>
      <c r="B73" s="8" t="s">
        <v>146</v>
      </c>
      <c r="C73" s="18">
        <v>0</v>
      </c>
      <c r="D73" s="18">
        <v>0</v>
      </c>
      <c r="E73" s="18">
        <f t="shared" si="6"/>
        <v>0</v>
      </c>
      <c r="F73" s="18">
        <v>1450</v>
      </c>
      <c r="G73" s="18">
        <v>0</v>
      </c>
      <c r="H73" s="18">
        <f t="shared" si="7"/>
        <v>-1450</v>
      </c>
      <c r="I73" s="18">
        <v>13378.68</v>
      </c>
      <c r="J73" s="18">
        <v>14085.14</v>
      </c>
      <c r="K73" s="18">
        <f t="shared" si="8"/>
        <v>706.459999999999</v>
      </c>
      <c r="L73" s="18">
        <f t="shared" si="9"/>
        <v>14828.68</v>
      </c>
      <c r="M73" s="18">
        <f t="shared" si="10"/>
        <v>14085.14</v>
      </c>
      <c r="N73" s="18">
        <f t="shared" si="11"/>
        <v>-743.540000000001</v>
      </c>
    </row>
    <row r="74" ht="24" spans="1:14">
      <c r="A74" s="7" t="s">
        <v>147</v>
      </c>
      <c r="B74" s="8" t="s">
        <v>148</v>
      </c>
      <c r="C74" s="18">
        <v>0</v>
      </c>
      <c r="D74" s="18">
        <v>0</v>
      </c>
      <c r="E74" s="18">
        <f t="shared" si="6"/>
        <v>0</v>
      </c>
      <c r="F74" s="18">
        <v>0</v>
      </c>
      <c r="G74" s="18">
        <v>0</v>
      </c>
      <c r="H74" s="18">
        <f t="shared" si="7"/>
        <v>0</v>
      </c>
      <c r="I74" s="18">
        <v>0</v>
      </c>
      <c r="J74" s="18">
        <v>0</v>
      </c>
      <c r="K74" s="18">
        <f t="shared" si="8"/>
        <v>0</v>
      </c>
      <c r="L74" s="18">
        <f t="shared" si="9"/>
        <v>0</v>
      </c>
      <c r="M74" s="18">
        <f t="shared" si="10"/>
        <v>0</v>
      </c>
      <c r="N74" s="18">
        <f t="shared" si="11"/>
        <v>0</v>
      </c>
    </row>
    <row r="75" ht="24" spans="1:14">
      <c r="A75" s="7" t="s">
        <v>149</v>
      </c>
      <c r="B75" s="8" t="s">
        <v>150</v>
      </c>
      <c r="C75" s="18">
        <v>0</v>
      </c>
      <c r="D75" s="18">
        <v>0</v>
      </c>
      <c r="E75" s="18">
        <f t="shared" si="6"/>
        <v>0</v>
      </c>
      <c r="F75" s="18">
        <v>0</v>
      </c>
      <c r="G75" s="18">
        <v>0</v>
      </c>
      <c r="H75" s="18">
        <f t="shared" si="7"/>
        <v>0</v>
      </c>
      <c r="I75" s="18">
        <v>0</v>
      </c>
      <c r="J75" s="18">
        <v>0</v>
      </c>
      <c r="K75" s="18">
        <f t="shared" si="8"/>
        <v>0</v>
      </c>
      <c r="L75" s="18">
        <f t="shared" si="9"/>
        <v>0</v>
      </c>
      <c r="M75" s="18">
        <f t="shared" si="10"/>
        <v>0</v>
      </c>
      <c r="N75" s="18">
        <f t="shared" si="11"/>
        <v>0</v>
      </c>
    </row>
    <row r="76" ht="24" spans="1:14">
      <c r="A76" s="7" t="s">
        <v>151</v>
      </c>
      <c r="B76" s="8" t="s">
        <v>152</v>
      </c>
      <c r="C76" s="18">
        <v>0</v>
      </c>
      <c r="D76" s="18">
        <v>0</v>
      </c>
      <c r="E76" s="18">
        <f t="shared" si="6"/>
        <v>0</v>
      </c>
      <c r="F76" s="18">
        <v>0</v>
      </c>
      <c r="G76" s="18">
        <v>0</v>
      </c>
      <c r="H76" s="18">
        <f t="shared" si="7"/>
        <v>0</v>
      </c>
      <c r="I76" s="18">
        <v>0</v>
      </c>
      <c r="J76" s="18">
        <v>0</v>
      </c>
      <c r="K76" s="18">
        <f t="shared" si="8"/>
        <v>0</v>
      </c>
      <c r="L76" s="18">
        <f t="shared" si="9"/>
        <v>0</v>
      </c>
      <c r="M76" s="18">
        <f t="shared" si="10"/>
        <v>0</v>
      </c>
      <c r="N76" s="18">
        <f t="shared" si="11"/>
        <v>0</v>
      </c>
    </row>
    <row r="77" ht="24" spans="1:14">
      <c r="A77" s="7" t="s">
        <v>153</v>
      </c>
      <c r="B77" s="8" t="s">
        <v>154</v>
      </c>
      <c r="C77" s="18">
        <v>0</v>
      </c>
      <c r="D77" s="18">
        <v>0</v>
      </c>
      <c r="E77" s="18">
        <f t="shared" si="6"/>
        <v>0</v>
      </c>
      <c r="F77" s="18">
        <v>0</v>
      </c>
      <c r="G77" s="18">
        <v>0</v>
      </c>
      <c r="H77" s="18">
        <f t="shared" si="7"/>
        <v>0</v>
      </c>
      <c r="I77" s="18">
        <v>0</v>
      </c>
      <c r="J77" s="18">
        <v>0</v>
      </c>
      <c r="K77" s="18">
        <f t="shared" si="8"/>
        <v>0</v>
      </c>
      <c r="L77" s="18">
        <f t="shared" si="9"/>
        <v>0</v>
      </c>
      <c r="M77" s="18">
        <f t="shared" si="10"/>
        <v>0</v>
      </c>
      <c r="N77" s="18">
        <f t="shared" si="11"/>
        <v>0</v>
      </c>
    </row>
    <row r="78" ht="24" spans="1:14">
      <c r="A78" s="7" t="s">
        <v>155</v>
      </c>
      <c r="B78" s="8" t="s">
        <v>156</v>
      </c>
      <c r="C78" s="18">
        <v>0</v>
      </c>
      <c r="D78" s="18">
        <v>0</v>
      </c>
      <c r="E78" s="18">
        <f t="shared" si="6"/>
        <v>0</v>
      </c>
      <c r="F78" s="18">
        <v>0</v>
      </c>
      <c r="G78" s="18">
        <v>0</v>
      </c>
      <c r="H78" s="18">
        <f t="shared" si="7"/>
        <v>0</v>
      </c>
      <c r="I78" s="18">
        <v>0</v>
      </c>
      <c r="J78" s="18">
        <v>17220.69</v>
      </c>
      <c r="K78" s="18">
        <f t="shared" si="8"/>
        <v>17220.69</v>
      </c>
      <c r="L78" s="18">
        <f t="shared" si="9"/>
        <v>0</v>
      </c>
      <c r="M78" s="18">
        <f t="shared" si="10"/>
        <v>17220.69</v>
      </c>
      <c r="N78" s="18">
        <f t="shared" si="11"/>
        <v>17220.69</v>
      </c>
    </row>
    <row r="79" ht="24" spans="1:14">
      <c r="A79" s="7" t="s">
        <v>157</v>
      </c>
      <c r="B79" s="8" t="s">
        <v>158</v>
      </c>
      <c r="C79" s="18">
        <v>0</v>
      </c>
      <c r="D79" s="18">
        <v>0</v>
      </c>
      <c r="E79" s="18">
        <f t="shared" si="6"/>
        <v>0</v>
      </c>
      <c r="F79" s="18">
        <v>0</v>
      </c>
      <c r="G79" s="18">
        <v>0</v>
      </c>
      <c r="H79" s="18">
        <f t="shared" si="7"/>
        <v>0</v>
      </c>
      <c r="I79" s="18">
        <v>0</v>
      </c>
      <c r="J79" s="18">
        <v>0</v>
      </c>
      <c r="K79" s="18">
        <f t="shared" si="8"/>
        <v>0</v>
      </c>
      <c r="L79" s="18">
        <f t="shared" si="9"/>
        <v>0</v>
      </c>
      <c r="M79" s="18">
        <f t="shared" si="10"/>
        <v>0</v>
      </c>
      <c r="N79" s="18">
        <f t="shared" si="11"/>
        <v>0</v>
      </c>
    </row>
    <row r="80" ht="24" spans="1:14">
      <c r="A80" s="7" t="s">
        <v>159</v>
      </c>
      <c r="B80" s="8" t="s">
        <v>160</v>
      </c>
      <c r="C80" s="18">
        <v>0</v>
      </c>
      <c r="D80" s="18">
        <v>0</v>
      </c>
      <c r="E80" s="18">
        <f t="shared" si="6"/>
        <v>0</v>
      </c>
      <c r="F80" s="18">
        <v>0</v>
      </c>
      <c r="G80" s="18">
        <v>0</v>
      </c>
      <c r="H80" s="18">
        <f t="shared" si="7"/>
        <v>0</v>
      </c>
      <c r="I80" s="18">
        <v>0</v>
      </c>
      <c r="J80" s="18">
        <v>0</v>
      </c>
      <c r="K80" s="18">
        <f t="shared" si="8"/>
        <v>0</v>
      </c>
      <c r="L80" s="18">
        <f t="shared" si="9"/>
        <v>0</v>
      </c>
      <c r="M80" s="18">
        <f t="shared" si="10"/>
        <v>0</v>
      </c>
      <c r="N80" s="18">
        <f t="shared" si="11"/>
        <v>0</v>
      </c>
    </row>
    <row r="81" spans="1:14">
      <c r="A81" s="7" t="s">
        <v>161</v>
      </c>
      <c r="B81" s="8" t="s">
        <v>162</v>
      </c>
      <c r="C81" s="18">
        <v>0</v>
      </c>
      <c r="D81" s="18">
        <v>0</v>
      </c>
      <c r="E81" s="18">
        <f t="shared" si="6"/>
        <v>0</v>
      </c>
      <c r="F81" s="18">
        <v>0</v>
      </c>
      <c r="G81" s="18">
        <v>0</v>
      </c>
      <c r="H81" s="18">
        <f t="shared" si="7"/>
        <v>0</v>
      </c>
      <c r="I81" s="18">
        <v>4958965.46</v>
      </c>
      <c r="J81" s="18">
        <v>523387.49</v>
      </c>
      <c r="K81" s="18">
        <f t="shared" si="8"/>
        <v>-4435577.97</v>
      </c>
      <c r="L81" s="18">
        <f t="shared" si="9"/>
        <v>4958965.46</v>
      </c>
      <c r="M81" s="18">
        <f t="shared" si="10"/>
        <v>523387.49</v>
      </c>
      <c r="N81" s="18">
        <f t="shared" si="11"/>
        <v>-4435577.97</v>
      </c>
    </row>
    <row r="82" spans="1:14">
      <c r="A82" s="7" t="s">
        <v>163</v>
      </c>
      <c r="B82" s="8" t="s">
        <v>164</v>
      </c>
      <c r="C82" s="18">
        <v>0</v>
      </c>
      <c r="D82" s="18">
        <v>0</v>
      </c>
      <c r="E82" s="18">
        <f t="shared" si="6"/>
        <v>0</v>
      </c>
      <c r="F82" s="18">
        <v>0</v>
      </c>
      <c r="G82" s="18">
        <v>0</v>
      </c>
      <c r="H82" s="18">
        <f t="shared" si="7"/>
        <v>0</v>
      </c>
      <c r="I82" s="18">
        <v>0</v>
      </c>
      <c r="J82" s="18">
        <v>0</v>
      </c>
      <c r="K82" s="18">
        <f t="shared" si="8"/>
        <v>0</v>
      </c>
      <c r="L82" s="18">
        <f t="shared" si="9"/>
        <v>0</v>
      </c>
      <c r="M82" s="18">
        <f t="shared" si="10"/>
        <v>0</v>
      </c>
      <c r="N82" s="18">
        <f t="shared" si="11"/>
        <v>0</v>
      </c>
    </row>
    <row r="83" spans="1:14">
      <c r="A83" s="7" t="s">
        <v>165</v>
      </c>
      <c r="B83" s="8" t="s">
        <v>166</v>
      </c>
      <c r="C83" s="18">
        <v>11970</v>
      </c>
      <c r="D83" s="18">
        <v>0</v>
      </c>
      <c r="E83" s="18">
        <f t="shared" si="6"/>
        <v>-11970</v>
      </c>
      <c r="F83" s="18">
        <v>670</v>
      </c>
      <c r="G83" s="18">
        <v>0</v>
      </c>
      <c r="H83" s="18">
        <f t="shared" si="7"/>
        <v>-670</v>
      </c>
      <c r="I83" s="18">
        <v>16317.39</v>
      </c>
      <c r="J83" s="18">
        <v>5180.31</v>
      </c>
      <c r="K83" s="18">
        <f t="shared" si="8"/>
        <v>-11137.08</v>
      </c>
      <c r="L83" s="18">
        <f t="shared" si="9"/>
        <v>28957.39</v>
      </c>
      <c r="M83" s="18">
        <f t="shared" si="10"/>
        <v>5180.31</v>
      </c>
      <c r="N83" s="18">
        <f t="shared" si="11"/>
        <v>-23777.08</v>
      </c>
    </row>
    <row r="84" spans="1:14">
      <c r="A84" s="7" t="s">
        <v>167</v>
      </c>
      <c r="B84" s="8" t="s">
        <v>168</v>
      </c>
      <c r="C84" s="18">
        <v>0</v>
      </c>
      <c r="D84" s="18">
        <v>0</v>
      </c>
      <c r="E84" s="18">
        <f t="shared" si="6"/>
        <v>0</v>
      </c>
      <c r="F84" s="18">
        <v>0</v>
      </c>
      <c r="G84" s="18">
        <v>0</v>
      </c>
      <c r="H84" s="18">
        <f t="shared" si="7"/>
        <v>0</v>
      </c>
      <c r="I84" s="18">
        <v>0</v>
      </c>
      <c r="J84" s="18">
        <v>0</v>
      </c>
      <c r="K84" s="18">
        <f t="shared" si="8"/>
        <v>0</v>
      </c>
      <c r="L84" s="18">
        <f t="shared" si="9"/>
        <v>0</v>
      </c>
      <c r="M84" s="18">
        <f t="shared" si="10"/>
        <v>0</v>
      </c>
      <c r="N84" s="18">
        <f t="shared" si="11"/>
        <v>0</v>
      </c>
    </row>
    <row r="85" spans="1:14">
      <c r="A85" s="7" t="s">
        <v>169</v>
      </c>
      <c r="B85" s="8" t="s">
        <v>170</v>
      </c>
      <c r="C85" s="18">
        <v>11970</v>
      </c>
      <c r="D85" s="18">
        <v>0</v>
      </c>
      <c r="E85" s="18">
        <f t="shared" si="6"/>
        <v>-11970</v>
      </c>
      <c r="F85" s="18">
        <v>0</v>
      </c>
      <c r="G85" s="18">
        <v>0</v>
      </c>
      <c r="H85" s="18">
        <f t="shared" si="7"/>
        <v>0</v>
      </c>
      <c r="I85" s="18">
        <v>13200.98</v>
      </c>
      <c r="J85" s="18">
        <v>3000</v>
      </c>
      <c r="K85" s="18">
        <f t="shared" si="8"/>
        <v>-10200.98</v>
      </c>
      <c r="L85" s="18">
        <f t="shared" si="9"/>
        <v>25170.98</v>
      </c>
      <c r="M85" s="18">
        <f t="shared" si="10"/>
        <v>3000</v>
      </c>
      <c r="N85" s="18">
        <f t="shared" si="11"/>
        <v>-22170.98</v>
      </c>
    </row>
    <row r="86" spans="1:14">
      <c r="A86" s="7" t="s">
        <v>171</v>
      </c>
      <c r="B86" s="8" t="s">
        <v>172</v>
      </c>
      <c r="C86" s="18">
        <v>0</v>
      </c>
      <c r="D86" s="18">
        <v>0</v>
      </c>
      <c r="E86" s="18">
        <f t="shared" si="6"/>
        <v>0</v>
      </c>
      <c r="F86" s="18">
        <v>0</v>
      </c>
      <c r="G86" s="18">
        <v>0</v>
      </c>
      <c r="H86" s="18">
        <f t="shared" si="7"/>
        <v>0</v>
      </c>
      <c r="I86" s="18">
        <v>0</v>
      </c>
      <c r="J86" s="18">
        <v>0</v>
      </c>
      <c r="K86" s="18">
        <f t="shared" si="8"/>
        <v>0</v>
      </c>
      <c r="L86" s="18">
        <f t="shared" si="9"/>
        <v>0</v>
      </c>
      <c r="M86" s="18">
        <f t="shared" si="10"/>
        <v>0</v>
      </c>
      <c r="N86" s="18">
        <f t="shared" si="11"/>
        <v>0</v>
      </c>
    </row>
    <row r="87" spans="1:14">
      <c r="A87" s="7" t="s">
        <v>173</v>
      </c>
      <c r="B87" s="8" t="s">
        <v>174</v>
      </c>
      <c r="C87" s="18">
        <v>0</v>
      </c>
      <c r="D87" s="18">
        <v>0</v>
      </c>
      <c r="E87" s="18">
        <f t="shared" si="6"/>
        <v>0</v>
      </c>
      <c r="F87" s="18">
        <v>0</v>
      </c>
      <c r="G87" s="18">
        <v>0</v>
      </c>
      <c r="H87" s="18">
        <f t="shared" si="7"/>
        <v>0</v>
      </c>
      <c r="I87" s="18">
        <v>0</v>
      </c>
      <c r="J87" s="18">
        <v>0</v>
      </c>
      <c r="K87" s="18">
        <f t="shared" si="8"/>
        <v>0</v>
      </c>
      <c r="L87" s="18">
        <f t="shared" si="9"/>
        <v>0</v>
      </c>
      <c r="M87" s="18">
        <f t="shared" si="10"/>
        <v>0</v>
      </c>
      <c r="N87" s="18">
        <f t="shared" si="11"/>
        <v>0</v>
      </c>
    </row>
    <row r="88" spans="1:14">
      <c r="A88" s="7" t="s">
        <v>175</v>
      </c>
      <c r="B88" s="8" t="s">
        <v>176</v>
      </c>
      <c r="C88" s="18">
        <v>0</v>
      </c>
      <c r="D88" s="18">
        <v>0</v>
      </c>
      <c r="E88" s="18">
        <f t="shared" si="6"/>
        <v>0</v>
      </c>
      <c r="F88" s="18">
        <v>0</v>
      </c>
      <c r="G88" s="18">
        <v>0</v>
      </c>
      <c r="H88" s="18">
        <f t="shared" si="7"/>
        <v>0</v>
      </c>
      <c r="I88" s="18">
        <v>24784.66</v>
      </c>
      <c r="J88" s="18">
        <v>14499.7</v>
      </c>
      <c r="K88" s="18">
        <f t="shared" si="8"/>
        <v>-10284.96</v>
      </c>
      <c r="L88" s="18">
        <f t="shared" si="9"/>
        <v>24784.66</v>
      </c>
      <c r="M88" s="18">
        <f t="shared" si="10"/>
        <v>14499.7</v>
      </c>
      <c r="N88" s="18">
        <f t="shared" si="11"/>
        <v>-10284.96</v>
      </c>
    </row>
    <row r="89" spans="1:14">
      <c r="A89" s="7" t="s">
        <v>177</v>
      </c>
      <c r="B89" s="8" t="s">
        <v>178</v>
      </c>
      <c r="C89" s="18">
        <v>11970</v>
      </c>
      <c r="D89" s="18">
        <v>0</v>
      </c>
      <c r="E89" s="18">
        <f t="shared" si="6"/>
        <v>-11970</v>
      </c>
      <c r="F89" s="18">
        <v>0</v>
      </c>
      <c r="G89" s="18">
        <v>0</v>
      </c>
      <c r="H89" s="18">
        <f t="shared" si="7"/>
        <v>0</v>
      </c>
      <c r="I89" s="18">
        <v>257851.79</v>
      </c>
      <c r="J89" s="18">
        <v>4875.36</v>
      </c>
      <c r="K89" s="18">
        <f t="shared" si="8"/>
        <v>-252976.43</v>
      </c>
      <c r="L89" s="18">
        <f t="shared" si="9"/>
        <v>269821.79</v>
      </c>
      <c r="M89" s="18">
        <f t="shared" si="10"/>
        <v>4875.36</v>
      </c>
      <c r="N89" s="18">
        <f t="shared" si="11"/>
        <v>-264946.43</v>
      </c>
    </row>
    <row r="90" spans="1:14">
      <c r="A90" s="7" t="s">
        <v>179</v>
      </c>
      <c r="B90" s="8" t="s">
        <v>180</v>
      </c>
      <c r="C90" s="18">
        <v>0</v>
      </c>
      <c r="D90" s="18">
        <v>0</v>
      </c>
      <c r="E90" s="18">
        <f t="shared" si="6"/>
        <v>0</v>
      </c>
      <c r="F90" s="18">
        <v>0</v>
      </c>
      <c r="G90" s="18">
        <v>0</v>
      </c>
      <c r="H90" s="18">
        <f t="shared" si="7"/>
        <v>0</v>
      </c>
      <c r="I90" s="18">
        <v>0</v>
      </c>
      <c r="J90" s="18">
        <v>0</v>
      </c>
      <c r="K90" s="18">
        <f t="shared" si="8"/>
        <v>0</v>
      </c>
      <c r="L90" s="18">
        <f t="shared" si="9"/>
        <v>0</v>
      </c>
      <c r="M90" s="18">
        <f t="shared" si="10"/>
        <v>0</v>
      </c>
      <c r="N90" s="18">
        <f t="shared" si="11"/>
        <v>0</v>
      </c>
    </row>
    <row r="91" spans="1:14">
      <c r="A91" s="7" t="s">
        <v>181</v>
      </c>
      <c r="B91" s="8" t="s">
        <v>182</v>
      </c>
      <c r="C91" s="18">
        <v>0</v>
      </c>
      <c r="D91" s="18">
        <v>0</v>
      </c>
      <c r="E91" s="18">
        <f t="shared" si="6"/>
        <v>0</v>
      </c>
      <c r="F91" s="18">
        <v>0</v>
      </c>
      <c r="G91" s="18">
        <v>0</v>
      </c>
      <c r="H91" s="18">
        <f t="shared" si="7"/>
        <v>0</v>
      </c>
      <c r="I91" s="18">
        <v>0</v>
      </c>
      <c r="J91" s="18">
        <v>0</v>
      </c>
      <c r="K91" s="18">
        <f t="shared" si="8"/>
        <v>0</v>
      </c>
      <c r="L91" s="18">
        <f t="shared" si="9"/>
        <v>0</v>
      </c>
      <c r="M91" s="18">
        <f t="shared" si="10"/>
        <v>0</v>
      </c>
      <c r="N91" s="18">
        <f t="shared" si="11"/>
        <v>0</v>
      </c>
    </row>
    <row r="92" spans="1:14">
      <c r="A92" s="7" t="s">
        <v>183</v>
      </c>
      <c r="B92" s="8" t="s">
        <v>184</v>
      </c>
      <c r="C92" s="18">
        <v>0</v>
      </c>
      <c r="D92" s="18">
        <v>0</v>
      </c>
      <c r="E92" s="18">
        <f t="shared" si="6"/>
        <v>0</v>
      </c>
      <c r="F92" s="18">
        <v>0</v>
      </c>
      <c r="G92" s="18">
        <v>0</v>
      </c>
      <c r="H92" s="18">
        <f t="shared" si="7"/>
        <v>0</v>
      </c>
      <c r="I92" s="18">
        <v>0</v>
      </c>
      <c r="J92" s="18">
        <v>0</v>
      </c>
      <c r="K92" s="18">
        <f t="shared" si="8"/>
        <v>0</v>
      </c>
      <c r="L92" s="18">
        <f t="shared" si="9"/>
        <v>0</v>
      </c>
      <c r="M92" s="18">
        <f t="shared" si="10"/>
        <v>0</v>
      </c>
      <c r="N92" s="18">
        <f t="shared" si="11"/>
        <v>0</v>
      </c>
    </row>
    <row r="93" spans="1:14">
      <c r="A93" s="7" t="s">
        <v>185</v>
      </c>
      <c r="B93" s="8" t="s">
        <v>186</v>
      </c>
      <c r="C93" s="18">
        <v>0</v>
      </c>
      <c r="D93" s="18">
        <v>0</v>
      </c>
      <c r="E93" s="18">
        <f t="shared" si="6"/>
        <v>0</v>
      </c>
      <c r="F93" s="18">
        <v>0</v>
      </c>
      <c r="G93" s="18">
        <v>0</v>
      </c>
      <c r="H93" s="18">
        <f t="shared" si="7"/>
        <v>0</v>
      </c>
      <c r="I93" s="18">
        <v>0</v>
      </c>
      <c r="J93" s="18">
        <v>0</v>
      </c>
      <c r="K93" s="18">
        <f t="shared" si="8"/>
        <v>0</v>
      </c>
      <c r="L93" s="18">
        <f t="shared" si="9"/>
        <v>0</v>
      </c>
      <c r="M93" s="18">
        <f t="shared" si="10"/>
        <v>0</v>
      </c>
      <c r="N93" s="18">
        <f t="shared" si="11"/>
        <v>0</v>
      </c>
    </row>
    <row r="94" spans="1:14">
      <c r="A94" s="7" t="s">
        <v>187</v>
      </c>
      <c r="B94" s="8" t="s">
        <v>188</v>
      </c>
      <c r="C94" s="18">
        <v>0</v>
      </c>
      <c r="D94" s="18">
        <v>0</v>
      </c>
      <c r="E94" s="18">
        <f t="shared" si="6"/>
        <v>0</v>
      </c>
      <c r="F94" s="18">
        <v>0</v>
      </c>
      <c r="G94" s="18">
        <v>0</v>
      </c>
      <c r="H94" s="18">
        <f t="shared" si="7"/>
        <v>0</v>
      </c>
      <c r="I94" s="18">
        <v>0</v>
      </c>
      <c r="J94" s="18">
        <v>0</v>
      </c>
      <c r="K94" s="18">
        <f t="shared" si="8"/>
        <v>0</v>
      </c>
      <c r="L94" s="18">
        <f t="shared" si="9"/>
        <v>0</v>
      </c>
      <c r="M94" s="18">
        <f t="shared" si="10"/>
        <v>0</v>
      </c>
      <c r="N94" s="18">
        <f t="shared" si="11"/>
        <v>0</v>
      </c>
    </row>
    <row r="95" spans="1:14">
      <c r="A95" s="7" t="s">
        <v>189</v>
      </c>
      <c r="B95" s="8" t="s">
        <v>190</v>
      </c>
      <c r="C95" s="18">
        <v>0</v>
      </c>
      <c r="D95" s="18">
        <v>0</v>
      </c>
      <c r="E95" s="18">
        <f t="shared" si="6"/>
        <v>0</v>
      </c>
      <c r="F95" s="18">
        <v>0</v>
      </c>
      <c r="G95" s="18">
        <v>0</v>
      </c>
      <c r="H95" s="18">
        <f t="shared" si="7"/>
        <v>0</v>
      </c>
      <c r="I95" s="18">
        <v>0</v>
      </c>
      <c r="J95" s="18">
        <v>0</v>
      </c>
      <c r="K95" s="18">
        <f t="shared" si="8"/>
        <v>0</v>
      </c>
      <c r="L95" s="18">
        <f t="shared" si="9"/>
        <v>0</v>
      </c>
      <c r="M95" s="18">
        <f t="shared" si="10"/>
        <v>0</v>
      </c>
      <c r="N95" s="18">
        <f t="shared" si="11"/>
        <v>0</v>
      </c>
    </row>
    <row r="96" spans="1:14">
      <c r="A96" s="7" t="s">
        <v>191</v>
      </c>
      <c r="B96" s="8" t="s">
        <v>192</v>
      </c>
      <c r="C96" s="18">
        <v>0</v>
      </c>
      <c r="D96" s="18">
        <v>0</v>
      </c>
      <c r="E96" s="18">
        <f t="shared" si="6"/>
        <v>0</v>
      </c>
      <c r="F96" s="18">
        <v>0</v>
      </c>
      <c r="G96" s="18">
        <v>0</v>
      </c>
      <c r="H96" s="18">
        <f t="shared" si="7"/>
        <v>0</v>
      </c>
      <c r="I96" s="18">
        <v>0</v>
      </c>
      <c r="J96" s="18">
        <v>0</v>
      </c>
      <c r="K96" s="18">
        <f t="shared" si="8"/>
        <v>0</v>
      </c>
      <c r="L96" s="18">
        <f t="shared" si="9"/>
        <v>0</v>
      </c>
      <c r="M96" s="18">
        <f t="shared" si="10"/>
        <v>0</v>
      </c>
      <c r="N96" s="18">
        <f t="shared" si="11"/>
        <v>0</v>
      </c>
    </row>
    <row r="97" ht="24" spans="1:14">
      <c r="A97" s="7" t="s">
        <v>193</v>
      </c>
      <c r="B97" s="8" t="s">
        <v>194</v>
      </c>
      <c r="C97" s="18">
        <v>0</v>
      </c>
      <c r="D97" s="18">
        <v>0</v>
      </c>
      <c r="E97" s="18">
        <f t="shared" si="6"/>
        <v>0</v>
      </c>
      <c r="F97" s="18">
        <v>0</v>
      </c>
      <c r="G97" s="18">
        <v>0</v>
      </c>
      <c r="H97" s="18">
        <f t="shared" si="7"/>
        <v>0</v>
      </c>
      <c r="I97" s="18">
        <v>0</v>
      </c>
      <c r="J97" s="18">
        <v>0</v>
      </c>
      <c r="K97" s="18">
        <f t="shared" si="8"/>
        <v>0</v>
      </c>
      <c r="L97" s="18">
        <f t="shared" si="9"/>
        <v>0</v>
      </c>
      <c r="M97" s="18">
        <f t="shared" si="10"/>
        <v>0</v>
      </c>
      <c r="N97" s="18">
        <f t="shared" si="11"/>
        <v>0</v>
      </c>
    </row>
    <row r="98" ht="24" spans="1:14">
      <c r="A98" s="7" t="s">
        <v>195</v>
      </c>
      <c r="B98" s="8" t="s">
        <v>196</v>
      </c>
      <c r="C98" s="18">
        <v>0</v>
      </c>
      <c r="D98" s="18">
        <v>0</v>
      </c>
      <c r="E98" s="18">
        <f t="shared" si="6"/>
        <v>0</v>
      </c>
      <c r="F98" s="18">
        <v>0</v>
      </c>
      <c r="G98" s="18">
        <v>0</v>
      </c>
      <c r="H98" s="18">
        <f t="shared" si="7"/>
        <v>0</v>
      </c>
      <c r="I98" s="18">
        <v>0</v>
      </c>
      <c r="J98" s="18">
        <v>0</v>
      </c>
      <c r="K98" s="18">
        <f t="shared" si="8"/>
        <v>0</v>
      </c>
      <c r="L98" s="18">
        <f t="shared" si="9"/>
        <v>0</v>
      </c>
      <c r="M98" s="18">
        <f t="shared" si="10"/>
        <v>0</v>
      </c>
      <c r="N98" s="18">
        <f t="shared" si="11"/>
        <v>0</v>
      </c>
    </row>
    <row r="99" spans="1:14">
      <c r="A99" s="7" t="s">
        <v>197</v>
      </c>
      <c r="B99" s="8" t="s">
        <v>198</v>
      </c>
      <c r="C99" s="18">
        <v>0</v>
      </c>
      <c r="D99" s="18">
        <v>0</v>
      </c>
      <c r="E99" s="18">
        <f t="shared" si="6"/>
        <v>0</v>
      </c>
      <c r="F99" s="18">
        <v>0</v>
      </c>
      <c r="G99" s="18">
        <v>0</v>
      </c>
      <c r="H99" s="18">
        <f t="shared" si="7"/>
        <v>0</v>
      </c>
      <c r="I99" s="18">
        <v>0</v>
      </c>
      <c r="J99" s="18">
        <v>0</v>
      </c>
      <c r="K99" s="18">
        <f t="shared" si="8"/>
        <v>0</v>
      </c>
      <c r="L99" s="18">
        <f t="shared" si="9"/>
        <v>0</v>
      </c>
      <c r="M99" s="18">
        <f t="shared" si="10"/>
        <v>0</v>
      </c>
      <c r="N99" s="18">
        <f t="shared" si="11"/>
        <v>0</v>
      </c>
    </row>
    <row r="100" spans="1:14">
      <c r="A100" s="7" t="s">
        <v>199</v>
      </c>
      <c r="B100" s="8" t="s">
        <v>200</v>
      </c>
      <c r="C100" s="18">
        <v>0</v>
      </c>
      <c r="D100" s="18">
        <v>0</v>
      </c>
      <c r="E100" s="18">
        <f t="shared" si="6"/>
        <v>0</v>
      </c>
      <c r="F100" s="18">
        <v>0</v>
      </c>
      <c r="G100" s="18">
        <v>0</v>
      </c>
      <c r="H100" s="18">
        <f t="shared" si="7"/>
        <v>0</v>
      </c>
      <c r="I100" s="18">
        <v>0</v>
      </c>
      <c r="J100" s="18">
        <v>0</v>
      </c>
      <c r="K100" s="18">
        <f t="shared" si="8"/>
        <v>0</v>
      </c>
      <c r="L100" s="18">
        <f t="shared" si="9"/>
        <v>0</v>
      </c>
      <c r="M100" s="18">
        <f t="shared" si="10"/>
        <v>0</v>
      </c>
      <c r="N100" s="18">
        <f t="shared" si="11"/>
        <v>0</v>
      </c>
    </row>
    <row r="101" ht="24" spans="1:14">
      <c r="A101" s="7" t="s">
        <v>201</v>
      </c>
      <c r="B101" s="8" t="s">
        <v>202</v>
      </c>
      <c r="C101" s="18">
        <v>0</v>
      </c>
      <c r="D101" s="18">
        <v>0</v>
      </c>
      <c r="E101" s="18">
        <f t="shared" si="6"/>
        <v>0</v>
      </c>
      <c r="F101" s="18">
        <v>0</v>
      </c>
      <c r="G101" s="18">
        <v>0</v>
      </c>
      <c r="H101" s="18">
        <f t="shared" si="7"/>
        <v>0</v>
      </c>
      <c r="I101" s="18">
        <v>0</v>
      </c>
      <c r="J101" s="18">
        <v>0</v>
      </c>
      <c r="K101" s="18">
        <f t="shared" si="8"/>
        <v>0</v>
      </c>
      <c r="L101" s="18">
        <f t="shared" si="9"/>
        <v>0</v>
      </c>
      <c r="M101" s="18">
        <f t="shared" si="10"/>
        <v>0</v>
      </c>
      <c r="N101" s="18">
        <f t="shared" si="11"/>
        <v>0</v>
      </c>
    </row>
    <row r="102" spans="1:14">
      <c r="A102" s="7" t="s">
        <v>203</v>
      </c>
      <c r="B102" s="8" t="s">
        <v>204</v>
      </c>
      <c r="C102" s="18">
        <v>0</v>
      </c>
      <c r="D102" s="18">
        <v>0</v>
      </c>
      <c r="E102" s="18">
        <f t="shared" si="6"/>
        <v>0</v>
      </c>
      <c r="F102" s="18">
        <v>0</v>
      </c>
      <c r="G102" s="18">
        <v>0</v>
      </c>
      <c r="H102" s="18">
        <f t="shared" si="7"/>
        <v>0</v>
      </c>
      <c r="I102" s="18">
        <v>0</v>
      </c>
      <c r="J102" s="18">
        <v>0</v>
      </c>
      <c r="K102" s="18">
        <f t="shared" si="8"/>
        <v>0</v>
      </c>
      <c r="L102" s="18">
        <f t="shared" si="9"/>
        <v>0</v>
      </c>
      <c r="M102" s="18">
        <f t="shared" si="10"/>
        <v>0</v>
      </c>
      <c r="N102" s="18">
        <f t="shared" si="11"/>
        <v>0</v>
      </c>
    </row>
    <row r="103" spans="1:14">
      <c r="A103" s="7" t="s">
        <v>205</v>
      </c>
      <c r="B103" s="8" t="s">
        <v>206</v>
      </c>
      <c r="C103" s="18">
        <v>0</v>
      </c>
      <c r="D103" s="18">
        <v>0</v>
      </c>
      <c r="E103" s="18">
        <f t="shared" si="6"/>
        <v>0</v>
      </c>
      <c r="F103" s="18">
        <v>0</v>
      </c>
      <c r="G103" s="18">
        <v>0</v>
      </c>
      <c r="H103" s="18">
        <f t="shared" si="7"/>
        <v>0</v>
      </c>
      <c r="I103" s="18">
        <v>0</v>
      </c>
      <c r="J103" s="18">
        <v>0</v>
      </c>
      <c r="K103" s="18">
        <f t="shared" si="8"/>
        <v>0</v>
      </c>
      <c r="L103" s="18">
        <f t="shared" si="9"/>
        <v>0</v>
      </c>
      <c r="M103" s="18">
        <f t="shared" si="10"/>
        <v>0</v>
      </c>
      <c r="N103" s="18">
        <f t="shared" si="11"/>
        <v>0</v>
      </c>
    </row>
    <row r="104" spans="1:14">
      <c r="A104" s="7" t="s">
        <v>207</v>
      </c>
      <c r="B104" s="8" t="s">
        <v>208</v>
      </c>
      <c r="C104" s="18">
        <v>0</v>
      </c>
      <c r="D104" s="18">
        <v>0</v>
      </c>
      <c r="E104" s="18">
        <f t="shared" si="6"/>
        <v>0</v>
      </c>
      <c r="F104" s="18">
        <v>0</v>
      </c>
      <c r="G104" s="18">
        <v>0</v>
      </c>
      <c r="H104" s="18">
        <f t="shared" si="7"/>
        <v>0</v>
      </c>
      <c r="I104" s="18">
        <v>0</v>
      </c>
      <c r="J104" s="18">
        <v>0</v>
      </c>
      <c r="K104" s="18">
        <f t="shared" si="8"/>
        <v>0</v>
      </c>
      <c r="L104" s="18">
        <f t="shared" si="9"/>
        <v>0</v>
      </c>
      <c r="M104" s="18">
        <f t="shared" si="10"/>
        <v>0</v>
      </c>
      <c r="N104" s="18">
        <f t="shared" si="11"/>
        <v>0</v>
      </c>
    </row>
    <row r="105" spans="1:14">
      <c r="A105" s="7" t="s">
        <v>209</v>
      </c>
      <c r="B105" s="8" t="s">
        <v>210</v>
      </c>
      <c r="C105" s="18">
        <v>0</v>
      </c>
      <c r="D105" s="18">
        <v>0</v>
      </c>
      <c r="E105" s="18">
        <f t="shared" si="6"/>
        <v>0</v>
      </c>
      <c r="F105" s="18">
        <v>0</v>
      </c>
      <c r="G105" s="18">
        <v>0</v>
      </c>
      <c r="H105" s="18">
        <f t="shared" si="7"/>
        <v>0</v>
      </c>
      <c r="I105" s="18">
        <v>0</v>
      </c>
      <c r="J105" s="18">
        <v>0</v>
      </c>
      <c r="K105" s="18">
        <f t="shared" si="8"/>
        <v>0</v>
      </c>
      <c r="L105" s="18">
        <f t="shared" si="9"/>
        <v>0</v>
      </c>
      <c r="M105" s="18">
        <f t="shared" si="10"/>
        <v>0</v>
      </c>
      <c r="N105" s="18">
        <f t="shared" si="11"/>
        <v>0</v>
      </c>
    </row>
    <row r="106" spans="1:14">
      <c r="A106" s="7" t="s">
        <v>211</v>
      </c>
      <c r="B106" s="8" t="s">
        <v>212</v>
      </c>
      <c r="C106" s="18">
        <v>0</v>
      </c>
      <c r="D106" s="18">
        <v>0</v>
      </c>
      <c r="E106" s="18">
        <f t="shared" si="6"/>
        <v>0</v>
      </c>
      <c r="F106" s="18">
        <v>0</v>
      </c>
      <c r="G106" s="18">
        <v>0</v>
      </c>
      <c r="H106" s="18">
        <f t="shared" si="7"/>
        <v>0</v>
      </c>
      <c r="I106" s="18">
        <v>0</v>
      </c>
      <c r="J106" s="18">
        <v>0</v>
      </c>
      <c r="K106" s="18">
        <f t="shared" si="8"/>
        <v>0</v>
      </c>
      <c r="L106" s="18">
        <f t="shared" si="9"/>
        <v>0</v>
      </c>
      <c r="M106" s="18">
        <f t="shared" si="10"/>
        <v>0</v>
      </c>
      <c r="N106" s="18">
        <f t="shared" si="11"/>
        <v>0</v>
      </c>
    </row>
    <row r="107" spans="1:14">
      <c r="A107" s="7" t="s">
        <v>213</v>
      </c>
      <c r="B107" s="8" t="s">
        <v>214</v>
      </c>
      <c r="C107" s="18">
        <v>0</v>
      </c>
      <c r="D107" s="18">
        <v>0</v>
      </c>
      <c r="E107" s="18">
        <f t="shared" si="6"/>
        <v>0</v>
      </c>
      <c r="F107" s="18">
        <v>0</v>
      </c>
      <c r="G107" s="18">
        <v>0</v>
      </c>
      <c r="H107" s="18">
        <f t="shared" si="7"/>
        <v>0</v>
      </c>
      <c r="I107" s="18">
        <v>0</v>
      </c>
      <c r="J107" s="18">
        <v>0</v>
      </c>
      <c r="K107" s="18">
        <f t="shared" si="8"/>
        <v>0</v>
      </c>
      <c r="L107" s="18">
        <f t="shared" si="9"/>
        <v>0</v>
      </c>
      <c r="M107" s="18">
        <f t="shared" si="10"/>
        <v>0</v>
      </c>
      <c r="N107" s="18">
        <f t="shared" si="11"/>
        <v>0</v>
      </c>
    </row>
    <row r="108" spans="1:14">
      <c r="A108" s="7" t="s">
        <v>215</v>
      </c>
      <c r="B108" s="8" t="s">
        <v>216</v>
      </c>
      <c r="C108" s="18">
        <v>0</v>
      </c>
      <c r="D108" s="18">
        <v>0</v>
      </c>
      <c r="E108" s="18">
        <f t="shared" si="6"/>
        <v>0</v>
      </c>
      <c r="F108" s="18">
        <v>0</v>
      </c>
      <c r="G108" s="18">
        <v>0</v>
      </c>
      <c r="H108" s="18">
        <f t="shared" si="7"/>
        <v>0</v>
      </c>
      <c r="I108" s="18">
        <v>0</v>
      </c>
      <c r="J108" s="18">
        <v>0</v>
      </c>
      <c r="K108" s="18">
        <f t="shared" si="8"/>
        <v>0</v>
      </c>
      <c r="L108" s="18">
        <f t="shared" si="9"/>
        <v>0</v>
      </c>
      <c r="M108" s="18">
        <f t="shared" si="10"/>
        <v>0</v>
      </c>
      <c r="N108" s="18">
        <f t="shared" si="11"/>
        <v>0</v>
      </c>
    </row>
    <row r="109" spans="1:14">
      <c r="A109" s="7" t="s">
        <v>217</v>
      </c>
      <c r="B109" s="8" t="s">
        <v>218</v>
      </c>
      <c r="C109" s="18">
        <v>0</v>
      </c>
      <c r="D109" s="18">
        <v>0</v>
      </c>
      <c r="E109" s="18">
        <f t="shared" si="6"/>
        <v>0</v>
      </c>
      <c r="F109" s="18">
        <v>0</v>
      </c>
      <c r="G109" s="18">
        <v>0</v>
      </c>
      <c r="H109" s="18">
        <f t="shared" si="7"/>
        <v>0</v>
      </c>
      <c r="I109" s="18">
        <v>0</v>
      </c>
      <c r="J109" s="18">
        <v>0</v>
      </c>
      <c r="K109" s="18">
        <f t="shared" si="8"/>
        <v>0</v>
      </c>
      <c r="L109" s="18">
        <f t="shared" si="9"/>
        <v>0</v>
      </c>
      <c r="M109" s="18">
        <f t="shared" si="10"/>
        <v>0</v>
      </c>
      <c r="N109" s="18">
        <f t="shared" si="11"/>
        <v>0</v>
      </c>
    </row>
    <row r="110" spans="1:14">
      <c r="A110" s="7" t="s">
        <v>219</v>
      </c>
      <c r="B110" s="8" t="s">
        <v>220</v>
      </c>
      <c r="C110" s="18">
        <v>0</v>
      </c>
      <c r="D110" s="18">
        <v>0</v>
      </c>
      <c r="E110" s="18">
        <f t="shared" si="6"/>
        <v>0</v>
      </c>
      <c r="F110" s="18">
        <v>0</v>
      </c>
      <c r="G110" s="18">
        <v>0</v>
      </c>
      <c r="H110" s="18">
        <f t="shared" si="7"/>
        <v>0</v>
      </c>
      <c r="I110" s="18">
        <v>0</v>
      </c>
      <c r="J110" s="18">
        <v>0</v>
      </c>
      <c r="K110" s="18">
        <f t="shared" si="8"/>
        <v>0</v>
      </c>
      <c r="L110" s="18">
        <f t="shared" si="9"/>
        <v>0</v>
      </c>
      <c r="M110" s="18">
        <f t="shared" si="10"/>
        <v>0</v>
      </c>
      <c r="N110" s="18">
        <f t="shared" si="11"/>
        <v>0</v>
      </c>
    </row>
    <row r="111" spans="1:14">
      <c r="A111" s="7" t="s">
        <v>221</v>
      </c>
      <c r="B111" s="8" t="s">
        <v>222</v>
      </c>
      <c r="C111" s="18">
        <v>0</v>
      </c>
      <c r="D111" s="18">
        <v>0</v>
      </c>
      <c r="E111" s="18">
        <f t="shared" si="6"/>
        <v>0</v>
      </c>
      <c r="F111" s="18">
        <v>0</v>
      </c>
      <c r="G111" s="18">
        <v>0</v>
      </c>
      <c r="H111" s="18">
        <f t="shared" si="7"/>
        <v>0</v>
      </c>
      <c r="I111" s="18">
        <v>0</v>
      </c>
      <c r="J111" s="18">
        <v>0</v>
      </c>
      <c r="K111" s="18">
        <f t="shared" si="8"/>
        <v>0</v>
      </c>
      <c r="L111" s="18">
        <f t="shared" si="9"/>
        <v>0</v>
      </c>
      <c r="M111" s="18">
        <f t="shared" si="10"/>
        <v>0</v>
      </c>
      <c r="N111" s="18">
        <f t="shared" si="11"/>
        <v>0</v>
      </c>
    </row>
    <row r="112" spans="1:14">
      <c r="A112" s="7" t="s">
        <v>223</v>
      </c>
      <c r="B112" s="8" t="s">
        <v>224</v>
      </c>
      <c r="C112" s="18">
        <v>0</v>
      </c>
      <c r="D112" s="18">
        <v>0</v>
      </c>
      <c r="E112" s="18">
        <f t="shared" si="6"/>
        <v>0</v>
      </c>
      <c r="F112" s="18">
        <v>0</v>
      </c>
      <c r="G112" s="18">
        <v>0</v>
      </c>
      <c r="H112" s="18">
        <f t="shared" si="7"/>
        <v>0</v>
      </c>
      <c r="I112" s="18">
        <v>0</v>
      </c>
      <c r="J112" s="18">
        <v>0</v>
      </c>
      <c r="K112" s="18">
        <f t="shared" si="8"/>
        <v>0</v>
      </c>
      <c r="L112" s="18">
        <f t="shared" si="9"/>
        <v>0</v>
      </c>
      <c r="M112" s="18">
        <f t="shared" si="10"/>
        <v>0</v>
      </c>
      <c r="N112" s="18">
        <f t="shared" si="11"/>
        <v>0</v>
      </c>
    </row>
    <row r="113" spans="1:14">
      <c r="A113" s="7" t="s">
        <v>225</v>
      </c>
      <c r="B113" s="8" t="s">
        <v>226</v>
      </c>
      <c r="C113" s="18">
        <v>0</v>
      </c>
      <c r="D113" s="18">
        <v>0</v>
      </c>
      <c r="E113" s="18">
        <f t="shared" si="6"/>
        <v>0</v>
      </c>
      <c r="F113" s="18">
        <v>0</v>
      </c>
      <c r="G113" s="18">
        <v>0</v>
      </c>
      <c r="H113" s="18">
        <f t="shared" si="7"/>
        <v>0</v>
      </c>
      <c r="I113" s="18">
        <v>0</v>
      </c>
      <c r="J113" s="18">
        <v>0</v>
      </c>
      <c r="K113" s="18">
        <f t="shared" si="8"/>
        <v>0</v>
      </c>
      <c r="L113" s="18">
        <f t="shared" si="9"/>
        <v>0</v>
      </c>
      <c r="M113" s="18">
        <f t="shared" si="10"/>
        <v>0</v>
      </c>
      <c r="N113" s="18">
        <f t="shared" si="11"/>
        <v>0</v>
      </c>
    </row>
    <row r="114" spans="1:14">
      <c r="A114" s="7" t="s">
        <v>227</v>
      </c>
      <c r="B114" s="8" t="s">
        <v>228</v>
      </c>
      <c r="C114" s="18">
        <v>0</v>
      </c>
      <c r="D114" s="18">
        <v>0</v>
      </c>
      <c r="E114" s="18">
        <f t="shared" si="6"/>
        <v>0</v>
      </c>
      <c r="F114" s="18">
        <v>0</v>
      </c>
      <c r="G114" s="18">
        <v>0</v>
      </c>
      <c r="H114" s="18">
        <f t="shared" si="7"/>
        <v>0</v>
      </c>
      <c r="I114" s="18">
        <v>0</v>
      </c>
      <c r="J114" s="18">
        <v>0</v>
      </c>
      <c r="K114" s="18">
        <f t="shared" si="8"/>
        <v>0</v>
      </c>
      <c r="L114" s="18">
        <f t="shared" si="9"/>
        <v>0</v>
      </c>
      <c r="M114" s="18">
        <f t="shared" si="10"/>
        <v>0</v>
      </c>
      <c r="N114" s="18">
        <f t="shared" si="11"/>
        <v>0</v>
      </c>
    </row>
    <row r="115" spans="1:14">
      <c r="A115" s="7" t="s">
        <v>229</v>
      </c>
      <c r="B115" s="8" t="s">
        <v>230</v>
      </c>
      <c r="C115" s="18">
        <v>0</v>
      </c>
      <c r="D115" s="18">
        <v>0</v>
      </c>
      <c r="E115" s="18">
        <f t="shared" si="6"/>
        <v>0</v>
      </c>
      <c r="F115" s="18">
        <v>0</v>
      </c>
      <c r="G115" s="18">
        <v>0</v>
      </c>
      <c r="H115" s="18">
        <f t="shared" si="7"/>
        <v>0</v>
      </c>
      <c r="I115" s="18">
        <v>0</v>
      </c>
      <c r="J115" s="18">
        <v>0</v>
      </c>
      <c r="K115" s="18">
        <f t="shared" si="8"/>
        <v>0</v>
      </c>
      <c r="L115" s="18">
        <f t="shared" si="9"/>
        <v>0</v>
      </c>
      <c r="M115" s="18">
        <f t="shared" si="10"/>
        <v>0</v>
      </c>
      <c r="N115" s="18">
        <f t="shared" si="11"/>
        <v>0</v>
      </c>
    </row>
    <row r="116" spans="1:14">
      <c r="A116" s="7" t="s">
        <v>231</v>
      </c>
      <c r="B116" s="8" t="s">
        <v>232</v>
      </c>
      <c r="C116" s="18">
        <v>0</v>
      </c>
      <c r="D116" s="18">
        <v>0</v>
      </c>
      <c r="E116" s="18">
        <f t="shared" si="6"/>
        <v>0</v>
      </c>
      <c r="F116" s="18">
        <v>0</v>
      </c>
      <c r="G116" s="18">
        <v>0</v>
      </c>
      <c r="H116" s="18">
        <f t="shared" si="7"/>
        <v>0</v>
      </c>
      <c r="I116" s="18">
        <v>0</v>
      </c>
      <c r="J116" s="18">
        <v>0</v>
      </c>
      <c r="K116" s="18">
        <f t="shared" si="8"/>
        <v>0</v>
      </c>
      <c r="L116" s="18">
        <f t="shared" si="9"/>
        <v>0</v>
      </c>
      <c r="M116" s="18">
        <f t="shared" si="10"/>
        <v>0</v>
      </c>
      <c r="N116" s="18">
        <f t="shared" si="11"/>
        <v>0</v>
      </c>
    </row>
    <row r="117" spans="1:14">
      <c r="A117" s="7" t="s">
        <v>233</v>
      </c>
      <c r="B117" s="8" t="s">
        <v>234</v>
      </c>
      <c r="C117" s="18">
        <v>0</v>
      </c>
      <c r="D117" s="18">
        <v>0</v>
      </c>
      <c r="E117" s="18">
        <f t="shared" si="6"/>
        <v>0</v>
      </c>
      <c r="F117" s="18">
        <v>0</v>
      </c>
      <c r="G117" s="18">
        <v>0</v>
      </c>
      <c r="H117" s="18">
        <f t="shared" si="7"/>
        <v>0</v>
      </c>
      <c r="I117" s="18">
        <v>0</v>
      </c>
      <c r="J117" s="18">
        <v>0</v>
      </c>
      <c r="K117" s="18">
        <f t="shared" si="8"/>
        <v>0</v>
      </c>
      <c r="L117" s="18">
        <f t="shared" si="9"/>
        <v>0</v>
      </c>
      <c r="M117" s="18">
        <f t="shared" si="10"/>
        <v>0</v>
      </c>
      <c r="N117" s="18">
        <f t="shared" si="11"/>
        <v>0</v>
      </c>
    </row>
    <row r="118" spans="1:14">
      <c r="A118" s="7" t="s">
        <v>235</v>
      </c>
      <c r="B118" s="8" t="s">
        <v>236</v>
      </c>
      <c r="C118" s="18">
        <v>0</v>
      </c>
      <c r="D118" s="18">
        <v>0</v>
      </c>
      <c r="E118" s="18">
        <f t="shared" si="6"/>
        <v>0</v>
      </c>
      <c r="F118" s="18">
        <v>0</v>
      </c>
      <c r="G118" s="18">
        <v>0</v>
      </c>
      <c r="H118" s="18">
        <f t="shared" si="7"/>
        <v>0</v>
      </c>
      <c r="I118" s="18">
        <v>0</v>
      </c>
      <c r="J118" s="18">
        <v>0</v>
      </c>
      <c r="K118" s="18">
        <f t="shared" si="8"/>
        <v>0</v>
      </c>
      <c r="L118" s="18">
        <f t="shared" si="9"/>
        <v>0</v>
      </c>
      <c r="M118" s="18">
        <f t="shared" si="10"/>
        <v>0</v>
      </c>
      <c r="N118" s="18">
        <f t="shared" si="11"/>
        <v>0</v>
      </c>
    </row>
    <row r="119" spans="1:14">
      <c r="A119" s="7" t="s">
        <v>237</v>
      </c>
      <c r="B119" s="8" t="s">
        <v>238</v>
      </c>
      <c r="C119" s="18">
        <v>0</v>
      </c>
      <c r="D119" s="18">
        <v>0</v>
      </c>
      <c r="E119" s="18">
        <f t="shared" si="6"/>
        <v>0</v>
      </c>
      <c r="F119" s="18">
        <v>0</v>
      </c>
      <c r="G119" s="18">
        <v>0</v>
      </c>
      <c r="H119" s="18">
        <f t="shared" si="7"/>
        <v>0</v>
      </c>
      <c r="I119" s="18">
        <v>0</v>
      </c>
      <c r="J119" s="18">
        <v>0</v>
      </c>
      <c r="K119" s="18">
        <f t="shared" si="8"/>
        <v>0</v>
      </c>
      <c r="L119" s="18">
        <f t="shared" si="9"/>
        <v>0</v>
      </c>
      <c r="M119" s="18">
        <f t="shared" si="10"/>
        <v>0</v>
      </c>
      <c r="N119" s="18">
        <f t="shared" si="11"/>
        <v>0</v>
      </c>
    </row>
    <row r="120" spans="1:14">
      <c r="A120" s="7" t="s">
        <v>239</v>
      </c>
      <c r="B120" s="8" t="s">
        <v>240</v>
      </c>
      <c r="C120" s="18">
        <v>0</v>
      </c>
      <c r="D120" s="18">
        <v>0</v>
      </c>
      <c r="E120" s="18">
        <f t="shared" si="6"/>
        <v>0</v>
      </c>
      <c r="F120" s="18">
        <v>0</v>
      </c>
      <c r="G120" s="18">
        <v>0</v>
      </c>
      <c r="H120" s="18">
        <f t="shared" si="7"/>
        <v>0</v>
      </c>
      <c r="I120" s="18">
        <v>0</v>
      </c>
      <c r="J120" s="18">
        <v>0</v>
      </c>
      <c r="K120" s="18">
        <f t="shared" si="8"/>
        <v>0</v>
      </c>
      <c r="L120" s="18">
        <f t="shared" si="9"/>
        <v>0</v>
      </c>
      <c r="M120" s="18">
        <f t="shared" si="10"/>
        <v>0</v>
      </c>
      <c r="N120" s="18">
        <f t="shared" si="11"/>
        <v>0</v>
      </c>
    </row>
    <row r="121" spans="1:14">
      <c r="A121" s="7" t="s">
        <v>241</v>
      </c>
      <c r="B121" s="8" t="s">
        <v>242</v>
      </c>
      <c r="C121" s="18">
        <v>0</v>
      </c>
      <c r="D121" s="18">
        <v>0</v>
      </c>
      <c r="E121" s="18">
        <f t="shared" si="6"/>
        <v>0</v>
      </c>
      <c r="F121" s="18">
        <v>0</v>
      </c>
      <c r="G121" s="18">
        <v>0</v>
      </c>
      <c r="H121" s="18">
        <f t="shared" si="7"/>
        <v>0</v>
      </c>
      <c r="I121" s="18">
        <v>0</v>
      </c>
      <c r="J121" s="18">
        <v>0</v>
      </c>
      <c r="K121" s="18">
        <f t="shared" si="8"/>
        <v>0</v>
      </c>
      <c r="L121" s="18">
        <f t="shared" si="9"/>
        <v>0</v>
      </c>
      <c r="M121" s="18">
        <f t="shared" si="10"/>
        <v>0</v>
      </c>
      <c r="N121" s="18">
        <f t="shared" si="11"/>
        <v>0</v>
      </c>
    </row>
    <row r="122" spans="1:14">
      <c r="A122" s="7" t="s">
        <v>243</v>
      </c>
      <c r="B122" s="8" t="s">
        <v>244</v>
      </c>
      <c r="C122" s="18">
        <v>0</v>
      </c>
      <c r="D122" s="18">
        <v>0</v>
      </c>
      <c r="E122" s="18">
        <f t="shared" si="6"/>
        <v>0</v>
      </c>
      <c r="F122" s="18">
        <v>0</v>
      </c>
      <c r="G122" s="18">
        <v>0</v>
      </c>
      <c r="H122" s="18">
        <f t="shared" si="7"/>
        <v>0</v>
      </c>
      <c r="I122" s="18">
        <v>0</v>
      </c>
      <c r="J122" s="18">
        <v>0</v>
      </c>
      <c r="K122" s="18">
        <f t="shared" si="8"/>
        <v>0</v>
      </c>
      <c r="L122" s="18">
        <f t="shared" si="9"/>
        <v>0</v>
      </c>
      <c r="M122" s="18">
        <f t="shared" si="10"/>
        <v>0</v>
      </c>
      <c r="N122" s="18">
        <f t="shared" si="11"/>
        <v>0</v>
      </c>
    </row>
    <row r="123" spans="1:14">
      <c r="A123" s="7" t="s">
        <v>245</v>
      </c>
      <c r="B123" s="8" t="s">
        <v>246</v>
      </c>
      <c r="C123" s="18">
        <v>0</v>
      </c>
      <c r="D123" s="18">
        <v>0</v>
      </c>
      <c r="E123" s="18">
        <f t="shared" si="6"/>
        <v>0</v>
      </c>
      <c r="F123" s="18">
        <v>0</v>
      </c>
      <c r="G123" s="18">
        <v>0</v>
      </c>
      <c r="H123" s="18">
        <f t="shared" si="7"/>
        <v>0</v>
      </c>
      <c r="I123" s="18">
        <v>0</v>
      </c>
      <c r="J123" s="18">
        <v>0</v>
      </c>
      <c r="K123" s="18">
        <f t="shared" si="8"/>
        <v>0</v>
      </c>
      <c r="L123" s="18">
        <f t="shared" si="9"/>
        <v>0</v>
      </c>
      <c r="M123" s="18">
        <f t="shared" si="10"/>
        <v>0</v>
      </c>
      <c r="N123" s="18">
        <f t="shared" si="11"/>
        <v>0</v>
      </c>
    </row>
    <row r="124" spans="1:14">
      <c r="A124" s="7" t="s">
        <v>247</v>
      </c>
      <c r="B124" s="8" t="s">
        <v>248</v>
      </c>
      <c r="C124" s="18">
        <v>0</v>
      </c>
      <c r="D124" s="18">
        <v>0</v>
      </c>
      <c r="E124" s="18">
        <f t="shared" si="6"/>
        <v>0</v>
      </c>
      <c r="F124" s="18">
        <v>0</v>
      </c>
      <c r="G124" s="18">
        <v>0</v>
      </c>
      <c r="H124" s="18">
        <f t="shared" si="7"/>
        <v>0</v>
      </c>
      <c r="I124" s="18">
        <v>0</v>
      </c>
      <c r="J124" s="18">
        <v>0</v>
      </c>
      <c r="K124" s="18">
        <f t="shared" si="8"/>
        <v>0</v>
      </c>
      <c r="L124" s="18">
        <f t="shared" si="9"/>
        <v>0</v>
      </c>
      <c r="M124" s="18">
        <f t="shared" si="10"/>
        <v>0</v>
      </c>
      <c r="N124" s="18">
        <f t="shared" si="11"/>
        <v>0</v>
      </c>
    </row>
    <row r="125" spans="1:14">
      <c r="A125" s="7" t="s">
        <v>249</v>
      </c>
      <c r="B125" s="8" t="s">
        <v>250</v>
      </c>
      <c r="C125" s="18">
        <v>0</v>
      </c>
      <c r="D125" s="18">
        <v>0</v>
      </c>
      <c r="E125" s="18">
        <f t="shared" si="6"/>
        <v>0</v>
      </c>
      <c r="F125" s="18">
        <v>0</v>
      </c>
      <c r="G125" s="18">
        <v>0</v>
      </c>
      <c r="H125" s="18">
        <f t="shared" si="7"/>
        <v>0</v>
      </c>
      <c r="I125" s="18">
        <v>0</v>
      </c>
      <c r="J125" s="18">
        <v>0</v>
      </c>
      <c r="K125" s="18">
        <f t="shared" si="8"/>
        <v>0</v>
      </c>
      <c r="L125" s="18">
        <f t="shared" si="9"/>
        <v>0</v>
      </c>
      <c r="M125" s="18">
        <f t="shared" si="10"/>
        <v>0</v>
      </c>
      <c r="N125" s="18">
        <f t="shared" si="11"/>
        <v>0</v>
      </c>
    </row>
    <row r="126" spans="1:14">
      <c r="A126" s="7" t="s">
        <v>251</v>
      </c>
      <c r="B126" s="8" t="s">
        <v>252</v>
      </c>
      <c r="C126" s="18">
        <v>0</v>
      </c>
      <c r="D126" s="18">
        <v>0</v>
      </c>
      <c r="E126" s="18">
        <f t="shared" si="6"/>
        <v>0</v>
      </c>
      <c r="F126" s="18">
        <v>0</v>
      </c>
      <c r="G126" s="18">
        <v>0</v>
      </c>
      <c r="H126" s="18">
        <f t="shared" si="7"/>
        <v>0</v>
      </c>
      <c r="I126" s="18">
        <v>0</v>
      </c>
      <c r="J126" s="18">
        <v>0</v>
      </c>
      <c r="K126" s="18">
        <f t="shared" si="8"/>
        <v>0</v>
      </c>
      <c r="L126" s="18">
        <f t="shared" si="9"/>
        <v>0</v>
      </c>
      <c r="M126" s="18">
        <f t="shared" si="10"/>
        <v>0</v>
      </c>
      <c r="N126" s="18">
        <f t="shared" si="11"/>
        <v>0</v>
      </c>
    </row>
    <row r="127" spans="1:14">
      <c r="A127" s="7" t="s">
        <v>253</v>
      </c>
      <c r="B127" s="8" t="s">
        <v>254</v>
      </c>
      <c r="C127" s="18">
        <v>0</v>
      </c>
      <c r="D127" s="18">
        <v>0</v>
      </c>
      <c r="E127" s="18">
        <f t="shared" si="6"/>
        <v>0</v>
      </c>
      <c r="F127" s="18">
        <v>0</v>
      </c>
      <c r="G127" s="18">
        <v>0</v>
      </c>
      <c r="H127" s="18">
        <f t="shared" si="7"/>
        <v>0</v>
      </c>
      <c r="I127" s="18">
        <v>0</v>
      </c>
      <c r="J127" s="18">
        <v>0</v>
      </c>
      <c r="K127" s="18">
        <f t="shared" si="8"/>
        <v>0</v>
      </c>
      <c r="L127" s="18">
        <f t="shared" si="9"/>
        <v>0</v>
      </c>
      <c r="M127" s="18">
        <f t="shared" si="10"/>
        <v>0</v>
      </c>
      <c r="N127" s="18">
        <f t="shared" si="11"/>
        <v>0</v>
      </c>
    </row>
    <row r="128" spans="1:14">
      <c r="A128" s="7" t="s">
        <v>255</v>
      </c>
      <c r="B128" s="8" t="s">
        <v>256</v>
      </c>
      <c r="C128" s="18">
        <v>0</v>
      </c>
      <c r="D128" s="18">
        <v>0</v>
      </c>
      <c r="E128" s="18">
        <f t="shared" si="6"/>
        <v>0</v>
      </c>
      <c r="F128" s="18">
        <v>0</v>
      </c>
      <c r="G128" s="18">
        <v>0</v>
      </c>
      <c r="H128" s="18">
        <f t="shared" si="7"/>
        <v>0</v>
      </c>
      <c r="I128" s="18">
        <v>0</v>
      </c>
      <c r="J128" s="18">
        <v>0</v>
      </c>
      <c r="K128" s="18">
        <f t="shared" si="8"/>
        <v>0</v>
      </c>
      <c r="L128" s="18">
        <f t="shared" si="9"/>
        <v>0</v>
      </c>
      <c r="M128" s="18">
        <f t="shared" si="10"/>
        <v>0</v>
      </c>
      <c r="N128" s="18">
        <f t="shared" si="11"/>
        <v>0</v>
      </c>
    </row>
    <row r="129" spans="1:14">
      <c r="A129" s="7" t="s">
        <v>257</v>
      </c>
      <c r="B129" s="8" t="s">
        <v>258</v>
      </c>
      <c r="C129" s="18">
        <v>0</v>
      </c>
      <c r="D129" s="18">
        <v>0</v>
      </c>
      <c r="E129" s="18">
        <f t="shared" si="6"/>
        <v>0</v>
      </c>
      <c r="F129" s="18">
        <v>0</v>
      </c>
      <c r="G129" s="18">
        <v>0</v>
      </c>
      <c r="H129" s="18">
        <f t="shared" si="7"/>
        <v>0</v>
      </c>
      <c r="I129" s="18">
        <v>0</v>
      </c>
      <c r="J129" s="18">
        <v>0</v>
      </c>
      <c r="K129" s="18">
        <f t="shared" si="8"/>
        <v>0</v>
      </c>
      <c r="L129" s="18">
        <f t="shared" si="9"/>
        <v>0</v>
      </c>
      <c r="M129" s="18">
        <f t="shared" si="10"/>
        <v>0</v>
      </c>
      <c r="N129" s="18">
        <f t="shared" si="11"/>
        <v>0</v>
      </c>
    </row>
    <row r="130" spans="1:14">
      <c r="A130" s="7" t="s">
        <v>259</v>
      </c>
      <c r="B130" s="8" t="s">
        <v>260</v>
      </c>
      <c r="C130" s="18">
        <v>0</v>
      </c>
      <c r="D130" s="18">
        <v>0</v>
      </c>
      <c r="E130" s="18">
        <f t="shared" si="6"/>
        <v>0</v>
      </c>
      <c r="F130" s="18">
        <v>0</v>
      </c>
      <c r="G130" s="18">
        <v>0</v>
      </c>
      <c r="H130" s="18">
        <f t="shared" si="7"/>
        <v>0</v>
      </c>
      <c r="I130" s="18">
        <v>0</v>
      </c>
      <c r="J130" s="18">
        <v>0</v>
      </c>
      <c r="K130" s="18">
        <f t="shared" si="8"/>
        <v>0</v>
      </c>
      <c r="L130" s="18">
        <f t="shared" si="9"/>
        <v>0</v>
      </c>
      <c r="M130" s="18">
        <f t="shared" si="10"/>
        <v>0</v>
      </c>
      <c r="N130" s="18">
        <f t="shared" si="11"/>
        <v>0</v>
      </c>
    </row>
    <row r="131" ht="24" spans="1:14">
      <c r="A131" s="7" t="s">
        <v>261</v>
      </c>
      <c r="B131" s="8" t="s">
        <v>262</v>
      </c>
      <c r="C131" s="18">
        <v>0</v>
      </c>
      <c r="D131" s="18">
        <v>0</v>
      </c>
      <c r="E131" s="18">
        <f t="shared" si="6"/>
        <v>0</v>
      </c>
      <c r="F131" s="18">
        <v>0</v>
      </c>
      <c r="G131" s="18">
        <v>0</v>
      </c>
      <c r="H131" s="18">
        <f t="shared" si="7"/>
        <v>0</v>
      </c>
      <c r="I131" s="18">
        <v>0</v>
      </c>
      <c r="J131" s="18">
        <v>0</v>
      </c>
      <c r="K131" s="18">
        <f t="shared" si="8"/>
        <v>0</v>
      </c>
      <c r="L131" s="18">
        <f t="shared" si="9"/>
        <v>0</v>
      </c>
      <c r="M131" s="18">
        <f t="shared" si="10"/>
        <v>0</v>
      </c>
      <c r="N131" s="18">
        <f t="shared" si="11"/>
        <v>0</v>
      </c>
    </row>
    <row r="132" ht="24" spans="1:14">
      <c r="A132" s="7" t="s">
        <v>263</v>
      </c>
      <c r="B132" s="8" t="s">
        <v>264</v>
      </c>
      <c r="C132" s="18">
        <v>0</v>
      </c>
      <c r="D132" s="18">
        <v>0</v>
      </c>
      <c r="E132" s="18">
        <f t="shared" si="6"/>
        <v>0</v>
      </c>
      <c r="F132" s="18">
        <v>0</v>
      </c>
      <c r="G132" s="18">
        <v>0</v>
      </c>
      <c r="H132" s="18">
        <f t="shared" si="7"/>
        <v>0</v>
      </c>
      <c r="I132" s="18">
        <v>0</v>
      </c>
      <c r="J132" s="18">
        <v>0</v>
      </c>
      <c r="K132" s="18">
        <f t="shared" si="8"/>
        <v>0</v>
      </c>
      <c r="L132" s="18">
        <f t="shared" si="9"/>
        <v>0</v>
      </c>
      <c r="M132" s="18">
        <f t="shared" si="10"/>
        <v>0</v>
      </c>
      <c r="N132" s="18">
        <f t="shared" si="11"/>
        <v>0</v>
      </c>
    </row>
    <row r="133" spans="1:14">
      <c r="A133" s="7" t="s">
        <v>265</v>
      </c>
      <c r="B133" s="8" t="s">
        <v>266</v>
      </c>
      <c r="C133" s="18">
        <v>0</v>
      </c>
      <c r="D133" s="18">
        <v>0</v>
      </c>
      <c r="E133" s="18">
        <f t="shared" ref="E133:E162" si="12">D133-C133</f>
        <v>0</v>
      </c>
      <c r="F133" s="18">
        <v>0</v>
      </c>
      <c r="G133" s="18">
        <v>0</v>
      </c>
      <c r="H133" s="18">
        <f t="shared" ref="H133:H162" si="13">G133-F133</f>
        <v>0</v>
      </c>
      <c r="I133" s="18">
        <v>0</v>
      </c>
      <c r="J133" s="18">
        <v>0</v>
      </c>
      <c r="K133" s="18">
        <f t="shared" ref="K133:K162" si="14">J133-I133</f>
        <v>0</v>
      </c>
      <c r="L133" s="18">
        <f t="shared" ref="L133:L162" si="15">C133+F133+I133</f>
        <v>0</v>
      </c>
      <c r="M133" s="18">
        <f t="shared" ref="M133:M162" si="16">D133+G133+J133</f>
        <v>0</v>
      </c>
      <c r="N133" s="18">
        <f t="shared" ref="N133:N162" si="17">M133-L133</f>
        <v>0</v>
      </c>
    </row>
    <row r="134" spans="1:14">
      <c r="A134" s="7" t="s">
        <v>267</v>
      </c>
      <c r="B134" s="8" t="s">
        <v>268</v>
      </c>
      <c r="C134" s="18">
        <v>0</v>
      </c>
      <c r="D134" s="18">
        <v>0</v>
      </c>
      <c r="E134" s="18">
        <f t="shared" si="12"/>
        <v>0</v>
      </c>
      <c r="F134" s="18">
        <v>0</v>
      </c>
      <c r="G134" s="18">
        <v>0</v>
      </c>
      <c r="H134" s="18">
        <f t="shared" si="13"/>
        <v>0</v>
      </c>
      <c r="I134" s="18">
        <v>0</v>
      </c>
      <c r="J134" s="18">
        <v>0</v>
      </c>
      <c r="K134" s="18">
        <f t="shared" si="14"/>
        <v>0</v>
      </c>
      <c r="L134" s="18">
        <f t="shared" si="15"/>
        <v>0</v>
      </c>
      <c r="M134" s="18">
        <f t="shared" si="16"/>
        <v>0</v>
      </c>
      <c r="N134" s="18">
        <f t="shared" si="17"/>
        <v>0</v>
      </c>
    </row>
    <row r="135" spans="1:14">
      <c r="A135" s="7" t="s">
        <v>269</v>
      </c>
      <c r="B135" s="8" t="s">
        <v>270</v>
      </c>
      <c r="C135" s="18">
        <v>0</v>
      </c>
      <c r="D135" s="18">
        <v>0</v>
      </c>
      <c r="E135" s="18">
        <f t="shared" si="12"/>
        <v>0</v>
      </c>
      <c r="F135" s="18">
        <v>0</v>
      </c>
      <c r="G135" s="18">
        <v>0</v>
      </c>
      <c r="H135" s="18">
        <f t="shared" si="13"/>
        <v>0</v>
      </c>
      <c r="I135" s="18">
        <v>0</v>
      </c>
      <c r="J135" s="18">
        <v>0</v>
      </c>
      <c r="K135" s="18">
        <f t="shared" si="14"/>
        <v>0</v>
      </c>
      <c r="L135" s="18">
        <f t="shared" si="15"/>
        <v>0</v>
      </c>
      <c r="M135" s="18">
        <f t="shared" si="16"/>
        <v>0</v>
      </c>
      <c r="N135" s="18">
        <f t="shared" si="17"/>
        <v>0</v>
      </c>
    </row>
    <row r="136" spans="1:14">
      <c r="A136" s="7" t="s">
        <v>271</v>
      </c>
      <c r="B136" s="8" t="s">
        <v>272</v>
      </c>
      <c r="C136" s="18">
        <v>0</v>
      </c>
      <c r="D136" s="18">
        <v>0</v>
      </c>
      <c r="E136" s="18">
        <f t="shared" si="12"/>
        <v>0</v>
      </c>
      <c r="F136" s="18">
        <v>0</v>
      </c>
      <c r="G136" s="18">
        <v>0</v>
      </c>
      <c r="H136" s="18">
        <f t="shared" si="13"/>
        <v>0</v>
      </c>
      <c r="I136" s="18">
        <v>0</v>
      </c>
      <c r="J136" s="18">
        <v>0</v>
      </c>
      <c r="K136" s="18">
        <f t="shared" si="14"/>
        <v>0</v>
      </c>
      <c r="L136" s="18">
        <f t="shared" si="15"/>
        <v>0</v>
      </c>
      <c r="M136" s="18">
        <f t="shared" si="16"/>
        <v>0</v>
      </c>
      <c r="N136" s="18">
        <f t="shared" si="17"/>
        <v>0</v>
      </c>
    </row>
    <row r="137" spans="1:14">
      <c r="A137" s="7" t="s">
        <v>273</v>
      </c>
      <c r="B137" s="8" t="s">
        <v>274</v>
      </c>
      <c r="C137" s="18">
        <v>0</v>
      </c>
      <c r="D137" s="18">
        <v>0</v>
      </c>
      <c r="E137" s="18">
        <f t="shared" si="12"/>
        <v>0</v>
      </c>
      <c r="F137" s="18">
        <v>0</v>
      </c>
      <c r="G137" s="18">
        <v>0</v>
      </c>
      <c r="H137" s="18">
        <f t="shared" si="13"/>
        <v>0</v>
      </c>
      <c r="I137" s="18">
        <v>0</v>
      </c>
      <c r="J137" s="18">
        <v>0</v>
      </c>
      <c r="K137" s="18">
        <f t="shared" si="14"/>
        <v>0</v>
      </c>
      <c r="L137" s="18">
        <f t="shared" si="15"/>
        <v>0</v>
      </c>
      <c r="M137" s="18">
        <f t="shared" si="16"/>
        <v>0</v>
      </c>
      <c r="N137" s="18">
        <f t="shared" si="17"/>
        <v>0</v>
      </c>
    </row>
    <row r="138" spans="1:14">
      <c r="A138" s="7" t="s">
        <v>275</v>
      </c>
      <c r="B138" s="8" t="s">
        <v>276</v>
      </c>
      <c r="C138" s="18">
        <v>0</v>
      </c>
      <c r="D138" s="18">
        <v>0</v>
      </c>
      <c r="E138" s="18">
        <f t="shared" si="12"/>
        <v>0</v>
      </c>
      <c r="F138" s="18">
        <v>0</v>
      </c>
      <c r="G138" s="18">
        <v>0</v>
      </c>
      <c r="H138" s="18">
        <f t="shared" si="13"/>
        <v>0</v>
      </c>
      <c r="I138" s="18">
        <v>0</v>
      </c>
      <c r="J138" s="18">
        <v>0</v>
      </c>
      <c r="K138" s="18">
        <f t="shared" si="14"/>
        <v>0</v>
      </c>
      <c r="L138" s="18">
        <f t="shared" si="15"/>
        <v>0</v>
      </c>
      <c r="M138" s="18">
        <f t="shared" si="16"/>
        <v>0</v>
      </c>
      <c r="N138" s="18">
        <f t="shared" si="17"/>
        <v>0</v>
      </c>
    </row>
    <row r="139" spans="1:14">
      <c r="A139" s="7" t="s">
        <v>277</v>
      </c>
      <c r="B139" s="8" t="s">
        <v>278</v>
      </c>
      <c r="C139" s="18">
        <v>0</v>
      </c>
      <c r="D139" s="18">
        <v>0</v>
      </c>
      <c r="E139" s="18">
        <f t="shared" si="12"/>
        <v>0</v>
      </c>
      <c r="F139" s="18">
        <v>0</v>
      </c>
      <c r="G139" s="18">
        <v>0</v>
      </c>
      <c r="H139" s="18">
        <f t="shared" si="13"/>
        <v>0</v>
      </c>
      <c r="I139" s="18">
        <v>0</v>
      </c>
      <c r="J139" s="18">
        <v>0</v>
      </c>
      <c r="K139" s="18">
        <f t="shared" si="14"/>
        <v>0</v>
      </c>
      <c r="L139" s="18">
        <f t="shared" si="15"/>
        <v>0</v>
      </c>
      <c r="M139" s="18">
        <f t="shared" si="16"/>
        <v>0</v>
      </c>
      <c r="N139" s="18">
        <f t="shared" si="17"/>
        <v>0</v>
      </c>
    </row>
    <row r="140" spans="1:14">
      <c r="A140" s="7" t="s">
        <v>279</v>
      </c>
      <c r="B140" s="8" t="s">
        <v>280</v>
      </c>
      <c r="C140" s="18">
        <v>0</v>
      </c>
      <c r="D140" s="18">
        <v>0</v>
      </c>
      <c r="E140" s="18">
        <f t="shared" si="12"/>
        <v>0</v>
      </c>
      <c r="F140" s="18">
        <v>0</v>
      </c>
      <c r="G140" s="18">
        <v>0</v>
      </c>
      <c r="H140" s="18">
        <f t="shared" si="13"/>
        <v>0</v>
      </c>
      <c r="I140" s="18">
        <v>0</v>
      </c>
      <c r="J140" s="18">
        <v>0</v>
      </c>
      <c r="K140" s="18">
        <f t="shared" si="14"/>
        <v>0</v>
      </c>
      <c r="L140" s="18">
        <f t="shared" si="15"/>
        <v>0</v>
      </c>
      <c r="M140" s="18">
        <f t="shared" si="16"/>
        <v>0</v>
      </c>
      <c r="N140" s="18">
        <f t="shared" si="17"/>
        <v>0</v>
      </c>
    </row>
    <row r="141" spans="1:14">
      <c r="A141" s="7" t="s">
        <v>281</v>
      </c>
      <c r="B141" s="8" t="s">
        <v>282</v>
      </c>
      <c r="C141" s="18">
        <v>0</v>
      </c>
      <c r="D141" s="18">
        <v>0</v>
      </c>
      <c r="E141" s="18">
        <f t="shared" si="12"/>
        <v>0</v>
      </c>
      <c r="F141" s="18">
        <v>0</v>
      </c>
      <c r="G141" s="18">
        <v>0</v>
      </c>
      <c r="H141" s="18">
        <f t="shared" si="13"/>
        <v>0</v>
      </c>
      <c r="I141" s="18">
        <v>0</v>
      </c>
      <c r="J141" s="18">
        <v>0</v>
      </c>
      <c r="K141" s="18">
        <f t="shared" si="14"/>
        <v>0</v>
      </c>
      <c r="L141" s="18">
        <f t="shared" si="15"/>
        <v>0</v>
      </c>
      <c r="M141" s="18">
        <f t="shared" si="16"/>
        <v>0</v>
      </c>
      <c r="N141" s="18">
        <f t="shared" si="17"/>
        <v>0</v>
      </c>
    </row>
    <row r="142" spans="1:14">
      <c r="A142" s="7" t="s">
        <v>283</v>
      </c>
      <c r="B142" s="8" t="s">
        <v>284</v>
      </c>
      <c r="C142" s="18">
        <v>0</v>
      </c>
      <c r="D142" s="18">
        <v>0</v>
      </c>
      <c r="E142" s="18">
        <f t="shared" si="12"/>
        <v>0</v>
      </c>
      <c r="F142" s="18">
        <v>450</v>
      </c>
      <c r="G142" s="18">
        <v>0</v>
      </c>
      <c r="H142" s="18">
        <f t="shared" si="13"/>
        <v>-450</v>
      </c>
      <c r="I142" s="18">
        <v>15887.61</v>
      </c>
      <c r="J142" s="18">
        <v>6487.02</v>
      </c>
      <c r="K142" s="18">
        <f t="shared" si="14"/>
        <v>-9400.59</v>
      </c>
      <c r="L142" s="18">
        <f t="shared" si="15"/>
        <v>16337.61</v>
      </c>
      <c r="M142" s="18">
        <f t="shared" si="16"/>
        <v>6487.02</v>
      </c>
      <c r="N142" s="18">
        <f t="shared" si="17"/>
        <v>-9850.59</v>
      </c>
    </row>
    <row r="143" ht="24" spans="1:14">
      <c r="A143" s="7" t="s">
        <v>285</v>
      </c>
      <c r="B143" s="8" t="s">
        <v>286</v>
      </c>
      <c r="C143" s="18">
        <v>0</v>
      </c>
      <c r="D143" s="18">
        <v>0</v>
      </c>
      <c r="E143" s="18">
        <f t="shared" si="12"/>
        <v>0</v>
      </c>
      <c r="F143" s="18">
        <v>310</v>
      </c>
      <c r="G143" s="18">
        <v>0</v>
      </c>
      <c r="H143" s="18">
        <f t="shared" si="13"/>
        <v>-310</v>
      </c>
      <c r="I143" s="18">
        <v>3400</v>
      </c>
      <c r="J143" s="18">
        <v>520</v>
      </c>
      <c r="K143" s="18">
        <f t="shared" si="14"/>
        <v>-2880</v>
      </c>
      <c r="L143" s="18">
        <f t="shared" si="15"/>
        <v>3710</v>
      </c>
      <c r="M143" s="18">
        <f t="shared" si="16"/>
        <v>520</v>
      </c>
      <c r="N143" s="18">
        <f t="shared" si="17"/>
        <v>-3190</v>
      </c>
    </row>
    <row r="144" spans="1:14">
      <c r="A144" s="7" t="s">
        <v>287</v>
      </c>
      <c r="B144" s="8" t="s">
        <v>288</v>
      </c>
      <c r="C144" s="18">
        <v>0</v>
      </c>
      <c r="D144" s="18">
        <v>0</v>
      </c>
      <c r="E144" s="18">
        <f t="shared" si="12"/>
        <v>0</v>
      </c>
      <c r="F144" s="18">
        <v>0</v>
      </c>
      <c r="G144" s="18">
        <v>0</v>
      </c>
      <c r="H144" s="18">
        <f t="shared" si="13"/>
        <v>0</v>
      </c>
      <c r="I144" s="18">
        <v>0</v>
      </c>
      <c r="J144" s="18">
        <v>0</v>
      </c>
      <c r="K144" s="18">
        <f t="shared" si="14"/>
        <v>0</v>
      </c>
      <c r="L144" s="18">
        <f t="shared" si="15"/>
        <v>0</v>
      </c>
      <c r="M144" s="18">
        <f t="shared" si="16"/>
        <v>0</v>
      </c>
      <c r="N144" s="18">
        <f t="shared" si="17"/>
        <v>0</v>
      </c>
    </row>
    <row r="145" spans="1:14">
      <c r="A145" s="7" t="s">
        <v>289</v>
      </c>
      <c r="B145" s="8" t="s">
        <v>290</v>
      </c>
      <c r="C145" s="18">
        <v>0</v>
      </c>
      <c r="D145" s="18">
        <v>0</v>
      </c>
      <c r="E145" s="18">
        <f t="shared" si="12"/>
        <v>0</v>
      </c>
      <c r="F145" s="18">
        <v>0</v>
      </c>
      <c r="G145" s="18">
        <v>0</v>
      </c>
      <c r="H145" s="18">
        <f t="shared" si="13"/>
        <v>0</v>
      </c>
      <c r="I145" s="18">
        <v>0</v>
      </c>
      <c r="J145" s="18">
        <v>0</v>
      </c>
      <c r="K145" s="18">
        <f t="shared" si="14"/>
        <v>0</v>
      </c>
      <c r="L145" s="18">
        <f t="shared" si="15"/>
        <v>0</v>
      </c>
      <c r="M145" s="18">
        <f t="shared" si="16"/>
        <v>0</v>
      </c>
      <c r="N145" s="18">
        <f t="shared" si="17"/>
        <v>0</v>
      </c>
    </row>
    <row r="146" spans="1:14">
      <c r="A146" s="7" t="s">
        <v>291</v>
      </c>
      <c r="B146" s="8" t="s">
        <v>292</v>
      </c>
      <c r="C146" s="18">
        <v>0</v>
      </c>
      <c r="D146" s="18">
        <v>0</v>
      </c>
      <c r="E146" s="18">
        <f t="shared" si="12"/>
        <v>0</v>
      </c>
      <c r="F146" s="18">
        <v>0</v>
      </c>
      <c r="G146" s="18">
        <v>0</v>
      </c>
      <c r="H146" s="18">
        <f t="shared" si="13"/>
        <v>0</v>
      </c>
      <c r="I146" s="18">
        <v>0</v>
      </c>
      <c r="J146" s="18">
        <v>0</v>
      </c>
      <c r="K146" s="18">
        <f t="shared" si="14"/>
        <v>0</v>
      </c>
      <c r="L146" s="18">
        <f t="shared" si="15"/>
        <v>0</v>
      </c>
      <c r="M146" s="18">
        <f t="shared" si="16"/>
        <v>0</v>
      </c>
      <c r="N146" s="18">
        <f t="shared" si="17"/>
        <v>0</v>
      </c>
    </row>
    <row r="147" ht="24" spans="1:14">
      <c r="A147" s="7" t="s">
        <v>293</v>
      </c>
      <c r="B147" s="8" t="s">
        <v>294</v>
      </c>
      <c r="C147" s="18">
        <v>13100</v>
      </c>
      <c r="D147" s="18"/>
      <c r="E147" s="18">
        <f t="shared" si="12"/>
        <v>-13100</v>
      </c>
      <c r="F147" s="18">
        <v>55796</v>
      </c>
      <c r="G147" s="18">
        <v>29246</v>
      </c>
      <c r="H147" s="18">
        <f t="shared" si="13"/>
        <v>-26550</v>
      </c>
      <c r="I147" s="18">
        <v>63556.34</v>
      </c>
      <c r="J147" s="18">
        <v>24790.71</v>
      </c>
      <c r="K147" s="18">
        <f t="shared" si="14"/>
        <v>-38765.63</v>
      </c>
      <c r="L147" s="18">
        <f t="shared" si="15"/>
        <v>132452.34</v>
      </c>
      <c r="M147" s="18">
        <f t="shared" si="16"/>
        <v>54036.71</v>
      </c>
      <c r="N147" s="18">
        <f t="shared" si="17"/>
        <v>-78415.63</v>
      </c>
    </row>
    <row r="148" ht="24" spans="1:14">
      <c r="A148" s="7" t="s">
        <v>295</v>
      </c>
      <c r="B148" s="8" t="s">
        <v>296</v>
      </c>
      <c r="C148" s="18"/>
      <c r="D148" s="18"/>
      <c r="E148" s="18">
        <f t="shared" si="12"/>
        <v>0</v>
      </c>
      <c r="F148" s="18">
        <v>600</v>
      </c>
      <c r="G148" s="18">
        <v>445</v>
      </c>
      <c r="H148" s="18">
        <f t="shared" si="13"/>
        <v>-155</v>
      </c>
      <c r="I148" s="18"/>
      <c r="J148" s="18"/>
      <c r="K148" s="18">
        <f t="shared" si="14"/>
        <v>0</v>
      </c>
      <c r="L148" s="18">
        <f t="shared" si="15"/>
        <v>600</v>
      </c>
      <c r="M148" s="18">
        <f t="shared" si="16"/>
        <v>445</v>
      </c>
      <c r="N148" s="18">
        <f t="shared" si="17"/>
        <v>-155</v>
      </c>
    </row>
    <row r="149" ht="24" spans="1:14">
      <c r="A149" s="7" t="s">
        <v>297</v>
      </c>
      <c r="B149" s="8" t="s">
        <v>298</v>
      </c>
      <c r="C149" s="18"/>
      <c r="D149" s="18"/>
      <c r="E149" s="18">
        <f t="shared" si="12"/>
        <v>0</v>
      </c>
      <c r="F149" s="18">
        <v>8974</v>
      </c>
      <c r="G149" s="18">
        <v>2710</v>
      </c>
      <c r="H149" s="18">
        <f t="shared" si="13"/>
        <v>-6264</v>
      </c>
      <c r="I149" s="18">
        <v>115593.01</v>
      </c>
      <c r="J149" s="18">
        <v>80063.32</v>
      </c>
      <c r="K149" s="18">
        <f t="shared" si="14"/>
        <v>-35529.69</v>
      </c>
      <c r="L149" s="18">
        <f t="shared" si="15"/>
        <v>124567.01</v>
      </c>
      <c r="M149" s="18">
        <f t="shared" si="16"/>
        <v>82773.32</v>
      </c>
      <c r="N149" s="18">
        <f t="shared" si="17"/>
        <v>-41793.69</v>
      </c>
    </row>
    <row r="150" ht="24" spans="1:14">
      <c r="A150" s="7" t="s">
        <v>299</v>
      </c>
      <c r="B150" s="8" t="s">
        <v>300</v>
      </c>
      <c r="C150" s="18">
        <v>14570</v>
      </c>
      <c r="D150" s="18">
        <v>0</v>
      </c>
      <c r="E150" s="18">
        <f t="shared" si="12"/>
        <v>-14570</v>
      </c>
      <c r="F150" s="18">
        <v>52440</v>
      </c>
      <c r="G150" s="18">
        <v>17843</v>
      </c>
      <c r="H150" s="18">
        <f t="shared" si="13"/>
        <v>-34597</v>
      </c>
      <c r="I150" s="18">
        <v>0</v>
      </c>
      <c r="J150" s="18">
        <v>23227.5</v>
      </c>
      <c r="K150" s="18">
        <f t="shared" si="14"/>
        <v>23227.5</v>
      </c>
      <c r="L150" s="18">
        <f t="shared" si="15"/>
        <v>67010</v>
      </c>
      <c r="M150" s="18">
        <f t="shared" si="16"/>
        <v>41070.5</v>
      </c>
      <c r="N150" s="18">
        <f t="shared" si="17"/>
        <v>-25939.5</v>
      </c>
    </row>
    <row r="151" ht="24" spans="1:14">
      <c r="A151" s="7"/>
      <c r="B151" s="8" t="s">
        <v>301</v>
      </c>
      <c r="C151" s="18"/>
      <c r="D151" s="18"/>
      <c r="E151" s="18">
        <f t="shared" si="12"/>
        <v>0</v>
      </c>
      <c r="F151" s="18"/>
      <c r="G151" s="18"/>
      <c r="H151" s="18">
        <f t="shared" si="13"/>
        <v>0</v>
      </c>
      <c r="I151" s="18">
        <v>33341.21</v>
      </c>
      <c r="J151" s="18">
        <v>20359.08</v>
      </c>
      <c r="K151" s="18">
        <f t="shared" si="14"/>
        <v>-12982.13</v>
      </c>
      <c r="L151" s="18">
        <f t="shared" si="15"/>
        <v>33341.21</v>
      </c>
      <c r="M151" s="18">
        <f t="shared" si="16"/>
        <v>20359.08</v>
      </c>
      <c r="N151" s="18">
        <f t="shared" si="17"/>
        <v>-12982.13</v>
      </c>
    </row>
    <row r="152" spans="1:14">
      <c r="A152" s="7" t="s">
        <v>302</v>
      </c>
      <c r="B152" s="8" t="s">
        <v>303</v>
      </c>
      <c r="C152" s="18"/>
      <c r="D152" s="18"/>
      <c r="E152" s="18">
        <f t="shared" si="12"/>
        <v>0</v>
      </c>
      <c r="F152" s="18"/>
      <c r="G152" s="18">
        <v>1713</v>
      </c>
      <c r="H152" s="18">
        <f t="shared" si="13"/>
        <v>1713</v>
      </c>
      <c r="I152" s="18">
        <v>7854.47</v>
      </c>
      <c r="J152" s="18">
        <v>6373.87</v>
      </c>
      <c r="K152" s="18">
        <f t="shared" si="14"/>
        <v>-1480.6</v>
      </c>
      <c r="L152" s="18">
        <f t="shared" si="15"/>
        <v>7854.47</v>
      </c>
      <c r="M152" s="18">
        <f t="shared" si="16"/>
        <v>8086.87</v>
      </c>
      <c r="N152" s="18">
        <f t="shared" si="17"/>
        <v>232.4</v>
      </c>
    </row>
    <row r="153" ht="24" spans="1:14">
      <c r="A153" s="7" t="s">
        <v>12</v>
      </c>
      <c r="B153" s="8" t="s">
        <v>304</v>
      </c>
      <c r="C153" s="18">
        <v>0</v>
      </c>
      <c r="D153" s="18">
        <v>0</v>
      </c>
      <c r="E153" s="18">
        <f t="shared" si="12"/>
        <v>0</v>
      </c>
      <c r="F153" s="18">
        <v>9494</v>
      </c>
      <c r="G153" s="18">
        <v>2100</v>
      </c>
      <c r="H153" s="18">
        <f t="shared" si="13"/>
        <v>-7394</v>
      </c>
      <c r="I153" s="18">
        <v>121083.32</v>
      </c>
      <c r="J153" s="18">
        <v>92330.39</v>
      </c>
      <c r="K153" s="18">
        <f t="shared" si="14"/>
        <v>-28752.93</v>
      </c>
      <c r="L153" s="18">
        <f t="shared" si="15"/>
        <v>130577.32</v>
      </c>
      <c r="M153" s="18">
        <f t="shared" si="16"/>
        <v>94430.39</v>
      </c>
      <c r="N153" s="18">
        <f t="shared" si="17"/>
        <v>-36146.93</v>
      </c>
    </row>
    <row r="154" spans="1:14">
      <c r="A154" s="7" t="s">
        <v>305</v>
      </c>
      <c r="B154" s="8" t="s">
        <v>306</v>
      </c>
      <c r="C154" s="18">
        <v>383700.64</v>
      </c>
      <c r="D154" s="18">
        <v>12531</v>
      </c>
      <c r="E154" s="18">
        <f t="shared" si="12"/>
        <v>-371169.64</v>
      </c>
      <c r="F154" s="18">
        <v>230839</v>
      </c>
      <c r="G154" s="18">
        <v>44001</v>
      </c>
      <c r="H154" s="18">
        <f t="shared" si="13"/>
        <v>-186838</v>
      </c>
      <c r="I154" s="18">
        <v>0</v>
      </c>
      <c r="J154" s="18">
        <v>8767.25</v>
      </c>
      <c r="K154" s="18">
        <f t="shared" si="14"/>
        <v>8767.25</v>
      </c>
      <c r="L154" s="18">
        <f t="shared" si="15"/>
        <v>614539.64</v>
      </c>
      <c r="M154" s="18">
        <f t="shared" si="16"/>
        <v>65299.25</v>
      </c>
      <c r="N154" s="18">
        <f t="shared" si="17"/>
        <v>-549240.39</v>
      </c>
    </row>
    <row r="155" ht="24" spans="1:14">
      <c r="A155" s="7"/>
      <c r="B155" s="8" t="s">
        <v>307</v>
      </c>
      <c r="C155" s="18">
        <v>0</v>
      </c>
      <c r="D155" s="18">
        <v>0</v>
      </c>
      <c r="E155" s="18">
        <f t="shared" si="12"/>
        <v>0</v>
      </c>
      <c r="F155" s="18">
        <v>124429</v>
      </c>
      <c r="G155" s="18">
        <v>55311</v>
      </c>
      <c r="H155" s="18">
        <f t="shared" si="13"/>
        <v>-69118</v>
      </c>
      <c r="I155" s="18">
        <v>0</v>
      </c>
      <c r="J155" s="18">
        <v>0</v>
      </c>
      <c r="K155" s="18">
        <f t="shared" si="14"/>
        <v>0</v>
      </c>
      <c r="L155" s="18">
        <f t="shared" si="15"/>
        <v>124429</v>
      </c>
      <c r="M155" s="18">
        <f t="shared" si="16"/>
        <v>55311</v>
      </c>
      <c r="N155" s="18">
        <f t="shared" si="17"/>
        <v>-69118</v>
      </c>
    </row>
    <row r="156" ht="24" spans="1:14">
      <c r="A156" s="7" t="s">
        <v>308</v>
      </c>
      <c r="B156" s="8" t="s">
        <v>309</v>
      </c>
      <c r="C156" s="18">
        <v>0</v>
      </c>
      <c r="D156" s="18">
        <v>12514</v>
      </c>
      <c r="E156" s="18">
        <f t="shared" si="12"/>
        <v>12514</v>
      </c>
      <c r="F156" s="18">
        <v>10978</v>
      </c>
      <c r="G156" s="18">
        <v>760</v>
      </c>
      <c r="H156" s="18">
        <f t="shared" si="13"/>
        <v>-10218</v>
      </c>
      <c r="I156" s="18">
        <v>18278.3</v>
      </c>
      <c r="J156" s="18">
        <v>5514.75</v>
      </c>
      <c r="K156" s="18">
        <f t="shared" si="14"/>
        <v>-12763.55</v>
      </c>
      <c r="L156" s="18">
        <f t="shared" si="15"/>
        <v>29256.3</v>
      </c>
      <c r="M156" s="18">
        <f t="shared" si="16"/>
        <v>18788.75</v>
      </c>
      <c r="N156" s="18">
        <f t="shared" si="17"/>
        <v>-10467.55</v>
      </c>
    </row>
    <row r="157" spans="1:14">
      <c r="A157" s="7" t="s">
        <v>310</v>
      </c>
      <c r="B157" s="8" t="s">
        <v>311</v>
      </c>
      <c r="C157" s="18">
        <v>0</v>
      </c>
      <c r="D157" s="18">
        <v>0</v>
      </c>
      <c r="E157" s="18">
        <f t="shared" si="12"/>
        <v>0</v>
      </c>
      <c r="F157" s="18">
        <v>5360</v>
      </c>
      <c r="G157" s="18">
        <v>840</v>
      </c>
      <c r="H157" s="18">
        <f t="shared" si="13"/>
        <v>-4520</v>
      </c>
      <c r="I157" s="18">
        <v>0</v>
      </c>
      <c r="J157" s="18">
        <v>0</v>
      </c>
      <c r="K157" s="18">
        <f t="shared" si="14"/>
        <v>0</v>
      </c>
      <c r="L157" s="18">
        <f t="shared" si="15"/>
        <v>5360</v>
      </c>
      <c r="M157" s="18">
        <f t="shared" si="16"/>
        <v>840</v>
      </c>
      <c r="N157" s="18">
        <f t="shared" si="17"/>
        <v>-4520</v>
      </c>
    </row>
    <row r="158" spans="1:14">
      <c r="A158" s="7" t="s">
        <v>312</v>
      </c>
      <c r="B158" s="8" t="s">
        <v>313</v>
      </c>
      <c r="C158" s="18"/>
      <c r="D158" s="18">
        <v>0</v>
      </c>
      <c r="E158" s="18">
        <f t="shared" si="12"/>
        <v>0</v>
      </c>
      <c r="F158" s="18"/>
      <c r="G158" s="18">
        <v>110388</v>
      </c>
      <c r="H158" s="18">
        <f t="shared" si="13"/>
        <v>110388</v>
      </c>
      <c r="I158" s="18"/>
      <c r="J158" s="18">
        <v>107747.62</v>
      </c>
      <c r="K158" s="18">
        <f t="shared" si="14"/>
        <v>107747.62</v>
      </c>
      <c r="L158" s="18">
        <f t="shared" si="15"/>
        <v>0</v>
      </c>
      <c r="M158" s="18">
        <f t="shared" si="16"/>
        <v>218135.62</v>
      </c>
      <c r="N158" s="18">
        <f t="shared" si="17"/>
        <v>218135.62</v>
      </c>
    </row>
    <row r="159" spans="1:14">
      <c r="A159" s="7" t="s">
        <v>314</v>
      </c>
      <c r="B159" s="8" t="s">
        <v>315</v>
      </c>
      <c r="C159" s="18">
        <v>108866</v>
      </c>
      <c r="D159" s="18">
        <v>0</v>
      </c>
      <c r="E159" s="18">
        <f t="shared" si="12"/>
        <v>-108866</v>
      </c>
      <c r="F159" s="18">
        <v>0</v>
      </c>
      <c r="G159" s="18">
        <v>0</v>
      </c>
      <c r="H159" s="18">
        <f t="shared" si="13"/>
        <v>0</v>
      </c>
      <c r="I159" s="18">
        <v>149211.34</v>
      </c>
      <c r="J159" s="18">
        <v>95036.49</v>
      </c>
      <c r="K159" s="18">
        <f t="shared" si="14"/>
        <v>-54174.85</v>
      </c>
      <c r="L159" s="18">
        <f t="shared" si="15"/>
        <v>258077.34</v>
      </c>
      <c r="M159" s="18">
        <f t="shared" si="16"/>
        <v>95036.49</v>
      </c>
      <c r="N159" s="18">
        <f t="shared" si="17"/>
        <v>-163040.85</v>
      </c>
    </row>
    <row r="160" spans="1:14">
      <c r="A160" s="7" t="s">
        <v>316</v>
      </c>
      <c r="B160" s="8" t="s">
        <v>317</v>
      </c>
      <c r="C160" s="18">
        <v>342080</v>
      </c>
      <c r="D160" s="18">
        <v>0</v>
      </c>
      <c r="E160" s="18">
        <f t="shared" si="12"/>
        <v>-342080</v>
      </c>
      <c r="F160" s="18">
        <v>15130</v>
      </c>
      <c r="G160" s="18">
        <v>2374</v>
      </c>
      <c r="H160" s="18">
        <f t="shared" si="13"/>
        <v>-12756</v>
      </c>
      <c r="I160" s="18">
        <v>197317.96</v>
      </c>
      <c r="J160" s="18">
        <v>125983.2</v>
      </c>
      <c r="K160" s="18">
        <f t="shared" si="14"/>
        <v>-71334.76</v>
      </c>
      <c r="L160" s="18">
        <f t="shared" si="15"/>
        <v>554527.96</v>
      </c>
      <c r="M160" s="18">
        <f t="shared" si="16"/>
        <v>128357.2</v>
      </c>
      <c r="N160" s="18">
        <f t="shared" si="17"/>
        <v>-426170.76</v>
      </c>
    </row>
    <row r="161" spans="1:14">
      <c r="A161" s="7" t="s">
        <v>318</v>
      </c>
      <c r="B161" s="8" t="s">
        <v>319</v>
      </c>
      <c r="C161" s="18">
        <v>0</v>
      </c>
      <c r="D161" s="18">
        <v>0</v>
      </c>
      <c r="E161" s="18">
        <f t="shared" si="12"/>
        <v>0</v>
      </c>
      <c r="F161" s="18">
        <v>0</v>
      </c>
      <c r="G161" s="18">
        <v>616</v>
      </c>
      <c r="H161" s="18">
        <f t="shared" si="13"/>
        <v>616</v>
      </c>
      <c r="I161" s="18">
        <v>106568.44</v>
      </c>
      <c r="J161" s="18">
        <v>71348.99</v>
      </c>
      <c r="K161" s="18">
        <f t="shared" si="14"/>
        <v>-35219.45</v>
      </c>
      <c r="L161" s="18">
        <f t="shared" si="15"/>
        <v>106568.44</v>
      </c>
      <c r="M161" s="18">
        <f t="shared" si="16"/>
        <v>71964.99</v>
      </c>
      <c r="N161" s="18">
        <f t="shared" si="17"/>
        <v>-34603.45</v>
      </c>
    </row>
    <row r="162" spans="1:14">
      <c r="A162" s="10" t="s">
        <v>320</v>
      </c>
      <c r="B162" s="11"/>
      <c r="C162" s="18">
        <f>SUM(C4:C161)</f>
        <v>2493290.14</v>
      </c>
      <c r="D162" s="18">
        <f>SUM(D4:D161)</f>
        <v>89353</v>
      </c>
      <c r="E162" s="18">
        <f t="shared" si="12"/>
        <v>-2403937.14</v>
      </c>
      <c r="F162" s="18">
        <f>SUM(F4:F161)</f>
        <v>3599763</v>
      </c>
      <c r="G162" s="18">
        <f>SUM(G4:G161)</f>
        <v>1269599</v>
      </c>
      <c r="H162" s="18">
        <f t="shared" si="13"/>
        <v>-2330164</v>
      </c>
      <c r="I162" s="18">
        <f>SUM(I4:I161)</f>
        <v>13604596.86</v>
      </c>
      <c r="J162" s="18">
        <f>SUM(J4:J161)</f>
        <v>6461801.21</v>
      </c>
      <c r="K162" s="18">
        <f t="shared" si="14"/>
        <v>-7142795.65</v>
      </c>
      <c r="L162" s="18">
        <f t="shared" si="15"/>
        <v>19697650</v>
      </c>
      <c r="M162" s="18">
        <f t="shared" si="16"/>
        <v>7820753.21</v>
      </c>
      <c r="N162" s="18">
        <f t="shared" si="17"/>
        <v>-11876896.79</v>
      </c>
    </row>
  </sheetData>
  <mergeCells count="9">
    <mergeCell ref="A1:N1"/>
    <mergeCell ref="A2:C2"/>
    <mergeCell ref="I2:K2"/>
    <mergeCell ref="L2:N2"/>
    <mergeCell ref="C3:E3"/>
    <mergeCell ref="F3:H3"/>
    <mergeCell ref="I3:K3"/>
    <mergeCell ref="L3:N3"/>
    <mergeCell ref="A162:B16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0"/>
  <sheetViews>
    <sheetView tabSelected="1" workbookViewId="0">
      <selection activeCell="I158" sqref="I158"/>
    </sheetView>
  </sheetViews>
  <sheetFormatPr defaultColWidth="9" defaultRowHeight="13.5" outlineLevelCol="5"/>
  <cols>
    <col min="2" max="2" width="37.875" customWidth="1"/>
    <col min="3" max="3" width="10.125" customWidth="1"/>
    <col min="4" max="4" width="10.25" customWidth="1"/>
    <col min="5" max="5" width="12.375" customWidth="1"/>
    <col min="6" max="6" width="13.25" customWidth="1"/>
  </cols>
  <sheetData>
    <row r="1" ht="22.5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3"/>
      <c r="D2" s="3"/>
      <c r="E2" s="4"/>
      <c r="F2" s="4"/>
    </row>
    <row r="3" ht="31.5" customHeight="1" spans="1:6">
      <c r="A3" s="5" t="s">
        <v>2</v>
      </c>
      <c r="B3" s="6" t="s">
        <v>3</v>
      </c>
      <c r="C3" s="7" t="s">
        <v>4</v>
      </c>
      <c r="D3" s="5" t="s">
        <v>5</v>
      </c>
      <c r="E3" s="7" t="s">
        <v>6</v>
      </c>
      <c r="F3" s="7" t="s">
        <v>320</v>
      </c>
    </row>
    <row r="4" ht="18.75" customHeight="1" spans="1:6">
      <c r="A4" s="7" t="s">
        <v>8</v>
      </c>
      <c r="B4" s="8" t="s">
        <v>9</v>
      </c>
      <c r="C4" s="9">
        <v>0</v>
      </c>
      <c r="D4" s="9">
        <v>16888</v>
      </c>
      <c r="E4" s="9">
        <v>8372.5</v>
      </c>
      <c r="F4" s="9">
        <f t="shared" ref="F4:F67" si="0">C4+D4+E4</f>
        <v>25260.5</v>
      </c>
    </row>
    <row r="5" ht="18.75" customHeight="1" spans="1:6">
      <c r="A5" s="7" t="s">
        <v>10</v>
      </c>
      <c r="B5" s="8" t="s">
        <v>11</v>
      </c>
      <c r="C5" s="9">
        <v>0</v>
      </c>
      <c r="D5" s="9">
        <v>17185</v>
      </c>
      <c r="E5" s="9">
        <v>15783</v>
      </c>
      <c r="F5" s="9">
        <f t="shared" si="0"/>
        <v>32968</v>
      </c>
    </row>
    <row r="6" ht="18.75" customHeight="1" spans="1:6">
      <c r="A6" s="7" t="s">
        <v>12</v>
      </c>
      <c r="B6" s="8" t="s">
        <v>13</v>
      </c>
      <c r="C6" s="9">
        <v>0</v>
      </c>
      <c r="D6" s="9">
        <v>23210</v>
      </c>
      <c r="E6" s="9">
        <v>125637.8</v>
      </c>
      <c r="F6" s="9">
        <f t="shared" si="0"/>
        <v>148847.8</v>
      </c>
    </row>
    <row r="7" ht="18.75" customHeight="1" spans="1:6">
      <c r="A7" s="7" t="s">
        <v>14</v>
      </c>
      <c r="B7" s="8" t="s">
        <v>15</v>
      </c>
      <c r="C7" s="9">
        <v>0</v>
      </c>
      <c r="D7" s="9">
        <v>0</v>
      </c>
      <c r="E7" s="9">
        <v>0</v>
      </c>
      <c r="F7" s="9">
        <f t="shared" si="0"/>
        <v>0</v>
      </c>
    </row>
    <row r="8" ht="18.75" customHeight="1" spans="1:6">
      <c r="A8" s="7" t="s">
        <v>16</v>
      </c>
      <c r="B8" s="8" t="s">
        <v>17</v>
      </c>
      <c r="C8" s="9">
        <v>17874</v>
      </c>
      <c r="D8" s="9">
        <v>586760</v>
      </c>
      <c r="E8" s="9">
        <v>649840.44</v>
      </c>
      <c r="F8" s="9">
        <f t="shared" si="0"/>
        <v>1254474.44</v>
      </c>
    </row>
    <row r="9" ht="18.75" customHeight="1" spans="1:6">
      <c r="A9" s="7" t="s">
        <v>18</v>
      </c>
      <c r="B9" s="8" t="s">
        <v>19</v>
      </c>
      <c r="C9" s="9">
        <v>0</v>
      </c>
      <c r="D9" s="9">
        <v>2115</v>
      </c>
      <c r="E9" s="9">
        <v>32979.46</v>
      </c>
      <c r="F9" s="9">
        <f t="shared" si="0"/>
        <v>35094.46</v>
      </c>
    </row>
    <row r="10" ht="18.75" customHeight="1" spans="1:6">
      <c r="A10" s="7" t="s">
        <v>20</v>
      </c>
      <c r="B10" s="8" t="s">
        <v>21</v>
      </c>
      <c r="C10" s="9">
        <v>0</v>
      </c>
      <c r="D10" s="9">
        <v>53276</v>
      </c>
      <c r="E10" s="9">
        <v>50562.55</v>
      </c>
      <c r="F10" s="9">
        <f t="shared" si="0"/>
        <v>103838.55</v>
      </c>
    </row>
    <row r="11" ht="18.75" customHeight="1" spans="1:6">
      <c r="A11" s="7" t="s">
        <v>24</v>
      </c>
      <c r="B11" s="8" t="s">
        <v>25</v>
      </c>
      <c r="C11" s="9">
        <v>0</v>
      </c>
      <c r="D11" s="9">
        <v>0</v>
      </c>
      <c r="E11" s="9" t="s">
        <v>26</v>
      </c>
      <c r="F11" s="9">
        <f t="shared" si="0"/>
        <v>11564</v>
      </c>
    </row>
    <row r="12" ht="18.75" customHeight="1" spans="1:6">
      <c r="A12" s="7" t="s">
        <v>27</v>
      </c>
      <c r="B12" s="8" t="s">
        <v>28</v>
      </c>
      <c r="C12" s="9">
        <v>0</v>
      </c>
      <c r="D12" s="9">
        <v>26445</v>
      </c>
      <c r="E12" s="9">
        <v>14349.8</v>
      </c>
      <c r="F12" s="9">
        <f t="shared" si="0"/>
        <v>40794.8</v>
      </c>
    </row>
    <row r="13" ht="18.75" customHeight="1" spans="1:6">
      <c r="A13" s="7" t="s">
        <v>29</v>
      </c>
      <c r="B13" s="8" t="s">
        <v>30</v>
      </c>
      <c r="C13" s="9">
        <v>0</v>
      </c>
      <c r="D13" s="9">
        <v>1747</v>
      </c>
      <c r="E13" s="9">
        <v>0</v>
      </c>
      <c r="F13" s="9">
        <f t="shared" si="0"/>
        <v>1747</v>
      </c>
    </row>
    <row r="14" ht="18.75" customHeight="1" spans="1:6">
      <c r="A14" s="7"/>
      <c r="B14" s="8" t="s">
        <v>33</v>
      </c>
      <c r="C14" s="9">
        <v>0</v>
      </c>
      <c r="D14" s="9">
        <v>1230</v>
      </c>
      <c r="E14" s="9">
        <v>61773.22</v>
      </c>
      <c r="F14" s="9">
        <f t="shared" si="0"/>
        <v>63003.22</v>
      </c>
    </row>
    <row r="15" ht="18.75" customHeight="1" spans="1:6">
      <c r="A15" s="7" t="s">
        <v>34</v>
      </c>
      <c r="B15" s="8" t="s">
        <v>35</v>
      </c>
      <c r="C15" s="9">
        <v>0</v>
      </c>
      <c r="D15" s="9">
        <v>0</v>
      </c>
      <c r="E15" s="9">
        <v>15799.04</v>
      </c>
      <c r="F15" s="9">
        <f t="shared" si="0"/>
        <v>15799.04</v>
      </c>
    </row>
    <row r="16" ht="18.75" customHeight="1" spans="1:6">
      <c r="A16" s="7" t="s">
        <v>36</v>
      </c>
      <c r="B16" s="8" t="s">
        <v>37</v>
      </c>
      <c r="C16" s="9">
        <v>0</v>
      </c>
      <c r="D16" s="9">
        <v>0</v>
      </c>
      <c r="E16" s="9">
        <v>41257</v>
      </c>
      <c r="F16" s="9">
        <f t="shared" si="0"/>
        <v>41257</v>
      </c>
    </row>
    <row r="17" ht="18.75" customHeight="1" spans="1:6">
      <c r="A17" s="7" t="s">
        <v>38</v>
      </c>
      <c r="B17" s="8" t="s">
        <v>39</v>
      </c>
      <c r="C17" s="9">
        <v>0</v>
      </c>
      <c r="D17" s="9">
        <v>0</v>
      </c>
      <c r="E17" s="9">
        <v>19578.18</v>
      </c>
      <c r="F17" s="9">
        <f t="shared" si="0"/>
        <v>19578.18</v>
      </c>
    </row>
    <row r="18" ht="18.75" customHeight="1" spans="1:6">
      <c r="A18" s="7" t="s">
        <v>40</v>
      </c>
      <c r="B18" s="8" t="s">
        <v>41</v>
      </c>
      <c r="C18" s="9">
        <v>0</v>
      </c>
      <c r="D18" s="9">
        <v>0</v>
      </c>
      <c r="E18" s="9">
        <v>0</v>
      </c>
      <c r="F18" s="9">
        <f t="shared" si="0"/>
        <v>0</v>
      </c>
    </row>
    <row r="19" ht="18.75" customHeight="1" spans="1:6">
      <c r="A19" s="7" t="s">
        <v>42</v>
      </c>
      <c r="B19" s="8" t="s">
        <v>43</v>
      </c>
      <c r="C19" s="9">
        <v>0</v>
      </c>
      <c r="D19" s="9">
        <v>0</v>
      </c>
      <c r="E19" s="9">
        <v>0</v>
      </c>
      <c r="F19" s="9">
        <f t="shared" si="0"/>
        <v>0</v>
      </c>
    </row>
    <row r="20" ht="18.75" customHeight="1" spans="1:6">
      <c r="A20" s="7" t="s">
        <v>44</v>
      </c>
      <c r="B20" s="8" t="s">
        <v>45</v>
      </c>
      <c r="C20" s="9">
        <v>0</v>
      </c>
      <c r="D20" s="9">
        <v>480</v>
      </c>
      <c r="E20" s="9">
        <v>0</v>
      </c>
      <c r="F20" s="9">
        <f t="shared" si="0"/>
        <v>480</v>
      </c>
    </row>
    <row r="21" ht="18.75" customHeight="1" spans="1:6">
      <c r="A21" s="7" t="s">
        <v>46</v>
      </c>
      <c r="B21" s="8" t="s">
        <v>321</v>
      </c>
      <c r="C21" s="9">
        <v>0</v>
      </c>
      <c r="D21" s="9">
        <v>37216</v>
      </c>
      <c r="E21" s="9">
        <v>1918948.59</v>
      </c>
      <c r="F21" s="9">
        <f t="shared" si="0"/>
        <v>1956164.59</v>
      </c>
    </row>
    <row r="22" ht="18.75" customHeight="1" spans="1:6">
      <c r="A22" s="7" t="s">
        <v>48</v>
      </c>
      <c r="B22" s="8" t="s">
        <v>49</v>
      </c>
      <c r="C22" s="9">
        <v>0</v>
      </c>
      <c r="D22" s="9">
        <v>0</v>
      </c>
      <c r="E22" s="9">
        <v>22762.6</v>
      </c>
      <c r="F22" s="9">
        <f t="shared" si="0"/>
        <v>22762.6</v>
      </c>
    </row>
    <row r="23" ht="18.75" customHeight="1" spans="1:6">
      <c r="A23" s="7" t="s">
        <v>50</v>
      </c>
      <c r="B23" s="8" t="s">
        <v>51</v>
      </c>
      <c r="C23" s="9">
        <v>0</v>
      </c>
      <c r="D23" s="9">
        <v>0</v>
      </c>
      <c r="E23" s="9">
        <v>2548</v>
      </c>
      <c r="F23" s="9">
        <f t="shared" si="0"/>
        <v>2548</v>
      </c>
    </row>
    <row r="24" ht="18.75" customHeight="1" spans="1:6">
      <c r="A24" s="7" t="s">
        <v>52</v>
      </c>
      <c r="B24" s="8" t="s">
        <v>53</v>
      </c>
      <c r="C24" s="9">
        <v>12514</v>
      </c>
      <c r="D24" s="9">
        <v>5909</v>
      </c>
      <c r="E24" s="9">
        <v>14010.5</v>
      </c>
      <c r="F24" s="9">
        <f t="shared" si="0"/>
        <v>32433.5</v>
      </c>
    </row>
    <row r="25" ht="18.75" customHeight="1" spans="1:6">
      <c r="A25" s="7" t="s">
        <v>54</v>
      </c>
      <c r="B25" s="8" t="s">
        <v>55</v>
      </c>
      <c r="C25" s="9">
        <v>0</v>
      </c>
      <c r="D25" s="9">
        <v>0</v>
      </c>
      <c r="E25" s="9">
        <v>5969.9</v>
      </c>
      <c r="F25" s="9">
        <f t="shared" si="0"/>
        <v>5969.9</v>
      </c>
    </row>
    <row r="26" ht="18.75" customHeight="1" spans="1:6">
      <c r="A26" s="7" t="s">
        <v>56</v>
      </c>
      <c r="B26" s="8" t="s">
        <v>57</v>
      </c>
      <c r="C26" s="9">
        <v>0</v>
      </c>
      <c r="D26" s="9">
        <v>7440</v>
      </c>
      <c r="E26" s="9">
        <v>6466.3</v>
      </c>
      <c r="F26" s="9">
        <f t="shared" si="0"/>
        <v>13906.3</v>
      </c>
    </row>
    <row r="27" ht="18.75" customHeight="1" spans="1:6">
      <c r="A27" s="7" t="s">
        <v>58</v>
      </c>
      <c r="B27" s="8" t="s">
        <v>59</v>
      </c>
      <c r="C27" s="9">
        <v>0</v>
      </c>
      <c r="D27" s="9">
        <v>4710</v>
      </c>
      <c r="E27" s="9">
        <v>263917.89</v>
      </c>
      <c r="F27" s="9">
        <f t="shared" si="0"/>
        <v>268627.89</v>
      </c>
    </row>
    <row r="28" ht="18.75" customHeight="1" spans="1:6">
      <c r="A28" s="7" t="s">
        <v>60</v>
      </c>
      <c r="B28" s="8" t="s">
        <v>61</v>
      </c>
      <c r="C28" s="9">
        <v>0</v>
      </c>
      <c r="D28" s="9">
        <v>7229</v>
      </c>
      <c r="E28" s="9">
        <v>605086.4</v>
      </c>
      <c r="F28" s="9">
        <f t="shared" si="0"/>
        <v>612315.4</v>
      </c>
    </row>
    <row r="29" ht="18.75" customHeight="1" spans="1:6">
      <c r="A29" s="7" t="s">
        <v>62</v>
      </c>
      <c r="B29" s="8" t="s">
        <v>63</v>
      </c>
      <c r="C29" s="9">
        <v>0</v>
      </c>
      <c r="D29" s="9">
        <v>0</v>
      </c>
      <c r="E29" s="9">
        <v>0</v>
      </c>
      <c r="F29" s="9">
        <f t="shared" si="0"/>
        <v>0</v>
      </c>
    </row>
    <row r="30" ht="18.75" customHeight="1" spans="1:6">
      <c r="A30" s="7" t="s">
        <v>64</v>
      </c>
      <c r="B30" s="8" t="s">
        <v>65</v>
      </c>
      <c r="C30" s="9">
        <v>0</v>
      </c>
      <c r="D30" s="9">
        <v>0</v>
      </c>
      <c r="E30" s="9">
        <v>0</v>
      </c>
      <c r="F30" s="9">
        <f t="shared" si="0"/>
        <v>0</v>
      </c>
    </row>
    <row r="31" ht="18.75" customHeight="1" spans="1:6">
      <c r="A31" s="7" t="s">
        <v>66</v>
      </c>
      <c r="B31" s="8" t="s">
        <v>67</v>
      </c>
      <c r="C31" s="9">
        <v>0</v>
      </c>
      <c r="D31" s="9">
        <v>0</v>
      </c>
      <c r="E31" s="9">
        <v>0</v>
      </c>
      <c r="F31" s="9">
        <f t="shared" si="0"/>
        <v>0</v>
      </c>
    </row>
    <row r="32" ht="18.75" customHeight="1" spans="1:6">
      <c r="A32" s="7" t="s">
        <v>68</v>
      </c>
      <c r="B32" s="8" t="s">
        <v>69</v>
      </c>
      <c r="C32" s="9">
        <v>0</v>
      </c>
      <c r="D32" s="9">
        <v>0</v>
      </c>
      <c r="E32" s="9">
        <v>0</v>
      </c>
      <c r="F32" s="9">
        <f t="shared" si="0"/>
        <v>0</v>
      </c>
    </row>
    <row r="33" ht="18.75" customHeight="1" spans="1:6">
      <c r="A33" s="7" t="s">
        <v>70</v>
      </c>
      <c r="B33" s="8" t="s">
        <v>71</v>
      </c>
      <c r="C33" s="9">
        <v>0</v>
      </c>
      <c r="D33" s="9">
        <v>4050</v>
      </c>
      <c r="E33" s="9">
        <v>0</v>
      </c>
      <c r="F33" s="9">
        <f t="shared" si="0"/>
        <v>4050</v>
      </c>
    </row>
    <row r="34" ht="18.75" customHeight="1" spans="1:6">
      <c r="A34" s="7" t="s">
        <v>72</v>
      </c>
      <c r="B34" s="8" t="s">
        <v>73</v>
      </c>
      <c r="C34" s="9">
        <v>0</v>
      </c>
      <c r="D34" s="9">
        <v>1653</v>
      </c>
      <c r="E34" s="9">
        <v>260</v>
      </c>
      <c r="F34" s="9">
        <f t="shared" si="0"/>
        <v>1913</v>
      </c>
    </row>
    <row r="35" ht="18.75" customHeight="1" spans="1:6">
      <c r="A35" s="7" t="s">
        <v>74</v>
      </c>
      <c r="B35" s="8" t="s">
        <v>75</v>
      </c>
      <c r="C35" s="9">
        <v>0</v>
      </c>
      <c r="D35" s="9">
        <v>0</v>
      </c>
      <c r="E35" s="9">
        <v>0</v>
      </c>
      <c r="F35" s="9">
        <f t="shared" si="0"/>
        <v>0</v>
      </c>
    </row>
    <row r="36" ht="18.75" customHeight="1" spans="1:6">
      <c r="A36" s="7" t="s">
        <v>76</v>
      </c>
      <c r="B36" s="8" t="s">
        <v>77</v>
      </c>
      <c r="C36" s="9">
        <v>0</v>
      </c>
      <c r="D36" s="9">
        <v>0</v>
      </c>
      <c r="E36" s="9">
        <v>0</v>
      </c>
      <c r="F36" s="9">
        <f t="shared" si="0"/>
        <v>0</v>
      </c>
    </row>
    <row r="37" ht="18.75" customHeight="1" spans="1:6">
      <c r="A37" s="7" t="s">
        <v>78</v>
      </c>
      <c r="B37" s="8" t="s">
        <v>79</v>
      </c>
      <c r="C37" s="9">
        <v>0</v>
      </c>
      <c r="D37" s="9">
        <v>0</v>
      </c>
      <c r="E37" s="9">
        <v>0</v>
      </c>
      <c r="F37" s="9">
        <f t="shared" si="0"/>
        <v>0</v>
      </c>
    </row>
    <row r="38" ht="18.75" customHeight="1" spans="1:6">
      <c r="A38" s="7" t="s">
        <v>80</v>
      </c>
      <c r="B38" s="8" t="s">
        <v>81</v>
      </c>
      <c r="C38" s="9">
        <v>0</v>
      </c>
      <c r="D38" s="9">
        <v>0</v>
      </c>
      <c r="E38" s="9">
        <v>0</v>
      </c>
      <c r="F38" s="9">
        <f t="shared" si="0"/>
        <v>0</v>
      </c>
    </row>
    <row r="39" ht="18.75" customHeight="1" spans="1:6">
      <c r="A39" s="7" t="s">
        <v>82</v>
      </c>
      <c r="B39" s="8" t="s">
        <v>83</v>
      </c>
      <c r="C39" s="9">
        <v>0</v>
      </c>
      <c r="D39" s="9">
        <v>16832</v>
      </c>
      <c r="E39" s="9">
        <v>719694.27</v>
      </c>
      <c r="F39" s="9">
        <f t="shared" si="0"/>
        <v>736526.27</v>
      </c>
    </row>
    <row r="40" ht="18.75" customHeight="1" spans="1:6">
      <c r="A40" s="7" t="s">
        <v>84</v>
      </c>
      <c r="B40" s="8" t="s">
        <v>85</v>
      </c>
      <c r="C40" s="9">
        <v>0</v>
      </c>
      <c r="D40" s="9">
        <v>2060</v>
      </c>
      <c r="E40" s="9">
        <v>0</v>
      </c>
      <c r="F40" s="9">
        <f t="shared" si="0"/>
        <v>2060</v>
      </c>
    </row>
    <row r="41" ht="18.75" customHeight="1" spans="1:6">
      <c r="A41" s="7" t="s">
        <v>86</v>
      </c>
      <c r="B41" s="8" t="s">
        <v>87</v>
      </c>
      <c r="C41" s="9">
        <v>0</v>
      </c>
      <c r="D41" s="9">
        <v>0</v>
      </c>
      <c r="E41" s="9">
        <v>1564.3</v>
      </c>
      <c r="F41" s="9">
        <f t="shared" si="0"/>
        <v>1564.3</v>
      </c>
    </row>
    <row r="42" ht="18.75" customHeight="1" spans="1:6">
      <c r="A42" s="7" t="s">
        <v>88</v>
      </c>
      <c r="B42" s="8" t="s">
        <v>89</v>
      </c>
      <c r="C42" s="9">
        <v>0</v>
      </c>
      <c r="D42" s="9">
        <v>0</v>
      </c>
      <c r="E42" s="9">
        <v>4630.25</v>
      </c>
      <c r="F42" s="9">
        <f t="shared" si="0"/>
        <v>4630.25</v>
      </c>
    </row>
    <row r="43" ht="18.75" customHeight="1" spans="1:6">
      <c r="A43" s="7" t="s">
        <v>90</v>
      </c>
      <c r="B43" s="8" t="s">
        <v>91</v>
      </c>
      <c r="C43" s="9">
        <v>0</v>
      </c>
      <c r="D43" s="9">
        <v>1500</v>
      </c>
      <c r="E43" s="9">
        <v>5535.5</v>
      </c>
      <c r="F43" s="9">
        <f t="shared" si="0"/>
        <v>7035.5</v>
      </c>
    </row>
    <row r="44" ht="18.75" customHeight="1" spans="1:6">
      <c r="A44" s="7" t="s">
        <v>92</v>
      </c>
      <c r="B44" s="8" t="s">
        <v>93</v>
      </c>
      <c r="C44" s="9">
        <v>0</v>
      </c>
      <c r="D44" s="9">
        <v>0</v>
      </c>
      <c r="E44" s="9">
        <v>7248.75</v>
      </c>
      <c r="F44" s="9">
        <f t="shared" si="0"/>
        <v>7248.75</v>
      </c>
    </row>
    <row r="45" ht="18.75" customHeight="1" spans="1:6">
      <c r="A45" s="7" t="s">
        <v>94</v>
      </c>
      <c r="B45" s="8" t="s">
        <v>95</v>
      </c>
      <c r="C45" s="9">
        <v>0</v>
      </c>
      <c r="D45" s="9">
        <v>833</v>
      </c>
      <c r="E45" s="9">
        <v>4517</v>
      </c>
      <c r="F45" s="9">
        <f t="shared" si="0"/>
        <v>5350</v>
      </c>
    </row>
    <row r="46" ht="18.75" customHeight="1" spans="1:6">
      <c r="A46" s="7" t="s">
        <v>96</v>
      </c>
      <c r="B46" s="8" t="s">
        <v>97</v>
      </c>
      <c r="C46" s="9">
        <v>0</v>
      </c>
      <c r="D46" s="9">
        <v>0</v>
      </c>
      <c r="E46" s="9">
        <v>776</v>
      </c>
      <c r="F46" s="9">
        <f t="shared" si="0"/>
        <v>776</v>
      </c>
    </row>
    <row r="47" ht="18.75" customHeight="1" spans="1:6">
      <c r="A47" s="7" t="s">
        <v>98</v>
      </c>
      <c r="B47" s="8" t="s">
        <v>99</v>
      </c>
      <c r="C47" s="9">
        <v>0</v>
      </c>
      <c r="D47" s="9">
        <v>780</v>
      </c>
      <c r="E47" s="9">
        <v>0</v>
      </c>
      <c r="F47" s="9">
        <f t="shared" si="0"/>
        <v>780</v>
      </c>
    </row>
    <row r="48" ht="18.75" customHeight="1" spans="1:6">
      <c r="A48" s="7" t="s">
        <v>100</v>
      </c>
      <c r="B48" s="8" t="s">
        <v>101</v>
      </c>
      <c r="C48" s="9">
        <v>0</v>
      </c>
      <c r="D48" s="9">
        <v>0</v>
      </c>
      <c r="E48" s="9">
        <v>0</v>
      </c>
      <c r="F48" s="9">
        <f t="shared" si="0"/>
        <v>0</v>
      </c>
    </row>
    <row r="49" ht="18.75" customHeight="1" spans="1:6">
      <c r="A49" s="7" t="s">
        <v>102</v>
      </c>
      <c r="B49" s="8" t="s">
        <v>103</v>
      </c>
      <c r="C49" s="9">
        <v>0</v>
      </c>
      <c r="D49" s="9">
        <v>17514</v>
      </c>
      <c r="E49" s="9">
        <v>14556.35</v>
      </c>
      <c r="F49" s="9">
        <f t="shared" si="0"/>
        <v>32070.35</v>
      </c>
    </row>
    <row r="50" ht="18.75" customHeight="1" spans="1:6">
      <c r="A50" s="7" t="s">
        <v>104</v>
      </c>
      <c r="B50" s="8" t="s">
        <v>105</v>
      </c>
      <c r="C50" s="9">
        <v>0</v>
      </c>
      <c r="D50" s="9">
        <v>0</v>
      </c>
      <c r="E50" s="9">
        <v>0</v>
      </c>
      <c r="F50" s="9">
        <f t="shared" si="0"/>
        <v>0</v>
      </c>
    </row>
    <row r="51" ht="18.75" customHeight="1" spans="1:6">
      <c r="A51" s="7" t="s">
        <v>106</v>
      </c>
      <c r="B51" s="8" t="s">
        <v>107</v>
      </c>
      <c r="C51" s="9">
        <v>0</v>
      </c>
      <c r="D51" s="9">
        <v>0</v>
      </c>
      <c r="E51" s="9">
        <v>0</v>
      </c>
      <c r="F51" s="9">
        <f t="shared" si="0"/>
        <v>0</v>
      </c>
    </row>
    <row r="52" ht="18.75" customHeight="1" spans="1:6">
      <c r="A52" s="7" t="s">
        <v>108</v>
      </c>
      <c r="B52" s="8" t="s">
        <v>109</v>
      </c>
      <c r="C52" s="9">
        <v>0</v>
      </c>
      <c r="D52" s="9">
        <v>1440</v>
      </c>
      <c r="E52" s="9">
        <v>0</v>
      </c>
      <c r="F52" s="9">
        <f t="shared" si="0"/>
        <v>1440</v>
      </c>
    </row>
    <row r="53" ht="18.75" customHeight="1" spans="1:6">
      <c r="A53" s="7" t="s">
        <v>110</v>
      </c>
      <c r="B53" s="8" t="s">
        <v>111</v>
      </c>
      <c r="C53" s="9">
        <v>33920</v>
      </c>
      <c r="D53" s="9">
        <v>23933</v>
      </c>
      <c r="E53" s="9">
        <v>17390</v>
      </c>
      <c r="F53" s="9">
        <f t="shared" si="0"/>
        <v>75243</v>
      </c>
    </row>
    <row r="54" ht="18.75" customHeight="1" spans="1:6">
      <c r="A54" s="7" t="s">
        <v>112</v>
      </c>
      <c r="B54" s="8" t="s">
        <v>113</v>
      </c>
      <c r="C54" s="9">
        <v>0</v>
      </c>
      <c r="D54" s="9">
        <v>890</v>
      </c>
      <c r="E54" s="9">
        <v>46924.17</v>
      </c>
      <c r="F54" s="9">
        <f t="shared" si="0"/>
        <v>47814.17</v>
      </c>
    </row>
    <row r="55" ht="18.75" customHeight="1" spans="1:6">
      <c r="A55" s="7" t="s">
        <v>114</v>
      </c>
      <c r="B55" s="8" t="s">
        <v>115</v>
      </c>
      <c r="C55" s="9">
        <v>0</v>
      </c>
      <c r="D55" s="9">
        <v>4643</v>
      </c>
      <c r="E55" s="9">
        <v>40101.9</v>
      </c>
      <c r="F55" s="9">
        <f t="shared" si="0"/>
        <v>44744.9</v>
      </c>
    </row>
    <row r="56" ht="18.75" customHeight="1" spans="1:6">
      <c r="A56" s="7" t="s">
        <v>116</v>
      </c>
      <c r="B56" s="8" t="s">
        <v>117</v>
      </c>
      <c r="C56" s="9">
        <v>0</v>
      </c>
      <c r="D56" s="9">
        <v>21352</v>
      </c>
      <c r="E56" s="9">
        <v>74040.25</v>
      </c>
      <c r="F56" s="9">
        <f t="shared" si="0"/>
        <v>95392.25</v>
      </c>
    </row>
    <row r="57" ht="18.75" customHeight="1" spans="1:6">
      <c r="A57" s="7">
        <v>29009</v>
      </c>
      <c r="B57" s="8" t="s">
        <v>118</v>
      </c>
      <c r="C57" s="9">
        <v>0</v>
      </c>
      <c r="D57" s="9">
        <v>6218</v>
      </c>
      <c r="E57" s="9">
        <v>48661.87</v>
      </c>
      <c r="F57" s="9">
        <f t="shared" si="0"/>
        <v>54879.87</v>
      </c>
    </row>
    <row r="58" ht="18.75" customHeight="1" spans="1:6">
      <c r="A58" s="7" t="s">
        <v>119</v>
      </c>
      <c r="B58" s="8" t="s">
        <v>120</v>
      </c>
      <c r="C58" s="9">
        <v>0</v>
      </c>
      <c r="D58" s="9">
        <v>1920</v>
      </c>
      <c r="E58" s="9">
        <v>0</v>
      </c>
      <c r="F58" s="9">
        <f t="shared" si="0"/>
        <v>1920</v>
      </c>
    </row>
    <row r="59" ht="18.75" customHeight="1" spans="1:6">
      <c r="A59" s="7" t="s">
        <v>121</v>
      </c>
      <c r="B59" s="8" t="s">
        <v>122</v>
      </c>
      <c r="C59" s="9">
        <v>0</v>
      </c>
      <c r="D59" s="9">
        <v>0</v>
      </c>
      <c r="E59" s="9">
        <v>228528.25</v>
      </c>
      <c r="F59" s="9">
        <f t="shared" si="0"/>
        <v>228528.25</v>
      </c>
    </row>
    <row r="60" ht="18.75" customHeight="1" spans="1:6">
      <c r="A60" s="7" t="s">
        <v>123</v>
      </c>
      <c r="B60" s="8" t="s">
        <v>124</v>
      </c>
      <c r="C60" s="9">
        <v>0</v>
      </c>
      <c r="D60" s="9">
        <v>1928</v>
      </c>
      <c r="E60" s="9">
        <v>19487.57</v>
      </c>
      <c r="F60" s="9">
        <f t="shared" si="0"/>
        <v>21415.57</v>
      </c>
    </row>
    <row r="61" ht="18.75" customHeight="1" spans="1:6">
      <c r="A61" s="7" t="s">
        <v>125</v>
      </c>
      <c r="B61" s="8" t="s">
        <v>126</v>
      </c>
      <c r="C61" s="9">
        <v>0</v>
      </c>
      <c r="D61" s="9">
        <v>0</v>
      </c>
      <c r="E61" s="9">
        <v>0</v>
      </c>
      <c r="F61" s="9">
        <f t="shared" si="0"/>
        <v>0</v>
      </c>
    </row>
    <row r="62" ht="18.75" customHeight="1" spans="1:6">
      <c r="A62" s="7" t="s">
        <v>127</v>
      </c>
      <c r="B62" s="8" t="s">
        <v>128</v>
      </c>
      <c r="C62" s="9">
        <v>0</v>
      </c>
      <c r="D62" s="9">
        <v>0</v>
      </c>
      <c r="E62" s="9">
        <v>10937.95</v>
      </c>
      <c r="F62" s="9">
        <f t="shared" si="0"/>
        <v>10937.95</v>
      </c>
    </row>
    <row r="63" ht="18.75" customHeight="1" spans="1:6">
      <c r="A63" s="7" t="s">
        <v>129</v>
      </c>
      <c r="B63" s="8" t="s">
        <v>130</v>
      </c>
      <c r="C63" s="9">
        <v>0</v>
      </c>
      <c r="D63" s="9">
        <v>0</v>
      </c>
      <c r="E63" s="9">
        <v>39664.59</v>
      </c>
      <c r="F63" s="9">
        <f t="shared" si="0"/>
        <v>39664.59</v>
      </c>
    </row>
    <row r="64" ht="18.75" customHeight="1" spans="1:6">
      <c r="A64" s="7" t="s">
        <v>131</v>
      </c>
      <c r="B64" s="8" t="s">
        <v>132</v>
      </c>
      <c r="C64" s="9">
        <v>0</v>
      </c>
      <c r="D64" s="9">
        <v>0</v>
      </c>
      <c r="E64" s="9">
        <v>11075.94</v>
      </c>
      <c r="F64" s="9">
        <f t="shared" si="0"/>
        <v>11075.94</v>
      </c>
    </row>
    <row r="65" ht="18.75" customHeight="1" spans="1:6">
      <c r="A65" s="7" t="s">
        <v>133</v>
      </c>
      <c r="B65" s="8" t="s">
        <v>134</v>
      </c>
      <c r="C65" s="9">
        <v>0</v>
      </c>
      <c r="D65" s="9">
        <v>0</v>
      </c>
      <c r="E65" s="9">
        <v>0</v>
      </c>
      <c r="F65" s="9">
        <f t="shared" si="0"/>
        <v>0</v>
      </c>
    </row>
    <row r="66" ht="18.75" customHeight="1" spans="1:6">
      <c r="A66" s="7" t="s">
        <v>135</v>
      </c>
      <c r="B66" s="8" t="s">
        <v>136</v>
      </c>
      <c r="C66" s="9">
        <v>0</v>
      </c>
      <c r="D66" s="9">
        <v>0</v>
      </c>
      <c r="E66" s="9">
        <v>0</v>
      </c>
      <c r="F66" s="9">
        <f t="shared" si="0"/>
        <v>0</v>
      </c>
    </row>
    <row r="67" ht="18.75" customHeight="1" spans="1:6">
      <c r="A67" s="7" t="s">
        <v>137</v>
      </c>
      <c r="B67" s="8" t="s">
        <v>138</v>
      </c>
      <c r="C67" s="9">
        <v>0</v>
      </c>
      <c r="D67" s="9">
        <v>0</v>
      </c>
      <c r="E67" s="9">
        <v>0</v>
      </c>
      <c r="F67" s="9">
        <f t="shared" si="0"/>
        <v>0</v>
      </c>
    </row>
    <row r="68" ht="18.75" customHeight="1" spans="1:6">
      <c r="A68" s="7" t="s">
        <v>139</v>
      </c>
      <c r="B68" s="8" t="s">
        <v>140</v>
      </c>
      <c r="C68" s="9">
        <v>0</v>
      </c>
      <c r="D68" s="9">
        <v>0</v>
      </c>
      <c r="E68" s="9">
        <v>14801.25</v>
      </c>
      <c r="F68" s="9">
        <f t="shared" ref="F68:F131" si="1">C68+D68+E68</f>
        <v>14801.25</v>
      </c>
    </row>
    <row r="69" ht="18.75" customHeight="1" spans="1:6">
      <c r="A69" s="7" t="s">
        <v>141</v>
      </c>
      <c r="B69" s="8" t="s">
        <v>142</v>
      </c>
      <c r="C69" s="9">
        <v>0</v>
      </c>
      <c r="D69" s="9">
        <v>0</v>
      </c>
      <c r="E69" s="9">
        <v>0</v>
      </c>
      <c r="F69" s="9">
        <f t="shared" si="1"/>
        <v>0</v>
      </c>
    </row>
    <row r="70" ht="18.75" customHeight="1" spans="1:6">
      <c r="A70" s="7" t="s">
        <v>143</v>
      </c>
      <c r="B70" s="8" t="s">
        <v>144</v>
      </c>
      <c r="C70" s="9">
        <v>0</v>
      </c>
      <c r="D70" s="9">
        <v>0</v>
      </c>
      <c r="E70" s="9">
        <v>0</v>
      </c>
      <c r="F70" s="9">
        <f t="shared" si="1"/>
        <v>0</v>
      </c>
    </row>
    <row r="71" ht="18.75" customHeight="1" spans="1:6">
      <c r="A71" s="7" t="s">
        <v>145</v>
      </c>
      <c r="B71" s="8" t="s">
        <v>146</v>
      </c>
      <c r="C71" s="9">
        <v>0</v>
      </c>
      <c r="D71" s="9">
        <v>0</v>
      </c>
      <c r="E71" s="9">
        <v>14085.14</v>
      </c>
      <c r="F71" s="9">
        <f t="shared" si="1"/>
        <v>14085.14</v>
      </c>
    </row>
    <row r="72" ht="18.75" customHeight="1" spans="1:6">
      <c r="A72" s="7" t="s">
        <v>147</v>
      </c>
      <c r="B72" s="8" t="s">
        <v>148</v>
      </c>
      <c r="C72" s="9">
        <v>0</v>
      </c>
      <c r="D72" s="9">
        <v>0</v>
      </c>
      <c r="E72" s="9">
        <v>0</v>
      </c>
      <c r="F72" s="9">
        <f t="shared" si="1"/>
        <v>0</v>
      </c>
    </row>
    <row r="73" ht="18.75" customHeight="1" spans="1:6">
      <c r="A73" s="7" t="s">
        <v>149</v>
      </c>
      <c r="B73" s="8" t="s">
        <v>150</v>
      </c>
      <c r="C73" s="9">
        <v>0</v>
      </c>
      <c r="D73" s="9">
        <v>0</v>
      </c>
      <c r="E73" s="9">
        <v>0</v>
      </c>
      <c r="F73" s="9">
        <f t="shared" si="1"/>
        <v>0</v>
      </c>
    </row>
    <row r="74" ht="18.75" customHeight="1" spans="1:6">
      <c r="A74" s="7" t="s">
        <v>151</v>
      </c>
      <c r="B74" s="8" t="s">
        <v>152</v>
      </c>
      <c r="C74" s="9">
        <v>0</v>
      </c>
      <c r="D74" s="9">
        <v>0</v>
      </c>
      <c r="E74" s="9">
        <v>0</v>
      </c>
      <c r="F74" s="9">
        <f t="shared" si="1"/>
        <v>0</v>
      </c>
    </row>
    <row r="75" ht="18.75" customHeight="1" spans="1:6">
      <c r="A75" s="7" t="s">
        <v>153</v>
      </c>
      <c r="B75" s="8" t="s">
        <v>154</v>
      </c>
      <c r="C75" s="9">
        <v>0</v>
      </c>
      <c r="D75" s="9">
        <v>0</v>
      </c>
      <c r="E75" s="9">
        <v>0</v>
      </c>
      <c r="F75" s="9">
        <f t="shared" si="1"/>
        <v>0</v>
      </c>
    </row>
    <row r="76" ht="18.75" customHeight="1" spans="1:6">
      <c r="A76" s="7" t="s">
        <v>155</v>
      </c>
      <c r="B76" s="8" t="s">
        <v>156</v>
      </c>
      <c r="C76" s="9">
        <v>0</v>
      </c>
      <c r="D76" s="9">
        <v>0</v>
      </c>
      <c r="E76" s="9">
        <v>17220.69</v>
      </c>
      <c r="F76" s="9">
        <f t="shared" si="1"/>
        <v>17220.69</v>
      </c>
    </row>
    <row r="77" ht="18.75" customHeight="1" spans="1:6">
      <c r="A77" s="7" t="s">
        <v>157</v>
      </c>
      <c r="B77" s="8" t="s">
        <v>158</v>
      </c>
      <c r="C77" s="9">
        <v>0</v>
      </c>
      <c r="D77" s="9">
        <v>0</v>
      </c>
      <c r="E77" s="9">
        <v>0</v>
      </c>
      <c r="F77" s="9">
        <f t="shared" si="1"/>
        <v>0</v>
      </c>
    </row>
    <row r="78" ht="18.75" customHeight="1" spans="1:6">
      <c r="A78" s="7" t="s">
        <v>159</v>
      </c>
      <c r="B78" s="8" t="s">
        <v>160</v>
      </c>
      <c r="C78" s="9">
        <v>0</v>
      </c>
      <c r="D78" s="9">
        <v>0</v>
      </c>
      <c r="E78" s="9">
        <v>0</v>
      </c>
      <c r="F78" s="9">
        <f t="shared" si="1"/>
        <v>0</v>
      </c>
    </row>
    <row r="79" ht="18.75" customHeight="1" spans="1:6">
      <c r="A79" s="7" t="s">
        <v>161</v>
      </c>
      <c r="B79" s="8" t="s">
        <v>162</v>
      </c>
      <c r="C79" s="9">
        <v>0</v>
      </c>
      <c r="D79" s="9">
        <v>0</v>
      </c>
      <c r="E79" s="9">
        <v>523387.49</v>
      </c>
      <c r="F79" s="9">
        <f t="shared" si="1"/>
        <v>523387.49</v>
      </c>
    </row>
    <row r="80" ht="18.75" customHeight="1" spans="1:6">
      <c r="A80" s="7" t="s">
        <v>163</v>
      </c>
      <c r="B80" s="8" t="s">
        <v>164</v>
      </c>
      <c r="C80" s="9">
        <v>0</v>
      </c>
      <c r="D80" s="9">
        <v>0</v>
      </c>
      <c r="E80" s="9">
        <v>0</v>
      </c>
      <c r="F80" s="9">
        <f t="shared" si="1"/>
        <v>0</v>
      </c>
    </row>
    <row r="81" ht="18.75" customHeight="1" spans="1:6">
      <c r="A81" s="7" t="s">
        <v>165</v>
      </c>
      <c r="B81" s="8" t="s">
        <v>166</v>
      </c>
      <c r="C81" s="9">
        <v>0</v>
      </c>
      <c r="D81" s="9">
        <v>0</v>
      </c>
      <c r="E81" s="9">
        <v>5180.31</v>
      </c>
      <c r="F81" s="9">
        <f t="shared" si="1"/>
        <v>5180.31</v>
      </c>
    </row>
    <row r="82" ht="18.75" customHeight="1" spans="1:6">
      <c r="A82" s="7" t="s">
        <v>167</v>
      </c>
      <c r="B82" s="8" t="s">
        <v>168</v>
      </c>
      <c r="C82" s="9">
        <v>0</v>
      </c>
      <c r="D82" s="9">
        <v>0</v>
      </c>
      <c r="E82" s="9">
        <v>0</v>
      </c>
      <c r="F82" s="9">
        <f t="shared" si="1"/>
        <v>0</v>
      </c>
    </row>
    <row r="83" ht="18.75" customHeight="1" spans="1:6">
      <c r="A83" s="7" t="s">
        <v>169</v>
      </c>
      <c r="B83" s="8" t="s">
        <v>170</v>
      </c>
      <c r="C83" s="9">
        <v>0</v>
      </c>
      <c r="D83" s="9">
        <v>0</v>
      </c>
      <c r="E83" s="9">
        <v>3000</v>
      </c>
      <c r="F83" s="9">
        <f t="shared" si="1"/>
        <v>3000</v>
      </c>
    </row>
    <row r="84" ht="18.75" customHeight="1" spans="1:6">
      <c r="A84" s="7" t="s">
        <v>171</v>
      </c>
      <c r="B84" s="8" t="s">
        <v>172</v>
      </c>
      <c r="C84" s="9">
        <v>0</v>
      </c>
      <c r="D84" s="9">
        <v>0</v>
      </c>
      <c r="E84" s="9">
        <v>0</v>
      </c>
      <c r="F84" s="9">
        <f t="shared" si="1"/>
        <v>0</v>
      </c>
    </row>
    <row r="85" ht="18.75" customHeight="1" spans="1:6">
      <c r="A85" s="7" t="s">
        <v>173</v>
      </c>
      <c r="B85" s="8" t="s">
        <v>174</v>
      </c>
      <c r="C85" s="9">
        <v>0</v>
      </c>
      <c r="D85" s="9">
        <v>0</v>
      </c>
      <c r="E85" s="9">
        <v>0</v>
      </c>
      <c r="F85" s="9">
        <f t="shared" si="1"/>
        <v>0</v>
      </c>
    </row>
    <row r="86" ht="18.75" customHeight="1" spans="1:6">
      <c r="A86" s="7" t="s">
        <v>175</v>
      </c>
      <c r="B86" s="8" t="s">
        <v>176</v>
      </c>
      <c r="C86" s="9">
        <v>0</v>
      </c>
      <c r="D86" s="9">
        <v>0</v>
      </c>
      <c r="E86" s="9">
        <v>14499.7</v>
      </c>
      <c r="F86" s="9">
        <f t="shared" si="1"/>
        <v>14499.7</v>
      </c>
    </row>
    <row r="87" ht="18.75" customHeight="1" spans="1:6">
      <c r="A87" s="7" t="s">
        <v>177</v>
      </c>
      <c r="B87" s="8" t="s">
        <v>178</v>
      </c>
      <c r="C87" s="9">
        <v>0</v>
      </c>
      <c r="D87" s="9">
        <v>0</v>
      </c>
      <c r="E87" s="9">
        <v>4875.36</v>
      </c>
      <c r="F87" s="9">
        <f t="shared" si="1"/>
        <v>4875.36</v>
      </c>
    </row>
    <row r="88" ht="18.75" customHeight="1" spans="1:6">
      <c r="A88" s="7" t="s">
        <v>179</v>
      </c>
      <c r="B88" s="8" t="s">
        <v>180</v>
      </c>
      <c r="C88" s="9">
        <v>0</v>
      </c>
      <c r="D88" s="9">
        <v>0</v>
      </c>
      <c r="E88" s="9">
        <v>0</v>
      </c>
      <c r="F88" s="9">
        <f t="shared" si="1"/>
        <v>0</v>
      </c>
    </row>
    <row r="89" ht="18.75" customHeight="1" spans="1:6">
      <c r="A89" s="7" t="s">
        <v>181</v>
      </c>
      <c r="B89" s="8" t="s">
        <v>182</v>
      </c>
      <c r="C89" s="9">
        <v>0</v>
      </c>
      <c r="D89" s="9">
        <v>0</v>
      </c>
      <c r="E89" s="9">
        <v>0</v>
      </c>
      <c r="F89" s="9">
        <f t="shared" si="1"/>
        <v>0</v>
      </c>
    </row>
    <row r="90" ht="18.75" customHeight="1" spans="1:6">
      <c r="A90" s="7" t="s">
        <v>183</v>
      </c>
      <c r="B90" s="8" t="s">
        <v>184</v>
      </c>
      <c r="C90" s="9">
        <v>0</v>
      </c>
      <c r="D90" s="9">
        <v>0</v>
      </c>
      <c r="E90" s="9">
        <v>0</v>
      </c>
      <c r="F90" s="9">
        <f t="shared" si="1"/>
        <v>0</v>
      </c>
    </row>
    <row r="91" ht="18.75" customHeight="1" spans="1:6">
      <c r="A91" s="7" t="s">
        <v>185</v>
      </c>
      <c r="B91" s="8" t="s">
        <v>186</v>
      </c>
      <c r="C91" s="9">
        <v>0</v>
      </c>
      <c r="D91" s="9">
        <v>0</v>
      </c>
      <c r="E91" s="9">
        <v>0</v>
      </c>
      <c r="F91" s="9">
        <f t="shared" si="1"/>
        <v>0</v>
      </c>
    </row>
    <row r="92" ht="18.75" customHeight="1" spans="1:6">
      <c r="A92" s="7" t="s">
        <v>187</v>
      </c>
      <c r="B92" s="8" t="s">
        <v>188</v>
      </c>
      <c r="C92" s="9">
        <v>0</v>
      </c>
      <c r="D92" s="9">
        <v>0</v>
      </c>
      <c r="E92" s="9">
        <v>0</v>
      </c>
      <c r="F92" s="9">
        <f t="shared" si="1"/>
        <v>0</v>
      </c>
    </row>
    <row r="93" ht="18.75" customHeight="1" spans="1:6">
      <c r="A93" s="7" t="s">
        <v>189</v>
      </c>
      <c r="B93" s="8" t="s">
        <v>190</v>
      </c>
      <c r="C93" s="9">
        <v>0</v>
      </c>
      <c r="D93" s="9">
        <v>0</v>
      </c>
      <c r="E93" s="9">
        <v>0</v>
      </c>
      <c r="F93" s="9">
        <f t="shared" si="1"/>
        <v>0</v>
      </c>
    </row>
    <row r="94" ht="18.75" customHeight="1" spans="1:6">
      <c r="A94" s="7" t="s">
        <v>191</v>
      </c>
      <c r="B94" s="8" t="s">
        <v>192</v>
      </c>
      <c r="C94" s="9">
        <v>0</v>
      </c>
      <c r="D94" s="9">
        <v>0</v>
      </c>
      <c r="E94" s="9">
        <v>0</v>
      </c>
      <c r="F94" s="9">
        <f t="shared" si="1"/>
        <v>0</v>
      </c>
    </row>
    <row r="95" ht="18.75" customHeight="1" spans="1:6">
      <c r="A95" s="7" t="s">
        <v>193</v>
      </c>
      <c r="B95" s="8" t="s">
        <v>194</v>
      </c>
      <c r="C95" s="9">
        <v>0</v>
      </c>
      <c r="D95" s="9">
        <v>0</v>
      </c>
      <c r="E95" s="9">
        <v>0</v>
      </c>
      <c r="F95" s="9">
        <f t="shared" si="1"/>
        <v>0</v>
      </c>
    </row>
    <row r="96" ht="18.75" customHeight="1" spans="1:6">
      <c r="A96" s="7" t="s">
        <v>195</v>
      </c>
      <c r="B96" s="8" t="s">
        <v>196</v>
      </c>
      <c r="C96" s="9">
        <v>0</v>
      </c>
      <c r="D96" s="9">
        <v>0</v>
      </c>
      <c r="E96" s="9">
        <v>0</v>
      </c>
      <c r="F96" s="9">
        <f t="shared" si="1"/>
        <v>0</v>
      </c>
    </row>
    <row r="97" ht="18.75" customHeight="1" spans="1:6">
      <c r="A97" s="7" t="s">
        <v>197</v>
      </c>
      <c r="B97" s="8" t="s">
        <v>198</v>
      </c>
      <c r="C97" s="9">
        <v>0</v>
      </c>
      <c r="D97" s="9">
        <v>0</v>
      </c>
      <c r="E97" s="9">
        <v>0</v>
      </c>
      <c r="F97" s="9">
        <f t="shared" si="1"/>
        <v>0</v>
      </c>
    </row>
    <row r="98" ht="18.75" customHeight="1" spans="1:6">
      <c r="A98" s="7" t="s">
        <v>199</v>
      </c>
      <c r="B98" s="8" t="s">
        <v>200</v>
      </c>
      <c r="C98" s="9">
        <v>0</v>
      </c>
      <c r="D98" s="9">
        <v>0</v>
      </c>
      <c r="E98" s="9">
        <v>0</v>
      </c>
      <c r="F98" s="9">
        <f t="shared" si="1"/>
        <v>0</v>
      </c>
    </row>
    <row r="99" ht="18.75" customHeight="1" spans="1:6">
      <c r="A99" s="7" t="s">
        <v>201</v>
      </c>
      <c r="B99" s="8" t="s">
        <v>202</v>
      </c>
      <c r="C99" s="9">
        <v>0</v>
      </c>
      <c r="D99" s="9">
        <v>0</v>
      </c>
      <c r="E99" s="9">
        <v>0</v>
      </c>
      <c r="F99" s="9">
        <f t="shared" si="1"/>
        <v>0</v>
      </c>
    </row>
    <row r="100" ht="18.75" customHeight="1" spans="1:6">
      <c r="A100" s="7" t="s">
        <v>203</v>
      </c>
      <c r="B100" s="8" t="s">
        <v>204</v>
      </c>
      <c r="C100" s="9">
        <v>0</v>
      </c>
      <c r="D100" s="9">
        <v>0</v>
      </c>
      <c r="E100" s="9">
        <v>0</v>
      </c>
      <c r="F100" s="9">
        <f t="shared" si="1"/>
        <v>0</v>
      </c>
    </row>
    <row r="101" ht="18.75" customHeight="1" spans="1:6">
      <c r="A101" s="7" t="s">
        <v>205</v>
      </c>
      <c r="B101" s="8" t="s">
        <v>206</v>
      </c>
      <c r="C101" s="9">
        <v>0</v>
      </c>
      <c r="D101" s="9">
        <v>0</v>
      </c>
      <c r="E101" s="9">
        <v>0</v>
      </c>
      <c r="F101" s="9">
        <f t="shared" si="1"/>
        <v>0</v>
      </c>
    </row>
    <row r="102" ht="18.75" customHeight="1" spans="1:6">
      <c r="A102" s="7" t="s">
        <v>207</v>
      </c>
      <c r="B102" s="8" t="s">
        <v>208</v>
      </c>
      <c r="C102" s="9">
        <v>0</v>
      </c>
      <c r="D102" s="9">
        <v>0</v>
      </c>
      <c r="E102" s="9">
        <v>0</v>
      </c>
      <c r="F102" s="9">
        <f t="shared" si="1"/>
        <v>0</v>
      </c>
    </row>
    <row r="103" ht="18.75" customHeight="1" spans="1:6">
      <c r="A103" s="7" t="s">
        <v>209</v>
      </c>
      <c r="B103" s="8" t="s">
        <v>210</v>
      </c>
      <c r="C103" s="9">
        <v>0</v>
      </c>
      <c r="D103" s="9">
        <v>0</v>
      </c>
      <c r="E103" s="9">
        <v>0</v>
      </c>
      <c r="F103" s="9">
        <f t="shared" si="1"/>
        <v>0</v>
      </c>
    </row>
    <row r="104" ht="18.75" customHeight="1" spans="1:6">
      <c r="A104" s="7" t="s">
        <v>211</v>
      </c>
      <c r="B104" s="8" t="s">
        <v>212</v>
      </c>
      <c r="C104" s="9">
        <v>0</v>
      </c>
      <c r="D104" s="9">
        <v>0</v>
      </c>
      <c r="E104" s="9">
        <v>0</v>
      </c>
      <c r="F104" s="9">
        <f t="shared" si="1"/>
        <v>0</v>
      </c>
    </row>
    <row r="105" ht="18.75" customHeight="1" spans="1:6">
      <c r="A105" s="7" t="s">
        <v>213</v>
      </c>
      <c r="B105" s="8" t="s">
        <v>214</v>
      </c>
      <c r="C105" s="9">
        <v>0</v>
      </c>
      <c r="D105" s="9">
        <v>0</v>
      </c>
      <c r="E105" s="9">
        <v>0</v>
      </c>
      <c r="F105" s="9">
        <f t="shared" si="1"/>
        <v>0</v>
      </c>
    </row>
    <row r="106" ht="18.75" customHeight="1" spans="1:6">
      <c r="A106" s="7" t="s">
        <v>215</v>
      </c>
      <c r="B106" s="8" t="s">
        <v>216</v>
      </c>
      <c r="C106" s="9">
        <v>0</v>
      </c>
      <c r="D106" s="9">
        <v>0</v>
      </c>
      <c r="E106" s="9">
        <v>0</v>
      </c>
      <c r="F106" s="9">
        <f t="shared" si="1"/>
        <v>0</v>
      </c>
    </row>
    <row r="107" ht="18.75" customHeight="1" spans="1:6">
      <c r="A107" s="7" t="s">
        <v>217</v>
      </c>
      <c r="B107" s="8" t="s">
        <v>218</v>
      </c>
      <c r="C107" s="9">
        <v>0</v>
      </c>
      <c r="D107" s="9">
        <v>0</v>
      </c>
      <c r="E107" s="9">
        <v>0</v>
      </c>
      <c r="F107" s="9">
        <f t="shared" si="1"/>
        <v>0</v>
      </c>
    </row>
    <row r="108" ht="18.75" customHeight="1" spans="1:6">
      <c r="A108" s="7" t="s">
        <v>219</v>
      </c>
      <c r="B108" s="8" t="s">
        <v>220</v>
      </c>
      <c r="C108" s="9">
        <v>0</v>
      </c>
      <c r="D108" s="9">
        <v>0</v>
      </c>
      <c r="E108" s="9">
        <v>0</v>
      </c>
      <c r="F108" s="9">
        <f t="shared" si="1"/>
        <v>0</v>
      </c>
    </row>
    <row r="109" ht="18.75" customHeight="1" spans="1:6">
      <c r="A109" s="7" t="s">
        <v>221</v>
      </c>
      <c r="B109" s="8" t="s">
        <v>222</v>
      </c>
      <c r="C109" s="9">
        <v>0</v>
      </c>
      <c r="D109" s="9">
        <v>0</v>
      </c>
      <c r="E109" s="9">
        <v>0</v>
      </c>
      <c r="F109" s="9">
        <f t="shared" si="1"/>
        <v>0</v>
      </c>
    </row>
    <row r="110" ht="18.75" customHeight="1" spans="1:6">
      <c r="A110" s="7" t="s">
        <v>223</v>
      </c>
      <c r="B110" s="8" t="s">
        <v>224</v>
      </c>
      <c r="C110" s="9">
        <v>0</v>
      </c>
      <c r="D110" s="9">
        <v>0</v>
      </c>
      <c r="E110" s="9">
        <v>0</v>
      </c>
      <c r="F110" s="9">
        <f t="shared" si="1"/>
        <v>0</v>
      </c>
    </row>
    <row r="111" ht="18.75" customHeight="1" spans="1:6">
      <c r="A111" s="7" t="s">
        <v>225</v>
      </c>
      <c r="B111" s="8" t="s">
        <v>226</v>
      </c>
      <c r="C111" s="9">
        <v>0</v>
      </c>
      <c r="D111" s="9">
        <v>0</v>
      </c>
      <c r="E111" s="9">
        <v>0</v>
      </c>
      <c r="F111" s="9">
        <f t="shared" si="1"/>
        <v>0</v>
      </c>
    </row>
    <row r="112" ht="18.75" customHeight="1" spans="1:6">
      <c r="A112" s="7" t="s">
        <v>227</v>
      </c>
      <c r="B112" s="8" t="s">
        <v>228</v>
      </c>
      <c r="C112" s="9">
        <v>0</v>
      </c>
      <c r="D112" s="9">
        <v>0</v>
      </c>
      <c r="E112" s="9">
        <v>0</v>
      </c>
      <c r="F112" s="9">
        <f t="shared" si="1"/>
        <v>0</v>
      </c>
    </row>
    <row r="113" ht="18.75" customHeight="1" spans="1:6">
      <c r="A113" s="7" t="s">
        <v>229</v>
      </c>
      <c r="B113" s="8" t="s">
        <v>230</v>
      </c>
      <c r="C113" s="9">
        <v>0</v>
      </c>
      <c r="D113" s="9">
        <v>0</v>
      </c>
      <c r="E113" s="9">
        <v>0</v>
      </c>
      <c r="F113" s="9">
        <f t="shared" si="1"/>
        <v>0</v>
      </c>
    </row>
    <row r="114" ht="18.75" customHeight="1" spans="1:6">
      <c r="A114" s="7" t="s">
        <v>231</v>
      </c>
      <c r="B114" s="8" t="s">
        <v>232</v>
      </c>
      <c r="C114" s="9">
        <v>0</v>
      </c>
      <c r="D114" s="9">
        <v>0</v>
      </c>
      <c r="E114" s="9">
        <v>0</v>
      </c>
      <c r="F114" s="9">
        <f t="shared" si="1"/>
        <v>0</v>
      </c>
    </row>
    <row r="115" ht="18.75" customHeight="1" spans="1:6">
      <c r="A115" s="7" t="s">
        <v>233</v>
      </c>
      <c r="B115" s="8" t="s">
        <v>234</v>
      </c>
      <c r="C115" s="9">
        <v>0</v>
      </c>
      <c r="D115" s="9">
        <v>0</v>
      </c>
      <c r="E115" s="9">
        <v>0</v>
      </c>
      <c r="F115" s="9">
        <f t="shared" si="1"/>
        <v>0</v>
      </c>
    </row>
    <row r="116" ht="18.75" customHeight="1" spans="1:6">
      <c r="A116" s="7" t="s">
        <v>235</v>
      </c>
      <c r="B116" s="8" t="s">
        <v>236</v>
      </c>
      <c r="C116" s="9">
        <v>0</v>
      </c>
      <c r="D116" s="9">
        <v>0</v>
      </c>
      <c r="E116" s="9">
        <v>0</v>
      </c>
      <c r="F116" s="9">
        <f t="shared" si="1"/>
        <v>0</v>
      </c>
    </row>
    <row r="117" ht="18.75" customHeight="1" spans="1:6">
      <c r="A117" s="7" t="s">
        <v>237</v>
      </c>
      <c r="B117" s="8" t="s">
        <v>238</v>
      </c>
      <c r="C117" s="9">
        <v>0</v>
      </c>
      <c r="D117" s="9">
        <v>0</v>
      </c>
      <c r="E117" s="9">
        <v>0</v>
      </c>
      <c r="F117" s="9">
        <f t="shared" si="1"/>
        <v>0</v>
      </c>
    </row>
    <row r="118" ht="18.75" customHeight="1" spans="1:6">
      <c r="A118" s="7" t="s">
        <v>239</v>
      </c>
      <c r="B118" s="8" t="s">
        <v>240</v>
      </c>
      <c r="C118" s="9">
        <v>0</v>
      </c>
      <c r="D118" s="9">
        <v>0</v>
      </c>
      <c r="E118" s="9">
        <v>0</v>
      </c>
      <c r="F118" s="9">
        <f t="shared" si="1"/>
        <v>0</v>
      </c>
    </row>
    <row r="119" ht="18.75" customHeight="1" spans="1:6">
      <c r="A119" s="7" t="s">
        <v>241</v>
      </c>
      <c r="B119" s="8" t="s">
        <v>242</v>
      </c>
      <c r="C119" s="9">
        <v>0</v>
      </c>
      <c r="D119" s="9">
        <v>0</v>
      </c>
      <c r="E119" s="9">
        <v>0</v>
      </c>
      <c r="F119" s="9">
        <f t="shared" si="1"/>
        <v>0</v>
      </c>
    </row>
    <row r="120" ht="18.75" customHeight="1" spans="1:6">
      <c r="A120" s="7" t="s">
        <v>243</v>
      </c>
      <c r="B120" s="8" t="s">
        <v>244</v>
      </c>
      <c r="C120" s="9">
        <v>0</v>
      </c>
      <c r="D120" s="9">
        <v>0</v>
      </c>
      <c r="E120" s="9">
        <v>0</v>
      </c>
      <c r="F120" s="9">
        <f t="shared" si="1"/>
        <v>0</v>
      </c>
    </row>
    <row r="121" ht="18.75" customHeight="1" spans="1:6">
      <c r="A121" s="7" t="s">
        <v>245</v>
      </c>
      <c r="B121" s="8" t="s">
        <v>246</v>
      </c>
      <c r="C121" s="9">
        <v>0</v>
      </c>
      <c r="D121" s="9">
        <v>0</v>
      </c>
      <c r="E121" s="9">
        <v>0</v>
      </c>
      <c r="F121" s="9">
        <f t="shared" si="1"/>
        <v>0</v>
      </c>
    </row>
    <row r="122" ht="18.75" customHeight="1" spans="1:6">
      <c r="A122" s="7" t="s">
        <v>247</v>
      </c>
      <c r="B122" s="8" t="s">
        <v>248</v>
      </c>
      <c r="C122" s="9">
        <v>0</v>
      </c>
      <c r="D122" s="9">
        <v>0</v>
      </c>
      <c r="E122" s="9">
        <v>0</v>
      </c>
      <c r="F122" s="9">
        <f t="shared" si="1"/>
        <v>0</v>
      </c>
    </row>
    <row r="123" ht="18.75" customHeight="1" spans="1:6">
      <c r="A123" s="7" t="s">
        <v>249</v>
      </c>
      <c r="B123" s="8" t="s">
        <v>250</v>
      </c>
      <c r="C123" s="9">
        <v>0</v>
      </c>
      <c r="D123" s="9">
        <v>0</v>
      </c>
      <c r="E123" s="9">
        <v>0</v>
      </c>
      <c r="F123" s="9">
        <f t="shared" si="1"/>
        <v>0</v>
      </c>
    </row>
    <row r="124" ht="18.75" customHeight="1" spans="1:6">
      <c r="A124" s="7" t="s">
        <v>251</v>
      </c>
      <c r="B124" s="8" t="s">
        <v>252</v>
      </c>
      <c r="C124" s="9">
        <v>0</v>
      </c>
      <c r="D124" s="9">
        <v>0</v>
      </c>
      <c r="E124" s="9">
        <v>0</v>
      </c>
      <c r="F124" s="9">
        <f t="shared" si="1"/>
        <v>0</v>
      </c>
    </row>
    <row r="125" ht="18.75" customHeight="1" spans="1:6">
      <c r="A125" s="7" t="s">
        <v>253</v>
      </c>
      <c r="B125" s="8" t="s">
        <v>254</v>
      </c>
      <c r="C125" s="9">
        <v>0</v>
      </c>
      <c r="D125" s="9">
        <v>0</v>
      </c>
      <c r="E125" s="9">
        <v>0</v>
      </c>
      <c r="F125" s="9">
        <f t="shared" si="1"/>
        <v>0</v>
      </c>
    </row>
    <row r="126" ht="18.75" customHeight="1" spans="1:6">
      <c r="A126" s="7" t="s">
        <v>255</v>
      </c>
      <c r="B126" s="8" t="s">
        <v>256</v>
      </c>
      <c r="C126" s="9">
        <v>0</v>
      </c>
      <c r="D126" s="9">
        <v>0</v>
      </c>
      <c r="E126" s="9">
        <v>0</v>
      </c>
      <c r="F126" s="9">
        <f t="shared" si="1"/>
        <v>0</v>
      </c>
    </row>
    <row r="127" ht="18.75" customHeight="1" spans="1:6">
      <c r="A127" s="7" t="s">
        <v>257</v>
      </c>
      <c r="B127" s="8" t="s">
        <v>258</v>
      </c>
      <c r="C127" s="9">
        <v>0</v>
      </c>
      <c r="D127" s="9">
        <v>0</v>
      </c>
      <c r="E127" s="9">
        <v>0</v>
      </c>
      <c r="F127" s="9">
        <f t="shared" si="1"/>
        <v>0</v>
      </c>
    </row>
    <row r="128" ht="18.75" customHeight="1" spans="1:6">
      <c r="A128" s="7" t="s">
        <v>259</v>
      </c>
      <c r="B128" s="8" t="s">
        <v>260</v>
      </c>
      <c r="C128" s="9">
        <v>0</v>
      </c>
      <c r="D128" s="9">
        <v>0</v>
      </c>
      <c r="E128" s="9">
        <v>0</v>
      </c>
      <c r="F128" s="9">
        <f t="shared" si="1"/>
        <v>0</v>
      </c>
    </row>
    <row r="129" ht="18.75" customHeight="1" spans="1:6">
      <c r="A129" s="7" t="s">
        <v>261</v>
      </c>
      <c r="B129" s="8" t="s">
        <v>262</v>
      </c>
      <c r="C129" s="9">
        <v>0</v>
      </c>
      <c r="D129" s="9">
        <v>0</v>
      </c>
      <c r="E129" s="9">
        <v>0</v>
      </c>
      <c r="F129" s="9">
        <f t="shared" si="1"/>
        <v>0</v>
      </c>
    </row>
    <row r="130" ht="18.75" customHeight="1" spans="1:6">
      <c r="A130" s="7" t="s">
        <v>263</v>
      </c>
      <c r="B130" s="8" t="s">
        <v>264</v>
      </c>
      <c r="C130" s="9">
        <v>0</v>
      </c>
      <c r="D130" s="9">
        <v>0</v>
      </c>
      <c r="E130" s="9">
        <v>0</v>
      </c>
      <c r="F130" s="9">
        <f t="shared" si="1"/>
        <v>0</v>
      </c>
    </row>
    <row r="131" ht="18.75" customHeight="1" spans="1:6">
      <c r="A131" s="7" t="s">
        <v>265</v>
      </c>
      <c r="B131" s="8" t="s">
        <v>266</v>
      </c>
      <c r="C131" s="9">
        <v>0</v>
      </c>
      <c r="D131" s="9">
        <v>0</v>
      </c>
      <c r="E131" s="9">
        <v>0</v>
      </c>
      <c r="F131" s="9">
        <f t="shared" si="1"/>
        <v>0</v>
      </c>
    </row>
    <row r="132" ht="18.75" customHeight="1" spans="1:6">
      <c r="A132" s="7" t="s">
        <v>267</v>
      </c>
      <c r="B132" s="8" t="s">
        <v>268</v>
      </c>
      <c r="C132" s="9">
        <v>0</v>
      </c>
      <c r="D132" s="9">
        <v>0</v>
      </c>
      <c r="E132" s="9">
        <v>0</v>
      </c>
      <c r="F132" s="9">
        <f t="shared" ref="F132:F160" si="2">C132+D132+E132</f>
        <v>0</v>
      </c>
    </row>
    <row r="133" ht="18.75" customHeight="1" spans="1:6">
      <c r="A133" s="7" t="s">
        <v>269</v>
      </c>
      <c r="B133" s="8" t="s">
        <v>270</v>
      </c>
      <c r="C133" s="9">
        <v>0</v>
      </c>
      <c r="D133" s="9">
        <v>0</v>
      </c>
      <c r="E133" s="9">
        <v>0</v>
      </c>
      <c r="F133" s="9">
        <f t="shared" si="2"/>
        <v>0</v>
      </c>
    </row>
    <row r="134" ht="18.75" customHeight="1" spans="1:6">
      <c r="A134" s="7" t="s">
        <v>271</v>
      </c>
      <c r="B134" s="8" t="s">
        <v>272</v>
      </c>
      <c r="C134" s="9">
        <v>0</v>
      </c>
      <c r="D134" s="9">
        <v>0</v>
      </c>
      <c r="E134" s="9">
        <v>0</v>
      </c>
      <c r="F134" s="9">
        <f t="shared" si="2"/>
        <v>0</v>
      </c>
    </row>
    <row r="135" ht="18.75" customHeight="1" spans="1:6">
      <c r="A135" s="7" t="s">
        <v>273</v>
      </c>
      <c r="B135" s="8" t="s">
        <v>274</v>
      </c>
      <c r="C135" s="9">
        <v>0</v>
      </c>
      <c r="D135" s="9">
        <v>0</v>
      </c>
      <c r="E135" s="9">
        <v>0</v>
      </c>
      <c r="F135" s="9">
        <f t="shared" si="2"/>
        <v>0</v>
      </c>
    </row>
    <row r="136" ht="18.75" customHeight="1" spans="1:6">
      <c r="A136" s="7" t="s">
        <v>275</v>
      </c>
      <c r="B136" s="8" t="s">
        <v>276</v>
      </c>
      <c r="C136" s="9">
        <v>0</v>
      </c>
      <c r="D136" s="9">
        <v>0</v>
      </c>
      <c r="E136" s="9">
        <v>0</v>
      </c>
      <c r="F136" s="9">
        <f t="shared" si="2"/>
        <v>0</v>
      </c>
    </row>
    <row r="137" ht="18.75" customHeight="1" spans="1:6">
      <c r="A137" s="7" t="s">
        <v>277</v>
      </c>
      <c r="B137" s="8" t="s">
        <v>278</v>
      </c>
      <c r="C137" s="9">
        <v>0</v>
      </c>
      <c r="D137" s="9">
        <v>0</v>
      </c>
      <c r="E137" s="9">
        <v>0</v>
      </c>
      <c r="F137" s="9">
        <f t="shared" si="2"/>
        <v>0</v>
      </c>
    </row>
    <row r="138" ht="18.75" customHeight="1" spans="1:6">
      <c r="A138" s="7" t="s">
        <v>279</v>
      </c>
      <c r="B138" s="8" t="s">
        <v>280</v>
      </c>
      <c r="C138" s="9">
        <v>0</v>
      </c>
      <c r="D138" s="9">
        <v>0</v>
      </c>
      <c r="E138" s="9">
        <v>0</v>
      </c>
      <c r="F138" s="9">
        <f t="shared" si="2"/>
        <v>0</v>
      </c>
    </row>
    <row r="139" ht="18.75" customHeight="1" spans="1:6">
      <c r="A139" s="7" t="s">
        <v>281</v>
      </c>
      <c r="B139" s="8" t="s">
        <v>282</v>
      </c>
      <c r="C139" s="9">
        <v>0</v>
      </c>
      <c r="D139" s="9">
        <v>0</v>
      </c>
      <c r="E139" s="9">
        <v>0</v>
      </c>
      <c r="F139" s="9">
        <f t="shared" si="2"/>
        <v>0</v>
      </c>
    </row>
    <row r="140" ht="18.75" customHeight="1" spans="1:6">
      <c r="A140" s="7" t="s">
        <v>283</v>
      </c>
      <c r="B140" s="8" t="s">
        <v>284</v>
      </c>
      <c r="C140" s="9">
        <v>0</v>
      </c>
      <c r="D140" s="9">
        <v>0</v>
      </c>
      <c r="E140" s="9">
        <v>6487.02</v>
      </c>
      <c r="F140" s="9">
        <f t="shared" si="2"/>
        <v>6487.02</v>
      </c>
    </row>
    <row r="141" ht="18.75" customHeight="1" spans="1:6">
      <c r="A141" s="7" t="s">
        <v>285</v>
      </c>
      <c r="B141" s="8" t="s">
        <v>286</v>
      </c>
      <c r="C141" s="9">
        <v>0</v>
      </c>
      <c r="D141" s="9">
        <v>0</v>
      </c>
      <c r="E141" s="9">
        <v>520</v>
      </c>
      <c r="F141" s="9">
        <f t="shared" si="2"/>
        <v>520</v>
      </c>
    </row>
    <row r="142" ht="18.75" customHeight="1" spans="1:6">
      <c r="A142" s="7" t="s">
        <v>287</v>
      </c>
      <c r="B142" s="8" t="s">
        <v>288</v>
      </c>
      <c r="C142" s="9">
        <v>0</v>
      </c>
      <c r="D142" s="9">
        <v>0</v>
      </c>
      <c r="E142" s="9">
        <v>0</v>
      </c>
      <c r="F142" s="9">
        <f t="shared" si="2"/>
        <v>0</v>
      </c>
    </row>
    <row r="143" ht="18.75" customHeight="1" spans="1:6">
      <c r="A143" s="7" t="s">
        <v>289</v>
      </c>
      <c r="B143" s="8" t="s">
        <v>290</v>
      </c>
      <c r="C143" s="9">
        <v>0</v>
      </c>
      <c r="D143" s="9">
        <v>0</v>
      </c>
      <c r="E143" s="9">
        <v>0</v>
      </c>
      <c r="F143" s="9">
        <f t="shared" si="2"/>
        <v>0</v>
      </c>
    </row>
    <row r="144" ht="18.75" customHeight="1" spans="1:6">
      <c r="A144" s="7" t="s">
        <v>291</v>
      </c>
      <c r="B144" s="8" t="s">
        <v>292</v>
      </c>
      <c r="C144" s="9">
        <v>0</v>
      </c>
      <c r="D144" s="9">
        <v>0</v>
      </c>
      <c r="E144" s="9">
        <v>0</v>
      </c>
      <c r="F144" s="9">
        <f t="shared" si="2"/>
        <v>0</v>
      </c>
    </row>
    <row r="145" ht="18.75" customHeight="1" spans="1:6">
      <c r="A145" s="7" t="s">
        <v>293</v>
      </c>
      <c r="B145" s="8" t="s">
        <v>294</v>
      </c>
      <c r="C145" s="9"/>
      <c r="D145" s="9">
        <v>29246</v>
      </c>
      <c r="E145" s="9">
        <v>24790.71</v>
      </c>
      <c r="F145" s="9">
        <f t="shared" si="2"/>
        <v>54036.71</v>
      </c>
    </row>
    <row r="146" ht="18.75" customHeight="1" spans="1:6">
      <c r="A146" s="7" t="s">
        <v>295</v>
      </c>
      <c r="B146" s="8" t="s">
        <v>296</v>
      </c>
      <c r="C146" s="9"/>
      <c r="D146" s="9">
        <v>445</v>
      </c>
      <c r="E146" s="9"/>
      <c r="F146" s="9">
        <f t="shared" si="2"/>
        <v>445</v>
      </c>
    </row>
    <row r="147" ht="18.75" customHeight="1" spans="1:6">
      <c r="A147" s="7" t="s">
        <v>297</v>
      </c>
      <c r="B147" s="8" t="s">
        <v>298</v>
      </c>
      <c r="C147" s="9"/>
      <c r="D147" s="9">
        <v>2710</v>
      </c>
      <c r="E147" s="9">
        <v>80063.32</v>
      </c>
      <c r="F147" s="9">
        <f t="shared" si="2"/>
        <v>82773.32</v>
      </c>
    </row>
    <row r="148" ht="18.75" customHeight="1" spans="1:6">
      <c r="A148" s="7" t="s">
        <v>299</v>
      </c>
      <c r="B148" s="8" t="s">
        <v>300</v>
      </c>
      <c r="C148" s="9">
        <v>0</v>
      </c>
      <c r="D148" s="9">
        <v>17843</v>
      </c>
      <c r="E148" s="9">
        <v>23227.5</v>
      </c>
      <c r="F148" s="9">
        <f t="shared" si="2"/>
        <v>41070.5</v>
      </c>
    </row>
    <row r="149" ht="18.75" customHeight="1" spans="1:6">
      <c r="A149" s="7"/>
      <c r="B149" s="8" t="s">
        <v>301</v>
      </c>
      <c r="C149" s="9"/>
      <c r="D149" s="9"/>
      <c r="E149" s="9">
        <v>20359.08</v>
      </c>
      <c r="F149" s="9">
        <f t="shared" si="2"/>
        <v>20359.08</v>
      </c>
    </row>
    <row r="150" ht="18.75" customHeight="1" spans="1:6">
      <c r="A150" s="7" t="s">
        <v>302</v>
      </c>
      <c r="B150" s="8" t="s">
        <v>303</v>
      </c>
      <c r="C150" s="9"/>
      <c r="D150" s="9">
        <v>1713</v>
      </c>
      <c r="E150" s="9">
        <v>6373.87</v>
      </c>
      <c r="F150" s="9">
        <f t="shared" si="2"/>
        <v>8086.87</v>
      </c>
    </row>
    <row r="151" ht="18.75" customHeight="1" spans="1:6">
      <c r="A151" s="7" t="s">
        <v>12</v>
      </c>
      <c r="B151" s="8" t="s">
        <v>304</v>
      </c>
      <c r="C151" s="9">
        <v>0</v>
      </c>
      <c r="D151" s="9">
        <v>2100</v>
      </c>
      <c r="E151" s="9">
        <v>92330.39</v>
      </c>
      <c r="F151" s="9">
        <f t="shared" si="2"/>
        <v>94430.39</v>
      </c>
    </row>
    <row r="152" ht="18.75" customHeight="1" spans="1:6">
      <c r="A152" s="7" t="s">
        <v>305</v>
      </c>
      <c r="B152" s="8" t="s">
        <v>306</v>
      </c>
      <c r="C152" s="9">
        <v>12531</v>
      </c>
      <c r="D152" s="9">
        <v>44001</v>
      </c>
      <c r="E152" s="9">
        <v>8767.25</v>
      </c>
      <c r="F152" s="9">
        <f t="shared" si="2"/>
        <v>65299.25</v>
      </c>
    </row>
    <row r="153" ht="18.75" customHeight="1" spans="1:6">
      <c r="A153" s="7"/>
      <c r="B153" s="8" t="s">
        <v>307</v>
      </c>
      <c r="C153" s="9">
        <v>0</v>
      </c>
      <c r="D153" s="9">
        <v>55311</v>
      </c>
      <c r="E153" s="9">
        <v>0</v>
      </c>
      <c r="F153" s="9">
        <f t="shared" si="2"/>
        <v>55311</v>
      </c>
    </row>
    <row r="154" ht="18.75" customHeight="1" spans="1:6">
      <c r="A154" s="7" t="s">
        <v>308</v>
      </c>
      <c r="B154" s="8" t="s">
        <v>309</v>
      </c>
      <c r="C154" s="9">
        <v>12514</v>
      </c>
      <c r="D154" s="9">
        <v>760</v>
      </c>
      <c r="E154" s="9">
        <v>5514.75</v>
      </c>
      <c r="F154" s="9">
        <f t="shared" si="2"/>
        <v>18788.75</v>
      </c>
    </row>
    <row r="155" ht="18.75" customHeight="1" spans="1:6">
      <c r="A155" s="7" t="s">
        <v>310</v>
      </c>
      <c r="B155" s="8" t="s">
        <v>311</v>
      </c>
      <c r="C155" s="9">
        <v>0</v>
      </c>
      <c r="D155" s="9">
        <v>840</v>
      </c>
      <c r="E155" s="9">
        <v>0</v>
      </c>
      <c r="F155" s="9">
        <f t="shared" si="2"/>
        <v>840</v>
      </c>
    </row>
    <row r="156" ht="18.75" customHeight="1" spans="1:6">
      <c r="A156" s="7" t="s">
        <v>312</v>
      </c>
      <c r="B156" s="8" t="s">
        <v>313</v>
      </c>
      <c r="C156" s="9">
        <v>0</v>
      </c>
      <c r="D156" s="9">
        <v>110388</v>
      </c>
      <c r="E156" s="9">
        <v>107747.62</v>
      </c>
      <c r="F156" s="9">
        <f t="shared" si="2"/>
        <v>218135.62</v>
      </c>
    </row>
    <row r="157" ht="18.75" customHeight="1" spans="1:6">
      <c r="A157" s="7" t="s">
        <v>314</v>
      </c>
      <c r="B157" s="8" t="s">
        <v>315</v>
      </c>
      <c r="C157" s="9">
        <v>0</v>
      </c>
      <c r="D157" s="9">
        <v>0</v>
      </c>
      <c r="E157" s="9">
        <v>95036.49</v>
      </c>
      <c r="F157" s="9">
        <f t="shared" si="2"/>
        <v>95036.49</v>
      </c>
    </row>
    <row r="158" ht="18.75" customHeight="1" spans="1:6">
      <c r="A158" s="7" t="s">
        <v>316</v>
      </c>
      <c r="B158" s="8" t="s">
        <v>317</v>
      </c>
      <c r="C158" s="9">
        <v>0</v>
      </c>
      <c r="D158" s="9">
        <v>2374</v>
      </c>
      <c r="E158" s="9">
        <v>125983.2</v>
      </c>
      <c r="F158" s="9">
        <f t="shared" si="2"/>
        <v>128357.2</v>
      </c>
    </row>
    <row r="159" ht="18.75" customHeight="1" spans="1:6">
      <c r="A159" s="7" t="s">
        <v>318</v>
      </c>
      <c r="B159" s="8" t="s">
        <v>319</v>
      </c>
      <c r="C159" s="9">
        <v>0</v>
      </c>
      <c r="D159" s="9">
        <v>616</v>
      </c>
      <c r="E159" s="9">
        <v>71348.99</v>
      </c>
      <c r="F159" s="9">
        <f t="shared" si="2"/>
        <v>71964.99</v>
      </c>
    </row>
    <row r="160" ht="18.75" customHeight="1" spans="1:6">
      <c r="A160" s="10" t="s">
        <v>320</v>
      </c>
      <c r="B160" s="11"/>
      <c r="C160" s="9">
        <f>SUM(C4:C159)</f>
        <v>89353</v>
      </c>
      <c r="D160" s="9">
        <f>SUM(D4:D159)</f>
        <v>1167733</v>
      </c>
      <c r="E160" s="9">
        <f>SUM(E4:E159)</f>
        <v>6436838.21</v>
      </c>
      <c r="F160" s="9">
        <f t="shared" si="2"/>
        <v>7693924.21</v>
      </c>
    </row>
  </sheetData>
  <mergeCells count="3">
    <mergeCell ref="A1:F1"/>
    <mergeCell ref="A2:B2"/>
    <mergeCell ref="A160:B160"/>
  </mergeCells>
  <pageMargins left="0.708661417322835" right="0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对比数</vt:lpstr>
      <vt:lpstr>本年数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null</dc:creator>
  <cp:lastModifiedBy>踏风晓月</cp:lastModifiedBy>
  <dcterms:created xsi:type="dcterms:W3CDTF">2020-12-23T01:33:00Z</dcterms:created>
  <cp:lastPrinted>2020-12-24T01:14:00Z</cp:lastPrinted>
  <dcterms:modified xsi:type="dcterms:W3CDTF">2020-12-24T01:24:21Z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2052-11.1.0.9996</vt:lpwstr>
  </property>
</Properties>
</file>