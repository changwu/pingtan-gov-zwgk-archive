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36" i="1"/>
  <c r="D165"/>
  <c r="E165"/>
  <c r="C165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3"/>
  <c r="D66"/>
  <c r="E63"/>
  <c r="F165" l="1"/>
</calcChain>
</file>

<file path=xl/sharedStrings.xml><?xml version="1.0" encoding="utf-8"?>
<sst xmlns="http://schemas.openxmlformats.org/spreadsheetml/2006/main" count="272" uniqueCount="263">
  <si>
    <t>单位名称</t>
  </si>
  <si>
    <t>因公出国 （境）费</t>
    <phoneticPr fontId="2" type="noConversion"/>
  </si>
  <si>
    <t>公务接待费</t>
  </si>
  <si>
    <t>合计数</t>
  </si>
  <si>
    <t>704001</t>
  </si>
  <si>
    <t>704003</t>
  </si>
  <si>
    <t>704004</t>
  </si>
  <si>
    <t>平潭综合实验区医院</t>
  </si>
  <si>
    <t>704005</t>
  </si>
  <si>
    <t>平潭综合实验区中医院</t>
  </si>
  <si>
    <t>704006</t>
  </si>
  <si>
    <t>704007</t>
  </si>
  <si>
    <t>平潭综合实验区皮肤病性病防治院</t>
  </si>
  <si>
    <t>704008</t>
  </si>
  <si>
    <t>平潭综合实验区疾病预防控制中心</t>
  </si>
  <si>
    <t>704009</t>
  </si>
  <si>
    <t>704010</t>
  </si>
  <si>
    <t>704011</t>
  </si>
  <si>
    <t>704012</t>
  </si>
  <si>
    <t>704013</t>
  </si>
  <si>
    <t>704014</t>
  </si>
  <si>
    <t>704016</t>
  </si>
  <si>
    <t>平潭综合实验区流水镇中心卫生院</t>
  </si>
  <si>
    <t>704017</t>
  </si>
  <si>
    <t>704018</t>
  </si>
  <si>
    <t>704019</t>
  </si>
  <si>
    <t>704020</t>
  </si>
  <si>
    <t>704021</t>
  </si>
  <si>
    <t>704022</t>
  </si>
  <si>
    <t>704023</t>
  </si>
  <si>
    <t>平潭综合实验区社会事业局</t>
  </si>
  <si>
    <t>平潭综合实验区福利院</t>
  </si>
  <si>
    <t>平潭综合实验区殡葬服务中心</t>
  </si>
  <si>
    <t>平潭综合实验区军休所</t>
  </si>
  <si>
    <t>平潭综合实验区广播电视服务中心</t>
  </si>
  <si>
    <t>平潭综合实验区保障服务中心</t>
  </si>
  <si>
    <t>平潭综合实验区图书馆</t>
  </si>
  <si>
    <t>平潭综合实验区文化馆</t>
  </si>
  <si>
    <t>平潭综合实验区残联</t>
  </si>
  <si>
    <t>平潭综合实验区仲裁院</t>
  </si>
  <si>
    <t>平潭综合实验区闽剧团</t>
  </si>
  <si>
    <t>平潭综合实验区科协</t>
  </si>
  <si>
    <t>平潭综合实验区残疾人服务中心</t>
  </si>
  <si>
    <t>平潭综合实验区民政事务服务中心</t>
  </si>
  <si>
    <t>平潭综合实验区农村发展局</t>
  </si>
  <si>
    <t>平潭县供销合作社联合社</t>
  </si>
  <si>
    <t>306005</t>
  </si>
  <si>
    <t>平潭综合实验区海洋与渔业技术中心</t>
  </si>
  <si>
    <t>306006</t>
  </si>
  <si>
    <t>平潭综合实验区水利综合服务中心</t>
  </si>
  <si>
    <t>306007</t>
  </si>
  <si>
    <t>平潭综合实验区农业技术服务中心</t>
  </si>
  <si>
    <t>306008</t>
  </si>
  <si>
    <t>平潭综合实验区动物卫生监督所</t>
  </si>
  <si>
    <t>306009</t>
  </si>
  <si>
    <t>平潭综合实验区农村经营管理中心</t>
  </si>
  <si>
    <t>306010</t>
  </si>
  <si>
    <t>平潭区海洋与渔业海洋应急指挥中心</t>
  </si>
  <si>
    <t>306011</t>
  </si>
  <si>
    <t>平潭综合实验区林业发展服务中心</t>
  </si>
  <si>
    <t>306012</t>
  </si>
  <si>
    <t>平潭国有防护林场</t>
  </si>
  <si>
    <t>306013</t>
  </si>
  <si>
    <t>306015</t>
  </si>
  <si>
    <t>平潭综合实验区森林公安局</t>
  </si>
  <si>
    <t>105019</t>
    <phoneticPr fontId="2" type="noConversion"/>
  </si>
  <si>
    <t>105027</t>
    <phoneticPr fontId="2" type="noConversion"/>
  </si>
  <si>
    <t>105004</t>
    <phoneticPr fontId="2" type="noConversion"/>
  </si>
  <si>
    <t>601001</t>
    <phoneticPr fontId="2" type="noConversion"/>
  </si>
  <si>
    <t>601005</t>
    <phoneticPr fontId="2" type="noConversion"/>
  </si>
  <si>
    <t>601007</t>
    <phoneticPr fontId="2" type="noConversion"/>
  </si>
  <si>
    <t>108002</t>
  </si>
  <si>
    <t>108008</t>
  </si>
  <si>
    <t>108004</t>
  </si>
  <si>
    <t>108006</t>
  </si>
  <si>
    <t>104001</t>
  </si>
  <si>
    <t>区文联</t>
  </si>
  <si>
    <t>平潭综合实验区质量计量所</t>
  </si>
  <si>
    <t>109004</t>
  </si>
  <si>
    <t>平潭综合实验区未成年人思想道德建设中心</t>
  </si>
  <si>
    <t>平潭综合实验区经济发展局本级</t>
  </si>
  <si>
    <t>平潭综合实验区统计局</t>
  </si>
  <si>
    <t>平潭综合实验区经济社会调查队</t>
  </si>
  <si>
    <t>302001</t>
  </si>
  <si>
    <t>平潭综合实验区招商局</t>
  </si>
  <si>
    <t>304003</t>
    <phoneticPr fontId="2" type="noConversion"/>
  </si>
  <si>
    <t>304001</t>
    <phoneticPr fontId="2" type="noConversion"/>
  </si>
  <si>
    <t>304002</t>
    <phoneticPr fontId="2" type="noConversion"/>
  </si>
  <si>
    <t>303001</t>
    <phoneticPr fontId="2" type="noConversion"/>
  </si>
  <si>
    <t>301001</t>
    <phoneticPr fontId="2" type="noConversion"/>
  </si>
  <si>
    <t>301002</t>
    <phoneticPr fontId="2" type="noConversion"/>
  </si>
  <si>
    <t>301003</t>
    <phoneticPr fontId="2" type="noConversion"/>
  </si>
  <si>
    <t>307001</t>
    <phoneticPr fontId="2" type="noConversion"/>
  </si>
  <si>
    <t>307002</t>
    <phoneticPr fontId="2" type="noConversion"/>
  </si>
  <si>
    <t>301021</t>
    <phoneticPr fontId="2" type="noConversion"/>
  </si>
  <si>
    <t>10800113</t>
    <phoneticPr fontId="2" type="noConversion"/>
  </si>
  <si>
    <t>10800713</t>
    <phoneticPr fontId="2" type="noConversion"/>
  </si>
  <si>
    <t>10800913</t>
    <phoneticPr fontId="2" type="noConversion"/>
  </si>
  <si>
    <t>10801013</t>
    <phoneticPr fontId="2" type="noConversion"/>
  </si>
  <si>
    <t>306001</t>
  </si>
  <si>
    <t>306002</t>
  </si>
  <si>
    <t>306003</t>
  </si>
  <si>
    <t>306004</t>
  </si>
  <si>
    <t>306018</t>
    <phoneticPr fontId="2" type="noConversion"/>
  </si>
  <si>
    <t>平潭综合实验区大练乡卫生院</t>
    <phoneticPr fontId="2" type="noConversion"/>
  </si>
  <si>
    <t>平潭综合实验区苏澳镇中心卫生院</t>
    <phoneticPr fontId="2" type="noConversion"/>
  </si>
  <si>
    <t>平潭综合实验区平原镇中心卫生院</t>
    <phoneticPr fontId="2" type="noConversion"/>
  </si>
  <si>
    <t>平潭综合实验区中楼乡卫生院</t>
    <phoneticPr fontId="2" type="noConversion"/>
  </si>
  <si>
    <t>704015</t>
    <phoneticPr fontId="2" type="noConversion"/>
  </si>
  <si>
    <t>平潭综合实验区白青乡卫生院</t>
    <phoneticPr fontId="2" type="noConversion"/>
  </si>
  <si>
    <t>平潭综合实验区东庠乡卫生院</t>
    <phoneticPr fontId="2" type="noConversion"/>
  </si>
  <si>
    <t>平潭综合实验区岚城乡中心卫生院</t>
    <phoneticPr fontId="2" type="noConversion"/>
  </si>
  <si>
    <t>平潭综合实验区澳前镇中心卫生院</t>
    <phoneticPr fontId="2" type="noConversion"/>
  </si>
  <si>
    <t>平潭综合实验区北厝镇中心卫生院</t>
    <phoneticPr fontId="2" type="noConversion"/>
  </si>
  <si>
    <t>平潭综合实验区敖东镇中心卫生院</t>
    <phoneticPr fontId="2" type="noConversion"/>
  </si>
  <si>
    <t>平潭综合实验区南海乡卫生院</t>
    <phoneticPr fontId="2" type="noConversion"/>
  </si>
  <si>
    <t>平潭综合实验区南海乡塘屿卫生院</t>
    <phoneticPr fontId="2" type="noConversion"/>
  </si>
  <si>
    <t>公务用车运行维护费</t>
    <phoneticPr fontId="2" type="noConversion"/>
  </si>
  <si>
    <t>合计</t>
    <phoneticPr fontId="1" type="noConversion"/>
  </si>
  <si>
    <t>单位编码</t>
    <phoneticPr fontId="2" type="noConversion"/>
  </si>
  <si>
    <t>0805001</t>
  </si>
  <si>
    <t>0805002</t>
  </si>
  <si>
    <t>0805003</t>
  </si>
  <si>
    <t>中国（福建）自由贸易试验区平潭片区管委会综合事务协调办公室</t>
    <phoneticPr fontId="2" type="noConversion"/>
  </si>
  <si>
    <t>自贸试验区平潭片区海峡两岸商务服务中心</t>
    <phoneticPr fontId="2" type="noConversion"/>
  </si>
  <si>
    <t>自贸区管委会跨境贸易电子商务办公室</t>
    <phoneticPr fontId="2" type="noConversion"/>
  </si>
  <si>
    <t>区党群部</t>
    <phoneticPr fontId="2" type="noConversion"/>
  </si>
  <si>
    <t>区团委</t>
    <phoneticPr fontId="2" type="noConversion"/>
  </si>
  <si>
    <t>区党校</t>
    <phoneticPr fontId="2" type="noConversion"/>
  </si>
  <si>
    <t>青少年宫</t>
    <phoneticPr fontId="2" type="noConversion"/>
  </si>
  <si>
    <t>区总工会</t>
    <phoneticPr fontId="2" type="noConversion"/>
  </si>
  <si>
    <t>区干部人事信息中心</t>
    <phoneticPr fontId="2" type="noConversion"/>
  </si>
  <si>
    <t>区挂职办</t>
    <phoneticPr fontId="2" type="noConversion"/>
  </si>
  <si>
    <t>区人力资源公共服务中心</t>
    <phoneticPr fontId="2" type="noConversion"/>
  </si>
  <si>
    <t>离退休干部活动中心</t>
    <phoneticPr fontId="2" type="noConversion"/>
  </si>
  <si>
    <t>关工委</t>
    <phoneticPr fontId="2" type="noConversion"/>
  </si>
  <si>
    <t>老年大学</t>
    <phoneticPr fontId="2" type="noConversion"/>
  </si>
  <si>
    <t>看守所</t>
    <phoneticPr fontId="2" type="noConversion"/>
  </si>
  <si>
    <t>拘留所</t>
    <phoneticPr fontId="2" type="noConversion"/>
  </si>
  <si>
    <t>财金局</t>
    <phoneticPr fontId="2" type="noConversion"/>
  </si>
  <si>
    <t>区国库支付中心</t>
    <phoneticPr fontId="2" type="noConversion"/>
  </si>
  <si>
    <t>区采购办公室</t>
    <phoneticPr fontId="2" type="noConversion"/>
  </si>
  <si>
    <t>区财政评审中心</t>
    <phoneticPr fontId="2" type="noConversion"/>
  </si>
  <si>
    <t>乡财办</t>
    <phoneticPr fontId="2" type="noConversion"/>
  </si>
  <si>
    <t>区管委会办公室</t>
    <phoneticPr fontId="2" type="noConversion"/>
  </si>
  <si>
    <t>平潭综合实验区行政服务中心</t>
    <phoneticPr fontId="2" type="noConversion"/>
  </si>
  <si>
    <t>平潭综合实验区行政审批局</t>
    <phoneticPr fontId="2" type="noConversion"/>
  </si>
  <si>
    <t>平潭综合实验区马上办办公室</t>
    <phoneticPr fontId="2" type="noConversion"/>
  </si>
  <si>
    <t>平潭综合实验区检验检测中心</t>
    <phoneticPr fontId="2" type="noConversion"/>
  </si>
  <si>
    <t>平潭县人大常委会</t>
    <phoneticPr fontId="2" type="noConversion"/>
  </si>
  <si>
    <t>平潭综合实验区市场监督管理局</t>
    <phoneticPr fontId="2" type="noConversion"/>
  </si>
  <si>
    <t>公证处</t>
    <phoneticPr fontId="2" type="noConversion"/>
  </si>
  <si>
    <t>县政协</t>
    <phoneticPr fontId="2" type="noConversion"/>
  </si>
  <si>
    <t>平潭综合实验区重点项目建设管理办公室</t>
    <phoneticPr fontId="2" type="noConversion"/>
  </si>
  <si>
    <t>平潭综合实验区重点项目服务中心</t>
    <phoneticPr fontId="2" type="noConversion"/>
  </si>
  <si>
    <t>平潭综合实验区管委会口岸工作办公室</t>
    <phoneticPr fontId="2" type="noConversion"/>
  </si>
  <si>
    <t>平潭综合实验区风景名胜区管理局</t>
    <phoneticPr fontId="2" type="noConversion"/>
  </si>
  <si>
    <t>平潭综合实验区旅游发展委员会</t>
    <phoneticPr fontId="2" type="noConversion"/>
  </si>
  <si>
    <t>平潭综合实验区管委会台湾工作部</t>
    <phoneticPr fontId="2" type="noConversion"/>
  </si>
  <si>
    <t>平潭综合实验区卫生监督所</t>
    <phoneticPr fontId="2" type="noConversion"/>
  </si>
  <si>
    <t>综合执法局</t>
    <phoneticPr fontId="2" type="noConversion"/>
  </si>
  <si>
    <t>交通综合执法支队</t>
    <phoneticPr fontId="2" type="noConversion"/>
  </si>
  <si>
    <t>文化市场综合执法支队</t>
    <phoneticPr fontId="2" type="noConversion"/>
  </si>
  <si>
    <t>农业综合执法支队</t>
    <phoneticPr fontId="2" type="noConversion"/>
  </si>
  <si>
    <t>安监局</t>
    <phoneticPr fontId="2" type="noConversion"/>
  </si>
  <si>
    <t>安全生产执法大队</t>
    <phoneticPr fontId="2" type="noConversion"/>
  </si>
  <si>
    <t>安全生产综合服务中心</t>
    <phoneticPr fontId="2" type="noConversion"/>
  </si>
  <si>
    <t>安全生产办公室</t>
    <phoneticPr fontId="2" type="noConversion"/>
  </si>
  <si>
    <t>平潭综合实验区农业机械管理站</t>
    <phoneticPr fontId="2" type="noConversion"/>
  </si>
  <si>
    <t>平潭综合实验区防汛抗旱指挥部办公室</t>
    <phoneticPr fontId="2" type="noConversion"/>
  </si>
  <si>
    <t>平潭综合实验区三十六脚湖保护管理中心</t>
    <phoneticPr fontId="2" type="noConversion"/>
  </si>
  <si>
    <t>平潭综合实验区林业局</t>
    <phoneticPr fontId="2" type="noConversion"/>
  </si>
  <si>
    <t>平潭综合实验区海洋与渔业执法支队</t>
    <phoneticPr fontId="2" type="noConversion"/>
  </si>
  <si>
    <t>平潭综合实验区卫生和计划生育局</t>
    <phoneticPr fontId="2" type="noConversion"/>
  </si>
  <si>
    <t>平潭综合实验区卫计服务中心</t>
    <phoneticPr fontId="2" type="noConversion"/>
  </si>
  <si>
    <t>平潭综合实验区妇幼保健院</t>
    <phoneticPr fontId="2" type="noConversion"/>
  </si>
  <si>
    <t>平潭综合实验区潭城镇社区卫生服务中心</t>
    <phoneticPr fontId="2" type="noConversion"/>
  </si>
  <si>
    <t>平潭综合实验区屿头乡卫生院</t>
    <phoneticPr fontId="2" type="noConversion"/>
  </si>
  <si>
    <t>0899001</t>
  </si>
  <si>
    <t>0899002</t>
  </si>
  <si>
    <t>0899003</t>
  </si>
  <si>
    <t>0899004</t>
  </si>
  <si>
    <t>0899008</t>
  </si>
  <si>
    <t>0899012</t>
  </si>
  <si>
    <t>0899015</t>
  </si>
  <si>
    <t>0899017</t>
  </si>
  <si>
    <t>0899018</t>
  </si>
  <si>
    <t>平潭综合实验区造价站</t>
    <phoneticPr fontId="2" type="noConversion"/>
  </si>
  <si>
    <t>平潭综合实验区安居工程建设和管理领导小组办公室</t>
    <phoneticPr fontId="2" type="noConversion"/>
  </si>
  <si>
    <t>平潭综合实验区规划局</t>
    <phoneticPr fontId="2" type="noConversion"/>
  </si>
  <si>
    <t>平潭综合实验区规划编制研究中心</t>
    <phoneticPr fontId="2" type="noConversion"/>
  </si>
  <si>
    <t>金井湾片区项目建设指挥部</t>
    <phoneticPr fontId="2" type="noConversion"/>
  </si>
  <si>
    <t>金井湾片区项目建设服务中心</t>
    <phoneticPr fontId="2" type="noConversion"/>
  </si>
  <si>
    <t>岚城片区项目建设指挥部</t>
    <phoneticPr fontId="2" type="noConversion"/>
  </si>
  <si>
    <t>澳前片区项目建设指挥部</t>
    <phoneticPr fontId="2" type="noConversion"/>
  </si>
  <si>
    <t>澳前片区项目建设服务中心</t>
    <phoneticPr fontId="2" type="noConversion"/>
  </si>
  <si>
    <t>流水片区项目建设指挥部</t>
    <phoneticPr fontId="2" type="noConversion"/>
  </si>
  <si>
    <t>流水片区项目建设服务中心</t>
    <phoneticPr fontId="2" type="noConversion"/>
  </si>
  <si>
    <t>福建师范大学平潭附属中学筹建工作领导小组办公室</t>
    <phoneticPr fontId="2" type="noConversion"/>
  </si>
  <si>
    <t>福平铁路（平潭）项目建设指挥部</t>
    <phoneticPr fontId="2" type="noConversion"/>
  </si>
  <si>
    <t>平潭综合实验区铁路建设指挥部办公室</t>
    <phoneticPr fontId="2" type="noConversion"/>
  </si>
  <si>
    <t>平潭综合实验区环岛公路指挥部</t>
    <phoneticPr fontId="2" type="noConversion"/>
  </si>
  <si>
    <t>平潭综合实验区三甲医院建设指挥部</t>
    <phoneticPr fontId="2" type="noConversion"/>
  </si>
  <si>
    <t>平潭海洋大学筹建办公室</t>
    <phoneticPr fontId="2" type="noConversion"/>
  </si>
  <si>
    <t>平潭综合实验区高速公路建设指挥部</t>
    <phoneticPr fontId="2" type="noConversion"/>
  </si>
  <si>
    <t>105011</t>
    <phoneticPr fontId="2" type="noConversion"/>
  </si>
  <si>
    <t>105008</t>
    <phoneticPr fontId="2" type="noConversion"/>
  </si>
  <si>
    <t>105030</t>
    <phoneticPr fontId="2" type="noConversion"/>
  </si>
  <si>
    <t>601004</t>
    <phoneticPr fontId="2" type="noConversion"/>
  </si>
  <si>
    <t>105001</t>
    <phoneticPr fontId="12" type="noConversion"/>
  </si>
  <si>
    <t>105007</t>
    <phoneticPr fontId="12" type="noConversion"/>
  </si>
  <si>
    <t>区工商联</t>
    <phoneticPr fontId="12" type="noConversion"/>
  </si>
  <si>
    <t>105013</t>
    <phoneticPr fontId="12" type="noConversion"/>
  </si>
  <si>
    <t>区妇联</t>
    <phoneticPr fontId="12" type="noConversion"/>
  </si>
  <si>
    <t>105014</t>
    <phoneticPr fontId="12" type="noConversion"/>
  </si>
  <si>
    <t>105018</t>
    <phoneticPr fontId="12" type="noConversion"/>
  </si>
  <si>
    <t>105022</t>
    <phoneticPr fontId="12" type="noConversion"/>
  </si>
  <si>
    <t>105024</t>
    <phoneticPr fontId="12" type="noConversion"/>
  </si>
  <si>
    <t>区事业登记局</t>
    <phoneticPr fontId="12" type="noConversion"/>
  </si>
  <si>
    <t>201001</t>
    <phoneticPr fontId="12" type="noConversion"/>
  </si>
  <si>
    <t>公安局</t>
    <phoneticPr fontId="12" type="noConversion"/>
  </si>
  <si>
    <t>201002</t>
    <phoneticPr fontId="12" type="noConversion"/>
  </si>
  <si>
    <t>201003</t>
    <phoneticPr fontId="12" type="noConversion"/>
  </si>
  <si>
    <t>601003</t>
    <phoneticPr fontId="12" type="noConversion"/>
  </si>
  <si>
    <t>603001</t>
    <phoneticPr fontId="12" type="noConversion"/>
  </si>
  <si>
    <t>国有资产管理局</t>
    <phoneticPr fontId="12" type="noConversion"/>
  </si>
  <si>
    <t>601010</t>
    <phoneticPr fontId="12" type="noConversion"/>
  </si>
  <si>
    <t>PPP中心</t>
    <phoneticPr fontId="12" type="noConversion"/>
  </si>
  <si>
    <t>10800113</t>
    <phoneticPr fontId="12" type="noConversion"/>
  </si>
  <si>
    <t>10800713</t>
    <phoneticPr fontId="12" type="noConversion"/>
  </si>
  <si>
    <t>10801013</t>
    <phoneticPr fontId="12" type="noConversion"/>
  </si>
  <si>
    <t>安监局</t>
    <phoneticPr fontId="12" type="noConversion"/>
  </si>
  <si>
    <t>108008</t>
    <phoneticPr fontId="2" type="noConversion"/>
  </si>
  <si>
    <t>108004</t>
    <phoneticPr fontId="2" type="noConversion"/>
  </si>
  <si>
    <t>108006</t>
    <phoneticPr fontId="2" type="noConversion"/>
  </si>
  <si>
    <t>2017年1-9月平潭综合实验区各单位三公经费统计表</t>
    <phoneticPr fontId="2" type="noConversion"/>
  </si>
  <si>
    <t>平潭综合实验区环境与国土资源局</t>
  </si>
  <si>
    <t>平潭综合实验区环境与国土资源信息中心</t>
  </si>
  <si>
    <t>平潭综合实验区住房公积金管理中心</t>
  </si>
  <si>
    <t>平潭区公用事业服务中心</t>
  </si>
  <si>
    <t>平潭综合实验区邮政业发展与安全中心</t>
  </si>
  <si>
    <t>岚城片区项目建设服务中心</t>
  </si>
  <si>
    <t>平潭综合实验区土地房屋征收安置工作领导小组</t>
  </si>
  <si>
    <t>福建信息职业技术学院平潭校区建设项目领导小组</t>
  </si>
  <si>
    <t>平潭综合实验区地灾防治与环境事故应急中心</t>
    <phoneticPr fontId="2" type="noConversion"/>
  </si>
  <si>
    <t>平潭综合实验区土地储备中心</t>
    <phoneticPr fontId="2" type="noConversion"/>
  </si>
  <si>
    <t>平潭综合实验区环境监测站</t>
    <phoneticPr fontId="2" type="noConversion"/>
  </si>
  <si>
    <t>平潭综合实验区不动产登记中心</t>
    <phoneticPr fontId="2" type="noConversion"/>
  </si>
  <si>
    <t>平潭综合实验区土地开发整理中心</t>
    <phoneticPr fontId="2" type="noConversion"/>
  </si>
  <si>
    <t>平潭综合实验区环境监察支队</t>
    <phoneticPr fontId="2" type="noConversion"/>
  </si>
  <si>
    <t>平潭综合实验区交通与建设局本级</t>
    <phoneticPr fontId="2" type="noConversion"/>
  </si>
  <si>
    <t>平潭综合实验区公路局</t>
    <phoneticPr fontId="2" type="noConversion"/>
  </si>
  <si>
    <t>平潭综合实验区人防办</t>
    <phoneticPr fontId="2" type="noConversion"/>
  </si>
  <si>
    <t>平潭县地震办</t>
    <phoneticPr fontId="2" type="noConversion"/>
  </si>
  <si>
    <t>平潭县轮渡管理处</t>
    <phoneticPr fontId="2" type="noConversion"/>
  </si>
  <si>
    <t>平潭综合实验区村镇建设总站</t>
    <phoneticPr fontId="2" type="noConversion"/>
  </si>
  <si>
    <t>平潭综合实验区交通与建设工程质量安全监督站</t>
    <phoneticPr fontId="2" type="noConversion"/>
  </si>
  <si>
    <t>平潭综合实验区环卫所</t>
    <phoneticPr fontId="2" type="noConversion"/>
  </si>
  <si>
    <t>平潭综合实验区交通运输管理服务中心</t>
    <phoneticPr fontId="2" type="noConversion"/>
  </si>
  <si>
    <t>平潭综合实验区宜居环境建设指挥部</t>
    <phoneticPr fontId="2" type="noConversion"/>
  </si>
  <si>
    <t>平潭综合实验区环境卫生综合整治活动领导小组办公室</t>
    <phoneticPr fontId="2" type="noConversion"/>
  </si>
  <si>
    <t>103001</t>
    <phoneticPr fontId="2" type="noConversion"/>
  </si>
  <si>
    <t>区纪工委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</si>
</sst>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#,##0.00_);[Red]\(#,##0.00\)"/>
  </numFmts>
  <fonts count="1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9"/>
      <color indexed="8"/>
      <name val="宋体"/>
      <family val="3"/>
      <charset val="134"/>
      <scheme val="major"/>
    </font>
    <font>
      <sz val="9"/>
      <name val="宋体"/>
      <family val="3"/>
      <charset val="134"/>
      <scheme val="major"/>
    </font>
    <font>
      <sz val="9"/>
      <color theme="1"/>
      <name val="宋体"/>
      <family val="3"/>
      <charset val="134"/>
      <scheme val="major"/>
    </font>
    <font>
      <sz val="10"/>
      <color indexed="8"/>
      <name val="宋体"/>
      <family val="3"/>
      <charset val="134"/>
    </font>
    <font>
      <sz val="16"/>
      <color indexed="8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6" fillId="0" borderId="0"/>
    <xf numFmtId="0" fontId="6" fillId="0" borderId="0"/>
    <xf numFmtId="0" fontId="6" fillId="0" borderId="0"/>
  </cellStyleXfs>
  <cellXfs count="52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3" fillId="0" borderId="0" xfId="0" applyFont="1" applyFill="1" applyAlignment="1"/>
    <xf numFmtId="0" fontId="5" fillId="0" borderId="0" xfId="0" applyFont="1" applyFill="1" applyAlignment="1"/>
    <xf numFmtId="0" fontId="0" fillId="0" borderId="0" xfId="0" applyFill="1" applyAlignment="1"/>
    <xf numFmtId="0" fontId="0" fillId="0" borderId="0" xfId="0" applyAlignment="1"/>
    <xf numFmtId="0" fontId="0" fillId="0" borderId="5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6" fillId="0" borderId="5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Font="1" applyAlignment="1"/>
    <xf numFmtId="49" fontId="7" fillId="0" borderId="2" xfId="0" applyNumberFormat="1" applyFont="1" applyFill="1" applyBorder="1" applyAlignment="1" applyProtection="1">
      <alignment horizontal="center" vertical="center" wrapText="1"/>
    </xf>
    <xf numFmtId="49" fontId="7" fillId="0" borderId="3" xfId="0" applyNumberFormat="1" applyFont="1" applyBorder="1" applyAlignment="1" applyProtection="1">
      <alignment horizontal="center" vertical="center" wrapText="1"/>
    </xf>
    <xf numFmtId="0" fontId="8" fillId="0" borderId="3" xfId="0" applyFont="1" applyBorder="1" applyAlignment="1" applyProtection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49" fontId="7" fillId="0" borderId="3" xfId="0" applyNumberFormat="1" applyFont="1" applyFill="1" applyBorder="1" applyAlignment="1" applyProtection="1">
      <alignment horizontal="center" vertical="center" wrapText="1"/>
    </xf>
    <xf numFmtId="0" fontId="7" fillId="0" borderId="3" xfId="0" applyNumberFormat="1" applyFont="1" applyFill="1" applyBorder="1" applyAlignment="1" applyProtection="1">
      <alignment horizontal="left" vertical="center" wrapText="1"/>
    </xf>
    <xf numFmtId="0" fontId="7" fillId="0" borderId="3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left" vertical="center"/>
    </xf>
    <xf numFmtId="0" fontId="7" fillId="0" borderId="3" xfId="0" applyFont="1" applyBorder="1" applyAlignment="1" applyProtection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49" fontId="7" fillId="0" borderId="4" xfId="0" applyNumberFormat="1" applyFont="1" applyFill="1" applyBorder="1" applyAlignment="1" applyProtection="1">
      <alignment horizontal="center" vertical="center" wrapText="1"/>
    </xf>
    <xf numFmtId="49" fontId="9" fillId="0" borderId="3" xfId="0" applyNumberFormat="1" applyFont="1" applyBorder="1" applyAlignment="1">
      <alignment horizontal="center" vertical="center"/>
    </xf>
    <xf numFmtId="0" fontId="7" fillId="0" borderId="2" xfId="0" applyNumberFormat="1" applyFont="1" applyFill="1" applyBorder="1" applyAlignment="1" applyProtection="1">
      <alignment horizontal="left" vertical="center" wrapText="1"/>
    </xf>
    <xf numFmtId="0" fontId="7" fillId="0" borderId="2" xfId="1" applyNumberFormat="1" applyFont="1" applyFill="1" applyBorder="1" applyAlignment="1" applyProtection="1">
      <alignment horizontal="left" vertical="center" wrapText="1"/>
    </xf>
    <xf numFmtId="0" fontId="8" fillId="0" borderId="3" xfId="0" applyFont="1" applyBorder="1" applyAlignment="1">
      <alignment horizontal="left"/>
    </xf>
    <xf numFmtId="0" fontId="9" fillId="0" borderId="3" xfId="0" applyFont="1" applyBorder="1" applyAlignment="1">
      <alignment horizontal="left"/>
    </xf>
    <xf numFmtId="0" fontId="7" fillId="0" borderId="4" xfId="0" applyNumberFormat="1" applyFont="1" applyFill="1" applyBorder="1" applyAlignment="1" applyProtection="1">
      <alignment horizontal="left" vertical="center" wrapText="1"/>
    </xf>
    <xf numFmtId="0" fontId="9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0" fillId="0" borderId="0" xfId="0" applyAlignment="1">
      <alignment horizontal="left"/>
    </xf>
    <xf numFmtId="49" fontId="10" fillId="0" borderId="2" xfId="0" applyNumberFormat="1" applyFont="1" applyFill="1" applyBorder="1" applyAlignment="1" applyProtection="1">
      <alignment horizontal="center" vertical="center" wrapText="1"/>
    </xf>
    <xf numFmtId="0" fontId="10" fillId="0" borderId="2" xfId="0" applyNumberFormat="1" applyFont="1" applyFill="1" applyBorder="1" applyAlignment="1" applyProtection="1">
      <alignment horizontal="left" vertical="center" wrapText="1"/>
    </xf>
    <xf numFmtId="176" fontId="10" fillId="0" borderId="2" xfId="0" applyNumberFormat="1" applyFont="1" applyFill="1" applyBorder="1" applyAlignment="1" applyProtection="1">
      <alignment horizontal="center" vertical="center" wrapText="1"/>
    </xf>
    <xf numFmtId="176" fontId="9" fillId="0" borderId="2" xfId="0" applyNumberFormat="1" applyFont="1" applyFill="1" applyBorder="1" applyAlignment="1" applyProtection="1"/>
    <xf numFmtId="176" fontId="9" fillId="0" borderId="3" xfId="0" applyNumberFormat="1" applyFont="1" applyBorder="1" applyAlignment="1">
      <alignment horizontal="right" vertical="center"/>
    </xf>
    <xf numFmtId="176" fontId="9" fillId="0" borderId="3" xfId="0" applyNumberFormat="1" applyFont="1" applyBorder="1" applyAlignment="1">
      <alignment horizontal="right"/>
    </xf>
    <xf numFmtId="176" fontId="9" fillId="0" borderId="3" xfId="0" applyNumberFormat="1" applyFont="1" applyBorder="1" applyAlignment="1" applyProtection="1">
      <alignment horizontal="right"/>
    </xf>
    <xf numFmtId="176" fontId="9" fillId="0" borderId="3" xfId="0" applyNumberFormat="1" applyFont="1" applyFill="1" applyBorder="1" applyAlignment="1" applyProtection="1">
      <alignment horizontal="right"/>
    </xf>
    <xf numFmtId="176" fontId="9" fillId="0" borderId="3" xfId="0" applyNumberFormat="1" applyFont="1" applyBorder="1" applyAlignment="1" applyProtection="1">
      <alignment horizontal="right" vertical="center"/>
    </xf>
    <xf numFmtId="176" fontId="9" fillId="0" borderId="3" xfId="0" applyNumberFormat="1" applyFont="1" applyFill="1" applyBorder="1" applyAlignment="1" applyProtection="1">
      <alignment horizontal="right" vertical="center"/>
    </xf>
    <xf numFmtId="176" fontId="9" fillId="0" borderId="4" xfId="0" applyNumberFormat="1" applyFont="1" applyFill="1" applyBorder="1" applyAlignment="1" applyProtection="1">
      <alignment horizontal="right" vertical="center"/>
    </xf>
    <xf numFmtId="176" fontId="9" fillId="0" borderId="4" xfId="2" applyNumberFormat="1" applyFont="1" applyFill="1" applyBorder="1" applyAlignment="1" applyProtection="1">
      <alignment horizontal="right" vertical="center"/>
    </xf>
    <xf numFmtId="176" fontId="9" fillId="0" borderId="4" xfId="3" applyNumberFormat="1" applyFont="1" applyFill="1" applyBorder="1" applyAlignment="1" applyProtection="1">
      <alignment horizontal="right" vertical="center"/>
    </xf>
    <xf numFmtId="176" fontId="9" fillId="0" borderId="2" xfId="1" applyNumberFormat="1" applyFont="1" applyFill="1" applyBorder="1" applyAlignment="1" applyProtection="1"/>
    <xf numFmtId="176" fontId="0" fillId="0" borderId="0" xfId="0" applyNumberFormat="1" applyAlignment="1"/>
    <xf numFmtId="0" fontId="13" fillId="0" borderId="5" xfId="0" applyNumberFormat="1" applyFont="1" applyFill="1" applyBorder="1" applyAlignment="1" applyProtection="1"/>
    <xf numFmtId="0" fontId="13" fillId="0" borderId="0" xfId="0" applyNumberFormat="1" applyFont="1" applyFill="1" applyBorder="1" applyAlignment="1" applyProtection="1"/>
    <xf numFmtId="0" fontId="11" fillId="0" borderId="1" xfId="0" applyNumberFormat="1" applyFont="1" applyFill="1" applyBorder="1" applyAlignment="1" applyProtection="1">
      <alignment horizontal="center" vertical="center"/>
    </xf>
  </cellXfs>
  <cellStyles count="4">
    <cellStyle name="常规" xfId="0" builtinId="0"/>
    <cellStyle name="常规 2" xfId="1"/>
    <cellStyle name="常规 4 2 2" xfId="2"/>
    <cellStyle name="常规 6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65"/>
  <sheetViews>
    <sheetView tabSelected="1" topLeftCell="A16" workbookViewId="0">
      <selection activeCell="G51" sqref="G51"/>
    </sheetView>
  </sheetViews>
  <sheetFormatPr defaultRowHeight="13.5"/>
  <cols>
    <col min="1" max="1" width="7.75" style="5" customWidth="1"/>
    <col min="2" max="2" width="29.5" style="33" customWidth="1"/>
    <col min="3" max="3" width="11.75" style="48" customWidth="1"/>
    <col min="4" max="4" width="13" style="48" customWidth="1"/>
    <col min="5" max="5" width="12.25" style="48" customWidth="1"/>
    <col min="6" max="6" width="14" style="48" customWidth="1"/>
    <col min="7" max="16384" width="9" style="5"/>
  </cols>
  <sheetData>
    <row r="1" spans="1:18" s="1" customFormat="1" ht="20.25">
      <c r="A1" s="51" t="s">
        <v>235</v>
      </c>
      <c r="B1" s="51"/>
      <c r="C1" s="51"/>
      <c r="D1" s="51"/>
      <c r="E1" s="51"/>
      <c r="F1" s="51"/>
    </row>
    <row r="2" spans="1:18" s="2" customFormat="1" ht="27" customHeight="1">
      <c r="A2" s="34" t="s">
        <v>119</v>
      </c>
      <c r="B2" s="35" t="s">
        <v>0</v>
      </c>
      <c r="C2" s="36" t="s">
        <v>1</v>
      </c>
      <c r="D2" s="36" t="s">
        <v>2</v>
      </c>
      <c r="E2" s="36" t="s">
        <v>117</v>
      </c>
      <c r="F2" s="36" t="s">
        <v>3</v>
      </c>
    </row>
    <row r="3" spans="1:18" ht="13.5" customHeight="1">
      <c r="A3" s="13" t="s">
        <v>209</v>
      </c>
      <c r="B3" s="14" t="s">
        <v>126</v>
      </c>
      <c r="C3" s="40">
        <v>385731</v>
      </c>
      <c r="D3" s="40">
        <v>41315</v>
      </c>
      <c r="E3" s="40">
        <v>88110.26</v>
      </c>
      <c r="F3" s="37">
        <f>SUM(C3:E3)</f>
        <v>515156.26</v>
      </c>
      <c r="G3" s="49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</row>
    <row r="4" spans="1:18" ht="13.5" customHeight="1">
      <c r="A4" s="15" t="s">
        <v>210</v>
      </c>
      <c r="B4" s="16" t="s">
        <v>211</v>
      </c>
      <c r="C4" s="38">
        <v>0</v>
      </c>
      <c r="D4" s="38">
        <v>0</v>
      </c>
      <c r="E4" s="38">
        <v>0</v>
      </c>
      <c r="F4" s="37">
        <f t="shared" ref="F4:F68" si="0">SUM(C4:E4)</f>
        <v>0</v>
      </c>
      <c r="G4" s="49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</row>
    <row r="5" spans="1:18" ht="13.5" customHeight="1">
      <c r="A5" s="17" t="s">
        <v>205</v>
      </c>
      <c r="B5" s="18" t="s">
        <v>127</v>
      </c>
      <c r="C5" s="41">
        <v>0</v>
      </c>
      <c r="D5" s="41">
        <v>0</v>
      </c>
      <c r="E5" s="41">
        <v>0</v>
      </c>
      <c r="F5" s="37">
        <f t="shared" si="0"/>
        <v>0</v>
      </c>
      <c r="G5" s="49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</row>
    <row r="6" spans="1:18" ht="13.5" customHeight="1">
      <c r="A6" s="17" t="s">
        <v>206</v>
      </c>
      <c r="B6" s="18" t="s">
        <v>128</v>
      </c>
      <c r="C6" s="41">
        <v>0</v>
      </c>
      <c r="D6" s="41">
        <v>3038</v>
      </c>
      <c r="E6" s="41">
        <v>0</v>
      </c>
      <c r="F6" s="37">
        <f t="shared" si="0"/>
        <v>3038</v>
      </c>
      <c r="G6" s="49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</row>
    <row r="7" spans="1:18" ht="13.5" customHeight="1">
      <c r="A7" s="17" t="s">
        <v>65</v>
      </c>
      <c r="B7" s="18" t="s">
        <v>129</v>
      </c>
      <c r="C7" s="41">
        <v>0</v>
      </c>
      <c r="D7" s="41">
        <v>0</v>
      </c>
      <c r="E7" s="41">
        <v>0</v>
      </c>
      <c r="F7" s="37">
        <f t="shared" si="0"/>
        <v>0</v>
      </c>
      <c r="G7" s="49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</row>
    <row r="8" spans="1:18" ht="13.5" customHeight="1">
      <c r="A8" s="19" t="s">
        <v>212</v>
      </c>
      <c r="B8" s="20" t="s">
        <v>213</v>
      </c>
      <c r="C8" s="42">
        <v>0</v>
      </c>
      <c r="D8" s="42">
        <v>0</v>
      </c>
      <c r="E8" s="42">
        <v>0</v>
      </c>
      <c r="F8" s="37">
        <f t="shared" si="0"/>
        <v>0</v>
      </c>
      <c r="G8" s="49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</row>
    <row r="9" spans="1:18" ht="13.5" customHeight="1">
      <c r="A9" s="15" t="s">
        <v>214</v>
      </c>
      <c r="B9" s="16" t="s">
        <v>130</v>
      </c>
      <c r="C9" s="38">
        <v>0</v>
      </c>
      <c r="D9" s="38">
        <v>0</v>
      </c>
      <c r="E9" s="38">
        <v>0</v>
      </c>
      <c r="F9" s="37">
        <f t="shared" si="0"/>
        <v>0</v>
      </c>
      <c r="G9" s="49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</row>
    <row r="10" spans="1:18" ht="13.5" customHeight="1">
      <c r="A10" s="17" t="s">
        <v>215</v>
      </c>
      <c r="B10" s="18" t="s">
        <v>131</v>
      </c>
      <c r="C10" s="41">
        <v>0</v>
      </c>
      <c r="D10" s="41">
        <v>0</v>
      </c>
      <c r="E10" s="41">
        <v>0</v>
      </c>
      <c r="F10" s="37">
        <f t="shared" si="0"/>
        <v>0</v>
      </c>
      <c r="G10" s="49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</row>
    <row r="11" spans="1:18" ht="13.5" customHeight="1">
      <c r="A11" s="17"/>
      <c r="B11" s="18" t="s">
        <v>132</v>
      </c>
      <c r="C11" s="41">
        <v>108500</v>
      </c>
      <c r="D11" s="41">
        <v>8615</v>
      </c>
      <c r="E11" s="41">
        <v>0</v>
      </c>
      <c r="F11" s="37">
        <f t="shared" si="0"/>
        <v>117115</v>
      </c>
      <c r="G11" s="49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</row>
    <row r="12" spans="1:18" ht="13.5" customHeight="1">
      <c r="A12" s="13" t="s">
        <v>216</v>
      </c>
      <c r="B12" s="14" t="s">
        <v>133</v>
      </c>
      <c r="C12" s="40">
        <v>0</v>
      </c>
      <c r="D12" s="40">
        <v>0</v>
      </c>
      <c r="E12" s="40">
        <v>0</v>
      </c>
      <c r="F12" s="37">
        <f t="shared" si="0"/>
        <v>0</v>
      </c>
      <c r="G12" s="49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</row>
    <row r="13" spans="1:18" ht="13.5" customHeight="1">
      <c r="A13" s="15" t="s">
        <v>217</v>
      </c>
      <c r="B13" s="16" t="s">
        <v>218</v>
      </c>
      <c r="C13" s="38">
        <v>0</v>
      </c>
      <c r="D13" s="38">
        <v>0</v>
      </c>
      <c r="E13" s="38">
        <v>0</v>
      </c>
      <c r="F13" s="37">
        <f t="shared" si="0"/>
        <v>0</v>
      </c>
      <c r="G13" s="49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</row>
    <row r="14" spans="1:18" ht="13.5" customHeight="1">
      <c r="A14" s="17" t="s">
        <v>66</v>
      </c>
      <c r="B14" s="18" t="s">
        <v>134</v>
      </c>
      <c r="C14" s="41">
        <v>0</v>
      </c>
      <c r="D14" s="41">
        <v>0</v>
      </c>
      <c r="E14" s="41">
        <v>0</v>
      </c>
      <c r="F14" s="37">
        <f t="shared" si="0"/>
        <v>0</v>
      </c>
      <c r="G14" s="49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</row>
    <row r="15" spans="1:18" ht="13.5" customHeight="1">
      <c r="A15" s="17" t="s">
        <v>207</v>
      </c>
      <c r="B15" s="18" t="s">
        <v>135</v>
      </c>
      <c r="C15" s="41">
        <v>0</v>
      </c>
      <c r="D15" s="41">
        <v>0</v>
      </c>
      <c r="E15" s="41">
        <v>0</v>
      </c>
      <c r="F15" s="37">
        <f t="shared" si="0"/>
        <v>0</v>
      </c>
      <c r="G15" s="49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</row>
    <row r="16" spans="1:18" ht="13.5" customHeight="1">
      <c r="A16" s="17" t="s">
        <v>67</v>
      </c>
      <c r="B16" s="18" t="s">
        <v>136</v>
      </c>
      <c r="C16" s="41">
        <v>0</v>
      </c>
      <c r="D16" s="41">
        <v>3660</v>
      </c>
      <c r="E16" s="41">
        <v>0</v>
      </c>
      <c r="F16" s="37">
        <f t="shared" si="0"/>
        <v>3660</v>
      </c>
      <c r="G16" s="49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</row>
    <row r="17" spans="1:18" ht="13.5" customHeight="1">
      <c r="A17" s="19" t="s">
        <v>219</v>
      </c>
      <c r="B17" s="20" t="s">
        <v>220</v>
      </c>
      <c r="C17" s="42"/>
      <c r="D17" s="41">
        <v>132867</v>
      </c>
      <c r="E17" s="41">
        <v>1372291.42</v>
      </c>
      <c r="F17" s="37">
        <f t="shared" si="0"/>
        <v>1505158.42</v>
      </c>
      <c r="G17" s="49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</row>
    <row r="18" spans="1:18" ht="13.5" customHeight="1">
      <c r="A18" s="15" t="s">
        <v>221</v>
      </c>
      <c r="B18" s="16" t="s">
        <v>137</v>
      </c>
      <c r="C18" s="38">
        <v>0</v>
      </c>
      <c r="D18" s="38">
        <v>0</v>
      </c>
      <c r="E18" s="38">
        <v>26601.05</v>
      </c>
      <c r="F18" s="37">
        <f t="shared" si="0"/>
        <v>26601.05</v>
      </c>
      <c r="G18" s="49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</row>
    <row r="19" spans="1:18" ht="13.5" customHeight="1">
      <c r="A19" s="17" t="s">
        <v>222</v>
      </c>
      <c r="B19" s="18" t="s">
        <v>138</v>
      </c>
      <c r="C19" s="41">
        <v>0</v>
      </c>
      <c r="D19" s="41">
        <v>0</v>
      </c>
      <c r="E19" s="41">
        <v>0</v>
      </c>
      <c r="F19" s="37">
        <f t="shared" si="0"/>
        <v>0</v>
      </c>
      <c r="G19" s="49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</row>
    <row r="20" spans="1:18" ht="13.5" customHeight="1">
      <c r="A20" s="17" t="s">
        <v>68</v>
      </c>
      <c r="B20" s="18" t="s">
        <v>139</v>
      </c>
      <c r="C20" s="41">
        <v>17570</v>
      </c>
      <c r="D20" s="41">
        <v>11991</v>
      </c>
      <c r="E20" s="41">
        <v>37928.68</v>
      </c>
      <c r="F20" s="37">
        <f t="shared" si="0"/>
        <v>67489.679999999993</v>
      </c>
      <c r="G20" s="49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</row>
    <row r="21" spans="1:18" ht="13.5" customHeight="1">
      <c r="A21" s="13" t="s">
        <v>223</v>
      </c>
      <c r="B21" s="14" t="s">
        <v>140</v>
      </c>
      <c r="C21" s="40">
        <v>0</v>
      </c>
      <c r="D21" s="40">
        <v>0</v>
      </c>
      <c r="E21" s="40">
        <v>8111.99</v>
      </c>
      <c r="F21" s="37">
        <f t="shared" si="0"/>
        <v>8111.99</v>
      </c>
      <c r="G21" s="49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</row>
    <row r="22" spans="1:18" ht="13.5" customHeight="1">
      <c r="A22" s="15" t="s">
        <v>224</v>
      </c>
      <c r="B22" s="16" t="s">
        <v>225</v>
      </c>
      <c r="C22" s="38">
        <v>0</v>
      </c>
      <c r="D22" s="38">
        <v>8250</v>
      </c>
      <c r="E22" s="38">
        <v>29200</v>
      </c>
      <c r="F22" s="37">
        <f t="shared" si="0"/>
        <v>37450</v>
      </c>
      <c r="G22" s="49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</row>
    <row r="23" spans="1:18" ht="13.5" customHeight="1">
      <c r="A23" s="17" t="s">
        <v>208</v>
      </c>
      <c r="B23" s="18" t="s">
        <v>141</v>
      </c>
      <c r="C23" s="41">
        <v>15800</v>
      </c>
      <c r="D23" s="41">
        <v>0</v>
      </c>
      <c r="E23" s="41">
        <v>0</v>
      </c>
      <c r="F23" s="37">
        <f t="shared" si="0"/>
        <v>15800</v>
      </c>
      <c r="G23" s="49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</row>
    <row r="24" spans="1:18" ht="13.5" customHeight="1">
      <c r="A24" s="17" t="s">
        <v>69</v>
      </c>
      <c r="B24" s="18" t="s">
        <v>142</v>
      </c>
      <c r="C24" s="41">
        <v>0</v>
      </c>
      <c r="D24" s="41">
        <v>0</v>
      </c>
      <c r="E24" s="41">
        <v>0</v>
      </c>
      <c r="F24" s="37">
        <f t="shared" si="0"/>
        <v>0</v>
      </c>
      <c r="G24" s="49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</row>
    <row r="25" spans="1:18" ht="13.5" customHeight="1">
      <c r="A25" s="17" t="s">
        <v>70</v>
      </c>
      <c r="B25" s="18" t="s">
        <v>143</v>
      </c>
      <c r="C25" s="41">
        <v>0</v>
      </c>
      <c r="D25" s="41">
        <v>8000</v>
      </c>
      <c r="E25" s="41">
        <v>0</v>
      </c>
      <c r="F25" s="37">
        <f t="shared" si="0"/>
        <v>8000</v>
      </c>
      <c r="G25" s="49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</row>
    <row r="26" spans="1:18" ht="13.5" customHeight="1">
      <c r="A26" s="19" t="s">
        <v>226</v>
      </c>
      <c r="B26" s="20" t="s">
        <v>227</v>
      </c>
      <c r="C26" s="42">
        <v>0</v>
      </c>
      <c r="D26" s="42">
        <v>790</v>
      </c>
      <c r="E26" s="42">
        <v>0</v>
      </c>
      <c r="F26" s="37">
        <f t="shared" si="0"/>
        <v>790</v>
      </c>
      <c r="G26" s="49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</row>
    <row r="27" spans="1:18" ht="13.5" customHeight="1">
      <c r="A27" s="15" t="s">
        <v>228</v>
      </c>
      <c r="B27" s="16" t="s">
        <v>160</v>
      </c>
      <c r="C27" s="38">
        <v>0</v>
      </c>
      <c r="D27" s="38">
        <v>764</v>
      </c>
      <c r="E27" s="38">
        <v>364991.82</v>
      </c>
      <c r="F27" s="37">
        <f t="shared" si="0"/>
        <v>365755.82</v>
      </c>
      <c r="G27" s="49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</row>
    <row r="28" spans="1:18" ht="13.5" customHeight="1">
      <c r="A28" s="17" t="s">
        <v>229</v>
      </c>
      <c r="B28" s="18" t="s">
        <v>161</v>
      </c>
      <c r="C28" s="41">
        <v>0</v>
      </c>
      <c r="D28" s="41">
        <v>0</v>
      </c>
      <c r="E28" s="41">
        <v>0</v>
      </c>
      <c r="F28" s="37">
        <f t="shared" si="0"/>
        <v>0</v>
      </c>
      <c r="G28" s="49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</row>
    <row r="29" spans="1:18" ht="13.5" customHeight="1">
      <c r="A29" s="17" t="s">
        <v>97</v>
      </c>
      <c r="B29" s="18" t="s">
        <v>162</v>
      </c>
      <c r="C29" s="41">
        <v>0</v>
      </c>
      <c r="D29" s="41">
        <v>0</v>
      </c>
      <c r="E29" s="41">
        <v>0</v>
      </c>
      <c r="F29" s="37">
        <f t="shared" si="0"/>
        <v>0</v>
      </c>
      <c r="G29" s="49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</row>
    <row r="30" spans="1:18" ht="13.5" customHeight="1">
      <c r="A30" s="13" t="s">
        <v>230</v>
      </c>
      <c r="B30" s="14" t="s">
        <v>163</v>
      </c>
      <c r="C30" s="40">
        <v>0</v>
      </c>
      <c r="D30" s="40">
        <v>0</v>
      </c>
      <c r="E30" s="40">
        <v>0</v>
      </c>
      <c r="F30" s="37">
        <f t="shared" si="0"/>
        <v>0</v>
      </c>
      <c r="G30" s="49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</row>
    <row r="31" spans="1:18" ht="13.5" customHeight="1">
      <c r="A31" s="15" t="s">
        <v>71</v>
      </c>
      <c r="B31" s="16" t="s">
        <v>231</v>
      </c>
      <c r="C31" s="38">
        <v>0</v>
      </c>
      <c r="D31" s="38">
        <v>2600</v>
      </c>
      <c r="E31" s="38">
        <v>17318.07</v>
      </c>
      <c r="F31" s="37">
        <f t="shared" si="0"/>
        <v>19918.07</v>
      </c>
      <c r="G31" s="49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</row>
    <row r="32" spans="1:18" ht="13.5" customHeight="1">
      <c r="A32" s="17" t="s">
        <v>232</v>
      </c>
      <c r="B32" s="18" t="s">
        <v>165</v>
      </c>
      <c r="C32" s="41">
        <v>0</v>
      </c>
      <c r="D32" s="41">
        <v>0</v>
      </c>
      <c r="E32" s="41">
        <v>0</v>
      </c>
      <c r="F32" s="37">
        <f t="shared" si="0"/>
        <v>0</v>
      </c>
      <c r="G32" s="49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</row>
    <row r="33" spans="1:18" ht="13.5" customHeight="1">
      <c r="A33" s="17" t="s">
        <v>233</v>
      </c>
      <c r="B33" s="18" t="s">
        <v>166</v>
      </c>
      <c r="C33" s="41">
        <v>0</v>
      </c>
      <c r="D33" s="41">
        <v>902</v>
      </c>
      <c r="E33" s="41">
        <v>0</v>
      </c>
      <c r="F33" s="37">
        <f t="shared" si="0"/>
        <v>902</v>
      </c>
      <c r="G33" s="49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</row>
    <row r="34" spans="1:18" ht="15.75" customHeight="1">
      <c r="A34" s="17" t="s">
        <v>234</v>
      </c>
      <c r="B34" s="18" t="s">
        <v>167</v>
      </c>
      <c r="C34" s="41">
        <v>0</v>
      </c>
      <c r="D34" s="41">
        <v>12544</v>
      </c>
      <c r="E34" s="41">
        <v>0</v>
      </c>
      <c r="F34" s="37">
        <f t="shared" si="0"/>
        <v>12544</v>
      </c>
      <c r="G34" s="49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</row>
    <row r="35" spans="1:18" s="11" customFormat="1">
      <c r="A35" s="13" t="s">
        <v>75</v>
      </c>
      <c r="B35" s="14" t="s">
        <v>144</v>
      </c>
      <c r="C35" s="40">
        <v>204000</v>
      </c>
      <c r="D35" s="40">
        <v>1030000</v>
      </c>
      <c r="E35" s="40">
        <v>626000</v>
      </c>
      <c r="F35" s="37">
        <f t="shared" si="0"/>
        <v>1860000</v>
      </c>
    </row>
    <row r="36" spans="1:18" s="11" customFormat="1">
      <c r="A36" s="13" t="s">
        <v>261</v>
      </c>
      <c r="B36" s="14" t="s">
        <v>262</v>
      </c>
      <c r="C36" s="40">
        <v>31600</v>
      </c>
      <c r="D36" s="40">
        <v>51200</v>
      </c>
      <c r="E36" s="40">
        <v>86500</v>
      </c>
      <c r="F36" s="37">
        <f t="shared" si="0"/>
        <v>169300</v>
      </c>
    </row>
    <row r="37" spans="1:18" s="11" customFormat="1">
      <c r="A37" s="15">
        <v>109005</v>
      </c>
      <c r="B37" s="16" t="s">
        <v>76</v>
      </c>
      <c r="C37" s="38"/>
      <c r="D37" s="38">
        <v>15734</v>
      </c>
      <c r="E37" s="38"/>
      <c r="F37" s="37">
        <f t="shared" si="0"/>
        <v>15734</v>
      </c>
    </row>
    <row r="38" spans="1:18" s="11" customFormat="1">
      <c r="A38" s="17" t="s">
        <v>85</v>
      </c>
      <c r="B38" s="18" t="s">
        <v>145</v>
      </c>
      <c r="C38" s="41">
        <v>0</v>
      </c>
      <c r="D38" s="41">
        <v>3963</v>
      </c>
      <c r="E38" s="41">
        <v>18522.490000000002</v>
      </c>
      <c r="F38" s="37">
        <f t="shared" si="0"/>
        <v>22485.49</v>
      </c>
    </row>
    <row r="39" spans="1:18" s="11" customFormat="1">
      <c r="A39" s="17" t="s">
        <v>86</v>
      </c>
      <c r="B39" s="18" t="s">
        <v>146</v>
      </c>
      <c r="C39" s="41">
        <v>13300.52</v>
      </c>
      <c r="D39" s="41">
        <v>6478</v>
      </c>
      <c r="E39" s="41">
        <v>6131.83</v>
      </c>
      <c r="F39" s="37">
        <f t="shared" si="0"/>
        <v>25910.35</v>
      </c>
    </row>
    <row r="40" spans="1:18" s="11" customFormat="1">
      <c r="A40" s="17" t="s">
        <v>87</v>
      </c>
      <c r="B40" s="18" t="s">
        <v>147</v>
      </c>
      <c r="C40" s="41">
        <v>0</v>
      </c>
      <c r="D40" s="41">
        <v>0</v>
      </c>
      <c r="E40" s="41">
        <v>0</v>
      </c>
      <c r="F40" s="37">
        <f t="shared" si="0"/>
        <v>0</v>
      </c>
    </row>
    <row r="41" spans="1:18" s="11" customFormat="1">
      <c r="A41" s="19">
        <v>303009</v>
      </c>
      <c r="B41" s="20" t="s">
        <v>77</v>
      </c>
      <c r="C41" s="42">
        <v>0</v>
      </c>
      <c r="D41" s="42">
        <v>1052</v>
      </c>
      <c r="E41" s="42">
        <v>12613.8</v>
      </c>
      <c r="F41" s="37">
        <f t="shared" si="0"/>
        <v>13665.8</v>
      </c>
    </row>
    <row r="42" spans="1:18" s="11" customFormat="1">
      <c r="A42" s="15">
        <v>30300813</v>
      </c>
      <c r="B42" s="16" t="s">
        <v>148</v>
      </c>
      <c r="C42" s="38">
        <v>0</v>
      </c>
      <c r="D42" s="38">
        <v>0</v>
      </c>
      <c r="E42" s="38">
        <v>0</v>
      </c>
      <c r="F42" s="37">
        <f t="shared" si="0"/>
        <v>0</v>
      </c>
    </row>
    <row r="43" spans="1:18" s="11" customFormat="1">
      <c r="A43" s="17"/>
      <c r="B43" s="18" t="s">
        <v>149</v>
      </c>
      <c r="C43" s="41">
        <v>0</v>
      </c>
      <c r="D43" s="41">
        <v>8800</v>
      </c>
      <c r="E43" s="41">
        <v>21400</v>
      </c>
      <c r="F43" s="37">
        <f t="shared" si="0"/>
        <v>30200</v>
      </c>
    </row>
    <row r="44" spans="1:18" s="11" customFormat="1">
      <c r="A44" s="17" t="s">
        <v>88</v>
      </c>
      <c r="B44" s="18" t="s">
        <v>150</v>
      </c>
      <c r="C44" s="41">
        <v>32230.28</v>
      </c>
      <c r="D44" s="41">
        <v>23851</v>
      </c>
      <c r="E44" s="41">
        <v>66127.8</v>
      </c>
      <c r="F44" s="37">
        <f t="shared" si="0"/>
        <v>122209.08</v>
      </c>
    </row>
    <row r="45" spans="1:18" s="11" customFormat="1">
      <c r="A45" s="17" t="s">
        <v>78</v>
      </c>
      <c r="B45" s="18" t="s">
        <v>79</v>
      </c>
      <c r="C45" s="43">
        <v>0</v>
      </c>
      <c r="D45" s="43">
        <v>0</v>
      </c>
      <c r="E45" s="43">
        <v>0</v>
      </c>
      <c r="F45" s="37">
        <f t="shared" si="0"/>
        <v>0</v>
      </c>
    </row>
    <row r="46" spans="1:18" s="11" customFormat="1">
      <c r="A46" s="17"/>
      <c r="B46" s="18" t="s">
        <v>151</v>
      </c>
      <c r="C46" s="41"/>
      <c r="D46" s="41">
        <v>12400</v>
      </c>
      <c r="E46" s="41">
        <v>16700</v>
      </c>
      <c r="F46" s="37">
        <f t="shared" si="0"/>
        <v>29100</v>
      </c>
    </row>
    <row r="47" spans="1:18" s="11" customFormat="1">
      <c r="A47" s="17"/>
      <c r="B47" s="18" t="s">
        <v>152</v>
      </c>
      <c r="C47" s="41"/>
      <c r="D47" s="41">
        <v>19290</v>
      </c>
      <c r="E47" s="41">
        <v>22475</v>
      </c>
      <c r="F47" s="37">
        <f t="shared" si="0"/>
        <v>41765</v>
      </c>
    </row>
    <row r="48" spans="1:18" s="11" customFormat="1">
      <c r="A48" s="13" t="s">
        <v>89</v>
      </c>
      <c r="B48" s="21" t="s">
        <v>80</v>
      </c>
      <c r="C48" s="42">
        <v>13301</v>
      </c>
      <c r="D48" s="42">
        <v>61316</v>
      </c>
      <c r="E48" s="42">
        <v>72222.45</v>
      </c>
      <c r="F48" s="37">
        <f t="shared" si="0"/>
        <v>146839.45000000001</v>
      </c>
    </row>
    <row r="49" spans="1:18" s="11" customFormat="1">
      <c r="A49" s="17" t="s">
        <v>90</v>
      </c>
      <c r="B49" s="18" t="s">
        <v>81</v>
      </c>
      <c r="C49" s="41">
        <v>0</v>
      </c>
      <c r="D49" s="41">
        <v>2902</v>
      </c>
      <c r="E49" s="41">
        <v>0</v>
      </c>
      <c r="F49" s="37">
        <f t="shared" si="0"/>
        <v>2902</v>
      </c>
    </row>
    <row r="50" spans="1:18" s="11" customFormat="1">
      <c r="A50" s="17" t="s">
        <v>91</v>
      </c>
      <c r="B50" s="18" t="s">
        <v>82</v>
      </c>
      <c r="C50" s="41">
        <v>0</v>
      </c>
      <c r="D50" s="41">
        <v>1399</v>
      </c>
      <c r="E50" s="41">
        <v>0</v>
      </c>
      <c r="F50" s="37">
        <f t="shared" si="0"/>
        <v>1399</v>
      </c>
    </row>
    <row r="51" spans="1:18" s="11" customFormat="1">
      <c r="A51" s="17" t="s">
        <v>92</v>
      </c>
      <c r="B51" s="18" t="s">
        <v>153</v>
      </c>
      <c r="C51" s="41">
        <v>0</v>
      </c>
      <c r="D51" s="41">
        <v>6900</v>
      </c>
      <c r="E51" s="41">
        <v>14500</v>
      </c>
      <c r="F51" s="37">
        <f t="shared" si="0"/>
        <v>21400</v>
      </c>
    </row>
    <row r="52" spans="1:18" s="11" customFormat="1">
      <c r="A52" s="17" t="s">
        <v>93</v>
      </c>
      <c r="B52" s="18" t="s">
        <v>154</v>
      </c>
      <c r="C52" s="41">
        <v>0</v>
      </c>
      <c r="D52" s="41">
        <v>0</v>
      </c>
      <c r="E52" s="41">
        <v>0</v>
      </c>
      <c r="F52" s="37">
        <f t="shared" si="0"/>
        <v>0</v>
      </c>
    </row>
    <row r="53" spans="1:18" s="11" customFormat="1">
      <c r="A53" s="17" t="s">
        <v>94</v>
      </c>
      <c r="B53" s="18" t="s">
        <v>155</v>
      </c>
      <c r="C53" s="41">
        <v>0</v>
      </c>
      <c r="D53" s="41">
        <v>8730</v>
      </c>
      <c r="E53" s="41">
        <v>0</v>
      </c>
      <c r="F53" s="37">
        <f t="shared" si="0"/>
        <v>8730</v>
      </c>
    </row>
    <row r="54" spans="1:18" s="11" customFormat="1">
      <c r="A54" s="17"/>
      <c r="B54" s="18" t="s">
        <v>156</v>
      </c>
      <c r="C54" s="41"/>
      <c r="D54" s="41"/>
      <c r="E54" s="41">
        <v>29144.1</v>
      </c>
      <c r="F54" s="37">
        <f t="shared" si="0"/>
        <v>29144.1</v>
      </c>
    </row>
    <row r="55" spans="1:18" s="11" customFormat="1">
      <c r="A55" s="17"/>
      <c r="B55" s="18" t="s">
        <v>157</v>
      </c>
      <c r="C55" s="41">
        <v>108601.60000000001</v>
      </c>
      <c r="D55" s="41">
        <v>51981</v>
      </c>
      <c r="E55" s="41"/>
      <c r="F55" s="37">
        <f t="shared" si="0"/>
        <v>160582.6</v>
      </c>
    </row>
    <row r="56" spans="1:18" s="11" customFormat="1">
      <c r="A56" s="17" t="s">
        <v>83</v>
      </c>
      <c r="B56" s="18" t="s">
        <v>84</v>
      </c>
      <c r="C56" s="41">
        <v>261356.6</v>
      </c>
      <c r="D56" s="41">
        <v>119782</v>
      </c>
      <c r="E56" s="41">
        <v>45479.32</v>
      </c>
      <c r="F56" s="37">
        <f t="shared" si="0"/>
        <v>426617.92</v>
      </c>
    </row>
    <row r="57" spans="1:18" s="11" customFormat="1">
      <c r="A57" s="17"/>
      <c r="B57" s="18" t="s">
        <v>158</v>
      </c>
      <c r="C57" s="41">
        <v>261900</v>
      </c>
      <c r="D57" s="41">
        <v>168700</v>
      </c>
      <c r="E57" s="41">
        <v>46000</v>
      </c>
      <c r="F57" s="37">
        <f t="shared" si="0"/>
        <v>476600</v>
      </c>
    </row>
    <row r="58" spans="1:18" s="11" customFormat="1">
      <c r="A58" s="17"/>
      <c r="B58" s="18" t="s">
        <v>159</v>
      </c>
      <c r="C58" s="41"/>
      <c r="D58" s="41">
        <v>1084</v>
      </c>
      <c r="E58" s="41">
        <v>2712.94</v>
      </c>
      <c r="F58" s="37">
        <f t="shared" si="0"/>
        <v>3796.94</v>
      </c>
    </row>
    <row r="59" spans="1:18">
      <c r="A59" s="12" t="s">
        <v>95</v>
      </c>
      <c r="B59" s="27" t="s">
        <v>160</v>
      </c>
      <c r="C59" s="39">
        <v>0</v>
      </c>
      <c r="D59" s="39">
        <v>764</v>
      </c>
      <c r="E59" s="39">
        <v>364991.82</v>
      </c>
      <c r="F59" s="37">
        <f t="shared" si="0"/>
        <v>365755.82</v>
      </c>
      <c r="G59" s="9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>
      <c r="A60" s="12" t="s">
        <v>96</v>
      </c>
      <c r="B60" s="27" t="s">
        <v>161</v>
      </c>
      <c r="C60" s="37">
        <v>0</v>
      </c>
      <c r="D60" s="37">
        <v>0</v>
      </c>
      <c r="E60" s="37">
        <v>0</v>
      </c>
      <c r="F60" s="37">
        <f t="shared" si="0"/>
        <v>0</v>
      </c>
      <c r="G60" s="9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>
      <c r="A61" s="12" t="s">
        <v>97</v>
      </c>
      <c r="B61" s="27" t="s">
        <v>162</v>
      </c>
      <c r="C61" s="37">
        <v>0</v>
      </c>
      <c r="D61" s="37">
        <v>0</v>
      </c>
      <c r="E61" s="37">
        <v>0</v>
      </c>
      <c r="F61" s="37">
        <f t="shared" si="0"/>
        <v>0</v>
      </c>
      <c r="G61" s="9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>
      <c r="A62" s="12" t="s">
        <v>98</v>
      </c>
      <c r="B62" s="27" t="s">
        <v>163</v>
      </c>
      <c r="C62" s="37">
        <v>0</v>
      </c>
      <c r="D62" s="37">
        <v>0</v>
      </c>
      <c r="E62" s="37">
        <v>0</v>
      </c>
      <c r="F62" s="37">
        <f t="shared" si="0"/>
        <v>0</v>
      </c>
      <c r="G62" s="9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>
      <c r="A63" s="12" t="s">
        <v>71</v>
      </c>
      <c r="B63" s="28" t="s">
        <v>164</v>
      </c>
      <c r="C63" s="37">
        <v>0</v>
      </c>
      <c r="D63" s="37">
        <v>0.26</v>
      </c>
      <c r="E63" s="37">
        <f>0.72+0.53+0.42</f>
        <v>1.67</v>
      </c>
      <c r="F63" s="37">
        <f t="shared" si="0"/>
        <v>1.93</v>
      </c>
      <c r="G63" s="9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>
      <c r="A64" s="12" t="s">
        <v>72</v>
      </c>
      <c r="B64" s="27" t="s">
        <v>165</v>
      </c>
      <c r="C64" s="37">
        <v>0</v>
      </c>
      <c r="D64" s="37">
        <v>0</v>
      </c>
      <c r="E64" s="37">
        <v>0</v>
      </c>
      <c r="F64" s="37">
        <f t="shared" si="0"/>
        <v>0</v>
      </c>
      <c r="G64" s="9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>
      <c r="A65" s="12" t="s">
        <v>73</v>
      </c>
      <c r="B65" s="27" t="s">
        <v>166</v>
      </c>
      <c r="C65" s="37">
        <v>0</v>
      </c>
      <c r="D65" s="37">
        <v>0.09</v>
      </c>
      <c r="E65" s="37">
        <v>0</v>
      </c>
      <c r="F65" s="37">
        <f t="shared" si="0"/>
        <v>0.09</v>
      </c>
      <c r="G65" s="9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>
      <c r="A66" s="12" t="s">
        <v>74</v>
      </c>
      <c r="B66" s="27" t="s">
        <v>167</v>
      </c>
      <c r="C66" s="37">
        <v>0</v>
      </c>
      <c r="D66" s="37">
        <f>0.53+0.33+0.39</f>
        <v>1.25</v>
      </c>
      <c r="E66" s="37">
        <v>0</v>
      </c>
      <c r="F66" s="37">
        <f t="shared" si="0"/>
        <v>1.25</v>
      </c>
      <c r="G66" s="9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 s="8" customFormat="1">
      <c r="A67" s="12" t="s">
        <v>99</v>
      </c>
      <c r="B67" s="25" t="s">
        <v>44</v>
      </c>
      <c r="C67" s="44">
        <v>51658</v>
      </c>
      <c r="D67" s="44">
        <v>23412</v>
      </c>
      <c r="E67" s="44">
        <v>81466.759999999995</v>
      </c>
      <c r="F67" s="37">
        <f t="shared" si="0"/>
        <v>156536.76</v>
      </c>
      <c r="G67" s="6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</row>
    <row r="68" spans="1:18" s="8" customFormat="1">
      <c r="A68" s="12" t="s">
        <v>100</v>
      </c>
      <c r="B68" s="25" t="s">
        <v>168</v>
      </c>
      <c r="C68" s="44">
        <v>0</v>
      </c>
      <c r="D68" s="44">
        <v>0</v>
      </c>
      <c r="E68" s="44">
        <v>6478</v>
      </c>
      <c r="F68" s="37">
        <f t="shared" si="0"/>
        <v>6478</v>
      </c>
      <c r="G68" s="6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</row>
    <row r="69" spans="1:18" s="8" customFormat="1">
      <c r="A69" s="12" t="s">
        <v>101</v>
      </c>
      <c r="B69" s="25" t="s">
        <v>45</v>
      </c>
      <c r="C69" s="44">
        <v>0</v>
      </c>
      <c r="D69" s="44">
        <v>6938</v>
      </c>
      <c r="E69" s="44">
        <v>0</v>
      </c>
      <c r="F69" s="37">
        <f t="shared" ref="F69:F132" si="1">SUM(C69:E69)</f>
        <v>6938</v>
      </c>
      <c r="G69" s="6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</row>
    <row r="70" spans="1:18" s="8" customFormat="1">
      <c r="A70" s="12" t="s">
        <v>102</v>
      </c>
      <c r="B70" s="25" t="s">
        <v>169</v>
      </c>
      <c r="C70" s="44">
        <v>0</v>
      </c>
      <c r="D70" s="44">
        <v>435</v>
      </c>
      <c r="E70" s="44">
        <v>24879.360000000001</v>
      </c>
      <c r="F70" s="37">
        <f t="shared" si="1"/>
        <v>25314.36</v>
      </c>
      <c r="G70" s="6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</row>
    <row r="71" spans="1:18" s="8" customFormat="1">
      <c r="A71" s="12" t="s">
        <v>46</v>
      </c>
      <c r="B71" s="25" t="s">
        <v>47</v>
      </c>
      <c r="C71" s="44">
        <v>0</v>
      </c>
      <c r="D71" s="44">
        <v>0</v>
      </c>
      <c r="E71" s="44">
        <v>26168</v>
      </c>
      <c r="F71" s="37">
        <f t="shared" si="1"/>
        <v>26168</v>
      </c>
      <c r="G71" s="6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</row>
    <row r="72" spans="1:18" s="8" customFormat="1">
      <c r="A72" s="12" t="s">
        <v>48</v>
      </c>
      <c r="B72" s="25" t="s">
        <v>49</v>
      </c>
      <c r="C72" s="44">
        <v>0</v>
      </c>
      <c r="D72" s="44">
        <v>1798</v>
      </c>
      <c r="E72" s="44">
        <v>0</v>
      </c>
      <c r="F72" s="37">
        <f t="shared" si="1"/>
        <v>1798</v>
      </c>
      <c r="G72" s="6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</row>
    <row r="73" spans="1:18" s="8" customFormat="1">
      <c r="A73" s="12" t="s">
        <v>50</v>
      </c>
      <c r="B73" s="25" t="s">
        <v>51</v>
      </c>
      <c r="C73" s="45">
        <v>0</v>
      </c>
      <c r="D73" s="45">
        <v>4500</v>
      </c>
      <c r="E73" s="45">
        <v>0</v>
      </c>
      <c r="F73" s="37">
        <f t="shared" si="1"/>
        <v>4500</v>
      </c>
      <c r="G73" s="6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</row>
    <row r="74" spans="1:18" s="8" customFormat="1">
      <c r="A74" s="12" t="s">
        <v>52</v>
      </c>
      <c r="B74" s="25" t="s">
        <v>53</v>
      </c>
      <c r="C74" s="44">
        <v>0</v>
      </c>
      <c r="D74" s="44">
        <v>600</v>
      </c>
      <c r="E74" s="44">
        <v>16540</v>
      </c>
      <c r="F74" s="37">
        <f t="shared" si="1"/>
        <v>17140</v>
      </c>
      <c r="G74" s="6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</row>
    <row r="75" spans="1:18" s="8" customFormat="1">
      <c r="A75" s="12" t="s">
        <v>54</v>
      </c>
      <c r="B75" s="25" t="s">
        <v>55</v>
      </c>
      <c r="C75" s="46">
        <v>0</v>
      </c>
      <c r="D75" s="46">
        <v>0</v>
      </c>
      <c r="E75" s="46">
        <v>0</v>
      </c>
      <c r="F75" s="37">
        <f t="shared" si="1"/>
        <v>0</v>
      </c>
      <c r="G75" s="6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</row>
    <row r="76" spans="1:18" s="8" customFormat="1">
      <c r="A76" s="12" t="s">
        <v>56</v>
      </c>
      <c r="B76" s="29" t="s">
        <v>57</v>
      </c>
      <c r="C76" s="44">
        <v>0</v>
      </c>
      <c r="D76" s="44">
        <v>0</v>
      </c>
      <c r="E76" s="44">
        <v>0</v>
      </c>
      <c r="F76" s="37">
        <f t="shared" si="1"/>
        <v>0</v>
      </c>
      <c r="G76" s="6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</row>
    <row r="77" spans="1:18" s="8" customFormat="1">
      <c r="A77" s="12" t="s">
        <v>58</v>
      </c>
      <c r="B77" s="30" t="s">
        <v>59</v>
      </c>
      <c r="C77" s="44">
        <v>0</v>
      </c>
      <c r="D77" s="44">
        <v>9226</v>
      </c>
      <c r="E77" s="44">
        <v>24526.53</v>
      </c>
      <c r="F77" s="37">
        <f t="shared" si="1"/>
        <v>33752.53</v>
      </c>
    </row>
    <row r="78" spans="1:18" s="8" customFormat="1">
      <c r="A78" s="12" t="s">
        <v>60</v>
      </c>
      <c r="B78" s="30" t="s">
        <v>61</v>
      </c>
      <c r="C78" s="44">
        <v>0</v>
      </c>
      <c r="D78" s="44">
        <v>0</v>
      </c>
      <c r="E78" s="44">
        <v>25180.06</v>
      </c>
      <c r="F78" s="37">
        <f t="shared" si="1"/>
        <v>25180.06</v>
      </c>
    </row>
    <row r="79" spans="1:18" s="8" customFormat="1">
      <c r="A79" s="12" t="s">
        <v>62</v>
      </c>
      <c r="B79" s="31" t="s">
        <v>170</v>
      </c>
      <c r="C79" s="44">
        <v>0</v>
      </c>
      <c r="D79" s="44">
        <v>0</v>
      </c>
      <c r="E79" s="44">
        <v>0</v>
      </c>
      <c r="F79" s="37">
        <f t="shared" si="1"/>
        <v>0</v>
      </c>
    </row>
    <row r="80" spans="1:18" s="8" customFormat="1">
      <c r="A80" s="23" t="s">
        <v>63</v>
      </c>
      <c r="B80" s="32" t="s">
        <v>64</v>
      </c>
      <c r="C80" s="44">
        <v>0</v>
      </c>
      <c r="D80" s="44">
        <v>0</v>
      </c>
      <c r="E80" s="44">
        <v>0</v>
      </c>
      <c r="F80" s="37">
        <f t="shared" si="1"/>
        <v>0</v>
      </c>
    </row>
    <row r="81" spans="1:6" s="8" customFormat="1">
      <c r="A81" s="24">
        <v>309001</v>
      </c>
      <c r="B81" s="30" t="s">
        <v>171</v>
      </c>
      <c r="C81" s="43">
        <v>0</v>
      </c>
      <c r="D81" s="43">
        <v>3400</v>
      </c>
      <c r="E81" s="43">
        <v>33399.660000000003</v>
      </c>
      <c r="F81" s="37">
        <f t="shared" si="1"/>
        <v>36799.660000000003</v>
      </c>
    </row>
    <row r="82" spans="1:6" s="8" customFormat="1">
      <c r="A82" s="24" t="s">
        <v>103</v>
      </c>
      <c r="B82" s="30" t="s">
        <v>172</v>
      </c>
      <c r="C82" s="43">
        <v>0</v>
      </c>
      <c r="D82" s="43">
        <v>6583</v>
      </c>
      <c r="E82" s="43">
        <v>33985.360000000001</v>
      </c>
      <c r="F82" s="37">
        <f t="shared" si="1"/>
        <v>40568.36</v>
      </c>
    </row>
    <row r="83" spans="1:6" customFormat="1">
      <c r="A83" s="22">
        <v>701001</v>
      </c>
      <c r="B83" s="31" t="s">
        <v>30</v>
      </c>
      <c r="C83" s="38">
        <v>80160</v>
      </c>
      <c r="D83" s="38">
        <v>32478</v>
      </c>
      <c r="E83" s="38">
        <v>58112.88</v>
      </c>
      <c r="F83" s="37">
        <f t="shared" si="1"/>
        <v>170750.88</v>
      </c>
    </row>
    <row r="84" spans="1:6" customFormat="1">
      <c r="A84" s="22">
        <v>701004</v>
      </c>
      <c r="B84" s="31" t="s">
        <v>31</v>
      </c>
      <c r="C84" s="38">
        <v>0</v>
      </c>
      <c r="D84" s="38">
        <v>0</v>
      </c>
      <c r="E84" s="38">
        <v>10540</v>
      </c>
      <c r="F84" s="37">
        <f t="shared" si="1"/>
        <v>10540</v>
      </c>
    </row>
    <row r="85" spans="1:6" customFormat="1">
      <c r="A85" s="22">
        <v>701003</v>
      </c>
      <c r="B85" s="31" t="s">
        <v>32</v>
      </c>
      <c r="C85" s="38">
        <v>0</v>
      </c>
      <c r="D85" s="38">
        <v>0</v>
      </c>
      <c r="E85" s="38">
        <v>10000</v>
      </c>
      <c r="F85" s="37">
        <f t="shared" si="1"/>
        <v>10000</v>
      </c>
    </row>
    <row r="86" spans="1:6" customFormat="1">
      <c r="A86" s="22">
        <v>701002</v>
      </c>
      <c r="B86" s="31" t="s">
        <v>33</v>
      </c>
      <c r="C86" s="38">
        <v>0</v>
      </c>
      <c r="D86" s="38">
        <v>0</v>
      </c>
      <c r="E86" s="38">
        <v>23798</v>
      </c>
      <c r="F86" s="37">
        <f t="shared" si="1"/>
        <v>23798</v>
      </c>
    </row>
    <row r="87" spans="1:6" customFormat="1">
      <c r="A87" s="22">
        <v>701107</v>
      </c>
      <c r="B87" s="31" t="s">
        <v>34</v>
      </c>
      <c r="C87" s="38">
        <v>0</v>
      </c>
      <c r="D87" s="38">
        <v>1200</v>
      </c>
      <c r="E87" s="38">
        <v>0</v>
      </c>
      <c r="F87" s="37">
        <f t="shared" si="1"/>
        <v>1200</v>
      </c>
    </row>
    <row r="88" spans="1:6" customFormat="1">
      <c r="A88" s="22">
        <v>701108</v>
      </c>
      <c r="B88" s="31" t="s">
        <v>35</v>
      </c>
      <c r="C88" s="38">
        <v>0</v>
      </c>
      <c r="D88" s="38">
        <v>0</v>
      </c>
      <c r="E88" s="38">
        <v>9837.32</v>
      </c>
      <c r="F88" s="37">
        <f t="shared" si="1"/>
        <v>9837.32</v>
      </c>
    </row>
    <row r="89" spans="1:6" customFormat="1">
      <c r="A89" s="22">
        <v>701009</v>
      </c>
      <c r="B89" s="31" t="s">
        <v>36</v>
      </c>
      <c r="C89" s="38">
        <v>0</v>
      </c>
      <c r="D89" s="38">
        <v>0</v>
      </c>
      <c r="E89" s="38">
        <v>0</v>
      </c>
      <c r="F89" s="37">
        <f t="shared" si="1"/>
        <v>0</v>
      </c>
    </row>
    <row r="90" spans="1:6" customFormat="1">
      <c r="A90" s="22">
        <v>701008</v>
      </c>
      <c r="B90" s="31" t="s">
        <v>37</v>
      </c>
      <c r="C90" s="38">
        <v>0</v>
      </c>
      <c r="D90" s="38">
        <v>0</v>
      </c>
      <c r="E90" s="38">
        <v>0</v>
      </c>
      <c r="F90" s="37">
        <f t="shared" si="1"/>
        <v>0</v>
      </c>
    </row>
    <row r="91" spans="1:6" customFormat="1">
      <c r="A91" s="22">
        <v>701088</v>
      </c>
      <c r="B91" s="31" t="s">
        <v>38</v>
      </c>
      <c r="C91" s="38">
        <v>0</v>
      </c>
      <c r="D91" s="38">
        <v>0</v>
      </c>
      <c r="E91" s="38">
        <v>0</v>
      </c>
      <c r="F91" s="37">
        <f t="shared" si="1"/>
        <v>0</v>
      </c>
    </row>
    <row r="92" spans="1:6" customFormat="1">
      <c r="A92" s="22">
        <v>701109</v>
      </c>
      <c r="B92" s="31" t="s">
        <v>39</v>
      </c>
      <c r="C92" s="38">
        <v>0</v>
      </c>
      <c r="D92" s="38">
        <v>0</v>
      </c>
      <c r="E92" s="38">
        <v>0</v>
      </c>
      <c r="F92" s="37">
        <f t="shared" si="1"/>
        <v>0</v>
      </c>
    </row>
    <row r="93" spans="1:6" customFormat="1">
      <c r="A93" s="22">
        <v>701006</v>
      </c>
      <c r="B93" s="31" t="s">
        <v>40</v>
      </c>
      <c r="C93" s="38">
        <v>0</v>
      </c>
      <c r="D93" s="38">
        <v>0</v>
      </c>
      <c r="E93" s="38">
        <v>0</v>
      </c>
      <c r="F93" s="37">
        <f t="shared" si="1"/>
        <v>0</v>
      </c>
    </row>
    <row r="94" spans="1:6" customFormat="1">
      <c r="A94" s="22">
        <v>701085</v>
      </c>
      <c r="B94" s="31" t="s">
        <v>41</v>
      </c>
      <c r="C94" s="38">
        <v>0</v>
      </c>
      <c r="D94" s="38">
        <v>0</v>
      </c>
      <c r="E94" s="38">
        <v>0</v>
      </c>
      <c r="F94" s="37">
        <f t="shared" si="1"/>
        <v>0</v>
      </c>
    </row>
    <row r="95" spans="1:6" customFormat="1">
      <c r="A95" s="22">
        <v>701089</v>
      </c>
      <c r="B95" s="31" t="s">
        <v>42</v>
      </c>
      <c r="C95" s="38">
        <v>0</v>
      </c>
      <c r="D95" s="38">
        <v>0</v>
      </c>
      <c r="E95" s="38">
        <v>0</v>
      </c>
      <c r="F95" s="37">
        <f t="shared" si="1"/>
        <v>0</v>
      </c>
    </row>
    <row r="96" spans="1:6" customFormat="1">
      <c r="A96" s="22">
        <v>701110</v>
      </c>
      <c r="B96" s="31" t="s">
        <v>43</v>
      </c>
      <c r="C96" s="38">
        <v>0</v>
      </c>
      <c r="D96" s="38">
        <v>0</v>
      </c>
      <c r="E96" s="38">
        <v>0</v>
      </c>
      <c r="F96" s="37">
        <f t="shared" si="1"/>
        <v>0</v>
      </c>
    </row>
    <row r="97" spans="1:6" s="3" customFormat="1">
      <c r="A97" s="12" t="s">
        <v>4</v>
      </c>
      <c r="B97" s="25" t="s">
        <v>173</v>
      </c>
      <c r="C97" s="37">
        <v>0</v>
      </c>
      <c r="D97" s="37">
        <v>98944</v>
      </c>
      <c r="E97" s="37">
        <v>27223.8</v>
      </c>
      <c r="F97" s="37">
        <f t="shared" si="1"/>
        <v>126167.8</v>
      </c>
    </row>
    <row r="98" spans="1:6" s="3" customFormat="1">
      <c r="A98" s="12" t="s">
        <v>5</v>
      </c>
      <c r="B98" s="25" t="s">
        <v>174</v>
      </c>
      <c r="C98" s="37">
        <v>0</v>
      </c>
      <c r="D98" s="37">
        <v>0</v>
      </c>
      <c r="E98" s="37">
        <v>0</v>
      </c>
      <c r="F98" s="37">
        <f t="shared" si="1"/>
        <v>0</v>
      </c>
    </row>
    <row r="99" spans="1:6" s="3" customFormat="1">
      <c r="A99" s="12" t="s">
        <v>6</v>
      </c>
      <c r="B99" s="25" t="s">
        <v>7</v>
      </c>
      <c r="C99" s="37">
        <v>0</v>
      </c>
      <c r="D99" s="37">
        <v>730</v>
      </c>
      <c r="E99" s="37">
        <v>382726.69</v>
      </c>
      <c r="F99" s="37">
        <f t="shared" si="1"/>
        <v>383456.69</v>
      </c>
    </row>
    <row r="100" spans="1:6" s="3" customFormat="1">
      <c r="A100" s="12" t="s">
        <v>8</v>
      </c>
      <c r="B100" s="25" t="s">
        <v>9</v>
      </c>
      <c r="C100" s="37">
        <v>0</v>
      </c>
      <c r="D100" s="37">
        <v>19414</v>
      </c>
      <c r="E100" s="37">
        <v>0</v>
      </c>
      <c r="F100" s="37">
        <f t="shared" si="1"/>
        <v>19414</v>
      </c>
    </row>
    <row r="101" spans="1:6" s="3" customFormat="1">
      <c r="A101" s="12" t="s">
        <v>10</v>
      </c>
      <c r="B101" s="25" t="s">
        <v>175</v>
      </c>
      <c r="C101" s="37">
        <v>0</v>
      </c>
      <c r="D101" s="37">
        <v>884</v>
      </c>
      <c r="E101" s="37">
        <v>0</v>
      </c>
      <c r="F101" s="37">
        <f t="shared" si="1"/>
        <v>884</v>
      </c>
    </row>
    <row r="102" spans="1:6" s="3" customFormat="1">
      <c r="A102" s="12" t="s">
        <v>11</v>
      </c>
      <c r="B102" s="25" t="s">
        <v>12</v>
      </c>
      <c r="C102" s="37">
        <v>0</v>
      </c>
      <c r="D102" s="37">
        <v>0</v>
      </c>
      <c r="E102" s="37">
        <v>10919.67</v>
      </c>
      <c r="F102" s="37">
        <f t="shared" si="1"/>
        <v>10919.67</v>
      </c>
    </row>
    <row r="103" spans="1:6" s="3" customFormat="1">
      <c r="A103" s="12" t="s">
        <v>13</v>
      </c>
      <c r="B103" s="26" t="s">
        <v>14</v>
      </c>
      <c r="C103" s="47">
        <v>0</v>
      </c>
      <c r="D103" s="37">
        <v>5065</v>
      </c>
      <c r="E103" s="37">
        <v>68683.87</v>
      </c>
      <c r="F103" s="37">
        <f t="shared" si="1"/>
        <v>73748.87</v>
      </c>
    </row>
    <row r="104" spans="1:6" s="3" customFormat="1">
      <c r="A104" s="12" t="s">
        <v>15</v>
      </c>
      <c r="B104" s="25" t="s">
        <v>176</v>
      </c>
      <c r="C104" s="37">
        <v>0</v>
      </c>
      <c r="D104" s="37">
        <v>4880</v>
      </c>
      <c r="E104" s="37">
        <v>7200.93</v>
      </c>
      <c r="F104" s="37">
        <f t="shared" si="1"/>
        <v>12080.93</v>
      </c>
    </row>
    <row r="105" spans="1:6" s="3" customFormat="1">
      <c r="A105" s="12" t="s">
        <v>16</v>
      </c>
      <c r="B105" s="25" t="s">
        <v>177</v>
      </c>
      <c r="C105" s="37">
        <v>0</v>
      </c>
      <c r="D105" s="37">
        <v>0</v>
      </c>
      <c r="E105" s="37">
        <v>0</v>
      </c>
      <c r="F105" s="37">
        <f t="shared" si="1"/>
        <v>0</v>
      </c>
    </row>
    <row r="106" spans="1:6" s="3" customFormat="1">
      <c r="A106" s="12" t="s">
        <v>17</v>
      </c>
      <c r="B106" s="25" t="s">
        <v>104</v>
      </c>
      <c r="C106" s="37">
        <v>0</v>
      </c>
      <c r="D106" s="37">
        <v>0</v>
      </c>
      <c r="E106" s="37">
        <v>0</v>
      </c>
      <c r="F106" s="37">
        <f t="shared" si="1"/>
        <v>0</v>
      </c>
    </row>
    <row r="107" spans="1:6" s="3" customFormat="1">
      <c r="A107" s="12" t="s">
        <v>18</v>
      </c>
      <c r="B107" s="25" t="s">
        <v>105</v>
      </c>
      <c r="C107" s="37">
        <v>0</v>
      </c>
      <c r="D107" s="37">
        <v>3857</v>
      </c>
      <c r="E107" s="37">
        <v>0</v>
      </c>
      <c r="F107" s="37">
        <f t="shared" si="1"/>
        <v>3857</v>
      </c>
    </row>
    <row r="108" spans="1:6" s="3" customFormat="1">
      <c r="A108" s="12" t="s">
        <v>19</v>
      </c>
      <c r="B108" s="25" t="s">
        <v>106</v>
      </c>
      <c r="C108" s="37">
        <v>0</v>
      </c>
      <c r="D108" s="37">
        <v>0</v>
      </c>
      <c r="E108" s="37">
        <v>13171.94</v>
      </c>
      <c r="F108" s="37">
        <f t="shared" si="1"/>
        <v>13171.94</v>
      </c>
    </row>
    <row r="109" spans="1:6" s="3" customFormat="1">
      <c r="A109" s="12" t="s">
        <v>20</v>
      </c>
      <c r="B109" s="25" t="s">
        <v>107</v>
      </c>
      <c r="C109" s="37">
        <v>0</v>
      </c>
      <c r="D109" s="37">
        <v>1280</v>
      </c>
      <c r="E109" s="37">
        <v>0</v>
      </c>
      <c r="F109" s="37">
        <f t="shared" si="1"/>
        <v>1280</v>
      </c>
    </row>
    <row r="110" spans="1:6" s="3" customFormat="1">
      <c r="A110" s="12" t="s">
        <v>108</v>
      </c>
      <c r="B110" s="25" t="s">
        <v>109</v>
      </c>
      <c r="C110" s="37">
        <v>0</v>
      </c>
      <c r="D110" s="37">
        <v>0</v>
      </c>
      <c r="E110" s="37">
        <v>0</v>
      </c>
      <c r="F110" s="37">
        <f t="shared" si="1"/>
        <v>0</v>
      </c>
    </row>
    <row r="111" spans="1:6" s="3" customFormat="1">
      <c r="A111" s="12" t="s">
        <v>21</v>
      </c>
      <c r="B111" s="25" t="s">
        <v>22</v>
      </c>
      <c r="C111" s="37">
        <v>0</v>
      </c>
      <c r="D111" s="37">
        <v>400</v>
      </c>
      <c r="E111" s="37">
        <v>17113</v>
      </c>
      <c r="F111" s="37">
        <f t="shared" si="1"/>
        <v>17513</v>
      </c>
    </row>
    <row r="112" spans="1:6" s="3" customFormat="1">
      <c r="A112" s="12" t="s">
        <v>23</v>
      </c>
      <c r="B112" s="25" t="s">
        <v>110</v>
      </c>
      <c r="C112" s="37">
        <v>0</v>
      </c>
      <c r="D112" s="37">
        <v>0</v>
      </c>
      <c r="E112" s="37">
        <v>0</v>
      </c>
      <c r="F112" s="37">
        <f t="shared" si="1"/>
        <v>0</v>
      </c>
    </row>
    <row r="113" spans="1:6" s="3" customFormat="1">
      <c r="A113" s="12" t="s">
        <v>24</v>
      </c>
      <c r="B113" s="25" t="s">
        <v>111</v>
      </c>
      <c r="C113" s="37">
        <v>0</v>
      </c>
      <c r="D113" s="37">
        <v>0</v>
      </c>
      <c r="E113" s="37">
        <v>0</v>
      </c>
      <c r="F113" s="37">
        <f t="shared" si="1"/>
        <v>0</v>
      </c>
    </row>
    <row r="114" spans="1:6" s="3" customFormat="1">
      <c r="A114" s="12" t="s">
        <v>25</v>
      </c>
      <c r="B114" s="25" t="s">
        <v>112</v>
      </c>
      <c r="C114" s="37">
        <v>0</v>
      </c>
      <c r="D114" s="37">
        <v>0</v>
      </c>
      <c r="E114" s="37">
        <v>0</v>
      </c>
      <c r="F114" s="37">
        <f t="shared" si="1"/>
        <v>0</v>
      </c>
    </row>
    <row r="115" spans="1:6" s="3" customFormat="1">
      <c r="A115" s="12" t="s">
        <v>26</v>
      </c>
      <c r="B115" s="25" t="s">
        <v>113</v>
      </c>
      <c r="C115" s="37">
        <v>0</v>
      </c>
      <c r="D115" s="37">
        <v>0</v>
      </c>
      <c r="E115" s="37">
        <v>10400</v>
      </c>
      <c r="F115" s="37">
        <f t="shared" si="1"/>
        <v>10400</v>
      </c>
    </row>
    <row r="116" spans="1:6" s="3" customFormat="1">
      <c r="A116" s="12" t="s">
        <v>27</v>
      </c>
      <c r="B116" s="25" t="s">
        <v>114</v>
      </c>
      <c r="C116" s="37">
        <v>0</v>
      </c>
      <c r="D116" s="37">
        <v>1400</v>
      </c>
      <c r="E116" s="37">
        <v>0</v>
      </c>
      <c r="F116" s="37">
        <f t="shared" si="1"/>
        <v>1400</v>
      </c>
    </row>
    <row r="117" spans="1:6" s="3" customFormat="1">
      <c r="A117" s="12" t="s">
        <v>28</v>
      </c>
      <c r="B117" s="25" t="s">
        <v>115</v>
      </c>
      <c r="C117" s="37">
        <v>0</v>
      </c>
      <c r="D117" s="37">
        <v>0</v>
      </c>
      <c r="E117" s="37">
        <v>0</v>
      </c>
      <c r="F117" s="37">
        <f t="shared" si="1"/>
        <v>0</v>
      </c>
    </row>
    <row r="118" spans="1:6" s="3" customFormat="1">
      <c r="A118" s="12" t="s">
        <v>29</v>
      </c>
      <c r="B118" s="25" t="s">
        <v>116</v>
      </c>
      <c r="C118" s="37">
        <v>0</v>
      </c>
      <c r="D118" s="37">
        <v>0</v>
      </c>
      <c r="E118" s="37">
        <v>0</v>
      </c>
      <c r="F118" s="37">
        <f t="shared" si="1"/>
        <v>0</v>
      </c>
    </row>
    <row r="119" spans="1:6" s="3" customFormat="1" ht="22.5">
      <c r="A119" s="12" t="s">
        <v>120</v>
      </c>
      <c r="B119" s="25" t="s">
        <v>123</v>
      </c>
      <c r="C119" s="37">
        <v>86747.6</v>
      </c>
      <c r="D119" s="37">
        <v>10260</v>
      </c>
      <c r="E119" s="37">
        <v>8903</v>
      </c>
      <c r="F119" s="37">
        <f t="shared" si="1"/>
        <v>105910.6</v>
      </c>
    </row>
    <row r="120" spans="1:6" s="3" customFormat="1">
      <c r="A120" s="12" t="s">
        <v>121</v>
      </c>
      <c r="B120" s="25" t="s">
        <v>124</v>
      </c>
      <c r="C120" s="37">
        <v>0</v>
      </c>
      <c r="D120" s="37">
        <v>0</v>
      </c>
      <c r="E120" s="37">
        <v>0</v>
      </c>
      <c r="F120" s="37">
        <f t="shared" si="1"/>
        <v>0</v>
      </c>
    </row>
    <row r="121" spans="1:6" s="3" customFormat="1">
      <c r="A121" s="12" t="s">
        <v>122</v>
      </c>
      <c r="B121" s="25" t="s">
        <v>125</v>
      </c>
      <c r="C121" s="37">
        <v>0</v>
      </c>
      <c r="D121" s="37">
        <v>4298</v>
      </c>
      <c r="E121" s="37">
        <v>0</v>
      </c>
      <c r="F121" s="37">
        <f t="shared" si="1"/>
        <v>4298</v>
      </c>
    </row>
    <row r="122" spans="1:6" customFormat="1">
      <c r="A122" s="12">
        <v>401001</v>
      </c>
      <c r="B122" s="25" t="s">
        <v>236</v>
      </c>
      <c r="C122" s="37">
        <v>0</v>
      </c>
      <c r="D122" s="37">
        <v>40241</v>
      </c>
      <c r="E122" s="37">
        <v>69661.98</v>
      </c>
      <c r="F122" s="37">
        <f t="shared" si="1"/>
        <v>109902.98</v>
      </c>
    </row>
    <row r="123" spans="1:6" customFormat="1">
      <c r="A123" s="12">
        <v>401002</v>
      </c>
      <c r="B123" s="26" t="s">
        <v>237</v>
      </c>
      <c r="C123" s="47">
        <v>0</v>
      </c>
      <c r="D123" s="37">
        <v>0</v>
      </c>
      <c r="E123" s="37">
        <v>0</v>
      </c>
      <c r="F123" s="37">
        <f t="shared" si="1"/>
        <v>0</v>
      </c>
    </row>
    <row r="124" spans="1:6" customFormat="1" ht="26.25" customHeight="1">
      <c r="A124" s="12">
        <v>401003</v>
      </c>
      <c r="B124" s="25" t="s">
        <v>244</v>
      </c>
      <c r="C124" s="37">
        <v>0</v>
      </c>
      <c r="D124" s="37">
        <v>0</v>
      </c>
      <c r="E124" s="37">
        <v>0</v>
      </c>
      <c r="F124" s="37">
        <f t="shared" si="1"/>
        <v>0</v>
      </c>
    </row>
    <row r="125" spans="1:6" customFormat="1">
      <c r="A125" s="12">
        <v>401004</v>
      </c>
      <c r="B125" s="25" t="s">
        <v>245</v>
      </c>
      <c r="C125" s="37">
        <v>0</v>
      </c>
      <c r="D125" s="37">
        <v>0</v>
      </c>
      <c r="E125" s="37">
        <v>27723.86</v>
      </c>
      <c r="F125" s="37">
        <f t="shared" si="1"/>
        <v>27723.86</v>
      </c>
    </row>
    <row r="126" spans="1:6" customFormat="1">
      <c r="A126" s="12">
        <v>401005</v>
      </c>
      <c r="B126" s="25" t="s">
        <v>246</v>
      </c>
      <c r="C126" s="37">
        <v>0</v>
      </c>
      <c r="D126" s="37">
        <v>5760</v>
      </c>
      <c r="E126" s="37">
        <v>32370</v>
      </c>
      <c r="F126" s="37">
        <f t="shared" si="1"/>
        <v>38130</v>
      </c>
    </row>
    <row r="127" spans="1:6" customFormat="1">
      <c r="A127" s="12">
        <v>401006</v>
      </c>
      <c r="B127" s="25" t="s">
        <v>247</v>
      </c>
      <c r="C127" s="37">
        <v>0</v>
      </c>
      <c r="D127" s="37">
        <v>0</v>
      </c>
      <c r="E127" s="37">
        <v>20200</v>
      </c>
      <c r="F127" s="37">
        <f t="shared" si="1"/>
        <v>20200</v>
      </c>
    </row>
    <row r="128" spans="1:6" customFormat="1">
      <c r="A128" s="12">
        <v>401007</v>
      </c>
      <c r="B128" s="25" t="s">
        <v>248</v>
      </c>
      <c r="C128" s="37">
        <v>0</v>
      </c>
      <c r="D128" s="37">
        <v>0</v>
      </c>
      <c r="E128" s="37">
        <v>0</v>
      </c>
      <c r="F128" s="37">
        <f t="shared" si="1"/>
        <v>0</v>
      </c>
    </row>
    <row r="129" spans="1:6" customFormat="1">
      <c r="A129" s="12">
        <v>401008</v>
      </c>
      <c r="B129" s="25" t="s">
        <v>249</v>
      </c>
      <c r="C129" s="37">
        <v>0</v>
      </c>
      <c r="D129" s="37">
        <v>0</v>
      </c>
      <c r="E129" s="37">
        <v>0</v>
      </c>
      <c r="F129" s="37">
        <f t="shared" si="1"/>
        <v>0</v>
      </c>
    </row>
    <row r="130" spans="1:6" customFormat="1">
      <c r="A130" s="12">
        <v>501001</v>
      </c>
      <c r="B130" s="25" t="s">
        <v>250</v>
      </c>
      <c r="C130" s="37">
        <v>61195.27</v>
      </c>
      <c r="D130" s="37">
        <v>57733</v>
      </c>
      <c r="E130" s="37">
        <v>24141</v>
      </c>
      <c r="F130" s="37">
        <f t="shared" si="1"/>
        <v>143069.26999999999</v>
      </c>
    </row>
    <row r="131" spans="1:6" customFormat="1">
      <c r="A131" s="12">
        <v>501005</v>
      </c>
      <c r="B131" s="25" t="s">
        <v>238</v>
      </c>
      <c r="C131" s="37">
        <v>0</v>
      </c>
      <c r="D131" s="37">
        <v>896</v>
      </c>
      <c r="E131" s="37">
        <v>0</v>
      </c>
      <c r="F131" s="37">
        <f t="shared" si="1"/>
        <v>896</v>
      </c>
    </row>
    <row r="132" spans="1:6" customFormat="1">
      <c r="A132" s="12">
        <v>501006</v>
      </c>
      <c r="B132" s="25" t="s">
        <v>251</v>
      </c>
      <c r="C132" s="37">
        <v>0</v>
      </c>
      <c r="D132" s="37">
        <v>0</v>
      </c>
      <c r="E132" s="37">
        <v>0</v>
      </c>
      <c r="F132" s="37">
        <f t="shared" si="1"/>
        <v>0</v>
      </c>
    </row>
    <row r="133" spans="1:6" customFormat="1">
      <c r="A133" s="12">
        <v>501007</v>
      </c>
      <c r="B133" s="25" t="s">
        <v>252</v>
      </c>
      <c r="C133" s="37">
        <v>0</v>
      </c>
      <c r="D133" s="37">
        <v>1015</v>
      </c>
      <c r="E133" s="37">
        <v>3000</v>
      </c>
      <c r="F133" s="37">
        <f t="shared" ref="F133:F164" si="2">SUM(C133:E133)</f>
        <v>4015</v>
      </c>
    </row>
    <row r="134" spans="1:6" customFormat="1">
      <c r="A134" s="12">
        <v>501010</v>
      </c>
      <c r="B134" s="25" t="s">
        <v>253</v>
      </c>
      <c r="C134" s="37">
        <v>0</v>
      </c>
      <c r="D134" s="37">
        <v>827</v>
      </c>
      <c r="E134" s="37">
        <v>0</v>
      </c>
      <c r="F134" s="37">
        <f t="shared" si="2"/>
        <v>827</v>
      </c>
    </row>
    <row r="135" spans="1:6" customFormat="1" ht="26.25" customHeight="1">
      <c r="A135" s="12">
        <v>501012</v>
      </c>
      <c r="B135" s="25" t="s">
        <v>254</v>
      </c>
      <c r="C135" s="37">
        <v>0</v>
      </c>
      <c r="D135" s="37">
        <v>0</v>
      </c>
      <c r="E135" s="37">
        <v>0</v>
      </c>
      <c r="F135" s="37">
        <f t="shared" si="2"/>
        <v>0</v>
      </c>
    </row>
    <row r="136" spans="1:6" customFormat="1">
      <c r="A136" s="12">
        <v>501013</v>
      </c>
      <c r="B136" s="25" t="s">
        <v>255</v>
      </c>
      <c r="C136" s="37">
        <v>0</v>
      </c>
      <c r="D136" s="37">
        <v>0</v>
      </c>
      <c r="E136" s="37">
        <v>0</v>
      </c>
      <c r="F136" s="37">
        <f t="shared" si="2"/>
        <v>0</v>
      </c>
    </row>
    <row r="137" spans="1:6" customFormat="1" ht="22.5">
      <c r="A137" s="12">
        <v>501016</v>
      </c>
      <c r="B137" s="25" t="s">
        <v>256</v>
      </c>
      <c r="C137" s="37">
        <v>0</v>
      </c>
      <c r="D137" s="37">
        <v>6400</v>
      </c>
      <c r="E137" s="37">
        <v>99000</v>
      </c>
      <c r="F137" s="37">
        <f t="shared" si="2"/>
        <v>105400</v>
      </c>
    </row>
    <row r="138" spans="1:6" customFormat="1">
      <c r="A138" s="12">
        <v>501018</v>
      </c>
      <c r="B138" s="25" t="s">
        <v>257</v>
      </c>
      <c r="C138" s="37">
        <v>0</v>
      </c>
      <c r="D138" s="37">
        <v>0</v>
      </c>
      <c r="E138" s="37">
        <v>0</v>
      </c>
      <c r="F138" s="37">
        <f t="shared" si="2"/>
        <v>0</v>
      </c>
    </row>
    <row r="139" spans="1:6" customFormat="1">
      <c r="A139" s="12">
        <v>501033</v>
      </c>
      <c r="B139" s="25" t="s">
        <v>258</v>
      </c>
      <c r="C139" s="37">
        <v>0</v>
      </c>
      <c r="D139" s="37">
        <v>570</v>
      </c>
      <c r="E139" s="37">
        <v>0</v>
      </c>
      <c r="F139" s="37">
        <f t="shared" si="2"/>
        <v>570</v>
      </c>
    </row>
    <row r="140" spans="1:6" customFormat="1">
      <c r="A140" s="12">
        <v>501035</v>
      </c>
      <c r="B140" s="25" t="s">
        <v>259</v>
      </c>
      <c r="C140" s="37">
        <v>0</v>
      </c>
      <c r="D140" s="37">
        <v>0</v>
      </c>
      <c r="E140" s="37">
        <v>0</v>
      </c>
      <c r="F140" s="37">
        <f t="shared" si="2"/>
        <v>0</v>
      </c>
    </row>
    <row r="141" spans="1:6" customFormat="1" ht="25.5" customHeight="1">
      <c r="A141" s="12">
        <v>501036</v>
      </c>
      <c r="B141" s="25" t="s">
        <v>260</v>
      </c>
      <c r="C141" s="37">
        <v>0</v>
      </c>
      <c r="D141" s="37">
        <v>0</v>
      </c>
      <c r="E141" s="37">
        <v>0</v>
      </c>
      <c r="F141" s="37">
        <f t="shared" si="2"/>
        <v>0</v>
      </c>
    </row>
    <row r="142" spans="1:6" customFormat="1">
      <c r="A142" s="12">
        <v>501037</v>
      </c>
      <c r="B142" s="25" t="s">
        <v>239</v>
      </c>
      <c r="C142" s="37">
        <v>0</v>
      </c>
      <c r="D142" s="37">
        <v>6818</v>
      </c>
      <c r="E142" s="37">
        <v>0</v>
      </c>
      <c r="F142" s="37">
        <f t="shared" si="2"/>
        <v>6818</v>
      </c>
    </row>
    <row r="143" spans="1:6" customFormat="1">
      <c r="A143" s="12">
        <v>501038</v>
      </c>
      <c r="B143" s="26" t="s">
        <v>240</v>
      </c>
      <c r="C143" s="47">
        <v>0</v>
      </c>
      <c r="D143" s="37">
        <v>0</v>
      </c>
      <c r="E143" s="37">
        <v>0</v>
      </c>
      <c r="F143" s="37">
        <f t="shared" si="2"/>
        <v>0</v>
      </c>
    </row>
    <row r="144" spans="1:6" s="4" customFormat="1">
      <c r="A144" s="12">
        <v>501039</v>
      </c>
      <c r="B144" s="25" t="s">
        <v>187</v>
      </c>
      <c r="C144" s="37">
        <v>0</v>
      </c>
      <c r="D144" s="37">
        <v>0</v>
      </c>
      <c r="E144" s="37">
        <v>0</v>
      </c>
      <c r="F144" s="37">
        <f t="shared" si="2"/>
        <v>0</v>
      </c>
    </row>
    <row r="145" spans="1:6" ht="22.5">
      <c r="A145" s="12">
        <v>3</v>
      </c>
      <c r="B145" s="25" t="s">
        <v>188</v>
      </c>
      <c r="C145" s="37">
        <v>0</v>
      </c>
      <c r="D145" s="37">
        <v>0</v>
      </c>
      <c r="E145" s="37">
        <v>0</v>
      </c>
      <c r="F145" s="37">
        <f t="shared" si="2"/>
        <v>0</v>
      </c>
    </row>
    <row r="146" spans="1:6">
      <c r="A146" s="12">
        <v>502001</v>
      </c>
      <c r="B146" s="25" t="s">
        <v>189</v>
      </c>
      <c r="C146" s="37">
        <v>0</v>
      </c>
      <c r="D146" s="37">
        <v>42873</v>
      </c>
      <c r="E146" s="37">
        <v>0</v>
      </c>
      <c r="F146" s="37">
        <f t="shared" si="2"/>
        <v>42873</v>
      </c>
    </row>
    <row r="147" spans="1:6">
      <c r="A147" s="12">
        <v>502002</v>
      </c>
      <c r="B147" s="25" t="s">
        <v>190</v>
      </c>
      <c r="C147" s="37">
        <v>0</v>
      </c>
      <c r="D147" s="37">
        <v>0</v>
      </c>
      <c r="E147" s="37">
        <v>0</v>
      </c>
      <c r="F147" s="37">
        <f t="shared" si="2"/>
        <v>0</v>
      </c>
    </row>
    <row r="148" spans="1:6">
      <c r="A148" s="12">
        <v>801001</v>
      </c>
      <c r="B148" s="25" t="s">
        <v>191</v>
      </c>
      <c r="C148" s="37">
        <v>0</v>
      </c>
      <c r="D148" s="37">
        <v>0</v>
      </c>
      <c r="E148" s="37">
        <v>37342</v>
      </c>
      <c r="F148" s="37">
        <f t="shared" si="2"/>
        <v>37342</v>
      </c>
    </row>
    <row r="149" spans="1:6">
      <c r="A149" s="12">
        <v>801003</v>
      </c>
      <c r="B149" s="25" t="s">
        <v>192</v>
      </c>
      <c r="C149" s="37">
        <v>0</v>
      </c>
      <c r="D149" s="37">
        <v>0</v>
      </c>
      <c r="E149" s="37">
        <v>0</v>
      </c>
      <c r="F149" s="37">
        <f t="shared" si="2"/>
        <v>0</v>
      </c>
    </row>
    <row r="150" spans="1:6">
      <c r="A150" s="12">
        <v>802001</v>
      </c>
      <c r="B150" s="25" t="s">
        <v>193</v>
      </c>
      <c r="C150" s="37">
        <v>0</v>
      </c>
      <c r="D150" s="37">
        <v>3650</v>
      </c>
      <c r="E150" s="37">
        <v>17798</v>
      </c>
      <c r="F150" s="37">
        <f t="shared" si="2"/>
        <v>21448</v>
      </c>
    </row>
    <row r="151" spans="1:6">
      <c r="A151" s="12">
        <v>802002</v>
      </c>
      <c r="B151" s="25" t="s">
        <v>241</v>
      </c>
      <c r="C151" s="37">
        <v>0</v>
      </c>
      <c r="D151" s="37">
        <v>0</v>
      </c>
      <c r="E151" s="37">
        <v>0</v>
      </c>
      <c r="F151" s="37">
        <f t="shared" si="2"/>
        <v>0</v>
      </c>
    </row>
    <row r="152" spans="1:6">
      <c r="A152" s="12">
        <v>803001</v>
      </c>
      <c r="B152" s="25" t="s">
        <v>194</v>
      </c>
      <c r="C152" s="37">
        <v>0</v>
      </c>
      <c r="D152" s="37">
        <v>18770</v>
      </c>
      <c r="E152" s="37">
        <v>24746</v>
      </c>
      <c r="F152" s="37">
        <f t="shared" si="2"/>
        <v>43516</v>
      </c>
    </row>
    <row r="153" spans="1:6">
      <c r="A153" s="12">
        <v>803003</v>
      </c>
      <c r="B153" s="25" t="s">
        <v>195</v>
      </c>
      <c r="C153" s="37">
        <v>0</v>
      </c>
      <c r="D153" s="37">
        <v>0</v>
      </c>
      <c r="E153" s="37">
        <v>0</v>
      </c>
      <c r="F153" s="37">
        <f t="shared" si="2"/>
        <v>0</v>
      </c>
    </row>
    <row r="154" spans="1:6">
      <c r="A154" s="12">
        <v>806001</v>
      </c>
      <c r="B154" s="25" t="s">
        <v>196</v>
      </c>
      <c r="C154" s="37">
        <v>0</v>
      </c>
      <c r="D154" s="37">
        <v>0</v>
      </c>
      <c r="E154" s="37">
        <v>37920.67</v>
      </c>
      <c r="F154" s="37">
        <f t="shared" si="2"/>
        <v>37920.67</v>
      </c>
    </row>
    <row r="155" spans="1:6">
      <c r="A155" s="12">
        <v>806002</v>
      </c>
      <c r="B155" s="25" t="s">
        <v>197</v>
      </c>
      <c r="C155" s="37">
        <v>0</v>
      </c>
      <c r="D155" s="37">
        <v>0</v>
      </c>
      <c r="E155" s="37">
        <v>0</v>
      </c>
      <c r="F155" s="37">
        <f t="shared" si="2"/>
        <v>0</v>
      </c>
    </row>
    <row r="156" spans="1:6" ht="22.5">
      <c r="A156" s="12" t="s">
        <v>178</v>
      </c>
      <c r="B156" s="25" t="s">
        <v>198</v>
      </c>
      <c r="C156" s="37">
        <v>0</v>
      </c>
      <c r="D156" s="37">
        <v>0</v>
      </c>
      <c r="E156" s="37">
        <v>0</v>
      </c>
      <c r="F156" s="37">
        <f t="shared" si="2"/>
        <v>0</v>
      </c>
    </row>
    <row r="157" spans="1:6">
      <c r="A157" s="12" t="s">
        <v>179</v>
      </c>
      <c r="B157" s="25" t="s">
        <v>199</v>
      </c>
      <c r="C157" s="37">
        <v>0</v>
      </c>
      <c r="D157" s="37">
        <v>6923</v>
      </c>
      <c r="E157" s="37">
        <v>12263.05</v>
      </c>
      <c r="F157" s="37">
        <f t="shared" si="2"/>
        <v>19186.05</v>
      </c>
    </row>
    <row r="158" spans="1:6">
      <c r="A158" s="12" t="s">
        <v>180</v>
      </c>
      <c r="B158" s="25" t="s">
        <v>200</v>
      </c>
      <c r="C158" s="37">
        <v>0</v>
      </c>
      <c r="D158" s="37">
        <v>0</v>
      </c>
      <c r="E158" s="37">
        <v>0</v>
      </c>
      <c r="F158" s="37">
        <f t="shared" si="2"/>
        <v>0</v>
      </c>
    </row>
    <row r="159" spans="1:6">
      <c r="A159" s="12" t="s">
        <v>181</v>
      </c>
      <c r="B159" s="25" t="s">
        <v>201</v>
      </c>
      <c r="C159" s="37">
        <v>0</v>
      </c>
      <c r="D159" s="37">
        <v>0</v>
      </c>
      <c r="E159" s="37">
        <v>19508.759999999998</v>
      </c>
      <c r="F159" s="37">
        <f t="shared" si="2"/>
        <v>19508.759999999998</v>
      </c>
    </row>
    <row r="160" spans="1:6">
      <c r="A160" s="12" t="s">
        <v>182</v>
      </c>
      <c r="B160" s="25" t="s">
        <v>202</v>
      </c>
      <c r="C160" s="37">
        <v>0</v>
      </c>
      <c r="D160" s="37">
        <v>0</v>
      </c>
      <c r="E160" s="37">
        <v>23115</v>
      </c>
      <c r="F160" s="37">
        <f t="shared" si="2"/>
        <v>23115</v>
      </c>
    </row>
    <row r="161" spans="1:6">
      <c r="A161" s="12" t="s">
        <v>183</v>
      </c>
      <c r="B161" s="25" t="s">
        <v>203</v>
      </c>
      <c r="C161" s="37">
        <v>0</v>
      </c>
      <c r="D161" s="37">
        <v>0</v>
      </c>
      <c r="E161" s="37">
        <v>0</v>
      </c>
      <c r="F161" s="37">
        <f t="shared" si="2"/>
        <v>0</v>
      </c>
    </row>
    <row r="162" spans="1:6" ht="22.5">
      <c r="A162" s="12" t="s">
        <v>184</v>
      </c>
      <c r="B162" s="25" t="s">
        <v>242</v>
      </c>
      <c r="C162" s="37">
        <v>0</v>
      </c>
      <c r="D162" s="37">
        <v>0</v>
      </c>
      <c r="E162" s="37">
        <v>0</v>
      </c>
      <c r="F162" s="37">
        <f t="shared" si="2"/>
        <v>0</v>
      </c>
    </row>
    <row r="163" spans="1:6" ht="22.5">
      <c r="A163" s="12" t="s">
        <v>185</v>
      </c>
      <c r="B163" s="26" t="s">
        <v>243</v>
      </c>
      <c r="C163" s="47">
        <v>0</v>
      </c>
      <c r="D163" s="37">
        <v>0</v>
      </c>
      <c r="E163" s="37">
        <v>0</v>
      </c>
      <c r="F163" s="37">
        <f t="shared" si="2"/>
        <v>0</v>
      </c>
    </row>
    <row r="164" spans="1:6">
      <c r="A164" s="12" t="s">
        <v>186</v>
      </c>
      <c r="B164" s="25" t="s">
        <v>204</v>
      </c>
      <c r="C164" s="37">
        <v>0</v>
      </c>
      <c r="D164" s="37">
        <v>4076</v>
      </c>
      <c r="E164" s="37">
        <v>0</v>
      </c>
      <c r="F164" s="37">
        <f t="shared" si="2"/>
        <v>4076</v>
      </c>
    </row>
    <row r="165" spans="1:6">
      <c r="A165" s="12" t="s">
        <v>118</v>
      </c>
      <c r="B165" s="25"/>
      <c r="C165" s="37">
        <f>SUM(C3:C164)</f>
        <v>1733651.87</v>
      </c>
      <c r="D165" s="37">
        <f t="shared" ref="D165:F165" si="3">SUM(D3:D164)</f>
        <v>2270197.6</v>
      </c>
      <c r="E165" s="37">
        <f t="shared" si="3"/>
        <v>4776121.6599999992</v>
      </c>
      <c r="F165" s="37">
        <f t="shared" si="3"/>
        <v>8779971.1300000008</v>
      </c>
    </row>
  </sheetData>
  <mergeCells count="1">
    <mergeCell ref="A1:F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cp:lastPrinted>2017-10-27T07:26:42Z</cp:lastPrinted>
  <dcterms:created xsi:type="dcterms:W3CDTF">2017-10-27T00:59:22Z</dcterms:created>
  <dcterms:modified xsi:type="dcterms:W3CDTF">2017-12-13T02:39:23Z</dcterms:modified>
</cp:coreProperties>
</file>