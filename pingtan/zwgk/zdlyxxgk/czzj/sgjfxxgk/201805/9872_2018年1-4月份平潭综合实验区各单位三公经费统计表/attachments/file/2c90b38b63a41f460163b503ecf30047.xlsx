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90" windowWidth="23175" windowHeight="900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56" i="1"/>
  <c r="C195"/>
  <c r="F5"/>
  <c r="F6"/>
  <c r="F7"/>
  <c r="F8"/>
  <c r="F9"/>
  <c r="F10"/>
  <c r="F11"/>
  <c r="F12"/>
  <c r="F13"/>
  <c r="F14"/>
  <c r="F15"/>
  <c r="F16"/>
  <c r="F17"/>
  <c r="F18"/>
  <c r="F19"/>
  <c r="F20"/>
  <c r="F21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6"/>
  <c r="F48"/>
  <c r="F49"/>
  <c r="F50"/>
  <c r="F51"/>
  <c r="F52"/>
  <c r="F53"/>
  <c r="F54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55"/>
  <c r="F83"/>
  <c r="F84"/>
  <c r="F85"/>
  <c r="F86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4"/>
  <c r="D47"/>
  <c r="F47" s="1"/>
  <c r="D45"/>
  <c r="F45" s="1"/>
  <c r="E43"/>
  <c r="E195" s="1"/>
  <c r="E137"/>
  <c r="F137" s="1"/>
  <c r="E136"/>
  <c r="D136"/>
  <c r="F136" s="1"/>
  <c r="E89"/>
  <c r="D87"/>
  <c r="F87" s="1"/>
  <c r="D22"/>
  <c r="D195" s="1"/>
  <c r="F22" l="1"/>
  <c r="F195"/>
</calcChain>
</file>

<file path=xl/sharedStrings.xml><?xml version="1.0" encoding="utf-8"?>
<sst xmlns="http://schemas.openxmlformats.org/spreadsheetml/2006/main" count="201" uniqueCount="201">
  <si>
    <t>单位：元</t>
  </si>
  <si>
    <t>编码</t>
  </si>
  <si>
    <t>单位名称</t>
  </si>
  <si>
    <t>因公出国（境）费</t>
  </si>
  <si>
    <t>公务接待费</t>
  </si>
  <si>
    <t>公务用车运行维护费</t>
  </si>
  <si>
    <t>合计</t>
  </si>
  <si>
    <t>中共福建省纪委平潭综合实验区工作委员会</t>
  </si>
  <si>
    <t>平潭综合实验区审计事务中心</t>
  </si>
  <si>
    <t>区党史方志研究中心</t>
  </si>
  <si>
    <t>平潭综合实验区司法办公室</t>
  </si>
  <si>
    <t>区党工委政法办公室</t>
  </si>
  <si>
    <t>区创城办</t>
  </si>
  <si>
    <t>平潭综合实验区管委会台湾工作部</t>
  </si>
  <si>
    <t>平潭综合实验区归国华侨联合会</t>
  </si>
  <si>
    <t>平潭综合实验区党工委宣传部</t>
  </si>
  <si>
    <t>平潭综合实验区文联</t>
  </si>
  <si>
    <t>区安监局</t>
  </si>
  <si>
    <t>区安全生产综合服务中心</t>
  </si>
  <si>
    <t>区安全生产与劳动保障执法支队</t>
  </si>
  <si>
    <t>区社会服务管理指挥中心</t>
  </si>
  <si>
    <t>区直机关工委</t>
  </si>
  <si>
    <t>平潭综合实验区质量计量所</t>
  </si>
  <si>
    <t>区农村发展局本级</t>
  </si>
  <si>
    <t>区农业机械管理站</t>
  </si>
  <si>
    <t>平潭县供销合作联合社</t>
  </si>
  <si>
    <t>区防汛抗旱指挥部办公室</t>
  </si>
  <si>
    <t>区海洋与渔业技术中心</t>
  </si>
  <si>
    <t>区水利综合服务中心</t>
  </si>
  <si>
    <t>区农业技术服务中心</t>
  </si>
  <si>
    <t>区动物卫生监督所</t>
  </si>
  <si>
    <t>区海洋与渔业海上应急指挥中心</t>
  </si>
  <si>
    <t>区林业发展服务中心</t>
  </si>
  <si>
    <t>平潭国有防护林场</t>
  </si>
  <si>
    <t>区水利工程质量监督站</t>
  </si>
  <si>
    <t>区森林公安局</t>
  </si>
  <si>
    <t>区林业工作总站</t>
  </si>
  <si>
    <t>区海洋渔业执法大队</t>
  </si>
  <si>
    <t>平潭综合实验区经济发展局</t>
  </si>
  <si>
    <t>平潭综合实验区统计局</t>
  </si>
  <si>
    <t>平潭综合实验区经济社会调查队</t>
  </si>
  <si>
    <t>自贸区平潭片区海峡两岸电子商务服务中心</t>
  </si>
  <si>
    <t>平潭综合实验区管委会口岸工作办公室</t>
  </si>
  <si>
    <t>平潭综合实验区管委会口岸服务中心</t>
  </si>
  <si>
    <t>平潭综合实验区招商局</t>
  </si>
  <si>
    <t>平潭综合实验区旅游发展委员会</t>
  </si>
  <si>
    <t>平潭综合实验区风景区与旅游执法支队</t>
  </si>
  <si>
    <t>平潭综合实验区风景名胜区管理局</t>
  </si>
  <si>
    <t>平潭综合实验区社会事业局</t>
  </si>
  <si>
    <t>平潭综合实验区军休所</t>
  </si>
  <si>
    <t>平潭综合实验区殡葬服务中心</t>
  </si>
  <si>
    <t>平潭综合实验区福利院</t>
  </si>
  <si>
    <t>平潭综合实验区闽剧团</t>
  </si>
  <si>
    <t>平潭综合实验区文化馆</t>
  </si>
  <si>
    <t>平潭综合实验区图书馆</t>
  </si>
  <si>
    <t>平潭综合实验区科协</t>
  </si>
  <si>
    <t>平潭综合实验区残联</t>
  </si>
  <si>
    <t>平潭综合实验区残疾人服务中心</t>
  </si>
  <si>
    <t>平潭综合实验区广播电视服务中心</t>
  </si>
  <si>
    <t>平潭综合实验区保障服务中心</t>
  </si>
  <si>
    <t>平潭综合实验区仲裁院</t>
  </si>
  <si>
    <t>平潭综合实验区民政事务服务中心</t>
  </si>
  <si>
    <t>平潭综合实验区传媒中心</t>
  </si>
  <si>
    <t>平潭广播电视台</t>
  </si>
  <si>
    <t>平潭时报社</t>
  </si>
  <si>
    <t>平潭综合实验区教育局</t>
  </si>
  <si>
    <t>平潭综合实验区教育考试中心</t>
  </si>
  <si>
    <t>平潭综合实验区进修校</t>
  </si>
  <si>
    <t>平潭职业中专学校</t>
  </si>
  <si>
    <t>平潭第一中学</t>
  </si>
  <si>
    <t>平潭城关中学</t>
  </si>
  <si>
    <t>福建师范大学平潭附属中学</t>
  </si>
  <si>
    <t>平潭综合实验区卫生和计划生育局</t>
  </si>
  <si>
    <t>平潭综合实验区卫计服务中心</t>
  </si>
  <si>
    <t>平潭综合实验区医院</t>
  </si>
  <si>
    <t>平潭综合实验区中医院</t>
  </si>
  <si>
    <t>平潭综合实验区妇幼保健院</t>
  </si>
  <si>
    <t>平潭综合实验区皮肤病性病防治院</t>
  </si>
  <si>
    <t>平潭综合实验区疾病预防控制中心</t>
  </si>
  <si>
    <t>平潭综合实验区潭城镇社区卫生服务中心</t>
  </si>
  <si>
    <t>平潭综合实验区屿头乡卫生院</t>
  </si>
  <si>
    <t>平潭综合实验区大练乡卫生院</t>
  </si>
  <si>
    <t>平潭综合实验区苏澳镇中心卫生院</t>
  </si>
  <si>
    <t>平潭综合实验区平原镇中心卫生院</t>
  </si>
  <si>
    <t>平潭综合实验区中楼乡卫生院</t>
  </si>
  <si>
    <t>平潭综合实验区白青乡卫生院</t>
  </si>
  <si>
    <t>平潭综合实验区流水镇中心卫生院</t>
  </si>
  <si>
    <t>平潭综合实验区东庠乡卫生院</t>
  </si>
  <si>
    <t>平潭综合实验区岚城乡中心卫生院</t>
  </si>
  <si>
    <t>平潭综合实验区澳前镇中心卫生院</t>
  </si>
  <si>
    <t>平潭综合实验区北厝镇中心卫生院</t>
  </si>
  <si>
    <t>平潭综合实验区敖东镇中心卫生院</t>
  </si>
  <si>
    <t>平潭综合实验区南海乡卫生院</t>
  </si>
  <si>
    <t>平潭综合实验区南海乡塘屿卫生院</t>
  </si>
  <si>
    <t>区自贸办</t>
  </si>
  <si>
    <t>区金融服务办公室</t>
    <phoneticPr fontId="9" type="noConversion"/>
  </si>
  <si>
    <t>区发展研究中心</t>
    <phoneticPr fontId="2" type="noConversion"/>
  </si>
  <si>
    <t>平潭县屿头乡</t>
    <phoneticPr fontId="9" type="noConversion"/>
  </si>
  <si>
    <t>平潭县大练乡</t>
    <phoneticPr fontId="9" type="noConversion"/>
  </si>
  <si>
    <t>平潭县苏澳镇</t>
    <phoneticPr fontId="9" type="noConversion"/>
  </si>
  <si>
    <t>平潭县平原镇</t>
    <phoneticPr fontId="9" type="noConversion"/>
  </si>
  <si>
    <t>平潭县白青乡</t>
    <phoneticPr fontId="9" type="noConversion"/>
  </si>
  <si>
    <t>平潭县芦洋乡</t>
    <phoneticPr fontId="9" type="noConversion"/>
  </si>
  <si>
    <t>平潭县中楼乡</t>
    <phoneticPr fontId="9" type="noConversion"/>
  </si>
  <si>
    <t>平潭县流水镇</t>
    <phoneticPr fontId="9" type="noConversion"/>
  </si>
  <si>
    <t>平潭县东庠乡</t>
    <phoneticPr fontId="9" type="noConversion"/>
  </si>
  <si>
    <t>平潭县潭城镇</t>
    <phoneticPr fontId="9" type="noConversion"/>
  </si>
  <si>
    <t>平潭县岚城乡</t>
    <phoneticPr fontId="9" type="noConversion"/>
  </si>
  <si>
    <t>平潭县澳前镇</t>
    <phoneticPr fontId="9" type="noConversion"/>
  </si>
  <si>
    <t>平潭县北厝镇</t>
    <phoneticPr fontId="9" type="noConversion"/>
  </si>
  <si>
    <t>平潭县敖东镇</t>
    <phoneticPr fontId="9" type="noConversion"/>
  </si>
  <si>
    <t>平潭县南海乡</t>
    <phoneticPr fontId="9" type="noConversion"/>
  </si>
  <si>
    <t>合    计</t>
    <phoneticPr fontId="2" type="noConversion"/>
  </si>
  <si>
    <t>平潭综合实验区教育督导室</t>
  </si>
  <si>
    <t>平潭县人大常委会</t>
    <phoneticPr fontId="9" type="noConversion"/>
  </si>
  <si>
    <t>平潭县政协</t>
    <phoneticPr fontId="9" type="noConversion"/>
  </si>
  <si>
    <t>区管委办</t>
    <phoneticPr fontId="9" type="noConversion"/>
  </si>
  <si>
    <t>区信访局</t>
    <phoneticPr fontId="9" type="noConversion"/>
  </si>
  <si>
    <t>区机要局</t>
    <phoneticPr fontId="9" type="noConversion"/>
  </si>
  <si>
    <t>区档案局</t>
    <phoneticPr fontId="9" type="noConversion"/>
  </si>
  <si>
    <t>区公证处</t>
    <phoneticPr fontId="9" type="noConversion"/>
  </si>
  <si>
    <t>区机关事务服务中心</t>
    <phoneticPr fontId="9" type="noConversion"/>
  </si>
  <si>
    <t>区机关效能办</t>
    <phoneticPr fontId="9" type="noConversion"/>
  </si>
  <si>
    <t>区外侨交流中心</t>
    <phoneticPr fontId="9" type="noConversion"/>
  </si>
  <si>
    <t>区网信办</t>
    <phoneticPr fontId="9" type="noConversion"/>
  </si>
  <si>
    <t>区互联网中心</t>
    <phoneticPr fontId="9" type="noConversion"/>
  </si>
  <si>
    <t>区未成年人思想道德中心</t>
    <phoneticPr fontId="9" type="noConversion"/>
  </si>
  <si>
    <t>市场监督管理局</t>
    <phoneticPr fontId="9" type="noConversion"/>
  </si>
  <si>
    <t>平潭综合实验区卫生监督所</t>
    <phoneticPr fontId="9" type="noConversion"/>
  </si>
  <si>
    <t>平潭综合实验区检验检测中心</t>
    <phoneticPr fontId="9" type="noConversion"/>
  </si>
  <si>
    <t>行政审批局</t>
    <phoneticPr fontId="9" type="noConversion"/>
  </si>
  <si>
    <t>马上办</t>
    <phoneticPr fontId="9" type="noConversion"/>
  </si>
  <si>
    <t>行政服务中心</t>
    <phoneticPr fontId="9" type="noConversion"/>
  </si>
  <si>
    <t>平潭综合实验区公共资源交易中心</t>
    <phoneticPr fontId="9" type="noConversion"/>
  </si>
  <si>
    <t>区党群部</t>
    <phoneticPr fontId="9" type="noConversion"/>
  </si>
  <si>
    <t>区老年大学</t>
    <phoneticPr fontId="9" type="noConversion"/>
  </si>
  <si>
    <t>工商联</t>
    <phoneticPr fontId="9" type="noConversion"/>
  </si>
  <si>
    <t>党校</t>
    <phoneticPr fontId="9" type="noConversion"/>
  </si>
  <si>
    <t>共青团</t>
    <phoneticPr fontId="9" type="noConversion"/>
  </si>
  <si>
    <t>妇联</t>
    <phoneticPr fontId="9" type="noConversion"/>
  </si>
  <si>
    <t>总工会</t>
    <phoneticPr fontId="9" type="noConversion"/>
  </si>
  <si>
    <t>干部人事信息中心</t>
    <phoneticPr fontId="9" type="noConversion"/>
  </si>
  <si>
    <t>青少年宫</t>
    <phoneticPr fontId="9" type="noConversion"/>
  </si>
  <si>
    <t>挂职办</t>
    <phoneticPr fontId="9" type="noConversion"/>
  </si>
  <si>
    <t>人力资源公共服务中心</t>
    <phoneticPr fontId="9" type="noConversion"/>
  </si>
  <si>
    <t>事业单位管理局</t>
    <phoneticPr fontId="9" type="noConversion"/>
  </si>
  <si>
    <t>平潭综合实验区离退休干部活动中心</t>
    <phoneticPr fontId="9" type="noConversion"/>
  </si>
  <si>
    <t>关心下一代工作委员会办公室</t>
    <phoneticPr fontId="9" type="noConversion"/>
  </si>
  <si>
    <t>宗教事务服务中心</t>
    <phoneticPr fontId="9" type="noConversion"/>
  </si>
  <si>
    <t>区综合执法局</t>
    <phoneticPr fontId="9" type="noConversion"/>
  </si>
  <si>
    <t>区安办</t>
    <phoneticPr fontId="9" type="noConversion"/>
  </si>
  <si>
    <t>区交通综合执法支队</t>
    <phoneticPr fontId="9" type="noConversion"/>
  </si>
  <si>
    <t>区文化市场综合执法支队</t>
    <phoneticPr fontId="9" type="noConversion"/>
  </si>
  <si>
    <t>区农业综合执法支队</t>
    <phoneticPr fontId="9" type="noConversion"/>
  </si>
  <si>
    <t>公安局</t>
    <phoneticPr fontId="9" type="noConversion"/>
  </si>
  <si>
    <t>看守所</t>
    <phoneticPr fontId="9" type="noConversion"/>
  </si>
  <si>
    <t>拘留所</t>
    <phoneticPr fontId="9" type="noConversion"/>
  </si>
  <si>
    <t>财金局本级</t>
    <phoneticPr fontId="9" type="noConversion"/>
  </si>
  <si>
    <t>国库支付中心</t>
    <phoneticPr fontId="9" type="noConversion"/>
  </si>
  <si>
    <t>平潭综合实验区政府采购办公室</t>
    <phoneticPr fontId="9" type="noConversion"/>
  </si>
  <si>
    <t>评审中心</t>
    <phoneticPr fontId="9" type="noConversion"/>
  </si>
  <si>
    <t>乡财办</t>
    <phoneticPr fontId="9" type="noConversion"/>
  </si>
  <si>
    <t>PPP</t>
    <phoneticPr fontId="9" type="noConversion"/>
  </si>
  <si>
    <t>国有资产管理局</t>
    <phoneticPr fontId="9" type="noConversion"/>
  </si>
  <si>
    <t>科研院</t>
    <phoneticPr fontId="9" type="noConversion"/>
  </si>
  <si>
    <t>平潭综合实验区重点项目建设管理办公室</t>
    <phoneticPr fontId="9" type="noConversion"/>
  </si>
  <si>
    <t>平潭综合实验区重点项目服务中心</t>
    <phoneticPr fontId="9" type="noConversion"/>
  </si>
  <si>
    <t>平潭综合实验区各单位2018年1-4月份三公经费统计表</t>
    <phoneticPr fontId="2" type="noConversion"/>
  </si>
  <si>
    <t xml:space="preserve"> </t>
    <phoneticPr fontId="2" type="noConversion"/>
  </si>
  <si>
    <t>平潭综合实验区环境与国土资源局</t>
  </si>
  <si>
    <t>平潭综合实验区环境与国土资源信息中心</t>
  </si>
  <si>
    <t>平潭综合实验区地灾防治与环境事故应急中心</t>
  </si>
  <si>
    <t>平潭综合实验区土地储备中心</t>
  </si>
  <si>
    <t>平潭综合实验区环境监测站</t>
  </si>
  <si>
    <t>平潭综合实验区不动产登记中心</t>
  </si>
  <si>
    <t>平潭综合实验区土地开发整理中心</t>
  </si>
  <si>
    <t>平潭综合实验区环境监察支队</t>
  </si>
  <si>
    <t>平潭综合实验区交通与建设局本级</t>
  </si>
  <si>
    <t>平潭综合实验区住房公积金管理中心</t>
  </si>
  <si>
    <t>平潭综合实验区公路局</t>
  </si>
  <si>
    <t>平潭综合实验区人防办</t>
  </si>
  <si>
    <t>平潭县地震办</t>
  </si>
  <si>
    <t>平潭县轮渡管理处</t>
  </si>
  <si>
    <t>平潭综合实验区村镇建设总站</t>
  </si>
  <si>
    <t>平潭综合实验区交通与建设工程质量安全监督站</t>
  </si>
  <si>
    <t>平潭综合实验区环卫所</t>
  </si>
  <si>
    <t>平潭综合实验区交通运输管理服务中心</t>
  </si>
  <si>
    <t>平潭区公用事业服务中心</t>
  </si>
  <si>
    <t>平潭综合实验区邮政业发展与安全中心</t>
  </si>
  <si>
    <t>平潭综合实验区造价站</t>
  </si>
  <si>
    <t>平潭综合实验区规划局</t>
  </si>
  <si>
    <t>平潭综合实验区规划编制研究中心</t>
  </si>
  <si>
    <t>金井湾片区项目建设指挥部</t>
  </si>
  <si>
    <t>金井湾片区项目建设服务中心</t>
  </si>
  <si>
    <t>岚城片区项目建设指挥部</t>
  </si>
  <si>
    <t>岚城片区项目建设服务中心</t>
  </si>
  <si>
    <t>澳前片区项目建设指挥部</t>
  </si>
  <si>
    <t>澳前片区项目建设服务中心</t>
  </si>
  <si>
    <t>流水片区项目建设指挥部</t>
  </si>
  <si>
    <t>流水片区项目建设服务中心</t>
  </si>
  <si>
    <t>平潭综合实验区土地房屋征收安置工作领导小组</t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</si>
</sst>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12">
    <font>
      <sz val="11"/>
      <color theme="1"/>
      <name val="宋体"/>
      <family val="2"/>
      <charset val="134"/>
      <scheme val="minor"/>
    </font>
    <font>
      <b/>
      <sz val="18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theme="1"/>
      <name val="宋体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>
      <alignment vertical="center"/>
    </xf>
    <xf numFmtId="0" fontId="0" fillId="0" borderId="0" xfId="0" applyFill="1">
      <alignment vertical="center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49" fontId="11" fillId="0" borderId="4" xfId="0" applyNumberFormat="1" applyFont="1" applyFill="1" applyBorder="1" applyAlignment="1" applyProtection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11" fillId="2" borderId="3" xfId="0" applyNumberFormat="1" applyFont="1" applyFill="1" applyBorder="1" applyAlignment="1" applyProtection="1">
      <alignment horizontal="center" vertical="center" wrapText="1"/>
    </xf>
    <xf numFmtId="0" fontId="11" fillId="2" borderId="4" xfId="0" applyFont="1" applyFill="1" applyBorder="1" applyAlignment="1">
      <alignment horizontal="left" wrapText="1"/>
    </xf>
    <xf numFmtId="176" fontId="11" fillId="2" borderId="4" xfId="0" applyNumberFormat="1" applyFont="1" applyFill="1" applyBorder="1" applyAlignment="1" applyProtection="1">
      <alignment horizontal="right" shrinkToFit="1"/>
    </xf>
    <xf numFmtId="0" fontId="11" fillId="2" borderId="4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3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2" applyNumberFormat="1" applyFont="1" applyFill="1" applyBorder="1" applyAlignment="1" applyProtection="1">
      <alignment horizontal="center" vertical="center" wrapText="1"/>
    </xf>
    <xf numFmtId="0" fontId="11" fillId="2" borderId="4" xfId="2" applyFont="1" applyFill="1" applyBorder="1" applyAlignment="1">
      <alignment horizontal="left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2" applyNumberFormat="1" applyFont="1" applyFill="1" applyBorder="1" applyAlignment="1" applyProtection="1">
      <alignment horizontal="left" wrapText="1"/>
    </xf>
    <xf numFmtId="0" fontId="11" fillId="2" borderId="4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3" applyNumberFormat="1" applyFont="1" applyFill="1" applyBorder="1" applyAlignment="1" applyProtection="1">
      <alignment horizontal="center" vertical="center" wrapText="1"/>
    </xf>
    <xf numFmtId="0" fontId="11" fillId="2" borderId="5" xfId="3" applyNumberFormat="1" applyFont="1" applyFill="1" applyBorder="1" applyAlignment="1" applyProtection="1">
      <alignment horizontal="left" vertical="center" wrapText="1"/>
    </xf>
    <xf numFmtId="0" fontId="11" fillId="2" borderId="4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1" fillId="2" borderId="4" xfId="0" applyNumberFormat="1" applyFont="1" applyFill="1" applyBorder="1" applyAlignment="1">
      <alignment horizontal="center" wrapText="1"/>
    </xf>
    <xf numFmtId="0" fontId="4" fillId="0" borderId="7" xfId="0" quotePrefix="1" applyNumberFormat="1" applyFont="1" applyBorder="1" applyAlignment="1">
      <alignment horizontal="center" vertical="center"/>
    </xf>
    <xf numFmtId="176" fontId="11" fillId="2" borderId="5" xfId="0" applyNumberFormat="1" applyFont="1" applyFill="1" applyBorder="1" applyAlignment="1" applyProtection="1">
      <alignment horizontal="center"/>
    </xf>
    <xf numFmtId="176" fontId="11" fillId="2" borderId="5" xfId="0" applyNumberFormat="1" applyFont="1" applyFill="1" applyBorder="1" applyAlignment="1" applyProtection="1"/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">
    <cellStyle name="常规" xfId="0" builtinId="0"/>
    <cellStyle name="常规 2 2" xfId="3"/>
    <cellStyle name="常规 4" xfId="2"/>
    <cellStyle name="常规 5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5"/>
  <sheetViews>
    <sheetView tabSelected="1" workbookViewId="0">
      <selection sqref="A1:F1"/>
    </sheetView>
  </sheetViews>
  <sheetFormatPr defaultRowHeight="13.5"/>
  <cols>
    <col min="2" max="2" width="31.25" customWidth="1"/>
    <col min="3" max="3" width="12.5" customWidth="1"/>
    <col min="4" max="4" width="11.75" customWidth="1"/>
    <col min="5" max="5" width="12" customWidth="1"/>
    <col min="6" max="6" width="11" customWidth="1"/>
  </cols>
  <sheetData>
    <row r="1" spans="1:9" ht="22.5" customHeight="1">
      <c r="A1" s="44" t="s">
        <v>167</v>
      </c>
      <c r="B1" s="44"/>
      <c r="C1" s="44"/>
      <c r="D1" s="44"/>
      <c r="E1" s="44"/>
      <c r="F1" s="44"/>
    </row>
    <row r="2" spans="1:9">
      <c r="A2" s="45"/>
      <c r="B2" s="45"/>
      <c r="C2" s="1"/>
      <c r="D2" s="1"/>
      <c r="F2" s="2" t="s">
        <v>0</v>
      </c>
    </row>
    <row r="3" spans="1:9" ht="24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9" s="5" customFormat="1" ht="24" customHeight="1">
      <c r="A4" s="13">
        <v>101002</v>
      </c>
      <c r="B4" s="14" t="s">
        <v>114</v>
      </c>
      <c r="C4" s="15">
        <v>0</v>
      </c>
      <c r="D4" s="42">
        <v>0</v>
      </c>
      <c r="E4" s="15">
        <v>2614.6999999999998</v>
      </c>
      <c r="F4" s="15">
        <f>SUM(C4:E4)</f>
        <v>2614.6999999999998</v>
      </c>
    </row>
    <row r="5" spans="1:9" s="5" customFormat="1" ht="24" customHeight="1">
      <c r="A5" s="13">
        <v>102002</v>
      </c>
      <c r="B5" s="14" t="s">
        <v>115</v>
      </c>
      <c r="C5" s="15">
        <v>0</v>
      </c>
      <c r="D5" s="15">
        <v>3149</v>
      </c>
      <c r="E5" s="15">
        <v>4921.1000000000004</v>
      </c>
      <c r="F5" s="15">
        <f t="shared" ref="F5:F69" si="0">SUM(C5:E5)</f>
        <v>8070.1</v>
      </c>
    </row>
    <row r="6" spans="1:9" s="5" customFormat="1" ht="24" customHeight="1">
      <c r="A6" s="13">
        <v>103001</v>
      </c>
      <c r="B6" s="14" t="s">
        <v>7</v>
      </c>
      <c r="C6" s="15">
        <v>0</v>
      </c>
      <c r="D6" s="15">
        <v>2542</v>
      </c>
      <c r="E6" s="15">
        <v>34248</v>
      </c>
      <c r="F6" s="15">
        <f t="shared" si="0"/>
        <v>36790</v>
      </c>
    </row>
    <row r="7" spans="1:9" s="5" customFormat="1" ht="24" customHeight="1">
      <c r="A7" s="13">
        <v>103003</v>
      </c>
      <c r="B7" s="14" t="s">
        <v>8</v>
      </c>
      <c r="C7" s="15">
        <v>0</v>
      </c>
      <c r="D7" s="15">
        <v>0</v>
      </c>
      <c r="E7" s="15">
        <v>0</v>
      </c>
      <c r="F7" s="15">
        <f t="shared" si="0"/>
        <v>0</v>
      </c>
    </row>
    <row r="8" spans="1:9" s="5" customFormat="1" ht="24" customHeight="1">
      <c r="A8" s="13">
        <v>104001</v>
      </c>
      <c r="B8" s="14" t="s">
        <v>116</v>
      </c>
      <c r="C8" s="15">
        <v>37109</v>
      </c>
      <c r="D8" s="15">
        <v>369781</v>
      </c>
      <c r="E8" s="15">
        <v>73720.84</v>
      </c>
      <c r="F8" s="15">
        <f t="shared" si="0"/>
        <v>480610.83999999997</v>
      </c>
      <c r="I8" s="5" t="s">
        <v>168</v>
      </c>
    </row>
    <row r="9" spans="1:9" s="5" customFormat="1" ht="24" customHeight="1">
      <c r="A9" s="13">
        <v>104004</v>
      </c>
      <c r="B9" s="14" t="s">
        <v>9</v>
      </c>
      <c r="C9" s="15">
        <v>0</v>
      </c>
      <c r="D9" s="15">
        <v>450</v>
      </c>
      <c r="E9" s="15">
        <v>0</v>
      </c>
      <c r="F9" s="15">
        <f t="shared" si="0"/>
        <v>450</v>
      </c>
    </row>
    <row r="10" spans="1:9" s="5" customFormat="1" ht="24" customHeight="1">
      <c r="A10" s="13">
        <v>104005</v>
      </c>
      <c r="B10" s="14" t="s">
        <v>10</v>
      </c>
      <c r="C10" s="15">
        <v>0</v>
      </c>
      <c r="D10" s="15">
        <v>870</v>
      </c>
      <c r="E10" s="15">
        <v>14726</v>
      </c>
      <c r="F10" s="15">
        <f t="shared" si="0"/>
        <v>15596</v>
      </c>
    </row>
    <row r="11" spans="1:9" s="5" customFormat="1" ht="24" customHeight="1">
      <c r="A11" s="13">
        <v>104007</v>
      </c>
      <c r="B11" s="14" t="s">
        <v>117</v>
      </c>
      <c r="C11" s="15">
        <v>0</v>
      </c>
      <c r="D11" s="15">
        <v>0</v>
      </c>
      <c r="E11" s="15">
        <v>0</v>
      </c>
      <c r="F11" s="15">
        <f t="shared" si="0"/>
        <v>0</v>
      </c>
    </row>
    <row r="12" spans="1:9" s="5" customFormat="1" ht="24" customHeight="1">
      <c r="A12" s="13">
        <v>104008</v>
      </c>
      <c r="B12" s="14" t="s">
        <v>118</v>
      </c>
      <c r="C12" s="15">
        <v>0</v>
      </c>
      <c r="D12" s="15">
        <v>660</v>
      </c>
      <c r="E12" s="15">
        <v>868</v>
      </c>
      <c r="F12" s="15">
        <f t="shared" si="0"/>
        <v>1528</v>
      </c>
    </row>
    <row r="13" spans="1:9" s="5" customFormat="1" ht="24" customHeight="1">
      <c r="A13" s="13">
        <v>104009</v>
      </c>
      <c r="B13" s="14" t="s">
        <v>119</v>
      </c>
      <c r="C13" s="15">
        <v>0</v>
      </c>
      <c r="D13" s="43">
        <v>0</v>
      </c>
      <c r="E13" s="15">
        <v>0</v>
      </c>
      <c r="F13" s="15">
        <f t="shared" si="0"/>
        <v>0</v>
      </c>
    </row>
    <row r="14" spans="1:9" s="5" customFormat="1" ht="24" customHeight="1">
      <c r="A14" s="13">
        <v>104010</v>
      </c>
      <c r="B14" s="14" t="s">
        <v>11</v>
      </c>
      <c r="C14" s="15">
        <v>0</v>
      </c>
      <c r="D14" s="15">
        <v>1360</v>
      </c>
      <c r="E14" s="15">
        <v>0</v>
      </c>
      <c r="F14" s="15">
        <f t="shared" si="0"/>
        <v>1360</v>
      </c>
    </row>
    <row r="15" spans="1:9" s="5" customFormat="1" ht="24" customHeight="1">
      <c r="A15" s="13">
        <v>104011</v>
      </c>
      <c r="B15" s="14" t="s">
        <v>120</v>
      </c>
      <c r="C15" s="15">
        <v>0</v>
      </c>
      <c r="D15" s="15">
        <v>980</v>
      </c>
      <c r="E15" s="15">
        <v>3347.34</v>
      </c>
      <c r="F15" s="15">
        <f t="shared" si="0"/>
        <v>4327.34</v>
      </c>
    </row>
    <row r="16" spans="1:9" s="5" customFormat="1" ht="24" customHeight="1">
      <c r="A16" s="13">
        <v>104016</v>
      </c>
      <c r="B16" s="14" t="s">
        <v>12</v>
      </c>
      <c r="C16" s="15">
        <v>0</v>
      </c>
      <c r="D16" s="15">
        <v>0</v>
      </c>
      <c r="E16" s="15">
        <v>0</v>
      </c>
      <c r="F16" s="15">
        <f t="shared" si="0"/>
        <v>0</v>
      </c>
    </row>
    <row r="17" spans="1:6" s="5" customFormat="1" ht="24" customHeight="1">
      <c r="A17" s="13">
        <v>104018</v>
      </c>
      <c r="B17" s="14" t="s">
        <v>121</v>
      </c>
      <c r="C17" s="15">
        <v>0</v>
      </c>
      <c r="D17" s="15">
        <v>0</v>
      </c>
      <c r="E17" s="15">
        <v>0</v>
      </c>
      <c r="F17" s="15">
        <f t="shared" si="0"/>
        <v>0</v>
      </c>
    </row>
    <row r="18" spans="1:6" s="5" customFormat="1" ht="24" customHeight="1">
      <c r="A18" s="13">
        <v>104019</v>
      </c>
      <c r="B18" s="14" t="s">
        <v>122</v>
      </c>
      <c r="C18" s="15">
        <v>0</v>
      </c>
      <c r="D18" s="15">
        <v>0</v>
      </c>
      <c r="E18" s="15">
        <v>0</v>
      </c>
      <c r="F18" s="15">
        <f t="shared" si="0"/>
        <v>0</v>
      </c>
    </row>
    <row r="19" spans="1:6" s="5" customFormat="1" ht="24" customHeight="1">
      <c r="A19" s="13">
        <v>106001</v>
      </c>
      <c r="B19" s="14" t="s">
        <v>13</v>
      </c>
      <c r="C19" s="15">
        <v>12009</v>
      </c>
      <c r="D19" s="15">
        <v>0</v>
      </c>
      <c r="E19" s="15">
        <v>12507.3</v>
      </c>
      <c r="F19" s="15">
        <f t="shared" si="0"/>
        <v>24516.3</v>
      </c>
    </row>
    <row r="20" spans="1:6" s="5" customFormat="1" ht="24" customHeight="1">
      <c r="A20" s="13">
        <v>106003</v>
      </c>
      <c r="B20" s="14" t="s">
        <v>14</v>
      </c>
      <c r="C20" s="15">
        <v>12407</v>
      </c>
      <c r="D20" s="15">
        <v>1304</v>
      </c>
      <c r="E20" s="15">
        <v>0</v>
      </c>
      <c r="F20" s="15">
        <f t="shared" si="0"/>
        <v>13711</v>
      </c>
    </row>
    <row r="21" spans="1:6" s="5" customFormat="1" ht="24" customHeight="1">
      <c r="A21" s="13">
        <v>106004</v>
      </c>
      <c r="B21" s="14" t="s">
        <v>123</v>
      </c>
      <c r="C21" s="15"/>
      <c r="D21" s="15"/>
      <c r="E21" s="15"/>
      <c r="F21" s="15">
        <f t="shared" si="0"/>
        <v>0</v>
      </c>
    </row>
    <row r="22" spans="1:6" s="5" customFormat="1" ht="24" customHeight="1">
      <c r="A22" s="13">
        <v>109001</v>
      </c>
      <c r="B22" s="14" t="s">
        <v>15</v>
      </c>
      <c r="C22" s="15">
        <v>0</v>
      </c>
      <c r="D22" s="42">
        <f>1428+1740+1045+603+530+863+288+448+967+620+1023+1346+211+1553+174+400+630+596+303+1300+1081</f>
        <v>17149</v>
      </c>
      <c r="E22" s="15">
        <v>0</v>
      </c>
      <c r="F22" s="15">
        <f t="shared" si="0"/>
        <v>17149</v>
      </c>
    </row>
    <row r="23" spans="1:6" s="5" customFormat="1" ht="24" customHeight="1">
      <c r="A23" s="13">
        <v>109002</v>
      </c>
      <c r="B23" s="14" t="s">
        <v>124</v>
      </c>
      <c r="C23" s="15">
        <v>0</v>
      </c>
      <c r="D23" s="15">
        <v>0</v>
      </c>
      <c r="E23" s="15">
        <v>0</v>
      </c>
      <c r="F23" s="15">
        <f t="shared" si="0"/>
        <v>0</v>
      </c>
    </row>
    <row r="24" spans="1:6" s="5" customFormat="1" ht="24" customHeight="1">
      <c r="A24" s="13">
        <v>109003</v>
      </c>
      <c r="B24" s="14" t="s">
        <v>125</v>
      </c>
      <c r="C24" s="15">
        <v>0</v>
      </c>
      <c r="D24" s="15">
        <v>0</v>
      </c>
      <c r="E24" s="15">
        <v>0</v>
      </c>
      <c r="F24" s="15">
        <f t="shared" si="0"/>
        <v>0</v>
      </c>
    </row>
    <row r="25" spans="1:6" s="5" customFormat="1" ht="24" customHeight="1">
      <c r="A25" s="13">
        <v>109004</v>
      </c>
      <c r="B25" s="14" t="s">
        <v>126</v>
      </c>
      <c r="C25" s="15">
        <v>0</v>
      </c>
      <c r="D25" s="15">
        <v>0</v>
      </c>
      <c r="E25" s="15">
        <v>0</v>
      </c>
      <c r="F25" s="15">
        <f t="shared" si="0"/>
        <v>0</v>
      </c>
    </row>
    <row r="26" spans="1:6" s="5" customFormat="1" ht="24" customHeight="1">
      <c r="A26" s="13">
        <v>109005</v>
      </c>
      <c r="B26" s="14" t="s">
        <v>16</v>
      </c>
      <c r="C26" s="15">
        <v>0</v>
      </c>
      <c r="D26" s="15">
        <v>0</v>
      </c>
      <c r="E26" s="15">
        <v>0</v>
      </c>
      <c r="F26" s="15">
        <f t="shared" si="0"/>
        <v>0</v>
      </c>
    </row>
    <row r="27" spans="1:6" s="5" customFormat="1" ht="24" customHeight="1">
      <c r="A27" s="13">
        <v>105001</v>
      </c>
      <c r="B27" s="14" t="s">
        <v>134</v>
      </c>
      <c r="C27" s="15">
        <v>44306</v>
      </c>
      <c r="D27" s="15">
        <v>43604</v>
      </c>
      <c r="E27" s="15">
        <v>15169.97</v>
      </c>
      <c r="F27" s="15">
        <f t="shared" si="0"/>
        <v>103079.97</v>
      </c>
    </row>
    <row r="28" spans="1:6" s="5" customFormat="1" ht="24" customHeight="1">
      <c r="A28" s="13">
        <v>105004</v>
      </c>
      <c r="B28" s="14" t="s">
        <v>135</v>
      </c>
      <c r="C28" s="15">
        <v>0</v>
      </c>
      <c r="D28" s="15">
        <v>500</v>
      </c>
      <c r="E28" s="15">
        <v>0</v>
      </c>
      <c r="F28" s="15">
        <f t="shared" si="0"/>
        <v>500</v>
      </c>
    </row>
    <row r="29" spans="1:6" s="5" customFormat="1" ht="24" customHeight="1">
      <c r="A29" s="13">
        <v>105007</v>
      </c>
      <c r="B29" s="14" t="s">
        <v>136</v>
      </c>
      <c r="C29" s="15">
        <v>0</v>
      </c>
      <c r="D29" s="15">
        <v>0</v>
      </c>
      <c r="E29" s="15">
        <v>0</v>
      </c>
      <c r="F29" s="15">
        <f t="shared" si="0"/>
        <v>0</v>
      </c>
    </row>
    <row r="30" spans="1:6" s="5" customFormat="1" ht="24" customHeight="1">
      <c r="A30" s="13">
        <v>105008</v>
      </c>
      <c r="B30" s="14" t="s">
        <v>137</v>
      </c>
      <c r="C30" s="15">
        <v>0</v>
      </c>
      <c r="D30" s="15">
        <v>4184</v>
      </c>
      <c r="E30" s="15">
        <v>0</v>
      </c>
      <c r="F30" s="15">
        <f t="shared" si="0"/>
        <v>4184</v>
      </c>
    </row>
    <row r="31" spans="1:6" s="5" customFormat="1" ht="24" customHeight="1">
      <c r="A31" s="13">
        <v>105011</v>
      </c>
      <c r="B31" s="14" t="s">
        <v>138</v>
      </c>
      <c r="C31" s="15">
        <v>0</v>
      </c>
      <c r="D31" s="42">
        <v>0</v>
      </c>
      <c r="E31" s="15">
        <v>0</v>
      </c>
      <c r="F31" s="15">
        <f t="shared" si="0"/>
        <v>0</v>
      </c>
    </row>
    <row r="32" spans="1:6" s="5" customFormat="1" ht="24" customHeight="1">
      <c r="A32" s="13">
        <v>105013</v>
      </c>
      <c r="B32" s="14" t="s">
        <v>139</v>
      </c>
      <c r="C32" s="15">
        <v>0</v>
      </c>
      <c r="D32" s="15">
        <v>0</v>
      </c>
      <c r="E32" s="15">
        <v>0</v>
      </c>
      <c r="F32" s="15">
        <f t="shared" si="0"/>
        <v>0</v>
      </c>
    </row>
    <row r="33" spans="1:6" s="5" customFormat="1" ht="24" customHeight="1">
      <c r="A33" s="13">
        <v>105014</v>
      </c>
      <c r="B33" s="14" t="s">
        <v>140</v>
      </c>
      <c r="C33" s="15">
        <v>0</v>
      </c>
      <c r="D33" s="15">
        <v>0</v>
      </c>
      <c r="E33" s="15">
        <v>0</v>
      </c>
      <c r="F33" s="15">
        <f t="shared" si="0"/>
        <v>0</v>
      </c>
    </row>
    <row r="34" spans="1:6" s="5" customFormat="1" ht="24" customHeight="1">
      <c r="A34" s="13">
        <v>105018</v>
      </c>
      <c r="B34" s="14" t="s">
        <v>141</v>
      </c>
      <c r="C34" s="15">
        <v>0</v>
      </c>
      <c r="D34" s="15">
        <v>0</v>
      </c>
      <c r="E34" s="15">
        <v>0</v>
      </c>
      <c r="F34" s="15">
        <f t="shared" si="0"/>
        <v>0</v>
      </c>
    </row>
    <row r="35" spans="1:6" s="5" customFormat="1" ht="24" customHeight="1">
      <c r="A35" s="13">
        <v>105019</v>
      </c>
      <c r="B35" s="14" t="s">
        <v>142</v>
      </c>
      <c r="C35" s="15">
        <v>0</v>
      </c>
      <c r="D35" s="15">
        <v>0</v>
      </c>
      <c r="E35" s="15">
        <v>0</v>
      </c>
      <c r="F35" s="15">
        <f t="shared" si="0"/>
        <v>0</v>
      </c>
    </row>
    <row r="36" spans="1:6" s="5" customFormat="1" ht="24" customHeight="1">
      <c r="A36" s="13">
        <v>105020</v>
      </c>
      <c r="B36" s="14" t="s">
        <v>143</v>
      </c>
      <c r="C36" s="15">
        <v>111330</v>
      </c>
      <c r="D36" s="15">
        <v>2213</v>
      </c>
      <c r="E36" s="15">
        <v>0</v>
      </c>
      <c r="F36" s="15">
        <f t="shared" si="0"/>
        <v>113543</v>
      </c>
    </row>
    <row r="37" spans="1:6" s="5" customFormat="1" ht="24" customHeight="1">
      <c r="A37" s="13">
        <v>105022</v>
      </c>
      <c r="B37" s="14" t="s">
        <v>144</v>
      </c>
      <c r="C37" s="15">
        <v>0</v>
      </c>
      <c r="D37" s="15">
        <v>0</v>
      </c>
      <c r="E37" s="15">
        <v>0</v>
      </c>
      <c r="F37" s="15">
        <f t="shared" si="0"/>
        <v>0</v>
      </c>
    </row>
    <row r="38" spans="1:6" s="5" customFormat="1" ht="24" customHeight="1">
      <c r="A38" s="13">
        <v>105024</v>
      </c>
      <c r="B38" s="14" t="s">
        <v>145</v>
      </c>
      <c r="C38" s="15">
        <v>0</v>
      </c>
      <c r="D38" s="15">
        <v>0</v>
      </c>
      <c r="E38" s="15">
        <v>0</v>
      </c>
      <c r="F38" s="15">
        <f t="shared" si="0"/>
        <v>0</v>
      </c>
    </row>
    <row r="39" spans="1:6" s="5" customFormat="1" ht="24" customHeight="1">
      <c r="A39" s="13">
        <v>105027</v>
      </c>
      <c r="B39" s="14" t="s">
        <v>146</v>
      </c>
      <c r="C39" s="15">
        <v>0</v>
      </c>
      <c r="D39" s="15">
        <v>0</v>
      </c>
      <c r="E39" s="15">
        <v>0</v>
      </c>
      <c r="F39" s="15">
        <f t="shared" si="0"/>
        <v>0</v>
      </c>
    </row>
    <row r="40" spans="1:6" s="5" customFormat="1" ht="24" customHeight="1">
      <c r="A40" s="13">
        <v>105030</v>
      </c>
      <c r="B40" s="14" t="s">
        <v>147</v>
      </c>
      <c r="C40" s="15">
        <v>0</v>
      </c>
      <c r="D40" s="42">
        <v>0</v>
      </c>
      <c r="E40" s="15">
        <v>0</v>
      </c>
      <c r="F40" s="15">
        <f t="shared" si="0"/>
        <v>0</v>
      </c>
    </row>
    <row r="41" spans="1:6" s="5" customFormat="1" ht="24" customHeight="1">
      <c r="A41" s="13">
        <v>105031</v>
      </c>
      <c r="B41" s="14" t="s">
        <v>148</v>
      </c>
      <c r="C41" s="15">
        <v>0</v>
      </c>
      <c r="D41" s="15">
        <v>0</v>
      </c>
      <c r="E41" s="15">
        <v>0</v>
      </c>
      <c r="F41" s="15">
        <f t="shared" si="0"/>
        <v>0</v>
      </c>
    </row>
    <row r="42" spans="1:6" s="5" customFormat="1" ht="24" customHeight="1">
      <c r="A42" s="19">
        <v>108001</v>
      </c>
      <c r="B42" s="14" t="s">
        <v>149</v>
      </c>
      <c r="C42" s="15">
        <v>0</v>
      </c>
      <c r="D42" s="15">
        <v>0</v>
      </c>
      <c r="E42" s="15">
        <v>144292</v>
      </c>
      <c r="F42" s="15">
        <f t="shared" si="0"/>
        <v>144292</v>
      </c>
    </row>
    <row r="43" spans="1:6" s="5" customFormat="1" ht="24" customHeight="1">
      <c r="A43" s="13">
        <v>108002</v>
      </c>
      <c r="B43" s="14" t="s">
        <v>17</v>
      </c>
      <c r="C43" s="15">
        <v>0</v>
      </c>
      <c r="D43" s="15">
        <v>0</v>
      </c>
      <c r="E43" s="15">
        <f>1420+4046.88</f>
        <v>5466.88</v>
      </c>
      <c r="F43" s="15">
        <f t="shared" si="0"/>
        <v>5466.88</v>
      </c>
    </row>
    <row r="44" spans="1:6" s="5" customFormat="1" ht="24" customHeight="1">
      <c r="A44" s="13">
        <v>108004</v>
      </c>
      <c r="B44" s="14" t="s">
        <v>18</v>
      </c>
      <c r="C44" s="15">
        <v>0</v>
      </c>
      <c r="D44" s="15">
        <v>293</v>
      </c>
      <c r="E44" s="15">
        <v>0</v>
      </c>
      <c r="F44" s="15">
        <f t="shared" si="0"/>
        <v>293</v>
      </c>
    </row>
    <row r="45" spans="1:6" s="5" customFormat="1" ht="24" customHeight="1">
      <c r="A45" s="13">
        <v>108006</v>
      </c>
      <c r="B45" s="14" t="s">
        <v>150</v>
      </c>
      <c r="C45" s="15">
        <v>0</v>
      </c>
      <c r="D45" s="15">
        <f>885+964</f>
        <v>1849</v>
      </c>
      <c r="E45" s="15">
        <v>0</v>
      </c>
      <c r="F45" s="15">
        <f t="shared" si="0"/>
        <v>1849</v>
      </c>
    </row>
    <row r="46" spans="1:6" s="5" customFormat="1" ht="24" customHeight="1">
      <c r="A46" s="19">
        <v>108007</v>
      </c>
      <c r="B46" s="14" t="s">
        <v>151</v>
      </c>
      <c r="C46" s="15">
        <v>0</v>
      </c>
      <c r="D46" s="15">
        <v>0</v>
      </c>
      <c r="E46" s="15">
        <v>0</v>
      </c>
      <c r="F46" s="15">
        <f t="shared" si="0"/>
        <v>0</v>
      </c>
    </row>
    <row r="47" spans="1:6" s="5" customFormat="1" ht="24" customHeight="1">
      <c r="A47" s="13">
        <v>108008</v>
      </c>
      <c r="B47" s="14" t="s">
        <v>19</v>
      </c>
      <c r="C47" s="15">
        <v>0</v>
      </c>
      <c r="D47" s="15">
        <f>2309+469</f>
        <v>2778</v>
      </c>
      <c r="E47" s="15">
        <v>0</v>
      </c>
      <c r="F47" s="15">
        <f t="shared" si="0"/>
        <v>2778</v>
      </c>
    </row>
    <row r="48" spans="1:6" s="5" customFormat="1" ht="24" customHeight="1">
      <c r="A48" s="19">
        <v>108009</v>
      </c>
      <c r="B48" s="14" t="s">
        <v>152</v>
      </c>
      <c r="C48" s="15">
        <v>0</v>
      </c>
      <c r="D48" s="15">
        <v>0</v>
      </c>
      <c r="E48" s="15">
        <v>0</v>
      </c>
      <c r="F48" s="15">
        <f t="shared" si="0"/>
        <v>0</v>
      </c>
    </row>
    <row r="49" spans="1:6" s="5" customFormat="1" ht="24" customHeight="1">
      <c r="A49" s="19">
        <v>108010</v>
      </c>
      <c r="B49" s="14" t="s">
        <v>153</v>
      </c>
      <c r="C49" s="15">
        <v>0</v>
      </c>
      <c r="D49" s="42">
        <v>0</v>
      </c>
      <c r="E49" s="15">
        <v>0</v>
      </c>
      <c r="F49" s="15">
        <f t="shared" si="0"/>
        <v>0</v>
      </c>
    </row>
    <row r="50" spans="1:6" s="5" customFormat="1" ht="24" customHeight="1">
      <c r="A50" s="8">
        <v>104012</v>
      </c>
      <c r="B50" s="9" t="s">
        <v>96</v>
      </c>
      <c r="C50" s="15">
        <v>0</v>
      </c>
      <c r="D50" s="15">
        <v>0</v>
      </c>
      <c r="E50" s="15">
        <v>0</v>
      </c>
      <c r="F50" s="15">
        <f t="shared" si="0"/>
        <v>0</v>
      </c>
    </row>
    <row r="51" spans="1:6" s="5" customFormat="1" ht="24" customHeight="1">
      <c r="A51" s="20">
        <v>201001</v>
      </c>
      <c r="B51" s="14" t="s">
        <v>154</v>
      </c>
      <c r="C51" s="15">
        <v>30000</v>
      </c>
      <c r="D51" s="15">
        <v>93065</v>
      </c>
      <c r="E51" s="15">
        <v>1035827.34</v>
      </c>
      <c r="F51" s="15">
        <f t="shared" si="0"/>
        <v>1158892.3399999999</v>
      </c>
    </row>
    <row r="52" spans="1:6" s="5" customFormat="1" ht="24" customHeight="1">
      <c r="A52" s="13">
        <v>201002</v>
      </c>
      <c r="B52" s="14" t="s">
        <v>155</v>
      </c>
      <c r="C52" s="15">
        <v>0</v>
      </c>
      <c r="D52" s="15">
        <v>0</v>
      </c>
      <c r="E52" s="15">
        <v>12312.19</v>
      </c>
      <c r="F52" s="15">
        <f t="shared" si="0"/>
        <v>12312.19</v>
      </c>
    </row>
    <row r="53" spans="1:6" s="5" customFormat="1" ht="24" customHeight="1">
      <c r="A53" s="13">
        <v>201003</v>
      </c>
      <c r="B53" s="14" t="s">
        <v>156</v>
      </c>
      <c r="C53" s="15">
        <v>0</v>
      </c>
      <c r="D53" s="15">
        <v>0</v>
      </c>
      <c r="E53" s="15">
        <v>0</v>
      </c>
      <c r="F53" s="15">
        <f t="shared" si="0"/>
        <v>0</v>
      </c>
    </row>
    <row r="54" spans="1:6" s="5" customFormat="1" ht="24" customHeight="1">
      <c r="A54" s="13">
        <v>205001</v>
      </c>
      <c r="B54" s="14" t="s">
        <v>20</v>
      </c>
      <c r="C54" s="15">
        <v>0</v>
      </c>
      <c r="D54" s="15">
        <v>2350</v>
      </c>
      <c r="E54" s="15">
        <v>0</v>
      </c>
      <c r="F54" s="15">
        <f t="shared" si="0"/>
        <v>2350</v>
      </c>
    </row>
    <row r="55" spans="1:6" s="6" customFormat="1" ht="24" customHeight="1">
      <c r="A55" s="13">
        <v>206001</v>
      </c>
      <c r="B55" s="14" t="s">
        <v>21</v>
      </c>
      <c r="C55" s="15">
        <v>0</v>
      </c>
      <c r="D55" s="15">
        <v>0</v>
      </c>
      <c r="E55" s="15">
        <v>766</v>
      </c>
      <c r="F55" s="15">
        <f>SUM(C55:E55)</f>
        <v>766</v>
      </c>
    </row>
    <row r="56" spans="1:6" s="5" customFormat="1" ht="24" customHeight="1">
      <c r="A56" s="13">
        <v>301001</v>
      </c>
      <c r="B56" s="17" t="s">
        <v>38</v>
      </c>
      <c r="C56" s="15">
        <v>39284</v>
      </c>
      <c r="D56" s="15">
        <v>12895</v>
      </c>
      <c r="E56" s="15">
        <v>34393.980000000003</v>
      </c>
      <c r="F56" s="15">
        <f t="shared" si="0"/>
        <v>86572.98000000001</v>
      </c>
    </row>
    <row r="57" spans="1:6" s="5" customFormat="1" ht="24" customHeight="1">
      <c r="A57" s="21">
        <v>301002</v>
      </c>
      <c r="B57" s="14" t="s">
        <v>39</v>
      </c>
      <c r="C57" s="15">
        <v>0</v>
      </c>
      <c r="D57" s="15">
        <v>0</v>
      </c>
      <c r="E57" s="15">
        <v>0</v>
      </c>
      <c r="F57" s="15">
        <f t="shared" si="0"/>
        <v>0</v>
      </c>
    </row>
    <row r="58" spans="1:6" s="5" customFormat="1" ht="24" customHeight="1">
      <c r="A58" s="21">
        <v>301003</v>
      </c>
      <c r="B58" s="14" t="s">
        <v>40</v>
      </c>
      <c r="C58" s="15">
        <v>0</v>
      </c>
      <c r="D58" s="42">
        <v>890</v>
      </c>
      <c r="E58" s="15">
        <v>0</v>
      </c>
      <c r="F58" s="15">
        <f t="shared" si="0"/>
        <v>890</v>
      </c>
    </row>
    <row r="59" spans="1:6" s="5" customFormat="1" ht="24" customHeight="1">
      <c r="A59" s="21">
        <v>301004</v>
      </c>
      <c r="B59" s="14" t="s">
        <v>41</v>
      </c>
      <c r="C59" s="15">
        <v>0</v>
      </c>
      <c r="D59" s="15">
        <v>0</v>
      </c>
      <c r="E59" s="15">
        <v>0</v>
      </c>
      <c r="F59" s="15">
        <f t="shared" si="0"/>
        <v>0</v>
      </c>
    </row>
    <row r="60" spans="1:6" s="5" customFormat="1" ht="24" customHeight="1">
      <c r="A60" s="13">
        <v>301021</v>
      </c>
      <c r="B60" s="14" t="s">
        <v>42</v>
      </c>
      <c r="C60" s="15">
        <v>0</v>
      </c>
      <c r="D60" s="15">
        <v>0</v>
      </c>
      <c r="E60" s="15">
        <v>0</v>
      </c>
      <c r="F60" s="15">
        <f t="shared" si="0"/>
        <v>0</v>
      </c>
    </row>
    <row r="61" spans="1:6" s="5" customFormat="1" ht="24" customHeight="1">
      <c r="A61" s="13">
        <v>301036</v>
      </c>
      <c r="B61" s="14" t="s">
        <v>43</v>
      </c>
      <c r="C61" s="15">
        <v>0</v>
      </c>
      <c r="D61" s="15">
        <v>0</v>
      </c>
      <c r="E61" s="15">
        <v>0</v>
      </c>
      <c r="F61" s="15">
        <f t="shared" si="0"/>
        <v>0</v>
      </c>
    </row>
    <row r="62" spans="1:6" s="5" customFormat="1" ht="24" customHeight="1">
      <c r="A62" s="22">
        <v>302001</v>
      </c>
      <c r="B62" s="23" t="s">
        <v>44</v>
      </c>
      <c r="C62" s="15">
        <v>11840</v>
      </c>
      <c r="D62" s="15">
        <v>42129</v>
      </c>
      <c r="E62" s="15">
        <v>13104.32</v>
      </c>
      <c r="F62" s="15">
        <f t="shared" si="0"/>
        <v>67073.320000000007</v>
      </c>
    </row>
    <row r="63" spans="1:6" s="5" customFormat="1" ht="24" customHeight="1">
      <c r="A63" s="13">
        <v>306001</v>
      </c>
      <c r="B63" s="17" t="s">
        <v>23</v>
      </c>
      <c r="C63" s="15">
        <v>0</v>
      </c>
      <c r="D63" s="15">
        <v>17030</v>
      </c>
      <c r="E63" s="15">
        <v>24527.119999999999</v>
      </c>
      <c r="F63" s="15">
        <f t="shared" si="0"/>
        <v>41557.119999999995</v>
      </c>
    </row>
    <row r="64" spans="1:6" s="5" customFormat="1" ht="24" customHeight="1">
      <c r="A64" s="13">
        <v>306002</v>
      </c>
      <c r="B64" s="17" t="s">
        <v>24</v>
      </c>
      <c r="C64" s="15">
        <v>0</v>
      </c>
      <c r="D64" s="15">
        <v>0</v>
      </c>
      <c r="E64" s="15">
        <v>1260</v>
      </c>
      <c r="F64" s="15">
        <f t="shared" si="0"/>
        <v>1260</v>
      </c>
    </row>
    <row r="65" spans="1:6" s="6" customFormat="1" ht="24" customHeight="1">
      <c r="A65" s="13">
        <v>306003</v>
      </c>
      <c r="B65" s="17" t="s">
        <v>25</v>
      </c>
      <c r="C65" s="15">
        <v>0</v>
      </c>
      <c r="D65" s="15">
        <v>0</v>
      </c>
      <c r="E65" s="15">
        <v>0</v>
      </c>
      <c r="F65" s="15">
        <f t="shared" si="0"/>
        <v>0</v>
      </c>
    </row>
    <row r="66" spans="1:6" s="6" customFormat="1" ht="24" customHeight="1">
      <c r="A66" s="13">
        <v>306004</v>
      </c>
      <c r="B66" s="17" t="s">
        <v>26</v>
      </c>
      <c r="C66" s="15">
        <v>0</v>
      </c>
      <c r="D66" s="15">
        <v>3299</v>
      </c>
      <c r="E66" s="15">
        <v>2000</v>
      </c>
      <c r="F66" s="15">
        <f t="shared" si="0"/>
        <v>5299</v>
      </c>
    </row>
    <row r="67" spans="1:6" s="6" customFormat="1" ht="24" customHeight="1">
      <c r="A67" s="13">
        <v>306005</v>
      </c>
      <c r="B67" s="17" t="s">
        <v>27</v>
      </c>
      <c r="C67" s="15">
        <v>0</v>
      </c>
      <c r="D67" s="42">
        <v>0</v>
      </c>
      <c r="E67" s="15">
        <v>16620.900000000001</v>
      </c>
      <c r="F67" s="15">
        <f t="shared" si="0"/>
        <v>16620.900000000001</v>
      </c>
    </row>
    <row r="68" spans="1:6" s="6" customFormat="1" ht="24" customHeight="1">
      <c r="A68" s="13">
        <v>306006</v>
      </c>
      <c r="B68" s="17" t="s">
        <v>28</v>
      </c>
      <c r="C68" s="15">
        <v>0</v>
      </c>
      <c r="D68" s="15">
        <v>4645</v>
      </c>
      <c r="E68" s="15">
        <v>0</v>
      </c>
      <c r="F68" s="15">
        <f t="shared" si="0"/>
        <v>4645</v>
      </c>
    </row>
    <row r="69" spans="1:6" s="6" customFormat="1" ht="24" customHeight="1">
      <c r="A69" s="13">
        <v>306007</v>
      </c>
      <c r="B69" s="17" t="s">
        <v>29</v>
      </c>
      <c r="C69" s="15">
        <v>0</v>
      </c>
      <c r="D69" s="15">
        <v>0</v>
      </c>
      <c r="E69" s="15">
        <v>0</v>
      </c>
      <c r="F69" s="15">
        <f t="shared" si="0"/>
        <v>0</v>
      </c>
    </row>
    <row r="70" spans="1:6" s="6" customFormat="1" ht="24" customHeight="1">
      <c r="A70" s="13">
        <v>306008</v>
      </c>
      <c r="B70" s="17" t="s">
        <v>30</v>
      </c>
      <c r="C70" s="15">
        <v>0</v>
      </c>
      <c r="D70" s="15">
        <v>0</v>
      </c>
      <c r="E70" s="15">
        <v>0</v>
      </c>
      <c r="F70" s="15">
        <f t="shared" ref="F70:F132" si="1">SUM(C70:E70)</f>
        <v>0</v>
      </c>
    </row>
    <row r="71" spans="1:6" s="6" customFormat="1" ht="24" customHeight="1">
      <c r="A71" s="13">
        <v>306010</v>
      </c>
      <c r="B71" s="17" t="s">
        <v>31</v>
      </c>
      <c r="C71" s="15">
        <v>0</v>
      </c>
      <c r="D71" s="15">
        <v>0</v>
      </c>
      <c r="E71" s="15">
        <v>0</v>
      </c>
      <c r="F71" s="15">
        <f t="shared" si="1"/>
        <v>0</v>
      </c>
    </row>
    <row r="72" spans="1:6" s="6" customFormat="1" ht="24" customHeight="1">
      <c r="A72" s="13">
        <v>306011</v>
      </c>
      <c r="B72" s="17" t="s">
        <v>32</v>
      </c>
      <c r="C72" s="15">
        <v>0</v>
      </c>
      <c r="D72" s="15">
        <v>4375</v>
      </c>
      <c r="E72" s="15">
        <v>25761.200000000001</v>
      </c>
      <c r="F72" s="15">
        <f t="shared" si="1"/>
        <v>30136.2</v>
      </c>
    </row>
    <row r="73" spans="1:6" s="6" customFormat="1" ht="24" customHeight="1">
      <c r="A73" s="13">
        <v>306012</v>
      </c>
      <c r="B73" s="17" t="s">
        <v>33</v>
      </c>
      <c r="C73" s="15">
        <v>0</v>
      </c>
      <c r="D73" s="15">
        <v>0</v>
      </c>
      <c r="E73" s="15">
        <v>12143</v>
      </c>
      <c r="F73" s="15">
        <f t="shared" si="1"/>
        <v>12143</v>
      </c>
    </row>
    <row r="74" spans="1:6" s="6" customFormat="1" ht="24" customHeight="1">
      <c r="A74" s="13">
        <v>306014</v>
      </c>
      <c r="B74" s="17" t="s">
        <v>34</v>
      </c>
      <c r="C74" s="15">
        <v>0</v>
      </c>
      <c r="D74" s="15">
        <v>1200</v>
      </c>
      <c r="E74" s="15">
        <v>0</v>
      </c>
      <c r="F74" s="15">
        <f t="shared" si="1"/>
        <v>1200</v>
      </c>
    </row>
    <row r="75" spans="1:6" s="6" customFormat="1" ht="24" customHeight="1">
      <c r="A75" s="13">
        <v>306015</v>
      </c>
      <c r="B75" s="17" t="s">
        <v>35</v>
      </c>
      <c r="C75" s="15">
        <v>0</v>
      </c>
      <c r="D75" s="15">
        <v>900</v>
      </c>
      <c r="E75" s="15">
        <v>0</v>
      </c>
      <c r="F75" s="15">
        <f t="shared" si="1"/>
        <v>900</v>
      </c>
    </row>
    <row r="76" spans="1:6" s="6" customFormat="1" ht="24" customHeight="1">
      <c r="A76" s="13">
        <v>306017</v>
      </c>
      <c r="B76" s="17" t="s">
        <v>36</v>
      </c>
      <c r="C76" s="15">
        <v>0</v>
      </c>
      <c r="D76" s="42">
        <v>0</v>
      </c>
      <c r="E76" s="15">
        <v>0</v>
      </c>
      <c r="F76" s="15">
        <f t="shared" si="1"/>
        <v>0</v>
      </c>
    </row>
    <row r="77" spans="1:6" s="6" customFormat="1" ht="24" customHeight="1">
      <c r="A77" s="13">
        <v>306018</v>
      </c>
      <c r="B77" s="17" t="s">
        <v>37</v>
      </c>
      <c r="C77" s="15">
        <v>0</v>
      </c>
      <c r="D77" s="15">
        <v>3552</v>
      </c>
      <c r="E77" s="15">
        <v>17346.189999999999</v>
      </c>
      <c r="F77" s="15">
        <f t="shared" si="1"/>
        <v>20898.189999999999</v>
      </c>
    </row>
    <row r="78" spans="1:6" s="6" customFormat="1" ht="24" customHeight="1">
      <c r="A78" s="13">
        <v>307001</v>
      </c>
      <c r="B78" s="24" t="s">
        <v>165</v>
      </c>
      <c r="C78" s="15">
        <v>0</v>
      </c>
      <c r="D78" s="15">
        <v>0</v>
      </c>
      <c r="E78" s="15">
        <v>0</v>
      </c>
      <c r="F78" s="15">
        <f t="shared" si="1"/>
        <v>0</v>
      </c>
    </row>
    <row r="79" spans="1:6" s="6" customFormat="1" ht="24" customHeight="1">
      <c r="A79" s="13">
        <v>307002</v>
      </c>
      <c r="B79" s="17" t="s">
        <v>166</v>
      </c>
      <c r="C79" s="15">
        <v>0</v>
      </c>
      <c r="D79" s="15">
        <v>0</v>
      </c>
      <c r="E79" s="15">
        <v>0</v>
      </c>
      <c r="F79" s="15">
        <f t="shared" si="1"/>
        <v>0</v>
      </c>
    </row>
    <row r="80" spans="1:6" s="6" customFormat="1" ht="24" customHeight="1">
      <c r="A80" s="22">
        <v>308001</v>
      </c>
      <c r="B80" s="25" t="s">
        <v>45</v>
      </c>
      <c r="C80" s="15">
        <v>0</v>
      </c>
      <c r="D80" s="15">
        <v>9706</v>
      </c>
      <c r="E80" s="15">
        <v>0</v>
      </c>
      <c r="F80" s="15">
        <f t="shared" si="1"/>
        <v>9706</v>
      </c>
    </row>
    <row r="81" spans="1:6" s="6" customFormat="1" ht="24" customHeight="1">
      <c r="A81" s="22">
        <v>308002</v>
      </c>
      <c r="B81" s="25" t="s">
        <v>46</v>
      </c>
      <c r="C81" s="15">
        <v>0</v>
      </c>
      <c r="D81" s="15">
        <v>0</v>
      </c>
      <c r="E81" s="15">
        <v>0</v>
      </c>
      <c r="F81" s="15">
        <f t="shared" si="1"/>
        <v>0</v>
      </c>
    </row>
    <row r="82" spans="1:6" s="6" customFormat="1" ht="24" customHeight="1">
      <c r="A82" s="22">
        <v>305001</v>
      </c>
      <c r="B82" s="25" t="s">
        <v>47</v>
      </c>
      <c r="C82" s="15">
        <v>0</v>
      </c>
      <c r="D82" s="15">
        <v>0</v>
      </c>
      <c r="E82" s="15">
        <v>0</v>
      </c>
      <c r="F82" s="15">
        <f t="shared" si="1"/>
        <v>0</v>
      </c>
    </row>
    <row r="83" spans="1:6" s="6" customFormat="1" ht="24" customHeight="1">
      <c r="A83" s="13">
        <v>303001</v>
      </c>
      <c r="B83" s="14" t="s">
        <v>127</v>
      </c>
      <c r="C83" s="15">
        <v>1446.36</v>
      </c>
      <c r="D83" s="15">
        <v>3650</v>
      </c>
      <c r="E83" s="15">
        <v>10125.16</v>
      </c>
      <c r="F83" s="15">
        <f t="shared" si="1"/>
        <v>15221.52</v>
      </c>
    </row>
    <row r="84" spans="1:6" s="6" customFormat="1" ht="24" customHeight="1">
      <c r="A84" s="13">
        <v>303005</v>
      </c>
      <c r="B84" s="14" t="s">
        <v>128</v>
      </c>
      <c r="C84" s="15">
        <v>0</v>
      </c>
      <c r="D84" s="15">
        <v>0</v>
      </c>
      <c r="E84" s="15">
        <v>4475.99</v>
      </c>
      <c r="F84" s="15">
        <f t="shared" si="1"/>
        <v>4475.99</v>
      </c>
    </row>
    <row r="85" spans="1:6" s="6" customFormat="1" ht="24" customHeight="1">
      <c r="A85" s="18">
        <v>303009</v>
      </c>
      <c r="B85" s="14" t="s">
        <v>22</v>
      </c>
      <c r="C85" s="15">
        <v>0</v>
      </c>
      <c r="D85" s="42">
        <v>0</v>
      </c>
      <c r="E85" s="15">
        <v>4750</v>
      </c>
      <c r="F85" s="15">
        <f t="shared" si="1"/>
        <v>4750</v>
      </c>
    </row>
    <row r="86" spans="1:6" s="5" customFormat="1" ht="24" customHeight="1">
      <c r="A86" s="13">
        <v>303008</v>
      </c>
      <c r="B86" s="14" t="s">
        <v>129</v>
      </c>
      <c r="C86" s="15">
        <v>0</v>
      </c>
      <c r="D86" s="15">
        <v>1360</v>
      </c>
      <c r="E86" s="15">
        <v>0</v>
      </c>
      <c r="F86" s="15">
        <f t="shared" si="1"/>
        <v>1360</v>
      </c>
    </row>
    <row r="87" spans="1:6" s="5" customFormat="1" ht="24" customHeight="1">
      <c r="A87" s="13">
        <v>304001</v>
      </c>
      <c r="B87" s="14" t="s">
        <v>130</v>
      </c>
      <c r="C87" s="15">
        <v>0</v>
      </c>
      <c r="D87" s="15">
        <f>800+1095</f>
        <v>1895</v>
      </c>
      <c r="E87" s="15">
        <v>0</v>
      </c>
      <c r="F87" s="15">
        <f t="shared" si="1"/>
        <v>1895</v>
      </c>
    </row>
    <row r="88" spans="1:6" s="5" customFormat="1" ht="24" customHeight="1">
      <c r="A88" s="13">
        <v>304002</v>
      </c>
      <c r="B88" s="14" t="s">
        <v>131</v>
      </c>
      <c r="C88" s="15">
        <v>0</v>
      </c>
      <c r="D88" s="15">
        <v>0</v>
      </c>
      <c r="E88" s="15">
        <v>0</v>
      </c>
      <c r="F88" s="15">
        <f t="shared" si="1"/>
        <v>0</v>
      </c>
    </row>
    <row r="89" spans="1:6" s="5" customFormat="1" ht="24" customHeight="1">
      <c r="A89" s="13">
        <v>304003</v>
      </c>
      <c r="B89" s="14" t="s">
        <v>132</v>
      </c>
      <c r="C89" s="15">
        <v>0</v>
      </c>
      <c r="D89" s="15">
        <v>0</v>
      </c>
      <c r="E89" s="15">
        <f>5125+5252</f>
        <v>10377</v>
      </c>
      <c r="F89" s="15">
        <f t="shared" si="1"/>
        <v>10377</v>
      </c>
    </row>
    <row r="90" spans="1:6" s="5" customFormat="1" ht="24" customHeight="1">
      <c r="A90" s="13">
        <v>304004</v>
      </c>
      <c r="B90" s="16" t="s">
        <v>133</v>
      </c>
      <c r="C90" s="15">
        <v>0</v>
      </c>
      <c r="D90" s="15">
        <v>1043</v>
      </c>
      <c r="E90" s="15">
        <v>0</v>
      </c>
      <c r="F90" s="15">
        <f t="shared" si="1"/>
        <v>1043</v>
      </c>
    </row>
    <row r="91" spans="1:6" s="5" customFormat="1" ht="24" customHeight="1">
      <c r="A91" s="31">
        <v>401001</v>
      </c>
      <c r="B91" s="35" t="s">
        <v>169</v>
      </c>
      <c r="C91" s="15">
        <v>33000</v>
      </c>
      <c r="D91" s="15">
        <v>0</v>
      </c>
      <c r="E91" s="15">
        <v>3547</v>
      </c>
      <c r="F91" s="15">
        <f t="shared" si="1"/>
        <v>36547</v>
      </c>
    </row>
    <row r="92" spans="1:6" s="5" customFormat="1" ht="24" customHeight="1">
      <c r="A92" s="32">
        <v>401002</v>
      </c>
      <c r="B92" s="36" t="s">
        <v>170</v>
      </c>
      <c r="C92" s="15">
        <v>0</v>
      </c>
      <c r="D92" s="15">
        <v>0</v>
      </c>
      <c r="E92" s="15">
        <v>0</v>
      </c>
      <c r="F92" s="15">
        <f t="shared" si="1"/>
        <v>0</v>
      </c>
    </row>
    <row r="93" spans="1:6" s="5" customFormat="1" ht="24" customHeight="1">
      <c r="A93" s="32">
        <v>401003</v>
      </c>
      <c r="B93" s="36" t="s">
        <v>171</v>
      </c>
      <c r="C93" s="15">
        <v>0</v>
      </c>
      <c r="D93" s="15">
        <v>0</v>
      </c>
      <c r="E93" s="15">
        <v>0</v>
      </c>
      <c r="F93" s="15">
        <f t="shared" si="1"/>
        <v>0</v>
      </c>
    </row>
    <row r="94" spans="1:6" s="5" customFormat="1" ht="24" customHeight="1">
      <c r="A94" s="32">
        <v>401004</v>
      </c>
      <c r="B94" s="36" t="s">
        <v>172</v>
      </c>
      <c r="C94" s="15">
        <v>0</v>
      </c>
      <c r="D94" s="42">
        <v>0</v>
      </c>
      <c r="E94" s="15">
        <v>11473</v>
      </c>
      <c r="F94" s="15">
        <f t="shared" si="1"/>
        <v>11473</v>
      </c>
    </row>
    <row r="95" spans="1:6" s="5" customFormat="1" ht="24" customHeight="1">
      <c r="A95" s="32">
        <v>401005</v>
      </c>
      <c r="B95" s="36" t="s">
        <v>173</v>
      </c>
      <c r="C95" s="15">
        <v>0</v>
      </c>
      <c r="D95" s="15">
        <v>5430</v>
      </c>
      <c r="E95" s="15">
        <v>11929</v>
      </c>
      <c r="F95" s="15">
        <f t="shared" si="1"/>
        <v>17359</v>
      </c>
    </row>
    <row r="96" spans="1:6" s="5" customFormat="1" ht="24" customHeight="1">
      <c r="A96" s="32">
        <v>401006</v>
      </c>
      <c r="B96" s="36" t="s">
        <v>174</v>
      </c>
      <c r="C96" s="15">
        <v>0</v>
      </c>
      <c r="D96" s="15">
        <v>0</v>
      </c>
      <c r="E96" s="15">
        <v>3357</v>
      </c>
      <c r="F96" s="15">
        <f t="shared" si="1"/>
        <v>3357</v>
      </c>
    </row>
    <row r="97" spans="1:6" s="5" customFormat="1" ht="24" customHeight="1">
      <c r="A97" s="32">
        <v>401007</v>
      </c>
      <c r="B97" s="36" t="s">
        <v>175</v>
      </c>
      <c r="C97" s="15">
        <v>0</v>
      </c>
      <c r="D97" s="15">
        <v>0</v>
      </c>
      <c r="E97" s="15">
        <v>0</v>
      </c>
      <c r="F97" s="15">
        <f t="shared" si="1"/>
        <v>0</v>
      </c>
    </row>
    <row r="98" spans="1:6" s="5" customFormat="1" ht="24" customHeight="1">
      <c r="A98" s="32">
        <v>401008</v>
      </c>
      <c r="B98" s="36" t="s">
        <v>176</v>
      </c>
      <c r="C98" s="15">
        <v>0</v>
      </c>
      <c r="D98" s="15">
        <v>0</v>
      </c>
      <c r="E98" s="15">
        <v>0</v>
      </c>
      <c r="F98" s="15">
        <f t="shared" si="1"/>
        <v>0</v>
      </c>
    </row>
    <row r="99" spans="1:6" s="5" customFormat="1" ht="24" customHeight="1">
      <c r="A99" s="32">
        <v>501001</v>
      </c>
      <c r="B99" s="36" t="s">
        <v>177</v>
      </c>
      <c r="C99" s="15">
        <v>0</v>
      </c>
      <c r="D99" s="15">
        <v>5200</v>
      </c>
      <c r="E99" s="15">
        <v>7275</v>
      </c>
      <c r="F99" s="15">
        <f t="shared" si="1"/>
        <v>12475</v>
      </c>
    </row>
    <row r="100" spans="1:6" s="5" customFormat="1" ht="24" customHeight="1">
      <c r="A100" s="32">
        <v>501005</v>
      </c>
      <c r="B100" s="36" t="s">
        <v>178</v>
      </c>
      <c r="C100" s="15">
        <v>0</v>
      </c>
      <c r="D100" s="15">
        <v>0</v>
      </c>
      <c r="E100" s="15">
        <v>0</v>
      </c>
      <c r="F100" s="15">
        <f t="shared" si="1"/>
        <v>0</v>
      </c>
    </row>
    <row r="101" spans="1:6" s="5" customFormat="1" ht="24" customHeight="1">
      <c r="A101" s="32">
        <v>501006</v>
      </c>
      <c r="B101" s="36" t="s">
        <v>179</v>
      </c>
      <c r="C101" s="15">
        <v>0</v>
      </c>
      <c r="D101" s="15">
        <v>0</v>
      </c>
      <c r="E101" s="15">
        <v>0</v>
      </c>
      <c r="F101" s="15">
        <f t="shared" si="1"/>
        <v>0</v>
      </c>
    </row>
    <row r="102" spans="1:6" s="5" customFormat="1" ht="24" customHeight="1">
      <c r="A102" s="32">
        <v>501007</v>
      </c>
      <c r="B102" s="36" t="s">
        <v>180</v>
      </c>
      <c r="C102" s="15">
        <v>0</v>
      </c>
      <c r="D102" s="15">
        <v>4638</v>
      </c>
      <c r="E102" s="15">
        <v>3524</v>
      </c>
      <c r="F102" s="15">
        <f t="shared" si="1"/>
        <v>8162</v>
      </c>
    </row>
    <row r="103" spans="1:6" s="5" customFormat="1" ht="24" customHeight="1">
      <c r="A103" s="32">
        <v>501010</v>
      </c>
      <c r="B103" s="36" t="s">
        <v>181</v>
      </c>
      <c r="C103" s="15">
        <v>0</v>
      </c>
      <c r="D103" s="42">
        <v>0</v>
      </c>
      <c r="E103" s="15">
        <v>0</v>
      </c>
      <c r="F103" s="15">
        <f t="shared" si="1"/>
        <v>0</v>
      </c>
    </row>
    <row r="104" spans="1:6" s="5" customFormat="1" ht="24" customHeight="1">
      <c r="A104" s="32">
        <v>501012</v>
      </c>
      <c r="B104" s="36" t="s">
        <v>182</v>
      </c>
      <c r="C104" s="15">
        <v>0</v>
      </c>
      <c r="D104" s="15">
        <v>0</v>
      </c>
      <c r="E104" s="15">
        <v>0</v>
      </c>
      <c r="F104" s="15">
        <f t="shared" si="1"/>
        <v>0</v>
      </c>
    </row>
    <row r="105" spans="1:6" s="5" customFormat="1" ht="24" customHeight="1">
      <c r="A105" s="32">
        <v>501013</v>
      </c>
      <c r="B105" s="36" t="s">
        <v>183</v>
      </c>
      <c r="C105" s="15">
        <v>0</v>
      </c>
      <c r="D105" s="15">
        <v>0</v>
      </c>
      <c r="E105" s="15">
        <v>0</v>
      </c>
      <c r="F105" s="15">
        <f t="shared" si="1"/>
        <v>0</v>
      </c>
    </row>
    <row r="106" spans="1:6" s="5" customFormat="1" ht="24" customHeight="1">
      <c r="A106" s="32">
        <v>501016</v>
      </c>
      <c r="B106" s="36" t="s">
        <v>184</v>
      </c>
      <c r="C106" s="15">
        <v>0</v>
      </c>
      <c r="D106" s="15">
        <v>0</v>
      </c>
      <c r="E106" s="15">
        <v>10000</v>
      </c>
      <c r="F106" s="15">
        <f t="shared" si="1"/>
        <v>10000</v>
      </c>
    </row>
    <row r="107" spans="1:6" s="5" customFormat="1" ht="24" customHeight="1">
      <c r="A107" s="32">
        <v>501018</v>
      </c>
      <c r="B107" s="36" t="s">
        <v>185</v>
      </c>
      <c r="C107" s="15">
        <v>0</v>
      </c>
      <c r="D107" s="15">
        <v>0</v>
      </c>
      <c r="E107" s="15">
        <v>6500</v>
      </c>
      <c r="F107" s="15">
        <f t="shared" si="1"/>
        <v>6500</v>
      </c>
    </row>
    <row r="108" spans="1:6" s="5" customFormat="1" ht="24" customHeight="1">
      <c r="A108" s="32">
        <v>501033</v>
      </c>
      <c r="B108" s="36" t="s">
        <v>186</v>
      </c>
      <c r="C108" s="15">
        <v>0</v>
      </c>
      <c r="D108" s="15">
        <v>0</v>
      </c>
      <c r="E108" s="15">
        <v>0</v>
      </c>
      <c r="F108" s="15">
        <f t="shared" si="1"/>
        <v>0</v>
      </c>
    </row>
    <row r="109" spans="1:6" s="5" customFormat="1" ht="24" customHeight="1">
      <c r="A109" s="32">
        <v>501037</v>
      </c>
      <c r="B109" s="36" t="s">
        <v>187</v>
      </c>
      <c r="C109" s="15">
        <v>0</v>
      </c>
      <c r="D109" s="15">
        <v>473</v>
      </c>
      <c r="E109" s="15">
        <v>0</v>
      </c>
      <c r="F109" s="15">
        <f t="shared" si="1"/>
        <v>473</v>
      </c>
    </row>
    <row r="110" spans="1:6" ht="24" customHeight="1">
      <c r="A110" s="32">
        <v>501038</v>
      </c>
      <c r="B110" s="36" t="s">
        <v>188</v>
      </c>
      <c r="C110" s="15">
        <v>0</v>
      </c>
      <c r="D110" s="15">
        <v>1600</v>
      </c>
      <c r="E110" s="15">
        <v>0</v>
      </c>
      <c r="F110" s="15">
        <f t="shared" si="1"/>
        <v>1600</v>
      </c>
    </row>
    <row r="111" spans="1:6" ht="24" customHeight="1">
      <c r="A111" s="32">
        <v>501039</v>
      </c>
      <c r="B111" s="36" t="s">
        <v>189</v>
      </c>
      <c r="C111" s="15">
        <v>0</v>
      </c>
      <c r="D111" s="15">
        <v>0</v>
      </c>
      <c r="E111" s="15">
        <v>0</v>
      </c>
      <c r="F111" s="15">
        <f t="shared" si="1"/>
        <v>0</v>
      </c>
    </row>
    <row r="112" spans="1:6" s="7" customFormat="1" ht="24" customHeight="1">
      <c r="A112" s="33">
        <v>502001</v>
      </c>
      <c r="B112" s="37" t="s">
        <v>190</v>
      </c>
      <c r="C112" s="15">
        <v>11000</v>
      </c>
      <c r="D112" s="42">
        <v>12742</v>
      </c>
      <c r="E112" s="15">
        <v>1898</v>
      </c>
      <c r="F112" s="15">
        <f t="shared" si="1"/>
        <v>25640</v>
      </c>
    </row>
    <row r="113" spans="1:6" ht="24" customHeight="1">
      <c r="A113" s="32">
        <v>502002</v>
      </c>
      <c r="B113" s="36" t="s">
        <v>191</v>
      </c>
      <c r="C113" s="15">
        <v>0</v>
      </c>
      <c r="D113" s="15">
        <v>0</v>
      </c>
      <c r="E113" s="15">
        <v>0</v>
      </c>
      <c r="F113" s="15">
        <f t="shared" si="1"/>
        <v>0</v>
      </c>
    </row>
    <row r="114" spans="1:6" ht="24" customHeight="1">
      <c r="A114" s="13">
        <v>601001</v>
      </c>
      <c r="B114" s="14" t="s">
        <v>157</v>
      </c>
      <c r="C114" s="15">
        <v>11360</v>
      </c>
      <c r="D114" s="15">
        <v>1581</v>
      </c>
      <c r="E114" s="15">
        <v>1996.8</v>
      </c>
      <c r="F114" s="15">
        <f t="shared" si="1"/>
        <v>14937.8</v>
      </c>
    </row>
    <row r="115" spans="1:6" ht="24" customHeight="1">
      <c r="A115" s="13">
        <v>601003</v>
      </c>
      <c r="B115" s="14" t="s">
        <v>158</v>
      </c>
      <c r="C115" s="15">
        <v>0</v>
      </c>
      <c r="D115" s="15">
        <v>0</v>
      </c>
      <c r="E115" s="15">
        <v>4436.33</v>
      </c>
      <c r="F115" s="15">
        <f t="shared" si="1"/>
        <v>4436.33</v>
      </c>
    </row>
    <row r="116" spans="1:6" ht="24" customHeight="1">
      <c r="A116" s="13">
        <v>601004</v>
      </c>
      <c r="B116" s="14" t="s">
        <v>159</v>
      </c>
      <c r="C116" s="15">
        <v>0</v>
      </c>
      <c r="D116" s="15">
        <v>0</v>
      </c>
      <c r="E116" s="15">
        <v>0</v>
      </c>
      <c r="F116" s="15">
        <f t="shared" si="1"/>
        <v>0</v>
      </c>
    </row>
    <row r="117" spans="1:6" ht="24" customHeight="1">
      <c r="A117" s="13">
        <v>601005</v>
      </c>
      <c r="B117" s="14" t="s">
        <v>160</v>
      </c>
      <c r="C117" s="15">
        <v>0</v>
      </c>
      <c r="D117" s="15">
        <v>0</v>
      </c>
      <c r="E117" s="15">
        <v>0</v>
      </c>
      <c r="F117" s="15">
        <f t="shared" si="1"/>
        <v>0</v>
      </c>
    </row>
    <row r="118" spans="1:6" ht="24" customHeight="1">
      <c r="A118" s="13">
        <v>601007</v>
      </c>
      <c r="B118" s="14" t="s">
        <v>161</v>
      </c>
      <c r="C118" s="15">
        <v>0</v>
      </c>
      <c r="D118" s="15">
        <v>0</v>
      </c>
      <c r="E118" s="15">
        <v>0</v>
      </c>
      <c r="F118" s="15">
        <f t="shared" si="1"/>
        <v>0</v>
      </c>
    </row>
    <row r="119" spans="1:6" ht="24" customHeight="1">
      <c r="A119" s="13">
        <v>601010</v>
      </c>
      <c r="B119" s="14" t="s">
        <v>162</v>
      </c>
      <c r="C119" s="15">
        <v>0</v>
      </c>
      <c r="D119" s="15">
        <v>0</v>
      </c>
      <c r="E119" s="15">
        <v>0</v>
      </c>
      <c r="F119" s="15">
        <f t="shared" si="1"/>
        <v>0</v>
      </c>
    </row>
    <row r="120" spans="1:6" ht="24" customHeight="1">
      <c r="A120" s="13">
        <v>603001</v>
      </c>
      <c r="B120" s="14" t="s">
        <v>163</v>
      </c>
      <c r="C120" s="15">
        <v>0</v>
      </c>
      <c r="D120" s="15">
        <v>0</v>
      </c>
      <c r="E120" s="15">
        <v>0</v>
      </c>
      <c r="F120" s="15">
        <f t="shared" si="1"/>
        <v>0</v>
      </c>
    </row>
    <row r="121" spans="1:6" ht="24" customHeight="1">
      <c r="A121" s="13">
        <v>603002</v>
      </c>
      <c r="B121" s="14" t="s">
        <v>164</v>
      </c>
      <c r="C121" s="15">
        <v>0</v>
      </c>
      <c r="D121" s="42">
        <v>0</v>
      </c>
      <c r="E121" s="15">
        <v>0</v>
      </c>
      <c r="F121" s="15">
        <f t="shared" si="1"/>
        <v>0</v>
      </c>
    </row>
    <row r="122" spans="1:6" ht="24" customHeight="1">
      <c r="A122" s="26">
        <v>701001</v>
      </c>
      <c r="B122" s="17" t="s">
        <v>48</v>
      </c>
      <c r="C122" s="15">
        <v>0</v>
      </c>
      <c r="D122" s="15">
        <v>0</v>
      </c>
      <c r="E122" s="15">
        <v>0</v>
      </c>
      <c r="F122" s="15">
        <f t="shared" si="1"/>
        <v>0</v>
      </c>
    </row>
    <row r="123" spans="1:6" ht="24" customHeight="1">
      <c r="A123" s="27">
        <v>701002</v>
      </c>
      <c r="B123" s="17" t="s">
        <v>49</v>
      </c>
      <c r="C123" s="15">
        <v>0</v>
      </c>
      <c r="D123" s="15">
        <v>0</v>
      </c>
      <c r="E123" s="15">
        <v>7140.15</v>
      </c>
      <c r="F123" s="15">
        <f t="shared" si="1"/>
        <v>7140.15</v>
      </c>
    </row>
    <row r="124" spans="1:6" ht="24" customHeight="1">
      <c r="A124" s="27">
        <v>701003</v>
      </c>
      <c r="B124" s="17" t="s">
        <v>50</v>
      </c>
      <c r="C124" s="15">
        <v>0</v>
      </c>
      <c r="D124" s="15">
        <v>0</v>
      </c>
      <c r="E124" s="15">
        <v>0</v>
      </c>
      <c r="F124" s="15">
        <f t="shared" si="1"/>
        <v>0</v>
      </c>
    </row>
    <row r="125" spans="1:6" ht="24" customHeight="1">
      <c r="A125" s="27">
        <v>701004</v>
      </c>
      <c r="B125" s="17" t="s">
        <v>51</v>
      </c>
      <c r="C125" s="15">
        <v>0</v>
      </c>
      <c r="D125" s="15">
        <v>0</v>
      </c>
      <c r="E125" s="15">
        <v>0</v>
      </c>
      <c r="F125" s="15">
        <f t="shared" si="1"/>
        <v>0</v>
      </c>
    </row>
    <row r="126" spans="1:6" ht="24" customHeight="1">
      <c r="A126" s="27">
        <v>701006</v>
      </c>
      <c r="B126" s="17" t="s">
        <v>52</v>
      </c>
      <c r="C126" s="15">
        <v>0</v>
      </c>
      <c r="D126" s="15">
        <v>0</v>
      </c>
      <c r="E126" s="15">
        <v>0</v>
      </c>
      <c r="F126" s="15">
        <f t="shared" si="1"/>
        <v>0</v>
      </c>
    </row>
    <row r="127" spans="1:6" ht="24" customHeight="1">
      <c r="A127" s="27">
        <v>701008</v>
      </c>
      <c r="B127" s="17" t="s">
        <v>53</v>
      </c>
      <c r="C127" s="15">
        <v>0</v>
      </c>
      <c r="D127" s="15">
        <v>0</v>
      </c>
      <c r="E127" s="15">
        <v>0</v>
      </c>
      <c r="F127" s="15">
        <f t="shared" si="1"/>
        <v>0</v>
      </c>
    </row>
    <row r="128" spans="1:6" ht="24" customHeight="1">
      <c r="A128" s="27">
        <v>701009</v>
      </c>
      <c r="B128" s="17" t="s">
        <v>54</v>
      </c>
      <c r="C128" s="15">
        <v>0</v>
      </c>
      <c r="D128" s="15">
        <v>0</v>
      </c>
      <c r="E128" s="15">
        <v>0</v>
      </c>
      <c r="F128" s="15">
        <f t="shared" si="1"/>
        <v>0</v>
      </c>
    </row>
    <row r="129" spans="1:6" ht="24" customHeight="1">
      <c r="A129" s="27">
        <v>701085</v>
      </c>
      <c r="B129" s="17" t="s">
        <v>55</v>
      </c>
      <c r="C129" s="15">
        <v>0</v>
      </c>
      <c r="D129" s="15">
        <v>0</v>
      </c>
      <c r="E129" s="15">
        <v>0</v>
      </c>
      <c r="F129" s="15">
        <f t="shared" si="1"/>
        <v>0</v>
      </c>
    </row>
    <row r="130" spans="1:6" ht="24" customHeight="1">
      <c r="A130" s="27">
        <v>701088</v>
      </c>
      <c r="B130" s="17" t="s">
        <v>56</v>
      </c>
      <c r="C130" s="15">
        <v>0</v>
      </c>
      <c r="D130" s="42">
        <v>0</v>
      </c>
      <c r="E130" s="15">
        <v>0</v>
      </c>
      <c r="F130" s="15">
        <f t="shared" si="1"/>
        <v>0</v>
      </c>
    </row>
    <row r="131" spans="1:6" ht="24" customHeight="1">
      <c r="A131" s="27">
        <v>701089</v>
      </c>
      <c r="B131" s="17" t="s">
        <v>57</v>
      </c>
      <c r="C131" s="15">
        <v>0</v>
      </c>
      <c r="D131" s="15">
        <v>0</v>
      </c>
      <c r="E131" s="15">
        <v>0</v>
      </c>
      <c r="F131" s="15">
        <f t="shared" si="1"/>
        <v>0</v>
      </c>
    </row>
    <row r="132" spans="1:6" ht="24" customHeight="1">
      <c r="A132" s="27">
        <v>701107</v>
      </c>
      <c r="B132" s="17" t="s">
        <v>58</v>
      </c>
      <c r="C132" s="15">
        <v>0</v>
      </c>
      <c r="D132" s="15">
        <v>0</v>
      </c>
      <c r="E132" s="15">
        <v>0</v>
      </c>
      <c r="F132" s="15">
        <f t="shared" si="1"/>
        <v>0</v>
      </c>
    </row>
    <row r="133" spans="1:6" ht="24" customHeight="1">
      <c r="A133" s="27">
        <v>701108</v>
      </c>
      <c r="B133" s="17" t="s">
        <v>59</v>
      </c>
      <c r="C133" s="15">
        <v>0</v>
      </c>
      <c r="D133" s="15">
        <v>0</v>
      </c>
      <c r="E133" s="15">
        <v>475</v>
      </c>
      <c r="F133" s="15">
        <f t="shared" ref="F133:F195" si="2">SUM(C133:E133)</f>
        <v>475</v>
      </c>
    </row>
    <row r="134" spans="1:6" ht="24" customHeight="1">
      <c r="A134" s="27">
        <v>701109</v>
      </c>
      <c r="B134" s="17" t="s">
        <v>60</v>
      </c>
      <c r="C134" s="15">
        <v>0</v>
      </c>
      <c r="D134" s="15">
        <v>0</v>
      </c>
      <c r="E134" s="15">
        <v>0</v>
      </c>
      <c r="F134" s="15">
        <f t="shared" si="2"/>
        <v>0</v>
      </c>
    </row>
    <row r="135" spans="1:6" s="7" customFormat="1" ht="24" customHeight="1">
      <c r="A135" s="27">
        <v>701110</v>
      </c>
      <c r="B135" s="17" t="s">
        <v>61</v>
      </c>
      <c r="C135" s="15">
        <v>0</v>
      </c>
      <c r="D135" s="15">
        <v>0</v>
      </c>
      <c r="E135" s="15">
        <v>0</v>
      </c>
      <c r="F135" s="15">
        <f t="shared" si="2"/>
        <v>0</v>
      </c>
    </row>
    <row r="136" spans="1:6" ht="24" customHeight="1">
      <c r="A136" s="40">
        <v>702001</v>
      </c>
      <c r="B136" s="14" t="s">
        <v>62</v>
      </c>
      <c r="C136" s="15">
        <v>0</v>
      </c>
      <c r="D136" s="15">
        <f>1884+1045</f>
        <v>2929</v>
      </c>
      <c r="E136" s="15">
        <f>136+209</f>
        <v>345</v>
      </c>
      <c r="F136" s="15">
        <f t="shared" si="2"/>
        <v>3274</v>
      </c>
    </row>
    <row r="137" spans="1:6" s="5" customFormat="1" ht="24" customHeight="1">
      <c r="A137" s="40">
        <v>702002</v>
      </c>
      <c r="B137" s="14" t="s">
        <v>63</v>
      </c>
      <c r="C137" s="15">
        <v>0</v>
      </c>
      <c r="D137" s="15">
        <v>0</v>
      </c>
      <c r="E137" s="15">
        <f>4600+4718</f>
        <v>9318</v>
      </c>
      <c r="F137" s="15">
        <f t="shared" si="2"/>
        <v>9318</v>
      </c>
    </row>
    <row r="138" spans="1:6" s="5" customFormat="1" ht="24" customHeight="1">
      <c r="A138" s="40">
        <v>702003</v>
      </c>
      <c r="B138" s="14" t="s">
        <v>64</v>
      </c>
      <c r="C138" s="15">
        <v>0</v>
      </c>
      <c r="D138" s="15">
        <v>0</v>
      </c>
      <c r="E138" s="15">
        <v>0</v>
      </c>
      <c r="F138" s="15">
        <f t="shared" si="2"/>
        <v>0</v>
      </c>
    </row>
    <row r="139" spans="1:6" s="5" customFormat="1" ht="24" customHeight="1">
      <c r="A139" s="26">
        <v>703001</v>
      </c>
      <c r="B139" s="30" t="s">
        <v>65</v>
      </c>
      <c r="C139" s="15">
        <v>0</v>
      </c>
      <c r="D139" s="42">
        <v>1947</v>
      </c>
      <c r="E139" s="15">
        <v>1094</v>
      </c>
      <c r="F139" s="15">
        <f t="shared" si="2"/>
        <v>3041</v>
      </c>
    </row>
    <row r="140" spans="1:6" s="6" customFormat="1" ht="24" customHeight="1">
      <c r="A140" s="26">
        <v>703002</v>
      </c>
      <c r="B140" s="30" t="s">
        <v>113</v>
      </c>
      <c r="C140" s="15">
        <v>0</v>
      </c>
      <c r="D140" s="15">
        <v>0</v>
      </c>
      <c r="E140" s="15">
        <v>0</v>
      </c>
      <c r="F140" s="15">
        <f t="shared" si="2"/>
        <v>0</v>
      </c>
    </row>
    <row r="141" spans="1:6" s="6" customFormat="1" ht="24" customHeight="1">
      <c r="A141" s="27">
        <v>703003</v>
      </c>
      <c r="B141" s="30" t="s">
        <v>66</v>
      </c>
      <c r="C141" s="15">
        <v>0</v>
      </c>
      <c r="D141" s="15">
        <v>0</v>
      </c>
      <c r="E141" s="15">
        <v>0</v>
      </c>
      <c r="F141" s="15">
        <f t="shared" si="2"/>
        <v>0</v>
      </c>
    </row>
    <row r="142" spans="1:6" s="6" customFormat="1" ht="24" customHeight="1">
      <c r="A142" s="27">
        <v>703005</v>
      </c>
      <c r="B142" s="30" t="s">
        <v>67</v>
      </c>
      <c r="C142" s="15">
        <v>0</v>
      </c>
      <c r="D142" s="15">
        <v>0</v>
      </c>
      <c r="E142" s="15">
        <v>6228.8</v>
      </c>
      <c r="F142" s="15">
        <f t="shared" si="2"/>
        <v>6228.8</v>
      </c>
    </row>
    <row r="143" spans="1:6" s="6" customFormat="1" ht="24" customHeight="1">
      <c r="A143" s="27">
        <v>703006</v>
      </c>
      <c r="B143" s="30" t="s">
        <v>68</v>
      </c>
      <c r="C143" s="15">
        <v>0</v>
      </c>
      <c r="D143" s="15">
        <v>0</v>
      </c>
      <c r="E143" s="15">
        <v>0</v>
      </c>
      <c r="F143" s="15">
        <f t="shared" si="2"/>
        <v>0</v>
      </c>
    </row>
    <row r="144" spans="1:6" s="6" customFormat="1" ht="24" customHeight="1">
      <c r="A144" s="27">
        <v>703007</v>
      </c>
      <c r="B144" s="30" t="s">
        <v>69</v>
      </c>
      <c r="C144" s="15">
        <v>0</v>
      </c>
      <c r="D144" s="15">
        <v>0</v>
      </c>
      <c r="E144" s="15">
        <v>6036.18</v>
      </c>
      <c r="F144" s="15">
        <f t="shared" si="2"/>
        <v>6036.18</v>
      </c>
    </row>
    <row r="145" spans="1:6" s="5" customFormat="1" ht="24" customHeight="1">
      <c r="A145" s="27">
        <v>703010</v>
      </c>
      <c r="B145" s="30" t="s">
        <v>70</v>
      </c>
      <c r="C145" s="15">
        <v>0</v>
      </c>
      <c r="D145" s="15">
        <v>0</v>
      </c>
      <c r="E145" s="15">
        <v>7044.06</v>
      </c>
      <c r="F145" s="15">
        <f t="shared" si="2"/>
        <v>7044.06</v>
      </c>
    </row>
    <row r="146" spans="1:6" s="5" customFormat="1" ht="24" customHeight="1">
      <c r="A146" s="27">
        <v>703011</v>
      </c>
      <c r="B146" s="30" t="s">
        <v>71</v>
      </c>
      <c r="C146" s="15">
        <v>0</v>
      </c>
      <c r="D146" s="15">
        <v>0</v>
      </c>
      <c r="E146" s="15">
        <v>0</v>
      </c>
      <c r="F146" s="15">
        <f t="shared" si="2"/>
        <v>0</v>
      </c>
    </row>
    <row r="147" spans="1:6" s="5" customFormat="1" ht="24" customHeight="1">
      <c r="A147" s="28">
        <v>704001</v>
      </c>
      <c r="B147" s="29" t="s">
        <v>72</v>
      </c>
      <c r="C147" s="15">
        <v>0</v>
      </c>
      <c r="D147" s="15">
        <v>0</v>
      </c>
      <c r="E147" s="15">
        <v>0</v>
      </c>
      <c r="F147" s="15">
        <f t="shared" si="2"/>
        <v>0</v>
      </c>
    </row>
    <row r="148" spans="1:6" s="5" customFormat="1" ht="24" customHeight="1">
      <c r="A148" s="28">
        <v>704003</v>
      </c>
      <c r="B148" s="29" t="s">
        <v>73</v>
      </c>
      <c r="C148" s="15">
        <v>8615</v>
      </c>
      <c r="D148" s="42">
        <v>0</v>
      </c>
      <c r="E148" s="15">
        <v>0</v>
      </c>
      <c r="F148" s="15">
        <f t="shared" si="2"/>
        <v>8615</v>
      </c>
    </row>
    <row r="149" spans="1:6" s="5" customFormat="1" ht="24" customHeight="1">
      <c r="A149" s="28">
        <v>704004</v>
      </c>
      <c r="B149" s="29" t="s">
        <v>74</v>
      </c>
      <c r="C149" s="15">
        <v>0</v>
      </c>
      <c r="D149" s="15">
        <v>0</v>
      </c>
      <c r="E149" s="15">
        <v>217733.54</v>
      </c>
      <c r="F149" s="15">
        <f t="shared" si="2"/>
        <v>217733.54</v>
      </c>
    </row>
    <row r="150" spans="1:6" s="5" customFormat="1" ht="24" customHeight="1">
      <c r="A150" s="28">
        <v>704005</v>
      </c>
      <c r="B150" s="29" t="s">
        <v>75</v>
      </c>
      <c r="C150" s="15">
        <v>0</v>
      </c>
      <c r="D150" s="15">
        <v>6968</v>
      </c>
      <c r="E150" s="15">
        <v>0</v>
      </c>
      <c r="F150" s="15">
        <f t="shared" si="2"/>
        <v>6968</v>
      </c>
    </row>
    <row r="151" spans="1:6" s="5" customFormat="1" ht="24" customHeight="1">
      <c r="A151" s="28">
        <v>704006</v>
      </c>
      <c r="B151" s="29" t="s">
        <v>76</v>
      </c>
      <c r="C151" s="15">
        <v>0</v>
      </c>
      <c r="D151" s="15">
        <v>0</v>
      </c>
      <c r="E151" s="15">
        <v>0</v>
      </c>
      <c r="F151" s="15">
        <f t="shared" si="2"/>
        <v>0</v>
      </c>
    </row>
    <row r="152" spans="1:6" s="5" customFormat="1" ht="24" customHeight="1">
      <c r="A152" s="28">
        <v>704007</v>
      </c>
      <c r="B152" s="29" t="s">
        <v>77</v>
      </c>
      <c r="C152" s="15">
        <v>0</v>
      </c>
      <c r="D152" s="15">
        <v>0</v>
      </c>
      <c r="E152" s="15">
        <v>4120</v>
      </c>
      <c r="F152" s="15">
        <f t="shared" si="2"/>
        <v>4120</v>
      </c>
    </row>
    <row r="153" spans="1:6" s="5" customFormat="1" ht="24" customHeight="1">
      <c r="A153" s="28">
        <v>704008</v>
      </c>
      <c r="B153" s="29" t="s">
        <v>78</v>
      </c>
      <c r="C153" s="15">
        <v>0</v>
      </c>
      <c r="D153" s="15">
        <v>0</v>
      </c>
      <c r="E153" s="15">
        <v>15382.08</v>
      </c>
      <c r="F153" s="15">
        <f t="shared" si="2"/>
        <v>15382.08</v>
      </c>
    </row>
    <row r="154" spans="1:6" s="5" customFormat="1" ht="24" customHeight="1">
      <c r="A154" s="28">
        <v>704009</v>
      </c>
      <c r="B154" s="29" t="s">
        <v>79</v>
      </c>
      <c r="C154" s="15">
        <v>0</v>
      </c>
      <c r="D154" s="15">
        <v>3214</v>
      </c>
      <c r="E154" s="15">
        <v>0</v>
      </c>
      <c r="F154" s="15">
        <f t="shared" si="2"/>
        <v>3214</v>
      </c>
    </row>
    <row r="155" spans="1:6" s="5" customFormat="1" ht="24" customHeight="1">
      <c r="A155" s="28">
        <v>704010</v>
      </c>
      <c r="B155" s="29" t="s">
        <v>80</v>
      </c>
      <c r="C155" s="15">
        <v>0</v>
      </c>
      <c r="D155" s="15">
        <v>0</v>
      </c>
      <c r="E155" s="15">
        <v>0</v>
      </c>
      <c r="F155" s="15">
        <f t="shared" si="2"/>
        <v>0</v>
      </c>
    </row>
    <row r="156" spans="1:6" s="5" customFormat="1" ht="24" customHeight="1">
      <c r="A156" s="28">
        <v>704011</v>
      </c>
      <c r="B156" s="29" t="s">
        <v>81</v>
      </c>
      <c r="C156" s="15">
        <v>0</v>
      </c>
      <c r="D156" s="15">
        <v>0</v>
      </c>
      <c r="E156" s="15">
        <v>0</v>
      </c>
      <c r="F156" s="15">
        <f t="shared" si="2"/>
        <v>0</v>
      </c>
    </row>
    <row r="157" spans="1:6" s="5" customFormat="1" ht="24" customHeight="1">
      <c r="A157" s="28">
        <v>704012</v>
      </c>
      <c r="B157" s="29" t="s">
        <v>82</v>
      </c>
      <c r="C157" s="15">
        <v>0</v>
      </c>
      <c r="D157" s="42">
        <v>0</v>
      </c>
      <c r="E157" s="15">
        <v>0</v>
      </c>
      <c r="F157" s="15">
        <f t="shared" si="2"/>
        <v>0</v>
      </c>
    </row>
    <row r="158" spans="1:6" s="5" customFormat="1" ht="24" customHeight="1">
      <c r="A158" s="28">
        <v>704013</v>
      </c>
      <c r="B158" s="29" t="s">
        <v>83</v>
      </c>
      <c r="C158" s="15">
        <v>0</v>
      </c>
      <c r="D158" s="15">
        <v>0</v>
      </c>
      <c r="E158" s="15">
        <v>7468.16</v>
      </c>
      <c r="F158" s="15">
        <f t="shared" si="2"/>
        <v>7468.16</v>
      </c>
    </row>
    <row r="159" spans="1:6" s="5" customFormat="1" ht="24" customHeight="1">
      <c r="A159" s="28">
        <v>704014</v>
      </c>
      <c r="B159" s="29" t="s">
        <v>84</v>
      </c>
      <c r="C159" s="15">
        <v>0</v>
      </c>
      <c r="D159" s="15">
        <v>0</v>
      </c>
      <c r="E159" s="15">
        <v>0</v>
      </c>
      <c r="F159" s="15">
        <f t="shared" si="2"/>
        <v>0</v>
      </c>
    </row>
    <row r="160" spans="1:6" s="5" customFormat="1" ht="24" customHeight="1">
      <c r="A160" s="28">
        <v>704015</v>
      </c>
      <c r="B160" s="29" t="s">
        <v>85</v>
      </c>
      <c r="C160" s="15">
        <v>0</v>
      </c>
      <c r="D160" s="15">
        <v>0</v>
      </c>
      <c r="E160" s="15">
        <v>0</v>
      </c>
      <c r="F160" s="15">
        <f t="shared" si="2"/>
        <v>0</v>
      </c>
    </row>
    <row r="161" spans="1:6" s="5" customFormat="1" ht="24" customHeight="1">
      <c r="A161" s="28">
        <v>704016</v>
      </c>
      <c r="B161" s="29" t="s">
        <v>86</v>
      </c>
      <c r="C161" s="15">
        <v>0</v>
      </c>
      <c r="D161" s="15">
        <v>0</v>
      </c>
      <c r="E161" s="15">
        <v>15476.81</v>
      </c>
      <c r="F161" s="15">
        <f t="shared" si="2"/>
        <v>15476.81</v>
      </c>
    </row>
    <row r="162" spans="1:6" s="5" customFormat="1" ht="24" customHeight="1">
      <c r="A162" s="28">
        <v>704017</v>
      </c>
      <c r="B162" s="29" t="s">
        <v>87</v>
      </c>
      <c r="C162" s="15">
        <v>0</v>
      </c>
      <c r="D162" s="15">
        <v>0</v>
      </c>
      <c r="E162" s="15">
        <v>0</v>
      </c>
      <c r="F162" s="15">
        <f t="shared" si="2"/>
        <v>0</v>
      </c>
    </row>
    <row r="163" spans="1:6" s="5" customFormat="1" ht="24" customHeight="1">
      <c r="A163" s="28">
        <v>704018</v>
      </c>
      <c r="B163" s="29" t="s">
        <v>88</v>
      </c>
      <c r="C163" s="15">
        <v>0</v>
      </c>
      <c r="D163" s="15">
        <v>0</v>
      </c>
      <c r="E163" s="15">
        <v>0</v>
      </c>
      <c r="F163" s="15">
        <f t="shared" si="2"/>
        <v>0</v>
      </c>
    </row>
    <row r="164" spans="1:6" s="5" customFormat="1" ht="24" customHeight="1">
      <c r="A164" s="28">
        <v>704019</v>
      </c>
      <c r="B164" s="29" t="s">
        <v>89</v>
      </c>
      <c r="C164" s="15">
        <v>0</v>
      </c>
      <c r="D164" s="15">
        <v>0</v>
      </c>
      <c r="E164" s="15">
        <v>0</v>
      </c>
      <c r="F164" s="15">
        <f t="shared" si="2"/>
        <v>0</v>
      </c>
    </row>
    <row r="165" spans="1:6" s="5" customFormat="1" ht="24" customHeight="1">
      <c r="A165" s="28">
        <v>704020</v>
      </c>
      <c r="B165" s="29" t="s">
        <v>90</v>
      </c>
      <c r="C165" s="15">
        <v>0</v>
      </c>
      <c r="D165" s="15">
        <v>0</v>
      </c>
      <c r="E165" s="15">
        <v>8990</v>
      </c>
      <c r="F165" s="15">
        <f t="shared" si="2"/>
        <v>8990</v>
      </c>
    </row>
    <row r="166" spans="1:6" s="5" customFormat="1" ht="24" customHeight="1">
      <c r="A166" s="28">
        <v>704021</v>
      </c>
      <c r="B166" s="29" t="s">
        <v>91</v>
      </c>
      <c r="C166" s="15">
        <v>0</v>
      </c>
      <c r="D166" s="42">
        <v>0</v>
      </c>
      <c r="E166" s="15">
        <v>0</v>
      </c>
      <c r="F166" s="15">
        <f t="shared" si="2"/>
        <v>0</v>
      </c>
    </row>
    <row r="167" spans="1:6" s="5" customFormat="1" ht="24" customHeight="1">
      <c r="A167" s="28">
        <v>704022</v>
      </c>
      <c r="B167" s="29" t="s">
        <v>92</v>
      </c>
      <c r="C167" s="15">
        <v>0</v>
      </c>
      <c r="D167" s="15">
        <v>0</v>
      </c>
      <c r="E167" s="15">
        <v>0</v>
      </c>
      <c r="F167" s="15">
        <f t="shared" si="2"/>
        <v>0</v>
      </c>
    </row>
    <row r="168" spans="1:6" s="5" customFormat="1" ht="24" customHeight="1">
      <c r="A168" s="28">
        <v>704023</v>
      </c>
      <c r="B168" s="29" t="s">
        <v>93</v>
      </c>
      <c r="C168" s="15">
        <v>0</v>
      </c>
      <c r="D168" s="15">
        <v>0</v>
      </c>
      <c r="E168" s="15">
        <v>0</v>
      </c>
      <c r="F168" s="15">
        <f t="shared" si="2"/>
        <v>0</v>
      </c>
    </row>
    <row r="169" spans="1:6" s="5" customFormat="1" ht="24" customHeight="1">
      <c r="A169" s="8">
        <v>805001</v>
      </c>
      <c r="B169" s="9" t="s">
        <v>94</v>
      </c>
      <c r="C169" s="15">
        <v>0</v>
      </c>
      <c r="D169" s="15">
        <v>0</v>
      </c>
      <c r="E169" s="15">
        <v>0</v>
      </c>
      <c r="F169" s="15">
        <f t="shared" si="2"/>
        <v>0</v>
      </c>
    </row>
    <row r="170" spans="1:6" s="5" customFormat="1" ht="24" customHeight="1">
      <c r="A170" s="8">
        <v>605001</v>
      </c>
      <c r="B170" s="9" t="s">
        <v>95</v>
      </c>
      <c r="C170" s="15">
        <v>0</v>
      </c>
      <c r="D170" s="15">
        <v>0</v>
      </c>
      <c r="E170" s="15">
        <v>0</v>
      </c>
      <c r="F170" s="15">
        <f t="shared" si="2"/>
        <v>0</v>
      </c>
    </row>
    <row r="171" spans="1:6" ht="24" customHeight="1">
      <c r="A171" s="32">
        <v>801001</v>
      </c>
      <c r="B171" s="36" t="s">
        <v>192</v>
      </c>
      <c r="C171" s="15">
        <v>0</v>
      </c>
      <c r="D171" s="15">
        <v>0</v>
      </c>
      <c r="E171" s="15">
        <v>11786</v>
      </c>
      <c r="F171" s="15">
        <f t="shared" si="2"/>
        <v>11786</v>
      </c>
    </row>
    <row r="172" spans="1:6" ht="24" customHeight="1">
      <c r="A172" s="32">
        <v>801003</v>
      </c>
      <c r="B172" s="36" t="s">
        <v>193</v>
      </c>
      <c r="C172" s="15">
        <v>0</v>
      </c>
      <c r="D172" s="15">
        <v>0</v>
      </c>
      <c r="E172" s="15">
        <v>0</v>
      </c>
      <c r="F172" s="15">
        <f t="shared" si="2"/>
        <v>0</v>
      </c>
    </row>
    <row r="173" spans="1:6" ht="24" customHeight="1">
      <c r="A173" s="33">
        <v>802001</v>
      </c>
      <c r="B173" s="37" t="s">
        <v>194</v>
      </c>
      <c r="C173" s="15">
        <v>0</v>
      </c>
      <c r="D173" s="15">
        <v>0</v>
      </c>
      <c r="E173" s="15">
        <v>0</v>
      </c>
      <c r="F173" s="15">
        <f t="shared" si="2"/>
        <v>0</v>
      </c>
    </row>
    <row r="174" spans="1:6" ht="24" customHeight="1">
      <c r="A174" s="32">
        <v>802002</v>
      </c>
      <c r="B174" s="36" t="s">
        <v>195</v>
      </c>
      <c r="C174" s="15">
        <v>0</v>
      </c>
      <c r="D174" s="15">
        <v>0</v>
      </c>
      <c r="E174" s="15">
        <v>0</v>
      </c>
      <c r="F174" s="15">
        <f t="shared" si="2"/>
        <v>0</v>
      </c>
    </row>
    <row r="175" spans="1:6" ht="24" customHeight="1">
      <c r="A175" s="32">
        <v>803001</v>
      </c>
      <c r="B175" s="36" t="s">
        <v>196</v>
      </c>
      <c r="C175" s="15">
        <v>0</v>
      </c>
      <c r="D175" s="42">
        <v>0</v>
      </c>
      <c r="E175" s="15">
        <v>12034</v>
      </c>
      <c r="F175" s="15">
        <f t="shared" si="2"/>
        <v>12034</v>
      </c>
    </row>
    <row r="176" spans="1:6" ht="24" customHeight="1">
      <c r="A176" s="32">
        <v>803003</v>
      </c>
      <c r="B176" s="36" t="s">
        <v>197</v>
      </c>
      <c r="C176" s="15">
        <v>0</v>
      </c>
      <c r="D176" s="15">
        <v>0</v>
      </c>
      <c r="E176" s="15">
        <v>0</v>
      </c>
      <c r="F176" s="15">
        <f t="shared" si="2"/>
        <v>0</v>
      </c>
    </row>
    <row r="177" spans="1:6" ht="24" customHeight="1">
      <c r="A177" s="32">
        <v>806001</v>
      </c>
      <c r="B177" s="36" t="s">
        <v>198</v>
      </c>
      <c r="C177" s="15">
        <v>0</v>
      </c>
      <c r="D177" s="15">
        <v>0</v>
      </c>
      <c r="E177" s="15">
        <v>0</v>
      </c>
      <c r="F177" s="15">
        <f t="shared" si="2"/>
        <v>0</v>
      </c>
    </row>
    <row r="178" spans="1:6" ht="24" customHeight="1">
      <c r="A178" s="34">
        <v>806002</v>
      </c>
      <c r="B178" s="38" t="s">
        <v>199</v>
      </c>
      <c r="C178" s="15">
        <v>0</v>
      </c>
      <c r="D178" s="15">
        <v>0</v>
      </c>
      <c r="E178" s="15">
        <v>0</v>
      </c>
      <c r="F178" s="15">
        <f t="shared" si="2"/>
        <v>0</v>
      </c>
    </row>
    <row r="179" spans="1:6" ht="24" customHeight="1">
      <c r="A179" s="41">
        <v>899015</v>
      </c>
      <c r="B179" s="39" t="s">
        <v>200</v>
      </c>
      <c r="C179" s="15">
        <v>0</v>
      </c>
      <c r="D179" s="15">
        <v>0</v>
      </c>
      <c r="E179" s="15">
        <v>0</v>
      </c>
      <c r="F179" s="15">
        <f t="shared" si="2"/>
        <v>0</v>
      </c>
    </row>
    <row r="180" spans="1:6" ht="24" customHeight="1">
      <c r="A180" s="10"/>
      <c r="B180" s="11" t="s">
        <v>97</v>
      </c>
      <c r="C180" s="15">
        <v>0</v>
      </c>
      <c r="D180" s="15">
        <v>0</v>
      </c>
      <c r="E180" s="15">
        <v>10048</v>
      </c>
      <c r="F180" s="15">
        <f t="shared" si="2"/>
        <v>10048</v>
      </c>
    </row>
    <row r="181" spans="1:6" ht="24" customHeight="1">
      <c r="A181" s="10"/>
      <c r="B181" s="11" t="s">
        <v>98</v>
      </c>
      <c r="C181" s="15">
        <v>0</v>
      </c>
      <c r="D181" s="15">
        <v>15368</v>
      </c>
      <c r="E181" s="15">
        <v>590</v>
      </c>
      <c r="F181" s="15">
        <f t="shared" si="2"/>
        <v>15958</v>
      </c>
    </row>
    <row r="182" spans="1:6" ht="24" customHeight="1">
      <c r="A182" s="10"/>
      <c r="B182" s="11" t="s">
        <v>99</v>
      </c>
      <c r="C182" s="15">
        <v>0</v>
      </c>
      <c r="D182" s="15">
        <v>0</v>
      </c>
      <c r="E182" s="15">
        <v>21796</v>
      </c>
      <c r="F182" s="15">
        <f t="shared" si="2"/>
        <v>21796</v>
      </c>
    </row>
    <row r="183" spans="1:6" ht="24" customHeight="1">
      <c r="A183" s="10"/>
      <c r="B183" s="11" t="s">
        <v>100</v>
      </c>
      <c r="C183" s="15">
        <v>0</v>
      </c>
      <c r="D183" s="15">
        <v>2088</v>
      </c>
      <c r="E183" s="15">
        <v>2190</v>
      </c>
      <c r="F183" s="15">
        <f t="shared" si="2"/>
        <v>4278</v>
      </c>
    </row>
    <row r="184" spans="1:6" ht="24" customHeight="1">
      <c r="A184" s="10"/>
      <c r="B184" s="11" t="s">
        <v>101</v>
      </c>
      <c r="C184" s="15">
        <v>0</v>
      </c>
      <c r="D184" s="42">
        <v>0</v>
      </c>
      <c r="E184" s="15">
        <v>3270</v>
      </c>
      <c r="F184" s="15">
        <f t="shared" si="2"/>
        <v>3270</v>
      </c>
    </row>
    <row r="185" spans="1:6" ht="24" customHeight="1">
      <c r="A185" s="10"/>
      <c r="B185" s="11" t="s">
        <v>102</v>
      </c>
      <c r="C185" s="15">
        <v>0</v>
      </c>
      <c r="D185" s="15">
        <v>1696</v>
      </c>
      <c r="E185" s="15">
        <v>15957.33</v>
      </c>
      <c r="F185" s="15">
        <f t="shared" si="2"/>
        <v>17653.330000000002</v>
      </c>
    </row>
    <row r="186" spans="1:6" ht="24" customHeight="1">
      <c r="A186" s="10"/>
      <c r="B186" s="11" t="s">
        <v>103</v>
      </c>
      <c r="C186" s="15">
        <v>0</v>
      </c>
      <c r="D186" s="15">
        <v>0</v>
      </c>
      <c r="E186" s="15">
        <v>10265</v>
      </c>
      <c r="F186" s="15">
        <f t="shared" si="2"/>
        <v>10265</v>
      </c>
    </row>
    <row r="187" spans="1:6" ht="24" customHeight="1">
      <c r="A187" s="10"/>
      <c r="B187" s="11" t="s">
        <v>104</v>
      </c>
      <c r="C187" s="15">
        <v>0</v>
      </c>
      <c r="D187" s="15">
        <v>0</v>
      </c>
      <c r="E187" s="15">
        <v>0</v>
      </c>
      <c r="F187" s="15">
        <f t="shared" si="2"/>
        <v>0</v>
      </c>
    </row>
    <row r="188" spans="1:6" ht="24" customHeight="1">
      <c r="A188" s="10"/>
      <c r="B188" s="11" t="s">
        <v>105</v>
      </c>
      <c r="C188" s="15">
        <v>0</v>
      </c>
      <c r="D188" s="15">
        <v>2850</v>
      </c>
      <c r="E188" s="15">
        <v>0</v>
      </c>
      <c r="F188" s="15">
        <f>SUM(C188:E188)</f>
        <v>2850</v>
      </c>
    </row>
    <row r="189" spans="1:6" ht="24" customHeight="1">
      <c r="A189" s="10"/>
      <c r="B189" s="11" t="s">
        <v>106</v>
      </c>
      <c r="C189" s="15">
        <v>0</v>
      </c>
      <c r="D189" s="15">
        <v>0</v>
      </c>
      <c r="E189" s="15">
        <v>2441</v>
      </c>
      <c r="F189" s="15">
        <f t="shared" si="2"/>
        <v>2441</v>
      </c>
    </row>
    <row r="190" spans="1:6" ht="24" customHeight="1">
      <c r="A190" s="10"/>
      <c r="B190" s="11" t="s">
        <v>107</v>
      </c>
      <c r="C190" s="15">
        <v>0</v>
      </c>
      <c r="D190" s="15">
        <v>0</v>
      </c>
      <c r="E190" s="15">
        <v>2555</v>
      </c>
      <c r="F190" s="15">
        <f t="shared" si="2"/>
        <v>2555</v>
      </c>
    </row>
    <row r="191" spans="1:6" ht="24" customHeight="1">
      <c r="A191" s="10"/>
      <c r="B191" s="11" t="s">
        <v>108</v>
      </c>
      <c r="C191" s="15">
        <v>0</v>
      </c>
      <c r="D191" s="15">
        <v>0</v>
      </c>
      <c r="E191" s="15">
        <v>5853</v>
      </c>
      <c r="F191" s="15">
        <f t="shared" si="2"/>
        <v>5853</v>
      </c>
    </row>
    <row r="192" spans="1:6" ht="24" customHeight="1">
      <c r="A192" s="10"/>
      <c r="B192" s="11" t="s">
        <v>109</v>
      </c>
      <c r="C192" s="15">
        <v>0</v>
      </c>
      <c r="D192" s="15">
        <v>0</v>
      </c>
      <c r="E192" s="15">
        <v>17868</v>
      </c>
      <c r="F192" s="15">
        <f t="shared" si="2"/>
        <v>17868</v>
      </c>
    </row>
    <row r="193" spans="1:6" ht="24" customHeight="1">
      <c r="A193" s="10"/>
      <c r="B193" s="11" t="s">
        <v>110</v>
      </c>
      <c r="C193" s="15">
        <v>0</v>
      </c>
      <c r="D193" s="42">
        <v>0</v>
      </c>
      <c r="E193" s="15">
        <v>10330</v>
      </c>
      <c r="F193" s="15">
        <f t="shared" si="2"/>
        <v>10330</v>
      </c>
    </row>
    <row r="194" spans="1:6" ht="18.75" customHeight="1">
      <c r="A194" s="10"/>
      <c r="B194" s="11" t="s">
        <v>111</v>
      </c>
      <c r="C194" s="15">
        <v>0</v>
      </c>
      <c r="D194" s="15">
        <v>700</v>
      </c>
      <c r="E194" s="15">
        <v>6053</v>
      </c>
      <c r="F194" s="15">
        <f t="shared" si="2"/>
        <v>6753</v>
      </c>
    </row>
    <row r="195" spans="1:6" ht="18" customHeight="1">
      <c r="A195" s="12"/>
      <c r="B195" s="12" t="s">
        <v>112</v>
      </c>
      <c r="C195" s="15">
        <f>SUM(C4:C194)</f>
        <v>363706.36</v>
      </c>
      <c r="D195" s="15">
        <f t="shared" ref="D195:E195" si="3">SUM(D4:D194)</f>
        <v>727074</v>
      </c>
      <c r="E195" s="15">
        <f t="shared" si="3"/>
        <v>2043496.76</v>
      </c>
      <c r="F195" s="15">
        <f t="shared" si="2"/>
        <v>3134277.12</v>
      </c>
    </row>
  </sheetData>
  <mergeCells count="2">
    <mergeCell ref="A1:F1"/>
    <mergeCell ref="A2:B2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cp:lastPrinted>2018-05-31T00:37:20Z</cp:lastPrinted>
  <dcterms:created xsi:type="dcterms:W3CDTF">2018-05-28T03:07:26Z</dcterms:created>
  <dcterms:modified xsi:type="dcterms:W3CDTF">2018-05-31T07:06:28Z</dcterms:modified>
</cp:coreProperties>
</file>