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90" windowWidth="21840" windowHeight="90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95" i="1"/>
  <c r="D195"/>
  <c r="C195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4"/>
  <c r="D57"/>
  <c r="D55"/>
  <c r="E53"/>
  <c r="E33"/>
  <c r="D33"/>
</calcChain>
</file>

<file path=xl/sharedStrings.xml><?xml version="1.0" encoding="utf-8"?>
<sst xmlns="http://schemas.openxmlformats.org/spreadsheetml/2006/main" count="200" uniqueCount="200">
  <si>
    <t>单位：元</t>
  </si>
  <si>
    <t>编码</t>
  </si>
  <si>
    <t>单位名称</t>
  </si>
  <si>
    <t>因公出国（境）费</t>
  </si>
  <si>
    <t>公务接待费</t>
  </si>
  <si>
    <t>公务用车运行维护费</t>
  </si>
  <si>
    <t>合计</t>
  </si>
  <si>
    <t>区自贸办</t>
  </si>
  <si>
    <t>区金融服务办公室</t>
    <phoneticPr fontId="8" type="noConversion"/>
  </si>
  <si>
    <t>区发展研究中心</t>
    <phoneticPr fontId="2" type="noConversion"/>
  </si>
  <si>
    <t>平潭县屿头乡</t>
    <phoneticPr fontId="8" type="noConversion"/>
  </si>
  <si>
    <t>平潭县大练乡</t>
    <phoneticPr fontId="8" type="noConversion"/>
  </si>
  <si>
    <t>平潭县苏澳镇</t>
    <phoneticPr fontId="8" type="noConversion"/>
  </si>
  <si>
    <t>平潭县平原镇</t>
    <phoneticPr fontId="8" type="noConversion"/>
  </si>
  <si>
    <t>平潭县白青乡</t>
    <phoneticPr fontId="8" type="noConversion"/>
  </si>
  <si>
    <t>平潭县芦洋乡</t>
    <phoneticPr fontId="8" type="noConversion"/>
  </si>
  <si>
    <t>平潭县中楼乡</t>
    <phoneticPr fontId="8" type="noConversion"/>
  </si>
  <si>
    <t>平潭县流水镇</t>
    <phoneticPr fontId="8" type="noConversion"/>
  </si>
  <si>
    <t>平潭县东庠乡</t>
    <phoneticPr fontId="8" type="noConversion"/>
  </si>
  <si>
    <t>平潭县潭城镇</t>
    <phoneticPr fontId="8" type="noConversion"/>
  </si>
  <si>
    <t>平潭县岚城乡</t>
    <phoneticPr fontId="8" type="noConversion"/>
  </si>
  <si>
    <t>平潭县澳前镇</t>
    <phoneticPr fontId="8" type="noConversion"/>
  </si>
  <si>
    <t>平潭县北厝镇</t>
    <phoneticPr fontId="8" type="noConversion"/>
  </si>
  <si>
    <t>平潭县敖东镇</t>
    <phoneticPr fontId="8" type="noConversion"/>
  </si>
  <si>
    <t>平潭县南海乡</t>
    <phoneticPr fontId="8" type="noConversion"/>
  </si>
  <si>
    <t>合    计</t>
    <phoneticPr fontId="2" type="noConversion"/>
  </si>
  <si>
    <t>平潭县政协</t>
  </si>
  <si>
    <t>平潭综合实验区归国华侨联合会</t>
  </si>
  <si>
    <t>行政服务中心</t>
  </si>
  <si>
    <t>区安监局</t>
  </si>
  <si>
    <t>区防汛抗旱指挥部办公室</t>
  </si>
  <si>
    <t>平潭综合实验区图书馆</t>
  </si>
  <si>
    <t>平潭综合实验区残联</t>
  </si>
  <si>
    <t>平潭综合实验区仲裁院</t>
  </si>
  <si>
    <t>平潭综合实验区皮肤病性病防治院</t>
  </si>
  <si>
    <t>平潭综合实验区南海乡卫生院</t>
  </si>
  <si>
    <t>平潭县人大常委会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</si>
  <si>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</si>
  <si>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</si>
  <si>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</si>
  <si>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</si>
  <si>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</si>
  <si>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</si>
  <si>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</si>
  <si>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区党工委政法办公室</t>
  </si>
  <si>
    <t>区公证处</t>
  </si>
  <si>
    <t>区创城办</t>
  </si>
  <si>
    <t>平潭综合实验区管委会台湾工作部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</si>
  <si>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</si>
  <si>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</si>
  <si>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</si>
  <si>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</si>
  <si>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</si>
  <si>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</si>
  <si>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</si>
  <si>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</si>
  <si>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</si>
  <si>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</si>
  <si>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</si>
  <si>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</si>
  <si>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平潭综合实验区公共资源交易中心</t>
  </si>
  <si>
    <t>区安全生产综合服务中心</t>
  </si>
  <si>
    <t>区安全生产与劳动保障执法支队</t>
  </si>
  <si>
    <t>平潭综合实验区经济发展局</t>
  </si>
  <si>
    <t>平潭综合实验区统计局</t>
  </si>
  <si>
    <t>平潭综合实验区经济社会调查队</t>
  </si>
  <si>
    <t>平潭综合实验区招商局</t>
  </si>
  <si>
    <t>区农村发展局本级</t>
  </si>
  <si>
    <t>区农业机械管理站</t>
  </si>
  <si>
    <t>平潭县供销合作联合社</t>
  </si>
  <si>
    <t>区海洋与渔业技术中心</t>
  </si>
  <si>
    <t>区水利综合服务中心</t>
  </si>
  <si>
    <t>区农业技术服务中心</t>
  </si>
  <si>
    <t>区动物卫生监督所</t>
  </si>
  <si>
    <t>区海洋与渔业海上应急指挥中心</t>
  </si>
  <si>
    <t>区林业发展服务中心</t>
  </si>
  <si>
    <t>平潭国有防护林场</t>
  </si>
  <si>
    <t>区水利工程质量监督站</t>
  </si>
  <si>
    <t>区森林公安局</t>
  </si>
  <si>
    <t>区林业工作总站</t>
  </si>
  <si>
    <t>区海洋渔业执法大队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</si>
  <si>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</si>
  <si>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</si>
  <si>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</si>
  <si>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</si>
  <si>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</si>
  <si>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</si>
  <si>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平潭综合实验区科协</t>
  </si>
  <si>
    <t>平潭综合实验区残疾人服务中心</t>
  </si>
  <si>
    <t>平潭综合实验区广播电视服务中心</t>
  </si>
  <si>
    <t>平潭综合实验区保障服务中心</t>
  </si>
  <si>
    <t>平潭综合实验区民政事务服务中心</t>
  </si>
  <si>
    <t>平潭综合实验区教育局</t>
  </si>
  <si>
    <t>平潭综合实验区教育督导室</t>
  </si>
  <si>
    <t>平潭综合实验区教育考试中心</t>
  </si>
  <si>
    <t>平潭综合实验区进修校</t>
  </si>
  <si>
    <t>平潭职业中专学校</t>
  </si>
  <si>
    <t>平潭第一中学</t>
  </si>
  <si>
    <t>平潭城关中学</t>
  </si>
  <si>
    <t>福建师范大学平潭附属中学</t>
  </si>
  <si>
    <t>平潭综合实验区旅游发展委员会</t>
  </si>
  <si>
    <t>平潭综合实验区风景区与旅游执法支队</t>
  </si>
  <si>
    <t>平潭综合实验区风景名胜区管理局</t>
  </si>
  <si>
    <t>平潭综合实验区管委会口岸工作办公室</t>
  </si>
  <si>
    <t>平潭综合实验区管委会口岸服务中心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</si>
  <si>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</si>
  <si>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</si>
  <si>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</si>
  <si>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</si>
  <si>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</si>
  <si>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</si>
  <si>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</si>
  <si>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</si>
  <si>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</si>
  <si>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</si>
  <si>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</si>
  <si>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</si>
  <si>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</si>
  <si>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</si>
  <si>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</si>
  <si>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</si>
  <si>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</si>
  <si>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</si>
  <si>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</si>
  <si>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平潭综合实验区南海乡塘屿卫生院</t>
  </si>
  <si>
    <t>区档案局</t>
    <phoneticPr fontId="2" type="noConversion"/>
  </si>
  <si>
    <t>区机关事务服务中心</t>
    <phoneticPr fontId="8" type="noConversion"/>
  </si>
  <si>
    <t>区机关效能办</t>
    <phoneticPr fontId="8" type="noConversion"/>
  </si>
  <si>
    <t>行政审批局</t>
    <phoneticPr fontId="8" type="noConversion"/>
  </si>
  <si>
    <t>马上办</t>
    <phoneticPr fontId="8" type="noConversion"/>
  </si>
  <si>
    <t>平潭综合实验区传媒中心</t>
    <phoneticPr fontId="8" type="noConversion"/>
  </si>
  <si>
    <t>平潭广播电视台</t>
    <phoneticPr fontId="8" type="noConversion"/>
  </si>
  <si>
    <t>平潭时报社</t>
    <phoneticPr fontId="8" type="noConversion"/>
  </si>
  <si>
    <t>区党群部</t>
    <phoneticPr fontId="11" type="noConversion"/>
  </si>
  <si>
    <t>区老年大学</t>
    <phoneticPr fontId="11" type="noConversion"/>
  </si>
  <si>
    <t>工商联</t>
    <phoneticPr fontId="11" type="noConversion"/>
  </si>
  <si>
    <t>党校</t>
    <phoneticPr fontId="11" type="noConversion"/>
  </si>
  <si>
    <t>共青团</t>
    <phoneticPr fontId="11" type="noConversion"/>
  </si>
  <si>
    <t>妇联</t>
    <phoneticPr fontId="11" type="noConversion"/>
  </si>
  <si>
    <t>总工会</t>
    <phoneticPr fontId="11" type="noConversion"/>
  </si>
  <si>
    <t>干部人事信息中心</t>
    <phoneticPr fontId="11" type="noConversion"/>
  </si>
  <si>
    <t>青少年宫</t>
    <phoneticPr fontId="11" type="noConversion"/>
  </si>
  <si>
    <t>挂职办</t>
    <phoneticPr fontId="11" type="noConversion"/>
  </si>
  <si>
    <t>人力资源公共服务中心</t>
    <phoneticPr fontId="11" type="noConversion"/>
  </si>
  <si>
    <t>事业单位管理局</t>
    <phoneticPr fontId="11" type="noConversion"/>
  </si>
  <si>
    <t>平潭综合实验区离退休干部活动中心</t>
    <phoneticPr fontId="11" type="noConversion"/>
  </si>
  <si>
    <t>关心下一代工作委员会办公室</t>
    <phoneticPr fontId="11" type="noConversion"/>
  </si>
  <si>
    <t>宗教事务服务中心</t>
    <phoneticPr fontId="11" type="noConversion"/>
  </si>
  <si>
    <t>区综合执法局</t>
    <phoneticPr fontId="11" type="noConversion"/>
  </si>
  <si>
    <t>区安办</t>
    <phoneticPr fontId="11" type="noConversion"/>
  </si>
  <si>
    <t>区交通综合执法支队</t>
    <phoneticPr fontId="11" type="noConversion"/>
  </si>
  <si>
    <t>区文化市场综合执法支队</t>
    <phoneticPr fontId="11" type="noConversion"/>
  </si>
  <si>
    <t>区农业综合执法支队</t>
    <phoneticPr fontId="11" type="noConversion"/>
  </si>
  <si>
    <t>公安局</t>
    <phoneticPr fontId="11" type="noConversion"/>
  </si>
  <si>
    <t>看守所</t>
    <phoneticPr fontId="11" type="noConversion"/>
  </si>
  <si>
    <t>拘留所</t>
    <phoneticPr fontId="11" type="noConversion"/>
  </si>
  <si>
    <t>财金局本级</t>
    <phoneticPr fontId="11" type="noConversion"/>
  </si>
  <si>
    <t>国库支付中心</t>
    <phoneticPr fontId="11" type="noConversion"/>
  </si>
  <si>
    <t>平潭综合实验区政府采购办公室</t>
    <phoneticPr fontId="11" type="noConversion"/>
  </si>
  <si>
    <t>评审中心</t>
    <phoneticPr fontId="11" type="noConversion"/>
  </si>
  <si>
    <t>乡财办</t>
    <phoneticPr fontId="11" type="noConversion"/>
  </si>
  <si>
    <t>PPP</t>
    <phoneticPr fontId="11" type="noConversion"/>
  </si>
  <si>
    <t>国有资产管理局</t>
    <phoneticPr fontId="11" type="noConversion"/>
  </si>
  <si>
    <t>科研院</t>
    <phoneticPr fontId="11" type="noConversion"/>
  </si>
  <si>
    <t>平潭综合实验区物流服务中心</t>
    <phoneticPr fontId="11" type="noConversion"/>
  </si>
  <si>
    <t>平潭综合实验区重点项目建设管理办公室</t>
    <phoneticPr fontId="11" type="noConversion"/>
  </si>
  <si>
    <t>平潭综合实验区重点项目服务中心</t>
    <phoneticPr fontId="11" type="noConversion"/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</si>
  <si>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</si>
  <si>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</si>
  <si>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</si>
  <si>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</si>
  <si>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</si>
  <si>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平潭综合实验区不动产登记中心</t>
  </si>
  <si>
    <t>平潭综合实验区土地开发整理中心</t>
  </si>
  <si>
    <t>平潭综合实验区环境监察支队</t>
  </si>
  <si>
    <t>平潭综合实验区交通与建设局本级</t>
  </si>
  <si>
    <t>平潭综合实验区住房公积金管理中心</t>
  </si>
  <si>
    <t>平潭综合实验区公路局</t>
  </si>
  <si>
    <t>平潭综合实验区人防办</t>
  </si>
  <si>
    <t>平潭县地震办</t>
  </si>
  <si>
    <t>平潭县轮渡管理处</t>
  </si>
  <si>
    <t>平潭综合实验区村镇建设总站</t>
  </si>
  <si>
    <t>平潭综合实验区环卫所</t>
  </si>
  <si>
    <t>平潭区公用事业服务中心</t>
  </si>
  <si>
    <t>平潭综合实验区邮政业发展与安全中心</t>
  </si>
  <si>
    <t>平潭综合实验区造价站</t>
  </si>
  <si>
    <t>平潭综合实验区规划局</t>
  </si>
  <si>
    <t>平潭综合实验区规划编制研究中心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</si>
  <si>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</si>
  <si>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</si>
  <si>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</si>
  <si>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</si>
  <si>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</si>
  <si>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</si>
  <si>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</si>
  <si>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</si>
  <si>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平潭综合实验区土地房屋征收安置工作领导小组</t>
  </si>
  <si>
    <t>平潭综合实验区交通与建设工程质量安全监督站</t>
    <phoneticPr fontId="2" type="noConversion"/>
  </si>
  <si>
    <t>平潭综合实验区交通运输管理服务中心</t>
    <phoneticPr fontId="8" type="noConversion"/>
  </si>
  <si>
    <t>平潭综合实验区各单位2018年1-6月份三公经费统计表</t>
    <phoneticPr fontId="2" type="noConversion"/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</si>
</sst>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0.00_);[Red]\(0.00\)"/>
    <numFmt numFmtId="177" formatCode="0.00_ "/>
    <numFmt numFmtId="178" formatCode="0_);[Red]\(0\)"/>
  </numFmts>
  <fonts count="16">
    <font>
      <sz val="11"/>
      <color theme="1"/>
      <name val="宋体"/>
      <family val="2"/>
      <charset val="134"/>
      <scheme val="minor"/>
    </font>
    <font>
      <b/>
      <sz val="18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  <scheme val="major"/>
    </font>
    <font>
      <sz val="9"/>
      <name val="宋体"/>
      <charset val="134"/>
    </font>
    <font>
      <sz val="11"/>
      <color theme="1"/>
      <name val="宋体"/>
      <family val="2"/>
      <charset val="134"/>
      <scheme val="minor"/>
    </font>
    <font>
      <sz val="10"/>
      <color theme="1"/>
      <name val="仿宋_GB2312"/>
      <family val="3"/>
      <charset val="134"/>
    </font>
    <font>
      <sz val="11"/>
      <color theme="1"/>
      <name val="仿宋_GB2312"/>
      <family val="3"/>
      <charset val="134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/>
    <xf numFmtId="43" fontId="12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49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0" fillId="2" borderId="6" xfId="0" applyNumberFormat="1" applyFont="1" applyFill="1" applyBorder="1" applyAlignment="1" applyProtection="1">
      <alignment horizontal="center" vertical="center" wrapText="1"/>
    </xf>
    <xf numFmtId="177" fontId="10" fillId="2" borderId="7" xfId="0" applyNumberFormat="1" applyFont="1" applyFill="1" applyBorder="1" applyAlignment="1">
      <alignment horizontal="left" vertical="center" wrapText="1"/>
    </xf>
    <xf numFmtId="177" fontId="14" fillId="2" borderId="0" xfId="0" applyNumberFormat="1" applyFont="1" applyFill="1" applyBorder="1" applyAlignment="1" applyProtection="1">
      <alignment horizontal="center" vertical="center"/>
    </xf>
    <xf numFmtId="177" fontId="14" fillId="2" borderId="0" xfId="0" applyNumberFormat="1" applyFont="1" applyFill="1" applyAlignment="1">
      <alignment horizontal="center" vertical="center"/>
    </xf>
    <xf numFmtId="177" fontId="10" fillId="2" borderId="4" xfId="0" applyNumberFormat="1" applyFont="1" applyFill="1" applyBorder="1" applyAlignment="1">
      <alignment horizontal="left" vertical="center" wrapText="1"/>
    </xf>
    <xf numFmtId="177" fontId="15" fillId="2" borderId="4" xfId="0" applyNumberFormat="1" applyFont="1" applyFill="1" applyBorder="1" applyAlignment="1">
      <alignment horizontal="left" vertical="center" wrapText="1"/>
    </xf>
    <xf numFmtId="0" fontId="10" fillId="2" borderId="4" xfId="0" applyNumberFormat="1" applyFont="1" applyFill="1" applyBorder="1" applyAlignment="1">
      <alignment horizontal="center" vertical="center" wrapText="1"/>
    </xf>
    <xf numFmtId="178" fontId="15" fillId="2" borderId="4" xfId="0" applyNumberFormat="1" applyFont="1" applyFill="1" applyBorder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177" fontId="4" fillId="2" borderId="4" xfId="0" applyNumberFormat="1" applyFont="1" applyFill="1" applyBorder="1" applyAlignment="1">
      <alignment horizontal="left" vertical="center" wrapText="1"/>
    </xf>
    <xf numFmtId="0" fontId="13" fillId="2" borderId="4" xfId="0" applyNumberFormat="1" applyFont="1" applyFill="1" applyBorder="1" applyAlignment="1" applyProtection="1">
      <alignment horizontal="center" vertical="center" wrapText="1"/>
    </xf>
    <xf numFmtId="177" fontId="13" fillId="2" borderId="4" xfId="0" applyNumberFormat="1" applyFont="1" applyFill="1" applyBorder="1" applyAlignment="1" applyProtection="1">
      <alignment horizontal="left" vertical="center" wrapText="1"/>
    </xf>
    <xf numFmtId="177" fontId="4" fillId="2" borderId="4" xfId="2" applyNumberFormat="1" applyFont="1" applyFill="1" applyBorder="1" applyAlignment="1">
      <alignment horizontal="left" vertical="center" wrapText="1"/>
    </xf>
    <xf numFmtId="177" fontId="4" fillId="2" borderId="4" xfId="2" applyNumberFormat="1" applyFont="1" applyFill="1" applyBorder="1" applyAlignment="1" applyProtection="1">
      <alignment horizontal="left" vertical="center" wrapText="1"/>
    </xf>
    <xf numFmtId="0" fontId="15" fillId="2" borderId="8" xfId="3" applyNumberFormat="1" applyFont="1" applyFill="1" applyBorder="1" applyAlignment="1" applyProtection="1">
      <alignment horizontal="center" vertical="center" wrapText="1"/>
    </xf>
    <xf numFmtId="177" fontId="15" fillId="2" borderId="8" xfId="3" applyNumberFormat="1" applyFont="1" applyFill="1" applyBorder="1" applyAlignment="1" applyProtection="1">
      <alignment horizontal="left" vertical="center" wrapText="1"/>
    </xf>
    <xf numFmtId="0" fontId="15" fillId="2" borderId="5" xfId="3" applyNumberFormat="1" applyFont="1" applyFill="1" applyBorder="1" applyAlignment="1" applyProtection="1">
      <alignment horizontal="center" vertical="center" wrapText="1"/>
    </xf>
    <xf numFmtId="177" fontId="15" fillId="2" borderId="5" xfId="3" applyNumberFormat="1" applyFont="1" applyFill="1" applyBorder="1" applyAlignment="1" applyProtection="1">
      <alignment horizontal="left" vertical="center" wrapText="1"/>
    </xf>
    <xf numFmtId="0" fontId="10" fillId="2" borderId="3" xfId="0" applyNumberFormat="1" applyFont="1" applyFill="1" applyBorder="1" applyAlignment="1" applyProtection="1">
      <alignment horizontal="center" vertical="center" wrapText="1"/>
    </xf>
    <xf numFmtId="0" fontId="15" fillId="2" borderId="3" xfId="0" applyNumberFormat="1" applyFont="1" applyFill="1" applyBorder="1" applyAlignment="1" applyProtection="1">
      <alignment horizontal="center" vertical="center" wrapText="1"/>
    </xf>
    <xf numFmtId="0" fontId="15" fillId="2" borderId="3" xfId="0" applyNumberFormat="1" applyFont="1" applyFill="1" applyBorder="1" applyAlignment="1">
      <alignment horizontal="center" vertical="center" wrapText="1"/>
    </xf>
    <xf numFmtId="178" fontId="15" fillId="2" borderId="3" xfId="0" applyNumberFormat="1" applyFont="1" applyFill="1" applyBorder="1" applyAlignment="1">
      <alignment horizontal="center" vertical="center"/>
    </xf>
    <xf numFmtId="178" fontId="15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178" fontId="4" fillId="2" borderId="3" xfId="0" applyNumberFormat="1" applyFont="1" applyFill="1" applyBorder="1" applyAlignment="1">
      <alignment horizontal="center" vertical="center"/>
    </xf>
    <xf numFmtId="0" fontId="4" fillId="2" borderId="3" xfId="2" applyNumberFormat="1" applyFont="1" applyFill="1" applyBorder="1" applyAlignment="1" applyProtection="1">
      <alignment horizontal="center" vertical="center" wrapText="1"/>
    </xf>
    <xf numFmtId="176" fontId="10" fillId="2" borderId="4" xfId="0" applyNumberFormat="1" applyFont="1" applyFill="1" applyBorder="1" applyAlignment="1" applyProtection="1">
      <alignment horizontal="center" vertical="center" shrinkToFit="1"/>
    </xf>
    <xf numFmtId="176" fontId="10" fillId="2" borderId="5" xfId="0" applyNumberFormat="1" applyFont="1" applyFill="1" applyBorder="1" applyAlignment="1" applyProtection="1">
      <alignment horizontal="center" vertical="center"/>
    </xf>
    <xf numFmtId="0" fontId="0" fillId="0" borderId="0" xfId="0" applyFill="1">
      <alignment vertical="center"/>
    </xf>
    <xf numFmtId="0" fontId="10" fillId="2" borderId="4" xfId="0" applyNumberFormat="1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/>
    </xf>
    <xf numFmtId="177" fontId="10" fillId="2" borderId="4" xfId="0" applyNumberFormat="1" applyFont="1" applyFill="1" applyBorder="1" applyAlignment="1">
      <alignment horizontal="left" vertical="center"/>
    </xf>
    <xf numFmtId="176" fontId="10" fillId="2" borderId="7" xfId="0" applyNumberFormat="1" applyFont="1" applyFill="1" applyBorder="1" applyAlignment="1" applyProtection="1">
      <alignment horizontal="center" vertical="center" shrinkToFit="1"/>
    </xf>
    <xf numFmtId="176" fontId="15" fillId="2" borderId="4" xfId="0" applyNumberFormat="1" applyFont="1" applyFill="1" applyBorder="1" applyAlignment="1" applyProtection="1">
      <alignment horizontal="center" vertical="center" shrinkToFit="1"/>
    </xf>
    <xf numFmtId="176" fontId="15" fillId="2" borderId="4" xfId="0" applyNumberFormat="1" applyFont="1" applyFill="1" applyBorder="1" applyAlignment="1">
      <alignment horizontal="center" vertical="center" shrinkToFit="1"/>
    </xf>
    <xf numFmtId="176" fontId="4" fillId="2" borderId="4" xfId="0" applyNumberFormat="1" applyFont="1" applyFill="1" applyBorder="1" applyAlignment="1">
      <alignment horizontal="center" vertical="center"/>
    </xf>
    <xf numFmtId="176" fontId="10" fillId="2" borderId="4" xfId="4" applyNumberFormat="1" applyFont="1" applyFill="1" applyBorder="1" applyAlignment="1" applyProtection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5">
    <cellStyle name="常规" xfId="0" builtinId="0"/>
    <cellStyle name="常规 2 2" xfId="3"/>
    <cellStyle name="常规 4" xfId="2"/>
    <cellStyle name="常规 5" xfId="1"/>
    <cellStyle name="千位分隔" xfId="4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95"/>
  <sheetViews>
    <sheetView tabSelected="1" workbookViewId="0">
      <selection activeCell="N9" sqref="N9"/>
    </sheetView>
  </sheetViews>
  <sheetFormatPr defaultRowHeight="13.5"/>
  <cols>
    <col min="2" max="2" width="31.25" customWidth="1"/>
    <col min="3" max="3" width="12.5" customWidth="1"/>
    <col min="4" max="4" width="11.75" customWidth="1"/>
    <col min="5" max="5" width="12" customWidth="1"/>
    <col min="6" max="6" width="11" customWidth="1"/>
  </cols>
  <sheetData>
    <row r="1" spans="1:16" ht="22.5" customHeight="1">
      <c r="A1" s="47" t="s">
        <v>199</v>
      </c>
      <c r="B1" s="47"/>
      <c r="C1" s="47"/>
      <c r="D1" s="47"/>
      <c r="E1" s="47"/>
      <c r="F1" s="47"/>
    </row>
    <row r="2" spans="1:16">
      <c r="A2" s="48"/>
      <c r="B2" s="48"/>
      <c r="C2" s="1"/>
      <c r="D2" s="1"/>
      <c r="F2" s="2" t="s">
        <v>0</v>
      </c>
    </row>
    <row r="3" spans="1:16" ht="24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16" s="13" customFormat="1" ht="24" customHeight="1">
      <c r="A4" s="10">
        <v>101002</v>
      </c>
      <c r="B4" s="11" t="s">
        <v>36</v>
      </c>
      <c r="C4" s="42">
        <v>0</v>
      </c>
      <c r="D4" s="43">
        <v>1720</v>
      </c>
      <c r="E4" s="36">
        <v>2614.6999999999998</v>
      </c>
      <c r="F4" s="36">
        <f>SUM(C4:E4)</f>
        <v>4334.7</v>
      </c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s="13" customFormat="1" ht="24" customHeight="1">
      <c r="A5" s="28">
        <v>102002</v>
      </c>
      <c r="B5" s="14" t="s">
        <v>26</v>
      </c>
      <c r="C5" s="43">
        <v>0</v>
      </c>
      <c r="D5" s="43">
        <v>8079</v>
      </c>
      <c r="E5" s="43">
        <v>4921.1000000000004</v>
      </c>
      <c r="F5" s="36">
        <f t="shared" ref="F5:F68" si="0">SUM(C5:E5)</f>
        <v>13000.1</v>
      </c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s="13" customFormat="1" ht="24" customHeight="1">
      <c r="A6" s="28">
        <v>103001</v>
      </c>
      <c r="B6" s="14" t="s">
        <v>37</v>
      </c>
      <c r="C6" s="36">
        <v>0</v>
      </c>
      <c r="D6" s="36">
        <v>10299</v>
      </c>
      <c r="E6" s="36">
        <v>120020.79</v>
      </c>
      <c r="F6" s="36">
        <f t="shared" si="0"/>
        <v>130319.79</v>
      </c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s="13" customFormat="1" ht="24" customHeight="1">
      <c r="A7" s="28">
        <v>103003</v>
      </c>
      <c r="B7" s="14" t="s">
        <v>38</v>
      </c>
      <c r="C7" s="36">
        <v>0</v>
      </c>
      <c r="D7" s="36">
        <v>0</v>
      </c>
      <c r="E7" s="36">
        <v>0</v>
      </c>
      <c r="F7" s="36">
        <f t="shared" si="0"/>
        <v>0</v>
      </c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s="13" customFormat="1" ht="24" customHeight="1">
      <c r="A8" s="28">
        <v>104001</v>
      </c>
      <c r="B8" s="14" t="s">
        <v>39</v>
      </c>
      <c r="C8" s="36">
        <v>103974</v>
      </c>
      <c r="D8" s="36">
        <v>802305</v>
      </c>
      <c r="E8" s="36">
        <v>181555.47</v>
      </c>
      <c r="F8" s="36">
        <f t="shared" si="0"/>
        <v>1087834.47</v>
      </c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s="13" customFormat="1" ht="24" customHeight="1">
      <c r="A9" s="28">
        <v>104004</v>
      </c>
      <c r="B9" s="14" t="s">
        <v>40</v>
      </c>
      <c r="C9" s="36">
        <v>0</v>
      </c>
      <c r="D9" s="36">
        <v>0</v>
      </c>
      <c r="E9" s="36">
        <v>0</v>
      </c>
      <c r="F9" s="36">
        <f t="shared" si="0"/>
        <v>0</v>
      </c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s="13" customFormat="1" ht="24" customHeight="1">
      <c r="A10" s="28">
        <v>104005</v>
      </c>
      <c r="B10" s="14" t="s">
        <v>41</v>
      </c>
      <c r="C10" s="36">
        <v>0</v>
      </c>
      <c r="D10" s="36">
        <v>1862</v>
      </c>
      <c r="E10" s="36">
        <v>28524.720000000001</v>
      </c>
      <c r="F10" s="36">
        <f t="shared" si="0"/>
        <v>30386.720000000001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s="13" customFormat="1" ht="24" customHeight="1">
      <c r="A11" s="29">
        <v>104007</v>
      </c>
      <c r="B11" s="15" t="s">
        <v>42</v>
      </c>
      <c r="C11" s="36">
        <v>0</v>
      </c>
      <c r="D11" s="36">
        <v>0</v>
      </c>
      <c r="E11" s="36">
        <v>0</v>
      </c>
      <c r="F11" s="36">
        <f t="shared" si="0"/>
        <v>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s="13" customFormat="1" ht="24" customHeight="1">
      <c r="A12" s="28">
        <v>104008</v>
      </c>
      <c r="B12" s="14" t="s">
        <v>43</v>
      </c>
      <c r="C12" s="36">
        <v>0</v>
      </c>
      <c r="D12" s="36">
        <v>660</v>
      </c>
      <c r="E12" s="36">
        <v>868</v>
      </c>
      <c r="F12" s="36">
        <f t="shared" si="0"/>
        <v>1528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s="13" customFormat="1" ht="24" customHeight="1">
      <c r="A13" s="28">
        <v>104009</v>
      </c>
      <c r="B13" s="14" t="s">
        <v>125</v>
      </c>
      <c r="C13" s="36">
        <v>0</v>
      </c>
      <c r="D13" s="36">
        <v>0</v>
      </c>
      <c r="E13" s="36">
        <v>0</v>
      </c>
      <c r="F13" s="36">
        <f t="shared" si="0"/>
        <v>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s="13" customFormat="1" ht="24" customHeight="1">
      <c r="A14" s="28">
        <v>104010</v>
      </c>
      <c r="B14" s="14" t="s">
        <v>44</v>
      </c>
      <c r="C14" s="36">
        <v>0</v>
      </c>
      <c r="D14" s="36">
        <v>4456</v>
      </c>
      <c r="E14" s="36">
        <v>0</v>
      </c>
      <c r="F14" s="36">
        <f t="shared" si="0"/>
        <v>4456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s="13" customFormat="1" ht="24" customHeight="1">
      <c r="A15" s="29">
        <v>104011</v>
      </c>
      <c r="B15" s="15" t="s">
        <v>45</v>
      </c>
      <c r="C15" s="43">
        <v>0</v>
      </c>
      <c r="D15" s="43">
        <v>980</v>
      </c>
      <c r="E15" s="43">
        <v>14125.34</v>
      </c>
      <c r="F15" s="36">
        <f t="shared" si="0"/>
        <v>15105.34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s="13" customFormat="1" ht="24" customHeight="1">
      <c r="A16" s="28">
        <v>104016</v>
      </c>
      <c r="B16" s="14" t="s">
        <v>46</v>
      </c>
      <c r="C16" s="44">
        <v>0</v>
      </c>
      <c r="D16" s="44">
        <v>0</v>
      </c>
      <c r="E16" s="44">
        <v>0</v>
      </c>
      <c r="F16" s="36">
        <f t="shared" si="0"/>
        <v>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s="13" customFormat="1" ht="24" customHeight="1">
      <c r="A17" s="28">
        <v>104018</v>
      </c>
      <c r="B17" s="14" t="s">
        <v>126</v>
      </c>
      <c r="C17" s="36">
        <v>0</v>
      </c>
      <c r="D17" s="36">
        <v>0</v>
      </c>
      <c r="E17" s="36">
        <v>0</v>
      </c>
      <c r="F17" s="36">
        <f t="shared" si="0"/>
        <v>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s="13" customFormat="1" ht="24" customHeight="1">
      <c r="A18" s="28">
        <v>104019</v>
      </c>
      <c r="B18" s="14" t="s">
        <v>127</v>
      </c>
      <c r="C18" s="36">
        <v>0</v>
      </c>
      <c r="D18" s="36">
        <v>0</v>
      </c>
      <c r="E18" s="36">
        <v>0</v>
      </c>
      <c r="F18" s="36">
        <f t="shared" si="0"/>
        <v>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s="13" customFormat="1" ht="24" customHeight="1">
      <c r="A19" s="28">
        <v>106001</v>
      </c>
      <c r="B19" s="14" t="s">
        <v>47</v>
      </c>
      <c r="C19" s="36">
        <v>40315</v>
      </c>
      <c r="D19" s="36">
        <v>16071</v>
      </c>
      <c r="E19" s="36">
        <v>12507.3</v>
      </c>
      <c r="F19" s="36">
        <f t="shared" si="0"/>
        <v>68893.3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s="13" customFormat="1" ht="24" customHeight="1">
      <c r="A20" s="28">
        <v>106003</v>
      </c>
      <c r="B20" s="14" t="s">
        <v>27</v>
      </c>
      <c r="C20" s="43">
        <v>12407</v>
      </c>
      <c r="D20" s="43">
        <v>1304</v>
      </c>
      <c r="E20" s="43">
        <v>0</v>
      </c>
      <c r="F20" s="36">
        <f t="shared" si="0"/>
        <v>13711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s="13" customFormat="1" ht="24" customHeight="1">
      <c r="A21" s="28">
        <v>106004</v>
      </c>
      <c r="B21" s="14" t="s">
        <v>48</v>
      </c>
      <c r="C21" s="36">
        <v>0</v>
      </c>
      <c r="D21" s="36">
        <v>0</v>
      </c>
      <c r="E21" s="36">
        <v>0</v>
      </c>
      <c r="F21" s="36">
        <f t="shared" si="0"/>
        <v>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s="13" customFormat="1" ht="24" customHeight="1">
      <c r="A22" s="28">
        <v>109001</v>
      </c>
      <c r="B22" s="14" t="s">
        <v>49</v>
      </c>
      <c r="C22" s="36">
        <v>0</v>
      </c>
      <c r="D22" s="36">
        <v>17382</v>
      </c>
      <c r="E22" s="36">
        <v>0</v>
      </c>
      <c r="F22" s="36">
        <f t="shared" si="0"/>
        <v>17382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s="13" customFormat="1" ht="24" customHeight="1">
      <c r="A23" s="28">
        <v>109002</v>
      </c>
      <c r="B23" s="14" t="s">
        <v>50</v>
      </c>
      <c r="C23" s="36">
        <v>0</v>
      </c>
      <c r="D23" s="36">
        <v>0</v>
      </c>
      <c r="E23" s="36">
        <v>0</v>
      </c>
      <c r="F23" s="36">
        <f t="shared" si="0"/>
        <v>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s="13" customFormat="1" ht="24" customHeight="1">
      <c r="A24" s="28">
        <v>109003</v>
      </c>
      <c r="B24" s="14" t="s">
        <v>51</v>
      </c>
      <c r="C24" s="36">
        <v>0</v>
      </c>
      <c r="D24" s="36">
        <v>0</v>
      </c>
      <c r="E24" s="36">
        <v>0</v>
      </c>
      <c r="F24" s="36">
        <f t="shared" si="0"/>
        <v>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s="13" customFormat="1" ht="24" customHeight="1">
      <c r="A25" s="28">
        <v>109004</v>
      </c>
      <c r="B25" s="14" t="s">
        <v>52</v>
      </c>
      <c r="C25" s="36">
        <v>0</v>
      </c>
      <c r="D25" s="36">
        <v>0</v>
      </c>
      <c r="E25" s="36">
        <v>0</v>
      </c>
      <c r="F25" s="36">
        <f t="shared" si="0"/>
        <v>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s="13" customFormat="1" ht="24" customHeight="1">
      <c r="A26" s="28">
        <v>109005</v>
      </c>
      <c r="B26" s="14" t="s">
        <v>53</v>
      </c>
      <c r="C26" s="36">
        <v>0</v>
      </c>
      <c r="D26" s="36">
        <v>1494</v>
      </c>
      <c r="E26" s="36">
        <v>0</v>
      </c>
      <c r="F26" s="36">
        <f t="shared" si="0"/>
        <v>1494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s="13" customFormat="1" ht="24" customHeight="1">
      <c r="A27" s="28">
        <v>205001</v>
      </c>
      <c r="B27" s="14" t="s">
        <v>54</v>
      </c>
      <c r="C27" s="36">
        <v>0</v>
      </c>
      <c r="D27" s="36">
        <v>4059</v>
      </c>
      <c r="E27" s="36">
        <v>0</v>
      </c>
      <c r="F27" s="36">
        <f t="shared" si="0"/>
        <v>4059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s="13" customFormat="1" ht="24" customHeight="1">
      <c r="A28" s="28">
        <v>206001</v>
      </c>
      <c r="B28" s="14" t="s">
        <v>55</v>
      </c>
      <c r="C28" s="36">
        <v>0</v>
      </c>
      <c r="D28" s="36">
        <v>3908</v>
      </c>
      <c r="E28" s="36">
        <v>1088</v>
      </c>
      <c r="F28" s="36">
        <f t="shared" si="0"/>
        <v>4996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s="13" customFormat="1" ht="24" customHeight="1">
      <c r="A29" s="28">
        <v>303001</v>
      </c>
      <c r="B29" s="14" t="s">
        <v>56</v>
      </c>
      <c r="C29" s="36">
        <v>1446.36</v>
      </c>
      <c r="D29" s="36">
        <v>4746</v>
      </c>
      <c r="E29" s="36">
        <v>28709.67</v>
      </c>
      <c r="F29" s="36">
        <f t="shared" si="0"/>
        <v>34902.03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s="13" customFormat="1" ht="24" customHeight="1">
      <c r="A30" s="28">
        <v>303005</v>
      </c>
      <c r="B30" s="14" t="s">
        <v>57</v>
      </c>
      <c r="C30" s="36">
        <v>0</v>
      </c>
      <c r="D30" s="36">
        <v>0</v>
      </c>
      <c r="E30" s="36">
        <v>7475.99</v>
      </c>
      <c r="F30" s="36">
        <f t="shared" si="0"/>
        <v>7475.99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s="13" customFormat="1" ht="24" customHeight="1">
      <c r="A31" s="30">
        <v>303009</v>
      </c>
      <c r="B31" s="15" t="s">
        <v>58</v>
      </c>
      <c r="C31" s="44">
        <v>0</v>
      </c>
      <c r="D31" s="44">
        <v>700</v>
      </c>
      <c r="E31" s="44">
        <v>8426.2800000000007</v>
      </c>
      <c r="F31" s="36">
        <f t="shared" si="0"/>
        <v>9126.2800000000007</v>
      </c>
    </row>
    <row r="32" spans="1:16" s="13" customFormat="1" ht="24" customHeight="1">
      <c r="A32" s="28">
        <v>303008</v>
      </c>
      <c r="B32" s="14" t="s">
        <v>59</v>
      </c>
      <c r="C32" s="36">
        <v>0</v>
      </c>
      <c r="D32" s="36">
        <v>2440</v>
      </c>
      <c r="E32" s="36">
        <v>0</v>
      </c>
      <c r="F32" s="36">
        <f t="shared" si="0"/>
        <v>2440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s="13" customFormat="1" ht="24" customHeight="1">
      <c r="A33" s="29">
        <v>304001</v>
      </c>
      <c r="B33" s="15" t="s">
        <v>128</v>
      </c>
      <c r="C33" s="43">
        <v>0</v>
      </c>
      <c r="D33" s="43">
        <f>800+1095+8363</f>
        <v>10258</v>
      </c>
      <c r="E33" s="43">
        <f>843+468</f>
        <v>1311</v>
      </c>
      <c r="F33" s="36">
        <f t="shared" si="0"/>
        <v>11569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s="13" customFormat="1" ht="24" customHeight="1">
      <c r="A34" s="29">
        <v>304002</v>
      </c>
      <c r="B34" s="15" t="s">
        <v>129</v>
      </c>
      <c r="C34" s="36">
        <v>0</v>
      </c>
      <c r="D34" s="36">
        <v>0</v>
      </c>
      <c r="E34" s="36">
        <v>0</v>
      </c>
      <c r="F34" s="36">
        <f t="shared" si="0"/>
        <v>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s="13" customFormat="1" ht="24" customHeight="1">
      <c r="A35" s="29">
        <v>304003</v>
      </c>
      <c r="B35" s="15" t="s">
        <v>28</v>
      </c>
      <c r="C35" s="43">
        <v>0</v>
      </c>
      <c r="D35" s="43">
        <v>511</v>
      </c>
      <c r="E35" s="43">
        <v>15157.7</v>
      </c>
      <c r="F35" s="36">
        <f t="shared" si="0"/>
        <v>15668.7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s="13" customFormat="1" ht="24" customHeight="1">
      <c r="A36" s="28">
        <v>304004</v>
      </c>
      <c r="B36" s="14" t="s">
        <v>60</v>
      </c>
      <c r="C36" s="36">
        <v>0</v>
      </c>
      <c r="D36" s="36">
        <v>2742</v>
      </c>
      <c r="E36" s="36">
        <v>0</v>
      </c>
      <c r="F36" s="36">
        <f t="shared" si="0"/>
        <v>2742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s="13" customFormat="1" ht="24" customHeight="1">
      <c r="A37" s="29">
        <v>105001</v>
      </c>
      <c r="B37" s="15" t="s">
        <v>133</v>
      </c>
      <c r="C37" s="43">
        <v>44306</v>
      </c>
      <c r="D37" s="43">
        <v>63932</v>
      </c>
      <c r="E37" s="43">
        <v>15169.97</v>
      </c>
      <c r="F37" s="36">
        <f t="shared" si="0"/>
        <v>123407.97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s="13" customFormat="1" ht="24" customHeight="1">
      <c r="A38" s="29">
        <v>105004</v>
      </c>
      <c r="B38" s="15" t="s">
        <v>134</v>
      </c>
      <c r="C38" s="43">
        <v>0</v>
      </c>
      <c r="D38" s="43">
        <v>500</v>
      </c>
      <c r="E38" s="43">
        <v>0</v>
      </c>
      <c r="F38" s="36">
        <f t="shared" si="0"/>
        <v>500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s="13" customFormat="1" ht="24" customHeight="1">
      <c r="A39" s="29">
        <v>105007</v>
      </c>
      <c r="B39" s="15" t="s">
        <v>135</v>
      </c>
      <c r="C39" s="43">
        <v>0</v>
      </c>
      <c r="D39" s="43">
        <v>0</v>
      </c>
      <c r="E39" s="43">
        <v>0</v>
      </c>
      <c r="F39" s="36">
        <f t="shared" si="0"/>
        <v>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s="13" customFormat="1" ht="24" customHeight="1">
      <c r="A40" s="29">
        <v>105008</v>
      </c>
      <c r="B40" s="15" t="s">
        <v>136</v>
      </c>
      <c r="C40" s="43">
        <v>0</v>
      </c>
      <c r="D40" s="43">
        <v>4184</v>
      </c>
      <c r="E40" s="43">
        <v>0</v>
      </c>
      <c r="F40" s="36">
        <f t="shared" si="0"/>
        <v>4184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s="13" customFormat="1" ht="24" customHeight="1">
      <c r="A41" s="29">
        <v>105011</v>
      </c>
      <c r="B41" s="15" t="s">
        <v>137</v>
      </c>
      <c r="C41" s="43">
        <v>0</v>
      </c>
      <c r="D41" s="43">
        <v>0</v>
      </c>
      <c r="E41" s="43">
        <v>0</v>
      </c>
      <c r="F41" s="36">
        <f t="shared" si="0"/>
        <v>0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s="13" customFormat="1" ht="24" customHeight="1">
      <c r="A42" s="29">
        <v>105013</v>
      </c>
      <c r="B42" s="15" t="s">
        <v>138</v>
      </c>
      <c r="C42" s="43">
        <v>0</v>
      </c>
      <c r="D42" s="43">
        <v>0</v>
      </c>
      <c r="E42" s="43">
        <v>0</v>
      </c>
      <c r="F42" s="36">
        <f t="shared" si="0"/>
        <v>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s="13" customFormat="1" ht="24" customHeight="1">
      <c r="A43" s="29">
        <v>105014</v>
      </c>
      <c r="B43" s="15" t="s">
        <v>139</v>
      </c>
      <c r="C43" s="43">
        <v>0</v>
      </c>
      <c r="D43" s="43">
        <v>0</v>
      </c>
      <c r="E43" s="43">
        <v>0</v>
      </c>
      <c r="F43" s="36">
        <f t="shared" si="0"/>
        <v>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s="13" customFormat="1" ht="24" customHeight="1">
      <c r="A44" s="29">
        <v>105018</v>
      </c>
      <c r="B44" s="15" t="s">
        <v>140</v>
      </c>
      <c r="C44" s="43">
        <v>0</v>
      </c>
      <c r="D44" s="43">
        <v>0</v>
      </c>
      <c r="E44" s="43">
        <v>0</v>
      </c>
      <c r="F44" s="36">
        <f t="shared" si="0"/>
        <v>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s="13" customFormat="1" ht="24" customHeight="1">
      <c r="A45" s="29">
        <v>105019</v>
      </c>
      <c r="B45" s="15" t="s">
        <v>141</v>
      </c>
      <c r="C45" s="43">
        <v>0</v>
      </c>
      <c r="D45" s="43">
        <v>0</v>
      </c>
      <c r="E45" s="43">
        <v>0</v>
      </c>
      <c r="F45" s="36">
        <f t="shared" si="0"/>
        <v>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s="13" customFormat="1" ht="24" customHeight="1">
      <c r="A46" s="29">
        <v>105020</v>
      </c>
      <c r="B46" s="15" t="s">
        <v>142</v>
      </c>
      <c r="C46" s="43">
        <v>111330</v>
      </c>
      <c r="D46" s="43">
        <v>2213</v>
      </c>
      <c r="E46" s="43">
        <v>0</v>
      </c>
      <c r="F46" s="36">
        <f t="shared" si="0"/>
        <v>113543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s="13" customFormat="1" ht="24" customHeight="1">
      <c r="A47" s="29">
        <v>105022</v>
      </c>
      <c r="B47" s="15" t="s">
        <v>143</v>
      </c>
      <c r="C47" s="43">
        <v>0</v>
      </c>
      <c r="D47" s="43">
        <v>0</v>
      </c>
      <c r="E47" s="43">
        <v>0</v>
      </c>
      <c r="F47" s="36">
        <f t="shared" si="0"/>
        <v>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s="13" customFormat="1" ht="24" customHeight="1">
      <c r="A48" s="29">
        <v>105024</v>
      </c>
      <c r="B48" s="15" t="s">
        <v>144</v>
      </c>
      <c r="C48" s="43">
        <v>0</v>
      </c>
      <c r="D48" s="43">
        <v>0</v>
      </c>
      <c r="E48" s="43">
        <v>0</v>
      </c>
      <c r="F48" s="36">
        <f t="shared" si="0"/>
        <v>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s="13" customFormat="1" ht="24" customHeight="1">
      <c r="A49" s="29">
        <v>105027</v>
      </c>
      <c r="B49" s="15" t="s">
        <v>145</v>
      </c>
      <c r="C49" s="43">
        <v>0</v>
      </c>
      <c r="D49" s="43">
        <v>0</v>
      </c>
      <c r="E49" s="43">
        <v>0</v>
      </c>
      <c r="F49" s="36">
        <f t="shared" si="0"/>
        <v>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s="13" customFormat="1" ht="24" customHeight="1">
      <c r="A50" s="29">
        <v>105030</v>
      </c>
      <c r="B50" s="15" t="s">
        <v>146</v>
      </c>
      <c r="C50" s="43">
        <v>0</v>
      </c>
      <c r="D50" s="43">
        <v>0</v>
      </c>
      <c r="E50" s="43">
        <v>0</v>
      </c>
      <c r="F50" s="36">
        <f t="shared" si="0"/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 s="13" customFormat="1" ht="24" customHeight="1">
      <c r="A51" s="29">
        <v>105031</v>
      </c>
      <c r="B51" s="15" t="s">
        <v>147</v>
      </c>
      <c r="C51" s="43">
        <v>0</v>
      </c>
      <c r="D51" s="43">
        <v>0</v>
      </c>
      <c r="E51" s="43">
        <v>0</v>
      </c>
      <c r="F51" s="36">
        <f t="shared" si="0"/>
        <v>0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 s="13" customFormat="1" ht="24" customHeight="1">
      <c r="A52" s="17">
        <v>108001</v>
      </c>
      <c r="B52" s="15" t="s">
        <v>148</v>
      </c>
      <c r="C52" s="43">
        <v>0</v>
      </c>
      <c r="D52" s="43">
        <v>1978</v>
      </c>
      <c r="E52" s="43">
        <v>233275.86</v>
      </c>
      <c r="F52" s="36">
        <f t="shared" si="0"/>
        <v>235253.86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 s="13" customFormat="1" ht="24" customHeight="1">
      <c r="A53" s="29">
        <v>108002</v>
      </c>
      <c r="B53" s="15" t="s">
        <v>29</v>
      </c>
      <c r="C53" s="43">
        <v>0</v>
      </c>
      <c r="D53" s="43">
        <v>0</v>
      </c>
      <c r="E53" s="43">
        <f>1420+4046.88</f>
        <v>5466.88</v>
      </c>
      <c r="F53" s="36">
        <f t="shared" si="0"/>
        <v>5466.88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s="13" customFormat="1" ht="24" customHeight="1">
      <c r="A54" s="29">
        <v>108004</v>
      </c>
      <c r="B54" s="15" t="s">
        <v>61</v>
      </c>
      <c r="C54" s="43">
        <v>0</v>
      </c>
      <c r="D54" s="43">
        <v>293</v>
      </c>
      <c r="E54" s="43">
        <v>0</v>
      </c>
      <c r="F54" s="36">
        <f t="shared" si="0"/>
        <v>293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s="13" customFormat="1" ht="24" customHeight="1">
      <c r="A55" s="29">
        <v>108006</v>
      </c>
      <c r="B55" s="15" t="s">
        <v>149</v>
      </c>
      <c r="C55" s="43">
        <v>0</v>
      </c>
      <c r="D55" s="43">
        <f>885+964</f>
        <v>1849</v>
      </c>
      <c r="E55" s="43">
        <v>0</v>
      </c>
      <c r="F55" s="36">
        <f t="shared" si="0"/>
        <v>1849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s="13" customFormat="1" ht="24" customHeight="1">
      <c r="A56" s="17">
        <v>108007</v>
      </c>
      <c r="B56" s="15" t="s">
        <v>150</v>
      </c>
      <c r="C56" s="43">
        <v>0</v>
      </c>
      <c r="D56" s="43">
        <v>0</v>
      </c>
      <c r="E56" s="43">
        <v>0</v>
      </c>
      <c r="F56" s="36">
        <f t="shared" si="0"/>
        <v>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s="13" customFormat="1" ht="24" customHeight="1">
      <c r="A57" s="29">
        <v>108008</v>
      </c>
      <c r="B57" s="15" t="s">
        <v>62</v>
      </c>
      <c r="C57" s="43">
        <v>0</v>
      </c>
      <c r="D57" s="43">
        <f>2309+469</f>
        <v>2778</v>
      </c>
      <c r="E57" s="43">
        <v>0</v>
      </c>
      <c r="F57" s="36">
        <f t="shared" si="0"/>
        <v>2778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 s="13" customFormat="1" ht="24" customHeight="1">
      <c r="A58" s="17">
        <v>108009</v>
      </c>
      <c r="B58" s="15" t="s">
        <v>151</v>
      </c>
      <c r="C58" s="43">
        <v>0</v>
      </c>
      <c r="D58" s="43">
        <v>0</v>
      </c>
      <c r="E58" s="43">
        <v>0</v>
      </c>
      <c r="F58" s="36">
        <f t="shared" si="0"/>
        <v>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s="13" customFormat="1" ht="24" customHeight="1">
      <c r="A59" s="17">
        <v>108010</v>
      </c>
      <c r="B59" s="15" t="s">
        <v>152</v>
      </c>
      <c r="C59" s="43">
        <v>0</v>
      </c>
      <c r="D59" s="43">
        <v>0</v>
      </c>
      <c r="E59" s="43">
        <v>0</v>
      </c>
      <c r="F59" s="36">
        <f t="shared" si="0"/>
        <v>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s="13" customFormat="1" ht="24" customHeight="1">
      <c r="A60" s="31">
        <v>201001</v>
      </c>
      <c r="B60" s="15" t="s">
        <v>153</v>
      </c>
      <c r="C60" s="43">
        <v>30000</v>
      </c>
      <c r="D60" s="43">
        <v>109035</v>
      </c>
      <c r="E60" s="43">
        <v>1419205.83</v>
      </c>
      <c r="F60" s="36">
        <f t="shared" si="0"/>
        <v>1558240.83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s="13" customFormat="1" ht="24" customHeight="1">
      <c r="A61" s="29">
        <v>201002</v>
      </c>
      <c r="B61" s="15" t="s">
        <v>154</v>
      </c>
      <c r="C61" s="43">
        <v>0</v>
      </c>
      <c r="D61" s="43">
        <v>0</v>
      </c>
      <c r="E61" s="43">
        <v>19744.39</v>
      </c>
      <c r="F61" s="36">
        <f t="shared" si="0"/>
        <v>19744.39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s="13" customFormat="1" ht="24" customHeight="1">
      <c r="A62" s="29">
        <v>201003</v>
      </c>
      <c r="B62" s="15" t="s">
        <v>155</v>
      </c>
      <c r="C62" s="43">
        <v>0</v>
      </c>
      <c r="D62" s="43">
        <v>0</v>
      </c>
      <c r="E62" s="43">
        <v>0</v>
      </c>
      <c r="F62" s="36">
        <f t="shared" si="0"/>
        <v>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s="18" customFormat="1" ht="24" customHeight="1">
      <c r="A63" s="33">
        <v>301001</v>
      </c>
      <c r="B63" s="19" t="s">
        <v>63</v>
      </c>
      <c r="C63" s="36">
        <v>39284</v>
      </c>
      <c r="D63" s="36">
        <v>15926</v>
      </c>
      <c r="E63" s="36">
        <v>36119.980000000003</v>
      </c>
      <c r="F63" s="36">
        <f t="shared" si="0"/>
        <v>91329.98000000001</v>
      </c>
    </row>
    <row r="64" spans="1:16" s="18" customFormat="1" ht="24" customHeight="1">
      <c r="A64" s="34">
        <v>301002</v>
      </c>
      <c r="B64" s="19" t="s">
        <v>64</v>
      </c>
      <c r="C64" s="36">
        <v>0</v>
      </c>
      <c r="D64" s="36">
        <v>1214</v>
      </c>
      <c r="E64" s="36">
        <v>0</v>
      </c>
      <c r="F64" s="36">
        <f t="shared" si="0"/>
        <v>1214</v>
      </c>
    </row>
    <row r="65" spans="1:16" s="13" customFormat="1" ht="24" customHeight="1">
      <c r="A65" s="34">
        <v>301003</v>
      </c>
      <c r="B65" s="19" t="s">
        <v>65</v>
      </c>
      <c r="C65" s="36">
        <v>0</v>
      </c>
      <c r="D65" s="36">
        <v>2821</v>
      </c>
      <c r="E65" s="36">
        <v>0</v>
      </c>
      <c r="F65" s="36">
        <f t="shared" si="0"/>
        <v>2821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s="18" customFormat="1" ht="24" customHeight="1">
      <c r="A66" s="20">
        <v>301004</v>
      </c>
      <c r="B66" s="21" t="s">
        <v>164</v>
      </c>
      <c r="C66" s="36">
        <v>0</v>
      </c>
      <c r="D66" s="36">
        <v>0</v>
      </c>
      <c r="E66" s="36">
        <v>0</v>
      </c>
      <c r="F66" s="36">
        <f t="shared" si="0"/>
        <v>0</v>
      </c>
    </row>
    <row r="67" spans="1:16" s="18" customFormat="1" ht="24" customHeight="1">
      <c r="A67" s="35">
        <v>302001</v>
      </c>
      <c r="B67" s="22" t="s">
        <v>66</v>
      </c>
      <c r="C67" s="43">
        <v>11840</v>
      </c>
      <c r="D67" s="43">
        <v>68252</v>
      </c>
      <c r="E67" s="43">
        <v>13928.32</v>
      </c>
      <c r="F67" s="36">
        <f t="shared" si="0"/>
        <v>94020.32</v>
      </c>
    </row>
    <row r="68" spans="1:16" s="18" customFormat="1" ht="24" customHeight="1">
      <c r="A68" s="33">
        <v>307001</v>
      </c>
      <c r="B68" s="19" t="s">
        <v>165</v>
      </c>
      <c r="C68" s="36">
        <v>0</v>
      </c>
      <c r="D68" s="36">
        <v>2136</v>
      </c>
      <c r="E68" s="36">
        <v>431</v>
      </c>
      <c r="F68" s="36">
        <f t="shared" si="0"/>
        <v>2567</v>
      </c>
    </row>
    <row r="69" spans="1:16" s="18" customFormat="1" ht="24" customHeight="1">
      <c r="A69" s="33">
        <v>307002</v>
      </c>
      <c r="B69" s="19" t="s">
        <v>166</v>
      </c>
      <c r="C69" s="36">
        <v>0</v>
      </c>
      <c r="D69" s="36">
        <v>0</v>
      </c>
      <c r="E69" s="36">
        <v>0</v>
      </c>
      <c r="F69" s="36">
        <f t="shared" ref="F69:F132" si="1">SUM(C69:E69)</f>
        <v>0</v>
      </c>
    </row>
    <row r="70" spans="1:16" s="13" customFormat="1" ht="24" customHeight="1">
      <c r="A70" s="28">
        <v>306001</v>
      </c>
      <c r="B70" s="14" t="s">
        <v>67</v>
      </c>
      <c r="C70" s="36">
        <v>0</v>
      </c>
      <c r="D70" s="36">
        <v>50107</v>
      </c>
      <c r="E70" s="36">
        <v>32865.120000000003</v>
      </c>
      <c r="F70" s="36">
        <f t="shared" si="1"/>
        <v>82972.12</v>
      </c>
      <c r="G70" s="12"/>
      <c r="H70" s="12"/>
      <c r="I70" s="12"/>
      <c r="J70" s="12"/>
      <c r="K70" s="12"/>
      <c r="L70" s="12"/>
      <c r="M70" s="12"/>
      <c r="N70" s="12"/>
    </row>
    <row r="71" spans="1:16" s="13" customFormat="1" ht="24" customHeight="1">
      <c r="A71" s="28">
        <v>306002</v>
      </c>
      <c r="B71" s="14" t="s">
        <v>68</v>
      </c>
      <c r="C71" s="36">
        <v>0</v>
      </c>
      <c r="D71" s="36">
        <v>0</v>
      </c>
      <c r="E71" s="36">
        <v>1260</v>
      </c>
      <c r="F71" s="36">
        <f t="shared" si="1"/>
        <v>1260</v>
      </c>
      <c r="G71" s="12"/>
      <c r="H71" s="12"/>
      <c r="I71" s="12"/>
      <c r="J71" s="12"/>
      <c r="K71" s="12"/>
      <c r="L71" s="12"/>
      <c r="M71" s="12"/>
      <c r="N71" s="12"/>
    </row>
    <row r="72" spans="1:16" s="13" customFormat="1" ht="24" customHeight="1">
      <c r="A72" s="28">
        <v>306003</v>
      </c>
      <c r="B72" s="14" t="s">
        <v>69</v>
      </c>
      <c r="C72" s="36">
        <v>0</v>
      </c>
      <c r="D72" s="36">
        <v>0</v>
      </c>
      <c r="E72" s="36">
        <v>0</v>
      </c>
      <c r="F72" s="36">
        <f t="shared" si="1"/>
        <v>0</v>
      </c>
      <c r="G72" s="12"/>
      <c r="H72" s="12"/>
      <c r="I72" s="12"/>
      <c r="J72" s="12"/>
      <c r="K72" s="12"/>
      <c r="L72" s="12"/>
      <c r="M72" s="12"/>
      <c r="N72" s="12"/>
    </row>
    <row r="73" spans="1:16" s="13" customFormat="1" ht="24" customHeight="1">
      <c r="A73" s="28">
        <v>306004</v>
      </c>
      <c r="B73" s="14" t="s">
        <v>30</v>
      </c>
      <c r="C73" s="36">
        <v>0</v>
      </c>
      <c r="D73" s="36">
        <v>3299</v>
      </c>
      <c r="E73" s="36">
        <v>2000</v>
      </c>
      <c r="F73" s="36">
        <f t="shared" si="1"/>
        <v>5299</v>
      </c>
      <c r="G73" s="12"/>
      <c r="H73" s="12"/>
      <c r="I73" s="12"/>
      <c r="J73" s="12"/>
      <c r="K73" s="12"/>
      <c r="L73" s="12"/>
      <c r="M73" s="12"/>
      <c r="N73" s="12"/>
    </row>
    <row r="74" spans="1:16" s="13" customFormat="1" ht="24" customHeight="1">
      <c r="A74" s="28">
        <v>306005</v>
      </c>
      <c r="B74" s="14" t="s">
        <v>70</v>
      </c>
      <c r="C74" s="36">
        <v>0</v>
      </c>
      <c r="D74" s="36">
        <v>1608</v>
      </c>
      <c r="E74" s="36">
        <v>27940.9</v>
      </c>
      <c r="F74" s="36">
        <f t="shared" si="1"/>
        <v>29548.9</v>
      </c>
      <c r="G74" s="12"/>
      <c r="H74" s="12"/>
      <c r="I74" s="12"/>
      <c r="J74" s="12"/>
      <c r="K74" s="12"/>
      <c r="L74" s="12"/>
      <c r="M74" s="12"/>
      <c r="N74" s="12"/>
    </row>
    <row r="75" spans="1:16" s="13" customFormat="1" ht="24" customHeight="1">
      <c r="A75" s="28">
        <v>306006</v>
      </c>
      <c r="B75" s="14" t="s">
        <v>71</v>
      </c>
      <c r="C75" s="36">
        <v>0</v>
      </c>
      <c r="D75" s="36">
        <v>8743</v>
      </c>
      <c r="E75" s="36">
        <v>0</v>
      </c>
      <c r="F75" s="36">
        <f t="shared" si="1"/>
        <v>8743</v>
      </c>
      <c r="G75" s="12"/>
      <c r="H75" s="12"/>
      <c r="I75" s="12"/>
      <c r="J75" s="12"/>
      <c r="K75" s="12"/>
      <c r="L75" s="12"/>
      <c r="M75" s="12"/>
      <c r="N75" s="12"/>
    </row>
    <row r="76" spans="1:16" s="13" customFormat="1" ht="24" customHeight="1">
      <c r="A76" s="28">
        <v>306007</v>
      </c>
      <c r="B76" s="14" t="s">
        <v>72</v>
      </c>
      <c r="C76" s="36">
        <v>0</v>
      </c>
      <c r="D76" s="36">
        <v>562</v>
      </c>
      <c r="E76" s="36">
        <v>8009.47</v>
      </c>
      <c r="F76" s="36">
        <f t="shared" si="1"/>
        <v>8571.4700000000012</v>
      </c>
      <c r="G76" s="12"/>
      <c r="H76" s="12"/>
      <c r="I76" s="12"/>
      <c r="J76" s="12"/>
      <c r="K76" s="12"/>
      <c r="L76" s="12"/>
      <c r="M76" s="12"/>
      <c r="N76" s="12"/>
    </row>
    <row r="77" spans="1:16" s="13" customFormat="1" ht="24" customHeight="1">
      <c r="A77" s="28">
        <v>306008</v>
      </c>
      <c r="B77" s="14" t="s">
        <v>73</v>
      </c>
      <c r="C77" s="36">
        <v>0</v>
      </c>
      <c r="D77" s="36">
        <v>0</v>
      </c>
      <c r="E77" s="36">
        <v>3890</v>
      </c>
      <c r="F77" s="36">
        <f t="shared" si="1"/>
        <v>3890</v>
      </c>
      <c r="G77" s="12"/>
      <c r="H77" s="12"/>
      <c r="I77" s="12"/>
      <c r="J77" s="12"/>
      <c r="K77" s="12"/>
      <c r="L77" s="12"/>
      <c r="M77" s="12"/>
      <c r="N77" s="12"/>
    </row>
    <row r="78" spans="1:16" s="13" customFormat="1" ht="24" customHeight="1">
      <c r="A78" s="28">
        <v>306010</v>
      </c>
      <c r="B78" s="14" t="s">
        <v>74</v>
      </c>
      <c r="C78" s="36">
        <v>0</v>
      </c>
      <c r="D78" s="36">
        <v>0</v>
      </c>
      <c r="E78" s="36">
        <v>0</v>
      </c>
      <c r="F78" s="36">
        <f t="shared" si="1"/>
        <v>0</v>
      </c>
      <c r="G78" s="12"/>
      <c r="H78" s="12"/>
      <c r="I78" s="12"/>
      <c r="J78" s="12"/>
      <c r="K78" s="12"/>
      <c r="L78" s="12"/>
      <c r="M78" s="12"/>
      <c r="N78" s="12"/>
    </row>
    <row r="79" spans="1:16" s="13" customFormat="1" ht="24" customHeight="1">
      <c r="A79" s="28">
        <v>306011</v>
      </c>
      <c r="B79" s="14" t="s">
        <v>75</v>
      </c>
      <c r="C79" s="36">
        <v>0</v>
      </c>
      <c r="D79" s="36">
        <v>5120</v>
      </c>
      <c r="E79" s="36">
        <v>38392.400000000001</v>
      </c>
      <c r="F79" s="36">
        <f t="shared" si="1"/>
        <v>43512.4</v>
      </c>
      <c r="G79" s="12"/>
      <c r="H79" s="12"/>
      <c r="I79" s="12"/>
      <c r="J79" s="12"/>
      <c r="K79" s="12"/>
      <c r="L79" s="12"/>
      <c r="M79" s="12"/>
      <c r="N79" s="12"/>
    </row>
    <row r="80" spans="1:16" s="13" customFormat="1" ht="24" customHeight="1">
      <c r="A80" s="28">
        <v>306012</v>
      </c>
      <c r="B80" s="14" t="s">
        <v>76</v>
      </c>
      <c r="C80" s="36">
        <v>0</v>
      </c>
      <c r="D80" s="36">
        <v>0</v>
      </c>
      <c r="E80" s="36">
        <v>18813.02</v>
      </c>
      <c r="F80" s="36">
        <f t="shared" si="1"/>
        <v>18813.02</v>
      </c>
      <c r="G80" s="12"/>
      <c r="H80" s="12"/>
      <c r="I80" s="12"/>
      <c r="J80" s="12"/>
      <c r="K80" s="12"/>
      <c r="L80" s="12"/>
      <c r="M80" s="12"/>
      <c r="N80" s="12"/>
    </row>
    <row r="81" spans="1:14" s="13" customFormat="1" ht="24" customHeight="1">
      <c r="A81" s="28">
        <v>306014</v>
      </c>
      <c r="B81" s="14" t="s">
        <v>77</v>
      </c>
      <c r="C81" s="36">
        <v>0</v>
      </c>
      <c r="D81" s="36">
        <v>1200</v>
      </c>
      <c r="E81" s="36">
        <v>0</v>
      </c>
      <c r="F81" s="36">
        <f t="shared" si="1"/>
        <v>1200</v>
      </c>
      <c r="G81" s="12"/>
      <c r="H81" s="12"/>
      <c r="I81" s="12"/>
      <c r="J81" s="12"/>
      <c r="K81" s="12"/>
      <c r="L81" s="12"/>
      <c r="M81" s="12"/>
      <c r="N81" s="12"/>
    </row>
    <row r="82" spans="1:14" s="13" customFormat="1" ht="24" customHeight="1">
      <c r="A82" s="28">
        <v>306015</v>
      </c>
      <c r="B82" s="14" t="s">
        <v>78</v>
      </c>
      <c r="C82" s="36">
        <v>0</v>
      </c>
      <c r="D82" s="36">
        <v>900</v>
      </c>
      <c r="E82" s="36">
        <v>0</v>
      </c>
      <c r="F82" s="36">
        <f t="shared" si="1"/>
        <v>900</v>
      </c>
      <c r="G82" s="12"/>
      <c r="H82" s="12"/>
      <c r="I82" s="12"/>
      <c r="J82" s="12"/>
      <c r="K82" s="12"/>
      <c r="L82" s="12"/>
      <c r="M82" s="12"/>
      <c r="N82" s="12"/>
    </row>
    <row r="83" spans="1:14" s="13" customFormat="1" ht="24" customHeight="1">
      <c r="A83" s="28">
        <v>306017</v>
      </c>
      <c r="B83" s="14" t="s">
        <v>79</v>
      </c>
      <c r="C83" s="36">
        <v>0</v>
      </c>
      <c r="D83" s="36">
        <v>0</v>
      </c>
      <c r="E83" s="36">
        <v>0</v>
      </c>
      <c r="F83" s="36">
        <f t="shared" si="1"/>
        <v>0</v>
      </c>
      <c r="G83" s="12"/>
      <c r="H83" s="12"/>
      <c r="I83" s="12"/>
      <c r="J83" s="12"/>
      <c r="K83" s="12"/>
      <c r="L83" s="12"/>
      <c r="M83" s="12"/>
      <c r="N83" s="12"/>
    </row>
    <row r="84" spans="1:14" s="13" customFormat="1" ht="24" customHeight="1">
      <c r="A84" s="28">
        <v>306018</v>
      </c>
      <c r="B84" s="14" t="s">
        <v>80</v>
      </c>
      <c r="C84" s="36">
        <v>0</v>
      </c>
      <c r="D84" s="36">
        <v>4291</v>
      </c>
      <c r="E84" s="36">
        <v>20032.189999999999</v>
      </c>
      <c r="F84" s="36">
        <f t="shared" si="1"/>
        <v>24323.19</v>
      </c>
      <c r="G84" s="12"/>
      <c r="H84" s="12"/>
      <c r="I84" s="12"/>
      <c r="J84" s="12"/>
      <c r="K84" s="12"/>
      <c r="L84" s="12"/>
      <c r="M84" s="12"/>
      <c r="N84" s="12"/>
    </row>
    <row r="85" spans="1:14" s="13" customFormat="1" ht="24" customHeight="1">
      <c r="A85" s="35">
        <v>308001</v>
      </c>
      <c r="B85" s="23" t="s">
        <v>100</v>
      </c>
      <c r="C85" s="43">
        <v>0</v>
      </c>
      <c r="D85" s="43">
        <v>20720</v>
      </c>
      <c r="E85" s="43">
        <v>0</v>
      </c>
      <c r="F85" s="36">
        <f t="shared" si="1"/>
        <v>20720</v>
      </c>
      <c r="G85" s="12"/>
      <c r="H85" s="12"/>
      <c r="I85" s="12"/>
      <c r="J85" s="12"/>
      <c r="K85" s="12"/>
      <c r="L85" s="12"/>
      <c r="M85" s="12"/>
      <c r="N85" s="12"/>
    </row>
    <row r="86" spans="1:14" s="13" customFormat="1" ht="24" customHeight="1">
      <c r="A86" s="35">
        <v>308002</v>
      </c>
      <c r="B86" s="23" t="s">
        <v>101</v>
      </c>
      <c r="C86" s="36"/>
      <c r="D86" s="36"/>
      <c r="E86" s="36"/>
      <c r="F86" s="36">
        <f t="shared" si="1"/>
        <v>0</v>
      </c>
      <c r="G86" s="12"/>
      <c r="H86" s="12"/>
      <c r="I86" s="12"/>
      <c r="J86" s="12"/>
      <c r="K86" s="12"/>
      <c r="L86" s="12"/>
      <c r="M86" s="12"/>
      <c r="N86" s="12"/>
    </row>
    <row r="87" spans="1:14" s="13" customFormat="1" ht="24" customHeight="1">
      <c r="A87" s="35">
        <v>305001</v>
      </c>
      <c r="B87" s="23" t="s">
        <v>102</v>
      </c>
      <c r="C87" s="43">
        <v>0</v>
      </c>
      <c r="D87" s="43">
        <v>0</v>
      </c>
      <c r="E87" s="43">
        <v>0</v>
      </c>
      <c r="F87" s="36">
        <f t="shared" si="1"/>
        <v>0</v>
      </c>
      <c r="G87" s="12"/>
      <c r="H87" s="12"/>
      <c r="I87" s="12"/>
      <c r="J87" s="12"/>
      <c r="K87" s="12"/>
      <c r="L87" s="12"/>
      <c r="M87" s="12"/>
      <c r="N87" s="12"/>
    </row>
    <row r="88" spans="1:14" s="13" customFormat="1" ht="24" customHeight="1">
      <c r="A88" s="33">
        <v>301021</v>
      </c>
      <c r="B88" s="19" t="s">
        <v>103</v>
      </c>
      <c r="C88" s="36">
        <v>0</v>
      </c>
      <c r="D88" s="36">
        <v>0</v>
      </c>
      <c r="E88" s="36">
        <v>0</v>
      </c>
      <c r="F88" s="36">
        <f t="shared" si="1"/>
        <v>0</v>
      </c>
      <c r="G88" s="12"/>
      <c r="H88" s="12"/>
      <c r="I88" s="12"/>
      <c r="J88" s="12"/>
      <c r="K88" s="12"/>
      <c r="L88" s="12"/>
      <c r="M88" s="12"/>
      <c r="N88" s="12"/>
    </row>
    <row r="89" spans="1:14" s="13" customFormat="1" ht="24" customHeight="1">
      <c r="A89" s="33">
        <v>301036</v>
      </c>
      <c r="B89" s="19" t="s">
        <v>104</v>
      </c>
      <c r="C89" s="36">
        <v>0</v>
      </c>
      <c r="D89" s="36">
        <v>0</v>
      </c>
      <c r="E89" s="36">
        <v>0</v>
      </c>
      <c r="F89" s="36">
        <f t="shared" si="1"/>
        <v>0</v>
      </c>
      <c r="G89" s="12"/>
      <c r="H89" s="12"/>
      <c r="I89" s="12"/>
      <c r="J89" s="12"/>
      <c r="K89" s="12"/>
      <c r="L89" s="12"/>
      <c r="M89" s="12"/>
      <c r="N89" s="12"/>
    </row>
    <row r="90" spans="1:14" ht="24" customHeight="1">
      <c r="A90" s="26">
        <v>401001</v>
      </c>
      <c r="B90" s="27" t="s">
        <v>167</v>
      </c>
      <c r="C90" s="36">
        <v>33000</v>
      </c>
      <c r="D90" s="36">
        <v>17517</v>
      </c>
      <c r="E90" s="36">
        <v>6432</v>
      </c>
      <c r="F90" s="36">
        <f t="shared" si="1"/>
        <v>56949</v>
      </c>
    </row>
    <row r="91" spans="1:14" ht="24" customHeight="1">
      <c r="A91" s="26">
        <v>401002</v>
      </c>
      <c r="B91" s="27" t="s">
        <v>168</v>
      </c>
      <c r="C91" s="36">
        <v>0</v>
      </c>
      <c r="D91" s="36">
        <v>0</v>
      </c>
      <c r="E91" s="36">
        <v>0</v>
      </c>
      <c r="F91" s="36">
        <f t="shared" si="1"/>
        <v>0</v>
      </c>
    </row>
    <row r="92" spans="1:14" ht="24" customHeight="1">
      <c r="A92" s="26">
        <v>401003</v>
      </c>
      <c r="B92" s="27" t="s">
        <v>169</v>
      </c>
      <c r="C92" s="36">
        <v>0</v>
      </c>
      <c r="D92" s="36">
        <v>0</v>
      </c>
      <c r="E92" s="36">
        <v>0</v>
      </c>
      <c r="F92" s="36">
        <f t="shared" si="1"/>
        <v>0</v>
      </c>
    </row>
    <row r="93" spans="1:14" ht="24" customHeight="1">
      <c r="A93" s="26">
        <v>401004</v>
      </c>
      <c r="B93" s="27" t="s">
        <v>170</v>
      </c>
      <c r="C93" s="36">
        <v>0</v>
      </c>
      <c r="D93" s="36">
        <v>0</v>
      </c>
      <c r="E93" s="36">
        <v>26063.87</v>
      </c>
      <c r="F93" s="36">
        <f t="shared" si="1"/>
        <v>26063.87</v>
      </c>
    </row>
    <row r="94" spans="1:14" ht="24" customHeight="1">
      <c r="A94" s="26">
        <v>401005</v>
      </c>
      <c r="B94" s="27" t="s">
        <v>171</v>
      </c>
      <c r="C94" s="36">
        <v>0</v>
      </c>
      <c r="D94" s="36">
        <v>7218</v>
      </c>
      <c r="E94" s="36">
        <v>16314</v>
      </c>
      <c r="F94" s="36">
        <f t="shared" si="1"/>
        <v>23532</v>
      </c>
    </row>
    <row r="95" spans="1:14" ht="24" customHeight="1">
      <c r="A95" s="26">
        <v>401006</v>
      </c>
      <c r="B95" s="27" t="s">
        <v>172</v>
      </c>
      <c r="C95" s="36">
        <v>0</v>
      </c>
      <c r="D95" s="36">
        <v>0</v>
      </c>
      <c r="E95" s="36">
        <v>11533.74</v>
      </c>
      <c r="F95" s="36">
        <f t="shared" si="1"/>
        <v>11533.74</v>
      </c>
    </row>
    <row r="96" spans="1:14" ht="24" customHeight="1">
      <c r="A96" s="26">
        <v>401007</v>
      </c>
      <c r="B96" s="27" t="s">
        <v>173</v>
      </c>
      <c r="C96" s="36">
        <v>0</v>
      </c>
      <c r="D96" s="36">
        <v>0</v>
      </c>
      <c r="E96" s="36">
        <v>0</v>
      </c>
      <c r="F96" s="36">
        <f t="shared" si="1"/>
        <v>0</v>
      </c>
    </row>
    <row r="97" spans="1:6" ht="24" customHeight="1">
      <c r="A97" s="26">
        <v>401008</v>
      </c>
      <c r="B97" s="27" t="s">
        <v>174</v>
      </c>
      <c r="C97" s="36">
        <v>0</v>
      </c>
      <c r="D97" s="36">
        <v>2869</v>
      </c>
      <c r="E97" s="36">
        <v>0</v>
      </c>
      <c r="F97" s="36">
        <f t="shared" si="1"/>
        <v>2869</v>
      </c>
    </row>
    <row r="98" spans="1:6" ht="24" customHeight="1">
      <c r="A98" s="26">
        <v>501001</v>
      </c>
      <c r="B98" s="27" t="s">
        <v>175</v>
      </c>
      <c r="C98" s="36">
        <v>0</v>
      </c>
      <c r="D98" s="36">
        <v>12352</v>
      </c>
      <c r="E98" s="36">
        <v>7275</v>
      </c>
      <c r="F98" s="36">
        <f t="shared" si="1"/>
        <v>19627</v>
      </c>
    </row>
    <row r="99" spans="1:6" ht="24" customHeight="1">
      <c r="A99" s="26">
        <v>501005</v>
      </c>
      <c r="B99" s="27" t="s">
        <v>176</v>
      </c>
      <c r="C99" s="36">
        <v>0</v>
      </c>
      <c r="D99" s="36">
        <v>0</v>
      </c>
      <c r="E99" s="36">
        <v>0</v>
      </c>
      <c r="F99" s="36">
        <f t="shared" si="1"/>
        <v>0</v>
      </c>
    </row>
    <row r="100" spans="1:6" ht="24" customHeight="1">
      <c r="A100" s="26">
        <v>501006</v>
      </c>
      <c r="B100" s="27" t="s">
        <v>177</v>
      </c>
      <c r="C100" s="36">
        <v>0</v>
      </c>
      <c r="D100" s="36">
        <v>0</v>
      </c>
      <c r="E100" s="36">
        <v>0</v>
      </c>
      <c r="F100" s="36">
        <f t="shared" si="1"/>
        <v>0</v>
      </c>
    </row>
    <row r="101" spans="1:6" ht="24" customHeight="1">
      <c r="A101" s="26">
        <v>501007</v>
      </c>
      <c r="B101" s="27" t="s">
        <v>178</v>
      </c>
      <c r="C101" s="36">
        <v>0</v>
      </c>
      <c r="D101" s="36">
        <v>4638</v>
      </c>
      <c r="E101" s="36">
        <v>5524</v>
      </c>
      <c r="F101" s="36">
        <f t="shared" si="1"/>
        <v>10162</v>
      </c>
    </row>
    <row r="102" spans="1:6" ht="24" customHeight="1">
      <c r="A102" s="26">
        <v>501010</v>
      </c>
      <c r="B102" s="27" t="s">
        <v>179</v>
      </c>
      <c r="C102" s="36">
        <v>0</v>
      </c>
      <c r="D102" s="36">
        <v>0</v>
      </c>
      <c r="E102" s="36">
        <v>0</v>
      </c>
      <c r="F102" s="36">
        <f t="shared" si="1"/>
        <v>0</v>
      </c>
    </row>
    <row r="103" spans="1:6" ht="24" customHeight="1">
      <c r="A103" s="26">
        <v>501012</v>
      </c>
      <c r="B103" s="27" t="s">
        <v>180</v>
      </c>
      <c r="C103" s="36">
        <v>0</v>
      </c>
      <c r="D103" s="36">
        <v>0</v>
      </c>
      <c r="E103" s="36">
        <v>0</v>
      </c>
      <c r="F103" s="36">
        <f t="shared" si="1"/>
        <v>0</v>
      </c>
    </row>
    <row r="104" spans="1:6" ht="24" customHeight="1">
      <c r="A104" s="26">
        <v>501013</v>
      </c>
      <c r="B104" s="27" t="s">
        <v>181</v>
      </c>
      <c r="C104" s="36">
        <v>0</v>
      </c>
      <c r="D104" s="36">
        <v>0</v>
      </c>
      <c r="E104" s="36">
        <v>0</v>
      </c>
      <c r="F104" s="36">
        <f t="shared" si="1"/>
        <v>0</v>
      </c>
    </row>
    <row r="105" spans="1:6" ht="24" customHeight="1">
      <c r="A105" s="5">
        <v>501016</v>
      </c>
      <c r="B105" s="6" t="s">
        <v>197</v>
      </c>
      <c r="C105" s="36">
        <v>0</v>
      </c>
      <c r="D105" s="36">
        <v>0</v>
      </c>
      <c r="E105" s="36">
        <v>49257.84</v>
      </c>
      <c r="F105" s="36">
        <f t="shared" si="1"/>
        <v>49257.84</v>
      </c>
    </row>
    <row r="106" spans="1:6" ht="24" customHeight="1">
      <c r="A106" s="5">
        <v>501018</v>
      </c>
      <c r="B106" s="6" t="s">
        <v>182</v>
      </c>
      <c r="C106" s="36">
        <v>0</v>
      </c>
      <c r="D106" s="36">
        <v>0</v>
      </c>
      <c r="E106" s="36">
        <v>11777.99</v>
      </c>
      <c r="F106" s="36">
        <f t="shared" si="1"/>
        <v>11777.99</v>
      </c>
    </row>
    <row r="107" spans="1:6" ht="24" customHeight="1">
      <c r="A107" s="5">
        <v>501033</v>
      </c>
      <c r="B107" s="6" t="s">
        <v>198</v>
      </c>
      <c r="C107" s="36">
        <v>0</v>
      </c>
      <c r="D107" s="36">
        <v>0</v>
      </c>
      <c r="E107" s="36">
        <v>0</v>
      </c>
      <c r="F107" s="36">
        <f t="shared" si="1"/>
        <v>0</v>
      </c>
    </row>
    <row r="108" spans="1:6" ht="24" customHeight="1">
      <c r="A108" s="26">
        <v>501037</v>
      </c>
      <c r="B108" s="27" t="s">
        <v>183</v>
      </c>
      <c r="C108" s="36">
        <v>0</v>
      </c>
      <c r="D108" s="36">
        <v>1290</v>
      </c>
      <c r="E108" s="36">
        <v>0</v>
      </c>
      <c r="F108" s="36">
        <f t="shared" si="1"/>
        <v>1290</v>
      </c>
    </row>
    <row r="109" spans="1:6" ht="24" customHeight="1">
      <c r="A109" s="26">
        <v>501038</v>
      </c>
      <c r="B109" s="27" t="s">
        <v>184</v>
      </c>
      <c r="C109" s="36">
        <v>0</v>
      </c>
      <c r="D109" s="36">
        <v>3619</v>
      </c>
      <c r="E109" s="36">
        <v>0</v>
      </c>
      <c r="F109" s="36">
        <f t="shared" si="1"/>
        <v>3619</v>
      </c>
    </row>
    <row r="110" spans="1:6" ht="24" customHeight="1">
      <c r="A110" s="26">
        <v>501039</v>
      </c>
      <c r="B110" s="27" t="s">
        <v>185</v>
      </c>
      <c r="C110" s="36">
        <v>0</v>
      </c>
      <c r="D110" s="36">
        <v>0</v>
      </c>
      <c r="E110" s="36">
        <v>0</v>
      </c>
      <c r="F110" s="36">
        <f t="shared" si="1"/>
        <v>0</v>
      </c>
    </row>
    <row r="111" spans="1:6" s="38" customFormat="1" ht="24" customHeight="1">
      <c r="A111" s="26">
        <v>502001</v>
      </c>
      <c r="B111" s="27" t="s">
        <v>186</v>
      </c>
      <c r="C111" s="36">
        <v>11000</v>
      </c>
      <c r="D111" s="36">
        <v>22434</v>
      </c>
      <c r="E111" s="36">
        <v>1898</v>
      </c>
      <c r="F111" s="36">
        <f t="shared" si="1"/>
        <v>35332</v>
      </c>
    </row>
    <row r="112" spans="1:6" ht="24" customHeight="1">
      <c r="A112" s="26">
        <v>502002</v>
      </c>
      <c r="B112" s="27" t="s">
        <v>187</v>
      </c>
      <c r="C112" s="36">
        <v>0</v>
      </c>
      <c r="D112" s="36">
        <v>0</v>
      </c>
      <c r="E112" s="36">
        <v>0</v>
      </c>
      <c r="F112" s="36">
        <f t="shared" si="1"/>
        <v>0</v>
      </c>
    </row>
    <row r="113" spans="1:16" s="13" customFormat="1" ht="24" customHeight="1">
      <c r="A113" s="29">
        <v>601001</v>
      </c>
      <c r="B113" s="15" t="s">
        <v>156</v>
      </c>
      <c r="C113" s="43">
        <v>11360</v>
      </c>
      <c r="D113" s="43">
        <v>6458</v>
      </c>
      <c r="E113" s="43">
        <v>1996.8</v>
      </c>
      <c r="F113" s="36">
        <f t="shared" si="1"/>
        <v>19814.8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6" s="13" customFormat="1" ht="24" customHeight="1">
      <c r="A114" s="32">
        <v>601003</v>
      </c>
      <c r="B114" s="15" t="s">
        <v>157</v>
      </c>
      <c r="C114" s="43">
        <v>0</v>
      </c>
      <c r="D114" s="43">
        <v>0</v>
      </c>
      <c r="E114" s="43">
        <v>4896.33</v>
      </c>
      <c r="F114" s="36">
        <f t="shared" si="1"/>
        <v>4896.33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1:16" s="13" customFormat="1" ht="24" customHeight="1">
      <c r="A115" s="29">
        <v>601004</v>
      </c>
      <c r="B115" s="15" t="s">
        <v>158</v>
      </c>
      <c r="C115" s="43">
        <v>0</v>
      </c>
      <c r="D115" s="43">
        <v>0</v>
      </c>
      <c r="E115" s="43">
        <v>0</v>
      </c>
      <c r="F115" s="36">
        <f t="shared" si="1"/>
        <v>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1:16" s="18" customFormat="1" ht="24" customHeight="1">
      <c r="A116" s="29">
        <v>601005</v>
      </c>
      <c r="B116" s="15" t="s">
        <v>159</v>
      </c>
      <c r="C116" s="43">
        <v>0</v>
      </c>
      <c r="D116" s="43">
        <v>0</v>
      </c>
      <c r="E116" s="43">
        <v>0</v>
      </c>
      <c r="F116" s="36">
        <f t="shared" si="1"/>
        <v>0</v>
      </c>
    </row>
    <row r="117" spans="1:16" s="18" customFormat="1" ht="24" customHeight="1">
      <c r="A117" s="29">
        <v>601007</v>
      </c>
      <c r="B117" s="15" t="s">
        <v>160</v>
      </c>
      <c r="C117" s="43">
        <v>0</v>
      </c>
      <c r="D117" s="43">
        <v>0</v>
      </c>
      <c r="E117" s="43">
        <v>0</v>
      </c>
      <c r="F117" s="36">
        <f t="shared" si="1"/>
        <v>0</v>
      </c>
    </row>
    <row r="118" spans="1:16" s="18" customFormat="1" ht="24" customHeight="1">
      <c r="A118" s="29">
        <v>601010</v>
      </c>
      <c r="B118" s="15" t="s">
        <v>161</v>
      </c>
      <c r="C118" s="43">
        <v>0</v>
      </c>
      <c r="D118" s="43">
        <v>0</v>
      </c>
      <c r="E118" s="43">
        <v>0</v>
      </c>
      <c r="F118" s="36">
        <f t="shared" si="1"/>
        <v>0</v>
      </c>
    </row>
    <row r="119" spans="1:16" s="18" customFormat="1" ht="24" customHeight="1">
      <c r="A119" s="29">
        <v>603001</v>
      </c>
      <c r="B119" s="15" t="s">
        <v>162</v>
      </c>
      <c r="C119" s="43">
        <v>0</v>
      </c>
      <c r="D119" s="43">
        <v>0</v>
      </c>
      <c r="E119" s="43">
        <v>0</v>
      </c>
      <c r="F119" s="36">
        <f t="shared" si="1"/>
        <v>0</v>
      </c>
    </row>
    <row r="120" spans="1:16" s="18" customFormat="1" ht="24" customHeight="1">
      <c r="A120" s="29">
        <v>603002</v>
      </c>
      <c r="B120" s="15" t="s">
        <v>163</v>
      </c>
      <c r="C120" s="43">
        <v>0</v>
      </c>
      <c r="D120" s="43">
        <v>1659</v>
      </c>
      <c r="E120" s="43">
        <v>0</v>
      </c>
      <c r="F120" s="36">
        <f t="shared" si="1"/>
        <v>1659</v>
      </c>
    </row>
    <row r="121" spans="1:16" s="13" customFormat="1" ht="24" customHeight="1">
      <c r="A121" s="39">
        <v>701001</v>
      </c>
      <c r="B121" s="14" t="s">
        <v>81</v>
      </c>
      <c r="C121" s="36">
        <v>11000</v>
      </c>
      <c r="D121" s="36">
        <v>22364</v>
      </c>
      <c r="E121" s="36">
        <v>26457.599999999999</v>
      </c>
      <c r="F121" s="36">
        <f t="shared" si="1"/>
        <v>59821.599999999999</v>
      </c>
      <c r="G121" s="12"/>
      <c r="H121" s="12"/>
      <c r="I121" s="12"/>
      <c r="J121" s="12"/>
      <c r="K121" s="12"/>
      <c r="L121" s="12"/>
      <c r="M121" s="12"/>
    </row>
    <row r="122" spans="1:16" s="13" customFormat="1" ht="24" customHeight="1">
      <c r="A122" s="40">
        <v>701002</v>
      </c>
      <c r="B122" s="14" t="s">
        <v>82</v>
      </c>
      <c r="C122" s="45">
        <v>0</v>
      </c>
      <c r="D122" s="45">
        <v>0</v>
      </c>
      <c r="E122" s="45">
        <v>18482.38</v>
      </c>
      <c r="F122" s="36">
        <f t="shared" si="1"/>
        <v>18482.38</v>
      </c>
      <c r="G122" s="12"/>
      <c r="H122" s="12"/>
      <c r="I122" s="12"/>
      <c r="J122" s="12"/>
      <c r="K122" s="12"/>
      <c r="L122" s="12"/>
      <c r="M122" s="12"/>
    </row>
    <row r="123" spans="1:16" s="13" customFormat="1" ht="24" customHeight="1">
      <c r="A123" s="40">
        <v>701003</v>
      </c>
      <c r="B123" s="14" t="s">
        <v>83</v>
      </c>
      <c r="C123" s="36">
        <v>0</v>
      </c>
      <c r="D123" s="36">
        <v>0</v>
      </c>
      <c r="E123" s="36">
        <v>0</v>
      </c>
      <c r="F123" s="36">
        <f t="shared" si="1"/>
        <v>0</v>
      </c>
      <c r="G123" s="12"/>
      <c r="H123" s="12"/>
      <c r="I123" s="12"/>
      <c r="J123" s="12"/>
      <c r="K123" s="12"/>
      <c r="L123" s="12"/>
      <c r="M123" s="12"/>
    </row>
    <row r="124" spans="1:16" s="13" customFormat="1" ht="24" customHeight="1">
      <c r="A124" s="40">
        <v>701004</v>
      </c>
      <c r="B124" s="14" t="s">
        <v>84</v>
      </c>
      <c r="C124" s="36">
        <v>0</v>
      </c>
      <c r="D124" s="36">
        <v>0</v>
      </c>
      <c r="E124" s="36">
        <v>0</v>
      </c>
      <c r="F124" s="36">
        <f t="shared" si="1"/>
        <v>0</v>
      </c>
      <c r="G124" s="12"/>
      <c r="H124" s="12"/>
      <c r="I124" s="12"/>
      <c r="J124" s="12"/>
      <c r="K124" s="12"/>
      <c r="L124" s="12"/>
      <c r="M124" s="12"/>
    </row>
    <row r="125" spans="1:16" s="13" customFormat="1" ht="24" customHeight="1">
      <c r="A125" s="40">
        <v>701006</v>
      </c>
      <c r="B125" s="14" t="s">
        <v>85</v>
      </c>
      <c r="C125" s="36">
        <v>0</v>
      </c>
      <c r="D125" s="36">
        <v>0</v>
      </c>
      <c r="E125" s="36">
        <v>0</v>
      </c>
      <c r="F125" s="36">
        <f t="shared" si="1"/>
        <v>0</v>
      </c>
      <c r="G125" s="12"/>
      <c r="H125" s="12"/>
      <c r="I125" s="12"/>
      <c r="J125" s="12"/>
      <c r="K125" s="12"/>
      <c r="L125" s="12"/>
      <c r="M125" s="12"/>
    </row>
    <row r="126" spans="1:16" s="13" customFormat="1" ht="24" customHeight="1">
      <c r="A126" s="40">
        <v>701008</v>
      </c>
      <c r="B126" s="14" t="s">
        <v>86</v>
      </c>
      <c r="C126" s="36">
        <v>0</v>
      </c>
      <c r="D126" s="36">
        <v>0</v>
      </c>
      <c r="E126" s="36">
        <v>0</v>
      </c>
      <c r="F126" s="36">
        <f t="shared" si="1"/>
        <v>0</v>
      </c>
      <c r="G126" s="12"/>
      <c r="H126" s="12"/>
      <c r="I126" s="12"/>
      <c r="J126" s="12"/>
      <c r="K126" s="12"/>
      <c r="L126" s="12"/>
      <c r="M126" s="12"/>
    </row>
    <row r="127" spans="1:16" s="13" customFormat="1" ht="24" customHeight="1">
      <c r="A127" s="40">
        <v>701009</v>
      </c>
      <c r="B127" s="14" t="s">
        <v>31</v>
      </c>
      <c r="C127" s="36">
        <v>0</v>
      </c>
      <c r="D127" s="36">
        <v>0</v>
      </c>
      <c r="E127" s="36">
        <v>0</v>
      </c>
      <c r="F127" s="36">
        <f t="shared" si="1"/>
        <v>0</v>
      </c>
      <c r="G127" s="12"/>
      <c r="H127" s="12"/>
      <c r="I127" s="12"/>
      <c r="J127" s="12"/>
      <c r="K127" s="12"/>
      <c r="L127" s="12"/>
      <c r="M127" s="12"/>
    </row>
    <row r="128" spans="1:16" s="13" customFormat="1" ht="24" customHeight="1">
      <c r="A128" s="40">
        <v>701085</v>
      </c>
      <c r="B128" s="14" t="s">
        <v>87</v>
      </c>
      <c r="C128" s="36">
        <v>0</v>
      </c>
      <c r="D128" s="36">
        <v>0</v>
      </c>
      <c r="E128" s="36">
        <v>0</v>
      </c>
      <c r="F128" s="36">
        <f t="shared" si="1"/>
        <v>0</v>
      </c>
      <c r="G128" s="12"/>
      <c r="H128" s="12"/>
      <c r="I128" s="12"/>
      <c r="J128" s="12"/>
      <c r="K128" s="12"/>
      <c r="L128" s="12"/>
      <c r="M128" s="12"/>
    </row>
    <row r="129" spans="1:16" s="13" customFormat="1" ht="24" customHeight="1">
      <c r="A129" s="40">
        <v>701088</v>
      </c>
      <c r="B129" s="14" t="s">
        <v>32</v>
      </c>
      <c r="C129" s="36">
        <v>0</v>
      </c>
      <c r="D129" s="36">
        <v>0</v>
      </c>
      <c r="E129" s="36">
        <v>0</v>
      </c>
      <c r="F129" s="36">
        <f t="shared" si="1"/>
        <v>0</v>
      </c>
      <c r="G129" s="12"/>
      <c r="H129" s="12"/>
      <c r="I129" s="12"/>
      <c r="J129" s="12"/>
      <c r="K129" s="12"/>
      <c r="L129" s="12"/>
      <c r="M129" s="12"/>
    </row>
    <row r="130" spans="1:16" s="13" customFormat="1" ht="24" customHeight="1">
      <c r="A130" s="40">
        <v>701089</v>
      </c>
      <c r="B130" s="14" t="s">
        <v>88</v>
      </c>
      <c r="C130" s="36">
        <v>0</v>
      </c>
      <c r="D130" s="36">
        <v>0</v>
      </c>
      <c r="E130" s="36">
        <v>0</v>
      </c>
      <c r="F130" s="36">
        <f t="shared" si="1"/>
        <v>0</v>
      </c>
      <c r="G130" s="12"/>
      <c r="H130" s="12"/>
      <c r="I130" s="12"/>
      <c r="J130" s="12"/>
      <c r="K130" s="12"/>
      <c r="L130" s="12"/>
      <c r="M130" s="12"/>
    </row>
    <row r="131" spans="1:16" s="13" customFormat="1" ht="24" customHeight="1">
      <c r="A131" s="40">
        <v>701107</v>
      </c>
      <c r="B131" s="14" t="s">
        <v>89</v>
      </c>
      <c r="C131" s="36">
        <v>0</v>
      </c>
      <c r="D131" s="36">
        <v>0</v>
      </c>
      <c r="E131" s="36">
        <v>0</v>
      </c>
      <c r="F131" s="36">
        <f t="shared" si="1"/>
        <v>0</v>
      </c>
      <c r="G131" s="12"/>
      <c r="H131" s="12"/>
      <c r="I131" s="12"/>
      <c r="J131" s="12"/>
      <c r="K131" s="12"/>
      <c r="L131" s="12"/>
      <c r="M131" s="12"/>
    </row>
    <row r="132" spans="1:16" s="13" customFormat="1" ht="24" customHeight="1">
      <c r="A132" s="40">
        <v>701108</v>
      </c>
      <c r="B132" s="14" t="s">
        <v>90</v>
      </c>
      <c r="C132" s="36">
        <v>0</v>
      </c>
      <c r="D132" s="36">
        <v>0</v>
      </c>
      <c r="E132" s="45">
        <v>3811</v>
      </c>
      <c r="F132" s="36">
        <f t="shared" si="1"/>
        <v>3811</v>
      </c>
      <c r="G132" s="12"/>
      <c r="H132" s="12"/>
      <c r="I132" s="12"/>
      <c r="J132" s="12"/>
      <c r="K132" s="12"/>
      <c r="L132" s="12"/>
      <c r="M132" s="12"/>
    </row>
    <row r="133" spans="1:16" s="13" customFormat="1" ht="24" customHeight="1">
      <c r="A133" s="40">
        <v>701109</v>
      </c>
      <c r="B133" s="14" t="s">
        <v>33</v>
      </c>
      <c r="C133" s="36">
        <v>0</v>
      </c>
      <c r="D133" s="36">
        <v>0</v>
      </c>
      <c r="E133" s="36">
        <v>0</v>
      </c>
      <c r="F133" s="36">
        <f t="shared" ref="F133:F195" si="2">SUM(C133:E133)</f>
        <v>0</v>
      </c>
      <c r="G133" s="12"/>
      <c r="H133" s="12"/>
      <c r="I133" s="12"/>
      <c r="J133" s="12"/>
      <c r="K133" s="12"/>
      <c r="L133" s="12"/>
      <c r="M133" s="12"/>
    </row>
    <row r="134" spans="1:16" s="13" customFormat="1" ht="24" customHeight="1">
      <c r="A134" s="40">
        <v>701110</v>
      </c>
      <c r="B134" s="14" t="s">
        <v>91</v>
      </c>
      <c r="C134" s="36">
        <v>0</v>
      </c>
      <c r="D134" s="36">
        <v>0</v>
      </c>
      <c r="E134" s="36">
        <v>0</v>
      </c>
      <c r="F134" s="36">
        <f t="shared" si="2"/>
        <v>0</v>
      </c>
      <c r="G134" s="12"/>
      <c r="H134" s="12"/>
      <c r="I134" s="12"/>
      <c r="J134" s="12"/>
      <c r="K134" s="12"/>
      <c r="L134" s="12"/>
      <c r="M134" s="12"/>
    </row>
    <row r="135" spans="1:16" s="13" customFormat="1" ht="24" customHeight="1">
      <c r="A135" s="39">
        <v>703001</v>
      </c>
      <c r="B135" s="41" t="s">
        <v>92</v>
      </c>
      <c r="C135" s="36">
        <v>0</v>
      </c>
      <c r="D135" s="36">
        <v>8819</v>
      </c>
      <c r="E135" s="36">
        <v>1826</v>
      </c>
      <c r="F135" s="36">
        <f t="shared" si="2"/>
        <v>10645</v>
      </c>
      <c r="G135" s="12"/>
      <c r="H135" s="12"/>
      <c r="I135" s="12"/>
      <c r="J135" s="12"/>
      <c r="K135" s="12"/>
      <c r="L135" s="12"/>
      <c r="M135" s="12"/>
      <c r="N135" s="12"/>
    </row>
    <row r="136" spans="1:16" s="13" customFormat="1" ht="24" customHeight="1">
      <c r="A136" s="39">
        <v>703002</v>
      </c>
      <c r="B136" s="41" t="s">
        <v>93</v>
      </c>
      <c r="C136" s="36">
        <v>0</v>
      </c>
      <c r="D136" s="36">
        <v>0</v>
      </c>
      <c r="E136" s="36">
        <v>0</v>
      </c>
      <c r="F136" s="36">
        <f t="shared" si="2"/>
        <v>0</v>
      </c>
      <c r="G136" s="12"/>
      <c r="H136" s="12"/>
      <c r="I136" s="12"/>
      <c r="J136" s="12"/>
      <c r="K136" s="12"/>
      <c r="L136" s="12"/>
      <c r="M136" s="12"/>
      <c r="N136" s="12"/>
    </row>
    <row r="137" spans="1:16" s="13" customFormat="1" ht="24" customHeight="1">
      <c r="A137" s="40">
        <v>703003</v>
      </c>
      <c r="B137" s="41" t="s">
        <v>94</v>
      </c>
      <c r="C137" s="36">
        <v>0</v>
      </c>
      <c r="D137" s="36">
        <v>0</v>
      </c>
      <c r="E137" s="36">
        <v>0</v>
      </c>
      <c r="F137" s="36">
        <f t="shared" si="2"/>
        <v>0</v>
      </c>
      <c r="G137" s="12"/>
      <c r="H137" s="12"/>
      <c r="I137" s="12"/>
      <c r="J137" s="12"/>
      <c r="K137" s="12"/>
      <c r="L137" s="12"/>
      <c r="M137" s="12"/>
      <c r="N137" s="12"/>
    </row>
    <row r="138" spans="1:16" s="13" customFormat="1" ht="24" customHeight="1">
      <c r="A138" s="40">
        <v>703005</v>
      </c>
      <c r="B138" s="41" t="s">
        <v>95</v>
      </c>
      <c r="C138" s="36">
        <v>0</v>
      </c>
      <c r="D138" s="36">
        <v>0</v>
      </c>
      <c r="E138" s="36">
        <v>9228.7999999999993</v>
      </c>
      <c r="F138" s="36">
        <f t="shared" si="2"/>
        <v>9228.7999999999993</v>
      </c>
      <c r="G138" s="12"/>
      <c r="H138" s="12"/>
      <c r="I138" s="12"/>
      <c r="J138" s="12"/>
      <c r="K138" s="12"/>
      <c r="L138" s="12"/>
      <c r="M138" s="12"/>
      <c r="N138" s="12"/>
    </row>
    <row r="139" spans="1:16" s="13" customFormat="1" ht="24" customHeight="1">
      <c r="A139" s="40">
        <v>703006</v>
      </c>
      <c r="B139" s="41" t="s">
        <v>96</v>
      </c>
      <c r="C139" s="36">
        <v>0</v>
      </c>
      <c r="D139" s="36">
        <v>0</v>
      </c>
      <c r="E139" s="36">
        <v>0</v>
      </c>
      <c r="F139" s="36">
        <f t="shared" si="2"/>
        <v>0</v>
      </c>
      <c r="G139" s="12"/>
      <c r="H139" s="12"/>
      <c r="I139" s="12"/>
      <c r="J139" s="12"/>
      <c r="K139" s="12"/>
      <c r="L139" s="12"/>
      <c r="M139" s="12"/>
      <c r="N139" s="12"/>
    </row>
    <row r="140" spans="1:16" s="13" customFormat="1" ht="24" customHeight="1">
      <c r="A140" s="40">
        <v>703007</v>
      </c>
      <c r="B140" s="41" t="s">
        <v>97</v>
      </c>
      <c r="C140" s="36">
        <v>0</v>
      </c>
      <c r="D140" s="36">
        <v>0</v>
      </c>
      <c r="E140" s="36">
        <v>7979.36</v>
      </c>
      <c r="F140" s="36">
        <f t="shared" si="2"/>
        <v>7979.36</v>
      </c>
      <c r="G140" s="12"/>
      <c r="H140" s="12"/>
      <c r="I140" s="12"/>
      <c r="J140" s="12"/>
      <c r="K140" s="12"/>
      <c r="L140" s="12"/>
      <c r="M140" s="12"/>
      <c r="N140" s="12"/>
    </row>
    <row r="141" spans="1:16" s="13" customFormat="1" ht="24" customHeight="1">
      <c r="A141" s="40">
        <v>703010</v>
      </c>
      <c r="B141" s="41" t="s">
        <v>98</v>
      </c>
      <c r="C141" s="36">
        <v>0</v>
      </c>
      <c r="D141" s="36">
        <v>0</v>
      </c>
      <c r="E141" s="36">
        <v>7044.06</v>
      </c>
      <c r="F141" s="36">
        <f t="shared" si="2"/>
        <v>7044.06</v>
      </c>
      <c r="G141" s="12"/>
      <c r="H141" s="12"/>
      <c r="I141" s="12"/>
      <c r="J141" s="12"/>
      <c r="K141" s="12"/>
      <c r="L141" s="12"/>
      <c r="M141" s="12"/>
      <c r="N141" s="12"/>
    </row>
    <row r="142" spans="1:16" s="13" customFormat="1" ht="24" customHeight="1">
      <c r="A142" s="40">
        <v>703011</v>
      </c>
      <c r="B142" s="41" t="s">
        <v>99</v>
      </c>
      <c r="C142" s="36">
        <v>0</v>
      </c>
      <c r="D142" s="36">
        <v>0</v>
      </c>
      <c r="E142" s="36">
        <v>0</v>
      </c>
      <c r="F142" s="36">
        <f t="shared" si="2"/>
        <v>0</v>
      </c>
      <c r="G142" s="12"/>
      <c r="H142" s="12"/>
      <c r="I142" s="12"/>
      <c r="J142" s="12"/>
      <c r="K142" s="12"/>
      <c r="L142" s="12"/>
      <c r="M142" s="12"/>
      <c r="N142" s="12"/>
    </row>
    <row r="143" spans="1:16" s="13" customFormat="1" ht="24" customHeight="1">
      <c r="A143" s="16">
        <v>702001</v>
      </c>
      <c r="B143" s="14" t="s">
        <v>130</v>
      </c>
      <c r="C143" s="36">
        <v>0</v>
      </c>
      <c r="D143" s="46">
        <v>2929</v>
      </c>
      <c r="E143" s="46">
        <v>7305</v>
      </c>
      <c r="F143" s="36">
        <f t="shared" si="2"/>
        <v>10234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 s="13" customFormat="1" ht="24" customHeight="1">
      <c r="A144" s="16">
        <v>702002</v>
      </c>
      <c r="B144" s="14" t="s">
        <v>131</v>
      </c>
      <c r="C144" s="36">
        <v>0</v>
      </c>
      <c r="D144" s="36">
        <v>0</v>
      </c>
      <c r="E144" s="46">
        <v>43398.93</v>
      </c>
      <c r="F144" s="36">
        <f t="shared" si="2"/>
        <v>43398.93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 s="13" customFormat="1" ht="24" customHeight="1">
      <c r="A145" s="16">
        <v>702003</v>
      </c>
      <c r="B145" s="14" t="s">
        <v>132</v>
      </c>
      <c r="C145" s="36">
        <v>0</v>
      </c>
      <c r="D145" s="36">
        <v>0</v>
      </c>
      <c r="E145" s="46">
        <v>31020</v>
      </c>
      <c r="F145" s="36">
        <f t="shared" si="2"/>
        <v>31020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spans="1:16" s="13" customFormat="1" ht="24" customHeight="1">
      <c r="A146" s="24">
        <v>704001</v>
      </c>
      <c r="B146" s="25" t="s">
        <v>105</v>
      </c>
      <c r="C146" s="36">
        <v>0</v>
      </c>
      <c r="D146" s="36">
        <v>10599</v>
      </c>
      <c r="E146" s="36">
        <v>5000</v>
      </c>
      <c r="F146" s="36">
        <f t="shared" si="2"/>
        <v>15599</v>
      </c>
      <c r="G146" s="12"/>
      <c r="H146" s="12"/>
      <c r="I146" s="12"/>
      <c r="J146" s="12"/>
      <c r="K146" s="12"/>
      <c r="L146" s="12"/>
      <c r="M146" s="12"/>
      <c r="N146" s="12"/>
    </row>
    <row r="147" spans="1:16" s="13" customFormat="1" ht="24" customHeight="1">
      <c r="A147" s="26">
        <v>704003</v>
      </c>
      <c r="B147" s="27" t="s">
        <v>106</v>
      </c>
      <c r="C147" s="36">
        <v>8615</v>
      </c>
      <c r="D147" s="36">
        <v>0</v>
      </c>
      <c r="E147" s="36">
        <v>0</v>
      </c>
      <c r="F147" s="36">
        <f t="shared" si="2"/>
        <v>8615</v>
      </c>
      <c r="G147" s="12"/>
      <c r="H147" s="12"/>
      <c r="I147" s="12"/>
      <c r="J147" s="12"/>
      <c r="K147" s="12"/>
      <c r="L147" s="12"/>
      <c r="M147" s="12"/>
      <c r="N147" s="12"/>
    </row>
    <row r="148" spans="1:16" s="13" customFormat="1" ht="24" customHeight="1">
      <c r="A148" s="26">
        <v>704004</v>
      </c>
      <c r="B148" s="27" t="s">
        <v>107</v>
      </c>
      <c r="C148" s="36">
        <v>0</v>
      </c>
      <c r="D148" s="36">
        <v>0</v>
      </c>
      <c r="E148" s="36">
        <v>314321.21000000002</v>
      </c>
      <c r="F148" s="36">
        <f t="shared" si="2"/>
        <v>314321.21000000002</v>
      </c>
      <c r="G148" s="12"/>
      <c r="H148" s="12"/>
      <c r="I148" s="12"/>
      <c r="J148" s="12"/>
      <c r="K148" s="12"/>
      <c r="L148" s="12"/>
      <c r="M148" s="12"/>
      <c r="N148" s="12"/>
    </row>
    <row r="149" spans="1:16" s="13" customFormat="1" ht="24" customHeight="1">
      <c r="A149" s="26">
        <v>704005</v>
      </c>
      <c r="B149" s="27" t="s">
        <v>108</v>
      </c>
      <c r="C149" s="36">
        <v>0</v>
      </c>
      <c r="D149" s="36">
        <v>6968</v>
      </c>
      <c r="E149" s="36">
        <v>0</v>
      </c>
      <c r="F149" s="36">
        <f t="shared" si="2"/>
        <v>6968</v>
      </c>
      <c r="G149" s="12"/>
      <c r="H149" s="12"/>
      <c r="I149" s="12"/>
      <c r="J149" s="12"/>
      <c r="K149" s="12"/>
      <c r="L149" s="12"/>
      <c r="M149" s="12"/>
      <c r="N149" s="12"/>
    </row>
    <row r="150" spans="1:16" s="13" customFormat="1" ht="24" customHeight="1">
      <c r="A150" s="26">
        <v>704006</v>
      </c>
      <c r="B150" s="27" t="s">
        <v>109</v>
      </c>
      <c r="C150" s="36">
        <v>0</v>
      </c>
      <c r="D150" s="36">
        <v>0</v>
      </c>
      <c r="E150" s="36">
        <v>0</v>
      </c>
      <c r="F150" s="36">
        <f t="shared" si="2"/>
        <v>0</v>
      </c>
      <c r="G150" s="12"/>
      <c r="H150" s="12"/>
      <c r="I150" s="12"/>
      <c r="J150" s="12"/>
      <c r="K150" s="12"/>
      <c r="L150" s="12"/>
      <c r="M150" s="12"/>
      <c r="N150" s="12"/>
    </row>
    <row r="151" spans="1:16" s="13" customFormat="1" ht="24" customHeight="1">
      <c r="A151" s="26">
        <v>704007</v>
      </c>
      <c r="B151" s="27" t="s">
        <v>34</v>
      </c>
      <c r="C151" s="36">
        <v>0</v>
      </c>
      <c r="D151" s="36">
        <v>0</v>
      </c>
      <c r="E151" s="36">
        <v>4760</v>
      </c>
      <c r="F151" s="36">
        <f t="shared" si="2"/>
        <v>4760</v>
      </c>
      <c r="G151" s="12"/>
      <c r="H151" s="12"/>
      <c r="I151" s="12"/>
      <c r="J151" s="12"/>
      <c r="K151" s="12"/>
      <c r="L151" s="12"/>
      <c r="M151" s="12"/>
      <c r="N151" s="12"/>
    </row>
    <row r="152" spans="1:16" s="13" customFormat="1" ht="24" customHeight="1">
      <c r="A152" s="26">
        <v>704008</v>
      </c>
      <c r="B152" s="27" t="s">
        <v>110</v>
      </c>
      <c r="C152" s="36">
        <v>0</v>
      </c>
      <c r="D152" s="36">
        <v>0</v>
      </c>
      <c r="E152" s="36">
        <v>23608.61</v>
      </c>
      <c r="F152" s="36">
        <f t="shared" si="2"/>
        <v>23608.61</v>
      </c>
      <c r="G152" s="12"/>
      <c r="H152" s="12"/>
      <c r="I152" s="12"/>
      <c r="J152" s="12"/>
      <c r="K152" s="12"/>
      <c r="L152" s="12"/>
      <c r="M152" s="12"/>
      <c r="N152" s="12"/>
    </row>
    <row r="153" spans="1:16" s="13" customFormat="1" ht="24" customHeight="1">
      <c r="A153" s="26">
        <v>704009</v>
      </c>
      <c r="B153" s="27" t="s">
        <v>111</v>
      </c>
      <c r="C153" s="36">
        <v>0</v>
      </c>
      <c r="D153" s="36">
        <v>4317</v>
      </c>
      <c r="E153" s="36">
        <v>0</v>
      </c>
      <c r="F153" s="36">
        <f t="shared" si="2"/>
        <v>4317</v>
      </c>
      <c r="G153" s="12"/>
      <c r="H153" s="12"/>
      <c r="I153" s="12"/>
      <c r="J153" s="12"/>
      <c r="K153" s="12"/>
      <c r="L153" s="12"/>
      <c r="M153" s="12"/>
      <c r="N153" s="12"/>
    </row>
    <row r="154" spans="1:16" s="13" customFormat="1" ht="24" customHeight="1">
      <c r="A154" s="26">
        <v>704010</v>
      </c>
      <c r="B154" s="27" t="s">
        <v>112</v>
      </c>
      <c r="C154" s="36">
        <v>0</v>
      </c>
      <c r="D154" s="36">
        <v>0</v>
      </c>
      <c r="E154" s="36">
        <v>0</v>
      </c>
      <c r="F154" s="36">
        <f t="shared" si="2"/>
        <v>0</v>
      </c>
      <c r="G154" s="12"/>
      <c r="H154" s="12"/>
      <c r="I154" s="12"/>
      <c r="J154" s="12"/>
      <c r="K154" s="12"/>
      <c r="L154" s="12"/>
      <c r="M154" s="12"/>
      <c r="N154" s="12"/>
    </row>
    <row r="155" spans="1:16" s="13" customFormat="1" ht="24" customHeight="1">
      <c r="A155" s="26">
        <v>704011</v>
      </c>
      <c r="B155" s="27" t="s">
        <v>113</v>
      </c>
      <c r="C155" s="36">
        <v>0</v>
      </c>
      <c r="D155" s="36">
        <v>0</v>
      </c>
      <c r="E155" s="36">
        <v>0</v>
      </c>
      <c r="F155" s="36">
        <f t="shared" si="2"/>
        <v>0</v>
      </c>
      <c r="G155" s="12"/>
      <c r="H155" s="12"/>
      <c r="I155" s="12"/>
      <c r="J155" s="12"/>
      <c r="K155" s="12"/>
      <c r="L155" s="12"/>
      <c r="M155" s="12"/>
      <c r="N155" s="12"/>
    </row>
    <row r="156" spans="1:16" s="13" customFormat="1" ht="24" customHeight="1">
      <c r="A156" s="26">
        <v>704012</v>
      </c>
      <c r="B156" s="27" t="s">
        <v>114</v>
      </c>
      <c r="C156" s="36">
        <v>0</v>
      </c>
      <c r="D156" s="36">
        <v>0</v>
      </c>
      <c r="E156" s="36">
        <v>0</v>
      </c>
      <c r="F156" s="36">
        <f t="shared" si="2"/>
        <v>0</v>
      </c>
      <c r="G156" s="12"/>
      <c r="H156" s="12"/>
      <c r="I156" s="12"/>
      <c r="J156" s="12"/>
      <c r="K156" s="12"/>
      <c r="L156" s="12"/>
      <c r="M156" s="12"/>
      <c r="N156" s="12"/>
    </row>
    <row r="157" spans="1:16" s="13" customFormat="1" ht="24" customHeight="1">
      <c r="A157" s="26">
        <v>704013</v>
      </c>
      <c r="B157" s="27" t="s">
        <v>115</v>
      </c>
      <c r="C157" s="36">
        <v>0</v>
      </c>
      <c r="D157" s="36">
        <v>0</v>
      </c>
      <c r="E157" s="36">
        <v>14449.32</v>
      </c>
      <c r="F157" s="36">
        <f t="shared" si="2"/>
        <v>14449.32</v>
      </c>
      <c r="G157" s="12"/>
      <c r="H157" s="12"/>
      <c r="I157" s="12"/>
      <c r="J157" s="12"/>
      <c r="K157" s="12"/>
      <c r="L157" s="12"/>
      <c r="M157" s="12"/>
      <c r="N157" s="12"/>
    </row>
    <row r="158" spans="1:16" s="13" customFormat="1" ht="24" customHeight="1">
      <c r="A158" s="26">
        <v>704014</v>
      </c>
      <c r="B158" s="27" t="s">
        <v>116</v>
      </c>
      <c r="C158" s="36">
        <v>0</v>
      </c>
      <c r="D158" s="36">
        <v>0</v>
      </c>
      <c r="E158" s="36">
        <v>0</v>
      </c>
      <c r="F158" s="36">
        <f t="shared" si="2"/>
        <v>0</v>
      </c>
      <c r="G158" s="12"/>
      <c r="H158" s="12"/>
      <c r="I158" s="12"/>
      <c r="J158" s="12"/>
      <c r="K158" s="12"/>
      <c r="L158" s="12"/>
      <c r="M158" s="12"/>
      <c r="N158" s="12"/>
    </row>
    <row r="159" spans="1:16" s="13" customFormat="1" ht="24" customHeight="1">
      <c r="A159" s="26">
        <v>704015</v>
      </c>
      <c r="B159" s="27" t="s">
        <v>117</v>
      </c>
      <c r="C159" s="36">
        <v>0</v>
      </c>
      <c r="D159" s="36">
        <v>0</v>
      </c>
      <c r="E159" s="36">
        <v>0</v>
      </c>
      <c r="F159" s="36">
        <f t="shared" si="2"/>
        <v>0</v>
      </c>
      <c r="G159" s="12"/>
      <c r="H159" s="12"/>
      <c r="I159" s="12"/>
      <c r="J159" s="12"/>
      <c r="K159" s="12"/>
      <c r="L159" s="12"/>
      <c r="M159" s="12"/>
      <c r="N159" s="12"/>
    </row>
    <row r="160" spans="1:16" s="13" customFormat="1" ht="24" customHeight="1">
      <c r="A160" s="26">
        <v>704016</v>
      </c>
      <c r="B160" s="27" t="s">
        <v>118</v>
      </c>
      <c r="C160" s="36">
        <v>0</v>
      </c>
      <c r="D160" s="36">
        <v>0</v>
      </c>
      <c r="E160" s="36">
        <v>17542.009999999998</v>
      </c>
      <c r="F160" s="36">
        <f t="shared" si="2"/>
        <v>17542.009999999998</v>
      </c>
      <c r="G160" s="12"/>
      <c r="H160" s="12"/>
      <c r="I160" s="12"/>
      <c r="J160" s="12"/>
      <c r="K160" s="12"/>
      <c r="L160" s="12"/>
      <c r="M160" s="12"/>
      <c r="N160" s="12"/>
    </row>
    <row r="161" spans="1:14" s="13" customFormat="1" ht="24" customHeight="1">
      <c r="A161" s="26">
        <v>704017</v>
      </c>
      <c r="B161" s="27" t="s">
        <v>119</v>
      </c>
      <c r="C161" s="36">
        <v>0</v>
      </c>
      <c r="D161" s="36">
        <v>0</v>
      </c>
      <c r="E161" s="36">
        <v>0</v>
      </c>
      <c r="F161" s="36">
        <f t="shared" si="2"/>
        <v>0</v>
      </c>
      <c r="G161" s="12"/>
      <c r="H161" s="12"/>
      <c r="I161" s="12"/>
      <c r="J161" s="12"/>
      <c r="K161" s="12"/>
      <c r="L161" s="12"/>
      <c r="M161" s="12"/>
      <c r="N161" s="12"/>
    </row>
    <row r="162" spans="1:14" s="13" customFormat="1" ht="24" customHeight="1">
      <c r="A162" s="26">
        <v>704018</v>
      </c>
      <c r="B162" s="27" t="s">
        <v>120</v>
      </c>
      <c r="C162" s="36">
        <v>0</v>
      </c>
      <c r="D162" s="36">
        <v>0</v>
      </c>
      <c r="E162" s="36">
        <v>0</v>
      </c>
      <c r="F162" s="36">
        <f t="shared" si="2"/>
        <v>0</v>
      </c>
      <c r="G162" s="12"/>
      <c r="H162" s="12"/>
      <c r="I162" s="12"/>
      <c r="J162" s="12"/>
      <c r="K162" s="12"/>
      <c r="L162" s="12"/>
      <c r="M162" s="12"/>
      <c r="N162" s="12"/>
    </row>
    <row r="163" spans="1:14" s="13" customFormat="1" ht="24" customHeight="1">
      <c r="A163" s="26">
        <v>704019</v>
      </c>
      <c r="B163" s="27" t="s">
        <v>121</v>
      </c>
      <c r="C163" s="36">
        <v>0</v>
      </c>
      <c r="D163" s="36">
        <v>0</v>
      </c>
      <c r="E163" s="36">
        <v>0</v>
      </c>
      <c r="F163" s="36">
        <f t="shared" si="2"/>
        <v>0</v>
      </c>
      <c r="G163" s="12"/>
      <c r="H163" s="12"/>
      <c r="I163" s="12"/>
      <c r="J163" s="12"/>
      <c r="K163" s="12"/>
      <c r="L163" s="12"/>
      <c r="M163" s="12"/>
      <c r="N163" s="12"/>
    </row>
    <row r="164" spans="1:14" s="13" customFormat="1" ht="24" customHeight="1">
      <c r="A164" s="26">
        <v>704020</v>
      </c>
      <c r="B164" s="27" t="s">
        <v>122</v>
      </c>
      <c r="C164" s="36">
        <v>0</v>
      </c>
      <c r="D164" s="36">
        <v>0</v>
      </c>
      <c r="E164" s="36">
        <v>9590</v>
      </c>
      <c r="F164" s="36">
        <f t="shared" si="2"/>
        <v>9590</v>
      </c>
      <c r="G164" s="12"/>
      <c r="H164" s="12"/>
      <c r="I164" s="12"/>
      <c r="J164" s="12"/>
      <c r="K164" s="12"/>
      <c r="L164" s="12"/>
      <c r="M164" s="12"/>
      <c r="N164" s="12"/>
    </row>
    <row r="165" spans="1:14" s="13" customFormat="1" ht="24" customHeight="1">
      <c r="A165" s="26">
        <v>704021</v>
      </c>
      <c r="B165" s="27" t="s">
        <v>123</v>
      </c>
      <c r="C165" s="36">
        <v>0</v>
      </c>
      <c r="D165" s="36">
        <v>0</v>
      </c>
      <c r="E165" s="36">
        <v>0</v>
      </c>
      <c r="F165" s="36">
        <f t="shared" si="2"/>
        <v>0</v>
      </c>
      <c r="G165" s="12"/>
      <c r="H165" s="12"/>
      <c r="I165" s="12"/>
      <c r="J165" s="12"/>
      <c r="K165" s="12"/>
      <c r="L165" s="12"/>
      <c r="M165" s="12"/>
      <c r="N165" s="12"/>
    </row>
    <row r="166" spans="1:14" s="13" customFormat="1" ht="24" customHeight="1">
      <c r="A166" s="26">
        <v>704022</v>
      </c>
      <c r="B166" s="27" t="s">
        <v>35</v>
      </c>
      <c r="C166" s="36">
        <v>0</v>
      </c>
      <c r="D166" s="36">
        <v>0</v>
      </c>
      <c r="E166" s="36">
        <v>0</v>
      </c>
      <c r="F166" s="36">
        <f t="shared" si="2"/>
        <v>0</v>
      </c>
      <c r="G166" s="12"/>
      <c r="H166" s="12"/>
      <c r="I166" s="12"/>
      <c r="J166" s="12"/>
      <c r="K166" s="12"/>
      <c r="L166" s="12"/>
      <c r="M166" s="12"/>
      <c r="N166" s="12"/>
    </row>
    <row r="167" spans="1:14" s="13" customFormat="1" ht="24" customHeight="1">
      <c r="A167" s="26">
        <v>704023</v>
      </c>
      <c r="B167" s="27" t="s">
        <v>124</v>
      </c>
      <c r="C167" s="36">
        <v>0</v>
      </c>
      <c r="D167" s="36">
        <v>0</v>
      </c>
      <c r="E167" s="36">
        <v>0</v>
      </c>
      <c r="F167" s="36">
        <f t="shared" si="2"/>
        <v>0</v>
      </c>
      <c r="G167" s="12"/>
      <c r="H167" s="12"/>
      <c r="I167" s="12"/>
      <c r="J167" s="12"/>
      <c r="K167" s="12"/>
      <c r="L167" s="12"/>
      <c r="M167" s="12"/>
      <c r="N167" s="12"/>
    </row>
    <row r="168" spans="1:14" ht="24" customHeight="1">
      <c r="A168" s="5">
        <v>104012</v>
      </c>
      <c r="B168" s="6" t="s">
        <v>9</v>
      </c>
      <c r="C168" s="36">
        <v>0</v>
      </c>
      <c r="D168" s="36">
        <v>0</v>
      </c>
      <c r="E168" s="36">
        <v>0</v>
      </c>
      <c r="F168" s="36">
        <f t="shared" si="2"/>
        <v>0</v>
      </c>
    </row>
    <row r="169" spans="1:14" ht="24" customHeight="1">
      <c r="A169" s="5">
        <v>805001</v>
      </c>
      <c r="B169" s="6" t="s">
        <v>7</v>
      </c>
      <c r="C169" s="36">
        <v>0</v>
      </c>
      <c r="D169" s="36">
        <v>22627</v>
      </c>
      <c r="E169" s="36">
        <v>63</v>
      </c>
      <c r="F169" s="36">
        <f t="shared" si="2"/>
        <v>22690</v>
      </c>
    </row>
    <row r="170" spans="1:14" ht="24" customHeight="1">
      <c r="A170" s="5">
        <v>605001</v>
      </c>
      <c r="B170" s="6" t="s">
        <v>8</v>
      </c>
      <c r="C170" s="36">
        <v>0</v>
      </c>
      <c r="D170" s="36">
        <v>4916</v>
      </c>
      <c r="E170" s="36">
        <v>166</v>
      </c>
      <c r="F170" s="36">
        <f t="shared" si="2"/>
        <v>5082</v>
      </c>
    </row>
    <row r="171" spans="1:14" ht="24" customHeight="1">
      <c r="A171" s="26">
        <v>801001</v>
      </c>
      <c r="B171" s="27" t="s">
        <v>188</v>
      </c>
      <c r="C171" s="36">
        <v>0</v>
      </c>
      <c r="D171" s="36">
        <v>0</v>
      </c>
      <c r="E171" s="36">
        <v>16253</v>
      </c>
      <c r="F171" s="36">
        <f t="shared" si="2"/>
        <v>16253</v>
      </c>
    </row>
    <row r="172" spans="1:14" ht="24" customHeight="1">
      <c r="A172" s="26">
        <v>801003</v>
      </c>
      <c r="B172" s="27" t="s">
        <v>189</v>
      </c>
      <c r="C172" s="36">
        <v>0</v>
      </c>
      <c r="D172" s="36">
        <v>0</v>
      </c>
      <c r="E172" s="36">
        <v>0</v>
      </c>
      <c r="F172" s="36">
        <f t="shared" si="2"/>
        <v>0</v>
      </c>
    </row>
    <row r="173" spans="1:14" s="38" customFormat="1" ht="24" customHeight="1">
      <c r="A173" s="26">
        <v>802001</v>
      </c>
      <c r="B173" s="27" t="s">
        <v>190</v>
      </c>
      <c r="C173" s="36">
        <v>0</v>
      </c>
      <c r="D173" s="36">
        <v>0</v>
      </c>
      <c r="E173" s="36">
        <v>13427</v>
      </c>
      <c r="F173" s="36">
        <f t="shared" si="2"/>
        <v>13427</v>
      </c>
    </row>
    <row r="174" spans="1:14" ht="24" customHeight="1">
      <c r="A174" s="26">
        <v>802002</v>
      </c>
      <c r="B174" s="27" t="s">
        <v>191</v>
      </c>
      <c r="C174" s="36">
        <v>0</v>
      </c>
      <c r="D174" s="36">
        <v>0</v>
      </c>
      <c r="E174" s="36">
        <v>0</v>
      </c>
      <c r="F174" s="36">
        <f t="shared" si="2"/>
        <v>0</v>
      </c>
    </row>
    <row r="175" spans="1:14" ht="24" customHeight="1">
      <c r="A175" s="26">
        <v>803001</v>
      </c>
      <c r="B175" s="27" t="s">
        <v>192</v>
      </c>
      <c r="C175" s="36">
        <v>0</v>
      </c>
      <c r="D175" s="36">
        <v>0</v>
      </c>
      <c r="E175" s="36">
        <v>12034</v>
      </c>
      <c r="F175" s="36">
        <f t="shared" si="2"/>
        <v>12034</v>
      </c>
    </row>
    <row r="176" spans="1:14" ht="24" customHeight="1">
      <c r="A176" s="26">
        <v>803003</v>
      </c>
      <c r="B176" s="27" t="s">
        <v>193</v>
      </c>
      <c r="C176" s="36">
        <v>0</v>
      </c>
      <c r="D176" s="36">
        <v>0</v>
      </c>
      <c r="E176" s="36">
        <v>0</v>
      </c>
      <c r="F176" s="36">
        <f t="shared" si="2"/>
        <v>0</v>
      </c>
    </row>
    <row r="177" spans="1:6" ht="24" customHeight="1">
      <c r="A177" s="26">
        <v>806001</v>
      </c>
      <c r="B177" s="27" t="s">
        <v>194</v>
      </c>
      <c r="C177" s="36">
        <v>0</v>
      </c>
      <c r="D177" s="36">
        <v>0</v>
      </c>
      <c r="E177" s="36">
        <v>17148</v>
      </c>
      <c r="F177" s="36">
        <f t="shared" si="2"/>
        <v>17148</v>
      </c>
    </row>
    <row r="178" spans="1:6" ht="24" customHeight="1">
      <c r="A178" s="26">
        <v>806002</v>
      </c>
      <c r="B178" s="27" t="s">
        <v>195</v>
      </c>
      <c r="C178" s="36">
        <v>0</v>
      </c>
      <c r="D178" s="36">
        <v>0</v>
      </c>
      <c r="E178" s="36">
        <v>0</v>
      </c>
      <c r="F178" s="36">
        <f t="shared" si="2"/>
        <v>0</v>
      </c>
    </row>
    <row r="179" spans="1:6" ht="24" customHeight="1">
      <c r="A179" s="26">
        <v>899015</v>
      </c>
      <c r="B179" s="27" t="s">
        <v>196</v>
      </c>
      <c r="C179" s="36">
        <v>0</v>
      </c>
      <c r="D179" s="36">
        <v>0</v>
      </c>
      <c r="E179" s="36">
        <v>0</v>
      </c>
      <c r="F179" s="36">
        <f t="shared" si="2"/>
        <v>0</v>
      </c>
    </row>
    <row r="180" spans="1:6" ht="24" customHeight="1">
      <c r="A180" s="7"/>
      <c r="B180" s="8" t="s">
        <v>10</v>
      </c>
      <c r="C180" s="36">
        <v>0</v>
      </c>
      <c r="D180" s="36">
        <v>0</v>
      </c>
      <c r="E180" s="36">
        <v>12176</v>
      </c>
      <c r="F180" s="36">
        <f t="shared" si="2"/>
        <v>12176</v>
      </c>
    </row>
    <row r="181" spans="1:6" ht="24" customHeight="1">
      <c r="A181" s="7"/>
      <c r="B181" s="8" t="s">
        <v>11</v>
      </c>
      <c r="C181" s="36">
        <v>0</v>
      </c>
      <c r="D181" s="36">
        <v>19098</v>
      </c>
      <c r="E181" s="36">
        <v>590</v>
      </c>
      <c r="F181" s="36">
        <f t="shared" si="2"/>
        <v>19688</v>
      </c>
    </row>
    <row r="182" spans="1:6" ht="24" customHeight="1">
      <c r="A182" s="7"/>
      <c r="B182" s="8" t="s">
        <v>12</v>
      </c>
      <c r="C182" s="36">
        <v>0</v>
      </c>
      <c r="D182" s="36">
        <v>0</v>
      </c>
      <c r="E182" s="36">
        <v>27501.77</v>
      </c>
      <c r="F182" s="36">
        <f t="shared" si="2"/>
        <v>27501.77</v>
      </c>
    </row>
    <row r="183" spans="1:6" ht="24" customHeight="1">
      <c r="A183" s="7"/>
      <c r="B183" s="8" t="s">
        <v>13</v>
      </c>
      <c r="C183" s="36">
        <v>0</v>
      </c>
      <c r="D183" s="36">
        <v>2088</v>
      </c>
      <c r="E183" s="36">
        <v>9778.1</v>
      </c>
      <c r="F183" s="36">
        <f t="shared" si="2"/>
        <v>11866.1</v>
      </c>
    </row>
    <row r="184" spans="1:6" ht="24" customHeight="1">
      <c r="A184" s="7"/>
      <c r="B184" s="8" t="s">
        <v>14</v>
      </c>
      <c r="C184" s="36">
        <v>0</v>
      </c>
      <c r="D184" s="37">
        <v>0</v>
      </c>
      <c r="E184" s="36">
        <v>3720</v>
      </c>
      <c r="F184" s="36">
        <f t="shared" si="2"/>
        <v>3720</v>
      </c>
    </row>
    <row r="185" spans="1:6" ht="24" customHeight="1">
      <c r="A185" s="7"/>
      <c r="B185" s="8" t="s">
        <v>15</v>
      </c>
      <c r="C185" s="36">
        <v>0</v>
      </c>
      <c r="D185" s="36">
        <v>1696</v>
      </c>
      <c r="E185" s="36">
        <v>19257.330000000002</v>
      </c>
      <c r="F185" s="36">
        <f t="shared" si="2"/>
        <v>20953.330000000002</v>
      </c>
    </row>
    <row r="186" spans="1:6" ht="24" customHeight="1">
      <c r="A186" s="7"/>
      <c r="B186" s="8" t="s">
        <v>16</v>
      </c>
      <c r="C186" s="36">
        <v>0</v>
      </c>
      <c r="D186" s="36">
        <v>0</v>
      </c>
      <c r="E186" s="36">
        <v>22550.47</v>
      </c>
      <c r="F186" s="36">
        <f t="shared" si="2"/>
        <v>22550.47</v>
      </c>
    </row>
    <row r="187" spans="1:6" ht="24" customHeight="1">
      <c r="A187" s="7"/>
      <c r="B187" s="8" t="s">
        <v>17</v>
      </c>
      <c r="C187" s="36">
        <v>0</v>
      </c>
      <c r="D187" s="36">
        <v>0</v>
      </c>
      <c r="E187" s="36">
        <v>7405</v>
      </c>
      <c r="F187" s="36">
        <f t="shared" si="2"/>
        <v>7405</v>
      </c>
    </row>
    <row r="188" spans="1:6" ht="24" customHeight="1">
      <c r="A188" s="7"/>
      <c r="B188" s="8" t="s">
        <v>18</v>
      </c>
      <c r="C188" s="36">
        <v>0</v>
      </c>
      <c r="D188" s="36">
        <v>3650</v>
      </c>
      <c r="E188" s="36">
        <v>0</v>
      </c>
      <c r="F188" s="36">
        <f t="shared" si="2"/>
        <v>3650</v>
      </c>
    </row>
    <row r="189" spans="1:6" ht="24" customHeight="1">
      <c r="A189" s="7"/>
      <c r="B189" s="8" t="s">
        <v>19</v>
      </c>
      <c r="C189" s="36">
        <v>0</v>
      </c>
      <c r="D189" s="36">
        <v>0</v>
      </c>
      <c r="E189" s="36">
        <v>2441</v>
      </c>
      <c r="F189" s="36">
        <f t="shared" si="2"/>
        <v>2441</v>
      </c>
    </row>
    <row r="190" spans="1:6" ht="24" customHeight="1">
      <c r="A190" s="7"/>
      <c r="B190" s="8" t="s">
        <v>20</v>
      </c>
      <c r="C190" s="36">
        <v>0</v>
      </c>
      <c r="D190" s="36">
        <v>0</v>
      </c>
      <c r="E190" s="36">
        <v>9195</v>
      </c>
      <c r="F190" s="36">
        <f t="shared" si="2"/>
        <v>9195</v>
      </c>
    </row>
    <row r="191" spans="1:6" ht="24" customHeight="1">
      <c r="A191" s="7"/>
      <c r="B191" s="8" t="s">
        <v>21</v>
      </c>
      <c r="C191" s="36">
        <v>0</v>
      </c>
      <c r="D191" s="36">
        <v>0</v>
      </c>
      <c r="E191" s="36">
        <v>5853</v>
      </c>
      <c r="F191" s="36">
        <f t="shared" si="2"/>
        <v>5853</v>
      </c>
    </row>
    <row r="192" spans="1:6" ht="24" customHeight="1">
      <c r="A192" s="7"/>
      <c r="B192" s="8" t="s">
        <v>22</v>
      </c>
      <c r="C192" s="36">
        <v>0</v>
      </c>
      <c r="D192" s="36">
        <v>0</v>
      </c>
      <c r="E192" s="36">
        <v>31635.86</v>
      </c>
      <c r="F192" s="36">
        <f t="shared" si="2"/>
        <v>31635.86</v>
      </c>
    </row>
    <row r="193" spans="1:6" ht="24" customHeight="1">
      <c r="A193" s="7"/>
      <c r="B193" s="8" t="s">
        <v>23</v>
      </c>
      <c r="C193" s="36">
        <v>0</v>
      </c>
      <c r="D193" s="37">
        <v>0</v>
      </c>
      <c r="E193" s="36">
        <v>18130</v>
      </c>
      <c r="F193" s="36">
        <f t="shared" si="2"/>
        <v>18130</v>
      </c>
    </row>
    <row r="194" spans="1:6" ht="24" customHeight="1">
      <c r="A194" s="7"/>
      <c r="B194" s="8" t="s">
        <v>24</v>
      </c>
      <c r="C194" s="36">
        <v>0</v>
      </c>
      <c r="D194" s="36">
        <v>700</v>
      </c>
      <c r="E194" s="36">
        <v>14701.74</v>
      </c>
      <c r="F194" s="36">
        <f t="shared" si="2"/>
        <v>15401.74</v>
      </c>
    </row>
    <row r="195" spans="1:6" ht="24" customHeight="1">
      <c r="A195" s="9"/>
      <c r="B195" s="9" t="s">
        <v>25</v>
      </c>
      <c r="C195" s="36">
        <f>SUM(C4:C194)</f>
        <v>469877.36</v>
      </c>
      <c r="D195" s="36">
        <f>SUM(D4:D194)</f>
        <v>1460462</v>
      </c>
      <c r="E195" s="36">
        <f>SUM(E4:E194)</f>
        <v>3256671.5100000002</v>
      </c>
      <c r="F195" s="36">
        <f t="shared" si="2"/>
        <v>5187010.87</v>
      </c>
    </row>
  </sheetData>
  <mergeCells count="2">
    <mergeCell ref="A1:F1"/>
    <mergeCell ref="A2:B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cp:lastPrinted>2018-07-02T00:17:08Z</cp:lastPrinted>
  <dcterms:created xsi:type="dcterms:W3CDTF">2018-05-28T03:07:26Z</dcterms:created>
  <dcterms:modified xsi:type="dcterms:W3CDTF">2018-08-09T03:44:57Z</dcterms:modified>
</cp:coreProperties>
</file>