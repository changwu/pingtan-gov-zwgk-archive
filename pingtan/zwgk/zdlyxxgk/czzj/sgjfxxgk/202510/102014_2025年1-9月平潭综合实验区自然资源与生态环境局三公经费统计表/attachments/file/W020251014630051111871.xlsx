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/>
  <c r="J6"/>
  <c r="I6"/>
  <c r="G6"/>
  <c r="F6"/>
  <c r="E6"/>
  <c r="D6"/>
  <c r="C6"/>
  <c r="M5"/>
  <c r="M6" s="1"/>
  <c r="L5"/>
  <c r="L6" s="1"/>
  <c r="K5"/>
  <c r="H5"/>
  <c r="H6" s="1"/>
  <c r="E5"/>
  <c r="N5" l="1"/>
  <c r="N6" s="1"/>
</calcChain>
</file>

<file path=xl/sharedStrings.xml><?xml version="1.0" encoding="utf-8"?>
<sst xmlns="http://schemas.openxmlformats.org/spreadsheetml/2006/main" count="19" uniqueCount="16">
  <si>
    <t>填报单位（盖章):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</si>
  <si>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</si>
  <si>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</si>
  <si>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</si>
  <si>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</si>
  <si>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</si>
  <si>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</si>
  <si>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</si>
  <si>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</si>
  <si>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013001</t>
  </si>
  <si>
    <t>平潭综合实验区自然资源与生态环境局</t>
  </si>
  <si>
    <t>合        计</t>
  </si>
  <si>
    <t>单位负责人:</t>
  </si>
  <si>
    <t>经办人:</t>
  </si>
  <si>
    <t>李远见</t>
  </si>
  <si>
    <t>2025年1-9月平潭综合实验区自然资源与生态环境局三公经费统计表</t>
    <phoneticPr fontId="8" type="noConversion"/>
  </si>
</sst>
</file>

<file path=xl/styles.xml><?xml version="1.0" encoding="utf-8"?>
<styleSheet xmlns="http://schemas.openxmlformats.org/spreadsheetml/2006/main">
  <numFmts count="2">
    <numFmt numFmtId="178" formatCode="0.00_);[Red]\(0.00\)"/>
    <numFmt numFmtId="179" formatCode="0.00_ "/>
  </numFmts>
  <fonts count="9">
    <font>
      <sz val="11"/>
      <color theme="1"/>
      <name val="宋体"/>
      <charset val="134"/>
      <scheme val="minor"/>
    </font>
    <font>
      <sz val="18"/>
      <name val="方正小标宋简体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78" fontId="6" fillId="0" borderId="7" xfId="0" applyNumberFormat="1" applyFont="1" applyFill="1" applyBorder="1" applyAlignment="1">
      <alignment horizontal="center" vertical="center" shrinkToFit="1"/>
    </xf>
    <xf numFmtId="179" fontId="6" fillId="0" borderId="7" xfId="0" applyNumberFormat="1" applyFont="1" applyFill="1" applyBorder="1" applyAlignment="1">
      <alignment horizontal="center" vertical="center" shrinkToFit="1"/>
    </xf>
    <xf numFmtId="179" fontId="7" fillId="0" borderId="7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79" fontId="7" fillId="2" borderId="7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>
      <selection activeCell="P9" sqref="P9"/>
    </sheetView>
  </sheetViews>
  <sheetFormatPr defaultColWidth="9" defaultRowHeight="13.5"/>
  <cols>
    <col min="2" max="2" width="9.875" customWidth="1"/>
  </cols>
  <sheetData>
    <row r="1" spans="1:14" ht="22.5">
      <c r="A1" s="12" t="s">
        <v>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13" t="s">
        <v>0</v>
      </c>
      <c r="B2" s="13"/>
      <c r="C2" s="13"/>
      <c r="D2" s="1"/>
      <c r="E2" s="1"/>
      <c r="F2" s="1"/>
      <c r="G2" s="1"/>
      <c r="H2" s="1"/>
      <c r="I2" s="14"/>
      <c r="J2" s="14"/>
      <c r="K2" s="14"/>
      <c r="L2" s="14" t="s">
        <v>1</v>
      </c>
      <c r="M2" s="14"/>
      <c r="N2" s="14"/>
    </row>
    <row r="3" spans="1:14">
      <c r="A3" s="22" t="s">
        <v>2</v>
      </c>
      <c r="B3" s="22" t="s">
        <v>3</v>
      </c>
      <c r="C3" s="15" t="s">
        <v>4</v>
      </c>
      <c r="D3" s="16"/>
      <c r="E3" s="17"/>
      <c r="F3" s="18" t="s">
        <v>5</v>
      </c>
      <c r="G3" s="19"/>
      <c r="H3" s="20"/>
      <c r="I3" s="15" t="s">
        <v>6</v>
      </c>
      <c r="J3" s="16"/>
      <c r="K3" s="17"/>
      <c r="L3" s="15" t="s">
        <v>7</v>
      </c>
      <c r="M3" s="16"/>
      <c r="N3" s="17"/>
    </row>
    <row r="4" spans="1:14">
      <c r="A4" s="23"/>
      <c r="B4" s="23"/>
      <c r="C4" s="2">
        <v>2024</v>
      </c>
      <c r="D4" s="2">
        <v>2025</v>
      </c>
      <c r="E4" s="2" t="s">
        <v>8</v>
      </c>
      <c r="F4" s="2">
        <v>2024</v>
      </c>
      <c r="G4" s="2">
        <v>2025</v>
      </c>
      <c r="H4" s="2" t="s">
        <v>8</v>
      </c>
      <c r="I4" s="2">
        <v>2024</v>
      </c>
      <c r="J4" s="2">
        <v>2025</v>
      </c>
      <c r="K4" s="2" t="s">
        <v>8</v>
      </c>
      <c r="L4" s="2">
        <v>2024</v>
      </c>
      <c r="M4" s="2">
        <v>2025</v>
      </c>
      <c r="N4" s="2" t="s">
        <v>8</v>
      </c>
    </row>
    <row r="5" spans="1:14" ht="56.1" customHeight="1">
      <c r="A5" s="3" t="s">
        <v>9</v>
      </c>
      <c r="B5" s="4" t="s">
        <v>10</v>
      </c>
      <c r="C5" s="5">
        <v>0</v>
      </c>
      <c r="D5" s="5">
        <v>0</v>
      </c>
      <c r="E5" s="6">
        <f>D5-C5</f>
        <v>0</v>
      </c>
      <c r="F5" s="5">
        <v>15717</v>
      </c>
      <c r="G5" s="5">
        <v>11642</v>
      </c>
      <c r="H5" s="7">
        <f>G5-F5</f>
        <v>-4075</v>
      </c>
      <c r="I5" s="5">
        <v>11543.66</v>
      </c>
      <c r="J5" s="5">
        <v>4317.8999999999996</v>
      </c>
      <c r="K5" s="7">
        <f>J5-I5</f>
        <v>-7225.76</v>
      </c>
      <c r="L5" s="7">
        <f>C5+F5+I5</f>
        <v>27260.66</v>
      </c>
      <c r="M5" s="7">
        <f>D5+G5+J5</f>
        <v>15959.9</v>
      </c>
      <c r="N5" s="7">
        <f>M5-L5</f>
        <v>-11300.76</v>
      </c>
    </row>
    <row r="6" spans="1:14" ht="24">
      <c r="A6" s="8"/>
      <c r="B6" s="9" t="s">
        <v>11</v>
      </c>
      <c r="C6" s="10">
        <f t="shared" ref="C6:N6" si="0">SUM(C5:C5)</f>
        <v>0</v>
      </c>
      <c r="D6" s="10">
        <f t="shared" si="0"/>
        <v>0</v>
      </c>
      <c r="E6" s="10">
        <f t="shared" si="0"/>
        <v>0</v>
      </c>
      <c r="F6" s="10">
        <f t="shared" si="0"/>
        <v>15717</v>
      </c>
      <c r="G6" s="10">
        <f t="shared" si="0"/>
        <v>11642</v>
      </c>
      <c r="H6" s="10">
        <f t="shared" si="0"/>
        <v>-4075</v>
      </c>
      <c r="I6" s="10">
        <f t="shared" si="0"/>
        <v>11543.66</v>
      </c>
      <c r="J6" s="10">
        <f t="shared" si="0"/>
        <v>4317.8999999999996</v>
      </c>
      <c r="K6" s="10">
        <f t="shared" si="0"/>
        <v>-7225.76</v>
      </c>
      <c r="L6" s="10">
        <f t="shared" si="0"/>
        <v>27260.66</v>
      </c>
      <c r="M6" s="10">
        <f t="shared" si="0"/>
        <v>15959.9</v>
      </c>
      <c r="N6" s="10">
        <f t="shared" si="0"/>
        <v>-11300.76</v>
      </c>
    </row>
    <row r="7" spans="1:14">
      <c r="A7" s="21" t="s">
        <v>12</v>
      </c>
      <c r="B7" s="21"/>
      <c r="C7" s="11"/>
      <c r="D7" s="11"/>
      <c r="E7" s="11"/>
      <c r="F7" s="21"/>
      <c r="G7" s="21"/>
      <c r="H7" s="11"/>
      <c r="I7" s="11"/>
      <c r="J7" s="21"/>
      <c r="K7" s="21"/>
      <c r="L7" s="11" t="s">
        <v>13</v>
      </c>
      <c r="M7" s="21" t="s">
        <v>14</v>
      </c>
      <c r="N7" s="21"/>
    </row>
  </sheetData>
  <mergeCells count="14">
    <mergeCell ref="A7:B7"/>
    <mergeCell ref="F7:G7"/>
    <mergeCell ref="J7:K7"/>
    <mergeCell ref="M7:N7"/>
    <mergeCell ref="A3:A4"/>
    <mergeCell ref="B3:B4"/>
    <mergeCell ref="A1:N1"/>
    <mergeCell ref="A2:C2"/>
    <mergeCell ref="I2:K2"/>
    <mergeCell ref="L2:N2"/>
    <mergeCell ref="C3:E3"/>
    <mergeCell ref="F3:H3"/>
    <mergeCell ref="I3:K3"/>
    <mergeCell ref="L3:N3"/>
  </mergeCells>
  <phoneticPr fontId="8" type="noConversion"/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2023-05-12T19:15:00Z</dcterms:created>
  <dcterms:modified xsi:type="dcterms:W3CDTF">2025-10-14T01:51:53Z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5D3E2741431D44BBBE73C1EBB370C884_13</vt:lpwstr>
  </property>
</Properties>
</file>