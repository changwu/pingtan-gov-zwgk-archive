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75" windowHeight="8970"/>
  </bookViews>
  <sheets>
    <sheet name="当年数" sheetId="3" r:id="rId1"/>
  </sheets>
  <calcPr calcId="144525"/>
</workbook>
</file>

<file path=xl/sharedStrings.xml><?xml version="1.0" encoding="utf-8"?>
<sst xmlns="http://schemas.openxmlformats.org/spreadsheetml/2006/main" count="316" uniqueCount="314">
  <si>
    <t>2020年1-7月平潭综合实验区各单位三公经费统计表</t>
  </si>
  <si>
    <t>单位编号</t>
  </si>
  <si>
    <t>单位名称</t>
  </si>
  <si>
    <t>因公出国（境）费</t>
  </si>
  <si>
    <t>公务接待费</t>
  </si>
  <si>
    <t>公务用车运行维护费</t>
  </si>
  <si>
    <t>合计</t>
  </si>
  <si>
    <t>001002</t>
  </si>
  <si>
    <t>平潭县人大常委会</t>
  </si>
  <si>
    <t>002002</t>
  </si>
  <si>
    <t>平潭县政协</t>
  </si>
  <si>
    <t>003001</t>
  </si>
  <si>
    <t>平潭综合实验区纪工委</t>
  </si>
  <si>
    <t>039003</t>
  </si>
  <si>
    <t>平潭综合实验区廉政及审计事务中心</t>
  </si>
  <si>
    <t>004001</t>
  </si>
  <si>
    <t>区管委办</t>
  </si>
  <si>
    <t>004002</t>
  </si>
  <si>
    <t>平潭综合实验区司法办公室</t>
  </si>
  <si>
    <t>005001</t>
  </si>
  <si>
    <t>平潭党群工作部</t>
  </si>
  <si>
    <t>007001</t>
  </si>
  <si>
    <t>平潭巡审办</t>
  </si>
  <si>
    <t>021001</t>
  </si>
  <si>
    <t>平潭综合实验区党工委宣传办</t>
  </si>
  <si>
    <t>025002</t>
  </si>
  <si>
    <t>平潭党工委党校</t>
  </si>
  <si>
    <t>027002</t>
  </si>
  <si>
    <t>平潭综合实验区传媒中心</t>
  </si>
  <si>
    <t>027004</t>
  </si>
  <si>
    <t>平潭广播电视台</t>
  </si>
  <si>
    <t>027003</t>
  </si>
  <si>
    <t>平潭时报社</t>
  </si>
  <si>
    <t>027005</t>
  </si>
  <si>
    <t>互联网中心</t>
  </si>
  <si>
    <t>027006</t>
  </si>
  <si>
    <t>广电中心</t>
  </si>
  <si>
    <t>035002</t>
  </si>
  <si>
    <t>平潭人力资源服务中心</t>
  </si>
  <si>
    <t>009001</t>
  </si>
  <si>
    <t>公安局</t>
  </si>
  <si>
    <t>009002</t>
  </si>
  <si>
    <t>看守所</t>
  </si>
  <si>
    <t>009003</t>
  </si>
  <si>
    <t>拘留所</t>
  </si>
  <si>
    <t>010001</t>
  </si>
  <si>
    <t>财政金融局</t>
  </si>
  <si>
    <t>038001</t>
  </si>
  <si>
    <t>财政金融事务服务中心</t>
  </si>
  <si>
    <t>015001</t>
  </si>
  <si>
    <t>行政审批局</t>
  </si>
  <si>
    <t>033002</t>
  </si>
  <si>
    <t>行政服务中心</t>
  </si>
  <si>
    <t>033011</t>
  </si>
  <si>
    <t>平潭综合实验区机关事务服务中心</t>
  </si>
  <si>
    <t>033010</t>
  </si>
  <si>
    <t>平潭综合实验区接待服务中心</t>
  </si>
  <si>
    <t>016001</t>
  </si>
  <si>
    <t>区综合执法与应急管理局本级</t>
  </si>
  <si>
    <t>016003</t>
  </si>
  <si>
    <t>区交通综合执法支队</t>
  </si>
  <si>
    <t>016004</t>
  </si>
  <si>
    <t>区安全生产与劳动保障执法支队</t>
  </si>
  <si>
    <t>016005</t>
  </si>
  <si>
    <t>文化市场综合执法支队</t>
  </si>
  <si>
    <t>016006</t>
  </si>
  <si>
    <t>农业综合执法支队</t>
  </si>
  <si>
    <t>046007</t>
  </si>
  <si>
    <t>科学技术协会本级</t>
  </si>
  <si>
    <t>037001</t>
  </si>
  <si>
    <t>区应急事务中心</t>
  </si>
  <si>
    <t>037002</t>
  </si>
  <si>
    <t>区防汛抗旱指挥部办公室</t>
  </si>
  <si>
    <t>037003</t>
  </si>
  <si>
    <t>区地灾防治与环境事故应急中心</t>
  </si>
  <si>
    <t>037004</t>
  </si>
  <si>
    <t>区地震办</t>
  </si>
  <si>
    <t>037005</t>
  </si>
  <si>
    <t>区安全生产综合服务中心</t>
  </si>
  <si>
    <t>017001</t>
  </si>
  <si>
    <t>市场监督管理局</t>
  </si>
  <si>
    <t>020002</t>
  </si>
  <si>
    <t>平潭综合实验区科技研究院</t>
  </si>
  <si>
    <t>045001</t>
  </si>
  <si>
    <t>工商业联合会</t>
  </si>
  <si>
    <t>046001</t>
  </si>
  <si>
    <t>共青团平潭综合实验区委员会</t>
  </si>
  <si>
    <t>046002</t>
  </si>
  <si>
    <t>妇女联合会</t>
  </si>
  <si>
    <t>046003</t>
  </si>
  <si>
    <t>总工会</t>
  </si>
  <si>
    <t>046004</t>
  </si>
  <si>
    <t>归国华侨联合会</t>
  </si>
  <si>
    <t>046005</t>
  </si>
  <si>
    <t>文学艺术界联合会</t>
  </si>
  <si>
    <t>046008</t>
  </si>
  <si>
    <t>计划生育协会</t>
  </si>
  <si>
    <t>036001</t>
  </si>
  <si>
    <t>旅游文化服务中心</t>
  </si>
  <si>
    <t>011001</t>
  </si>
  <si>
    <t>平潭综合实验区旅游文体局</t>
  </si>
  <si>
    <t>011002</t>
  </si>
  <si>
    <t>平潭综合实验区风景区与旅游执法支队</t>
  </si>
  <si>
    <t>011003</t>
  </si>
  <si>
    <t>平潭县闽剧团</t>
  </si>
  <si>
    <t>046006</t>
  </si>
  <si>
    <t>平潭综合实验区残联</t>
  </si>
  <si>
    <t>018001</t>
  </si>
  <si>
    <t>区农村发展局本级</t>
  </si>
  <si>
    <t>018003</t>
  </si>
  <si>
    <t>区海洋渔业执法大队</t>
  </si>
  <si>
    <t>034001</t>
  </si>
  <si>
    <t>区农业农村发展服务中心</t>
  </si>
  <si>
    <t>012001</t>
  </si>
  <si>
    <t>平潭综合实验区社会事业局</t>
  </si>
  <si>
    <t>029009</t>
  </si>
  <si>
    <t>平潭综合实验区社会事业服务发展中心</t>
  </si>
  <si>
    <t>012081</t>
  </si>
  <si>
    <t>平潭综合实验区红十字会</t>
  </si>
  <si>
    <t>平潭综合实验区医院</t>
  </si>
  <si>
    <t>012062</t>
  </si>
  <si>
    <t>平潭综合实验区中医院</t>
  </si>
  <si>
    <t>012063</t>
  </si>
  <si>
    <t>平潭综合实验区妇幼保健院</t>
  </si>
  <si>
    <t>012064</t>
  </si>
  <si>
    <t>平潭综合实验区皮肤病性病防治院</t>
  </si>
  <si>
    <t>012065</t>
  </si>
  <si>
    <t>平潭综合实验区疾病预防控制中心</t>
  </si>
  <si>
    <t>012066</t>
  </si>
  <si>
    <t>平潭综合实验区潭城镇社区卫生服务中心</t>
  </si>
  <si>
    <t>012067</t>
  </si>
  <si>
    <t>平潭综合实验区屿头乡卫生院</t>
  </si>
  <si>
    <t>012068</t>
  </si>
  <si>
    <t>平潭综合实验区大练乡卫生院</t>
  </si>
  <si>
    <t>012069</t>
  </si>
  <si>
    <t>平潭综合实验区苏澳镇中心卫生院</t>
  </si>
  <si>
    <t>012070</t>
  </si>
  <si>
    <t>平潭综合实验区平原镇中心卫生院</t>
  </si>
  <si>
    <t>012071</t>
  </si>
  <si>
    <t>平潭综合实验区中楼乡卫生院</t>
  </si>
  <si>
    <t>012072</t>
  </si>
  <si>
    <t>平潭综合实验区白青乡卫生院</t>
  </si>
  <si>
    <t>012073</t>
  </si>
  <si>
    <t>平潭综合实验区流水镇中心卫生院</t>
  </si>
  <si>
    <t>012074</t>
  </si>
  <si>
    <t>平潭综合实验区东庠乡卫生院</t>
  </si>
  <si>
    <t>012075</t>
  </si>
  <si>
    <t>平潭综合实验区岚城乡中心卫生院</t>
  </si>
  <si>
    <t>010076</t>
  </si>
  <si>
    <t>平潭综合实验区澳前镇中心卫生院</t>
  </si>
  <si>
    <t>012077</t>
  </si>
  <si>
    <t>平潭综合实验区北厝镇中心卫生院</t>
  </si>
  <si>
    <t>012078</t>
  </si>
  <si>
    <t>平潭综合实验区敖东镇中心卫生院</t>
  </si>
  <si>
    <t>012079</t>
  </si>
  <si>
    <t>平潭综合实验区南海乡卫生院</t>
  </si>
  <si>
    <t>012080</t>
  </si>
  <si>
    <t>平潭综合实验区南海乡塘屿卫生院</t>
  </si>
  <si>
    <t>012082</t>
  </si>
  <si>
    <t>平潭综合实验区急救中心</t>
  </si>
  <si>
    <t>012083</t>
  </si>
  <si>
    <t>平潭综合实验区卫生监督所</t>
  </si>
  <si>
    <t>012002</t>
  </si>
  <si>
    <t>平潭综合实验区进修学校</t>
  </si>
  <si>
    <t>012003</t>
  </si>
  <si>
    <t>平潭职业中专学校</t>
  </si>
  <si>
    <t>012004</t>
  </si>
  <si>
    <t>平潭第一中学</t>
  </si>
  <si>
    <t>012005</t>
  </si>
  <si>
    <t>平潭第二中学</t>
  </si>
  <si>
    <t>012006</t>
  </si>
  <si>
    <t>平潭第三中学</t>
  </si>
  <si>
    <t>012007</t>
  </si>
  <si>
    <t>平潭城关中学</t>
  </si>
  <si>
    <t>012008</t>
  </si>
  <si>
    <t>福建师范大学平潭附属中学</t>
  </si>
  <si>
    <t>012009</t>
  </si>
  <si>
    <t>平潭流水中学</t>
  </si>
  <si>
    <t>012010</t>
  </si>
  <si>
    <t>平潭城南学校</t>
  </si>
  <si>
    <t>012011</t>
  </si>
  <si>
    <t>平潭强兴中学</t>
  </si>
  <si>
    <t>012012</t>
  </si>
  <si>
    <t>平潭潭东初级中学</t>
  </si>
  <si>
    <t>012013</t>
  </si>
  <si>
    <t>平潭龙南初级中学</t>
  </si>
  <si>
    <t>012014</t>
  </si>
  <si>
    <t>平潭北厝初级中学</t>
  </si>
  <si>
    <t>012015</t>
  </si>
  <si>
    <t>平潭屿头初级中学</t>
  </si>
  <si>
    <t>012016</t>
  </si>
  <si>
    <t>平潭渔限学校（小学、初中）</t>
  </si>
  <si>
    <t>012017</t>
  </si>
  <si>
    <t>平潭芦洋学校（小学、初中）</t>
  </si>
  <si>
    <t>012018</t>
  </si>
  <si>
    <t>平潭国彩学校(小学、初中）</t>
  </si>
  <si>
    <t>012019</t>
  </si>
  <si>
    <t>平潭思源学校</t>
  </si>
  <si>
    <t>012020</t>
  </si>
  <si>
    <t>平潭东庠学校（小学、初中）</t>
  </si>
  <si>
    <t>012021</t>
  </si>
  <si>
    <t>平潭实验小学</t>
  </si>
  <si>
    <t>012022</t>
  </si>
  <si>
    <t>平潭城中小学</t>
  </si>
  <si>
    <t>012023</t>
  </si>
  <si>
    <t>平潭城东小学</t>
  </si>
  <si>
    <t>012024</t>
  </si>
  <si>
    <t>平潭城北小学</t>
  </si>
  <si>
    <t>012025</t>
  </si>
  <si>
    <t>平潭城关小学</t>
  </si>
  <si>
    <t>012026</t>
  </si>
  <si>
    <t>平潭北门小学</t>
  </si>
  <si>
    <t>012027</t>
  </si>
  <si>
    <t>平潭流水镇中心小学</t>
  </si>
  <si>
    <t>012028</t>
  </si>
  <si>
    <t>平潭敖东镇中心小学</t>
  </si>
  <si>
    <t>012029</t>
  </si>
  <si>
    <t>平潭澳前镇中心校</t>
  </si>
  <si>
    <t>012030</t>
  </si>
  <si>
    <t>平潭岚城乡中心小学</t>
  </si>
  <si>
    <t>012031</t>
  </si>
  <si>
    <t>平潭北厝镇中心小学</t>
  </si>
  <si>
    <t>012032</t>
  </si>
  <si>
    <t>平潭大练乡中心小学</t>
  </si>
  <si>
    <t>012033</t>
  </si>
  <si>
    <t>平潭屿头乡中心小学</t>
  </si>
  <si>
    <t>012034</t>
  </si>
  <si>
    <t>平潭平原镇中心小学</t>
  </si>
  <si>
    <t>012035</t>
  </si>
  <si>
    <t>平潭特殊教育学校</t>
  </si>
  <si>
    <t>012036</t>
  </si>
  <si>
    <t>平潭实验幼儿园</t>
  </si>
  <si>
    <t>012037</t>
  </si>
  <si>
    <t>平潭城关幼儿园</t>
  </si>
  <si>
    <t>012038</t>
  </si>
  <si>
    <t>平潭流水镇中心幼儿园</t>
  </si>
  <si>
    <t>012039</t>
  </si>
  <si>
    <t>平潭北厝镇中心幼儿园</t>
  </si>
  <si>
    <t>012040</t>
  </si>
  <si>
    <t>平潭敖东镇中心幼儿园</t>
  </si>
  <si>
    <t>012041</t>
  </si>
  <si>
    <t>平潭中楼乡中心幼儿园</t>
  </si>
  <si>
    <t>012042</t>
  </si>
  <si>
    <t>平潭澳前镇中心幼儿园</t>
  </si>
  <si>
    <t>012043</t>
  </si>
  <si>
    <t>平潭屿头乡中心幼儿园</t>
  </si>
  <si>
    <t>012044</t>
  </si>
  <si>
    <t>平潭海峡儿童学园</t>
  </si>
  <si>
    <t>012045</t>
  </si>
  <si>
    <t>平潭第二实验小学</t>
  </si>
  <si>
    <t>012046</t>
  </si>
  <si>
    <t>平潭第二实验幼儿园</t>
  </si>
  <si>
    <t>012047</t>
  </si>
  <si>
    <t>平潭海坛幼儿园</t>
  </si>
  <si>
    <t>012048</t>
  </si>
  <si>
    <t>平潭如意幼儿园</t>
  </si>
  <si>
    <t>012049</t>
  </si>
  <si>
    <t>平潭东升幼儿园</t>
  </si>
  <si>
    <t>012050</t>
  </si>
  <si>
    <t>平潭苏澳学校（小学、初中）</t>
  </si>
  <si>
    <t>012051</t>
  </si>
  <si>
    <t>平潭中楼学校（小学、初中）</t>
  </si>
  <si>
    <t>012052</t>
  </si>
  <si>
    <t>平潭麒麟小学</t>
  </si>
  <si>
    <t>012053</t>
  </si>
  <si>
    <t>平潭双玉幼儿园</t>
  </si>
  <si>
    <t>012054</t>
  </si>
  <si>
    <t>平潭东岚幼儿园</t>
  </si>
  <si>
    <t>012055</t>
  </si>
  <si>
    <t>平潭岚城新区中心幼儿园</t>
  </si>
  <si>
    <t>012056</t>
  </si>
  <si>
    <t>平潭芦洋乡中心幼儿园</t>
  </si>
  <si>
    <t>012057</t>
  </si>
  <si>
    <t>平潭白青乡中心幼儿园</t>
  </si>
  <si>
    <t>012058</t>
  </si>
  <si>
    <t>平潭金井湾幼儿园</t>
  </si>
  <si>
    <t>012059</t>
  </si>
  <si>
    <t>平潭中湖小学</t>
  </si>
  <si>
    <t>012060</t>
  </si>
  <si>
    <t>平潭南海学校</t>
  </si>
  <si>
    <t>048008</t>
  </si>
  <si>
    <t>平潭综合实验区质量计量所</t>
  </si>
  <si>
    <t>048009</t>
  </si>
  <si>
    <t>平潭综合实验区检验检测中心</t>
  </si>
  <si>
    <t>048006</t>
  </si>
  <si>
    <t>区老年大学</t>
  </si>
  <si>
    <t>048007</t>
  </si>
  <si>
    <t>青少年宫</t>
  </si>
  <si>
    <t>048001</t>
  </si>
  <si>
    <t>挂职办</t>
  </si>
  <si>
    <r>
      <rPr>
        <sz val="9"/>
        <color indexed="8"/>
        <rFont val="宋体"/>
        <charset val="134"/>
      </rPr>
      <t>0</t>
    </r>
    <r>
      <rPr>
        <sz val="9"/>
        <rFont val="宋体"/>
        <charset val="134"/>
      </rPr>
      <t>08001</t>
    </r>
  </si>
  <si>
    <t>平潭综合实验区经济发展局</t>
  </si>
  <si>
    <r>
      <rPr>
        <sz val="9"/>
        <color indexed="8"/>
        <rFont val="宋体"/>
        <charset val="134"/>
      </rPr>
      <t>0</t>
    </r>
    <r>
      <rPr>
        <sz val="9"/>
        <rFont val="宋体"/>
        <charset val="134"/>
      </rPr>
      <t>32001</t>
    </r>
  </si>
  <si>
    <t>平潭综合实验区招商与产业促进中心</t>
  </si>
  <si>
    <t>020001</t>
  </si>
  <si>
    <t>平潭综合实验区国有资产管理局</t>
  </si>
  <si>
    <t>013001</t>
  </si>
  <si>
    <t>平潭综合实验区自然资源与生态环境局</t>
  </si>
  <si>
    <t>013002</t>
  </si>
  <si>
    <t>平潭综合实验区环境监察支队</t>
  </si>
  <si>
    <t>028001</t>
  </si>
  <si>
    <t>平潭综合实验区自然资源服务中心</t>
  </si>
  <si>
    <t>014001</t>
  </si>
  <si>
    <t>平潭综合实验区交通与建设局本级</t>
  </si>
  <si>
    <t>平潭综合实验区交通与建设局本级（环岛指挥部）</t>
  </si>
  <si>
    <t>014002</t>
  </si>
  <si>
    <t>平潭综合实验区人防办</t>
  </si>
  <si>
    <t>平潭综合实验区城乡建设与交通运输服务中心</t>
  </si>
  <si>
    <t>031001</t>
  </si>
  <si>
    <t>平潭综合实验区创新研究院</t>
  </si>
  <si>
    <t>金井片区管理局</t>
  </si>
  <si>
    <t>君山片区管理局</t>
  </si>
  <si>
    <t>苏平片区管理局</t>
  </si>
  <si>
    <t>海坛片区管理局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</si>
</sst>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10"/>
      <color indexed="8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4"/>
      <color theme="1"/>
      <name val="仿宋_GB2312"/>
      <charset val="134"/>
    </font>
    <font>
      <sz val="14"/>
      <color indexed="8"/>
      <name val="仿宋_GB2312"/>
      <charset val="134"/>
    </font>
    <font>
      <sz val="9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3" fillId="16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30" borderId="13" applyNumberFormat="0" applyFont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1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30" fillId="19" borderId="12" applyNumberFormat="0" applyAlignment="0" applyProtection="0">
      <alignment vertical="center"/>
    </xf>
    <xf numFmtId="0" fontId="25" fillId="19" borderId="8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/>
  </cellStyleXfs>
  <cellXfs count="35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top"/>
    </xf>
    <xf numFmtId="0" fontId="0" fillId="2" borderId="0" xfId="0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Fill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0" fontId="9" fillId="0" borderId="4" xfId="0" applyFont="1" applyBorder="1" applyAlignment="1">
      <alignment vertical="center"/>
    </xf>
    <xf numFmtId="0" fontId="9" fillId="0" borderId="2" xfId="0" applyFont="1" applyBorder="1" applyAlignment="1">
      <alignment horizontal="center" vertical="center" wrapText="1"/>
    </xf>
    <xf numFmtId="4" fontId="10" fillId="0" borderId="2" xfId="0" applyNumberFormat="1" applyFont="1" applyBorder="1" applyAlignment="1">
      <alignment horizontal="center" vertical="center" wrapText="1"/>
    </xf>
    <xf numFmtId="4" fontId="10" fillId="3" borderId="2" xfId="0" applyNumberFormat="1" applyFont="1" applyFill="1" applyBorder="1" applyAlignment="1" applyProtection="1">
      <alignment horizontal="left" vertical="center" wrapText="1"/>
    </xf>
    <xf numFmtId="4" fontId="10" fillId="3" borderId="2" xfId="0" applyNumberFormat="1" applyFont="1" applyFill="1" applyBorder="1" applyAlignment="1" applyProtection="1">
      <alignment horizontal="center" vertical="center" wrapText="1" shrinkToFit="1"/>
    </xf>
    <xf numFmtId="4" fontId="10" fillId="0" borderId="2" xfId="0" applyNumberFormat="1" applyFont="1" applyFill="1" applyBorder="1" applyAlignment="1" applyProtection="1">
      <alignment horizontal="center" vertical="center" wrapText="1" shrinkToFit="1"/>
    </xf>
    <xf numFmtId="4" fontId="10" fillId="0" borderId="4" xfId="0" applyNumberFormat="1" applyFont="1" applyFill="1" applyBorder="1" applyAlignment="1" applyProtection="1">
      <alignment horizontal="center" vertical="center" wrapText="1"/>
    </xf>
    <xf numFmtId="4" fontId="10" fillId="0" borderId="2" xfId="0" applyNumberFormat="1" applyFont="1" applyBorder="1" applyAlignment="1">
      <alignment horizontal="left" vertical="center" wrapText="1"/>
    </xf>
    <xf numFmtId="4" fontId="11" fillId="0" borderId="4" xfId="0" applyNumberFormat="1" applyFont="1" applyFill="1" applyBorder="1" applyAlignment="1" applyProtection="1">
      <alignment horizontal="center" vertical="center" wrapText="1"/>
    </xf>
    <xf numFmtId="4" fontId="10" fillId="3" borderId="2" xfId="0" applyNumberFormat="1" applyFont="1" applyFill="1" applyBorder="1" applyAlignment="1" applyProtection="1">
      <alignment horizontal="left" vertical="center" wrapText="1" shrinkToFit="1"/>
    </xf>
    <xf numFmtId="4" fontId="12" fillId="0" borderId="2" xfId="0" applyNumberFormat="1" applyFont="1" applyBorder="1" applyAlignment="1">
      <alignment horizontal="center" vertical="center" wrapText="1"/>
    </xf>
    <xf numFmtId="4" fontId="12" fillId="0" borderId="2" xfId="0" applyNumberFormat="1" applyFont="1" applyBorder="1" applyAlignment="1">
      <alignment horizontal="left" vertical="center" wrapText="1"/>
    </xf>
    <xf numFmtId="4" fontId="10" fillId="3" borderId="2" xfId="0" applyNumberFormat="1" applyFont="1" applyFill="1" applyBorder="1" applyAlignment="1" applyProtection="1">
      <alignment horizontal="center" vertical="center" wrapText="1"/>
    </xf>
    <xf numFmtId="49" fontId="11" fillId="0" borderId="4" xfId="0" applyNumberFormat="1" applyFont="1" applyFill="1" applyBorder="1" applyAlignment="1" applyProtection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" fontId="12" fillId="0" borderId="2" xfId="0" applyNumberFormat="1" applyFont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" xfId="49"/>
    <cellStyle name="常规 64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1"/>
  <sheetViews>
    <sheetView tabSelected="1" workbookViewId="0">
      <selection activeCell="A1" sqref="A1:F1"/>
    </sheetView>
  </sheetViews>
  <sheetFormatPr defaultColWidth="9" defaultRowHeight="13.5" outlineLevelCol="5"/>
  <cols>
    <col min="1" max="1" width="8.375" customWidth="1"/>
    <col min="2" max="2" width="25.5" customWidth="1"/>
    <col min="3" max="3" width="12.125" customWidth="1"/>
    <col min="4" max="4" width="11.875" customWidth="1"/>
    <col min="5" max="5" width="12.75" customWidth="1"/>
    <col min="6" max="6" width="13.5" customWidth="1"/>
  </cols>
  <sheetData>
    <row r="1" ht="28.5" customHeight="1" spans="1:6">
      <c r="A1" s="11" t="s">
        <v>0</v>
      </c>
      <c r="B1" s="11"/>
      <c r="C1" s="11"/>
      <c r="D1" s="11"/>
      <c r="E1" s="11"/>
      <c r="F1" s="11"/>
    </row>
    <row r="2" s="1" customFormat="1" ht="24.75" customHeight="1" spans="1:6">
      <c r="A2" s="12"/>
      <c r="B2" s="12"/>
      <c r="C2" s="13"/>
      <c r="D2" s="13"/>
      <c r="E2" s="14"/>
      <c r="F2" s="14"/>
    </row>
    <row r="3" s="2" customFormat="1" ht="27" customHeight="1" spans="1:6">
      <c r="A3" s="15" t="s">
        <v>1</v>
      </c>
      <c r="B3" s="16" t="s">
        <v>2</v>
      </c>
      <c r="C3" s="17" t="s">
        <v>3</v>
      </c>
      <c r="D3" s="18" t="s">
        <v>4</v>
      </c>
      <c r="E3" s="17" t="s">
        <v>5</v>
      </c>
      <c r="F3" s="19" t="s">
        <v>6</v>
      </c>
    </row>
    <row r="4" s="3" customFormat="1" ht="24.75" customHeight="1" spans="1:6">
      <c r="A4" s="20" t="s">
        <v>7</v>
      </c>
      <c r="B4" s="21" t="s">
        <v>8</v>
      </c>
      <c r="C4" s="22">
        <v>0</v>
      </c>
      <c r="D4" s="22">
        <v>10278</v>
      </c>
      <c r="E4" s="23">
        <v>2860.5</v>
      </c>
      <c r="F4" s="22">
        <f>SUM(C4:E4)</f>
        <v>13138.5</v>
      </c>
    </row>
    <row r="5" s="3" customFormat="1" ht="24.75" customHeight="1" spans="1:6">
      <c r="A5" s="20" t="s">
        <v>9</v>
      </c>
      <c r="B5" s="21" t="s">
        <v>10</v>
      </c>
      <c r="C5" s="22">
        <v>0</v>
      </c>
      <c r="D5" s="22">
        <v>1000</v>
      </c>
      <c r="E5" s="23">
        <v>5985.5</v>
      </c>
      <c r="F5" s="22">
        <f t="shared" ref="F5:F66" si="0">SUM(C5:E5)</f>
        <v>6985.5</v>
      </c>
    </row>
    <row r="6" s="3" customFormat="1" ht="24.75" customHeight="1" spans="1:6">
      <c r="A6" s="20" t="s">
        <v>11</v>
      </c>
      <c r="B6" s="21" t="s">
        <v>12</v>
      </c>
      <c r="C6" s="22">
        <v>0</v>
      </c>
      <c r="D6" s="22">
        <v>14760</v>
      </c>
      <c r="E6" s="23">
        <v>59259.59</v>
      </c>
      <c r="F6" s="22">
        <f t="shared" si="0"/>
        <v>74019.59</v>
      </c>
    </row>
    <row r="7" s="3" customFormat="1" ht="24.75" customHeight="1" spans="1:6">
      <c r="A7" s="20" t="s">
        <v>13</v>
      </c>
      <c r="B7" s="21" t="s">
        <v>14</v>
      </c>
      <c r="C7" s="22">
        <v>0</v>
      </c>
      <c r="D7" s="22">
        <v>0</v>
      </c>
      <c r="E7" s="23">
        <v>0</v>
      </c>
      <c r="F7" s="22">
        <f t="shared" si="0"/>
        <v>0</v>
      </c>
    </row>
    <row r="8" s="3" customFormat="1" ht="24.75" customHeight="1" spans="1:6">
      <c r="A8" s="24" t="s">
        <v>15</v>
      </c>
      <c r="B8" s="25" t="s">
        <v>16</v>
      </c>
      <c r="C8" s="22">
        <v>17874</v>
      </c>
      <c r="D8" s="22">
        <v>339956</v>
      </c>
      <c r="E8" s="22">
        <v>432745.45</v>
      </c>
      <c r="F8" s="22">
        <f t="shared" si="0"/>
        <v>790575.45</v>
      </c>
    </row>
    <row r="9" s="3" customFormat="1" ht="24.75" customHeight="1" spans="1:6">
      <c r="A9" s="26" t="s">
        <v>17</v>
      </c>
      <c r="B9" s="27" t="s">
        <v>18</v>
      </c>
      <c r="C9" s="23">
        <v>0</v>
      </c>
      <c r="D9" s="20">
        <v>0</v>
      </c>
      <c r="E9" s="23">
        <v>21523.56</v>
      </c>
      <c r="F9" s="22">
        <f t="shared" si="0"/>
        <v>21523.56</v>
      </c>
    </row>
    <row r="10" s="3" customFormat="1" ht="24.75" customHeight="1" spans="1:6">
      <c r="A10" s="26" t="s">
        <v>19</v>
      </c>
      <c r="B10" s="27" t="s">
        <v>20</v>
      </c>
      <c r="C10" s="23">
        <v>0</v>
      </c>
      <c r="D10" s="22">
        <v>34958</v>
      </c>
      <c r="E10" s="23">
        <v>31198.8</v>
      </c>
      <c r="F10" s="22">
        <f t="shared" si="0"/>
        <v>66156.8</v>
      </c>
    </row>
    <row r="11" s="3" customFormat="1" ht="24.75" customHeight="1" spans="1:6">
      <c r="A11" s="26" t="s">
        <v>21</v>
      </c>
      <c r="B11" s="27" t="s">
        <v>22</v>
      </c>
      <c r="C11" s="23">
        <v>0</v>
      </c>
      <c r="D11" s="22">
        <v>0</v>
      </c>
      <c r="E11" s="23">
        <v>0</v>
      </c>
      <c r="F11" s="22">
        <f t="shared" si="0"/>
        <v>0</v>
      </c>
    </row>
    <row r="12" s="3" customFormat="1" ht="24.75" customHeight="1" spans="1:6">
      <c r="A12" s="28" t="s">
        <v>23</v>
      </c>
      <c r="B12" s="29" t="s">
        <v>24</v>
      </c>
      <c r="C12" s="22">
        <v>0</v>
      </c>
      <c r="D12" s="22">
        <v>19025</v>
      </c>
      <c r="E12" s="23">
        <v>0</v>
      </c>
      <c r="F12" s="22">
        <f t="shared" si="0"/>
        <v>19025</v>
      </c>
    </row>
    <row r="13" s="3" customFormat="1" ht="24.75" customHeight="1" spans="1:6">
      <c r="A13" s="20" t="s">
        <v>25</v>
      </c>
      <c r="B13" s="21" t="s">
        <v>26</v>
      </c>
      <c r="C13" s="22">
        <v>0</v>
      </c>
      <c r="D13" s="22">
        <v>1747</v>
      </c>
      <c r="E13" s="23">
        <v>0</v>
      </c>
      <c r="F13" s="22">
        <f t="shared" si="0"/>
        <v>1747</v>
      </c>
    </row>
    <row r="14" s="3" customFormat="1" ht="24.75" customHeight="1" spans="1:6">
      <c r="A14" s="20" t="s">
        <v>27</v>
      </c>
      <c r="B14" s="21" t="s">
        <v>28</v>
      </c>
      <c r="C14" s="22">
        <v>0</v>
      </c>
      <c r="D14" s="22">
        <v>0</v>
      </c>
      <c r="E14" s="23">
        <v>17799.04</v>
      </c>
      <c r="F14" s="22">
        <f t="shared" si="0"/>
        <v>17799.04</v>
      </c>
    </row>
    <row r="15" s="3" customFormat="1" ht="24.75" customHeight="1" spans="1:6">
      <c r="A15" s="20" t="s">
        <v>29</v>
      </c>
      <c r="B15" s="21" t="s">
        <v>30</v>
      </c>
      <c r="C15" s="22">
        <v>0</v>
      </c>
      <c r="D15" s="22">
        <v>0</v>
      </c>
      <c r="E15" s="23">
        <v>41257</v>
      </c>
      <c r="F15" s="22">
        <f t="shared" si="0"/>
        <v>41257</v>
      </c>
    </row>
    <row r="16" s="3" customFormat="1" ht="24.75" customHeight="1" spans="1:6">
      <c r="A16" s="24" t="s">
        <v>31</v>
      </c>
      <c r="B16" s="25" t="s">
        <v>32</v>
      </c>
      <c r="C16" s="22">
        <v>0</v>
      </c>
      <c r="D16" s="22">
        <v>0</v>
      </c>
      <c r="E16" s="22">
        <v>17578.18</v>
      </c>
      <c r="F16" s="22">
        <f t="shared" si="0"/>
        <v>17578.18</v>
      </c>
    </row>
    <row r="17" s="3" customFormat="1" ht="24.75" customHeight="1" spans="1:6">
      <c r="A17" s="26" t="s">
        <v>33</v>
      </c>
      <c r="B17" s="27" t="s">
        <v>34</v>
      </c>
      <c r="C17" s="23">
        <v>0</v>
      </c>
      <c r="D17" s="20">
        <v>0</v>
      </c>
      <c r="E17" s="23">
        <v>0</v>
      </c>
      <c r="F17" s="22">
        <f t="shared" si="0"/>
        <v>0</v>
      </c>
    </row>
    <row r="18" s="3" customFormat="1" ht="24.75" customHeight="1" spans="1:6">
      <c r="A18" s="26" t="s">
        <v>35</v>
      </c>
      <c r="B18" s="27" t="s">
        <v>36</v>
      </c>
      <c r="C18" s="23">
        <v>0</v>
      </c>
      <c r="D18" s="22">
        <v>0</v>
      </c>
      <c r="E18" s="23">
        <v>0</v>
      </c>
      <c r="F18" s="22">
        <f t="shared" si="0"/>
        <v>0</v>
      </c>
    </row>
    <row r="19" s="3" customFormat="1" ht="24.75" customHeight="1" spans="1:6">
      <c r="A19" s="26" t="s">
        <v>37</v>
      </c>
      <c r="B19" s="27" t="s">
        <v>38</v>
      </c>
      <c r="C19" s="23">
        <v>0</v>
      </c>
      <c r="D19" s="20">
        <v>0</v>
      </c>
      <c r="E19" s="23">
        <v>0</v>
      </c>
      <c r="F19" s="22">
        <f t="shared" si="0"/>
        <v>0</v>
      </c>
    </row>
    <row r="20" s="3" customFormat="1" ht="24.75" customHeight="1" spans="1:6">
      <c r="A20" s="26" t="s">
        <v>39</v>
      </c>
      <c r="B20" s="27" t="s">
        <v>40</v>
      </c>
      <c r="C20" s="23">
        <v>0</v>
      </c>
      <c r="D20" s="22">
        <v>32180</v>
      </c>
      <c r="E20" s="23">
        <v>1543309.96</v>
      </c>
      <c r="F20" s="22">
        <f t="shared" si="0"/>
        <v>1575489.96</v>
      </c>
    </row>
    <row r="21" s="3" customFormat="1" ht="24.75" customHeight="1" spans="1:6">
      <c r="A21" s="28" t="s">
        <v>41</v>
      </c>
      <c r="B21" s="29" t="s">
        <v>42</v>
      </c>
      <c r="C21" s="22">
        <v>0</v>
      </c>
      <c r="D21" s="23">
        <v>0</v>
      </c>
      <c r="E21" s="22">
        <v>15568.6</v>
      </c>
      <c r="F21" s="22">
        <f t="shared" si="0"/>
        <v>15568.6</v>
      </c>
    </row>
    <row r="22" s="3" customFormat="1" ht="24.75" customHeight="1" spans="1:6">
      <c r="A22" s="20" t="s">
        <v>43</v>
      </c>
      <c r="B22" s="21" t="s">
        <v>44</v>
      </c>
      <c r="C22" s="22">
        <v>0</v>
      </c>
      <c r="D22" s="22">
        <v>0</v>
      </c>
      <c r="E22" s="23">
        <v>260</v>
      </c>
      <c r="F22" s="22">
        <f t="shared" si="0"/>
        <v>260</v>
      </c>
    </row>
    <row r="23" s="3" customFormat="1" ht="24.75" customHeight="1" spans="1:6">
      <c r="A23" s="20" t="s">
        <v>45</v>
      </c>
      <c r="B23" s="21" t="s">
        <v>46</v>
      </c>
      <c r="C23" s="22">
        <v>12514</v>
      </c>
      <c r="D23" s="22">
        <v>1788</v>
      </c>
      <c r="E23" s="23">
        <v>6143</v>
      </c>
      <c r="F23" s="22">
        <f t="shared" si="0"/>
        <v>20445</v>
      </c>
    </row>
    <row r="24" s="3" customFormat="1" ht="24.75" customHeight="1" spans="1:6">
      <c r="A24" s="20" t="s">
        <v>47</v>
      </c>
      <c r="B24" s="21" t="s">
        <v>48</v>
      </c>
      <c r="C24" s="22">
        <v>0</v>
      </c>
      <c r="D24" s="22">
        <v>0</v>
      </c>
      <c r="E24" s="23">
        <v>3923.46</v>
      </c>
      <c r="F24" s="22">
        <f t="shared" si="0"/>
        <v>3923.46</v>
      </c>
    </row>
    <row r="25" s="3" customFormat="1" ht="24.75" customHeight="1" spans="1:6">
      <c r="A25" s="20" t="s">
        <v>49</v>
      </c>
      <c r="B25" s="21" t="s">
        <v>50</v>
      </c>
      <c r="C25" s="22">
        <v>0</v>
      </c>
      <c r="D25" s="22">
        <v>6600</v>
      </c>
      <c r="E25" s="23">
        <v>0</v>
      </c>
      <c r="F25" s="22">
        <f t="shared" si="0"/>
        <v>6600</v>
      </c>
    </row>
    <row r="26" s="3" customFormat="1" ht="24.75" customHeight="1" spans="1:6">
      <c r="A26" s="24" t="s">
        <v>51</v>
      </c>
      <c r="B26" s="25" t="s">
        <v>52</v>
      </c>
      <c r="C26" s="22">
        <v>0</v>
      </c>
      <c r="D26" s="22">
        <v>2630</v>
      </c>
      <c r="E26" s="22">
        <v>17857.97</v>
      </c>
      <c r="F26" s="22">
        <f t="shared" si="0"/>
        <v>20487.97</v>
      </c>
    </row>
    <row r="27" s="4" customFormat="1" ht="24.75" customHeight="1" spans="1:6">
      <c r="A27" s="26" t="s">
        <v>53</v>
      </c>
      <c r="B27" s="27" t="s">
        <v>54</v>
      </c>
      <c r="C27" s="23">
        <v>0</v>
      </c>
      <c r="D27" s="20">
        <v>0</v>
      </c>
      <c r="E27" s="23">
        <v>41966.32</v>
      </c>
      <c r="F27" s="22">
        <f t="shared" si="0"/>
        <v>41966.32</v>
      </c>
    </row>
    <row r="28" s="4" customFormat="1" ht="24.75" customHeight="1" spans="1:6">
      <c r="A28" s="26" t="s">
        <v>55</v>
      </c>
      <c r="B28" s="27" t="s">
        <v>56</v>
      </c>
      <c r="C28" s="23">
        <v>0</v>
      </c>
      <c r="D28" s="22">
        <v>0</v>
      </c>
      <c r="E28" s="23">
        <v>0</v>
      </c>
      <c r="F28" s="22">
        <f t="shared" si="0"/>
        <v>0</v>
      </c>
    </row>
    <row r="29" s="5" customFormat="1" ht="24.75" customHeight="1" spans="1:6">
      <c r="A29" s="26" t="s">
        <v>57</v>
      </c>
      <c r="B29" s="27" t="s">
        <v>58</v>
      </c>
      <c r="C29" s="23">
        <v>0</v>
      </c>
      <c r="D29" s="20">
        <v>7229</v>
      </c>
      <c r="E29" s="23">
        <v>377489.37</v>
      </c>
      <c r="F29" s="22">
        <f t="shared" si="0"/>
        <v>384718.37</v>
      </c>
    </row>
    <row r="30" s="5" customFormat="1" ht="24.75" customHeight="1" spans="1:6">
      <c r="A30" s="26" t="s">
        <v>59</v>
      </c>
      <c r="B30" s="27" t="s">
        <v>60</v>
      </c>
      <c r="C30" s="23">
        <v>0</v>
      </c>
      <c r="D30" s="22">
        <v>0</v>
      </c>
      <c r="E30" s="23">
        <v>0</v>
      </c>
      <c r="F30" s="22">
        <f t="shared" si="0"/>
        <v>0</v>
      </c>
    </row>
    <row r="31" s="5" customFormat="1" ht="24.75" customHeight="1" spans="1:6">
      <c r="A31" s="30" t="s">
        <v>61</v>
      </c>
      <c r="B31" s="21" t="s">
        <v>62</v>
      </c>
      <c r="C31" s="22">
        <v>0</v>
      </c>
      <c r="D31" s="22">
        <v>0</v>
      </c>
      <c r="E31" s="22">
        <v>0</v>
      </c>
      <c r="F31" s="22">
        <f t="shared" si="0"/>
        <v>0</v>
      </c>
    </row>
    <row r="32" s="5" customFormat="1" ht="24.75" customHeight="1" spans="1:6">
      <c r="A32" s="20" t="s">
        <v>63</v>
      </c>
      <c r="B32" s="21" t="s">
        <v>64</v>
      </c>
      <c r="C32" s="22">
        <v>0</v>
      </c>
      <c r="D32" s="22">
        <v>0</v>
      </c>
      <c r="E32" s="23">
        <v>0</v>
      </c>
      <c r="F32" s="22">
        <f t="shared" si="0"/>
        <v>0</v>
      </c>
    </row>
    <row r="33" s="5" customFormat="1" ht="24.75" customHeight="1" spans="1:6">
      <c r="A33" s="20" t="s">
        <v>65</v>
      </c>
      <c r="B33" s="21" t="s">
        <v>66</v>
      </c>
      <c r="C33" s="22">
        <v>0</v>
      </c>
      <c r="D33" s="22">
        <v>0</v>
      </c>
      <c r="E33" s="23">
        <v>0</v>
      </c>
      <c r="F33" s="22">
        <f t="shared" si="0"/>
        <v>0</v>
      </c>
    </row>
    <row r="34" s="5" customFormat="1" ht="24.75" customHeight="1" spans="1:6">
      <c r="A34" s="20" t="s">
        <v>67</v>
      </c>
      <c r="B34" s="21" t="s">
        <v>68</v>
      </c>
      <c r="C34" s="22">
        <v>0</v>
      </c>
      <c r="D34" s="22">
        <v>2900</v>
      </c>
      <c r="E34" s="23">
        <v>0</v>
      </c>
      <c r="F34" s="22">
        <f t="shared" si="0"/>
        <v>2900</v>
      </c>
    </row>
    <row r="35" s="3" customFormat="1" ht="24.75" customHeight="1" spans="1:6">
      <c r="A35" s="20" t="s">
        <v>69</v>
      </c>
      <c r="B35" s="21" t="s">
        <v>70</v>
      </c>
      <c r="C35" s="22">
        <v>0</v>
      </c>
      <c r="D35" s="22">
        <v>858</v>
      </c>
      <c r="E35" s="23">
        <v>0</v>
      </c>
      <c r="F35" s="22">
        <f t="shared" si="0"/>
        <v>858</v>
      </c>
    </row>
    <row r="36" s="3" customFormat="1" ht="24.75" customHeight="1" spans="1:6">
      <c r="A36" s="24" t="s">
        <v>71</v>
      </c>
      <c r="B36" s="25" t="s">
        <v>72</v>
      </c>
      <c r="C36" s="22">
        <v>0</v>
      </c>
      <c r="D36" s="22">
        <v>0</v>
      </c>
      <c r="E36" s="22">
        <v>0</v>
      </c>
      <c r="F36" s="22">
        <f t="shared" si="0"/>
        <v>0</v>
      </c>
    </row>
    <row r="37" s="3" customFormat="1" ht="24.75" customHeight="1" spans="1:6">
      <c r="A37" s="26" t="s">
        <v>73</v>
      </c>
      <c r="B37" s="27" t="s">
        <v>74</v>
      </c>
      <c r="C37" s="23">
        <v>0</v>
      </c>
      <c r="D37" s="20">
        <v>0</v>
      </c>
      <c r="E37" s="23">
        <v>0</v>
      </c>
      <c r="F37" s="22">
        <f t="shared" si="0"/>
        <v>0</v>
      </c>
    </row>
    <row r="38" s="3" customFormat="1" ht="24.75" customHeight="1" spans="1:6">
      <c r="A38" s="26" t="s">
        <v>75</v>
      </c>
      <c r="B38" s="27" t="s">
        <v>76</v>
      </c>
      <c r="C38" s="23">
        <v>0</v>
      </c>
      <c r="D38" s="22">
        <v>0</v>
      </c>
      <c r="E38" s="23">
        <v>0</v>
      </c>
      <c r="F38" s="22">
        <f t="shared" si="0"/>
        <v>0</v>
      </c>
    </row>
    <row r="39" s="3" customFormat="1" ht="24.75" customHeight="1" spans="1:6">
      <c r="A39" s="26" t="s">
        <v>77</v>
      </c>
      <c r="B39" s="27" t="s">
        <v>78</v>
      </c>
      <c r="C39" s="23">
        <v>0</v>
      </c>
      <c r="D39" s="20">
        <v>0</v>
      </c>
      <c r="E39" s="23">
        <v>0</v>
      </c>
      <c r="F39" s="22">
        <f t="shared" si="0"/>
        <v>0</v>
      </c>
    </row>
    <row r="40" s="3" customFormat="1" ht="24.75" customHeight="1" spans="1:6">
      <c r="A40" s="26" t="s">
        <v>79</v>
      </c>
      <c r="B40" s="27" t="s">
        <v>80</v>
      </c>
      <c r="C40" s="23">
        <v>0</v>
      </c>
      <c r="D40" s="22">
        <v>7388</v>
      </c>
      <c r="E40" s="23">
        <v>60334.77</v>
      </c>
      <c r="F40" s="22">
        <f t="shared" si="0"/>
        <v>67722.77</v>
      </c>
    </row>
    <row r="41" s="3" customFormat="1" ht="24.75" customHeight="1" spans="1:6">
      <c r="A41" s="30" t="s">
        <v>81</v>
      </c>
      <c r="B41" s="21" t="s">
        <v>82</v>
      </c>
      <c r="C41" s="22">
        <v>0</v>
      </c>
      <c r="D41" s="22">
        <v>0</v>
      </c>
      <c r="E41" s="23">
        <v>0</v>
      </c>
      <c r="F41" s="22">
        <f t="shared" si="0"/>
        <v>0</v>
      </c>
    </row>
    <row r="42" s="3" customFormat="1" ht="24.75" customHeight="1" spans="1:6">
      <c r="A42" s="20" t="s">
        <v>83</v>
      </c>
      <c r="B42" s="21" t="s">
        <v>84</v>
      </c>
      <c r="C42" s="22">
        <v>0</v>
      </c>
      <c r="D42" s="22">
        <v>0</v>
      </c>
      <c r="E42" s="23">
        <v>831.3</v>
      </c>
      <c r="F42" s="22">
        <f t="shared" si="0"/>
        <v>831.3</v>
      </c>
    </row>
    <row r="43" s="3" customFormat="1" ht="24.75" customHeight="1" spans="1:6">
      <c r="A43" s="20" t="s">
        <v>85</v>
      </c>
      <c r="B43" s="21" t="s">
        <v>86</v>
      </c>
      <c r="C43" s="22">
        <v>0</v>
      </c>
      <c r="D43" s="22">
        <v>0</v>
      </c>
      <c r="E43" s="23">
        <v>1741.5</v>
      </c>
      <c r="F43" s="22">
        <f t="shared" si="0"/>
        <v>1741.5</v>
      </c>
    </row>
    <row r="44" s="3" customFormat="1" ht="24.75" customHeight="1" spans="1:6">
      <c r="A44" s="20" t="s">
        <v>87</v>
      </c>
      <c r="B44" s="21" t="s">
        <v>88</v>
      </c>
      <c r="C44" s="22">
        <v>0</v>
      </c>
      <c r="D44" s="22">
        <v>0</v>
      </c>
      <c r="E44" s="23">
        <v>1963.5</v>
      </c>
      <c r="F44" s="22">
        <f t="shared" si="0"/>
        <v>1963.5</v>
      </c>
    </row>
    <row r="45" s="3" customFormat="1" ht="24.75" customHeight="1" spans="1:6">
      <c r="A45" s="20" t="s">
        <v>89</v>
      </c>
      <c r="B45" s="21" t="s">
        <v>90</v>
      </c>
      <c r="C45" s="22">
        <v>0</v>
      </c>
      <c r="D45" s="22">
        <v>0</v>
      </c>
      <c r="E45" s="23">
        <v>4981</v>
      </c>
      <c r="F45" s="22">
        <f t="shared" si="0"/>
        <v>4981</v>
      </c>
    </row>
    <row r="46" s="3" customFormat="1" ht="24.75" customHeight="1" spans="1:6">
      <c r="A46" s="24" t="s">
        <v>91</v>
      </c>
      <c r="B46" s="25" t="s">
        <v>92</v>
      </c>
      <c r="C46" s="22">
        <v>0</v>
      </c>
      <c r="D46" s="22">
        <v>533</v>
      </c>
      <c r="E46" s="22">
        <v>1847.5</v>
      </c>
      <c r="F46" s="22">
        <f t="shared" si="0"/>
        <v>2380.5</v>
      </c>
    </row>
    <row r="47" s="3" customFormat="1" ht="24.75" customHeight="1" spans="1:6">
      <c r="A47" s="26" t="s">
        <v>93</v>
      </c>
      <c r="B47" s="27" t="s">
        <v>94</v>
      </c>
      <c r="C47" s="23">
        <v>0</v>
      </c>
      <c r="D47" s="20">
        <v>0</v>
      </c>
      <c r="E47" s="23">
        <v>666</v>
      </c>
      <c r="F47" s="22">
        <f t="shared" si="0"/>
        <v>666</v>
      </c>
    </row>
    <row r="48" s="3" customFormat="1" ht="24.75" customHeight="1" spans="1:6">
      <c r="A48" s="26" t="s">
        <v>95</v>
      </c>
      <c r="B48" s="27" t="s">
        <v>96</v>
      </c>
      <c r="C48" s="23">
        <v>0</v>
      </c>
      <c r="D48" s="22">
        <v>0</v>
      </c>
      <c r="E48" s="23">
        <v>0</v>
      </c>
      <c r="F48" s="22">
        <f t="shared" si="0"/>
        <v>0</v>
      </c>
    </row>
    <row r="49" s="3" customFormat="1" ht="24.75" customHeight="1" spans="1:6">
      <c r="A49" s="26" t="s">
        <v>97</v>
      </c>
      <c r="B49" s="27" t="s">
        <v>98</v>
      </c>
      <c r="C49" s="23">
        <v>0</v>
      </c>
      <c r="D49" s="20">
        <v>0</v>
      </c>
      <c r="E49" s="23">
        <v>0</v>
      </c>
      <c r="F49" s="22">
        <f t="shared" si="0"/>
        <v>0</v>
      </c>
    </row>
    <row r="50" s="3" customFormat="1" ht="24.75" customHeight="1" spans="1:6">
      <c r="A50" s="26" t="s">
        <v>99</v>
      </c>
      <c r="B50" s="27" t="s">
        <v>100</v>
      </c>
      <c r="C50" s="23">
        <v>0</v>
      </c>
      <c r="D50" s="22">
        <v>17514</v>
      </c>
      <c r="E50" s="23">
        <v>9799</v>
      </c>
      <c r="F50" s="22">
        <f t="shared" si="0"/>
        <v>27313</v>
      </c>
    </row>
    <row r="51" s="3" customFormat="1" ht="24.75" customHeight="1" spans="1:6">
      <c r="A51" s="30" t="s">
        <v>101</v>
      </c>
      <c r="B51" s="21" t="s">
        <v>102</v>
      </c>
      <c r="C51" s="28">
        <v>0</v>
      </c>
      <c r="D51" s="28">
        <v>0</v>
      </c>
      <c r="E51" s="28">
        <v>0</v>
      </c>
      <c r="F51" s="22">
        <f t="shared" si="0"/>
        <v>0</v>
      </c>
    </row>
    <row r="52" s="3" customFormat="1" ht="24.75" customHeight="1" spans="1:6">
      <c r="A52" s="20" t="s">
        <v>103</v>
      </c>
      <c r="B52" s="21" t="s">
        <v>104</v>
      </c>
      <c r="C52" s="22">
        <v>0</v>
      </c>
      <c r="D52" s="22">
        <v>0</v>
      </c>
      <c r="E52" s="23">
        <v>0</v>
      </c>
      <c r="F52" s="22">
        <f t="shared" si="0"/>
        <v>0</v>
      </c>
    </row>
    <row r="53" s="3" customFormat="1" ht="24.75" customHeight="1" spans="1:6">
      <c r="A53" s="20" t="s">
        <v>105</v>
      </c>
      <c r="B53" s="21" t="s">
        <v>106</v>
      </c>
      <c r="C53" s="22">
        <v>0</v>
      </c>
      <c r="D53" s="22">
        <v>840</v>
      </c>
      <c r="E53" s="23">
        <v>0</v>
      </c>
      <c r="F53" s="22">
        <f t="shared" si="0"/>
        <v>840</v>
      </c>
    </row>
    <row r="54" s="3" customFormat="1" ht="24.75" customHeight="1" spans="1:6">
      <c r="A54" s="20" t="s">
        <v>107</v>
      </c>
      <c r="B54" s="21" t="s">
        <v>108</v>
      </c>
      <c r="C54" s="22">
        <v>33920</v>
      </c>
      <c r="D54" s="22">
        <v>18973</v>
      </c>
      <c r="E54" s="23">
        <v>9293.25</v>
      </c>
      <c r="F54" s="22">
        <f t="shared" si="0"/>
        <v>62186.25</v>
      </c>
    </row>
    <row r="55" s="3" customFormat="1" ht="24.75" customHeight="1" spans="1:6">
      <c r="A55" s="20" t="s">
        <v>109</v>
      </c>
      <c r="B55" s="21" t="s">
        <v>110</v>
      </c>
      <c r="C55" s="22">
        <v>0</v>
      </c>
      <c r="D55" s="22">
        <v>890</v>
      </c>
      <c r="E55" s="23">
        <v>36924.17</v>
      </c>
      <c r="F55" s="22">
        <f t="shared" si="0"/>
        <v>37814.17</v>
      </c>
    </row>
    <row r="56" s="3" customFormat="1" ht="24.75" customHeight="1" spans="1:6">
      <c r="A56" s="24" t="s">
        <v>111</v>
      </c>
      <c r="B56" s="25" t="s">
        <v>112</v>
      </c>
      <c r="C56" s="22">
        <v>0</v>
      </c>
      <c r="D56" s="22">
        <v>4643</v>
      </c>
      <c r="E56" s="22">
        <v>18353.01</v>
      </c>
      <c r="F56" s="22">
        <f t="shared" si="0"/>
        <v>22996.01</v>
      </c>
    </row>
    <row r="57" s="3" customFormat="1" ht="24.75" customHeight="1" spans="1:6">
      <c r="A57" s="26" t="s">
        <v>113</v>
      </c>
      <c r="B57" s="27" t="s">
        <v>114</v>
      </c>
      <c r="C57" s="23">
        <v>0</v>
      </c>
      <c r="D57" s="20">
        <v>9105</v>
      </c>
      <c r="E57" s="23">
        <v>49537.25</v>
      </c>
      <c r="F57" s="22">
        <f t="shared" si="0"/>
        <v>58642.25</v>
      </c>
    </row>
    <row r="58" s="3" customFormat="1" ht="24.75" customHeight="1" spans="1:6">
      <c r="A58" s="31" t="s">
        <v>115</v>
      </c>
      <c r="B58" s="27" t="s">
        <v>116</v>
      </c>
      <c r="C58" s="23">
        <v>0</v>
      </c>
      <c r="D58" s="22">
        <v>0</v>
      </c>
      <c r="E58" s="23">
        <v>24511.99</v>
      </c>
      <c r="F58" s="22">
        <f t="shared" si="0"/>
        <v>24511.99</v>
      </c>
    </row>
    <row r="59" s="3" customFormat="1" ht="24.75" customHeight="1" spans="1:6">
      <c r="A59" s="26" t="s">
        <v>117</v>
      </c>
      <c r="B59" s="27" t="s">
        <v>118</v>
      </c>
      <c r="C59" s="23">
        <v>0</v>
      </c>
      <c r="D59" s="20">
        <v>0</v>
      </c>
      <c r="E59" s="23">
        <v>0</v>
      </c>
      <c r="F59" s="22">
        <f t="shared" si="0"/>
        <v>0</v>
      </c>
    </row>
    <row r="60" s="3" customFormat="1" ht="24.75" customHeight="1" spans="1:6">
      <c r="A60" s="26">
        <v>12061</v>
      </c>
      <c r="B60" s="27" t="s">
        <v>119</v>
      </c>
      <c r="C60" s="23">
        <v>0</v>
      </c>
      <c r="D60" s="22">
        <v>0</v>
      </c>
      <c r="E60" s="23">
        <v>115194.6</v>
      </c>
      <c r="F60" s="22">
        <f t="shared" si="0"/>
        <v>115194.6</v>
      </c>
    </row>
    <row r="61" s="3" customFormat="1" ht="24.75" customHeight="1" spans="1:6">
      <c r="A61" s="28" t="s">
        <v>120</v>
      </c>
      <c r="B61" s="29" t="s">
        <v>121</v>
      </c>
      <c r="C61" s="28">
        <v>0</v>
      </c>
      <c r="D61" s="28">
        <v>1475</v>
      </c>
      <c r="E61" s="28">
        <v>0</v>
      </c>
      <c r="F61" s="22">
        <f t="shared" si="0"/>
        <v>1475</v>
      </c>
    </row>
    <row r="62" s="3" customFormat="1" ht="24.75" customHeight="1" spans="1:6">
      <c r="A62" s="20" t="s">
        <v>122</v>
      </c>
      <c r="B62" s="21" t="s">
        <v>123</v>
      </c>
      <c r="C62" s="22">
        <v>0</v>
      </c>
      <c r="D62" s="22">
        <v>0</v>
      </c>
      <c r="E62" s="23">
        <v>0</v>
      </c>
      <c r="F62" s="22">
        <f t="shared" si="0"/>
        <v>0</v>
      </c>
    </row>
    <row r="63" s="3" customFormat="1" ht="24.75" customHeight="1" spans="1:6">
      <c r="A63" s="20" t="s">
        <v>124</v>
      </c>
      <c r="B63" s="21" t="s">
        <v>125</v>
      </c>
      <c r="C63" s="22">
        <v>0</v>
      </c>
      <c r="D63" s="22">
        <v>0</v>
      </c>
      <c r="E63" s="23">
        <v>8686.49</v>
      </c>
      <c r="F63" s="22">
        <f t="shared" si="0"/>
        <v>8686.49</v>
      </c>
    </row>
    <row r="64" s="3" customFormat="1" ht="24.75" customHeight="1" spans="1:6">
      <c r="A64" s="20" t="s">
        <v>126</v>
      </c>
      <c r="B64" s="21" t="s">
        <v>127</v>
      </c>
      <c r="C64" s="22">
        <v>0</v>
      </c>
      <c r="D64" s="22">
        <v>0</v>
      </c>
      <c r="E64" s="23">
        <v>29179.79</v>
      </c>
      <c r="F64" s="22">
        <f t="shared" si="0"/>
        <v>29179.79</v>
      </c>
    </row>
    <row r="65" s="3" customFormat="1" ht="24.75" customHeight="1" spans="1:6">
      <c r="A65" s="20" t="s">
        <v>128</v>
      </c>
      <c r="B65" s="21" t="s">
        <v>129</v>
      </c>
      <c r="C65" s="22">
        <v>0</v>
      </c>
      <c r="D65" s="22">
        <v>0</v>
      </c>
      <c r="E65" s="23">
        <v>8605</v>
      </c>
      <c r="F65" s="22">
        <f t="shared" si="0"/>
        <v>8605</v>
      </c>
    </row>
    <row r="66" s="3" customFormat="1" ht="24.75" customHeight="1" spans="1:6">
      <c r="A66" s="24" t="s">
        <v>130</v>
      </c>
      <c r="B66" s="25" t="s">
        <v>131</v>
      </c>
      <c r="C66" s="22">
        <v>0</v>
      </c>
      <c r="D66" s="22">
        <v>0</v>
      </c>
      <c r="E66" s="22">
        <v>0</v>
      </c>
      <c r="F66" s="22">
        <f t="shared" si="0"/>
        <v>0</v>
      </c>
    </row>
    <row r="67" s="3" customFormat="1" ht="24.75" customHeight="1" spans="1:6">
      <c r="A67" s="26" t="s">
        <v>132</v>
      </c>
      <c r="B67" s="27" t="s">
        <v>133</v>
      </c>
      <c r="C67" s="23">
        <v>0</v>
      </c>
      <c r="D67" s="20">
        <v>0</v>
      </c>
      <c r="E67" s="23">
        <v>0</v>
      </c>
      <c r="F67" s="22">
        <f t="shared" ref="F67:F130" si="1">SUM(C67:E67)</f>
        <v>0</v>
      </c>
    </row>
    <row r="68" s="3" customFormat="1" ht="24.75" customHeight="1" spans="1:6">
      <c r="A68" s="26" t="s">
        <v>134</v>
      </c>
      <c r="B68" s="27" t="s">
        <v>135</v>
      </c>
      <c r="C68" s="23">
        <v>0</v>
      </c>
      <c r="D68" s="22">
        <v>0</v>
      </c>
      <c r="E68" s="23">
        <v>0</v>
      </c>
      <c r="F68" s="22">
        <f t="shared" si="1"/>
        <v>0</v>
      </c>
    </row>
    <row r="69" s="3" customFormat="1" ht="24.75" customHeight="1" spans="1:6">
      <c r="A69" s="26" t="s">
        <v>136</v>
      </c>
      <c r="B69" s="27" t="s">
        <v>137</v>
      </c>
      <c r="C69" s="23">
        <v>0</v>
      </c>
      <c r="D69" s="20">
        <v>0</v>
      </c>
      <c r="E69" s="23">
        <v>11207.31</v>
      </c>
      <c r="F69" s="22">
        <f t="shared" si="1"/>
        <v>11207.31</v>
      </c>
    </row>
    <row r="70" s="3" customFormat="1" ht="24.75" customHeight="1" spans="1:6">
      <c r="A70" s="26" t="s">
        <v>138</v>
      </c>
      <c r="B70" s="27" t="s">
        <v>139</v>
      </c>
      <c r="C70" s="23">
        <v>0</v>
      </c>
      <c r="D70" s="22">
        <v>0</v>
      </c>
      <c r="E70" s="23">
        <v>0</v>
      </c>
      <c r="F70" s="22">
        <f t="shared" si="1"/>
        <v>0</v>
      </c>
    </row>
    <row r="71" s="3" customFormat="1" ht="24.75" customHeight="1" spans="1:6">
      <c r="A71" s="28" t="s">
        <v>140</v>
      </c>
      <c r="B71" s="21" t="s">
        <v>141</v>
      </c>
      <c r="C71" s="22">
        <v>0</v>
      </c>
      <c r="D71" s="22">
        <v>0</v>
      </c>
      <c r="E71" s="23">
        <v>0</v>
      </c>
      <c r="F71" s="22">
        <f t="shared" si="1"/>
        <v>0</v>
      </c>
    </row>
    <row r="72" s="3" customFormat="1" ht="24.75" customHeight="1" spans="1:6">
      <c r="A72" s="20" t="s">
        <v>142</v>
      </c>
      <c r="B72" s="21" t="s">
        <v>143</v>
      </c>
      <c r="C72" s="22">
        <v>0</v>
      </c>
      <c r="D72" s="22">
        <v>0</v>
      </c>
      <c r="E72" s="23">
        <v>9285.14</v>
      </c>
      <c r="F72" s="22">
        <f t="shared" si="1"/>
        <v>9285.14</v>
      </c>
    </row>
    <row r="73" s="3" customFormat="1" ht="24.75" customHeight="1" spans="1:6">
      <c r="A73" s="20" t="s">
        <v>144</v>
      </c>
      <c r="B73" s="21" t="s">
        <v>145</v>
      </c>
      <c r="C73" s="22">
        <v>0</v>
      </c>
      <c r="D73" s="22">
        <v>0</v>
      </c>
      <c r="E73" s="23">
        <v>0</v>
      </c>
      <c r="F73" s="22">
        <f t="shared" si="1"/>
        <v>0</v>
      </c>
    </row>
    <row r="74" s="3" customFormat="1" ht="24.75" customHeight="1" spans="1:6">
      <c r="A74" s="20" t="s">
        <v>146</v>
      </c>
      <c r="B74" s="21" t="s">
        <v>147</v>
      </c>
      <c r="C74" s="22">
        <v>0</v>
      </c>
      <c r="D74" s="22">
        <v>0</v>
      </c>
      <c r="E74" s="23">
        <v>0</v>
      </c>
      <c r="F74" s="22">
        <f t="shared" si="1"/>
        <v>0</v>
      </c>
    </row>
    <row r="75" s="3" customFormat="1" ht="24.75" customHeight="1" spans="1:6">
      <c r="A75" s="20" t="s">
        <v>148</v>
      </c>
      <c r="B75" s="21" t="s">
        <v>149</v>
      </c>
      <c r="C75" s="22">
        <v>0</v>
      </c>
      <c r="D75" s="22">
        <v>0</v>
      </c>
      <c r="E75" s="23">
        <v>0</v>
      </c>
      <c r="F75" s="22">
        <f t="shared" si="1"/>
        <v>0</v>
      </c>
    </row>
    <row r="76" s="3" customFormat="1" ht="24.75" customHeight="1" spans="1:6">
      <c r="A76" s="24" t="s">
        <v>150</v>
      </c>
      <c r="B76" s="25" t="s">
        <v>151</v>
      </c>
      <c r="C76" s="22">
        <v>0</v>
      </c>
      <c r="D76" s="22">
        <v>0</v>
      </c>
      <c r="E76" s="22">
        <v>0</v>
      </c>
      <c r="F76" s="22">
        <f t="shared" si="1"/>
        <v>0</v>
      </c>
    </row>
    <row r="77" s="3" customFormat="1" ht="24.75" customHeight="1" spans="1:6">
      <c r="A77" s="26" t="s">
        <v>152</v>
      </c>
      <c r="B77" s="27" t="s">
        <v>153</v>
      </c>
      <c r="C77" s="23">
        <v>0</v>
      </c>
      <c r="D77" s="20">
        <v>0</v>
      </c>
      <c r="E77" s="23">
        <v>17220.69</v>
      </c>
      <c r="F77" s="22">
        <f t="shared" si="1"/>
        <v>17220.69</v>
      </c>
    </row>
    <row r="78" s="3" customFormat="1" ht="24.75" customHeight="1" spans="1:6">
      <c r="A78" s="26" t="s">
        <v>154</v>
      </c>
      <c r="B78" s="27" t="s">
        <v>155</v>
      </c>
      <c r="C78" s="23">
        <v>0</v>
      </c>
      <c r="D78" s="22">
        <v>0</v>
      </c>
      <c r="E78" s="23">
        <v>0</v>
      </c>
      <c r="F78" s="22">
        <f t="shared" si="1"/>
        <v>0</v>
      </c>
    </row>
    <row r="79" s="3" customFormat="1" ht="24.75" customHeight="1" spans="1:6">
      <c r="A79" s="26" t="s">
        <v>156</v>
      </c>
      <c r="B79" s="27" t="s">
        <v>157</v>
      </c>
      <c r="C79" s="23">
        <v>0</v>
      </c>
      <c r="D79" s="20">
        <v>0</v>
      </c>
      <c r="E79" s="23">
        <v>0</v>
      </c>
      <c r="F79" s="22">
        <f t="shared" si="1"/>
        <v>0</v>
      </c>
    </row>
    <row r="80" s="3" customFormat="1" ht="24.75" customHeight="1" spans="1:6">
      <c r="A80" s="26" t="s">
        <v>158</v>
      </c>
      <c r="B80" s="27" t="s">
        <v>159</v>
      </c>
      <c r="C80" s="23">
        <v>0</v>
      </c>
      <c r="D80" s="22">
        <v>0</v>
      </c>
      <c r="E80" s="23">
        <v>310461.05</v>
      </c>
      <c r="F80" s="22">
        <f t="shared" si="1"/>
        <v>310461.05</v>
      </c>
    </row>
    <row r="81" s="3" customFormat="1" ht="24.75" customHeight="1" spans="1:6">
      <c r="A81" s="28" t="s">
        <v>160</v>
      </c>
      <c r="B81" s="29" t="s">
        <v>161</v>
      </c>
      <c r="C81" s="28">
        <v>0</v>
      </c>
      <c r="D81" s="28">
        <v>0</v>
      </c>
      <c r="E81" s="28">
        <v>0</v>
      </c>
      <c r="F81" s="22">
        <f t="shared" si="1"/>
        <v>0</v>
      </c>
    </row>
    <row r="82" s="3" customFormat="1" ht="24.75" customHeight="1" spans="1:6">
      <c r="A82" s="20" t="s">
        <v>162</v>
      </c>
      <c r="B82" s="21" t="s">
        <v>163</v>
      </c>
      <c r="C82" s="22">
        <v>0</v>
      </c>
      <c r="D82" s="22">
        <v>0</v>
      </c>
      <c r="E82" s="23">
        <v>4588</v>
      </c>
      <c r="F82" s="22">
        <f t="shared" si="1"/>
        <v>4588</v>
      </c>
    </row>
    <row r="83" s="3" customFormat="1" ht="24.75" customHeight="1" spans="1:6">
      <c r="A83" s="20" t="s">
        <v>164</v>
      </c>
      <c r="B83" s="21" t="s">
        <v>165</v>
      </c>
      <c r="C83" s="22">
        <v>0</v>
      </c>
      <c r="D83" s="22">
        <v>0</v>
      </c>
      <c r="E83" s="23">
        <v>0</v>
      </c>
      <c r="F83" s="22">
        <f t="shared" si="1"/>
        <v>0</v>
      </c>
    </row>
    <row r="84" s="3" customFormat="1" ht="24.75" customHeight="1" spans="1:6">
      <c r="A84" s="20" t="s">
        <v>166</v>
      </c>
      <c r="B84" s="21" t="s">
        <v>167</v>
      </c>
      <c r="C84" s="22">
        <v>0</v>
      </c>
      <c r="D84" s="22">
        <v>0</v>
      </c>
      <c r="E84" s="23">
        <v>3000</v>
      </c>
      <c r="F84" s="22">
        <f t="shared" si="1"/>
        <v>3000</v>
      </c>
    </row>
    <row r="85" s="3" customFormat="1" ht="24.75" customHeight="1" spans="1:6">
      <c r="A85" s="20" t="s">
        <v>168</v>
      </c>
      <c r="B85" s="21" t="s">
        <v>169</v>
      </c>
      <c r="C85" s="22">
        <v>0</v>
      </c>
      <c r="D85" s="22">
        <v>0</v>
      </c>
      <c r="E85" s="23">
        <v>0</v>
      </c>
      <c r="F85" s="22">
        <f t="shared" si="1"/>
        <v>0</v>
      </c>
    </row>
    <row r="86" s="3" customFormat="1" ht="24.75" customHeight="1" spans="1:6">
      <c r="A86" s="24" t="s">
        <v>170</v>
      </c>
      <c r="B86" s="25" t="s">
        <v>171</v>
      </c>
      <c r="C86" s="22">
        <v>0</v>
      </c>
      <c r="D86" s="22">
        <v>0</v>
      </c>
      <c r="E86" s="22">
        <v>0</v>
      </c>
      <c r="F86" s="22">
        <f t="shared" si="1"/>
        <v>0</v>
      </c>
    </row>
    <row r="87" s="3" customFormat="1" ht="24.75" customHeight="1" spans="1:6">
      <c r="A87" s="26" t="s">
        <v>172</v>
      </c>
      <c r="B87" s="27" t="s">
        <v>173</v>
      </c>
      <c r="C87" s="23">
        <v>0</v>
      </c>
      <c r="D87" s="20">
        <v>0</v>
      </c>
      <c r="E87" s="23">
        <v>10435.51</v>
      </c>
      <c r="F87" s="22">
        <f t="shared" si="1"/>
        <v>10435.51</v>
      </c>
    </row>
    <row r="88" s="3" customFormat="1" ht="24.75" customHeight="1" spans="1:6">
      <c r="A88" s="26" t="s">
        <v>174</v>
      </c>
      <c r="B88" s="27" t="s">
        <v>175</v>
      </c>
      <c r="C88" s="23">
        <v>0</v>
      </c>
      <c r="D88" s="22">
        <v>0</v>
      </c>
      <c r="E88" s="23">
        <v>1000</v>
      </c>
      <c r="F88" s="22">
        <f t="shared" si="1"/>
        <v>1000</v>
      </c>
    </row>
    <row r="89" s="3" customFormat="1" ht="24.75" customHeight="1" spans="1:6">
      <c r="A89" s="26" t="s">
        <v>176</v>
      </c>
      <c r="B89" s="27" t="s">
        <v>177</v>
      </c>
      <c r="C89" s="23">
        <v>0</v>
      </c>
      <c r="D89" s="20">
        <v>0</v>
      </c>
      <c r="E89" s="23">
        <v>0</v>
      </c>
      <c r="F89" s="22">
        <f t="shared" si="1"/>
        <v>0</v>
      </c>
    </row>
    <row r="90" s="3" customFormat="1" ht="24.75" customHeight="1" spans="1:6">
      <c r="A90" s="26" t="s">
        <v>178</v>
      </c>
      <c r="B90" s="27" t="s">
        <v>179</v>
      </c>
      <c r="C90" s="23">
        <v>0</v>
      </c>
      <c r="D90" s="22">
        <v>0</v>
      </c>
      <c r="E90" s="23">
        <v>0</v>
      </c>
      <c r="F90" s="22">
        <f t="shared" si="1"/>
        <v>0</v>
      </c>
    </row>
    <row r="91" s="3" customFormat="1" ht="24.75" customHeight="1" spans="1:6">
      <c r="A91" s="20" t="s">
        <v>180</v>
      </c>
      <c r="B91" s="21" t="s">
        <v>181</v>
      </c>
      <c r="C91" s="22">
        <v>0</v>
      </c>
      <c r="D91" s="22">
        <v>0</v>
      </c>
      <c r="E91" s="30">
        <v>0</v>
      </c>
      <c r="F91" s="22">
        <f t="shared" si="1"/>
        <v>0</v>
      </c>
    </row>
    <row r="92" s="3" customFormat="1" ht="24.75" customHeight="1" spans="1:6">
      <c r="A92" s="20" t="s">
        <v>182</v>
      </c>
      <c r="B92" s="21" t="s">
        <v>183</v>
      </c>
      <c r="C92" s="22">
        <v>0</v>
      </c>
      <c r="D92" s="22">
        <v>0</v>
      </c>
      <c r="E92" s="23">
        <v>0</v>
      </c>
      <c r="F92" s="22">
        <f t="shared" si="1"/>
        <v>0</v>
      </c>
    </row>
    <row r="93" s="3" customFormat="1" ht="24.75" customHeight="1" spans="1:6">
      <c r="A93" s="20" t="s">
        <v>184</v>
      </c>
      <c r="B93" s="21" t="s">
        <v>185</v>
      </c>
      <c r="C93" s="22">
        <v>0</v>
      </c>
      <c r="D93" s="22">
        <v>0</v>
      </c>
      <c r="E93" s="23">
        <v>0</v>
      </c>
      <c r="F93" s="22">
        <f t="shared" si="1"/>
        <v>0</v>
      </c>
    </row>
    <row r="94" s="3" customFormat="1" ht="24.75" customHeight="1" spans="1:6">
      <c r="A94" s="20" t="s">
        <v>186</v>
      </c>
      <c r="B94" s="21" t="s">
        <v>187</v>
      </c>
      <c r="C94" s="22">
        <v>0</v>
      </c>
      <c r="D94" s="22">
        <v>0</v>
      </c>
      <c r="E94" s="23">
        <v>0</v>
      </c>
      <c r="F94" s="22">
        <f t="shared" si="1"/>
        <v>0</v>
      </c>
    </row>
    <row r="95" s="3" customFormat="1" ht="24.75" customHeight="1" spans="1:6">
      <c r="A95" s="20" t="s">
        <v>188</v>
      </c>
      <c r="B95" s="21" t="s">
        <v>189</v>
      </c>
      <c r="C95" s="22">
        <v>0</v>
      </c>
      <c r="D95" s="22">
        <v>0</v>
      </c>
      <c r="E95" s="23">
        <v>0</v>
      </c>
      <c r="F95" s="22">
        <f t="shared" si="1"/>
        <v>0</v>
      </c>
    </row>
    <row r="96" s="3" customFormat="1" ht="24.75" customHeight="1" spans="1:6">
      <c r="A96" s="24" t="s">
        <v>190</v>
      </c>
      <c r="B96" s="25" t="s">
        <v>191</v>
      </c>
      <c r="C96" s="22">
        <v>0</v>
      </c>
      <c r="D96" s="22">
        <v>0</v>
      </c>
      <c r="E96" s="22">
        <v>0</v>
      </c>
      <c r="F96" s="22">
        <f t="shared" si="1"/>
        <v>0</v>
      </c>
    </row>
    <row r="97" s="3" customFormat="1" ht="24.75" customHeight="1" spans="1:6">
      <c r="A97" s="26" t="s">
        <v>192</v>
      </c>
      <c r="B97" s="27" t="s">
        <v>193</v>
      </c>
      <c r="C97" s="23">
        <v>0</v>
      </c>
      <c r="D97" s="20">
        <v>0</v>
      </c>
      <c r="E97" s="23">
        <v>0</v>
      </c>
      <c r="F97" s="22">
        <f t="shared" si="1"/>
        <v>0</v>
      </c>
    </row>
    <row r="98" s="3" customFormat="1" ht="24.75" customHeight="1" spans="1:6">
      <c r="A98" s="26" t="s">
        <v>194</v>
      </c>
      <c r="B98" s="27" t="s">
        <v>195</v>
      </c>
      <c r="C98" s="23">
        <v>0</v>
      </c>
      <c r="D98" s="22">
        <v>0</v>
      </c>
      <c r="E98" s="23">
        <v>0</v>
      </c>
      <c r="F98" s="22">
        <f t="shared" si="1"/>
        <v>0</v>
      </c>
    </row>
    <row r="99" s="3" customFormat="1" ht="24.75" customHeight="1" spans="1:6">
      <c r="A99" s="26" t="s">
        <v>196</v>
      </c>
      <c r="B99" s="27" t="s">
        <v>197</v>
      </c>
      <c r="C99" s="23">
        <v>0</v>
      </c>
      <c r="D99" s="20">
        <v>0</v>
      </c>
      <c r="E99" s="23">
        <v>0</v>
      </c>
      <c r="F99" s="22">
        <f t="shared" si="1"/>
        <v>0</v>
      </c>
    </row>
    <row r="100" s="3" customFormat="1" ht="24.75" customHeight="1" spans="1:6">
      <c r="A100" s="26" t="s">
        <v>198</v>
      </c>
      <c r="B100" s="27" t="s">
        <v>199</v>
      </c>
      <c r="C100" s="23">
        <v>0</v>
      </c>
      <c r="D100" s="22">
        <v>0</v>
      </c>
      <c r="E100" s="23">
        <v>0</v>
      </c>
      <c r="F100" s="22">
        <f t="shared" si="1"/>
        <v>0</v>
      </c>
    </row>
    <row r="101" s="3" customFormat="1" ht="24.75" customHeight="1" spans="1:6">
      <c r="A101" s="28" t="s">
        <v>200</v>
      </c>
      <c r="B101" s="29" t="s">
        <v>201</v>
      </c>
      <c r="C101" s="28">
        <v>0</v>
      </c>
      <c r="D101" s="28">
        <v>0</v>
      </c>
      <c r="E101" s="28">
        <v>0</v>
      </c>
      <c r="F101" s="22">
        <f t="shared" si="1"/>
        <v>0</v>
      </c>
    </row>
    <row r="102" s="3" customFormat="1" ht="24.75" customHeight="1" spans="1:6">
      <c r="A102" s="20" t="s">
        <v>202</v>
      </c>
      <c r="B102" s="21" t="s">
        <v>203</v>
      </c>
      <c r="C102" s="22">
        <v>0</v>
      </c>
      <c r="D102" s="22">
        <v>0</v>
      </c>
      <c r="E102" s="23">
        <v>0</v>
      </c>
      <c r="F102" s="22">
        <f t="shared" si="1"/>
        <v>0</v>
      </c>
    </row>
    <row r="103" s="3" customFormat="1" ht="24.75" customHeight="1" spans="1:6">
      <c r="A103" s="20" t="s">
        <v>204</v>
      </c>
      <c r="B103" s="21" t="s">
        <v>205</v>
      </c>
      <c r="C103" s="22">
        <v>0</v>
      </c>
      <c r="D103" s="22">
        <v>0</v>
      </c>
      <c r="E103" s="23">
        <v>0</v>
      </c>
      <c r="F103" s="22">
        <f t="shared" si="1"/>
        <v>0</v>
      </c>
    </row>
    <row r="104" s="3" customFormat="1" ht="24.75" customHeight="1" spans="1:6">
      <c r="A104" s="20" t="s">
        <v>206</v>
      </c>
      <c r="B104" s="21" t="s">
        <v>207</v>
      </c>
      <c r="C104" s="22">
        <v>0</v>
      </c>
      <c r="D104" s="22">
        <v>0</v>
      </c>
      <c r="E104" s="23">
        <v>0</v>
      </c>
      <c r="F104" s="22">
        <f t="shared" si="1"/>
        <v>0</v>
      </c>
    </row>
    <row r="105" s="3" customFormat="1" ht="24.75" customHeight="1" spans="1:6">
      <c r="A105" s="20" t="s">
        <v>208</v>
      </c>
      <c r="B105" s="21" t="s">
        <v>209</v>
      </c>
      <c r="C105" s="22">
        <v>0</v>
      </c>
      <c r="D105" s="22">
        <v>0</v>
      </c>
      <c r="E105" s="23">
        <v>0</v>
      </c>
      <c r="F105" s="22">
        <f t="shared" si="1"/>
        <v>0</v>
      </c>
    </row>
    <row r="106" s="3" customFormat="1" ht="24.75" customHeight="1" spans="1:6">
      <c r="A106" s="24" t="s">
        <v>210</v>
      </c>
      <c r="B106" s="25" t="s">
        <v>211</v>
      </c>
      <c r="C106" s="22">
        <v>0</v>
      </c>
      <c r="D106" s="22">
        <v>0</v>
      </c>
      <c r="E106" s="22">
        <v>0</v>
      </c>
      <c r="F106" s="22">
        <f t="shared" si="1"/>
        <v>0</v>
      </c>
    </row>
    <row r="107" s="3" customFormat="1" ht="24.75" customHeight="1" spans="1:6">
      <c r="A107" s="26" t="s">
        <v>212</v>
      </c>
      <c r="B107" s="27" t="s">
        <v>213</v>
      </c>
      <c r="C107" s="23">
        <v>0</v>
      </c>
      <c r="D107" s="20">
        <v>0</v>
      </c>
      <c r="E107" s="23">
        <v>0</v>
      </c>
      <c r="F107" s="22">
        <f t="shared" si="1"/>
        <v>0</v>
      </c>
    </row>
    <row r="108" s="3" customFormat="1" ht="24.75" customHeight="1" spans="1:6">
      <c r="A108" s="26" t="s">
        <v>214</v>
      </c>
      <c r="B108" s="27" t="s">
        <v>215</v>
      </c>
      <c r="C108" s="23">
        <v>0</v>
      </c>
      <c r="D108" s="22">
        <v>0</v>
      </c>
      <c r="E108" s="23">
        <v>0</v>
      </c>
      <c r="F108" s="22">
        <f t="shared" si="1"/>
        <v>0</v>
      </c>
    </row>
    <row r="109" s="3" customFormat="1" ht="24.75" customHeight="1" spans="1:6">
      <c r="A109" s="26" t="s">
        <v>216</v>
      </c>
      <c r="B109" s="27" t="s">
        <v>217</v>
      </c>
      <c r="C109" s="23">
        <v>0</v>
      </c>
      <c r="D109" s="20">
        <v>0</v>
      </c>
      <c r="E109" s="23">
        <v>0</v>
      </c>
      <c r="F109" s="22">
        <f t="shared" si="1"/>
        <v>0</v>
      </c>
    </row>
    <row r="110" s="3" customFormat="1" ht="24.75" customHeight="1" spans="1:6">
      <c r="A110" s="26" t="s">
        <v>218</v>
      </c>
      <c r="B110" s="27" t="s">
        <v>219</v>
      </c>
      <c r="C110" s="23">
        <v>0</v>
      </c>
      <c r="D110" s="22">
        <v>0</v>
      </c>
      <c r="E110" s="23">
        <v>0</v>
      </c>
      <c r="F110" s="22">
        <f t="shared" si="1"/>
        <v>0</v>
      </c>
    </row>
    <row r="111" s="3" customFormat="1" ht="24.75" customHeight="1" spans="1:6">
      <c r="A111" s="20" t="s">
        <v>220</v>
      </c>
      <c r="B111" s="21" t="s">
        <v>221</v>
      </c>
      <c r="C111" s="20">
        <v>0</v>
      </c>
      <c r="D111" s="22">
        <v>0</v>
      </c>
      <c r="E111" s="22">
        <v>0</v>
      </c>
      <c r="F111" s="22">
        <f t="shared" si="1"/>
        <v>0</v>
      </c>
    </row>
    <row r="112" s="3" customFormat="1" ht="24.75" customHeight="1" spans="1:6">
      <c r="A112" s="20" t="s">
        <v>222</v>
      </c>
      <c r="B112" s="21" t="s">
        <v>223</v>
      </c>
      <c r="C112" s="22">
        <v>0</v>
      </c>
      <c r="D112" s="22">
        <v>0</v>
      </c>
      <c r="E112" s="23">
        <v>0</v>
      </c>
      <c r="F112" s="22">
        <f t="shared" si="1"/>
        <v>0</v>
      </c>
    </row>
    <row r="113" s="3" customFormat="1" ht="24.75" customHeight="1" spans="1:6">
      <c r="A113" s="20" t="s">
        <v>224</v>
      </c>
      <c r="B113" s="21" t="s">
        <v>225</v>
      </c>
      <c r="C113" s="22">
        <v>0</v>
      </c>
      <c r="D113" s="22">
        <v>0</v>
      </c>
      <c r="E113" s="23">
        <v>0</v>
      </c>
      <c r="F113" s="22">
        <f t="shared" si="1"/>
        <v>0</v>
      </c>
    </row>
    <row r="114" s="3" customFormat="1" ht="24.75" customHeight="1" spans="1:6">
      <c r="A114" s="20" t="s">
        <v>226</v>
      </c>
      <c r="B114" s="21" t="s">
        <v>227</v>
      </c>
      <c r="C114" s="22">
        <v>0</v>
      </c>
      <c r="D114" s="22">
        <v>0</v>
      </c>
      <c r="E114" s="23">
        <v>0</v>
      </c>
      <c r="F114" s="22">
        <f t="shared" si="1"/>
        <v>0</v>
      </c>
    </row>
    <row r="115" s="3" customFormat="1" ht="24.75" customHeight="1" spans="1:6">
      <c r="A115" s="20" t="s">
        <v>228</v>
      </c>
      <c r="B115" s="21" t="s">
        <v>229</v>
      </c>
      <c r="C115" s="22">
        <v>0</v>
      </c>
      <c r="D115" s="22">
        <v>0</v>
      </c>
      <c r="E115" s="23">
        <v>0</v>
      </c>
      <c r="F115" s="22">
        <f t="shared" si="1"/>
        <v>0</v>
      </c>
    </row>
    <row r="116" s="3" customFormat="1" ht="24.75" customHeight="1" spans="1:6">
      <c r="A116" s="24" t="s">
        <v>230</v>
      </c>
      <c r="B116" s="25" t="s">
        <v>231</v>
      </c>
      <c r="C116" s="22">
        <v>0</v>
      </c>
      <c r="D116" s="22">
        <v>0</v>
      </c>
      <c r="E116" s="22">
        <v>0</v>
      </c>
      <c r="F116" s="22">
        <f t="shared" si="1"/>
        <v>0</v>
      </c>
    </row>
    <row r="117" s="3" customFormat="1" ht="24.75" customHeight="1" spans="1:6">
      <c r="A117" s="26" t="s">
        <v>232</v>
      </c>
      <c r="B117" s="27" t="s">
        <v>233</v>
      </c>
      <c r="C117" s="23">
        <v>0</v>
      </c>
      <c r="D117" s="20">
        <v>0</v>
      </c>
      <c r="E117" s="23">
        <v>0</v>
      </c>
      <c r="F117" s="22">
        <f t="shared" si="1"/>
        <v>0</v>
      </c>
    </row>
    <row r="118" s="3" customFormat="1" ht="24.75" customHeight="1" spans="1:6">
      <c r="A118" s="26" t="s">
        <v>234</v>
      </c>
      <c r="B118" s="27" t="s">
        <v>235</v>
      </c>
      <c r="C118" s="23">
        <v>0</v>
      </c>
      <c r="D118" s="22">
        <v>0</v>
      </c>
      <c r="E118" s="23">
        <v>0</v>
      </c>
      <c r="F118" s="22">
        <f t="shared" si="1"/>
        <v>0</v>
      </c>
    </row>
    <row r="119" s="3" customFormat="1" ht="24.75" customHeight="1" spans="1:6">
      <c r="A119" s="26" t="s">
        <v>236</v>
      </c>
      <c r="B119" s="27" t="s">
        <v>237</v>
      </c>
      <c r="C119" s="23">
        <v>0</v>
      </c>
      <c r="D119" s="20">
        <v>0</v>
      </c>
      <c r="E119" s="23">
        <v>0</v>
      </c>
      <c r="F119" s="22">
        <f t="shared" si="1"/>
        <v>0</v>
      </c>
    </row>
    <row r="120" s="3" customFormat="1" ht="24.75" customHeight="1" spans="1:6">
      <c r="A120" s="26" t="s">
        <v>238</v>
      </c>
      <c r="B120" s="27" t="s">
        <v>239</v>
      </c>
      <c r="C120" s="23">
        <v>0</v>
      </c>
      <c r="D120" s="22">
        <v>0</v>
      </c>
      <c r="E120" s="23">
        <v>0</v>
      </c>
      <c r="F120" s="22">
        <f t="shared" si="1"/>
        <v>0</v>
      </c>
    </row>
    <row r="121" s="3" customFormat="1" ht="24.75" customHeight="1" spans="1:6">
      <c r="A121" s="30" t="s">
        <v>240</v>
      </c>
      <c r="B121" s="27" t="s">
        <v>241</v>
      </c>
      <c r="C121" s="22">
        <v>0</v>
      </c>
      <c r="D121" s="22">
        <v>0</v>
      </c>
      <c r="E121" s="22">
        <v>0</v>
      </c>
      <c r="F121" s="22">
        <f t="shared" si="1"/>
        <v>0</v>
      </c>
    </row>
    <row r="122" s="3" customFormat="1" ht="24.75" customHeight="1" spans="1:6">
      <c r="A122" s="20" t="s">
        <v>242</v>
      </c>
      <c r="B122" s="21" t="s">
        <v>243</v>
      </c>
      <c r="C122" s="22">
        <v>0</v>
      </c>
      <c r="D122" s="22">
        <v>0</v>
      </c>
      <c r="E122" s="23">
        <v>0</v>
      </c>
      <c r="F122" s="22">
        <f t="shared" si="1"/>
        <v>0</v>
      </c>
    </row>
    <row r="123" s="3" customFormat="1" ht="24.75" customHeight="1" spans="1:6">
      <c r="A123" s="20" t="s">
        <v>244</v>
      </c>
      <c r="B123" s="21" t="s">
        <v>245</v>
      </c>
      <c r="C123" s="22">
        <v>0</v>
      </c>
      <c r="D123" s="22">
        <v>0</v>
      </c>
      <c r="E123" s="23">
        <v>0</v>
      </c>
      <c r="F123" s="22">
        <f t="shared" si="1"/>
        <v>0</v>
      </c>
    </row>
    <row r="124" s="3" customFormat="1" ht="24.75" customHeight="1" spans="1:6">
      <c r="A124" s="20" t="s">
        <v>246</v>
      </c>
      <c r="B124" s="21" t="s">
        <v>247</v>
      </c>
      <c r="C124" s="22">
        <v>0</v>
      </c>
      <c r="D124" s="22">
        <v>0</v>
      </c>
      <c r="E124" s="23">
        <v>0</v>
      </c>
      <c r="F124" s="22">
        <f t="shared" si="1"/>
        <v>0</v>
      </c>
    </row>
    <row r="125" s="3" customFormat="1" ht="24.75" customHeight="1" spans="1:6">
      <c r="A125" s="20" t="s">
        <v>248</v>
      </c>
      <c r="B125" s="21" t="s">
        <v>249</v>
      </c>
      <c r="C125" s="22">
        <v>0</v>
      </c>
      <c r="D125" s="22">
        <v>0</v>
      </c>
      <c r="E125" s="23">
        <v>0</v>
      </c>
      <c r="F125" s="22">
        <f t="shared" si="1"/>
        <v>0</v>
      </c>
    </row>
    <row r="126" s="3" customFormat="1" ht="24.75" customHeight="1" spans="1:6">
      <c r="A126" s="24" t="s">
        <v>250</v>
      </c>
      <c r="B126" s="25" t="s">
        <v>251</v>
      </c>
      <c r="C126" s="22">
        <v>0</v>
      </c>
      <c r="D126" s="22">
        <v>0</v>
      </c>
      <c r="E126" s="22">
        <v>0</v>
      </c>
      <c r="F126" s="22">
        <f t="shared" si="1"/>
        <v>0</v>
      </c>
    </row>
    <row r="127" s="3" customFormat="1" ht="24.75" customHeight="1" spans="1:6">
      <c r="A127" s="26" t="s">
        <v>252</v>
      </c>
      <c r="B127" s="27" t="s">
        <v>253</v>
      </c>
      <c r="C127" s="23">
        <v>0</v>
      </c>
      <c r="D127" s="20">
        <v>0</v>
      </c>
      <c r="E127" s="23">
        <v>0</v>
      </c>
      <c r="F127" s="22">
        <f t="shared" si="1"/>
        <v>0</v>
      </c>
    </row>
    <row r="128" s="3" customFormat="1" ht="24.75" customHeight="1" spans="1:6">
      <c r="A128" s="26" t="s">
        <v>254</v>
      </c>
      <c r="B128" s="27" t="s">
        <v>255</v>
      </c>
      <c r="C128" s="23">
        <v>0</v>
      </c>
      <c r="D128" s="22">
        <v>0</v>
      </c>
      <c r="E128" s="23">
        <v>0</v>
      </c>
      <c r="F128" s="22">
        <f t="shared" si="1"/>
        <v>0</v>
      </c>
    </row>
    <row r="129" s="3" customFormat="1" ht="24.75" customHeight="1" spans="1:6">
      <c r="A129" s="26" t="s">
        <v>256</v>
      </c>
      <c r="B129" s="27" t="s">
        <v>257</v>
      </c>
      <c r="C129" s="23">
        <v>0</v>
      </c>
      <c r="D129" s="20">
        <v>0</v>
      </c>
      <c r="E129" s="23">
        <v>0</v>
      </c>
      <c r="F129" s="22">
        <f t="shared" si="1"/>
        <v>0</v>
      </c>
    </row>
    <row r="130" s="3" customFormat="1" ht="24.75" customHeight="1" spans="1:6">
      <c r="A130" s="26" t="s">
        <v>258</v>
      </c>
      <c r="B130" s="27" t="s">
        <v>259</v>
      </c>
      <c r="C130" s="23">
        <v>0</v>
      </c>
      <c r="D130" s="22">
        <v>0</v>
      </c>
      <c r="E130" s="23">
        <v>0</v>
      </c>
      <c r="F130" s="22">
        <f t="shared" si="1"/>
        <v>0</v>
      </c>
    </row>
    <row r="131" s="3" customFormat="1" ht="24.75" customHeight="1" spans="1:6">
      <c r="A131" s="28" t="s">
        <v>260</v>
      </c>
      <c r="B131" s="29" t="s">
        <v>261</v>
      </c>
      <c r="C131" s="28">
        <v>0</v>
      </c>
      <c r="D131" s="28">
        <v>0</v>
      </c>
      <c r="E131" s="28">
        <v>0</v>
      </c>
      <c r="F131" s="22">
        <f t="shared" ref="F131:F161" si="2">SUM(C131:E131)</f>
        <v>0</v>
      </c>
    </row>
    <row r="132" s="3" customFormat="1" ht="24.75" customHeight="1" spans="1:6">
      <c r="A132" s="20" t="s">
        <v>262</v>
      </c>
      <c r="B132" s="21" t="s">
        <v>263</v>
      </c>
      <c r="C132" s="22">
        <v>0</v>
      </c>
      <c r="D132" s="22">
        <v>0</v>
      </c>
      <c r="E132" s="23">
        <v>0</v>
      </c>
      <c r="F132" s="22">
        <f t="shared" si="2"/>
        <v>0</v>
      </c>
    </row>
    <row r="133" s="3" customFormat="1" ht="24.75" customHeight="1" spans="1:6">
      <c r="A133" s="20" t="s">
        <v>264</v>
      </c>
      <c r="B133" s="21" t="s">
        <v>265</v>
      </c>
      <c r="C133" s="22">
        <v>0</v>
      </c>
      <c r="D133" s="22">
        <v>0</v>
      </c>
      <c r="E133" s="23">
        <v>0</v>
      </c>
      <c r="F133" s="22">
        <f t="shared" si="2"/>
        <v>0</v>
      </c>
    </row>
    <row r="134" s="3" customFormat="1" ht="24.75" customHeight="1" spans="1:6">
      <c r="A134" s="20" t="s">
        <v>266</v>
      </c>
      <c r="B134" s="21" t="s">
        <v>267</v>
      </c>
      <c r="C134" s="22">
        <v>0</v>
      </c>
      <c r="D134" s="22">
        <v>0</v>
      </c>
      <c r="E134" s="23">
        <v>0</v>
      </c>
      <c r="F134" s="22">
        <f t="shared" si="2"/>
        <v>0</v>
      </c>
    </row>
    <row r="135" s="3" customFormat="1" ht="24.75" customHeight="1" spans="1:6">
      <c r="A135" s="20" t="s">
        <v>268</v>
      </c>
      <c r="B135" s="21" t="s">
        <v>269</v>
      </c>
      <c r="C135" s="22">
        <v>0</v>
      </c>
      <c r="D135" s="22">
        <v>0</v>
      </c>
      <c r="E135" s="23">
        <v>0</v>
      </c>
      <c r="F135" s="22">
        <f t="shared" si="2"/>
        <v>0</v>
      </c>
    </row>
    <row r="136" s="3" customFormat="1" ht="24.75" customHeight="1" spans="1:6">
      <c r="A136" s="24" t="s">
        <v>270</v>
      </c>
      <c r="B136" s="25" t="s">
        <v>271</v>
      </c>
      <c r="C136" s="22">
        <v>0</v>
      </c>
      <c r="D136" s="22">
        <v>0</v>
      </c>
      <c r="E136" s="22">
        <v>0</v>
      </c>
      <c r="F136" s="22">
        <f t="shared" si="2"/>
        <v>0</v>
      </c>
    </row>
    <row r="137" s="3" customFormat="1" ht="24.75" customHeight="1" spans="1:6">
      <c r="A137" s="26" t="s">
        <v>272</v>
      </c>
      <c r="B137" s="27" t="s">
        <v>273</v>
      </c>
      <c r="C137" s="23">
        <v>0</v>
      </c>
      <c r="D137" s="20">
        <v>0</v>
      </c>
      <c r="E137" s="23">
        <v>0</v>
      </c>
      <c r="F137" s="22">
        <f t="shared" si="2"/>
        <v>0</v>
      </c>
    </row>
    <row r="138" s="3" customFormat="1" ht="24.75" customHeight="1" spans="1:6">
      <c r="A138" s="26" t="s">
        <v>274</v>
      </c>
      <c r="B138" s="27" t="s">
        <v>275</v>
      </c>
      <c r="C138" s="23">
        <v>0</v>
      </c>
      <c r="D138" s="22">
        <v>0</v>
      </c>
      <c r="E138" s="23">
        <v>0</v>
      </c>
      <c r="F138" s="22">
        <f t="shared" si="2"/>
        <v>0</v>
      </c>
    </row>
    <row r="139" s="3" customFormat="1" ht="24.75" customHeight="1" spans="1:6">
      <c r="A139" s="26" t="s">
        <v>276</v>
      </c>
      <c r="B139" s="27" t="s">
        <v>277</v>
      </c>
      <c r="C139" s="23">
        <v>0</v>
      </c>
      <c r="D139" s="20">
        <v>0</v>
      </c>
      <c r="E139" s="23">
        <v>0</v>
      </c>
      <c r="F139" s="22">
        <f t="shared" si="2"/>
        <v>0</v>
      </c>
    </row>
    <row r="140" s="3" customFormat="1" ht="24.75" customHeight="1" spans="1:6">
      <c r="A140" s="26" t="s">
        <v>278</v>
      </c>
      <c r="B140" s="27" t="s">
        <v>279</v>
      </c>
      <c r="C140" s="23">
        <v>0</v>
      </c>
      <c r="D140" s="22">
        <v>0</v>
      </c>
      <c r="E140" s="23">
        <v>0</v>
      </c>
      <c r="F140" s="22">
        <f t="shared" si="2"/>
        <v>0</v>
      </c>
    </row>
    <row r="141" s="3" customFormat="1" ht="24.75" customHeight="1" spans="1:6">
      <c r="A141" s="22" t="s">
        <v>280</v>
      </c>
      <c r="B141" s="21" t="s">
        <v>281</v>
      </c>
      <c r="C141" s="22">
        <v>0</v>
      </c>
      <c r="D141" s="22">
        <v>0</v>
      </c>
      <c r="E141" s="23">
        <v>4467.35</v>
      </c>
      <c r="F141" s="22">
        <f t="shared" si="2"/>
        <v>4467.35</v>
      </c>
    </row>
    <row r="142" s="3" customFormat="1" ht="24.75" customHeight="1" spans="1:6">
      <c r="A142" s="20" t="s">
        <v>282</v>
      </c>
      <c r="B142" s="21" t="s">
        <v>283</v>
      </c>
      <c r="C142" s="22">
        <v>0</v>
      </c>
      <c r="D142" s="22">
        <v>0</v>
      </c>
      <c r="E142" s="23">
        <v>0</v>
      </c>
      <c r="F142" s="22">
        <f t="shared" si="2"/>
        <v>0</v>
      </c>
    </row>
    <row r="143" s="3" customFormat="1" ht="24.75" customHeight="1" spans="1:6">
      <c r="A143" s="20" t="s">
        <v>284</v>
      </c>
      <c r="B143" s="21" t="s">
        <v>285</v>
      </c>
      <c r="C143" s="22">
        <v>0</v>
      </c>
      <c r="D143" s="22">
        <v>0</v>
      </c>
      <c r="E143" s="23">
        <v>0</v>
      </c>
      <c r="F143" s="22">
        <f t="shared" si="2"/>
        <v>0</v>
      </c>
    </row>
    <row r="144" s="3" customFormat="1" ht="24.75" customHeight="1" spans="1:6">
      <c r="A144" s="20" t="s">
        <v>286</v>
      </c>
      <c r="B144" s="21" t="s">
        <v>287</v>
      </c>
      <c r="C144" s="22">
        <v>0</v>
      </c>
      <c r="D144" s="22">
        <v>0</v>
      </c>
      <c r="E144" s="23">
        <v>0</v>
      </c>
      <c r="F144" s="22">
        <f t="shared" si="2"/>
        <v>0</v>
      </c>
    </row>
    <row r="145" s="3" customFormat="1" ht="24.75" customHeight="1" spans="1:6">
      <c r="A145" s="20" t="s">
        <v>288</v>
      </c>
      <c r="B145" s="21" t="s">
        <v>289</v>
      </c>
      <c r="C145" s="22">
        <v>0</v>
      </c>
      <c r="D145" s="22">
        <v>0</v>
      </c>
      <c r="E145" s="23">
        <v>0</v>
      </c>
      <c r="F145" s="22">
        <f t="shared" si="2"/>
        <v>0</v>
      </c>
    </row>
    <row r="146" s="6" customFormat="1" ht="24.75" customHeight="1" spans="1:6">
      <c r="A146" s="20" t="s">
        <v>290</v>
      </c>
      <c r="B146" s="21" t="s">
        <v>291</v>
      </c>
      <c r="C146" s="20">
        <v>12531</v>
      </c>
      <c r="D146" s="20">
        <v>15127</v>
      </c>
      <c r="E146" s="20">
        <v>0</v>
      </c>
      <c r="F146" s="22">
        <f t="shared" si="2"/>
        <v>27658</v>
      </c>
    </row>
    <row r="147" s="6" customFormat="1" ht="24.75" customHeight="1" spans="1:6">
      <c r="A147" s="20" t="s">
        <v>292</v>
      </c>
      <c r="B147" s="21" t="s">
        <v>293</v>
      </c>
      <c r="C147" s="20">
        <v>0</v>
      </c>
      <c r="D147" s="20">
        <v>1438</v>
      </c>
      <c r="E147" s="20">
        <v>0</v>
      </c>
      <c r="F147" s="22">
        <f t="shared" si="2"/>
        <v>1438</v>
      </c>
    </row>
    <row r="148" s="6" customFormat="1" ht="24.75" customHeight="1" spans="1:6">
      <c r="A148" s="20" t="s">
        <v>294</v>
      </c>
      <c r="B148" s="21" t="s">
        <v>295</v>
      </c>
      <c r="C148" s="20">
        <v>12514</v>
      </c>
      <c r="D148" s="20">
        <v>0</v>
      </c>
      <c r="E148" s="20">
        <v>0</v>
      </c>
      <c r="F148" s="22">
        <f t="shared" si="2"/>
        <v>12514</v>
      </c>
    </row>
    <row r="149" s="7" customFormat="1" ht="24.75" customHeight="1" spans="1:6">
      <c r="A149" s="20" t="s">
        <v>296</v>
      </c>
      <c r="B149" s="21" t="s">
        <v>297</v>
      </c>
      <c r="C149" s="22">
        <v>0</v>
      </c>
      <c r="D149" s="22">
        <v>16440</v>
      </c>
      <c r="E149" s="23">
        <v>17285</v>
      </c>
      <c r="F149" s="22">
        <f t="shared" si="2"/>
        <v>33725</v>
      </c>
    </row>
    <row r="150" s="7" customFormat="1" ht="24.75" customHeight="1" spans="1:6">
      <c r="A150" s="20" t="s">
        <v>298</v>
      </c>
      <c r="B150" s="21" t="s">
        <v>299</v>
      </c>
      <c r="C150" s="22">
        <v>0</v>
      </c>
      <c r="D150" s="22">
        <v>0</v>
      </c>
      <c r="E150" s="23">
        <v>0</v>
      </c>
      <c r="F150" s="22">
        <f t="shared" si="2"/>
        <v>0</v>
      </c>
    </row>
    <row r="151" s="7" customFormat="1" ht="24.75" customHeight="1" spans="1:6">
      <c r="A151" s="20" t="s">
        <v>300</v>
      </c>
      <c r="B151" s="21" t="s">
        <v>301</v>
      </c>
      <c r="C151" s="22">
        <v>0</v>
      </c>
      <c r="D151" s="22">
        <v>930</v>
      </c>
      <c r="E151" s="23">
        <v>54314.14</v>
      </c>
      <c r="F151" s="22">
        <f t="shared" si="2"/>
        <v>55244.14</v>
      </c>
    </row>
    <row r="152" s="7" customFormat="1" ht="24.75" customHeight="1" spans="1:6">
      <c r="A152" s="20" t="s">
        <v>302</v>
      </c>
      <c r="B152" s="21" t="s">
        <v>303</v>
      </c>
      <c r="C152" s="22">
        <v>0</v>
      </c>
      <c r="D152" s="22">
        <v>17843</v>
      </c>
      <c r="E152" s="23">
        <v>16472.5</v>
      </c>
      <c r="F152" s="22">
        <f t="shared" si="2"/>
        <v>34315.5</v>
      </c>
    </row>
    <row r="153" s="7" customFormat="1" ht="24.75" customHeight="1" spans="1:6">
      <c r="A153" s="20"/>
      <c r="B153" s="21" t="s">
        <v>304</v>
      </c>
      <c r="C153" s="22">
        <v>0</v>
      </c>
      <c r="D153" s="22">
        <v>0</v>
      </c>
      <c r="E153" s="23">
        <v>11286</v>
      </c>
      <c r="F153" s="22">
        <f t="shared" si="2"/>
        <v>11286</v>
      </c>
    </row>
    <row r="154" s="7" customFormat="1" ht="24.75" customHeight="1" spans="1:6">
      <c r="A154" s="20" t="s">
        <v>305</v>
      </c>
      <c r="B154" s="21" t="s">
        <v>306</v>
      </c>
      <c r="C154" s="22">
        <v>0</v>
      </c>
      <c r="D154" s="22">
        <v>1713</v>
      </c>
      <c r="E154" s="23">
        <v>6373.87</v>
      </c>
      <c r="F154" s="22">
        <f t="shared" si="2"/>
        <v>8086.87</v>
      </c>
    </row>
    <row r="155" s="7" customFormat="1" ht="24.75" customHeight="1" spans="1:6">
      <c r="A155" s="20" t="s">
        <v>11</v>
      </c>
      <c r="B155" s="21" t="s">
        <v>307</v>
      </c>
      <c r="C155" s="22">
        <v>0</v>
      </c>
      <c r="D155" s="22">
        <v>1200</v>
      </c>
      <c r="E155" s="23">
        <v>59707.19</v>
      </c>
      <c r="F155" s="22">
        <f t="shared" si="2"/>
        <v>60907.19</v>
      </c>
    </row>
    <row r="156" s="8" customFormat="1" ht="24.75" customHeight="1" spans="1:6">
      <c r="A156" s="24" t="s">
        <v>308</v>
      </c>
      <c r="B156" s="25" t="s">
        <v>309</v>
      </c>
      <c r="C156" s="22">
        <v>0</v>
      </c>
      <c r="D156" s="22">
        <v>840</v>
      </c>
      <c r="E156" s="22">
        <v>0</v>
      </c>
      <c r="F156" s="22">
        <f t="shared" si="2"/>
        <v>840</v>
      </c>
    </row>
    <row r="157" s="9" customFormat="1" ht="24.75" customHeight="1" spans="1:6">
      <c r="A157" s="26"/>
      <c r="B157" s="27" t="s">
        <v>310</v>
      </c>
      <c r="C157" s="23">
        <v>0</v>
      </c>
      <c r="D157" s="20">
        <v>35427</v>
      </c>
      <c r="E157" s="23">
        <v>78523.29</v>
      </c>
      <c r="F157" s="22">
        <f t="shared" si="2"/>
        <v>113950.29</v>
      </c>
    </row>
    <row r="158" s="10" customFormat="1" ht="24.75" customHeight="1" spans="1:6">
      <c r="A158" s="26"/>
      <c r="B158" s="27" t="s">
        <v>311</v>
      </c>
      <c r="C158" s="23">
        <v>0</v>
      </c>
      <c r="D158" s="22">
        <v>0</v>
      </c>
      <c r="E158" s="23">
        <v>90302.49</v>
      </c>
      <c r="F158" s="22">
        <f t="shared" si="2"/>
        <v>90302.49</v>
      </c>
    </row>
    <row r="159" s="9" customFormat="1" ht="24.75" customHeight="1" spans="1:6">
      <c r="A159" s="26"/>
      <c r="B159" s="27" t="s">
        <v>312</v>
      </c>
      <c r="C159" s="23">
        <v>0</v>
      </c>
      <c r="D159" s="20">
        <v>2374</v>
      </c>
      <c r="E159" s="23">
        <v>81726.93</v>
      </c>
      <c r="F159" s="22">
        <f t="shared" si="2"/>
        <v>84100.93</v>
      </c>
    </row>
    <row r="160" s="9" customFormat="1" ht="24.75" customHeight="1" spans="1:6">
      <c r="A160" s="26"/>
      <c r="B160" s="27" t="s">
        <v>313</v>
      </c>
      <c r="C160" s="23">
        <v>0</v>
      </c>
      <c r="D160" s="22">
        <v>616</v>
      </c>
      <c r="E160" s="23">
        <v>27978.72</v>
      </c>
      <c r="F160" s="22">
        <f t="shared" si="2"/>
        <v>28594.72</v>
      </c>
    </row>
    <row r="161" ht="24.75" customHeight="1" spans="1:6">
      <c r="A161" s="32" t="s">
        <v>6</v>
      </c>
      <c r="B161" s="33"/>
      <c r="C161" s="34">
        <f>SUM(C4:C160)</f>
        <v>89353</v>
      </c>
      <c r="D161" s="34">
        <f t="shared" ref="D161:E161" si="3">SUM(D4:D160)</f>
        <v>631218</v>
      </c>
      <c r="E161" s="34">
        <f t="shared" si="3"/>
        <v>3834811.6</v>
      </c>
      <c r="F161" s="22">
        <f t="shared" si="2"/>
        <v>4555382.6</v>
      </c>
    </row>
  </sheetData>
  <mergeCells count="3">
    <mergeCell ref="A1:F1"/>
    <mergeCell ref="A2:B2"/>
    <mergeCell ref="A161:B16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当年数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踏风晓月</cp:lastModifiedBy>
  <dcterms:created xsi:type="dcterms:W3CDTF">2020-09-08T00:12:00Z</dcterms:created>
  <cp:lastPrinted>2020-09-08T07:21:00Z</cp:lastPrinted>
  <dcterms:modified xsi:type="dcterms:W3CDTF">2020-09-18T03:02:32Z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