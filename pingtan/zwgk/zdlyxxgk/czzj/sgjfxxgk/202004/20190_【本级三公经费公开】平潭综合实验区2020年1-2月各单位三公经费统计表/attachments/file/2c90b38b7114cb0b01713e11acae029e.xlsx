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3895" windowHeight="1050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C202" i="1"/>
  <c r="E5"/>
  <c r="E6"/>
  <c r="E7"/>
  <c r="E8"/>
  <c r="E9"/>
  <c r="E10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116"/>
  <c r="E117"/>
  <c r="E118"/>
  <c r="E119"/>
  <c r="E120"/>
  <c r="E121"/>
  <c r="E122"/>
  <c r="E123"/>
  <c r="E124"/>
  <c r="E125"/>
  <c r="E126"/>
  <c r="E127"/>
  <c r="E128"/>
  <c r="E129"/>
  <c r="E130"/>
  <c r="E131"/>
  <c r="E132"/>
  <c r="E133"/>
  <c r="E134"/>
  <c r="E135"/>
  <c r="E136"/>
  <c r="E137"/>
  <c r="E138"/>
  <c r="E139"/>
  <c r="E140"/>
  <c r="E141"/>
  <c r="E142"/>
  <c r="E143"/>
  <c r="E144"/>
  <c r="E145"/>
  <c r="E146"/>
  <c r="E147"/>
  <c r="E148"/>
  <c r="E149"/>
  <c r="E150"/>
  <c r="E151"/>
  <c r="E152"/>
  <c r="E153"/>
  <c r="E154"/>
  <c r="E155"/>
  <c r="E156"/>
  <c r="E157"/>
  <c r="E158"/>
  <c r="E159"/>
  <c r="E160"/>
  <c r="E161"/>
  <c r="E162"/>
  <c r="E163"/>
  <c r="E164"/>
  <c r="E165"/>
  <c r="E166"/>
  <c r="E167"/>
  <c r="E168"/>
  <c r="E169"/>
  <c r="E170"/>
  <c r="E171"/>
  <c r="E172"/>
  <c r="E173"/>
  <c r="E174"/>
  <c r="E175"/>
  <c r="E176"/>
  <c r="E177"/>
  <c r="E178"/>
  <c r="E179"/>
  <c r="E180"/>
  <c r="E181"/>
  <c r="E182"/>
  <c r="E183"/>
  <c r="E184"/>
  <c r="E185"/>
  <c r="E186"/>
  <c r="E187"/>
  <c r="E188"/>
  <c r="E189"/>
  <c r="E190"/>
  <c r="E191"/>
  <c r="E192"/>
  <c r="E193"/>
  <c r="E194"/>
  <c r="E195"/>
  <c r="E196"/>
  <c r="E198"/>
  <c r="E199"/>
  <c r="E200"/>
  <c r="E201"/>
  <c r="E4"/>
  <c r="B202"/>
  <c r="D39"/>
  <c r="E39" s="1"/>
  <c r="E202" l="1"/>
  <c r="D202"/>
</calcChain>
</file>

<file path=xl/sharedStrings.xml><?xml version="1.0" encoding="utf-8"?>
<sst xmlns="http://schemas.openxmlformats.org/spreadsheetml/2006/main" count="205" uniqueCount="205">
  <si>
    <t>平潭综合实验区自然资源与生态环境局</t>
  </si>
  <si>
    <t>平潭综合实验区环境监察支队</t>
  </si>
  <si>
    <t>平潭综合实验区自然资源服务中心</t>
  </si>
  <si>
    <t>平潭综合实验区交通与建设局本级</t>
  </si>
  <si>
    <t>平潭综合实验区交通与建设局本级（环岛指挥部）</t>
  </si>
  <si>
    <t>平潭综合实验区城乡建设与交通运输服务中心</t>
  </si>
  <si>
    <t>平潭综合实验区人防办</t>
  </si>
  <si>
    <t>合        计</t>
  </si>
  <si>
    <t>单位名称</t>
    <phoneticPr fontId="7" type="noConversion"/>
  </si>
  <si>
    <t>因公出国（境）费</t>
    <phoneticPr fontId="7" type="noConversion"/>
  </si>
  <si>
    <t>公务接待费</t>
    <phoneticPr fontId="7" type="noConversion"/>
  </si>
  <si>
    <t>公务用车运行维护费</t>
    <phoneticPr fontId="7" type="noConversion"/>
  </si>
  <si>
    <t>三公经费</t>
    <phoneticPr fontId="7" type="noConversion"/>
  </si>
  <si>
    <t>金井片区管理局</t>
    <phoneticPr fontId="13" type="noConversion"/>
  </si>
  <si>
    <t>君山片区管理局</t>
    <phoneticPr fontId="13" type="noConversion"/>
  </si>
  <si>
    <t>苏平片区管理局</t>
    <phoneticPr fontId="13" type="noConversion"/>
  </si>
  <si>
    <t>海坛片区管理局</t>
    <phoneticPr fontId="13" type="noConversion"/>
  </si>
  <si>
    <t>平潭综合实验区2020年1-2月各单位三公经费统计表</t>
    <phoneticPr fontId="7" type="noConversion"/>
  </si>
  <si>
    <t>区发展研究中心</t>
    <phoneticPr fontId="7" type="noConversion"/>
  </si>
  <si>
    <t>平潭县人大常委会</t>
  </si>
  <si>
    <t>平潭县政协</t>
  </si>
  <si>
    <t>平潭综合实验区纪工委</t>
  </si>
  <si>
    <t>平潭综合实验区廉政及审计事务中心</t>
  </si>
  <si>
    <t>区管委办</t>
  </si>
  <si>
    <t>平潭综合实验区司法办公室</t>
  </si>
  <si>
    <t>区档案局</t>
    <phoneticPr fontId="13" type="noConversion"/>
  </si>
  <si>
    <t>区干部人事信息中心</t>
  </si>
  <si>
    <t>离退休干部活动中心</t>
  </si>
  <si>
    <t>区事业登记管理局</t>
  </si>
  <si>
    <t>拘留所</t>
  </si>
  <si>
    <t>区综合执法与应急管理局本级</t>
    <phoneticPr fontId="7" type="noConversion"/>
  </si>
  <si>
    <t>区交通综合执法支队</t>
    <phoneticPr fontId="7" type="noConversion"/>
  </si>
  <si>
    <t>区安全生产与劳动保障执法支队</t>
  </si>
  <si>
    <t>区应急事务中心</t>
  </si>
  <si>
    <t>区防汛抗旱指挥部办公室</t>
  </si>
  <si>
    <t>妇女联合会</t>
  </si>
  <si>
    <t>总工会</t>
  </si>
  <si>
    <t>归国华侨联合会</t>
  </si>
  <si>
    <t>文学艺术界联合会</t>
  </si>
  <si>
    <t>计划生育协会</t>
  </si>
  <si>
    <t>平潭县闽剧团</t>
  </si>
  <si>
    <t>平潭综合实验区风景名胜区管理局</t>
  </si>
  <si>
    <t>平潭综合实验区文化馆</t>
  </si>
  <si>
    <t>平潭综合实验区图书馆</t>
  </si>
  <si>
    <t>平潭综合实验区博物馆</t>
  </si>
  <si>
    <t>平潭综合实验区残联</t>
    <phoneticPr fontId="13" type="noConversion"/>
  </si>
  <si>
    <t>平潭综合实验区经济发展局</t>
  </si>
  <si>
    <t>物流服务中心</t>
  </si>
  <si>
    <t>产业发展服务中心</t>
  </si>
  <si>
    <t>平潭综合实验区招商局</t>
  </si>
  <si>
    <t>区农村发展局本级</t>
  </si>
  <si>
    <t>区海洋渔业执法大队</t>
  </si>
  <si>
    <t>区农业机械管理站</t>
  </si>
  <si>
    <t>区动物卫生监督所</t>
  </si>
  <si>
    <t>区农村经营管理中心</t>
  </si>
  <si>
    <t>区农业技术服务中心</t>
  </si>
  <si>
    <t>平潭综合实验区军休所</t>
  </si>
  <si>
    <t>平潭综合实验区殡葬服务中心</t>
  </si>
  <si>
    <t>平潭综合实验区福利院</t>
  </si>
  <si>
    <t>平潭综合实验区残疾人服务中心</t>
  </si>
  <si>
    <t>平潭综合实验区仲裁院</t>
  </si>
  <si>
    <t>平潭综合实验区民政事务服务中心</t>
  </si>
  <si>
    <t>关心下一代工作委员会办公室</t>
    <phoneticPr fontId="13" type="noConversion"/>
  </si>
  <si>
    <t>平潭综合实验区未成年人思想道德建设中心</t>
  </si>
  <si>
    <t>平潭综合实验区皮肤病性病防治院</t>
  </si>
  <si>
    <t>平潭综合实验区疾病预防控制中心</t>
  </si>
  <si>
    <t>平潭综合实验区潭城镇社区卫生服务中心</t>
  </si>
  <si>
    <t>平潭综合实验区屿头乡卫生院</t>
  </si>
  <si>
    <t>平潭综合实验区大练乡卫生院</t>
  </si>
  <si>
    <t>平潭综合实验区苏澳镇中心卫生院</t>
  </si>
  <si>
    <t>平潭综合实验区平原镇中心卫生院</t>
  </si>
  <si>
    <t>平潭综合实验区中楼乡卫生院</t>
  </si>
  <si>
    <t>平潭综合实验区北厝镇中心卫生院</t>
  </si>
  <si>
    <t>平潭综合实验区敖东镇中心卫生院</t>
  </si>
  <si>
    <t>平潭综合实验区南海乡卫生院</t>
  </si>
  <si>
    <t>平潭综合实验区南海乡塘屿卫生院</t>
  </si>
  <si>
    <t>平潭综合实验区急救中心</t>
  </si>
  <si>
    <t>平潭综合实验区卫生监督所</t>
    <phoneticPr fontId="13" type="noConversion"/>
  </si>
  <si>
    <t>平潭综合实验区进修学校</t>
  </si>
  <si>
    <t>平潭职业中专学校</t>
  </si>
  <si>
    <t>平潭流水中学</t>
  </si>
  <si>
    <t>平潭城南学校</t>
  </si>
  <si>
    <t>平潭强兴中学</t>
  </si>
  <si>
    <t>平潭潭东初级中学</t>
  </si>
  <si>
    <t>平潭龙南初级中学</t>
  </si>
  <si>
    <t>平潭北厝初级中学</t>
  </si>
  <si>
    <t>平潭屿头初级中学</t>
  </si>
  <si>
    <t>平潭渔限学校（小学、初中）</t>
  </si>
  <si>
    <t>平潭城中小学</t>
  </si>
  <si>
    <t>平潭城东小学</t>
  </si>
  <si>
    <t>平潭城北小学</t>
  </si>
  <si>
    <t>平潭城关小学</t>
  </si>
  <si>
    <t>平潭北门小学</t>
  </si>
  <si>
    <t>平潭流水镇中心小学</t>
  </si>
  <si>
    <t>平潭敖东镇中心小学</t>
  </si>
  <si>
    <t>平潭澳前镇中心校</t>
  </si>
  <si>
    <t>平潭特殊教育学校</t>
  </si>
  <si>
    <t>平潭实验幼儿园</t>
  </si>
  <si>
    <t>平潭城关幼儿园</t>
  </si>
  <si>
    <t>平潭流水镇中心幼儿园</t>
  </si>
  <si>
    <t>平潭北厝镇中心幼儿园</t>
  </si>
  <si>
    <t>平潭敖东镇中心幼儿园</t>
  </si>
  <si>
    <t>平潭中楼乡中心幼儿园</t>
  </si>
  <si>
    <t>平潭澳前镇中心幼儿园</t>
  </si>
  <si>
    <t>平潭如意幼儿园</t>
  </si>
  <si>
    <t>平潭东升幼儿园</t>
  </si>
  <si>
    <t>平潭苏澳学校（小学、初中）</t>
  </si>
  <si>
    <t>平潭中楼学校（小学、初中）</t>
  </si>
  <si>
    <t>平潭麒麟小学</t>
  </si>
  <si>
    <t>平潭双玉幼儿园</t>
  </si>
  <si>
    <t>平潭东岚幼儿园</t>
  </si>
  <si>
    <t>平潭岚城新区中心幼儿园</t>
  </si>
  <si>
    <t>平潭综合实验区教育服务中心</t>
  </si>
  <si>
    <t>平潭综合实验区教育督导室</t>
  </si>
  <si>
    <t>平潭综合实验区教育考试中心</t>
  </si>
  <si>
    <t>平潭综合实验区质量计量所</t>
    <phoneticPr fontId="13" type="noConversion"/>
  </si>
  <si>
    <t>平潭综合实验区检验检测中心</t>
    <phoneticPr fontId="13" type="noConversion"/>
  </si>
  <si>
    <t>区老年大学</t>
    <phoneticPr fontId="13" type="noConversion"/>
  </si>
  <si>
    <t>青少年宫</t>
    <phoneticPr fontId="13" type="noConversion"/>
  </si>
  <si>
    <t>区公证处</t>
    <phoneticPr fontId="7" type="noConversion"/>
  </si>
  <si>
    <t>平潭广播电视台</t>
    <phoneticPr fontId="7" type="noConversion"/>
  </si>
  <si>
    <t>平潭时报社</t>
    <phoneticPr fontId="13" type="noConversion"/>
  </si>
  <si>
    <t>互联网中心</t>
    <phoneticPr fontId="13" type="noConversion"/>
  </si>
  <si>
    <t>广电中心</t>
    <phoneticPr fontId="13" type="noConversion"/>
  </si>
  <si>
    <t>区地灾防治与环境事故应急中心</t>
    <phoneticPr fontId="7" type="noConversion"/>
  </si>
  <si>
    <t>区地震办</t>
    <phoneticPr fontId="13" type="noConversion"/>
  </si>
  <si>
    <t>区安全生产综合服务中心</t>
    <phoneticPr fontId="13" type="noConversion"/>
  </si>
  <si>
    <t>旅游文化服务中心</t>
    <phoneticPr fontId="7" type="noConversion"/>
  </si>
  <si>
    <t>区接待服务中心</t>
    <phoneticPr fontId="13" type="noConversion"/>
  </si>
  <si>
    <t>区机关事务服务中心</t>
    <phoneticPr fontId="13" type="noConversion"/>
  </si>
  <si>
    <t>平潭综合实验区旅游文体局</t>
    <phoneticPr fontId="13" type="noConversion"/>
  </si>
  <si>
    <t>平潭综合实验区风景区与旅游执法支队</t>
    <phoneticPr fontId="13" type="noConversion"/>
  </si>
  <si>
    <t>平潭综合实验区经济社会调查队</t>
    <phoneticPr fontId="7" type="noConversion"/>
  </si>
  <si>
    <t>市场服务中心</t>
    <phoneticPr fontId="13" type="noConversion"/>
  </si>
  <si>
    <t>经贸服务中心</t>
    <phoneticPr fontId="13" type="noConversion"/>
  </si>
  <si>
    <t>平潭综合实验区口岸服务中心</t>
    <phoneticPr fontId="13" type="noConversion"/>
  </si>
  <si>
    <t>平潭综合实验区重点项目服务中心</t>
    <phoneticPr fontId="13" type="noConversion"/>
  </si>
  <si>
    <t>平潭县供销合作联合社</t>
    <phoneticPr fontId="7" type="noConversion"/>
  </si>
  <si>
    <t>区海洋与渔业技术中心</t>
    <phoneticPr fontId="13" type="noConversion"/>
  </si>
  <si>
    <t>区水利综合服务中心</t>
    <phoneticPr fontId="13" type="noConversion"/>
  </si>
  <si>
    <t>区海洋与渔业海上应急指挥中心</t>
    <phoneticPr fontId="13" type="noConversion"/>
  </si>
  <si>
    <t>平潭综合实验区社会事业局</t>
    <phoneticPr fontId="13" type="noConversion"/>
  </si>
  <si>
    <t>平潭综合实验区为计生事务服务中心</t>
    <phoneticPr fontId="7" type="noConversion"/>
  </si>
  <si>
    <t>平潭综合实验区红十字会</t>
    <phoneticPr fontId="13" type="noConversion"/>
  </si>
  <si>
    <t>平潭综合实验区医院</t>
    <phoneticPr fontId="13" type="noConversion"/>
  </si>
  <si>
    <t>平潭综合实验区中医院</t>
    <phoneticPr fontId="13" type="noConversion"/>
  </si>
  <si>
    <t>平潭综合实验区妇幼保健院</t>
    <phoneticPr fontId="13" type="noConversion"/>
  </si>
  <si>
    <t>平潭综合实验区白青乡卫生院</t>
    <phoneticPr fontId="7" type="noConversion"/>
  </si>
  <si>
    <t>平潭综合实验区流水镇中心卫生院</t>
    <phoneticPr fontId="13" type="noConversion"/>
  </si>
  <si>
    <t>平潭综合实验区东庠乡卫生院</t>
    <phoneticPr fontId="13" type="noConversion"/>
  </si>
  <si>
    <t>平潭综合实验区岚城乡中心卫生院</t>
    <phoneticPr fontId="13" type="noConversion"/>
  </si>
  <si>
    <t>平潭综合实验区澳前镇中心卫生院</t>
    <phoneticPr fontId="13" type="noConversion"/>
  </si>
  <si>
    <t>平潭第一中学</t>
    <phoneticPr fontId="7" type="noConversion"/>
  </si>
  <si>
    <t>平潭第二中学</t>
    <phoneticPr fontId="13" type="noConversion"/>
  </si>
  <si>
    <t>平潭第三中学</t>
    <phoneticPr fontId="13" type="noConversion"/>
  </si>
  <si>
    <t>平潭城关中学</t>
    <phoneticPr fontId="13" type="noConversion"/>
  </si>
  <si>
    <t>福建师范大学平潭附属中学</t>
    <phoneticPr fontId="13" type="noConversion"/>
  </si>
  <si>
    <t>平潭芦洋学校（小学、初中）</t>
    <phoneticPr fontId="7" type="noConversion"/>
  </si>
  <si>
    <t>平潭国彩学校(小学、初中）</t>
    <phoneticPr fontId="13" type="noConversion"/>
  </si>
  <si>
    <t>平潭思源学校</t>
    <phoneticPr fontId="13" type="noConversion"/>
  </si>
  <si>
    <t>平潭东庠学校（小学、初中）</t>
    <phoneticPr fontId="13" type="noConversion"/>
  </si>
  <si>
    <t>平潭实验小学</t>
    <phoneticPr fontId="13" type="noConversion"/>
  </si>
  <si>
    <t>平潭岚城乡中心小学</t>
    <phoneticPr fontId="7" type="noConversion"/>
  </si>
  <si>
    <t>平潭北厝镇中心小学</t>
    <phoneticPr fontId="13" type="noConversion"/>
  </si>
  <si>
    <t>平潭大练乡中心小学</t>
    <phoneticPr fontId="13" type="noConversion"/>
  </si>
  <si>
    <t>平潭屿头乡中心小学</t>
    <phoneticPr fontId="13" type="noConversion"/>
  </si>
  <si>
    <t>平潭平原镇中心小学</t>
    <phoneticPr fontId="13" type="noConversion"/>
  </si>
  <si>
    <t>平潭屿头乡中心幼儿园</t>
    <phoneticPr fontId="7" type="noConversion"/>
  </si>
  <si>
    <t>平潭海峡儿童学园</t>
    <phoneticPr fontId="13" type="noConversion"/>
  </si>
  <si>
    <t>平潭第二实验小学</t>
    <phoneticPr fontId="13" type="noConversion"/>
  </si>
  <si>
    <t>平潭第二实验幼儿园</t>
    <phoneticPr fontId="13" type="noConversion"/>
  </si>
  <si>
    <t>平潭海坛幼儿园</t>
    <phoneticPr fontId="13" type="noConversion"/>
  </si>
  <si>
    <t>平潭芦洋乡中心幼儿园</t>
    <phoneticPr fontId="7" type="noConversion"/>
  </si>
  <si>
    <t>平潭白青乡中心幼儿园</t>
    <phoneticPr fontId="13" type="noConversion"/>
  </si>
  <si>
    <t>平潭金井湾幼儿园</t>
    <phoneticPr fontId="13" type="noConversion"/>
  </si>
  <si>
    <t>平潭中湖小学</t>
    <phoneticPr fontId="13" type="noConversion"/>
  </si>
  <si>
    <t>平潭南海学校</t>
    <phoneticPr fontId="13" type="noConversion"/>
  </si>
  <si>
    <t>区挂职办</t>
    <phoneticPr fontId="13" type="noConversion"/>
  </si>
  <si>
    <t>区机关效能办</t>
    <phoneticPr fontId="13" type="noConversion"/>
  </si>
  <si>
    <t>区无线电管理工作站</t>
    <phoneticPr fontId="13" type="noConversion"/>
  </si>
  <si>
    <t>区法律援助中心</t>
    <phoneticPr fontId="13" type="noConversion"/>
  </si>
  <si>
    <t>区信访调解中心</t>
    <phoneticPr fontId="13" type="noConversion"/>
  </si>
  <si>
    <t>区党群工作部</t>
    <phoneticPr fontId="7" type="noConversion"/>
  </si>
  <si>
    <t>区综合实验区公共资源交易中心</t>
    <phoneticPr fontId="13" type="noConversion"/>
  </si>
  <si>
    <t>区巡审办</t>
    <phoneticPr fontId="7" type="noConversion"/>
  </si>
  <si>
    <t>区综合实验区党工委宣传办</t>
    <phoneticPr fontId="7" type="noConversion"/>
  </si>
  <si>
    <t>区党工委党校</t>
    <phoneticPr fontId="7" type="noConversion"/>
  </si>
  <si>
    <t>区人力资源服务中心</t>
    <phoneticPr fontId="13" type="noConversion"/>
  </si>
  <si>
    <t>宗教事务服务中心</t>
    <phoneticPr fontId="7" type="noConversion"/>
  </si>
  <si>
    <t>看守所</t>
    <phoneticPr fontId="7" type="noConversion"/>
  </si>
  <si>
    <t>区公安局</t>
    <phoneticPr fontId="7" type="noConversion"/>
  </si>
  <si>
    <t>区财政金融局</t>
    <phoneticPr fontId="7" type="noConversion"/>
  </si>
  <si>
    <t>区财政金融事务服务中心</t>
    <phoneticPr fontId="13" type="noConversion"/>
  </si>
  <si>
    <t>区行政审批局</t>
    <phoneticPr fontId="13" type="noConversion"/>
  </si>
  <si>
    <t>区行政服务中心</t>
    <phoneticPr fontId="13" type="noConversion"/>
  </si>
  <si>
    <t>区社会服务管理指挥中心</t>
    <phoneticPr fontId="13" type="noConversion"/>
  </si>
  <si>
    <t>区文化市场综合执法支队</t>
    <phoneticPr fontId="7" type="noConversion"/>
  </si>
  <si>
    <t>区农业综合执法支队</t>
    <phoneticPr fontId="7" type="noConversion"/>
  </si>
  <si>
    <t>区科学技术协会本级</t>
    <phoneticPr fontId="7" type="noConversion"/>
  </si>
  <si>
    <t>区市场监督管理局</t>
    <phoneticPr fontId="13" type="noConversion"/>
  </si>
  <si>
    <t>区国有资产管理局</t>
    <phoneticPr fontId="13" type="noConversion"/>
  </si>
  <si>
    <t>区科技研究院</t>
    <phoneticPr fontId="7" type="noConversion"/>
  </si>
  <si>
    <t>区工商业联合会</t>
    <phoneticPr fontId="7" type="noConversion"/>
  </si>
  <si>
    <t>共青团平潭综合实验区委员会</t>
    <phoneticPr fontId="7" type="noConversion"/>
  </si>
  <si>
    <t>区传媒中心</t>
    <phoneticPr fontId="7" type="noConversion"/>
  </si>
</sst>
</file>

<file path=xl/styles.xml><?xml version="1.0" encoding="utf-8"?>
<styleSheet xmlns="http://schemas.openxmlformats.org/spreadsheetml/2006/main">
  <numFmts count="3">
    <numFmt numFmtId="43" formatCode="_ * #,##0.00_ ;_ * \-#,##0.00_ ;_ * &quot;-&quot;??_ ;_ @_ "/>
    <numFmt numFmtId="176" formatCode="0.00_ "/>
    <numFmt numFmtId="177" formatCode="0.00_);[Red]\(0.00\)"/>
  </numFmts>
  <fonts count="1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宋体"/>
      <charset val="134"/>
    </font>
    <font>
      <sz val="18"/>
      <name val="方正小标宋简体"/>
      <charset val="134"/>
    </font>
    <font>
      <sz val="10"/>
      <name val="方正小标宋简体"/>
      <charset val="134"/>
    </font>
    <font>
      <sz val="11"/>
      <name val="宋体"/>
      <charset val="134"/>
    </font>
    <font>
      <sz val="10"/>
      <color theme="1"/>
      <name val="宋体"/>
      <charset val="134"/>
      <scheme val="minor"/>
    </font>
    <font>
      <sz val="9"/>
      <name val="宋体"/>
      <charset val="134"/>
      <scheme val="minor"/>
    </font>
    <font>
      <sz val="10"/>
      <name val="宋体"/>
      <family val="3"/>
      <charset val="134"/>
      <scheme val="major"/>
    </font>
    <font>
      <sz val="10"/>
      <color theme="1"/>
      <name val="宋体"/>
      <family val="3"/>
      <charset val="134"/>
      <scheme val="major"/>
    </font>
    <font>
      <sz val="10"/>
      <color indexed="8"/>
      <name val="宋体"/>
      <family val="3"/>
      <charset val="134"/>
    </font>
    <font>
      <sz val="10"/>
      <name val="宋体"/>
      <family val="3"/>
      <charset val="134"/>
    </font>
    <font>
      <sz val="10"/>
      <name val="宋体"/>
      <family val="3"/>
      <charset val="134"/>
      <scheme val="minor"/>
    </font>
    <font>
      <sz val="9"/>
      <name val="宋体"/>
      <family val="2"/>
      <charset val="134"/>
      <scheme val="minor"/>
    </font>
    <font>
      <sz val="14"/>
      <color theme="1"/>
      <name val="仿宋_GB2312"/>
      <family val="3"/>
      <charset val="134"/>
    </font>
    <font>
      <sz val="11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0" fontId="11" fillId="0" borderId="0"/>
  </cellStyleXfs>
  <cellXfs count="28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0" fontId="6" fillId="0" borderId="4" xfId="0" applyFont="1" applyFill="1" applyBorder="1" applyAlignment="1">
      <alignment horizontal="left" vertical="center"/>
    </xf>
    <xf numFmtId="0" fontId="8" fillId="0" borderId="2" xfId="0" applyFont="1" applyFill="1" applyBorder="1" applyAlignment="1">
      <alignment horizontal="center" vertical="center" wrapText="1"/>
    </xf>
    <xf numFmtId="176" fontId="9" fillId="2" borderId="2" xfId="0" applyNumberFormat="1" applyFont="1" applyFill="1" applyBorder="1" applyAlignment="1" applyProtection="1">
      <alignment horizontal="right" shrinkToFit="1"/>
    </xf>
    <xf numFmtId="0" fontId="8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wrapText="1"/>
    </xf>
    <xf numFmtId="0" fontId="5" fillId="0" borderId="1" xfId="0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 vertical="center" wrapText="1"/>
    </xf>
    <xf numFmtId="177" fontId="9" fillId="2" borderId="2" xfId="0" applyNumberFormat="1" applyFont="1" applyFill="1" applyBorder="1" applyAlignment="1" applyProtection="1">
      <alignment horizontal="right" vertical="center" wrapText="1" shrinkToFit="1"/>
    </xf>
    <xf numFmtId="176" fontId="12" fillId="2" borderId="2" xfId="0" applyNumberFormat="1" applyFont="1" applyFill="1" applyBorder="1" applyAlignment="1" applyProtection="1">
      <alignment horizontal="right" vertical="center" wrapText="1" shrinkToFit="1"/>
    </xf>
    <xf numFmtId="0" fontId="14" fillId="0" borderId="0" xfId="0" applyFont="1" applyAlignment="1"/>
    <xf numFmtId="0" fontId="12" fillId="2" borderId="0" xfId="0" applyFont="1" applyFill="1" applyAlignment="1">
      <alignment horizontal="center" vertical="center" wrapText="1"/>
    </xf>
    <xf numFmtId="0" fontId="0" fillId="2" borderId="0" xfId="0" applyFill="1">
      <alignment vertical="center"/>
    </xf>
    <xf numFmtId="0" fontId="11" fillId="2" borderId="2" xfId="0" applyFont="1" applyFill="1" applyBorder="1" applyAlignment="1">
      <alignment vertical="center" wrapText="1"/>
    </xf>
    <xf numFmtId="0" fontId="10" fillId="0" borderId="2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" xfId="0" applyFont="1" applyFill="1" applyBorder="1" applyAlignment="1">
      <alignment wrapText="1"/>
    </xf>
    <xf numFmtId="177" fontId="10" fillId="3" borderId="2" xfId="0" applyNumberFormat="1" applyFont="1" applyFill="1" applyBorder="1" applyAlignment="1" applyProtection="1">
      <alignment horizontal="right" shrinkToFit="1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/>
    </xf>
  </cellXfs>
  <cellStyles count="3">
    <cellStyle name="常规" xfId="0" builtinId="0"/>
    <cellStyle name="常规 2 2" xfId="2"/>
    <cellStyle name="千位分隔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03"/>
  <sheetViews>
    <sheetView tabSelected="1" topLeftCell="A17" workbookViewId="0">
      <selection activeCell="L14" sqref="L14"/>
    </sheetView>
  </sheetViews>
  <sheetFormatPr defaultColWidth="9" defaultRowHeight="14.25"/>
  <cols>
    <col min="1" max="1" width="32.25" style="3" customWidth="1"/>
    <col min="2" max="2" width="15.125" style="4" customWidth="1"/>
    <col min="3" max="3" width="13.25" style="4" customWidth="1"/>
    <col min="4" max="4" width="11.875" style="4" customWidth="1"/>
    <col min="5" max="5" width="14.125" style="4" customWidth="1"/>
    <col min="6" max="16384" width="9" style="1"/>
  </cols>
  <sheetData>
    <row r="1" spans="1:5" ht="45.75" customHeight="1">
      <c r="A1" s="26" t="s">
        <v>17</v>
      </c>
      <c r="B1" s="27"/>
      <c r="C1" s="27"/>
      <c r="D1" s="27"/>
      <c r="E1" s="27"/>
    </row>
    <row r="2" spans="1:5">
      <c r="A2" s="14"/>
      <c r="B2" s="5"/>
      <c r="C2" s="5"/>
      <c r="D2" s="7"/>
      <c r="E2" s="7"/>
    </row>
    <row r="3" spans="1:5" ht="28.5" customHeight="1">
      <c r="A3" s="12" t="s">
        <v>8</v>
      </c>
      <c r="B3" s="10" t="s">
        <v>9</v>
      </c>
      <c r="C3" s="10" t="s">
        <v>10</v>
      </c>
      <c r="D3" s="10" t="s">
        <v>11</v>
      </c>
      <c r="E3" s="10" t="s">
        <v>12</v>
      </c>
    </row>
    <row r="4" spans="1:5" s="19" customFormat="1" ht="20.25" customHeight="1">
      <c r="A4" s="21" t="s">
        <v>19</v>
      </c>
      <c r="B4" s="16">
        <v>0</v>
      </c>
      <c r="C4" s="25">
        <v>4580</v>
      </c>
      <c r="D4" s="25">
        <v>0</v>
      </c>
      <c r="E4" s="17">
        <f>SUM(B4:D4)</f>
        <v>4580</v>
      </c>
    </row>
    <row r="5" spans="1:5" s="19" customFormat="1" ht="20.25" customHeight="1">
      <c r="A5" s="21" t="s">
        <v>20</v>
      </c>
      <c r="B5" s="16">
        <v>0</v>
      </c>
      <c r="C5" s="16">
        <v>0</v>
      </c>
      <c r="D5" s="16">
        <v>0</v>
      </c>
      <c r="E5" s="17">
        <f t="shared" ref="E5:E65" si="0">SUM(B5:D5)</f>
        <v>0</v>
      </c>
    </row>
    <row r="6" spans="1:5" s="19" customFormat="1" ht="20.25" customHeight="1">
      <c r="A6" s="21" t="s">
        <v>21</v>
      </c>
      <c r="B6" s="16">
        <v>0</v>
      </c>
      <c r="C6" s="16">
        <v>0</v>
      </c>
      <c r="D6" s="16">
        <v>4234.34</v>
      </c>
      <c r="E6" s="17">
        <f t="shared" si="0"/>
        <v>4234.34</v>
      </c>
    </row>
    <row r="7" spans="1:5" s="19" customFormat="1" ht="20.25" customHeight="1">
      <c r="A7" s="21" t="s">
        <v>22</v>
      </c>
      <c r="B7" s="16">
        <v>0</v>
      </c>
      <c r="C7" s="16">
        <v>0</v>
      </c>
      <c r="D7" s="16">
        <v>0</v>
      </c>
      <c r="E7" s="17">
        <f t="shared" si="0"/>
        <v>0</v>
      </c>
    </row>
    <row r="8" spans="1:5" s="19" customFormat="1" ht="20.25" customHeight="1">
      <c r="A8" s="21" t="s">
        <v>23</v>
      </c>
      <c r="B8" s="16">
        <v>17874</v>
      </c>
      <c r="C8" s="16">
        <v>153073</v>
      </c>
      <c r="D8" s="16">
        <v>26243.1</v>
      </c>
      <c r="E8" s="17">
        <f t="shared" si="0"/>
        <v>197190.1</v>
      </c>
    </row>
    <row r="9" spans="1:5" s="19" customFormat="1" ht="20.25" customHeight="1">
      <c r="A9" s="21" t="s">
        <v>24</v>
      </c>
      <c r="B9" s="16">
        <v>0</v>
      </c>
      <c r="C9" s="25">
        <v>0</v>
      </c>
      <c r="D9" s="25">
        <v>0</v>
      </c>
      <c r="E9" s="17">
        <f t="shared" si="0"/>
        <v>0</v>
      </c>
    </row>
    <row r="10" spans="1:5" s="19" customFormat="1" ht="20.25" customHeight="1">
      <c r="A10" s="21" t="s">
        <v>25</v>
      </c>
      <c r="B10" s="16">
        <v>0</v>
      </c>
      <c r="C10" s="16">
        <v>0</v>
      </c>
      <c r="D10" s="16">
        <v>0</v>
      </c>
      <c r="E10" s="17">
        <f t="shared" si="0"/>
        <v>0</v>
      </c>
    </row>
    <row r="11" spans="1:5" s="19" customFormat="1" ht="20.25" customHeight="1">
      <c r="A11" s="22" t="s">
        <v>119</v>
      </c>
      <c r="B11" s="16">
        <v>0</v>
      </c>
      <c r="C11" s="16">
        <v>0</v>
      </c>
      <c r="D11" s="16">
        <v>0</v>
      </c>
      <c r="E11" s="17">
        <f t="shared" si="0"/>
        <v>0</v>
      </c>
    </row>
    <row r="12" spans="1:5" s="19" customFormat="1" ht="20.25" customHeight="1">
      <c r="A12" s="23" t="s">
        <v>180</v>
      </c>
      <c r="B12" s="16">
        <v>0</v>
      </c>
      <c r="C12" s="16">
        <v>0</v>
      </c>
      <c r="D12" s="16">
        <v>0</v>
      </c>
      <c r="E12" s="17">
        <f t="shared" si="0"/>
        <v>0</v>
      </c>
    </row>
    <row r="13" spans="1:5" s="19" customFormat="1" ht="20.25" customHeight="1">
      <c r="A13" s="23" t="s">
        <v>179</v>
      </c>
      <c r="B13" s="16">
        <v>0</v>
      </c>
      <c r="C13" s="16">
        <v>0</v>
      </c>
      <c r="D13" s="16">
        <v>0</v>
      </c>
      <c r="E13" s="17">
        <f t="shared" si="0"/>
        <v>0</v>
      </c>
    </row>
    <row r="14" spans="1:5" s="19" customFormat="1" ht="20.25" customHeight="1">
      <c r="A14" s="23" t="s">
        <v>178</v>
      </c>
      <c r="B14" s="16">
        <v>0</v>
      </c>
      <c r="C14" s="25">
        <v>0</v>
      </c>
      <c r="D14" s="25">
        <v>0</v>
      </c>
      <c r="E14" s="17">
        <f t="shared" si="0"/>
        <v>0</v>
      </c>
    </row>
    <row r="15" spans="1:5" s="19" customFormat="1" ht="20.25" customHeight="1">
      <c r="A15" s="23" t="s">
        <v>181</v>
      </c>
      <c r="B15" s="16">
        <v>0</v>
      </c>
      <c r="C15" s="16">
        <v>0</v>
      </c>
      <c r="D15" s="16">
        <v>0</v>
      </c>
      <c r="E15" s="17">
        <f t="shared" si="0"/>
        <v>0</v>
      </c>
    </row>
    <row r="16" spans="1:5" s="19" customFormat="1" ht="20.25" customHeight="1">
      <c r="A16" s="24" t="s">
        <v>183</v>
      </c>
      <c r="B16" s="16">
        <v>0</v>
      </c>
      <c r="C16" s="16">
        <v>0</v>
      </c>
      <c r="D16" s="16">
        <v>0</v>
      </c>
      <c r="E16" s="17">
        <f t="shared" si="0"/>
        <v>0</v>
      </c>
    </row>
    <row r="17" spans="1:5" s="19" customFormat="1" ht="20.25" customHeight="1">
      <c r="A17" s="21" t="s">
        <v>182</v>
      </c>
      <c r="B17" s="16">
        <v>0</v>
      </c>
      <c r="C17" s="16">
        <v>14750</v>
      </c>
      <c r="D17" s="16">
        <v>0</v>
      </c>
      <c r="E17" s="17">
        <f t="shared" si="0"/>
        <v>14750</v>
      </c>
    </row>
    <row r="18" spans="1:5" s="19" customFormat="1" ht="20.25" customHeight="1">
      <c r="A18" s="21" t="s">
        <v>184</v>
      </c>
      <c r="B18" s="16">
        <v>0</v>
      </c>
      <c r="C18" s="25">
        <v>0</v>
      </c>
      <c r="D18" s="25">
        <v>0</v>
      </c>
      <c r="E18" s="17">
        <f t="shared" si="0"/>
        <v>0</v>
      </c>
    </row>
    <row r="19" spans="1:5" s="19" customFormat="1" ht="20.25" customHeight="1">
      <c r="A19" s="21" t="s">
        <v>185</v>
      </c>
      <c r="B19" s="16">
        <v>0</v>
      </c>
      <c r="C19" s="16">
        <v>7769</v>
      </c>
      <c r="D19" s="16">
        <v>0</v>
      </c>
      <c r="E19" s="17">
        <f t="shared" si="0"/>
        <v>7769</v>
      </c>
    </row>
    <row r="20" spans="1:5" s="19" customFormat="1" ht="20.25" customHeight="1">
      <c r="A20" s="21" t="s">
        <v>186</v>
      </c>
      <c r="B20" s="16">
        <v>0</v>
      </c>
      <c r="C20" s="16">
        <v>0</v>
      </c>
      <c r="D20" s="16">
        <v>0</v>
      </c>
      <c r="E20" s="17">
        <f t="shared" si="0"/>
        <v>0</v>
      </c>
    </row>
    <row r="21" spans="1:5" s="19" customFormat="1" ht="20.25" customHeight="1">
      <c r="A21" s="21" t="s">
        <v>204</v>
      </c>
      <c r="B21" s="16">
        <v>0</v>
      </c>
      <c r="C21" s="16">
        <v>0</v>
      </c>
      <c r="D21" s="16">
        <v>220.4</v>
      </c>
      <c r="E21" s="17">
        <f t="shared" si="0"/>
        <v>220.4</v>
      </c>
    </row>
    <row r="22" spans="1:5" s="19" customFormat="1" ht="20.25" customHeight="1">
      <c r="A22" s="22" t="s">
        <v>120</v>
      </c>
      <c r="B22" s="16">
        <v>0</v>
      </c>
      <c r="C22" s="25">
        <v>750</v>
      </c>
      <c r="D22" s="25">
        <v>14802.33</v>
      </c>
      <c r="E22" s="17">
        <f t="shared" si="0"/>
        <v>15552.33</v>
      </c>
    </row>
    <row r="23" spans="1:5" s="19" customFormat="1" ht="20.25" customHeight="1">
      <c r="A23" s="23" t="s">
        <v>121</v>
      </c>
      <c r="B23" s="16">
        <v>0</v>
      </c>
      <c r="C23" s="16">
        <v>0</v>
      </c>
      <c r="D23" s="16">
        <v>5250</v>
      </c>
      <c r="E23" s="17">
        <f t="shared" si="0"/>
        <v>5250</v>
      </c>
    </row>
    <row r="24" spans="1:5" s="19" customFormat="1" ht="20.25" customHeight="1">
      <c r="A24" s="23" t="s">
        <v>122</v>
      </c>
      <c r="B24" s="16">
        <v>0</v>
      </c>
      <c r="C24" s="16">
        <v>0</v>
      </c>
      <c r="D24" s="16">
        <v>0</v>
      </c>
      <c r="E24" s="17">
        <f t="shared" si="0"/>
        <v>0</v>
      </c>
    </row>
    <row r="25" spans="1:5" s="19" customFormat="1" ht="20.25" customHeight="1">
      <c r="A25" s="23" t="s">
        <v>123</v>
      </c>
      <c r="B25" s="16">
        <v>0</v>
      </c>
      <c r="C25" s="16">
        <v>0</v>
      </c>
      <c r="D25" s="16">
        <v>0</v>
      </c>
      <c r="E25" s="17">
        <f t="shared" si="0"/>
        <v>0</v>
      </c>
    </row>
    <row r="26" spans="1:5" s="19" customFormat="1" ht="20.25" customHeight="1">
      <c r="A26" s="23" t="s">
        <v>187</v>
      </c>
      <c r="B26" s="16">
        <v>0</v>
      </c>
      <c r="C26" s="16">
        <v>0</v>
      </c>
      <c r="D26" s="16">
        <v>0</v>
      </c>
      <c r="E26" s="17">
        <f t="shared" si="0"/>
        <v>0</v>
      </c>
    </row>
    <row r="27" spans="1:5" s="19" customFormat="1" ht="20.25" customHeight="1">
      <c r="A27" s="24" t="s">
        <v>26</v>
      </c>
      <c r="B27" s="16">
        <v>0</v>
      </c>
      <c r="C27" s="25">
        <v>0</v>
      </c>
      <c r="D27" s="25">
        <v>0</v>
      </c>
      <c r="E27" s="17">
        <f t="shared" si="0"/>
        <v>0</v>
      </c>
    </row>
    <row r="28" spans="1:5" s="19" customFormat="1" ht="20.25" customHeight="1">
      <c r="A28" s="21" t="s">
        <v>27</v>
      </c>
      <c r="B28" s="16">
        <v>0</v>
      </c>
      <c r="C28" s="16">
        <v>0</v>
      </c>
      <c r="D28" s="16">
        <v>0</v>
      </c>
      <c r="E28" s="17">
        <f t="shared" si="0"/>
        <v>0</v>
      </c>
    </row>
    <row r="29" spans="1:5" s="19" customFormat="1" ht="20.25" customHeight="1">
      <c r="A29" s="21" t="s">
        <v>188</v>
      </c>
      <c r="B29" s="16">
        <v>0</v>
      </c>
      <c r="C29" s="16">
        <v>0</v>
      </c>
      <c r="D29" s="16">
        <v>0</v>
      </c>
      <c r="E29" s="17">
        <f t="shared" si="0"/>
        <v>0</v>
      </c>
    </row>
    <row r="30" spans="1:5" s="19" customFormat="1" ht="20.25" customHeight="1">
      <c r="A30" s="21" t="s">
        <v>28</v>
      </c>
      <c r="B30" s="16">
        <v>0</v>
      </c>
      <c r="C30" s="16">
        <v>0</v>
      </c>
      <c r="D30" s="16">
        <v>0</v>
      </c>
      <c r="E30" s="17">
        <f t="shared" si="0"/>
        <v>0</v>
      </c>
    </row>
    <row r="31" spans="1:5" s="19" customFormat="1" ht="20.25" customHeight="1">
      <c r="A31" s="21" t="s">
        <v>190</v>
      </c>
      <c r="B31" s="16">
        <v>0</v>
      </c>
      <c r="C31" s="25">
        <v>500</v>
      </c>
      <c r="D31" s="25">
        <v>531121.44999999995</v>
      </c>
      <c r="E31" s="17">
        <f t="shared" si="0"/>
        <v>531621.44999999995</v>
      </c>
    </row>
    <row r="32" spans="1:5" s="19" customFormat="1" ht="20.25" customHeight="1">
      <c r="A32" s="21" t="s">
        <v>189</v>
      </c>
      <c r="B32" s="16">
        <v>0</v>
      </c>
      <c r="C32" s="16">
        <v>0</v>
      </c>
      <c r="D32" s="16">
        <v>5265</v>
      </c>
      <c r="E32" s="17">
        <f t="shared" si="0"/>
        <v>5265</v>
      </c>
    </row>
    <row r="33" spans="1:5" s="19" customFormat="1" ht="20.25" customHeight="1">
      <c r="A33" s="21" t="s">
        <v>29</v>
      </c>
      <c r="B33" s="16">
        <v>0</v>
      </c>
      <c r="C33" s="16">
        <v>0</v>
      </c>
      <c r="D33" s="16">
        <v>0</v>
      </c>
      <c r="E33" s="17">
        <f t="shared" si="0"/>
        <v>0</v>
      </c>
    </row>
    <row r="34" spans="1:5" s="19" customFormat="1" ht="20.25" customHeight="1">
      <c r="A34" s="22" t="s">
        <v>191</v>
      </c>
      <c r="B34" s="16">
        <v>12514</v>
      </c>
      <c r="C34" s="16">
        <v>0</v>
      </c>
      <c r="D34" s="16">
        <v>0</v>
      </c>
      <c r="E34" s="17">
        <f t="shared" si="0"/>
        <v>12514</v>
      </c>
    </row>
    <row r="35" spans="1:5" s="19" customFormat="1" ht="20.25" customHeight="1">
      <c r="A35" s="23" t="s">
        <v>192</v>
      </c>
      <c r="B35" s="16">
        <v>0</v>
      </c>
      <c r="C35" s="16">
        <v>0</v>
      </c>
      <c r="D35" s="16">
        <v>0</v>
      </c>
      <c r="E35" s="17">
        <f t="shared" si="0"/>
        <v>0</v>
      </c>
    </row>
    <row r="36" spans="1:5" s="19" customFormat="1" ht="20.25" customHeight="1">
      <c r="A36" s="23" t="s">
        <v>193</v>
      </c>
      <c r="B36" s="16">
        <v>0</v>
      </c>
      <c r="C36" s="25">
        <v>0</v>
      </c>
      <c r="D36" s="25">
        <v>0</v>
      </c>
      <c r="E36" s="17">
        <f t="shared" si="0"/>
        <v>0</v>
      </c>
    </row>
    <row r="37" spans="1:5" s="19" customFormat="1" ht="20.25" customHeight="1">
      <c r="A37" s="23" t="s">
        <v>194</v>
      </c>
      <c r="B37" s="16">
        <v>0</v>
      </c>
      <c r="C37" s="16">
        <v>0</v>
      </c>
      <c r="D37" s="16">
        <v>0</v>
      </c>
      <c r="E37" s="17">
        <f t="shared" si="0"/>
        <v>0</v>
      </c>
    </row>
    <row r="38" spans="1:5" s="19" customFormat="1" ht="20.25" customHeight="1">
      <c r="A38" s="23" t="s">
        <v>195</v>
      </c>
      <c r="B38" s="16">
        <v>0</v>
      </c>
      <c r="C38" s="16">
        <v>0</v>
      </c>
      <c r="D38" s="16">
        <v>0</v>
      </c>
      <c r="E38" s="17">
        <f t="shared" si="0"/>
        <v>0</v>
      </c>
    </row>
    <row r="39" spans="1:5" s="20" customFormat="1" ht="20.25" customHeight="1">
      <c r="A39" s="24" t="s">
        <v>30</v>
      </c>
      <c r="B39" s="16">
        <v>0</v>
      </c>
      <c r="C39" s="16">
        <v>0</v>
      </c>
      <c r="D39" s="16">
        <f>48009.02+38167.5</f>
        <v>86176.51999999999</v>
      </c>
      <c r="E39" s="17">
        <f t="shared" si="0"/>
        <v>86176.51999999999</v>
      </c>
    </row>
    <row r="40" spans="1:5" s="20" customFormat="1" ht="20.25" customHeight="1">
      <c r="A40" s="21" t="s">
        <v>31</v>
      </c>
      <c r="B40" s="16">
        <v>0</v>
      </c>
      <c r="C40" s="16">
        <v>0</v>
      </c>
      <c r="D40" s="16">
        <v>0</v>
      </c>
      <c r="E40" s="17">
        <f t="shared" si="0"/>
        <v>0</v>
      </c>
    </row>
    <row r="41" spans="1:5" s="20" customFormat="1" ht="20.25" customHeight="1">
      <c r="A41" s="21" t="s">
        <v>32</v>
      </c>
      <c r="B41" s="16">
        <v>0</v>
      </c>
      <c r="C41" s="25">
        <v>0</v>
      </c>
      <c r="D41" s="25">
        <v>0</v>
      </c>
      <c r="E41" s="17">
        <f t="shared" si="0"/>
        <v>0</v>
      </c>
    </row>
    <row r="42" spans="1:5" s="20" customFormat="1" ht="20.25" customHeight="1">
      <c r="A42" s="21" t="s">
        <v>196</v>
      </c>
      <c r="B42" s="16">
        <v>0</v>
      </c>
      <c r="C42" s="16">
        <v>0</v>
      </c>
      <c r="D42" s="16">
        <v>0</v>
      </c>
      <c r="E42" s="17">
        <f t="shared" si="0"/>
        <v>0</v>
      </c>
    </row>
    <row r="43" spans="1:5" s="20" customFormat="1" ht="20.25" customHeight="1">
      <c r="A43" s="21" t="s">
        <v>197</v>
      </c>
      <c r="B43" s="16">
        <v>0</v>
      </c>
      <c r="C43" s="16">
        <v>0</v>
      </c>
      <c r="D43" s="16">
        <v>0</v>
      </c>
      <c r="E43" s="17">
        <f t="shared" si="0"/>
        <v>0</v>
      </c>
    </row>
    <row r="44" spans="1:5" s="20" customFormat="1" ht="20.25" customHeight="1">
      <c r="A44" s="21" t="s">
        <v>198</v>
      </c>
      <c r="B44" s="16">
        <v>0</v>
      </c>
      <c r="C44" s="16">
        <v>0</v>
      </c>
      <c r="D44" s="16">
        <v>0</v>
      </c>
      <c r="E44" s="17">
        <f t="shared" si="0"/>
        <v>0</v>
      </c>
    </row>
    <row r="45" spans="1:5" s="19" customFormat="1" ht="20.25" customHeight="1">
      <c r="A45" s="21" t="s">
        <v>33</v>
      </c>
      <c r="B45" s="16">
        <v>0</v>
      </c>
      <c r="C45" s="16">
        <v>0</v>
      </c>
      <c r="D45" s="16">
        <v>0</v>
      </c>
      <c r="E45" s="17">
        <f t="shared" si="0"/>
        <v>0</v>
      </c>
    </row>
    <row r="46" spans="1:5" s="19" customFormat="1" ht="20.25" customHeight="1">
      <c r="A46" s="21" t="s">
        <v>34</v>
      </c>
      <c r="B46" s="16">
        <v>0</v>
      </c>
      <c r="C46" s="25">
        <v>0</v>
      </c>
      <c r="D46" s="25">
        <v>0</v>
      </c>
      <c r="E46" s="17">
        <f t="shared" si="0"/>
        <v>0</v>
      </c>
    </row>
    <row r="47" spans="1:5" s="19" customFormat="1" ht="20.25" customHeight="1">
      <c r="A47" s="22" t="s">
        <v>124</v>
      </c>
      <c r="B47" s="16">
        <v>0</v>
      </c>
      <c r="C47" s="16">
        <v>0</v>
      </c>
      <c r="D47" s="16">
        <v>0</v>
      </c>
      <c r="E47" s="17">
        <f t="shared" si="0"/>
        <v>0</v>
      </c>
    </row>
    <row r="48" spans="1:5" s="19" customFormat="1" ht="20.25" customHeight="1">
      <c r="A48" s="23" t="s">
        <v>125</v>
      </c>
      <c r="B48" s="16">
        <v>0</v>
      </c>
      <c r="C48" s="16">
        <v>0</v>
      </c>
      <c r="D48" s="16">
        <v>0</v>
      </c>
      <c r="E48" s="17">
        <f t="shared" si="0"/>
        <v>0</v>
      </c>
    </row>
    <row r="49" spans="1:5" s="19" customFormat="1" ht="20.25" customHeight="1">
      <c r="A49" s="23" t="s">
        <v>126</v>
      </c>
      <c r="B49" s="16">
        <v>0</v>
      </c>
      <c r="C49" s="16">
        <v>0</v>
      </c>
      <c r="D49" s="16">
        <v>0</v>
      </c>
      <c r="E49" s="17">
        <f t="shared" si="0"/>
        <v>0</v>
      </c>
    </row>
    <row r="50" spans="1:5" s="19" customFormat="1" ht="20.25" customHeight="1">
      <c r="A50" s="23" t="s">
        <v>199</v>
      </c>
      <c r="B50" s="16">
        <v>0</v>
      </c>
      <c r="C50" s="16">
        <v>0</v>
      </c>
      <c r="D50" s="16">
        <v>11887.91</v>
      </c>
      <c r="E50" s="17">
        <f t="shared" si="0"/>
        <v>11887.91</v>
      </c>
    </row>
    <row r="51" spans="1:5" s="19" customFormat="1" ht="20.25" customHeight="1">
      <c r="A51" s="23" t="s">
        <v>200</v>
      </c>
      <c r="B51" s="16">
        <v>12514</v>
      </c>
      <c r="C51" s="25">
        <v>0</v>
      </c>
      <c r="D51" s="25">
        <v>0</v>
      </c>
      <c r="E51" s="17">
        <f t="shared" si="0"/>
        <v>12514</v>
      </c>
    </row>
    <row r="52" spans="1:5" s="19" customFormat="1" ht="20.25" customHeight="1">
      <c r="A52" s="24" t="s">
        <v>201</v>
      </c>
      <c r="B52" s="16">
        <v>0</v>
      </c>
      <c r="C52" s="16">
        <v>0</v>
      </c>
      <c r="D52" s="16">
        <v>0</v>
      </c>
      <c r="E52" s="17">
        <f t="shared" si="0"/>
        <v>0</v>
      </c>
    </row>
    <row r="53" spans="1:5" s="19" customFormat="1" ht="20.25" customHeight="1">
      <c r="A53" s="21" t="s">
        <v>202</v>
      </c>
      <c r="B53" s="16">
        <v>0</v>
      </c>
      <c r="C53" s="16">
        <v>0</v>
      </c>
      <c r="D53" s="16">
        <v>0</v>
      </c>
      <c r="E53" s="17">
        <f t="shared" si="0"/>
        <v>0</v>
      </c>
    </row>
    <row r="54" spans="1:5" s="19" customFormat="1" ht="20.25" customHeight="1">
      <c r="A54" s="21" t="s">
        <v>203</v>
      </c>
      <c r="B54" s="16">
        <v>0</v>
      </c>
      <c r="C54" s="16">
        <v>0</v>
      </c>
      <c r="D54" s="16">
        <v>0</v>
      </c>
      <c r="E54" s="17">
        <f t="shared" si="0"/>
        <v>0</v>
      </c>
    </row>
    <row r="55" spans="1:5" s="19" customFormat="1" ht="20.25" customHeight="1">
      <c r="A55" s="21" t="s">
        <v>35</v>
      </c>
      <c r="B55" s="16">
        <v>0</v>
      </c>
      <c r="C55" s="16">
        <v>0</v>
      </c>
      <c r="D55" s="16">
        <v>0</v>
      </c>
      <c r="E55" s="17">
        <f t="shared" si="0"/>
        <v>0</v>
      </c>
    </row>
    <row r="56" spans="1:5" s="19" customFormat="1" ht="20.25" customHeight="1">
      <c r="A56" s="21" t="s">
        <v>36</v>
      </c>
      <c r="B56" s="16">
        <v>0</v>
      </c>
      <c r="C56" s="25">
        <v>0</v>
      </c>
      <c r="D56" s="25">
        <v>0</v>
      </c>
      <c r="E56" s="17">
        <f t="shared" si="0"/>
        <v>0</v>
      </c>
    </row>
    <row r="57" spans="1:5" s="19" customFormat="1" ht="20.25" customHeight="1">
      <c r="A57" s="21" t="s">
        <v>37</v>
      </c>
      <c r="B57" s="16">
        <v>0</v>
      </c>
      <c r="C57" s="16">
        <v>0</v>
      </c>
      <c r="D57" s="16">
        <v>0</v>
      </c>
      <c r="E57" s="17">
        <f t="shared" si="0"/>
        <v>0</v>
      </c>
    </row>
    <row r="58" spans="1:5" s="19" customFormat="1" ht="20.25" customHeight="1">
      <c r="A58" s="21" t="s">
        <v>38</v>
      </c>
      <c r="B58" s="16">
        <v>0</v>
      </c>
      <c r="C58" s="16">
        <v>0</v>
      </c>
      <c r="D58" s="16">
        <v>0</v>
      </c>
      <c r="E58" s="17">
        <f t="shared" si="0"/>
        <v>0</v>
      </c>
    </row>
    <row r="59" spans="1:5" s="19" customFormat="1" ht="20.25" customHeight="1">
      <c r="A59" s="21" t="s">
        <v>39</v>
      </c>
      <c r="B59" s="16">
        <v>0</v>
      </c>
      <c r="C59" s="16">
        <v>0</v>
      </c>
      <c r="D59" s="16">
        <v>0</v>
      </c>
      <c r="E59" s="17">
        <f t="shared" si="0"/>
        <v>0</v>
      </c>
    </row>
    <row r="60" spans="1:5" s="19" customFormat="1" ht="20.25" customHeight="1">
      <c r="A60" s="22" t="s">
        <v>127</v>
      </c>
      <c r="B60" s="16">
        <v>0</v>
      </c>
      <c r="C60" s="16">
        <v>0</v>
      </c>
      <c r="D60" s="16">
        <v>0</v>
      </c>
      <c r="E60" s="17">
        <f t="shared" si="0"/>
        <v>0</v>
      </c>
    </row>
    <row r="61" spans="1:5" s="19" customFormat="1" ht="20.25" customHeight="1">
      <c r="A61" s="23" t="s">
        <v>128</v>
      </c>
      <c r="B61" s="16">
        <v>0</v>
      </c>
      <c r="C61" s="25">
        <v>0</v>
      </c>
      <c r="D61" s="25">
        <v>0</v>
      </c>
      <c r="E61" s="17">
        <f t="shared" si="0"/>
        <v>0</v>
      </c>
    </row>
    <row r="62" spans="1:5" s="19" customFormat="1" ht="20.25" customHeight="1">
      <c r="A62" s="23" t="s">
        <v>129</v>
      </c>
      <c r="B62" s="16">
        <v>0</v>
      </c>
      <c r="C62" s="16">
        <v>0</v>
      </c>
      <c r="D62" s="16">
        <v>520</v>
      </c>
      <c r="E62" s="17">
        <f t="shared" si="0"/>
        <v>520</v>
      </c>
    </row>
    <row r="63" spans="1:5" s="19" customFormat="1" ht="20.25" customHeight="1">
      <c r="A63" s="23" t="s">
        <v>130</v>
      </c>
      <c r="B63" s="16">
        <v>0</v>
      </c>
      <c r="C63" s="16">
        <v>0</v>
      </c>
      <c r="D63" s="16">
        <v>0</v>
      </c>
      <c r="E63" s="17">
        <f t="shared" si="0"/>
        <v>0</v>
      </c>
    </row>
    <row r="64" spans="1:5" s="19" customFormat="1" ht="20.25" customHeight="1">
      <c r="A64" s="23" t="s">
        <v>131</v>
      </c>
      <c r="B64" s="16">
        <v>0</v>
      </c>
      <c r="C64" s="16">
        <v>0</v>
      </c>
      <c r="D64" s="16">
        <v>0</v>
      </c>
      <c r="E64" s="17">
        <f t="shared" si="0"/>
        <v>0</v>
      </c>
    </row>
    <row r="65" spans="1:5" s="19" customFormat="1" ht="20.25" customHeight="1">
      <c r="A65" s="24" t="s">
        <v>40</v>
      </c>
      <c r="B65" s="16">
        <v>0</v>
      </c>
      <c r="C65" s="16">
        <v>0</v>
      </c>
      <c r="D65" s="16">
        <v>0</v>
      </c>
      <c r="E65" s="17">
        <f t="shared" si="0"/>
        <v>0</v>
      </c>
    </row>
    <row r="66" spans="1:5" s="19" customFormat="1" ht="20.25" customHeight="1">
      <c r="A66" s="21" t="s">
        <v>41</v>
      </c>
      <c r="B66" s="16">
        <v>0</v>
      </c>
      <c r="C66" s="25">
        <v>0</v>
      </c>
      <c r="D66" s="25">
        <v>0</v>
      </c>
      <c r="E66" s="17">
        <f t="shared" ref="E66:E129" si="1">SUM(B66:D66)</f>
        <v>0</v>
      </c>
    </row>
    <row r="67" spans="1:5" s="19" customFormat="1" ht="20.25" customHeight="1">
      <c r="A67" s="21" t="s">
        <v>42</v>
      </c>
      <c r="B67" s="16">
        <v>0</v>
      </c>
      <c r="C67" s="16">
        <v>0</v>
      </c>
      <c r="D67" s="16">
        <v>0</v>
      </c>
      <c r="E67" s="17">
        <f t="shared" si="1"/>
        <v>0</v>
      </c>
    </row>
    <row r="68" spans="1:5" s="19" customFormat="1" ht="20.25" customHeight="1">
      <c r="A68" s="21" t="s">
        <v>43</v>
      </c>
      <c r="B68" s="16">
        <v>0</v>
      </c>
      <c r="C68" s="16">
        <v>0</v>
      </c>
      <c r="D68" s="16">
        <v>0</v>
      </c>
      <c r="E68" s="17">
        <f t="shared" si="1"/>
        <v>0</v>
      </c>
    </row>
    <row r="69" spans="1:5" s="19" customFormat="1" ht="20.25" customHeight="1">
      <c r="A69" s="21" t="s">
        <v>44</v>
      </c>
      <c r="B69" s="16">
        <v>0</v>
      </c>
      <c r="C69" s="16">
        <v>0</v>
      </c>
      <c r="D69" s="16">
        <v>0</v>
      </c>
      <c r="E69" s="17">
        <f t="shared" si="1"/>
        <v>0</v>
      </c>
    </row>
    <row r="70" spans="1:5" s="19" customFormat="1" ht="20.25" customHeight="1">
      <c r="A70" s="21" t="s">
        <v>45</v>
      </c>
      <c r="B70" s="16">
        <v>0</v>
      </c>
      <c r="C70" s="16">
        <v>0</v>
      </c>
      <c r="D70" s="16">
        <v>0</v>
      </c>
      <c r="E70" s="17">
        <f t="shared" si="1"/>
        <v>0</v>
      </c>
    </row>
    <row r="71" spans="1:5" s="19" customFormat="1" ht="20.25" customHeight="1">
      <c r="A71" s="21" t="s">
        <v>46</v>
      </c>
      <c r="B71" s="16">
        <v>0</v>
      </c>
      <c r="C71" s="25">
        <v>0</v>
      </c>
      <c r="D71" s="25">
        <v>0</v>
      </c>
      <c r="E71" s="17">
        <f t="shared" si="1"/>
        <v>0</v>
      </c>
    </row>
    <row r="72" spans="1:5" s="19" customFormat="1" ht="20.25" customHeight="1">
      <c r="A72" s="21" t="s">
        <v>47</v>
      </c>
      <c r="B72" s="16">
        <v>0</v>
      </c>
      <c r="C72" s="16">
        <v>0</v>
      </c>
      <c r="D72" s="16">
        <v>0</v>
      </c>
      <c r="E72" s="17">
        <f t="shared" si="1"/>
        <v>0</v>
      </c>
    </row>
    <row r="73" spans="1:5" s="19" customFormat="1" ht="20.25" customHeight="1">
      <c r="A73" s="22" t="s">
        <v>132</v>
      </c>
      <c r="B73" s="16">
        <v>0</v>
      </c>
      <c r="C73" s="16">
        <v>0</v>
      </c>
      <c r="D73" s="16">
        <v>0</v>
      </c>
      <c r="E73" s="17">
        <f t="shared" si="1"/>
        <v>0</v>
      </c>
    </row>
    <row r="74" spans="1:5" s="19" customFormat="1" ht="20.25" customHeight="1">
      <c r="A74" s="23" t="s">
        <v>133</v>
      </c>
      <c r="B74" s="16">
        <v>0</v>
      </c>
      <c r="C74" s="16">
        <v>0</v>
      </c>
      <c r="D74" s="16">
        <v>0</v>
      </c>
      <c r="E74" s="17">
        <f t="shared" si="1"/>
        <v>0</v>
      </c>
    </row>
    <row r="75" spans="1:5" s="19" customFormat="1" ht="20.25" customHeight="1">
      <c r="A75" s="23" t="s">
        <v>134</v>
      </c>
      <c r="B75" s="16">
        <v>0</v>
      </c>
      <c r="C75" s="16">
        <v>0</v>
      </c>
      <c r="D75" s="16">
        <v>0</v>
      </c>
      <c r="E75" s="17">
        <f t="shared" si="1"/>
        <v>0</v>
      </c>
    </row>
    <row r="76" spans="1:5" s="19" customFormat="1" ht="20.25" customHeight="1">
      <c r="A76" s="23" t="s">
        <v>135</v>
      </c>
      <c r="B76" s="16">
        <v>0</v>
      </c>
      <c r="C76" s="25">
        <v>0</v>
      </c>
      <c r="D76" s="25">
        <v>0</v>
      </c>
      <c r="E76" s="17">
        <f t="shared" si="1"/>
        <v>0</v>
      </c>
    </row>
    <row r="77" spans="1:5" s="19" customFormat="1" ht="20.25" customHeight="1">
      <c r="A77" s="23" t="s">
        <v>136</v>
      </c>
      <c r="B77" s="16">
        <v>0</v>
      </c>
      <c r="C77" s="16">
        <v>0</v>
      </c>
      <c r="D77" s="16">
        <v>0</v>
      </c>
      <c r="E77" s="17">
        <f t="shared" si="1"/>
        <v>0</v>
      </c>
    </row>
    <row r="78" spans="1:5" s="19" customFormat="1" ht="20.25" customHeight="1">
      <c r="A78" s="24" t="s">
        <v>48</v>
      </c>
      <c r="B78" s="16">
        <v>0</v>
      </c>
      <c r="C78" s="16">
        <v>0</v>
      </c>
      <c r="D78" s="16">
        <v>0</v>
      </c>
      <c r="E78" s="17">
        <f t="shared" si="1"/>
        <v>0</v>
      </c>
    </row>
    <row r="79" spans="1:5" s="19" customFormat="1" ht="20.25" customHeight="1">
      <c r="A79" s="21" t="s">
        <v>49</v>
      </c>
      <c r="B79" s="16">
        <v>0</v>
      </c>
      <c r="C79" s="16">
        <v>0</v>
      </c>
      <c r="D79" s="16">
        <v>0</v>
      </c>
      <c r="E79" s="17">
        <f t="shared" si="1"/>
        <v>0</v>
      </c>
    </row>
    <row r="80" spans="1:5" s="19" customFormat="1" ht="20.25" customHeight="1">
      <c r="A80" s="21" t="s">
        <v>50</v>
      </c>
      <c r="B80" s="16">
        <v>0</v>
      </c>
      <c r="C80" s="16">
        <v>2990</v>
      </c>
      <c r="D80" s="16">
        <v>0</v>
      </c>
      <c r="E80" s="17">
        <f t="shared" si="1"/>
        <v>2990</v>
      </c>
    </row>
    <row r="81" spans="1:5" s="19" customFormat="1" ht="20.25" customHeight="1">
      <c r="A81" s="21" t="s">
        <v>51</v>
      </c>
      <c r="B81" s="16">
        <v>0</v>
      </c>
      <c r="C81" s="25">
        <v>0</v>
      </c>
      <c r="D81" s="25">
        <v>0</v>
      </c>
      <c r="E81" s="17">
        <f t="shared" si="1"/>
        <v>0</v>
      </c>
    </row>
    <row r="82" spans="1:5" s="19" customFormat="1" ht="20.25" customHeight="1">
      <c r="A82" s="21" t="s">
        <v>52</v>
      </c>
      <c r="B82" s="16">
        <v>0</v>
      </c>
      <c r="C82" s="16">
        <v>0</v>
      </c>
      <c r="D82" s="16">
        <v>3090</v>
      </c>
      <c r="E82" s="17">
        <f t="shared" si="1"/>
        <v>3090</v>
      </c>
    </row>
    <row r="83" spans="1:5" s="19" customFormat="1" ht="20.25" customHeight="1">
      <c r="A83" s="21" t="s">
        <v>53</v>
      </c>
      <c r="B83" s="16">
        <v>0</v>
      </c>
      <c r="C83" s="16">
        <v>0</v>
      </c>
      <c r="D83" s="16">
        <v>6070</v>
      </c>
      <c r="E83" s="17">
        <f t="shared" si="1"/>
        <v>6070</v>
      </c>
    </row>
    <row r="84" spans="1:5" s="19" customFormat="1" ht="20.25" customHeight="1">
      <c r="A84" s="21" t="s">
        <v>54</v>
      </c>
      <c r="B84" s="16">
        <v>0</v>
      </c>
      <c r="C84" s="16">
        <v>0</v>
      </c>
      <c r="D84" s="16">
        <v>0</v>
      </c>
      <c r="E84" s="17">
        <f t="shared" si="1"/>
        <v>0</v>
      </c>
    </row>
    <row r="85" spans="1:5" s="19" customFormat="1" ht="20.25" customHeight="1">
      <c r="A85" s="21" t="s">
        <v>55</v>
      </c>
      <c r="B85" s="16">
        <v>0</v>
      </c>
      <c r="C85" s="16">
        <v>0</v>
      </c>
      <c r="D85" s="16">
        <v>550</v>
      </c>
      <c r="E85" s="17">
        <f t="shared" si="1"/>
        <v>550</v>
      </c>
    </row>
    <row r="86" spans="1:5" s="19" customFormat="1" ht="20.25" customHeight="1">
      <c r="A86" s="22" t="s">
        <v>137</v>
      </c>
      <c r="B86" s="16">
        <v>0</v>
      </c>
      <c r="C86" s="25">
        <v>0</v>
      </c>
      <c r="D86" s="25">
        <v>0</v>
      </c>
      <c r="E86" s="17">
        <f t="shared" si="1"/>
        <v>0</v>
      </c>
    </row>
    <row r="87" spans="1:5" s="19" customFormat="1" ht="20.25" customHeight="1">
      <c r="A87" s="23" t="s">
        <v>138</v>
      </c>
      <c r="B87" s="16">
        <v>0</v>
      </c>
      <c r="C87" s="16">
        <v>0</v>
      </c>
      <c r="D87" s="16">
        <v>0</v>
      </c>
      <c r="E87" s="17">
        <f t="shared" si="1"/>
        <v>0</v>
      </c>
    </row>
    <row r="88" spans="1:5" s="19" customFormat="1" ht="20.25" customHeight="1">
      <c r="A88" s="23" t="s">
        <v>139</v>
      </c>
      <c r="B88" s="16">
        <v>0</v>
      </c>
      <c r="C88" s="16">
        <v>0</v>
      </c>
      <c r="D88" s="16">
        <v>0</v>
      </c>
      <c r="E88" s="17">
        <f t="shared" si="1"/>
        <v>0</v>
      </c>
    </row>
    <row r="89" spans="1:5" s="19" customFormat="1" ht="20.25" customHeight="1">
      <c r="A89" s="23" t="s">
        <v>140</v>
      </c>
      <c r="B89" s="16">
        <v>0</v>
      </c>
      <c r="C89" s="16">
        <v>0</v>
      </c>
      <c r="D89" s="16">
        <v>0</v>
      </c>
      <c r="E89" s="17">
        <f t="shared" si="1"/>
        <v>0</v>
      </c>
    </row>
    <row r="90" spans="1:5" s="19" customFormat="1" ht="20.25" customHeight="1">
      <c r="A90" s="23" t="s">
        <v>141</v>
      </c>
      <c r="B90" s="16">
        <v>11000</v>
      </c>
      <c r="C90" s="16">
        <v>2997</v>
      </c>
      <c r="D90" s="16">
        <v>13976.1</v>
      </c>
      <c r="E90" s="17">
        <f t="shared" si="1"/>
        <v>27973.1</v>
      </c>
    </row>
    <row r="91" spans="1:5" s="19" customFormat="1" ht="20.25" customHeight="1">
      <c r="A91" s="24" t="s">
        <v>56</v>
      </c>
      <c r="B91" s="16">
        <v>0</v>
      </c>
      <c r="C91" s="25">
        <v>0</v>
      </c>
      <c r="D91" s="25">
        <v>11751.96</v>
      </c>
      <c r="E91" s="17">
        <f t="shared" si="1"/>
        <v>11751.96</v>
      </c>
    </row>
    <row r="92" spans="1:5" s="19" customFormat="1" ht="20.25" customHeight="1">
      <c r="A92" s="21" t="s">
        <v>57</v>
      </c>
      <c r="B92" s="16">
        <v>0</v>
      </c>
      <c r="C92" s="16">
        <v>0</v>
      </c>
      <c r="D92" s="16">
        <v>0</v>
      </c>
      <c r="E92" s="17">
        <f t="shared" si="1"/>
        <v>0</v>
      </c>
    </row>
    <row r="93" spans="1:5" s="19" customFormat="1" ht="20.25" customHeight="1">
      <c r="A93" s="21" t="s">
        <v>58</v>
      </c>
      <c r="B93" s="16">
        <v>0</v>
      </c>
      <c r="C93" s="16">
        <v>0</v>
      </c>
      <c r="D93" s="16">
        <v>4105.84</v>
      </c>
      <c r="E93" s="17">
        <f t="shared" si="1"/>
        <v>4105.84</v>
      </c>
    </row>
    <row r="94" spans="1:5" s="19" customFormat="1" ht="20.25" customHeight="1">
      <c r="A94" s="21" t="s">
        <v>59</v>
      </c>
      <c r="B94" s="16">
        <v>0</v>
      </c>
      <c r="C94" s="16">
        <v>0</v>
      </c>
      <c r="D94" s="16">
        <v>0</v>
      </c>
      <c r="E94" s="17">
        <f t="shared" si="1"/>
        <v>0</v>
      </c>
    </row>
    <row r="95" spans="1:5" s="19" customFormat="1" ht="20.25" customHeight="1">
      <c r="A95" s="21" t="s">
        <v>60</v>
      </c>
      <c r="B95" s="16">
        <v>0</v>
      </c>
      <c r="C95" s="16">
        <v>0</v>
      </c>
      <c r="D95" s="16">
        <v>0</v>
      </c>
      <c r="E95" s="17">
        <f t="shared" si="1"/>
        <v>0</v>
      </c>
    </row>
    <row r="96" spans="1:5" s="19" customFormat="1" ht="20.25" customHeight="1">
      <c r="A96" s="21" t="s">
        <v>61</v>
      </c>
      <c r="B96" s="16">
        <v>0</v>
      </c>
      <c r="C96" s="25">
        <v>0</v>
      </c>
      <c r="D96" s="25">
        <v>0</v>
      </c>
      <c r="E96" s="17">
        <f t="shared" si="1"/>
        <v>0</v>
      </c>
    </row>
    <row r="97" spans="1:5" s="19" customFormat="1" ht="20.25" customHeight="1">
      <c r="A97" s="21" t="s">
        <v>62</v>
      </c>
      <c r="B97" s="16">
        <v>0</v>
      </c>
      <c r="C97" s="16">
        <v>0</v>
      </c>
      <c r="D97" s="16">
        <v>0</v>
      </c>
      <c r="E97" s="17">
        <f t="shared" si="1"/>
        <v>0</v>
      </c>
    </row>
    <row r="98" spans="1:5" s="19" customFormat="1" ht="20.25" customHeight="1">
      <c r="A98" s="21" t="s">
        <v>63</v>
      </c>
      <c r="B98" s="16">
        <v>0</v>
      </c>
      <c r="C98" s="16">
        <v>0</v>
      </c>
      <c r="D98" s="16">
        <v>0</v>
      </c>
      <c r="E98" s="17">
        <f t="shared" si="1"/>
        <v>0</v>
      </c>
    </row>
    <row r="99" spans="1:5" s="19" customFormat="1" ht="20.25" customHeight="1">
      <c r="A99" s="22" t="s">
        <v>142</v>
      </c>
      <c r="B99" s="16">
        <v>0</v>
      </c>
      <c r="C99" s="16">
        <v>0</v>
      </c>
      <c r="D99" s="16">
        <v>0</v>
      </c>
      <c r="E99" s="17">
        <f t="shared" si="1"/>
        <v>0</v>
      </c>
    </row>
    <row r="100" spans="1:5" s="19" customFormat="1" ht="20.25" customHeight="1">
      <c r="A100" s="23" t="s">
        <v>143</v>
      </c>
      <c r="B100" s="16">
        <v>0</v>
      </c>
      <c r="C100" s="16">
        <v>0</v>
      </c>
      <c r="D100" s="16">
        <v>0</v>
      </c>
      <c r="E100" s="17">
        <f t="shared" si="1"/>
        <v>0</v>
      </c>
    </row>
    <row r="101" spans="1:5" s="19" customFormat="1" ht="20.25" customHeight="1">
      <c r="A101" s="23" t="s">
        <v>144</v>
      </c>
      <c r="B101" s="16">
        <v>0</v>
      </c>
      <c r="C101" s="25">
        <v>0</v>
      </c>
      <c r="D101" s="25">
        <v>6789.05</v>
      </c>
      <c r="E101" s="17">
        <f t="shared" si="1"/>
        <v>6789.05</v>
      </c>
    </row>
    <row r="102" spans="1:5" s="19" customFormat="1" ht="20.25" customHeight="1">
      <c r="A102" s="23" t="s">
        <v>145</v>
      </c>
      <c r="B102" s="16">
        <v>0</v>
      </c>
      <c r="C102" s="16">
        <v>1475</v>
      </c>
      <c r="D102" s="16">
        <v>0</v>
      </c>
      <c r="E102" s="17">
        <f t="shared" si="1"/>
        <v>1475</v>
      </c>
    </row>
    <row r="103" spans="1:5" s="19" customFormat="1" ht="20.25" customHeight="1">
      <c r="A103" s="23" t="s">
        <v>146</v>
      </c>
      <c r="B103" s="16">
        <v>0</v>
      </c>
      <c r="C103" s="16">
        <v>0</v>
      </c>
      <c r="D103" s="16">
        <v>0</v>
      </c>
      <c r="E103" s="17">
        <f t="shared" si="1"/>
        <v>0</v>
      </c>
    </row>
    <row r="104" spans="1:5" s="19" customFormat="1" ht="20.25" customHeight="1">
      <c r="A104" s="24" t="s">
        <v>64</v>
      </c>
      <c r="B104" s="16">
        <v>0</v>
      </c>
      <c r="C104" s="16">
        <v>0</v>
      </c>
      <c r="D104" s="16">
        <v>580</v>
      </c>
      <c r="E104" s="17">
        <f t="shared" si="1"/>
        <v>580</v>
      </c>
    </row>
    <row r="105" spans="1:5" s="19" customFormat="1" ht="20.25" customHeight="1">
      <c r="A105" s="21" t="s">
        <v>65</v>
      </c>
      <c r="B105" s="16">
        <v>0</v>
      </c>
      <c r="C105" s="16">
        <v>0</v>
      </c>
      <c r="D105" s="16">
        <v>11417.33</v>
      </c>
      <c r="E105" s="17">
        <f t="shared" si="1"/>
        <v>11417.33</v>
      </c>
    </row>
    <row r="106" spans="1:5" s="19" customFormat="1" ht="20.25" customHeight="1">
      <c r="A106" s="21" t="s">
        <v>66</v>
      </c>
      <c r="B106" s="16">
        <v>0</v>
      </c>
      <c r="C106" s="25">
        <v>0</v>
      </c>
      <c r="D106" s="25">
        <v>2400</v>
      </c>
      <c r="E106" s="17">
        <f t="shared" si="1"/>
        <v>2400</v>
      </c>
    </row>
    <row r="107" spans="1:5" s="19" customFormat="1" ht="20.25" customHeight="1">
      <c r="A107" s="21" t="s">
        <v>67</v>
      </c>
      <c r="B107" s="16">
        <v>0</v>
      </c>
      <c r="C107" s="16">
        <v>0</v>
      </c>
      <c r="D107" s="16">
        <v>0</v>
      </c>
      <c r="E107" s="17">
        <f t="shared" si="1"/>
        <v>0</v>
      </c>
    </row>
    <row r="108" spans="1:5" s="19" customFormat="1" ht="20.25" customHeight="1">
      <c r="A108" s="21" t="s">
        <v>68</v>
      </c>
      <c r="B108" s="16">
        <v>0</v>
      </c>
      <c r="C108" s="16">
        <v>0</v>
      </c>
      <c r="D108" s="16">
        <v>0</v>
      </c>
      <c r="E108" s="17">
        <f t="shared" si="1"/>
        <v>0</v>
      </c>
    </row>
    <row r="109" spans="1:5" s="19" customFormat="1" ht="20.25" customHeight="1">
      <c r="A109" s="21" t="s">
        <v>69</v>
      </c>
      <c r="B109" s="16">
        <v>0</v>
      </c>
      <c r="C109" s="16">
        <v>0</v>
      </c>
      <c r="D109" s="16">
        <v>0</v>
      </c>
      <c r="E109" s="17">
        <f t="shared" si="1"/>
        <v>0</v>
      </c>
    </row>
    <row r="110" spans="1:5" s="19" customFormat="1" ht="20.25" customHeight="1">
      <c r="A110" s="21" t="s">
        <v>70</v>
      </c>
      <c r="B110" s="16">
        <v>0</v>
      </c>
      <c r="C110" s="16">
        <v>0</v>
      </c>
      <c r="D110" s="16">
        <v>3789.48</v>
      </c>
      <c r="E110" s="17">
        <f t="shared" si="1"/>
        <v>3789.48</v>
      </c>
    </row>
    <row r="111" spans="1:5" s="19" customFormat="1" ht="20.25" customHeight="1">
      <c r="A111" s="21" t="s">
        <v>71</v>
      </c>
      <c r="B111" s="16">
        <v>0</v>
      </c>
      <c r="C111" s="25">
        <v>0</v>
      </c>
      <c r="D111" s="25">
        <v>0</v>
      </c>
      <c r="E111" s="17">
        <f t="shared" si="1"/>
        <v>0</v>
      </c>
    </row>
    <row r="112" spans="1:5" s="19" customFormat="1" ht="20.25" customHeight="1">
      <c r="A112" s="22" t="s">
        <v>147</v>
      </c>
      <c r="B112" s="16">
        <v>0</v>
      </c>
      <c r="C112" s="16">
        <v>0</v>
      </c>
      <c r="D112" s="16">
        <v>0</v>
      </c>
      <c r="E112" s="17">
        <f t="shared" si="1"/>
        <v>0</v>
      </c>
    </row>
    <row r="113" spans="1:5" s="19" customFormat="1" ht="20.25" customHeight="1">
      <c r="A113" s="23" t="s">
        <v>148</v>
      </c>
      <c r="B113" s="16">
        <v>0</v>
      </c>
      <c r="C113" s="16">
        <v>0</v>
      </c>
      <c r="D113" s="16">
        <v>5470.14</v>
      </c>
      <c r="E113" s="17">
        <f t="shared" si="1"/>
        <v>5470.14</v>
      </c>
    </row>
    <row r="114" spans="1:5" s="19" customFormat="1" ht="20.25" customHeight="1">
      <c r="A114" s="23" t="s">
        <v>149</v>
      </c>
      <c r="B114" s="16">
        <v>0</v>
      </c>
      <c r="C114" s="16">
        <v>0</v>
      </c>
      <c r="D114" s="16">
        <v>0</v>
      </c>
      <c r="E114" s="17">
        <f t="shared" si="1"/>
        <v>0</v>
      </c>
    </row>
    <row r="115" spans="1:5" s="19" customFormat="1" ht="20.25" customHeight="1">
      <c r="A115" s="23" t="s">
        <v>150</v>
      </c>
      <c r="B115" s="16">
        <v>0</v>
      </c>
      <c r="C115" s="16">
        <v>0</v>
      </c>
      <c r="D115" s="16">
        <v>0</v>
      </c>
      <c r="E115" s="17">
        <f t="shared" si="1"/>
        <v>0</v>
      </c>
    </row>
    <row r="116" spans="1:5" s="19" customFormat="1" ht="20.25" customHeight="1">
      <c r="A116" s="23" t="s">
        <v>151</v>
      </c>
      <c r="B116" s="16">
        <v>0</v>
      </c>
      <c r="C116" s="25">
        <v>0</v>
      </c>
      <c r="D116" s="25">
        <v>0</v>
      </c>
      <c r="E116" s="17">
        <f t="shared" si="1"/>
        <v>0</v>
      </c>
    </row>
    <row r="117" spans="1:5" s="19" customFormat="1" ht="20.25" customHeight="1">
      <c r="A117" s="24" t="s">
        <v>72</v>
      </c>
      <c r="B117" s="16">
        <v>0</v>
      </c>
      <c r="C117" s="16">
        <v>0</v>
      </c>
      <c r="D117" s="16">
        <v>0</v>
      </c>
      <c r="E117" s="17">
        <f t="shared" si="1"/>
        <v>0</v>
      </c>
    </row>
    <row r="118" spans="1:5" s="19" customFormat="1" ht="20.25" customHeight="1">
      <c r="A118" s="21" t="s">
        <v>73</v>
      </c>
      <c r="B118" s="16">
        <v>0</v>
      </c>
      <c r="C118" s="16">
        <v>0</v>
      </c>
      <c r="D118" s="16">
        <v>0</v>
      </c>
      <c r="E118" s="17">
        <f t="shared" si="1"/>
        <v>0</v>
      </c>
    </row>
    <row r="119" spans="1:5" s="19" customFormat="1" ht="20.25" customHeight="1">
      <c r="A119" s="21" t="s">
        <v>74</v>
      </c>
      <c r="B119" s="16">
        <v>0</v>
      </c>
      <c r="C119" s="16">
        <v>0</v>
      </c>
      <c r="D119" s="16">
        <v>0</v>
      </c>
      <c r="E119" s="17">
        <f t="shared" si="1"/>
        <v>0</v>
      </c>
    </row>
    <row r="120" spans="1:5" s="19" customFormat="1" ht="20.25" customHeight="1">
      <c r="A120" s="21" t="s">
        <v>75</v>
      </c>
      <c r="B120" s="16">
        <v>0</v>
      </c>
      <c r="C120" s="16">
        <v>0</v>
      </c>
      <c r="D120" s="16">
        <v>0</v>
      </c>
      <c r="E120" s="17">
        <f t="shared" si="1"/>
        <v>0</v>
      </c>
    </row>
    <row r="121" spans="1:5" s="19" customFormat="1" ht="20.25" customHeight="1">
      <c r="A121" s="21" t="s">
        <v>76</v>
      </c>
      <c r="B121" s="16">
        <v>0</v>
      </c>
      <c r="C121" s="25">
        <v>0</v>
      </c>
      <c r="D121" s="25">
        <v>184942.65</v>
      </c>
      <c r="E121" s="17">
        <f t="shared" si="1"/>
        <v>184942.65</v>
      </c>
    </row>
    <row r="122" spans="1:5" s="19" customFormat="1" ht="20.25" customHeight="1">
      <c r="A122" s="21" t="s">
        <v>77</v>
      </c>
      <c r="B122" s="16">
        <v>0</v>
      </c>
      <c r="C122" s="16">
        <v>0</v>
      </c>
      <c r="D122" s="16">
        <v>0</v>
      </c>
      <c r="E122" s="17">
        <f t="shared" si="1"/>
        <v>0</v>
      </c>
    </row>
    <row r="123" spans="1:5" s="19" customFormat="1" ht="20.25" customHeight="1">
      <c r="A123" s="21" t="s">
        <v>78</v>
      </c>
      <c r="B123" s="16">
        <v>0</v>
      </c>
      <c r="C123" s="16">
        <v>0</v>
      </c>
      <c r="D123" s="16">
        <v>0</v>
      </c>
      <c r="E123" s="17">
        <f t="shared" si="1"/>
        <v>0</v>
      </c>
    </row>
    <row r="124" spans="1:5" s="19" customFormat="1" ht="20.25" customHeight="1">
      <c r="A124" s="21" t="s">
        <v>79</v>
      </c>
      <c r="B124" s="16">
        <v>0</v>
      </c>
      <c r="C124" s="16">
        <v>0</v>
      </c>
      <c r="D124" s="16">
        <v>0</v>
      </c>
      <c r="E124" s="17">
        <f t="shared" si="1"/>
        <v>0</v>
      </c>
    </row>
    <row r="125" spans="1:5" s="19" customFormat="1" ht="20.25" customHeight="1">
      <c r="A125" s="22" t="s">
        <v>152</v>
      </c>
      <c r="B125" s="16">
        <v>0</v>
      </c>
      <c r="C125" s="16">
        <v>0</v>
      </c>
      <c r="D125" s="16">
        <v>0</v>
      </c>
      <c r="E125" s="17">
        <f t="shared" si="1"/>
        <v>0</v>
      </c>
    </row>
    <row r="126" spans="1:5" s="19" customFormat="1" ht="20.25" customHeight="1">
      <c r="A126" s="23" t="s">
        <v>153</v>
      </c>
      <c r="B126" s="16">
        <v>0</v>
      </c>
      <c r="C126" s="25">
        <v>0</v>
      </c>
      <c r="D126" s="25">
        <v>0</v>
      </c>
      <c r="E126" s="17">
        <f t="shared" si="1"/>
        <v>0</v>
      </c>
    </row>
    <row r="127" spans="1:5" s="19" customFormat="1" ht="20.25" customHeight="1">
      <c r="A127" s="23" t="s">
        <v>154</v>
      </c>
      <c r="B127" s="16">
        <v>0</v>
      </c>
      <c r="C127" s="16">
        <v>0</v>
      </c>
      <c r="D127" s="16">
        <v>0</v>
      </c>
      <c r="E127" s="17">
        <f t="shared" si="1"/>
        <v>0</v>
      </c>
    </row>
    <row r="128" spans="1:5" s="19" customFormat="1" ht="20.25" customHeight="1">
      <c r="A128" s="23" t="s">
        <v>155</v>
      </c>
      <c r="B128" s="16">
        <v>0</v>
      </c>
      <c r="C128" s="16">
        <v>0</v>
      </c>
      <c r="D128" s="16">
        <v>5000</v>
      </c>
      <c r="E128" s="17">
        <f t="shared" si="1"/>
        <v>5000</v>
      </c>
    </row>
    <row r="129" spans="1:5" s="19" customFormat="1" ht="20.25" customHeight="1">
      <c r="A129" s="23" t="s">
        <v>156</v>
      </c>
      <c r="B129" s="16">
        <v>0</v>
      </c>
      <c r="C129" s="16">
        <v>0</v>
      </c>
      <c r="D129" s="16">
        <v>0</v>
      </c>
      <c r="E129" s="17">
        <f t="shared" si="1"/>
        <v>0</v>
      </c>
    </row>
    <row r="130" spans="1:5" s="19" customFormat="1" ht="20.25" customHeight="1">
      <c r="A130" s="24" t="s">
        <v>80</v>
      </c>
      <c r="B130" s="16">
        <v>0</v>
      </c>
      <c r="C130" s="16">
        <v>0</v>
      </c>
      <c r="D130" s="16">
        <v>0</v>
      </c>
      <c r="E130" s="17">
        <f t="shared" ref="E130:E193" si="2">SUM(B130:D130)</f>
        <v>0</v>
      </c>
    </row>
    <row r="131" spans="1:5" s="19" customFormat="1" ht="20.25" customHeight="1">
      <c r="A131" s="21" t="s">
        <v>81</v>
      </c>
      <c r="B131" s="16">
        <v>0</v>
      </c>
      <c r="C131" s="25">
        <v>0</v>
      </c>
      <c r="D131" s="25">
        <v>0</v>
      </c>
      <c r="E131" s="17">
        <f t="shared" si="2"/>
        <v>0</v>
      </c>
    </row>
    <row r="132" spans="1:5" s="19" customFormat="1" ht="20.25" customHeight="1">
      <c r="A132" s="21" t="s">
        <v>82</v>
      </c>
      <c r="B132" s="16">
        <v>0</v>
      </c>
      <c r="C132" s="16">
        <v>0</v>
      </c>
      <c r="D132" s="16">
        <v>0</v>
      </c>
      <c r="E132" s="17">
        <f t="shared" si="2"/>
        <v>0</v>
      </c>
    </row>
    <row r="133" spans="1:5" s="19" customFormat="1" ht="20.25" customHeight="1">
      <c r="A133" s="21" t="s">
        <v>83</v>
      </c>
      <c r="B133" s="16">
        <v>0</v>
      </c>
      <c r="C133" s="16">
        <v>0</v>
      </c>
      <c r="D133" s="16">
        <v>0</v>
      </c>
      <c r="E133" s="17">
        <f t="shared" si="2"/>
        <v>0</v>
      </c>
    </row>
    <row r="134" spans="1:5" s="19" customFormat="1" ht="20.25" customHeight="1">
      <c r="A134" s="21" t="s">
        <v>84</v>
      </c>
      <c r="B134" s="16">
        <v>0</v>
      </c>
      <c r="C134" s="16">
        <v>0</v>
      </c>
      <c r="D134" s="16">
        <v>0</v>
      </c>
      <c r="E134" s="17">
        <f t="shared" si="2"/>
        <v>0</v>
      </c>
    </row>
    <row r="135" spans="1:5" s="19" customFormat="1" ht="20.25" customHeight="1">
      <c r="A135" s="21" t="s">
        <v>85</v>
      </c>
      <c r="B135" s="16">
        <v>0</v>
      </c>
      <c r="C135" s="16">
        <v>0</v>
      </c>
      <c r="D135" s="16">
        <v>0</v>
      </c>
      <c r="E135" s="17">
        <f t="shared" si="2"/>
        <v>0</v>
      </c>
    </row>
    <row r="136" spans="1:5" s="19" customFormat="1" ht="20.25" customHeight="1">
      <c r="A136" s="21" t="s">
        <v>86</v>
      </c>
      <c r="B136" s="16">
        <v>0</v>
      </c>
      <c r="C136" s="25">
        <v>0</v>
      </c>
      <c r="D136" s="25">
        <v>0</v>
      </c>
      <c r="E136" s="17">
        <f t="shared" si="2"/>
        <v>0</v>
      </c>
    </row>
    <row r="137" spans="1:5" s="19" customFormat="1" ht="20.25" customHeight="1">
      <c r="A137" s="21" t="s">
        <v>87</v>
      </c>
      <c r="B137" s="16">
        <v>0</v>
      </c>
      <c r="C137" s="16">
        <v>0</v>
      </c>
      <c r="D137" s="16">
        <v>0</v>
      </c>
      <c r="E137" s="17">
        <f t="shared" si="2"/>
        <v>0</v>
      </c>
    </row>
    <row r="138" spans="1:5" s="19" customFormat="1" ht="20.25" customHeight="1">
      <c r="A138" s="22" t="s">
        <v>157</v>
      </c>
      <c r="B138" s="16">
        <v>0</v>
      </c>
      <c r="C138" s="16">
        <v>0</v>
      </c>
      <c r="D138" s="16">
        <v>0</v>
      </c>
      <c r="E138" s="17">
        <f t="shared" si="2"/>
        <v>0</v>
      </c>
    </row>
    <row r="139" spans="1:5" s="19" customFormat="1" ht="20.25" customHeight="1">
      <c r="A139" s="23" t="s">
        <v>158</v>
      </c>
      <c r="B139" s="16">
        <v>0</v>
      </c>
      <c r="C139" s="16">
        <v>0</v>
      </c>
      <c r="D139" s="16">
        <v>0</v>
      </c>
      <c r="E139" s="17">
        <f t="shared" si="2"/>
        <v>0</v>
      </c>
    </row>
    <row r="140" spans="1:5" s="19" customFormat="1" ht="20.25" customHeight="1">
      <c r="A140" s="23" t="s">
        <v>159</v>
      </c>
      <c r="B140" s="16">
        <v>0</v>
      </c>
      <c r="C140" s="16">
        <v>0</v>
      </c>
      <c r="D140" s="16">
        <v>0</v>
      </c>
      <c r="E140" s="17">
        <f t="shared" si="2"/>
        <v>0</v>
      </c>
    </row>
    <row r="141" spans="1:5" s="19" customFormat="1" ht="20.25" customHeight="1">
      <c r="A141" s="23" t="s">
        <v>160</v>
      </c>
      <c r="B141" s="16">
        <v>0</v>
      </c>
      <c r="C141" s="25">
        <v>0</v>
      </c>
      <c r="D141" s="25">
        <v>0</v>
      </c>
      <c r="E141" s="17">
        <f t="shared" si="2"/>
        <v>0</v>
      </c>
    </row>
    <row r="142" spans="1:5" s="19" customFormat="1" ht="20.25" customHeight="1">
      <c r="A142" s="23" t="s">
        <v>161</v>
      </c>
      <c r="B142" s="16">
        <v>0</v>
      </c>
      <c r="C142" s="16">
        <v>0</v>
      </c>
      <c r="D142" s="16">
        <v>0</v>
      </c>
      <c r="E142" s="17">
        <f t="shared" si="2"/>
        <v>0</v>
      </c>
    </row>
    <row r="143" spans="1:5" s="19" customFormat="1" ht="20.25" customHeight="1">
      <c r="A143" s="24" t="s">
        <v>88</v>
      </c>
      <c r="B143" s="16">
        <v>0</v>
      </c>
      <c r="C143" s="16">
        <v>0</v>
      </c>
      <c r="D143" s="16">
        <v>0</v>
      </c>
      <c r="E143" s="17">
        <f t="shared" si="2"/>
        <v>0</v>
      </c>
    </row>
    <row r="144" spans="1:5" s="19" customFormat="1" ht="20.25" customHeight="1">
      <c r="A144" s="21" t="s">
        <v>89</v>
      </c>
      <c r="B144" s="16">
        <v>0</v>
      </c>
      <c r="C144" s="16">
        <v>0</v>
      </c>
      <c r="D144" s="16">
        <v>0</v>
      </c>
      <c r="E144" s="17">
        <f t="shared" si="2"/>
        <v>0</v>
      </c>
    </row>
    <row r="145" spans="1:5" s="19" customFormat="1" ht="20.25" customHeight="1">
      <c r="A145" s="21" t="s">
        <v>90</v>
      </c>
      <c r="B145" s="16">
        <v>0</v>
      </c>
      <c r="C145" s="16">
        <v>0</v>
      </c>
      <c r="D145" s="16">
        <v>0</v>
      </c>
      <c r="E145" s="17">
        <f t="shared" si="2"/>
        <v>0</v>
      </c>
    </row>
    <row r="146" spans="1:5" s="19" customFormat="1" ht="20.25" customHeight="1">
      <c r="A146" s="21" t="s">
        <v>91</v>
      </c>
      <c r="B146" s="16">
        <v>0</v>
      </c>
      <c r="C146" s="25">
        <v>0</v>
      </c>
      <c r="D146" s="25">
        <v>0</v>
      </c>
      <c r="E146" s="17">
        <f t="shared" si="2"/>
        <v>0</v>
      </c>
    </row>
    <row r="147" spans="1:5" s="19" customFormat="1" ht="20.25" customHeight="1">
      <c r="A147" s="21" t="s">
        <v>92</v>
      </c>
      <c r="B147" s="16">
        <v>0</v>
      </c>
      <c r="C147" s="16">
        <v>0</v>
      </c>
      <c r="D147" s="16">
        <v>0</v>
      </c>
      <c r="E147" s="17">
        <f t="shared" si="2"/>
        <v>0</v>
      </c>
    </row>
    <row r="148" spans="1:5" s="19" customFormat="1" ht="20.25" customHeight="1">
      <c r="A148" s="21" t="s">
        <v>93</v>
      </c>
      <c r="B148" s="16">
        <v>0</v>
      </c>
      <c r="C148" s="16">
        <v>0</v>
      </c>
      <c r="D148" s="16">
        <v>0</v>
      </c>
      <c r="E148" s="17">
        <f t="shared" si="2"/>
        <v>0</v>
      </c>
    </row>
    <row r="149" spans="1:5" s="19" customFormat="1" ht="20.25" customHeight="1">
      <c r="A149" s="21" t="s">
        <v>94</v>
      </c>
      <c r="B149" s="16">
        <v>0</v>
      </c>
      <c r="C149" s="16">
        <v>0</v>
      </c>
      <c r="D149" s="16">
        <v>0</v>
      </c>
      <c r="E149" s="17">
        <f t="shared" si="2"/>
        <v>0</v>
      </c>
    </row>
    <row r="150" spans="1:5" s="19" customFormat="1" ht="20.25" customHeight="1">
      <c r="A150" s="21" t="s">
        <v>95</v>
      </c>
      <c r="B150" s="16">
        <v>0</v>
      </c>
      <c r="C150" s="16">
        <v>0</v>
      </c>
      <c r="D150" s="16">
        <v>0</v>
      </c>
      <c r="E150" s="17">
        <f t="shared" si="2"/>
        <v>0</v>
      </c>
    </row>
    <row r="151" spans="1:5" s="19" customFormat="1" ht="20.25" customHeight="1">
      <c r="A151" s="22" t="s">
        <v>162</v>
      </c>
      <c r="B151" s="16">
        <v>0</v>
      </c>
      <c r="C151" s="25">
        <v>0</v>
      </c>
      <c r="D151" s="25">
        <v>0</v>
      </c>
      <c r="E151" s="17">
        <f t="shared" si="2"/>
        <v>0</v>
      </c>
    </row>
    <row r="152" spans="1:5" s="19" customFormat="1" ht="20.25" customHeight="1">
      <c r="A152" s="23" t="s">
        <v>163</v>
      </c>
      <c r="B152" s="16">
        <v>0</v>
      </c>
      <c r="C152" s="16">
        <v>0</v>
      </c>
      <c r="D152" s="16">
        <v>0</v>
      </c>
      <c r="E152" s="17">
        <f t="shared" si="2"/>
        <v>0</v>
      </c>
    </row>
    <row r="153" spans="1:5" s="19" customFormat="1" ht="20.25" customHeight="1">
      <c r="A153" s="23" t="s">
        <v>164</v>
      </c>
      <c r="B153" s="16">
        <v>0</v>
      </c>
      <c r="C153" s="16">
        <v>0</v>
      </c>
      <c r="D153" s="16">
        <v>0</v>
      </c>
      <c r="E153" s="17">
        <f t="shared" si="2"/>
        <v>0</v>
      </c>
    </row>
    <row r="154" spans="1:5" s="19" customFormat="1" ht="20.25" customHeight="1">
      <c r="A154" s="23" t="s">
        <v>165</v>
      </c>
      <c r="B154" s="16">
        <v>0</v>
      </c>
      <c r="C154" s="16">
        <v>0</v>
      </c>
      <c r="D154" s="16">
        <v>0</v>
      </c>
      <c r="E154" s="17">
        <f t="shared" si="2"/>
        <v>0</v>
      </c>
    </row>
    <row r="155" spans="1:5" s="19" customFormat="1" ht="20.25" customHeight="1">
      <c r="A155" s="23" t="s">
        <v>166</v>
      </c>
      <c r="B155" s="16">
        <v>0</v>
      </c>
      <c r="C155" s="16">
        <v>0</v>
      </c>
      <c r="D155" s="16">
        <v>0</v>
      </c>
      <c r="E155" s="17">
        <f t="shared" si="2"/>
        <v>0</v>
      </c>
    </row>
    <row r="156" spans="1:5" s="19" customFormat="1" ht="20.25" customHeight="1">
      <c r="A156" s="24" t="s">
        <v>96</v>
      </c>
      <c r="B156" s="16">
        <v>0</v>
      </c>
      <c r="C156" s="25">
        <v>0</v>
      </c>
      <c r="D156" s="25">
        <v>0</v>
      </c>
      <c r="E156" s="17">
        <f t="shared" si="2"/>
        <v>0</v>
      </c>
    </row>
    <row r="157" spans="1:5" s="19" customFormat="1" ht="20.25" customHeight="1">
      <c r="A157" s="21" t="s">
        <v>97</v>
      </c>
      <c r="B157" s="16">
        <v>0</v>
      </c>
      <c r="C157" s="16">
        <v>0</v>
      </c>
      <c r="D157" s="16">
        <v>0</v>
      </c>
      <c r="E157" s="17">
        <f t="shared" si="2"/>
        <v>0</v>
      </c>
    </row>
    <row r="158" spans="1:5" s="19" customFormat="1" ht="20.25" customHeight="1">
      <c r="A158" s="21" t="s">
        <v>98</v>
      </c>
      <c r="B158" s="16">
        <v>0</v>
      </c>
      <c r="C158" s="16">
        <v>0</v>
      </c>
      <c r="D158" s="16">
        <v>0</v>
      </c>
      <c r="E158" s="17">
        <f t="shared" si="2"/>
        <v>0</v>
      </c>
    </row>
    <row r="159" spans="1:5" s="19" customFormat="1" ht="20.25" customHeight="1">
      <c r="A159" s="21" t="s">
        <v>99</v>
      </c>
      <c r="B159" s="16">
        <v>0</v>
      </c>
      <c r="C159" s="16">
        <v>0</v>
      </c>
      <c r="D159" s="16">
        <v>0</v>
      </c>
      <c r="E159" s="17">
        <f t="shared" si="2"/>
        <v>0</v>
      </c>
    </row>
    <row r="160" spans="1:5" s="19" customFormat="1" ht="20.25" customHeight="1">
      <c r="A160" s="21" t="s">
        <v>100</v>
      </c>
      <c r="B160" s="16">
        <v>0</v>
      </c>
      <c r="C160" s="16">
        <v>0</v>
      </c>
      <c r="D160" s="16">
        <v>0</v>
      </c>
      <c r="E160" s="17">
        <f t="shared" si="2"/>
        <v>0</v>
      </c>
    </row>
    <row r="161" spans="1:5" s="19" customFormat="1" ht="20.25" customHeight="1">
      <c r="A161" s="21" t="s">
        <v>101</v>
      </c>
      <c r="B161" s="16">
        <v>0</v>
      </c>
      <c r="C161" s="25">
        <v>0</v>
      </c>
      <c r="D161" s="25">
        <v>0</v>
      </c>
      <c r="E161" s="17">
        <f t="shared" si="2"/>
        <v>0</v>
      </c>
    </row>
    <row r="162" spans="1:5" s="19" customFormat="1" ht="20.25" customHeight="1">
      <c r="A162" s="21" t="s">
        <v>102</v>
      </c>
      <c r="B162" s="16">
        <v>0</v>
      </c>
      <c r="C162" s="16">
        <v>0</v>
      </c>
      <c r="D162" s="16">
        <v>0</v>
      </c>
      <c r="E162" s="17">
        <f t="shared" si="2"/>
        <v>0</v>
      </c>
    </row>
    <row r="163" spans="1:5" s="19" customFormat="1" ht="20.25" customHeight="1">
      <c r="A163" s="21" t="s">
        <v>103</v>
      </c>
      <c r="B163" s="16">
        <v>0</v>
      </c>
      <c r="C163" s="16">
        <v>0</v>
      </c>
      <c r="D163" s="16">
        <v>0</v>
      </c>
      <c r="E163" s="17">
        <f t="shared" si="2"/>
        <v>0</v>
      </c>
    </row>
    <row r="164" spans="1:5" s="19" customFormat="1" ht="20.25" customHeight="1">
      <c r="A164" s="22" t="s">
        <v>167</v>
      </c>
      <c r="B164" s="16">
        <v>0</v>
      </c>
      <c r="C164" s="16">
        <v>0</v>
      </c>
      <c r="D164" s="16">
        <v>0</v>
      </c>
      <c r="E164" s="17">
        <f t="shared" si="2"/>
        <v>0</v>
      </c>
    </row>
    <row r="165" spans="1:5" s="19" customFormat="1" ht="20.25" customHeight="1">
      <c r="A165" s="23" t="s">
        <v>168</v>
      </c>
      <c r="B165" s="16">
        <v>0</v>
      </c>
      <c r="C165" s="16">
        <v>0</v>
      </c>
      <c r="D165" s="16">
        <v>0</v>
      </c>
      <c r="E165" s="17">
        <f t="shared" si="2"/>
        <v>0</v>
      </c>
    </row>
    <row r="166" spans="1:5" s="19" customFormat="1" ht="20.25" customHeight="1">
      <c r="A166" s="23" t="s">
        <v>169</v>
      </c>
      <c r="B166" s="16">
        <v>0</v>
      </c>
      <c r="C166" s="25">
        <v>0</v>
      </c>
      <c r="D166" s="25">
        <v>0</v>
      </c>
      <c r="E166" s="17">
        <f t="shared" si="2"/>
        <v>0</v>
      </c>
    </row>
    <row r="167" spans="1:5" s="19" customFormat="1" ht="20.25" customHeight="1">
      <c r="A167" s="23" t="s">
        <v>170</v>
      </c>
      <c r="B167" s="16">
        <v>0</v>
      </c>
      <c r="C167" s="16">
        <v>0</v>
      </c>
      <c r="D167" s="16">
        <v>0</v>
      </c>
      <c r="E167" s="17">
        <f t="shared" si="2"/>
        <v>0</v>
      </c>
    </row>
    <row r="168" spans="1:5" s="19" customFormat="1" ht="20.25" customHeight="1">
      <c r="A168" s="23" t="s">
        <v>171</v>
      </c>
      <c r="B168" s="16">
        <v>0</v>
      </c>
      <c r="C168" s="16">
        <v>0</v>
      </c>
      <c r="D168" s="16">
        <v>0</v>
      </c>
      <c r="E168" s="17">
        <f t="shared" si="2"/>
        <v>0</v>
      </c>
    </row>
    <row r="169" spans="1:5" s="19" customFormat="1" ht="20.25" customHeight="1">
      <c r="A169" s="24" t="s">
        <v>104</v>
      </c>
      <c r="B169" s="16">
        <v>0</v>
      </c>
      <c r="C169" s="16">
        <v>0</v>
      </c>
      <c r="D169" s="16">
        <v>0</v>
      </c>
      <c r="E169" s="17">
        <f t="shared" si="2"/>
        <v>0</v>
      </c>
    </row>
    <row r="170" spans="1:5" s="19" customFormat="1" ht="20.25" customHeight="1">
      <c r="A170" s="21" t="s">
        <v>105</v>
      </c>
      <c r="B170" s="16">
        <v>0</v>
      </c>
      <c r="C170" s="16">
        <v>0</v>
      </c>
      <c r="D170" s="16">
        <v>0</v>
      </c>
      <c r="E170" s="17">
        <f t="shared" si="2"/>
        <v>0</v>
      </c>
    </row>
    <row r="171" spans="1:5" s="19" customFormat="1" ht="20.25" customHeight="1">
      <c r="A171" s="21" t="s">
        <v>106</v>
      </c>
      <c r="B171" s="16">
        <v>0</v>
      </c>
      <c r="C171" s="25">
        <v>0</v>
      </c>
      <c r="D171" s="25">
        <v>0</v>
      </c>
      <c r="E171" s="17">
        <f t="shared" si="2"/>
        <v>0</v>
      </c>
    </row>
    <row r="172" spans="1:5" s="19" customFormat="1" ht="20.25" customHeight="1">
      <c r="A172" s="21" t="s">
        <v>107</v>
      </c>
      <c r="B172" s="16">
        <v>0</v>
      </c>
      <c r="C172" s="16">
        <v>0</v>
      </c>
      <c r="D172" s="16">
        <v>0</v>
      </c>
      <c r="E172" s="17">
        <f t="shared" si="2"/>
        <v>0</v>
      </c>
    </row>
    <row r="173" spans="1:5" s="19" customFormat="1" ht="20.25" customHeight="1">
      <c r="A173" s="21" t="s">
        <v>108</v>
      </c>
      <c r="B173" s="16">
        <v>0</v>
      </c>
      <c r="C173" s="16">
        <v>0</v>
      </c>
      <c r="D173" s="16">
        <v>0</v>
      </c>
      <c r="E173" s="17">
        <f t="shared" si="2"/>
        <v>0</v>
      </c>
    </row>
    <row r="174" spans="1:5" s="19" customFormat="1" ht="20.25" customHeight="1">
      <c r="A174" s="21" t="s">
        <v>109</v>
      </c>
      <c r="B174" s="16">
        <v>0</v>
      </c>
      <c r="C174" s="16">
        <v>0</v>
      </c>
      <c r="D174" s="16">
        <v>0</v>
      </c>
      <c r="E174" s="17">
        <f t="shared" si="2"/>
        <v>0</v>
      </c>
    </row>
    <row r="175" spans="1:5" s="19" customFormat="1" ht="20.25" customHeight="1">
      <c r="A175" s="21" t="s">
        <v>110</v>
      </c>
      <c r="B175" s="16">
        <v>0</v>
      </c>
      <c r="C175" s="16">
        <v>0</v>
      </c>
      <c r="D175" s="16">
        <v>0</v>
      </c>
      <c r="E175" s="17">
        <f t="shared" si="2"/>
        <v>0</v>
      </c>
    </row>
    <row r="176" spans="1:5" s="19" customFormat="1" ht="20.25" customHeight="1">
      <c r="A176" s="21" t="s">
        <v>111</v>
      </c>
      <c r="B176" s="16">
        <v>0</v>
      </c>
      <c r="C176" s="25">
        <v>0</v>
      </c>
      <c r="D176" s="25">
        <v>0</v>
      </c>
      <c r="E176" s="17">
        <f t="shared" si="2"/>
        <v>0</v>
      </c>
    </row>
    <row r="177" spans="1:5" s="19" customFormat="1" ht="20.25" customHeight="1">
      <c r="A177" s="22" t="s">
        <v>172</v>
      </c>
      <c r="B177" s="16">
        <v>0</v>
      </c>
      <c r="C177" s="16">
        <v>0</v>
      </c>
      <c r="D177" s="16">
        <v>0</v>
      </c>
      <c r="E177" s="17">
        <f t="shared" si="2"/>
        <v>0</v>
      </c>
    </row>
    <row r="178" spans="1:5" s="19" customFormat="1" ht="20.25" customHeight="1">
      <c r="A178" s="23" t="s">
        <v>173</v>
      </c>
      <c r="B178" s="16">
        <v>0</v>
      </c>
      <c r="C178" s="16">
        <v>0</v>
      </c>
      <c r="D178" s="16">
        <v>0</v>
      </c>
      <c r="E178" s="17">
        <f t="shared" si="2"/>
        <v>0</v>
      </c>
    </row>
    <row r="179" spans="1:5" s="19" customFormat="1" ht="20.25" customHeight="1">
      <c r="A179" s="23" t="s">
        <v>174</v>
      </c>
      <c r="B179" s="16">
        <v>0</v>
      </c>
      <c r="C179" s="16">
        <v>0</v>
      </c>
      <c r="D179" s="16">
        <v>0</v>
      </c>
      <c r="E179" s="17">
        <f t="shared" si="2"/>
        <v>0</v>
      </c>
    </row>
    <row r="180" spans="1:5" s="19" customFormat="1" ht="20.25" customHeight="1">
      <c r="A180" s="23" t="s">
        <v>175</v>
      </c>
      <c r="B180" s="16">
        <v>0</v>
      </c>
      <c r="C180" s="16">
        <v>0</v>
      </c>
      <c r="D180" s="16">
        <v>0</v>
      </c>
      <c r="E180" s="17">
        <f t="shared" si="2"/>
        <v>0</v>
      </c>
    </row>
    <row r="181" spans="1:5" s="19" customFormat="1" ht="20.25" customHeight="1">
      <c r="A181" s="23" t="s">
        <v>176</v>
      </c>
      <c r="B181" s="16">
        <v>0</v>
      </c>
      <c r="C181" s="25">
        <v>0</v>
      </c>
      <c r="D181" s="25">
        <v>0</v>
      </c>
      <c r="E181" s="17">
        <f t="shared" si="2"/>
        <v>0</v>
      </c>
    </row>
    <row r="182" spans="1:5" s="19" customFormat="1" ht="20.25" customHeight="1">
      <c r="A182" s="24" t="s">
        <v>112</v>
      </c>
      <c r="B182" s="16">
        <v>0</v>
      </c>
      <c r="C182" s="16">
        <v>0</v>
      </c>
      <c r="D182" s="16">
        <v>0</v>
      </c>
      <c r="E182" s="17">
        <f t="shared" si="2"/>
        <v>0</v>
      </c>
    </row>
    <row r="183" spans="1:5" s="19" customFormat="1" ht="20.25" customHeight="1">
      <c r="A183" s="21" t="s">
        <v>113</v>
      </c>
      <c r="B183" s="16">
        <v>0</v>
      </c>
      <c r="C183" s="16">
        <v>0</v>
      </c>
      <c r="D183" s="16">
        <v>0</v>
      </c>
      <c r="E183" s="17">
        <f t="shared" si="2"/>
        <v>0</v>
      </c>
    </row>
    <row r="184" spans="1:5" s="19" customFormat="1" ht="20.25" customHeight="1">
      <c r="A184" s="21" t="s">
        <v>114</v>
      </c>
      <c r="B184" s="16">
        <v>0</v>
      </c>
      <c r="C184" s="25">
        <v>0</v>
      </c>
      <c r="D184" s="25">
        <v>0</v>
      </c>
      <c r="E184" s="17">
        <f t="shared" si="2"/>
        <v>0</v>
      </c>
    </row>
    <row r="185" spans="1:5" s="19" customFormat="1" ht="20.25" customHeight="1">
      <c r="A185" s="21" t="s">
        <v>115</v>
      </c>
      <c r="B185" s="16">
        <v>0</v>
      </c>
      <c r="C185" s="25">
        <v>0</v>
      </c>
      <c r="D185" s="25">
        <v>780</v>
      </c>
      <c r="E185" s="17">
        <f t="shared" si="2"/>
        <v>780</v>
      </c>
    </row>
    <row r="186" spans="1:5" s="19" customFormat="1" ht="20.25" customHeight="1">
      <c r="A186" s="21" t="s">
        <v>116</v>
      </c>
      <c r="B186" s="16">
        <v>0</v>
      </c>
      <c r="C186" s="16">
        <v>0</v>
      </c>
      <c r="D186" s="16">
        <v>0</v>
      </c>
      <c r="E186" s="17">
        <f t="shared" si="2"/>
        <v>0</v>
      </c>
    </row>
    <row r="187" spans="1:5" s="19" customFormat="1" ht="20.25" customHeight="1">
      <c r="A187" s="21" t="s">
        <v>117</v>
      </c>
      <c r="B187" s="16">
        <v>0</v>
      </c>
      <c r="C187" s="16">
        <v>0</v>
      </c>
      <c r="D187" s="16">
        <v>0</v>
      </c>
      <c r="E187" s="17">
        <f t="shared" si="2"/>
        <v>0</v>
      </c>
    </row>
    <row r="188" spans="1:5" s="19" customFormat="1" ht="20.25" customHeight="1">
      <c r="A188" s="21" t="s">
        <v>118</v>
      </c>
      <c r="B188" s="16">
        <v>0</v>
      </c>
      <c r="C188" s="16">
        <v>0</v>
      </c>
      <c r="D188" s="16">
        <v>0</v>
      </c>
      <c r="E188" s="17">
        <f t="shared" si="2"/>
        <v>0</v>
      </c>
    </row>
    <row r="189" spans="1:5" s="19" customFormat="1" ht="20.25" customHeight="1">
      <c r="A189" s="21" t="s">
        <v>177</v>
      </c>
      <c r="B189" s="16">
        <v>0</v>
      </c>
      <c r="C189" s="16">
        <v>0</v>
      </c>
      <c r="D189" s="16">
        <v>0</v>
      </c>
      <c r="E189" s="17">
        <f t="shared" si="2"/>
        <v>0</v>
      </c>
    </row>
    <row r="190" spans="1:5" s="2" customFormat="1" ht="20.100000000000001" customHeight="1">
      <c r="A190" s="21" t="s">
        <v>0</v>
      </c>
      <c r="B190" s="16">
        <v>0</v>
      </c>
      <c r="C190" s="25">
        <v>0</v>
      </c>
      <c r="D190" s="25">
        <v>560</v>
      </c>
      <c r="E190" s="17">
        <f t="shared" si="2"/>
        <v>560</v>
      </c>
    </row>
    <row r="191" spans="1:5" s="2" customFormat="1" ht="20.100000000000001" customHeight="1">
      <c r="A191" s="21" t="s">
        <v>1</v>
      </c>
      <c r="B191" s="16">
        <v>0</v>
      </c>
      <c r="C191" s="25">
        <v>0</v>
      </c>
      <c r="D191" s="25">
        <v>0</v>
      </c>
      <c r="E191" s="17">
        <f t="shared" si="2"/>
        <v>0</v>
      </c>
    </row>
    <row r="192" spans="1:5" s="2" customFormat="1" ht="20.100000000000001" customHeight="1">
      <c r="A192" s="21" t="s">
        <v>2</v>
      </c>
      <c r="B192" s="16">
        <v>0</v>
      </c>
      <c r="C192" s="16">
        <v>0</v>
      </c>
      <c r="D192" s="16">
        <v>10296.5</v>
      </c>
      <c r="E192" s="17">
        <f t="shared" si="2"/>
        <v>10296.5</v>
      </c>
    </row>
    <row r="193" spans="1:5" s="2" customFormat="1" ht="20.100000000000001" customHeight="1">
      <c r="A193" s="21" t="s">
        <v>3</v>
      </c>
      <c r="B193" s="16">
        <v>0</v>
      </c>
      <c r="C193" s="16">
        <v>0</v>
      </c>
      <c r="D193" s="16">
        <v>0</v>
      </c>
      <c r="E193" s="17">
        <f t="shared" si="2"/>
        <v>0</v>
      </c>
    </row>
    <row r="194" spans="1:5" s="2" customFormat="1" ht="21" customHeight="1">
      <c r="A194" s="21" t="s">
        <v>4</v>
      </c>
      <c r="B194" s="16">
        <v>0</v>
      </c>
      <c r="C194" s="16">
        <v>0</v>
      </c>
      <c r="D194" s="16">
        <v>0</v>
      </c>
      <c r="E194" s="17">
        <f t="shared" ref="E194:E201" si="3">SUM(B194:D194)</f>
        <v>0</v>
      </c>
    </row>
    <row r="195" spans="1:5" s="2" customFormat="1" ht="25.5" customHeight="1">
      <c r="A195" s="21" t="s">
        <v>5</v>
      </c>
      <c r="B195" s="16">
        <v>0</v>
      </c>
      <c r="C195" s="16">
        <v>0</v>
      </c>
      <c r="D195" s="16">
        <v>800</v>
      </c>
      <c r="E195" s="17">
        <f t="shared" si="3"/>
        <v>800</v>
      </c>
    </row>
    <row r="196" spans="1:5" s="2" customFormat="1" ht="20.100000000000001" customHeight="1">
      <c r="A196" s="21" t="s">
        <v>6</v>
      </c>
      <c r="B196" s="16">
        <v>0</v>
      </c>
      <c r="C196" s="25">
        <v>1713</v>
      </c>
      <c r="D196" s="25">
        <v>4553.87</v>
      </c>
      <c r="E196" s="17">
        <f t="shared" si="3"/>
        <v>6266.87</v>
      </c>
    </row>
    <row r="197" spans="1:5" customFormat="1" ht="19.5" customHeight="1">
      <c r="A197" s="22" t="s">
        <v>18</v>
      </c>
      <c r="B197" s="16">
        <v>0</v>
      </c>
      <c r="C197" s="25">
        <v>0</v>
      </c>
      <c r="D197" s="25">
        <v>0</v>
      </c>
      <c r="E197" s="17">
        <v>0</v>
      </c>
    </row>
    <row r="198" spans="1:5" s="18" customFormat="1" ht="19.5" customHeight="1">
      <c r="A198" s="23" t="s">
        <v>13</v>
      </c>
      <c r="B198" s="16">
        <v>0</v>
      </c>
      <c r="C198" s="16">
        <v>0</v>
      </c>
      <c r="D198" s="16">
        <v>16325.17</v>
      </c>
      <c r="E198" s="17">
        <f t="shared" si="3"/>
        <v>16325.17</v>
      </c>
    </row>
    <row r="199" spans="1:5" s="18" customFormat="1" ht="19.5" customHeight="1">
      <c r="A199" s="23" t="s">
        <v>14</v>
      </c>
      <c r="B199" s="16">
        <v>0</v>
      </c>
      <c r="C199" s="16">
        <v>0</v>
      </c>
      <c r="D199" s="16">
        <v>15005</v>
      </c>
      <c r="E199" s="17">
        <f t="shared" si="3"/>
        <v>15005</v>
      </c>
    </row>
    <row r="200" spans="1:5" s="18" customFormat="1" ht="19.5" customHeight="1">
      <c r="A200" s="23" t="s">
        <v>15</v>
      </c>
      <c r="B200" s="16">
        <v>0</v>
      </c>
      <c r="C200" s="16">
        <v>0</v>
      </c>
      <c r="D200" s="16">
        <v>0</v>
      </c>
      <c r="E200" s="17">
        <f t="shared" si="3"/>
        <v>0</v>
      </c>
    </row>
    <row r="201" spans="1:5" s="18" customFormat="1" ht="19.5" customHeight="1">
      <c r="A201" s="23" t="s">
        <v>16</v>
      </c>
      <c r="B201" s="16">
        <v>0</v>
      </c>
      <c r="C201" s="16">
        <v>0</v>
      </c>
      <c r="D201" s="16">
        <v>0</v>
      </c>
      <c r="E201" s="17">
        <f t="shared" si="3"/>
        <v>0</v>
      </c>
    </row>
    <row r="202" spans="1:5">
      <c r="A202" s="13" t="s">
        <v>7</v>
      </c>
      <c r="B202" s="11">
        <f>SUM(B4:B201)</f>
        <v>53902</v>
      </c>
      <c r="C202" s="11">
        <f t="shared" ref="C202:E202" si="4">SUM(C4:C201)</f>
        <v>190597</v>
      </c>
      <c r="D202" s="11">
        <f t="shared" si="4"/>
        <v>993974.14</v>
      </c>
      <c r="E202" s="11">
        <f t="shared" si="4"/>
        <v>1238473.1399999999</v>
      </c>
    </row>
    <row r="203" spans="1:5">
      <c r="A203" s="15"/>
      <c r="B203" s="6"/>
      <c r="C203" s="8"/>
      <c r="D203" s="8"/>
      <c r="E203" s="9"/>
    </row>
  </sheetData>
  <mergeCells count="1">
    <mergeCell ref="A1:E1"/>
  </mergeCells>
  <phoneticPr fontId="7" type="noConversion"/>
  <pageMargins left="0.75" right="0.75" top="1" bottom="1" header="0.51180555555555596" footer="0.51180555555555596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林颖玲</cp:lastModifiedBy>
  <cp:lastPrinted>2020-04-03T00:04:05Z</cp:lastPrinted>
  <dcterms:created xsi:type="dcterms:W3CDTF">2020-03-25T07:28:18Z</dcterms:created>
  <dcterms:modified xsi:type="dcterms:W3CDTF">2020-04-03T00:44:09Z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2052-10.1.0.7468</vt:lpwstr>
  </property>
</Properties>
</file>