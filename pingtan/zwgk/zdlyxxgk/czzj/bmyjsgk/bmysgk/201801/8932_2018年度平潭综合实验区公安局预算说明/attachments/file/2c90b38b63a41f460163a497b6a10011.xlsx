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5255" windowHeight="8370" firstSheet="2" activeTab="2"/>
  </bookViews>
  <sheets>
    <sheet name="附表3-1" sheetId="1" r:id="rId1"/>
    <sheet name="附表3-2" sheetId="2" r:id="rId2"/>
    <sheet name="附表3-3" sheetId="3" r:id="rId3"/>
    <sheet name="附表3-4" sheetId="4" r:id="rId4"/>
    <sheet name="附表3-5" sheetId="5" r:id="rId5"/>
    <sheet name="附表3-6" sheetId="6" r:id="rId6"/>
    <sheet name="附表3-7" sheetId="7" r:id="rId7"/>
    <sheet name="附表3-8" sheetId="8" r:id="rId8"/>
    <sheet name="附表3-9" sheetId="9" r:id="rId9"/>
    <sheet name="附表3-10" sheetId="10" r:id="rId10"/>
    <sheet name="附表3-11-1" sheetId="11" r:id="rId11"/>
    <sheet name="附表3-11-2" sheetId="17" r:id="rId12"/>
    <sheet name="附表3-11-3" sheetId="18" r:id="rId13"/>
    <sheet name="附表3-11-4" sheetId="19" r:id="rId14"/>
    <sheet name="附表3-11-5" sheetId="20" r:id="rId15"/>
    <sheet name="附表3-11-6" sheetId="21" r:id="rId16"/>
    <sheet name="附表3-11-7" sheetId="22" r:id="rId17"/>
    <sheet name="附表3-11-8" sheetId="23" r:id="rId18"/>
    <sheet name="附表3-11-9" sheetId="24" r:id="rId19"/>
    <sheet name="附表3-11-10" sheetId="25" r:id="rId20"/>
    <sheet name="附表3-12-1" sheetId="12" r:id="rId21"/>
    <sheet name="附表3-12-2" sheetId="13" r:id="rId22"/>
    <sheet name="附表3-12-3" sheetId="14" r:id="rId23"/>
    <sheet name="附表3-12-4" sheetId="15" r:id="rId24"/>
    <sheet name="附表3-12-5" sheetId="16" r:id="rId25"/>
  </sheets>
  <definedNames>
    <definedName name="_xlnm.Print_Titles" localSheetId="9">'附表3-10'!$4:$5</definedName>
  </definedNames>
  <calcPr calcId="144525"/>
</workbook>
</file>

<file path=xl/sharedStrings.xml><?xml version="1.0" encoding="utf-8"?>
<sst xmlns="http://schemas.openxmlformats.org/spreadsheetml/2006/main" count="497">
  <si>
    <t>附表3-1</t>
  </si>
  <si>
    <t>2018年度收支预算总表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</si>
  <si>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</si>
  <si>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</si>
  <si>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</si>
  <si>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</si>
  <si>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</si>
  <si>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</si>
  <si>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</si>
  <si>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</si>
  <si>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</si>
  <si>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</si>
  <si>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</si>
  <si>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</si>
  <si>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</si>
  <si>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</si>
  <si>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</si>
  <si>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</si>
  <si>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</si>
  <si>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</si>
  <si>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</si>
  <si>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2018年度收入预算总表</t>
  </si>
  <si>
    <t>单位编码</t>
  </si>
  <si>
    <t>单位名称</t>
  </si>
  <si>
    <t>资金来源</t>
  </si>
  <si>
    <t>总计</t>
  </si>
  <si>
    <t>一般公共预算拨款</t>
  </si>
  <si>
    <t>基金预算拨款</t>
  </si>
  <si>
    <t>财政专户拨款</t>
  </si>
  <si>
    <t>单位结余结转资金</t>
  </si>
  <si>
    <t>单位其它收入</t>
  </si>
  <si>
    <t>**</t>
  </si>
  <si>
    <t>平潭综合实验区公安局</t>
  </si>
  <si>
    <t>平潭综合实验区看守所</t>
  </si>
  <si>
    <t>平潭综合实验区拘留所</t>
  </si>
  <si>
    <t>附表3-3</t>
  </si>
  <si>
    <t>2018年度支出预算总表</t>
  </si>
  <si>
    <t>科目编码</t>
  </si>
  <si>
    <t>科目名称</t>
  </si>
  <si>
    <t>合计</t>
  </si>
  <si>
    <t>人员支出</t>
  </si>
  <si>
    <t>对个人和家庭的补助支出</t>
  </si>
  <si>
    <t>公用支出</t>
  </si>
  <si>
    <t>项目支出</t>
  </si>
  <si>
    <t>204</t>
  </si>
  <si>
    <t>公共安全支出</t>
  </si>
  <si>
    <t>20402</t>
  </si>
  <si>
    <t>公安</t>
  </si>
  <si>
    <t>2040201</t>
  </si>
  <si>
    <t xml:space="preserve">  行政运行</t>
  </si>
  <si>
    <t>2040202</t>
  </si>
  <si>
    <t xml:space="preserve">  一般行政管理事务</t>
  </si>
  <si>
    <t>2040207</t>
  </si>
  <si>
    <t xml:space="preserve">  经济犯罪侦查</t>
  </si>
  <si>
    <t>2040208</t>
  </si>
  <si>
    <t xml:space="preserve">  出入境管理</t>
  </si>
  <si>
    <t>2040209</t>
  </si>
  <si>
    <t xml:space="preserve">  行动技术管理</t>
  </si>
  <si>
    <t>2040211</t>
  </si>
  <si>
    <t xml:space="preserve">  禁毒管理</t>
  </si>
  <si>
    <t>2040212</t>
  </si>
  <si>
    <t xml:space="preserve">  道路交通管理</t>
  </si>
  <si>
    <t>2040213</t>
  </si>
  <si>
    <t xml:space="preserve">  网络侦控管理</t>
  </si>
  <si>
    <t>2040214</t>
  </si>
  <si>
    <t xml:space="preserve">  反恐怖</t>
  </si>
  <si>
    <t>2040217</t>
  </si>
  <si>
    <t xml:space="preserve">  拘押收教场所管理</t>
  </si>
  <si>
    <t xml:space="preserve">  信息化建设</t>
  </si>
  <si>
    <t>2040299</t>
  </si>
  <si>
    <t xml:space="preserve">  其他公安支出</t>
  </si>
  <si>
    <t>221</t>
  </si>
  <si>
    <t>住房保障支出</t>
  </si>
  <si>
    <t>22102</t>
  </si>
  <si>
    <t>住房改革支出</t>
  </si>
  <si>
    <t>2210201</t>
  </si>
  <si>
    <t xml:space="preserve">  住房公积金</t>
  </si>
  <si>
    <t>2210202</t>
  </si>
  <si>
    <t xml:space="preserve">  提租补贴</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</si>
  <si>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</si>
  <si>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</si>
  <si>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2018年度财政拨款收支预算总表</t>
  </si>
  <si>
    <t xml:space="preserve">    人员支出</t>
  </si>
  <si>
    <t xml:space="preserve">    对个人和家庭补助支出</t>
  </si>
  <si>
    <t xml:space="preserve">    公用支出</t>
  </si>
  <si>
    <t>附表3-5</t>
  </si>
  <si>
    <t>2018年度一般公共预算拨款支出预算表</t>
  </si>
  <si>
    <t>其中：</t>
  </si>
  <si>
    <t>基本支出</t>
  </si>
  <si>
    <t>备注：2040217拘押收教场所管理292万元，其中：平潭综合实验区看守所191万元，平潭综合实验区拘留所71万元。本表公开到政府支出功能分类项级科目。</t>
  </si>
  <si>
    <t>附表3-6</t>
  </si>
  <si>
    <t>2018年度政府性基金拨款支出预算表</t>
  </si>
  <si>
    <t>备注：本表为空表，2018年无政府性基金拨款支出预算。</t>
  </si>
  <si>
    <t>附表3-7</t>
  </si>
  <si>
    <t>2018年度一般公共预算支出经济分类情况表</t>
  </si>
  <si>
    <t>项目</t>
  </si>
  <si>
    <t>合         计</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</si>
  <si>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</si>
  <si>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</si>
  <si>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</si>
  <si>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</si>
  <si>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</si>
  <si>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</si>
  <si>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</si>
  <si>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</si>
  <si>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</si>
  <si>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</si>
  <si>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</si>
  <si>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</si>
  <si>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</si>
  <si>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</si>
  <si>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</si>
  <si>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</si>
  <si>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</si>
  <si>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</si>
  <si>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</si>
  <si>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</si>
  <si>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</si>
  <si>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2018年度一般公共预算基本支出经济分类情况表</t>
  </si>
  <si>
    <t>科目编码</t>
  </si>
  <si>
    <t>30101</t>
  </si>
  <si>
    <t>基本工资</t>
  </si>
  <si>
    <t>30102</t>
  </si>
  <si>
    <t>津贴补贴</t>
  </si>
  <si>
    <t>30103</t>
  </si>
  <si>
    <t>奖金</t>
  </si>
  <si>
    <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</si>
  <si>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</si>
  <si>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</si>
  <si>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</si>
  <si>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</si>
  <si>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</si>
  <si>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</si>
  <si>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</si>
  <si>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</si>
  <si>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</si>
  <si>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</si>
  <si>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</si>
  <si>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</si>
  <si>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</si>
  <si>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</si>
  <si>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</si>
  <si>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住房公积金</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</si>
  <si>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</si>
  <si>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</si>
  <si>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</si>
  <si>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</si>
  <si>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</si>
  <si>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</si>
  <si>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</si>
  <si>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</si>
  <si>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</si>
  <si>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</si>
  <si>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</si>
  <si>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</si>
  <si>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</si>
  <si>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</si>
  <si>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</si>
  <si>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</si>
  <si>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</si>
  <si>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</si>
  <si>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</si>
  <si>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</si>
  <si>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</si>
  <si>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</si>
  <si>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</si>
  <si>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</si>
  <si>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</si>
  <si>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</si>
  <si>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</si>
  <si>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</si>
  <si>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</si>
  <si>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</si>
  <si>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</si>
  <si>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</si>
  <si>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</si>
  <si>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</si>
  <si>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</si>
  <si>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</si>
  <si>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</si>
  <si>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</si>
  <si>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</si>
  <si>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</si>
  <si>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</si>
  <si>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</si>
  <si>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</si>
  <si>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</si>
  <si>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</si>
  <si>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</si>
  <si>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</si>
  <si>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</si>
  <si>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</si>
  <si>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</si>
  <si>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</si>
  <si>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</si>
  <si>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</si>
  <si>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</si>
  <si>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</si>
  <si>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</si>
  <si>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</si>
  <si>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</si>
  <si>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</si>
  <si>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</si>
  <si>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</si>
  <si>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</si>
  <si>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</si>
  <si>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</si>
  <si>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</si>
  <si>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</si>
  <si>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</si>
  <si>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</si>
  <si>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</si>
  <si>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</si>
  <si>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</si>
  <si>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</si>
  <si>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</si>
  <si>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</si>
  <si>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</si>
  <si>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</si>
  <si>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</si>
  <si>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</si>
  <si>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</si>
  <si>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</si>
  <si>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</si>
  <si>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</si>
  <si>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</si>
  <si>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</si>
  <si>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</si>
  <si>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</si>
  <si>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</si>
  <si>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</si>
  <si>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</si>
  <si>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</si>
  <si>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</si>
  <si>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</si>
  <si>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</si>
  <si>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</si>
  <si>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</si>
  <si>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</si>
  <si>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</si>
  <si>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</si>
  <si>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</si>
  <si>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</si>
  <si>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</si>
  <si>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</si>
  <si>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</si>
  <si>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</si>
  <si>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</si>
  <si>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</si>
  <si>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</si>
  <si>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</si>
  <si>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</si>
  <si>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</si>
  <si>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</si>
  <si>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</si>
  <si>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</si>
  <si>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</si>
  <si>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</si>
  <si>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</si>
  <si>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</si>
  <si>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</si>
  <si>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</si>
  <si>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</si>
  <si>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</si>
  <si>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</si>
  <si>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</si>
  <si>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</si>
  <si>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</si>
  <si>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</si>
  <si>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</si>
  <si>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</si>
  <si>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</si>
  <si>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</si>
  <si>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</si>
  <si>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</si>
  <si>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</si>
  <si>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</si>
  <si>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</si>
  <si>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</si>
  <si>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</si>
  <si>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</si>
  <si>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</si>
  <si>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</si>
  <si>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</si>
  <si>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</si>
  <si>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</si>
  <si>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</si>
  <si>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</si>
  <si>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</si>
  <si>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</si>
  <si>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</si>
  <si>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</si>
  <si>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</si>
  <si>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</si>
  <si>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</si>
  <si>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</si>
  <si>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</si>
  <si>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</si>
  <si>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</si>
  <si>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</si>
  <si>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2018年度一般公共预算“三公”经费支出预算表</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</si>
  <si>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</si>
  <si>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</si>
  <si>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</si>
  <si>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</si>
  <si>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</si>
  <si>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</si>
  <si>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</si>
  <si>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2018年度部门专项资金管理清单目录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</si>
  <si>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</si>
  <si>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</si>
  <si>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</si>
  <si>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</si>
  <si>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</si>
  <si>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</si>
  <si>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</si>
  <si>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</si>
  <si>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</si>
  <si>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</si>
  <si>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</si>
  <si>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</si>
  <si>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〔0006002K〕公安指挥情报中心</t>
  </si>
  <si>
    <t xml:space="preserve"> 《平潭综合实验区经济发展局关于平潭综合实验区公安指挥情报中心可行性研究报告的复函》岚综实经发函【2011】24号。主要研究内容：平潭综合实验区公安指挥情报中心工程位于平潭北厝镇（渔平大道南侧，商务营运中心西侧），项目总用地面积20310.048㎡，按600人编制测算，总建筑面积43500㎡，其中地上总建筑面积30950㎡，地下建筑面积12550㎡项目估算总投资19873.74万元。后按《平潭综合实验区经济发展局关于平潭综合实验区公安指挥情报中心项目估算调整的批发》岚综实经发发改【2014】106号，投资估算调整为26981.67万元。</t>
  </si>
  <si>
    <t>3年</t>
  </si>
  <si>
    <t>工程竣工结算</t>
  </si>
  <si>
    <t>平潭综合实验区的发展定位为探索两岸交流合作先行先试的示范区和海峡西岸经济区科学发展的先行区。平潭综合实验区公安指挥情报中心项目为公共服务设施工程，属于基础设施建设项目，本项目的实施将确保平潭综合实验区有一个良好的社会秩序、教学科研秩序、工作秩序和安定的生活环境，有利于社会主义和谐社会的构建，对维护平潭综合实验区的经济繁荣、对促进平潭综合实验区的经济发展和社会建设具有重要意义。　</t>
  </si>
  <si>
    <t>部门发展性项目支出</t>
  </si>
  <si>
    <t>根据各工程项目的结算审定结果支付结算款，约按各工程项目结算价的10%进行支付。</t>
  </si>
  <si>
    <t>〔00060018〕公安监管场所</t>
  </si>
  <si>
    <t>平潭综合实验区经济发展局关于平潭监管场所项目可行性研究报告的批复（岚综实经发发改【2014】168号）</t>
  </si>
  <si>
    <t>主体进度款、电梯设备、内外电、空调尾款、柴油发电机、厨房设备、智能化款等。</t>
  </si>
  <si>
    <t>平潭作为海峡西岸经济区科学发展先行先试的综合实验区，是闽台合作窗口，也是国家对外开放的窗口，平潭监管场所是区重点建设项目工程。监管场所的建成对于惩罚、教育犯罪，保障司法诉讼程序顺利进行，对社会安定稳定，和经济发展大局有长远的目标意义。</t>
  </si>
  <si>
    <t>按工程进度的80%。</t>
  </si>
  <si>
    <t>〔0006001R〕公安信息化平台建设（一期）工程</t>
  </si>
  <si>
    <t>《平潭综合实验区经济发展局关于区公安信息化平台建设项目可行性研究报告暨初步设计方案的批复》（岚综实经发发改〔2014〕151号）</t>
  </si>
  <si>
    <t>4月前完成项目设备材料移交，10月前完成项目财审中心最终核算</t>
  </si>
  <si>
    <t>该项目建成后，将初步形成纵向贯通、横向集成、互联互通的信息系统，充分发挥科学技术和警务情报在公安工作中的先导支撑作用，不断提升平潭综合实验区公安工作科技含量，为平潭综合实验区建设提供强有力的保障。</t>
  </si>
  <si>
    <t>项目法</t>
  </si>
  <si>
    <t>〔0006000T〕公安信息化平台建设（二期）工程</t>
  </si>
  <si>
    <t>《平潭综合实验区管委会关于全力推进2015年重点项目建设的通知》（岚综管综〔2015〕10号）、《关于公安信息化二期项目可研报告暨初设方案评审有关事项的请示》（岚综管办〔2016〕211号）的相关批复</t>
  </si>
  <si>
    <t>2月前完成项目最终验收，6月前完成项目财审中心最终核算</t>
  </si>
  <si>
    <t>〔0006002F〕公共安全视频监控建设联网应用政府购买服务项目</t>
  </si>
  <si>
    <t>《平潭综合实验区党工委办公室平潭综合实验区管委会办公室关于印发平潭综合实验区关于进一步加强社会治安防控体系建设的实施方案的通知》岚综委办[2015]75号、《福建省公共安全视频监控建设联网应用工作实施方案》（闽发改数字函〔2016〕609号）和全省综治工作“雪亮工程”建设的要求</t>
  </si>
  <si>
    <t>4月前完成项目可研报告制作，9月前完成项目招投标</t>
  </si>
  <si>
    <t>2018年综治任务新建600路视频监控、改造500路、视频专网光纤线路租赁费、联网共享平台社会监控资源接入改造等费用</t>
  </si>
  <si>
    <r>
      <rPr>
        <b/>
        <sz val="12"/>
        <rFont val="宋体"/>
        <charset val="134"/>
      </rPr>
      <t>编报说明：</t>
    </r>
    <r>
      <rPr>
        <sz val="12"/>
        <rFont val="宋体"/>
        <charset val="134"/>
      </rPr>
      <t xml:space="preserve">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r>
  </si>
  <si>
    <t>附表3-11-1</t>
  </si>
  <si>
    <t>2018年度部门业务费绩效目标表</t>
  </si>
  <si>
    <t>总体目标</t>
  </si>
  <si>
    <t>出入境口岸专项经费。保障出入境部门开展各项出入境业务顺利开展，推进对台各项出入境政策落地，为台胞提供优质的服务。</t>
  </si>
  <si>
    <t xml:space="preserve">绩效目标  </t>
  </si>
  <si>
    <t>指标</t>
  </si>
  <si>
    <t>绩效内容</t>
  </si>
  <si>
    <t>全年绩效目标值</t>
  </si>
  <si>
    <t xml:space="preserve">投入 </t>
  </si>
  <si>
    <t>目标1：时效目标</t>
  </si>
  <si>
    <t>2018年度完成出入境各项业务</t>
  </si>
  <si>
    <t>目标2：成本目标</t>
  </si>
  <si>
    <t>100万元，至2018年底完成100%资金支付</t>
  </si>
  <si>
    <t>产出</t>
  </si>
  <si>
    <t>目标1：质量目标</t>
  </si>
  <si>
    <t>为超过10万名台胞办理各类出入境证件</t>
  </si>
  <si>
    <t>效益</t>
  </si>
  <si>
    <t>目标1：经济效益目标</t>
  </si>
  <si>
    <t>按照各级出入境管理规定要求，为平潭地区办理出入境手续的人员提供优质服务，2018年预计出入境业务非税收入达2000万以上</t>
  </si>
  <si>
    <t>目标2：社会效益目标</t>
  </si>
  <si>
    <t>为超过10万名台胞办理出入境业务，推动两岸贸易、经济、商务、政治往来；为全区居民办理出入境业务，全年为累计超过5000名群众提供出入境服务。</t>
  </si>
  <si>
    <t>目标3：服务对象满意度目标</t>
  </si>
  <si>
    <t>窗口服务满意率达95%以上</t>
  </si>
  <si>
    <t>备注：按部门预算批复的绩效目标表填写本表中的相应内容（按规定不宜公开部分除外）。</t>
  </si>
  <si>
    <t>附表3-11-2</t>
  </si>
  <si>
    <t>车管所证件工本费。保障车管所办理全区车辆牌照、个人办理驾驶证件专用材料购置。</t>
  </si>
  <si>
    <t>2018年度完成</t>
  </si>
  <si>
    <t>120万元，至2018年底，该项目经费支出达80%。</t>
  </si>
  <si>
    <t>车管所窗口全年预计为7.8万人次提供各类服务，为超过8万人次提供车驾管服务</t>
  </si>
  <si>
    <t>预计全年车驾管行政事业性收入将突破300万元</t>
  </si>
  <si>
    <t>保障全区车辆牌证工作顺利开展,为群众提供车架管业务,2018年同比增加10%;为“台车入闽”继续提供服务,预计较2017年增加20%以上。</t>
  </si>
  <si>
    <t>保证群众能够及时快速办理完成，窗口服务评价满意率不低于90%</t>
  </si>
  <si>
    <t>附表3-11-3</t>
  </si>
  <si>
    <t>电子数据勘察取证实验室建设。规划建立起满足目前电子物证检验工作要求的规范化实验室平台。通过对现有的电子物证检验基础设施和资源的有效整合，规划建设起综合性电子物证检验鉴定分析平台，通过规划电子物证检验环境，以提升整体取证技术水平及工作效率为目的，有效的加强实验室管理，利用实验室的整合，提高实验室的管理水平，降低实验室的管理难度，把主要精力用于提高鉴定水平和管理规范，逐步建成满足日常电子物证检验需要，贴近国际先进水平的电子物证检验实验室平台，并适时按条件开展实验室认可活动。</t>
  </si>
  <si>
    <t>2018.5-2018.10</t>
  </si>
  <si>
    <t>150万元，本年度完成经费支出100%。</t>
  </si>
  <si>
    <t>确保实验室建设达到三级及以上实验室建设标准</t>
  </si>
  <si>
    <t>目标1：社会效益目标</t>
  </si>
  <si>
    <t>作为诉讼中认定事实的依据，有效地保证司法的公正性、维护法律的尊严、保证国家和人民的安全与利益。</t>
  </si>
  <si>
    <t>公安宣传活动专项经费。用于2017年度区局开展各项业务、公安宣传活动，提升群众法律意识。</t>
  </si>
  <si>
    <t>30万元，年底完成100%支出</t>
  </si>
  <si>
    <t>适时推出公安业务宣传、如禁毒、110宣传日、反诈骗等，2018年将举办不少于3次的公安业务宣传活动</t>
  </si>
  <si>
    <t>通过禁毒宣传、公安110宣传、反诈骗宣传等活动提高群众法律意识，降低被骗风险，为全区营造一个良好的治安环境。</t>
  </si>
  <si>
    <t>通过公安宣传，普及公安业务，提升群众安全感，通过多形式、多种类的宣传方式，提高公安宣传力度；通过宣传单、宣传活动提升群众法律意识。</t>
  </si>
  <si>
    <t>交通路面标志、标线、信号灯等交通设施购置、维护和违章事故车辆处理费及交通安全宣传费。对全区交通路面标志、标线、信号灯等交通设备设施维护更新服务，视交通情况，更变新增交通设备设施。同时开展交通事故车辆鉴定处理，交通安全宣传等业务</t>
  </si>
  <si>
    <t>450万，2018年8月份，完成预算经费50%支出</t>
  </si>
  <si>
    <t>完成全区20余条主干道、城区19个主要路口红绿灯设备维护更新工作</t>
  </si>
  <si>
    <t>预计全年交通罚没款收入将超过3000万元。</t>
  </si>
  <si>
    <t>提高群众交通意识，促进全区文明城市建设；为来岚人员明确线路标识，增强国际旅游岛旅游体验感。</t>
  </si>
  <si>
    <t>可视化指挥平台项目建设。建设覆盖平台综合实验区公安局及下属各派出所的一体化综合警务应用平台，通过项目建设整合警务资源、创新警务模式、为警务人员提供大数据辅助，促进公安建设和公安执法、管理与服务的科学发展。全方位把握警务运行态势、构建精细化治安防控体系、完善实战化指挥联动机制、构建创新型智慧警务模式。</t>
  </si>
  <si>
    <t>2018年3月完成项目可研报告制作，2018年10月份前完成项目建设。</t>
  </si>
  <si>
    <t>今年内完成支付项目款80万元。</t>
  </si>
  <si>
    <t>按月计划完成项目，到2018年7月份，完成项目建设50%。</t>
  </si>
  <si>
    <t>地区犯罪案件及数量明显下降，犯罪率下降。为提升地区经济发展保驾护航</t>
  </si>
  <si>
    <t>推动公安各项指挥调动、提高出警处警效率。提高重点单位、重点区域的合成作战效率。整合资源、提高工作效能。</t>
  </si>
  <si>
    <t>情报实战、安全审查平台。    建设应用安全分析平台、平台汇集终端审计、应用日志、WEB应用审计、网络会话、PKI/PMI系统、警员库等数据，通过大数据技术多维度多层次的数据进行分析。实现对应用的发现、注册、分析及评估，对攻击重要应用行为的预警，以应用数据为核心，围绕数据数据，实现应用、人员、终端设备三个层面数据关联，对重要应用使用状态监控，实现“异常应用预警、可疑对象追踪、人员行为取证”。完成和提升公安网警务应用管理水平，保障警务应用的安全健康的发展</t>
  </si>
  <si>
    <t>争取2018年7月份之前完成项目建设。</t>
  </si>
  <si>
    <t>120万，2018年8月份，完成支付50%。</t>
  </si>
  <si>
    <t>2018年8月份，完成支付50%。</t>
  </si>
  <si>
    <t>保证网络安全稳定运行</t>
  </si>
  <si>
    <t>地区犯罪案件及数量明细下降，民警业务能力显著提升，对地区稳定安全保驾护航。为民警办案、工作提供优良的网络环境</t>
  </si>
  <si>
    <t>社区戒毒康复集中管理经费。保障全区社区戒毒工作、各项社区戒毒工作顺利开展。保持对涉毒行为的严打态势，推动禁毒工作社会化、专业化、规范化、常态化，为平潭开放开发营造和谐稳定的社会环境。</t>
  </si>
  <si>
    <t>220万，2018年底实现资金支出100%。</t>
  </si>
  <si>
    <t>全区4个社区禁毒/康复服务站、1个禁毒宣传基地各项工作开展</t>
  </si>
  <si>
    <t>严控涉毒群体、降低毒资支出</t>
  </si>
  <si>
    <t>实现登记在册的涉毒人员无脱管；提高居民反毒意识。</t>
  </si>
  <si>
    <t>降低涉毒人员比例，为社会营造良好的氛围。</t>
  </si>
  <si>
    <t>网络通信租赁及设备维护费。保障583路全区公安监控，约100条公安网链路网络、19个通信基站正常运行。</t>
  </si>
  <si>
    <t>500万，2018年底，完成支付预算金额80%</t>
  </si>
  <si>
    <t>583路监控、约100条链路、19个基站，确保公安监控、链路、基站正常运行</t>
  </si>
  <si>
    <t>较往年压缩开支10%以上。</t>
  </si>
  <si>
    <t>为视频监控提供网络服务保障，确保公安各项业务有序开展</t>
  </si>
  <si>
    <t>综治维稳、反恐专项经费。用于综治维稳工作开展及反恐活动训练的开展。</t>
  </si>
  <si>
    <t>50万，2018年底预计开支80%以上</t>
  </si>
  <si>
    <t>举行反恐演练及宣传至少1次</t>
  </si>
  <si>
    <t>巩固全区社会环境，排查、派排除不稳定因素</t>
  </si>
  <si>
    <t>附表3-12-1</t>
  </si>
  <si>
    <t>2018年度专项资金绩效目标表</t>
  </si>
  <si>
    <t>立项项目名称</t>
  </si>
  <si>
    <t>公安信息化平台建设（一期）工程</t>
  </si>
  <si>
    <t>概况</t>
  </si>
  <si>
    <t xml:space="preserve">    该项目建成后，将初步形成纵向贯通、横向集成、互联互通的信息系统，充分发挥科学技术和警务情报在公安工作中的先导支撑作用，不断提升平潭综合实验区公安工作科技含量，为平潭综合实验区建设提供强有力的保障。</t>
  </si>
  <si>
    <t>至2018年4月前完成项目设备材料移交</t>
  </si>
  <si>
    <t>至2018年4月前完成项目指挥中心、信息中心等8个部分的设备材料移交</t>
  </si>
  <si>
    <t>建设投入成本超过额度控制在项目预算10%以内</t>
  </si>
  <si>
    <t>至2018年10月前完成项目财审中心最终核算</t>
  </si>
  <si>
    <t>项目完成质量</t>
  </si>
  <si>
    <t>项目的8个子项的建设内容验收符合相关建筑标准规范</t>
  </si>
  <si>
    <t>系统正常运行率</t>
  </si>
  <si>
    <t>项目中的指挥中心、信息中心、金盾三级网、视频会议系统等按照省公安厅运行标准正常运行</t>
  </si>
  <si>
    <t>推进网上办事</t>
  </si>
  <si>
    <t>推进出入境、户籍等公安窗口业务办理，实现网上办事事项增加率同未建成时期相比有明显增长。</t>
  </si>
  <si>
    <t xml:space="preserve">增加信息化系统覆盖面 </t>
  </si>
  <si>
    <t>推进建成后相关信息化系统的应用使用覆盖面，所覆盖的派出所以及相关单位的增加数比率比去年上升（提升10%）。</t>
  </si>
  <si>
    <t>提升数据共享度</t>
  </si>
  <si>
    <t>接入“智慧岛”管理服务中心以及相关公安系统的公共安全视频监控数量、单位数据等取得明显增长（提升5%）。</t>
  </si>
  <si>
    <t>附表3-12-2</t>
  </si>
  <si>
    <t>公安信息化平台建设（二期）工程</t>
  </si>
  <si>
    <t>至2018年2月前完成项目最终验收</t>
  </si>
  <si>
    <t>至2018年2月前开展项目9个子项建设工作。</t>
  </si>
  <si>
    <t>至2018年6月前完成项目财审中心最终核算</t>
  </si>
  <si>
    <t>项目的9个子项的建设内容验收符合相关建筑标准规范</t>
  </si>
  <si>
    <t>项目中的视频联网共享平台、智能车辆管控系统、警务视频督查系统、部门间信息共享与服务平台、视频会议系统等按照省公安厅运行标准正常运行。</t>
  </si>
  <si>
    <t>推进建成后相关信息化系统的应用使用覆盖面，视频联网共享平台、智能车辆管控系统等系统应用覆盖面达到70%（部分单位为授权）</t>
  </si>
  <si>
    <t>使用信息平台的窗口工作人员的评价</t>
  </si>
  <si>
    <t>根据窗口评价器、电话、短信回访满意度与去年同期相比有增长。</t>
  </si>
  <si>
    <t>满足节能和环保要求</t>
  </si>
  <si>
    <t>要求100%选用符合国家政策的产品和设备，满足国家关于环保和节能的相关要求</t>
  </si>
  <si>
    <t>接入“智慧岛”管理服务中心以及相关公安系统的公共安全视频监控数量增加500个以上、智能车辆管控系统的业务处理量比旧有系统高10%</t>
  </si>
  <si>
    <t>附表3-12-3</t>
  </si>
  <si>
    <t>公共安全视频监控建设联网应用政府购买服务项目</t>
  </si>
  <si>
    <t xml:space="preserve">   《平潭综合实验区党工委办公室平潭综合实验区管委会办公室关于印发平潭综合实验区关于进一步加强社会治安防控体系建设的实施方案的通知》岚综委办[2015]75号、《福建省公共安全视频监控建设联网应用工作实施方案》（闽发改数字函〔2016〕609号）和全省综治工作“雪亮工程”建设的要求，2018年综治任务新建600路视频监控、改造500路、视频专网光纤线路租赁费、联网共享平台社会监控资源接入改造等费用。</t>
  </si>
  <si>
    <t>至2018年4月前完成项目可研报告制作</t>
  </si>
  <si>
    <t>至2018年9月前完成项目招投标</t>
  </si>
  <si>
    <t>项目完成动工</t>
  </si>
  <si>
    <t>2018年12月前完成项目50%的工程量</t>
  </si>
  <si>
    <t>推进犯罪侦查业务破案率，实现发案数同未建成时期相比有明显降低。</t>
  </si>
  <si>
    <t xml:space="preserve">增加视频监控覆盖面 </t>
  </si>
  <si>
    <t>推进建成后相关视频监控覆盖面，所覆盖的农村地区的增加数比去年上升（提升10%）。</t>
  </si>
  <si>
    <t>附表3-12-4</t>
  </si>
  <si>
    <t>平潭综合实验区公安指挥情报中心</t>
  </si>
  <si>
    <t>执行年限：3年。2018年预算安排1500万元。主要工作任务：平潭综合实验区公安指挥情报中心已于2015年竣工验收交付使用，2018年的主要工作任务是进行主体总包工程以及幕墙、智能化等各专项工程的竣工结算。</t>
  </si>
  <si>
    <t>时效目标1：2018年</t>
  </si>
  <si>
    <t>2018年年底</t>
  </si>
  <si>
    <t>成本目标1：1500万元</t>
  </si>
  <si>
    <t>1500万元以内</t>
  </si>
  <si>
    <t>数量目标1：总建筑面积43500㎡</t>
  </si>
  <si>
    <t>项目建设完成</t>
  </si>
  <si>
    <t>质量目标1：项目完成质量</t>
  </si>
  <si>
    <t>项目竣工验收符合相关建筑标准规范</t>
  </si>
  <si>
    <t>社会效益目标1：项目的实施将确保平潭综合实验区有一个良好的社会秩序、教学科研秩序、工作秩序和安定的生活环境，有利于社会主义和谐社会的构建。</t>
  </si>
  <si>
    <t>加强平潭公安局的基础设施建设、加快平潭公安机关正规化建设，维护社会稳定。</t>
  </si>
  <si>
    <t>服务对象满意度目标目标1：地区及地区人民满意度</t>
  </si>
  <si>
    <t>95%以上</t>
  </si>
  <si>
    <t>服务对象满意度目标目标2：公安相关工作人员满意度</t>
  </si>
  <si>
    <t>98%以上</t>
  </si>
  <si>
    <t>附表3-12-5</t>
  </si>
  <si>
    <t>平潭监管场所项目</t>
  </si>
  <si>
    <t>平潭监管场所建设项目位于平潭流水镇谢厝村西侧，项目建设用地面积为79972.2㎡，总建筑面积为51413.12㎡，内有看守所、拘留所、强制隔离戒毒所及相关配套服务设施，项目的起止时间为2015年—2018年。</t>
  </si>
  <si>
    <t>项目完成初步验收</t>
  </si>
  <si>
    <t>项目初步验收工作并通过验收</t>
  </si>
  <si>
    <t>预算建设投入成本</t>
  </si>
  <si>
    <t>达到预算建设投入成本</t>
  </si>
  <si>
    <t>装饰装修工程，完成装修面积51046.81㎡</t>
  </si>
  <si>
    <t>不少于14栋</t>
  </si>
  <si>
    <t>附属工程</t>
  </si>
  <si>
    <t>达到验收标准</t>
  </si>
  <si>
    <t>保持社会的稳定发展</t>
  </si>
  <si>
    <t>使社会安定、和睦、稳定的发展</t>
  </si>
  <si>
    <t>服务对象满意度问卷调查</t>
  </si>
  <si>
    <t>项目建成的满意度在95%以上</t>
  </si>
</sst>
</file>

<file path=xl/styles.xml><?xml version="1.0" encoding="utf-8"?>
<styleSheet xmlns="http://schemas.openxmlformats.org/spreadsheetml/2006/main">
  <numFmts count="5">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 numFmtId="176" formatCode="0_ "/>
  </numFmts>
  <fonts count="31">
    <font>
      <sz val="12"/>
      <name val="宋体"/>
      <charset val="134"/>
    </font>
    <font>
      <b/>
      <sz val="20"/>
      <name val="宋体"/>
      <charset val="134"/>
    </font>
    <font>
      <b/>
      <sz val="12"/>
      <name val="宋体"/>
      <charset val="134"/>
    </font>
    <font>
      <sz val="10"/>
      <name val="宋体"/>
      <charset val="134"/>
    </font>
    <font>
      <sz val="10"/>
      <color indexed="8"/>
      <name val="宋体"/>
      <charset val="134"/>
    </font>
    <font>
      <sz val="10"/>
      <color indexed="63"/>
      <name val="宋体"/>
      <charset val="134"/>
    </font>
    <font>
      <sz val="11"/>
      <name val="宋体"/>
      <charset val="134"/>
    </font>
    <font>
      <b/>
      <sz val="10"/>
      <name val="宋体"/>
      <charset val="134"/>
    </font>
    <font>
      <b/>
      <sz val="11"/>
      <name val="宋体"/>
      <charset val="134"/>
    </font>
    <font>
      <b/>
      <sz val="12"/>
      <color indexed="8"/>
      <name val="宋体"/>
      <charset val="134"/>
    </font>
    <font>
      <sz val="12"/>
      <color indexed="8"/>
      <name val="宋体"/>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15" fillId="0" borderId="0" applyFont="0" applyFill="0" applyBorder="0" applyAlignment="0" applyProtection="0">
      <alignment vertical="center"/>
    </xf>
    <xf numFmtId="0" fontId="11" fillId="26" borderId="0" applyNumberFormat="0" applyBorder="0" applyAlignment="0" applyProtection="0">
      <alignment vertical="center"/>
    </xf>
    <xf numFmtId="0" fontId="27" fillId="23" borderId="15" applyNumberFormat="0" applyAlignment="0" applyProtection="0">
      <alignment vertical="center"/>
    </xf>
    <xf numFmtId="44"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11" fillId="8" borderId="0" applyNumberFormat="0" applyBorder="0" applyAlignment="0" applyProtection="0">
      <alignment vertical="center"/>
    </xf>
    <xf numFmtId="0" fontId="19" fillId="9" borderId="0" applyNumberFormat="0" applyBorder="0" applyAlignment="0" applyProtection="0">
      <alignment vertical="center"/>
    </xf>
    <xf numFmtId="43" fontId="15" fillId="0" borderId="0" applyFont="0" applyFill="0" applyBorder="0" applyAlignment="0" applyProtection="0">
      <alignment vertical="center"/>
    </xf>
    <xf numFmtId="0" fontId="20" fillId="22" borderId="0" applyNumberFormat="0" applyBorder="0" applyAlignment="0" applyProtection="0">
      <alignment vertical="center"/>
    </xf>
    <xf numFmtId="0" fontId="25" fillId="0" borderId="0" applyNumberFormat="0" applyFill="0" applyBorder="0" applyAlignment="0" applyProtection="0">
      <alignment vertical="center"/>
    </xf>
    <xf numFmtId="9" fontId="15" fillId="0" borderId="0" applyFont="0" applyFill="0" applyBorder="0" applyAlignment="0" applyProtection="0">
      <alignment vertical="center"/>
    </xf>
    <xf numFmtId="0" fontId="18" fillId="0" borderId="0" applyNumberFormat="0" applyFill="0" applyBorder="0" applyAlignment="0" applyProtection="0">
      <alignment vertical="center"/>
    </xf>
    <xf numFmtId="0" fontId="15" fillId="15" borderId="12" applyNumberFormat="0" applyFont="0" applyAlignment="0" applyProtection="0">
      <alignment vertical="center"/>
    </xf>
    <xf numFmtId="0" fontId="20" fillId="28" borderId="0" applyNumberFormat="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2" fillId="0" borderId="10" applyNumberFormat="0" applyFill="0" applyAlignment="0" applyProtection="0">
      <alignment vertical="center"/>
    </xf>
    <xf numFmtId="0" fontId="13" fillId="0" borderId="10" applyNumberFormat="0" applyFill="0" applyAlignment="0" applyProtection="0">
      <alignment vertical="center"/>
    </xf>
    <xf numFmtId="0" fontId="20" fillId="21" borderId="0" applyNumberFormat="0" applyBorder="0" applyAlignment="0" applyProtection="0">
      <alignment vertical="center"/>
    </xf>
    <xf numFmtId="0" fontId="17" fillId="0" borderId="14" applyNumberFormat="0" applyFill="0" applyAlignment="0" applyProtection="0">
      <alignment vertical="center"/>
    </xf>
    <xf numFmtId="0" fontId="20" fillId="20" borderId="0" applyNumberFormat="0" applyBorder="0" applyAlignment="0" applyProtection="0">
      <alignment vertical="center"/>
    </xf>
    <xf numFmtId="0" fontId="21" fillId="14" borderId="11" applyNumberFormat="0" applyAlignment="0" applyProtection="0">
      <alignment vertical="center"/>
    </xf>
    <xf numFmtId="0" fontId="30" fillId="14" borderId="15" applyNumberFormat="0" applyAlignment="0" applyProtection="0">
      <alignment vertical="center"/>
    </xf>
    <xf numFmtId="0" fontId="12" fillId="6" borderId="9" applyNumberFormat="0" applyAlignment="0" applyProtection="0">
      <alignment vertical="center"/>
    </xf>
    <xf numFmtId="0" fontId="11" fillId="25" borderId="0" applyNumberFormat="0" applyBorder="0" applyAlignment="0" applyProtection="0">
      <alignment vertical="center"/>
    </xf>
    <xf numFmtId="0" fontId="20" fillId="13" borderId="0" applyNumberFormat="0" applyBorder="0" applyAlignment="0" applyProtection="0">
      <alignment vertical="center"/>
    </xf>
    <xf numFmtId="0" fontId="29" fillId="0" borderId="16" applyNumberFormat="0" applyFill="0" applyAlignment="0" applyProtection="0">
      <alignment vertical="center"/>
    </xf>
    <xf numFmtId="0" fontId="23" fillId="0" borderId="13" applyNumberFormat="0" applyFill="0" applyAlignment="0" applyProtection="0">
      <alignment vertical="center"/>
    </xf>
    <xf numFmtId="0" fontId="28" fillId="24" borderId="0" applyNumberFormat="0" applyBorder="0" applyAlignment="0" applyProtection="0">
      <alignment vertical="center"/>
    </xf>
    <xf numFmtId="0" fontId="26" fillId="19" borderId="0" applyNumberFormat="0" applyBorder="0" applyAlignment="0" applyProtection="0">
      <alignment vertical="center"/>
    </xf>
    <xf numFmtId="0" fontId="11" fillId="32" borderId="0" applyNumberFormat="0" applyBorder="0" applyAlignment="0" applyProtection="0">
      <alignment vertical="center"/>
    </xf>
    <xf numFmtId="0" fontId="20" fillId="12" borderId="0" applyNumberFormat="0" applyBorder="0" applyAlignment="0" applyProtection="0">
      <alignment vertical="center"/>
    </xf>
    <xf numFmtId="0" fontId="11" fillId="31" borderId="0" applyNumberFormat="0" applyBorder="0" applyAlignment="0" applyProtection="0">
      <alignment vertical="center"/>
    </xf>
    <xf numFmtId="0" fontId="11" fillId="5" borderId="0" applyNumberFormat="0" applyBorder="0" applyAlignment="0" applyProtection="0">
      <alignment vertical="center"/>
    </xf>
    <xf numFmtId="0" fontId="11" fillId="30" borderId="0" applyNumberFormat="0" applyBorder="0" applyAlignment="0" applyProtection="0">
      <alignment vertical="center"/>
    </xf>
    <xf numFmtId="0" fontId="11" fillId="4" borderId="0" applyNumberFormat="0" applyBorder="0" applyAlignment="0" applyProtection="0">
      <alignment vertical="center"/>
    </xf>
    <xf numFmtId="0" fontId="20" fillId="17" borderId="0" applyNumberFormat="0" applyBorder="0" applyAlignment="0" applyProtection="0">
      <alignment vertical="center"/>
    </xf>
    <xf numFmtId="0" fontId="20" fillId="11" borderId="0" applyNumberFormat="0" applyBorder="0" applyAlignment="0" applyProtection="0">
      <alignment vertical="center"/>
    </xf>
    <xf numFmtId="0" fontId="11" fillId="29" borderId="0" applyNumberFormat="0" applyBorder="0" applyAlignment="0" applyProtection="0">
      <alignment vertical="center"/>
    </xf>
    <xf numFmtId="0" fontId="11" fillId="3" borderId="0" applyNumberFormat="0" applyBorder="0" applyAlignment="0" applyProtection="0">
      <alignment vertical="center"/>
    </xf>
    <xf numFmtId="0" fontId="20" fillId="10" borderId="0" applyNumberFormat="0" applyBorder="0" applyAlignment="0" applyProtection="0">
      <alignment vertical="center"/>
    </xf>
    <xf numFmtId="0" fontId="11" fillId="2" borderId="0" applyNumberFormat="0" applyBorder="0" applyAlignment="0" applyProtection="0">
      <alignment vertical="center"/>
    </xf>
    <xf numFmtId="0" fontId="20" fillId="27" borderId="0" applyNumberFormat="0" applyBorder="0" applyAlignment="0" applyProtection="0">
      <alignment vertical="center"/>
    </xf>
    <xf numFmtId="0" fontId="20" fillId="16" borderId="0" applyNumberFormat="0" applyBorder="0" applyAlignment="0" applyProtection="0">
      <alignment vertical="center"/>
    </xf>
    <xf numFmtId="0" fontId="11" fillId="7" borderId="0" applyNumberFormat="0" applyBorder="0" applyAlignment="0" applyProtection="0">
      <alignment vertical="center"/>
    </xf>
    <xf numFmtId="0" fontId="20" fillId="18" borderId="0" applyNumberFormat="0" applyBorder="0" applyAlignment="0" applyProtection="0">
      <alignment vertical="center"/>
    </xf>
  </cellStyleXfs>
  <cellXfs count="73">
    <xf numFmtId="0" fontId="0" fillId="0" borderId="0" xfId="0">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lignment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5" xfId="0" applyBorder="1" applyAlignment="1">
      <alignment horizontal="left" vertical="center" wrapText="1"/>
    </xf>
    <xf numFmtId="0" fontId="0" fillId="0" borderId="0" xfId="0"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lignment vertical="center"/>
    </xf>
    <xf numFmtId="49" fontId="0" fillId="0" borderId="1" xfId="0" applyNumberFormat="1" applyBorder="1" applyAlignment="1">
      <alignment wrapText="1"/>
    </xf>
    <xf numFmtId="0" fontId="0" fillId="0" borderId="0" xfId="0" applyAlignment="1">
      <alignment vertical="center" wrapText="1"/>
    </xf>
    <xf numFmtId="0" fontId="1" fillId="0" borderId="0" xfId="0" applyFont="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horizontal="center" vertical="center" wrapText="1"/>
    </xf>
    <xf numFmtId="0" fontId="2" fillId="0" borderId="0" xfId="0" applyFont="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0" fillId="0" borderId="5" xfId="0" applyBorder="1" applyAlignment="1">
      <alignment horizontal="center" vertical="center" wrapText="1"/>
    </xf>
    <xf numFmtId="0" fontId="1" fillId="0" borderId="0" xfId="0" applyFont="1" applyAlignment="1">
      <alignment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horizontal="right" vertical="center"/>
    </xf>
    <xf numFmtId="0" fontId="0" fillId="0" borderId="8" xfId="0" applyBorder="1" applyAlignment="1">
      <alignment horizontal="righ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applyAlignment="1">
      <alignment horizontal="left" vertical="center"/>
    </xf>
    <xf numFmtId="0" fontId="0" fillId="0" borderId="1" xfId="0" applyFill="1" applyBorder="1">
      <alignment vertical="center"/>
    </xf>
    <xf numFmtId="176" fontId="0" fillId="0" borderId="1" xfId="0" applyNumberFormat="1" applyFill="1" applyBorder="1" applyAlignment="1">
      <alignment horizontal="right" vertical="center"/>
    </xf>
    <xf numFmtId="0" fontId="1" fillId="0" borderId="0" xfId="0" applyFont="1">
      <alignmen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2" fillId="0" borderId="5" xfId="0" applyFon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7" fillId="0" borderId="1" xfId="0" applyFont="1" applyBorder="1" applyAlignment="1">
      <alignment horizontal="left" vertical="center" shrinkToFit="1"/>
    </xf>
    <xf numFmtId="0" fontId="0" fillId="0" borderId="1" xfId="0" applyFont="1" applyBorder="1">
      <alignment vertical="center"/>
    </xf>
    <xf numFmtId="0" fontId="3" fillId="0" borderId="1" xfId="0" applyFont="1" applyBorder="1" applyAlignment="1">
      <alignment horizontal="left" vertical="center" shrinkToFit="1"/>
    </xf>
    <xf numFmtId="0" fontId="3" fillId="0" borderId="1" xfId="0" applyFont="1" applyBorder="1" applyAlignment="1">
      <alignment vertical="center" shrinkToFit="1"/>
    </xf>
    <xf numFmtId="0" fontId="2" fillId="0" borderId="1" xfId="0" applyFont="1" applyBorder="1" applyAlignment="1">
      <alignment horizontal="right" vertical="center" shrinkToFit="1"/>
    </xf>
    <xf numFmtId="0" fontId="0" fillId="0" borderId="1" xfId="0" applyFont="1" applyBorder="1" applyAlignment="1">
      <alignment horizontal="right" vertical="center" shrinkToFit="1"/>
    </xf>
    <xf numFmtId="0" fontId="2" fillId="0" borderId="1" xfId="0" applyFont="1" applyBorder="1" applyAlignment="1">
      <alignment horizontal="right" vertical="center"/>
    </xf>
    <xf numFmtId="0" fontId="0" fillId="0" borderId="1" xfId="0" applyFont="1" applyBorder="1" applyAlignment="1">
      <alignment horizontal="right" vertical="center"/>
    </xf>
    <xf numFmtId="0" fontId="0" fillId="0" borderId="1" xfId="0" applyFont="1" applyBorder="1" applyAlignment="1">
      <alignment horizontal="center" vertical="center"/>
    </xf>
    <xf numFmtId="0" fontId="6" fillId="0" borderId="1" xfId="0" applyFont="1" applyBorder="1">
      <alignment vertical="center"/>
    </xf>
    <xf numFmtId="0" fontId="8" fillId="0" borderId="1" xfId="0" applyFont="1" applyBorder="1" applyAlignment="1">
      <alignment horizontal="left" vertical="center" shrinkToFit="1"/>
    </xf>
    <xf numFmtId="0" fontId="6" fillId="0" borderId="1" xfId="0" applyFont="1" applyBorder="1" applyAlignment="1">
      <alignment horizontal="left" vertical="center" shrinkToFit="1"/>
    </xf>
    <xf numFmtId="0" fontId="6" fillId="0" borderId="1" xfId="0" applyFont="1" applyBorder="1" applyAlignment="1">
      <alignment vertical="center" shrinkToFit="1"/>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0" fontId="2" fillId="0" borderId="6" xfId="0" applyFont="1" applyBorder="1" applyAlignment="1">
      <alignment vertical="center"/>
    </xf>
    <xf numFmtId="4" fontId="9" fillId="0" borderId="1" xfId="0" applyNumberFormat="1" applyFont="1" applyFill="1" applyBorder="1" applyAlignment="1">
      <alignment horizontal="right" vertical="center" wrapText="1"/>
    </xf>
    <xf numFmtId="4" fontId="10" fillId="0" borderId="1" xfId="0" applyNumberFormat="1" applyFont="1" applyFill="1" applyBorder="1" applyAlignment="1">
      <alignment horizontal="righ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2"/>
  <sheetViews>
    <sheetView topLeftCell="A4" workbookViewId="0">
      <selection activeCell="D7" sqref="D7"/>
    </sheetView>
  </sheetViews>
  <sheetFormatPr defaultColWidth="9" defaultRowHeight="14.25" outlineLevelCol="3"/>
  <cols>
    <col min="1" max="1" width="28.5" customWidth="1"/>
    <col min="2" max="2" width="17.375" customWidth="1"/>
    <col min="3" max="3" width="28.625" customWidth="1"/>
    <col min="4" max="4" width="18.375" customWidth="1"/>
    <col min="5" max="5" width="27.25" customWidth="1"/>
  </cols>
  <sheetData>
    <row r="2" spans="1:1">
      <c r="A2" t="s">
        <v>0</v>
      </c>
    </row>
    <row r="3" s="47" customFormat="1" ht="33.75" customHeight="1" spans="1:4">
      <c r="A3" s="1" t="s">
        <v>1</v>
      </c>
      <c r="B3" s="1"/>
      <c r="C3" s="1"/>
      <c r="D3" s="1"/>
    </row>
    <row r="4" spans="4:4">
      <c r="D4" t="s">
        <v>2</v>
      </c>
    </row>
    <row r="5" ht="34.5" customHeight="1" spans="1:4">
      <c r="A5" s="42" t="s">
        <v>3</v>
      </c>
      <c r="B5" s="43"/>
      <c r="C5" s="42" t="s">
        <v>4</v>
      </c>
      <c r="D5" s="43"/>
    </row>
    <row r="6" ht="34.5" customHeight="1" spans="1:4">
      <c r="A6" s="2" t="s">
        <v>5</v>
      </c>
      <c r="B6" s="2" t="s">
        <v>6</v>
      </c>
      <c r="C6" s="2" t="s">
        <v>7</v>
      </c>
      <c r="D6" s="2" t="s">
        <v>6</v>
      </c>
    </row>
    <row r="7" ht="34.5" customHeight="1" spans="1:4">
      <c r="A7" s="8" t="s">
        <v>8</v>
      </c>
      <c r="B7" s="56">
        <v>22923.05</v>
      </c>
      <c r="C7" s="8" t="s">
        <v>9</v>
      </c>
      <c r="D7" s="56">
        <f>SUM(D8:D10)</f>
        <v>12213.05</v>
      </c>
    </row>
    <row r="8" ht="34.5" customHeight="1" spans="1:4">
      <c r="A8" s="8" t="s">
        <v>10</v>
      </c>
      <c r="B8" s="56">
        <v>0</v>
      </c>
      <c r="C8" s="20" t="s">
        <v>11</v>
      </c>
      <c r="D8" s="56">
        <v>10404.95</v>
      </c>
    </row>
    <row r="9" ht="34.5" customHeight="1" spans="1:4">
      <c r="A9" s="8" t="s">
        <v>12</v>
      </c>
      <c r="B9" s="56">
        <v>0</v>
      </c>
      <c r="C9" s="20" t="s">
        <v>13</v>
      </c>
      <c r="D9" s="56">
        <v>0</v>
      </c>
    </row>
    <row r="10" ht="34.5" customHeight="1" spans="1:4">
      <c r="A10" s="8" t="s">
        <v>14</v>
      </c>
      <c r="B10" s="56">
        <v>0</v>
      </c>
      <c r="C10" s="20" t="s">
        <v>15</v>
      </c>
      <c r="D10" s="56">
        <v>1808.1</v>
      </c>
    </row>
    <row r="11" ht="34.5" customHeight="1" spans="1:4">
      <c r="A11" s="8" t="s">
        <v>16</v>
      </c>
      <c r="B11" s="56">
        <v>0</v>
      </c>
      <c r="C11" s="8" t="s">
        <v>17</v>
      </c>
      <c r="D11" s="56">
        <v>10710</v>
      </c>
    </row>
    <row r="12" ht="34.5" customHeight="1" spans="1:4">
      <c r="A12" s="2" t="s">
        <v>18</v>
      </c>
      <c r="B12" s="56">
        <f>SUM(B7:B11)</f>
        <v>22923.05</v>
      </c>
      <c r="C12" s="2" t="s">
        <v>19</v>
      </c>
      <c r="D12" s="56">
        <f>SUM(D7+D11)</f>
        <v>22923.05</v>
      </c>
    </row>
  </sheetData>
  <mergeCells count="3">
    <mergeCell ref="A3:D3"/>
    <mergeCell ref="A5:B5"/>
    <mergeCell ref="C5:D5"/>
  </mergeCells>
  <pageMargins left="0.15625" right="0.15625" top="0.984027777777778" bottom="0.984027777777778" header="0.511805555555556" footer="0.511805555555556"/>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C7" sqref="C7:C9"/>
    </sheetView>
  </sheetViews>
  <sheetFormatPr defaultColWidth="9" defaultRowHeight="14.25" outlineLevelCol="7"/>
  <cols>
    <col min="1" max="1" width="10.875" customWidth="1"/>
    <col min="2" max="2" width="21.75" customWidth="1"/>
    <col min="3" max="3" width="19" customWidth="1"/>
    <col min="4" max="4" width="17.5" customWidth="1"/>
    <col min="5" max="5" width="13.625" customWidth="1"/>
    <col min="6" max="6" width="13.875" customWidth="1"/>
    <col min="7" max="7" width="17.5" customWidth="1"/>
    <col min="8" max="8" width="13.875" customWidth="1"/>
  </cols>
  <sheetData>
    <row r="1" ht="18.75" customHeight="1" spans="1:1">
      <c r="A1" t="s">
        <v>20</v>
      </c>
    </row>
    <row r="2" ht="28.5" customHeight="1" spans="1:8">
      <c r="A2" s="1" t="s">
        <v>21</v>
      </c>
      <c r="B2" s="1"/>
      <c r="C2" s="1"/>
      <c r="D2" s="1"/>
      <c r="E2" s="1"/>
      <c r="F2" s="1"/>
      <c r="G2" s="1"/>
      <c r="H2" s="1"/>
    </row>
    <row r="3" spans="7:7">
      <c r="G3" t="s">
        <v>2</v>
      </c>
    </row>
    <row r="4" ht="30.75" customHeight="1" spans="1:8">
      <c r="A4" s="2" t="s">
        <v>22</v>
      </c>
      <c r="B4" s="2" t="s">
        <v>23</v>
      </c>
      <c r="C4" s="42" t="s">
        <v>24</v>
      </c>
      <c r="D4" s="69"/>
      <c r="E4" s="69"/>
      <c r="F4" s="69"/>
      <c r="G4" s="69"/>
      <c r="H4" s="43"/>
    </row>
    <row r="5" ht="30.75" customHeight="1" spans="1:8">
      <c r="A5" s="20"/>
      <c r="B5" s="20"/>
      <c r="C5" s="2" t="s">
        <v>25</v>
      </c>
      <c r="D5" s="70" t="s">
        <v>26</v>
      </c>
      <c r="E5" s="70" t="s">
        <v>27</v>
      </c>
      <c r="F5" s="70" t="s">
        <v>28</v>
      </c>
      <c r="G5" s="70" t="s">
        <v>29</v>
      </c>
      <c r="H5" s="70" t="s">
        <v>30</v>
      </c>
    </row>
    <row r="6" ht="30.75" customHeight="1" spans="1:8">
      <c r="A6" s="3" t="s">
        <v>31</v>
      </c>
      <c r="B6" s="3" t="s">
        <v>31</v>
      </c>
      <c r="C6" s="3">
        <v>1</v>
      </c>
      <c r="D6" s="3">
        <v>2</v>
      </c>
      <c r="E6" s="3">
        <v>3</v>
      </c>
      <c r="F6" s="3">
        <v>4</v>
      </c>
      <c r="G6" s="3">
        <v>5</v>
      </c>
      <c r="H6" s="3">
        <v>6</v>
      </c>
    </row>
    <row r="7" ht="30.75" customHeight="1" spans="1:8">
      <c r="A7" s="8">
        <v>201001</v>
      </c>
      <c r="B7" s="8" t="s">
        <v>32</v>
      </c>
      <c r="C7" s="71">
        <v>22661.05</v>
      </c>
      <c r="D7" s="72">
        <v>22661.05</v>
      </c>
      <c r="E7" s="20">
        <v>0</v>
      </c>
      <c r="F7" s="20">
        <v>0</v>
      </c>
      <c r="G7" s="20">
        <v>0</v>
      </c>
      <c r="H7" s="20">
        <v>0</v>
      </c>
    </row>
    <row r="8" ht="30.75" customHeight="1" spans="1:8">
      <c r="A8" s="8">
        <v>201002</v>
      </c>
      <c r="B8" s="8" t="s">
        <v>33</v>
      </c>
      <c r="C8" s="71">
        <v>191</v>
      </c>
      <c r="D8" s="20">
        <v>191</v>
      </c>
      <c r="E8" s="20">
        <v>0</v>
      </c>
      <c r="F8" s="20">
        <v>0</v>
      </c>
      <c r="G8" s="20">
        <v>0</v>
      </c>
      <c r="H8" s="20">
        <v>0</v>
      </c>
    </row>
    <row r="9" ht="30.75" customHeight="1" spans="1:8">
      <c r="A9" s="8">
        <v>201003</v>
      </c>
      <c r="B9" s="8" t="s">
        <v>34</v>
      </c>
      <c r="C9" s="71">
        <v>71</v>
      </c>
      <c r="D9" s="20">
        <v>71</v>
      </c>
      <c r="E9" s="20">
        <v>0</v>
      </c>
      <c r="F9" s="20">
        <v>0</v>
      </c>
      <c r="G9" s="20">
        <v>0</v>
      </c>
      <c r="H9" s="20">
        <v>0</v>
      </c>
    </row>
    <row r="10" ht="30.75" customHeight="1" spans="1:8">
      <c r="A10" s="20"/>
      <c r="B10" s="20"/>
      <c r="C10" s="20"/>
      <c r="D10" s="20"/>
      <c r="E10" s="20"/>
      <c r="F10" s="20"/>
      <c r="G10" s="20"/>
      <c r="H10" s="20"/>
    </row>
    <row r="11" ht="30.75" customHeight="1" spans="1:8">
      <c r="A11" s="20"/>
      <c r="B11" s="20"/>
      <c r="C11" s="20"/>
      <c r="D11" s="20"/>
      <c r="E11" s="20"/>
      <c r="F11" s="20"/>
      <c r="G11" s="20"/>
      <c r="H11" s="20"/>
    </row>
  </sheetData>
  <mergeCells count="2">
    <mergeCell ref="A2:H2"/>
    <mergeCell ref="C4:H4"/>
  </mergeCells>
  <pageMargins left="0.15625" right="0.15625" top="0.786805555555556" bottom="0.786805555555556" header="0.511805555555556" footer="0.511805555555556"/>
  <pageSetup paperSize="9" orientation="landscape"/>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
  <sheetViews>
    <sheetView tabSelected="1" topLeftCell="C4" workbookViewId="0">
      <selection activeCell="G17" sqref="G17"/>
    </sheetView>
  </sheetViews>
  <sheetFormatPr defaultColWidth="9" defaultRowHeight="14.25"/>
  <cols>
    <col min="2" max="2" width="21.375" customWidth="1"/>
    <col min="3" max="3" width="10" customWidth="1"/>
    <col min="4" max="4" width="19" customWidth="1"/>
    <col min="5" max="5" width="12.375" customWidth="1"/>
    <col min="6" max="6" width="10.125" customWidth="1"/>
    <col min="8" max="8" width="10.25" customWidth="1"/>
    <col min="9" max="9" width="10.375" customWidth="1"/>
    <col min="10" max="10" width="9.25"/>
  </cols>
  <sheetData>
    <row r="1" spans="1:1">
      <c r="A1" t="s">
        <v>35</v>
      </c>
    </row>
    <row r="2" ht="40.5" customHeight="1" spans="1:15">
      <c r="A2" s="1" t="s">
        <v>36</v>
      </c>
      <c r="B2" s="1"/>
      <c r="C2" s="1"/>
      <c r="D2" s="1"/>
      <c r="E2" s="1"/>
      <c r="F2" s="1"/>
      <c r="G2" s="1"/>
      <c r="H2" s="1"/>
      <c r="I2" s="1"/>
      <c r="J2" s="1"/>
      <c r="K2" s="1"/>
      <c r="L2" s="1"/>
      <c r="M2" s="1"/>
      <c r="N2" s="1"/>
      <c r="O2" s="1"/>
    </row>
    <row r="3" spans="14:14">
      <c r="N3" t="s">
        <v>2</v>
      </c>
    </row>
    <row r="4" s="22" customFormat="1" ht="30.75" customHeight="1" spans="1:15">
      <c r="A4" s="34" t="s">
        <v>22</v>
      </c>
      <c r="B4" s="34" t="s">
        <v>23</v>
      </c>
      <c r="C4" s="34" t="s">
        <v>37</v>
      </c>
      <c r="D4" s="34" t="s">
        <v>38</v>
      </c>
      <c r="E4" s="34" t="s">
        <v>39</v>
      </c>
      <c r="F4" s="34" t="s">
        <v>40</v>
      </c>
      <c r="G4" s="34" t="s">
        <v>41</v>
      </c>
      <c r="H4" s="34" t="s">
        <v>42</v>
      </c>
      <c r="I4" s="34" t="s">
        <v>43</v>
      </c>
      <c r="J4" s="35" t="s">
        <v>24</v>
      </c>
      <c r="K4" s="38"/>
      <c r="L4" s="38"/>
      <c r="M4" s="38"/>
      <c r="N4" s="38"/>
      <c r="O4" s="39"/>
    </row>
    <row r="5" s="22" customFormat="1" ht="55.5" customHeight="1" spans="1:15">
      <c r="A5" s="36"/>
      <c r="B5" s="36"/>
      <c r="C5" s="36"/>
      <c r="D5" s="36"/>
      <c r="E5" s="36"/>
      <c r="F5" s="36"/>
      <c r="G5" s="36"/>
      <c r="H5" s="36"/>
      <c r="I5" s="36"/>
      <c r="J5" s="68" t="s">
        <v>39</v>
      </c>
      <c r="K5" s="68" t="s">
        <v>26</v>
      </c>
      <c r="L5" s="68" t="s">
        <v>27</v>
      </c>
      <c r="M5" s="68" t="s">
        <v>28</v>
      </c>
      <c r="N5" s="68" t="s">
        <v>29</v>
      </c>
      <c r="O5" s="68" t="s">
        <v>30</v>
      </c>
    </row>
    <row r="6" spans="1:15">
      <c r="A6" s="63" t="s">
        <v>31</v>
      </c>
      <c r="B6" s="63" t="s">
        <v>31</v>
      </c>
      <c r="C6" s="63" t="s">
        <v>31</v>
      </c>
      <c r="D6" s="63" t="s">
        <v>31</v>
      </c>
      <c r="E6" s="63">
        <v>1</v>
      </c>
      <c r="F6" s="63">
        <v>2</v>
      </c>
      <c r="G6" s="63">
        <v>3</v>
      </c>
      <c r="H6" s="63">
        <v>4</v>
      </c>
      <c r="I6" s="63">
        <v>5</v>
      </c>
      <c r="J6" s="63">
        <v>6</v>
      </c>
      <c r="K6" s="63">
        <v>7</v>
      </c>
      <c r="L6" s="63">
        <v>8</v>
      </c>
      <c r="M6" s="63">
        <v>9</v>
      </c>
      <c r="N6" s="63">
        <v>10</v>
      </c>
      <c r="O6" s="63">
        <v>11</v>
      </c>
    </row>
    <row r="7" spans="1:15">
      <c r="A7" s="64">
        <v>201001</v>
      </c>
      <c r="B7" s="64" t="s">
        <v>32</v>
      </c>
      <c r="C7" s="65" t="s">
        <v>44</v>
      </c>
      <c r="D7" s="65" t="s">
        <v>45</v>
      </c>
      <c r="E7" s="56">
        <f>E8</f>
        <v>22046.7</v>
      </c>
      <c r="F7" s="8">
        <f>F8</f>
        <v>9528.6</v>
      </c>
      <c r="G7" s="8">
        <f>G8+G23</f>
        <v>0</v>
      </c>
      <c r="H7" s="8">
        <f>H8+H23</f>
        <v>1808.1</v>
      </c>
      <c r="I7" s="8">
        <f>I8+I23</f>
        <v>10710</v>
      </c>
      <c r="J7" s="8">
        <f>J8</f>
        <v>22046.7</v>
      </c>
      <c r="K7" s="20">
        <f>K8</f>
        <v>22046.7</v>
      </c>
      <c r="L7" s="20"/>
      <c r="M7" s="20"/>
      <c r="N7" s="20"/>
      <c r="O7" s="20"/>
    </row>
    <row r="8" spans="1:15">
      <c r="A8" s="64">
        <v>201001</v>
      </c>
      <c r="B8" s="64" t="s">
        <v>32</v>
      </c>
      <c r="C8" s="65" t="s">
        <v>46</v>
      </c>
      <c r="D8" s="65" t="s">
        <v>47</v>
      </c>
      <c r="E8" s="56">
        <f>SUM(F8:I8)</f>
        <v>22046.7</v>
      </c>
      <c r="F8" s="56">
        <f>SUM(F9:F22)</f>
        <v>9528.6</v>
      </c>
      <c r="G8" s="56">
        <f>SUM(G9:G22)</f>
        <v>0</v>
      </c>
      <c r="H8" s="56">
        <f>SUM(H9:H22)</f>
        <v>1808.1</v>
      </c>
      <c r="I8" s="56">
        <f>SUM(I9:I22)</f>
        <v>10710</v>
      </c>
      <c r="J8" s="20">
        <f t="shared" ref="J8:J25" si="0">SUM(K8:O8)</f>
        <v>22046.7</v>
      </c>
      <c r="K8" s="20">
        <v>22046.7</v>
      </c>
      <c r="L8" s="20"/>
      <c r="M8" s="20"/>
      <c r="N8" s="20"/>
      <c r="O8" s="20"/>
    </row>
    <row r="9" spans="1:15">
      <c r="A9" s="64">
        <v>201001</v>
      </c>
      <c r="B9" s="64" t="s">
        <v>32</v>
      </c>
      <c r="C9" s="66" t="s">
        <v>48</v>
      </c>
      <c r="D9" s="66" t="s">
        <v>49</v>
      </c>
      <c r="E9" s="56">
        <f t="shared" ref="E9:E25" si="1">SUM(F9:I9)</f>
        <v>12354.7</v>
      </c>
      <c r="F9" s="20">
        <v>9528.6</v>
      </c>
      <c r="G9" s="20"/>
      <c r="H9" s="20">
        <v>1808.1</v>
      </c>
      <c r="I9">
        <v>1018</v>
      </c>
      <c r="J9" s="20">
        <f t="shared" si="0"/>
        <v>12354.7</v>
      </c>
      <c r="K9" s="20">
        <v>12354.7</v>
      </c>
      <c r="L9" s="20"/>
      <c r="M9" s="20"/>
      <c r="N9" s="20"/>
      <c r="O9" s="20"/>
    </row>
    <row r="10" spans="1:15">
      <c r="A10" s="64">
        <v>201001</v>
      </c>
      <c r="B10" s="64" t="s">
        <v>32</v>
      </c>
      <c r="C10" s="66" t="s">
        <v>50</v>
      </c>
      <c r="D10" s="66" t="s">
        <v>51</v>
      </c>
      <c r="E10" s="56">
        <f t="shared" si="1"/>
        <v>310</v>
      </c>
      <c r="F10" s="20"/>
      <c r="G10" s="20"/>
      <c r="H10" s="20"/>
      <c r="I10" s="20">
        <v>310</v>
      </c>
      <c r="J10" s="20">
        <f t="shared" si="0"/>
        <v>310</v>
      </c>
      <c r="K10" s="20">
        <v>310</v>
      </c>
      <c r="L10" s="20"/>
      <c r="M10" s="20"/>
      <c r="N10" s="20"/>
      <c r="O10" s="20"/>
    </row>
    <row r="11" spans="1:15">
      <c r="A11" s="64">
        <v>201001</v>
      </c>
      <c r="B11" s="64" t="s">
        <v>32</v>
      </c>
      <c r="C11" s="66" t="s">
        <v>52</v>
      </c>
      <c r="D11" s="66" t="s">
        <v>53</v>
      </c>
      <c r="E11" s="56">
        <f t="shared" si="1"/>
        <v>50</v>
      </c>
      <c r="F11" s="20"/>
      <c r="G11" s="20"/>
      <c r="H11" s="20"/>
      <c r="I11" s="56">
        <v>50</v>
      </c>
      <c r="J11" s="20">
        <f t="shared" si="0"/>
        <v>50</v>
      </c>
      <c r="K11" s="20">
        <v>50</v>
      </c>
      <c r="L11" s="20"/>
      <c r="M11" s="20"/>
      <c r="N11" s="20"/>
      <c r="O11" s="20"/>
    </row>
    <row r="12" spans="1:15">
      <c r="A12" s="64">
        <v>201001</v>
      </c>
      <c r="B12" s="64" t="s">
        <v>32</v>
      </c>
      <c r="C12" s="66" t="s">
        <v>54</v>
      </c>
      <c r="D12" s="66" t="s">
        <v>55</v>
      </c>
      <c r="E12" s="56">
        <f t="shared" si="1"/>
        <v>100</v>
      </c>
      <c r="F12" s="20"/>
      <c r="G12" s="20"/>
      <c r="H12" s="20"/>
      <c r="I12" s="56">
        <v>100</v>
      </c>
      <c r="J12" s="20">
        <f t="shared" si="0"/>
        <v>100</v>
      </c>
      <c r="K12" s="20">
        <v>100</v>
      </c>
      <c r="L12" s="20"/>
      <c r="M12" s="20"/>
      <c r="N12" s="20"/>
      <c r="O12" s="20"/>
    </row>
    <row r="13" spans="1:15">
      <c r="A13" s="64">
        <v>201001</v>
      </c>
      <c r="B13" s="64" t="s">
        <v>32</v>
      </c>
      <c r="C13" s="66" t="s">
        <v>56</v>
      </c>
      <c r="D13" s="67" t="s">
        <v>57</v>
      </c>
      <c r="E13" s="56">
        <f t="shared" si="1"/>
        <v>150</v>
      </c>
      <c r="F13" s="20"/>
      <c r="G13" s="20"/>
      <c r="H13" s="20"/>
      <c r="I13" s="56">
        <v>150</v>
      </c>
      <c r="J13" s="20">
        <f t="shared" si="0"/>
        <v>150</v>
      </c>
      <c r="K13" s="20">
        <v>150</v>
      </c>
      <c r="L13" s="20"/>
      <c r="M13" s="20"/>
      <c r="N13" s="20"/>
      <c r="O13" s="20"/>
    </row>
    <row r="14" spans="1:15">
      <c r="A14" s="64">
        <v>201001</v>
      </c>
      <c r="B14" s="64" t="s">
        <v>32</v>
      </c>
      <c r="C14" s="66" t="s">
        <v>58</v>
      </c>
      <c r="D14" s="66" t="s">
        <v>59</v>
      </c>
      <c r="E14" s="56">
        <f t="shared" si="1"/>
        <v>220</v>
      </c>
      <c r="F14" s="20"/>
      <c r="G14" s="20"/>
      <c r="H14" s="20"/>
      <c r="I14" s="56">
        <v>220</v>
      </c>
      <c r="J14" s="20">
        <f t="shared" si="0"/>
        <v>220</v>
      </c>
      <c r="K14" s="20">
        <v>220</v>
      </c>
      <c r="L14" s="20"/>
      <c r="M14" s="20"/>
      <c r="N14" s="20"/>
      <c r="O14" s="20"/>
    </row>
    <row r="15" spans="1:15">
      <c r="A15" s="64">
        <v>201001</v>
      </c>
      <c r="B15" s="64" t="s">
        <v>32</v>
      </c>
      <c r="C15" s="66" t="s">
        <v>60</v>
      </c>
      <c r="D15" s="66" t="s">
        <v>61</v>
      </c>
      <c r="E15" s="56">
        <f t="shared" si="1"/>
        <v>1170</v>
      </c>
      <c r="F15" s="20"/>
      <c r="G15" s="20"/>
      <c r="H15" s="20"/>
      <c r="I15" s="56">
        <v>1170</v>
      </c>
      <c r="J15" s="20">
        <f t="shared" si="0"/>
        <v>1170</v>
      </c>
      <c r="K15" s="20">
        <v>1170</v>
      </c>
      <c r="L15" s="20"/>
      <c r="M15" s="20"/>
      <c r="N15" s="20"/>
      <c r="O15" s="20"/>
    </row>
    <row r="16" spans="1:15">
      <c r="A16" s="64">
        <v>201001</v>
      </c>
      <c r="B16" s="64" t="s">
        <v>32</v>
      </c>
      <c r="C16" s="66" t="s">
        <v>62</v>
      </c>
      <c r="D16" s="66" t="s">
        <v>63</v>
      </c>
      <c r="E16" s="56">
        <f t="shared" si="1"/>
        <v>500</v>
      </c>
      <c r="F16" s="20"/>
      <c r="G16" s="20"/>
      <c r="H16" s="20"/>
      <c r="I16" s="56">
        <v>500</v>
      </c>
      <c r="J16" s="20">
        <f t="shared" si="0"/>
        <v>500</v>
      </c>
      <c r="K16" s="20">
        <v>500</v>
      </c>
      <c r="L16" s="20"/>
      <c r="M16" s="20"/>
      <c r="N16" s="20"/>
      <c r="O16" s="20"/>
    </row>
    <row r="17" spans="1:15">
      <c r="A17" s="64">
        <v>201001</v>
      </c>
      <c r="B17" s="64" t="s">
        <v>32</v>
      </c>
      <c r="C17" s="66" t="s">
        <v>64</v>
      </c>
      <c r="D17" s="66" t="s">
        <v>65</v>
      </c>
      <c r="E17" s="56">
        <f t="shared" si="1"/>
        <v>50</v>
      </c>
      <c r="F17" s="20"/>
      <c r="G17" s="20"/>
      <c r="H17" s="20"/>
      <c r="I17" s="56">
        <v>50</v>
      </c>
      <c r="J17" s="20">
        <f t="shared" si="0"/>
        <v>50</v>
      </c>
      <c r="K17" s="20">
        <v>50</v>
      </c>
      <c r="L17" s="20"/>
      <c r="M17" s="20"/>
      <c r="N17" s="20"/>
      <c r="O17" s="20"/>
    </row>
    <row r="18" spans="1:15">
      <c r="A18" s="64">
        <v>201002</v>
      </c>
      <c r="B18" s="64" t="s">
        <v>32</v>
      </c>
      <c r="C18" s="66" t="s">
        <v>66</v>
      </c>
      <c r="D18" s="66" t="s">
        <v>67</v>
      </c>
      <c r="E18" s="56">
        <v>30</v>
      </c>
      <c r="F18" s="20"/>
      <c r="G18" s="20"/>
      <c r="H18" s="20"/>
      <c r="I18" s="56">
        <v>30</v>
      </c>
      <c r="J18" s="20">
        <v>30</v>
      </c>
      <c r="K18" s="20"/>
      <c r="L18" s="20"/>
      <c r="M18" s="20"/>
      <c r="N18" s="20"/>
      <c r="O18" s="20"/>
    </row>
    <row r="19" spans="1:15">
      <c r="A19" s="64">
        <v>201002</v>
      </c>
      <c r="B19" s="64" t="s">
        <v>33</v>
      </c>
      <c r="C19" s="66" t="s">
        <v>66</v>
      </c>
      <c r="D19" s="66" t="s">
        <v>67</v>
      </c>
      <c r="E19" s="56">
        <v>191</v>
      </c>
      <c r="F19" s="20"/>
      <c r="G19" s="20"/>
      <c r="H19" s="20"/>
      <c r="I19" s="56">
        <v>191</v>
      </c>
      <c r="J19" s="56">
        <v>191</v>
      </c>
      <c r="K19" s="56">
        <v>191</v>
      </c>
      <c r="L19" s="20"/>
      <c r="M19" s="20"/>
      <c r="N19" s="20"/>
      <c r="O19" s="20"/>
    </row>
    <row r="20" spans="1:15">
      <c r="A20" s="64">
        <v>201003</v>
      </c>
      <c r="B20" s="64" t="s">
        <v>34</v>
      </c>
      <c r="C20" s="66" t="s">
        <v>66</v>
      </c>
      <c r="D20" s="66" t="s">
        <v>67</v>
      </c>
      <c r="E20" s="56">
        <v>71</v>
      </c>
      <c r="F20" s="20"/>
      <c r="G20" s="20"/>
      <c r="H20" s="20"/>
      <c r="I20" s="56">
        <v>71</v>
      </c>
      <c r="J20" s="56">
        <v>71</v>
      </c>
      <c r="K20" s="56">
        <v>71</v>
      </c>
      <c r="L20" s="20"/>
      <c r="M20" s="20"/>
      <c r="N20" s="20"/>
      <c r="O20" s="20"/>
    </row>
    <row r="21" spans="1:15">
      <c r="A21" s="64">
        <v>201001</v>
      </c>
      <c r="B21" s="64" t="s">
        <v>32</v>
      </c>
      <c r="C21" s="66">
        <v>2040219</v>
      </c>
      <c r="D21" s="66" t="s">
        <v>68</v>
      </c>
      <c r="E21" s="56">
        <f t="shared" ref="E21:E26" si="2">SUM(F21:I21)</f>
        <v>2350</v>
      </c>
      <c r="F21" s="20"/>
      <c r="G21" s="20"/>
      <c r="H21" s="20"/>
      <c r="I21" s="56">
        <v>2350</v>
      </c>
      <c r="J21" s="20">
        <f t="shared" ref="J21:J26" si="3">SUM(K21:O21)</f>
        <v>2350</v>
      </c>
      <c r="K21" s="20">
        <v>2350</v>
      </c>
      <c r="L21" s="20"/>
      <c r="M21" s="20"/>
      <c r="N21" s="20"/>
      <c r="O21" s="20"/>
    </row>
    <row r="22" spans="1:15">
      <c r="A22" s="64">
        <v>201001</v>
      </c>
      <c r="B22" s="64" t="s">
        <v>32</v>
      </c>
      <c r="C22" s="66" t="s">
        <v>69</v>
      </c>
      <c r="D22" s="66" t="s">
        <v>70</v>
      </c>
      <c r="E22" s="56">
        <f t="shared" si="2"/>
        <v>4500</v>
      </c>
      <c r="F22" s="20"/>
      <c r="G22" s="20"/>
      <c r="H22" s="20"/>
      <c r="I22" s="56">
        <v>4500</v>
      </c>
      <c r="J22" s="20">
        <f t="shared" si="3"/>
        <v>4500</v>
      </c>
      <c r="K22" s="20">
        <v>4500</v>
      </c>
      <c r="L22" s="20"/>
      <c r="M22" s="20"/>
      <c r="N22" s="20"/>
      <c r="O22" s="20"/>
    </row>
    <row r="23" spans="1:15">
      <c r="A23" s="64">
        <v>201001</v>
      </c>
      <c r="B23" s="64" t="s">
        <v>32</v>
      </c>
      <c r="C23" s="65" t="s">
        <v>71</v>
      </c>
      <c r="D23" s="65" t="s">
        <v>72</v>
      </c>
      <c r="E23" s="8">
        <f t="shared" si="2"/>
        <v>876.35</v>
      </c>
      <c r="F23" s="8">
        <f>F24</f>
        <v>876.35</v>
      </c>
      <c r="G23" s="8">
        <f>G24</f>
        <v>0</v>
      </c>
      <c r="H23" s="8">
        <f>H24</f>
        <v>0</v>
      </c>
      <c r="I23" s="8">
        <f>I24</f>
        <v>0</v>
      </c>
      <c r="J23" s="8">
        <f t="shared" si="3"/>
        <v>876.35</v>
      </c>
      <c r="K23" s="20">
        <v>876.35</v>
      </c>
      <c r="L23" s="20"/>
      <c r="M23" s="20"/>
      <c r="N23" s="20"/>
      <c r="O23" s="20"/>
    </row>
    <row r="24" spans="1:15">
      <c r="A24" s="64">
        <v>201001</v>
      </c>
      <c r="B24" s="64" t="s">
        <v>32</v>
      </c>
      <c r="C24" s="65" t="s">
        <v>73</v>
      </c>
      <c r="D24" s="65" t="s">
        <v>74</v>
      </c>
      <c r="E24" s="56">
        <f t="shared" si="2"/>
        <v>876.35</v>
      </c>
      <c r="F24" s="56">
        <f>SUM(F25:F26)</f>
        <v>876.35</v>
      </c>
      <c r="G24" s="56">
        <f>SUM(G25:G26)</f>
        <v>0</v>
      </c>
      <c r="H24" s="56">
        <f>SUM(H25:H26)</f>
        <v>0</v>
      </c>
      <c r="I24" s="56">
        <f>SUM(I25:I26)</f>
        <v>0</v>
      </c>
      <c r="J24" s="20">
        <f t="shared" si="3"/>
        <v>876.35</v>
      </c>
      <c r="K24" s="20">
        <v>876.35</v>
      </c>
      <c r="L24" s="20"/>
      <c r="M24" s="20"/>
      <c r="N24" s="20"/>
      <c r="O24" s="20"/>
    </row>
    <row r="25" spans="1:15">
      <c r="A25" s="64">
        <v>201001</v>
      </c>
      <c r="B25" s="64" t="s">
        <v>32</v>
      </c>
      <c r="C25" s="66" t="s">
        <v>75</v>
      </c>
      <c r="D25" s="66" t="s">
        <v>76</v>
      </c>
      <c r="E25" s="20">
        <f t="shared" si="2"/>
        <v>713.03</v>
      </c>
      <c r="F25" s="20">
        <v>713.03</v>
      </c>
      <c r="G25" s="20"/>
      <c r="H25" s="20"/>
      <c r="I25" s="20"/>
      <c r="J25" s="20">
        <f t="shared" si="3"/>
        <v>713.03</v>
      </c>
      <c r="K25" s="20">
        <v>713.03</v>
      </c>
      <c r="L25" s="20"/>
      <c r="M25" s="20"/>
      <c r="N25" s="20"/>
      <c r="O25" s="20"/>
    </row>
    <row r="26" spans="1:15">
      <c r="A26" s="64">
        <v>201001</v>
      </c>
      <c r="B26" s="64" t="s">
        <v>32</v>
      </c>
      <c r="C26" s="66" t="s">
        <v>77</v>
      </c>
      <c r="D26" s="66" t="s">
        <v>78</v>
      </c>
      <c r="E26" s="20">
        <f t="shared" si="2"/>
        <v>163.32</v>
      </c>
      <c r="F26" s="20">
        <v>163.32</v>
      </c>
      <c r="G26" s="20"/>
      <c r="H26" s="20"/>
      <c r="I26" s="20"/>
      <c r="J26" s="20">
        <f t="shared" si="3"/>
        <v>163.32</v>
      </c>
      <c r="K26" s="20">
        <v>163.32</v>
      </c>
      <c r="L26" s="20"/>
      <c r="M26" s="20"/>
      <c r="N26" s="20"/>
      <c r="O26" s="20"/>
    </row>
    <row r="27" s="22" customFormat="1" ht="77.25" customHeight="1" spans="1:15">
      <c r="A27" s="12" t="s">
        <v>79</v>
      </c>
      <c r="B27" s="12"/>
      <c r="C27" s="12"/>
      <c r="D27" s="12"/>
      <c r="E27" s="12"/>
      <c r="F27" s="12"/>
      <c r="G27" s="12"/>
      <c r="H27" s="12"/>
      <c r="I27" s="12"/>
      <c r="J27" s="12"/>
      <c r="K27" s="12"/>
      <c r="L27" s="12"/>
      <c r="M27" s="12"/>
      <c r="N27" s="12"/>
      <c r="O27" s="12"/>
    </row>
  </sheetData>
  <mergeCells count="12">
    <mergeCell ref="A2:O2"/>
    <mergeCell ref="J4:O4"/>
    <mergeCell ref="A27:O27"/>
    <mergeCell ref="A4:A5"/>
    <mergeCell ref="B4:B5"/>
    <mergeCell ref="C4:C5"/>
    <mergeCell ref="D4:D5"/>
    <mergeCell ref="E4:E5"/>
    <mergeCell ref="F4:F5"/>
    <mergeCell ref="G4:G5"/>
    <mergeCell ref="H4:H5"/>
    <mergeCell ref="I4:I5"/>
  </mergeCells>
  <pageMargins left="0.15625" right="0.15625" top="0.786805555555556" bottom="0.786805555555556" header="0.511805555555556" footer="0.511805555555556"/>
  <pageSetup paperSize="9" orientation="landscape"/>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C13" sqref="C13"/>
    </sheetView>
  </sheetViews>
  <sheetFormatPr defaultColWidth="9" defaultRowHeight="14.25" outlineLevelCol="3"/>
  <cols>
    <col min="1" max="1" width="26.875" customWidth="1"/>
    <col min="2" max="2" width="19" customWidth="1"/>
    <col min="3" max="3" width="30" customWidth="1"/>
    <col min="4" max="4" width="19" customWidth="1"/>
  </cols>
  <sheetData>
    <row r="1" spans="1:1">
      <c r="A1" t="s">
        <v>80</v>
      </c>
    </row>
    <row r="2" ht="25.5" spans="1:4">
      <c r="A2" s="1" t="s">
        <v>81</v>
      </c>
      <c r="B2" s="1"/>
      <c r="C2" s="1"/>
      <c r="D2" s="1"/>
    </row>
    <row r="3" spans="4:4">
      <c r="D3" t="s">
        <v>2</v>
      </c>
    </row>
    <row r="4" ht="26.25" customHeight="1" spans="1:4">
      <c r="A4" s="42" t="s">
        <v>3</v>
      </c>
      <c r="B4" s="43"/>
      <c r="C4" s="42" t="s">
        <v>4</v>
      </c>
      <c r="D4" s="43"/>
    </row>
    <row r="5" ht="26.25" customHeight="1" spans="1:4">
      <c r="A5" s="2" t="s">
        <v>5</v>
      </c>
      <c r="B5" s="2" t="s">
        <v>6</v>
      </c>
      <c r="C5" s="2" t="s">
        <v>7</v>
      </c>
      <c r="D5" s="2" t="s">
        <v>6</v>
      </c>
    </row>
    <row r="6" ht="26.25" customHeight="1" spans="1:4">
      <c r="A6" s="8" t="s">
        <v>8</v>
      </c>
      <c r="B6" s="61">
        <v>22923.05</v>
      </c>
      <c r="C6" s="8" t="s">
        <v>9</v>
      </c>
      <c r="D6" s="61">
        <f>SUM(D7:D9)</f>
        <v>12213.05</v>
      </c>
    </row>
    <row r="7" ht="26.25" customHeight="1" spans="1:4">
      <c r="A7" s="8" t="s">
        <v>10</v>
      </c>
      <c r="B7" s="61">
        <v>0</v>
      </c>
      <c r="C7" s="20" t="s">
        <v>82</v>
      </c>
      <c r="D7" s="62">
        <v>10404.95</v>
      </c>
    </row>
    <row r="8" ht="26.25" customHeight="1" spans="1:4">
      <c r="A8" s="20"/>
      <c r="B8" s="62"/>
      <c r="C8" s="20" t="s">
        <v>83</v>
      </c>
      <c r="D8" s="62"/>
    </row>
    <row r="9" ht="26.25" customHeight="1" spans="1:4">
      <c r="A9" s="20"/>
      <c r="B9" s="62"/>
      <c r="C9" s="20" t="s">
        <v>84</v>
      </c>
      <c r="D9" s="62">
        <v>1808.1</v>
      </c>
    </row>
    <row r="10" ht="26.25" customHeight="1" spans="1:4">
      <c r="A10" s="20"/>
      <c r="B10" s="62"/>
      <c r="C10" s="8" t="s">
        <v>17</v>
      </c>
      <c r="D10" s="61">
        <v>10710</v>
      </c>
    </row>
    <row r="11" ht="26.25" customHeight="1" spans="1:4">
      <c r="A11" s="20"/>
      <c r="B11" s="62"/>
      <c r="C11" s="20"/>
      <c r="D11" s="62"/>
    </row>
    <row r="12" ht="26.25" customHeight="1" spans="1:4">
      <c r="A12" s="20"/>
      <c r="B12" s="62"/>
      <c r="C12" s="20"/>
      <c r="D12" s="62"/>
    </row>
    <row r="13" ht="26.25" customHeight="1" spans="1:4">
      <c r="A13" s="2" t="s">
        <v>18</v>
      </c>
      <c r="B13" s="61">
        <f>SUM(B6:B7)</f>
        <v>22923.05</v>
      </c>
      <c r="C13" s="2" t="s">
        <v>19</v>
      </c>
      <c r="D13" s="61">
        <f>D6+D10</f>
        <v>22923.05</v>
      </c>
    </row>
  </sheetData>
  <mergeCells count="3">
    <mergeCell ref="A2:D2"/>
    <mergeCell ref="A4:B4"/>
    <mergeCell ref="C4:D4"/>
  </mergeCell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opLeftCell="A7" workbookViewId="0">
      <selection activeCell="C18" sqref="C18"/>
    </sheetView>
  </sheetViews>
  <sheetFormatPr defaultColWidth="9" defaultRowHeight="14.25" outlineLevelCol="4"/>
  <cols>
    <col min="2" max="2" width="20.375" customWidth="1"/>
    <col min="3" max="3" width="18.25" customWidth="1"/>
    <col min="4" max="4" width="15.875" customWidth="1"/>
    <col min="5" max="5" width="15" customWidth="1"/>
  </cols>
  <sheetData>
    <row r="1" spans="1:1">
      <c r="A1" t="s">
        <v>85</v>
      </c>
    </row>
    <row r="2" ht="30" customHeight="1" spans="1:5">
      <c r="A2" s="1" t="s">
        <v>86</v>
      </c>
      <c r="B2" s="1"/>
      <c r="C2" s="1"/>
      <c r="D2" s="1"/>
      <c r="E2" s="1"/>
    </row>
    <row r="3" spans="5:5">
      <c r="E3" t="s">
        <v>2</v>
      </c>
    </row>
    <row r="4" ht="24" customHeight="1" spans="1:5">
      <c r="A4" s="48" t="s">
        <v>37</v>
      </c>
      <c r="B4" s="48" t="s">
        <v>38</v>
      </c>
      <c r="C4" s="48" t="s">
        <v>39</v>
      </c>
      <c r="D4" s="2" t="s">
        <v>87</v>
      </c>
      <c r="E4" s="2"/>
    </row>
    <row r="5" ht="24" customHeight="1" spans="1:5">
      <c r="A5" s="49"/>
      <c r="B5" s="49"/>
      <c r="C5" s="49"/>
      <c r="D5" s="2" t="s">
        <v>88</v>
      </c>
      <c r="E5" s="2" t="s">
        <v>43</v>
      </c>
    </row>
    <row r="6" ht="24" customHeight="1" spans="1:5">
      <c r="A6" s="3" t="s">
        <v>31</v>
      </c>
      <c r="B6" s="3" t="s">
        <v>31</v>
      </c>
      <c r="C6" s="3">
        <v>1</v>
      </c>
      <c r="D6" s="3">
        <v>2</v>
      </c>
      <c r="E6" s="3">
        <v>3</v>
      </c>
    </row>
    <row r="7" ht="24" customHeight="1" spans="1:5">
      <c r="A7" s="55" t="s">
        <v>44</v>
      </c>
      <c r="B7" s="55" t="s">
        <v>45</v>
      </c>
      <c r="C7" s="8">
        <f>SUM(D7:E7)</f>
        <v>22923.05</v>
      </c>
      <c r="D7" s="8">
        <f>D8+D21</f>
        <v>12213.05</v>
      </c>
      <c r="E7" s="8">
        <f>E8+E21</f>
        <v>10710</v>
      </c>
    </row>
    <row r="8" ht="24" customHeight="1" spans="1:5">
      <c r="A8" s="55" t="s">
        <v>46</v>
      </c>
      <c r="B8" s="55" t="s">
        <v>47</v>
      </c>
      <c r="C8" s="56">
        <f>SUM(D8:E8)</f>
        <v>22046.7</v>
      </c>
      <c r="D8" s="56">
        <f>SUM(D9:D20)</f>
        <v>11336.7</v>
      </c>
      <c r="E8" s="56">
        <f>SUM(E9:E20)</f>
        <v>10710</v>
      </c>
    </row>
    <row r="9" ht="24" customHeight="1" spans="1:5">
      <c r="A9" s="57" t="s">
        <v>48</v>
      </c>
      <c r="B9" s="57" t="s">
        <v>49</v>
      </c>
      <c r="C9" s="56">
        <f>SUM(D9:E9)</f>
        <v>12354.7</v>
      </c>
      <c r="D9" s="56">
        <v>11336.7</v>
      </c>
      <c r="E9" s="56">
        <v>1018</v>
      </c>
    </row>
    <row r="10" ht="24" customHeight="1" spans="1:5">
      <c r="A10" s="57" t="s">
        <v>50</v>
      </c>
      <c r="B10" s="57" t="s">
        <v>51</v>
      </c>
      <c r="C10" s="56">
        <f t="shared" ref="C10:C24" si="0">SUM(D10:E10)</f>
        <v>310</v>
      </c>
      <c r="D10" s="56"/>
      <c r="E10" s="56">
        <v>310</v>
      </c>
    </row>
    <row r="11" ht="24" customHeight="1" spans="1:5">
      <c r="A11" s="57" t="s">
        <v>52</v>
      </c>
      <c r="B11" s="57" t="s">
        <v>53</v>
      </c>
      <c r="C11" s="56">
        <f t="shared" si="0"/>
        <v>50</v>
      </c>
      <c r="D11" s="56"/>
      <c r="E11" s="56">
        <v>50</v>
      </c>
    </row>
    <row r="12" ht="24" customHeight="1" spans="1:5">
      <c r="A12" s="57" t="s">
        <v>54</v>
      </c>
      <c r="B12" s="57" t="s">
        <v>55</v>
      </c>
      <c r="C12" s="56">
        <f t="shared" si="0"/>
        <v>100</v>
      </c>
      <c r="D12" s="56"/>
      <c r="E12" s="56">
        <v>100</v>
      </c>
    </row>
    <row r="13" ht="24" customHeight="1" spans="1:5">
      <c r="A13" s="57" t="s">
        <v>56</v>
      </c>
      <c r="B13" s="58" t="s">
        <v>57</v>
      </c>
      <c r="C13" s="56">
        <f t="shared" si="0"/>
        <v>150</v>
      </c>
      <c r="D13" s="56"/>
      <c r="E13" s="56">
        <v>150</v>
      </c>
    </row>
    <row r="14" ht="24" customHeight="1" spans="1:5">
      <c r="A14" s="57" t="s">
        <v>58</v>
      </c>
      <c r="B14" s="57" t="s">
        <v>59</v>
      </c>
      <c r="C14" s="56">
        <f t="shared" si="0"/>
        <v>220</v>
      </c>
      <c r="D14" s="56"/>
      <c r="E14" s="56">
        <v>220</v>
      </c>
    </row>
    <row r="15" ht="24" customHeight="1" spans="1:5">
      <c r="A15" s="57" t="s">
        <v>60</v>
      </c>
      <c r="B15" s="57" t="s">
        <v>61</v>
      </c>
      <c r="C15" s="56">
        <f t="shared" si="0"/>
        <v>1170</v>
      </c>
      <c r="D15" s="56"/>
      <c r="E15" s="56">
        <v>1170</v>
      </c>
    </row>
    <row r="16" ht="24" customHeight="1" spans="1:5">
      <c r="A16" s="57" t="s">
        <v>62</v>
      </c>
      <c r="B16" s="57" t="s">
        <v>63</v>
      </c>
      <c r="C16" s="56">
        <f t="shared" si="0"/>
        <v>500</v>
      </c>
      <c r="D16" s="56"/>
      <c r="E16" s="56">
        <v>500</v>
      </c>
    </row>
    <row r="17" ht="24" customHeight="1" spans="1:5">
      <c r="A17" s="57" t="s">
        <v>64</v>
      </c>
      <c r="B17" s="57" t="s">
        <v>65</v>
      </c>
      <c r="C17" s="56">
        <f t="shared" si="0"/>
        <v>50</v>
      </c>
      <c r="D17" s="56"/>
      <c r="E17" s="56">
        <v>50</v>
      </c>
    </row>
    <row r="18" ht="24" customHeight="1" spans="1:5">
      <c r="A18" s="57">
        <v>2040217</v>
      </c>
      <c r="B18" s="57" t="s">
        <v>67</v>
      </c>
      <c r="C18" s="56">
        <f t="shared" si="0"/>
        <v>292</v>
      </c>
      <c r="D18" s="56"/>
      <c r="E18" s="56">
        <v>292</v>
      </c>
    </row>
    <row r="19" ht="24" customHeight="1" spans="1:5">
      <c r="A19" s="57">
        <v>2040219</v>
      </c>
      <c r="B19" s="57" t="s">
        <v>68</v>
      </c>
      <c r="C19" s="56">
        <f t="shared" si="0"/>
        <v>2350</v>
      </c>
      <c r="D19" s="56"/>
      <c r="E19" s="56">
        <v>2350</v>
      </c>
    </row>
    <row r="20" ht="24" customHeight="1" spans="1:5">
      <c r="A20" s="57" t="s">
        <v>69</v>
      </c>
      <c r="B20" s="57" t="s">
        <v>70</v>
      </c>
      <c r="C20" s="56">
        <f t="shared" si="0"/>
        <v>4500</v>
      </c>
      <c r="D20" s="56"/>
      <c r="E20" s="56">
        <v>4500</v>
      </c>
    </row>
    <row r="21" ht="24" customHeight="1" spans="1:5">
      <c r="A21" s="55" t="s">
        <v>71</v>
      </c>
      <c r="B21" s="55" t="s">
        <v>72</v>
      </c>
      <c r="C21" s="59">
        <f t="shared" si="0"/>
        <v>876.35</v>
      </c>
      <c r="D21" s="8">
        <f>D22</f>
        <v>876.35</v>
      </c>
      <c r="E21" s="56"/>
    </row>
    <row r="22" ht="24" customHeight="1" spans="1:5">
      <c r="A22" s="55" t="s">
        <v>73</v>
      </c>
      <c r="B22" s="55" t="s">
        <v>74</v>
      </c>
      <c r="C22" s="59">
        <f t="shared" si="0"/>
        <v>876.35</v>
      </c>
      <c r="D22" s="56">
        <f>SUM(D23:D24)</f>
        <v>876.35</v>
      </c>
      <c r="E22" s="56"/>
    </row>
    <row r="23" ht="24" customHeight="1" spans="1:5">
      <c r="A23" s="57" t="s">
        <v>75</v>
      </c>
      <c r="B23" s="57" t="s">
        <v>76</v>
      </c>
      <c r="C23" s="60">
        <f t="shared" si="0"/>
        <v>713.03</v>
      </c>
      <c r="D23" s="60">
        <v>713.03</v>
      </c>
      <c r="E23" s="56"/>
    </row>
    <row r="24" ht="24" customHeight="1" spans="1:5">
      <c r="A24" s="57" t="s">
        <v>77</v>
      </c>
      <c r="B24" s="57" t="s">
        <v>78</v>
      </c>
      <c r="C24" s="60">
        <f t="shared" si="0"/>
        <v>163.32</v>
      </c>
      <c r="D24" s="60">
        <v>163.32</v>
      </c>
      <c r="E24" s="56"/>
    </row>
    <row r="25" ht="45" customHeight="1" spans="1:5">
      <c r="A25" s="12" t="s">
        <v>89</v>
      </c>
      <c r="B25" s="12"/>
      <c r="C25" s="12"/>
      <c r="D25" s="12"/>
      <c r="E25" s="12"/>
    </row>
  </sheetData>
  <mergeCells count="6">
    <mergeCell ref="A2:E2"/>
    <mergeCell ref="D4:E4"/>
    <mergeCell ref="A25:E25"/>
    <mergeCell ref="A4:A5"/>
    <mergeCell ref="B4:B5"/>
    <mergeCell ref="C4:C5"/>
  </mergeCells>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D23" sqref="D23"/>
    </sheetView>
  </sheetViews>
  <sheetFormatPr defaultColWidth="9" defaultRowHeight="14.25" outlineLevelCol="4"/>
  <cols>
    <col min="1" max="5" width="19.125" customWidth="1"/>
  </cols>
  <sheetData>
    <row r="1" spans="1:1">
      <c r="A1" t="s">
        <v>90</v>
      </c>
    </row>
    <row r="2" ht="47.25" customHeight="1" spans="1:5">
      <c r="A2" s="1" t="s">
        <v>91</v>
      </c>
      <c r="B2" s="1"/>
      <c r="C2" s="1"/>
      <c r="D2" s="1"/>
      <c r="E2" s="1"/>
    </row>
    <row r="3" spans="5:5">
      <c r="E3" t="s">
        <v>2</v>
      </c>
    </row>
    <row r="4" ht="30" customHeight="1" spans="1:5">
      <c r="A4" s="48" t="s">
        <v>37</v>
      </c>
      <c r="B4" s="48" t="s">
        <v>38</v>
      </c>
      <c r="C4" s="48" t="s">
        <v>39</v>
      </c>
      <c r="D4" s="42" t="s">
        <v>87</v>
      </c>
      <c r="E4" s="43"/>
    </row>
    <row r="5" ht="30.75" customHeight="1" spans="1:5">
      <c r="A5" s="49"/>
      <c r="B5" s="49"/>
      <c r="C5" s="49"/>
      <c r="D5" s="2" t="s">
        <v>88</v>
      </c>
      <c r="E5" s="2" t="s">
        <v>43</v>
      </c>
    </row>
    <row r="6" ht="22.5" customHeight="1" spans="1:5">
      <c r="A6" s="3" t="s">
        <v>31</v>
      </c>
      <c r="B6" s="3" t="s">
        <v>31</v>
      </c>
      <c r="C6" s="3">
        <v>1</v>
      </c>
      <c r="D6" s="3">
        <v>2</v>
      </c>
      <c r="E6" s="3">
        <v>3</v>
      </c>
    </row>
    <row r="7" ht="22.5" customHeight="1" spans="1:5">
      <c r="A7" s="20"/>
      <c r="B7" s="20"/>
      <c r="C7" s="20"/>
      <c r="D7" s="20"/>
      <c r="E7" s="20"/>
    </row>
    <row r="8" ht="22.5" customHeight="1" spans="1:5">
      <c r="A8" s="20"/>
      <c r="B8" s="20"/>
      <c r="C8" s="20"/>
      <c r="D8" s="20"/>
      <c r="E8" s="20"/>
    </row>
    <row r="9" ht="22.5" customHeight="1" spans="1:5">
      <c r="A9" s="20"/>
      <c r="B9" s="20"/>
      <c r="C9" s="20"/>
      <c r="D9" s="20"/>
      <c r="E9" s="20"/>
    </row>
    <row r="10" ht="22.5" customHeight="1" spans="1:5">
      <c r="A10" s="20"/>
      <c r="B10" s="20"/>
      <c r="C10" s="20"/>
      <c r="D10" s="20"/>
      <c r="E10" s="20"/>
    </row>
    <row r="11" ht="22.5" customHeight="1" spans="1:5">
      <c r="A11" s="20"/>
      <c r="B11" s="20"/>
      <c r="C11" s="20"/>
      <c r="D11" s="20"/>
      <c r="E11" s="20"/>
    </row>
    <row r="12" ht="22.5" customHeight="1" spans="1:5">
      <c r="A12" s="20"/>
      <c r="B12" s="20"/>
      <c r="C12" s="20"/>
      <c r="D12" s="20"/>
      <c r="E12" s="20"/>
    </row>
    <row r="13" ht="22.5" customHeight="1" spans="1:5">
      <c r="A13" s="20"/>
      <c r="B13" s="20"/>
      <c r="C13" s="20"/>
      <c r="D13" s="20"/>
      <c r="E13" s="20"/>
    </row>
    <row r="14" ht="22.5" customHeight="1" spans="1:5">
      <c r="A14" s="20"/>
      <c r="B14" s="20"/>
      <c r="C14" s="20"/>
      <c r="D14" s="20"/>
      <c r="E14" s="20"/>
    </row>
    <row r="15" ht="22.5" customHeight="1" spans="1:5">
      <c r="A15" s="20"/>
      <c r="B15" s="20"/>
      <c r="C15" s="20"/>
      <c r="D15" s="20"/>
      <c r="E15" s="20"/>
    </row>
    <row r="16" ht="47.25" customHeight="1" spans="1:5">
      <c r="A16" s="52" t="s">
        <v>92</v>
      </c>
      <c r="B16" s="53"/>
      <c r="C16" s="53"/>
      <c r="D16" s="53"/>
      <c r="E16" s="53"/>
    </row>
    <row r="17" spans="1:5">
      <c r="A17" s="54"/>
      <c r="B17" s="54"/>
      <c r="C17" s="54"/>
      <c r="D17" s="54"/>
      <c r="E17" s="54"/>
    </row>
  </sheetData>
  <mergeCells count="7">
    <mergeCell ref="A2:E2"/>
    <mergeCell ref="D4:E4"/>
    <mergeCell ref="A16:E16"/>
    <mergeCell ref="A17:E17"/>
    <mergeCell ref="A4:A5"/>
    <mergeCell ref="B4:B5"/>
    <mergeCell ref="C4:C5"/>
  </mergeCells>
  <pageMargins left="0.75" right="0.75" top="1" bottom="1" header="0.5" footer="0.5"/>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topLeftCell="A4" workbookViewId="0">
      <selection activeCell="C9" sqref="C9"/>
    </sheetView>
  </sheetViews>
  <sheetFormatPr defaultColWidth="9" defaultRowHeight="14.25" outlineLevelCol="2"/>
  <cols>
    <col min="1" max="1" width="12.25" customWidth="1"/>
    <col min="2" max="2" width="33.125" customWidth="1"/>
    <col min="3" max="3" width="39.25" customWidth="1"/>
  </cols>
  <sheetData>
    <row r="1" spans="1:1">
      <c r="A1" t="s">
        <v>93</v>
      </c>
    </row>
    <row r="2" s="47" customFormat="1" ht="25.5" spans="1:3">
      <c r="A2" s="1" t="s">
        <v>94</v>
      </c>
      <c r="B2" s="1"/>
      <c r="C2" s="1"/>
    </row>
    <row r="3" ht="29.25" customHeight="1" spans="3:3">
      <c r="C3" s="40" t="s">
        <v>2</v>
      </c>
    </row>
    <row r="4" ht="25.5" customHeight="1" spans="1:3">
      <c r="A4" s="42" t="s">
        <v>95</v>
      </c>
      <c r="B4" s="43"/>
      <c r="C4" s="48" t="s">
        <v>6</v>
      </c>
    </row>
    <row r="5" ht="25.5" customHeight="1" spans="1:3">
      <c r="A5" s="48" t="s">
        <v>37</v>
      </c>
      <c r="B5" s="43" t="s">
        <v>38</v>
      </c>
      <c r="C5" s="49"/>
    </row>
    <row r="6" ht="25.5" customHeight="1" spans="1:3">
      <c r="A6" s="50" t="s">
        <v>96</v>
      </c>
      <c r="B6" s="51"/>
      <c r="C6" s="49">
        <f>SUM(C7:C16)</f>
        <v>12213.05</v>
      </c>
    </row>
    <row r="7" ht="25.5" customHeight="1" spans="1:3">
      <c r="A7" s="3" t="s">
        <v>97</v>
      </c>
      <c r="B7" s="20" t="s">
        <v>98</v>
      </c>
      <c r="C7" s="20">
        <v>10834.75</v>
      </c>
    </row>
    <row r="8" ht="25.5" customHeight="1" spans="1:3">
      <c r="A8" s="3" t="s">
        <v>99</v>
      </c>
      <c r="B8" s="20" t="s">
        <v>100</v>
      </c>
      <c r="C8" s="20">
        <v>1378.3</v>
      </c>
    </row>
    <row r="9" ht="25.5" customHeight="1" spans="1:3">
      <c r="A9" s="3" t="s">
        <v>101</v>
      </c>
      <c r="B9" s="20" t="s">
        <v>102</v>
      </c>
      <c r="C9" s="20">
        <v>0</v>
      </c>
    </row>
    <row r="10" ht="25.5" customHeight="1" spans="1:3">
      <c r="A10" s="3" t="s">
        <v>103</v>
      </c>
      <c r="B10" s="20" t="s">
        <v>104</v>
      </c>
      <c r="C10" s="20">
        <v>0</v>
      </c>
    </row>
    <row r="11" ht="25.5" customHeight="1" spans="1:3">
      <c r="A11" s="3" t="s">
        <v>105</v>
      </c>
      <c r="B11" s="20" t="s">
        <v>106</v>
      </c>
      <c r="C11" s="20"/>
    </row>
    <row r="12" ht="25.5" customHeight="1" spans="1:3">
      <c r="A12" s="3" t="s">
        <v>107</v>
      </c>
      <c r="B12" s="20" t="s">
        <v>108</v>
      </c>
      <c r="C12" s="20"/>
    </row>
    <row r="13" ht="25.5" customHeight="1" spans="1:3">
      <c r="A13" s="3" t="s">
        <v>109</v>
      </c>
      <c r="B13" s="20" t="s">
        <v>110</v>
      </c>
      <c r="C13" s="20">
        <v>0</v>
      </c>
    </row>
    <row r="14" ht="25.5" customHeight="1" spans="1:3">
      <c r="A14" s="3" t="s">
        <v>111</v>
      </c>
      <c r="B14" s="20" t="s">
        <v>112</v>
      </c>
      <c r="C14" s="20">
        <v>0</v>
      </c>
    </row>
    <row r="15" ht="25.5" customHeight="1" spans="1:3">
      <c r="A15" s="3" t="s">
        <v>113</v>
      </c>
      <c r="B15" s="20" t="s">
        <v>114</v>
      </c>
      <c r="C15" s="20">
        <v>0</v>
      </c>
    </row>
    <row r="16" ht="25.5" customHeight="1" spans="1:3">
      <c r="A16" s="3" t="s">
        <v>115</v>
      </c>
      <c r="B16" s="20" t="s">
        <v>116</v>
      </c>
      <c r="C16" s="20">
        <v>0</v>
      </c>
    </row>
  </sheetData>
  <mergeCells count="4">
    <mergeCell ref="A2:C2"/>
    <mergeCell ref="A4:B4"/>
    <mergeCell ref="A6:B6"/>
    <mergeCell ref="C4:C5"/>
  </mergeCell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workbookViewId="0">
      <selection activeCell="E11" sqref="E11"/>
    </sheetView>
  </sheetViews>
  <sheetFormatPr defaultColWidth="9" defaultRowHeight="14.25" outlineLevelCol="2"/>
  <cols>
    <col min="1" max="1" width="20.25" customWidth="1"/>
    <col min="2" max="2" width="43.5" customWidth="1"/>
    <col min="3" max="3" width="19.75" customWidth="1"/>
  </cols>
  <sheetData>
    <row r="1" spans="1:1">
      <c r="A1" t="s">
        <v>117</v>
      </c>
    </row>
    <row r="2" ht="34.5" customHeight="1" spans="1:3">
      <c r="A2" s="1" t="s">
        <v>118</v>
      </c>
      <c r="B2" s="1"/>
      <c r="C2" s="1"/>
    </row>
    <row r="3" spans="1:3">
      <c r="A3" s="41" t="s">
        <v>2</v>
      </c>
      <c r="B3" s="41"/>
      <c r="C3" s="41"/>
    </row>
    <row r="4" ht="23.25" customHeight="1" spans="1:3">
      <c r="A4" s="2" t="s">
        <v>119</v>
      </c>
      <c r="B4" s="2" t="s">
        <v>38</v>
      </c>
      <c r="C4" s="2" t="s">
        <v>6</v>
      </c>
    </row>
    <row r="5" ht="23.25" customHeight="1" spans="1:3">
      <c r="A5" s="42" t="s">
        <v>96</v>
      </c>
      <c r="B5" s="43"/>
      <c r="C5" s="8">
        <f>C6+C20+C48+C60+C65+C78+C95+C104+C107</f>
        <v>12213.05</v>
      </c>
    </row>
    <row r="6" spans="1:3">
      <c r="A6" s="8" t="s">
        <v>97</v>
      </c>
      <c r="B6" s="8" t="s">
        <v>98</v>
      </c>
      <c r="C6" s="8">
        <f>SUM(C7:C19)</f>
        <v>10834.75</v>
      </c>
    </row>
    <row r="7" spans="1:3">
      <c r="A7" s="44" t="s">
        <v>120</v>
      </c>
      <c r="B7" s="44" t="s">
        <v>121</v>
      </c>
      <c r="C7" s="45">
        <v>6145.61</v>
      </c>
    </row>
    <row r="8" spans="1:3">
      <c r="A8" s="44" t="s">
        <v>122</v>
      </c>
      <c r="B8" s="44" t="s">
        <v>123</v>
      </c>
      <c r="C8" s="45">
        <v>429.8</v>
      </c>
    </row>
    <row r="9" spans="1:3">
      <c r="A9" s="44" t="s">
        <v>124</v>
      </c>
      <c r="B9" s="44" t="s">
        <v>125</v>
      </c>
      <c r="C9" s="45" t="s">
        <v>126</v>
      </c>
    </row>
    <row r="10" spans="1:3">
      <c r="A10" s="44" t="s">
        <v>127</v>
      </c>
      <c r="B10" s="44" t="s">
        <v>128</v>
      </c>
      <c r="C10" s="45" t="s">
        <v>126</v>
      </c>
    </row>
    <row r="11" spans="1:3">
      <c r="A11" s="44" t="s">
        <v>129</v>
      </c>
      <c r="B11" s="44" t="s">
        <v>130</v>
      </c>
      <c r="C11" s="45" t="s">
        <v>126</v>
      </c>
    </row>
    <row r="12" spans="1:3">
      <c r="A12" s="44" t="s">
        <v>131</v>
      </c>
      <c r="B12" s="44" t="s">
        <v>132</v>
      </c>
      <c r="C12" s="45">
        <v>685.61</v>
      </c>
    </row>
    <row r="13" spans="1:3">
      <c r="A13" s="44" t="s">
        <v>133</v>
      </c>
      <c r="B13" s="44" t="s">
        <v>134</v>
      </c>
      <c r="C13" s="45" t="s">
        <v>126</v>
      </c>
    </row>
    <row r="14" spans="1:3">
      <c r="A14" s="44" t="s">
        <v>135</v>
      </c>
      <c r="B14" s="44" t="s">
        <v>136</v>
      </c>
      <c r="C14" s="45">
        <v>274.24</v>
      </c>
    </row>
    <row r="15" spans="1:3">
      <c r="A15" s="44" t="s">
        <v>137</v>
      </c>
      <c r="B15" s="44" t="s">
        <v>138</v>
      </c>
      <c r="C15" s="45" t="s">
        <v>126</v>
      </c>
    </row>
    <row r="16" spans="1:3">
      <c r="A16" s="44" t="s">
        <v>139</v>
      </c>
      <c r="B16" s="44" t="s">
        <v>140</v>
      </c>
      <c r="C16" s="45">
        <v>192.46</v>
      </c>
    </row>
    <row r="17" spans="1:3">
      <c r="A17" s="44" t="s">
        <v>141</v>
      </c>
      <c r="B17" s="44" t="s">
        <v>142</v>
      </c>
      <c r="C17" s="45">
        <v>713.03</v>
      </c>
    </row>
    <row r="18" spans="1:3">
      <c r="A18" s="44" t="s">
        <v>143</v>
      </c>
      <c r="B18" s="44" t="s">
        <v>144</v>
      </c>
      <c r="C18" s="45" t="s">
        <v>126</v>
      </c>
    </row>
    <row r="19" spans="1:3">
      <c r="A19" s="44" t="s">
        <v>145</v>
      </c>
      <c r="B19" s="44" t="s">
        <v>146</v>
      </c>
      <c r="C19" s="46">
        <v>2394</v>
      </c>
    </row>
    <row r="20" spans="1:3">
      <c r="A20" s="8" t="s">
        <v>99</v>
      </c>
      <c r="B20" s="8" t="s">
        <v>100</v>
      </c>
      <c r="C20" s="8">
        <f>SUM(C21:C47)</f>
        <v>1378.3</v>
      </c>
    </row>
    <row r="21" spans="1:3">
      <c r="A21" s="20" t="s">
        <v>147</v>
      </c>
      <c r="B21" s="20" t="s">
        <v>148</v>
      </c>
      <c r="C21" s="20">
        <v>127.5</v>
      </c>
    </row>
    <row r="22" spans="1:3">
      <c r="A22" s="20" t="s">
        <v>149</v>
      </c>
      <c r="B22" s="20" t="s">
        <v>150</v>
      </c>
      <c r="C22" s="20">
        <v>22.5</v>
      </c>
    </row>
    <row r="23" spans="1:3">
      <c r="A23" s="20" t="s">
        <v>151</v>
      </c>
      <c r="B23" s="20" t="s">
        <v>152</v>
      </c>
      <c r="C23" s="20">
        <v>0</v>
      </c>
    </row>
    <row r="24" spans="1:3">
      <c r="A24" s="20" t="s">
        <v>153</v>
      </c>
      <c r="B24" s="20" t="s">
        <v>154</v>
      </c>
      <c r="C24" s="20"/>
    </row>
    <row r="25" spans="1:3">
      <c r="A25" s="20" t="s">
        <v>155</v>
      </c>
      <c r="B25" s="20" t="s">
        <v>156</v>
      </c>
      <c r="C25" s="20">
        <v>3.3</v>
      </c>
    </row>
    <row r="26" spans="1:3">
      <c r="A26" s="20" t="s">
        <v>157</v>
      </c>
      <c r="B26" s="20" t="s">
        <v>158</v>
      </c>
      <c r="C26" s="20">
        <v>114.61</v>
      </c>
    </row>
    <row r="27" spans="1:3">
      <c r="A27" s="20" t="s">
        <v>159</v>
      </c>
      <c r="B27" s="20" t="s">
        <v>160</v>
      </c>
      <c r="C27" s="20"/>
    </row>
    <row r="28" spans="1:3">
      <c r="A28" s="20" t="s">
        <v>161</v>
      </c>
      <c r="B28" s="20" t="s">
        <v>162</v>
      </c>
      <c r="C28" s="20"/>
    </row>
    <row r="29" spans="1:3">
      <c r="A29" s="20" t="s">
        <v>163</v>
      </c>
      <c r="B29" s="20" t="s">
        <v>164</v>
      </c>
      <c r="C29" s="20">
        <v>63</v>
      </c>
    </row>
    <row r="30" spans="1:3">
      <c r="A30" s="20" t="s">
        <v>165</v>
      </c>
      <c r="B30" s="20" t="s">
        <v>166</v>
      </c>
      <c r="C30" s="20">
        <v>60</v>
      </c>
    </row>
    <row r="31" spans="1:3">
      <c r="A31" s="20" t="s">
        <v>167</v>
      </c>
      <c r="B31" s="20" t="s">
        <v>168</v>
      </c>
      <c r="C31" s="20"/>
    </row>
    <row r="32" spans="1:3">
      <c r="A32" s="20" t="s">
        <v>169</v>
      </c>
      <c r="B32" s="20" t="s">
        <v>170</v>
      </c>
      <c r="C32" s="20">
        <v>126</v>
      </c>
    </row>
    <row r="33" spans="1:3">
      <c r="A33" s="20" t="s">
        <v>171</v>
      </c>
      <c r="B33" s="20" t="s">
        <v>172</v>
      </c>
      <c r="C33" s="20">
        <v>108</v>
      </c>
    </row>
    <row r="34" spans="1:3">
      <c r="A34" s="20" t="s">
        <v>173</v>
      </c>
      <c r="B34" s="20" t="s">
        <v>174</v>
      </c>
      <c r="C34" s="20"/>
    </row>
    <row r="35" spans="1:3">
      <c r="A35" s="20" t="s">
        <v>175</v>
      </c>
      <c r="B35" s="20" t="s">
        <v>176</v>
      </c>
      <c r="C35" s="20">
        <v>1.8</v>
      </c>
    </row>
    <row r="36" spans="1:3">
      <c r="A36" s="20" t="s">
        <v>177</v>
      </c>
      <c r="B36" s="20" t="s">
        <v>178</v>
      </c>
      <c r="C36" s="20">
        <v>8.79</v>
      </c>
    </row>
    <row r="37" spans="1:3">
      <c r="A37" s="20" t="s">
        <v>179</v>
      </c>
      <c r="B37" s="20" t="s">
        <v>180</v>
      </c>
      <c r="C37" s="20">
        <v>120</v>
      </c>
    </row>
    <row r="38" spans="1:3">
      <c r="A38" s="20" t="s">
        <v>181</v>
      </c>
      <c r="B38" s="20" t="s">
        <v>182</v>
      </c>
      <c r="C38" s="20">
        <v>24</v>
      </c>
    </row>
    <row r="39" spans="1:3">
      <c r="A39" s="20" t="s">
        <v>183</v>
      </c>
      <c r="B39" s="20" t="s">
        <v>184</v>
      </c>
      <c r="C39" s="20"/>
    </row>
    <row r="40" spans="1:3">
      <c r="A40" s="20" t="s">
        <v>185</v>
      </c>
      <c r="B40" s="20" t="s">
        <v>186</v>
      </c>
      <c r="C40" s="20">
        <v>10.5</v>
      </c>
    </row>
    <row r="41" spans="1:3">
      <c r="A41" s="20" t="s">
        <v>187</v>
      </c>
      <c r="B41" s="20" t="s">
        <v>188</v>
      </c>
      <c r="C41" s="20">
        <v>403.5</v>
      </c>
    </row>
    <row r="42" spans="1:3">
      <c r="A42" s="20" t="s">
        <v>189</v>
      </c>
      <c r="B42" s="20" t="s">
        <v>190</v>
      </c>
      <c r="C42" s="20">
        <v>31.5</v>
      </c>
    </row>
    <row r="43" spans="1:3">
      <c r="A43" s="20" t="s">
        <v>191</v>
      </c>
      <c r="B43" s="20" t="s">
        <v>192</v>
      </c>
      <c r="C43" s="20"/>
    </row>
    <row r="44" spans="1:3">
      <c r="A44" s="20" t="s">
        <v>193</v>
      </c>
      <c r="B44" s="20" t="s">
        <v>194</v>
      </c>
      <c r="C44" s="20">
        <v>101.4</v>
      </c>
    </row>
    <row r="45" spans="1:3">
      <c r="A45" s="20" t="s">
        <v>195</v>
      </c>
      <c r="B45" s="20" t="s">
        <v>196</v>
      </c>
      <c r="C45" s="20">
        <v>0.9</v>
      </c>
    </row>
    <row r="46" spans="1:3">
      <c r="A46" s="20" t="s">
        <v>197</v>
      </c>
      <c r="B46" s="20" t="s">
        <v>198</v>
      </c>
      <c r="C46" s="20"/>
    </row>
    <row r="47" spans="1:3">
      <c r="A47" s="20" t="s">
        <v>199</v>
      </c>
      <c r="B47" s="20" t="s">
        <v>200</v>
      </c>
      <c r="C47" s="20">
        <v>51</v>
      </c>
    </row>
    <row r="48" spans="1:3">
      <c r="A48" s="8" t="s">
        <v>101</v>
      </c>
      <c r="B48" s="8" t="s">
        <v>102</v>
      </c>
      <c r="C48" s="8">
        <v>0</v>
      </c>
    </row>
    <row r="49" spans="1:3">
      <c r="A49" s="20" t="s">
        <v>201</v>
      </c>
      <c r="B49" s="20" t="s">
        <v>202</v>
      </c>
      <c r="C49" s="20" t="s">
        <v>126</v>
      </c>
    </row>
    <row r="50" spans="1:3">
      <c r="A50" s="20" t="s">
        <v>203</v>
      </c>
      <c r="B50" s="20" t="s">
        <v>204</v>
      </c>
      <c r="C50" s="20" t="s">
        <v>126</v>
      </c>
    </row>
    <row r="51" spans="1:3">
      <c r="A51" s="20" t="s">
        <v>205</v>
      </c>
      <c r="B51" s="20" t="s">
        <v>206</v>
      </c>
      <c r="C51" s="20" t="s">
        <v>126</v>
      </c>
    </row>
    <row r="52" spans="1:3">
      <c r="A52" s="20" t="s">
        <v>207</v>
      </c>
      <c r="B52" s="20" t="s">
        <v>208</v>
      </c>
      <c r="C52" s="20" t="s">
        <v>126</v>
      </c>
    </row>
    <row r="53" spans="1:3">
      <c r="A53" s="20" t="s">
        <v>209</v>
      </c>
      <c r="B53" s="20" t="s">
        <v>210</v>
      </c>
      <c r="C53" s="20" t="s">
        <v>126</v>
      </c>
    </row>
    <row r="54" spans="1:3">
      <c r="A54" s="20" t="s">
        <v>211</v>
      </c>
      <c r="B54" s="20" t="s">
        <v>212</v>
      </c>
      <c r="C54" s="20" t="s">
        <v>126</v>
      </c>
    </row>
    <row r="55" spans="1:3">
      <c r="A55" s="20" t="s">
        <v>213</v>
      </c>
      <c r="B55" s="20" t="s">
        <v>214</v>
      </c>
      <c r="C55" s="20" t="s">
        <v>126</v>
      </c>
    </row>
    <row r="56" spans="1:3">
      <c r="A56" s="20" t="s">
        <v>215</v>
      </c>
      <c r="B56" s="20" t="s">
        <v>216</v>
      </c>
      <c r="C56" s="20" t="s">
        <v>126</v>
      </c>
    </row>
    <row r="57" spans="1:3">
      <c r="A57" s="20" t="s">
        <v>217</v>
      </c>
      <c r="B57" s="20" t="s">
        <v>218</v>
      </c>
      <c r="C57" s="20" t="s">
        <v>126</v>
      </c>
    </row>
    <row r="58" spans="1:3">
      <c r="A58" s="20" t="s">
        <v>219</v>
      </c>
      <c r="B58" s="20" t="s">
        <v>220</v>
      </c>
      <c r="C58" s="20" t="s">
        <v>126</v>
      </c>
    </row>
    <row r="59" spans="1:3">
      <c r="A59" s="20" t="s">
        <v>221</v>
      </c>
      <c r="B59" s="20" t="s">
        <v>222</v>
      </c>
      <c r="C59" s="20" t="s">
        <v>126</v>
      </c>
    </row>
    <row r="60" spans="1:3">
      <c r="A60" s="8" t="s">
        <v>103</v>
      </c>
      <c r="B60" s="8" t="s">
        <v>104</v>
      </c>
      <c r="C60" s="8">
        <v>0</v>
      </c>
    </row>
    <row r="61" spans="1:3">
      <c r="A61" s="20" t="s">
        <v>223</v>
      </c>
      <c r="B61" s="20" t="s">
        <v>224</v>
      </c>
      <c r="C61" s="20" t="s">
        <v>126</v>
      </c>
    </row>
    <row r="62" spans="1:3">
      <c r="A62" s="20" t="s">
        <v>225</v>
      </c>
      <c r="B62" s="20" t="s">
        <v>226</v>
      </c>
      <c r="C62" s="20" t="s">
        <v>126</v>
      </c>
    </row>
    <row r="63" spans="1:3">
      <c r="A63" s="20" t="s">
        <v>227</v>
      </c>
      <c r="B63" s="20" t="s">
        <v>228</v>
      </c>
      <c r="C63" s="20" t="s">
        <v>126</v>
      </c>
    </row>
    <row r="64" spans="1:3">
      <c r="A64" s="20" t="s">
        <v>229</v>
      </c>
      <c r="B64" s="20" t="s">
        <v>230</v>
      </c>
      <c r="C64" s="20" t="s">
        <v>126</v>
      </c>
    </row>
    <row r="65" spans="1:3">
      <c r="A65" s="8" t="s">
        <v>105</v>
      </c>
      <c r="B65" s="8" t="s">
        <v>106</v>
      </c>
      <c r="C65" s="8"/>
    </row>
    <row r="66" spans="1:3">
      <c r="A66" s="20" t="s">
        <v>231</v>
      </c>
      <c r="B66" s="20" t="s">
        <v>232</v>
      </c>
      <c r="C66" s="20"/>
    </row>
    <row r="67" spans="1:3">
      <c r="A67" s="20" t="s">
        <v>233</v>
      </c>
      <c r="B67" s="20" t="s">
        <v>234</v>
      </c>
      <c r="C67" s="20"/>
    </row>
    <row r="68" spans="1:3">
      <c r="A68" s="20" t="s">
        <v>235</v>
      </c>
      <c r="B68" s="20" t="s">
        <v>236</v>
      </c>
      <c r="C68" s="20"/>
    </row>
    <row r="69" spans="1:3">
      <c r="A69" s="20" t="s">
        <v>237</v>
      </c>
      <c r="B69" s="20" t="s">
        <v>238</v>
      </c>
      <c r="C69" s="20"/>
    </row>
    <row r="70" spans="1:3">
      <c r="A70" s="20" t="s">
        <v>239</v>
      </c>
      <c r="B70" s="20" t="s">
        <v>240</v>
      </c>
      <c r="C70" s="20"/>
    </row>
    <row r="71" spans="1:3">
      <c r="A71" s="20" t="s">
        <v>241</v>
      </c>
      <c r="B71" s="20" t="s">
        <v>242</v>
      </c>
      <c r="C71" s="20"/>
    </row>
    <row r="72" spans="1:3">
      <c r="A72" s="20" t="s">
        <v>243</v>
      </c>
      <c r="B72" s="20" t="s">
        <v>244</v>
      </c>
      <c r="C72" s="20"/>
    </row>
    <row r="73" spans="1:3">
      <c r="A73" s="20" t="s">
        <v>245</v>
      </c>
      <c r="B73" s="20" t="s">
        <v>246</v>
      </c>
      <c r="C73" s="20"/>
    </row>
    <row r="74" spans="1:3">
      <c r="A74" s="20" t="s">
        <v>247</v>
      </c>
      <c r="B74" s="20" t="s">
        <v>248</v>
      </c>
      <c r="C74" s="20"/>
    </row>
    <row r="75" spans="1:3">
      <c r="A75" s="20" t="s">
        <v>249</v>
      </c>
      <c r="B75" s="20" t="s">
        <v>250</v>
      </c>
      <c r="C75" s="20"/>
    </row>
    <row r="76" spans="1:3">
      <c r="A76" s="20" t="s">
        <v>251</v>
      </c>
      <c r="B76" s="20" t="s">
        <v>252</v>
      </c>
      <c r="C76" s="20"/>
    </row>
    <row r="77" spans="1:3">
      <c r="A77" s="20" t="s">
        <v>253</v>
      </c>
      <c r="B77" s="20" t="s">
        <v>254</v>
      </c>
      <c r="C77" s="20"/>
    </row>
    <row r="78" spans="1:3">
      <c r="A78" s="8" t="s">
        <v>107</v>
      </c>
      <c r="B78" s="8" t="s">
        <v>108</v>
      </c>
      <c r="C78" s="8"/>
    </row>
    <row r="79" spans="1:3">
      <c r="A79" s="20" t="s">
        <v>255</v>
      </c>
      <c r="B79" s="20" t="s">
        <v>232</v>
      </c>
      <c r="C79" s="20"/>
    </row>
    <row r="80" spans="1:3">
      <c r="A80" s="20" t="s">
        <v>256</v>
      </c>
      <c r="B80" s="20" t="s">
        <v>234</v>
      </c>
      <c r="C80" s="20"/>
    </row>
    <row r="81" spans="1:3">
      <c r="A81" s="20" t="s">
        <v>257</v>
      </c>
      <c r="B81" s="20" t="s">
        <v>236</v>
      </c>
      <c r="C81" s="20"/>
    </row>
    <row r="82" spans="1:3">
      <c r="A82" s="20" t="s">
        <v>258</v>
      </c>
      <c r="B82" s="20" t="s">
        <v>238</v>
      </c>
      <c r="C82" s="20"/>
    </row>
    <row r="83" spans="1:3">
      <c r="A83" s="20" t="s">
        <v>259</v>
      </c>
      <c r="B83" s="20" t="s">
        <v>240</v>
      </c>
      <c r="C83" s="20"/>
    </row>
    <row r="84" spans="1:3">
      <c r="A84" s="20" t="s">
        <v>260</v>
      </c>
      <c r="B84" s="20" t="s">
        <v>242</v>
      </c>
      <c r="C84" s="20"/>
    </row>
    <row r="85" spans="1:3">
      <c r="A85" s="20" t="s">
        <v>261</v>
      </c>
      <c r="B85" s="20" t="s">
        <v>244</v>
      </c>
      <c r="C85" s="20"/>
    </row>
    <row r="86" spans="1:3">
      <c r="A86" s="20" t="s">
        <v>262</v>
      </c>
      <c r="B86" s="20" t="s">
        <v>263</v>
      </c>
      <c r="C86" s="20"/>
    </row>
    <row r="87" spans="1:3">
      <c r="A87" s="20" t="s">
        <v>264</v>
      </c>
      <c r="B87" s="20" t="s">
        <v>265</v>
      </c>
      <c r="C87" s="20"/>
    </row>
    <row r="88" spans="1:3">
      <c r="A88" s="20" t="s">
        <v>266</v>
      </c>
      <c r="B88" s="20" t="s">
        <v>267</v>
      </c>
      <c r="C88" s="20"/>
    </row>
    <row r="89" spans="1:3">
      <c r="A89" s="20" t="s">
        <v>268</v>
      </c>
      <c r="B89" s="20" t="s">
        <v>269</v>
      </c>
      <c r="C89" s="20"/>
    </row>
    <row r="90" spans="1:3">
      <c r="A90" s="20" t="s">
        <v>270</v>
      </c>
      <c r="B90" s="20" t="s">
        <v>246</v>
      </c>
      <c r="C90" s="20"/>
    </row>
    <row r="91" spans="1:3">
      <c r="A91" s="20" t="s">
        <v>271</v>
      </c>
      <c r="B91" s="20" t="s">
        <v>248</v>
      </c>
      <c r="C91" s="20"/>
    </row>
    <row r="92" spans="1:3">
      <c r="A92" s="20" t="s">
        <v>272</v>
      </c>
      <c r="B92" s="20" t="s">
        <v>250</v>
      </c>
      <c r="C92" s="20"/>
    </row>
    <row r="93" spans="1:3">
      <c r="A93" s="20" t="s">
        <v>273</v>
      </c>
      <c r="B93" s="20" t="s">
        <v>252</v>
      </c>
      <c r="C93" s="20"/>
    </row>
    <row r="94" spans="1:3">
      <c r="A94" s="20" t="s">
        <v>274</v>
      </c>
      <c r="B94" s="20" t="s">
        <v>275</v>
      </c>
      <c r="C94" s="20"/>
    </row>
    <row r="95" spans="1:3">
      <c r="A95" s="8" t="s">
        <v>109</v>
      </c>
      <c r="B95" s="8" t="s">
        <v>110</v>
      </c>
      <c r="C95" s="8">
        <v>0</v>
      </c>
    </row>
    <row r="96" spans="1:3">
      <c r="A96" s="20" t="s">
        <v>276</v>
      </c>
      <c r="B96" s="20" t="s">
        <v>277</v>
      </c>
      <c r="C96" s="20"/>
    </row>
    <row r="97" spans="1:3">
      <c r="A97" s="20" t="s">
        <v>278</v>
      </c>
      <c r="B97" s="20" t="s">
        <v>279</v>
      </c>
      <c r="C97" s="20"/>
    </row>
    <row r="98" spans="1:3">
      <c r="A98" s="8" t="s">
        <v>111</v>
      </c>
      <c r="B98" s="8" t="s">
        <v>112</v>
      </c>
      <c r="C98" s="20"/>
    </row>
    <row r="99" spans="1:3">
      <c r="A99" s="20" t="s">
        <v>280</v>
      </c>
      <c r="B99" s="20" t="s">
        <v>277</v>
      </c>
      <c r="C99" s="20"/>
    </row>
    <row r="100" spans="1:3">
      <c r="A100" s="20" t="s">
        <v>281</v>
      </c>
      <c r="B100" s="20" t="s">
        <v>282</v>
      </c>
      <c r="C100" s="20"/>
    </row>
    <row r="101" spans="1:3">
      <c r="A101" s="20" t="s">
        <v>283</v>
      </c>
      <c r="B101" s="20" t="s">
        <v>284</v>
      </c>
      <c r="C101" s="20"/>
    </row>
    <row r="102" spans="1:3">
      <c r="A102" s="20" t="s">
        <v>285</v>
      </c>
      <c r="B102" s="20" t="s">
        <v>286</v>
      </c>
      <c r="C102" s="20"/>
    </row>
    <row r="103" spans="1:3">
      <c r="A103" s="20" t="s">
        <v>287</v>
      </c>
      <c r="B103" s="20" t="s">
        <v>279</v>
      </c>
      <c r="C103" s="20"/>
    </row>
    <row r="104" spans="1:3">
      <c r="A104" s="8" t="s">
        <v>113</v>
      </c>
      <c r="B104" s="8" t="s">
        <v>114</v>
      </c>
      <c r="C104" s="8">
        <v>0</v>
      </c>
    </row>
    <row r="105" spans="1:3">
      <c r="A105" s="20" t="s">
        <v>288</v>
      </c>
      <c r="B105" s="20" t="s">
        <v>289</v>
      </c>
      <c r="C105" s="20"/>
    </row>
    <row r="106" spans="1:3">
      <c r="A106" s="20" t="s">
        <v>290</v>
      </c>
      <c r="B106" s="20" t="s">
        <v>291</v>
      </c>
      <c r="C106" s="20"/>
    </row>
    <row r="107" spans="1:3">
      <c r="A107" s="8" t="s">
        <v>115</v>
      </c>
      <c r="B107" s="8" t="s">
        <v>116</v>
      </c>
      <c r="C107" s="8">
        <v>0</v>
      </c>
    </row>
    <row r="108" spans="1:3">
      <c r="A108" s="20" t="s">
        <v>292</v>
      </c>
      <c r="B108" s="20" t="s">
        <v>293</v>
      </c>
      <c r="C108" s="20"/>
    </row>
    <row r="109" spans="1:3">
      <c r="A109" s="20" t="s">
        <v>294</v>
      </c>
      <c r="B109" s="20" t="s">
        <v>295</v>
      </c>
      <c r="C109" s="20"/>
    </row>
    <row r="110" spans="1:3">
      <c r="A110" s="20" t="s">
        <v>296</v>
      </c>
      <c r="B110" s="20" t="s">
        <v>297</v>
      </c>
      <c r="C110" s="20"/>
    </row>
    <row r="111" spans="1:3">
      <c r="A111" s="20" t="s">
        <v>298</v>
      </c>
      <c r="B111" s="20" t="s">
        <v>116</v>
      </c>
      <c r="C111" s="20"/>
    </row>
  </sheetData>
  <mergeCells count="3">
    <mergeCell ref="A2:C2"/>
    <mergeCell ref="A3:C3"/>
    <mergeCell ref="A5:B5"/>
  </mergeCells>
  <pageMargins left="0.75" right="0.75" top="1" bottom="1" header="0.5" footer="0.5"/>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8" sqref="B8"/>
    </sheetView>
  </sheetViews>
  <sheetFormatPr defaultColWidth="9" defaultRowHeight="14.25" outlineLevelCol="1"/>
  <cols>
    <col min="1" max="1" width="39.125" customWidth="1"/>
    <col min="2" max="2" width="38.75" customWidth="1"/>
  </cols>
  <sheetData>
    <row r="1" spans="1:1">
      <c r="A1" t="s">
        <v>299</v>
      </c>
    </row>
    <row r="2" ht="25.5" spans="1:2">
      <c r="A2" s="1" t="s">
        <v>300</v>
      </c>
      <c r="B2" s="1"/>
    </row>
    <row r="3" ht="28.5" customHeight="1" spans="2:2">
      <c r="B3" s="40" t="s">
        <v>2</v>
      </c>
    </row>
    <row r="4" ht="34.5" customHeight="1" spans="1:2">
      <c r="A4" s="2" t="s">
        <v>95</v>
      </c>
      <c r="B4" s="2" t="s">
        <v>6</v>
      </c>
    </row>
    <row r="5" ht="34.5" customHeight="1" spans="1:2">
      <c r="A5" s="2" t="s">
        <v>39</v>
      </c>
      <c r="B5" s="2">
        <f>SUM(B6:B8)</f>
        <v>30</v>
      </c>
    </row>
    <row r="6" ht="34.5" customHeight="1" spans="1:2">
      <c r="A6" s="8" t="s">
        <v>301</v>
      </c>
      <c r="B6" s="3"/>
    </row>
    <row r="7" ht="34.5" customHeight="1" spans="1:2">
      <c r="A7" s="8" t="s">
        <v>302</v>
      </c>
      <c r="B7" s="3">
        <v>30</v>
      </c>
    </row>
    <row r="8" ht="34.5" customHeight="1" spans="1:2">
      <c r="A8" s="8" t="s">
        <v>303</v>
      </c>
      <c r="B8" s="3"/>
    </row>
    <row r="9" ht="34.5" customHeight="1" spans="1:2">
      <c r="A9" s="20" t="s">
        <v>304</v>
      </c>
      <c r="B9" s="3"/>
    </row>
    <row r="10" ht="34.5" customHeight="1" spans="1:2">
      <c r="A10" s="20" t="s">
        <v>305</v>
      </c>
      <c r="B10" s="3"/>
    </row>
    <row r="11" ht="33.75" customHeight="1" spans="1:2">
      <c r="A11" s="12" t="s">
        <v>306</v>
      </c>
      <c r="B11" s="12"/>
    </row>
  </sheetData>
  <mergeCells count="2">
    <mergeCell ref="A2:B2"/>
    <mergeCell ref="A11:B11"/>
  </mergeCells>
  <pageMargins left="0.75" right="0.75" top="1" bottom="1" header="0.5" footer="0.5"/>
  <pageSetup paperSize="9"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B10" sqref="B10"/>
    </sheetView>
  </sheetViews>
  <sheetFormatPr defaultColWidth="9" defaultRowHeight="14.25"/>
  <cols>
    <col min="1" max="1" width="10" style="22" customWidth="1"/>
    <col min="2" max="2" width="30.5" style="22" customWidth="1"/>
    <col min="3" max="3" width="28.5" style="22" customWidth="1"/>
    <col min="4" max="4" width="5.625" style="22" customWidth="1"/>
    <col min="5" max="5" width="10.5" style="22" customWidth="1"/>
    <col min="6" max="6" width="35" style="22" customWidth="1"/>
    <col min="7" max="7" width="10.25" style="22" customWidth="1"/>
    <col min="8" max="8" width="6.75" style="22" customWidth="1"/>
    <col min="9" max="9" width="7.125" style="22" customWidth="1"/>
    <col min="10" max="10" width="6.25" style="22" customWidth="1"/>
    <col min="11" max="11" width="10.125" style="22" customWidth="1"/>
    <col min="12" max="16384" width="9" style="22"/>
  </cols>
  <sheetData>
    <row r="1" spans="1:1">
      <c r="A1" s="22" t="s">
        <v>307</v>
      </c>
    </row>
    <row r="2" s="33" customFormat="1" ht="25.5" spans="1:11">
      <c r="A2" s="23" t="s">
        <v>308</v>
      </c>
      <c r="B2" s="23"/>
      <c r="C2" s="23"/>
      <c r="D2" s="23"/>
      <c r="E2" s="23"/>
      <c r="F2" s="23"/>
      <c r="G2" s="23"/>
      <c r="H2" s="23"/>
      <c r="I2" s="23"/>
      <c r="J2" s="23"/>
      <c r="K2" s="23"/>
    </row>
    <row r="3" ht="28.5" spans="11:11">
      <c r="K3" s="22" t="s">
        <v>2</v>
      </c>
    </row>
    <row r="4" spans="1:11">
      <c r="A4" s="34" t="s">
        <v>309</v>
      </c>
      <c r="B4" s="34" t="s">
        <v>310</v>
      </c>
      <c r="C4" s="34" t="s">
        <v>311</v>
      </c>
      <c r="D4" s="34" t="s">
        <v>312</v>
      </c>
      <c r="E4" s="34" t="s">
        <v>313</v>
      </c>
      <c r="F4" s="34" t="s">
        <v>314</v>
      </c>
      <c r="G4" s="34" t="s">
        <v>315</v>
      </c>
      <c r="H4" s="35" t="s">
        <v>316</v>
      </c>
      <c r="I4" s="38"/>
      <c r="J4" s="39"/>
      <c r="K4" s="34" t="s">
        <v>317</v>
      </c>
    </row>
    <row r="5" ht="69.75" customHeight="1" spans="1:11">
      <c r="A5" s="36"/>
      <c r="B5" s="36"/>
      <c r="C5" s="36"/>
      <c r="D5" s="36"/>
      <c r="E5" s="36"/>
      <c r="F5" s="36"/>
      <c r="G5" s="36"/>
      <c r="H5" s="24" t="s">
        <v>318</v>
      </c>
      <c r="I5" s="24" t="s">
        <v>319</v>
      </c>
      <c r="J5" s="24" t="s">
        <v>320</v>
      </c>
      <c r="K5" s="36"/>
    </row>
    <row r="6" ht="192" customHeight="1" spans="1:11">
      <c r="A6" s="26" t="s">
        <v>32</v>
      </c>
      <c r="B6" s="26" t="s">
        <v>321</v>
      </c>
      <c r="C6" s="26" t="s">
        <v>322</v>
      </c>
      <c r="D6" s="25" t="s">
        <v>323</v>
      </c>
      <c r="E6" s="26" t="s">
        <v>324</v>
      </c>
      <c r="F6" s="26" t="s">
        <v>325</v>
      </c>
      <c r="G6" s="26" t="s">
        <v>326</v>
      </c>
      <c r="H6" s="26">
        <v>1500</v>
      </c>
      <c r="I6" s="26">
        <v>1500</v>
      </c>
      <c r="J6" s="26"/>
      <c r="K6" s="26" t="s">
        <v>327</v>
      </c>
    </row>
    <row r="7" ht="83.25" customHeight="1" spans="1:11">
      <c r="A7" s="26" t="s">
        <v>32</v>
      </c>
      <c r="B7" s="26" t="s">
        <v>328</v>
      </c>
      <c r="C7" s="26" t="s">
        <v>329</v>
      </c>
      <c r="D7" s="25" t="s">
        <v>323</v>
      </c>
      <c r="E7" s="26" t="s">
        <v>330</v>
      </c>
      <c r="F7" s="26" t="s">
        <v>331</v>
      </c>
      <c r="G7" s="25" t="s">
        <v>326</v>
      </c>
      <c r="H7" s="25">
        <v>3000</v>
      </c>
      <c r="I7" s="25">
        <v>3000</v>
      </c>
      <c r="J7" s="26"/>
      <c r="K7" s="26" t="s">
        <v>332</v>
      </c>
    </row>
    <row r="8" ht="80.25" customHeight="1" spans="1:11">
      <c r="A8" s="26" t="s">
        <v>32</v>
      </c>
      <c r="B8" s="26" t="s">
        <v>333</v>
      </c>
      <c r="C8" s="26" t="s">
        <v>334</v>
      </c>
      <c r="D8" s="25" t="s">
        <v>323</v>
      </c>
      <c r="E8" s="26" t="s">
        <v>335</v>
      </c>
      <c r="F8" s="26" t="s">
        <v>336</v>
      </c>
      <c r="G8" s="26" t="s">
        <v>326</v>
      </c>
      <c r="H8" s="26">
        <f>SUM(I8:J8)</f>
        <v>350</v>
      </c>
      <c r="I8" s="26">
        <v>350</v>
      </c>
      <c r="J8" s="26"/>
      <c r="K8" s="26" t="s">
        <v>337</v>
      </c>
    </row>
    <row r="9" ht="72.75" customHeight="1" spans="1:11">
      <c r="A9" s="26" t="s">
        <v>32</v>
      </c>
      <c r="B9" s="26" t="s">
        <v>338</v>
      </c>
      <c r="C9" s="26" t="s">
        <v>339</v>
      </c>
      <c r="D9" s="25" t="s">
        <v>323</v>
      </c>
      <c r="E9" s="26" t="s">
        <v>340</v>
      </c>
      <c r="F9" s="26" t="s">
        <v>336</v>
      </c>
      <c r="G9" s="26" t="s">
        <v>326</v>
      </c>
      <c r="H9" s="26">
        <f>SUM(I9:J9)</f>
        <v>2000</v>
      </c>
      <c r="I9" s="26">
        <v>2000</v>
      </c>
      <c r="J9" s="26"/>
      <c r="K9" s="26" t="s">
        <v>337</v>
      </c>
    </row>
    <row r="10" ht="105.75" customHeight="1" spans="1:11">
      <c r="A10" s="26" t="s">
        <v>32</v>
      </c>
      <c r="B10" s="26" t="s">
        <v>341</v>
      </c>
      <c r="C10" s="26" t="s">
        <v>342</v>
      </c>
      <c r="D10" s="25" t="s">
        <v>323</v>
      </c>
      <c r="E10" s="26" t="s">
        <v>343</v>
      </c>
      <c r="F10" s="26" t="s">
        <v>344</v>
      </c>
      <c r="G10" s="26" t="s">
        <v>326</v>
      </c>
      <c r="H10" s="26">
        <f>SUM(I10:J10)</f>
        <v>600</v>
      </c>
      <c r="I10" s="26">
        <v>600</v>
      </c>
      <c r="J10" s="26"/>
      <c r="K10" s="26" t="s">
        <v>337</v>
      </c>
    </row>
    <row r="11" ht="199.5" customHeight="1" spans="1:11">
      <c r="A11" s="37" t="s">
        <v>345</v>
      </c>
      <c r="B11" s="12"/>
      <c r="C11" s="12"/>
      <c r="D11" s="12"/>
      <c r="E11" s="12"/>
      <c r="F11" s="12"/>
      <c r="G11" s="12"/>
      <c r="H11" s="12"/>
      <c r="I11" s="12"/>
      <c r="J11" s="12"/>
      <c r="K11" s="12"/>
    </row>
  </sheetData>
  <mergeCells count="11">
    <mergeCell ref="A2:K2"/>
    <mergeCell ref="H4:J4"/>
    <mergeCell ref="A11:K11"/>
    <mergeCell ref="A4:A5"/>
    <mergeCell ref="B4:B5"/>
    <mergeCell ref="C4:C5"/>
    <mergeCell ref="D4:D5"/>
    <mergeCell ref="E4:E5"/>
    <mergeCell ref="F4:F5"/>
    <mergeCell ref="G4:G5"/>
    <mergeCell ref="K4:K5"/>
  </mergeCells>
  <pageMargins left="0" right="0" top="0.393055555555556" bottom="0.393055555555556" header="0.511805555555556" footer="0.511805555555556"/>
  <pageSetup paperSize="9" orientation="landscape"/>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B3" sqref="B3:D3"/>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346</v>
      </c>
    </row>
    <row r="2" ht="40.5" customHeight="1" spans="1:4">
      <c r="A2" s="23" t="s">
        <v>347</v>
      </c>
      <c r="B2" s="23"/>
      <c r="C2" s="23"/>
      <c r="D2" s="23"/>
    </row>
    <row r="3" ht="58.5" customHeight="1" spans="1:4">
      <c r="A3" s="24" t="s">
        <v>348</v>
      </c>
      <c r="B3" s="14" t="s">
        <v>349</v>
      </c>
      <c r="C3" s="15"/>
      <c r="D3" s="16"/>
    </row>
    <row r="4" ht="30" customHeight="1" spans="1:4">
      <c r="A4" s="24" t="s">
        <v>350</v>
      </c>
      <c r="B4" s="24" t="s">
        <v>351</v>
      </c>
      <c r="C4" s="24" t="s">
        <v>352</v>
      </c>
      <c r="D4" s="24" t="s">
        <v>353</v>
      </c>
    </row>
    <row r="5" ht="30" customHeight="1" spans="1:4">
      <c r="A5" s="18"/>
      <c r="B5" s="25" t="s">
        <v>354</v>
      </c>
      <c r="C5" s="26" t="s">
        <v>355</v>
      </c>
      <c r="D5" s="26" t="s">
        <v>356</v>
      </c>
    </row>
    <row r="6" ht="46.5" customHeight="1" spans="1:4">
      <c r="A6" s="18"/>
      <c r="B6" s="25"/>
      <c r="C6" s="26" t="s">
        <v>357</v>
      </c>
      <c r="D6" s="26" t="s">
        <v>358</v>
      </c>
    </row>
    <row r="7" ht="62.25" customHeight="1" spans="1:4">
      <c r="A7" s="18"/>
      <c r="B7" s="25" t="s">
        <v>359</v>
      </c>
      <c r="C7" s="26" t="s">
        <v>360</v>
      </c>
      <c r="D7" s="26" t="s">
        <v>361</v>
      </c>
    </row>
    <row r="8" ht="69" customHeight="1" spans="1:4">
      <c r="A8" s="18"/>
      <c r="B8" s="25" t="s">
        <v>362</v>
      </c>
      <c r="C8" s="26" t="s">
        <v>363</v>
      </c>
      <c r="D8" s="26" t="s">
        <v>364</v>
      </c>
    </row>
    <row r="9" ht="78" customHeight="1" spans="1:4">
      <c r="A9" s="18"/>
      <c r="B9" s="25"/>
      <c r="C9" s="26" t="s">
        <v>365</v>
      </c>
      <c r="D9" s="26" t="s">
        <v>366</v>
      </c>
    </row>
    <row r="10" ht="40.5" customHeight="1" spans="1:4">
      <c r="A10" s="18"/>
      <c r="B10" s="25"/>
      <c r="C10" s="26" t="s">
        <v>367</v>
      </c>
      <c r="D10" s="26" t="s">
        <v>368</v>
      </c>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C4" sqref="C4"/>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58.5" customHeight="1" spans="1:4">
      <c r="A3" s="24" t="s">
        <v>348</v>
      </c>
      <c r="B3" s="14" t="s">
        <v>371</v>
      </c>
      <c r="C3" s="15"/>
      <c r="D3" s="16"/>
    </row>
    <row r="4" ht="30" customHeight="1" spans="1:4">
      <c r="A4" s="24" t="s">
        <v>350</v>
      </c>
      <c r="B4" s="24" t="s">
        <v>351</v>
      </c>
      <c r="C4" s="24" t="s">
        <v>352</v>
      </c>
      <c r="D4" s="24" t="s">
        <v>353</v>
      </c>
    </row>
    <row r="5" ht="30" customHeight="1" spans="1:4">
      <c r="A5" s="18"/>
      <c r="B5" s="25" t="s">
        <v>354</v>
      </c>
      <c r="C5" s="26" t="s">
        <v>355</v>
      </c>
      <c r="D5" s="26" t="s">
        <v>372</v>
      </c>
    </row>
    <row r="6" ht="46.5" customHeight="1" spans="1:4">
      <c r="A6" s="18"/>
      <c r="B6" s="25"/>
      <c r="C6" s="26" t="s">
        <v>357</v>
      </c>
      <c r="D6" s="26" t="s">
        <v>373</v>
      </c>
    </row>
    <row r="7" ht="62.25" customHeight="1" spans="1:4">
      <c r="A7" s="18"/>
      <c r="B7" s="25" t="s">
        <v>359</v>
      </c>
      <c r="C7" s="26" t="s">
        <v>360</v>
      </c>
      <c r="D7" s="26" t="s">
        <v>374</v>
      </c>
    </row>
    <row r="8" ht="30" customHeight="1" spans="1:4">
      <c r="A8" s="18"/>
      <c r="B8" s="25" t="s">
        <v>362</v>
      </c>
      <c r="C8" s="26" t="s">
        <v>363</v>
      </c>
      <c r="D8" s="26" t="s">
        <v>375</v>
      </c>
    </row>
    <row r="9" ht="78" customHeight="1" spans="1:4">
      <c r="A9" s="18"/>
      <c r="B9" s="25"/>
      <c r="C9" s="26" t="s">
        <v>365</v>
      </c>
      <c r="D9" s="26" t="s">
        <v>376</v>
      </c>
    </row>
    <row r="10" ht="40.5" customHeight="1" spans="1:4">
      <c r="A10" s="18"/>
      <c r="B10" s="25"/>
      <c r="C10" s="26" t="s">
        <v>367</v>
      </c>
      <c r="D10" s="26" t="s">
        <v>377</v>
      </c>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C5" sqref="C5"/>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378</v>
      </c>
    </row>
    <row r="2" ht="40.5" customHeight="1" spans="1:4">
      <c r="A2" s="23" t="s">
        <v>347</v>
      </c>
      <c r="B2" s="23"/>
      <c r="C2" s="23"/>
      <c r="D2" s="23"/>
    </row>
    <row r="3" ht="102.75" customHeight="1" spans="1:4">
      <c r="A3" s="24" t="s">
        <v>348</v>
      </c>
      <c r="B3" s="29" t="s">
        <v>379</v>
      </c>
      <c r="C3" s="30"/>
      <c r="D3" s="31"/>
    </row>
    <row r="4" ht="30" customHeight="1" spans="1:4">
      <c r="A4" s="24" t="s">
        <v>350</v>
      </c>
      <c r="B4" s="24" t="s">
        <v>351</v>
      </c>
      <c r="C4" s="24" t="s">
        <v>352</v>
      </c>
      <c r="D4" s="24" t="s">
        <v>353</v>
      </c>
    </row>
    <row r="5" ht="30" customHeight="1" spans="1:4">
      <c r="A5" s="18"/>
      <c r="B5" s="25" t="s">
        <v>354</v>
      </c>
      <c r="C5" s="26" t="s">
        <v>355</v>
      </c>
      <c r="D5" s="26" t="s">
        <v>380</v>
      </c>
    </row>
    <row r="6" ht="46.5" customHeight="1" spans="1:4">
      <c r="A6" s="18"/>
      <c r="B6" s="25"/>
      <c r="C6" s="26" t="s">
        <v>357</v>
      </c>
      <c r="D6" s="26" t="s">
        <v>381</v>
      </c>
    </row>
    <row r="7" ht="62.25" customHeight="1" spans="1:4">
      <c r="A7" s="18"/>
      <c r="B7" s="25" t="s">
        <v>359</v>
      </c>
      <c r="C7" s="26" t="s">
        <v>360</v>
      </c>
      <c r="D7" s="26" t="s">
        <v>382</v>
      </c>
    </row>
    <row r="8" ht="57.75" customHeight="1" spans="1:4">
      <c r="A8" s="18"/>
      <c r="B8" s="25" t="s">
        <v>362</v>
      </c>
      <c r="C8" s="26" t="s">
        <v>383</v>
      </c>
      <c r="D8" s="26" t="s">
        <v>384</v>
      </c>
    </row>
    <row r="9" ht="31.5" customHeight="1" spans="1:4">
      <c r="A9" s="32" t="s">
        <v>369</v>
      </c>
      <c r="B9" s="32"/>
      <c r="C9" s="32"/>
      <c r="D9" s="32"/>
    </row>
    <row r="10" ht="32.25" customHeight="1" spans="1:4">
      <c r="A10" s="28"/>
      <c r="B10" s="28"/>
      <c r="C10" s="28"/>
      <c r="D10" s="28"/>
    </row>
  </sheetData>
  <mergeCells count="4">
    <mergeCell ref="A2:D2"/>
    <mergeCell ref="B3:D3"/>
    <mergeCell ref="A9:D9"/>
    <mergeCell ref="A10:D10"/>
  </mergeCells>
  <pageMargins left="0.75" right="0.75" top="1" bottom="1" header="0.5" footer="0.5"/>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C4" sqref="C4"/>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58.5" customHeight="1" spans="1:4">
      <c r="A3" s="24" t="s">
        <v>348</v>
      </c>
      <c r="B3" s="14" t="s">
        <v>385</v>
      </c>
      <c r="C3" s="15"/>
      <c r="D3" s="16"/>
    </row>
    <row r="4" ht="30" customHeight="1" spans="1:4">
      <c r="A4" s="24" t="s">
        <v>350</v>
      </c>
      <c r="B4" s="24" t="s">
        <v>351</v>
      </c>
      <c r="C4" s="24" t="s">
        <v>352</v>
      </c>
      <c r="D4" s="24" t="s">
        <v>353</v>
      </c>
    </row>
    <row r="5" ht="30" customHeight="1" spans="1:4">
      <c r="A5" s="18"/>
      <c r="B5" s="25" t="s">
        <v>354</v>
      </c>
      <c r="C5" s="26" t="s">
        <v>355</v>
      </c>
      <c r="D5" s="26" t="s">
        <v>372</v>
      </c>
    </row>
    <row r="6" ht="46.5" customHeight="1" spans="1:4">
      <c r="A6" s="18"/>
      <c r="B6" s="25"/>
      <c r="C6" s="26" t="s">
        <v>357</v>
      </c>
      <c r="D6" s="26" t="s">
        <v>386</v>
      </c>
    </row>
    <row r="7" ht="62.25" customHeight="1" spans="1:4">
      <c r="A7" s="18"/>
      <c r="B7" s="25" t="s">
        <v>359</v>
      </c>
      <c r="C7" s="26" t="s">
        <v>360</v>
      </c>
      <c r="D7" s="26" t="s">
        <v>387</v>
      </c>
    </row>
    <row r="8" ht="75.75" customHeight="1" spans="1:4">
      <c r="A8" s="18"/>
      <c r="B8" s="25" t="s">
        <v>362</v>
      </c>
      <c r="C8" s="26" t="s">
        <v>363</v>
      </c>
      <c r="D8" s="26" t="s">
        <v>388</v>
      </c>
    </row>
    <row r="9" ht="78" customHeight="1" spans="1:4">
      <c r="A9" s="18"/>
      <c r="B9" s="25"/>
      <c r="C9" s="26" t="s">
        <v>365</v>
      </c>
      <c r="D9" s="26" t="s">
        <v>389</v>
      </c>
    </row>
    <row r="10" ht="40.5" customHeight="1" spans="1:4">
      <c r="A10" s="18"/>
      <c r="B10" s="25"/>
      <c r="C10" s="26" t="s">
        <v>367</v>
      </c>
      <c r="D10" s="26"/>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4" workbookViewId="0">
      <selection activeCell="D10" sqref="D10"/>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58.5" customHeight="1" spans="1:4">
      <c r="A3" s="24" t="s">
        <v>348</v>
      </c>
      <c r="B3" s="14" t="s">
        <v>390</v>
      </c>
      <c r="C3" s="15"/>
      <c r="D3" s="16"/>
    </row>
    <row r="4" ht="30" customHeight="1" spans="1:4">
      <c r="A4" s="24" t="s">
        <v>350</v>
      </c>
      <c r="B4" s="24" t="s">
        <v>351</v>
      </c>
      <c r="C4" s="24" t="s">
        <v>352</v>
      </c>
      <c r="D4" s="24" t="s">
        <v>353</v>
      </c>
    </row>
    <row r="5" ht="46.5" customHeight="1" spans="1:4">
      <c r="A5" s="18"/>
      <c r="B5" s="25" t="s">
        <v>354</v>
      </c>
      <c r="C5" s="26" t="s">
        <v>355</v>
      </c>
      <c r="D5" s="26" t="s">
        <v>372</v>
      </c>
    </row>
    <row r="6" ht="46.5" customHeight="1" spans="1:4">
      <c r="A6" s="18"/>
      <c r="B6" s="25"/>
      <c r="C6" s="26" t="s">
        <v>357</v>
      </c>
      <c r="D6" s="26" t="s">
        <v>391</v>
      </c>
    </row>
    <row r="7" ht="62.25" customHeight="1" spans="1:4">
      <c r="A7" s="18"/>
      <c r="B7" s="25" t="s">
        <v>359</v>
      </c>
      <c r="C7" s="26" t="s">
        <v>360</v>
      </c>
      <c r="D7" s="26" t="s">
        <v>392</v>
      </c>
    </row>
    <row r="8" ht="75.75" customHeight="1" spans="1:4">
      <c r="A8" s="18"/>
      <c r="B8" s="25" t="s">
        <v>362</v>
      </c>
      <c r="C8" s="26" t="s">
        <v>363</v>
      </c>
      <c r="D8" s="26" t="s">
        <v>393</v>
      </c>
    </row>
    <row r="9" ht="108" customHeight="1" spans="1:4">
      <c r="A9" s="18"/>
      <c r="B9" s="25"/>
      <c r="C9" s="26" t="s">
        <v>365</v>
      </c>
      <c r="D9" s="26" t="s">
        <v>394</v>
      </c>
    </row>
    <row r="10" ht="40.5" customHeight="1" spans="1:4">
      <c r="A10" s="18"/>
      <c r="B10" s="25"/>
      <c r="C10" s="26" t="s">
        <v>367</v>
      </c>
      <c r="D10" s="26"/>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F9" sqref="F9"/>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87.75" customHeight="1" spans="1:4">
      <c r="A3" s="24" t="s">
        <v>348</v>
      </c>
      <c r="B3" s="14" t="s">
        <v>395</v>
      </c>
      <c r="C3" s="15"/>
      <c r="D3" s="16"/>
    </row>
    <row r="4" ht="30" customHeight="1" spans="1:4">
      <c r="A4" s="24" t="s">
        <v>350</v>
      </c>
      <c r="B4" s="24" t="s">
        <v>351</v>
      </c>
      <c r="C4" s="24" t="s">
        <v>352</v>
      </c>
      <c r="D4" s="24" t="s">
        <v>353</v>
      </c>
    </row>
    <row r="5" ht="46.5" customHeight="1" spans="1:4">
      <c r="A5" s="18"/>
      <c r="B5" s="25" t="s">
        <v>354</v>
      </c>
      <c r="C5" s="26" t="s">
        <v>355</v>
      </c>
      <c r="D5" s="26" t="s">
        <v>396</v>
      </c>
    </row>
    <row r="6" ht="46.5" customHeight="1" spans="1:4">
      <c r="A6" s="18"/>
      <c r="B6" s="25"/>
      <c r="C6" s="26" t="s">
        <v>357</v>
      </c>
      <c r="D6" s="26" t="s">
        <v>397</v>
      </c>
    </row>
    <row r="7" ht="62.25" customHeight="1" spans="1:4">
      <c r="A7" s="18"/>
      <c r="B7" s="25" t="s">
        <v>359</v>
      </c>
      <c r="C7" s="26" t="s">
        <v>360</v>
      </c>
      <c r="D7" s="26" t="s">
        <v>398</v>
      </c>
    </row>
    <row r="8" ht="75.75" customHeight="1" spans="1:4">
      <c r="A8" s="18"/>
      <c r="B8" s="25" t="s">
        <v>362</v>
      </c>
      <c r="C8" s="26" t="s">
        <v>363</v>
      </c>
      <c r="D8" s="26" t="s">
        <v>399</v>
      </c>
    </row>
    <row r="9" ht="108" customHeight="1" spans="1:4">
      <c r="A9" s="18"/>
      <c r="B9" s="25"/>
      <c r="C9" s="26" t="s">
        <v>365</v>
      </c>
      <c r="D9" s="26" t="s">
        <v>400</v>
      </c>
    </row>
    <row r="10" ht="40.5" customHeight="1" spans="1:4">
      <c r="A10" s="18"/>
      <c r="B10" s="25"/>
      <c r="C10" s="26" t="s">
        <v>367</v>
      </c>
      <c r="D10" s="26"/>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4" workbookViewId="0">
      <selection activeCell="D8" sqref="D8"/>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120.75" customHeight="1" spans="1:4">
      <c r="A3" s="24" t="s">
        <v>348</v>
      </c>
      <c r="B3" s="14" t="s">
        <v>401</v>
      </c>
      <c r="C3" s="15"/>
      <c r="D3" s="16"/>
    </row>
    <row r="4" ht="30" customHeight="1" spans="1:4">
      <c r="A4" s="24" t="s">
        <v>350</v>
      </c>
      <c r="B4" s="24" t="s">
        <v>351</v>
      </c>
      <c r="C4" s="24" t="s">
        <v>352</v>
      </c>
      <c r="D4" s="24" t="s">
        <v>353</v>
      </c>
    </row>
    <row r="5" ht="46.5" customHeight="1" spans="1:4">
      <c r="A5" s="18"/>
      <c r="B5" s="25" t="s">
        <v>354</v>
      </c>
      <c r="C5" s="26" t="s">
        <v>355</v>
      </c>
      <c r="D5" s="26" t="s">
        <v>402</v>
      </c>
    </row>
    <row r="6" ht="46.5" customHeight="1" spans="1:4">
      <c r="A6" s="18"/>
      <c r="B6" s="25"/>
      <c r="C6" s="26" t="s">
        <v>357</v>
      </c>
      <c r="D6" s="26" t="s">
        <v>403</v>
      </c>
    </row>
    <row r="7" ht="62.25" customHeight="1" spans="1:4">
      <c r="A7" s="18"/>
      <c r="B7" s="25" t="s">
        <v>359</v>
      </c>
      <c r="C7" s="26" t="s">
        <v>360</v>
      </c>
      <c r="D7" s="26" t="s">
        <v>404</v>
      </c>
    </row>
    <row r="8" ht="75.75" customHeight="1" spans="1:4">
      <c r="A8" s="18"/>
      <c r="B8" s="25" t="s">
        <v>362</v>
      </c>
      <c r="C8" s="26" t="s">
        <v>363</v>
      </c>
      <c r="D8" s="26" t="s">
        <v>405</v>
      </c>
    </row>
    <row r="9" ht="108" customHeight="1" spans="1:4">
      <c r="A9" s="18"/>
      <c r="B9" s="25"/>
      <c r="C9" s="26" t="s">
        <v>365</v>
      </c>
      <c r="D9" s="26" t="s">
        <v>406</v>
      </c>
    </row>
    <row r="10" ht="40.5" customHeight="1" spans="1:4">
      <c r="A10" s="18"/>
      <c r="B10" s="25"/>
      <c r="C10" s="26" t="s">
        <v>367</v>
      </c>
      <c r="D10" s="26"/>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7" workbookViewId="0">
      <selection activeCell="A11" sqref="A11:D11"/>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87" customHeight="1" spans="1:4">
      <c r="A3" s="24" t="s">
        <v>348</v>
      </c>
      <c r="B3" s="14" t="s">
        <v>407</v>
      </c>
      <c r="C3" s="15"/>
      <c r="D3" s="16"/>
    </row>
    <row r="4" ht="30" customHeight="1" spans="1:4">
      <c r="A4" s="24" t="s">
        <v>350</v>
      </c>
      <c r="B4" s="24" t="s">
        <v>351</v>
      </c>
      <c r="C4" s="24" t="s">
        <v>352</v>
      </c>
      <c r="D4" s="24" t="s">
        <v>353</v>
      </c>
    </row>
    <row r="5" ht="46.5" customHeight="1" spans="1:4">
      <c r="A5" s="18"/>
      <c r="B5" s="25" t="s">
        <v>354</v>
      </c>
      <c r="C5" s="26" t="s">
        <v>355</v>
      </c>
      <c r="D5" s="26" t="s">
        <v>372</v>
      </c>
    </row>
    <row r="6" ht="46.5" customHeight="1" spans="1:4">
      <c r="A6" s="18"/>
      <c r="B6" s="25"/>
      <c r="C6" s="26" t="s">
        <v>357</v>
      </c>
      <c r="D6" s="26" t="s">
        <v>408</v>
      </c>
    </row>
    <row r="7" ht="62.25" customHeight="1" spans="1:4">
      <c r="A7" s="18"/>
      <c r="B7" s="25" t="s">
        <v>359</v>
      </c>
      <c r="C7" s="26" t="s">
        <v>360</v>
      </c>
      <c r="D7" s="26" t="s">
        <v>409</v>
      </c>
    </row>
    <row r="8" ht="75.75" customHeight="1" spans="1:4">
      <c r="A8" s="18"/>
      <c r="B8" s="25" t="s">
        <v>362</v>
      </c>
      <c r="C8" s="26" t="s">
        <v>363</v>
      </c>
      <c r="D8" s="26" t="s">
        <v>410</v>
      </c>
    </row>
    <row r="9" ht="108" customHeight="1" spans="1:4">
      <c r="A9" s="18"/>
      <c r="B9" s="25"/>
      <c r="C9" s="26" t="s">
        <v>365</v>
      </c>
      <c r="D9" s="26" t="s">
        <v>411</v>
      </c>
    </row>
    <row r="10" ht="40.5" customHeight="1" spans="1:4">
      <c r="A10" s="18"/>
      <c r="B10" s="25"/>
      <c r="C10" s="26" t="s">
        <v>367</v>
      </c>
      <c r="D10" s="26" t="s">
        <v>412</v>
      </c>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4" workbookViewId="0">
      <selection activeCell="C8" sqref="C8"/>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57" customHeight="1" spans="1:4">
      <c r="A3" s="24" t="s">
        <v>348</v>
      </c>
      <c r="B3" s="14" t="s">
        <v>413</v>
      </c>
      <c r="C3" s="15"/>
      <c r="D3" s="16"/>
    </row>
    <row r="4" ht="30" customHeight="1" spans="1:4">
      <c r="A4" s="24" t="s">
        <v>350</v>
      </c>
      <c r="B4" s="24" t="s">
        <v>351</v>
      </c>
      <c r="C4" s="24" t="s">
        <v>352</v>
      </c>
      <c r="D4" s="24" t="s">
        <v>353</v>
      </c>
    </row>
    <row r="5" ht="46.5" customHeight="1" spans="1:4">
      <c r="A5" s="18"/>
      <c r="B5" s="25" t="s">
        <v>354</v>
      </c>
      <c r="C5" s="26" t="s">
        <v>355</v>
      </c>
      <c r="D5" s="26" t="s">
        <v>372</v>
      </c>
    </row>
    <row r="6" ht="46.5" customHeight="1" spans="1:4">
      <c r="A6" s="18"/>
      <c r="B6" s="25"/>
      <c r="C6" s="26" t="s">
        <v>357</v>
      </c>
      <c r="D6" s="26" t="s">
        <v>414</v>
      </c>
    </row>
    <row r="7" ht="62.25" customHeight="1" spans="1:4">
      <c r="A7" s="18"/>
      <c r="B7" s="25" t="s">
        <v>359</v>
      </c>
      <c r="C7" s="26" t="s">
        <v>360</v>
      </c>
      <c r="D7" s="26" t="s">
        <v>415</v>
      </c>
    </row>
    <row r="8" ht="75.75" customHeight="1" spans="1:4">
      <c r="A8" s="18"/>
      <c r="B8" s="25" t="s">
        <v>362</v>
      </c>
      <c r="C8" s="26" t="s">
        <v>363</v>
      </c>
      <c r="D8" s="26" t="s">
        <v>416</v>
      </c>
    </row>
    <row r="9" ht="108" customHeight="1" spans="1:4">
      <c r="A9" s="18"/>
      <c r="B9" s="25"/>
      <c r="C9" s="26" t="s">
        <v>365</v>
      </c>
      <c r="D9" s="26" t="s">
        <v>417</v>
      </c>
    </row>
    <row r="10" ht="40.5" customHeight="1" spans="1:4">
      <c r="A10" s="18"/>
      <c r="B10" s="25"/>
      <c r="C10" s="26" t="s">
        <v>367</v>
      </c>
      <c r="D10" s="26"/>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C6" sqref="C6"/>
    </sheetView>
  </sheetViews>
  <sheetFormatPr defaultColWidth="9" defaultRowHeight="14.25" outlineLevelCol="3"/>
  <cols>
    <col min="1" max="1" width="17" style="22" customWidth="1"/>
    <col min="2" max="2" width="12.75" style="22" customWidth="1"/>
    <col min="3" max="3" width="31.875" style="22" customWidth="1"/>
    <col min="4" max="4" width="20.25" style="22" customWidth="1"/>
    <col min="5" max="16384" width="9" style="22"/>
  </cols>
  <sheetData>
    <row r="1" spans="1:1">
      <c r="A1" s="22" t="s">
        <v>370</v>
      </c>
    </row>
    <row r="2" ht="40.5" customHeight="1" spans="1:4">
      <c r="A2" s="23" t="s">
        <v>347</v>
      </c>
      <c r="B2" s="23"/>
      <c r="C2" s="23"/>
      <c r="D2" s="23"/>
    </row>
    <row r="3" ht="41.25" customHeight="1" spans="1:4">
      <c r="A3" s="24" t="s">
        <v>348</v>
      </c>
      <c r="B3" s="14" t="s">
        <v>418</v>
      </c>
      <c r="C3" s="15"/>
      <c r="D3" s="16"/>
    </row>
    <row r="4" ht="30" customHeight="1" spans="1:4">
      <c r="A4" s="24" t="s">
        <v>350</v>
      </c>
      <c r="B4" s="24" t="s">
        <v>351</v>
      </c>
      <c r="C4" s="24" t="s">
        <v>352</v>
      </c>
      <c r="D4" s="24" t="s">
        <v>353</v>
      </c>
    </row>
    <row r="5" ht="46.5" customHeight="1" spans="1:4">
      <c r="A5" s="18"/>
      <c r="B5" s="25" t="s">
        <v>354</v>
      </c>
      <c r="C5" s="26" t="s">
        <v>355</v>
      </c>
      <c r="D5" s="26" t="s">
        <v>372</v>
      </c>
    </row>
    <row r="6" ht="46.5" customHeight="1" spans="1:4">
      <c r="A6" s="18"/>
      <c r="B6" s="25"/>
      <c r="C6" s="26" t="s">
        <v>357</v>
      </c>
      <c r="D6" s="26" t="s">
        <v>419</v>
      </c>
    </row>
    <row r="7" ht="62.25" customHeight="1" spans="1:4">
      <c r="A7" s="18"/>
      <c r="B7" s="25" t="s">
        <v>359</v>
      </c>
      <c r="C7" s="26" t="s">
        <v>360</v>
      </c>
      <c r="D7" s="26" t="s">
        <v>420</v>
      </c>
    </row>
    <row r="8" ht="75.75" customHeight="1" spans="1:4">
      <c r="A8" s="18"/>
      <c r="B8" s="25" t="s">
        <v>362</v>
      </c>
      <c r="C8" s="26" t="s">
        <v>363</v>
      </c>
      <c r="D8" s="26"/>
    </row>
    <row r="9" ht="108" customHeight="1" spans="1:4">
      <c r="A9" s="18"/>
      <c r="B9" s="25"/>
      <c r="C9" s="26" t="s">
        <v>365</v>
      </c>
      <c r="D9" s="26" t="s">
        <v>421</v>
      </c>
    </row>
    <row r="10" ht="40.5" customHeight="1" spans="1:4">
      <c r="A10" s="18"/>
      <c r="B10" s="25"/>
      <c r="C10" s="26" t="s">
        <v>367</v>
      </c>
      <c r="D10" s="26"/>
    </row>
    <row r="11" ht="31.5" customHeight="1" spans="1:4">
      <c r="A11" s="27" t="s">
        <v>369</v>
      </c>
      <c r="B11" s="27"/>
      <c r="C11" s="27"/>
      <c r="D11" s="27"/>
    </row>
    <row r="12" ht="32.25" customHeight="1" spans="1:4">
      <c r="A12" s="28"/>
      <c r="B12" s="28"/>
      <c r="C12" s="28"/>
      <c r="D12" s="28"/>
    </row>
  </sheetData>
  <mergeCells count="4">
    <mergeCell ref="A2:D2"/>
    <mergeCell ref="B3:D3"/>
    <mergeCell ref="A11:D11"/>
    <mergeCell ref="A12:D12"/>
  </mergeCells>
  <pageMargins left="0.75" right="0.75" top="1" bottom="1" header="0.5" footer="0.5"/>
  <pageSetup paperSize="9" orientation="portrait"/>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D11" sqref="D11"/>
    </sheetView>
  </sheetViews>
  <sheetFormatPr defaultColWidth="9" defaultRowHeight="14.25" outlineLevelCol="3"/>
  <cols>
    <col min="1" max="1" width="10.875" customWidth="1"/>
    <col min="2" max="2" width="8.25" customWidth="1"/>
    <col min="3" max="3" width="30.125" customWidth="1"/>
    <col min="4" max="4" width="25.25" customWidth="1"/>
  </cols>
  <sheetData>
    <row r="1" spans="1:1">
      <c r="A1" t="s">
        <v>422</v>
      </c>
    </row>
    <row r="2" ht="27.75" customHeight="1" spans="1:4">
      <c r="A2" s="1" t="s">
        <v>423</v>
      </c>
      <c r="B2" s="1"/>
      <c r="C2" s="1"/>
      <c r="D2" s="1"/>
    </row>
    <row r="3" ht="30" customHeight="1" spans="1:4">
      <c r="A3" s="2" t="s">
        <v>424</v>
      </c>
      <c r="B3" s="2"/>
      <c r="C3" s="3" t="s">
        <v>425</v>
      </c>
      <c r="D3" s="3"/>
    </row>
    <row r="4" ht="69" customHeight="1" spans="1:4">
      <c r="A4" s="8" t="s">
        <v>426</v>
      </c>
      <c r="B4" s="14" t="s">
        <v>427</v>
      </c>
      <c r="C4" s="15"/>
      <c r="D4" s="16"/>
    </row>
    <row r="5" ht="34.5" customHeight="1" spans="1:4">
      <c r="A5" s="8" t="s">
        <v>350</v>
      </c>
      <c r="B5" s="2" t="s">
        <v>351</v>
      </c>
      <c r="C5" s="8" t="s">
        <v>352</v>
      </c>
      <c r="D5" s="8" t="s">
        <v>353</v>
      </c>
    </row>
    <row r="6" ht="54.75" customHeight="1" spans="1:4">
      <c r="A6" s="8"/>
      <c r="B6" s="2" t="s">
        <v>354</v>
      </c>
      <c r="C6" s="19" t="s">
        <v>428</v>
      </c>
      <c r="D6" s="19" t="s">
        <v>429</v>
      </c>
    </row>
    <row r="7" ht="34.5" customHeight="1" spans="1:4">
      <c r="A7" s="8"/>
      <c r="B7" s="2"/>
      <c r="C7" s="19" t="s">
        <v>430</v>
      </c>
      <c r="D7" s="19" t="s">
        <v>430</v>
      </c>
    </row>
    <row r="8" ht="34.5" customHeight="1" spans="1:4">
      <c r="A8" s="8"/>
      <c r="B8" s="2"/>
      <c r="C8" s="19" t="s">
        <v>431</v>
      </c>
      <c r="D8" s="19" t="s">
        <v>431</v>
      </c>
    </row>
    <row r="9" ht="40.5" customHeight="1" spans="1:4">
      <c r="A9" s="8"/>
      <c r="B9" s="2" t="s">
        <v>359</v>
      </c>
      <c r="C9" s="20" t="s">
        <v>432</v>
      </c>
      <c r="D9" s="19" t="s">
        <v>433</v>
      </c>
    </row>
    <row r="10" ht="63.75" customHeight="1" spans="1:4">
      <c r="A10" s="8"/>
      <c r="B10" s="2"/>
      <c r="C10" s="20" t="s">
        <v>434</v>
      </c>
      <c r="D10" s="19" t="s">
        <v>435</v>
      </c>
    </row>
    <row r="11" ht="60" customHeight="1" spans="1:4">
      <c r="A11" s="8"/>
      <c r="B11" s="2" t="s">
        <v>362</v>
      </c>
      <c r="C11" s="20" t="s">
        <v>436</v>
      </c>
      <c r="D11" s="19" t="s">
        <v>437</v>
      </c>
    </row>
    <row r="12" ht="79.5" customHeight="1" spans="1:4">
      <c r="A12" s="8"/>
      <c r="B12" s="8"/>
      <c r="C12" s="20" t="s">
        <v>438</v>
      </c>
      <c r="D12" s="19" t="s">
        <v>439</v>
      </c>
    </row>
    <row r="13" ht="76.5" customHeight="1" spans="1:4">
      <c r="A13" s="8"/>
      <c r="B13" s="8"/>
      <c r="C13" s="20" t="s">
        <v>440</v>
      </c>
      <c r="D13" s="19" t="s">
        <v>441</v>
      </c>
    </row>
    <row r="14" ht="42" customHeight="1" spans="1:4">
      <c r="A14" s="12" t="s">
        <v>369</v>
      </c>
      <c r="B14" s="12"/>
      <c r="C14" s="12"/>
      <c r="D14" s="12"/>
    </row>
  </sheetData>
  <mergeCells count="5">
    <mergeCell ref="A2:D2"/>
    <mergeCell ref="A3:B3"/>
    <mergeCell ref="C3:D3"/>
    <mergeCell ref="B4:D4"/>
    <mergeCell ref="A14:D14"/>
  </mergeCells>
  <pageMargins left="0.75" right="0.75" top="1" bottom="1" header="0.5" footer="0.5"/>
  <pageSetup paperSize="9" orientation="portrait"/>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C11" sqref="C11"/>
    </sheetView>
  </sheetViews>
  <sheetFormatPr defaultColWidth="9" defaultRowHeight="14.25" outlineLevelCol="3"/>
  <cols>
    <col min="1" max="1" width="10.875" customWidth="1"/>
    <col min="2" max="2" width="8.25" customWidth="1"/>
    <col min="3" max="3" width="30.125" customWidth="1"/>
    <col min="4" max="4" width="25.25" customWidth="1"/>
  </cols>
  <sheetData>
    <row r="1" spans="1:1">
      <c r="A1" t="s">
        <v>442</v>
      </c>
    </row>
    <row r="2" ht="27.75" customHeight="1" spans="1:4">
      <c r="A2" s="1" t="s">
        <v>423</v>
      </c>
      <c r="B2" s="1"/>
      <c r="C2" s="1"/>
      <c r="D2" s="1"/>
    </row>
    <row r="3" ht="30" customHeight="1" spans="1:4">
      <c r="A3" s="2" t="s">
        <v>424</v>
      </c>
      <c r="B3" s="2"/>
      <c r="C3" s="3" t="s">
        <v>443</v>
      </c>
      <c r="D3" s="3"/>
    </row>
    <row r="4" ht="69" customHeight="1" spans="1:4">
      <c r="A4" s="8" t="s">
        <v>426</v>
      </c>
      <c r="B4" s="14" t="s">
        <v>427</v>
      </c>
      <c r="C4" s="15"/>
      <c r="D4" s="16"/>
    </row>
    <row r="5" ht="34.5" customHeight="1" spans="1:4">
      <c r="A5" s="8" t="s">
        <v>350</v>
      </c>
      <c r="B5" s="2" t="s">
        <v>351</v>
      </c>
      <c r="C5" s="8" t="s">
        <v>352</v>
      </c>
      <c r="D5" s="8" t="s">
        <v>353</v>
      </c>
    </row>
    <row r="6" ht="54.75" customHeight="1" spans="1:4">
      <c r="A6" s="8"/>
      <c r="B6" s="2" t="s">
        <v>354</v>
      </c>
      <c r="C6" s="19" t="s">
        <v>444</v>
      </c>
      <c r="D6" s="19" t="s">
        <v>445</v>
      </c>
    </row>
    <row r="7" ht="34.5" customHeight="1" spans="1:4">
      <c r="A7" s="8"/>
      <c r="B7" s="2"/>
      <c r="C7" s="19" t="s">
        <v>430</v>
      </c>
      <c r="D7" s="19" t="s">
        <v>430</v>
      </c>
    </row>
    <row r="8" ht="34.5" customHeight="1" spans="1:4">
      <c r="A8" s="8"/>
      <c r="B8" s="2"/>
      <c r="C8" s="19" t="s">
        <v>446</v>
      </c>
      <c r="D8" s="19" t="s">
        <v>446</v>
      </c>
    </row>
    <row r="9" ht="40.5" customHeight="1" spans="1:4">
      <c r="A9" s="8"/>
      <c r="B9" s="2" t="s">
        <v>359</v>
      </c>
      <c r="C9" s="20" t="s">
        <v>432</v>
      </c>
      <c r="D9" s="19" t="s">
        <v>447</v>
      </c>
    </row>
    <row r="10" ht="89.25" customHeight="1" spans="1:4">
      <c r="A10" s="8"/>
      <c r="B10" s="2"/>
      <c r="C10" s="20" t="s">
        <v>434</v>
      </c>
      <c r="D10" s="19" t="s">
        <v>448</v>
      </c>
    </row>
    <row r="11" ht="60" customHeight="1" spans="1:4">
      <c r="A11" s="8"/>
      <c r="B11" s="2" t="s">
        <v>362</v>
      </c>
      <c r="C11" s="20" t="s">
        <v>436</v>
      </c>
      <c r="D11" s="19" t="s">
        <v>437</v>
      </c>
    </row>
    <row r="12" ht="79.5" customHeight="1" spans="1:4">
      <c r="A12" s="8"/>
      <c r="B12" s="8"/>
      <c r="C12" s="20" t="s">
        <v>438</v>
      </c>
      <c r="D12" s="19" t="s">
        <v>449</v>
      </c>
    </row>
    <row r="13" ht="52.5" customHeight="1" spans="1:4">
      <c r="A13" s="8"/>
      <c r="B13" s="8"/>
      <c r="C13" s="21" t="s">
        <v>450</v>
      </c>
      <c r="D13" s="19" t="s">
        <v>451</v>
      </c>
    </row>
    <row r="14" ht="58.5" customHeight="1" spans="1:4">
      <c r="A14" s="8"/>
      <c r="B14" s="8"/>
      <c r="C14" s="20" t="s">
        <v>452</v>
      </c>
      <c r="D14" s="19" t="s">
        <v>453</v>
      </c>
    </row>
    <row r="15" ht="84.75" customHeight="1" spans="1:4">
      <c r="A15" s="8"/>
      <c r="B15" s="8"/>
      <c r="C15" s="20" t="s">
        <v>440</v>
      </c>
      <c r="D15" s="19" t="s">
        <v>454</v>
      </c>
    </row>
    <row r="16" ht="42" customHeight="1" spans="1:4">
      <c r="A16" s="12" t="s">
        <v>369</v>
      </c>
      <c r="B16" s="12"/>
      <c r="C16" s="12"/>
      <c r="D16" s="12"/>
    </row>
  </sheetData>
  <mergeCells count="5">
    <mergeCell ref="A2:D2"/>
    <mergeCell ref="A3:B3"/>
    <mergeCell ref="C3:D3"/>
    <mergeCell ref="B4:D4"/>
    <mergeCell ref="A16:D16"/>
  </mergeCells>
  <pageMargins left="0.75" right="0.75" top="1" bottom="1" header="0.5" footer="0.5"/>
  <pageSetup paperSize="9" orientation="portrait"/>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A2" sqref="A2:D2"/>
    </sheetView>
  </sheetViews>
  <sheetFormatPr defaultColWidth="9" defaultRowHeight="14.25" outlineLevelCol="3"/>
  <cols>
    <col min="1" max="1" width="10.875" customWidth="1"/>
    <col min="2" max="2" width="8.25" customWidth="1"/>
    <col min="3" max="3" width="30.125" customWidth="1"/>
    <col min="4" max="4" width="25.25" customWidth="1"/>
  </cols>
  <sheetData>
    <row r="1" spans="1:1">
      <c r="A1" t="s">
        <v>455</v>
      </c>
    </row>
    <row r="2" ht="27.75" customHeight="1" spans="1:4">
      <c r="A2" s="1" t="s">
        <v>423</v>
      </c>
      <c r="B2" s="1"/>
      <c r="C2" s="1"/>
      <c r="D2" s="1"/>
    </row>
    <row r="3" ht="30" customHeight="1" spans="1:4">
      <c r="A3" s="2" t="s">
        <v>424</v>
      </c>
      <c r="B3" s="2"/>
      <c r="C3" s="3" t="s">
        <v>456</v>
      </c>
      <c r="D3" s="3"/>
    </row>
    <row r="4" ht="108.75" customHeight="1" spans="1:4">
      <c r="A4" s="8" t="s">
        <v>426</v>
      </c>
      <c r="B4" s="14" t="s">
        <v>457</v>
      </c>
      <c r="C4" s="15"/>
      <c r="D4" s="16"/>
    </row>
    <row r="5" ht="34.5" customHeight="1" spans="1:4">
      <c r="A5" s="8" t="s">
        <v>350</v>
      </c>
      <c r="B5" s="2" t="s">
        <v>351</v>
      </c>
      <c r="C5" s="8" t="s">
        <v>352</v>
      </c>
      <c r="D5" s="8" t="s">
        <v>353</v>
      </c>
    </row>
    <row r="6" ht="54.75" customHeight="1" spans="1:4">
      <c r="A6" s="8"/>
      <c r="B6" s="2" t="s">
        <v>354</v>
      </c>
      <c r="C6" s="19" t="s">
        <v>458</v>
      </c>
      <c r="D6" s="19" t="s">
        <v>458</v>
      </c>
    </row>
    <row r="7" ht="34.5" customHeight="1" spans="1:4">
      <c r="A7" s="8"/>
      <c r="B7" s="2"/>
      <c r="C7" s="19" t="s">
        <v>430</v>
      </c>
      <c r="D7" s="19" t="s">
        <v>430</v>
      </c>
    </row>
    <row r="8" ht="34.5" customHeight="1" spans="1:4">
      <c r="A8" s="8"/>
      <c r="B8" s="2"/>
      <c r="C8" s="19" t="s">
        <v>459</v>
      </c>
      <c r="D8" s="19" t="s">
        <v>459</v>
      </c>
    </row>
    <row r="9" ht="40.5" customHeight="1" spans="1:4">
      <c r="A9" s="8"/>
      <c r="B9" s="2" t="s">
        <v>359</v>
      </c>
      <c r="C9" s="20" t="s">
        <v>460</v>
      </c>
      <c r="D9" s="19" t="s">
        <v>461</v>
      </c>
    </row>
    <row r="10" ht="60" customHeight="1" spans="1:4">
      <c r="A10" s="8"/>
      <c r="B10" s="2" t="s">
        <v>362</v>
      </c>
      <c r="C10" s="20" t="s">
        <v>436</v>
      </c>
      <c r="D10" s="19" t="s">
        <v>462</v>
      </c>
    </row>
    <row r="11" ht="79.5" customHeight="1" spans="1:4">
      <c r="A11" s="8"/>
      <c r="B11" s="8"/>
      <c r="C11" s="20" t="s">
        <v>463</v>
      </c>
      <c r="D11" s="19" t="s">
        <v>464</v>
      </c>
    </row>
    <row r="12" ht="76.5" customHeight="1" spans="1:4">
      <c r="A12" s="8"/>
      <c r="B12" s="8"/>
      <c r="C12" s="20" t="s">
        <v>440</v>
      </c>
      <c r="D12" s="19" t="s">
        <v>441</v>
      </c>
    </row>
    <row r="13" ht="42" customHeight="1" spans="1:4">
      <c r="A13" s="12" t="s">
        <v>369</v>
      </c>
      <c r="B13" s="12"/>
      <c r="C13" s="12"/>
      <c r="D13" s="12"/>
    </row>
  </sheetData>
  <mergeCells count="5">
    <mergeCell ref="A2:D2"/>
    <mergeCell ref="A3:B3"/>
    <mergeCell ref="C3:D3"/>
    <mergeCell ref="B4:D4"/>
    <mergeCell ref="A13:D13"/>
  </mergeCells>
  <pageMargins left="0.75" right="0.75" top="1" bottom="1" header="0.5" footer="0.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C6" sqref="C6:D12"/>
    </sheetView>
  </sheetViews>
  <sheetFormatPr defaultColWidth="9" defaultRowHeight="14.25" outlineLevelCol="3"/>
  <cols>
    <col min="1" max="1" width="10.875" style="13" customWidth="1"/>
    <col min="2" max="2" width="8.25" style="13" customWidth="1"/>
    <col min="3" max="3" width="30.125" style="13" customWidth="1"/>
    <col min="4" max="4" width="26.875" style="13" customWidth="1"/>
    <col min="5" max="16384" width="9" style="13"/>
  </cols>
  <sheetData>
    <row r="1" spans="1:1">
      <c r="A1" s="13" t="s">
        <v>465</v>
      </c>
    </row>
    <row r="2" ht="27.75" customHeight="1" spans="1:4">
      <c r="A2" s="1" t="s">
        <v>423</v>
      </c>
      <c r="B2" s="1"/>
      <c r="C2" s="1"/>
      <c r="D2" s="1"/>
    </row>
    <row r="3" ht="30" customHeight="1" spans="1:4">
      <c r="A3" s="2" t="s">
        <v>424</v>
      </c>
      <c r="B3" s="2"/>
      <c r="C3" s="3" t="s">
        <v>466</v>
      </c>
      <c r="D3" s="3"/>
    </row>
    <row r="4" ht="57" customHeight="1" spans="1:4">
      <c r="A4" s="7" t="s">
        <v>426</v>
      </c>
      <c r="B4" s="14" t="s">
        <v>467</v>
      </c>
      <c r="C4" s="15"/>
      <c r="D4" s="16"/>
    </row>
    <row r="5" ht="34.5" customHeight="1" spans="1:4">
      <c r="A5" s="7" t="s">
        <v>350</v>
      </c>
      <c r="B5" s="2" t="s">
        <v>351</v>
      </c>
      <c r="C5" s="7" t="s">
        <v>352</v>
      </c>
      <c r="D5" s="7" t="s">
        <v>353</v>
      </c>
    </row>
    <row r="6" ht="34.5" customHeight="1" spans="1:4">
      <c r="A6" s="7"/>
      <c r="B6" s="2" t="s">
        <v>354</v>
      </c>
      <c r="C6" s="17" t="s">
        <v>468</v>
      </c>
      <c r="D6" s="17" t="s">
        <v>469</v>
      </c>
    </row>
    <row r="7" ht="34.5" customHeight="1" spans="1:4">
      <c r="A7" s="7"/>
      <c r="B7" s="2"/>
      <c r="C7" s="17" t="s">
        <v>470</v>
      </c>
      <c r="D7" s="17" t="s">
        <v>471</v>
      </c>
    </row>
    <row r="8" ht="34.5" customHeight="1" spans="1:4">
      <c r="A8" s="7"/>
      <c r="B8" s="2" t="s">
        <v>359</v>
      </c>
      <c r="C8" s="17" t="s">
        <v>472</v>
      </c>
      <c r="D8" s="17" t="s">
        <v>473</v>
      </c>
    </row>
    <row r="9" ht="34.5" customHeight="1" spans="1:4">
      <c r="A9" s="7"/>
      <c r="B9" s="2"/>
      <c r="C9" s="17" t="s">
        <v>474</v>
      </c>
      <c r="D9" s="18" t="s">
        <v>475</v>
      </c>
    </row>
    <row r="10" ht="83.25" customHeight="1" spans="1:4">
      <c r="A10" s="7"/>
      <c r="B10" s="2" t="s">
        <v>362</v>
      </c>
      <c r="C10" s="18" t="s">
        <v>476</v>
      </c>
      <c r="D10" s="18" t="s">
        <v>477</v>
      </c>
    </row>
    <row r="11" ht="34.5" customHeight="1" spans="1:4">
      <c r="A11" s="7"/>
      <c r="B11" s="7"/>
      <c r="C11" s="18" t="s">
        <v>478</v>
      </c>
      <c r="D11" s="18" t="s">
        <v>479</v>
      </c>
    </row>
    <row r="12" ht="34.5" customHeight="1" spans="1:4">
      <c r="A12" s="7"/>
      <c r="B12" s="7"/>
      <c r="C12" s="18" t="s">
        <v>480</v>
      </c>
      <c r="D12" s="18" t="s">
        <v>481</v>
      </c>
    </row>
    <row r="13" ht="42" customHeight="1" spans="1:4">
      <c r="A13" s="12" t="s">
        <v>369</v>
      </c>
      <c r="B13" s="12"/>
      <c r="C13" s="12"/>
      <c r="D13" s="12"/>
    </row>
  </sheetData>
  <mergeCells count="5">
    <mergeCell ref="A2:D2"/>
    <mergeCell ref="A3:B3"/>
    <mergeCell ref="C3:D3"/>
    <mergeCell ref="B4:D4"/>
    <mergeCell ref="A13:D13"/>
  </mergeCells>
  <pageMargins left="0.75" right="0.75" top="1" bottom="1" header="0.5" footer="0.5"/>
  <pageSetup paperSize="9" orientation="portrait"/>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D10" sqref="D10"/>
    </sheetView>
  </sheetViews>
  <sheetFormatPr defaultColWidth="9" defaultRowHeight="14.25" outlineLevelCol="3"/>
  <cols>
    <col min="1" max="1" width="10.875" customWidth="1"/>
    <col min="2" max="2" width="8.25" customWidth="1"/>
    <col min="3" max="3" width="30.125" customWidth="1"/>
    <col min="4" max="4" width="25.25" customWidth="1"/>
  </cols>
  <sheetData>
    <row r="1" spans="1:1">
      <c r="A1" t="s">
        <v>482</v>
      </c>
    </row>
    <row r="2" ht="27.75" customHeight="1" spans="1:4">
      <c r="A2" s="1" t="s">
        <v>423</v>
      </c>
      <c r="B2" s="1"/>
      <c r="C2" s="1"/>
      <c r="D2" s="1"/>
    </row>
    <row r="3" ht="36" customHeight="1" spans="1:4">
      <c r="A3" s="2" t="s">
        <v>424</v>
      </c>
      <c r="B3" s="2"/>
      <c r="C3" s="3" t="s">
        <v>483</v>
      </c>
      <c r="D3" s="3"/>
    </row>
    <row r="4" ht="51" customHeight="1" spans="1:4">
      <c r="A4" s="2" t="s">
        <v>426</v>
      </c>
      <c r="B4" s="4" t="s">
        <v>484</v>
      </c>
      <c r="C4" s="5"/>
      <c r="D4" s="6"/>
    </row>
    <row r="5" ht="34.5" customHeight="1" spans="1:4">
      <c r="A5" s="7" t="s">
        <v>350</v>
      </c>
      <c r="B5" s="2" t="s">
        <v>351</v>
      </c>
      <c r="C5" s="7" t="s">
        <v>352</v>
      </c>
      <c r="D5" s="7" t="s">
        <v>353</v>
      </c>
    </row>
    <row r="6" ht="39" customHeight="1" spans="1:4">
      <c r="A6" s="8"/>
      <c r="B6" s="2" t="s">
        <v>354</v>
      </c>
      <c r="C6" s="9" t="s">
        <v>485</v>
      </c>
      <c r="D6" s="10" t="s">
        <v>486</v>
      </c>
    </row>
    <row r="7" ht="39" customHeight="1" spans="1:4">
      <c r="A7" s="8"/>
      <c r="B7" s="2"/>
      <c r="C7" s="9" t="s">
        <v>487</v>
      </c>
      <c r="D7" s="10" t="s">
        <v>488</v>
      </c>
    </row>
    <row r="8" ht="42" customHeight="1" spans="1:4">
      <c r="A8" s="8"/>
      <c r="B8" s="2" t="s">
        <v>359</v>
      </c>
      <c r="C8" s="9" t="s">
        <v>489</v>
      </c>
      <c r="D8" s="10" t="s">
        <v>490</v>
      </c>
    </row>
    <row r="9" ht="34.5" customHeight="1" spans="1:4">
      <c r="A9" s="8"/>
      <c r="B9" s="2"/>
      <c r="C9" s="9" t="s">
        <v>491</v>
      </c>
      <c r="D9" s="10" t="s">
        <v>492</v>
      </c>
    </row>
    <row r="10" ht="34.5" customHeight="1" spans="1:4">
      <c r="A10" s="8"/>
      <c r="B10" s="2" t="s">
        <v>362</v>
      </c>
      <c r="C10" s="11" t="s">
        <v>493</v>
      </c>
      <c r="D10" s="10" t="s">
        <v>494</v>
      </c>
    </row>
    <row r="11" ht="34.5" customHeight="1" spans="1:4">
      <c r="A11" s="8"/>
      <c r="B11" s="8"/>
      <c r="C11" s="9" t="s">
        <v>495</v>
      </c>
      <c r="D11" s="10" t="s">
        <v>496</v>
      </c>
    </row>
    <row r="12" ht="42" customHeight="1" spans="1:4">
      <c r="A12" s="12" t="s">
        <v>369</v>
      </c>
      <c r="B12" s="12"/>
      <c r="C12" s="12"/>
      <c r="D12" s="12"/>
    </row>
  </sheetData>
  <mergeCells count="5">
    <mergeCell ref="A2:D2"/>
    <mergeCell ref="A3:B3"/>
    <mergeCell ref="C3:D3"/>
    <mergeCell ref="B4:D4"/>
    <mergeCell ref="A12:D12"/>
  </mergeCells>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25</vt:i4>
      </vt:variant>
    </vt:vector>
  </HeadingPairs>
  <TitlesOfParts>
    <vt:vector size="25" baseType="lpstr">
      <vt:lpstr>附表3-1</vt:lpstr>
      <vt:lpstr>附表3-2</vt:lpstr>
      <vt:lpstr>附表3-3</vt:lpstr>
      <vt:lpstr>附表3-4</vt:lpstr>
      <vt:lpstr>附表3-5</vt:lpstr>
      <vt:lpstr>附表3-6</vt:lpstr>
      <vt:lpstr>附表3-7</vt:lpstr>
      <vt:lpstr>附表3-8</vt:lpstr>
      <vt:lpstr>附表3-9</vt:lpstr>
      <vt:lpstr>附表3-10</vt:lpstr>
      <vt:lpstr>附表3-11-1</vt:lpstr>
      <vt:lpstr>附表3-11-2</vt:lpstr>
      <vt:lpstr>附表3-11-3</vt:lpstr>
      <vt:lpstr>附表3-11-4</vt:lpstr>
      <vt:lpstr>附表3-11-5</vt:lpstr>
      <vt:lpstr>附表3-11-6</vt:lpstr>
      <vt:lpstr>附表3-11-7</vt:lpstr>
      <vt:lpstr>附表3-11-8</vt:lpstr>
      <vt:lpstr>附表3-11-9</vt:lpstr>
      <vt:lpstr>附表3-11-10</vt:lpstr>
      <vt:lpstr>附表3-12-1</vt:lpstr>
      <vt:lpstr>附表3-12-2</vt:lpstr>
      <vt:lpstr>附表3-12-3</vt:lpstr>
      <vt:lpstr>附表3-12-4</vt:lpstr>
      <vt:lpstr>附表3-12-5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沫</cp:lastModifiedBy>
  <dcterms:created xsi:type="dcterms:W3CDTF">2018-01-16T02:11:00Z</dcterms:created>
  <cp:lastPrinted>2018-01-22T04:00:00Z</cp:lastPrinted>
  <dcterms:modified xsi:type="dcterms:W3CDTF">2018-05-28T02:34:09Z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