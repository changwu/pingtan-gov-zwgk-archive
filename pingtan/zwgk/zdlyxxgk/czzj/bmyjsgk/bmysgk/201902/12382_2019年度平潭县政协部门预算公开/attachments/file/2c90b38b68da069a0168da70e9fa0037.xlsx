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35" windowWidth="15390" windowHeight="7695" tabRatio="1000"/>
  </bookViews>
  <sheets>
    <sheet name="附表3-5" sheetId="80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'附表3-5'!$1:$5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C29" i="80"/>
  <c r="C28"/>
  <c r="C27"/>
  <c r="C26"/>
  <c r="C25"/>
  <c r="C24"/>
  <c r="C23"/>
  <c r="C22"/>
  <c r="C21"/>
  <c r="C20"/>
  <c r="C19"/>
  <c r="C18"/>
  <c r="C17"/>
  <c r="C16"/>
  <c r="C15"/>
  <c r="C14"/>
  <c r="C13"/>
  <c r="C12"/>
  <c r="C11"/>
  <c r="C10"/>
  <c r="C9"/>
  <c r="C8"/>
</calcChain>
</file>

<file path=xl/sharedStrings.xml><?xml version="1.0" encoding="utf-8"?>
<sst xmlns="http://schemas.openxmlformats.org/spreadsheetml/2006/main" count="45" uniqueCount="43">
  <si>
    <t>单位：万元</t>
  </si>
  <si>
    <t>**</t>
  </si>
  <si>
    <t>科目编码</t>
  </si>
  <si>
    <t>科目名称</t>
  </si>
  <si>
    <t>项目支出</t>
  </si>
  <si>
    <t>合计</t>
    <phoneticPr fontId="34" type="noConversion"/>
  </si>
  <si>
    <t>其中：</t>
    <phoneticPr fontId="34" type="noConversion"/>
  </si>
  <si>
    <t>基本支出</t>
  </si>
  <si>
    <t>备注：本表公开到政府支出功能分类项级科目。</t>
    <phoneticPr fontId="66" type="noConversion"/>
  </si>
  <si>
    <t>附表5-5</t>
    <phoneticPr fontId="34" type="noConversion"/>
  </si>
  <si>
    <t>2019年度一般公共预算拨款支出预算表</t>
    <phoneticPr fontId="34" type="noConversion"/>
  </si>
  <si>
    <t>行政运行</t>
    <phoneticPr fontId="34" type="noConversion"/>
  </si>
  <si>
    <t>在职人员基本工资</t>
    <phoneticPr fontId="34" type="noConversion"/>
  </si>
  <si>
    <t>在职人员地方津补贴</t>
    <phoneticPr fontId="34" type="noConversion"/>
  </si>
  <si>
    <t>提租补贴</t>
    <phoneticPr fontId="34" type="noConversion"/>
  </si>
  <si>
    <t>在职人员年终4.8个月奖金</t>
    <phoneticPr fontId="34" type="noConversion"/>
  </si>
  <si>
    <t>临聘人员支出</t>
    <phoneticPr fontId="34" type="noConversion"/>
  </si>
  <si>
    <t>在职人员医疗保险</t>
    <phoneticPr fontId="34" type="noConversion"/>
  </si>
  <si>
    <t>在职人员工伤保险</t>
    <phoneticPr fontId="34" type="noConversion"/>
  </si>
  <si>
    <t>在职人员生育保险</t>
    <phoneticPr fontId="34" type="noConversion"/>
  </si>
  <si>
    <t>在职人员交通补贴</t>
    <phoneticPr fontId="34" type="noConversion"/>
  </si>
  <si>
    <t>在职人员通讯误餐补贴</t>
    <phoneticPr fontId="34" type="noConversion"/>
  </si>
  <si>
    <t>在职人员养老保险</t>
    <phoneticPr fontId="34" type="noConversion"/>
  </si>
  <si>
    <t>住房公积金</t>
    <phoneticPr fontId="34" type="noConversion"/>
  </si>
  <si>
    <t>离退休人员公务费</t>
    <phoneticPr fontId="34" type="noConversion"/>
  </si>
  <si>
    <t>公务用车运行费</t>
    <phoneticPr fontId="34" type="noConversion"/>
  </si>
  <si>
    <t>建设奖</t>
    <phoneticPr fontId="34" type="noConversion"/>
  </si>
  <si>
    <t>办公费</t>
    <phoneticPr fontId="34" type="noConversion"/>
  </si>
  <si>
    <t>防暑降温费</t>
    <phoneticPr fontId="34" type="noConversion"/>
  </si>
  <si>
    <t>公务员医疗补助</t>
    <phoneticPr fontId="34" type="noConversion"/>
  </si>
  <si>
    <t>文明奖</t>
    <phoneticPr fontId="34" type="noConversion"/>
  </si>
  <si>
    <t>平安综治奖</t>
    <phoneticPr fontId="34" type="noConversion"/>
  </si>
  <si>
    <t>工会经费</t>
    <phoneticPr fontId="34" type="noConversion"/>
  </si>
  <si>
    <t>一般行政管理事务</t>
    <phoneticPr fontId="34" type="noConversion"/>
  </si>
  <si>
    <t>委员视察</t>
    <phoneticPr fontId="34" type="noConversion"/>
  </si>
  <si>
    <t>政协会议</t>
    <phoneticPr fontId="34" type="noConversion"/>
  </si>
  <si>
    <t>出国（境）经费</t>
    <phoneticPr fontId="34" type="noConversion"/>
  </si>
  <si>
    <t>慰问费</t>
    <phoneticPr fontId="34" type="noConversion"/>
  </si>
  <si>
    <t>差旅费</t>
    <phoneticPr fontId="34" type="noConversion"/>
  </si>
  <si>
    <t>修缮维护费</t>
    <phoneticPr fontId="34" type="noConversion"/>
  </si>
  <si>
    <t>机关党建、老干部党建工作经费</t>
    <phoneticPr fontId="34" type="noConversion"/>
  </si>
  <si>
    <t>接待费</t>
    <phoneticPr fontId="34" type="noConversion"/>
  </si>
  <si>
    <t>培训费</t>
    <phoneticPr fontId="34" type="noConversion"/>
  </si>
</sst>
</file>

<file path=xl/styles.xml><?xml version="1.0" encoding="utf-8"?>
<styleSheet xmlns="http://schemas.openxmlformats.org/spreadsheetml/2006/main">
  <numFmts count="18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2" formatCode="#,##0.0"/>
  </numFmts>
  <fonts count="70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9"/>
      <name val="宋体"/>
      <family val="3"/>
      <charset val="134"/>
    </font>
    <font>
      <sz val="8"/>
      <name val="宋体"/>
      <family val="3"/>
      <charset val="134"/>
    </font>
    <font>
      <sz val="16"/>
      <name val="方正小标宋_GBK"/>
      <family val="4"/>
      <charset val="134"/>
    </font>
    <font>
      <sz val="11"/>
      <name val="华文楷体"/>
      <family val="3"/>
      <charset val="134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1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" fillId="0" borderId="1">
      <alignment horizontal="distributed" vertical="center" wrapText="1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4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7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37" fontId="3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1" fontId="6" fillId="0" borderId="1">
      <alignment vertical="center"/>
      <protection locked="0"/>
    </xf>
    <xf numFmtId="0" fontId="4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9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0" borderId="0">
      <alignment vertical="center"/>
    </xf>
    <xf numFmtId="0" fontId="9" fillId="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43" fontId="45" fillId="0" borderId="0" applyFont="0" applyFill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185" fontId="6" fillId="0" borderId="1">
      <alignment vertical="center"/>
      <protection locked="0"/>
    </xf>
    <xf numFmtId="0" fontId="9" fillId="23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177" fontId="37" fillId="0" borderId="0" applyFill="0" applyBorder="0" applyAlignment="0">
      <alignment vertical="center"/>
    </xf>
    <xf numFmtId="0" fontId="4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182" fontId="38" fillId="0" borderId="0">
      <alignment vertical="center"/>
    </xf>
    <xf numFmtId="0" fontId="2" fillId="0" borderId="0">
      <alignment vertical="center"/>
    </xf>
    <xf numFmtId="187" fontId="45" fillId="0" borderId="0" applyFont="0" applyFill="0" applyBorder="0" applyAlignment="0" applyProtection="0">
      <alignment vertical="center"/>
    </xf>
    <xf numFmtId="176" fontId="45" fillId="0" borderId="0" applyFont="0" applyFill="0" applyBorder="0" applyAlignment="0" applyProtection="0">
      <alignment vertical="center"/>
    </xf>
    <xf numFmtId="184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179" fontId="38" fillId="0" borderId="0">
      <alignment vertical="center"/>
    </xf>
    <xf numFmtId="0" fontId="36" fillId="0" borderId="0" applyProtection="0">
      <alignment vertical="center"/>
    </xf>
    <xf numFmtId="186" fontId="38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6" fillId="0" borderId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39" fillId="0" borderId="15" applyNumberFormat="0" applyAlignment="0" applyProtection="0">
      <alignment horizontal="left" vertical="center"/>
    </xf>
    <xf numFmtId="0" fontId="10" fillId="5" borderId="0" applyNumberFormat="0" applyBorder="0" applyAlignment="0" applyProtection="0">
      <alignment vertical="center"/>
    </xf>
    <xf numFmtId="0" fontId="39" fillId="0" borderId="2">
      <alignment horizontal="left" vertical="center"/>
    </xf>
    <xf numFmtId="0" fontId="40" fillId="0" borderId="0" applyProtection="0">
      <alignment vertical="center"/>
    </xf>
    <xf numFmtId="0" fontId="39" fillId="0" borderId="0" applyProtection="0">
      <alignment vertical="center"/>
    </xf>
    <xf numFmtId="0" fontId="41" fillId="0" borderId="0">
      <alignment vertical="center"/>
    </xf>
    <xf numFmtId="0" fontId="4" fillId="0" borderId="0">
      <alignment vertical="center"/>
    </xf>
    <xf numFmtId="1" fontId="11" fillId="0" borderId="0">
      <alignment vertical="center"/>
    </xf>
    <xf numFmtId="0" fontId="36" fillId="0" borderId="16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9" fontId="45" fillId="0" borderId="0" applyFon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181" fontId="45" fillId="0" borderId="0" applyFont="0" applyFill="0" applyBorder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2" fillId="0" borderId="0">
      <alignment horizontal="centerContinuous"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43" fontId="45" fillId="0" borderId="0" applyFont="0" applyFill="0" applyBorder="0" applyAlignment="0" applyProtection="0">
      <alignment vertical="center"/>
    </xf>
    <xf numFmtId="0" fontId="6" fillId="0" borderId="1">
      <alignment horizontal="distributed" vertical="center" wrapText="1"/>
    </xf>
    <xf numFmtId="0" fontId="6" fillId="0" borderId="1">
      <alignment horizontal="distributed" vertical="center" wrapText="1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8" fillId="0" borderId="4" applyNumberFormat="0" applyFill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9" fillId="16" borderId="0" applyNumberFormat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4" fillId="8" borderId="8" applyNumberFormat="0" applyAlignment="0" applyProtection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6" fillId="0" borderId="0" applyNumberFormat="0" applyFill="0" applyBorder="0" applyAlignment="0" applyProtection="0">
      <alignment vertical="top"/>
      <protection locked="0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4" fillId="2" borderId="8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183" fontId="45" fillId="0" borderId="0" applyFont="0" applyFill="0" applyBorder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15" fillId="2" borderId="5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2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6" fillId="0" borderId="1">
      <alignment vertical="center"/>
      <protection locked="0"/>
    </xf>
    <xf numFmtId="0" fontId="24" fillId="8" borderId="8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4" fillId="0" borderId="0">
      <alignment vertical="center"/>
    </xf>
    <xf numFmtId="0" fontId="45" fillId="0" borderId="0" applyFont="0" applyFill="0" applyBorder="0" applyAlignment="0" applyProtection="0">
      <alignment vertical="center"/>
    </xf>
    <xf numFmtId="4" fontId="45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9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2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4" fillId="8" borderId="8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1" fontId="6" fillId="0" borderId="1">
      <alignment vertical="center"/>
      <protection locked="0"/>
    </xf>
    <xf numFmtId="0" fontId="43" fillId="0" borderId="0">
      <alignment vertical="center"/>
    </xf>
    <xf numFmtId="185" fontId="6" fillId="0" borderId="1">
      <alignment vertical="center"/>
      <protection locked="0"/>
    </xf>
    <xf numFmtId="185" fontId="6" fillId="0" borderId="1">
      <alignment vertical="center"/>
      <protection locked="0"/>
    </xf>
    <xf numFmtId="0" fontId="11" fillId="0" borderId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45" fillId="21" borderId="11" applyNumberFormat="0" applyFont="0" applyAlignment="0" applyProtection="0">
      <alignment vertical="center"/>
    </xf>
    <xf numFmtId="0" fontId="2" fillId="0" borderId="0"/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8" fillId="0" borderId="12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4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49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9" fillId="2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9" fillId="23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34" fillId="0" borderId="0"/>
    <xf numFmtId="0" fontId="34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>
      <alignment vertical="center"/>
    </xf>
    <xf numFmtId="0" fontId="2" fillId="0" borderId="0"/>
    <xf numFmtId="0" fontId="5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2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2" fillId="0" borderId="0"/>
    <xf numFmtId="0" fontId="4" fillId="0" borderId="0"/>
    <xf numFmtId="0" fontId="49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50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4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2" fillId="0" borderId="0"/>
    <xf numFmtId="0" fontId="2" fillId="0" borderId="0"/>
    <xf numFmtId="0" fontId="2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" fillId="0" borderId="0"/>
    <xf numFmtId="0" fontId="4" fillId="1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4" fillId="0" borderId="14" applyNumberFormat="0" applyFill="0" applyAlignment="0" applyProtection="0">
      <alignment vertical="center"/>
    </xf>
    <xf numFmtId="0" fontId="55" fillId="0" borderId="17" applyNumberFormat="0" applyFill="0" applyAlignment="0" applyProtection="0">
      <alignment vertical="center"/>
    </xf>
    <xf numFmtId="0" fontId="56" fillId="0" borderId="18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4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2" fillId="0" borderId="0">
      <alignment vertical="center"/>
    </xf>
    <xf numFmtId="0" fontId="50" fillId="0" borderId="0"/>
    <xf numFmtId="0" fontId="5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7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177" fontId="49" fillId="0" borderId="0" applyFill="0" applyBorder="0" applyAlignment="0"/>
    <xf numFmtId="41" fontId="50" fillId="0" borderId="0" applyFont="0" applyFill="0" applyBorder="0" applyAlignment="0" applyProtection="0"/>
    <xf numFmtId="182" fontId="62" fillId="0" borderId="0"/>
    <xf numFmtId="176" fontId="50" fillId="0" borderId="0" applyFont="0" applyFill="0" applyBorder="0" applyAlignment="0" applyProtection="0"/>
    <xf numFmtId="179" fontId="62" fillId="0" borderId="0"/>
    <xf numFmtId="0" fontId="63" fillId="0" borderId="0" applyProtection="0"/>
    <xf numFmtId="186" fontId="62" fillId="0" borderId="0"/>
    <xf numFmtId="2" fontId="63" fillId="0" borderId="0" applyProtection="0"/>
    <xf numFmtId="0" fontId="64" fillId="0" borderId="15" applyNumberFormat="0" applyAlignment="0" applyProtection="0">
      <alignment horizontal="left" vertical="center"/>
    </xf>
    <xf numFmtId="0" fontId="64" fillId="0" borderId="2">
      <alignment horizontal="left" vertical="center"/>
    </xf>
    <xf numFmtId="0" fontId="65" fillId="0" borderId="0" applyProtection="0"/>
    <xf numFmtId="0" fontId="64" fillId="0" borderId="0" applyProtection="0"/>
    <xf numFmtId="37" fontId="60" fillId="0" borderId="0"/>
    <xf numFmtId="0" fontId="63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0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15" fillId="48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2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33" fillId="46" borderId="0" applyNumberFormat="0" applyBorder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0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4" fillId="48" borderId="8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25" fillId="31" borderId="5" applyNumberFormat="0" applyAlignment="0" applyProtection="0">
      <alignment vertical="center"/>
    </xf>
    <xf numFmtId="0" fontId="6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4" fillId="0" borderId="0"/>
    <xf numFmtId="0" fontId="2" fillId="0" borderId="0"/>
    <xf numFmtId="0" fontId="2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</cellStyleXfs>
  <cellXfs count="19">
    <xf numFmtId="0" fontId="0" fillId="0" borderId="0" xfId="0" applyAlignment="1">
      <alignment vertical="center"/>
    </xf>
    <xf numFmtId="0" fontId="0" fillId="0" borderId="0" xfId="0">
      <alignment vertical="center"/>
    </xf>
    <xf numFmtId="0" fontId="2" fillId="0" borderId="0" xfId="2616" applyFont="1"/>
    <xf numFmtId="0" fontId="67" fillId="0" borderId="0" xfId="4977" applyFont="1" applyAlignment="1">
      <alignment vertical="center"/>
    </xf>
    <xf numFmtId="0" fontId="2" fillId="0" borderId="0" xfId="4977" quotePrefix="1" applyFont="1" applyBorder="1" applyAlignment="1">
      <alignment vertical="center"/>
    </xf>
    <xf numFmtId="0" fontId="2" fillId="0" borderId="0" xfId="4977" applyFont="1" applyBorder="1" applyAlignment="1">
      <alignment vertical="center"/>
    </xf>
    <xf numFmtId="0" fontId="6" fillId="0" borderId="0" xfId="0" applyFont="1" applyAlignment="1">
      <alignment vertical="center"/>
    </xf>
    <xf numFmtId="0" fontId="57" fillId="0" borderId="1" xfId="4977" quotePrefix="1" applyFont="1" applyBorder="1" applyAlignment="1">
      <alignment horizontal="center" vertical="center"/>
    </xf>
    <xf numFmtId="0" fontId="57" fillId="0" borderId="1" xfId="4977" applyFont="1" applyBorder="1" applyAlignment="1">
      <alignment horizontal="center" vertical="center"/>
    </xf>
    <xf numFmtId="0" fontId="6" fillId="0" borderId="1" xfId="4978" applyFont="1" applyBorder="1" applyAlignment="1">
      <alignment horizontal="center" vertical="center"/>
    </xf>
    <xf numFmtId="0" fontId="6" fillId="0" borderId="1" xfId="2616" applyFont="1" applyBorder="1" applyAlignment="1">
      <alignment horizontal="center"/>
    </xf>
    <xf numFmtId="0" fontId="6" fillId="0" borderId="0" xfId="4977" applyFont="1" applyBorder="1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68" fillId="0" borderId="0" xfId="4972" applyFont="1" applyAlignment="1">
      <alignment horizontal="center" vertical="center"/>
    </xf>
    <xf numFmtId="192" fontId="69" fillId="0" borderId="0" xfId="4980" applyNumberFormat="1" applyFont="1" applyFill="1" applyBorder="1" applyAlignment="1">
      <alignment horizontal="left"/>
    </xf>
    <xf numFmtId="0" fontId="69" fillId="0" borderId="0" xfId="4980" applyNumberFormat="1" applyFont="1" applyFill="1" applyBorder="1" applyAlignment="1" applyProtection="1">
      <alignment horizontal="left" wrapText="1"/>
    </xf>
    <xf numFmtId="0" fontId="57" fillId="0" borderId="1" xfId="4977" applyFont="1" applyBorder="1" applyAlignment="1">
      <alignment horizontal="center" vertical="center"/>
    </xf>
    <xf numFmtId="0" fontId="57" fillId="0" borderId="1" xfId="0" applyFont="1" applyBorder="1" applyAlignment="1">
      <alignment horizontal="center" vertical="center"/>
    </xf>
  </cellXfs>
  <cellStyles count="4991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3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6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2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8"/>
    <cellStyle name="常规 45" xfId="2642"/>
    <cellStyle name="常规 45 2" xfId="4980"/>
    <cellStyle name="常规 46" xfId="2643"/>
    <cellStyle name="常规 47" xfId="2644"/>
    <cellStyle name="常规 48" xfId="2645"/>
    <cellStyle name="常规 48 2" xfId="4979"/>
    <cellStyle name="常规 48 3" xfId="4973"/>
    <cellStyle name="常规 49" xfId="2392"/>
    <cellStyle name="常规 49 2" xfId="4974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5"/>
    <cellStyle name="常规 51" xfId="2801"/>
    <cellStyle name="常规 51 2" xfId="4981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7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>
      <selection activeCell="H11" sqref="H11"/>
    </sheetView>
  </sheetViews>
  <sheetFormatPr defaultRowHeight="14.25"/>
  <cols>
    <col min="1" max="1" width="11.875" customWidth="1"/>
    <col min="2" max="2" width="31.875" customWidth="1"/>
    <col min="3" max="3" width="12.5" customWidth="1"/>
    <col min="4" max="4" width="14.125" customWidth="1"/>
    <col min="5" max="5" width="15.875" customWidth="1"/>
  </cols>
  <sheetData>
    <row r="1" spans="1:5">
      <c r="A1" s="2" t="s">
        <v>9</v>
      </c>
      <c r="B1" s="2"/>
      <c r="C1" s="2"/>
      <c r="D1" s="3"/>
      <c r="E1" s="3"/>
    </row>
    <row r="2" spans="1:5" ht="20.25">
      <c r="A2" s="14" t="s">
        <v>10</v>
      </c>
      <c r="B2" s="14"/>
      <c r="C2" s="14"/>
      <c r="D2" s="14"/>
      <c r="E2" s="14"/>
    </row>
    <row r="3" spans="1:5">
      <c r="A3" s="4"/>
      <c r="B3" s="4"/>
      <c r="C3" s="4"/>
      <c r="D3" s="5"/>
      <c r="E3" s="11" t="s">
        <v>0</v>
      </c>
    </row>
    <row r="4" spans="1:5" s="6" customFormat="1" ht="20.100000000000001" customHeight="1">
      <c r="A4" s="17" t="s">
        <v>2</v>
      </c>
      <c r="B4" s="17" t="s">
        <v>3</v>
      </c>
      <c r="C4" s="17" t="s">
        <v>5</v>
      </c>
      <c r="D4" s="18" t="s">
        <v>6</v>
      </c>
      <c r="E4" s="18"/>
    </row>
    <row r="5" spans="1:5" s="6" customFormat="1" ht="20.100000000000001" customHeight="1">
      <c r="A5" s="17"/>
      <c r="B5" s="17"/>
      <c r="C5" s="17"/>
      <c r="D5" s="7" t="s">
        <v>7</v>
      </c>
      <c r="E5" s="8" t="s">
        <v>4</v>
      </c>
    </row>
    <row r="6" spans="1:5" s="6" customFormat="1" ht="20.100000000000001" customHeight="1">
      <c r="A6" s="9" t="s">
        <v>1</v>
      </c>
      <c r="B6" s="9" t="s">
        <v>1</v>
      </c>
      <c r="C6" s="9">
        <v>1</v>
      </c>
      <c r="D6" s="10">
        <v>2</v>
      </c>
      <c r="E6" s="10">
        <v>3</v>
      </c>
    </row>
    <row r="7" spans="1:5" s="1" customFormat="1" ht="20.100000000000001" customHeight="1">
      <c r="A7" s="12"/>
      <c r="B7" s="12"/>
      <c r="C7" s="12">
        <v>594.76</v>
      </c>
      <c r="D7" s="12">
        <v>492.59</v>
      </c>
      <c r="E7" s="12">
        <v>102.17</v>
      </c>
    </row>
    <row r="8" spans="1:5" s="1" customFormat="1" ht="20.100000000000001" customHeight="1">
      <c r="A8" s="12">
        <v>2010201</v>
      </c>
      <c r="B8" s="12" t="s">
        <v>11</v>
      </c>
      <c r="C8" s="12">
        <f>SUM(C9:C29)</f>
        <v>492.59</v>
      </c>
      <c r="D8" s="12">
        <v>492.59</v>
      </c>
      <c r="E8" s="12"/>
    </row>
    <row r="9" spans="1:5" s="1" customFormat="1" ht="20.100000000000001" customHeight="1">
      <c r="A9" s="12"/>
      <c r="B9" s="12" t="s">
        <v>12</v>
      </c>
      <c r="C9" s="12">
        <f>SUM(D9:E9)</f>
        <v>81.25</v>
      </c>
      <c r="D9" s="12">
        <v>81.25</v>
      </c>
      <c r="E9" s="12">
        <v>0</v>
      </c>
    </row>
    <row r="10" spans="1:5" s="1" customFormat="1" ht="20.100000000000001" customHeight="1">
      <c r="A10" s="12"/>
      <c r="B10" s="12" t="s">
        <v>13</v>
      </c>
      <c r="C10" s="12">
        <f t="shared" ref="C10:C29" si="0">SUM(D10:E10)</f>
        <v>97.22</v>
      </c>
      <c r="D10" s="12">
        <v>97.22</v>
      </c>
      <c r="E10" s="12">
        <v>0</v>
      </c>
    </row>
    <row r="11" spans="1:5" s="1" customFormat="1" ht="20.100000000000001" customHeight="1">
      <c r="A11" s="12"/>
      <c r="B11" s="12" t="s">
        <v>14</v>
      </c>
      <c r="C11" s="12">
        <f t="shared" si="0"/>
        <v>9.4600000000000009</v>
      </c>
      <c r="D11" s="12">
        <v>9.4600000000000009</v>
      </c>
      <c r="E11" s="12">
        <v>0</v>
      </c>
    </row>
    <row r="12" spans="1:5" s="1" customFormat="1" ht="20.100000000000001" customHeight="1">
      <c r="A12" s="12"/>
      <c r="B12" s="12" t="s">
        <v>15</v>
      </c>
      <c r="C12" s="12">
        <f t="shared" si="0"/>
        <v>74.430000000000007</v>
      </c>
      <c r="D12" s="12">
        <v>74.430000000000007</v>
      </c>
      <c r="E12" s="12">
        <v>0</v>
      </c>
    </row>
    <row r="13" spans="1:5" s="1" customFormat="1" ht="20.100000000000001" customHeight="1">
      <c r="A13" s="12"/>
      <c r="B13" s="12" t="s">
        <v>16</v>
      </c>
      <c r="C13" s="12">
        <f t="shared" si="0"/>
        <v>4.5</v>
      </c>
      <c r="D13" s="12">
        <v>4.5</v>
      </c>
      <c r="E13" s="12">
        <v>0</v>
      </c>
    </row>
    <row r="14" spans="1:5" s="1" customFormat="1" ht="20.100000000000001" customHeight="1">
      <c r="A14" s="12"/>
      <c r="B14" s="12" t="s">
        <v>17</v>
      </c>
      <c r="C14" s="12">
        <f t="shared" si="0"/>
        <v>15.14</v>
      </c>
      <c r="D14" s="12">
        <v>15.14</v>
      </c>
      <c r="E14" s="12">
        <v>0</v>
      </c>
    </row>
    <row r="15" spans="1:5" s="1" customFormat="1" ht="20.100000000000001" customHeight="1">
      <c r="A15" s="12"/>
      <c r="B15" s="12" t="s">
        <v>18</v>
      </c>
      <c r="C15" s="12">
        <f t="shared" si="0"/>
        <v>0.95</v>
      </c>
      <c r="D15" s="12">
        <v>0.95</v>
      </c>
      <c r="E15" s="12">
        <v>0</v>
      </c>
    </row>
    <row r="16" spans="1:5" s="1" customFormat="1" ht="20.100000000000001" customHeight="1">
      <c r="A16" s="12"/>
      <c r="B16" s="12" t="s">
        <v>19</v>
      </c>
      <c r="C16" s="12">
        <f t="shared" si="0"/>
        <v>0.66</v>
      </c>
      <c r="D16" s="12">
        <v>0.66</v>
      </c>
      <c r="E16" s="12">
        <v>0</v>
      </c>
    </row>
    <row r="17" spans="1:5" s="1" customFormat="1" ht="20.100000000000001" customHeight="1">
      <c r="A17" s="12"/>
      <c r="B17" s="12" t="s">
        <v>20</v>
      </c>
      <c r="C17" s="12">
        <f t="shared" si="0"/>
        <v>17.829999999999998</v>
      </c>
      <c r="D17" s="12">
        <v>17.829999999999998</v>
      </c>
      <c r="E17" s="12">
        <v>0</v>
      </c>
    </row>
    <row r="18" spans="1:5" s="1" customFormat="1" ht="20.100000000000001" customHeight="1">
      <c r="A18" s="12"/>
      <c r="B18" s="12" t="s">
        <v>21</v>
      </c>
      <c r="C18" s="12">
        <f t="shared" si="0"/>
        <v>8.5500000000000007</v>
      </c>
      <c r="D18" s="12">
        <v>8.5500000000000007</v>
      </c>
      <c r="E18" s="12">
        <v>0</v>
      </c>
    </row>
    <row r="19" spans="1:5" s="1" customFormat="1" ht="20.100000000000001" customHeight="1">
      <c r="A19" s="12"/>
      <c r="B19" s="12" t="s">
        <v>22</v>
      </c>
      <c r="C19" s="12">
        <f t="shared" si="0"/>
        <v>37.840000000000003</v>
      </c>
      <c r="D19" s="12">
        <v>37.840000000000003</v>
      </c>
      <c r="E19" s="12">
        <v>0</v>
      </c>
    </row>
    <row r="20" spans="1:5" s="1" customFormat="1" ht="20.100000000000001" customHeight="1">
      <c r="A20" s="12"/>
      <c r="B20" s="12" t="s">
        <v>23</v>
      </c>
      <c r="C20" s="12">
        <f t="shared" si="0"/>
        <v>32.700000000000003</v>
      </c>
      <c r="D20" s="12">
        <v>32.700000000000003</v>
      </c>
      <c r="E20" s="12">
        <v>0</v>
      </c>
    </row>
    <row r="21" spans="1:5" s="1" customFormat="1" ht="20.100000000000001" customHeight="1">
      <c r="A21" s="12"/>
      <c r="B21" s="12" t="s">
        <v>24</v>
      </c>
      <c r="C21" s="12">
        <f t="shared" si="0"/>
        <v>1.1599999999999999</v>
      </c>
      <c r="D21" s="12">
        <v>1.1599999999999999</v>
      </c>
      <c r="E21" s="12">
        <v>0</v>
      </c>
    </row>
    <row r="22" spans="1:5" s="1" customFormat="1" ht="20.100000000000001" customHeight="1">
      <c r="A22" s="12"/>
      <c r="B22" s="12" t="s">
        <v>25</v>
      </c>
      <c r="C22" s="12">
        <f t="shared" si="0"/>
        <v>12.4</v>
      </c>
      <c r="D22" s="12">
        <v>12.4</v>
      </c>
      <c r="E22" s="12">
        <v>0</v>
      </c>
    </row>
    <row r="23" spans="1:5" s="1" customFormat="1" ht="20.100000000000001" customHeight="1">
      <c r="A23" s="12"/>
      <c r="B23" s="12" t="s">
        <v>26</v>
      </c>
      <c r="C23" s="12">
        <f t="shared" si="0"/>
        <v>15.77</v>
      </c>
      <c r="D23" s="12">
        <v>15.77</v>
      </c>
      <c r="E23" s="12">
        <v>0</v>
      </c>
    </row>
    <row r="24" spans="1:5" s="1" customFormat="1" ht="20.100000000000001" customHeight="1">
      <c r="A24" s="12"/>
      <c r="B24" s="13" t="s">
        <v>27</v>
      </c>
      <c r="C24" s="12">
        <f t="shared" si="0"/>
        <v>14.95</v>
      </c>
      <c r="D24" s="13">
        <v>14.95</v>
      </c>
      <c r="E24" s="12">
        <v>0</v>
      </c>
    </row>
    <row r="25" spans="1:5" s="1" customFormat="1" ht="20.100000000000001" customHeight="1">
      <c r="A25" s="12"/>
      <c r="B25" s="13" t="s">
        <v>28</v>
      </c>
      <c r="C25" s="12">
        <f t="shared" si="0"/>
        <v>0.14000000000000001</v>
      </c>
      <c r="D25" s="13">
        <v>0.14000000000000001</v>
      </c>
      <c r="E25" s="12">
        <v>0</v>
      </c>
    </row>
    <row r="26" spans="1:5" s="1" customFormat="1" ht="20.100000000000001" customHeight="1">
      <c r="A26" s="12"/>
      <c r="B26" s="13" t="s">
        <v>29</v>
      </c>
      <c r="C26" s="12">
        <f t="shared" si="0"/>
        <v>13.24</v>
      </c>
      <c r="D26" s="13">
        <v>13.24</v>
      </c>
      <c r="E26" s="12">
        <v>0</v>
      </c>
    </row>
    <row r="27" spans="1:5" s="1" customFormat="1" ht="20.100000000000001" customHeight="1">
      <c r="A27" s="12"/>
      <c r="B27" s="13" t="s">
        <v>30</v>
      </c>
      <c r="C27" s="12">
        <f t="shared" si="0"/>
        <v>15.77</v>
      </c>
      <c r="D27" s="13">
        <v>15.77</v>
      </c>
      <c r="E27" s="12">
        <v>0</v>
      </c>
    </row>
    <row r="28" spans="1:5" s="1" customFormat="1" ht="20.100000000000001" customHeight="1">
      <c r="A28" s="12"/>
      <c r="B28" s="13" t="s">
        <v>31</v>
      </c>
      <c r="C28" s="12">
        <f t="shared" si="0"/>
        <v>31.53</v>
      </c>
      <c r="D28" s="13">
        <v>31.53</v>
      </c>
      <c r="E28" s="12">
        <v>0</v>
      </c>
    </row>
    <row r="29" spans="1:5" s="1" customFormat="1" ht="20.100000000000001" customHeight="1">
      <c r="A29" s="12"/>
      <c r="B29" s="13" t="s">
        <v>32</v>
      </c>
      <c r="C29" s="12">
        <f t="shared" si="0"/>
        <v>7.1</v>
      </c>
      <c r="D29" s="13">
        <v>7.1</v>
      </c>
      <c r="E29" s="12">
        <v>0</v>
      </c>
    </row>
    <row r="30" spans="1:5" s="1" customFormat="1" ht="20.100000000000001" customHeight="1">
      <c r="A30" s="12">
        <v>2010202</v>
      </c>
      <c r="B30" s="12" t="s">
        <v>33</v>
      </c>
      <c r="C30" s="12">
        <v>102.17</v>
      </c>
      <c r="D30" s="12">
        <v>0</v>
      </c>
      <c r="E30" s="12">
        <v>102.17</v>
      </c>
    </row>
    <row r="31" spans="1:5" s="1" customFormat="1" ht="20.100000000000001" customHeight="1">
      <c r="A31" s="12"/>
      <c r="B31" s="12" t="s">
        <v>34</v>
      </c>
      <c r="C31" s="12">
        <v>19.170000000000002</v>
      </c>
      <c r="D31" s="12">
        <v>0</v>
      </c>
      <c r="E31" s="12">
        <v>19.170000000000002</v>
      </c>
    </row>
    <row r="32" spans="1:5" s="1" customFormat="1" ht="20.100000000000001" customHeight="1">
      <c r="A32" s="12"/>
      <c r="B32" s="12" t="s">
        <v>35</v>
      </c>
      <c r="C32" s="12">
        <v>55</v>
      </c>
      <c r="D32" s="12">
        <v>0</v>
      </c>
      <c r="E32" s="12">
        <v>55</v>
      </c>
    </row>
    <row r="33" spans="1:5" s="1" customFormat="1" ht="20.100000000000001" customHeight="1">
      <c r="A33" s="12"/>
      <c r="B33" s="13" t="s">
        <v>36</v>
      </c>
      <c r="C33" s="13">
        <v>10</v>
      </c>
      <c r="D33" s="12">
        <v>0</v>
      </c>
      <c r="E33" s="13">
        <v>10</v>
      </c>
    </row>
    <row r="34" spans="1:5" s="1" customFormat="1" ht="20.100000000000001" customHeight="1">
      <c r="A34" s="12"/>
      <c r="B34" s="13" t="s">
        <v>37</v>
      </c>
      <c r="C34" s="13">
        <v>0.8</v>
      </c>
      <c r="D34" s="12">
        <v>0</v>
      </c>
      <c r="E34" s="13">
        <v>0.8</v>
      </c>
    </row>
    <row r="35" spans="1:5" s="1" customFormat="1" ht="20.100000000000001" customHeight="1">
      <c r="A35" s="12"/>
      <c r="B35" s="13" t="s">
        <v>38</v>
      </c>
      <c r="C35" s="13">
        <v>1.5</v>
      </c>
      <c r="D35" s="12">
        <v>0</v>
      </c>
      <c r="E35" s="13">
        <v>1.5</v>
      </c>
    </row>
    <row r="36" spans="1:5" s="1" customFormat="1" ht="20.100000000000001" customHeight="1">
      <c r="A36" s="12"/>
      <c r="B36" s="13" t="s">
        <v>39</v>
      </c>
      <c r="C36" s="13">
        <v>2</v>
      </c>
      <c r="D36" s="12">
        <v>0</v>
      </c>
      <c r="E36" s="13">
        <v>2</v>
      </c>
    </row>
    <row r="37" spans="1:5" s="1" customFormat="1" ht="20.100000000000001" customHeight="1">
      <c r="A37" s="12"/>
      <c r="B37" s="13" t="s">
        <v>40</v>
      </c>
      <c r="C37" s="13">
        <v>4</v>
      </c>
      <c r="D37" s="12">
        <v>0</v>
      </c>
      <c r="E37" s="13">
        <v>4</v>
      </c>
    </row>
    <row r="38" spans="1:5" s="1" customFormat="1" ht="20.100000000000001" customHeight="1">
      <c r="A38" s="12"/>
      <c r="B38" s="13" t="s">
        <v>27</v>
      </c>
      <c r="C38" s="13">
        <v>5</v>
      </c>
      <c r="D38" s="12">
        <v>0</v>
      </c>
      <c r="E38" s="13">
        <v>5</v>
      </c>
    </row>
    <row r="39" spans="1:5" s="1" customFormat="1" ht="20.100000000000001" customHeight="1">
      <c r="A39" s="12"/>
      <c r="B39" s="13" t="s">
        <v>41</v>
      </c>
      <c r="C39" s="13">
        <v>4</v>
      </c>
      <c r="D39" s="12">
        <v>0</v>
      </c>
      <c r="E39" s="13">
        <v>4</v>
      </c>
    </row>
    <row r="40" spans="1:5" s="1" customFormat="1" ht="20.100000000000001" customHeight="1">
      <c r="A40" s="12"/>
      <c r="B40" s="13" t="s">
        <v>42</v>
      </c>
      <c r="C40" s="13">
        <v>0.7</v>
      </c>
      <c r="D40" s="12">
        <v>0</v>
      </c>
      <c r="E40" s="13">
        <v>0.7</v>
      </c>
    </row>
    <row r="41" spans="1:5" s="6" customFormat="1" ht="16.5">
      <c r="A41" s="15" t="s">
        <v>8</v>
      </c>
      <c r="B41" s="15"/>
      <c r="C41" s="15"/>
      <c r="D41" s="15"/>
      <c r="E41" s="15"/>
    </row>
    <row r="42" spans="1:5" s="6" customFormat="1" ht="16.5">
      <c r="A42" s="16"/>
      <c r="B42" s="16"/>
      <c r="C42" s="16"/>
      <c r="D42" s="16"/>
      <c r="E42" s="16"/>
    </row>
  </sheetData>
  <mergeCells count="7">
    <mergeCell ref="A41:E41"/>
    <mergeCell ref="A42:E42"/>
    <mergeCell ref="A2:E2"/>
    <mergeCell ref="A4:A5"/>
    <mergeCell ref="B4:B5"/>
    <mergeCell ref="C4:C5"/>
    <mergeCell ref="D4:E4"/>
  </mergeCells>
  <phoneticPr fontId="66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附表3-5</vt:lpstr>
      <vt:lpstr>'附表3-5'!Print_Titles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hp</cp:lastModifiedBy>
  <cp:lastPrinted>2018-01-19T08:43:32Z</cp:lastPrinted>
  <dcterms:created xsi:type="dcterms:W3CDTF">2008-01-10T09:59:00Z</dcterms:created>
  <dcterms:modified xsi:type="dcterms:W3CDTF">2019-02-11T02:19:17Z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