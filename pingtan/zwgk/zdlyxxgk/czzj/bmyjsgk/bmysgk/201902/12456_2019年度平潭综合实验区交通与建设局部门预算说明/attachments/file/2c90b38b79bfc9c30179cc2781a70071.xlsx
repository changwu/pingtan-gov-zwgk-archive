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9840" tabRatio="1000" activeTab="7"/>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<sst xmlns="http://schemas.openxmlformats.org/spreadsheetml/2006/main" count="2227" uniqueCount="858">
  <si>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</si>
  <si>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</si>
  <si>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</si>
  <si>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</si>
  <si>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</si>
  <si>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</si>
  <si>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</si>
  <si>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</si>
  <si>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</si>
  <si>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</si>
  <si>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</si>
  <si>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</si>
  <si>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</si>
  <si>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</si>
  <si>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</si>
  <si>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</si>
  <si>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</si>
  <si>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</si>
  <si>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</si>
  <si>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</si>
  <si>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</si>
  <si>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</si>
  <si>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</si>
  <si>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</si>
  <si>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</si>
  <si>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</si>
  <si>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</si>
  <si>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</si>
  <si>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</si>
  <si>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</si>
  <si>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</si>
  <si>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</si>
  <si>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501001</t>
  </si>
  <si>
    <t>平潭综合实验区交通与建设局本级</t>
  </si>
  <si>
    <t>501005</t>
  </si>
  <si>
    <t>平潭综合实验区住房公积金管理中心</t>
  </si>
  <si>
    <t>501006</t>
  </si>
  <si>
    <t>平潭综合实验区公路管理局</t>
  </si>
  <si>
    <t>501007</t>
  </si>
  <si>
    <t>平潭综合实验区人防办</t>
  </si>
  <si>
    <t>501010</t>
  </si>
  <si>
    <t>平潭综合实验区地震办</t>
  </si>
  <si>
    <t>501013</t>
  </si>
  <si>
    <t>平潭综合实验区村镇建设管理总站</t>
  </si>
  <si>
    <t>501016</t>
  </si>
  <si>
    <t>平潭综合实验区交通与建设工程质量安全监督站</t>
  </si>
  <si>
    <t>501018</t>
  </si>
  <si>
    <t>平潭综合实验区环卫所</t>
  </si>
  <si>
    <t>501033</t>
  </si>
  <si>
    <t>平潭区交通运输管理服务中心</t>
  </si>
  <si>
    <t>501037</t>
  </si>
  <si>
    <t>平潭综合实验区公用事业服务中心</t>
  </si>
  <si>
    <t>501038</t>
  </si>
  <si>
    <t>平潭综合实验区邮政业发展与安全中心</t>
  </si>
  <si>
    <t>501039</t>
  </si>
  <si>
    <t>平潭综合实验区建设工程造价管理站</t>
  </si>
  <si>
    <t>合计</t>
  </si>
  <si>
    <t>附表3-3</t>
  </si>
  <si>
    <t>2019年度支出预算总表</t>
  </si>
  <si>
    <t>科目编码</t>
  </si>
  <si>
    <t>科目名称</t>
  </si>
  <si>
    <t>人员支出</t>
  </si>
  <si>
    <t>对个人和家庭的补助支出</t>
  </si>
  <si>
    <t>公用支出</t>
  </si>
  <si>
    <t>项目支出</t>
  </si>
  <si>
    <t>/</t>
  </si>
  <si>
    <t>技术创新服务体系</t>
  </si>
  <si>
    <t xml:space="preserve"> 其他污染防治支出</t>
  </si>
  <si>
    <t xml:space="preserve">   一般行政管理事务</t>
  </si>
  <si>
    <t>城乡社区规划与管理</t>
  </si>
  <si>
    <t>小城镇基础设施建设</t>
  </si>
  <si>
    <t>其他城乡社区公共设施支出</t>
  </si>
  <si>
    <t>城乡社区环境卫生</t>
  </si>
  <si>
    <t>行政运行</t>
  </si>
  <si>
    <t xml:space="preserve"> 一般行政管理事务</t>
  </si>
  <si>
    <t xml:space="preserve">  公路运输管理</t>
  </si>
  <si>
    <t xml:space="preserve"> 住房公积金</t>
  </si>
  <si>
    <t xml:space="preserve">  提租补贴</t>
  </si>
  <si>
    <t>其他城乡社区管理事务支出</t>
  </si>
  <si>
    <t>住房公积金</t>
  </si>
  <si>
    <t>公路养护</t>
  </si>
  <si>
    <t>一般行政管理事务</t>
  </si>
  <si>
    <t xml:space="preserve"> 提租补贴</t>
  </si>
  <si>
    <t xml:space="preserve"> 行政运行</t>
  </si>
  <si>
    <t xml:space="preserve">  机关服务</t>
  </si>
  <si>
    <t xml:space="preserve"> 机关服务</t>
  </si>
  <si>
    <t>其他环境保护管理事务支出</t>
  </si>
  <si>
    <t xml:space="preserve"> 城乡社区环境卫生</t>
  </si>
  <si>
    <t>机关服务</t>
  </si>
  <si>
    <t>工程建设标准规范编制与监管</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</si>
  <si>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</si>
  <si>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</si>
  <si>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</si>
  <si>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</si>
  <si>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</si>
  <si>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</si>
  <si>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</si>
  <si>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</si>
  <si>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</si>
  <si>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</si>
  <si>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 xml:space="preserve">      2060502</t>
  </si>
  <si>
    <t xml:space="preserve">      2110199</t>
  </si>
  <si>
    <t xml:space="preserve">      2110399</t>
  </si>
  <si>
    <t>其他污染防治支出</t>
  </si>
  <si>
    <t xml:space="preserve">      2120101</t>
  </si>
  <si>
    <t xml:space="preserve">      2120102</t>
  </si>
  <si>
    <t xml:space="preserve">      2120103</t>
  </si>
  <si>
    <t xml:space="preserve">      2120105</t>
  </si>
  <si>
    <t xml:space="preserve"> 工程建设标准规范编制与监管</t>
  </si>
  <si>
    <t xml:space="preserve">      2120199</t>
  </si>
  <si>
    <t xml:space="preserve">      2120201</t>
  </si>
  <si>
    <t xml:space="preserve">      2120303</t>
  </si>
  <si>
    <t xml:space="preserve">      2120399</t>
  </si>
  <si>
    <t xml:space="preserve">      2120501</t>
  </si>
  <si>
    <t xml:space="preserve">      2140101</t>
  </si>
  <si>
    <t xml:space="preserve">      2140102</t>
  </si>
  <si>
    <t xml:space="preserve">      2140106</t>
  </si>
  <si>
    <t xml:space="preserve">      2140112</t>
  </si>
  <si>
    <t>公路运输管理</t>
  </si>
  <si>
    <t xml:space="preserve">      2140202</t>
  </si>
  <si>
    <t xml:space="preserve">      2140503</t>
  </si>
  <si>
    <t xml:space="preserve">      2210201</t>
  </si>
  <si>
    <t xml:space="preserve">      2210202</t>
  </si>
  <si>
    <t>提租补贴</t>
  </si>
  <si>
    <t xml:space="preserve">      2240501</t>
  </si>
  <si>
    <t xml:space="preserve">      2240502</t>
  </si>
  <si>
    <t>备注：本表公开到政府支出功能分类项级科目。</t>
  </si>
  <si>
    <t>附表3-6</t>
  </si>
  <si>
    <t>2019年度政府性基金拨款支出预算表</t>
  </si>
  <si>
    <t>说明：2019年本单位没有政府性基金拨款预算，此表无数据。</t>
  </si>
  <si>
    <t>备注：1.本表公开到政府支出功能分类项级科目。</t>
  </si>
  <si>
    <t xml:space="preserve">      2.没有数据的单位应当列出空表并说明。</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</si>
  <si>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</si>
  <si>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</si>
  <si>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</si>
  <si>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</si>
  <si>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</si>
  <si>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</si>
  <si>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</si>
  <si>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</si>
  <si>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</si>
  <si>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</si>
  <si>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</si>
  <si>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</si>
  <si>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</si>
  <si>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</si>
  <si>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</si>
  <si>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</si>
  <si>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</si>
  <si>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</si>
  <si>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</si>
  <si>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</si>
  <si>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</si>
  <si>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</si>
  <si>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</si>
  <si>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</si>
  <si>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</si>
  <si>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</si>
  <si>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</si>
  <si>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</si>
  <si>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</si>
  <si>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</si>
  <si>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</si>
  <si>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</si>
  <si>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</si>
  <si>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</si>
  <si>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</si>
  <si>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</si>
  <si>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</si>
  <si>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</si>
  <si>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</si>
  <si>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</si>
  <si>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</si>
  <si>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</si>
  <si>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</si>
  <si>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</si>
  <si>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</si>
  <si>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</si>
  <si>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</si>
  <si>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</si>
  <si>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</si>
  <si>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</si>
  <si>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</si>
  <si>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</si>
  <si>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</si>
  <si>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</si>
  <si>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</si>
  <si>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</si>
  <si>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</si>
  <si>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</si>
  <si>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</si>
  <si>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</si>
  <si>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</si>
  <si>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</si>
  <si>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</si>
  <si>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</si>
  <si>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</si>
  <si>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</si>
  <si>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</si>
  <si>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</si>
  <si>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</si>
  <si>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</si>
  <si>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</si>
  <si>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</si>
  <si>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</si>
  <si>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</si>
  <si>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</si>
  <si>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</si>
  <si>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</si>
  <si>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</si>
  <si>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</si>
  <si>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</si>
  <si>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</si>
  <si>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</si>
  <si>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</si>
  <si>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</si>
  <si>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</si>
  <si>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</si>
  <si>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</si>
  <si>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</si>
  <si>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</si>
  <si>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</si>
  <si>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</si>
  <si>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</si>
  <si>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</si>
  <si>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</si>
  <si>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</si>
  <si>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</si>
  <si>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</si>
  <si>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</si>
  <si>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</si>
  <si>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</si>
  <si>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</si>
  <si>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</si>
  <si>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</si>
  <si>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</si>
  <si>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</si>
  <si>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</si>
  <si>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</si>
  <si>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</si>
  <si>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</si>
  <si>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</si>
  <si>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</si>
  <si>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</si>
  <si>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</si>
  <si>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</si>
  <si>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</si>
  <si>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</si>
  <si>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</si>
  <si>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</si>
  <si>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</si>
  <si>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</si>
  <si>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</si>
  <si>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</si>
  <si>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</si>
  <si>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</si>
  <si>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</si>
  <si>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</si>
  <si>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</si>
  <si>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</si>
  <si>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</si>
  <si>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</si>
  <si>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</si>
  <si>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</si>
  <si>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</si>
  <si>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</si>
  <si>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</si>
  <si>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</si>
  <si>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</si>
  <si>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</si>
  <si>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</si>
  <si>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</si>
  <si>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</si>
  <si>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</si>
  <si>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</si>
  <si>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</si>
  <si>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</si>
  <si>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</si>
  <si>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</si>
  <si>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</si>
  <si>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</si>
  <si>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</si>
  <si>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</si>
  <si>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</si>
  <si>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</si>
  <si>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</si>
  <si>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</si>
  <si>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</si>
  <si>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</si>
  <si>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</si>
  <si>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</si>
  <si>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</si>
  <si>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</si>
  <si>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</si>
  <si>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</si>
  <si>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</si>
  <si>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</si>
  <si>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</si>
  <si>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</si>
  <si>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</si>
  <si>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</si>
  <si>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</si>
  <si>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</si>
  <si>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</si>
  <si>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</si>
  <si>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</si>
  <si>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</si>
  <si>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</si>
  <si>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</si>
  <si>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</si>
  <si>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</si>
  <si>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</si>
  <si>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</si>
  <si>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</si>
  <si>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</si>
  <si>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</si>
  <si>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</si>
  <si>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</si>
  <si>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</si>
  <si>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</si>
  <si>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</si>
  <si>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</si>
  <si>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</si>
  <si>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</si>
  <si>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</si>
  <si>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</si>
  <si>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</si>
  <si>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</si>
  <si>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</si>
  <si>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</si>
  <si>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</si>
  <si>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</si>
  <si>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</si>
  <si>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</si>
  <si>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</si>
  <si>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</si>
  <si>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</si>
  <si>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</si>
  <si>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</si>
  <si>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</si>
  <si>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</si>
  <si>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</si>
  <si>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</si>
  <si>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</si>
  <si>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</si>
  <si>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</si>
  <si>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</si>
  <si>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</si>
  <si>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</si>
  <si>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</si>
  <si>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</si>
  <si>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</si>
  <si>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</si>
  <si>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</si>
  <si>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</si>
  <si>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</si>
  <si>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</si>
  <si>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</si>
  <si>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</si>
  <si>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平潭综合实验区交通与建设局</t>
  </si>
  <si>
    <t>海岛交通便民工程</t>
  </si>
  <si>
    <t xml:space="preserve"> 《共同推进“海岛交通便民工程”协议书 》及平潭综合实验区管委会第2014年第24次主任办公会议纪要的精神</t>
  </si>
  <si>
    <t>2013年1月-2019年12月</t>
  </si>
  <si>
    <t>　1.新建陆岛交通码头共5个项目6座码头，其中：屿头田下陆岛1000吨级滚装码头，马腿500吨级陆岛交通码头，钱便澳1000吨级陆岛交通码头，石牌洋（看澳）2座300吨级陆岛交通码头，北楼陆岛交通码头扩建500吨级，塘屿500吨级交通码头；2.更新四个海岛客运渡船13艘；3.新建码头候船亭7座；4.投放3个海岛乡15辆电动公交车、新建4座客运站。</t>
  </si>
  <si>
    <t>2019年预计完成投资800万元，其中：钱便澳、马腿码头500万元、石牌洋码头100万元、田下码头200万元。</t>
  </si>
  <si>
    <t>部门发展性支出</t>
  </si>
  <si>
    <t>项目法</t>
  </si>
  <si>
    <t>东庠南江澳沿岸水毁道路修复工程</t>
  </si>
  <si>
    <t>《东庠乡人民政府关于修复南江沿海岸自然灾害水毁道路的请示》（岚庠政〔2016〕1号）</t>
  </si>
  <si>
    <t xml:space="preserve"> 2019年1月1日至2019年12月31日</t>
  </si>
  <si>
    <t xml:space="preserve"> 南江水毁沿海岸道路修复项目是区属重点项目之一，属自然灾害水毁道路。南江澳沿岸道路修复及景观工程位于东庠乡南江码头沿岸，长499米，设计车速20公里/小时。项目总投资0.13亿元。</t>
  </si>
  <si>
    <t>1.完成南江澳沿岸道路修复及景观工程，包括道路工程、路基及海侧护岸的防潮防浪工程、路面工程、桥涵工程、供电照明、交通工程及景观工程；
2.符合工程施工质量验收相关要求，按时投入使用；
3.符合相关要求，有效排除安全隐患，拉动经济发展，为过路人提供方便，美化村容村貌，优化自然环境。</t>
  </si>
  <si>
    <t>平潭综合实验区地下综合管廊及道路基础设施存量资产运营维护PPP项目</t>
  </si>
  <si>
    <t>平潭综合实验区地下综合管廊及道路基础设施存量资产运营维护PPP项目项目合同</t>
  </si>
  <si>
    <t>2018年8月23日-2043年8月23日</t>
  </si>
  <si>
    <t>本项日常维护包含市政道路和综合管廊维护，其中市政道路为竹屿湖中路、龙凤中路、鹿原南路、瑶竹南路、天山北路等5条道路，道路总长15.62Km，其中机动车道面积约53.16万㎡、人行道面积约13.42万㎡、雨水管网约33.3Km、污水管网约24.5Km、绿化带面积约13.69万㎡、路灯898基；地下管廊约7.3Km。</t>
  </si>
  <si>
    <t>提高基础设施项目运营效率，降低运营成本；有利于推进国有企业混合所有制改革，促进各种所有制经济共同发展；有利于加快补齐基础设施短板，推进供给侧结构性改革。</t>
  </si>
  <si>
    <t>公交运营补助/新能汽车购置补助/农客回收补助</t>
  </si>
  <si>
    <t>岚综实交建运管[2014]16号/2017年12月20日区管委会主任办公会议精神</t>
  </si>
  <si>
    <t>2019年1月1日-2019年12月31日</t>
  </si>
  <si>
    <t>公交线网规划、建设和管理，事关保障和改善民生，是服务于广大人民群众的公益事业，是体现社会公平和共享社会发展成果的重要平台，是政府实事项目的必要组成部分。本次资金主要拨补平潭公交运营补助，以弥补公交企业因票价和成本倒挂产生的运营亏损，促进公交企业可持续发展，本次资金拨补范围为2019年公交运营补助。</t>
  </si>
  <si>
    <t>以建设台湾与大陆往来的重要门户、国际知名海海岛旅游休闲城市、宜居智慧岛城的发展目标为指引，构建畅达、绿色、智能、和谐并具有生态海岛特色的综合交通体系，建立起以中运量高等级轨道交通系统为骨架、地面公交系统为主体、出租汽车与轮渡为补充的安全通达、高效便捷、舒适准点、票价合理、节能环保、服务优质的一体化、高品质、智能化的公共客运服务系统；公共交通出行占居民出行总量的比重力争超过20%，在机动化方式比重中超过50%。</t>
  </si>
  <si>
    <t>农村环境综合整治工程生活污水设施日常运行维护项目</t>
  </si>
  <si>
    <t>关于平潭农村环境综合整治工程生活污水设施日常运行维护费用的报告</t>
  </si>
  <si>
    <t>2019年01月01日至2019年12月31日</t>
  </si>
  <si>
    <t>离岛污水处理设施运行维护费用（不含电费）</t>
  </si>
  <si>
    <t>保障已建农村环境整治工程生活污水设施正常运行</t>
  </si>
  <si>
    <t>平潭综合实验区户外广告设置专项规划</t>
  </si>
  <si>
    <t>平潭综合实验区交通与建设局关于编制《平潭综合实验区户外广告设置专项规划》的请示</t>
  </si>
  <si>
    <t>2019年1月-12月</t>
  </si>
  <si>
    <t>本项目为了规范城市户外广告和招牌的设置，计划抽取一家编制单位对《平潭综合实验区户外广告设置专项规划》进行编制，规划确立后，将进一步提高我区户外广告管理水平，发挥城市户外广告和招牌的社会经济效益和景观文化效益，使户外广告与城市道路、绿化景观相适应，充分展示我区形象。</t>
  </si>
  <si>
    <t>市政污水处理费用</t>
  </si>
  <si>
    <t>金井湾污水处理厂和三松再生水厂特许经营协议</t>
  </si>
  <si>
    <t>2018年1月1日-2019年12月31日</t>
  </si>
  <si>
    <t>污水处理厂的建设、运营，事关保障和改善民生，是服务于广大人民群众的公益事业，是体现政府实事项目的必要组成部分。本次资金主要拨付金井湾污水处理厂污水处理费用，促进全区污水处理事业可持续发展，本次资金拨付范围为2018年至2019年污水处理费用。</t>
  </si>
  <si>
    <t>以建设台湾与大陆往来的重要门户，国际知名海岛旅游休闲城市、宜居智慧岛的发展目标为指引，创造美好环境。</t>
  </si>
  <si>
    <t>平潭综合实验区房地产市场发展与规划研究</t>
  </si>
  <si>
    <t>区党工委、管委会领导批示件（流水号2018.1039）</t>
  </si>
  <si>
    <t>2018年9月25日至2019年3月31日</t>
  </si>
  <si>
    <t>根据实验区经济社会发展水平、住房供需状况、人口变化等情况科学编制住房发展近五年规划，合理确定实验区今后5年的各类住房建设规模和时序。</t>
  </si>
  <si>
    <t>(1)2018年11月30日前开展全面调研工作，完成资料收集汇总分析工作，完成《平潭综合实验区住房发展规划（2018-2022）》文本。（2）2018年12月31日前，完成《平潭综合实验区房地产市场平稳健康发展长效机制的政策建议》报告。（3）2019年3月31日前，完成《平潭综合实验区房地产市场发展与规划研究》报告。</t>
  </si>
  <si>
    <t>平潭环卫基础设施建设项目（旧城区垃圾转运站及公厕）</t>
  </si>
  <si>
    <t>旧城区新建三座垃圾转运站及七座移动公厕</t>
  </si>
  <si>
    <t xml:space="preserve"> 2019年1-12月</t>
  </si>
  <si>
    <t>平潭综合实验区管委会办公室关于印发《平潭综合实验区环卫基础设施建设两年行动计划实施方案（2015、2016）》的通知</t>
  </si>
  <si>
    <t>提升我区市容环境卫生管理水平，建立长效环境卫生管理机制，创建宜居、生态、优美、整洁的全国文明城市。</t>
  </si>
  <si>
    <t>金井湾新区全面推行垃圾分类及试点工作费用</t>
  </si>
  <si>
    <t>金井湾新区全面推行垃圾分类及试点工作</t>
  </si>
  <si>
    <t>垃圾焚烧厂第三方监管</t>
  </si>
  <si>
    <t>《平潭综合实验区交通与建设局关于将平潭北厝垃圾焚烧发电厂日常监管委托专业监管监管的请示》（含领导批示）</t>
  </si>
  <si>
    <t>为确保平潭生活垃圾焚烧发电厂的安全、环保和稳定运行，按照生活垃圾处理全过程监管的要求，提高平潭北厝生活垃圾无害化处理水平，维护城市公共安全，创新垃圾焚烧处置设施监管手段，进一步提高生活垃圾处置设施运营监管水平，有必要委托第三方对本项目的运营进行监督管理，并对运营期厂区及周边环境影响情况进行污染物定期监测和检测。</t>
  </si>
  <si>
    <t>乡镇公厕养护费</t>
  </si>
  <si>
    <t>《平潭综合实验区交通与建设局大干120攻坚实施方案》</t>
  </si>
  <si>
    <t>为平潭综合实验区交通与建设局大干120攻坚内容，旨在进一步推进厕所革命，建立乡镇公厕日常保洁制度。</t>
  </si>
  <si>
    <t>生活垃圾焚烧厂处理专项费用</t>
  </si>
  <si>
    <t>《平潭生活垃圾焚烧发电厂BOT特许经营协议》</t>
  </si>
  <si>
    <t>对全区生活垃圾进行焚烧处理。</t>
  </si>
  <si>
    <t>2019年三格化粪池建设任务</t>
  </si>
  <si>
    <t>平潭综合实验区管委会办公室关于印发《平潭综合实验区农村人居环境整治三年行动实施方案》的通知</t>
  </si>
  <si>
    <t>2019计划对全区新建、改造三格化粪池2000户。</t>
  </si>
  <si>
    <t xml:space="preserve">四个离岛乡镇生活海上外运项目 </t>
  </si>
  <si>
    <t>《2018年第1次主任办公会议纪要》</t>
  </si>
  <si>
    <t>四个离岛乡镇生活海上外运项目：其中第一部分为阳光堆肥房建设；第二部分为离岛垃圾从海上外运至北厝垃圾焚烧厂处理；第三部分为4个离岛乡镇全面推行垃圾分类工作。</t>
  </si>
  <si>
    <t>平潭垃圾焚烧厂取水泵房营运管理费</t>
  </si>
  <si>
    <t>关于垃圾焚烧厂取水泵房运营管理专题会议纪要</t>
  </si>
  <si>
    <t>垃圾焚烧厂作为区重点项目，也是中央环保督查组重点督查的项目，发电厂配套工程由政府投资建设，区环卫所作为项目业主，负责取水泵房用电立户工作。</t>
  </si>
  <si>
    <t>澳仔底3个村污染补偿费</t>
  </si>
  <si>
    <t>县人民政府【2002】167期会议纪要、协议书(依照平潭县人民法院【2002】岚民初字第45号民事判决书意见）</t>
  </si>
  <si>
    <t>给予澳仔底垃圾场所在地原居住户村民生活困难专项补助</t>
  </si>
  <si>
    <t>全区环卫作业保洁费（含小广告清洗费）</t>
  </si>
  <si>
    <t>闽财建[2003]58号；闽岚综实管综[2012]129号文件；平潭综合实验区管委会《环境卫生作业企业化运作等专题会议纪要》（[2015]167号）；平潭综合实验区管委会《交建系统环卫工人社保等专题会议纪要》[2015]250号</t>
  </si>
  <si>
    <t>根据平潭综合实验区交通与建设局《平潭综合实验区环境卫生作业旧城区环境卫生作业企业化方案》内容，旧城区环境卫生保洁作业的范围包括潭城镇15个社区及城乡结合部5个村（岚城乡上楼村、正旺村、中湖村、澳前龙山村、龙南大磹下自然村），按照“墙对墙”的原则分成A、B、 C、 D四个区域，总保洁面积427.9683万平方米；15个乡镇农村环境卫生整治经费和金井湾片区道路保洁461389.5平方米。</t>
  </si>
  <si>
    <t>工程质量安全监督抽测检测费</t>
  </si>
  <si>
    <t xml:space="preserve"> 2019.01-2019.12</t>
  </si>
  <si>
    <t xml:space="preserve"> 全区房建、市政交通项目工程质量抽查抽测</t>
  </si>
  <si>
    <t>确保全区房建和市政交通项目正常抽查抽测，保障工程质量</t>
  </si>
  <si>
    <t>邮政快递安全监控平台建设</t>
  </si>
  <si>
    <t>2019年1月1日至2019年12月31日</t>
  </si>
  <si>
    <t xml:space="preserve"> 2019年完成项目二期建设，预计覆盖区内70家快递营业网点。</t>
  </si>
  <si>
    <t>利用信息化手段实现实时监控安全生产、作业分拣、邮快件装卸等工作，进一步加强我区邮政快递行业安全监管。</t>
  </si>
  <si>
    <t>邮政行业调研活动、行业市场监督、寄递安全生产监管等项目</t>
  </si>
  <si>
    <t>按照中心职责规定，对实验区邮政业开展监督管理工作。</t>
  </si>
  <si>
    <t>规范邮政业市场，加强安全生产监督检查</t>
  </si>
  <si>
    <t>地震避难场所建设工程</t>
  </si>
  <si>
    <t>管委会文件</t>
  </si>
  <si>
    <t>2019年1月-2019年12月</t>
  </si>
  <si>
    <t>在2019年度建设10个地震避难场所建设，实现全区避难场所全覆盖。</t>
  </si>
  <si>
    <t>建设10个地震避难场所建设，实现全区避难场所全覆盖。</t>
  </si>
  <si>
    <t>17个避难场所维修费</t>
  </si>
  <si>
    <t>在全区17个避难场所进行维修</t>
  </si>
  <si>
    <t>全区17个避难场所维护维修，保障避难场所正常使用。</t>
  </si>
  <si>
    <t>武警消防救援设备维护经费</t>
  </si>
  <si>
    <t>武警、消防救援设备维护经费</t>
  </si>
  <si>
    <t xml:space="preserve"> 5.12 7.28期间进社区、学校、公共场所宣传演练防震减灾知识。</t>
  </si>
  <si>
    <t>地震应急演练宣传经费</t>
  </si>
  <si>
    <t>公积金信息化建设</t>
  </si>
  <si>
    <t>根据《住房城乡建设部关于加快建设住房公积金综合服务平台的通知》（建金﹝2016﹞14号）、《福建省住房和城乡建设厅关于印发2017年全省住房公积金管理工作要点的通知》（闽建金函﹝2017﹞2号）、《平潭综合实验区交通与建设局会议纪要﹝2016﹞6号》等文件精神实施。</t>
  </si>
  <si>
    <t>综合服务平台新开设项目及后期维护费、建立新版住房公积金业务系统。</t>
  </si>
  <si>
    <t>拓展住房公积服务渠道，提高服务效率；建立新版公积金业务系统，实现全省统一公积金政策、业务模式，该项目可行。</t>
  </si>
  <si>
    <t>借款利息（贴息贷款利差）支出</t>
  </si>
  <si>
    <t>根据区党工委管委会办公室对《区交通与建设局关于拟向商业银行融资借款有关问题的请示》的批复，同意区交建局意见。</t>
  </si>
  <si>
    <t>2017年1月1日-2019年12月31日</t>
  </si>
  <si>
    <t>2015年以来，在中央去库存大背景下，我区职工购房热情高涨，公积金贷款需求旺盛，从而引发区公积金中心资金紧张。为保障我区职工基本住房需求，中心向区管委会请示，通过向商业银行融资借款及开展贴息贷款来缓解中心资金压力，已将此支出列入财政预算经费。</t>
  </si>
  <si>
    <t>到18年底，对照绩效考核评分体系，综合评分达80分以上。</t>
  </si>
  <si>
    <t>平潭综合实验区公路管理局－农村安保工程（农村公路安全生命防护工程）</t>
  </si>
  <si>
    <t>福建省公路管理局《关于开展群养公路农村公路安全生命防护工程隐患排查工作的通知》（闽路农〔2015〕12号）、区管委会领导对《平潭综合实验区交通与建设局关于我区农村公路安全生命防护工程建设有关事宜的请示》（岚交建基建〔2016〕72号）的批复意见</t>
  </si>
  <si>
    <t xml:space="preserve"> 2016年1月至2019年12月</t>
  </si>
  <si>
    <t>本项目由45条国省干线和农村公路组成，工程内容包括：标志、标线、护栏、凸面镜、路肩硬化、增设错车道、配置道口桩、减速措施等</t>
  </si>
  <si>
    <t>该项目建设是农村公路需要，是控制农村公路交通建设的需要，项目建成后能更好地确保公路安全畅通，确保人民生命财产安全，项目实施后可以完善农村公路交通安全设施，具有良好的社会和经济效益。</t>
  </si>
  <si>
    <t>平潭综合实验区公路管理局－平原榕山桥(含其他危桥）改建工程</t>
  </si>
  <si>
    <t>《平潭综合实验区管理委员会专题会议纪要》（[2018]254号</t>
  </si>
  <si>
    <t xml:space="preserve"> 2019年1月至2019年12月</t>
  </si>
  <si>
    <t>本项目对平原榕山桥实施危桥改造，排除桥梁安全隐患。</t>
  </si>
  <si>
    <t>平潭综合实验区公路管理局－公路日常养护工程（包括农村公路）</t>
  </si>
  <si>
    <t>区管委会2014第3次主任办公会议纪要、区交建局2017年第12次局务扩大会议纪要、区交建局2017年第13次局务扩大会议纪要</t>
  </si>
  <si>
    <t>委托福建省高速公路养护工程有限公司对已通车的路面进行日常保洁、路面小修、桥梁经常性维护、涵洞维护、隧道维护、路基维护、排水系统维护、交安设施维护、数据更新等。（包括农村公路养护及灾毁保险）</t>
  </si>
  <si>
    <t>做好平潭综合实验区通车道路养护工作，使养护管理工作专业化、规范化、提升服务质量，为社会提供“畅、安、舒、美”的行车环境。</t>
  </si>
  <si>
    <t>平潭综合实验区公路管理局－中湖养护应急基地项目</t>
  </si>
  <si>
    <t xml:space="preserve"> 平潭综合实验区规划局关于中湖养护应急基地有关事宜的意见（岚综实规[2016]180号）</t>
  </si>
  <si>
    <t xml:space="preserve"> 2017年1月至2019年12月</t>
  </si>
  <si>
    <t>本项目位于金井湾大道南侧，中湖公路站原址（建设用地位于岚城乡和北厝镇交界、跨越金井和岚城片区）。项目用地面积约9554平方米，建筑面积5994平方米、项目总投资2739.51万元。</t>
  </si>
  <si>
    <t>该项目建设是公路交通应急抢险救灾的需要，是大交通建设的需要，是控制交通建设的需要，项目建成后能更好地应对全区公路突发事件，确保公路安全畅通，确保人民生命财产安全，项目实施后具有良好的社会和经济效益</t>
  </si>
  <si>
    <t>平潭综合实验区公路管理局－海峡台营区门口道路路灯建设工程</t>
  </si>
  <si>
    <t xml:space="preserve"> 区党工委办公室文件办理通知单（编号：202）及区交通与建设局文件批阅单（2018S5937）</t>
  </si>
  <si>
    <t>本项目起点为上楼加油站旁交叉口，终点为三松再生水厂旁交叉口，里程约2公里。为满足照明需求，预计应增设灯杆高12米，灯泡亮度为250w的单叉路灯60根，项目估算造价约180万元。</t>
  </si>
  <si>
    <t>该项目建设满足海峡台对于门口道路（X168)安全性的要求，达到方便部队及周边群众的通行目标。</t>
  </si>
  <si>
    <t>平潭综合实验区公路管理局－绿化养护</t>
  </si>
  <si>
    <t>区管委会2014年第13次主任办公会议纪要、区管委会2016年第19次主任办化会议纪要、区管委会2018年第1次主任办公会议纪要</t>
  </si>
  <si>
    <t>负责环岛公路、坛西大道、金井湾大道等国省道共计2008767.5㎡道路绿化的日常绿化管理养护（包含绿化浇灌、施肥、中耕、除草、修剪、整形、植物保护、补植、抗灾防台、绿地及行道树保护、卫生保洁等工作）。</t>
  </si>
  <si>
    <t>利用环境生态学原理，规划、建设和管理城市，进一步完善城市绿地系统，有效防止和减少大气污染、水污染、土壤污染、噪音污染和各种废弃物，实施清洁生产、绿色交通、绿色建筑，促进城市中人与自然和谐，使环境更加清洁、安全、优美、舒适。</t>
  </si>
  <si>
    <t>平潭综合实验区公路管理局－麒麟大道连接石牌洋风景区（X1608）道路改造应急工程</t>
  </si>
  <si>
    <t>《平潭综合实验区交通与建设局关于麒麟大道连接石牌洋风景区（X1608）道路改造应急工程有关事项的请示》（岚交建综合[2018]110号）</t>
  </si>
  <si>
    <t xml:space="preserve"> 2018年9月至2019年10月</t>
  </si>
  <si>
    <t>本项目起点位于麒麟大道西段，终点接镇镇有干线通石牌洋支线 (X1608)，里程约3.95公里，其中：K0+000-K1+000加铺为水泥混凝土路面，宽度6.5米,K1+000-K3+850路段水泥混凝土路面进行路域整治，宽度4米， K3+850-K3+950路段增设涵洞及平面交叉口，同时对城先线进行路域整治约5公里。</t>
  </si>
  <si>
    <t>公共租赁住房后期运营管理经费</t>
  </si>
  <si>
    <t>《平潭综合实验区管委会2017年第11次主任办公会议纪要》、《平潭综合实验区公共租赁住房运营管理实施细则》（岚综管办〔2017〕166号）</t>
  </si>
  <si>
    <t>各公共租赁住房小区业主单位负责后期运营管理工作，包括从暂未配租空置公共租赁房物业管理费、日常维修费用、日常管理费用、其他费用等四项内容。</t>
  </si>
  <si>
    <t>做好平潭综合实验区公共租赁住房后期运营管理工作，确保我区公共租赁住房后期运营工作有序开展，最大程度的维护广大住房困难群体的合法权益。</t>
  </si>
  <si>
    <t>公园及设施养护管理</t>
  </si>
  <si>
    <t>专题会议纪要(2014)165号、区交建局会议纪要(2017)6号</t>
  </si>
  <si>
    <t>对全区公园进行日常管理、设施维护、公园保洁、安全巡查、公园内绿化养护等</t>
  </si>
  <si>
    <t>做好平潭综合实验区公园管理工作，使公园管理工作更加专业化，规范化，提高服务质量，为优化我区公共服务、增强市民幸福感贡献力量。</t>
  </si>
  <si>
    <t>路灯养护</t>
  </si>
  <si>
    <t>招标编号：ZFCG-2014-139、 管委会专题会议纪要〔2017〕204号</t>
  </si>
  <si>
    <t>2018年1月1日至2019年12月31日</t>
  </si>
  <si>
    <t>道路路灯、箱变及相关电力附属设施、挂壁路灯等进行日常管理维护及改造</t>
  </si>
  <si>
    <t>做好路灯维护工作，使维护工作更加专业化、规划化，提高服务质量，为城市美观，行人和车辆出行安全贡献力量</t>
  </si>
  <si>
    <t>绿化养护</t>
  </si>
  <si>
    <t>区管委会专题会议纪要[2016]3号会议纪要、延期请示材料及批示</t>
  </si>
  <si>
    <t>市政道路绿化及附属绿化养护管理（包括绿化浇灌、施肥、中耕除草、修剪整形、植物保护、补植、绿地及行道树保护、卫生保洁等工作）</t>
  </si>
  <si>
    <t>利用植物及生态环境保护机制，管理市政道路及附属绿地，进一步完善城市绿地系统，减少大气污染、保持绿化景观的美化、促进人与自然和谐，使城市绿地环境更加清洁、安全、美丽、舒适。</t>
  </si>
  <si>
    <t>全区污水配套设施营运维护管理</t>
  </si>
  <si>
    <t>岚综公用事业函〔2018〕10号关于下达全区市政道路管网维护任务的函
岚综公用事业函〔2018〕57号关于先行接管维护东万路、岚城六路等30条市政道路管网的通知</t>
  </si>
  <si>
    <t>对旧城区、岚城片区、澳前片区、流水片区、金井湾片区的市政道路排水管网养护，岚城再水水厂、玉道再生水厂、金井湾1井、2井配套泵站、三松水厂配套泵站、离岛污水处理设施、部分乡镇需移交污水处理设施，污理外运处置费，东溪末端湿地运营维护等</t>
  </si>
  <si>
    <t>科学化管理全区泵站，提升污水收集率，有利于提高生态环境质量。
建立排水管网数据库，致力于打造排水管网的智能化管理，确保排水畅通。</t>
  </si>
  <si>
    <t>市政道路日常养护（含公交候车亭）</t>
  </si>
  <si>
    <t>保障已移交的道路养护及公交候车亭养护</t>
  </si>
  <si>
    <t>市政道路及其附属设施、公交候车亭等进行日常管理维护（包括道路巡查、日常养护等工作）</t>
  </si>
  <si>
    <t>做好市政道路及附属设施、公交候车亭等管理维护工作，提高服务质量，优化我区公共服务。</t>
  </si>
  <si>
    <t>市政应急抢险工程</t>
  </si>
  <si>
    <t>保障对损坏的设施及时进行抢修，消除安全隐患</t>
  </si>
  <si>
    <t>路灯、市政道路、园林、公交站台等市政设施大中修，台风、暴雨等自然灾害造成市政设施损毁应急抢险及区管委会临时下达的应急抢险工程</t>
  </si>
  <si>
    <t>做好应急抢险工程，消除安全隐患，保证公众出行安全</t>
  </si>
  <si>
    <t>预安排城关路灯电费支出</t>
  </si>
  <si>
    <t>负责全区路灯及管廊变压器配电工程</t>
  </si>
  <si>
    <t>做好路灯后期电费缴费，保障路灯夜间进行正常运行，为城市美观，行人和车辆出行安全贡献力量。</t>
  </si>
  <si>
    <t>存量地下综合管廊养护工程</t>
  </si>
  <si>
    <t>区交建局专题会议纪要[2018]57号区城投集团重点项目专题协调会纪要、关于维护全区已建综合管廊（含电力隧道）的通知岚公用事业[2018]53号</t>
  </si>
  <si>
    <t>委托区管廊公司对全区存量管廊及其附属设施养护管理（包括管廊内外部巡查、保洁、管廊内部机电系统维护、抗灾防台、入廊管线管理等工作）</t>
  </si>
  <si>
    <t>利用智能化地下综合管廊管理系统，管理地下综合管廊及入廊管线，解决反复开挖路面、架空线网密集、管线事故频发等问题，有利于保障城市安全、完善城市功能、美化城市景观、促进城市集约高效和转型发展，有利于提高城市综合承载能力和城镇化发展质量。</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</si>
  <si>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</si>
  <si>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</si>
  <si>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2019年度部门业务费绩效目标表</t>
  </si>
  <si>
    <t>填报单位:（盖章）</t>
  </si>
  <si>
    <t>总体目标</t>
  </si>
  <si>
    <t>保障局机关日常工作正常运行，主要包括局机关在职人员88人工资福利保障、50名退休人员退休福利保障、11个业务处室日常办公用品消耗、专项业务有效开展等。</t>
  </si>
  <si>
    <t xml:space="preserve">绩效目标  </t>
  </si>
  <si>
    <t>指标</t>
  </si>
  <si>
    <t>绩效内容</t>
  </si>
  <si>
    <t>全年绩效目标值</t>
  </si>
  <si>
    <t xml:space="preserve">投入 </t>
  </si>
  <si>
    <t>目标1：人员经费总增长率</t>
  </si>
  <si>
    <t xml:space="preserve">不超过0%
</t>
  </si>
  <si>
    <t>目标2：公用经费增长率（含专项业务费）</t>
  </si>
  <si>
    <t>目标3：预算完成率</t>
  </si>
  <si>
    <t>产出</t>
  </si>
  <si>
    <t>目标1：业务费细化率</t>
  </si>
  <si>
    <t>目标2：保障对象情况（范围、项目数、人数等）</t>
  </si>
  <si>
    <t>保障在职工作人员88人，退休人员50人</t>
  </si>
  <si>
    <t>目标3：政府采购、购买服务执行情况</t>
  </si>
  <si>
    <t>完成采购预算</t>
  </si>
  <si>
    <t>效益</t>
  </si>
  <si>
    <t>目标1：服务对象满意度情况</t>
  </si>
  <si>
    <t>局机关人员满意度95%以上</t>
  </si>
  <si>
    <t>备注：按部门预算批复的绩效目标表填写本表中的相应内容（按规定不宜公开部分除外）。</t>
  </si>
  <si>
    <t>保障单位日常工作正常运行</t>
  </si>
  <si>
    <t>零增长</t>
  </si>
  <si>
    <t>35人</t>
  </si>
  <si>
    <t>平潭综合实验区人民防空办公室</t>
  </si>
  <si>
    <t>保障人防办工作正常运行</t>
  </si>
  <si>
    <t xml:space="preserve">不超过30%
</t>
  </si>
  <si>
    <t>7人二个项目</t>
  </si>
  <si>
    <t>填报单位:（盖章）平潭综合实验区建设工程造价管理站</t>
  </si>
  <si>
    <t>不超过标准</t>
  </si>
  <si>
    <t>9人</t>
  </si>
  <si>
    <t>平潭综合实验区邮政发展中心</t>
  </si>
  <si>
    <t>履行单位职责，积极开展业务活动</t>
  </si>
  <si>
    <t>2人</t>
  </si>
  <si>
    <t>平潭综合实验区环境卫生管理所</t>
  </si>
  <si>
    <t>2019年部门预算安排人员经费937.65万元，对个人和家庭的补助69.22万元，公用经费54.08万元，专项业务费115万元</t>
  </si>
  <si>
    <t>较去年增长</t>
  </si>
  <si>
    <t>≥90%</t>
  </si>
  <si>
    <t>全所工作人员88人</t>
  </si>
  <si>
    <t>符合政府采购法</t>
  </si>
  <si>
    <t>≥95%</t>
  </si>
  <si>
    <t>不低于100%</t>
  </si>
  <si>
    <t>全中心38人</t>
  </si>
  <si>
    <t>100%合规</t>
  </si>
  <si>
    <t>不低于90%</t>
  </si>
  <si>
    <t>障局机关日常工作正常运行，主要包括财政划拨事业编制6人（其中2人工资待遇参公）、临时工程技术人员1人、区路长办人员10人及区路长办专项业务费10万元。</t>
  </si>
  <si>
    <t>不超过432%</t>
  </si>
  <si>
    <t>不超过0%</t>
  </si>
  <si>
    <t>不超过7.94%</t>
  </si>
  <si>
    <t>不增长</t>
  </si>
  <si>
    <t>保障在职工作人员12人</t>
  </si>
  <si>
    <t>平潭综合实验区地震办公室</t>
  </si>
  <si>
    <t>贯彻国家有关防震减灾法律法规和方针政策；负责管理地震监测预警、灾害预防、地震应急与救援三大工作体系。</t>
  </si>
  <si>
    <t>3人</t>
  </si>
  <si>
    <t>附表3-12</t>
  </si>
  <si>
    <t>2019年度专项资金绩效目标表</t>
  </si>
  <si>
    <t>立项项目名称</t>
  </si>
  <si>
    <t>概况</t>
  </si>
  <si>
    <t>南江水毁沿海岸道路修复项目是区属重点项目之一，属自然灾害水毁道路。南江澳沿岸道路修复及景观工程位于东庠乡南江码头沿岸，长499米，设计车速20公里/小时。项目总投资0.13亿元。</t>
  </si>
  <si>
    <t>目标1：东庠南江澳沿岸水毁道路修复工程项目投资</t>
  </si>
  <si>
    <t>174.64万元内</t>
  </si>
  <si>
    <t>目标2：东庠南江澳沿岸水毁道路修复工程资金使用时间</t>
  </si>
  <si>
    <t>2019年</t>
  </si>
  <si>
    <t>目标1：东庠南江澳沿岸水毁道路修复长度</t>
  </si>
  <si>
    <t>完成东庠南江澳沿岸499米水毁道路</t>
  </si>
  <si>
    <t>目标2：达到质量验收合格</t>
  </si>
  <si>
    <t>质量通过，验收合格</t>
  </si>
  <si>
    <t>目标1：按工程项目建设规划及时竣工并投入使用，符合相关要求，有效排除安全隐患，拉动经济发展，为过路人提供方便，美化村容村貌，优化自然环境。</t>
  </si>
  <si>
    <t>较好地达到相关要求，排除不必要的安全隐患</t>
  </si>
  <si>
    <t>目标2：东庠南江澳沿岸水毁道路修复工程受益群众满意度</t>
  </si>
  <si>
    <t>95%以上</t>
  </si>
  <si>
    <t>目标1：力争完成4座码头主体工程。</t>
  </si>
  <si>
    <t>力争2019年12月份完成4座码头主体工程。</t>
  </si>
  <si>
    <t>目标2：严格控制建设成本，力争不突破计划，预算数　</t>
  </si>
  <si>
    <t>不超过800万</t>
  </si>
  <si>
    <t>目标3：配备相关的专业技术人员</t>
  </si>
  <si>
    <t>配备相关的专业技术人员5人以上</t>
  </si>
  <si>
    <t>目标1：力争完成田下码头、钱便澳、马腿码头、石牌洋码头</t>
  </si>
  <si>
    <t>力争完成田下码头、钱便澳、马腿码头、石牌洋码头</t>
  </si>
  <si>
    <t>质量达到行业标准水平</t>
  </si>
  <si>
    <t>目标1：保障岛内交通顺利进行，项目完成后，将实现海陆联运。</t>
  </si>
  <si>
    <t>解决岛内外群众出行困难问题，促进当地经济发展。</t>
  </si>
  <si>
    <t>目标2：达到人与自然共和谐，不出现环境污染和资源破坏现象。</t>
  </si>
  <si>
    <t>对环境污染和资源零破坏。</t>
  </si>
  <si>
    <t>目标1：年度班次</t>
  </si>
  <si>
    <t>52万班</t>
  </si>
  <si>
    <t>目标2：年度车辆投入</t>
  </si>
  <si>
    <t>新增70辆</t>
  </si>
  <si>
    <t>目标1：年度运量</t>
  </si>
  <si>
    <t>905万人次</t>
  </si>
  <si>
    <t>目标2：公交管理</t>
  </si>
  <si>
    <t>智能化调度</t>
  </si>
  <si>
    <t>目标1：增加企业收入</t>
  </si>
  <si>
    <t>包车及广告增加</t>
  </si>
  <si>
    <t>目标2：尾气排放</t>
  </si>
  <si>
    <t>低碳、环保、零排放</t>
  </si>
  <si>
    <t>目标1：资金使用时间</t>
  </si>
  <si>
    <t>2019年内</t>
  </si>
  <si>
    <t>目标2：资金投入</t>
  </si>
  <si>
    <t>147万元以内</t>
  </si>
  <si>
    <t>目标1：污水处理数量</t>
  </si>
  <si>
    <t>大于1230吨</t>
  </si>
  <si>
    <t>目标2：污水处理质量</t>
  </si>
  <si>
    <t>出水水质基本达1级B标准</t>
  </si>
  <si>
    <t>目标1：美化环境</t>
  </si>
  <si>
    <t>减少污水污染，美化环境</t>
  </si>
  <si>
    <t>目标2：考核对象满意度</t>
  </si>
  <si>
    <t>基本满足省住建厅考核要求</t>
  </si>
  <si>
    <t>30万元内</t>
  </si>
  <si>
    <t>目标1：广告数量</t>
  </si>
  <si>
    <t>全区户外广告达到180-200处，店招牌约700-800余处。</t>
  </si>
  <si>
    <t>目标2：广告质量</t>
  </si>
  <si>
    <t>广告质量基本满足《2017年平潭综合实验区深化“三减二化一提升”改革创新六项措施》文件要求。</t>
  </si>
  <si>
    <t>目标1：满意度</t>
  </si>
  <si>
    <t>3800万元内</t>
  </si>
  <si>
    <t>大于2336万吨</t>
  </si>
  <si>
    <t>出水水质基本达1级A标准</t>
  </si>
  <si>
    <t>目标1：减少污水污染程度</t>
  </si>
  <si>
    <t>基本减少污水污染</t>
  </si>
  <si>
    <t>目标2：满足省住建厅污水厂考核程度</t>
  </si>
  <si>
    <t>优秀</t>
  </si>
  <si>
    <t>80万元内</t>
  </si>
  <si>
    <t>目标1：完成报告数量</t>
  </si>
  <si>
    <t>完成相关报告3份</t>
  </si>
  <si>
    <t>目标2：完成报告质量</t>
  </si>
  <si>
    <t>1.完成《平潭综合实验区住房发展规划（2018-2022）》文本；2.完成《平潭综合实验区房地产市场发展与规划研究》报告基本符合行业标准要求</t>
  </si>
  <si>
    <t>2019年度内</t>
  </si>
  <si>
    <t>90万元内</t>
  </si>
  <si>
    <t>目标1：按照每季度每个项目至少一次进行抽查抽测</t>
  </si>
  <si>
    <t>合格</t>
  </si>
  <si>
    <t>目标1：服务对象满意度目标</t>
  </si>
  <si>
    <t>目标1：完成时间</t>
  </si>
  <si>
    <t>目标2：投入资金</t>
  </si>
  <si>
    <t>不超过40万</t>
  </si>
  <si>
    <t>目标1：覆盖网点数量</t>
  </si>
  <si>
    <t>不少于70个</t>
  </si>
  <si>
    <t>目标2：验收合格</t>
  </si>
  <si>
    <t>100%合格</t>
  </si>
  <si>
    <t>目标1：保障寄递安全</t>
  </si>
  <si>
    <t>实现对寄递安全监管</t>
  </si>
  <si>
    <t>不超过15万</t>
  </si>
  <si>
    <t>目标1：出动检查人次</t>
  </si>
  <si>
    <t>不少于300人次</t>
  </si>
  <si>
    <t>目标2：检查覆盖率</t>
  </si>
  <si>
    <t>目标1：群众满意度</t>
  </si>
  <si>
    <t>目标1：资金拨付时间</t>
  </si>
  <si>
    <t>2019年12月之前</t>
  </si>
  <si>
    <t>目标2：预算投入</t>
  </si>
  <si>
    <t>2000万元之内</t>
  </si>
  <si>
    <t>目标1：垃圾焚烧厂</t>
  </si>
  <si>
    <t>1个垃圾焚烧厂</t>
  </si>
  <si>
    <t>目标2：按相关要求符合营运管理各项指标</t>
  </si>
  <si>
    <t>验收合格</t>
  </si>
  <si>
    <t>目标1：为公民提供良好的生活环境，提高群众幸福感</t>
  </si>
  <si>
    <t>达到城市环境要求</t>
  </si>
  <si>
    <t>目标2：服务对象问卷调查</t>
  </si>
  <si>
    <t>90%以上</t>
  </si>
  <si>
    <t>300万元之内</t>
  </si>
  <si>
    <t>目标1：片区数</t>
  </si>
  <si>
    <t>1个</t>
  </si>
  <si>
    <t>目标2：为公民提供良好的生活环境，提高群众幸福感</t>
  </si>
  <si>
    <t>目标1：符合宜居宜业要求</t>
  </si>
  <si>
    <t>达到生态要求</t>
  </si>
  <si>
    <t>80万元之内</t>
  </si>
  <si>
    <t>目标1：平台数</t>
  </si>
  <si>
    <t>1个监管平台</t>
  </si>
  <si>
    <t>180万元之内</t>
  </si>
  <si>
    <t>目标1：乡镇数</t>
  </si>
  <si>
    <t>15个</t>
  </si>
  <si>
    <t>240万元之内</t>
  </si>
  <si>
    <t>目标1：户数</t>
  </si>
  <si>
    <t>2000户</t>
  </si>
  <si>
    <t>378万元之内</t>
  </si>
  <si>
    <t>4个离岛乡镇</t>
  </si>
  <si>
    <t>30万之内</t>
  </si>
  <si>
    <t>目标1：取水泵房数</t>
  </si>
  <si>
    <t>1个水泵房</t>
  </si>
  <si>
    <t>16万之内</t>
  </si>
  <si>
    <t>目标1：补偿村庄数</t>
  </si>
  <si>
    <t>3个村庄</t>
  </si>
  <si>
    <t>目标2：按相关要求符合补偿标准，资金及时发放情况</t>
  </si>
  <si>
    <t>按标准及时足额发放</t>
  </si>
  <si>
    <t>6919万之内</t>
  </si>
  <si>
    <t>4个</t>
  </si>
  <si>
    <t>目标2：金井湾片区道路保洁面积数</t>
  </si>
  <si>
    <t>461389.5平方米</t>
  </si>
  <si>
    <t>目标1：项目资金使用时间</t>
  </si>
  <si>
    <t>目标2：每年投入管理资金</t>
  </si>
  <si>
    <t>不高于300万元</t>
  </si>
  <si>
    <t>目标1：全区公租房管理</t>
  </si>
  <si>
    <t>不低于4332套</t>
  </si>
  <si>
    <t>目标2：潭综合实验区管委会2017年第11次主任办公会议纪要》和《平潭综合实验区公共租赁住房运营管理实施细则》（岚综管办〔2017〕166号）文件规定保质保量的完成</t>
  </si>
  <si>
    <t>不低于80分</t>
  </si>
  <si>
    <t>目标1：提高各公共租赁住房小区物业管理整体水平，解决住房困难群众。</t>
  </si>
  <si>
    <t>目标2：住房困难群体住的安舒适、满意</t>
  </si>
  <si>
    <t>目标1：公园设施养护资金使用时间</t>
  </si>
  <si>
    <t>目标2：每年投入养护资金</t>
  </si>
  <si>
    <t>不高于500万元</t>
  </si>
  <si>
    <t>目标1：完成公园养护管理</t>
  </si>
  <si>
    <t>不少于11座</t>
  </si>
  <si>
    <t>目标2：按交建局平潭综合实验区公园管理养护管理考核办法</t>
  </si>
  <si>
    <t>合格分90分</t>
  </si>
  <si>
    <t>目标1：提高公园的安全、舒适、整洁的休闲健身环境</t>
  </si>
  <si>
    <t>安全、整洁率90%</t>
  </si>
  <si>
    <t>目标2：群众出行安全便捷</t>
  </si>
  <si>
    <t>目标1：道路路灯管理养护资金使用时间</t>
  </si>
  <si>
    <t>不高于900万元</t>
  </si>
  <si>
    <t>目标1：道路路灯维护</t>
  </si>
  <si>
    <t>目标2：提高路灯照明率</t>
  </si>
  <si>
    <t>照明率95%</t>
  </si>
  <si>
    <t>目标1：保证夜间市民出行的安全、舒适、便捷</t>
  </si>
  <si>
    <t>目标2：群众出行安全便捷、身心愉悦</t>
  </si>
  <si>
    <t>目标1：道路绿化及附属绿化养护资金使用时间</t>
  </si>
  <si>
    <t>目标1：道路绿化及附属绿化养护面积和行道树</t>
  </si>
  <si>
    <t>145251平方米、5897株</t>
  </si>
  <si>
    <t>目标2：按交建局城市绿地养护管理质量评检保证保质保量的完成</t>
  </si>
  <si>
    <t>不低于90分</t>
  </si>
  <si>
    <t>目标1：提高市政道路及附属绿地清洁、安全、美丽、舒适</t>
  </si>
  <si>
    <t>目标2：市民满意度</t>
  </si>
  <si>
    <t>目标1：市政道路排水管网及其附属设施资金使用时间</t>
  </si>
  <si>
    <t>目标1：市政道路排水管网及其附属设施；各片区及乡镇共23座污水处理泵站（设施）</t>
  </si>
  <si>
    <t>管养72条市政道路排水管网；管养23座污水处理泵站（设施）</t>
  </si>
  <si>
    <t>目标2：按交建局平潭综合实验区城市道路及其附属设施维护管理考核办法</t>
  </si>
  <si>
    <t>目标1：实现雨污分流</t>
  </si>
  <si>
    <t>进一步提升城市形象</t>
  </si>
  <si>
    <t>目标2：市政道路巡查及日常维护管理工作，发现问题及时维护、处理；与应急、抢险情况及时进行处置</t>
  </si>
  <si>
    <t>用户满意度不低于90%</t>
  </si>
  <si>
    <t>目标1：市政道路日常养护资金使用时间</t>
  </si>
  <si>
    <t>不高于950万元</t>
  </si>
  <si>
    <t>目标1：市政道路及附属设施、公交亭管理维护</t>
  </si>
  <si>
    <t>养护70条市政道路，60座公交候车亭</t>
  </si>
  <si>
    <t>目标2：保证市政道路及附属设施等工程完好，消除安全隐患，确保市民通行安全。</t>
  </si>
  <si>
    <t>不低于95%</t>
  </si>
  <si>
    <t>目标1：群众出行安全、便捷、心情愉悦</t>
  </si>
  <si>
    <t>满意度90%</t>
  </si>
  <si>
    <t>目标1：项目完成时间</t>
  </si>
  <si>
    <t>目标2：每年投入应急资金</t>
  </si>
  <si>
    <t>不高于200万元</t>
  </si>
  <si>
    <t>目标1：应急抢险工程</t>
  </si>
  <si>
    <t>全区实际发生量</t>
  </si>
  <si>
    <t>目标2：按应急要求保质保量完成</t>
  </si>
  <si>
    <t>按质量标准考核</t>
  </si>
  <si>
    <t>目标1：消除安全隐患，确保市民通行安全</t>
  </si>
  <si>
    <t>出行安全率90%</t>
  </si>
  <si>
    <t>目标2：群众出行安全、便捷、心情愉悦</t>
  </si>
  <si>
    <t>目标1：预安排城关路灯电费资金使用时间</t>
  </si>
  <si>
    <t>目标1：城关路灯数量</t>
  </si>
  <si>
    <t>10265余盏</t>
  </si>
  <si>
    <t>目标1：保证夜间市民出行的安全、便捷</t>
  </si>
  <si>
    <t>目标2：群众满意度90%</t>
  </si>
  <si>
    <t>目标1：地下综合管廊及其附属设施资金使用时间</t>
  </si>
  <si>
    <t>不高于600万元</t>
  </si>
  <si>
    <t>目标1：地下综合管廊及其附属设施管理</t>
  </si>
  <si>
    <t>养护管廊长度34.75公里</t>
  </si>
  <si>
    <t>目标2：按交建局平潭综合实验区城市地下综合管廊运营维护管理考核办法</t>
  </si>
  <si>
    <t>目标1：保证地下综合管廊及入廊管线安全</t>
  </si>
  <si>
    <t>目标2：积极配合管线单位开展入廊管线的日常维护管理工作，发现问题10分钟之内通知各管线单位进行抢修；</t>
  </si>
  <si>
    <t>目标2：预算投入资金</t>
  </si>
  <si>
    <t>不超过500万元</t>
  </si>
  <si>
    <t>目标1：完成交通设施建设长度</t>
  </si>
  <si>
    <t>不少于155.84公里</t>
  </si>
  <si>
    <t>目标2：验收合格率</t>
  </si>
  <si>
    <t>目标1：提高公众安全性</t>
  </si>
  <si>
    <t>处置公路突发事件、增强公路应急抢险能力</t>
  </si>
  <si>
    <t>不高于1962.84万元</t>
  </si>
  <si>
    <t>目标1：完成含道路养护</t>
  </si>
  <si>
    <t>不低于93.457公里</t>
  </si>
  <si>
    <t>目标2：公路养护质量</t>
  </si>
  <si>
    <t>不低于750分</t>
  </si>
  <si>
    <t>目标1：群众满意度90%</t>
  </si>
  <si>
    <t>不超过800万元</t>
  </si>
  <si>
    <t>目标1：完成建设</t>
  </si>
  <si>
    <t>不少于9430.16平方米</t>
  </si>
  <si>
    <t>不超过150万元</t>
  </si>
  <si>
    <t>目标1：完成危桥改建数量</t>
  </si>
  <si>
    <t>1座桥以上</t>
  </si>
  <si>
    <t>目标2：提高公众安全出行率</t>
  </si>
  <si>
    <t>目标1：完成路灯增设长度</t>
  </si>
  <si>
    <t>不少于约2公里</t>
  </si>
  <si>
    <t>目标1：提高公众安全出行率</t>
  </si>
  <si>
    <t>强道路照明亮度，方便部队及周边群众出行</t>
  </si>
  <si>
    <t>目标1：对环岛公路、坛西大道、金井湾大道等道路绿化每年修剪的次数</t>
  </si>
  <si>
    <t>养护次数不低于12次</t>
  </si>
  <si>
    <t>不超过3344.06万元</t>
  </si>
  <si>
    <t>目标1：完成环岛公路、坛西大道、金井湾大道等道路绿化</t>
  </si>
  <si>
    <t>养护面积不低于2008767.5㎡</t>
  </si>
  <si>
    <t>目标2：乔灌木存活率</t>
  </si>
  <si>
    <t>目标2：提升城市形象</t>
  </si>
  <si>
    <t>大幅度提升城市形象</t>
  </si>
  <si>
    <t>不超过200万元</t>
  </si>
  <si>
    <t>目标1：完成道路改造长度</t>
  </si>
  <si>
    <t>不少于8.95公里</t>
  </si>
  <si>
    <t>目标2：共建经费投入</t>
  </si>
  <si>
    <t>不超过30万</t>
  </si>
  <si>
    <t>目标1：综合服务平台渠道</t>
  </si>
  <si>
    <t>4种</t>
  </si>
  <si>
    <t>目标2：平台正常运行率</t>
  </si>
  <si>
    <t>目标1：缴存职工满意度</t>
  </si>
  <si>
    <t>不低于80%</t>
  </si>
  <si>
    <t>不超过86万</t>
  </si>
  <si>
    <t>目标1：完成避难场所数</t>
  </si>
  <si>
    <t>10个</t>
  </si>
  <si>
    <t>目标2：工程质量</t>
  </si>
  <si>
    <t>目标1：实现我区各乡镇、人口密集区地震应急避难场所全覆盖</t>
  </si>
  <si>
    <t>为群众提供避难场所</t>
  </si>
  <si>
    <t>目标2：群众满意度</t>
  </si>
  <si>
    <t>不超过20万</t>
  </si>
  <si>
    <t>目标1：维修数量</t>
  </si>
  <si>
    <t>17个</t>
  </si>
  <si>
    <t>目标2：实现我区各乡镇、人口密集区地震应急避难场所全覆盖</t>
  </si>
  <si>
    <t>保障群众生命财产安全</t>
  </si>
  <si>
    <t>不超过19.24万</t>
  </si>
  <si>
    <t>目标1：维护单位数</t>
  </si>
  <si>
    <t>2家</t>
  </si>
  <si>
    <t>目标2：救援设备维护情况</t>
  </si>
  <si>
    <t>目标1：保障救援设备正常运行</t>
  </si>
  <si>
    <t>保护生命财产安全</t>
  </si>
  <si>
    <t>不超过10万</t>
  </si>
  <si>
    <t>目标1：演练宣传次数</t>
  </si>
  <si>
    <t>2次</t>
  </si>
  <si>
    <t>目标2：宣传演练</t>
  </si>
  <si>
    <t>按时举行</t>
  </si>
  <si>
    <t>目标1：宣传抗震救灾</t>
  </si>
  <si>
    <t>提高市民应急避难意识</t>
  </si>
</sst>
</file>

<file path=xl/styles.xml><?xml version="1.0" encoding="utf-8"?>
<styleSheet xmlns="http://schemas.openxmlformats.org/spreadsheetml/2006/main">
  <numFmts count="24">
    <numFmt numFmtId="176" formatCode="_-* #,##0.00_-;\-* #,##0.00_-;_-* &quot;-&quot;??_-;_-@_-"/>
    <numFmt numFmtId="43" formatCode="_ * #,##0.00_ ;_ * \-#,##0.00_ ;_ * &quot;-&quot;??_ ;_ @_ "/>
    <numFmt numFmtId="177" formatCode="_-\¥* #,##0_-;\-\¥* #,##0_-;_-\¥* &quot;-&quot;_-;_-@_-"/>
    <numFmt numFmtId="178" formatCode="0_ "/>
    <numFmt numFmtId="42" formatCode="_ &quot;￥&quot;* #,##0_ ;_ &quot;￥&quot;* \-#,##0_ ;_ &quot;￥&quot;* &quot;-&quot;_ ;_ @_ "/>
    <numFmt numFmtId="179" formatCode="_ \¥* #,##0.00_ ;_ \¥* \-#,##0.00_ ;_ \¥* &quot;-&quot;??_ ;_ @_ "/>
    <numFmt numFmtId="44" formatCode="_ &quot;￥&quot;* #,##0.00_ ;_ &quot;￥&quot;* \-#,##0.00_ ;_ &quot;￥&quot;* &quot;-&quot;??_ ;_ @_ "/>
    <numFmt numFmtId="180" formatCode="#,##0.00_ "/>
    <numFmt numFmtId="41" formatCode="_ * #,##0_ ;_ * \-#,##0_ ;_ * &quot;-&quot;_ ;_ @_ "/>
    <numFmt numFmtId="181" formatCode="0.0"/>
    <numFmt numFmtId="182" formatCode="\$#,##0;\(\$#,##0\)"/>
    <numFmt numFmtId="183" formatCode="#,##0.0"/>
    <numFmt numFmtId="184" formatCode="_-* #,##0.0000_-;\-* #,##0.0000_-;_-* &quot;-&quot;??_-;_-@_-"/>
    <numFmt numFmtId="185" formatCode="\$#,##0.00;\(\$#,##0.00\)"/>
    <numFmt numFmtId="186" formatCode="_-&quot;$&quot;* #,##0_-;\-&quot;$&quot;* #,##0_-;_-&quot;$&quot;* &quot;-&quot;_-;_-@_-"/>
    <numFmt numFmtId="187" formatCode="#,##0;\(#,##0\)"/>
    <numFmt numFmtId="188" formatCode="_(&quot;$&quot;* #,##0.00_);_(&quot;$&quot;* \(#,##0.00\);_(&quot;$&quot;* &quot;-&quot;??_);_(@_)"/>
    <numFmt numFmtId="189" formatCode="#,##0;\-#,##0;&quot;-&quot;"/>
    <numFmt numFmtId="190" formatCode="_(* #,##0.00_);_(* \(#,##0.00\);_(* &quot;-&quot;??_);_(@_)"/>
    <numFmt numFmtId="191" formatCode="#,##0.000_ "/>
    <numFmt numFmtId="192" formatCode="_-* #,##0_-;\-* #,##0_-;_-* &quot;-&quot;_-;_-@_-"/>
    <numFmt numFmtId="193" formatCode="0.00_ "/>
    <numFmt numFmtId="194" formatCode="0.00_);\(0.00\)"/>
    <numFmt numFmtId="195" formatCode="* #,##0.0;* \-#,##0.0;* &quot;&quot;??;@"/>
  </numFmts>
  <fonts count="79">
    <font>
      <sz val="12"/>
      <name val="宋体"/>
      <charset val="134"/>
    </font>
    <font>
      <sz val="12"/>
      <color theme="1"/>
      <name val="宋体"/>
      <charset val="134"/>
      <scheme val="minor"/>
    </font>
    <font>
      <sz val="16"/>
      <name val="方正小标宋_GBK"/>
      <charset val="134"/>
    </font>
    <font>
      <b/>
      <sz val="11"/>
      <color theme="1"/>
      <name val="宋体"/>
      <charset val="134"/>
    </font>
    <font>
      <sz val="11"/>
      <color theme="1"/>
      <name val="方正小标宋简体"/>
      <charset val="134"/>
    </font>
    <font>
      <sz val="11"/>
      <color theme="1"/>
      <name val="宋体"/>
      <charset val="134"/>
    </font>
    <font>
      <sz val="11"/>
      <name val="华文楷体"/>
      <charset val="134"/>
    </font>
    <font>
      <sz val="11"/>
      <color indexed="8"/>
      <name val="宋体"/>
      <charset val="134"/>
    </font>
    <font>
      <sz val="12"/>
      <color theme="1"/>
      <name val="宋体"/>
      <charset val="134"/>
    </font>
    <font>
      <sz val="11"/>
      <color theme="1"/>
      <name val="宋体"/>
      <charset val="134"/>
      <scheme val="minor"/>
    </font>
    <font>
      <b/>
      <sz val="11"/>
      <color theme="1"/>
      <name val="宋体"/>
      <charset val="134"/>
      <scheme val="minor"/>
    </font>
    <font>
      <sz val="12"/>
      <name val="宋体"/>
      <charset val="134"/>
      <scheme val="minor"/>
    </font>
    <font>
      <sz val="11"/>
      <name val="宋体"/>
      <charset val="134"/>
      <scheme val="minor"/>
    </font>
    <font>
      <sz val="10"/>
      <name val="宋体"/>
      <charset val="134"/>
      <scheme val="minor"/>
    </font>
    <font>
      <sz val="11"/>
      <name val="宋体"/>
      <charset val="134"/>
    </font>
    <font>
      <sz val="10"/>
      <name val="Arial"/>
      <charset val="134"/>
    </font>
    <font>
      <sz val="12"/>
      <name val="楷体_GB2312"/>
      <charset val="134"/>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0"/>
      <name val="宋体"/>
      <charset val="134"/>
    </font>
    <font>
      <sz val="10"/>
      <color indexed="0"/>
      <name val="宋体"/>
      <charset val="134"/>
    </font>
    <font>
      <sz val="11"/>
      <color indexed="8"/>
      <name val="宋体"/>
      <charset val="134"/>
      <scheme val="minor"/>
    </font>
    <font>
      <sz val="8"/>
      <name val="宋体"/>
      <charset val="134"/>
    </font>
    <font>
      <sz val="11"/>
      <name val="楷体"/>
      <charset val="134"/>
    </font>
    <font>
      <sz val="12"/>
      <color indexed="8"/>
      <name val="宋体"/>
      <charset val="134"/>
    </font>
    <font>
      <b/>
      <sz val="20"/>
      <color indexed="8"/>
      <name val="宋体"/>
      <charset val="134"/>
    </font>
    <font>
      <sz val="16"/>
      <color indexed="8"/>
      <name val="方正小标宋_GBK"/>
      <charset val="134"/>
    </font>
    <font>
      <sz val="10"/>
      <color theme="1"/>
      <name val="宋体"/>
      <charset val="134"/>
    </font>
    <font>
      <sz val="20"/>
      <name val="黑体"/>
      <charset val="134"/>
    </font>
    <font>
      <b/>
      <sz val="10"/>
      <color theme="1"/>
      <name val="宋体"/>
      <charset val="134"/>
    </font>
    <font>
      <b/>
      <sz val="11"/>
      <color indexed="63"/>
      <name val="宋体"/>
      <charset val="134"/>
    </font>
    <font>
      <b/>
      <sz val="11"/>
      <color indexed="56"/>
      <name val="宋体"/>
      <charset val="134"/>
    </font>
    <font>
      <sz val="11"/>
      <color indexed="9"/>
      <name val="宋体"/>
      <charset val="134"/>
    </font>
    <font>
      <sz val="11"/>
      <color indexed="20"/>
      <name val="宋体"/>
      <charset val="134"/>
    </font>
    <font>
      <sz val="11"/>
      <color indexed="42"/>
      <name val="宋体"/>
      <charset val="134"/>
    </font>
    <font>
      <sz val="11"/>
      <color indexed="62"/>
      <name val="宋体"/>
      <charset val="134"/>
    </font>
    <font>
      <sz val="11"/>
      <color indexed="17"/>
      <name val="宋体"/>
      <charset val="134"/>
    </font>
    <font>
      <b/>
      <sz val="18"/>
      <color indexed="62"/>
      <name val="宋体"/>
      <charset val="134"/>
    </font>
    <font>
      <b/>
      <sz val="18"/>
      <color indexed="56"/>
      <name val="宋体"/>
      <charset val="134"/>
    </font>
    <font>
      <b/>
      <sz val="15"/>
      <color indexed="62"/>
      <name val="宋体"/>
      <charset val="134"/>
    </font>
    <font>
      <b/>
      <sz val="11"/>
      <color indexed="52"/>
      <name val="宋体"/>
      <charset val="134"/>
    </font>
    <font>
      <b/>
      <sz val="11"/>
      <color indexed="42"/>
      <name val="宋体"/>
      <charset val="134"/>
    </font>
    <font>
      <b/>
      <sz val="11"/>
      <color indexed="62"/>
      <name val="宋体"/>
      <charset val="134"/>
    </font>
    <font>
      <sz val="9"/>
      <name val="宋体"/>
      <charset val="134"/>
    </font>
    <font>
      <b/>
      <sz val="13"/>
      <color indexed="56"/>
      <name val="宋体"/>
      <charset val="134"/>
    </font>
    <font>
      <sz val="11"/>
      <color indexed="10"/>
      <name val="宋体"/>
      <charset val="134"/>
    </font>
    <font>
      <sz val="11"/>
      <color indexed="52"/>
      <name val="宋体"/>
      <charset val="134"/>
    </font>
    <font>
      <b/>
      <sz val="11"/>
      <color indexed="9"/>
      <name val="宋体"/>
      <charset val="134"/>
    </font>
    <font>
      <sz val="11"/>
      <color indexed="60"/>
      <name val="宋体"/>
      <charset val="134"/>
    </font>
    <font>
      <i/>
      <sz val="11"/>
      <color indexed="23"/>
      <name val="宋体"/>
      <charset val="134"/>
    </font>
    <font>
      <u/>
      <sz val="11"/>
      <color rgb="FF0000FF"/>
      <name val="宋体"/>
      <charset val="0"/>
      <scheme val="minor"/>
    </font>
    <font>
      <u/>
      <sz val="11"/>
      <color rgb="FF800080"/>
      <name val="宋体"/>
      <charset val="0"/>
      <scheme val="minor"/>
    </font>
    <font>
      <b/>
      <sz val="15"/>
      <color indexed="56"/>
      <name val="宋体"/>
      <charset val="134"/>
    </font>
    <font>
      <b/>
      <sz val="21"/>
      <name val="楷体_GB2312"/>
      <charset val="134"/>
    </font>
    <font>
      <sz val="12"/>
      <name val="Helv"/>
      <charset val="134"/>
    </font>
    <font>
      <sz val="12"/>
      <color indexed="20"/>
      <name val="宋体"/>
      <charset val="134"/>
    </font>
    <font>
      <u/>
      <sz val="12"/>
      <color indexed="36"/>
      <name val="宋体"/>
      <charset val="134"/>
    </font>
    <font>
      <u/>
      <sz val="12"/>
      <color indexed="12"/>
      <name val="宋体"/>
      <charset val="134"/>
    </font>
    <font>
      <b/>
      <sz val="18"/>
      <name val="Arial"/>
      <charset val="134"/>
    </font>
    <font>
      <sz val="9"/>
      <color indexed="8"/>
      <name val="宋体"/>
      <charset val="134"/>
    </font>
    <font>
      <b/>
      <sz val="12"/>
      <name val="Arial"/>
      <charset val="134"/>
    </font>
    <font>
      <b/>
      <sz val="18"/>
      <color theme="3"/>
      <name val="宋体"/>
      <charset val="134"/>
      <scheme val="major"/>
    </font>
    <font>
      <b/>
      <sz val="11"/>
      <color indexed="54"/>
      <name val="宋体"/>
      <charset val="134"/>
    </font>
    <font>
      <sz val="7"/>
      <name val="Small Fonts"/>
      <charset val="134"/>
    </font>
    <font>
      <sz val="12"/>
      <name val="Courier"/>
      <charset val="134"/>
    </font>
    <font>
      <sz val="12"/>
      <name val="Arial"/>
      <charset val="134"/>
    </font>
    <font>
      <b/>
      <sz val="13"/>
      <color indexed="62"/>
      <name val="宋体"/>
      <charset val="134"/>
    </font>
    <font>
      <b/>
      <sz val="15"/>
      <color indexed="54"/>
      <name val="宋体"/>
      <charset val="134"/>
    </font>
    <font>
      <b/>
      <sz val="13"/>
      <color indexed="54"/>
      <name val="宋体"/>
      <charset val="134"/>
    </font>
    <font>
      <sz val="10"/>
      <name val="Times New Roman"/>
      <charset val="134"/>
    </font>
    <font>
      <sz val="10"/>
      <color indexed="8"/>
      <name val="Arial"/>
      <charset val="134"/>
    </font>
    <font>
      <sz val="18"/>
      <color indexed="54"/>
      <name val="宋体"/>
      <charset val="134"/>
    </font>
    <font>
      <sz val="8"/>
      <name val="Times New Roman"/>
      <charset val="134"/>
    </font>
    <font>
      <sz val="12"/>
      <color indexed="17"/>
      <name val="宋体"/>
      <charset val="134"/>
    </font>
    <font>
      <sz val="10"/>
      <name val="MS Sans Serif"/>
      <charset val="134"/>
    </font>
    <font>
      <sz val="12"/>
      <name val="奔覆眉"/>
      <charset val="134"/>
    </font>
  </fonts>
  <fills count="29">
    <fill>
      <patternFill patternType="none"/>
    </fill>
    <fill>
      <patternFill patternType="gray125"/>
    </fill>
    <fill>
      <patternFill patternType="solid">
        <fgColor theme="0"/>
        <bgColor indexed="64"/>
      </patternFill>
    </fill>
    <fill>
      <patternFill patternType="solid">
        <fgColor indexed="1"/>
        <bgColor indexed="64"/>
      </patternFill>
    </fill>
    <fill>
      <patternFill patternType="solid">
        <fgColor rgb="FFFFFF00"/>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10"/>
        <bgColor indexed="64"/>
      </patternFill>
    </fill>
    <fill>
      <patternFill patternType="solid">
        <fgColor indexed="42"/>
        <bgColor indexed="64"/>
      </patternFill>
    </fill>
    <fill>
      <patternFill patternType="solid">
        <fgColor indexed="51"/>
        <bgColor indexed="64"/>
      </patternFill>
    </fill>
    <fill>
      <patternFill patternType="solid">
        <fgColor indexed="57"/>
        <bgColor indexed="64"/>
      </patternFill>
    </fill>
    <fill>
      <patternFill patternType="solid">
        <fgColor indexed="49"/>
        <bgColor indexed="64"/>
      </patternFill>
    </fill>
    <fill>
      <patternFill patternType="solid">
        <fgColor indexed="22"/>
        <bgColor indexed="64"/>
      </patternFill>
    </fill>
    <fill>
      <patternFill patternType="solid">
        <fgColor indexed="29"/>
        <bgColor indexed="64"/>
      </patternFill>
    </fill>
    <fill>
      <patternFill patternType="solid">
        <fgColor indexed="44"/>
        <bgColor indexed="64"/>
      </patternFill>
    </fill>
    <fill>
      <patternFill patternType="solid">
        <fgColor indexed="62"/>
        <bgColor indexed="64"/>
      </patternFill>
    </fill>
    <fill>
      <patternFill patternType="solid">
        <fgColor indexed="31"/>
        <bgColor indexed="64"/>
      </patternFill>
    </fill>
    <fill>
      <patternFill patternType="solid">
        <fgColor indexed="52"/>
        <bgColor indexed="64"/>
      </patternFill>
    </fill>
    <fill>
      <patternFill patternType="solid">
        <fgColor indexed="36"/>
        <bgColor indexed="64"/>
      </patternFill>
    </fill>
    <fill>
      <patternFill patternType="solid">
        <fgColor indexed="26"/>
        <bgColor indexed="64"/>
      </patternFill>
    </fill>
    <fill>
      <patternFill patternType="solid">
        <fgColor indexed="27"/>
        <bgColor indexed="64"/>
      </patternFill>
    </fill>
    <fill>
      <patternFill patternType="solid">
        <fgColor indexed="43"/>
        <bgColor indexed="64"/>
      </patternFill>
    </fill>
    <fill>
      <patternFill patternType="solid">
        <fgColor indexed="11"/>
        <bgColor indexed="64"/>
      </patternFill>
    </fill>
    <fill>
      <patternFill patternType="solid">
        <fgColor indexed="55"/>
        <bgColor indexed="64"/>
      </patternFill>
    </fill>
    <fill>
      <patternFill patternType="solid">
        <fgColor indexed="30"/>
        <bgColor indexed="64"/>
      </patternFill>
    </fill>
    <fill>
      <patternFill patternType="solid">
        <fgColor indexed="46"/>
        <bgColor indexed="64"/>
      </patternFill>
    </fill>
    <fill>
      <patternFill patternType="solid">
        <fgColor indexed="53"/>
        <bgColor indexed="64"/>
      </patternFill>
    </fill>
    <fill>
      <patternFill patternType="solid">
        <fgColor indexed="54"/>
        <bgColor indexed="64"/>
      </patternFill>
    </fill>
  </fills>
  <borders count="3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0"/>
      </left>
      <right style="thin">
        <color indexed="0"/>
      </right>
      <top style="thin">
        <color indexed="0"/>
      </top>
      <bottom style="thin">
        <color indexed="0"/>
      </bottom>
      <diagonal/>
    </border>
    <border>
      <left style="thin">
        <color indexed="0"/>
      </left>
      <right/>
      <top style="thin">
        <color indexed="0"/>
      </top>
      <bottom style="thin">
        <color indexed="0"/>
      </bottom>
      <diagonal/>
    </border>
    <border>
      <left/>
      <right style="thin">
        <color indexed="0"/>
      </right>
      <top style="thin">
        <color indexed="0"/>
      </top>
      <bottom style="thin">
        <color indexed="0"/>
      </bottom>
      <diagonal/>
    </border>
    <border>
      <left/>
      <right style="thin">
        <color auto="1"/>
      </right>
      <top style="thin">
        <color auto="1"/>
      </top>
      <bottom style="thin">
        <color auto="1"/>
      </bottom>
      <diagonal/>
    </border>
    <border>
      <left style="thin">
        <color indexed="0"/>
      </left>
      <right style="thin">
        <color indexed="0"/>
      </right>
      <top style="thin">
        <color indexed="0"/>
      </top>
      <bottom/>
      <diagonal/>
    </border>
    <border>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style="double">
        <color indexed="63"/>
      </left>
      <right style="double">
        <color indexed="63"/>
      </right>
      <top style="double">
        <color indexed="63"/>
      </top>
      <bottom style="double">
        <color indexed="63"/>
      </bottom>
      <diagonal/>
    </border>
    <border>
      <left/>
      <right/>
      <top/>
      <bottom style="medium">
        <color indexed="49"/>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right/>
      <top style="thin">
        <color indexed="49"/>
      </top>
      <bottom style="double">
        <color indexed="49"/>
      </bottom>
      <diagonal/>
    </border>
    <border>
      <left/>
      <right/>
      <top style="medium">
        <color auto="1"/>
      </top>
      <bottom style="medium">
        <color auto="1"/>
      </bottom>
      <diagonal/>
    </border>
    <border>
      <left/>
      <right/>
      <top/>
      <bottom style="medium">
        <color indexed="44"/>
      </bottom>
      <diagonal/>
    </border>
    <border>
      <left/>
      <right/>
      <top style="thin">
        <color auto="1"/>
      </top>
      <bottom style="double">
        <color auto="1"/>
      </bottom>
      <diagonal/>
    </border>
    <border>
      <left/>
      <right/>
      <top/>
      <bottom style="thick">
        <color indexed="44"/>
      </bottom>
      <diagonal/>
    </border>
  </borders>
  <cellStyleXfs count="4999">
    <xf numFmtId="0" fontId="0" fillId="0" borderId="0">
      <alignment vertical="center"/>
    </xf>
    <xf numFmtId="42" fontId="9" fillId="0" borderId="0" applyFont="0" applyFill="0" applyBorder="0" applyAlignment="0" applyProtection="0">
      <alignment vertical="center"/>
    </xf>
    <xf numFmtId="0" fontId="7" fillId="9" borderId="0" applyNumberFormat="0" applyBorder="0" applyAlignment="0" applyProtection="0">
      <alignment vertical="center"/>
    </xf>
    <xf numFmtId="0" fontId="7" fillId="6" borderId="0" applyNumberFormat="0" applyBorder="0" applyAlignment="0" applyProtection="0">
      <alignment vertical="center"/>
    </xf>
    <xf numFmtId="0" fontId="35" fillId="12" borderId="0" applyNumberFormat="0" applyBorder="0" applyAlignment="0" applyProtection="0">
      <alignment vertical="center"/>
    </xf>
    <xf numFmtId="0" fontId="0" fillId="0" borderId="0"/>
    <xf numFmtId="0" fontId="35" fillId="8" borderId="0" applyNumberFormat="0" applyBorder="0" applyAlignment="0" applyProtection="0">
      <alignment vertical="center"/>
    </xf>
    <xf numFmtId="0" fontId="0" fillId="0" borderId="0"/>
    <xf numFmtId="0" fontId="38" fillId="6" borderId="18" applyNumberFormat="0" applyAlignment="0" applyProtection="0">
      <alignment vertical="center"/>
    </xf>
    <xf numFmtId="0" fontId="0" fillId="0" borderId="0"/>
    <xf numFmtId="0" fontId="0" fillId="0" borderId="0"/>
    <xf numFmtId="0" fontId="0" fillId="0" borderId="0"/>
    <xf numFmtId="44" fontId="9" fillId="0" borderId="0" applyFont="0" applyFill="0" applyBorder="0" applyAlignment="0" applyProtection="0">
      <alignment vertical="center"/>
    </xf>
    <xf numFmtId="0" fontId="0" fillId="0" borderId="0"/>
    <xf numFmtId="0" fontId="7" fillId="0" borderId="0">
      <alignment vertical="center"/>
    </xf>
    <xf numFmtId="41" fontId="9" fillId="0" borderId="0" applyFont="0" applyFill="0" applyBorder="0" applyAlignment="0" applyProtection="0">
      <alignment vertical="center"/>
    </xf>
    <xf numFmtId="0" fontId="7" fillId="14" borderId="0" applyNumberFormat="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0" fillId="0" borderId="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alignment vertical="center"/>
    </xf>
    <xf numFmtId="0" fontId="0" fillId="0" borderId="0"/>
    <xf numFmtId="0" fontId="36" fillId="7" borderId="0" applyNumberFormat="0" applyBorder="0" applyAlignment="0" applyProtection="0">
      <alignment vertical="center"/>
    </xf>
    <xf numFmtId="0" fontId="7" fillId="6" borderId="0" applyNumberFormat="0" applyBorder="0" applyAlignment="0" applyProtection="0">
      <alignment vertical="center"/>
    </xf>
    <xf numFmtId="0" fontId="7" fillId="14" borderId="0" applyNumberFormat="0" applyBorder="0" applyAlignment="0" applyProtection="0">
      <alignment vertical="center"/>
    </xf>
    <xf numFmtId="0" fontId="0" fillId="0" borderId="0"/>
    <xf numFmtId="0" fontId="0" fillId="0" borderId="0">
      <alignment vertical="center"/>
    </xf>
    <xf numFmtId="0" fontId="7" fillId="20" borderId="0" applyNumberFormat="0" applyBorder="0" applyAlignment="0" applyProtection="0">
      <alignment vertical="center"/>
    </xf>
    <xf numFmtId="43" fontId="9" fillId="0" borderId="0" applyFont="0" applyFill="0" applyBorder="0" applyAlignment="0" applyProtection="0">
      <alignment vertical="center"/>
    </xf>
    <xf numFmtId="0" fontId="0" fillId="0" borderId="0">
      <alignment vertical="center"/>
    </xf>
    <xf numFmtId="0" fontId="0" fillId="0" borderId="0">
      <alignment vertical="center"/>
    </xf>
    <xf numFmtId="0" fontId="35" fillId="23"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43" fontId="0" fillId="0" borderId="0" applyFont="0" applyFill="0" applyBorder="0" applyAlignment="0" applyProtection="0">
      <alignment vertical="center"/>
    </xf>
    <xf numFmtId="0" fontId="53" fillId="0" borderId="0" applyNumberFormat="0" applyFill="0" applyBorder="0" applyAlignment="0" applyProtection="0">
      <alignment vertical="center"/>
    </xf>
    <xf numFmtId="0" fontId="7" fillId="13" borderId="0" applyNumberFormat="0" applyBorder="0" applyAlignment="0" applyProtection="0">
      <alignment vertical="center"/>
    </xf>
    <xf numFmtId="0" fontId="0" fillId="0" borderId="0">
      <alignment vertical="center"/>
    </xf>
    <xf numFmtId="9" fontId="9" fillId="0" borderId="0" applyFont="0" applyFill="0" applyBorder="0" applyAlignment="0" applyProtection="0">
      <alignment vertical="center"/>
    </xf>
    <xf numFmtId="0" fontId="0" fillId="0" borderId="0">
      <alignment vertical="center"/>
    </xf>
    <xf numFmtId="0" fontId="37" fillId="11" borderId="0" applyNumberFormat="0" applyBorder="0" applyAlignment="0" applyProtection="0">
      <alignment vertical="center"/>
    </xf>
    <xf numFmtId="0" fontId="51" fillId="22" borderId="0" applyNumberFormat="0" applyBorder="0" applyAlignment="0" applyProtection="0">
      <alignment vertical="center"/>
    </xf>
    <xf numFmtId="0" fontId="54" fillId="0" borderId="0" applyNumberFormat="0" applyFill="0" applyBorder="0" applyAlignment="0" applyProtection="0">
      <alignment vertical="center"/>
    </xf>
    <xf numFmtId="0" fontId="7" fillId="6" borderId="0" applyNumberFormat="0" applyBorder="0" applyAlignment="0" applyProtection="0">
      <alignment vertical="center"/>
    </xf>
    <xf numFmtId="0" fontId="0" fillId="0" borderId="0"/>
    <xf numFmtId="0" fontId="35" fillId="11" borderId="0" applyNumberFormat="0" applyBorder="0" applyAlignment="0" applyProtection="0">
      <alignment vertical="center"/>
    </xf>
    <xf numFmtId="0" fontId="0" fillId="20" borderId="19" applyNumberFormat="0" applyFont="0" applyAlignment="0" applyProtection="0">
      <alignment vertical="center"/>
    </xf>
    <xf numFmtId="0" fontId="35" fillId="14" borderId="0" applyNumberFormat="0" applyBorder="0" applyAlignment="0" applyProtection="0">
      <alignment vertical="center"/>
    </xf>
    <xf numFmtId="0" fontId="39" fillId="9" borderId="0" applyNumberFormat="0" applyBorder="0" applyAlignment="0" applyProtection="0">
      <alignment vertical="center"/>
    </xf>
    <xf numFmtId="0" fontId="0" fillId="0" borderId="0">
      <alignment vertical="center"/>
    </xf>
    <xf numFmtId="0" fontId="0" fillId="0" borderId="0">
      <alignment vertical="center"/>
    </xf>
    <xf numFmtId="0" fontId="35" fillId="14" borderId="0" applyNumberFormat="0" applyBorder="0" applyAlignment="0" applyProtection="0">
      <alignment vertical="center"/>
    </xf>
    <xf numFmtId="0" fontId="0" fillId="0" borderId="0"/>
    <xf numFmtId="0" fontId="0" fillId="0" borderId="0"/>
    <xf numFmtId="0" fontId="0" fillId="0" borderId="0">
      <alignment vertical="center"/>
    </xf>
    <xf numFmtId="0" fontId="34" fillId="0" borderId="0" applyNumberFormat="0" applyFill="0" applyBorder="0" applyAlignment="0" applyProtection="0">
      <alignment vertical="center"/>
    </xf>
    <xf numFmtId="177"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48" fillId="0" borderId="0" applyNumberFormat="0" applyFill="0" applyBorder="0" applyAlignment="0" applyProtection="0">
      <alignment vertical="center"/>
    </xf>
    <xf numFmtId="0" fontId="35" fillId="14" borderId="0" applyNumberFormat="0" applyBorder="0" applyAlignment="0" applyProtection="0">
      <alignment vertical="center"/>
    </xf>
    <xf numFmtId="0" fontId="0" fillId="0" borderId="0"/>
    <xf numFmtId="0" fontId="0" fillId="0" borderId="0"/>
    <xf numFmtId="0" fontId="0" fillId="0" borderId="0"/>
    <xf numFmtId="0" fontId="0" fillId="0" borderId="0"/>
    <xf numFmtId="0" fontId="56" fillId="0" borderId="0">
      <alignment horizontal="centerContinuous" vertical="center"/>
    </xf>
    <xf numFmtId="0" fontId="0" fillId="0" borderId="0"/>
    <xf numFmtId="0" fontId="0" fillId="20" borderId="19" applyNumberFormat="0" applyFont="0" applyAlignment="0" applyProtection="0">
      <alignment vertical="center"/>
    </xf>
    <xf numFmtId="0" fontId="0" fillId="0" borderId="0"/>
    <xf numFmtId="0" fontId="0" fillId="0" borderId="0"/>
    <xf numFmtId="0" fontId="52" fillId="0" borderId="0" applyNumberFormat="0" applyFill="0" applyBorder="0" applyAlignment="0" applyProtection="0">
      <alignment vertical="center"/>
    </xf>
    <xf numFmtId="0" fontId="55" fillId="0" borderId="26" applyNumberFormat="0" applyFill="0" applyAlignment="0" applyProtection="0">
      <alignment vertical="center"/>
    </xf>
    <xf numFmtId="0" fontId="55" fillId="0" borderId="26" applyNumberFormat="0" applyFill="0" applyAlignment="0" applyProtection="0">
      <alignment vertical="center"/>
    </xf>
    <xf numFmtId="0" fontId="47" fillId="0" borderId="23" applyNumberFormat="0" applyFill="0" applyAlignment="0" applyProtection="0">
      <alignment vertical="center"/>
    </xf>
    <xf numFmtId="0" fontId="35" fillId="25" borderId="0" applyNumberFormat="0" applyBorder="0" applyAlignment="0" applyProtection="0">
      <alignment vertical="center"/>
    </xf>
    <xf numFmtId="0" fontId="0" fillId="0" borderId="0"/>
    <xf numFmtId="0" fontId="34" fillId="0" borderId="27" applyNumberFormat="0" applyFill="0" applyAlignment="0" applyProtection="0">
      <alignment vertical="center"/>
    </xf>
    <xf numFmtId="177" fontId="0" fillId="0" borderId="0" applyFont="0" applyFill="0" applyBorder="0" applyAlignment="0" applyProtection="0">
      <alignment vertical="center"/>
    </xf>
    <xf numFmtId="0" fontId="0" fillId="0" borderId="0">
      <alignment vertical="center"/>
    </xf>
    <xf numFmtId="0" fontId="0" fillId="0" borderId="0"/>
    <xf numFmtId="0" fontId="37" fillId="11" borderId="0" applyNumberFormat="0" applyBorder="0" applyAlignment="0" applyProtection="0">
      <alignment vertical="center"/>
    </xf>
    <xf numFmtId="43" fontId="0" fillId="0" borderId="0" applyFont="0" applyFill="0" applyBorder="0" applyAlignment="0" applyProtection="0"/>
    <xf numFmtId="0" fontId="35" fillId="19"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33" fillId="13" borderId="17" applyNumberFormat="0" applyAlignment="0" applyProtection="0">
      <alignment vertical="center"/>
    </xf>
    <xf numFmtId="0" fontId="0" fillId="0" borderId="0"/>
    <xf numFmtId="0" fontId="7"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43" fillId="13" borderId="18" applyNumberFormat="0" applyAlignment="0" applyProtection="0">
      <alignment vertical="center"/>
    </xf>
    <xf numFmtId="0" fontId="43" fillId="5" borderId="18" applyNumberFormat="0" applyAlignment="0" applyProtection="0">
      <alignment vertical="center"/>
    </xf>
    <xf numFmtId="0" fontId="0" fillId="0" borderId="0">
      <alignment vertical="center"/>
    </xf>
    <xf numFmtId="0" fontId="50" fillId="24" borderId="21" applyNumberFormat="0" applyAlignment="0" applyProtection="0">
      <alignment vertical="center"/>
    </xf>
    <xf numFmtId="0" fontId="0" fillId="0" borderId="0"/>
    <xf numFmtId="0" fontId="41" fillId="0" borderId="0" applyNumberFormat="0" applyFill="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5" fillId="8" borderId="0" applyNumberFormat="0" applyBorder="0" applyAlignment="0" applyProtection="0">
      <alignment vertical="center"/>
    </xf>
    <xf numFmtId="0" fontId="7" fillId="6" borderId="0" applyNumberFormat="0" applyBorder="0" applyAlignment="0" applyProtection="0">
      <alignment vertical="center"/>
    </xf>
    <xf numFmtId="0" fontId="49" fillId="0" borderId="24" applyNumberFormat="0" applyFill="0" applyAlignment="0" applyProtection="0">
      <alignment vertical="center"/>
    </xf>
    <xf numFmtId="0" fontId="7" fillId="26" borderId="0" applyNumberFormat="0" applyBorder="0" applyAlignment="0" applyProtection="0">
      <alignment vertical="center"/>
    </xf>
    <xf numFmtId="0" fontId="7" fillId="17" borderId="0" applyNumberFormat="0" applyBorder="0" applyAlignment="0" applyProtection="0">
      <alignment vertical="center"/>
    </xf>
    <xf numFmtId="0" fontId="20" fillId="0" borderId="25" applyNumberFormat="0" applyFill="0" applyAlignment="0" applyProtection="0">
      <alignment vertical="center"/>
    </xf>
    <xf numFmtId="0" fontId="0" fillId="0" borderId="0">
      <alignment vertical="center"/>
    </xf>
    <xf numFmtId="0" fontId="58" fillId="7" borderId="0" applyNumberFormat="0" applyBorder="0" applyAlignment="0" applyProtection="0">
      <alignment vertical="center"/>
    </xf>
    <xf numFmtId="0" fontId="36" fillId="7" borderId="0" applyNumberFormat="0" applyBorder="0" applyAlignment="0" applyProtection="0">
      <alignment vertical="center"/>
    </xf>
    <xf numFmtId="0" fontId="39" fillId="9" borderId="0" applyNumberFormat="0" applyBorder="0" applyAlignment="0" applyProtection="0">
      <alignment vertical="center"/>
    </xf>
    <xf numFmtId="0" fontId="0" fillId="0" borderId="0">
      <alignment vertical="center"/>
    </xf>
    <xf numFmtId="0" fontId="51" fillId="22" borderId="0" applyNumberFormat="0" applyBorder="0" applyAlignment="0" applyProtection="0">
      <alignment vertical="center"/>
    </xf>
    <xf numFmtId="0" fontId="40" fillId="0" borderId="0" applyNumberFormat="0" applyFill="0" applyBorder="0" applyAlignment="0" applyProtection="0">
      <alignment vertical="center"/>
    </xf>
    <xf numFmtId="0" fontId="7" fillId="21"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5" fillId="16" borderId="0" applyNumberFormat="0" applyBorder="0" applyAlignment="0" applyProtection="0">
      <alignment vertical="center"/>
    </xf>
    <xf numFmtId="0" fontId="0" fillId="0" borderId="0">
      <alignment vertical="center"/>
    </xf>
    <xf numFmtId="0" fontId="7" fillId="20" borderId="19" applyNumberFormat="0" applyFont="0" applyAlignment="0" applyProtection="0">
      <alignment vertical="center"/>
    </xf>
    <xf numFmtId="0" fontId="0" fillId="0" borderId="0"/>
    <xf numFmtId="9" fontId="0" fillId="0" borderId="0" applyFont="0" applyFill="0" applyBorder="0" applyAlignment="0" applyProtection="0">
      <alignment vertical="center"/>
    </xf>
    <xf numFmtId="0" fontId="7" fillId="17"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0" fontId="0" fillId="0" borderId="0"/>
    <xf numFmtId="0" fontId="0" fillId="0" borderId="0"/>
    <xf numFmtId="0" fontId="0" fillId="0" borderId="0"/>
    <xf numFmtId="0" fontId="7" fillId="7" borderId="0" applyNumberFormat="0" applyBorder="0" applyAlignment="0" applyProtection="0">
      <alignment vertical="center"/>
    </xf>
    <xf numFmtId="0" fontId="7" fillId="14" borderId="0" applyNumberFormat="0" applyBorder="0" applyAlignment="0" applyProtection="0">
      <alignment vertical="center"/>
    </xf>
    <xf numFmtId="0" fontId="38" fillId="6" borderId="18" applyNumberFormat="0" applyAlignment="0" applyProtection="0">
      <alignment vertical="center"/>
    </xf>
    <xf numFmtId="0" fontId="15" fillId="0" borderId="0">
      <alignment vertical="center"/>
    </xf>
    <xf numFmtId="0" fontId="40" fillId="0" borderId="0" applyNumberFormat="0" applyFill="0" applyBorder="0" applyAlignment="0" applyProtection="0">
      <alignment vertical="center"/>
    </xf>
    <xf numFmtId="0" fontId="0" fillId="0" borderId="0">
      <alignment vertical="center"/>
    </xf>
    <xf numFmtId="0" fontId="0" fillId="0" borderId="0"/>
    <xf numFmtId="0" fontId="0" fillId="0" borderId="0"/>
    <xf numFmtId="43" fontId="0" fillId="0" borderId="0" applyFont="0" applyFill="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35" fillId="11"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35" fillId="19" borderId="0" applyNumberFormat="0" applyBorder="0" applyAlignment="0" applyProtection="0">
      <alignment vertical="center"/>
    </xf>
    <xf numFmtId="0" fontId="40" fillId="0" borderId="0" applyNumberFormat="0" applyFill="0" applyBorder="0" applyAlignment="0" applyProtection="0">
      <alignment vertical="center"/>
    </xf>
    <xf numFmtId="0" fontId="7" fillId="26"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0" fillId="0" borderId="0"/>
    <xf numFmtId="0" fontId="35" fillId="23" borderId="0" applyNumberFormat="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5" fillId="12" borderId="0" applyNumberFormat="0" applyBorder="0" applyAlignment="0" applyProtection="0">
      <alignment vertical="center"/>
    </xf>
    <xf numFmtId="0" fontId="35" fillId="18" borderId="0" applyNumberFormat="0" applyBorder="0" applyAlignment="0" applyProtection="0">
      <alignment vertical="center"/>
    </xf>
    <xf numFmtId="0" fontId="0" fillId="0" borderId="0"/>
    <xf numFmtId="0" fontId="0" fillId="0" borderId="0"/>
    <xf numFmtId="0" fontId="43" fillId="13" borderId="18" applyNumberFormat="0" applyAlignment="0" applyProtection="0">
      <alignment vertical="center"/>
    </xf>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0" fillId="20" borderId="19" applyNumberFormat="0" applyFont="0" applyAlignment="0" applyProtection="0">
      <alignment vertical="center"/>
    </xf>
    <xf numFmtId="0" fontId="37" fillId="13" borderId="0" applyNumberFormat="0" applyBorder="0" applyAlignment="0" applyProtection="0">
      <alignment vertical="center"/>
    </xf>
    <xf numFmtId="0" fontId="0" fillId="0" borderId="0"/>
    <xf numFmtId="0" fontId="51" fillId="22"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xf numFmtId="0" fontId="0" fillId="0" borderId="0">
      <alignment vertical="center"/>
    </xf>
    <xf numFmtId="0" fontId="35" fillId="27" borderId="0" applyNumberFormat="0" applyBorder="0" applyAlignment="0" applyProtection="0">
      <alignment vertical="center"/>
    </xf>
    <xf numFmtId="0" fontId="35" fillId="18" borderId="0" applyNumberFormat="0" applyBorder="0" applyAlignment="0" applyProtection="0">
      <alignment vertical="center"/>
    </xf>
    <xf numFmtId="0" fontId="7" fillId="6" borderId="0" applyNumberFormat="0" applyBorder="0" applyAlignment="0" applyProtection="0">
      <alignment vertical="center"/>
    </xf>
    <xf numFmtId="0" fontId="0" fillId="0" borderId="0"/>
    <xf numFmtId="0" fontId="3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0" fillId="0" borderId="0"/>
    <xf numFmtId="0" fontId="0" fillId="0" borderId="0"/>
    <xf numFmtId="0" fontId="0" fillId="0" borderId="0"/>
    <xf numFmtId="0" fontId="35" fillId="18" borderId="0" applyNumberFormat="0" applyBorder="0" applyAlignment="0" applyProtection="0">
      <alignment vertical="center"/>
    </xf>
    <xf numFmtId="0" fontId="0" fillId="0" borderId="0"/>
    <xf numFmtId="0" fontId="0" fillId="0" borderId="0"/>
    <xf numFmtId="0" fontId="0" fillId="0" borderId="0">
      <alignment vertical="center"/>
    </xf>
    <xf numFmtId="179" fontId="0" fillId="0" borderId="0" applyFont="0" applyFill="0" applyBorder="0" applyAlignment="0" applyProtection="0"/>
    <xf numFmtId="0" fontId="0" fillId="0" borderId="0">
      <alignment vertical="center"/>
    </xf>
    <xf numFmtId="0" fontId="7" fillId="26"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49" fillId="0" borderId="24" applyNumberFormat="0" applyFill="0" applyAlignment="0" applyProtection="0">
      <alignment vertical="center"/>
    </xf>
    <xf numFmtId="0" fontId="0" fillId="0" borderId="0">
      <alignment vertical="center"/>
    </xf>
    <xf numFmtId="179" fontId="0" fillId="0" borderId="0" applyFont="0" applyFill="0" applyBorder="0" applyAlignment="0" applyProtection="0">
      <alignment vertical="center"/>
    </xf>
    <xf numFmtId="0" fontId="7" fillId="0" borderId="0"/>
    <xf numFmtId="0" fontId="40" fillId="0" borderId="0" applyNumberFormat="0" applyFill="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7" fillId="6" borderId="0" applyNumberFormat="0" applyBorder="0" applyAlignment="0" applyProtection="0">
      <alignment vertical="center"/>
    </xf>
    <xf numFmtId="0" fontId="0" fillId="0" borderId="0"/>
    <xf numFmtId="0" fontId="7" fillId="7" borderId="0" applyNumberFormat="0" applyBorder="0" applyAlignment="0" applyProtection="0">
      <alignment vertical="center"/>
    </xf>
    <xf numFmtId="0" fontId="7" fillId="5"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35" fillId="11" borderId="0" applyNumberFormat="0" applyBorder="0" applyAlignment="0" applyProtection="0">
      <alignment vertical="center"/>
    </xf>
    <xf numFmtId="0" fontId="7" fillId="5" borderId="0" applyNumberFormat="0" applyBorder="0" applyAlignment="0" applyProtection="0">
      <alignment vertical="center"/>
    </xf>
    <xf numFmtId="0" fontId="0" fillId="0" borderId="0"/>
    <xf numFmtId="0" fontId="52" fillId="0" borderId="0" applyNumberFormat="0" applyFill="0" applyBorder="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7" fillId="5" borderId="0" applyNumberFormat="0" applyBorder="0" applyAlignment="0" applyProtection="0">
      <alignment vertical="center"/>
    </xf>
    <xf numFmtId="0" fontId="0" fillId="0" borderId="0">
      <alignment vertical="center"/>
    </xf>
    <xf numFmtId="0" fontId="15" fillId="0" borderId="0">
      <alignment vertical="center"/>
    </xf>
    <xf numFmtId="43" fontId="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7" fillId="5" borderId="0" applyNumberFormat="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43" fontId="0" fillId="0" borderId="0" applyFont="0" applyFill="0" applyBorder="0" applyAlignment="0" applyProtection="0"/>
    <xf numFmtId="0" fontId="0" fillId="0" borderId="0"/>
    <xf numFmtId="0" fontId="0" fillId="0" borderId="0"/>
    <xf numFmtId="0" fontId="0" fillId="0" borderId="0"/>
    <xf numFmtId="0" fontId="0" fillId="0" borderId="0"/>
    <xf numFmtId="0" fontId="9" fillId="0" borderId="0"/>
    <xf numFmtId="0" fontId="7" fillId="14"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37" fillId="8"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7" fillId="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7" fillId="6" borderId="0" applyNumberFormat="0" applyBorder="0" applyAlignment="0" applyProtection="0">
      <alignment vertical="center"/>
    </xf>
    <xf numFmtId="179" fontId="0" fillId="0" borderId="0" applyFont="0" applyFill="0" applyBorder="0" applyAlignment="0" applyProtection="0"/>
    <xf numFmtId="0" fontId="44" fillId="24" borderId="21" applyNumberFormat="0" applyAlignment="0" applyProtection="0">
      <alignment vertical="center"/>
    </xf>
    <xf numFmtId="0" fontId="35" fillId="19"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0" fillId="0" borderId="0"/>
    <xf numFmtId="0" fontId="7" fillId="7"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39"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8" fillId="6" borderId="18" applyNumberFormat="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35" fillId="2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43" fontId="0" fillId="0" borderId="0" applyFont="0" applyFill="0" applyBorder="0" applyAlignment="0" applyProtection="0"/>
    <xf numFmtId="0" fontId="0" fillId="0" borderId="0"/>
    <xf numFmtId="0" fontId="35" fillId="1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1" fillId="22" borderId="0" applyNumberFormat="0" applyBorder="0" applyAlignment="0" applyProtection="0">
      <alignment vertical="center"/>
    </xf>
    <xf numFmtId="0" fontId="0" fillId="0" borderId="0"/>
    <xf numFmtId="0" fontId="7" fillId="0" borderId="0"/>
    <xf numFmtId="0" fontId="0" fillId="0" borderId="0">
      <alignment vertical="center"/>
    </xf>
    <xf numFmtId="0" fontId="0" fillId="0" borderId="0">
      <alignment vertical="center"/>
    </xf>
    <xf numFmtId="0" fontId="0" fillId="0" borderId="0"/>
    <xf numFmtId="0" fontId="39" fillId="9"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5" fillId="11"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37" fillId="28" borderId="0" applyNumberFormat="0" applyBorder="0" applyAlignment="0" applyProtection="0">
      <alignment vertical="center"/>
    </xf>
    <xf numFmtId="0" fontId="0" fillId="0" borderId="0"/>
    <xf numFmtId="0" fontId="38" fillId="6" borderId="18" applyNumberFormat="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35" fillId="19"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7" fillId="0" borderId="0"/>
    <xf numFmtId="0" fontId="0" fillId="0" borderId="0"/>
    <xf numFmtId="0" fontId="0" fillId="0" borderId="0">
      <alignment vertical="center"/>
    </xf>
    <xf numFmtId="0" fontId="0" fillId="0" borderId="0"/>
    <xf numFmtId="0" fontId="9" fillId="0" borderId="0"/>
    <xf numFmtId="0" fontId="0" fillId="0" borderId="0">
      <alignment vertical="center"/>
    </xf>
    <xf numFmtId="0" fontId="0" fillId="0" borderId="0">
      <alignment vertical="center"/>
    </xf>
    <xf numFmtId="0" fontId="44" fillId="24" borderId="21" applyNumberFormat="0" applyAlignment="0" applyProtection="0">
      <alignment vertical="center"/>
    </xf>
    <xf numFmtId="0" fontId="7" fillId="7" borderId="0" applyNumberFormat="0" applyBorder="0" applyAlignment="0" applyProtection="0">
      <alignment vertical="center"/>
    </xf>
    <xf numFmtId="0" fontId="15" fillId="0" borderId="0">
      <alignment vertical="center"/>
    </xf>
    <xf numFmtId="0" fontId="0" fillId="0" borderId="0"/>
    <xf numFmtId="0" fontId="0" fillId="0" borderId="0"/>
    <xf numFmtId="0" fontId="0" fillId="0" borderId="0"/>
    <xf numFmtId="0" fontId="7" fillId="0" borderId="0">
      <alignment vertical="center"/>
    </xf>
    <xf numFmtId="0" fontId="0" fillId="0" borderId="0"/>
    <xf numFmtId="0" fontId="0" fillId="0" borderId="0"/>
    <xf numFmtId="0" fontId="0" fillId="0" borderId="0"/>
    <xf numFmtId="0" fontId="0" fillId="0" borderId="0">
      <alignment vertical="center"/>
    </xf>
    <xf numFmtId="0" fontId="7" fillId="9" borderId="0" applyNumberFormat="0" applyBorder="0" applyAlignment="0" applyProtection="0">
      <alignment vertical="center"/>
    </xf>
    <xf numFmtId="0" fontId="0" fillId="0" borderId="0">
      <alignment vertical="center"/>
    </xf>
    <xf numFmtId="0" fontId="0" fillId="20" borderId="19" applyNumberFormat="0" applyFont="0" applyAlignment="0" applyProtection="0">
      <alignment vertical="center"/>
    </xf>
    <xf numFmtId="0" fontId="48" fillId="0" borderId="0" applyNumberFormat="0" applyFill="0" applyBorder="0" applyAlignment="0" applyProtection="0">
      <alignment vertical="center"/>
    </xf>
    <xf numFmtId="0" fontId="0" fillId="0" borderId="0"/>
    <xf numFmtId="0" fontId="7" fillId="17" borderId="0" applyNumberFormat="0" applyBorder="0" applyAlignment="0" applyProtection="0">
      <alignment vertical="center"/>
    </xf>
    <xf numFmtId="0" fontId="0" fillId="0" borderId="0"/>
    <xf numFmtId="0" fontId="7" fillId="7" borderId="0" applyNumberFormat="0" applyBorder="0" applyAlignment="0" applyProtection="0">
      <alignment vertical="center"/>
    </xf>
    <xf numFmtId="0" fontId="0" fillId="0" borderId="0"/>
    <xf numFmtId="0" fontId="0" fillId="0" borderId="0"/>
    <xf numFmtId="0" fontId="0" fillId="0" borderId="0"/>
    <xf numFmtId="0" fontId="0" fillId="0" borderId="0"/>
    <xf numFmtId="43" fontId="0" fillId="0" borderId="0" applyFont="0" applyFill="0" applyBorder="0" applyAlignment="0" applyProtection="0"/>
    <xf numFmtId="0" fontId="39" fillId="9" borderId="0" applyNumberFormat="0" applyBorder="0" applyAlignment="0" applyProtection="0">
      <alignment vertical="center"/>
    </xf>
    <xf numFmtId="0" fontId="62" fillId="0" borderId="0">
      <alignment vertical="center"/>
    </xf>
    <xf numFmtId="0" fontId="0" fillId="0" borderId="0"/>
    <xf numFmtId="0" fontId="7" fillId="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49" fillId="0" borderId="24" applyNumberFormat="0" applyFill="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37" fillId="12"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7" fillId="28" borderId="0" applyNumberFormat="0" applyBorder="0" applyAlignment="0" applyProtection="0">
      <alignment vertical="center"/>
    </xf>
    <xf numFmtId="0" fontId="0" fillId="0" borderId="0"/>
    <xf numFmtId="0" fontId="51" fillId="22"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37" fillId="28" borderId="0" applyNumberFormat="0" applyBorder="0" applyAlignment="0" applyProtection="0">
      <alignment vertical="center"/>
    </xf>
    <xf numFmtId="0" fontId="0" fillId="0" borderId="0"/>
    <xf numFmtId="0" fontId="0" fillId="0" borderId="0"/>
    <xf numFmtId="0" fontId="34" fillId="0" borderId="0" applyNumberFormat="0" applyFill="0" applyBorder="0" applyAlignment="0" applyProtection="0">
      <alignment vertical="center"/>
    </xf>
    <xf numFmtId="0" fontId="0" fillId="0" borderId="0"/>
    <xf numFmtId="43" fontId="0" fillId="0" borderId="0" applyFont="0" applyFill="0" applyBorder="0" applyAlignment="0" applyProtection="0">
      <alignment vertical="center"/>
    </xf>
    <xf numFmtId="0" fontId="9" fillId="0" borderId="0"/>
    <xf numFmtId="0" fontId="0" fillId="0" borderId="0"/>
    <xf numFmtId="0" fontId="0" fillId="0" borderId="0"/>
    <xf numFmtId="0" fontId="0" fillId="0" borderId="0">
      <alignment vertical="center"/>
    </xf>
    <xf numFmtId="0" fontId="0" fillId="0" borderId="0"/>
    <xf numFmtId="0" fontId="7" fillId="0" borderId="0"/>
    <xf numFmtId="0" fontId="37" fillId="6" borderId="0" applyNumberFormat="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0" fillId="0" borderId="0">
      <alignment vertical="center"/>
    </xf>
    <xf numFmtId="0" fontId="0" fillId="0" borderId="0"/>
    <xf numFmtId="0" fontId="50" fillId="24" borderId="21" applyNumberFormat="0" applyAlignment="0" applyProtection="0">
      <alignment vertical="center"/>
    </xf>
    <xf numFmtId="0" fontId="35" fillId="12" borderId="0" applyNumberFormat="0" applyBorder="0" applyAlignment="0" applyProtection="0">
      <alignment vertical="center"/>
    </xf>
    <xf numFmtId="0" fontId="0" fillId="0" borderId="0"/>
    <xf numFmtId="0" fontId="7" fillId="0" borderId="0"/>
    <xf numFmtId="0" fontId="0" fillId="0" borderId="0"/>
    <xf numFmtId="0" fontId="0" fillId="0" borderId="0">
      <alignment vertical="center"/>
    </xf>
    <xf numFmtId="0" fontId="0" fillId="0" borderId="0"/>
    <xf numFmtId="0" fontId="0" fillId="0" borderId="0"/>
    <xf numFmtId="0" fontId="0" fillId="0" borderId="0"/>
    <xf numFmtId="0" fontId="40" fillId="0" borderId="0" applyNumberFormat="0" applyFill="0" applyBorder="0" applyAlignment="0" applyProtection="0">
      <alignment vertical="center"/>
    </xf>
    <xf numFmtId="0" fontId="0" fillId="0" borderId="0"/>
    <xf numFmtId="0" fontId="7" fillId="21" borderId="0" applyNumberFormat="0" applyBorder="0" applyAlignment="0" applyProtection="0">
      <alignment vertical="center"/>
    </xf>
    <xf numFmtId="0" fontId="0" fillId="0" borderId="0"/>
    <xf numFmtId="0" fontId="0" fillId="0" borderId="0"/>
    <xf numFmtId="0" fontId="7" fillId="17" borderId="0" applyNumberFormat="0" applyBorder="0" applyAlignment="0" applyProtection="0">
      <alignment vertical="center"/>
    </xf>
    <xf numFmtId="0" fontId="0" fillId="0" borderId="0"/>
    <xf numFmtId="0" fontId="52" fillId="0" borderId="0" applyNumberFormat="0" applyFill="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0" fillId="0" borderId="0"/>
    <xf numFmtId="0" fontId="0" fillId="0" borderId="0"/>
    <xf numFmtId="0" fontId="7" fillId="13" borderId="0" applyNumberFormat="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0" fontId="0" fillId="0" borderId="0"/>
    <xf numFmtId="0" fontId="0" fillId="0" borderId="0">
      <alignment vertical="center"/>
    </xf>
    <xf numFmtId="0" fontId="35" fillId="19" borderId="0" applyNumberFormat="0" applyBorder="0" applyAlignment="0" applyProtection="0">
      <alignment vertical="center"/>
    </xf>
    <xf numFmtId="0" fontId="52" fillId="0" borderId="0" applyNumberFormat="0" applyFill="0" applyBorder="0" applyAlignment="0" applyProtection="0">
      <alignment vertical="center"/>
    </xf>
    <xf numFmtId="0" fontId="36" fillId="7" borderId="0" applyNumberFormat="0" applyBorder="0" applyAlignment="0" applyProtection="0">
      <alignment vertical="center"/>
    </xf>
    <xf numFmtId="0" fontId="0" fillId="0" borderId="0"/>
    <xf numFmtId="0" fontId="0" fillId="0" borderId="0">
      <alignment vertical="center"/>
    </xf>
    <xf numFmtId="0" fontId="0" fillId="0" borderId="0"/>
    <xf numFmtId="0" fontId="7" fillId="9" borderId="0" applyNumberFormat="0" applyBorder="0" applyAlignment="0" applyProtection="0">
      <alignment vertical="center"/>
    </xf>
    <xf numFmtId="0" fontId="0" fillId="0" borderId="0"/>
    <xf numFmtId="0" fontId="0" fillId="0" borderId="0"/>
    <xf numFmtId="0" fontId="37" fillId="12"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5" fillId="12" borderId="0" applyNumberFormat="0" applyBorder="0" applyAlignment="0" applyProtection="0">
      <alignment vertical="center"/>
    </xf>
    <xf numFmtId="0" fontId="0" fillId="0" borderId="0"/>
    <xf numFmtId="0" fontId="37" fillId="28" borderId="0" applyNumberFormat="0" applyBorder="0" applyAlignment="0" applyProtection="0">
      <alignment vertical="center"/>
    </xf>
    <xf numFmtId="0" fontId="0" fillId="0" borderId="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0" fillId="0" borderId="0">
      <alignment vertical="center"/>
    </xf>
    <xf numFmtId="0" fontId="39" fillId="9" borderId="0" applyNumberFormat="0" applyBorder="0" applyAlignment="0" applyProtection="0">
      <alignment vertical="center"/>
    </xf>
    <xf numFmtId="0" fontId="7" fillId="10" borderId="0" applyNumberFormat="0" applyBorder="0" applyAlignment="0" applyProtection="0">
      <alignment vertical="center"/>
    </xf>
    <xf numFmtId="0" fontId="0" fillId="0" borderId="0"/>
    <xf numFmtId="0" fontId="0" fillId="0" borderId="0"/>
    <xf numFmtId="0" fontId="7" fillId="9" borderId="0" applyNumberFormat="0" applyBorder="0" applyAlignment="0" applyProtection="0">
      <alignment vertical="center"/>
    </xf>
    <xf numFmtId="0" fontId="0" fillId="0" borderId="0"/>
    <xf numFmtId="0" fontId="0" fillId="0" borderId="0">
      <alignment vertical="center"/>
    </xf>
    <xf numFmtId="0" fontId="7" fillId="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35" fillId="12" borderId="0" applyNumberFormat="0" applyBorder="0" applyAlignment="0" applyProtection="0">
      <alignment vertical="center"/>
    </xf>
    <xf numFmtId="0" fontId="0" fillId="0" borderId="0"/>
    <xf numFmtId="0" fontId="7" fillId="0" borderId="0">
      <alignment vertical="center"/>
    </xf>
    <xf numFmtId="0" fontId="7" fillId="21" borderId="0" applyNumberFormat="0" applyBorder="0" applyAlignment="0" applyProtection="0">
      <alignment vertical="center"/>
    </xf>
    <xf numFmtId="1" fontId="15" fillId="0" borderId="0">
      <alignment vertical="center"/>
    </xf>
    <xf numFmtId="0" fontId="35" fillId="12" borderId="0" applyNumberFormat="0" applyBorder="0" applyAlignment="0" applyProtection="0">
      <alignment vertical="center"/>
    </xf>
    <xf numFmtId="0" fontId="0" fillId="0" borderId="0">
      <alignment vertical="center"/>
    </xf>
    <xf numFmtId="0" fontId="35" fillId="12" borderId="0" applyNumberFormat="0" applyBorder="0" applyAlignment="0" applyProtection="0">
      <alignment vertical="center"/>
    </xf>
    <xf numFmtId="0" fontId="0" fillId="0" borderId="0"/>
    <xf numFmtId="0" fontId="0" fillId="0" borderId="0">
      <alignment vertical="center"/>
    </xf>
    <xf numFmtId="0" fontId="7" fillId="5"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7" fillId="14"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0" fillId="0" borderId="0"/>
    <xf numFmtId="0" fontId="7" fillId="5"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179" fontId="0" fillId="0" borderId="0" applyFont="0" applyFill="0" applyBorder="0" applyAlignment="0" applyProtection="0">
      <alignment vertical="center"/>
    </xf>
    <xf numFmtId="0" fontId="0" fillId="0" borderId="0"/>
    <xf numFmtId="0" fontId="7" fillId="5" borderId="0" applyNumberFormat="0" applyBorder="0" applyAlignment="0" applyProtection="0">
      <alignment vertical="center"/>
    </xf>
    <xf numFmtId="0" fontId="52"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7" fillId="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xf numFmtId="43" fontId="0" fillId="0" borderId="0" applyFont="0" applyFill="0" applyBorder="0" applyAlignment="0" applyProtection="0"/>
    <xf numFmtId="0" fontId="7" fillId="17" borderId="0" applyNumberFormat="0" applyBorder="0" applyAlignment="0" applyProtection="0">
      <alignment vertical="center"/>
    </xf>
    <xf numFmtId="0" fontId="0" fillId="0" borderId="0"/>
    <xf numFmtId="0" fontId="43" fillId="5" borderId="18" applyNumberFormat="0" applyAlignment="0" applyProtection="0">
      <alignment vertical="center"/>
    </xf>
    <xf numFmtId="0" fontId="35" fillId="25" borderId="0" applyNumberFormat="0" applyBorder="0" applyAlignment="0" applyProtection="0">
      <alignment vertical="center"/>
    </xf>
    <xf numFmtId="0" fontId="0" fillId="0" borderId="0"/>
    <xf numFmtId="0" fontId="0" fillId="0" borderId="0">
      <alignment vertical="center"/>
    </xf>
    <xf numFmtId="0" fontId="7" fillId="6" borderId="0" applyNumberFormat="0" applyBorder="0" applyAlignment="0" applyProtection="0">
      <alignment vertical="center"/>
    </xf>
    <xf numFmtId="0" fontId="9" fillId="0" borderId="0">
      <alignment vertical="center"/>
    </xf>
    <xf numFmtId="0" fontId="0" fillId="0" borderId="0"/>
    <xf numFmtId="0" fontId="0" fillId="0" borderId="0"/>
    <xf numFmtId="0" fontId="37" fillId="6" borderId="0" applyNumberFormat="0" applyBorder="0" applyAlignment="0" applyProtection="0">
      <alignment vertical="center"/>
    </xf>
    <xf numFmtId="0" fontId="35" fillId="14"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43" fontId="0" fillId="0" borderId="0" applyFont="0" applyFill="0" applyBorder="0" applyAlignment="0" applyProtection="0"/>
    <xf numFmtId="0" fontId="7" fillId="7" borderId="0" applyNumberFormat="0" applyBorder="0" applyAlignment="0" applyProtection="0">
      <alignment vertical="center"/>
    </xf>
    <xf numFmtId="0" fontId="9" fillId="0" borderId="0"/>
    <xf numFmtId="0" fontId="9" fillId="0" borderId="0">
      <alignment vertical="center"/>
    </xf>
    <xf numFmtId="0" fontId="0" fillId="0" borderId="0"/>
    <xf numFmtId="181" fontId="14" fillId="0" borderId="2">
      <alignment vertical="center"/>
      <protection locked="0"/>
    </xf>
    <xf numFmtId="0" fontId="35" fillId="18" borderId="0" applyNumberFormat="0" applyBorder="0" applyAlignment="0" applyProtection="0">
      <alignment vertical="center"/>
    </xf>
    <xf numFmtId="0" fontId="50" fillId="24" borderId="21" applyNumberFormat="0" applyAlignment="0" applyProtection="0">
      <alignment vertical="center"/>
    </xf>
    <xf numFmtId="0" fontId="0" fillId="0" borderId="0"/>
    <xf numFmtId="0" fontId="0" fillId="0" borderId="0">
      <alignment vertical="center"/>
    </xf>
    <xf numFmtId="0" fontId="0" fillId="0" borderId="0"/>
    <xf numFmtId="0" fontId="9" fillId="0" borderId="0"/>
    <xf numFmtId="0" fontId="0" fillId="0" borderId="0"/>
    <xf numFmtId="0" fontId="0" fillId="0" borderId="0"/>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0" fillId="0" borderId="0"/>
    <xf numFmtId="0" fontId="0" fillId="0" borderId="0"/>
    <xf numFmtId="0" fontId="7" fillId="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6" fillId="7" borderId="0" applyNumberFormat="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41" fontId="0" fillId="0" borderId="0" applyFont="0" applyFill="0" applyBorder="0" applyAlignment="0" applyProtection="0">
      <alignment vertical="center"/>
    </xf>
    <xf numFmtId="0" fontId="0" fillId="0" borderId="0">
      <alignment vertical="center"/>
    </xf>
    <xf numFmtId="0" fontId="0" fillId="0" borderId="0">
      <alignment vertical="center"/>
    </xf>
    <xf numFmtId="0" fontId="7" fillId="20" borderId="0" applyNumberFormat="0" applyBorder="0" applyAlignment="0" applyProtection="0">
      <alignment vertical="center"/>
    </xf>
    <xf numFmtId="0" fontId="0" fillId="0" borderId="0"/>
    <xf numFmtId="37" fontId="66" fillId="0" borderId="0"/>
    <xf numFmtId="0" fontId="7" fillId="6" borderId="0" applyNumberFormat="0" applyBorder="0" applyAlignment="0" applyProtection="0">
      <alignment vertical="center"/>
    </xf>
    <xf numFmtId="0" fontId="0" fillId="0" borderId="0">
      <alignment vertical="center"/>
    </xf>
    <xf numFmtId="0" fontId="0" fillId="0" borderId="0"/>
    <xf numFmtId="0" fontId="7" fillId="6"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1" fontId="14" fillId="0" borderId="2">
      <alignment vertical="center"/>
      <protection locked="0"/>
    </xf>
    <xf numFmtId="0" fontId="0" fillId="0" borderId="0"/>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0" fillId="0" borderId="0"/>
    <xf numFmtId="0" fontId="0" fillId="0" borderId="0"/>
    <xf numFmtId="0" fontId="0" fillId="0" borderId="0">
      <alignment vertical="center"/>
    </xf>
    <xf numFmtId="0" fontId="22" fillId="0" borderId="0">
      <alignment vertical="center"/>
    </xf>
    <xf numFmtId="0" fontId="0" fillId="0" borderId="0">
      <alignment vertical="center"/>
    </xf>
    <xf numFmtId="0" fontId="22" fillId="0" borderId="0">
      <alignment vertical="center"/>
    </xf>
    <xf numFmtId="184" fontId="0" fillId="0" borderId="0" applyFont="0" applyFill="0" applyBorder="0" applyAlignment="0" applyProtection="0">
      <alignment vertical="center"/>
    </xf>
    <xf numFmtId="0" fontId="0" fillId="0" borderId="0"/>
    <xf numFmtId="0" fontId="35" fillId="23" borderId="0" applyNumberFormat="0" applyBorder="0" applyAlignment="0" applyProtection="0">
      <alignment vertical="center"/>
    </xf>
    <xf numFmtId="0" fontId="37" fillId="14" borderId="0" applyNumberFormat="0" applyBorder="0" applyAlignment="0" applyProtection="0">
      <alignment vertical="center"/>
    </xf>
    <xf numFmtId="0" fontId="22" fillId="0" borderId="0">
      <alignment vertical="center"/>
    </xf>
    <xf numFmtId="0" fontId="0" fillId="0" borderId="0">
      <alignment vertical="center"/>
    </xf>
    <xf numFmtId="0" fontId="22" fillId="0" borderId="0">
      <alignment vertical="center"/>
    </xf>
    <xf numFmtId="0" fontId="0" fillId="0" borderId="0"/>
    <xf numFmtId="0" fontId="22" fillId="0" borderId="0"/>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0" borderId="0"/>
    <xf numFmtId="0" fontId="35" fillId="16" borderId="0" applyNumberFormat="0" applyBorder="0" applyAlignment="0" applyProtection="0">
      <alignment vertical="center"/>
    </xf>
    <xf numFmtId="0" fontId="0" fillId="0" borderId="0">
      <alignment vertical="center"/>
    </xf>
    <xf numFmtId="0" fontId="0" fillId="0" borderId="0"/>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0" borderId="0"/>
    <xf numFmtId="0" fontId="22" fillId="0" borderId="0"/>
    <xf numFmtId="0" fontId="0" fillId="0" borderId="0"/>
    <xf numFmtId="0" fontId="0" fillId="0" borderId="0"/>
    <xf numFmtId="43"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22" fillId="0" borderId="0">
      <alignment vertical="center"/>
    </xf>
    <xf numFmtId="0" fontId="0" fillId="0" borderId="0"/>
    <xf numFmtId="0" fontId="0" fillId="0" borderId="0">
      <alignment vertical="center"/>
    </xf>
    <xf numFmtId="0" fontId="22" fillId="0" borderId="0">
      <alignment vertical="center"/>
    </xf>
    <xf numFmtId="0" fontId="0" fillId="0" borderId="0">
      <alignment vertical="center"/>
    </xf>
    <xf numFmtId="0" fontId="7" fillId="14" borderId="0" applyNumberFormat="0" applyBorder="0" applyAlignment="0" applyProtection="0">
      <alignment vertical="center"/>
    </xf>
    <xf numFmtId="0" fontId="0" fillId="0" borderId="0"/>
    <xf numFmtId="0" fontId="0" fillId="20" borderId="19" applyNumberFormat="0" applyFont="0" applyAlignment="0" applyProtection="0">
      <alignment vertical="center"/>
    </xf>
    <xf numFmtId="0" fontId="22" fillId="0" borderId="0"/>
    <xf numFmtId="0" fontId="0" fillId="0" borderId="0">
      <alignment vertical="center"/>
    </xf>
    <xf numFmtId="0" fontId="0" fillId="0" borderId="0">
      <alignment vertical="center"/>
    </xf>
    <xf numFmtId="0" fontId="50" fillId="24" borderId="21" applyNumberFormat="0" applyAlignment="0" applyProtection="0">
      <alignment vertical="center"/>
    </xf>
    <xf numFmtId="0" fontId="35" fillId="19" borderId="0" applyNumberFormat="0" applyBorder="0" applyAlignment="0" applyProtection="0">
      <alignment vertical="center"/>
    </xf>
    <xf numFmtId="0" fontId="0" fillId="0" borderId="0"/>
    <xf numFmtId="0" fontId="0" fillId="0" borderId="0">
      <alignment vertical="center"/>
    </xf>
    <xf numFmtId="0" fontId="9" fillId="0" borderId="0"/>
    <xf numFmtId="0" fontId="0" fillId="0" borderId="0">
      <alignment vertical="center"/>
    </xf>
    <xf numFmtId="0" fontId="0" fillId="0" borderId="0"/>
    <xf numFmtId="0" fontId="0" fillId="20" borderId="19" applyNumberFormat="0" applyFont="0" applyAlignment="0" applyProtection="0">
      <alignment vertical="center"/>
    </xf>
    <xf numFmtId="0" fontId="15" fillId="0" borderId="0"/>
    <xf numFmtId="0" fontId="15" fillId="0" borderId="0"/>
    <xf numFmtId="0" fontId="50" fillId="24" borderId="21" applyNumberFormat="0" applyAlignment="0" applyProtection="0">
      <alignment vertical="center"/>
    </xf>
    <xf numFmtId="0" fontId="0" fillId="0" borderId="0"/>
    <xf numFmtId="0" fontId="0" fillId="0" borderId="0"/>
    <xf numFmtId="0" fontId="22" fillId="0" borderId="0"/>
    <xf numFmtId="0" fontId="0" fillId="0" borderId="0"/>
    <xf numFmtId="0" fontId="14" fillId="0" borderId="2">
      <alignment horizontal="distributed" vertical="center" wrapText="1"/>
    </xf>
    <xf numFmtId="0" fontId="0" fillId="0" borderId="0"/>
    <xf numFmtId="0" fontId="7" fillId="15" borderId="0" applyNumberFormat="0" applyBorder="0" applyAlignment="0" applyProtection="0">
      <alignment vertical="center"/>
    </xf>
    <xf numFmtId="179" fontId="0" fillId="0" borderId="0" applyFont="0" applyFill="0" applyBorder="0" applyAlignment="0" applyProtection="0">
      <alignment vertical="center"/>
    </xf>
    <xf numFmtId="0" fontId="22" fillId="0" borderId="0">
      <alignment vertical="center"/>
    </xf>
    <xf numFmtId="0" fontId="49" fillId="0" borderId="24" applyNumberFormat="0" applyFill="0" applyAlignment="0" applyProtection="0">
      <alignment vertical="center"/>
    </xf>
    <xf numFmtId="0" fontId="0" fillId="0" borderId="0">
      <alignment vertical="center"/>
    </xf>
    <xf numFmtId="0" fontId="7"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49" fillId="0" borderId="24" applyNumberFormat="0" applyFill="0" applyAlignment="0" applyProtection="0">
      <alignment vertical="center"/>
    </xf>
    <xf numFmtId="0" fontId="0" fillId="0" borderId="0">
      <alignment vertical="center"/>
    </xf>
    <xf numFmtId="0" fontId="52" fillId="0" borderId="0" applyNumberFormat="0" applyFill="0" applyBorder="0" applyAlignment="0" applyProtection="0">
      <alignment vertical="center"/>
    </xf>
    <xf numFmtId="179" fontId="0" fillId="0" borderId="0" applyFont="0" applyFill="0" applyBorder="0" applyAlignment="0" applyProtection="0"/>
    <xf numFmtId="0" fontId="22" fillId="0" borderId="0"/>
    <xf numFmtId="0" fontId="7" fillId="17" borderId="0" applyNumberFormat="0" applyBorder="0" applyAlignment="0" applyProtection="0">
      <alignment vertical="center"/>
    </xf>
    <xf numFmtId="0" fontId="56" fillId="0" borderId="0">
      <alignment horizontal="centerContinuous" vertical="center"/>
    </xf>
    <xf numFmtId="0" fontId="0" fillId="0" borderId="0"/>
    <xf numFmtId="0" fontId="0" fillId="0" borderId="0">
      <alignment vertical="center"/>
    </xf>
    <xf numFmtId="0" fontId="52"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14" fillId="0" borderId="2">
      <alignment horizontal="distributed" vertical="center" wrapText="1"/>
    </xf>
    <xf numFmtId="0" fontId="0" fillId="0" borderId="0"/>
    <xf numFmtId="0" fontId="0" fillId="20" borderId="19" applyNumberFormat="0" applyFont="0" applyAlignment="0" applyProtection="0">
      <alignment vertical="center"/>
    </xf>
    <xf numFmtId="0" fontId="7" fillId="9" borderId="0" applyNumberFormat="0" applyBorder="0" applyAlignment="0" applyProtection="0">
      <alignment vertical="center"/>
    </xf>
    <xf numFmtId="0" fontId="0" fillId="0" borderId="0"/>
    <xf numFmtId="0" fontId="0" fillId="0" borderId="0"/>
    <xf numFmtId="0" fontId="7" fillId="6" borderId="0" applyNumberFormat="0" applyBorder="0" applyAlignment="0" applyProtection="0">
      <alignment vertical="center"/>
    </xf>
    <xf numFmtId="0" fontId="0" fillId="0" borderId="0"/>
    <xf numFmtId="0" fontId="52" fillId="0" borderId="0" applyNumberFormat="0" applyFill="0" applyBorder="0" applyAlignment="0" applyProtection="0">
      <alignment vertical="center"/>
    </xf>
    <xf numFmtId="0" fontId="37" fillId="6" borderId="0" applyNumberFormat="0" applyBorder="0" applyAlignment="0" applyProtection="0">
      <alignment vertical="center"/>
    </xf>
    <xf numFmtId="0" fontId="0" fillId="0" borderId="0"/>
    <xf numFmtId="0" fontId="37" fillId="14"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22" fillId="0" borderId="0"/>
    <xf numFmtId="0" fontId="0" fillId="0" borderId="0"/>
    <xf numFmtId="0" fontId="0" fillId="0" borderId="0">
      <alignment vertical="center"/>
    </xf>
    <xf numFmtId="0" fontId="0" fillId="0" borderId="0">
      <alignment vertical="center"/>
    </xf>
    <xf numFmtId="0" fontId="7" fillId="14"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0" fillId="0" borderId="0"/>
    <xf numFmtId="0" fontId="9" fillId="0" borderId="0">
      <alignment vertical="center"/>
    </xf>
    <xf numFmtId="0" fontId="0" fillId="0" borderId="0"/>
    <xf numFmtId="0" fontId="0" fillId="0" borderId="0">
      <alignment vertical="center"/>
    </xf>
    <xf numFmtId="0" fontId="7" fillId="26"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35" fillId="11" borderId="0" applyNumberFormat="0" applyBorder="0" applyAlignment="0" applyProtection="0">
      <alignment vertical="center"/>
    </xf>
    <xf numFmtId="0" fontId="0" fillId="0" borderId="0">
      <alignment vertical="center"/>
    </xf>
    <xf numFmtId="0" fontId="35" fillId="11" borderId="0" applyNumberFormat="0" applyBorder="0" applyAlignment="0" applyProtection="0">
      <alignment vertical="center"/>
    </xf>
    <xf numFmtId="0" fontId="0" fillId="0" borderId="0">
      <alignment vertical="center"/>
    </xf>
    <xf numFmtId="0" fontId="7" fillId="0" borderId="0"/>
    <xf numFmtId="0" fontId="0" fillId="0" borderId="0"/>
    <xf numFmtId="0" fontId="35" fillId="11" borderId="0" applyNumberFormat="0" applyBorder="0" applyAlignment="0" applyProtection="0">
      <alignment vertical="center"/>
    </xf>
    <xf numFmtId="0" fontId="0" fillId="0" borderId="0"/>
    <xf numFmtId="0" fontId="0" fillId="0" borderId="0"/>
    <xf numFmtId="0" fontId="7" fillId="26"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0" fillId="0" borderId="0"/>
    <xf numFmtId="0" fontId="35" fillId="11" borderId="0" applyNumberFormat="0" applyBorder="0" applyAlignment="0" applyProtection="0">
      <alignment vertical="center"/>
    </xf>
    <xf numFmtId="0" fontId="0" fillId="0" borderId="0">
      <alignment vertical="center"/>
    </xf>
    <xf numFmtId="0" fontId="35" fillId="11" borderId="0" applyNumberFormat="0" applyBorder="0" applyAlignment="0" applyProtection="0">
      <alignment vertical="center"/>
    </xf>
    <xf numFmtId="0" fontId="0" fillId="0" borderId="0"/>
    <xf numFmtId="0" fontId="35" fillId="11" borderId="0" applyNumberFormat="0" applyBorder="0" applyAlignment="0" applyProtection="0">
      <alignment vertical="center"/>
    </xf>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0" fillId="0" borderId="0"/>
    <xf numFmtId="0" fontId="35" fillId="19" borderId="0" applyNumberFormat="0" applyBorder="0" applyAlignment="0" applyProtection="0">
      <alignment vertical="center"/>
    </xf>
    <xf numFmtId="0" fontId="0" fillId="0" borderId="0">
      <alignment vertical="center"/>
    </xf>
    <xf numFmtId="0" fontId="0" fillId="0" borderId="0">
      <alignment vertical="center"/>
    </xf>
    <xf numFmtId="0" fontId="35" fillId="19"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7" fillId="6" borderId="0" applyNumberFormat="0" applyBorder="0" applyAlignment="0" applyProtection="0">
      <alignment vertical="center"/>
    </xf>
    <xf numFmtId="0" fontId="37" fillId="11"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35" fillId="22" borderId="0" applyNumberFormat="0" applyBorder="0" applyAlignment="0" applyProtection="0">
      <alignment vertical="center"/>
    </xf>
    <xf numFmtId="0" fontId="55" fillId="0" borderId="26" applyNumberFormat="0" applyFill="0" applyAlignment="0" applyProtection="0">
      <alignment vertical="center"/>
    </xf>
    <xf numFmtId="0" fontId="37" fillId="11" borderId="0" applyNumberFormat="0" applyBorder="0" applyAlignment="0" applyProtection="0">
      <alignment vertical="center"/>
    </xf>
    <xf numFmtId="0" fontId="0" fillId="0" borderId="0"/>
    <xf numFmtId="0" fontId="59"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0" fillId="0" borderId="0"/>
    <xf numFmtId="0" fontId="7"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5" fillId="14" borderId="0" applyNumberFormat="0" applyBorder="0" applyAlignment="0" applyProtection="0">
      <alignment vertical="center"/>
    </xf>
    <xf numFmtId="0" fontId="0" fillId="0" borderId="0"/>
    <xf numFmtId="0" fontId="7" fillId="26"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37" fillId="11" borderId="0" applyNumberFormat="0" applyBorder="0" applyAlignment="0" applyProtection="0">
      <alignment vertical="center"/>
    </xf>
    <xf numFmtId="0" fontId="0" fillId="0" borderId="0">
      <alignment vertical="center"/>
    </xf>
    <xf numFmtId="0" fontId="0" fillId="0" borderId="0"/>
    <xf numFmtId="0" fontId="37" fillId="11" borderId="0" applyNumberFormat="0" applyBorder="0" applyAlignment="0" applyProtection="0">
      <alignment vertical="center"/>
    </xf>
    <xf numFmtId="0" fontId="0" fillId="0" borderId="0"/>
    <xf numFmtId="0" fontId="55" fillId="0" borderId="26" applyNumberFormat="0" applyFill="0" applyAlignment="0" applyProtection="0">
      <alignment vertical="center"/>
    </xf>
    <xf numFmtId="0" fontId="37" fillId="11"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0" fillId="0" borderId="0"/>
    <xf numFmtId="0" fontId="0" fillId="0" borderId="0"/>
    <xf numFmtId="0" fontId="0" fillId="0" borderId="0">
      <alignment vertical="center"/>
    </xf>
    <xf numFmtId="43" fontId="7" fillId="0" borderId="0" applyFont="0" applyFill="0" applyBorder="0" applyAlignment="0" applyProtection="0">
      <alignment vertical="center"/>
    </xf>
    <xf numFmtId="0" fontId="0" fillId="0" borderId="0"/>
    <xf numFmtId="0" fontId="0" fillId="0" borderId="0"/>
    <xf numFmtId="0" fontId="7" fillId="21" borderId="0" applyNumberFormat="0" applyBorder="0" applyAlignment="0" applyProtection="0">
      <alignment vertical="center"/>
    </xf>
    <xf numFmtId="0" fontId="35" fillId="25"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176"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xf numFmtId="43" fontId="0" fillId="0" borderId="0" applyFont="0" applyFill="0" applyBorder="0" applyAlignment="0" applyProtection="0"/>
    <xf numFmtId="0" fontId="0" fillId="0" borderId="0">
      <alignment vertical="center"/>
    </xf>
    <xf numFmtId="0" fontId="14" fillId="0" borderId="2">
      <alignment horizontal="distributed" vertical="center" wrapText="1"/>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0" fillId="0" borderId="0"/>
    <xf numFmtId="0" fontId="0" fillId="0" borderId="0"/>
    <xf numFmtId="0" fontId="0" fillId="0" borderId="0"/>
    <xf numFmtId="179" fontId="0" fillId="0" borderId="0" applyFont="0" applyFill="0" applyBorder="0" applyAlignment="0" applyProtection="0">
      <alignment vertical="center"/>
    </xf>
    <xf numFmtId="0" fontId="7" fillId="0" borderId="0">
      <alignment vertical="center"/>
    </xf>
    <xf numFmtId="0" fontId="49" fillId="0" borderId="24" applyNumberFormat="0" applyFill="0" applyAlignment="0" applyProtection="0">
      <alignment vertical="center"/>
    </xf>
    <xf numFmtId="0" fontId="0" fillId="0" borderId="0">
      <alignment vertical="center"/>
    </xf>
    <xf numFmtId="179" fontId="0" fillId="0" borderId="0" applyFont="0" applyFill="0" applyBorder="0" applyAlignment="0" applyProtection="0"/>
    <xf numFmtId="0" fontId="7" fillId="0" borderId="0">
      <alignment vertical="center"/>
    </xf>
    <xf numFmtId="0" fontId="0" fillId="0" borderId="0"/>
    <xf numFmtId="0" fontId="0" fillId="0" borderId="0"/>
    <xf numFmtId="0" fontId="0" fillId="0" borderId="0"/>
    <xf numFmtId="0" fontId="0" fillId="0" borderId="0">
      <alignment vertical="center"/>
    </xf>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179" fontId="0" fillId="0" borderId="0" applyFont="0" applyFill="0" applyBorder="0" applyAlignment="0" applyProtection="0"/>
    <xf numFmtId="0" fontId="0" fillId="0" borderId="0"/>
    <xf numFmtId="0" fontId="0" fillId="0" borderId="0"/>
    <xf numFmtId="179" fontId="0" fillId="0" borderId="0" applyFont="0" applyFill="0" applyBorder="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xf numFmtId="0" fontId="39" fillId="9" borderId="0" applyNumberFormat="0" applyBorder="0" applyAlignment="0" applyProtection="0">
      <alignment vertical="center"/>
    </xf>
    <xf numFmtId="0" fontId="36" fillId="7"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7" fillId="22" borderId="0" applyNumberFormat="0" applyBorder="0" applyAlignment="0" applyProtection="0">
      <alignment vertical="center"/>
    </xf>
    <xf numFmtId="0" fontId="0" fillId="0" borderId="0"/>
    <xf numFmtId="0" fontId="0" fillId="0" borderId="0">
      <alignment vertical="center"/>
    </xf>
    <xf numFmtId="0" fontId="35" fillId="11"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 fillId="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7" fillId="5" borderId="0" applyNumberFormat="0" applyBorder="0" applyAlignment="0" applyProtection="0">
      <alignment vertical="center"/>
    </xf>
    <xf numFmtId="0" fontId="0" fillId="0" borderId="0"/>
    <xf numFmtId="0" fontId="0" fillId="0" borderId="0"/>
    <xf numFmtId="0" fontId="0" fillId="0" borderId="0">
      <alignment vertical="center"/>
    </xf>
    <xf numFmtId="0" fontId="35" fillId="19" borderId="0" applyNumberFormat="0" applyBorder="0" applyAlignment="0" applyProtection="0">
      <alignment vertical="center"/>
    </xf>
    <xf numFmtId="0" fontId="7" fillId="5"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0" fillId="0" borderId="0">
      <alignment vertical="center"/>
    </xf>
    <xf numFmtId="0" fontId="0" fillId="0" borderId="0"/>
    <xf numFmtId="0" fontId="35" fillId="19" borderId="0" applyNumberFormat="0" applyBorder="0" applyAlignment="0" applyProtection="0">
      <alignment vertical="center"/>
    </xf>
    <xf numFmtId="0" fontId="7" fillId="5" borderId="0" applyNumberFormat="0" applyBorder="0" applyAlignment="0" applyProtection="0">
      <alignment vertical="center"/>
    </xf>
    <xf numFmtId="0" fontId="0" fillId="0" borderId="0"/>
    <xf numFmtId="0" fontId="0" fillId="0" borderId="0"/>
    <xf numFmtId="0" fontId="36" fillId="7" borderId="0" applyNumberFormat="0" applyBorder="0" applyAlignment="0" applyProtection="0">
      <alignment vertical="center"/>
    </xf>
    <xf numFmtId="0" fontId="0" fillId="0" borderId="0"/>
    <xf numFmtId="0" fontId="0" fillId="0" borderId="0">
      <alignment vertical="center"/>
    </xf>
    <xf numFmtId="0" fontId="0" fillId="0" borderId="0"/>
    <xf numFmtId="43" fontId="0" fillId="0" borderId="0" applyFont="0" applyFill="0" applyBorder="0" applyAlignment="0" applyProtection="0">
      <alignment vertical="center"/>
    </xf>
    <xf numFmtId="0" fontId="7" fillId="6" borderId="0" applyNumberFormat="0" applyBorder="0" applyAlignment="0" applyProtection="0">
      <alignment vertical="center"/>
    </xf>
    <xf numFmtId="0" fontId="0" fillId="0" borderId="0"/>
    <xf numFmtId="0" fontId="7" fillId="0" borderId="0"/>
    <xf numFmtId="0" fontId="0" fillId="0" borderId="0"/>
    <xf numFmtId="0" fontId="35" fillId="11" borderId="0" applyNumberFormat="0" applyBorder="0" applyAlignment="0" applyProtection="0">
      <alignment vertical="center"/>
    </xf>
    <xf numFmtId="0" fontId="0" fillId="0" borderId="0">
      <alignment vertical="center"/>
    </xf>
    <xf numFmtId="0" fontId="35" fillId="11" borderId="0" applyNumberFormat="0" applyBorder="0" applyAlignment="0" applyProtection="0">
      <alignment vertical="center"/>
    </xf>
    <xf numFmtId="0" fontId="0" fillId="0" borderId="0">
      <alignment vertical="center"/>
    </xf>
    <xf numFmtId="0" fontId="35" fillId="11"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35" fillId="11"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7" fillId="20" borderId="0" applyNumberFormat="0" applyBorder="0" applyAlignment="0" applyProtection="0">
      <alignment vertical="center"/>
    </xf>
    <xf numFmtId="0" fontId="0" fillId="0" borderId="0">
      <alignment vertical="center"/>
    </xf>
    <xf numFmtId="0" fontId="0" fillId="0" borderId="0"/>
    <xf numFmtId="0" fontId="7" fillId="20"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38" fillId="6" borderId="18" applyNumberFormat="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xf numFmtId="0" fontId="44" fillId="24" borderId="21" applyNumberFormat="0" applyAlignment="0" applyProtection="0">
      <alignment vertical="center"/>
    </xf>
    <xf numFmtId="0" fontId="7" fillId="20" borderId="0" applyNumberFormat="0" applyBorder="0" applyAlignment="0" applyProtection="0">
      <alignment vertical="center"/>
    </xf>
    <xf numFmtId="0" fontId="0" fillId="20" borderId="19" applyNumberFormat="0" applyFont="0" applyAlignment="0" applyProtection="0">
      <alignment vertical="center"/>
    </xf>
    <xf numFmtId="0" fontId="0" fillId="0" borderId="0">
      <alignment vertical="center"/>
    </xf>
    <xf numFmtId="0" fontId="7" fillId="6" borderId="0" applyNumberFormat="0" applyBorder="0" applyAlignment="0" applyProtection="0">
      <alignment vertical="center"/>
    </xf>
    <xf numFmtId="9"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0" borderId="0"/>
    <xf numFmtId="0" fontId="0" fillId="0" borderId="0">
      <alignment vertical="center"/>
    </xf>
    <xf numFmtId="0" fontId="7" fillId="21" borderId="0" applyNumberFormat="0" applyBorder="0" applyAlignment="0" applyProtection="0">
      <alignment vertical="center"/>
    </xf>
    <xf numFmtId="0" fontId="7" fillId="20" borderId="0" applyNumberFormat="0" applyBorder="0" applyAlignment="0" applyProtection="0">
      <alignment vertical="center"/>
    </xf>
    <xf numFmtId="0" fontId="0" fillId="20" borderId="19" applyNumberFormat="0" applyFont="0" applyAlignment="0" applyProtection="0">
      <alignment vertical="center"/>
    </xf>
    <xf numFmtId="0" fontId="0" fillId="0" borderId="0"/>
    <xf numFmtId="0" fontId="7" fillId="6" borderId="0" applyNumberFormat="0" applyBorder="0" applyAlignment="0" applyProtection="0">
      <alignment vertical="center"/>
    </xf>
    <xf numFmtId="0" fontId="20" fillId="0" borderId="25" applyNumberFormat="0" applyFill="0" applyAlignment="0" applyProtection="0">
      <alignment vertical="center"/>
    </xf>
    <xf numFmtId="0" fontId="48" fillId="0" borderId="0" applyNumberFormat="0" applyFill="0" applyBorder="0" applyAlignment="0" applyProtection="0">
      <alignment vertical="center"/>
    </xf>
    <xf numFmtId="0" fontId="0" fillId="0" borderId="0"/>
    <xf numFmtId="0" fontId="35" fillId="19" borderId="0" applyNumberFormat="0" applyBorder="0" applyAlignment="0" applyProtection="0">
      <alignment vertical="center"/>
    </xf>
    <xf numFmtId="0" fontId="0" fillId="0" borderId="0">
      <alignment vertical="center"/>
    </xf>
    <xf numFmtId="0" fontId="0" fillId="0" borderId="0"/>
    <xf numFmtId="0" fontId="35" fillId="11" borderId="0" applyNumberFormat="0" applyBorder="0" applyAlignment="0" applyProtection="0">
      <alignment vertical="center"/>
    </xf>
    <xf numFmtId="0" fontId="0" fillId="0" borderId="0">
      <alignment vertical="center"/>
    </xf>
    <xf numFmtId="0" fontId="0" fillId="0" borderId="0"/>
    <xf numFmtId="0" fontId="37" fillId="28"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20" borderId="19" applyNumberFormat="0" applyFont="0" applyAlignment="0" applyProtection="0">
      <alignment vertical="center"/>
    </xf>
    <xf numFmtId="0" fontId="7" fillId="20" borderId="0" applyNumberFormat="0" applyBorder="0" applyAlignment="0" applyProtection="0">
      <alignment vertical="center"/>
    </xf>
    <xf numFmtId="0" fontId="37" fillId="28" borderId="0" applyNumberFormat="0" applyBorder="0" applyAlignment="0" applyProtection="0">
      <alignment vertical="center"/>
    </xf>
    <xf numFmtId="0" fontId="0" fillId="0" borderId="0"/>
    <xf numFmtId="0" fontId="0" fillId="0" borderId="0"/>
    <xf numFmtId="0" fontId="0" fillId="0" borderId="0"/>
    <xf numFmtId="0" fontId="52" fillId="0" borderId="0" applyNumberFormat="0" applyFill="0" applyBorder="0" applyAlignment="0" applyProtection="0">
      <alignment vertical="center"/>
    </xf>
    <xf numFmtId="0" fontId="36" fillId="7"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6" fillId="7" borderId="0" applyNumberFormat="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0" fillId="0" borderId="0"/>
    <xf numFmtId="0" fontId="7" fillId="6" borderId="0" applyNumberFormat="0" applyBorder="0" applyAlignment="0" applyProtection="0">
      <alignment vertical="center"/>
    </xf>
    <xf numFmtId="0" fontId="35" fillId="11"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35" fillId="11"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47" fillId="0" borderId="23" applyNumberFormat="0" applyFill="0" applyAlignment="0" applyProtection="0">
      <alignment vertical="center"/>
    </xf>
    <xf numFmtId="0" fontId="35" fillId="11"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7" fillId="17" borderId="0" applyNumberFormat="0" applyBorder="0" applyAlignment="0" applyProtection="0">
      <alignment vertical="center"/>
    </xf>
    <xf numFmtId="0" fontId="35" fillId="23" borderId="0" applyNumberFormat="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 fillId="6" borderId="0" applyNumberFormat="0" applyBorder="0" applyAlignment="0" applyProtection="0">
      <alignment vertical="center"/>
    </xf>
    <xf numFmtId="0" fontId="35" fillId="11"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0" fillId="0" borderId="0">
      <alignment vertical="center"/>
    </xf>
    <xf numFmtId="0" fontId="47" fillId="0" borderId="23" applyNumberFormat="0" applyFill="0" applyAlignment="0" applyProtection="0">
      <alignment vertical="center"/>
    </xf>
    <xf numFmtId="0" fontId="0" fillId="0" borderId="0"/>
    <xf numFmtId="0" fontId="0" fillId="0" borderId="0"/>
    <xf numFmtId="0" fontId="44" fillId="24" borderId="21" applyNumberFormat="0" applyAlignment="0" applyProtection="0">
      <alignment vertical="center"/>
    </xf>
    <xf numFmtId="181" fontId="14" fillId="0" borderId="2">
      <alignment vertical="center"/>
      <protection locked="0"/>
    </xf>
    <xf numFmtId="0" fontId="0" fillId="0" borderId="0">
      <alignment vertical="center"/>
    </xf>
    <xf numFmtId="0" fontId="7" fillId="9" borderId="0" applyNumberFormat="0" applyBorder="0" applyAlignment="0" applyProtection="0">
      <alignment vertical="center"/>
    </xf>
    <xf numFmtId="0" fontId="39" fillId="9"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7" fillId="2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0" borderId="19" applyNumberFormat="0" applyFont="0" applyAlignment="0" applyProtection="0">
      <alignment vertical="center"/>
    </xf>
    <xf numFmtId="0" fontId="0" fillId="0" borderId="0"/>
    <xf numFmtId="0" fontId="0" fillId="0" borderId="0"/>
    <xf numFmtId="0" fontId="0" fillId="0" borderId="0"/>
    <xf numFmtId="0" fontId="0" fillId="0" borderId="0"/>
    <xf numFmtId="0" fontId="0" fillId="0" borderId="0"/>
    <xf numFmtId="0" fontId="7" fillId="0" borderId="0">
      <alignment vertical="center"/>
    </xf>
    <xf numFmtId="0" fontId="0" fillId="0" borderId="0"/>
    <xf numFmtId="0" fontId="0" fillId="0" borderId="0">
      <alignment vertical="center"/>
    </xf>
    <xf numFmtId="0" fontId="47" fillId="0" borderId="23" applyNumberFormat="0" applyFill="0" applyAlignment="0" applyProtection="0">
      <alignment vertical="center"/>
    </xf>
    <xf numFmtId="0" fontId="0" fillId="0" borderId="0"/>
    <xf numFmtId="0" fontId="0" fillId="0" borderId="0"/>
    <xf numFmtId="0" fontId="0" fillId="0" borderId="0"/>
    <xf numFmtId="0" fontId="9" fillId="0" borderId="0">
      <alignment vertical="center"/>
    </xf>
    <xf numFmtId="9" fontId="9" fillId="0" borderId="0" applyFont="0" applyFill="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xf numFmtId="0" fontId="9"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xf numFmtId="0" fontId="0" fillId="0" borderId="0"/>
    <xf numFmtId="0" fontId="50" fillId="24" borderId="21" applyNumberFormat="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35" fillId="12" borderId="0" applyNumberFormat="0" applyBorder="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7" fillId="6" borderId="0" applyNumberFormat="0" applyBorder="0" applyAlignment="0" applyProtection="0">
      <alignment vertical="center"/>
    </xf>
    <xf numFmtId="179" fontId="0" fillId="0" borderId="0" applyFont="0" applyFill="0" applyBorder="0" applyAlignment="0" applyProtection="0">
      <alignment vertical="center"/>
    </xf>
    <xf numFmtId="0" fontId="0" fillId="0" borderId="0"/>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0" fillId="0" borderId="0"/>
    <xf numFmtId="0" fontId="7" fillId="15" borderId="0" applyNumberFormat="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7" fillId="21" borderId="0" applyNumberFormat="0" applyBorder="0" applyAlignment="0" applyProtection="0">
      <alignment vertical="center"/>
    </xf>
    <xf numFmtId="0" fontId="15" fillId="0" borderId="0"/>
    <xf numFmtId="0" fontId="7" fillId="13" borderId="0" applyNumberFormat="0" applyBorder="0" applyAlignment="0" applyProtection="0">
      <alignment vertical="center"/>
    </xf>
    <xf numFmtId="0" fontId="0" fillId="0" borderId="0">
      <alignment vertical="center"/>
    </xf>
    <xf numFmtId="0" fontId="0" fillId="0" borderId="0"/>
    <xf numFmtId="0" fontId="0" fillId="0" borderId="0"/>
    <xf numFmtId="0" fontId="40" fillId="0" borderId="0" applyNumberFormat="0" applyFill="0" applyBorder="0" applyAlignment="0" applyProtection="0">
      <alignment vertical="center"/>
    </xf>
    <xf numFmtId="0" fontId="0" fillId="0" borderId="0"/>
    <xf numFmtId="0" fontId="7" fillId="26"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7" fillId="17" borderId="0" applyNumberFormat="0" applyBorder="0" applyAlignment="0" applyProtection="0">
      <alignment vertical="center"/>
    </xf>
    <xf numFmtId="0" fontId="43" fillId="13" borderId="18" applyNumberFormat="0" applyAlignment="0" applyProtection="0">
      <alignment vertical="center"/>
    </xf>
    <xf numFmtId="0" fontId="0" fillId="0" borderId="0"/>
    <xf numFmtId="0" fontId="0" fillId="0" borderId="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48" fillId="0" borderId="0" applyNumberFormat="0" applyFill="0" applyBorder="0" applyAlignment="0" applyProtection="0">
      <alignment vertical="center"/>
    </xf>
    <xf numFmtId="0" fontId="0" fillId="0" borderId="0">
      <alignment vertical="center"/>
    </xf>
    <xf numFmtId="0" fontId="39" fillId="9"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7"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38" fillId="6" borderId="18" applyNumberFormat="0" applyAlignment="0" applyProtection="0">
      <alignment vertical="center"/>
    </xf>
    <xf numFmtId="0" fontId="0" fillId="0" borderId="0"/>
    <xf numFmtId="0" fontId="0" fillId="0" borderId="0"/>
    <xf numFmtId="0" fontId="35" fillId="19"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59"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applyNumberFormat="0" applyFill="0" applyBorder="0" applyAlignment="0" applyProtection="0">
      <alignment vertical="top"/>
      <protection locked="0"/>
    </xf>
    <xf numFmtId="0" fontId="0" fillId="0" borderId="0"/>
    <xf numFmtId="0" fontId="70" fillId="0" borderId="20" applyNumberFormat="0" applyFill="0" applyAlignment="0" applyProtection="0">
      <alignment vertical="center"/>
    </xf>
    <xf numFmtId="0" fontId="0" fillId="0" borderId="0"/>
    <xf numFmtId="0" fontId="0" fillId="0" borderId="0">
      <alignment vertical="center"/>
    </xf>
    <xf numFmtId="0" fontId="0" fillId="0" borderId="0"/>
    <xf numFmtId="0" fontId="51" fillId="22" borderId="0" applyNumberFormat="0" applyBorder="0" applyAlignment="0" applyProtection="0">
      <alignment vertical="center"/>
    </xf>
    <xf numFmtId="0" fontId="0" fillId="0" borderId="0">
      <alignment vertical="center"/>
    </xf>
    <xf numFmtId="0" fontId="49" fillId="0" borderId="24" applyNumberFormat="0" applyFill="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0" fillId="0" borderId="0"/>
    <xf numFmtId="0" fontId="0" fillId="0" borderId="0"/>
    <xf numFmtId="0" fontId="7" fillId="6" borderId="0" applyNumberFormat="0" applyBorder="0" applyAlignment="0" applyProtection="0">
      <alignment vertical="center"/>
    </xf>
    <xf numFmtId="0" fontId="44" fillId="24" borderId="21" applyNumberFormat="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0" fillId="0" borderId="0">
      <alignment vertical="center"/>
    </xf>
    <xf numFmtId="0" fontId="0" fillId="0" borderId="0"/>
    <xf numFmtId="0" fontId="7" fillId="6" borderId="0" applyNumberFormat="0" applyBorder="0" applyAlignment="0" applyProtection="0">
      <alignment vertical="center"/>
    </xf>
    <xf numFmtId="0" fontId="0" fillId="0" borderId="0"/>
    <xf numFmtId="0" fontId="0" fillId="0" borderId="0"/>
    <xf numFmtId="0" fontId="7" fillId="2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7" fillId="5" borderId="0" applyNumberFormat="0" applyBorder="0" applyAlignment="0" applyProtection="0">
      <alignment vertical="center"/>
    </xf>
    <xf numFmtId="0" fontId="0" fillId="0" borderId="0"/>
    <xf numFmtId="0" fontId="35" fillId="18" borderId="0" applyNumberFormat="0" applyBorder="0" applyAlignment="0" applyProtection="0">
      <alignment vertical="center"/>
    </xf>
    <xf numFmtId="0" fontId="7" fillId="21" borderId="0" applyNumberFormat="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0" fontId="0" fillId="0" borderId="0"/>
    <xf numFmtId="0" fontId="35" fillId="18" borderId="0" applyNumberFormat="0" applyBorder="0" applyAlignment="0" applyProtection="0">
      <alignment vertical="center"/>
    </xf>
    <xf numFmtId="0" fontId="7" fillId="6"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37" fillId="28" borderId="0" applyNumberFormat="0" applyBorder="0" applyAlignment="0" applyProtection="0">
      <alignment vertical="center"/>
    </xf>
    <xf numFmtId="0" fontId="0" fillId="0" borderId="0">
      <alignment vertical="center"/>
    </xf>
    <xf numFmtId="0" fontId="0" fillId="0" borderId="0"/>
    <xf numFmtId="0" fontId="59" fillId="0" borderId="0" applyNumberFormat="0" applyFill="0" applyBorder="0" applyAlignment="0" applyProtection="0">
      <alignment vertical="top"/>
      <protection locked="0"/>
    </xf>
    <xf numFmtId="0" fontId="39" fillId="9" borderId="0" applyNumberFormat="0" applyBorder="0" applyAlignment="0" applyProtection="0">
      <alignment vertical="center"/>
    </xf>
    <xf numFmtId="0" fontId="34" fillId="0" borderId="27" applyNumberFormat="0" applyFill="0" applyAlignment="0" applyProtection="0">
      <alignment vertical="center"/>
    </xf>
    <xf numFmtId="0" fontId="0" fillId="0" borderId="0">
      <alignment vertical="center"/>
    </xf>
    <xf numFmtId="0" fontId="0" fillId="0" borderId="0">
      <alignment vertical="center"/>
    </xf>
    <xf numFmtId="0" fontId="0" fillId="0" borderId="0"/>
    <xf numFmtId="0" fontId="39" fillId="9" borderId="0" applyNumberFormat="0" applyBorder="0" applyAlignment="0" applyProtection="0">
      <alignment vertical="center"/>
    </xf>
    <xf numFmtId="0" fontId="0" fillId="0" borderId="0">
      <alignment vertical="center"/>
    </xf>
    <xf numFmtId="0" fontId="0" fillId="0" borderId="0"/>
    <xf numFmtId="0" fontId="43" fillId="5" borderId="18" applyNumberFormat="0" applyAlignment="0" applyProtection="0">
      <alignment vertical="center"/>
    </xf>
    <xf numFmtId="0" fontId="7" fillId="26" borderId="0" applyNumberFormat="0" applyBorder="0" applyAlignment="0" applyProtection="0">
      <alignment vertical="center"/>
    </xf>
    <xf numFmtId="0" fontId="37" fillId="22" borderId="0" applyNumberFormat="0" applyBorder="0" applyAlignment="0" applyProtection="0">
      <alignment vertical="center"/>
    </xf>
    <xf numFmtId="0" fontId="0" fillId="0" borderId="0"/>
    <xf numFmtId="0" fontId="0" fillId="0" borderId="0"/>
    <xf numFmtId="0" fontId="37" fillId="12" borderId="0" applyNumberFormat="0" applyBorder="0" applyAlignment="0" applyProtection="0">
      <alignment vertical="center"/>
    </xf>
    <xf numFmtId="0" fontId="0" fillId="0" borderId="0"/>
    <xf numFmtId="0" fontId="0" fillId="0" borderId="0"/>
    <xf numFmtId="0" fontId="38" fillId="6" borderId="18" applyNumberFormat="0" applyAlignment="0" applyProtection="0">
      <alignment vertical="center"/>
    </xf>
    <xf numFmtId="0" fontId="0" fillId="0" borderId="0"/>
    <xf numFmtId="0" fontId="37" fillId="12" borderId="0" applyNumberFormat="0" applyBorder="0" applyAlignment="0" applyProtection="0">
      <alignment vertical="center"/>
    </xf>
    <xf numFmtId="0" fontId="0" fillId="0" borderId="0"/>
    <xf numFmtId="0" fontId="0" fillId="0" borderId="0"/>
    <xf numFmtId="0" fontId="38" fillId="6" borderId="18" applyNumberFormat="0" applyAlignment="0" applyProtection="0">
      <alignment vertical="center"/>
    </xf>
    <xf numFmtId="0" fontId="37" fillId="14" borderId="0" applyNumberFormat="0" applyBorder="0" applyAlignment="0" applyProtection="0">
      <alignment vertical="center"/>
    </xf>
    <xf numFmtId="0" fontId="35" fillId="19" borderId="0" applyNumberFormat="0" applyBorder="0" applyAlignment="0" applyProtection="0">
      <alignment vertical="center"/>
    </xf>
    <xf numFmtId="0" fontId="0" fillId="0" borderId="0"/>
    <xf numFmtId="0" fontId="37" fillId="6" borderId="0" applyNumberFormat="0" applyBorder="0" applyAlignment="0" applyProtection="0">
      <alignment vertical="center"/>
    </xf>
    <xf numFmtId="0" fontId="0" fillId="0" borderId="0"/>
    <xf numFmtId="0" fontId="0" fillId="0" borderId="0">
      <alignment vertical="center"/>
    </xf>
    <xf numFmtId="0" fontId="0" fillId="0" borderId="0"/>
    <xf numFmtId="0" fontId="38" fillId="6" borderId="18" applyNumberFormat="0" applyAlignment="0" applyProtection="0">
      <alignment vertical="center"/>
    </xf>
    <xf numFmtId="0" fontId="35" fillId="19"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0" fillId="0" borderId="0"/>
    <xf numFmtId="0" fontId="0" fillId="20" borderId="19" applyNumberFormat="0" applyFont="0" applyAlignment="0" applyProtection="0">
      <alignment vertical="center"/>
    </xf>
    <xf numFmtId="0" fontId="38" fillId="6" borderId="18" applyNumberFormat="0" applyAlignment="0" applyProtection="0">
      <alignment vertical="center"/>
    </xf>
    <xf numFmtId="0" fontId="35" fillId="14" borderId="0" applyNumberFormat="0" applyBorder="0" applyAlignment="0" applyProtection="0">
      <alignment vertical="center"/>
    </xf>
    <xf numFmtId="0" fontId="0" fillId="0" borderId="0"/>
    <xf numFmtId="0" fontId="0" fillId="0" borderId="0"/>
    <xf numFmtId="9" fontId="7" fillId="0" borderId="0" applyFont="0" applyFill="0" applyBorder="0" applyAlignment="0" applyProtection="0">
      <alignment vertical="center"/>
    </xf>
    <xf numFmtId="0" fontId="0" fillId="0" borderId="0"/>
    <xf numFmtId="0" fontId="7" fillId="10"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35" fillId="19" borderId="0" applyNumberFormat="0" applyBorder="0" applyAlignment="0" applyProtection="0">
      <alignment vertical="center"/>
    </xf>
    <xf numFmtId="0" fontId="7" fillId="9"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46" fillId="0" borderId="0"/>
    <xf numFmtId="0" fontId="45"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xf numFmtId="0" fontId="7" fillId="15" borderId="0" applyNumberFormat="0" applyBorder="0" applyAlignment="0" applyProtection="0">
      <alignment vertical="center"/>
    </xf>
    <xf numFmtId="0" fontId="35" fillId="12" borderId="0" applyNumberFormat="0" applyBorder="0" applyAlignment="0" applyProtection="0">
      <alignment vertical="center"/>
    </xf>
    <xf numFmtId="0" fontId="0" fillId="0" borderId="0"/>
    <xf numFmtId="0" fontId="0" fillId="0" borderId="0">
      <alignment vertical="center"/>
    </xf>
    <xf numFmtId="0" fontId="7" fillId="5" borderId="0" applyNumberFormat="0" applyBorder="0" applyAlignment="0" applyProtection="0">
      <alignment vertical="center"/>
    </xf>
    <xf numFmtId="0" fontId="0" fillId="0" borderId="0">
      <alignment vertical="center"/>
    </xf>
    <xf numFmtId="0" fontId="0" fillId="0" borderId="0"/>
    <xf numFmtId="0" fontId="44" fillId="24" borderId="21" applyNumberFormat="0" applyAlignment="0" applyProtection="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xf numFmtId="43" fontId="0" fillId="0" borderId="0" applyFont="0" applyFill="0" applyBorder="0" applyAlignment="0" applyProtection="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35" fillId="19" borderId="0" applyNumberFormat="0" applyBorder="0" applyAlignment="0" applyProtection="0">
      <alignment vertical="center"/>
    </xf>
    <xf numFmtId="0" fontId="65"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5" fillId="12" borderId="0" applyNumberFormat="0" applyBorder="0" applyAlignment="0" applyProtection="0">
      <alignment vertical="center"/>
    </xf>
    <xf numFmtId="0" fontId="0" fillId="0" borderId="0"/>
    <xf numFmtId="0" fontId="35" fillId="12" borderId="0" applyNumberFormat="0" applyBorder="0" applyAlignment="0" applyProtection="0">
      <alignment vertical="center"/>
    </xf>
    <xf numFmtId="0" fontId="0" fillId="0" borderId="0">
      <alignment vertical="center"/>
    </xf>
    <xf numFmtId="0" fontId="0" fillId="0" borderId="0"/>
    <xf numFmtId="0" fontId="7" fillId="7" borderId="0" applyNumberFormat="0" applyBorder="0" applyAlignment="0" applyProtection="0">
      <alignment vertical="center"/>
    </xf>
    <xf numFmtId="0" fontId="0" fillId="0" borderId="0"/>
    <xf numFmtId="0" fontId="0" fillId="0" borderId="0">
      <alignment vertical="center"/>
    </xf>
    <xf numFmtId="0" fontId="35" fillId="19" borderId="0" applyNumberFormat="0" applyBorder="0" applyAlignment="0" applyProtection="0">
      <alignment vertical="center"/>
    </xf>
    <xf numFmtId="0" fontId="49" fillId="0" borderId="24" applyNumberFormat="0" applyFill="0" applyAlignment="0" applyProtection="0">
      <alignment vertical="center"/>
    </xf>
    <xf numFmtId="0" fontId="0" fillId="0" borderId="0">
      <alignment vertical="center"/>
    </xf>
    <xf numFmtId="0" fontId="35" fillId="10" borderId="0" applyNumberFormat="0" applyBorder="0" applyAlignment="0" applyProtection="0">
      <alignment vertical="center"/>
    </xf>
    <xf numFmtId="179" fontId="0" fillId="0" borderId="0" applyFont="0" applyFill="0" applyBorder="0" applyAlignment="0" applyProtection="0"/>
    <xf numFmtId="0" fontId="35" fillId="19" borderId="0" applyNumberFormat="0" applyBorder="0" applyAlignment="0" applyProtection="0">
      <alignment vertical="center"/>
    </xf>
    <xf numFmtId="0" fontId="42" fillId="0" borderId="20" applyNumberFormat="0" applyFill="0" applyAlignment="0" applyProtection="0">
      <alignment vertical="center"/>
    </xf>
    <xf numFmtId="0" fontId="0" fillId="0" borderId="0"/>
    <xf numFmtId="0" fontId="0" fillId="0" borderId="0"/>
    <xf numFmtId="0" fontId="37" fillId="11" borderId="0" applyNumberFormat="0" applyBorder="0" applyAlignment="0" applyProtection="0">
      <alignment vertical="center"/>
    </xf>
    <xf numFmtId="0" fontId="0" fillId="0" borderId="0"/>
    <xf numFmtId="0" fontId="0" fillId="0" borderId="0">
      <alignment vertical="center"/>
    </xf>
    <xf numFmtId="0" fontId="35" fillId="19" borderId="0" applyNumberFormat="0" applyBorder="0" applyAlignment="0" applyProtection="0">
      <alignment vertical="center"/>
    </xf>
    <xf numFmtId="0" fontId="0" fillId="0" borderId="0"/>
    <xf numFmtId="0" fontId="55" fillId="0" borderId="26" applyNumberFormat="0" applyFill="0" applyAlignment="0" applyProtection="0">
      <alignment vertical="center"/>
    </xf>
    <xf numFmtId="0" fontId="0" fillId="0" borderId="0"/>
    <xf numFmtId="0" fontId="0" fillId="0" borderId="0">
      <alignment vertical="center"/>
    </xf>
    <xf numFmtId="0" fontId="35" fillId="19" borderId="0" applyNumberFormat="0" applyBorder="0" applyAlignment="0" applyProtection="0">
      <alignment vertical="center"/>
    </xf>
    <xf numFmtId="0" fontId="0" fillId="0" borderId="0">
      <alignment vertical="center"/>
    </xf>
    <xf numFmtId="0" fontId="0" fillId="0" borderId="0"/>
    <xf numFmtId="0" fontId="35" fillId="19"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35" fillId="18" borderId="0" applyNumberFormat="0" applyBorder="0" applyAlignment="0" applyProtection="0">
      <alignment vertical="center"/>
    </xf>
    <xf numFmtId="0" fontId="0" fillId="0" borderId="0"/>
    <xf numFmtId="0" fontId="0" fillId="0" borderId="0"/>
    <xf numFmtId="0" fontId="7" fillId="26" borderId="0" applyNumberFormat="0" applyBorder="0" applyAlignment="0" applyProtection="0">
      <alignment vertical="center"/>
    </xf>
    <xf numFmtId="0" fontId="35" fillId="1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9" fillId="9" borderId="0" applyNumberFormat="0" applyBorder="0" applyAlignment="0" applyProtection="0">
      <alignment vertical="center"/>
    </xf>
    <xf numFmtId="0" fontId="41" fillId="0" borderId="0" applyNumberFormat="0" applyFill="0" applyBorder="0" applyAlignment="0" applyProtection="0">
      <alignment vertical="center"/>
    </xf>
    <xf numFmtId="0" fontId="45" fillId="0" borderId="22" applyNumberFormat="0" applyFill="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37" fillId="28"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7" fillId="28" borderId="0" applyNumberFormat="0" applyBorder="0" applyAlignment="0" applyProtection="0">
      <alignment vertical="center"/>
    </xf>
    <xf numFmtId="0" fontId="0" fillId="0" borderId="0">
      <alignment vertical="center"/>
    </xf>
    <xf numFmtId="0" fontId="0" fillId="0" borderId="0"/>
    <xf numFmtId="0" fontId="0" fillId="0" borderId="0"/>
    <xf numFmtId="0" fontId="35" fillId="16"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xf numFmtId="0" fontId="33" fillId="5" borderId="17" applyNumberFormat="0" applyAlignment="0" applyProtection="0">
      <alignment vertical="center"/>
    </xf>
    <xf numFmtId="0" fontId="0" fillId="0" borderId="0"/>
    <xf numFmtId="179" fontId="0" fillId="0" borderId="0" applyFont="0" applyFill="0" applyBorder="0" applyAlignment="0" applyProtection="0"/>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57" fillId="0" borderId="0">
      <alignment vertical="center"/>
    </xf>
    <xf numFmtId="0" fontId="35" fillId="19" borderId="0" applyNumberFormat="0" applyBorder="0" applyAlignment="0" applyProtection="0">
      <alignment vertical="center"/>
    </xf>
    <xf numFmtId="0" fontId="35" fillId="18" borderId="0" applyNumberFormat="0" applyBorder="0" applyAlignment="0" applyProtection="0">
      <alignment vertical="center"/>
    </xf>
    <xf numFmtId="0" fontId="0" fillId="0" borderId="0"/>
    <xf numFmtId="0" fontId="35" fillId="18" borderId="0" applyNumberFormat="0" applyBorder="0" applyAlignment="0" applyProtection="0">
      <alignment vertical="center"/>
    </xf>
    <xf numFmtId="0" fontId="0" fillId="0" borderId="0">
      <alignment vertical="center"/>
    </xf>
    <xf numFmtId="0" fontId="0" fillId="0" borderId="0"/>
    <xf numFmtId="0" fontId="7" fillId="7" borderId="0" applyNumberFormat="0" applyBorder="0" applyAlignment="0" applyProtection="0">
      <alignment vertical="center"/>
    </xf>
    <xf numFmtId="0" fontId="33" fillId="13" borderId="17" applyNumberFormat="0" applyAlignment="0" applyProtection="0">
      <alignment vertical="center"/>
    </xf>
    <xf numFmtId="0" fontId="0" fillId="0" borderId="0"/>
    <xf numFmtId="0" fontId="0" fillId="0" borderId="0">
      <alignment vertical="center"/>
    </xf>
    <xf numFmtId="0" fontId="0" fillId="0" borderId="0"/>
    <xf numFmtId="0" fontId="0" fillId="0" borderId="0"/>
    <xf numFmtId="0" fontId="35" fillId="19"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0" fillId="0" borderId="0">
      <alignment vertical="center"/>
    </xf>
    <xf numFmtId="0" fontId="0" fillId="0" borderId="0"/>
    <xf numFmtId="0" fontId="0" fillId="0" borderId="0"/>
    <xf numFmtId="0" fontId="35" fillId="12" borderId="0" applyNumberFormat="0" applyBorder="0" applyAlignment="0" applyProtection="0">
      <alignment vertical="center"/>
    </xf>
    <xf numFmtId="43" fontId="0" fillId="0" borderId="0" applyFont="0" applyFill="0" applyBorder="0" applyAlignment="0" applyProtection="0"/>
    <xf numFmtId="0" fontId="35" fillId="18"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0" fillId="0" borderId="0"/>
    <xf numFmtId="0" fontId="7" fillId="15"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17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alignment vertical="center"/>
    </xf>
    <xf numFmtId="0" fontId="0" fillId="0" borderId="0"/>
    <xf numFmtId="0" fontId="36" fillId="7"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xf numFmtId="0" fontId="7" fillId="15" borderId="0" applyNumberFormat="0" applyBorder="0" applyAlignment="0" applyProtection="0">
      <alignment vertical="center"/>
    </xf>
    <xf numFmtId="0" fontId="0" fillId="0" borderId="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0" fillId="0" borderId="0">
      <alignment vertical="center"/>
    </xf>
    <xf numFmtId="0" fontId="7" fillId="21" borderId="0" applyNumberFormat="0" applyBorder="0" applyAlignment="0" applyProtection="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36" fillId="7" borderId="0" applyNumberFormat="0" applyBorder="0" applyAlignment="0" applyProtection="0">
      <alignment vertical="center"/>
    </xf>
    <xf numFmtId="0" fontId="7" fillId="13" borderId="0" applyNumberFormat="0" applyBorder="0" applyAlignment="0" applyProtection="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0" fillId="0" borderId="0">
      <alignment vertical="center"/>
    </xf>
    <xf numFmtId="0" fontId="7" fillId="17" borderId="0" applyNumberFormat="0" applyBorder="0" applyAlignment="0" applyProtection="0">
      <alignment vertical="center"/>
    </xf>
    <xf numFmtId="0" fontId="0" fillId="0" borderId="0"/>
    <xf numFmtId="0" fontId="0" fillId="0" borderId="0">
      <alignment vertical="center"/>
    </xf>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0" fillId="0" borderId="0">
      <alignment vertical="center"/>
    </xf>
    <xf numFmtId="0" fontId="0" fillId="0" borderId="0">
      <alignment vertical="center"/>
    </xf>
    <xf numFmtId="0" fontId="37" fillId="8" borderId="0" applyNumberFormat="0" applyBorder="0" applyAlignment="0" applyProtection="0">
      <alignment vertical="center"/>
    </xf>
    <xf numFmtId="0" fontId="7" fillId="9" borderId="0" applyNumberFormat="0" applyBorder="0" applyAlignment="0" applyProtection="0">
      <alignment vertical="center"/>
    </xf>
    <xf numFmtId="0" fontId="0" fillId="0" borderId="0"/>
    <xf numFmtId="0" fontId="0" fillId="0" borderId="0">
      <alignment vertical="center"/>
    </xf>
    <xf numFmtId="0" fontId="7" fillId="26" borderId="0" applyNumberFormat="0" applyBorder="0" applyAlignment="0" applyProtection="0">
      <alignment vertical="center"/>
    </xf>
    <xf numFmtId="0" fontId="0" fillId="0" borderId="0"/>
    <xf numFmtId="0" fontId="0" fillId="0" borderId="0"/>
    <xf numFmtId="0" fontId="0" fillId="0" borderId="0">
      <alignment vertical="center"/>
    </xf>
    <xf numFmtId="0" fontId="69" fillId="0" borderId="23" applyNumberFormat="0" applyFill="0" applyAlignment="0" applyProtection="0">
      <alignment vertical="center"/>
    </xf>
    <xf numFmtId="0" fontId="35" fillId="12"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43" fontId="0" fillId="0" borderId="0" applyFont="0" applyFill="0" applyBorder="0" applyAlignment="0" applyProtection="0"/>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7" fillId="6"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0" fillId="0" borderId="0"/>
    <xf numFmtId="43" fontId="0" fillId="0" borderId="0" applyFont="0" applyFill="0" applyBorder="0" applyAlignment="0" applyProtection="0"/>
    <xf numFmtId="0" fontId="7" fillId="6" borderId="0" applyNumberFormat="0" applyBorder="0" applyAlignment="0" applyProtection="0">
      <alignment vertical="center"/>
    </xf>
    <xf numFmtId="0" fontId="37" fillId="12" borderId="0" applyNumberFormat="0" applyBorder="0" applyAlignment="0" applyProtection="0">
      <alignment vertical="center"/>
    </xf>
    <xf numFmtId="0" fontId="7" fillId="7"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0" fontId="35" fillId="11"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179" fontId="0" fillId="0" borderId="0" applyFont="0" applyFill="0" applyBorder="0" applyAlignment="0" applyProtection="0"/>
    <xf numFmtId="0" fontId="7" fillId="26" borderId="0" applyNumberFormat="0" applyBorder="0" applyAlignment="0" applyProtection="0">
      <alignment vertical="center"/>
    </xf>
    <xf numFmtId="0" fontId="0" fillId="0" borderId="0"/>
    <xf numFmtId="0" fontId="0" fillId="0" borderId="0"/>
    <xf numFmtId="0" fontId="0" fillId="0" borderId="0"/>
    <xf numFmtId="0" fontId="7" fillId="5"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43" fontId="0" fillId="0" borderId="0" applyFont="0" applyFill="0" applyBorder="0" applyAlignment="0" applyProtection="0"/>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0" fillId="0" borderId="0"/>
    <xf numFmtId="43" fontId="0" fillId="0" borderId="0" applyFont="0" applyFill="0" applyBorder="0" applyAlignment="0" applyProtection="0"/>
    <xf numFmtId="0" fontId="0" fillId="0" borderId="0"/>
    <xf numFmtId="43" fontId="0" fillId="0" borderId="0" applyFont="0" applyFill="0" applyBorder="0" applyAlignment="0" applyProtection="0"/>
    <xf numFmtId="0" fontId="0" fillId="0" borderId="0"/>
    <xf numFmtId="0" fontId="0" fillId="0" borderId="0">
      <alignment vertical="center"/>
    </xf>
    <xf numFmtId="0" fontId="40" fillId="0" borderId="0" applyNumberFormat="0" applyFill="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36" fillId="7"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35" fillId="8"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6" fillId="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38" fillId="6" borderId="18" applyNumberFormat="0" applyAlignment="0" applyProtection="0">
      <alignment vertical="center"/>
    </xf>
    <xf numFmtId="0" fontId="0" fillId="0" borderId="0"/>
    <xf numFmtId="0" fontId="0" fillId="0" borderId="0">
      <alignment vertical="center"/>
    </xf>
    <xf numFmtId="0" fontId="35" fillId="8" borderId="0" applyNumberFormat="0" applyBorder="0" applyAlignment="0" applyProtection="0">
      <alignment vertical="center"/>
    </xf>
    <xf numFmtId="0" fontId="7" fillId="21" borderId="0" applyNumberFormat="0" applyBorder="0" applyAlignment="0" applyProtection="0">
      <alignment vertical="center"/>
    </xf>
    <xf numFmtId="0" fontId="0" fillId="0" borderId="0"/>
    <xf numFmtId="0" fontId="35" fillId="8" borderId="0" applyNumberFormat="0" applyBorder="0" applyAlignment="0" applyProtection="0">
      <alignment vertical="center"/>
    </xf>
    <xf numFmtId="0" fontId="0" fillId="0" borderId="0">
      <alignment vertical="center"/>
    </xf>
    <xf numFmtId="0" fontId="35" fillId="8"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xf numFmtId="0" fontId="0" fillId="0" borderId="0">
      <alignment vertical="center"/>
    </xf>
    <xf numFmtId="0" fontId="7" fillId="0" borderId="0">
      <alignment vertical="center"/>
    </xf>
    <xf numFmtId="0" fontId="0" fillId="0" borderId="0"/>
    <xf numFmtId="0" fontId="35" fillId="8" borderId="0" applyNumberFormat="0" applyBorder="0" applyAlignment="0" applyProtection="0">
      <alignment vertical="center"/>
    </xf>
    <xf numFmtId="0" fontId="7" fillId="21"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7" fillId="0" borderId="0">
      <alignment vertical="center"/>
    </xf>
    <xf numFmtId="0" fontId="0" fillId="0" borderId="0"/>
    <xf numFmtId="0" fontId="0" fillId="0" borderId="0"/>
    <xf numFmtId="0" fontId="35" fillId="12" borderId="0" applyNumberFormat="0" applyBorder="0" applyAlignment="0" applyProtection="0">
      <alignment vertical="center"/>
    </xf>
    <xf numFmtId="0" fontId="0" fillId="0" borderId="0"/>
    <xf numFmtId="0" fontId="35" fillId="12" borderId="0" applyNumberFormat="0" applyBorder="0" applyAlignment="0" applyProtection="0">
      <alignment vertical="center"/>
    </xf>
    <xf numFmtId="0" fontId="7" fillId="10" borderId="0" applyNumberFormat="0" applyBorder="0" applyAlignment="0" applyProtection="0">
      <alignment vertical="center"/>
    </xf>
    <xf numFmtId="0" fontId="0" fillId="0" borderId="0"/>
    <xf numFmtId="0" fontId="37" fillId="28" borderId="0" applyNumberFormat="0" applyBorder="0" applyAlignment="0" applyProtection="0">
      <alignment vertical="center"/>
    </xf>
    <xf numFmtId="0" fontId="0" fillId="0" borderId="0">
      <alignment vertical="center"/>
    </xf>
    <xf numFmtId="0" fontId="69" fillId="0" borderId="23" applyNumberFormat="0" applyFill="0" applyAlignment="0" applyProtection="0">
      <alignment vertical="center"/>
    </xf>
    <xf numFmtId="179" fontId="0" fillId="0" borderId="0" applyFont="0" applyFill="0" applyBorder="0" applyAlignment="0" applyProtection="0">
      <alignment vertical="center"/>
    </xf>
    <xf numFmtId="0" fontId="0" fillId="0" borderId="0"/>
    <xf numFmtId="0" fontId="69" fillId="0" borderId="23" applyNumberFormat="0" applyFill="0" applyAlignment="0" applyProtection="0">
      <alignment vertical="center"/>
    </xf>
    <xf numFmtId="179" fontId="0" fillId="0" borderId="0" applyFont="0" applyFill="0" applyBorder="0" applyAlignment="0" applyProtection="0">
      <alignment vertical="center"/>
    </xf>
    <xf numFmtId="0" fontId="0" fillId="0" borderId="0"/>
    <xf numFmtId="0" fontId="0" fillId="0" borderId="0"/>
    <xf numFmtId="0" fontId="0" fillId="0" borderId="0"/>
    <xf numFmtId="0" fontId="43" fillId="5" borderId="18" applyNumberFormat="0" applyAlignment="0" applyProtection="0">
      <alignment vertical="center"/>
    </xf>
    <xf numFmtId="0" fontId="7" fillId="21" borderId="0" applyNumberFormat="0" applyBorder="0" applyAlignment="0" applyProtection="0">
      <alignment vertical="center"/>
    </xf>
    <xf numFmtId="0" fontId="35" fillId="19" borderId="0" applyNumberFormat="0" applyBorder="0" applyAlignment="0" applyProtection="0">
      <alignment vertical="center"/>
    </xf>
    <xf numFmtId="0" fontId="15" fillId="0" borderId="0"/>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37" fillId="13" borderId="0" applyNumberFormat="0" applyBorder="0" applyAlignment="0" applyProtection="0">
      <alignment vertical="center"/>
    </xf>
    <xf numFmtId="0" fontId="7" fillId="17" borderId="0" applyNumberFormat="0" applyBorder="0" applyAlignment="0" applyProtection="0">
      <alignment vertical="center"/>
    </xf>
    <xf numFmtId="0" fontId="7" fillId="10"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43" fillId="13" borderId="18" applyNumberFormat="0" applyAlignment="0" applyProtection="0">
      <alignment vertical="center"/>
    </xf>
    <xf numFmtId="0" fontId="7" fillId="17"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0" fillId="0" borderId="0"/>
    <xf numFmtId="0" fontId="0" fillId="20" borderId="19" applyNumberFormat="0" applyFont="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17"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15" borderId="0" applyNumberFormat="0" applyBorder="0" applyAlignment="0" applyProtection="0">
      <alignment vertical="center"/>
    </xf>
    <xf numFmtId="0" fontId="7" fillId="5" borderId="0" applyNumberFormat="0" applyBorder="0" applyAlignment="0" applyProtection="0">
      <alignment vertical="center"/>
    </xf>
    <xf numFmtId="0" fontId="7" fillId="17" borderId="0" applyNumberFormat="0" applyBorder="0" applyAlignment="0" applyProtection="0">
      <alignment vertical="center"/>
    </xf>
    <xf numFmtId="0" fontId="7" fillId="5" borderId="0" applyNumberFormat="0" applyBorder="0" applyAlignment="0" applyProtection="0">
      <alignment vertical="center"/>
    </xf>
    <xf numFmtId="0" fontId="7" fillId="17"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37" fillId="11" borderId="0" applyNumberFormat="0" applyBorder="0" applyAlignment="0" applyProtection="0">
      <alignment vertical="center"/>
    </xf>
    <xf numFmtId="0" fontId="35" fillId="25" borderId="0" applyNumberFormat="0" applyBorder="0" applyAlignment="0" applyProtection="0">
      <alignment vertical="center"/>
    </xf>
    <xf numFmtId="0" fontId="7" fillId="17" borderId="0" applyNumberFormat="0" applyBorder="0" applyAlignment="0" applyProtection="0">
      <alignment vertical="center"/>
    </xf>
    <xf numFmtId="0" fontId="35" fillId="8"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0" fillId="0" borderId="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43" fillId="13" borderId="18" applyNumberFormat="0" applyAlignment="0" applyProtection="0">
      <alignment vertical="center"/>
    </xf>
    <xf numFmtId="0" fontId="69" fillId="0" borderId="23" applyNumberFormat="0" applyFill="0" applyAlignment="0" applyProtection="0">
      <alignment vertical="center"/>
    </xf>
    <xf numFmtId="0" fontId="7" fillId="21"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22" borderId="0" applyNumberFormat="0" applyBorder="0" applyAlignment="0" applyProtection="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7" fillId="17" borderId="0" applyNumberFormat="0" applyBorder="0" applyAlignment="0" applyProtection="0">
      <alignment vertical="center"/>
    </xf>
    <xf numFmtId="0" fontId="7" fillId="21" borderId="0" applyNumberFormat="0" applyBorder="0" applyAlignment="0" applyProtection="0">
      <alignment vertical="center"/>
    </xf>
    <xf numFmtId="0" fontId="35" fillId="23" borderId="0" applyNumberFormat="0" applyBorder="0" applyAlignment="0" applyProtection="0">
      <alignment vertical="center"/>
    </xf>
    <xf numFmtId="0" fontId="7" fillId="17" borderId="0" applyNumberFormat="0" applyBorder="0" applyAlignment="0" applyProtection="0">
      <alignment vertical="center"/>
    </xf>
    <xf numFmtId="0" fontId="35" fillId="23" borderId="0" applyNumberFormat="0" applyBorder="0" applyAlignment="0" applyProtection="0">
      <alignment vertical="center"/>
    </xf>
    <xf numFmtId="0" fontId="7" fillId="17" borderId="0" applyNumberFormat="0" applyBorder="0" applyAlignment="0" applyProtection="0">
      <alignment vertical="center"/>
    </xf>
    <xf numFmtId="0" fontId="20" fillId="0" borderId="28" applyNumberFormat="0" applyFill="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0" fillId="0" borderId="0"/>
    <xf numFmtId="0" fontId="35" fillId="23" borderId="0" applyNumberFormat="0" applyBorder="0" applyAlignment="0" applyProtection="0">
      <alignment vertical="center"/>
    </xf>
    <xf numFmtId="0" fontId="7" fillId="17" borderId="0" applyNumberFormat="0" applyBorder="0" applyAlignment="0" applyProtection="0">
      <alignment vertical="center"/>
    </xf>
    <xf numFmtId="0" fontId="0" fillId="0" borderId="0"/>
    <xf numFmtId="0" fontId="7" fillId="17" borderId="0" applyNumberFormat="0" applyBorder="0" applyAlignment="0" applyProtection="0">
      <alignment vertical="center"/>
    </xf>
    <xf numFmtId="0" fontId="37" fillId="27" borderId="0" applyNumberFormat="0" applyBorder="0" applyAlignment="0" applyProtection="0">
      <alignment vertical="center"/>
    </xf>
    <xf numFmtId="0" fontId="7" fillId="5" borderId="0" applyNumberFormat="0" applyBorder="0" applyAlignment="0" applyProtection="0">
      <alignment vertical="center"/>
    </xf>
    <xf numFmtId="0" fontId="7" fillId="17" borderId="0" applyNumberFormat="0" applyBorder="0" applyAlignment="0" applyProtection="0">
      <alignment vertical="center"/>
    </xf>
    <xf numFmtId="0" fontId="43" fillId="13" borderId="18" applyNumberFormat="0" applyAlignment="0" applyProtection="0">
      <alignment vertical="center"/>
    </xf>
    <xf numFmtId="0" fontId="7" fillId="6" borderId="0" applyNumberFormat="0" applyBorder="0" applyAlignment="0" applyProtection="0">
      <alignment vertical="center"/>
    </xf>
    <xf numFmtId="0" fontId="35" fillId="19" borderId="0" applyNumberFormat="0" applyBorder="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35" fillId="19"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43" fillId="13" borderId="18" applyNumberFormat="0" applyAlignment="0" applyProtection="0">
      <alignment vertical="center"/>
    </xf>
    <xf numFmtId="0" fontId="7" fillId="5" borderId="0" applyNumberFormat="0" applyBorder="0" applyAlignment="0" applyProtection="0">
      <alignment vertical="center"/>
    </xf>
    <xf numFmtId="0" fontId="37" fillId="22" borderId="0" applyNumberFormat="0" applyBorder="0" applyAlignment="0" applyProtection="0">
      <alignment vertical="center"/>
    </xf>
    <xf numFmtId="179" fontId="0" fillId="0" borderId="0" applyFont="0" applyFill="0" applyBorder="0" applyAlignment="0" applyProtection="0">
      <alignment vertical="center"/>
    </xf>
    <xf numFmtId="0" fontId="7" fillId="5"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7" borderId="0" applyNumberFormat="0" applyBorder="0" applyAlignment="0" applyProtection="0">
      <alignment vertical="center"/>
    </xf>
    <xf numFmtId="0" fontId="71" fillId="0" borderId="32" applyNumberFormat="0" applyFill="0" applyAlignment="0" applyProtection="0">
      <alignment vertical="center"/>
    </xf>
    <xf numFmtId="0" fontId="7" fillId="7" borderId="0" applyNumberFormat="0" applyBorder="0" applyAlignment="0" applyProtection="0">
      <alignment vertical="center"/>
    </xf>
    <xf numFmtId="0" fontId="37" fillId="12"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0" fillId="0" borderId="0"/>
    <xf numFmtId="0" fontId="7" fillId="7" borderId="0" applyNumberFormat="0" applyBorder="0" applyAlignment="0" applyProtection="0">
      <alignment vertical="center"/>
    </xf>
    <xf numFmtId="0" fontId="44" fillId="24" borderId="21" applyNumberFormat="0" applyAlignment="0" applyProtection="0">
      <alignment vertical="center"/>
    </xf>
    <xf numFmtId="181" fontId="14" fillId="0" borderId="2">
      <alignment vertical="center"/>
      <protection locked="0"/>
    </xf>
    <xf numFmtId="0" fontId="7" fillId="7" borderId="0" applyNumberFormat="0" applyBorder="0" applyAlignment="0" applyProtection="0">
      <alignment vertical="center"/>
    </xf>
    <xf numFmtId="0" fontId="9" fillId="0" borderId="0"/>
    <xf numFmtId="0" fontId="7" fillId="6" borderId="0" applyNumberFormat="0" applyBorder="0" applyAlignment="0" applyProtection="0">
      <alignment vertical="center"/>
    </xf>
    <xf numFmtId="0" fontId="35" fillId="1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37" fillId="1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43" fontId="0" fillId="0" borderId="0" applyFont="0" applyFill="0" applyBorder="0" applyAlignment="0" applyProtection="0"/>
    <xf numFmtId="0" fontId="7" fillId="7" borderId="0" applyNumberFormat="0" applyBorder="0" applyAlignment="0" applyProtection="0">
      <alignment vertical="center"/>
    </xf>
    <xf numFmtId="43" fontId="0" fillId="0" borderId="0" applyFont="0" applyFill="0" applyBorder="0" applyAlignment="0" applyProtection="0">
      <alignment vertical="center"/>
    </xf>
    <xf numFmtId="0" fontId="35" fillId="25"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7" fillId="21" borderId="0" applyNumberFormat="0" applyBorder="0" applyAlignment="0" applyProtection="0">
      <alignment vertical="center"/>
    </xf>
    <xf numFmtId="0" fontId="9" fillId="0" borderId="0">
      <alignment vertical="center"/>
    </xf>
    <xf numFmtId="0" fontId="0" fillId="0" borderId="0"/>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0" fillId="0" borderId="0"/>
    <xf numFmtId="0" fontId="37"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9" fillId="0" borderId="0">
      <alignment vertical="center"/>
    </xf>
    <xf numFmtId="0" fontId="0" fillId="0" borderId="0"/>
    <xf numFmtId="0" fontId="7" fillId="7" borderId="0" applyNumberFormat="0" applyBorder="0" applyAlignment="0" applyProtection="0">
      <alignment vertical="center"/>
    </xf>
    <xf numFmtId="0" fontId="7" fillId="15" borderId="0" applyNumberFormat="0" applyBorder="0" applyAlignment="0" applyProtection="0">
      <alignment vertical="center"/>
    </xf>
    <xf numFmtId="0" fontId="7" fillId="7" borderId="0" applyNumberFormat="0" applyBorder="0" applyAlignment="0" applyProtection="0">
      <alignment vertical="center"/>
    </xf>
    <xf numFmtId="0" fontId="0" fillId="0" borderId="0"/>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33" fillId="13" borderId="17" applyNumberFormat="0" applyAlignment="0" applyProtection="0">
      <alignment vertical="center"/>
    </xf>
    <xf numFmtId="0" fontId="7" fillId="7" borderId="0" applyNumberFormat="0" applyBorder="0" applyAlignment="0" applyProtection="0">
      <alignment vertical="center"/>
    </xf>
    <xf numFmtId="0" fontId="33" fillId="13" borderId="17" applyNumberFormat="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37" fillId="28" borderId="0" applyNumberFormat="0" applyBorder="0" applyAlignment="0" applyProtection="0">
      <alignment vertical="center"/>
    </xf>
    <xf numFmtId="0" fontId="7" fillId="7" borderId="0" applyNumberFormat="0" applyBorder="0" applyAlignment="0" applyProtection="0">
      <alignment vertical="center"/>
    </xf>
    <xf numFmtId="0" fontId="35" fillId="8"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5" borderId="0" applyNumberFormat="0" applyBorder="0" applyAlignment="0" applyProtection="0">
      <alignment vertical="center"/>
    </xf>
    <xf numFmtId="0" fontId="7" fillId="7"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35" fillId="25"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7" fillId="9" borderId="0" applyNumberFormat="0" applyBorder="0" applyAlignment="0" applyProtection="0">
      <alignment vertical="center"/>
    </xf>
    <xf numFmtId="0" fontId="0" fillId="0" borderId="0"/>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0" fillId="0" borderId="0"/>
    <xf numFmtId="9" fontId="0" fillId="0" borderId="0" applyFont="0" applyFill="0" applyBorder="0" applyAlignment="0" applyProtection="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37" fillId="6"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0"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0"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20" fillId="0" borderId="25" applyNumberFormat="0" applyFill="0" applyAlignment="0" applyProtection="0">
      <alignment vertical="center"/>
    </xf>
    <xf numFmtId="0" fontId="0" fillId="0" borderId="0">
      <alignment vertical="center"/>
    </xf>
    <xf numFmtId="0" fontId="7" fillId="20" borderId="0" applyNumberFormat="0" applyBorder="0" applyAlignment="0" applyProtection="0">
      <alignment vertical="center"/>
    </xf>
    <xf numFmtId="0" fontId="20" fillId="0" borderId="25" applyNumberFormat="0" applyFill="0" applyAlignment="0" applyProtection="0">
      <alignment vertical="center"/>
    </xf>
    <xf numFmtId="0" fontId="0" fillId="0" borderId="0"/>
    <xf numFmtId="0" fontId="7" fillId="20" borderId="0" applyNumberFormat="0" applyBorder="0" applyAlignment="0" applyProtection="0">
      <alignment vertical="center"/>
    </xf>
    <xf numFmtId="0" fontId="20" fillId="0" borderId="25" applyNumberFormat="0" applyFill="0" applyAlignment="0" applyProtection="0">
      <alignment vertical="center"/>
    </xf>
    <xf numFmtId="0" fontId="7" fillId="20" borderId="0" applyNumberFormat="0" applyBorder="0" applyAlignment="0" applyProtection="0">
      <alignment vertical="center"/>
    </xf>
    <xf numFmtId="0" fontId="20" fillId="0" borderId="25" applyNumberFormat="0" applyFill="0" applyAlignment="0" applyProtection="0">
      <alignment vertical="center"/>
    </xf>
    <xf numFmtId="0" fontId="7" fillId="20"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0" fillId="0" borderId="0">
      <alignment vertical="center"/>
    </xf>
    <xf numFmtId="0" fontId="7" fillId="20" borderId="0" applyNumberFormat="0" applyBorder="0" applyAlignment="0" applyProtection="0">
      <alignment vertical="center"/>
    </xf>
    <xf numFmtId="0" fontId="20" fillId="0" borderId="28" applyNumberFormat="0" applyFill="0" applyAlignment="0" applyProtection="0">
      <alignment vertical="center"/>
    </xf>
    <xf numFmtId="0" fontId="0" fillId="0" borderId="0"/>
    <xf numFmtId="0" fontId="7" fillId="20" borderId="0" applyNumberFormat="0" applyBorder="0" applyAlignment="0" applyProtection="0">
      <alignment vertical="center"/>
    </xf>
    <xf numFmtId="0" fontId="20" fillId="0" borderId="28" applyNumberFormat="0" applyFill="0" applyAlignment="0" applyProtection="0">
      <alignment vertical="center"/>
    </xf>
    <xf numFmtId="0" fontId="7" fillId="0" borderId="0">
      <alignment vertical="center"/>
    </xf>
    <xf numFmtId="0" fontId="7" fillId="20" borderId="0" applyNumberFormat="0" applyBorder="0" applyAlignment="0" applyProtection="0">
      <alignment vertical="center"/>
    </xf>
    <xf numFmtId="0" fontId="20" fillId="0" borderId="25" applyNumberFormat="0" applyFill="0" applyAlignment="0" applyProtection="0">
      <alignment vertical="center"/>
    </xf>
    <xf numFmtId="0" fontId="7" fillId="20" borderId="0" applyNumberFormat="0" applyBorder="0" applyAlignment="0" applyProtection="0">
      <alignment vertical="center"/>
    </xf>
    <xf numFmtId="0" fontId="52" fillId="0" borderId="0" applyNumberFormat="0" applyFill="0" applyBorder="0" applyAlignment="0" applyProtection="0">
      <alignment vertical="center"/>
    </xf>
    <xf numFmtId="0" fontId="7" fillId="20" borderId="0" applyNumberFormat="0" applyBorder="0" applyAlignment="0" applyProtection="0">
      <alignment vertical="center"/>
    </xf>
    <xf numFmtId="0" fontId="36" fillId="7"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7" fillId="20" borderId="0" applyNumberFormat="0" applyBorder="0" applyAlignment="0" applyProtection="0">
      <alignment vertical="center"/>
    </xf>
    <xf numFmtId="179" fontId="0" fillId="0" borderId="0" applyFont="0" applyFill="0" applyBorder="0" applyAlignment="0" applyProtection="0"/>
    <xf numFmtId="0" fontId="7" fillId="20" borderId="0" applyNumberFormat="0" applyBorder="0" applyAlignment="0" applyProtection="0">
      <alignment vertical="center"/>
    </xf>
    <xf numFmtId="0" fontId="7" fillId="20"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7" fillId="9" borderId="0" applyNumberFormat="0" applyBorder="0" applyAlignment="0" applyProtection="0">
      <alignment vertical="center"/>
    </xf>
    <xf numFmtId="0" fontId="7" fillId="21" borderId="0" applyNumberFormat="0" applyBorder="0" applyAlignment="0" applyProtection="0">
      <alignment vertical="center"/>
    </xf>
    <xf numFmtId="0" fontId="51" fillId="22" borderId="0" applyNumberFormat="0" applyBorder="0" applyAlignment="0" applyProtection="0">
      <alignment vertical="center"/>
    </xf>
    <xf numFmtId="0" fontId="0" fillId="0" borderId="0">
      <alignment vertical="center"/>
    </xf>
    <xf numFmtId="9" fontId="7" fillId="0" borderId="0" applyFont="0" applyFill="0" applyBorder="0" applyAlignment="0" applyProtection="0">
      <alignment vertical="center"/>
    </xf>
    <xf numFmtId="0" fontId="7" fillId="9" borderId="0" applyNumberFormat="0" applyBorder="0" applyAlignment="0" applyProtection="0">
      <alignment vertical="center"/>
    </xf>
    <xf numFmtId="0" fontId="0" fillId="0" borderId="0"/>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0" fillId="0" borderId="0">
      <alignment vertical="center"/>
    </xf>
    <xf numFmtId="0" fontId="33" fillId="13" borderId="17" applyNumberFormat="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36" fillId="7"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26"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7" fillId="9" borderId="0" applyNumberFormat="0" applyBorder="0" applyAlignment="0" applyProtection="0">
      <alignment vertical="center"/>
    </xf>
    <xf numFmtId="0" fontId="0" fillId="0" borderId="0"/>
    <xf numFmtId="0" fontId="7" fillId="9" borderId="0" applyNumberFormat="0" applyBorder="0" applyAlignment="0" applyProtection="0">
      <alignment vertical="center"/>
    </xf>
    <xf numFmtId="0" fontId="0" fillId="0" borderId="0">
      <alignment vertical="center"/>
    </xf>
    <xf numFmtId="0" fontId="0" fillId="0" borderId="0"/>
    <xf numFmtId="0" fontId="7" fillId="9" borderId="0" applyNumberFormat="0" applyBorder="0" applyAlignment="0" applyProtection="0">
      <alignment vertical="center"/>
    </xf>
    <xf numFmtId="0" fontId="46" fillId="0" borderId="0"/>
    <xf numFmtId="0" fontId="0"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9" fillId="0" borderId="0"/>
    <xf numFmtId="0" fontId="7" fillId="9" borderId="0" applyNumberFormat="0" applyBorder="0" applyAlignment="0" applyProtection="0">
      <alignment vertical="center"/>
    </xf>
    <xf numFmtId="0" fontId="0" fillId="0" borderId="0">
      <alignment vertical="center"/>
    </xf>
    <xf numFmtId="0" fontId="7" fillId="9" borderId="0" applyNumberFormat="0" applyBorder="0" applyAlignment="0" applyProtection="0">
      <alignment vertical="center"/>
    </xf>
    <xf numFmtId="9" fontId="7" fillId="0" borderId="0" applyFont="0" applyFill="0" applyBorder="0" applyAlignment="0" applyProtection="0">
      <alignment vertical="center"/>
    </xf>
    <xf numFmtId="0" fontId="7" fillId="9" borderId="0" applyNumberFormat="0" applyBorder="0" applyAlignment="0" applyProtection="0">
      <alignment vertical="center"/>
    </xf>
    <xf numFmtId="0" fontId="48" fillId="0" borderId="0" applyNumberFormat="0" applyFill="0" applyBorder="0" applyAlignment="0" applyProtection="0">
      <alignment vertical="center"/>
    </xf>
    <xf numFmtId="0" fontId="7" fillId="9" borderId="0" applyNumberFormat="0" applyBorder="0" applyAlignment="0" applyProtection="0">
      <alignment vertical="center"/>
    </xf>
    <xf numFmtId="0" fontId="7" fillId="0" borderId="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7" fillId="20" borderId="0" applyNumberFormat="0" applyBorder="0" applyAlignment="0" applyProtection="0">
      <alignment vertical="center"/>
    </xf>
    <xf numFmtId="0" fontId="35" fillId="25" borderId="0" applyNumberFormat="0" applyBorder="0" applyAlignment="0" applyProtection="0">
      <alignment vertical="center"/>
    </xf>
    <xf numFmtId="0" fontId="7" fillId="20" borderId="0" applyNumberFormat="0" applyBorder="0" applyAlignment="0" applyProtection="0">
      <alignment vertical="center"/>
    </xf>
    <xf numFmtId="0" fontId="39" fillId="9" borderId="0" applyNumberFormat="0" applyBorder="0" applyAlignment="0" applyProtection="0">
      <alignment vertical="center"/>
    </xf>
    <xf numFmtId="0" fontId="9" fillId="0" borderId="0"/>
    <xf numFmtId="0" fontId="40" fillId="0" borderId="0" applyNumberFormat="0" applyFill="0" applyBorder="0" applyAlignment="0" applyProtection="0">
      <alignment vertical="center"/>
    </xf>
    <xf numFmtId="0" fontId="7" fillId="26" borderId="0" applyNumberFormat="0" applyBorder="0" applyAlignment="0" applyProtection="0">
      <alignment vertical="center"/>
    </xf>
    <xf numFmtId="0" fontId="64" fillId="0" borderId="0" applyNumberFormat="0" applyFill="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9" fillId="0" borderId="0"/>
    <xf numFmtId="0" fontId="7" fillId="5" borderId="0" applyNumberFormat="0" applyBorder="0" applyAlignment="0" applyProtection="0">
      <alignment vertical="center"/>
    </xf>
    <xf numFmtId="0" fontId="37" fillId="12" borderId="0" applyNumberFormat="0" applyBorder="0" applyAlignment="0" applyProtection="0">
      <alignment vertical="center"/>
    </xf>
    <xf numFmtId="0" fontId="7" fillId="21" borderId="0" applyNumberFormat="0" applyBorder="0" applyAlignment="0" applyProtection="0">
      <alignment vertical="center"/>
    </xf>
    <xf numFmtId="0" fontId="7" fillId="5" borderId="0" applyNumberFormat="0" applyBorder="0" applyAlignment="0" applyProtection="0">
      <alignment vertical="center"/>
    </xf>
    <xf numFmtId="0" fontId="7" fillId="26" borderId="0" applyNumberFormat="0" applyBorder="0" applyAlignment="0" applyProtection="0">
      <alignment vertical="center"/>
    </xf>
    <xf numFmtId="0" fontId="20" fillId="0" borderId="25" applyNumberFormat="0" applyFill="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26" borderId="0" applyNumberFormat="0" applyBorder="0" applyAlignment="0" applyProtection="0">
      <alignment vertical="center"/>
    </xf>
    <xf numFmtId="0" fontId="7" fillId="5" borderId="0" applyNumberFormat="0" applyBorder="0" applyAlignment="0" applyProtection="0">
      <alignment vertical="center"/>
    </xf>
    <xf numFmtId="0" fontId="39" fillId="9" borderId="0" applyNumberFormat="0" applyBorder="0" applyAlignment="0" applyProtection="0">
      <alignment vertical="center"/>
    </xf>
    <xf numFmtId="0" fontId="7" fillId="5" borderId="0" applyNumberFormat="0" applyBorder="0" applyAlignment="0" applyProtection="0">
      <alignment vertical="center"/>
    </xf>
    <xf numFmtId="0" fontId="45" fillId="0" borderId="22" applyNumberFormat="0" applyFill="0" applyAlignment="0" applyProtection="0">
      <alignment vertical="center"/>
    </xf>
    <xf numFmtId="0" fontId="7" fillId="5" borderId="0" applyNumberFormat="0" applyBorder="0" applyAlignment="0" applyProtection="0">
      <alignment vertical="center"/>
    </xf>
    <xf numFmtId="0" fontId="35" fillId="25" borderId="0" applyNumberFormat="0" applyBorder="0" applyAlignment="0" applyProtection="0">
      <alignment vertical="center"/>
    </xf>
    <xf numFmtId="0" fontId="7" fillId="5"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5" borderId="0" applyNumberFormat="0" applyBorder="0" applyAlignment="0" applyProtection="0">
      <alignment vertical="center"/>
    </xf>
    <xf numFmtId="0" fontId="7" fillId="26" borderId="0" applyNumberFormat="0" applyBorder="0" applyAlignment="0" applyProtection="0">
      <alignment vertical="center"/>
    </xf>
    <xf numFmtId="0" fontId="50" fillId="24" borderId="21" applyNumberFormat="0" applyAlignment="0" applyProtection="0">
      <alignment vertical="center"/>
    </xf>
    <xf numFmtId="0" fontId="9" fillId="0" borderId="0"/>
    <xf numFmtId="0" fontId="7" fillId="5" borderId="0" applyNumberFormat="0" applyBorder="0" applyAlignment="0" applyProtection="0">
      <alignment vertical="center"/>
    </xf>
    <xf numFmtId="0" fontId="33" fillId="13" borderId="17" applyNumberFormat="0" applyAlignment="0" applyProtection="0">
      <alignment vertical="center"/>
    </xf>
    <xf numFmtId="0" fontId="64" fillId="0" borderId="0" applyNumberFormat="0" applyFill="0" applyBorder="0" applyAlignment="0" applyProtection="0">
      <alignment vertical="center"/>
    </xf>
    <xf numFmtId="0" fontId="37" fillId="8"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7" fillId="26" borderId="0" applyNumberFormat="0" applyBorder="0" applyAlignment="0" applyProtection="0">
      <alignment vertical="center"/>
    </xf>
    <xf numFmtId="179" fontId="0" fillId="0" borderId="0" applyFont="0" applyFill="0" applyBorder="0" applyAlignment="0" applyProtection="0">
      <alignment vertical="center"/>
    </xf>
    <xf numFmtId="0" fontId="7" fillId="26" borderId="0" applyNumberFormat="0" applyBorder="0" applyAlignment="0" applyProtection="0">
      <alignment vertical="center"/>
    </xf>
    <xf numFmtId="0" fontId="0" fillId="0" borderId="0"/>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0" borderId="0"/>
    <xf numFmtId="0" fontId="7" fillId="26" borderId="0" applyNumberFormat="0" applyBorder="0" applyAlignment="0" applyProtection="0">
      <alignment vertical="center"/>
    </xf>
    <xf numFmtId="0" fontId="64" fillId="0" borderId="0" applyNumberFormat="0" applyFill="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6" borderId="0" applyNumberFormat="0" applyBorder="0" applyAlignment="0" applyProtection="0">
      <alignment vertical="center"/>
    </xf>
    <xf numFmtId="0" fontId="7" fillId="26"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35" fillId="2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9" fillId="0" borderId="0">
      <alignment vertical="center"/>
    </xf>
    <xf numFmtId="0" fontId="64" fillId="0" borderId="0" applyNumberFormat="0" applyFill="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14" borderId="0" applyNumberFormat="0" applyBorder="0" applyAlignment="0" applyProtection="0">
      <alignment vertical="center"/>
    </xf>
    <xf numFmtId="0" fontId="0" fillId="0" borderId="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67" fillId="0" borderId="0"/>
    <xf numFmtId="0" fontId="7" fillId="21" borderId="0" applyNumberFormat="0" applyBorder="0" applyAlignment="0" applyProtection="0">
      <alignment vertical="center"/>
    </xf>
    <xf numFmtId="179" fontId="0" fillId="0" borderId="0" applyFont="0" applyFill="0" applyBorder="0" applyAlignment="0" applyProtection="0"/>
    <xf numFmtId="0" fontId="7" fillId="14"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55" fillId="0" borderId="26" applyNumberFormat="0" applyFill="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179" fontId="0" fillId="0" borderId="0" applyFont="0" applyFill="0" applyBorder="0" applyAlignment="0" applyProtection="0"/>
    <xf numFmtId="0" fontId="7" fillId="23" borderId="0" applyNumberFormat="0" applyBorder="0" applyAlignment="0" applyProtection="0">
      <alignment vertical="center"/>
    </xf>
    <xf numFmtId="0" fontId="7" fillId="21"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179" fontId="0" fillId="0" borderId="0" applyFont="0" applyFill="0" applyBorder="0" applyAlignment="0" applyProtection="0"/>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0" borderId="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0" fillId="0" borderId="0"/>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35" fillId="18" borderId="0" applyNumberFormat="0" applyBorder="0" applyAlignment="0" applyProtection="0">
      <alignment vertical="center"/>
    </xf>
    <xf numFmtId="0" fontId="7" fillId="21" borderId="0" applyNumberFormat="0" applyBorder="0" applyAlignment="0" applyProtection="0">
      <alignment vertical="center"/>
    </xf>
    <xf numFmtId="0" fontId="14" fillId="0" borderId="2">
      <alignment horizontal="distributed" vertical="center" wrapText="1"/>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35" fillId="18" borderId="0" applyNumberFormat="0" applyBorder="0" applyAlignment="0" applyProtection="0">
      <alignment vertical="center"/>
    </xf>
    <xf numFmtId="0" fontId="7" fillId="21"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21"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9" fontId="0" fillId="0" borderId="0" applyFont="0" applyFill="0" applyBorder="0" applyAlignment="0" applyProtection="0"/>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35" fillId="27"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37" fontId="66"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179" fontId="0" fillId="0" borderId="0" applyFont="0" applyFill="0" applyBorder="0" applyAlignment="0" applyProtection="0">
      <alignment vertical="center"/>
    </xf>
    <xf numFmtId="0" fontId="20" fillId="0" borderId="28" applyNumberFormat="0" applyFill="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6" borderId="0" applyNumberFormat="0" applyBorder="0" applyAlignment="0" applyProtection="0">
      <alignment vertical="center"/>
    </xf>
    <xf numFmtId="0" fontId="7" fillId="17" borderId="0" applyNumberFormat="0" applyBorder="0" applyAlignment="0" applyProtection="0">
      <alignment vertical="center"/>
    </xf>
    <xf numFmtId="0" fontId="43" fillId="13" borderId="18" applyNumberFormat="0" applyAlignment="0" applyProtection="0">
      <alignment vertical="center"/>
    </xf>
    <xf numFmtId="0" fontId="37" fillId="22"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7" fillId="9" borderId="0" applyNumberFormat="0" applyBorder="0" applyAlignment="0" applyProtection="0">
      <alignment vertical="center"/>
    </xf>
    <xf numFmtId="0" fontId="43" fillId="13" borderId="18" applyNumberFormat="0" applyAlignment="0" applyProtection="0">
      <alignment vertical="center"/>
    </xf>
    <xf numFmtId="185" fontId="72" fillId="0" borderId="0">
      <alignment vertical="center"/>
    </xf>
    <xf numFmtId="0" fontId="7" fillId="20" borderId="0" applyNumberFormat="0" applyBorder="0" applyAlignment="0" applyProtection="0">
      <alignment vertical="center"/>
    </xf>
    <xf numFmtId="0" fontId="43" fillId="5" borderId="18" applyNumberFormat="0" applyAlignment="0" applyProtection="0">
      <alignment vertical="center"/>
    </xf>
    <xf numFmtId="0" fontId="7" fillId="17" borderId="0" applyNumberFormat="0" applyBorder="0" applyAlignment="0" applyProtection="0">
      <alignment vertical="center"/>
    </xf>
    <xf numFmtId="0" fontId="43" fillId="5" borderId="18" applyNumberFormat="0" applyAlignment="0" applyProtection="0">
      <alignment vertical="center"/>
    </xf>
    <xf numFmtId="0" fontId="7" fillId="6" borderId="0" applyNumberFormat="0" applyBorder="0" applyAlignment="0" applyProtection="0">
      <alignment vertical="center"/>
    </xf>
    <xf numFmtId="0" fontId="43" fillId="13" borderId="18" applyNumberFormat="0" applyAlignment="0" applyProtection="0">
      <alignment vertical="center"/>
    </xf>
    <xf numFmtId="0" fontId="7" fillId="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7" fillId="14" borderId="0" applyNumberFormat="0" applyBorder="0" applyAlignment="0" applyProtection="0">
      <alignment vertical="center"/>
    </xf>
    <xf numFmtId="179" fontId="0" fillId="0" borderId="0" applyFont="0" applyFill="0" applyBorder="0" applyAlignment="0" applyProtection="0">
      <alignment vertical="center"/>
    </xf>
    <xf numFmtId="0" fontId="7" fillId="15" borderId="0" applyNumberFormat="0" applyBorder="0" applyAlignment="0" applyProtection="0">
      <alignment vertical="center"/>
    </xf>
    <xf numFmtId="179" fontId="0" fillId="0" borderId="0" applyFont="0" applyFill="0" applyBorder="0" applyAlignment="0" applyProtection="0"/>
    <xf numFmtId="0" fontId="7" fillId="15" borderId="0" applyNumberFormat="0" applyBorder="0" applyAlignment="0" applyProtection="0">
      <alignment vertical="center"/>
    </xf>
    <xf numFmtId="0" fontId="20" fillId="0" borderId="28" applyNumberFormat="0" applyFill="0" applyAlignment="0" applyProtection="0">
      <alignment vertical="center"/>
    </xf>
    <xf numFmtId="0" fontId="7" fillId="15" borderId="0" applyNumberFormat="0" applyBorder="0" applyAlignment="0" applyProtection="0">
      <alignment vertical="center"/>
    </xf>
    <xf numFmtId="179" fontId="0" fillId="0" borderId="0" applyFont="0" applyFill="0" applyBorder="0" applyAlignment="0" applyProtection="0">
      <alignment vertical="center"/>
    </xf>
    <xf numFmtId="0" fontId="20" fillId="0" borderId="28" applyNumberFormat="0" applyFill="0" applyAlignment="0" applyProtection="0">
      <alignment vertical="center"/>
    </xf>
    <xf numFmtId="0" fontId="49" fillId="0" borderId="24" applyNumberFormat="0" applyFill="0" applyAlignment="0" applyProtection="0">
      <alignment vertical="center"/>
    </xf>
    <xf numFmtId="0" fontId="7" fillId="15" borderId="0" applyNumberFormat="0" applyBorder="0" applyAlignment="0" applyProtection="0">
      <alignment vertical="center"/>
    </xf>
    <xf numFmtId="0" fontId="20" fillId="0" borderId="28" applyNumberFormat="0" applyFill="0" applyAlignment="0" applyProtection="0">
      <alignment vertical="center"/>
    </xf>
    <xf numFmtId="0" fontId="7" fillId="15" borderId="0" applyNumberFormat="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20" fillId="0" borderId="25" applyNumberFormat="0" applyFill="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179" fontId="0" fillId="0" borderId="0" applyFont="0" applyFill="0" applyBorder="0" applyAlignment="0" applyProtection="0">
      <alignment vertical="center"/>
    </xf>
    <xf numFmtId="0" fontId="7" fillId="13" borderId="0" applyNumberFormat="0" applyBorder="0" applyAlignment="0" applyProtection="0">
      <alignment vertical="center"/>
    </xf>
    <xf numFmtId="179" fontId="0" fillId="0" borderId="0" applyFont="0" applyFill="0" applyBorder="0" applyAlignment="0" applyProtection="0"/>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9" fontId="0" fillId="0" borderId="0" applyFon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179" fontId="0" fillId="0" borderId="0" applyFont="0" applyFill="0" applyBorder="0" applyAlignment="0" applyProtection="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7" fillId="13" borderId="0" applyNumberFormat="0" applyBorder="0" applyAlignment="0" applyProtection="0">
      <alignment vertical="center"/>
    </xf>
    <xf numFmtId="0" fontId="55" fillId="0" borderId="26" applyNumberFormat="0" applyFill="0" applyAlignment="0" applyProtection="0">
      <alignment vertical="center"/>
    </xf>
    <xf numFmtId="0" fontId="7" fillId="13" borderId="0" applyNumberFormat="0" applyBorder="0" applyAlignment="0" applyProtection="0">
      <alignment vertical="center"/>
    </xf>
    <xf numFmtId="43" fontId="0" fillId="0" borderId="0" applyFont="0" applyFill="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0" borderId="0"/>
    <xf numFmtId="0" fontId="43" fillId="5" borderId="18" applyNumberFormat="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3" fillId="13" borderId="17" applyNumberFormat="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35" fillId="25"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0" borderId="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6" fillId="7" borderId="0" applyNumberFormat="0" applyBorder="0" applyAlignment="0" applyProtection="0">
      <alignment vertical="center"/>
    </xf>
    <xf numFmtId="0" fontId="7" fillId="15" borderId="0" applyNumberFormat="0" applyBorder="0" applyAlignment="0" applyProtection="0">
      <alignment vertical="center"/>
    </xf>
    <xf numFmtId="0" fontId="52" fillId="0" borderId="0" applyNumberFormat="0" applyFill="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73" fillId="0" borderId="0"/>
    <xf numFmtId="0" fontId="0" fillId="0" borderId="0"/>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43" fontId="0" fillId="0" borderId="0" applyFont="0" applyFill="0" applyBorder="0" applyAlignment="0" applyProtection="0"/>
    <xf numFmtId="0" fontId="7" fillId="13" borderId="0" applyNumberFormat="0" applyBorder="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7" fillId="14" borderId="0" applyNumberFormat="0" applyBorder="0" applyAlignment="0" applyProtection="0">
      <alignment vertical="center"/>
    </xf>
    <xf numFmtId="0" fontId="0" fillId="0" borderId="0">
      <alignment vertical="center"/>
    </xf>
    <xf numFmtId="0" fontId="0" fillId="0" borderId="0"/>
    <xf numFmtId="0" fontId="7" fillId="14" borderId="0" applyNumberFormat="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0" borderId="0"/>
    <xf numFmtId="0" fontId="55" fillId="0" borderId="26" applyNumberFormat="0" applyFill="0" applyAlignment="0" applyProtection="0">
      <alignment vertical="center"/>
    </xf>
    <xf numFmtId="0" fontId="7" fillId="14" borderId="0" applyNumberFormat="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43" fillId="13" borderId="18" applyNumberFormat="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9" fillId="0" borderId="0"/>
    <xf numFmtId="0" fontId="64" fillId="0" borderId="0" applyNumberFormat="0" applyFill="0" applyBorder="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35" fillId="14" borderId="0" applyNumberFormat="0" applyBorder="0" applyAlignment="0" applyProtection="0">
      <alignment vertical="center"/>
    </xf>
    <xf numFmtId="0" fontId="37" fillId="13" borderId="0" applyNumberFormat="0" applyBorder="0" applyAlignment="0" applyProtection="0">
      <alignment vertical="center"/>
    </xf>
    <xf numFmtId="0" fontId="7" fillId="14" borderId="0" applyNumberFormat="0" applyBorder="0" applyAlignment="0" applyProtection="0">
      <alignment vertical="center"/>
    </xf>
    <xf numFmtId="0" fontId="0" fillId="0" borderId="0">
      <alignment vertical="center"/>
    </xf>
    <xf numFmtId="9" fontId="0" fillId="0" borderId="0" applyFont="0" applyFill="0" applyBorder="0" applyAlignment="0" applyProtection="0"/>
    <xf numFmtId="0" fontId="20" fillId="0" borderId="25" applyNumberFormat="0" applyFill="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52" fillId="0" borderId="0" applyNumberFormat="0" applyFill="0" applyBorder="0" applyAlignment="0" applyProtection="0">
      <alignment vertical="center"/>
    </xf>
    <xf numFmtId="0" fontId="55" fillId="0" borderId="26" applyNumberFormat="0" applyFill="0" applyAlignment="0" applyProtection="0">
      <alignment vertical="center"/>
    </xf>
    <xf numFmtId="0" fontId="7" fillId="14" borderId="0" applyNumberFormat="0" applyBorder="0" applyAlignment="0" applyProtection="0">
      <alignment vertical="center"/>
    </xf>
    <xf numFmtId="0" fontId="52" fillId="0" borderId="0" applyNumberFormat="0" applyFill="0" applyBorder="0" applyAlignment="0" applyProtection="0">
      <alignment vertical="center"/>
    </xf>
    <xf numFmtId="0" fontId="7" fillId="14" borderId="0" applyNumberFormat="0" applyBorder="0" applyAlignment="0" applyProtection="0">
      <alignment vertical="center"/>
    </xf>
    <xf numFmtId="0" fontId="52" fillId="0" borderId="0" applyNumberFormat="0" applyFill="0" applyBorder="0" applyAlignment="0" applyProtection="0">
      <alignment vertical="center"/>
    </xf>
    <xf numFmtId="0" fontId="43" fillId="13" borderId="18" applyNumberFormat="0" applyAlignment="0" applyProtection="0">
      <alignment vertical="center"/>
    </xf>
    <xf numFmtId="0" fontId="50" fillId="24" borderId="21" applyNumberForma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43" fillId="13" borderId="18" applyNumberFormat="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23"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43" fontId="0" fillId="0" borderId="0" applyFont="0" applyFill="0" applyBorder="0" applyAlignment="0" applyProtection="0"/>
    <xf numFmtId="0" fontId="7" fillId="14" borderId="0" applyNumberFormat="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0" fillId="0" borderId="0"/>
    <xf numFmtId="0" fontId="7" fillId="14" borderId="0" applyNumberFormat="0" applyBorder="0" applyAlignment="0" applyProtection="0">
      <alignment vertical="center"/>
    </xf>
    <xf numFmtId="0" fontId="7" fillId="0" borderId="0"/>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179" fontId="0" fillId="0" borderId="0" applyFont="0" applyFill="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0" borderId="0">
      <alignment vertical="center"/>
    </xf>
    <xf numFmtId="0" fontId="7" fillId="14" borderId="0" applyNumberFormat="0" applyBorder="0" applyAlignment="0" applyProtection="0">
      <alignment vertical="center"/>
    </xf>
    <xf numFmtId="0" fontId="0" fillId="0" borderId="0"/>
    <xf numFmtId="0" fontId="7" fillId="14" borderId="0" applyNumberFormat="0" applyBorder="0" applyAlignment="0" applyProtection="0">
      <alignment vertical="center"/>
    </xf>
    <xf numFmtId="4" fontId="0" fillId="0" borderId="0" applyFont="0" applyFill="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0"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37" fillId="1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15"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15"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0" fillId="0" borderId="0"/>
    <xf numFmtId="0" fontId="47" fillId="0" borderId="23" applyNumberFormat="0" applyFill="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179" fontId="0" fillId="0" borderId="0" applyFont="0" applyFill="0" applyBorder="0" applyAlignment="0" applyProtection="0"/>
    <xf numFmtId="0" fontId="7" fillId="23" borderId="0" applyNumberFormat="0" applyBorder="0" applyAlignment="0" applyProtection="0">
      <alignment vertical="center"/>
    </xf>
    <xf numFmtId="0" fontId="7" fillId="22" borderId="0" applyNumberFormat="0" applyBorder="0" applyAlignment="0" applyProtection="0">
      <alignment vertical="center"/>
    </xf>
    <xf numFmtId="179" fontId="0" fillId="0" borderId="0" applyFont="0" applyFill="0" applyBorder="0" applyAlignment="0" applyProtection="0"/>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2" borderId="0" applyNumberFormat="0" applyBorder="0" applyAlignment="0" applyProtection="0">
      <alignment vertical="center"/>
    </xf>
    <xf numFmtId="0" fontId="0" fillId="0" borderId="0">
      <alignment vertical="center"/>
    </xf>
    <xf numFmtId="0" fontId="33" fillId="5" borderId="17" applyNumberFormat="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9" fontId="0" fillId="0" borderId="0" applyFont="0" applyFill="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0" fillId="0" borderId="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15"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0" fillId="0" borderId="0">
      <alignment vertical="center"/>
    </xf>
    <xf numFmtId="0" fontId="7" fillId="22" borderId="0" applyNumberFormat="0" applyBorder="0" applyAlignment="0" applyProtection="0">
      <alignment vertical="center"/>
    </xf>
    <xf numFmtId="179" fontId="0" fillId="0" borderId="0" applyFont="0" applyFill="0" applyBorder="0" applyAlignment="0" applyProtection="0"/>
    <xf numFmtId="0" fontId="7" fillId="22" borderId="0" applyNumberFormat="0" applyBorder="0" applyAlignment="0" applyProtection="0">
      <alignment vertical="center"/>
    </xf>
    <xf numFmtId="0" fontId="7" fillId="22" borderId="0" applyNumberFormat="0" applyBorder="0" applyAlignment="0" applyProtection="0">
      <alignment vertical="center"/>
    </xf>
    <xf numFmtId="179" fontId="0" fillId="0" borderId="0" applyFont="0" applyFill="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0" fillId="0" borderId="0">
      <alignment vertical="center"/>
    </xf>
    <xf numFmtId="0" fontId="0" fillId="0" borderId="0">
      <alignment vertical="center"/>
    </xf>
    <xf numFmtId="0" fontId="7" fillId="23" borderId="0" applyNumberFormat="0" applyBorder="0" applyAlignment="0" applyProtection="0">
      <alignment vertical="center"/>
    </xf>
    <xf numFmtId="0" fontId="0" fillId="0" borderId="0">
      <alignment vertical="center"/>
    </xf>
    <xf numFmtId="0" fontId="0" fillId="0" borderId="0">
      <alignment vertical="center"/>
    </xf>
    <xf numFmtId="0" fontId="7" fillId="23" borderId="0" applyNumberFormat="0" applyBorder="0" applyAlignment="0" applyProtection="0">
      <alignment vertical="center"/>
    </xf>
    <xf numFmtId="0" fontId="0" fillId="0" borderId="0"/>
    <xf numFmtId="0" fontId="7" fillId="23" borderId="0" applyNumberFormat="0" applyBorder="0" applyAlignment="0" applyProtection="0">
      <alignment vertical="center"/>
    </xf>
    <xf numFmtId="0" fontId="7" fillId="15"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0" fillId="0" borderId="0"/>
    <xf numFmtId="0" fontId="9" fillId="0" borderId="0"/>
    <xf numFmtId="0" fontId="47" fillId="0" borderId="23" applyNumberFormat="0" applyFill="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0" fillId="20" borderId="19" applyNumberFormat="0" applyFont="0" applyAlignment="0" applyProtection="0">
      <alignment vertical="center"/>
    </xf>
    <xf numFmtId="0" fontId="0" fillId="0" borderId="0">
      <alignment vertical="center"/>
    </xf>
    <xf numFmtId="0" fontId="0" fillId="0" borderId="0">
      <alignment vertical="center"/>
    </xf>
    <xf numFmtId="0" fontId="7" fillId="23" borderId="0" applyNumberFormat="0" applyBorder="0" applyAlignment="0" applyProtection="0">
      <alignment vertical="center"/>
    </xf>
    <xf numFmtId="0" fontId="52" fillId="0" borderId="0" applyNumberFormat="0" applyFill="0" applyBorder="0" applyAlignment="0" applyProtection="0">
      <alignment vertical="center"/>
    </xf>
    <xf numFmtId="0" fontId="7" fillId="23" borderId="0" applyNumberFormat="0" applyBorder="0" applyAlignment="0" applyProtection="0">
      <alignment vertical="center"/>
    </xf>
    <xf numFmtId="0" fontId="0" fillId="0" borderId="0">
      <alignment vertical="center"/>
    </xf>
    <xf numFmtId="0" fontId="0" fillId="0" borderId="0">
      <alignment vertical="center"/>
    </xf>
    <xf numFmtId="0" fontId="7" fillId="23" borderId="0" applyNumberFormat="0" applyBorder="0" applyAlignment="0" applyProtection="0">
      <alignment vertical="center"/>
    </xf>
    <xf numFmtId="0" fontId="0" fillId="0" borderId="0">
      <alignment vertical="center"/>
    </xf>
    <xf numFmtId="0" fontId="0" fillId="0" borderId="0"/>
    <xf numFmtId="0" fontId="7" fillId="23" borderId="0" applyNumberFormat="0" applyBorder="0" applyAlignment="0" applyProtection="0">
      <alignment vertical="center"/>
    </xf>
    <xf numFmtId="0" fontId="0" fillId="0" borderId="0">
      <alignment vertical="center"/>
    </xf>
    <xf numFmtId="0" fontId="0" fillId="0" borderId="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15"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15"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43" fontId="0" fillId="0" borderId="0" applyFont="0" applyFill="0" applyBorder="0" applyAlignment="0" applyProtection="0"/>
    <xf numFmtId="0" fontId="7" fillId="23" borderId="0" applyNumberFormat="0" applyBorder="0" applyAlignment="0" applyProtection="0">
      <alignment vertical="center"/>
    </xf>
    <xf numFmtId="0" fontId="0" fillId="0" borderId="0"/>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0" borderId="0"/>
    <xf numFmtId="0" fontId="7" fillId="23" borderId="0" applyNumberFormat="0" applyBorder="0" applyAlignment="0" applyProtection="0">
      <alignment vertical="center"/>
    </xf>
    <xf numFmtId="41" fontId="0" fillId="0" borderId="0" applyFont="0" applyFill="0" applyBorder="0" applyAlignment="0" applyProtection="0">
      <alignment vertical="center"/>
    </xf>
    <xf numFmtId="0" fontId="7" fillId="0" borderId="0">
      <alignment vertical="center"/>
    </xf>
    <xf numFmtId="0" fontId="7" fillId="23"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37" fillId="1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7" fillId="26" borderId="0" applyNumberFormat="0" applyBorder="0" applyAlignment="0" applyProtection="0">
      <alignment vertical="center"/>
    </xf>
    <xf numFmtId="0" fontId="7" fillId="0" borderId="0">
      <alignment vertical="center"/>
    </xf>
    <xf numFmtId="0" fontId="7" fillId="26"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7" fillId="26" borderId="0" applyNumberFormat="0" applyBorder="0" applyAlignment="0" applyProtection="0">
      <alignment vertical="center"/>
    </xf>
    <xf numFmtId="0" fontId="34" fillId="0" borderId="27" applyNumberFormat="0" applyFill="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43" fontId="0" fillId="0" borderId="0" applyFont="0" applyFill="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35" fillId="16"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5" fillId="16" borderId="0" applyNumberFormat="0" applyBorder="0" applyAlignment="0" applyProtection="0">
      <alignment vertical="center"/>
    </xf>
    <xf numFmtId="0" fontId="0" fillId="0" borderId="0"/>
    <xf numFmtId="0" fontId="7" fillId="13" borderId="0" applyNumberFormat="0" applyBorder="0" applyAlignment="0" applyProtection="0">
      <alignment vertical="center"/>
    </xf>
    <xf numFmtId="0" fontId="7" fillId="6" borderId="0" applyNumberFormat="0" applyBorder="0" applyAlignment="0" applyProtection="0">
      <alignment vertical="center"/>
    </xf>
    <xf numFmtId="0" fontId="35" fillId="16"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5" fillId="16" borderId="0" applyNumberFormat="0" applyBorder="0" applyAlignment="0" applyProtection="0">
      <alignment vertical="center"/>
    </xf>
    <xf numFmtId="0" fontId="0" fillId="0" borderId="0"/>
    <xf numFmtId="0" fontId="7" fillId="13" borderId="0" applyNumberFormat="0" applyBorder="0" applyAlignment="0" applyProtection="0">
      <alignment vertical="center"/>
    </xf>
    <xf numFmtId="0" fontId="35" fillId="8"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0" fillId="0" borderId="0"/>
    <xf numFmtId="43" fontId="0" fillId="0" borderId="0" applyFont="0" applyFill="0" applyBorder="0" applyAlignment="0" applyProtection="0"/>
    <xf numFmtId="0" fontId="0"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35" fillId="25"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4" fillId="0" borderId="27" applyNumberFormat="0" applyFill="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179" fontId="0" fillId="0" borderId="0" applyFont="0" applyFill="0" applyBorder="0" applyAlignment="0" applyProtection="0">
      <alignment vertical="center"/>
    </xf>
    <xf numFmtId="0" fontId="0" fillId="0" borderId="0"/>
    <xf numFmtId="43" fontId="0" fillId="0" borderId="0" applyFont="0" applyFill="0" applyBorder="0" applyAlignment="0" applyProtection="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179" fontId="0" fillId="0" borderId="0" applyFont="0" applyFill="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35" fillId="14"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0" borderId="0">
      <alignment vertical="center"/>
    </xf>
    <xf numFmtId="0" fontId="7" fillId="26" borderId="0" applyNumberFormat="0" applyBorder="0" applyAlignment="0" applyProtection="0">
      <alignment vertical="center"/>
    </xf>
    <xf numFmtId="0" fontId="61" fillId="0" borderId="0" applyProtection="0">
      <alignment vertical="center"/>
    </xf>
    <xf numFmtId="0" fontId="7" fillId="26" borderId="0" applyNumberFormat="0" applyBorder="0" applyAlignment="0" applyProtection="0">
      <alignment vertical="center"/>
    </xf>
    <xf numFmtId="43" fontId="0" fillId="0" borderId="0" applyFont="0" applyFill="0" applyBorder="0" applyAlignment="0" applyProtection="0"/>
    <xf numFmtId="0" fontId="7" fillId="26" borderId="0" applyNumberFormat="0" applyBorder="0" applyAlignment="0" applyProtection="0">
      <alignment vertical="center"/>
    </xf>
    <xf numFmtId="0" fontId="0" fillId="0" borderId="0"/>
    <xf numFmtId="0" fontId="7" fillId="26" borderId="0" applyNumberFormat="0" applyBorder="0" applyAlignment="0" applyProtection="0">
      <alignment vertical="center"/>
    </xf>
    <xf numFmtId="0" fontId="7" fillId="26" borderId="0" applyNumberFormat="0" applyBorder="0" applyAlignment="0" applyProtection="0">
      <alignment vertical="center"/>
    </xf>
    <xf numFmtId="179" fontId="0" fillId="0" borderId="0" applyFont="0" applyFill="0" applyBorder="0" applyAlignment="0" applyProtection="0"/>
    <xf numFmtId="0" fontId="7" fillId="26" borderId="0" applyNumberFormat="0" applyBorder="0" applyAlignment="0" applyProtection="0">
      <alignment vertical="center"/>
    </xf>
    <xf numFmtId="0" fontId="0" fillId="0" borderId="0"/>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0" fillId="0" borderId="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26" borderId="0" applyNumberFormat="0" applyBorder="0" applyAlignment="0" applyProtection="0">
      <alignment vertical="center"/>
    </xf>
    <xf numFmtId="0" fontId="7" fillId="13"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39" fillId="9" borderId="0" applyNumberFormat="0" applyBorder="0" applyAlignment="0" applyProtection="0">
      <alignment vertical="center"/>
    </xf>
    <xf numFmtId="0" fontId="37" fillId="6" borderId="0" applyNumberFormat="0" applyBorder="0" applyAlignment="0" applyProtection="0">
      <alignment vertical="center"/>
    </xf>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0" fontId="7" fillId="15" borderId="0" applyNumberFormat="0" applyBorder="0" applyAlignment="0" applyProtection="0">
      <alignment vertical="center"/>
    </xf>
    <xf numFmtId="43" fontId="0" fillId="0" borderId="0" applyFont="0" applyFill="0" applyBorder="0" applyAlignment="0" applyProtection="0">
      <alignment vertical="center"/>
    </xf>
    <xf numFmtId="0" fontId="35" fillId="11" borderId="0" applyNumberFormat="0" applyBorder="0" applyAlignment="0" applyProtection="0">
      <alignment vertical="center"/>
    </xf>
    <xf numFmtId="0" fontId="7" fillId="15"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1" borderId="0" applyNumberFormat="0" applyBorder="0" applyAlignment="0" applyProtection="0">
      <alignment vertical="center"/>
    </xf>
    <xf numFmtId="0" fontId="7" fillId="0" borderId="0"/>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9" fillId="0" borderId="0">
      <alignment vertical="center"/>
    </xf>
    <xf numFmtId="179" fontId="0" fillId="0" borderId="0" applyFont="0" applyFill="0" applyBorder="0" applyAlignment="0" applyProtection="0"/>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43" fontId="0" fillId="0" borderId="0" applyFont="0" applyFill="0" applyBorder="0" applyAlignment="0" applyProtection="0"/>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0" fillId="0" borderId="0"/>
    <xf numFmtId="0" fontId="7" fillId="15" borderId="0" applyNumberFormat="0" applyBorder="0" applyAlignment="0" applyProtection="0">
      <alignment vertical="center"/>
    </xf>
    <xf numFmtId="0" fontId="39" fillId="9"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2" borderId="0" applyNumberFormat="0" applyBorder="0" applyAlignment="0" applyProtection="0">
      <alignment vertical="center"/>
    </xf>
    <xf numFmtId="0" fontId="7" fillId="15" borderId="0" applyNumberFormat="0" applyBorder="0" applyAlignment="0" applyProtection="0">
      <alignment vertical="center"/>
    </xf>
    <xf numFmtId="0" fontId="35" fillId="12" borderId="0" applyNumberFormat="0" applyBorder="0" applyAlignment="0" applyProtection="0">
      <alignment vertical="center"/>
    </xf>
    <xf numFmtId="0" fontId="7" fillId="15" borderId="0" applyNumberFormat="0" applyBorder="0" applyAlignment="0" applyProtection="0">
      <alignment vertical="center"/>
    </xf>
    <xf numFmtId="0" fontId="49" fillId="0" borderId="24" applyNumberFormat="0" applyFill="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179" fontId="0" fillId="0" borderId="0" applyFont="0" applyFill="0" applyBorder="0" applyAlignment="0" applyProtection="0">
      <alignment vertical="center"/>
    </xf>
    <xf numFmtId="0" fontId="35" fillId="12"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0" fillId="0" borderId="0"/>
    <xf numFmtId="0" fontId="7" fillId="15" borderId="0" applyNumberFormat="0" applyBorder="0" applyAlignment="0" applyProtection="0">
      <alignment vertical="center"/>
    </xf>
    <xf numFmtId="0" fontId="35" fillId="27" borderId="0" applyNumberFormat="0" applyBorder="0" applyAlignment="0" applyProtection="0">
      <alignment vertical="center"/>
    </xf>
    <xf numFmtId="0" fontId="7" fillId="15" borderId="0" applyNumberFormat="0" applyBorder="0" applyAlignment="0" applyProtection="0">
      <alignment vertical="center"/>
    </xf>
    <xf numFmtId="0" fontId="35" fillId="27" borderId="0" applyNumberFormat="0" applyBorder="0" applyAlignment="0" applyProtection="0">
      <alignment vertical="center"/>
    </xf>
    <xf numFmtId="0" fontId="7" fillId="15" borderId="0" applyNumberFormat="0" applyBorder="0" applyAlignment="0" applyProtection="0">
      <alignment vertical="center"/>
    </xf>
    <xf numFmtId="0" fontId="35" fillId="27"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27"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0" fillId="0" borderId="0">
      <alignment vertical="center"/>
    </xf>
    <xf numFmtId="0" fontId="7" fillId="15"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7" fillId="15" borderId="0" applyNumberFormat="0" applyBorder="0" applyAlignment="0" applyProtection="0">
      <alignment vertical="center"/>
    </xf>
    <xf numFmtId="0" fontId="39" fillId="9" borderId="0" applyNumberFormat="0" applyBorder="0" applyAlignment="0" applyProtection="0">
      <alignment vertical="center"/>
    </xf>
    <xf numFmtId="0" fontId="7" fillId="10" borderId="0" applyNumberFormat="0" applyBorder="0" applyAlignment="0" applyProtection="0">
      <alignment vertical="center"/>
    </xf>
    <xf numFmtId="0" fontId="39" fillId="9" borderId="0" applyNumberFormat="0" applyBorder="0" applyAlignment="0" applyProtection="0">
      <alignment vertical="center"/>
    </xf>
    <xf numFmtId="0" fontId="7" fillId="10" borderId="0" applyNumberFormat="0" applyBorder="0" applyAlignment="0" applyProtection="0">
      <alignment vertical="center"/>
    </xf>
    <xf numFmtId="0" fontId="39" fillId="9" borderId="0" applyNumberFormat="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0" fontId="0" fillId="0" borderId="0">
      <alignment vertical="center"/>
    </xf>
    <xf numFmtId="0" fontId="0" fillId="0" borderId="0">
      <alignment vertical="center"/>
    </xf>
    <xf numFmtId="0" fontId="7" fillId="10" borderId="0" applyNumberFormat="0" applyBorder="0" applyAlignment="0" applyProtection="0">
      <alignment vertical="center"/>
    </xf>
    <xf numFmtId="0" fontId="0" fillId="0" borderId="0"/>
    <xf numFmtId="0" fontId="43" fillId="13" borderId="18" applyNumberFormat="0" applyAlignment="0" applyProtection="0">
      <alignment vertical="center"/>
    </xf>
    <xf numFmtId="0" fontId="0" fillId="0" borderId="0"/>
    <xf numFmtId="0" fontId="7" fillId="10" borderId="0" applyNumberFormat="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0" fontId="35" fillId="12" borderId="0" applyNumberFormat="0" applyBorder="0" applyAlignment="0" applyProtection="0">
      <alignment vertical="center"/>
    </xf>
    <xf numFmtId="0" fontId="7" fillId="10" borderId="0" applyNumberFormat="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0" fontId="9" fillId="0" borderId="0"/>
    <xf numFmtId="0" fontId="40" fillId="0" borderId="0" applyNumberFormat="0" applyFill="0" applyBorder="0" applyAlignment="0" applyProtection="0">
      <alignment vertical="center"/>
    </xf>
    <xf numFmtId="0" fontId="0" fillId="0" borderId="0"/>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0" fontId="0" fillId="0" borderId="0"/>
    <xf numFmtId="0" fontId="7" fillId="10" borderId="0" applyNumberFormat="0" applyBorder="0" applyAlignment="0" applyProtection="0">
      <alignment vertical="center"/>
    </xf>
    <xf numFmtId="0" fontId="39" fillId="9" borderId="0" applyNumberFormat="0" applyBorder="0" applyAlignment="0" applyProtection="0">
      <alignment vertical="center"/>
    </xf>
    <xf numFmtId="0" fontId="7" fillId="6" borderId="0" applyNumberFormat="0" applyBorder="0" applyAlignment="0" applyProtection="0">
      <alignment vertical="center"/>
    </xf>
    <xf numFmtId="0" fontId="9" fillId="0" borderId="0">
      <alignment vertical="center"/>
    </xf>
    <xf numFmtId="0" fontId="0" fillId="0" borderId="0">
      <alignment vertical="center"/>
    </xf>
    <xf numFmtId="0" fontId="7" fillId="6" borderId="0" applyNumberFormat="0" applyBorder="0" applyAlignment="0" applyProtection="0">
      <alignment vertical="center"/>
    </xf>
    <xf numFmtId="179" fontId="0" fillId="0" borderId="0" applyFont="0" applyFill="0" applyBorder="0" applyAlignment="0" applyProtection="0"/>
    <xf numFmtId="0" fontId="0" fillId="0" borderId="0">
      <alignment vertical="center"/>
    </xf>
    <xf numFmtId="0" fontId="7" fillId="6" borderId="0" applyNumberFormat="0" applyBorder="0" applyAlignment="0" applyProtection="0">
      <alignment vertical="center"/>
    </xf>
    <xf numFmtId="0" fontId="0" fillId="0" borderId="0"/>
    <xf numFmtId="0" fontId="7" fillId="6"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179" fontId="0" fillId="0" borderId="0" applyFont="0" applyFill="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1" fontId="14" fillId="0" borderId="2">
      <alignment vertical="center"/>
      <protection locked="0"/>
    </xf>
    <xf numFmtId="0" fontId="0" fillId="0" borderId="0"/>
    <xf numFmtId="0" fontId="7" fillId="6"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179" fontId="0" fillId="0" borderId="0" applyFont="0" applyFill="0" applyBorder="0" applyAlignment="0" applyProtection="0">
      <alignment vertical="center"/>
    </xf>
    <xf numFmtId="0" fontId="7" fillId="6"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9" fillId="0" borderId="0"/>
    <xf numFmtId="0" fontId="7" fillId="6" borderId="0" applyNumberFormat="0" applyBorder="0" applyAlignment="0" applyProtection="0">
      <alignment vertical="center"/>
    </xf>
    <xf numFmtId="0" fontId="7" fillId="0" borderId="0"/>
    <xf numFmtId="0" fontId="7" fillId="10" borderId="0" applyNumberFormat="0" applyBorder="0" applyAlignment="0" applyProtection="0">
      <alignment vertical="center"/>
    </xf>
    <xf numFmtId="43" fontId="0" fillId="0" borderId="0" applyFont="0" applyFill="0" applyBorder="0" applyAlignment="0" applyProtection="0"/>
    <xf numFmtId="0" fontId="46" fillId="0" borderId="0"/>
    <xf numFmtId="0" fontId="7" fillId="6"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9" fillId="0" borderId="0"/>
    <xf numFmtId="0" fontId="7" fillId="6" borderId="0" applyNumberFormat="0" applyBorder="0" applyAlignment="0" applyProtection="0">
      <alignment vertical="center"/>
    </xf>
    <xf numFmtId="0" fontId="9" fillId="0" borderId="0"/>
    <xf numFmtId="179" fontId="0" fillId="0" borderId="0" applyFont="0" applyFill="0" applyBorder="0" applyAlignment="0" applyProtection="0"/>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39"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alignment vertical="center"/>
    </xf>
    <xf numFmtId="0" fontId="7" fillId="10" borderId="0" applyNumberFormat="0" applyBorder="0" applyAlignment="0" applyProtection="0">
      <alignment vertical="center"/>
    </xf>
    <xf numFmtId="0" fontId="9" fillId="0" borderId="0">
      <alignment vertical="center"/>
    </xf>
    <xf numFmtId="0" fontId="7" fillId="10" borderId="0" applyNumberFormat="0" applyBorder="0" applyAlignment="0" applyProtection="0">
      <alignment vertical="center"/>
    </xf>
    <xf numFmtId="0" fontId="48" fillId="0" borderId="0" applyNumberFormat="0" applyFill="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9" fillId="0" borderId="0">
      <alignment vertical="center"/>
    </xf>
    <xf numFmtId="0" fontId="7" fillId="10" borderId="0" applyNumberFormat="0" applyBorder="0" applyAlignment="0" applyProtection="0">
      <alignment vertical="center"/>
    </xf>
    <xf numFmtId="0" fontId="37" fillId="6" borderId="0" applyNumberFormat="0" applyBorder="0" applyAlignment="0" applyProtection="0">
      <alignment vertical="center"/>
    </xf>
    <xf numFmtId="0" fontId="7" fillId="10" borderId="0" applyNumberFormat="0" applyBorder="0" applyAlignment="0" applyProtection="0">
      <alignment vertical="center"/>
    </xf>
    <xf numFmtId="1" fontId="14" fillId="0" borderId="2">
      <alignment vertical="center"/>
      <protection locked="0"/>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7" fillId="10" borderId="0" applyNumberFormat="0" applyBorder="0" applyAlignment="0" applyProtection="0">
      <alignment vertical="center"/>
    </xf>
    <xf numFmtId="0" fontId="0" fillId="0" borderId="0"/>
    <xf numFmtId="0" fontId="7" fillId="10" borderId="0" applyNumberFormat="0" applyBorder="0" applyAlignment="0" applyProtection="0">
      <alignment vertical="center"/>
    </xf>
    <xf numFmtId="0" fontId="7" fillId="0" borderId="0">
      <alignment vertical="center"/>
    </xf>
    <xf numFmtId="179" fontId="0" fillId="0" borderId="0" applyFont="0" applyFill="0" applyBorder="0" applyAlignment="0" applyProtection="0">
      <alignment vertical="center"/>
    </xf>
    <xf numFmtId="0" fontId="7" fillId="10" borderId="0" applyNumberFormat="0" applyBorder="0" applyAlignment="0" applyProtection="0">
      <alignment vertical="center"/>
    </xf>
    <xf numFmtId="179" fontId="0" fillId="0" borderId="0" applyFont="0" applyFill="0" applyBorder="0" applyAlignment="0" applyProtection="0"/>
    <xf numFmtId="0" fontId="7" fillId="10"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7" fillId="10" borderId="0" applyNumberFormat="0" applyBorder="0" applyAlignment="0" applyProtection="0">
      <alignment vertical="center"/>
    </xf>
    <xf numFmtId="188" fontId="0" fillId="0" borderId="0" applyFont="0" applyFill="0" applyBorder="0" applyAlignment="0" applyProtection="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0" borderId="0"/>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0" fontId="7" fillId="10" borderId="0" applyNumberFormat="0" applyBorder="0" applyAlignment="0" applyProtection="0">
      <alignment vertical="center"/>
    </xf>
    <xf numFmtId="0" fontId="37" fillId="12" borderId="0" applyNumberFormat="0" applyBorder="0" applyAlignment="0" applyProtection="0">
      <alignment vertical="center"/>
    </xf>
    <xf numFmtId="0" fontId="0" fillId="0" borderId="0"/>
    <xf numFmtId="0" fontId="7" fillId="10" borderId="0" applyNumberFormat="0" applyBorder="0" applyAlignment="0" applyProtection="0">
      <alignment vertical="center"/>
    </xf>
    <xf numFmtId="0" fontId="35" fillId="19" borderId="0" applyNumberFormat="0" applyBorder="0" applyAlignment="0" applyProtection="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0" fontId="0" fillId="0" borderId="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179" fontId="0" fillId="0" borderId="0" applyFont="0" applyFill="0" applyBorder="0" applyAlignment="0" applyProtection="0"/>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37" fillId="13" borderId="0" applyNumberFormat="0" applyBorder="0" applyAlignment="0" applyProtection="0">
      <alignment vertical="center"/>
    </xf>
    <xf numFmtId="0" fontId="7" fillId="10" borderId="0" applyNumberFormat="0" applyBorder="0" applyAlignment="0" applyProtection="0">
      <alignment vertical="center"/>
    </xf>
    <xf numFmtId="0" fontId="3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0"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7" fillId="10" borderId="0" applyNumberFormat="0" applyBorder="0" applyAlignment="0" applyProtection="0">
      <alignment vertical="center"/>
    </xf>
    <xf numFmtId="0" fontId="37" fillId="13"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37" fillId="13" borderId="0" applyNumberFormat="0" applyBorder="0" applyAlignment="0" applyProtection="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179" fontId="0" fillId="0" borderId="0" applyFont="0" applyFill="0" applyBorder="0" applyAlignment="0" applyProtection="0"/>
    <xf numFmtId="0" fontId="7" fillId="10" borderId="0" applyNumberFormat="0" applyBorder="0" applyAlignment="0" applyProtection="0">
      <alignment vertical="center"/>
    </xf>
    <xf numFmtId="0" fontId="35" fillId="14" borderId="0" applyNumberFormat="0" applyBorder="0" applyAlignment="0" applyProtection="0">
      <alignment vertical="center"/>
    </xf>
    <xf numFmtId="0" fontId="37" fillId="13"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35" fillId="14" borderId="0" applyNumberFormat="0" applyBorder="0" applyAlignment="0" applyProtection="0">
      <alignment vertical="center"/>
    </xf>
    <xf numFmtId="0" fontId="37" fillId="13"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0"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0" fillId="20" borderId="19" applyNumberFormat="0" applyFont="0" applyAlignment="0" applyProtection="0">
      <alignment vertical="center"/>
    </xf>
    <xf numFmtId="0" fontId="7" fillId="6" borderId="0" applyNumberFormat="0" applyBorder="0" applyAlignment="0" applyProtection="0">
      <alignment vertical="center"/>
    </xf>
    <xf numFmtId="0" fontId="35" fillId="19" borderId="0" applyNumberFormat="0" applyBorder="0" applyAlignment="0" applyProtection="0">
      <alignment vertical="center"/>
    </xf>
    <xf numFmtId="0" fontId="0" fillId="20" borderId="19" applyNumberFormat="0" applyFont="0" applyAlignment="0" applyProtection="0">
      <alignment vertical="center"/>
    </xf>
    <xf numFmtId="0" fontId="7" fillId="10" borderId="0" applyNumberFormat="0" applyBorder="0" applyAlignment="0" applyProtection="0">
      <alignment vertical="center"/>
    </xf>
    <xf numFmtId="0" fontId="35" fillId="19" borderId="0" applyNumberFormat="0" applyBorder="0" applyAlignment="0" applyProtection="0">
      <alignment vertical="center"/>
    </xf>
    <xf numFmtId="179" fontId="0" fillId="0" borderId="0" applyFont="0" applyFill="0" applyBorder="0" applyAlignment="0" applyProtection="0">
      <alignment vertical="center"/>
    </xf>
    <xf numFmtId="0" fontId="7" fillId="15" borderId="0" applyNumberFormat="0" applyBorder="0" applyAlignment="0" applyProtection="0">
      <alignment vertical="center"/>
    </xf>
    <xf numFmtId="0" fontId="35" fillId="19" borderId="0" applyNumberFormat="0" applyBorder="0" applyAlignment="0" applyProtection="0">
      <alignment vertical="center"/>
    </xf>
    <xf numFmtId="43" fontId="7" fillId="0" borderId="0" applyFont="0" applyFill="0" applyBorder="0" applyAlignment="0" applyProtection="0">
      <alignment vertical="center"/>
    </xf>
    <xf numFmtId="0" fontId="7" fillId="14" borderId="0" applyNumberFormat="0" applyBorder="0" applyAlignment="0" applyProtection="0">
      <alignment vertical="center"/>
    </xf>
    <xf numFmtId="0" fontId="7" fillId="6" borderId="0" applyNumberFormat="0" applyBorder="0" applyAlignment="0" applyProtection="0">
      <alignment vertical="center"/>
    </xf>
    <xf numFmtId="0" fontId="7" fillId="23" borderId="0" applyNumberFormat="0" applyBorder="0" applyAlignment="0" applyProtection="0">
      <alignment vertical="center"/>
    </xf>
    <xf numFmtId="0" fontId="7" fillId="13" borderId="0" applyNumberFormat="0" applyBorder="0" applyAlignment="0" applyProtection="0">
      <alignment vertical="center"/>
    </xf>
    <xf numFmtId="0" fontId="7" fillId="22" borderId="0" applyNumberFormat="0" applyBorder="0" applyAlignment="0" applyProtection="0">
      <alignment vertical="center"/>
    </xf>
    <xf numFmtId="0" fontId="37" fillId="6" borderId="0" applyNumberFormat="0" applyBorder="0" applyAlignment="0" applyProtection="0">
      <alignment vertical="center"/>
    </xf>
    <xf numFmtId="0" fontId="7" fillId="15" borderId="0" applyNumberFormat="0" applyBorder="0" applyAlignment="0" applyProtection="0">
      <alignment vertical="center"/>
    </xf>
    <xf numFmtId="0" fontId="7" fillId="10" borderId="0" applyNumberFormat="0" applyBorder="0" applyAlignment="0" applyProtection="0">
      <alignment vertical="center"/>
    </xf>
    <xf numFmtId="0" fontId="0" fillId="0" borderId="0"/>
    <xf numFmtId="0" fontId="0" fillId="0" borderId="0">
      <alignment vertical="center"/>
    </xf>
    <xf numFmtId="0" fontId="7" fillId="22"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7" fillId="12" borderId="0" applyNumberFormat="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9" fillId="9"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25" borderId="0" applyNumberFormat="0" applyBorder="0" applyAlignment="0" applyProtection="0">
      <alignment vertical="center"/>
    </xf>
    <xf numFmtId="0" fontId="40" fillId="0" borderId="0" applyNumberFormat="0" applyFill="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79" fontId="0" fillId="0" borderId="0" applyFont="0" applyFill="0" applyBorder="0" applyAlignment="0" applyProtection="0">
      <alignment vertical="center"/>
    </xf>
    <xf numFmtId="0" fontId="37" fillId="12" borderId="0" applyNumberFormat="0" applyBorder="0" applyAlignment="0" applyProtection="0">
      <alignment vertical="center"/>
    </xf>
    <xf numFmtId="0" fontId="7" fillId="0" borderId="0">
      <alignment vertical="center"/>
    </xf>
    <xf numFmtId="0" fontId="37" fillId="12" borderId="0" applyNumberFormat="0" applyBorder="0" applyAlignment="0" applyProtection="0">
      <alignment vertical="center"/>
    </xf>
    <xf numFmtId="0" fontId="38" fillId="6" borderId="18" applyNumberFormat="0" applyAlignment="0" applyProtection="0">
      <alignment vertical="center"/>
    </xf>
    <xf numFmtId="189" fontId="73" fillId="0" borderId="0" applyFill="0" applyBorder="0" applyAlignment="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79" fontId="0" fillId="0" borderId="0" applyFont="0" applyFill="0" applyBorder="0" applyAlignment="0" applyProtection="0">
      <alignment vertical="center"/>
    </xf>
    <xf numFmtId="0" fontId="69" fillId="0" borderId="23" applyNumberFormat="0" applyFill="0" applyAlignment="0" applyProtection="0">
      <alignment vertical="center"/>
    </xf>
    <xf numFmtId="0" fontId="35" fillId="25" borderId="0" applyNumberFormat="0" applyBorder="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35" fillId="25" borderId="0" applyNumberFormat="0" applyBorder="0" applyAlignment="0" applyProtection="0">
      <alignment vertical="center"/>
    </xf>
    <xf numFmtId="0" fontId="0" fillId="0" borderId="0">
      <alignment vertical="center"/>
    </xf>
    <xf numFmtId="0" fontId="7" fillId="0" borderId="0">
      <alignment vertical="center"/>
    </xf>
    <xf numFmtId="0" fontId="0" fillId="0" borderId="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7" fillId="0" borderId="0"/>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35" fillId="25" borderId="0" applyNumberFormat="0" applyBorder="0" applyAlignment="0" applyProtection="0">
      <alignment vertical="center"/>
    </xf>
    <xf numFmtId="0" fontId="0" fillId="0" borderId="0"/>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179" fontId="0" fillId="0" borderId="0" applyFont="0" applyFill="0" applyBorder="0" applyAlignment="0" applyProtection="0"/>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35" fillId="25" borderId="0" applyNumberFormat="0" applyBorder="0" applyAlignment="0" applyProtection="0">
      <alignment vertical="center"/>
    </xf>
    <xf numFmtId="0" fontId="0" fillId="0" borderId="0"/>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179" fontId="0" fillId="0" borderId="0" applyFont="0" applyFill="0" applyBorder="0" applyAlignment="0" applyProtection="0"/>
    <xf numFmtId="0" fontId="35" fillId="25" borderId="0" applyNumberFormat="0" applyBorder="0" applyAlignment="0" applyProtection="0">
      <alignment vertical="center"/>
    </xf>
    <xf numFmtId="0" fontId="0" fillId="0" borderId="0">
      <alignment vertical="center"/>
    </xf>
    <xf numFmtId="0" fontId="37" fillId="12" borderId="0" applyNumberFormat="0" applyBorder="0" applyAlignment="0" applyProtection="0">
      <alignment vertical="center"/>
    </xf>
    <xf numFmtId="0" fontId="0" fillId="0" borderId="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0" fillId="0" borderId="0"/>
    <xf numFmtId="0" fontId="34" fillId="0" borderId="27" applyNumberFormat="0" applyFill="0" applyAlignment="0" applyProtection="0">
      <alignment vertical="center"/>
    </xf>
    <xf numFmtId="0" fontId="37" fillId="12" borderId="0" applyNumberFormat="0" applyBorder="0" applyAlignment="0" applyProtection="0">
      <alignment vertical="center"/>
    </xf>
    <xf numFmtId="0" fontId="34" fillId="0" borderId="27" applyNumberFormat="0" applyFill="0" applyAlignment="0" applyProtection="0">
      <alignment vertical="center"/>
    </xf>
    <xf numFmtId="0" fontId="37" fillId="12" borderId="0" applyNumberFormat="0" applyBorder="0" applyAlignment="0" applyProtection="0">
      <alignment vertical="center"/>
    </xf>
    <xf numFmtId="0" fontId="34" fillId="0" borderId="27" applyNumberFormat="0" applyFill="0" applyAlignment="0" applyProtection="0">
      <alignment vertical="center"/>
    </xf>
    <xf numFmtId="0" fontId="35" fillId="25"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6" fillId="7" borderId="0" applyNumberFormat="0" applyBorder="0" applyAlignment="0" applyProtection="0">
      <alignment vertical="center"/>
    </xf>
    <xf numFmtId="0" fontId="35" fillId="14" borderId="0" applyNumberFormat="0" applyBorder="0" applyAlignment="0" applyProtection="0">
      <alignment vertical="center"/>
    </xf>
    <xf numFmtId="0" fontId="36" fillId="7"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6" fillId="7" borderId="0" applyNumberFormat="0" applyBorder="0" applyAlignment="0" applyProtection="0">
      <alignment vertical="center"/>
    </xf>
    <xf numFmtId="0" fontId="35" fillId="14" borderId="0" applyNumberFormat="0" applyBorder="0" applyAlignment="0" applyProtection="0">
      <alignment vertical="center"/>
    </xf>
    <xf numFmtId="0" fontId="0" fillId="0" borderId="0">
      <alignment vertical="center"/>
    </xf>
    <xf numFmtId="0" fontId="35" fillId="14" borderId="0" applyNumberFormat="0" applyBorder="0" applyAlignment="0" applyProtection="0">
      <alignment vertical="center"/>
    </xf>
    <xf numFmtId="179" fontId="0" fillId="0" borderId="0" applyFont="0" applyFill="0" applyBorder="0" applyAlignment="0" applyProtection="0">
      <alignment vertical="center"/>
    </xf>
    <xf numFmtId="0" fontId="35" fillId="14" borderId="0" applyNumberFormat="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35" fillId="12" borderId="0" applyNumberFormat="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187" fontId="72" fillId="0" borderId="0"/>
    <xf numFmtId="0" fontId="0" fillId="0" borderId="0">
      <alignment vertical="center"/>
    </xf>
    <xf numFmtId="43" fontId="0" fillId="0" borderId="0" applyFont="0" applyFill="0" applyBorder="0" applyAlignment="0" applyProtection="0">
      <alignment vertical="center"/>
    </xf>
    <xf numFmtId="0" fontId="37" fillId="14" borderId="0" applyNumberFormat="0" applyBorder="0" applyAlignment="0" applyProtection="0">
      <alignment vertical="center"/>
    </xf>
    <xf numFmtId="0" fontId="37" fillId="22" borderId="0" applyNumberFormat="0" applyBorder="0" applyAlignment="0" applyProtection="0">
      <alignment vertical="center"/>
    </xf>
    <xf numFmtId="179" fontId="0" fillId="0" borderId="0" applyFont="0" applyFill="0" applyBorder="0" applyAlignment="0" applyProtection="0">
      <alignment vertical="center"/>
    </xf>
    <xf numFmtId="0" fontId="35" fillId="14" borderId="0" applyNumberFormat="0" applyBorder="0" applyAlignment="0" applyProtection="0">
      <alignment vertical="center"/>
    </xf>
    <xf numFmtId="0" fontId="35" fillId="2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5" fillId="23" borderId="0" applyNumberFormat="0" applyBorder="0" applyAlignment="0" applyProtection="0">
      <alignment vertical="center"/>
    </xf>
    <xf numFmtId="0" fontId="37" fillId="14" borderId="0" applyNumberFormat="0" applyBorder="0" applyAlignment="0" applyProtection="0">
      <alignment vertical="center"/>
    </xf>
    <xf numFmtId="0" fontId="35" fillId="2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5" fillId="23" borderId="0" applyNumberFormat="0" applyBorder="0" applyAlignment="0" applyProtection="0">
      <alignment vertical="center"/>
    </xf>
    <xf numFmtId="179" fontId="0" fillId="0" borderId="0" applyFont="0" applyFill="0" applyBorder="0" applyAlignment="0" applyProtection="0">
      <alignment vertical="center"/>
    </xf>
    <xf numFmtId="0" fontId="35" fillId="14" borderId="0" applyNumberFormat="0" applyBorder="0" applyAlignment="0" applyProtection="0">
      <alignment vertical="center"/>
    </xf>
    <xf numFmtId="179" fontId="0" fillId="0" borderId="0" applyFont="0" applyFill="0" applyBorder="0" applyAlignment="0" applyProtection="0"/>
    <xf numFmtId="0" fontId="37"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0" fillId="20" borderId="19" applyNumberFormat="0" applyFont="0" applyAlignment="0" applyProtection="0">
      <alignment vertical="center"/>
    </xf>
    <xf numFmtId="0" fontId="0" fillId="0" borderId="0">
      <alignment vertical="center"/>
    </xf>
    <xf numFmtId="0" fontId="0" fillId="0" borderId="0">
      <alignment vertical="center"/>
    </xf>
    <xf numFmtId="0" fontId="50" fillId="24" borderId="21" applyNumberFormat="0" applyAlignment="0" applyProtection="0">
      <alignment vertical="center"/>
    </xf>
    <xf numFmtId="0" fontId="35" fillId="14" borderId="0" applyNumberFormat="0" applyBorder="0" applyAlignment="0" applyProtection="0">
      <alignment vertical="center"/>
    </xf>
    <xf numFmtId="0" fontId="35" fillId="19" borderId="0" applyNumberFormat="0" applyBorder="0" applyAlignment="0" applyProtection="0">
      <alignment vertical="center"/>
    </xf>
    <xf numFmtId="0" fontId="0" fillId="0" borderId="0"/>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7" fillId="12"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50" fillId="24" borderId="21" applyNumberFormat="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179" fontId="0" fillId="0" borderId="0" applyFont="0" applyFill="0" applyBorder="0" applyAlignment="0" applyProtection="0"/>
    <xf numFmtId="0" fontId="35"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4" fillId="0" borderId="27" applyNumberFormat="0" applyFill="0" applyAlignment="0" applyProtection="0">
      <alignment vertical="center"/>
    </xf>
    <xf numFmtId="0" fontId="37" fillId="14" borderId="0" applyNumberFormat="0" applyBorder="0" applyAlignment="0" applyProtection="0">
      <alignment vertical="center"/>
    </xf>
    <xf numFmtId="0" fontId="35" fillId="14" borderId="0" applyNumberFormat="0" applyBorder="0" applyAlignment="0" applyProtection="0">
      <alignment vertical="center"/>
    </xf>
    <xf numFmtId="0" fontId="37" fillId="14"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7" fillId="22"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7" fillId="22"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7" fillId="22" borderId="0" applyNumberFormat="0" applyBorder="0" applyAlignment="0" applyProtection="0">
      <alignment vertical="center"/>
    </xf>
    <xf numFmtId="0" fontId="0" fillId="0" borderId="0"/>
    <xf numFmtId="0" fontId="37" fillId="22" borderId="0" applyNumberFormat="0" applyBorder="0" applyAlignment="0" applyProtection="0">
      <alignment vertical="center"/>
    </xf>
    <xf numFmtId="0" fontId="35" fillId="23"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0" fillId="0" borderId="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42" fillId="0" borderId="20" applyNumberFormat="0" applyFill="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5" fillId="23" borderId="0" applyNumberFormat="0" applyBorder="0" applyAlignment="0" applyProtection="0">
      <alignment vertical="center"/>
    </xf>
    <xf numFmtId="0" fontId="9" fillId="0" borderId="0"/>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79" fontId="0" fillId="0" borderId="0" applyFont="0" applyFill="0" applyBorder="0" applyAlignment="0" applyProtection="0"/>
    <xf numFmtId="0" fontId="35" fillId="23"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5" fillId="23" borderId="0" applyNumberFormat="0" applyBorder="0" applyAlignment="0" applyProtection="0">
      <alignment vertical="center"/>
    </xf>
    <xf numFmtId="0" fontId="37" fillId="22" borderId="0" applyNumberFormat="0" applyBorder="0" applyAlignment="0" applyProtection="0">
      <alignment vertical="center"/>
    </xf>
    <xf numFmtId="0" fontId="35" fillId="19" borderId="0" applyNumberFormat="0" applyBorder="0" applyAlignment="0" applyProtection="0">
      <alignment vertical="center"/>
    </xf>
    <xf numFmtId="0" fontId="37" fillId="13" borderId="0" applyNumberFormat="0" applyBorder="0" applyAlignment="0" applyProtection="0">
      <alignment vertical="center"/>
    </xf>
    <xf numFmtId="0" fontId="35" fillId="16" borderId="0" applyNumberFormat="0" applyBorder="0" applyAlignment="0" applyProtection="0">
      <alignment vertical="center"/>
    </xf>
    <xf numFmtId="0" fontId="37" fillId="13" borderId="0" applyNumberFormat="0" applyBorder="0" applyAlignment="0" applyProtection="0">
      <alignment vertical="center"/>
    </xf>
    <xf numFmtId="0" fontId="0" fillId="0" borderId="0">
      <alignment vertical="center"/>
    </xf>
    <xf numFmtId="0" fontId="0" fillId="0" borderId="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5" fillId="19" borderId="0" applyNumberFormat="0" applyBorder="0" applyAlignment="0" applyProtection="0">
      <alignment vertical="center"/>
    </xf>
    <xf numFmtId="0" fontId="0" fillId="0" borderId="0"/>
    <xf numFmtId="0" fontId="0" fillId="0" borderId="0"/>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7" fillId="6" borderId="0" applyNumberFormat="0" applyBorder="0" applyAlignment="0" applyProtection="0">
      <alignment vertical="center"/>
    </xf>
    <xf numFmtId="0" fontId="0" fillId="0" borderId="0"/>
    <xf numFmtId="0" fontId="0" fillId="0" borderId="0">
      <alignment vertical="center"/>
    </xf>
    <xf numFmtId="0" fontId="0" fillId="0" borderId="0"/>
    <xf numFmtId="0" fontId="35" fillId="19"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179" fontId="0" fillId="0" borderId="0" applyFont="0" applyFill="0" applyBorder="0" applyAlignment="0" applyProtection="0"/>
    <xf numFmtId="0" fontId="0" fillId="0" borderId="0">
      <alignment vertical="center"/>
    </xf>
    <xf numFmtId="0" fontId="35" fillId="19" borderId="0" applyNumberFormat="0" applyBorder="0" applyAlignment="0" applyProtection="0">
      <alignment vertical="center"/>
    </xf>
    <xf numFmtId="0" fontId="0" fillId="0" borderId="0">
      <alignment vertical="center"/>
    </xf>
    <xf numFmtId="0" fontId="0" fillId="0" borderId="0">
      <alignment vertical="center"/>
    </xf>
    <xf numFmtId="0" fontId="50" fillId="24" borderId="21" applyNumberFormat="0" applyAlignment="0" applyProtection="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50" fillId="24" borderId="21" applyNumberFormat="0" applyAlignment="0" applyProtection="0">
      <alignment vertical="center"/>
    </xf>
    <xf numFmtId="0" fontId="35"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xf numFmtId="0" fontId="0" fillId="0" borderId="0"/>
    <xf numFmtId="0" fontId="50" fillId="24" borderId="21" applyNumberFormat="0" applyAlignment="0" applyProtection="0">
      <alignment vertical="center"/>
    </xf>
    <xf numFmtId="0" fontId="35" fillId="19" borderId="0" applyNumberFormat="0" applyBorder="0" applyAlignment="0" applyProtection="0">
      <alignment vertical="center"/>
    </xf>
    <xf numFmtId="0" fontId="0" fillId="0" borderId="0"/>
    <xf numFmtId="0" fontId="0" fillId="0" borderId="0"/>
    <xf numFmtId="0" fontId="0" fillId="0" borderId="0"/>
    <xf numFmtId="0" fontId="50" fillId="24" borderId="21" applyNumberFormat="0" applyAlignment="0" applyProtection="0">
      <alignment vertical="center"/>
    </xf>
    <xf numFmtId="0" fontId="35" fillId="19" borderId="0" applyNumberFormat="0" applyBorder="0" applyAlignment="0" applyProtection="0">
      <alignment vertical="center"/>
    </xf>
    <xf numFmtId="0" fontId="0" fillId="20" borderId="19" applyNumberFormat="0" applyFont="0" applyAlignment="0" applyProtection="0">
      <alignment vertical="center"/>
    </xf>
    <xf numFmtId="0" fontId="0" fillId="0" borderId="0">
      <alignment vertical="center"/>
    </xf>
    <xf numFmtId="0" fontId="0" fillId="0" borderId="0">
      <alignment vertical="center"/>
    </xf>
    <xf numFmtId="0" fontId="50" fillId="24" borderId="21" applyNumberFormat="0" applyAlignment="0" applyProtection="0">
      <alignment vertical="center"/>
    </xf>
    <xf numFmtId="0" fontId="35" fillId="19"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15" fillId="0" borderId="0"/>
    <xf numFmtId="0" fontId="15" fillId="0" borderId="0"/>
    <xf numFmtId="0" fontId="35" fillId="19" borderId="0" applyNumberFormat="0" applyBorder="0" applyAlignment="0" applyProtection="0">
      <alignment vertical="center"/>
    </xf>
    <xf numFmtId="0" fontId="15" fillId="0" borderId="0"/>
    <xf numFmtId="0" fontId="15" fillId="0" borderId="0"/>
    <xf numFmtId="0" fontId="44" fillId="24" borderId="21" applyNumberFormat="0" applyAlignment="0" applyProtection="0">
      <alignment vertical="center"/>
    </xf>
    <xf numFmtId="0" fontId="35" fillId="19" borderId="0" applyNumberFormat="0" applyBorder="0" applyAlignment="0" applyProtection="0">
      <alignment vertical="center"/>
    </xf>
    <xf numFmtId="0" fontId="36" fillId="7" borderId="0" applyNumberFormat="0" applyBorder="0" applyAlignment="0" applyProtection="0">
      <alignment vertical="center"/>
    </xf>
    <xf numFmtId="0" fontId="0" fillId="20" borderId="19" applyNumberFormat="0" applyFont="0" applyAlignment="0" applyProtection="0">
      <alignment vertical="center"/>
    </xf>
    <xf numFmtId="0" fontId="15" fillId="0" borderId="0"/>
    <xf numFmtId="0" fontId="0" fillId="0" borderId="0">
      <alignment vertical="center"/>
    </xf>
    <xf numFmtId="0" fontId="44" fillId="24" borderId="21" applyNumberFormat="0" applyAlignment="0" applyProtection="0">
      <alignment vertical="center"/>
    </xf>
    <xf numFmtId="0" fontId="35" fillId="19" borderId="0" applyNumberFormat="0" applyBorder="0" applyAlignment="0" applyProtection="0">
      <alignment vertical="center"/>
    </xf>
    <xf numFmtId="0" fontId="43" fillId="5" borderId="18" applyNumberFormat="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44" fillId="24" borderId="21" applyNumberFormat="0" applyAlignment="0" applyProtection="0">
      <alignment vertical="center"/>
    </xf>
    <xf numFmtId="0" fontId="35" fillId="19" borderId="0" applyNumberFormat="0" applyBorder="0" applyAlignment="0" applyProtection="0">
      <alignment vertical="center"/>
    </xf>
    <xf numFmtId="0" fontId="44" fillId="24" borderId="21" applyNumberFormat="0" applyAlignment="0" applyProtection="0">
      <alignment vertical="center"/>
    </xf>
    <xf numFmtId="0" fontId="35" fillId="19" borderId="0" applyNumberFormat="0" applyBorder="0" applyAlignment="0" applyProtection="0">
      <alignment vertical="center"/>
    </xf>
    <xf numFmtId="0" fontId="44" fillId="24" borderId="21" applyNumberFormat="0" applyAlignment="0" applyProtection="0">
      <alignment vertical="center"/>
    </xf>
    <xf numFmtId="0" fontId="35" fillId="19" borderId="0" applyNumberFormat="0" applyBorder="0" applyAlignment="0" applyProtection="0">
      <alignment vertical="center"/>
    </xf>
    <xf numFmtId="0" fontId="37" fillId="13"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44" fillId="24" borderId="21"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5" fillId="19" borderId="0" applyNumberFormat="0" applyBorder="0" applyAlignment="0" applyProtection="0">
      <alignment vertical="center"/>
    </xf>
    <xf numFmtId="0" fontId="37" fillId="13"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62" fillId="0" borderId="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62" fillId="0" borderId="0">
      <alignment vertical="center"/>
    </xf>
    <xf numFmtId="0" fontId="35" fillId="12" borderId="0" applyNumberFormat="0" applyBorder="0" applyAlignment="0" applyProtection="0">
      <alignment vertical="center"/>
    </xf>
    <xf numFmtId="0" fontId="51" fillId="22" borderId="0" applyNumberFormat="0" applyBorder="0" applyAlignment="0" applyProtection="0">
      <alignment vertical="center"/>
    </xf>
    <xf numFmtId="0" fontId="35" fillId="12" borderId="0" applyNumberFormat="0" applyBorder="0" applyAlignment="0" applyProtection="0">
      <alignment vertical="center"/>
    </xf>
    <xf numFmtId="0" fontId="0" fillId="0" borderId="0"/>
    <xf numFmtId="0" fontId="51" fillId="22" borderId="0" applyNumberFormat="0" applyBorder="0" applyAlignment="0" applyProtection="0">
      <alignment vertical="center"/>
    </xf>
    <xf numFmtId="0" fontId="35" fillId="12" borderId="0" applyNumberFormat="0" applyBorder="0" applyAlignment="0" applyProtection="0">
      <alignment vertical="center"/>
    </xf>
    <xf numFmtId="179" fontId="0" fillId="0" borderId="0" applyFont="0" applyFill="0" applyBorder="0" applyAlignment="0" applyProtection="0"/>
    <xf numFmtId="0" fontId="0" fillId="0" borderId="0"/>
    <xf numFmtId="0" fontId="51" fillId="22" borderId="0" applyNumberFormat="0" applyBorder="0" applyAlignment="0" applyProtection="0">
      <alignment vertical="center"/>
    </xf>
    <xf numFmtId="2" fontId="68" fillId="0" borderId="0" applyProtection="0"/>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179" fontId="0" fillId="0" borderId="0" applyFont="0" applyFill="0" applyBorder="0" applyAlignment="0" applyProtection="0"/>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52" fillId="0" borderId="0" applyNumberFormat="0" applyFill="0" applyBorder="0" applyAlignment="0" applyProtection="0">
      <alignment vertical="center"/>
    </xf>
    <xf numFmtId="0" fontId="37" fillId="12" borderId="0" applyNumberFormat="0" applyBorder="0" applyAlignment="0" applyProtection="0">
      <alignment vertical="center"/>
    </xf>
    <xf numFmtId="0" fontId="52" fillId="0" borderId="0" applyNumberFormat="0" applyFill="0" applyBorder="0" applyAlignment="0" applyProtection="0">
      <alignment vertical="center"/>
    </xf>
    <xf numFmtId="0" fontId="37" fillId="12" borderId="0" applyNumberFormat="0" applyBorder="0" applyAlignment="0" applyProtection="0">
      <alignment vertical="center"/>
    </xf>
    <xf numFmtId="0" fontId="52" fillId="0" borderId="0" applyNumberFormat="0" applyFill="0" applyBorder="0" applyAlignment="0" applyProtection="0">
      <alignment vertical="center"/>
    </xf>
    <xf numFmtId="0" fontId="35" fillId="12" borderId="0" applyNumberFormat="0" applyBorder="0" applyAlignment="0" applyProtection="0">
      <alignment vertical="center"/>
    </xf>
    <xf numFmtId="43" fontId="7" fillId="0" borderId="0" applyFont="0" applyFill="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0" fillId="0" borderId="0"/>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42" fillId="0" borderId="20" applyNumberFormat="0" applyFill="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50" fillId="24" borderId="21" applyNumberFormat="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179" fontId="0" fillId="0" borderId="0" applyFont="0" applyFill="0" applyBorder="0" applyAlignment="0" applyProtection="0"/>
    <xf numFmtId="0" fontId="35"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43" fontId="0" fillId="0" borderId="0" applyFont="0" applyFill="0" applyBorder="0" applyAlignment="0" applyProtection="0"/>
    <xf numFmtId="0" fontId="37" fillId="6" borderId="0" applyNumberFormat="0" applyBorder="0" applyAlignment="0" applyProtection="0">
      <alignment vertical="center"/>
    </xf>
    <xf numFmtId="0" fontId="42" fillId="0" borderId="20"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5"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0" fillId="0" borderId="25" applyNumberFormat="0" applyFill="0" applyAlignment="0" applyProtection="0">
      <alignment vertical="center"/>
    </xf>
    <xf numFmtId="0" fontId="37" fillId="6" borderId="0" applyNumberFormat="0" applyBorder="0" applyAlignment="0" applyProtection="0">
      <alignment vertical="center"/>
    </xf>
    <xf numFmtId="0" fontId="52" fillId="0" borderId="0" applyNumberFormat="0" applyFill="0" applyBorder="0" applyAlignment="0" applyProtection="0">
      <alignment vertical="center"/>
    </xf>
    <xf numFmtId="0" fontId="37" fillId="6" borderId="0" applyNumberFormat="0" applyBorder="0" applyAlignment="0" applyProtection="0">
      <alignment vertical="center"/>
    </xf>
    <xf numFmtId="0" fontId="52" fillId="0" borderId="0" applyNumberFormat="0" applyFill="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0" fontId="35" fillId="18" borderId="0" applyNumberFormat="0" applyBorder="0" applyAlignment="0" applyProtection="0">
      <alignment vertical="center"/>
    </xf>
    <xf numFmtId="43" fontId="0" fillId="0" borderId="0" applyFont="0" applyFill="0" applyBorder="0" applyAlignment="0" applyProtection="0"/>
    <xf numFmtId="0" fontId="0" fillId="0" borderId="0"/>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52" fillId="0" borderId="0" applyNumberFormat="0" applyFill="0" applyBorder="0" applyAlignment="0" applyProtection="0">
      <alignment vertical="center"/>
    </xf>
    <xf numFmtId="0" fontId="35" fillId="18" borderId="0" applyNumberFormat="0" applyBorder="0" applyAlignment="0" applyProtection="0">
      <alignment vertical="center"/>
    </xf>
    <xf numFmtId="9" fontId="0" fillId="0" borderId="0" applyFont="0" applyFill="0" applyBorder="0" applyAlignment="0" applyProtection="0">
      <alignment vertical="center"/>
    </xf>
    <xf numFmtId="0" fontId="35" fillId="18" borderId="0" applyNumberFormat="0" applyBorder="0" applyAlignment="0" applyProtection="0">
      <alignment vertical="center"/>
    </xf>
    <xf numFmtId="43" fontId="7" fillId="0" borderId="0" applyFont="0" applyFill="0" applyBorder="0" applyAlignment="0" applyProtection="0">
      <alignment vertical="center"/>
    </xf>
    <xf numFmtId="9" fontId="0" fillId="0" borderId="0" applyFont="0" applyFill="0" applyBorder="0" applyAlignment="0" applyProtection="0">
      <alignment vertical="center"/>
    </xf>
    <xf numFmtId="0" fontId="35" fillId="18" borderId="0" applyNumberFormat="0" applyBorder="0" applyAlignment="0" applyProtection="0">
      <alignment vertical="center"/>
    </xf>
    <xf numFmtId="43" fontId="0" fillId="0" borderId="0" applyFont="0" applyFill="0" applyBorder="0" applyAlignment="0" applyProtection="0"/>
    <xf numFmtId="9" fontId="0" fillId="0" borderId="0" applyFont="0" applyFill="0" applyBorder="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9" fontId="0" fillId="0" borderId="0" applyFont="0" applyFill="0" applyBorder="0" applyAlignment="0" applyProtection="0">
      <alignment vertical="center"/>
    </xf>
    <xf numFmtId="0" fontId="35" fillId="18" borderId="0" applyNumberFormat="0" applyBorder="0" applyAlignment="0" applyProtection="0">
      <alignment vertical="center"/>
    </xf>
    <xf numFmtId="0" fontId="63" fillId="0" borderId="29" applyNumberFormat="0" applyAlignment="0" applyProtection="0">
      <alignment horizontal="lef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37" fillId="6" borderId="0" applyNumberFormat="0" applyBorder="0" applyAlignment="0" applyProtection="0">
      <alignment vertical="center"/>
    </xf>
    <xf numFmtId="0" fontId="0" fillId="0" borderId="0"/>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0" fontId="35" fillId="12" borderId="0" applyNumberFormat="0" applyBorder="0" applyAlignment="0" applyProtection="0">
      <alignment vertical="center"/>
    </xf>
    <xf numFmtId="0" fontId="35" fillId="25" borderId="0" applyNumberFormat="0" applyBorder="0" applyAlignment="0" applyProtection="0">
      <alignment vertical="center"/>
    </xf>
    <xf numFmtId="0" fontId="35" fillId="15" borderId="0" applyNumberFormat="0" applyBorder="0" applyAlignment="0" applyProtection="0">
      <alignment vertical="center"/>
    </xf>
    <xf numFmtId="0" fontId="35" fillId="14" borderId="0" applyNumberFormat="0" applyBorder="0" applyAlignment="0" applyProtection="0">
      <alignment vertical="center"/>
    </xf>
    <xf numFmtId="0" fontId="0" fillId="0" borderId="0"/>
    <xf numFmtId="0" fontId="51" fillId="22" borderId="0" applyNumberFormat="0" applyBorder="0" applyAlignment="0" applyProtection="0">
      <alignment vertical="center"/>
    </xf>
    <xf numFmtId="0" fontId="35" fillId="6" borderId="0" applyNumberFormat="0" applyBorder="0" applyAlignment="0" applyProtection="0">
      <alignment vertical="center"/>
    </xf>
    <xf numFmtId="0" fontId="35" fillId="23" borderId="0" applyNumberFormat="0" applyBorder="0" applyAlignment="0" applyProtection="0">
      <alignment vertical="center"/>
    </xf>
    <xf numFmtId="0" fontId="51" fillId="22" borderId="0" applyNumberFormat="0" applyBorder="0" applyAlignment="0" applyProtection="0">
      <alignment vertical="center"/>
    </xf>
    <xf numFmtId="0" fontId="35" fillId="13" borderId="0" applyNumberFormat="0" applyBorder="0" applyAlignment="0" applyProtection="0">
      <alignment vertical="center"/>
    </xf>
    <xf numFmtId="0" fontId="35" fillId="19" borderId="0" applyNumberFormat="0" applyBorder="0" applyAlignment="0" applyProtection="0">
      <alignment vertical="center"/>
    </xf>
    <xf numFmtId="0" fontId="35" fillId="12" borderId="0" applyNumberFormat="0" applyBorder="0" applyAlignment="0" applyProtection="0">
      <alignment vertical="center"/>
    </xf>
    <xf numFmtId="0" fontId="51" fillId="22" borderId="0" applyNumberFormat="0" applyBorder="0" applyAlignment="0" applyProtection="0">
      <alignment vertical="center"/>
    </xf>
    <xf numFmtId="0" fontId="35" fillId="18" borderId="0" applyNumberFormat="0" applyBorder="0" applyAlignment="0" applyProtection="0">
      <alignment vertical="center"/>
    </xf>
    <xf numFmtId="189" fontId="73" fillId="0" borderId="0" applyFill="0" applyBorder="0" applyAlignment="0">
      <alignment vertical="center"/>
    </xf>
    <xf numFmtId="0" fontId="7" fillId="0" borderId="0">
      <alignment vertical="center"/>
    </xf>
    <xf numFmtId="41" fontId="15" fillId="0" borderId="0" applyFont="0" applyFill="0" applyBorder="0" applyAlignment="0" applyProtection="0"/>
    <xf numFmtId="187" fontId="72" fillId="0" borderId="0">
      <alignment vertical="center"/>
    </xf>
    <xf numFmtId="0" fontId="0" fillId="0" borderId="0">
      <alignment vertical="center"/>
    </xf>
    <xf numFmtId="190" fontId="0" fillId="0" borderId="0" applyFont="0" applyFill="0" applyBorder="0" applyAlignment="0" applyProtection="0">
      <alignment vertical="center"/>
    </xf>
    <xf numFmtId="186" fontId="0" fillId="0" borderId="0" applyFont="0" applyFill="0" applyBorder="0" applyAlignment="0" applyProtection="0">
      <alignment vertical="center"/>
    </xf>
    <xf numFmtId="186" fontId="15" fillId="0" borderId="0" applyFont="0" applyFill="0" applyBorder="0" applyAlignment="0" applyProtection="0"/>
    <xf numFmtId="0" fontId="43" fillId="5" borderId="18" applyNumberFormat="0" applyAlignment="0" applyProtection="0">
      <alignment vertical="center"/>
    </xf>
    <xf numFmtId="185" fontId="72" fillId="0" borderId="0"/>
    <xf numFmtId="0" fontId="43" fillId="13" borderId="18" applyNumberFormat="0" applyAlignment="0" applyProtection="0">
      <alignment vertical="center"/>
    </xf>
    <xf numFmtId="0" fontId="68" fillId="0" borderId="0" applyProtection="0">
      <alignment vertical="center"/>
    </xf>
    <xf numFmtId="0" fontId="68" fillId="0" borderId="0" applyProtection="0"/>
    <xf numFmtId="179" fontId="0" fillId="0" borderId="0" applyFont="0" applyFill="0" applyBorder="0" applyAlignment="0" applyProtection="0"/>
    <xf numFmtId="43" fontId="0" fillId="0" borderId="0" applyFont="0" applyFill="0" applyBorder="0" applyAlignment="0" applyProtection="0"/>
    <xf numFmtId="182" fontId="72" fillId="0" borderId="0">
      <alignment vertical="center"/>
    </xf>
    <xf numFmtId="182" fontId="72" fillId="0" borderId="0"/>
    <xf numFmtId="179" fontId="0" fillId="0" borderId="0" applyFont="0" applyFill="0" applyBorder="0" applyAlignment="0" applyProtection="0">
      <alignment vertical="center"/>
    </xf>
    <xf numFmtId="0" fontId="0" fillId="0" borderId="0">
      <alignment vertical="center"/>
    </xf>
    <xf numFmtId="0" fontId="0" fillId="0" borderId="0"/>
    <xf numFmtId="2" fontId="68" fillId="0" borderId="0" applyProtection="0">
      <alignment vertical="center"/>
    </xf>
    <xf numFmtId="0" fontId="63" fillId="0" borderId="29" applyNumberFormat="0" applyAlignment="0" applyProtection="0">
      <alignment horizontal="left" vertical="center"/>
    </xf>
    <xf numFmtId="0" fontId="37" fillId="12" borderId="0" applyNumberFormat="0" applyBorder="0" applyAlignment="0" applyProtection="0">
      <alignment vertical="center"/>
    </xf>
    <xf numFmtId="0" fontId="40" fillId="0" borderId="0" applyNumberFormat="0" applyFill="0" applyBorder="0" applyAlignment="0" applyProtection="0">
      <alignment vertical="center"/>
    </xf>
    <xf numFmtId="0" fontId="63" fillId="0" borderId="16">
      <alignment horizontal="left" vertical="center"/>
    </xf>
    <xf numFmtId="0" fontId="63" fillId="0" borderId="16">
      <alignment horizontal="left" vertical="center"/>
    </xf>
    <xf numFmtId="0" fontId="61" fillId="0" borderId="0" applyProtection="0"/>
    <xf numFmtId="0" fontId="63" fillId="0" borderId="0" applyProtection="0">
      <alignment vertical="center"/>
    </xf>
    <xf numFmtId="0" fontId="63" fillId="0" borderId="0" applyProtection="0"/>
    <xf numFmtId="0" fontId="75" fillId="0" borderId="0">
      <alignment vertical="center"/>
    </xf>
    <xf numFmtId="0" fontId="0" fillId="0" borderId="0"/>
    <xf numFmtId="0" fontId="68" fillId="0" borderId="31" applyProtection="0">
      <alignment vertical="center"/>
    </xf>
    <xf numFmtId="0" fontId="14" fillId="0" borderId="2">
      <alignment horizontal="distributed" vertical="center" wrapText="1"/>
    </xf>
    <xf numFmtId="0" fontId="45" fillId="0" borderId="22" applyNumberFormat="0" applyFill="0" applyAlignment="0" applyProtection="0">
      <alignment vertical="center"/>
    </xf>
    <xf numFmtId="0" fontId="68" fillId="0" borderId="31" applyProtection="0"/>
    <xf numFmtId="0" fontId="7" fillId="0" borderId="0"/>
    <xf numFmtId="0" fontId="44" fillId="24" borderId="21" applyNumberFormat="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0" fontId="35" fillId="11" borderId="0" applyNumberFormat="0" applyBorder="0" applyAlignment="0" applyProtection="0">
      <alignment vertical="center"/>
    </xf>
    <xf numFmtId="0" fontId="0" fillId="0" borderId="0"/>
    <xf numFmtId="9" fontId="0" fillId="0" borderId="0" applyFont="0" applyFill="0" applyBorder="0" applyAlignment="0" applyProtection="0"/>
    <xf numFmtId="0" fontId="36" fillId="7"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51" fillId="22"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35" fillId="12" borderId="0" applyNumberFormat="0" applyBorder="0" applyAlignment="0" applyProtection="0">
      <alignment vertical="center"/>
    </xf>
    <xf numFmtId="9" fontId="0" fillId="0" borderId="0" applyFont="0" applyFill="0" applyBorder="0" applyAlignment="0" applyProtection="0"/>
    <xf numFmtId="181" fontId="14" fillId="0" borderId="2">
      <alignment vertical="center"/>
      <protection locked="0"/>
    </xf>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20" fillId="0" borderId="25" applyNumberFormat="0" applyFill="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20" fillId="0" borderId="25" applyNumberFormat="0" applyFill="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37" fillId="12" borderId="0" applyNumberFormat="0" applyBorder="0" applyAlignment="0" applyProtection="0">
      <alignment vertical="center"/>
    </xf>
    <xf numFmtId="9"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37" fillId="12"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64" fillId="0" borderId="0" applyNumberFormat="0" applyFill="0" applyBorder="0" applyAlignment="0" applyProtection="0">
      <alignment vertical="center"/>
    </xf>
    <xf numFmtId="0" fontId="37" fillId="12"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35" fillId="27" borderId="0" applyNumberFormat="0" applyBorder="0" applyAlignment="0" applyProtection="0">
      <alignment vertical="center"/>
    </xf>
    <xf numFmtId="9" fontId="7"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9" fillId="0" borderId="0"/>
    <xf numFmtId="43" fontId="0" fillId="0" borderId="0" applyFont="0" applyFill="0" applyBorder="0" applyAlignment="0" applyProtection="0">
      <alignment vertical="center"/>
    </xf>
    <xf numFmtId="0" fontId="0" fillId="0" borderId="0"/>
    <xf numFmtId="9" fontId="7" fillId="0" borderId="0" applyFont="0" applyFill="0" applyBorder="0" applyAlignment="0" applyProtection="0">
      <alignment vertical="center"/>
    </xf>
    <xf numFmtId="0" fontId="41" fillId="0" borderId="0" applyNumberFormat="0" applyFill="0" applyBorder="0" applyAlignment="0" applyProtection="0">
      <alignment vertical="center"/>
    </xf>
    <xf numFmtId="0" fontId="37" fillId="12"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64" fillId="0" borderId="0" applyNumberFormat="0" applyFill="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7" fillId="0" borderId="0" applyFont="0" applyFill="0" applyBorder="0" applyAlignment="0" applyProtection="0">
      <alignment vertical="center"/>
    </xf>
    <xf numFmtId="0" fontId="0" fillId="20" borderId="19" applyNumberFormat="0" applyFont="0" applyAlignment="0" applyProtection="0">
      <alignment vertical="center"/>
    </xf>
    <xf numFmtId="9" fontId="7" fillId="0" borderId="0" applyFont="0" applyFill="0" applyBorder="0" applyAlignment="0" applyProtection="0">
      <alignment vertical="center"/>
    </xf>
    <xf numFmtId="0" fontId="0" fillId="0" borderId="0">
      <alignment vertical="center"/>
    </xf>
    <xf numFmtId="0" fontId="0" fillId="0" borderId="0">
      <alignment vertical="center"/>
    </xf>
    <xf numFmtId="0" fontId="37" fillId="12" borderId="0" applyNumberFormat="0" applyBorder="0" applyAlignment="0" applyProtection="0">
      <alignment vertical="center"/>
    </xf>
    <xf numFmtId="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37" fillId="12"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7" fillId="0" borderId="23"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7" fillId="0" borderId="23" applyNumberFormat="0" applyFill="0" applyAlignment="0" applyProtection="0">
      <alignment vertical="center"/>
    </xf>
    <xf numFmtId="0" fontId="0" fillId="0" borderId="0"/>
    <xf numFmtId="9" fontId="0" fillId="0" borderId="0" applyFont="0" applyFill="0" applyBorder="0" applyAlignment="0" applyProtection="0">
      <alignment vertical="center"/>
    </xf>
    <xf numFmtId="0" fontId="64" fillId="0" borderId="0" applyNumberForma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34" fillId="0" borderId="27"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5" fillId="16"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0" fillId="0" borderId="0" applyFont="0" applyFill="0" applyBorder="0" applyAlignment="0" applyProtection="0">
      <alignment vertical="center"/>
    </xf>
    <xf numFmtId="9" fontId="7"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37" fillId="12" borderId="0" applyNumberFormat="0" applyBorder="0" applyAlignment="0" applyProtection="0">
      <alignment vertical="center"/>
    </xf>
    <xf numFmtId="9" fontId="7" fillId="0" borderId="0" applyFont="0" applyFill="0" applyBorder="0" applyAlignment="0" applyProtection="0">
      <alignment vertical="center"/>
    </xf>
    <xf numFmtId="0" fontId="55" fillId="0" borderId="26" applyNumberFormat="0" applyFill="0" applyAlignment="0" applyProtection="0">
      <alignment vertical="center"/>
    </xf>
    <xf numFmtId="0" fontId="55" fillId="0" borderId="26" applyNumberFormat="0" applyFill="0" applyAlignment="0" applyProtection="0">
      <alignment vertical="center"/>
    </xf>
    <xf numFmtId="0" fontId="43" fillId="5" borderId="18" applyNumberFormat="0" applyAlignment="0" applyProtection="0">
      <alignment vertical="center"/>
    </xf>
    <xf numFmtId="0" fontId="55" fillId="0" borderId="26"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3" fillId="5" borderId="18" applyNumberFormat="0" applyAlignment="0" applyProtection="0">
      <alignment vertical="center"/>
    </xf>
    <xf numFmtId="0" fontId="42" fillId="0" borderId="20" applyNumberFormat="0" applyFill="0" applyAlignment="0" applyProtection="0">
      <alignment vertical="center"/>
    </xf>
    <xf numFmtId="0" fontId="0" fillId="0" borderId="0"/>
    <xf numFmtId="0" fontId="43" fillId="5" borderId="18" applyNumberFormat="0" applyAlignment="0" applyProtection="0">
      <alignment vertical="center"/>
    </xf>
    <xf numFmtId="0" fontId="55" fillId="0" borderId="26" applyNumberFormat="0" applyFill="0" applyAlignment="0" applyProtection="0">
      <alignment vertical="center"/>
    </xf>
    <xf numFmtId="0" fontId="42" fillId="0" borderId="20" applyNumberFormat="0" applyFill="0" applyAlignment="0" applyProtection="0">
      <alignment vertical="center"/>
    </xf>
    <xf numFmtId="0" fontId="35" fillId="16" borderId="0" applyNumberFormat="0" applyBorder="0" applyAlignment="0" applyProtection="0">
      <alignment vertical="center"/>
    </xf>
    <xf numFmtId="0" fontId="0" fillId="0" borderId="0"/>
    <xf numFmtId="0" fontId="55" fillId="0" borderId="26" applyNumberFormat="0" applyFill="0" applyAlignment="0" applyProtection="0">
      <alignment vertical="center"/>
    </xf>
    <xf numFmtId="0" fontId="35" fillId="16" borderId="0" applyNumberFormat="0" applyBorder="0" applyAlignment="0" applyProtection="0">
      <alignment vertical="center"/>
    </xf>
    <xf numFmtId="0" fontId="55" fillId="0" borderId="26" applyNumberFormat="0" applyFill="0" applyAlignment="0" applyProtection="0">
      <alignment vertical="center"/>
    </xf>
    <xf numFmtId="0" fontId="37" fillId="12" borderId="0" applyNumberFormat="0" applyBorder="0" applyAlignment="0" applyProtection="0">
      <alignment vertical="center"/>
    </xf>
    <xf numFmtId="0" fontId="43" fillId="13" borderId="18" applyNumberFormat="0" applyAlignment="0" applyProtection="0">
      <alignment vertical="center"/>
    </xf>
    <xf numFmtId="0" fontId="55" fillId="0" borderId="26" applyNumberFormat="0" applyFill="0" applyAlignment="0" applyProtection="0">
      <alignment vertical="center"/>
    </xf>
    <xf numFmtId="0" fontId="55" fillId="0" borderId="26" applyNumberFormat="0" applyFill="0" applyAlignment="0" applyProtection="0">
      <alignment vertical="center"/>
    </xf>
    <xf numFmtId="0" fontId="35" fillId="8" borderId="0" applyNumberFormat="0" applyBorder="0" applyAlignment="0" applyProtection="0">
      <alignment vertical="center"/>
    </xf>
    <xf numFmtId="0" fontId="55" fillId="0" borderId="26" applyNumberFormat="0" applyFill="0" applyAlignment="0" applyProtection="0">
      <alignment vertical="center"/>
    </xf>
    <xf numFmtId="0" fontId="76" fillId="9" borderId="0" applyNumberFormat="0" applyBorder="0" applyAlignment="0" applyProtection="0">
      <alignment vertical="center"/>
    </xf>
    <xf numFmtId="0" fontId="55" fillId="0" borderId="26" applyNumberFormat="0" applyFill="0" applyAlignment="0" applyProtection="0">
      <alignment vertical="center"/>
    </xf>
    <xf numFmtId="0" fontId="0" fillId="0" borderId="0"/>
    <xf numFmtId="0" fontId="55" fillId="0" borderId="26" applyNumberFormat="0" applyFill="0" applyAlignment="0" applyProtection="0">
      <alignment vertical="center"/>
    </xf>
    <xf numFmtId="0" fontId="55" fillId="0" borderId="26" applyNumberFormat="0" applyFill="0" applyAlignment="0" applyProtection="0">
      <alignment vertical="center"/>
    </xf>
    <xf numFmtId="0" fontId="0" fillId="0" borderId="0"/>
    <xf numFmtId="0" fontId="55" fillId="0" borderId="26" applyNumberFormat="0" applyFill="0" applyAlignment="0" applyProtection="0">
      <alignment vertical="center"/>
    </xf>
    <xf numFmtId="0" fontId="55" fillId="0" borderId="26" applyNumberFormat="0" applyFill="0" applyAlignment="0" applyProtection="0">
      <alignment vertical="center"/>
    </xf>
    <xf numFmtId="0" fontId="0" fillId="0" borderId="0"/>
    <xf numFmtId="0" fontId="0" fillId="0" borderId="0"/>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74" fillId="0" borderId="0" applyNumberFormat="0" applyFill="0" applyBorder="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36" fillId="7" borderId="0" applyNumberFormat="0" applyBorder="0" applyAlignment="0" applyProtection="0">
      <alignment vertical="center"/>
    </xf>
    <xf numFmtId="0" fontId="38" fillId="6" borderId="18" applyNumberFormat="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69" fillId="0" borderId="23" applyNumberFormat="0" applyFill="0" applyAlignment="0" applyProtection="0">
      <alignment vertical="center"/>
    </xf>
    <xf numFmtId="179" fontId="0" fillId="0" borderId="0" applyFont="0" applyFill="0" applyBorder="0" applyAlignment="0" applyProtection="0">
      <alignment vertical="center"/>
    </xf>
    <xf numFmtId="0" fontId="69" fillId="0" borderId="23" applyNumberFormat="0" applyFill="0" applyAlignment="0" applyProtection="0">
      <alignment vertical="center"/>
    </xf>
    <xf numFmtId="179" fontId="0" fillId="0" borderId="0" applyFont="0" applyFill="0" applyBorder="0" applyAlignment="0" applyProtection="0">
      <alignment vertical="center"/>
    </xf>
    <xf numFmtId="0" fontId="69" fillId="0" borderId="23" applyNumberFormat="0" applyFill="0" applyAlignment="0" applyProtection="0">
      <alignment vertical="center"/>
    </xf>
    <xf numFmtId="0" fontId="0" fillId="0" borderId="0"/>
    <xf numFmtId="179" fontId="0" fillId="0" borderId="0" applyFont="0" applyFill="0" applyBorder="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0" fillId="0" borderId="0"/>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0" fillId="0" borderId="0"/>
    <xf numFmtId="0" fontId="47" fillId="0" borderId="23" applyNumberFormat="0" applyFill="0" applyAlignment="0" applyProtection="0">
      <alignment vertical="center"/>
    </xf>
    <xf numFmtId="0" fontId="47" fillId="0" borderId="23" applyNumberFormat="0" applyFill="0" applyAlignment="0" applyProtection="0">
      <alignment vertical="center"/>
    </xf>
    <xf numFmtId="0" fontId="0" fillId="0" borderId="0"/>
    <xf numFmtId="0" fontId="69" fillId="0" borderId="23" applyNumberFormat="0" applyFill="0" applyAlignment="0" applyProtection="0">
      <alignment vertical="center"/>
    </xf>
    <xf numFmtId="0" fontId="69" fillId="0" borderId="23" applyNumberFormat="0" applyFill="0" applyAlignment="0" applyProtection="0">
      <alignment vertical="center"/>
    </xf>
    <xf numFmtId="0" fontId="69" fillId="0" borderId="23" applyNumberFormat="0" applyFill="0" applyAlignment="0" applyProtection="0">
      <alignment vertical="center"/>
    </xf>
    <xf numFmtId="0" fontId="34" fillId="0" borderId="27" applyNumberFormat="0" applyFill="0" applyAlignment="0" applyProtection="0">
      <alignment vertical="center"/>
    </xf>
    <xf numFmtId="0" fontId="39" fillId="9" borderId="0" applyNumberFormat="0" applyBorder="0" applyAlignment="0" applyProtection="0">
      <alignment vertical="center"/>
    </xf>
    <xf numFmtId="0" fontId="34" fillId="0" borderId="27" applyNumberFormat="0" applyFill="0" applyAlignment="0" applyProtection="0">
      <alignment vertical="center"/>
    </xf>
    <xf numFmtId="0" fontId="59" fillId="0" borderId="0" applyNumberFormat="0" applyFill="0" applyBorder="0" applyAlignment="0" applyProtection="0">
      <alignment vertical="top"/>
      <protection locked="0"/>
    </xf>
    <xf numFmtId="0" fontId="39" fillId="9" borderId="0" applyNumberFormat="0" applyBorder="0" applyAlignment="0" applyProtection="0">
      <alignment vertical="center"/>
    </xf>
    <xf numFmtId="0" fontId="15" fillId="0" borderId="0"/>
    <xf numFmtId="0" fontId="15" fillId="0" borderId="0"/>
    <xf numFmtId="0" fontId="34" fillId="0" borderId="27" applyNumberFormat="0" applyFill="0" applyAlignment="0" applyProtection="0">
      <alignment vertical="center"/>
    </xf>
    <xf numFmtId="0" fontId="59" fillId="0" borderId="0" applyNumberFormat="0" applyFill="0" applyBorder="0" applyAlignment="0" applyProtection="0">
      <alignment vertical="top"/>
      <protection locked="0"/>
    </xf>
    <xf numFmtId="0" fontId="39" fillId="9" borderId="0" applyNumberFormat="0" applyBorder="0" applyAlignment="0" applyProtection="0">
      <alignment vertical="center"/>
    </xf>
    <xf numFmtId="0" fontId="15" fillId="0" borderId="0"/>
    <xf numFmtId="0" fontId="15" fillId="0" borderId="0"/>
    <xf numFmtId="0" fontId="34" fillId="0" borderId="27" applyNumberFormat="0" applyFill="0" applyAlignment="0" applyProtection="0">
      <alignment vertical="center"/>
    </xf>
    <xf numFmtId="0" fontId="39" fillId="9" borderId="0" applyNumberFormat="0" applyBorder="0" applyAlignment="0" applyProtection="0">
      <alignment vertical="center"/>
    </xf>
    <xf numFmtId="0" fontId="45" fillId="0" borderId="22" applyNumberFormat="0" applyFill="0" applyAlignment="0" applyProtection="0">
      <alignment vertical="center"/>
    </xf>
    <xf numFmtId="0" fontId="39" fillId="9" borderId="0" applyNumberFormat="0" applyBorder="0" applyAlignment="0" applyProtection="0">
      <alignment vertical="center"/>
    </xf>
    <xf numFmtId="0" fontId="45" fillId="0" borderId="22" applyNumberFormat="0" applyFill="0" applyAlignment="0" applyProtection="0">
      <alignment vertical="center"/>
    </xf>
    <xf numFmtId="0" fontId="34" fillId="0" borderId="27" applyNumberFormat="0" applyFill="0" applyAlignment="0" applyProtection="0">
      <alignment vertical="center"/>
    </xf>
    <xf numFmtId="0" fontId="39" fillId="9" borderId="0" applyNumberFormat="0" applyBorder="0" applyAlignment="0" applyProtection="0">
      <alignment vertical="center"/>
    </xf>
    <xf numFmtId="0" fontId="45" fillId="0" borderId="22" applyNumberFormat="0" applyFill="0" applyAlignment="0" applyProtection="0">
      <alignment vertical="center"/>
    </xf>
    <xf numFmtId="0" fontId="39" fillId="9" borderId="0" applyNumberFormat="0" applyBorder="0" applyAlignment="0" applyProtection="0">
      <alignment vertical="center"/>
    </xf>
    <xf numFmtId="0" fontId="45" fillId="0" borderId="22" applyNumberFormat="0" applyFill="0" applyAlignment="0" applyProtection="0">
      <alignment vertical="center"/>
    </xf>
    <xf numFmtId="0" fontId="39" fillId="9" borderId="0" applyNumberFormat="0" applyBorder="0" applyAlignment="0" applyProtection="0">
      <alignment vertical="center"/>
    </xf>
    <xf numFmtId="0" fontId="45" fillId="0" borderId="22"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0" fontId="34" fillId="0" borderId="27" applyNumberFormat="0" applyFill="0" applyAlignment="0" applyProtection="0">
      <alignment vertical="center"/>
    </xf>
    <xf numFmtId="191" fontId="0" fillId="0" borderId="0" applyFont="0" applyFill="0" applyBorder="0" applyAlignment="0" applyProtection="0">
      <alignment vertical="center"/>
    </xf>
    <xf numFmtId="0" fontId="34" fillId="0" borderId="27" applyNumberFormat="0" applyFill="0" applyAlignment="0" applyProtection="0">
      <alignment vertical="center"/>
    </xf>
    <xf numFmtId="0" fontId="0" fillId="0" borderId="0"/>
    <xf numFmtId="0" fontId="45" fillId="0" borderId="22" applyNumberFormat="0" applyFill="0" applyAlignment="0" applyProtection="0">
      <alignment vertical="center"/>
    </xf>
    <xf numFmtId="0" fontId="45" fillId="0" borderId="22" applyNumberFormat="0" applyFill="0" applyAlignment="0" applyProtection="0">
      <alignment vertical="center"/>
    </xf>
    <xf numFmtId="0" fontId="45" fillId="0" borderId="22" applyNumberFormat="0" applyFill="0" applyAlignment="0" applyProtection="0">
      <alignment vertical="center"/>
    </xf>
    <xf numFmtId="0" fontId="65" fillId="0" borderId="30" applyNumberFormat="0" applyFill="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7" fillId="11" borderId="0" applyNumberFormat="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xf numFmtId="0" fontId="37" fillId="28" borderId="0" applyNumberFormat="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33" fillId="5" borderId="17" applyNumberFormat="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8" borderId="0" applyNumberFormat="0" applyBorder="0" applyAlignment="0" applyProtection="0">
      <alignment vertical="center"/>
    </xf>
    <xf numFmtId="0" fontId="39" fillId="9" borderId="0" applyNumberFormat="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37" fillId="12" borderId="0" applyNumberFormat="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alignment vertical="center"/>
    </xf>
    <xf numFmtId="0" fontId="6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0" borderId="0"/>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0" borderId="0">
      <alignment vertical="center"/>
    </xf>
    <xf numFmtId="0" fontId="6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9" fillId="0" borderId="24" applyNumberFormat="0" applyFill="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60" fillId="0" borderId="0" applyNumberFormat="0" applyFill="0" applyBorder="0" applyAlignment="0" applyProtection="0">
      <alignment vertical="top"/>
      <protection locked="0"/>
    </xf>
    <xf numFmtId="0" fontId="14" fillId="0" borderId="2">
      <alignment horizontal="distributed" vertical="center" wrapText="1"/>
    </xf>
    <xf numFmtId="0" fontId="14" fillId="0" borderId="2">
      <alignment horizontal="distributed" vertical="center" wrapText="1"/>
    </xf>
    <xf numFmtId="0" fontId="14" fillId="0" borderId="2">
      <alignment horizontal="distributed" vertical="center" wrapText="1"/>
    </xf>
    <xf numFmtId="0" fontId="14" fillId="0" borderId="2">
      <alignment horizontal="distributed" vertical="center" wrapText="1"/>
    </xf>
    <xf numFmtId="0" fontId="14" fillId="0" borderId="2">
      <alignment horizontal="distributed" vertical="center" wrapText="1"/>
    </xf>
    <xf numFmtId="0" fontId="14" fillId="0" borderId="2">
      <alignment horizontal="distributed" vertical="center" wrapText="1"/>
    </xf>
    <xf numFmtId="0" fontId="14" fillId="0" borderId="2">
      <alignment horizontal="distributed" vertical="center" wrapText="1"/>
    </xf>
    <xf numFmtId="43" fontId="0" fillId="0" borderId="0" applyFont="0" applyFill="0" applyBorder="0" applyAlignment="0" applyProtection="0">
      <alignment vertical="center"/>
    </xf>
    <xf numFmtId="0" fontId="35" fillId="11" borderId="0" applyNumberFormat="0" applyBorder="0" applyAlignment="0" applyProtection="0">
      <alignment vertical="center"/>
    </xf>
    <xf numFmtId="0" fontId="14" fillId="0" borderId="2">
      <alignment horizontal="distributed" vertical="center" wrapText="1"/>
    </xf>
    <xf numFmtId="43" fontId="0" fillId="0" borderId="0" applyFont="0" applyFill="0" applyBorder="0" applyAlignment="0" applyProtection="0">
      <alignment vertical="center"/>
    </xf>
    <xf numFmtId="0" fontId="37" fillId="11" borderId="0" applyNumberFormat="0" applyBorder="0" applyAlignment="0" applyProtection="0">
      <alignment vertical="center"/>
    </xf>
    <xf numFmtId="0" fontId="14" fillId="0" borderId="2">
      <alignment horizontal="distributed" vertical="center" wrapText="1"/>
    </xf>
    <xf numFmtId="0" fontId="14" fillId="0" borderId="2">
      <alignment horizontal="distributed" vertical="center" wrapText="1"/>
    </xf>
    <xf numFmtId="43" fontId="0" fillId="0" borderId="0" applyFont="0" applyFill="0" applyBorder="0" applyAlignment="0" applyProtection="0">
      <alignment vertical="center"/>
    </xf>
    <xf numFmtId="0" fontId="14" fillId="0" borderId="2">
      <alignment horizontal="distributed" vertical="center" wrapText="1"/>
    </xf>
    <xf numFmtId="0" fontId="52" fillId="0" borderId="0" applyNumberFormat="0" applyFill="0" applyBorder="0" applyAlignment="0" applyProtection="0">
      <alignment vertical="center"/>
    </xf>
    <xf numFmtId="0" fontId="36" fillId="7" borderId="0" applyNumberFormat="0" applyBorder="0" applyAlignment="0" applyProtection="0">
      <alignment vertical="center"/>
    </xf>
    <xf numFmtId="0" fontId="52"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52" fillId="0" borderId="0" applyNumberFormat="0" applyFill="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7" fillId="0" borderId="0">
      <alignment vertical="center"/>
    </xf>
    <xf numFmtId="0" fontId="7" fillId="0" borderId="0">
      <alignment vertical="center"/>
    </xf>
    <xf numFmtId="0" fontId="9" fillId="0" borderId="0"/>
    <xf numFmtId="0" fontId="7" fillId="0" borderId="0"/>
    <xf numFmtId="0" fontId="9" fillId="0" borderId="0"/>
    <xf numFmtId="0" fontId="35" fillId="16" borderId="0" applyNumberFormat="0" applyBorder="0" applyAlignment="0" applyProtection="0">
      <alignment vertical="center"/>
    </xf>
    <xf numFmtId="0" fontId="9" fillId="0" borderId="0"/>
    <xf numFmtId="0" fontId="9" fillId="0" borderId="0"/>
    <xf numFmtId="0" fontId="9" fillId="0" borderId="0"/>
    <xf numFmtId="179" fontId="0" fillId="0" borderId="0" applyFont="0" applyFill="0" applyBorder="0" applyAlignment="0" applyProtection="0">
      <alignment vertical="center"/>
    </xf>
    <xf numFmtId="0" fontId="7" fillId="0" borderId="0">
      <alignment vertical="center"/>
    </xf>
    <xf numFmtId="179" fontId="0" fillId="0" borderId="0" applyFont="0" applyFill="0" applyBorder="0" applyAlignment="0" applyProtection="0"/>
    <xf numFmtId="0" fontId="9" fillId="0" borderId="0"/>
    <xf numFmtId="0" fontId="20" fillId="0" borderId="25" applyNumberFormat="0" applyFill="0" applyAlignment="0" applyProtection="0">
      <alignment vertical="center"/>
    </xf>
    <xf numFmtId="179" fontId="0" fillId="0" borderId="0" applyFont="0" applyFill="0" applyBorder="0" applyAlignment="0" applyProtection="0">
      <alignment vertical="center"/>
    </xf>
    <xf numFmtId="0" fontId="73" fillId="0" borderId="0"/>
    <xf numFmtId="0" fontId="48" fillId="0" borderId="0" applyNumberFormat="0" applyFill="0" applyBorder="0" applyAlignment="0" applyProtection="0">
      <alignment vertical="center"/>
    </xf>
    <xf numFmtId="179" fontId="0" fillId="0" borderId="0" applyFont="0" applyFill="0" applyBorder="0" applyAlignment="0" applyProtection="0">
      <alignment vertical="center"/>
    </xf>
    <xf numFmtId="0" fontId="9" fillId="0" borderId="0"/>
    <xf numFmtId="0" fontId="0" fillId="0" borderId="0"/>
    <xf numFmtId="0" fontId="7" fillId="0" borderId="0"/>
    <xf numFmtId="0" fontId="22" fillId="0" borderId="0">
      <alignment vertical="center"/>
    </xf>
    <xf numFmtId="0" fontId="22" fillId="0" borderId="0"/>
    <xf numFmtId="179" fontId="0" fillId="0" borderId="0" applyFont="0" applyFill="0" applyBorder="0" applyAlignment="0" applyProtection="0"/>
    <xf numFmtId="0" fontId="22" fillId="0" borderId="0"/>
    <xf numFmtId="0" fontId="7" fillId="0" borderId="0"/>
    <xf numFmtId="0" fontId="39" fillId="9" borderId="0" applyNumberFormat="0" applyBorder="0" applyAlignment="0" applyProtection="0">
      <alignment vertical="center"/>
    </xf>
    <xf numFmtId="0" fontId="7" fillId="0" borderId="0">
      <alignment vertical="center"/>
    </xf>
    <xf numFmtId="0" fontId="0" fillId="0" borderId="0"/>
    <xf numFmtId="0" fontId="0" fillId="20" borderId="19" applyNumberFormat="0" applyFont="0" applyAlignment="0" applyProtection="0">
      <alignment vertical="center"/>
    </xf>
    <xf numFmtId="0" fontId="15" fillId="0" borderId="0"/>
    <xf numFmtId="0" fontId="15" fillId="0" borderId="0"/>
    <xf numFmtId="0" fontId="44" fillId="24" borderId="21" applyNumberFormat="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9" fillId="0" borderId="0"/>
    <xf numFmtId="0" fontId="9" fillId="0" borderId="0"/>
    <xf numFmtId="0" fontId="0" fillId="0" borderId="0">
      <alignment vertical="center"/>
    </xf>
    <xf numFmtId="0" fontId="7" fillId="0" borderId="0"/>
    <xf numFmtId="179" fontId="0" fillId="0" borderId="0" applyFont="0" applyFill="0" applyBorder="0" applyAlignment="0" applyProtection="0"/>
    <xf numFmtId="0" fontId="0" fillId="0" borderId="0"/>
    <xf numFmtId="0" fontId="35" fillId="16" borderId="0" applyNumberFormat="0" applyBorder="0" applyAlignment="0" applyProtection="0">
      <alignment vertical="center"/>
    </xf>
    <xf numFmtId="0" fontId="0" fillId="0" borderId="0"/>
    <xf numFmtId="0" fontId="39" fillId="9" borderId="0" applyNumberFormat="0" applyBorder="0" applyAlignment="0" applyProtection="0">
      <alignment vertical="center"/>
    </xf>
    <xf numFmtId="0" fontId="0" fillId="0" borderId="0">
      <alignment vertical="center"/>
    </xf>
    <xf numFmtId="0" fontId="0" fillId="20" borderId="19" applyNumberFormat="0" applyFont="0" applyAlignment="0" applyProtection="0">
      <alignment vertical="center"/>
    </xf>
    <xf numFmtId="179" fontId="0" fillId="0" borderId="0" applyFont="0" applyFill="0" applyBorder="0" applyAlignment="0" applyProtection="0"/>
    <xf numFmtId="0" fontId="0" fillId="0" borderId="0"/>
    <xf numFmtId="0" fontId="0" fillId="0" borderId="0"/>
    <xf numFmtId="0" fontId="0" fillId="0" borderId="0"/>
    <xf numFmtId="0" fontId="7" fillId="0" borderId="0">
      <alignment vertical="center"/>
    </xf>
    <xf numFmtId="0" fontId="9" fillId="0" borderId="0"/>
    <xf numFmtId="0" fontId="7" fillId="0" borderId="0">
      <alignment vertical="center"/>
    </xf>
    <xf numFmtId="0" fontId="9" fillId="0" borderId="0"/>
    <xf numFmtId="179"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20" borderId="19" applyNumberFormat="0" applyFont="0" applyAlignment="0" applyProtection="0">
      <alignment vertical="center"/>
    </xf>
    <xf numFmtId="0" fontId="0" fillId="0" borderId="0"/>
    <xf numFmtId="0" fontId="0" fillId="0" borderId="0"/>
    <xf numFmtId="0" fontId="0" fillId="20" borderId="19" applyNumberFormat="0" applyFon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179" fontId="0" fillId="0" borderId="0" applyFont="0" applyFill="0" applyBorder="0" applyAlignment="0" applyProtection="0"/>
    <xf numFmtId="0" fontId="35" fillId="11" borderId="0" applyNumberFormat="0" applyBorder="0" applyAlignment="0" applyProtection="0">
      <alignment vertical="center"/>
    </xf>
    <xf numFmtId="0" fontId="0" fillId="0" borderId="0"/>
    <xf numFmtId="0" fontId="0" fillId="0" borderId="0">
      <alignment vertical="center"/>
    </xf>
    <xf numFmtId="0" fontId="35" fillId="1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3" fillId="13" borderId="17"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7" fillId="20" borderId="19" applyNumberFormat="0" applyFont="0" applyAlignment="0" applyProtection="0">
      <alignment vertical="center"/>
    </xf>
    <xf numFmtId="0" fontId="0" fillId="0" borderId="0"/>
    <xf numFmtId="0" fontId="0" fillId="0" borderId="0">
      <alignment vertical="center"/>
    </xf>
    <xf numFmtId="0" fontId="0" fillId="20" borderId="19" applyNumberFormat="0" applyFont="0" applyAlignment="0" applyProtection="0">
      <alignment vertical="center"/>
    </xf>
    <xf numFmtId="0" fontId="9" fillId="0" borderId="0"/>
    <xf numFmtId="0" fontId="0" fillId="0" borderId="0"/>
    <xf numFmtId="0" fontId="0" fillId="0" borderId="0"/>
    <xf numFmtId="0" fontId="0" fillId="0" borderId="0"/>
    <xf numFmtId="0" fontId="0" fillId="0" borderId="0"/>
    <xf numFmtId="0" fontId="0" fillId="0" borderId="0">
      <alignment vertical="center"/>
    </xf>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179" fontId="0" fillId="0" borderId="0" applyFont="0" applyFill="0" applyBorder="0" applyAlignment="0" applyProtection="0"/>
    <xf numFmtId="0" fontId="0" fillId="0" borderId="0">
      <alignment vertical="center"/>
    </xf>
    <xf numFmtId="0" fontId="0" fillId="0" borderId="0"/>
    <xf numFmtId="0" fontId="0" fillId="0" borderId="0"/>
    <xf numFmtId="0" fontId="35" fillId="16" borderId="0" applyNumberFormat="0" applyBorder="0" applyAlignment="0" applyProtection="0">
      <alignment vertical="center"/>
    </xf>
    <xf numFmtId="179" fontId="0" fillId="0" borderId="0" applyFont="0" applyFill="0" applyBorder="0" applyAlignment="0" applyProtection="0"/>
    <xf numFmtId="0" fontId="0" fillId="0" borderId="0">
      <alignment vertical="center"/>
    </xf>
    <xf numFmtId="0" fontId="35" fillId="16" borderId="0" applyNumberFormat="0" applyBorder="0" applyAlignment="0" applyProtection="0">
      <alignment vertical="center"/>
    </xf>
    <xf numFmtId="0" fontId="0" fillId="0" borderId="0"/>
    <xf numFmtId="0" fontId="35" fillId="8" borderId="0" applyNumberFormat="0" applyBorder="0" applyAlignment="0" applyProtection="0">
      <alignment vertical="center"/>
    </xf>
    <xf numFmtId="0" fontId="33" fillId="13" borderId="17" applyNumberFormat="0" applyAlignment="0" applyProtection="0">
      <alignment vertical="center"/>
    </xf>
    <xf numFmtId="0" fontId="0" fillId="0" borderId="0"/>
    <xf numFmtId="179" fontId="0" fillId="0" borderId="0" applyFont="0" applyFill="0" applyBorder="0" applyAlignment="0" applyProtection="0"/>
    <xf numFmtId="0" fontId="35" fillId="8" borderId="0" applyNumberFormat="0" applyBorder="0" applyAlignment="0" applyProtection="0">
      <alignment vertical="center"/>
    </xf>
    <xf numFmtId="0" fontId="0" fillId="0" borderId="0">
      <alignment vertical="center"/>
    </xf>
    <xf numFmtId="0" fontId="35" fillId="8" borderId="0" applyNumberFormat="0" applyBorder="0" applyAlignment="0" applyProtection="0">
      <alignment vertical="center"/>
    </xf>
    <xf numFmtId="0" fontId="0" fillId="0" borderId="0"/>
    <xf numFmtId="43" fontId="0" fillId="0" borderId="0" applyFont="0" applyFill="0" applyBorder="0" applyAlignment="0" applyProtection="0"/>
    <xf numFmtId="0" fontId="35" fillId="11" borderId="0" applyNumberFormat="0" applyBorder="0" applyAlignment="0" applyProtection="0">
      <alignment vertical="center"/>
    </xf>
    <xf numFmtId="0" fontId="0" fillId="0" borderId="0">
      <alignment vertical="center"/>
    </xf>
    <xf numFmtId="0" fontId="35" fillId="11" borderId="0" applyNumberFormat="0" applyBorder="0" applyAlignment="0" applyProtection="0">
      <alignment vertical="center"/>
    </xf>
    <xf numFmtId="0" fontId="0" fillId="0" borderId="0"/>
    <xf numFmtId="0" fontId="35" fillId="11" borderId="0" applyNumberFormat="0" applyBorder="0" applyAlignment="0" applyProtection="0">
      <alignment vertical="center"/>
    </xf>
    <xf numFmtId="0" fontId="0" fillId="0" borderId="0"/>
    <xf numFmtId="0" fontId="35" fillId="11" borderId="0" applyNumberFormat="0" applyBorder="0" applyAlignment="0" applyProtection="0">
      <alignment vertical="center"/>
    </xf>
    <xf numFmtId="0" fontId="0" fillId="0" borderId="0"/>
    <xf numFmtId="0" fontId="0" fillId="0" borderId="0">
      <alignment vertical="center"/>
    </xf>
    <xf numFmtId="0" fontId="35" fillId="11" borderId="0" applyNumberFormat="0" applyBorder="0" applyAlignment="0" applyProtection="0">
      <alignment vertical="center"/>
    </xf>
    <xf numFmtId="0" fontId="0" fillId="0" borderId="0"/>
    <xf numFmtId="0" fontId="0" fillId="0" borderId="0"/>
    <xf numFmtId="179" fontId="0" fillId="0" borderId="0" applyFont="0" applyFill="0" applyBorder="0" applyAlignment="0" applyProtection="0">
      <alignment vertical="center"/>
    </xf>
    <xf numFmtId="43" fontId="0" fillId="0" borderId="0" applyFont="0" applyFill="0" applyBorder="0" applyAlignment="0" applyProtection="0"/>
    <xf numFmtId="0" fontId="35" fillId="19" borderId="0" applyNumberFormat="0" applyBorder="0" applyAlignment="0" applyProtection="0">
      <alignment vertical="center"/>
    </xf>
    <xf numFmtId="0" fontId="0" fillId="0" borderId="0"/>
    <xf numFmtId="0" fontId="7" fillId="0" borderId="0"/>
    <xf numFmtId="0" fontId="0" fillId="0" borderId="0"/>
    <xf numFmtId="0" fontId="33" fillId="5" borderId="17"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43" fontId="7" fillId="0" borderId="0" applyFont="0" applyFill="0" applyBorder="0" applyAlignment="0" applyProtection="0">
      <alignment vertical="center"/>
    </xf>
    <xf numFmtId="0" fontId="9" fillId="0" borderId="0"/>
    <xf numFmtId="0" fontId="0" fillId="0" borderId="0"/>
    <xf numFmtId="0" fontId="0" fillId="0" borderId="0">
      <alignment vertical="center"/>
    </xf>
    <xf numFmtId="0" fontId="0" fillId="0" borderId="0"/>
    <xf numFmtId="0" fontId="0" fillId="0" borderId="0"/>
    <xf numFmtId="179"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20" fillId="0" borderId="25" applyNumberFormat="0" applyFill="0" applyAlignment="0" applyProtection="0">
      <alignment vertical="center"/>
    </xf>
    <xf numFmtId="0" fontId="0" fillId="0" borderId="0"/>
    <xf numFmtId="0" fontId="0" fillId="0" borderId="0"/>
    <xf numFmtId="0" fontId="0" fillId="0" borderId="0"/>
    <xf numFmtId="0" fontId="7"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20" borderId="19" applyNumberFormat="0" applyFont="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7" fillId="20" borderId="19" applyNumberFormat="0" applyFont="0" applyAlignment="0" applyProtection="0">
      <alignment vertical="center"/>
    </xf>
    <xf numFmtId="0" fontId="7"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43"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9"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7" fillId="0" borderId="0"/>
    <xf numFmtId="0" fontId="0" fillId="0" borderId="0"/>
    <xf numFmtId="0" fontId="0" fillId="0" borderId="0">
      <alignment vertical="center"/>
    </xf>
    <xf numFmtId="0" fontId="33" fillId="13" borderId="17" applyNumberFormat="0" applyAlignment="0" applyProtection="0">
      <alignment vertical="center"/>
    </xf>
    <xf numFmtId="0" fontId="0" fillId="0" borderId="0"/>
    <xf numFmtId="0" fontId="0" fillId="0" borderId="0"/>
    <xf numFmtId="0" fontId="0" fillId="0" borderId="0"/>
    <xf numFmtId="0" fontId="7"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44" fillId="24" borderId="21" applyNumberFormat="0" applyAlignment="0" applyProtection="0">
      <alignment vertical="center"/>
    </xf>
    <xf numFmtId="181" fontId="14" fillId="0" borderId="2">
      <alignment vertical="center"/>
      <protection locked="0"/>
    </xf>
    <xf numFmtId="0" fontId="7" fillId="0" borderId="0"/>
    <xf numFmtId="0" fontId="44" fillId="24" borderId="21" applyNumberFormat="0" applyAlignment="0" applyProtection="0">
      <alignment vertical="center"/>
    </xf>
    <xf numFmtId="0" fontId="0" fillId="0" borderId="0"/>
    <xf numFmtId="0" fontId="9" fillId="0" borderId="0"/>
    <xf numFmtId="0" fontId="0" fillId="0" borderId="0"/>
    <xf numFmtId="0" fontId="7" fillId="0" borderId="0"/>
    <xf numFmtId="0" fontId="0" fillId="0" borderId="0"/>
    <xf numFmtId="0" fontId="0" fillId="0" borderId="0">
      <alignment vertical="center"/>
    </xf>
    <xf numFmtId="0" fontId="0" fillId="0" borderId="0">
      <alignment vertical="center"/>
    </xf>
    <xf numFmtId="0" fontId="9" fillId="0" borderId="0"/>
    <xf numFmtId="179" fontId="0" fillId="0" borderId="0" applyFont="0" applyFill="0" applyBorder="0" applyAlignment="0" applyProtection="0"/>
    <xf numFmtId="0" fontId="9" fillId="0" borderId="0"/>
    <xf numFmtId="0" fontId="0" fillId="0" borderId="0">
      <alignment vertical="center"/>
    </xf>
    <xf numFmtId="0" fontId="0" fillId="0" borderId="0"/>
    <xf numFmtId="0" fontId="38" fillId="6" borderId="18" applyNumberFormat="0" applyAlignment="0" applyProtection="0">
      <alignment vertical="center"/>
    </xf>
    <xf numFmtId="0" fontId="0" fillId="0" borderId="0">
      <alignment vertical="center"/>
    </xf>
    <xf numFmtId="0" fontId="38" fillId="6" borderId="18" applyNumberFormat="0" applyAlignment="0" applyProtection="0">
      <alignment vertical="center"/>
    </xf>
    <xf numFmtId="0" fontId="9"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20" borderId="19" applyNumberFormat="0" applyFont="0" applyAlignment="0" applyProtection="0">
      <alignment vertical="center"/>
    </xf>
    <xf numFmtId="0" fontId="33" fillId="13" borderId="17" applyNumberFormat="0" applyAlignment="0" applyProtection="0">
      <alignment vertical="center"/>
    </xf>
    <xf numFmtId="0" fontId="0" fillId="0" borderId="0">
      <alignment vertical="center"/>
    </xf>
    <xf numFmtId="0" fontId="0" fillId="0" borderId="0">
      <alignment vertical="center"/>
    </xf>
    <xf numFmtId="0" fontId="0" fillId="0" borderId="0"/>
    <xf numFmtId="0" fontId="33" fillId="13" borderId="17" applyNumberFormat="0" applyAlignment="0" applyProtection="0">
      <alignment vertical="center"/>
    </xf>
    <xf numFmtId="0" fontId="0" fillId="0" borderId="0">
      <alignment vertical="center"/>
    </xf>
    <xf numFmtId="0" fontId="0" fillId="0" borderId="0">
      <alignment vertical="center"/>
    </xf>
    <xf numFmtId="0" fontId="0" fillId="0" borderId="0"/>
    <xf numFmtId="0" fontId="35" fillId="11"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9" fillId="0" borderId="0"/>
    <xf numFmtId="43" fontId="0" fillId="0" borderId="0" applyFont="0" applyFill="0" applyBorder="0" applyAlignment="0" applyProtection="0"/>
    <xf numFmtId="0" fontId="0" fillId="0" borderId="0">
      <alignment vertical="center"/>
    </xf>
    <xf numFmtId="0" fontId="0" fillId="0" borderId="0">
      <alignment vertical="center"/>
    </xf>
    <xf numFmtId="0" fontId="35" fillId="11" borderId="0" applyNumberFormat="0" applyBorder="0" applyAlignment="0" applyProtection="0">
      <alignment vertical="center"/>
    </xf>
    <xf numFmtId="0" fontId="0" fillId="0" borderId="0">
      <alignment vertical="center"/>
    </xf>
    <xf numFmtId="0" fontId="0" fillId="0" borderId="0">
      <alignment vertical="center"/>
    </xf>
    <xf numFmtId="0" fontId="37" fillId="11" borderId="0" applyNumberFormat="0" applyBorder="0" applyAlignment="0" applyProtection="0">
      <alignment vertical="center"/>
    </xf>
    <xf numFmtId="0" fontId="0" fillId="0" borderId="0">
      <alignment vertical="center"/>
    </xf>
    <xf numFmtId="0" fontId="37" fillId="11" borderId="0" applyNumberFormat="0" applyBorder="0" applyAlignment="0" applyProtection="0">
      <alignment vertical="center"/>
    </xf>
    <xf numFmtId="0" fontId="0" fillId="0" borderId="0"/>
    <xf numFmtId="0" fontId="37" fillId="11" borderId="0" applyNumberFormat="0" applyBorder="0" applyAlignment="0" applyProtection="0">
      <alignment vertical="center"/>
    </xf>
    <xf numFmtId="0" fontId="0" fillId="0" borderId="0">
      <alignment vertical="center"/>
    </xf>
    <xf numFmtId="0" fontId="0" fillId="0" borderId="0"/>
    <xf numFmtId="0" fontId="33" fillId="13" borderId="17"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9" fillId="9" borderId="0" applyNumberFormat="0" applyBorder="0" applyAlignment="0" applyProtection="0">
      <alignment vertical="center"/>
    </xf>
    <xf numFmtId="0" fontId="0" fillId="0" borderId="0">
      <alignment vertical="center"/>
    </xf>
    <xf numFmtId="0" fontId="20" fillId="0" borderId="25" applyNumberFormat="0" applyFill="0" applyAlignment="0" applyProtection="0">
      <alignment vertical="center"/>
    </xf>
    <xf numFmtId="179" fontId="0" fillId="0" borderId="0" applyFont="0" applyFill="0" applyBorder="0" applyAlignment="0" applyProtection="0">
      <alignment vertical="center"/>
    </xf>
    <xf numFmtId="0" fontId="9" fillId="0" borderId="0">
      <alignment vertical="center"/>
    </xf>
    <xf numFmtId="179" fontId="0" fillId="0" borderId="0" applyFont="0" applyFill="0" applyBorder="0" applyAlignment="0" applyProtection="0"/>
    <xf numFmtId="0" fontId="9" fillId="0" borderId="0">
      <alignment vertical="center"/>
    </xf>
    <xf numFmtId="0" fontId="39" fillId="9" borderId="0" applyNumberFormat="0" applyBorder="0" applyAlignment="0" applyProtection="0">
      <alignment vertical="center"/>
    </xf>
    <xf numFmtId="0" fontId="7" fillId="0" borderId="0"/>
    <xf numFmtId="0" fontId="7" fillId="0" borderId="0">
      <alignment vertical="center"/>
    </xf>
    <xf numFmtId="0" fontId="7" fillId="0" borderId="0">
      <alignment vertical="center"/>
    </xf>
    <xf numFmtId="0" fontId="9" fillId="0" borderId="0">
      <alignment vertical="center"/>
    </xf>
    <xf numFmtId="179" fontId="0" fillId="0" borderId="0" applyFont="0" applyFill="0" applyBorder="0" applyAlignment="0" applyProtection="0"/>
    <xf numFmtId="0" fontId="9" fillId="0" borderId="0"/>
    <xf numFmtId="0" fontId="9" fillId="0" borderId="0">
      <alignment vertical="center"/>
    </xf>
    <xf numFmtId="0" fontId="7" fillId="0" borderId="0">
      <alignment vertical="center"/>
    </xf>
    <xf numFmtId="0" fontId="9" fillId="0" borderId="0">
      <alignment vertical="center"/>
    </xf>
    <xf numFmtId="179" fontId="0" fillId="0" borderId="0" applyFont="0" applyFill="0" applyBorder="0" applyAlignment="0" applyProtection="0"/>
    <xf numFmtId="0" fontId="0" fillId="0" borderId="0"/>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9" fillId="0" borderId="0">
      <alignment vertical="center"/>
    </xf>
    <xf numFmtId="179" fontId="0" fillId="0" borderId="0" applyFont="0" applyFill="0" applyBorder="0" applyAlignment="0" applyProtection="0"/>
    <xf numFmtId="0" fontId="9" fillId="0" borderId="0">
      <alignment vertical="center"/>
    </xf>
    <xf numFmtId="0" fontId="35" fillId="8" borderId="0" applyNumberFormat="0" applyBorder="0" applyAlignment="0" applyProtection="0">
      <alignment vertical="center"/>
    </xf>
    <xf numFmtId="0" fontId="39" fillId="9" borderId="0" applyNumberFormat="0" applyBorder="0" applyAlignment="0" applyProtection="0">
      <alignment vertical="center"/>
    </xf>
    <xf numFmtId="0" fontId="7" fillId="0" borderId="0">
      <alignment vertical="center"/>
    </xf>
    <xf numFmtId="0" fontId="9" fillId="0" borderId="0">
      <alignment vertical="center"/>
    </xf>
    <xf numFmtId="0" fontId="9" fillId="0" borderId="0">
      <alignment vertical="center"/>
    </xf>
    <xf numFmtId="0" fontId="0" fillId="0" borderId="0"/>
    <xf numFmtId="0" fontId="33" fillId="13" borderId="17" applyNumberFormat="0" applyAlignment="0" applyProtection="0">
      <alignment vertical="center"/>
    </xf>
    <xf numFmtId="0" fontId="0" fillId="0" borderId="0">
      <alignment vertical="center"/>
    </xf>
    <xf numFmtId="0" fontId="33" fillId="13" borderId="17" applyNumberFormat="0" applyAlignment="0" applyProtection="0">
      <alignment vertical="center"/>
    </xf>
    <xf numFmtId="0" fontId="46" fillId="0" borderId="0">
      <alignment vertical="center"/>
    </xf>
    <xf numFmtId="0" fontId="9" fillId="0" borderId="0"/>
    <xf numFmtId="0" fontId="0" fillId="0" borderId="0"/>
    <xf numFmtId="0" fontId="0" fillId="0" borderId="0">
      <alignment vertical="center"/>
    </xf>
    <xf numFmtId="0" fontId="0" fillId="0" borderId="0">
      <alignment vertical="center"/>
    </xf>
    <xf numFmtId="0" fontId="0" fillId="0" borderId="0">
      <alignment vertical="center"/>
    </xf>
    <xf numFmtId="0" fontId="7" fillId="0" borderId="0"/>
    <xf numFmtId="0" fontId="0" fillId="0" borderId="0">
      <alignment vertical="center"/>
    </xf>
    <xf numFmtId="179" fontId="0" fillId="0" borderId="0" applyFont="0" applyFill="0" applyBorder="0" applyAlignment="0" applyProtection="0"/>
    <xf numFmtId="0" fontId="0" fillId="0" borderId="0">
      <alignment vertical="center"/>
    </xf>
    <xf numFmtId="0" fontId="0" fillId="0" borderId="0">
      <alignment vertical="center"/>
    </xf>
    <xf numFmtId="0" fontId="7" fillId="0" borderId="0"/>
    <xf numFmtId="0" fontId="0" fillId="0" borderId="0">
      <alignment vertical="center"/>
    </xf>
    <xf numFmtId="0" fontId="46" fillId="0" borderId="0">
      <alignment vertical="center"/>
    </xf>
    <xf numFmtId="43" fontId="0" fillId="0" borderId="0" applyFont="0" applyFill="0" applyBorder="0" applyAlignment="0" applyProtection="0"/>
    <xf numFmtId="0" fontId="0" fillId="0" borderId="0"/>
    <xf numFmtId="19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0" borderId="0">
      <alignment vertical="center"/>
    </xf>
    <xf numFmtId="0" fontId="48" fillId="0" borderId="0" applyNumberFormat="0" applyFill="0" applyBorder="0" applyAlignment="0" applyProtection="0">
      <alignment vertical="center"/>
    </xf>
    <xf numFmtId="0" fontId="0" fillId="0" borderId="0">
      <alignment vertical="center"/>
    </xf>
    <xf numFmtId="0" fontId="48" fillId="0" borderId="0" applyNumberFormat="0" applyFill="0" applyBorder="0" applyAlignment="0" applyProtection="0">
      <alignment vertical="center"/>
    </xf>
    <xf numFmtId="0" fontId="0" fillId="0" borderId="0"/>
    <xf numFmtId="0" fontId="48"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0" fillId="0" borderId="0"/>
    <xf numFmtId="43" fontId="0" fillId="0" borderId="0" applyFont="0" applyFill="0" applyBorder="0" applyAlignment="0" applyProtection="0"/>
    <xf numFmtId="0" fontId="0" fillId="0" borderId="0"/>
    <xf numFmtId="43" fontId="0" fillId="0" borderId="0" applyFont="0" applyFill="0" applyBorder="0" applyAlignment="0" applyProtection="0"/>
    <xf numFmtId="0" fontId="51" fillId="22" borderId="0" applyNumberFormat="0" applyBorder="0" applyAlignment="0" applyProtection="0">
      <alignment vertical="center"/>
    </xf>
    <xf numFmtId="0" fontId="0" fillId="0" borderId="0"/>
    <xf numFmtId="0" fontId="0" fillId="0" borderId="0">
      <alignment vertical="center"/>
    </xf>
    <xf numFmtId="0" fontId="46" fillId="0" borderId="0">
      <alignment vertical="center"/>
    </xf>
    <xf numFmtId="0" fontId="0" fillId="0" borderId="0">
      <alignment vertical="center"/>
    </xf>
    <xf numFmtId="0" fontId="9"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46" fillId="0" borderId="0"/>
    <xf numFmtId="0" fontId="46" fillId="0" borderId="0"/>
    <xf numFmtId="0" fontId="0" fillId="0" borderId="0"/>
    <xf numFmtId="0" fontId="7" fillId="0" borderId="0">
      <alignment vertical="center"/>
    </xf>
    <xf numFmtId="0" fontId="33" fillId="13" borderId="17" applyNumberFormat="0" applyAlignment="0" applyProtection="0">
      <alignment vertical="center"/>
    </xf>
    <xf numFmtId="0" fontId="46" fillId="0" borderId="0">
      <alignment vertical="center"/>
    </xf>
    <xf numFmtId="0" fontId="7" fillId="0" borderId="0">
      <alignment vertical="center"/>
    </xf>
    <xf numFmtId="0" fontId="7"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50" fillId="24" borderId="21" applyNumberFormat="0" applyAlignment="0" applyProtection="0">
      <alignment vertical="center"/>
    </xf>
    <xf numFmtId="0" fontId="0" fillId="0" borderId="0"/>
    <xf numFmtId="0" fontId="50" fillId="24" borderId="21" applyNumberFormat="0" applyAlignment="0" applyProtection="0">
      <alignment vertical="center"/>
    </xf>
    <xf numFmtId="0" fontId="35" fillId="1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xf numFmtId="0" fontId="0" fillId="0" borderId="0"/>
    <xf numFmtId="0" fontId="7" fillId="0" borderId="0">
      <alignment vertical="center"/>
    </xf>
    <xf numFmtId="0" fontId="9"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9" fillId="0" borderId="0">
      <alignment vertical="center"/>
    </xf>
    <xf numFmtId="0" fontId="0" fillId="0" borderId="0"/>
    <xf numFmtId="179" fontId="0" fillId="0" borderId="0" applyFont="0" applyFill="0" applyBorder="0" applyAlignment="0" applyProtection="0"/>
    <xf numFmtId="0" fontId="0" fillId="0" borderId="0"/>
    <xf numFmtId="0" fontId="0" fillId="0" borderId="0"/>
    <xf numFmtId="43" fontId="0" fillId="0" borderId="0" applyFont="0" applyFill="0" applyBorder="0" applyAlignment="0" applyProtection="0"/>
    <xf numFmtId="0" fontId="0" fillId="0" borderId="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xf numFmtId="43" fontId="0" fillId="0" borderId="0" applyFont="0" applyFill="0" applyBorder="0" applyAlignment="0" applyProtection="0"/>
    <xf numFmtId="0" fontId="39" fillId="9" borderId="0" applyNumberFormat="0" applyBorder="0" applyAlignment="0" applyProtection="0">
      <alignment vertical="center"/>
    </xf>
    <xf numFmtId="0" fontId="9" fillId="0" borderId="0">
      <alignment vertical="center"/>
    </xf>
    <xf numFmtId="43" fontId="0" fillId="0" borderId="0" applyFont="0" applyFill="0" applyBorder="0" applyAlignment="0" applyProtection="0"/>
    <xf numFmtId="0" fontId="15" fillId="0" borderId="0"/>
    <xf numFmtId="0" fontId="0" fillId="0" borderId="0"/>
    <xf numFmtId="0" fontId="59" fillId="0" borderId="0" applyNumberFormat="0" applyFill="0" applyBorder="0" applyAlignment="0" applyProtection="0">
      <alignment vertical="top"/>
      <protection locked="0"/>
    </xf>
    <xf numFmtId="0" fontId="15" fillId="0" borderId="0"/>
    <xf numFmtId="0" fontId="0" fillId="0" borderId="0"/>
    <xf numFmtId="0" fontId="59" fillId="0" borderId="0" applyNumberFormat="0" applyFill="0" applyBorder="0" applyAlignment="0" applyProtection="0">
      <alignment vertical="top"/>
      <protection locked="0"/>
    </xf>
    <xf numFmtId="0" fontId="15" fillId="0" borderId="0"/>
    <xf numFmtId="0" fontId="15" fillId="0" borderId="0"/>
    <xf numFmtId="0" fontId="39"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7" fillId="0" borderId="0"/>
    <xf numFmtId="0" fontId="0" fillId="0" borderId="0">
      <alignment vertical="center"/>
    </xf>
    <xf numFmtId="0" fontId="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5" fillId="0" borderId="0"/>
    <xf numFmtId="0" fontId="0" fillId="0" borderId="0">
      <alignment vertical="center"/>
    </xf>
    <xf numFmtId="0" fontId="0" fillId="0" borderId="0">
      <alignment vertical="center"/>
    </xf>
    <xf numFmtId="0" fontId="49" fillId="0" borderId="24" applyNumberFormat="0" applyFill="0" applyAlignment="0" applyProtection="0">
      <alignment vertical="center"/>
    </xf>
    <xf numFmtId="0" fontId="0" fillId="0" borderId="0"/>
    <xf numFmtId="0" fontId="0" fillId="0" borderId="0"/>
    <xf numFmtId="179" fontId="0" fillId="0" borderId="0" applyFont="0" applyFill="0" applyBorder="0" applyAlignment="0" applyProtection="0"/>
    <xf numFmtId="0" fontId="7" fillId="0" borderId="0"/>
    <xf numFmtId="179" fontId="0" fillId="0" borderId="0" applyFont="0" applyFill="0" applyBorder="0" applyAlignment="0" applyProtection="0"/>
    <xf numFmtId="0" fontId="0" fillId="0" borderId="0"/>
    <xf numFmtId="0" fontId="43" fillId="13" borderId="18" applyNumberFormat="0" applyAlignment="0" applyProtection="0">
      <alignment vertical="center"/>
    </xf>
    <xf numFmtId="0" fontId="0" fillId="0" borderId="0"/>
    <xf numFmtId="0" fontId="0" fillId="0" borderId="0">
      <alignment vertical="center"/>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5" fillId="8"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0" fontId="39" fillId="9"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79" fontId="0" fillId="0" borderId="0" applyFont="0" applyFill="0" applyBorder="0" applyAlignment="0" applyProtection="0"/>
    <xf numFmtId="0" fontId="59" fillId="0" borderId="0" applyNumberFormat="0" applyFill="0" applyBorder="0" applyAlignment="0" applyProtection="0">
      <alignment vertical="top"/>
      <protection locked="0"/>
    </xf>
    <xf numFmtId="0" fontId="20" fillId="0" borderId="25" applyNumberFormat="0" applyFill="0" applyAlignment="0" applyProtection="0">
      <alignment vertical="center"/>
    </xf>
    <xf numFmtId="0" fontId="20" fillId="0" borderId="25" applyNumberFormat="0" applyFill="0" applyAlignment="0" applyProtection="0">
      <alignment vertical="center"/>
    </xf>
    <xf numFmtId="0" fontId="20" fillId="0" borderId="25" applyNumberFormat="0" applyFill="0" applyAlignment="0" applyProtection="0">
      <alignment vertical="center"/>
    </xf>
    <xf numFmtId="0" fontId="20" fillId="0" borderId="28" applyNumberFormat="0" applyFill="0" applyAlignment="0" applyProtection="0">
      <alignment vertical="center"/>
    </xf>
    <xf numFmtId="179" fontId="0" fillId="0" borderId="0" applyFont="0" applyFill="0" applyBorder="0" applyAlignment="0" applyProtection="0">
      <alignment vertical="center"/>
    </xf>
    <xf numFmtId="0" fontId="20" fillId="0" borderId="28" applyNumberFormat="0" applyFill="0" applyAlignment="0" applyProtection="0">
      <alignment vertical="center"/>
    </xf>
    <xf numFmtId="179" fontId="0" fillId="0" borderId="0" applyFont="0" applyFill="0" applyBorder="0" applyAlignment="0" applyProtection="0">
      <alignment vertical="center"/>
    </xf>
    <xf numFmtId="0" fontId="20" fillId="0" borderId="28" applyNumberFormat="0" applyFill="0" applyAlignment="0" applyProtection="0">
      <alignment vertical="center"/>
    </xf>
    <xf numFmtId="0" fontId="48" fillId="0" borderId="0" applyNumberFormat="0" applyFill="0" applyBorder="0" applyAlignment="0" applyProtection="0">
      <alignment vertical="center"/>
    </xf>
    <xf numFmtId="0" fontId="20" fillId="0" borderId="25" applyNumberFormat="0" applyFill="0" applyAlignment="0" applyProtection="0">
      <alignment vertical="center"/>
    </xf>
    <xf numFmtId="0" fontId="20" fillId="0" borderId="25" applyNumberFormat="0" applyFill="0" applyAlignment="0" applyProtection="0">
      <alignment vertical="center"/>
    </xf>
    <xf numFmtId="0" fontId="48" fillId="0" borderId="0" applyNumberFormat="0" applyFill="0" applyBorder="0" applyAlignment="0" applyProtection="0">
      <alignment vertical="center"/>
    </xf>
    <xf numFmtId="0" fontId="20" fillId="0" borderId="25" applyNumberFormat="0" applyFill="0" applyAlignment="0" applyProtection="0">
      <alignment vertical="center"/>
    </xf>
    <xf numFmtId="0" fontId="20" fillId="0" borderId="25"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0" fontId="35" fillId="19" borderId="0" applyNumberFormat="0" applyBorder="0" applyAlignment="0" applyProtection="0">
      <alignment vertical="center"/>
    </xf>
    <xf numFmtId="179" fontId="0" fillId="0" borderId="0" applyFont="0" applyFill="0" applyBorder="0" applyAlignment="0" applyProtection="0">
      <alignment vertical="center"/>
    </xf>
    <xf numFmtId="0" fontId="49" fillId="0" borderId="24" applyNumberFormat="0" applyFill="0" applyAlignment="0" applyProtection="0">
      <alignment vertical="center"/>
    </xf>
    <xf numFmtId="0" fontId="35" fillId="12" borderId="0" applyNumberFormat="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0" fontId="43" fillId="5" borderId="18" applyNumberFormat="0" applyAlignment="0" applyProtection="0">
      <alignment vertical="center"/>
    </xf>
    <xf numFmtId="179" fontId="0" fillId="0" borderId="0" applyFont="0" applyFill="0" applyBorder="0" applyAlignment="0" applyProtection="0"/>
    <xf numFmtId="0" fontId="50" fillId="24" borderId="21" applyNumberFormat="0" applyAlignment="0" applyProtection="0">
      <alignment vertical="center"/>
    </xf>
    <xf numFmtId="181" fontId="14" fillId="0" borderId="2">
      <alignment vertical="center"/>
      <protection locked="0"/>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8" fillId="6" borderId="18" applyNumberFormat="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8" fillId="6" borderId="18" applyNumberFormat="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0" fontId="0" fillId="20" borderId="19" applyNumberFormat="0" applyFont="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0" fontId="35" fillId="8" borderId="0" applyNumberFormat="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0" fontId="35" fillId="19" borderId="0" applyNumberFormat="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0" fontId="43" fillId="13" borderId="18" applyNumberFormat="0" applyAlignment="0" applyProtection="0">
      <alignment vertical="center"/>
    </xf>
    <xf numFmtId="0" fontId="43" fillId="5"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5" borderId="18" applyNumberFormat="0" applyAlignment="0" applyProtection="0">
      <alignment vertical="center"/>
    </xf>
    <xf numFmtId="0" fontId="43" fillId="5" borderId="18" applyNumberFormat="0" applyAlignment="0" applyProtection="0">
      <alignment vertical="center"/>
    </xf>
    <xf numFmtId="0" fontId="43" fillId="5" borderId="18" applyNumberFormat="0" applyAlignment="0" applyProtection="0">
      <alignment vertical="center"/>
    </xf>
    <xf numFmtId="0" fontId="43" fillId="13" borderId="18" applyNumberFormat="0" applyAlignment="0" applyProtection="0">
      <alignment vertical="center"/>
    </xf>
    <xf numFmtId="0" fontId="43" fillId="5" borderId="18" applyNumberFormat="0" applyAlignment="0" applyProtection="0">
      <alignment vertical="center"/>
    </xf>
    <xf numFmtId="0" fontId="43" fillId="5" borderId="18" applyNumberFormat="0" applyAlignment="0" applyProtection="0">
      <alignment vertical="center"/>
    </xf>
    <xf numFmtId="0" fontId="43" fillId="5" borderId="18" applyNumberFormat="0" applyAlignment="0" applyProtection="0">
      <alignment vertical="center"/>
    </xf>
    <xf numFmtId="0" fontId="43" fillId="13" borderId="18" applyNumberFormat="0" applyAlignment="0" applyProtection="0">
      <alignment vertical="center"/>
    </xf>
    <xf numFmtId="0" fontId="43" fillId="5"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37" fillId="12" borderId="0" applyNumberFormat="0" applyBorder="0" applyAlignment="0" applyProtection="0">
      <alignment vertical="center"/>
    </xf>
    <xf numFmtId="0" fontId="43" fillId="13" borderId="18" applyNumberFormat="0" applyAlignment="0" applyProtection="0">
      <alignment vertical="center"/>
    </xf>
    <xf numFmtId="0" fontId="37" fillId="12" borderId="0" applyNumberFormat="0" applyBorder="0" applyAlignment="0" applyProtection="0">
      <alignment vertical="center"/>
    </xf>
    <xf numFmtId="0" fontId="43" fillId="13" borderId="18" applyNumberFormat="0" applyAlignment="0" applyProtection="0">
      <alignment vertical="center"/>
    </xf>
    <xf numFmtId="0" fontId="37" fillId="8" borderId="0" applyNumberFormat="0" applyBorder="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43" fillId="13" borderId="18" applyNumberFormat="0" applyAlignment="0" applyProtection="0">
      <alignment vertical="center"/>
    </xf>
    <xf numFmtId="0" fontId="0" fillId="20" borderId="19" applyNumberFormat="0" applyFont="0" applyAlignment="0" applyProtection="0">
      <alignment vertical="center"/>
    </xf>
    <xf numFmtId="0" fontId="43" fillId="5" borderId="18" applyNumberFormat="0" applyAlignment="0" applyProtection="0">
      <alignment vertical="center"/>
    </xf>
    <xf numFmtId="0" fontId="44" fillId="24" borderId="21" applyNumberFormat="0" applyAlignment="0" applyProtection="0">
      <alignment vertical="center"/>
    </xf>
    <xf numFmtId="0" fontId="44" fillId="24" borderId="21" applyNumberFormat="0" applyAlignment="0" applyProtection="0">
      <alignment vertical="center"/>
    </xf>
    <xf numFmtId="0" fontId="44" fillId="24" borderId="21" applyNumberFormat="0" applyAlignment="0" applyProtection="0">
      <alignment vertical="center"/>
    </xf>
    <xf numFmtId="0" fontId="50" fillId="24" borderId="21" applyNumberFormat="0" applyAlignment="0" applyProtection="0">
      <alignment vertical="center"/>
    </xf>
    <xf numFmtId="0" fontId="50" fillId="24" borderId="21" applyNumberFormat="0" applyAlignment="0" applyProtection="0">
      <alignment vertical="center"/>
    </xf>
    <xf numFmtId="0" fontId="50" fillId="24" borderId="21" applyNumberFormat="0" applyAlignment="0" applyProtection="0">
      <alignment vertical="center"/>
    </xf>
    <xf numFmtId="0" fontId="50" fillId="24" borderId="21" applyNumberFormat="0" applyAlignment="0" applyProtection="0">
      <alignment vertical="center"/>
    </xf>
    <xf numFmtId="0" fontId="50" fillId="24" borderId="21" applyNumberFormat="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181" fontId="14" fillId="0" borderId="2">
      <alignment vertical="center"/>
      <protection locked="0"/>
    </xf>
    <xf numFmtId="0" fontId="50" fillId="24" borderId="21" applyNumberFormat="0" applyAlignment="0" applyProtection="0">
      <alignment vertical="center"/>
    </xf>
    <xf numFmtId="0" fontId="50" fillId="24" borderId="21" applyNumberFormat="0" applyAlignment="0" applyProtection="0">
      <alignment vertical="center"/>
    </xf>
    <xf numFmtId="0" fontId="50" fillId="24" borderId="21" applyNumberFormat="0" applyAlignment="0" applyProtection="0">
      <alignment vertical="center"/>
    </xf>
    <xf numFmtId="181" fontId="14" fillId="0" borderId="2">
      <alignment vertical="center"/>
      <protection locked="0"/>
    </xf>
    <xf numFmtId="43" fontId="0" fillId="0" borderId="0" applyFont="0" applyFill="0" applyBorder="0" applyAlignment="0" applyProtection="0">
      <alignment vertical="center"/>
    </xf>
    <xf numFmtId="0" fontId="50" fillId="24" borderId="21" applyNumberFormat="0" applyAlignment="0" applyProtection="0">
      <alignment vertical="center"/>
    </xf>
    <xf numFmtId="0" fontId="44" fillId="24" borderId="21" applyNumberFormat="0" applyAlignment="0" applyProtection="0">
      <alignment vertical="center"/>
    </xf>
    <xf numFmtId="0" fontId="44" fillId="24" borderId="21" applyNumberFormat="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15" fillId="0" borderId="0"/>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24" applyNumberFormat="0" applyFill="0" applyAlignment="0" applyProtection="0">
      <alignment vertical="center"/>
    </xf>
    <xf numFmtId="0" fontId="49" fillId="0" borderId="24" applyNumberFormat="0" applyFill="0" applyAlignment="0" applyProtection="0">
      <alignment vertical="center"/>
    </xf>
    <xf numFmtId="0" fontId="77"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7"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7"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7"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7"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0" fontId="33" fillId="5" borderId="17" applyNumberFormat="0" applyAlignment="0" applyProtection="0">
      <alignment vertical="center"/>
    </xf>
    <xf numFmtId="0" fontId="37" fillId="12" borderId="0" applyNumberFormat="0" applyBorder="0" applyAlignment="0" applyProtection="0">
      <alignment vertical="center"/>
    </xf>
    <xf numFmtId="43" fontId="0" fillId="0" borderId="0" applyFont="0" applyFill="0" applyBorder="0" applyAlignment="0" applyProtection="0"/>
    <xf numFmtId="0" fontId="33" fillId="5" borderId="17" applyNumberFormat="0" applyAlignment="0" applyProtection="0">
      <alignment vertical="center"/>
    </xf>
    <xf numFmtId="43" fontId="0" fillId="0" borderId="0" applyFont="0" applyFill="0" applyBorder="0" applyAlignment="0" applyProtection="0">
      <alignment vertical="center"/>
    </xf>
    <xf numFmtId="0" fontId="33" fillId="5" borderId="17" applyNumberFormat="0" applyAlignment="0" applyProtection="0">
      <alignment vertical="center"/>
    </xf>
    <xf numFmtId="0" fontId="35" fillId="12" borderId="0" applyNumberFormat="0" applyBorder="0" applyAlignment="0" applyProtection="0">
      <alignment vertical="center"/>
    </xf>
    <xf numFmtId="43" fontId="0" fillId="0" borderId="0" applyFont="0" applyFill="0" applyBorder="0" applyAlignment="0" applyProtection="0"/>
    <xf numFmtId="0" fontId="33" fillId="13" borderId="17"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3" fillId="5" borderId="17"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7" fillId="27"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5" fillId="27"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0" fontId="0" fillId="20" borderId="19" applyNumberFormat="0" applyFon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5" fillId="19"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78" fillId="0" borderId="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6" borderId="0" applyNumberFormat="0" applyBorder="0" applyAlignment="0" applyProtection="0">
      <alignment vertical="center"/>
    </xf>
    <xf numFmtId="0" fontId="37" fillId="12"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6" borderId="0" applyNumberFormat="0" applyBorder="0" applyAlignment="0" applyProtection="0">
      <alignment vertical="center"/>
    </xf>
    <xf numFmtId="0" fontId="37" fillId="12"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5" fillId="8" borderId="0" applyNumberFormat="0" applyBorder="0" applyAlignment="0" applyProtection="0">
      <alignment vertical="center"/>
    </xf>
    <xf numFmtId="0" fontId="37"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5"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5" fillId="8" borderId="0" applyNumberFormat="0" applyBorder="0" applyAlignment="0" applyProtection="0">
      <alignment vertical="center"/>
    </xf>
    <xf numFmtId="0" fontId="37" fillId="8" borderId="0" applyNumberFormat="0" applyBorder="0" applyAlignment="0" applyProtection="0">
      <alignment vertical="center"/>
    </xf>
    <xf numFmtId="0" fontId="51" fillId="22"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5" fillId="11" borderId="0" applyNumberFormat="0" applyBorder="0" applyAlignment="0" applyProtection="0">
      <alignment vertical="center"/>
    </xf>
    <xf numFmtId="0" fontId="37"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5" fillId="11" borderId="0" applyNumberFormat="0" applyBorder="0" applyAlignment="0" applyProtection="0">
      <alignment vertical="center"/>
    </xf>
    <xf numFmtId="0" fontId="37" fillId="11" borderId="0" applyNumberFormat="0" applyBorder="0" applyAlignment="0" applyProtection="0">
      <alignment vertical="center"/>
    </xf>
    <xf numFmtId="0" fontId="51" fillId="22" borderId="0" applyNumberFormat="0" applyBorder="0" applyAlignment="0" applyProtection="0">
      <alignment vertical="center"/>
    </xf>
    <xf numFmtId="0" fontId="35" fillId="19"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5" fillId="19" borderId="0" applyNumberFormat="0" applyBorder="0" applyAlignment="0" applyProtection="0">
      <alignment vertical="center"/>
    </xf>
    <xf numFmtId="0" fontId="37" fillId="28"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5" fillId="19" borderId="0" applyNumberFormat="0" applyBorder="0" applyAlignment="0" applyProtection="0">
      <alignment vertical="center"/>
    </xf>
    <xf numFmtId="0" fontId="37" fillId="28"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3" fillId="5" borderId="17" applyNumberFormat="0" applyAlignment="0" applyProtection="0">
      <alignment vertical="center"/>
    </xf>
    <xf numFmtId="0" fontId="37" fillId="12" borderId="0" applyNumberFormat="0" applyBorder="0" applyAlignment="0" applyProtection="0">
      <alignment vertical="center"/>
    </xf>
    <xf numFmtId="0" fontId="33" fillId="5" borderId="17" applyNumberFormat="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5" fillId="12" borderId="0" applyNumberFormat="0" applyBorder="0" applyAlignment="0" applyProtection="0">
      <alignment vertical="center"/>
    </xf>
    <xf numFmtId="0" fontId="37" fillId="12"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 fontId="14" fillId="0" borderId="2">
      <alignment vertical="center"/>
      <protection locked="0"/>
    </xf>
    <xf numFmtId="0" fontId="35"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5"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51" fillId="22"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5" fillId="27" borderId="0" applyNumberFormat="0" applyBorder="0" applyAlignment="0" applyProtection="0">
      <alignment vertical="center"/>
    </xf>
    <xf numFmtId="0" fontId="37"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5" fillId="27" borderId="0" applyNumberFormat="0" applyBorder="0" applyAlignment="0" applyProtection="0">
      <alignment vertical="center"/>
    </xf>
    <xf numFmtId="0" fontId="37" fillId="27"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51" fillId="22" borderId="0" applyNumberFormat="0" applyBorder="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5" borderId="17" applyNumberFormat="0" applyAlignment="0" applyProtection="0">
      <alignment vertical="center"/>
    </xf>
    <xf numFmtId="0" fontId="33" fillId="13" borderId="17" applyNumberFormat="0" applyAlignment="0" applyProtection="0">
      <alignment vertical="center"/>
    </xf>
    <xf numFmtId="0" fontId="33" fillId="5"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3" fillId="13" borderId="17"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0" fillId="20" borderId="19" applyNumberFormat="0" applyFon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0" fontId="38" fillId="6" borderId="18" applyNumberFormat="0" applyAlignment="0" applyProtection="0">
      <alignment vertical="center"/>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1" fontId="14" fillId="0" borderId="2">
      <alignment vertical="center"/>
      <protection locked="0"/>
    </xf>
    <xf numFmtId="0" fontId="67" fillId="0" borderId="0">
      <alignment vertical="center"/>
    </xf>
    <xf numFmtId="0" fontId="35" fillId="16" borderId="0" applyNumberFormat="0" applyBorder="0" applyAlignment="0" applyProtection="0">
      <alignment vertical="center"/>
    </xf>
    <xf numFmtId="0" fontId="35" fillId="12" borderId="0" applyNumberFormat="0" applyBorder="0" applyAlignment="0" applyProtection="0">
      <alignment vertical="center"/>
    </xf>
    <xf numFmtId="0" fontId="35" fillId="8" borderId="0" applyNumberFormat="0" applyBorder="0" applyAlignment="0" applyProtection="0">
      <alignment vertical="center"/>
    </xf>
    <xf numFmtId="0" fontId="35" fillId="27" borderId="0" applyNumberFormat="0" applyBorder="0" applyAlignment="0" applyProtection="0">
      <alignment vertical="center"/>
    </xf>
    <xf numFmtId="0" fontId="35" fillId="11" borderId="0" applyNumberFormat="0" applyBorder="0" applyAlignment="0" applyProtection="0">
      <alignment vertical="center"/>
    </xf>
    <xf numFmtId="0" fontId="35" fillId="24" borderId="0" applyNumberFormat="0" applyBorder="0" applyAlignment="0" applyProtection="0">
      <alignment vertical="center"/>
    </xf>
    <xf numFmtId="0" fontId="35" fillId="16" borderId="0" applyNumberFormat="0" applyBorder="0" applyAlignment="0" applyProtection="0">
      <alignment vertical="center"/>
    </xf>
    <xf numFmtId="0" fontId="35" fillId="27" borderId="0" applyNumberFormat="0" applyBorder="0" applyAlignment="0" applyProtection="0">
      <alignment vertical="center"/>
    </xf>
    <xf numFmtId="0" fontId="35" fillId="11" borderId="0" applyNumberFormat="0" applyBorder="0" applyAlignment="0" applyProtection="0">
      <alignment vertical="center"/>
    </xf>
    <xf numFmtId="43" fontId="7" fillId="0" borderId="0" applyFont="0" applyFill="0" applyBorder="0" applyAlignment="0" applyProtection="0">
      <alignment vertical="center"/>
    </xf>
    <xf numFmtId="0" fontId="0" fillId="20" borderId="19" applyNumberFormat="0" applyFont="0" applyAlignment="0" applyProtection="0">
      <alignment vertical="center"/>
    </xf>
    <xf numFmtId="0" fontId="7" fillId="20" borderId="19" applyNumberFormat="0" applyFont="0" applyAlignment="0" applyProtection="0">
      <alignment vertical="center"/>
    </xf>
    <xf numFmtId="0" fontId="7"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0" fillId="20" borderId="19" applyNumberFormat="0" applyFont="0" applyAlignment="0" applyProtection="0">
      <alignment vertical="center"/>
    </xf>
    <xf numFmtId="0" fontId="7" fillId="20" borderId="19" applyNumberFormat="0" applyFont="0" applyAlignment="0" applyProtection="0">
      <alignment vertical="center"/>
    </xf>
  </cellStyleXfs>
  <cellXfs count="216">
    <xf numFmtId="0" fontId="0" fillId="0" borderId="0" xfId="0" applyAlignment="1">
      <alignment vertical="center"/>
    </xf>
    <xf numFmtId="0" fontId="0" fillId="0" borderId="0" xfId="0" applyFont="1" applyFill="1" applyAlignment="1">
      <alignment vertical="center" wrapText="1"/>
    </xf>
    <xf numFmtId="0" fontId="1" fillId="0" borderId="0" xfId="0" applyFont="1" applyFill="1" applyAlignment="1">
      <alignment vertical="center" wrapText="1"/>
    </xf>
    <xf numFmtId="0" fontId="2" fillId="0" borderId="1" xfId="0" applyFont="1" applyFill="1" applyBorder="1" applyAlignment="1">
      <alignment horizontal="center" vertical="center"/>
    </xf>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top" wrapText="1"/>
    </xf>
    <xf numFmtId="0" fontId="5" fillId="0" borderId="2" xfId="0" applyFont="1" applyFill="1" applyBorder="1" applyAlignment="1">
      <alignment horizontal="justify"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6" fillId="0" borderId="5"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5" fillId="0" borderId="6" xfId="0" applyFont="1" applyFill="1" applyBorder="1" applyAlignment="1">
      <alignment horizontal="center" vertical="center" wrapText="1"/>
    </xf>
    <xf numFmtId="9" fontId="5" fillId="0" borderId="2" xfId="0" applyNumberFormat="1" applyFont="1" applyFill="1" applyBorder="1" applyAlignment="1">
      <alignment horizontal="center" vertical="center" wrapText="1"/>
    </xf>
    <xf numFmtId="0" fontId="0" fillId="0" borderId="0" xfId="0" applyFont="1" applyFill="1" applyAlignment="1">
      <alignment vertical="center"/>
    </xf>
    <xf numFmtId="0" fontId="2" fillId="0" borderId="0" xfId="0" applyFont="1" applyFill="1" applyBorder="1" applyAlignment="1">
      <alignment horizontal="center" vertical="center"/>
    </xf>
    <xf numFmtId="0" fontId="5" fillId="0" borderId="1" xfId="0" applyFont="1" applyFill="1" applyBorder="1" applyAlignment="1">
      <alignment vertical="top"/>
    </xf>
    <xf numFmtId="0" fontId="5" fillId="0" borderId="1" xfId="0" applyFont="1" applyFill="1" applyBorder="1" applyAlignment="1">
      <alignment vertical="top" wrapText="1"/>
    </xf>
    <xf numFmtId="0" fontId="7" fillId="0" borderId="2" xfId="0" applyFont="1" applyFill="1" applyBorder="1" applyAlignment="1">
      <alignment horizontal="center" vertical="center" wrapText="1"/>
    </xf>
    <xf numFmtId="9" fontId="7" fillId="0" borderId="2" xfId="0" applyNumberFormat="1" applyFont="1" applyFill="1" applyBorder="1" applyAlignment="1">
      <alignment horizontal="center" vertical="center" wrapText="1"/>
    </xf>
    <xf numFmtId="0" fontId="5" fillId="2" borderId="1" xfId="0" applyFont="1" applyFill="1" applyBorder="1" applyAlignment="1">
      <alignment vertical="top"/>
    </xf>
    <xf numFmtId="0" fontId="5" fillId="2" borderId="1" xfId="0" applyFont="1" applyFill="1" applyBorder="1" applyAlignment="1">
      <alignment vertical="top" wrapText="1"/>
    </xf>
    <xf numFmtId="0" fontId="5" fillId="2" borderId="2" xfId="0" applyFont="1" applyFill="1" applyBorder="1" applyAlignment="1">
      <alignment horizontal="center" vertical="center" wrapText="1"/>
    </xf>
    <xf numFmtId="9" fontId="5" fillId="2" borderId="2" xfId="0" applyNumberFormat="1" applyFont="1" applyFill="1" applyBorder="1" applyAlignment="1">
      <alignment horizontal="center" vertical="center" wrapText="1"/>
    </xf>
    <xf numFmtId="0" fontId="8" fillId="0" borderId="1" xfId="0" applyFont="1" applyFill="1" applyBorder="1" applyAlignment="1">
      <alignment vertical="center"/>
    </xf>
    <xf numFmtId="0" fontId="8" fillId="0" borderId="1" xfId="0" applyFont="1" applyFill="1" applyBorder="1" applyAlignment="1">
      <alignment vertical="top" wrapText="1"/>
    </xf>
    <xf numFmtId="0" fontId="5" fillId="0" borderId="1" xfId="0" applyFont="1" applyFill="1" applyBorder="1" applyAlignment="1">
      <alignment horizontal="left" vertical="top" wrapText="1"/>
    </xf>
    <xf numFmtId="0" fontId="5" fillId="0" borderId="0" xfId="0" applyFont="1" applyFill="1" applyBorder="1" applyAlignment="1">
      <alignment horizontal="left" vertical="top" wrapText="1"/>
    </xf>
    <xf numFmtId="0" fontId="9" fillId="0" borderId="1" xfId="0" applyFont="1" applyFill="1" applyBorder="1" applyAlignment="1">
      <alignment vertical="top" wrapText="1"/>
    </xf>
    <xf numFmtId="0" fontId="9" fillId="0" borderId="0" xfId="0" applyFont="1" applyFill="1" applyBorder="1" applyAlignment="1">
      <alignment vertical="top" wrapText="1"/>
    </xf>
    <xf numFmtId="0" fontId="5" fillId="0" borderId="7" xfId="0" applyFont="1" applyFill="1" applyBorder="1" applyAlignment="1">
      <alignment horizontal="justify" vertical="center" wrapText="1"/>
    </xf>
    <xf numFmtId="0" fontId="0" fillId="0" borderId="8" xfId="0" applyFont="1" applyFill="1" applyBorder="1" applyAlignment="1">
      <alignment vertical="center"/>
    </xf>
    <xf numFmtId="0" fontId="5" fillId="0" borderId="0" xfId="0" applyFont="1" applyFill="1" applyBorder="1" applyAlignment="1">
      <alignment vertical="top" wrapText="1"/>
    </xf>
    <xf numFmtId="10" fontId="5" fillId="0" borderId="2" xfId="0" applyNumberFormat="1" applyFont="1" applyFill="1" applyBorder="1" applyAlignment="1">
      <alignment horizontal="center" vertical="center" wrapText="1"/>
    </xf>
    <xf numFmtId="0" fontId="0" fillId="0" borderId="0" xfId="0" applyAlignment="1">
      <alignment vertical="center" wrapText="1"/>
    </xf>
    <xf numFmtId="0" fontId="0" fillId="0" borderId="0" xfId="0" applyFont="1" applyAlignment="1">
      <alignment vertical="center" wrapText="1"/>
    </xf>
    <xf numFmtId="0" fontId="2" fillId="0" borderId="0" xfId="0" applyFont="1" applyAlignment="1">
      <alignment horizontal="center" vertical="center" wrapText="1"/>
    </xf>
    <xf numFmtId="0" fontId="0" fillId="0" borderId="0" xfId="0" applyAlignment="1">
      <alignment wrapText="1"/>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center" vertical="center" wrapText="1"/>
    </xf>
    <xf numFmtId="193" fontId="11" fillId="0" borderId="2" xfId="0" applyNumberFormat="1" applyFont="1" applyBorder="1" applyAlignment="1">
      <alignment horizontal="center" vertical="center" wrapText="1"/>
    </xf>
    <xf numFmtId="0" fontId="6" fillId="0" borderId="5" xfId="0" applyFont="1" applyBorder="1" applyAlignment="1">
      <alignment horizontal="left" vertical="top" wrapText="1"/>
    </xf>
    <xf numFmtId="0" fontId="14" fillId="0" borderId="0" xfId="0" applyFont="1" applyAlignment="1">
      <alignment horizontal="right" wrapText="1"/>
    </xf>
    <xf numFmtId="0" fontId="0" fillId="0" borderId="0" xfId="4174" applyFont="1" applyAlignment="1">
      <alignment vertical="center"/>
    </xf>
    <xf numFmtId="0" fontId="15" fillId="0" borderId="0" xfId="4174"/>
    <xf numFmtId="0" fontId="2" fillId="0" borderId="0" xfId="4174" applyFont="1" applyAlignment="1">
      <alignment horizontal="center" vertical="center"/>
    </xf>
    <xf numFmtId="0" fontId="16" fillId="0" borderId="0" xfId="4174" applyFont="1" applyBorder="1" applyAlignment="1">
      <alignment vertical="center"/>
    </xf>
    <xf numFmtId="0" fontId="12" fillId="0" borderId="0" xfId="4174" applyFont="1" applyAlignment="1">
      <alignment horizontal="right" vertical="center"/>
    </xf>
    <xf numFmtId="0" fontId="17" fillId="0" borderId="2" xfId="4174" applyFont="1" applyBorder="1" applyAlignment="1">
      <alignment horizontal="center" vertical="center"/>
    </xf>
    <xf numFmtId="0" fontId="12" fillId="0" borderId="2" xfId="4174" applyFont="1" applyBorder="1" applyAlignment="1">
      <alignment vertical="center"/>
    </xf>
    <xf numFmtId="0" fontId="12" fillId="0" borderId="2" xfId="4174" applyFont="1" applyBorder="1" applyAlignment="1">
      <alignment horizontal="left" vertical="center" wrapText="1"/>
    </xf>
    <xf numFmtId="0" fontId="6" fillId="0" borderId="5" xfId="0" applyFont="1" applyBorder="1" applyAlignment="1">
      <alignment horizontal="left" vertical="center" wrapText="1"/>
    </xf>
    <xf numFmtId="0" fontId="18" fillId="0" borderId="0" xfId="0" applyFont="1" applyAlignment="1">
      <alignment vertical="center"/>
    </xf>
    <xf numFmtId="0" fontId="0" fillId="0" borderId="0" xfId="3538" applyFont="1"/>
    <xf numFmtId="0" fontId="15" fillId="0" borderId="0" xfId="3538"/>
    <xf numFmtId="0" fontId="0" fillId="0" borderId="0" xfId="0">
      <alignment vertical="center"/>
    </xf>
    <xf numFmtId="0" fontId="19" fillId="0" borderId="0" xfId="3741" applyFont="1" applyAlignment="1">
      <alignment horizontal="center" vertical="center"/>
    </xf>
    <xf numFmtId="0" fontId="15" fillId="0" borderId="0" xfId="3538" applyAlignment="1">
      <alignment vertical="center"/>
    </xf>
    <xf numFmtId="0" fontId="14" fillId="0" borderId="0" xfId="2484" applyFont="1" applyBorder="1" applyAlignment="1">
      <alignment horizontal="right" vertical="center"/>
    </xf>
    <xf numFmtId="0" fontId="20" fillId="0" borderId="2" xfId="3700" applyFont="1" applyFill="1" applyBorder="1" applyAlignment="1">
      <alignment horizontal="center" vertical="center" wrapText="1"/>
    </xf>
    <xf numFmtId="0" fontId="20" fillId="0" borderId="2" xfId="3700" applyFont="1" applyFill="1" applyBorder="1" applyAlignment="1">
      <alignment horizontal="center" vertical="center"/>
    </xf>
    <xf numFmtId="0" fontId="20" fillId="0" borderId="2" xfId="3700" applyFont="1" applyFill="1" applyBorder="1" applyAlignment="1">
      <alignment horizontal="right" vertical="center" shrinkToFit="1"/>
    </xf>
    <xf numFmtId="49" fontId="21" fillId="0" borderId="2" xfId="2314" applyNumberFormat="1" applyFont="1" applyBorder="1" applyAlignment="1">
      <alignment vertical="center"/>
    </xf>
    <xf numFmtId="49" fontId="14" fillId="0" borderId="2" xfId="2314" applyNumberFormat="1" applyFont="1" applyBorder="1" applyAlignment="1">
      <alignment vertical="center"/>
    </xf>
    <xf numFmtId="0" fontId="7" fillId="0" borderId="2" xfId="3700" applyFont="1" applyFill="1" applyBorder="1" applyAlignment="1">
      <alignment horizontal="right" vertical="center" shrinkToFit="1"/>
    </xf>
    <xf numFmtId="49" fontId="14" fillId="0" borderId="2" xfId="2314" applyNumberFormat="1" applyFont="1" applyBorder="1" applyAlignment="1">
      <alignment vertical="center" wrapText="1"/>
    </xf>
    <xf numFmtId="0" fontId="14" fillId="0" borderId="2" xfId="0" applyFont="1" applyBorder="1" applyAlignment="1">
      <alignment vertical="center"/>
    </xf>
    <xf numFmtId="0" fontId="21" fillId="0" borderId="2" xfId="0" applyFont="1" applyBorder="1" applyAlignment="1">
      <alignment vertical="center"/>
    </xf>
    <xf numFmtId="0" fontId="22" fillId="0" borderId="0" xfId="0" applyFont="1" applyAlignment="1">
      <alignment vertical="center"/>
    </xf>
    <xf numFmtId="0" fontId="0" fillId="3" borderId="0" xfId="0" applyFont="1" applyFill="1" applyBorder="1" applyAlignment="1">
      <alignment horizontal="left" vertical="center"/>
    </xf>
    <xf numFmtId="0" fontId="0" fillId="0" borderId="0" xfId="0" applyAlignment="1"/>
    <xf numFmtId="0" fontId="2" fillId="3" borderId="0" xfId="0" applyFont="1" applyFill="1" applyBorder="1" applyAlignment="1">
      <alignment horizontal="center" vertical="center"/>
    </xf>
    <xf numFmtId="0" fontId="23" fillId="3" borderId="0" xfId="0" applyFont="1" applyFill="1" applyBorder="1" applyAlignment="1">
      <alignment horizontal="left" vertical="center"/>
    </xf>
    <xf numFmtId="0" fontId="22" fillId="0" borderId="0" xfId="0" applyFont="1" applyAlignment="1">
      <alignment horizontal="right"/>
    </xf>
    <xf numFmtId="0" fontId="23" fillId="3" borderId="0" xfId="0" applyFont="1" applyFill="1" applyBorder="1" applyAlignment="1">
      <alignment horizontal="right" vertical="center"/>
    </xf>
    <xf numFmtId="0" fontId="20" fillId="0" borderId="9" xfId="0" applyFont="1" applyFill="1" applyBorder="1" applyAlignment="1">
      <alignment horizontal="center" vertical="center" wrapText="1"/>
    </xf>
    <xf numFmtId="0" fontId="20" fillId="0" borderId="9" xfId="0" applyFont="1" applyFill="1" applyBorder="1" applyAlignment="1">
      <alignment horizontal="center" vertical="center"/>
    </xf>
    <xf numFmtId="0" fontId="20" fillId="0" borderId="10" xfId="0" applyFont="1" applyFill="1" applyBorder="1" applyAlignment="1">
      <alignment horizontal="center" vertical="center"/>
    </xf>
    <xf numFmtId="0" fontId="20" fillId="0" borderId="9" xfId="0" applyFont="1" applyFill="1" applyBorder="1" applyAlignment="1">
      <alignment horizontal="right" vertical="center"/>
    </xf>
    <xf numFmtId="0" fontId="13" fillId="0" borderId="9" xfId="2317" applyFont="1" applyBorder="1" applyAlignment="1">
      <alignment horizontal="left" vertical="center" wrapText="1"/>
    </xf>
    <xf numFmtId="0" fontId="24" fillId="0" borderId="9" xfId="0" applyFont="1" applyFill="1" applyBorder="1" applyAlignment="1">
      <alignment horizontal="right" vertical="center"/>
    </xf>
    <xf numFmtId="0" fontId="11" fillId="0" borderId="9" xfId="0" applyFont="1" applyBorder="1" applyAlignment="1">
      <alignment vertical="center"/>
    </xf>
    <xf numFmtId="0" fontId="14" fillId="0" borderId="0" xfId="0" applyFont="1" applyAlignment="1">
      <alignment vertical="center"/>
    </xf>
    <xf numFmtId="0" fontId="0" fillId="0" borderId="0" xfId="4033" applyFont="1"/>
    <xf numFmtId="0" fontId="25" fillId="0" borderId="0" xfId="2484" applyFont="1" applyAlignment="1">
      <alignment vertical="center"/>
    </xf>
    <xf numFmtId="0" fontId="2" fillId="0" borderId="0" xfId="3767" applyFont="1" applyAlignment="1">
      <alignment horizontal="center" vertical="center"/>
    </xf>
    <xf numFmtId="0" fontId="0" fillId="0" borderId="0" xfId="2484" applyFont="1" applyBorder="1" applyAlignment="1">
      <alignment vertical="center"/>
    </xf>
    <xf numFmtId="0" fontId="21" fillId="0" borderId="2" xfId="2484" applyFont="1" applyBorder="1" applyAlignment="1">
      <alignment horizontal="center" vertical="center"/>
    </xf>
    <xf numFmtId="0" fontId="21" fillId="0" borderId="2" xfId="0" applyFont="1" applyBorder="1" applyAlignment="1">
      <alignment horizontal="center" vertical="center"/>
    </xf>
    <xf numFmtId="0" fontId="14" fillId="0" borderId="2" xfId="1945" applyFont="1" applyBorder="1" applyAlignment="1">
      <alignment horizontal="center" vertical="center"/>
    </xf>
    <xf numFmtId="0" fontId="14" fillId="0" borderId="2" xfId="4033" applyFont="1" applyBorder="1" applyAlignment="1">
      <alignment horizontal="center"/>
    </xf>
    <xf numFmtId="0" fontId="14" fillId="0" borderId="2" xfId="4118" applyFont="1" applyBorder="1" applyAlignment="1">
      <alignment horizontal="center"/>
    </xf>
    <xf numFmtId="0" fontId="21" fillId="0" borderId="0" xfId="1945" applyFont="1" applyAlignment="1">
      <alignment horizontal="center" vertical="center"/>
    </xf>
    <xf numFmtId="0" fontId="14" fillId="0" borderId="0" xfId="1945" applyFont="1" applyAlignment="1">
      <alignment horizontal="center" vertical="center"/>
    </xf>
    <xf numFmtId="183" fontId="26" fillId="0" borderId="0" xfId="4113" applyNumberFormat="1" applyFont="1" applyFill="1" applyBorder="1" applyAlignment="1">
      <alignment horizontal="left"/>
    </xf>
    <xf numFmtId="0" fontId="14" fillId="0" borderId="0" xfId="0" applyFont="1">
      <alignment vertical="center"/>
    </xf>
    <xf numFmtId="0" fontId="26" fillId="0" borderId="0" xfId="4113" applyNumberFormat="1" applyFont="1" applyFill="1" applyBorder="1" applyAlignment="1" applyProtection="1">
      <alignment horizontal="left" wrapText="1"/>
    </xf>
    <xf numFmtId="0" fontId="0" fillId="0" borderId="0" xfId="0" applyAlignment="1">
      <alignment horizontal="center" vertical="center" wrapText="1"/>
    </xf>
    <xf numFmtId="0" fontId="0" fillId="0" borderId="0" xfId="0" applyAlignment="1">
      <alignment horizontal="right" vertical="center"/>
    </xf>
    <xf numFmtId="0" fontId="0" fillId="0" borderId="0" xfId="4033" applyFont="1" applyAlignment="1">
      <alignment horizontal="center" wrapText="1"/>
    </xf>
    <xf numFmtId="0" fontId="25" fillId="0" borderId="0" xfId="2484" applyFont="1" applyAlignment="1">
      <alignment horizontal="right" vertical="center"/>
    </xf>
    <xf numFmtId="0" fontId="2" fillId="0" borderId="0" xfId="3767" applyFont="1" applyAlignment="1">
      <alignment horizontal="right" vertical="center"/>
    </xf>
    <xf numFmtId="0" fontId="0" fillId="0" borderId="0" xfId="2484" applyFont="1" applyBorder="1" applyAlignment="1">
      <alignment horizontal="center" vertical="center" wrapText="1"/>
    </xf>
    <xf numFmtId="0" fontId="21" fillId="0" borderId="2" xfId="2484" applyFont="1" applyBorder="1" applyAlignment="1">
      <alignment horizontal="center" vertical="center" wrapText="1"/>
    </xf>
    <xf numFmtId="0" fontId="21" fillId="0" borderId="2" xfId="0" applyFont="1" applyBorder="1" applyAlignment="1">
      <alignment horizontal="right" vertical="center"/>
    </xf>
    <xf numFmtId="0" fontId="21" fillId="0" borderId="2" xfId="2484" applyFont="1" applyBorder="1" applyAlignment="1">
      <alignment horizontal="right" vertical="center"/>
    </xf>
    <xf numFmtId="0" fontId="14" fillId="0" borderId="2" xfId="1945" applyFont="1" applyBorder="1" applyAlignment="1">
      <alignment horizontal="center" vertical="center" wrapText="1"/>
    </xf>
    <xf numFmtId="0" fontId="14" fillId="0" borderId="2" xfId="4033" applyFont="1" applyBorder="1" applyAlignment="1">
      <alignment horizontal="right"/>
    </xf>
    <xf numFmtId="49" fontId="5" fillId="0" borderId="11"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4" fillId="0" borderId="2" xfId="1945" applyFont="1" applyBorder="1" applyAlignment="1">
      <alignment vertical="center"/>
    </xf>
    <xf numFmtId="193" fontId="14" fillId="0" borderId="2" xfId="4118" applyNumberFormat="1" applyFont="1" applyBorder="1"/>
    <xf numFmtId="0" fontId="14" fillId="0" borderId="2" xfId="4118" applyFont="1" applyBorder="1" applyAlignment="1">
      <alignment horizontal="right"/>
    </xf>
    <xf numFmtId="0" fontId="14" fillId="0" borderId="2" xfId="1945" applyFont="1" applyBorder="1" applyAlignment="1">
      <alignment horizontal="right" vertical="center"/>
    </xf>
    <xf numFmtId="0" fontId="14" fillId="0" borderId="2" xfId="1945" applyFont="1" applyBorder="1"/>
    <xf numFmtId="193" fontId="14" fillId="0" borderId="2" xfId="1945" applyNumberFormat="1" applyFont="1" applyBorder="1"/>
    <xf numFmtId="0" fontId="14" fillId="0" borderId="2" xfId="4118" applyFont="1" applyBorder="1"/>
    <xf numFmtId="178" fontId="14" fillId="0" borderId="2" xfId="4118" applyNumberFormat="1" applyFont="1" applyBorder="1" applyAlignment="1">
      <alignment horizontal="right"/>
    </xf>
    <xf numFmtId="193" fontId="14" fillId="0" borderId="2" xfId="4118" applyNumberFormat="1" applyFont="1" applyBorder="1" applyAlignment="1">
      <alignment horizontal="right"/>
    </xf>
    <xf numFmtId="193" fontId="5" fillId="0" borderId="11" xfId="0" applyNumberFormat="1" applyFont="1" applyFill="1" applyBorder="1" applyAlignment="1">
      <alignment horizontal="right" vertical="center" wrapText="1"/>
    </xf>
    <xf numFmtId="49" fontId="5" fillId="0" borderId="11" xfId="0" applyNumberFormat="1" applyFont="1" applyFill="1" applyBorder="1" applyAlignment="1">
      <alignment horizontal="center" vertical="center" wrapText="1"/>
    </xf>
    <xf numFmtId="49" fontId="5" fillId="0" borderId="12" xfId="0" applyNumberFormat="1" applyFont="1" applyFill="1" applyBorder="1" applyAlignment="1">
      <alignment horizontal="center" vertical="center" wrapText="1"/>
    </xf>
    <xf numFmtId="49" fontId="5" fillId="0" borderId="13" xfId="0" applyNumberFormat="1" applyFont="1" applyFill="1" applyBorder="1" applyAlignment="1">
      <alignment horizontal="center" vertical="center" wrapText="1"/>
    </xf>
    <xf numFmtId="183" fontId="6" fillId="0" borderId="0" xfId="4113" applyNumberFormat="1" applyFont="1" applyFill="1" applyBorder="1" applyAlignment="1">
      <alignment horizontal="left"/>
    </xf>
    <xf numFmtId="183" fontId="6" fillId="0" borderId="0" xfId="4113" applyNumberFormat="1" applyFont="1" applyFill="1" applyBorder="1" applyAlignment="1">
      <alignment horizontal="center"/>
    </xf>
    <xf numFmtId="183" fontId="6" fillId="0" borderId="0" xfId="4113" applyNumberFormat="1" applyFont="1" applyFill="1" applyBorder="1" applyAlignment="1">
      <alignment horizontal="right"/>
    </xf>
    <xf numFmtId="0" fontId="6" fillId="0" borderId="0" xfId="4113" applyNumberFormat="1" applyFont="1" applyFill="1" applyBorder="1" applyAlignment="1" applyProtection="1">
      <alignment horizontal="left" wrapText="1"/>
    </xf>
    <xf numFmtId="0" fontId="6" fillId="0" borderId="0" xfId="4113" applyNumberFormat="1" applyFont="1" applyFill="1" applyBorder="1" applyAlignment="1" applyProtection="1">
      <alignment horizontal="center" wrapText="1"/>
    </xf>
    <xf numFmtId="0" fontId="6" fillId="0" borderId="0" xfId="4113" applyNumberFormat="1" applyFont="1" applyFill="1" applyBorder="1" applyAlignment="1" applyProtection="1">
      <alignment horizontal="right" wrapText="1"/>
    </xf>
    <xf numFmtId="0" fontId="0" fillId="0" borderId="0" xfId="0" applyFont="1">
      <alignment vertical="center"/>
    </xf>
    <xf numFmtId="0" fontId="2" fillId="0" borderId="0" xfId="3770" applyFont="1" applyAlignment="1">
      <alignment horizontal="center" vertical="center"/>
    </xf>
    <xf numFmtId="0" fontId="0" fillId="0" borderId="0" xfId="3770" applyFont="1"/>
    <xf numFmtId="0" fontId="22" fillId="0" borderId="0" xfId="3770" applyFont="1" applyAlignment="1">
      <alignment horizontal="right" vertical="center"/>
    </xf>
    <xf numFmtId="0" fontId="21" fillId="0" borderId="2" xfId="3770" applyFont="1" applyBorder="1" applyAlignment="1">
      <alignment horizontal="centerContinuous" vertical="center"/>
    </xf>
    <xf numFmtId="0" fontId="21" fillId="0" borderId="2" xfId="3770" applyFont="1" applyBorder="1" applyAlignment="1">
      <alignment horizontal="center" vertical="center"/>
    </xf>
    <xf numFmtId="0" fontId="14" fillId="0" borderId="2" xfId="3770" applyFont="1" applyBorder="1" applyAlignment="1">
      <alignment vertical="center"/>
    </xf>
    <xf numFmtId="180" fontId="14" fillId="0" borderId="2" xfId="3770" applyNumberFormat="1" applyFont="1" applyFill="1" applyBorder="1" applyAlignment="1">
      <alignment horizontal="right" vertical="center" wrapText="1"/>
    </xf>
    <xf numFmtId="180" fontId="14" fillId="0" borderId="2" xfId="3767" applyNumberFormat="1" applyFont="1" applyFill="1" applyBorder="1" applyAlignment="1">
      <alignment horizontal="right" vertical="center"/>
    </xf>
    <xf numFmtId="180" fontId="14" fillId="0" borderId="2" xfId="3767" applyNumberFormat="1" applyFont="1" applyFill="1" applyBorder="1" applyAlignment="1">
      <alignment horizontal="right" vertical="center" wrapText="1"/>
    </xf>
    <xf numFmtId="0" fontId="14" fillId="0" borderId="2" xfId="3770" applyFont="1" applyBorder="1" applyAlignment="1">
      <alignment horizontal="center" vertical="center"/>
    </xf>
    <xf numFmtId="4" fontId="14" fillId="0" borderId="2" xfId="3770" applyNumberFormat="1" applyFont="1" applyFill="1" applyBorder="1" applyAlignment="1">
      <alignment horizontal="right" vertical="center" wrapText="1"/>
    </xf>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horizontal="center" vertical="center"/>
    </xf>
    <xf numFmtId="0" fontId="27" fillId="0" borderId="0" xfId="0" applyFont="1">
      <alignment vertical="center"/>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7" fillId="0" borderId="2" xfId="0" applyFont="1" applyBorder="1" applyAlignment="1">
      <alignment horizontal="center" vertical="center"/>
    </xf>
    <xf numFmtId="49" fontId="30" fillId="4" borderId="2" xfId="0" applyNumberFormat="1" applyFont="1" applyFill="1" applyBorder="1" applyAlignment="1">
      <alignment horizontal="left" vertical="center" wrapText="1"/>
    </xf>
    <xf numFmtId="0" fontId="30" fillId="4" borderId="2" xfId="0" applyNumberFormat="1" applyFont="1" applyFill="1" applyBorder="1" applyAlignment="1">
      <alignment horizontal="left" vertical="center" wrapText="1"/>
    </xf>
    <xf numFmtId="0" fontId="7" fillId="0" borderId="7" xfId="0" applyNumberFormat="1" applyFont="1" applyFill="1" applyBorder="1" applyAlignment="1">
      <alignment horizontal="center" vertical="center" wrapText="1"/>
    </xf>
    <xf numFmtId="0" fontId="7" fillId="0" borderId="14" xfId="0" applyNumberFormat="1" applyFont="1" applyFill="1" applyBorder="1" applyAlignment="1">
      <alignment horizontal="center" vertical="center" wrapText="1"/>
    </xf>
    <xf numFmtId="194" fontId="30" fillId="2" borderId="2" xfId="0" applyNumberFormat="1" applyFont="1" applyFill="1" applyBorder="1" applyAlignment="1">
      <alignment horizontal="center" vertical="center" wrapText="1"/>
    </xf>
    <xf numFmtId="194" fontId="30" fillId="2" borderId="11" xfId="0" applyNumberFormat="1" applyFont="1" applyFill="1" applyBorder="1" applyAlignment="1">
      <alignment horizontal="center" vertical="center" wrapText="1"/>
    </xf>
    <xf numFmtId="0" fontId="7" fillId="0" borderId="2" xfId="0" applyNumberFormat="1" applyFont="1" applyFill="1" applyBorder="1" applyAlignment="1">
      <alignment horizontal="lef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wrapText="1"/>
    </xf>
    <xf numFmtId="0" fontId="7" fillId="0" borderId="2" xfId="0" applyNumberFormat="1" applyFont="1" applyFill="1" applyBorder="1" applyAlignment="1">
      <alignment horizontal="center" vertical="center" wrapText="1"/>
    </xf>
    <xf numFmtId="0" fontId="7" fillId="0" borderId="14" xfId="0" applyNumberFormat="1" applyFont="1" applyFill="1" applyBorder="1" applyAlignment="1">
      <alignment vertical="center" wrapText="1"/>
    </xf>
    <xf numFmtId="0" fontId="0" fillId="0" borderId="3" xfId="0" applyBorder="1" applyAlignment="1">
      <alignment horizontal="center" vertical="center"/>
    </xf>
    <xf numFmtId="0" fontId="0" fillId="0" borderId="3" xfId="0" applyBorder="1" applyAlignment="1">
      <alignment vertical="center"/>
    </xf>
    <xf numFmtId="194" fontId="30" fillId="2" borderId="3" xfId="0" applyNumberFormat="1" applyFont="1" applyFill="1" applyBorder="1" applyAlignment="1">
      <alignment horizontal="center" vertical="center" wrapText="1"/>
    </xf>
    <xf numFmtId="194" fontId="30" fillId="2" borderId="15" xfId="0" applyNumberFormat="1" applyFont="1" applyFill="1" applyBorder="1" applyAlignment="1">
      <alignment horizontal="center" vertical="center" wrapText="1"/>
    </xf>
    <xf numFmtId="0" fontId="0" fillId="0" borderId="3" xfId="0" applyBorder="1" applyAlignment="1">
      <alignment vertical="center" wrapText="1"/>
    </xf>
    <xf numFmtId="0" fontId="30" fillId="4" borderId="3" xfId="0" applyNumberFormat="1" applyFont="1" applyFill="1" applyBorder="1" applyAlignment="1">
      <alignment horizontal="left" vertical="center" wrapText="1"/>
    </xf>
    <xf numFmtId="0" fontId="7" fillId="0" borderId="1" xfId="0" applyFont="1" applyBorder="1" applyAlignment="1">
      <alignment horizontal="right" vertical="center"/>
    </xf>
    <xf numFmtId="0" fontId="20" fillId="0" borderId="2" xfId="0" applyFont="1" applyBorder="1" applyAlignment="1">
      <alignment horizontal="centerContinuous" vertical="center" wrapText="1"/>
    </xf>
    <xf numFmtId="0" fontId="21" fillId="0" borderId="3" xfId="4112" applyNumberFormat="1" applyFont="1" applyFill="1" applyBorder="1" applyAlignment="1" applyProtection="1">
      <alignment horizontal="center" vertical="center" wrapText="1"/>
    </xf>
    <xf numFmtId="0" fontId="21" fillId="0" borderId="6" xfId="4112" applyNumberFormat="1" applyFont="1" applyFill="1" applyBorder="1" applyAlignment="1" applyProtection="1">
      <alignment horizontal="center" vertical="center" wrapText="1"/>
    </xf>
    <xf numFmtId="4" fontId="7" fillId="0" borderId="2" xfId="0" applyNumberFormat="1" applyFont="1" applyFill="1" applyBorder="1" applyAlignment="1">
      <alignment horizontal="center" vertical="center" wrapText="1"/>
    </xf>
    <xf numFmtId="0" fontId="26" fillId="0" borderId="5" xfId="0" applyFont="1" applyBorder="1" applyAlignment="1">
      <alignment horizontal="left" vertical="center" wrapText="1"/>
    </xf>
    <xf numFmtId="0" fontId="0" fillId="0" borderId="0" xfId="0" applyAlignment="1">
      <alignment horizontal="center" vertical="center"/>
    </xf>
    <xf numFmtId="0" fontId="0" fillId="0" borderId="0" xfId="3762" applyFont="1"/>
    <xf numFmtId="0" fontId="22" fillId="0" borderId="0" xfId="3762" applyFont="1"/>
    <xf numFmtId="49" fontId="22" fillId="0" borderId="0" xfId="3762" applyNumberFormat="1" applyFont="1" applyFill="1" applyAlignment="1" applyProtection="1">
      <alignment horizontal="center" vertical="center"/>
    </xf>
    <xf numFmtId="0" fontId="22" fillId="0" borderId="0" xfId="3762" applyFont="1" applyAlignment="1">
      <alignment horizontal="center" vertical="center" wrapText="1"/>
    </xf>
    <xf numFmtId="195" fontId="22" fillId="0" borderId="0" xfId="3762" applyNumberFormat="1" applyFont="1" applyAlignment="1">
      <alignment horizontal="center" vertical="center"/>
    </xf>
    <xf numFmtId="0" fontId="22" fillId="0" borderId="0" xfId="3762" applyFont="1" applyAlignment="1">
      <alignment horizontal="center" vertical="center"/>
    </xf>
    <xf numFmtId="49" fontId="2" fillId="0" borderId="0" xfId="3762" applyNumberFormat="1" applyFont="1" applyFill="1" applyAlignment="1" applyProtection="1">
      <alignment horizontal="center" vertical="center" wrapText="1"/>
    </xf>
    <xf numFmtId="49" fontId="31" fillId="0" borderId="0" xfId="3762" applyNumberFormat="1" applyFont="1" applyFill="1" applyAlignment="1" applyProtection="1">
      <alignment horizontal="center" vertical="center" wrapText="1"/>
    </xf>
    <xf numFmtId="0" fontId="0" fillId="0" borderId="0" xfId="3762" applyFont="1" applyAlignment="1">
      <alignment horizontal="center" vertical="center" wrapText="1"/>
    </xf>
    <xf numFmtId="195" fontId="0" fillId="0" borderId="0" xfId="3762" applyNumberFormat="1" applyFont="1" applyAlignment="1">
      <alignment horizontal="center" vertical="center"/>
    </xf>
    <xf numFmtId="0" fontId="14" fillId="0" borderId="1" xfId="3762" applyFont="1" applyBorder="1" applyAlignment="1">
      <alignment horizontal="right" vertical="center"/>
    </xf>
    <xf numFmtId="0" fontId="21" fillId="0" borderId="2" xfId="3762" applyNumberFormat="1" applyFont="1" applyFill="1" applyBorder="1" applyAlignment="1" applyProtection="1">
      <alignment horizontal="center" vertical="center" wrapText="1"/>
    </xf>
    <xf numFmtId="0" fontId="20" fillId="0" borderId="7"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2" xfId="0" applyFont="1" applyBorder="1" applyAlignment="1">
      <alignment horizontal="center" vertical="center" wrapText="1"/>
    </xf>
    <xf numFmtId="0" fontId="21" fillId="0" borderId="2" xfId="4112" applyNumberFormat="1" applyFont="1" applyFill="1" applyBorder="1" applyAlignment="1" applyProtection="1">
      <alignment horizontal="center" vertical="center" wrapText="1"/>
    </xf>
    <xf numFmtId="0" fontId="14" fillId="0" borderId="2" xfId="3762" applyFont="1" applyBorder="1" applyAlignment="1">
      <alignment horizontal="center" vertical="center"/>
    </xf>
    <xf numFmtId="0" fontId="7" fillId="0" borderId="2" xfId="0" applyFont="1" applyBorder="1" applyAlignment="1">
      <alignment horizontal="center" vertical="center" wrapText="1"/>
    </xf>
    <xf numFmtId="49" fontId="32" fillId="4" borderId="2" xfId="0" applyNumberFormat="1" applyFont="1" applyFill="1" applyBorder="1" applyAlignment="1">
      <alignment horizontal="left" vertical="center" wrapText="1"/>
    </xf>
    <xf numFmtId="194" fontId="30" fillId="2" borderId="2" xfId="0" applyNumberFormat="1" applyFont="1" applyFill="1" applyBorder="1" applyAlignment="1">
      <alignment horizontal="right" vertical="center" wrapText="1"/>
    </xf>
    <xf numFmtId="4" fontId="14" fillId="2" borderId="2" xfId="3762" applyNumberFormat="1" applyFont="1" applyFill="1" applyBorder="1" applyAlignment="1">
      <alignment horizontal="center" vertical="center" wrapText="1"/>
    </xf>
    <xf numFmtId="0" fontId="22" fillId="0" borderId="2" xfId="0" applyFont="1" applyBorder="1" applyAlignment="1">
      <alignment horizontal="center" vertical="center"/>
    </xf>
    <xf numFmtId="194" fontId="22" fillId="0" borderId="2" xfId="0" applyNumberFormat="1" applyFont="1" applyBorder="1" applyAlignment="1">
      <alignment horizontal="center" vertical="center"/>
    </xf>
    <xf numFmtId="0" fontId="18" fillId="0" borderId="0" xfId="0" applyFont="1" applyAlignment="1">
      <alignment horizontal="left" vertical="center"/>
    </xf>
    <xf numFmtId="0" fontId="0" fillId="0" borderId="0" xfId="3767" applyFont="1"/>
    <xf numFmtId="0" fontId="0" fillId="0" borderId="0" xfId="3767" applyFont="1" applyAlignment="1">
      <alignment horizontal="right" vertical="center"/>
    </xf>
    <xf numFmtId="0" fontId="21" fillId="0" borderId="2" xfId="3767" applyFont="1" applyBorder="1" applyAlignment="1">
      <alignment horizontal="centerContinuous" vertical="center"/>
    </xf>
    <xf numFmtId="0" fontId="21" fillId="0" borderId="2" xfId="3767" applyFont="1" applyBorder="1" applyAlignment="1">
      <alignment horizontal="center" vertical="center"/>
    </xf>
    <xf numFmtId="0" fontId="14" fillId="0" borderId="2" xfId="3767" applyFont="1" applyBorder="1" applyAlignment="1">
      <alignment vertical="center"/>
    </xf>
    <xf numFmtId="0" fontId="14" fillId="0" borderId="2" xfId="189" applyFont="1" applyBorder="1" applyAlignment="1">
      <alignment vertical="center"/>
    </xf>
    <xf numFmtId="0" fontId="14" fillId="0" borderId="2" xfId="3767" applyFont="1" applyBorder="1" applyAlignment="1">
      <alignment horizontal="center" vertical="center"/>
    </xf>
    <xf numFmtId="4" fontId="14" fillId="0" borderId="2" xfId="3767" applyNumberFormat="1" applyFont="1" applyFill="1" applyBorder="1" applyAlignment="1">
      <alignment horizontal="right" vertical="center" wrapText="1"/>
    </xf>
    <xf numFmtId="0" fontId="21" fillId="0" borderId="2" xfId="2484" applyFont="1" applyBorder="1" applyAlignment="1" quotePrefix="1">
      <alignment horizontal="center" vertical="center"/>
    </xf>
  </cellXfs>
  <cellStyles count="4999">
    <cellStyle name="常规" xfId="0" builtinId="0"/>
    <cellStyle name="货币[0]" xfId="1" builtinId="7"/>
    <cellStyle name="20% - 强调文字颜色 3" xfId="2" builtinId="38"/>
    <cellStyle name="20% - 强调文字颜色 6 3 2 2_2015财政决算公开" xfId="3"/>
    <cellStyle name="强调文字颜色 5 4 2 2 2" xfId="4"/>
    <cellStyle name="?鹎%U龡&amp;H齲_x0001_C铣_x0014__x0007__x0001__x0001_ 2 2 3 4_2015财政决算公开" xfId="5"/>
    <cellStyle name="强调文字颜色 2 3 2" xfId="6"/>
    <cellStyle name="常规 2 2 2 5 3 2" xfId="7"/>
    <cellStyle name="输入" xfId="8" builtinId="20"/>
    <cellStyle name="?鹎%U龡&amp;H齲_x0001_C铣_x0014__x0007__x0001__x0001_ 2 2 2 2 3_2015财政决算公开" xfId="9"/>
    <cellStyle name="常规 39" xfId="10"/>
    <cellStyle name="常规 44" xfId="11"/>
    <cellStyle name="货币" xfId="12" builtinId="4"/>
    <cellStyle name="常规 15 4 2" xfId="13"/>
    <cellStyle name="常规 3 4 3" xfId="14"/>
    <cellStyle name="千位分隔[0]" xfId="15" builtinId="6"/>
    <cellStyle name="40% - 强调文字颜色 2 2 3 2 2" xfId="16"/>
    <cellStyle name="60% - 强调文字颜色 1 3 5" xfId="17"/>
    <cellStyle name="?鹎%U龡&amp;H齲_x0001_C铣_x0014__x0007__x0001__x0001_ 2 2 3 2 2" xfId="18"/>
    <cellStyle name="常规 31 2" xfId="19"/>
    <cellStyle name="常规 26 2" xfId="20"/>
    <cellStyle name="40% - 强调文字颜色 3" xfId="21" builtinId="39"/>
    <cellStyle name="40% - 强调文字颜色 3 3 3 2" xfId="22"/>
    <cellStyle name="?鹎%U龡&amp;H齲_x0001_C铣_x0014__x0007__x0001__x0001_ 3" xfId="23"/>
    <cellStyle name="?鹎%U龡&amp;H齲_x0001_C铣_x0014__x0007__x0001__x0001_ 3 3 3 2" xfId="24"/>
    <cellStyle name="标题 5 6" xfId="25"/>
    <cellStyle name="?鹎%U龡&amp;H齲_x0001_C铣_x0014__x0007__x0001__x0001_ 4 3 4" xfId="26"/>
    <cellStyle name="?鹎%U龡&amp;H齲_x0001_C铣_x0014__x0007__x0001__x0001_ 2 5 2 2" xfId="27"/>
    <cellStyle name="差" xfId="28" builtinId="27"/>
    <cellStyle name="20% - 强调文字颜色 2 2 3_2015财政决算公开" xfId="29"/>
    <cellStyle name="40% - 强调文字颜色 2 5 2 2" xfId="30"/>
    <cellStyle name="?鹎%U龡&amp;H齲_x0001_C铣_x0014__x0007__x0001__x0001_ 3 2 2 6_2015财政决算公开" xfId="31"/>
    <cellStyle name="常规 7 3" xfId="32"/>
    <cellStyle name="20% - 强调文字颜色 3 6 2 2" xfId="33"/>
    <cellStyle name="千位分隔" xfId="34" builtinId="3"/>
    <cellStyle name="常规 12 2 3" xfId="35"/>
    <cellStyle name="?鹎%U龡&amp;H齲_x0001_C铣_x0014__x0007__x0001__x0001_ 2 3 5 3" xfId="36"/>
    <cellStyle name="60% - 强调文字颜色 3" xfId="37" builtinId="40"/>
    <cellStyle name="?鹎%U龡&amp;H齲_x0001_C铣_x0014__x0007__x0001__x0001_ 2 2 3 4 2" xfId="38"/>
    <cellStyle name="20% - 强调文字颜色 6 3 2 2 2" xfId="39"/>
    <cellStyle name="千位分隔 4 6" xfId="40"/>
    <cellStyle name="超链接" xfId="41" builtinId="8"/>
    <cellStyle name="40% - 强调文字颜色 1 6_2015财政决算公开" xfId="42"/>
    <cellStyle name="?鹎%U龡&amp;H齲_x0001_C铣_x0014__x0007__x0001__x0001_ 2 2 2 5 2" xfId="43"/>
    <cellStyle name="百分比" xfId="44" builtinId="5"/>
    <cellStyle name="?鹎%U龡&amp;H齲_x0001_C铣_x0014__x0007__x0001__x0001_ 2 3 3 4" xfId="45"/>
    <cellStyle name="强调文字颜色 3 2 3 2" xfId="46"/>
    <cellStyle name="适中 2 4 2" xfId="47"/>
    <cellStyle name="已访问的超链接" xfId="48" builtinId="9"/>
    <cellStyle name="20% - 强调文字颜色 6 4 2 2" xfId="49"/>
    <cellStyle name="?鹎%U龡&amp;H齲_x0001_C铣_x0014__x0007__x0001__x0001_ 2 4 2 5 2" xfId="50"/>
    <cellStyle name="强调文字颜色 3 3 2 3 2" xfId="51"/>
    <cellStyle name="注释" xfId="52" builtinId="10"/>
    <cellStyle name="60% - 强调文字颜色 2 3" xfId="53"/>
    <cellStyle name="好 4 2 2 2" xfId="54"/>
    <cellStyle name="常规 12 2 2" xfId="55"/>
    <cellStyle name="?鹎%U龡&amp;H齲_x0001_C铣_x0014__x0007__x0001__x0001_ 2 3 5 2" xfId="56"/>
    <cellStyle name="60% - 强调文字颜色 2" xfId="57" builtinId="36"/>
    <cellStyle name="?鹎%U龡&amp;H齲_x0001_C铣_x0014__x0007__x0001__x0001_ 3 2 5_2015财政决算公开" xfId="58"/>
    <cellStyle name="?鹎%U龡&amp;H齲_x0001_C铣_x0014__x0007__x0001__x0001_ 3 2 2 3_2015财政决算公开" xfId="59"/>
    <cellStyle name="?鹎%U龡&amp;H齲_x0001_C铣_x0014__x0007__x0001__x0001_ 2 3 2 3 2" xfId="60"/>
    <cellStyle name="标题 4" xfId="61" builtinId="19"/>
    <cellStyle name="货币[0] 3" xfId="62"/>
    <cellStyle name="常规 6 5" xfId="63"/>
    <cellStyle name="常规 4 4 3" xfId="64"/>
    <cellStyle name="常规 4 2 2 3" xfId="65"/>
    <cellStyle name="警告文本" xfId="66" builtinId="11"/>
    <cellStyle name="60% - 强调文字颜色 2 3 5" xfId="67"/>
    <cellStyle name="?鹎%U龡&amp;H齲_x0001_C铣_x0014__x0007__x0001__x0001_ 2 2 4 2 2" xfId="68"/>
    <cellStyle name="?鹎%U龡&amp;H齲_x0001_C铣_x0014__x0007__x0001__x0001_ 3 10" xfId="69"/>
    <cellStyle name="?鹎%U龡&amp;H齲_x0001_C铣_x0014__x0007__x0001__x0001_ 3 4 4 5" xfId="70"/>
    <cellStyle name="?鹎%U龡&amp;H齲_x0001_C铣_x0014__x0007__x0001__x0001_ 3 2 2 2 2 5" xfId="71"/>
    <cellStyle name="标题" xfId="72" builtinId="15"/>
    <cellStyle name="常规 13 2 3 2" xfId="73"/>
    <cellStyle name="注释 3 3 3" xfId="74"/>
    <cellStyle name="?鹎%U龡&amp;H齲_x0001_C铣_x0014__x0007__x0001__x0001_ 2 4 5 3 2" xfId="75"/>
    <cellStyle name="?鹎%U龡&amp;H齲_x0001_C铣_x0014__x0007__x0001__x0001_ 2 3 6 5" xfId="76"/>
    <cellStyle name="解释性文本" xfId="77" builtinId="53"/>
    <cellStyle name="标题 1 5 2" xfId="78"/>
    <cellStyle name="标题 1" xfId="79" builtinId="16"/>
    <cellStyle name="标题 2" xfId="80" builtinId="17"/>
    <cellStyle name="60% - 强调文字颜色 1" xfId="81" builtinId="32"/>
    <cellStyle name="?鹎%U龡&amp;H齲_x0001_C铣_x0014__x0007__x0001__x0001_ 5_2015财政决算公开" xfId="82"/>
    <cellStyle name="标题 3" xfId="83" builtinId="18"/>
    <cellStyle name="货币[0] 2" xfId="84"/>
    <cellStyle name="常规 12 2 4" xfId="85"/>
    <cellStyle name="?鹎%U龡&amp;H齲_x0001_C铣_x0014__x0007__x0001__x0001_ 2 3 5 4" xfId="86"/>
    <cellStyle name="强调文字颜色 3 2 5 2" xfId="87"/>
    <cellStyle name="千位分隔 3 2 2 2 2" xfId="88"/>
    <cellStyle name="60% - 强调文字颜色 4" xfId="89" builtinId="44"/>
    <cellStyle name="?鹎%U龡&amp;H齲_x0001_C铣_x0014__x0007__x0001__x0001_ 2 2 2 2 3 3" xfId="90"/>
    <cellStyle name="强调文字颜色 2 2 3 3 2" xfId="91"/>
    <cellStyle name="20% - 强调文字颜色 2 4 2" xfId="92"/>
    <cellStyle name="输出" xfId="93" builtinId="21"/>
    <cellStyle name="?鹎%U龡&amp;H齲_x0001_C铣_x0014__x0007__x0001__x0001_ 3 2 4 5" xfId="94"/>
    <cellStyle name="40% - 强调文字颜色 6 3 3_2015财政决算公开" xfId="95"/>
    <cellStyle name="?鹎%U龡&amp;H齲_x0001_C铣_x0014__x0007__x0001__x0001_ 3 4 7" xfId="96"/>
    <cellStyle name="?鹎%U龡&amp;H齲_x0001_C铣_x0014__x0007__x0001__x0001_ 3 2 2 2 5" xfId="97"/>
    <cellStyle name="常规 5 6 3 2" xfId="98"/>
    <cellStyle name="计算" xfId="99" builtinId="22"/>
    <cellStyle name="计算 2 3 3" xfId="100"/>
    <cellStyle name="?鹎%U龡&amp;H齲_x0001_C铣_x0014__x0007__x0001__x0001_ 2 4 8" xfId="101"/>
    <cellStyle name="检查单元格" xfId="102" builtinId="23"/>
    <cellStyle name="常规 13 5" xfId="103"/>
    <cellStyle name="标题 5 3 4" xfId="104"/>
    <cellStyle name="20% - 强调文字颜色 6" xfId="105" builtinId="50"/>
    <cellStyle name="常规 2 2 2 5" xfId="106"/>
    <cellStyle name="40% - 强调文字颜色 4 2 3 3" xfId="107"/>
    <cellStyle name="强调文字颜色 2" xfId="108" builtinId="33"/>
    <cellStyle name="20% - 强调文字颜色 6 3 5" xfId="109"/>
    <cellStyle name="链接单元格" xfId="110" builtinId="24"/>
    <cellStyle name="20% - 强调文字颜色 4 5 2 3" xfId="111"/>
    <cellStyle name="20% - 强调文字颜色 1 2 2 2_2015财政决算公开" xfId="112"/>
    <cellStyle name="汇总" xfId="113" builtinId="25"/>
    <cellStyle name="?鹎%U龡&amp;H齲_x0001_C铣_x0014__x0007__x0001__x0001_ 2 5 3" xfId="114"/>
    <cellStyle name="差_F00DC810C49E00C2E0430A3413167AE0" xfId="115"/>
    <cellStyle name="差 2 3 2" xfId="116"/>
    <cellStyle name="好" xfId="117" builtinId="26"/>
    <cellStyle name="?鹎%U龡&amp;H齲_x0001_C铣_x0014__x0007__x0001__x0001_ 2 4 2 2" xfId="118"/>
    <cellStyle name="适中" xfId="119" builtinId="28"/>
    <cellStyle name="标题 5 3 3" xfId="120"/>
    <cellStyle name="20% - 强调文字颜色 5" xfId="121" builtinId="46"/>
    <cellStyle name="常规 2 2 2 4" xfId="122"/>
    <cellStyle name="40% - 强调文字颜色 4 2 3 2" xfId="123"/>
    <cellStyle name="强调文字颜色 1" xfId="124" builtinId="29"/>
    <cellStyle name="常规 2 3 2 2 5" xfId="125"/>
    <cellStyle name="注释 2 3 3" xfId="126"/>
    <cellStyle name="?鹎%U龡&amp;H齲_x0001_C铣_x0014__x0007__x0001__x0001_ 2 4 4 3 2" xfId="127"/>
    <cellStyle name="百分比 3 5 2" xfId="128"/>
    <cellStyle name="20% - 强调文字颜色 1" xfId="129" builtinId="30"/>
    <cellStyle name="?鹎%U龡&amp;H齲_x0001_C铣_x0014__x0007__x0001__x0001_ 2 4 9 2" xfId="130"/>
    <cellStyle name="40% - 强调文字颜色 1" xfId="131" builtinId="31"/>
    <cellStyle name="?鹎%U龡&amp;H齲_x0001_C铣_x0014__x0007__x0001__x0001_ 3 4 7 2" xfId="132"/>
    <cellStyle name="?鹎%U龡&amp;H齲_x0001_C铣_x0014__x0007__x0001__x0001_ 3 2 2 2 5 2" xfId="133"/>
    <cellStyle name="?鹎%U龡&amp;H齲_x0001_C铣_x0014__x0007__x0001__x0001_ 2 2 2 2 3 3 2" xfId="134"/>
    <cellStyle name="20% - 强调文字颜色 2" xfId="135" builtinId="34"/>
    <cellStyle name="40% - 强调文字颜色 2" xfId="136" builtinId="35"/>
    <cellStyle name="输入 2 2 2 3" xfId="137"/>
    <cellStyle name="?鹎%U龡&amp;H齲_x0001_C铣_x0014__x0007__x0001__x0001_ 2" xfId="138"/>
    <cellStyle name="标题 5 5" xfId="139"/>
    <cellStyle name="?鹎%U龡&amp;H齲_x0001_C铣_x0014__x0007__x0001__x0001_ 4 3 3" xfId="140"/>
    <cellStyle name="?鹎%U龡&amp;H齲_x0001_C铣_x0014__x0007__x0001__x0001_ 2 3 2_2015财政决算公开" xfId="141"/>
    <cellStyle name="?鹎%U龡&amp;H齲_x0001_C铣_x0014__x0007__x0001__x0001_ 2 2 3 2 2 2" xfId="142"/>
    <cellStyle name="千位分隔 2 2 4 2" xfId="143"/>
    <cellStyle name="常规 2 2 2 6" xfId="144"/>
    <cellStyle name="40% - 强调文字颜色 4 2 3 4" xfId="145"/>
    <cellStyle name="强调文字颜色 3" xfId="146" builtinId="37"/>
    <cellStyle name="千位分隔 2 2 4 3" xfId="147"/>
    <cellStyle name="常规 2 2 2 7" xfId="148"/>
    <cellStyle name="40% - 强调文字颜色 4 2 3 5" xfId="149"/>
    <cellStyle name="20% - 强调文字颜色 5 5 2 2 2" xfId="150"/>
    <cellStyle name="强调文字颜色 4" xfId="151" builtinId="41"/>
    <cellStyle name="标题 5 3 2" xfId="152"/>
    <cellStyle name="20% - 强调文字颜色 4" xfId="153" builtinId="42"/>
    <cellStyle name="40% - 强调文字颜色 3 3 3 3" xfId="154"/>
    <cellStyle name="40% - 强调文字颜色 4" xfId="155" builtinId="43"/>
    <cellStyle name="常规 26 3" xfId="156"/>
    <cellStyle name="60% - 强调文字颜色 3 3 2 2 3" xfId="157"/>
    <cellStyle name="?鹎%U龡&amp;H齲_x0001_C铣_x0014__x0007__x0001__x0001_ 3 4 4 2 2" xfId="158"/>
    <cellStyle name="?鹎%U龡&amp;H齲_x0001_C铣_x0014__x0007__x0001__x0001_ 3 2 2 2 2 2 2" xfId="159"/>
    <cellStyle name="千位分隔 2 2 4 4" xfId="160"/>
    <cellStyle name="常规 2 2 2 8" xfId="161"/>
    <cellStyle name="百分比 3 2 3 2" xfId="162"/>
    <cellStyle name="强调文字颜色 5" xfId="163" builtinId="45"/>
    <cellStyle name="60% - 强调文字颜色 6 5 2" xfId="164"/>
    <cellStyle name="?鹎%U龡&amp;H齲_x0001_C铣_x0014__x0007__x0001__x0001_ 2 2 3 6 2" xfId="165"/>
    <cellStyle name="?鹎%U龡&amp;H齲_x0001_C铣_x0014__x0007__x0001__x0001_ 2 2 2 3 2 2" xfId="166"/>
    <cellStyle name="计算 4" xfId="167"/>
    <cellStyle name="20% - 着色 2" xfId="168"/>
    <cellStyle name="40% - 强调文字颜色 5" xfId="169" builtinId="47"/>
    <cellStyle name="40% - 强调文字颜色 6 6 3" xfId="170"/>
    <cellStyle name="常规 13 2 2 2" xfId="171"/>
    <cellStyle name="注释 3 2 3" xfId="172"/>
    <cellStyle name="60% - 强调文字颜色 4 2 4 3" xfId="173"/>
    <cellStyle name="?鹎%U龡&amp;H齲_x0001_C铣_x0014__x0007__x0001__x0001_ 2 4 5 2 2" xfId="174"/>
    <cellStyle name="适中 3 2 2 2 2" xfId="175"/>
    <cellStyle name="60% - 着色 6 2" xfId="176"/>
    <cellStyle name="60% - 强调文字颜色 5" xfId="177" builtinId="48"/>
    <cellStyle name="20% - 强调文字颜色 1 2_2015财政决算公开" xfId="178"/>
    <cellStyle name="千位分隔 2 2 4 5" xfId="179"/>
    <cellStyle name="常规 2 2 2 9" xfId="180"/>
    <cellStyle name="强调文字颜色 6" xfId="181" builtinId="49"/>
    <cellStyle name="60% - 强调文字颜色 6 5 3" xfId="182"/>
    <cellStyle name="20% - 强调文字颜色 2 2 4_2015财政决算公开" xfId="183"/>
    <cellStyle name="常规 3 2 6 2" xfId="184"/>
    <cellStyle name="强调文字颜色 2 2 4 2 2" xfId="185"/>
    <cellStyle name="20% - 强调文字颜色 3 3 2" xfId="186"/>
    <cellStyle name="40% - 强调文字颜色 6" xfId="187" builtinId="51"/>
    <cellStyle name="?鹎%U龡&amp;H齲_x0001_C铣_x0014__x0007__x0001__x0001_ 3 2 5 4 2" xfId="188"/>
    <cellStyle name="常规 48 3" xfId="189"/>
    <cellStyle name="?鹎%U龡&amp;H齲_x0001_C铣_x0014__x0007__x0001__x0001_ 3 2 2 3 4 2" xfId="190"/>
    <cellStyle name="60% - 强调文字颜色 6" xfId="191" builtinId="52"/>
    <cellStyle name="常规 7 2 2 2 2" xfId="192"/>
    <cellStyle name="?鹎%U龡&amp;H齲_x0001_C铣_x0014__x0007__x0001__x0001_ 2 2 2 2 4 2 2" xfId="193"/>
    <cellStyle name="?鹎%U龡&amp;H齲_x0001_C铣_x0014__x0007__x0001__x0001_ 3 2 3 5" xfId="194"/>
    <cellStyle name="货币 2 4 4 2" xfId="195"/>
    <cellStyle name="?鹎%U龡&amp;H齲_x0001_C铣_x0014__x0007__x0001__x0001_ 3 3 7" xfId="196"/>
    <cellStyle name="20% - 强调文字颜色 4 3 2_2015财政决算公开" xfId="197"/>
    <cellStyle name="?鹎%U龡&amp;H齲_x0001_C铣_x0014__x0007__x0001__x0001_ 2 2 2 2 2 3" xfId="198"/>
    <cellStyle name="?鹎%U龡&amp;H齲_x0001_C铣_x0014__x0007__x0001__x0001_ 3 2 3 5 2" xfId="199"/>
    <cellStyle name="?鹎%U龡&amp;H齲_x0001_C铣_x0014__x0007__x0001__x0001_ 2 2 2 3_2015财政决算公开" xfId="200"/>
    <cellStyle name="?鹎%U龡&amp;H齲_x0001_C铣_x0014__x0007__x0001__x0001_ 3 3 7 2" xfId="201"/>
    <cellStyle name="?鹎%U龡&amp;H齲_x0001_C铣_x0014__x0007__x0001__x0001_ 2 2 2 2 2 3 2" xfId="202"/>
    <cellStyle name="链接单元格 3 2 3" xfId="203"/>
    <cellStyle name="?鹎%U龡&amp;H齲_x0001_C铣_x0014__x0007__x0001__x0001_ 2 2 8" xfId="204"/>
    <cellStyle name="货币 2 3 3 3" xfId="205"/>
    <cellStyle name="常规 11 5" xfId="206"/>
    <cellStyle name="标题 5 3 2_2015财政决算公开" xfId="207"/>
    <cellStyle name="?鹎%U龡&amp;H齲_x0001_C铣_x0014__x0007__x0001__x0001_ 2 2" xfId="208"/>
    <cellStyle name="标题 5 5 2" xfId="209"/>
    <cellStyle name="?鹎%U龡&amp;H齲_x0001_C铣_x0014__x0007__x0001__x0001_ 4 3 3 2" xfId="210"/>
    <cellStyle name="?鹎%U龡&amp;H齲_x0001_C铣_x0014__x0007__x0001__x0001_ 3 2 7 2 2" xfId="211"/>
    <cellStyle name="常规 2 2 2 2 4 3" xfId="212"/>
    <cellStyle name="20% - 强调文字颜色 2 6 2" xfId="213"/>
    <cellStyle name="?鹎%U龡&amp;H齲_x0001_C铣_x0014__x0007__x0001__x0001_ 3 2 2 5 2 2" xfId="214"/>
    <cellStyle name="20% - 强调文字颜色 2 2 2 2 2" xfId="215"/>
    <cellStyle name="20% - 强调文字颜色 1 9" xfId="216"/>
    <cellStyle name="?鹎%U龡&amp;H齲_x0001_C铣_x0014__x0007__x0001__x0001_ 3 2 2 4 5" xfId="217"/>
    <cellStyle name="?鹎%U龡&amp;H齲_x0001_C铣_x0014__x0007__x0001__x0001_ 2 4 2 3 3 2" xfId="218"/>
    <cellStyle name="常规 2 4 2 2 5" xfId="219"/>
    <cellStyle name="?鹎%U龡&amp;H齲_x0001_C铣_x0014__x0007__x0001__x0001_ 2 2 11 2" xfId="220"/>
    <cellStyle name="?鹎%U龡&amp;H齲_x0001_C铣_x0014__x0007__x0001__x0001_ 2 3 2 4 3" xfId="221"/>
    <cellStyle name="强调文字颜色 3 2 2 2 3" xfId="222"/>
    <cellStyle name="20% - 强调文字颜色 1 2 3 2" xfId="223"/>
    <cellStyle name="?鹎%U龡&amp;H齲_x0001_C铣_x0014__x0007__x0001__x0001_ 2 2 8 2" xfId="224"/>
    <cellStyle name="解释性文本 3 3" xfId="225"/>
    <cellStyle name="货币 2 3 3 3 2" xfId="226"/>
    <cellStyle name="?鹎%U龡&amp;H齲_x0001_C铣_x0014__x0007__x0001__x0001_ 2 2 2" xfId="227"/>
    <cellStyle name="?鹎%U龡&amp;H齲_x0001_C铣_x0014__x0007__x0001__x0001_ 2 3 2 4 3 2" xfId="228"/>
    <cellStyle name="常规 8 4 3" xfId="229"/>
    <cellStyle name="?鹎%U龡&amp;H齲_x0001_C铣_x0014__x0007__x0001__x0001_ 2 2 3 4 5" xfId="230"/>
    <cellStyle name="20% - 强调文字颜色 1 2 3 2 2" xfId="231"/>
    <cellStyle name="?鹎%U龡&amp;H齲_x0001_C铣_x0014__x0007__x0001__x0001_ 2 2 2 2" xfId="232"/>
    <cellStyle name="?鹎%U龡&amp;H齲_x0001_C铣_x0014__x0007__x0001__x0001_" xfId="233"/>
    <cellStyle name="千位分隔 4 5 4" xfId="234"/>
    <cellStyle name="?鹎%U龡&amp;H齲_x0001_C铣_x0014__x0007__x0001__x0001_ 2 4 2 3 2" xfId="235"/>
    <cellStyle name="?鹎%U龡&amp;H齲_x0001_C铣_x0014__x0007__x0001__x0001_ 2 2 10" xfId="236"/>
    <cellStyle name="?鹎%U龡&amp;H齲_x0001_C铣_x0014__x0007__x0001__x0001_ 2 3 2 4 4" xfId="237"/>
    <cellStyle name="常规 5 5 2 2" xfId="238"/>
    <cellStyle name="?鹎%U龡&amp;H齲_x0001_C铣_x0014__x0007__x0001__x0001_ 3 3 3_2015财政决算公开" xfId="239"/>
    <cellStyle name="20% - 强调文字颜色 1 2 3 3" xfId="240"/>
    <cellStyle name="?鹎%U龡&amp;H齲_x0001_C铣_x0014__x0007__x0001__x0001_ 2 2 3" xfId="241"/>
    <cellStyle name="40% - 强调文字颜色 6 3 2 4" xfId="242"/>
    <cellStyle name="千位分隔 4 3 3 2" xfId="243"/>
    <cellStyle name="?鹎%U龡&amp;H齲_x0001_C铣_x0014__x0007__x0001__x0001_ 2 2 2 10" xfId="244"/>
    <cellStyle name="?鹎%U龡&amp;H齲_x0001_C铣_x0014__x0007__x0001__x0001_ 2 4 2 3 2 2" xfId="245"/>
    <cellStyle name="?鹎%U龡&amp;H齲_x0001_C铣_x0014__x0007__x0001__x0001_ 3 2 5 5" xfId="246"/>
    <cellStyle name="?鹎%U龡&amp;H齲_x0001_C铣_x0014__x0007__x0001__x0001_ 3 2 2 3 5" xfId="247"/>
    <cellStyle name="常规 7 2 2 3" xfId="248"/>
    <cellStyle name="40% - 强调文字颜色 2 5 2_2015财政决算公开" xfId="249"/>
    <cellStyle name="?鹎%U龡&amp;H齲_x0001_C铣_x0014__x0007__x0001__x0001_ 2 2 2 2 4 3" xfId="250"/>
    <cellStyle name="?鹎%U龡&amp;H齲_x0001_C铣_x0014__x0007__x0001__x0001_ 2 2 10 2" xfId="251"/>
    <cellStyle name="?鹎%U龡&amp;H齲_x0001_C铣_x0014__x0007__x0001__x0001_ 3 2 7 2" xfId="252"/>
    <cellStyle name="常规 2 2 2 2 3_2015财政决算公开" xfId="253"/>
    <cellStyle name="?鹎%U龡&amp;H齲_x0001_C铣_x0014__x0007__x0001__x0001_ 3 2 2 5 2" xfId="254"/>
    <cellStyle name="强调文字颜色 2 2 3 5" xfId="255"/>
    <cellStyle name="20% - 强调文字颜色 2 6" xfId="256"/>
    <cellStyle name="?鹎%U龡&amp;H齲_x0001_C铣_x0014__x0007__x0001__x0001_ 2 4 2 3 3" xfId="257"/>
    <cellStyle name="20% - 强调文字颜色 2 2 2 2" xfId="258"/>
    <cellStyle name="常规 2 4 2 3 2" xfId="259"/>
    <cellStyle name="?鹎%U龡&amp;H齲_x0001_C铣_x0014__x0007__x0001__x0001_ 2 2 2 2 4_2015财政决算公开" xfId="260"/>
    <cellStyle name="?鹎%U龡&amp;H齲_x0001_C铣_x0014__x0007__x0001__x0001_ 2 2 11" xfId="261"/>
    <cellStyle name="?鹎%U龡&amp;H齲_x0001_C铣_x0014__x0007__x0001__x0001_ 3 2 7 3" xfId="262"/>
    <cellStyle name="20% - 强调文字颜色 6 2 3_2015财政决算公开" xfId="263"/>
    <cellStyle name="货币 2 2 2 4 2 2" xfId="264"/>
    <cellStyle name="检查单元格 2 3 2 2" xfId="265"/>
    <cellStyle name="60% - 强调文字颜色 4 4 3 2" xfId="266"/>
    <cellStyle name="20% - 强调文字颜色 2 7" xfId="267"/>
    <cellStyle name="?鹎%U龡&amp;H齲_x0001_C铣_x0014__x0007__x0001__x0001_ 3 2 2 5 3" xfId="268"/>
    <cellStyle name="?鹎%U龡&amp;H齲_x0001_C铣_x0014__x0007__x0001__x0001_ 2 4 2 3 4" xfId="269"/>
    <cellStyle name="20% - 强调文字颜色 2 2 2 3" xfId="270"/>
    <cellStyle name="?鹎%U龡&amp;H齲_x0001_C铣_x0014__x0007__x0001__x0001_ 4 5_2015财政决算公开" xfId="271"/>
    <cellStyle name="?鹎%U龡&amp;H齲_x0001_C铣_x0014__x0007__x0001__x0001_ 2 2 12" xfId="272"/>
    <cellStyle name="?鹎%U龡&amp;H齲_x0001_C铣_x0014__x0007__x0001__x0001_ 2 2 2 2 2" xfId="273"/>
    <cellStyle name="?鹎%U龡&amp;H齲_x0001_C铣_x0014__x0007__x0001__x0001_ 3 2 3 4" xfId="274"/>
    <cellStyle name="好 5 2 3" xfId="275"/>
    <cellStyle name="?鹎%U龡&amp;H齲_x0001_C铣_x0014__x0007__x0001__x0001_ 3 3 6" xfId="276"/>
    <cellStyle name="?鹎%U龡&amp;H齲_x0001_C铣_x0014__x0007__x0001__x0001_ 2 2 2 2 2 2" xfId="277"/>
    <cellStyle name="?鹎%U龡&amp;H齲_x0001_C铣_x0014__x0007__x0001__x0001_ 4 6 4" xfId="278"/>
    <cellStyle name="?鹎%U龡&amp;H齲_x0001_C铣_x0014__x0007__x0001__x0001_ 3 2 3 4 2" xfId="279"/>
    <cellStyle name="输入 5" xfId="280"/>
    <cellStyle name="?鹎%U龡&amp;H齲_x0001_C铣_x0014__x0007__x0001__x0001_ 3 3 6 2" xfId="281"/>
    <cellStyle name="百分比 2 4 3" xfId="282"/>
    <cellStyle name="?鹎%U龡&amp;H齲_x0001_C铣_x0014__x0007__x0001__x0001_ 2 2 2 2 2 2 2" xfId="283"/>
    <cellStyle name="?鹎%U龡&amp;H齲_x0001_C铣_x0014__x0007__x0001__x0001_ 3 2 3 6" xfId="284"/>
    <cellStyle name="?鹎%U龡&amp;H齲_x0001_C铣_x0014__x0007__x0001__x0001_ 3 3 8" xfId="285"/>
    <cellStyle name="?鹎%U龡&amp;H齲_x0001_C铣_x0014__x0007__x0001__x0001_ 4 4 4 2" xfId="286"/>
    <cellStyle name="?鹎%U龡&amp;H齲_x0001_C铣_x0014__x0007__x0001__x0001_ 2 2 2 2 2 4" xfId="287"/>
    <cellStyle name="?鹎%U龡&amp;H齲_x0001_C铣_x0014__x0007__x0001__x0001_ 3 2 3 2 2 2" xfId="288"/>
    <cellStyle name="60% - 强调文字颜色 3 2 2 2 3" xfId="289"/>
    <cellStyle name="?鹎%U龡&amp;H齲_x0001_C铣_x0014__x0007__x0001__x0001_ 3 3 4 2 2" xfId="290"/>
    <cellStyle name="?鹎%U龡&amp;H齲_x0001_C铣_x0014__x0007__x0001__x0001_ 3 3 2 4_2015财政决算公开" xfId="291"/>
    <cellStyle name="常规 4 2 9" xfId="292"/>
    <cellStyle name="?鹎%U龡&amp;H齲_x0001_C铣_x0014__x0007__x0001__x0001_ 3 2 3 6 2" xfId="293"/>
    <cellStyle name="千位分隔 4 2 2 5" xfId="294"/>
    <cellStyle name="?鹎%U龡&amp;H齲_x0001_C铣_x0014__x0007__x0001__x0001_ 3 3 8 2" xfId="295"/>
    <cellStyle name="60% - 强调文字颜色 4 3 2 2 3" xfId="296"/>
    <cellStyle name="?鹎%U龡&amp;H齲_x0001_C铣_x0014__x0007__x0001__x0001_ 2 2 2 2 2 4 2" xfId="297"/>
    <cellStyle name="?鹎%U龡&amp;H齲_x0001_C铣_x0014__x0007__x0001__x0001_ 3 2 3 7" xfId="298"/>
    <cellStyle name="?鹎%U龡&amp;H齲_x0001_C铣_x0014__x0007__x0001__x0001_ 3 3 9" xfId="299"/>
    <cellStyle name="?鹎%U龡&amp;H齲_x0001_C铣_x0014__x0007__x0001__x0001_ 2 2 2 2 2 5" xfId="300"/>
    <cellStyle name="货币 2 7 2" xfId="301"/>
    <cellStyle name="?鹎%U龡&amp;H齲_x0001_C铣_x0014__x0007__x0001__x0001_ 2 2 3 2 3" xfId="302"/>
    <cellStyle name="?鹎%U龡&amp;H齲_x0001_C铣_x0014__x0007__x0001__x0001_ 2 2 2 2 2_2015财政决算公开" xfId="303"/>
    <cellStyle name="?鹎%U龡&amp;H齲_x0001_C铣_x0014__x0007__x0001__x0001_ 3 2_2015财政决算公开" xfId="304"/>
    <cellStyle name="?鹎%U龡&amp;H齲_x0001_C铣_x0014__x0007__x0001__x0001_ 2 2 2 2 3" xfId="305"/>
    <cellStyle name="?鹎%U龡&amp;H齲_x0001_C铣_x0014__x0007__x0001__x0001_ 3 2 4 4" xfId="306"/>
    <cellStyle name="?鹎%U龡&amp;H齲_x0001_C铣_x0014__x0007__x0001__x0001_ 3 4 6" xfId="307"/>
    <cellStyle name="?鹎%U龡&amp;H齲_x0001_C铣_x0014__x0007__x0001__x0001_ 3 2 2 2 4" xfId="308"/>
    <cellStyle name="?鹎%U龡&amp;H齲_x0001_C铣_x0014__x0007__x0001__x0001_ 2 2 2 2 3 2" xfId="309"/>
    <cellStyle name="适中 4 2 3" xfId="310"/>
    <cellStyle name="?鹎%U龡&amp;H齲_x0001_C铣_x0014__x0007__x0001__x0001_ 3 2 4 4 2" xfId="311"/>
    <cellStyle name="常规 6 2 2 4" xfId="312"/>
    <cellStyle name="?鹎%U龡&amp;H齲_x0001_C铣_x0014__x0007__x0001__x0001_ 3 2 2 2 4 2" xfId="313"/>
    <cellStyle name="?鹎%U龡&amp;H齲_x0001_C铣_x0014__x0007__x0001__x0001_ 3 4 6 2" xfId="314"/>
    <cellStyle name="?鹎%U龡&amp;H齲_x0001_C铣_x0014__x0007__x0001__x0001_ 2 2 2 2 3 2 2" xfId="315"/>
    <cellStyle name="好_司法部2010年度中央部门决算（草案）报" xfId="316"/>
    <cellStyle name="?鹎%U龡&amp;H齲_x0001_C铣_x0014__x0007__x0001__x0001_ 2 2 2 2 3 4" xfId="317"/>
    <cellStyle name="?鹎%U龡&amp;H齲_x0001_C铣_x0014__x0007__x0001__x0001_ 3 2 3 2 3 2" xfId="318"/>
    <cellStyle name="?鹎%U龡&amp;H齲_x0001_C铣_x0014__x0007__x0001__x0001_ 3 3 4 3 2" xfId="319"/>
    <cellStyle name="?鹎%U龡&amp;H齲_x0001_C铣_x0014__x0007__x0001__x0001_ 3 4 8" xfId="320"/>
    <cellStyle name="?鹎%U龡&amp;H齲_x0001_C铣_x0014__x0007__x0001__x0001_ 3 2 2 2 6" xfId="321"/>
    <cellStyle name="常规 7 2 2" xfId="322"/>
    <cellStyle name="?鹎%U龡&amp;H齲_x0001_C铣_x0014__x0007__x0001__x0001_ 2 2 2 2 4" xfId="323"/>
    <cellStyle name="?鹎%U龡&amp;H齲_x0001_C铣_x0014__x0007__x0001__x0001_ 3 2 5 4" xfId="324"/>
    <cellStyle name="?鹎%U龡&amp;H齲_x0001_C铣_x0014__x0007__x0001__x0001_ 3 2 2 3 4" xfId="325"/>
    <cellStyle name="常规 7 2 2 2" xfId="326"/>
    <cellStyle name="?鹎%U龡&amp;H齲_x0001_C铣_x0014__x0007__x0001__x0001_ 2 2 2 2 4 2" xfId="327"/>
    <cellStyle name="强调文字颜色 3 4 2 3" xfId="328"/>
    <cellStyle name="20% - 强调文字颜色 1 5_2015财政决算公开" xfId="329"/>
    <cellStyle name="?鹎%U龡&amp;H齲_x0001_C铣_x0014__x0007__x0001__x0001_ 2 2 2 2 4 3 2" xfId="330"/>
    <cellStyle name="常规 7 2 2 4" xfId="331"/>
    <cellStyle name="?鹎%U龡&amp;H齲_x0001_C铣_x0014__x0007__x0001__x0001_ 2 2 2 2 4 4" xfId="332"/>
    <cellStyle name="?鹎%U龡&amp;H齲_x0001_C铣_x0014__x0007__x0001__x0001_ 3 2 3 2 4 2" xfId="333"/>
    <cellStyle name="?鹎%U龡&amp;H齲_x0001_C铣_x0014__x0007__x0001__x0001_ 3 3 4 4 2" xfId="334"/>
    <cellStyle name="强调文字颜色 4 2 4 2 2" xfId="335"/>
    <cellStyle name="?鹎%U龡&amp;H齲_x0001_C铣_x0014__x0007__x0001__x0001_ 2 2 2 2 4 4 2" xfId="336"/>
    <cellStyle name="输入 3 3 2" xfId="337"/>
    <cellStyle name="?鹎%U龡&amp;H齲_x0001_C铣_x0014__x0007__x0001__x0001_ 2 2 2 2 4 5" xfId="338"/>
    <cellStyle name="常规 7 2 3" xfId="339"/>
    <cellStyle name="?鹎%U龡&amp;H齲_x0001_C铣_x0014__x0007__x0001__x0001_ 2 2 2 2 5" xfId="340"/>
    <cellStyle name="?鹎%U龡&amp;H齲_x0001_C铣_x0014__x0007__x0001__x0001_ 3 2 6 4" xfId="341"/>
    <cellStyle name="常规 5 2 3 2 2" xfId="342"/>
    <cellStyle name="?鹎%U龡&amp;H齲_x0001_C铣_x0014__x0007__x0001__x0001_ 3 2 2 4 4" xfId="343"/>
    <cellStyle name="60% - 强调文字颜色 4 4 2 3" xfId="344"/>
    <cellStyle name="20% - 强调文字颜色 1 8" xfId="345"/>
    <cellStyle name="?鹎%U龡&amp;H齲_x0001_C铣_x0014__x0007__x0001__x0001_ 2 4 2 2 5" xfId="346"/>
    <cellStyle name="常规 7 2 3 2" xfId="347"/>
    <cellStyle name="?鹎%U龡&amp;H齲_x0001_C铣_x0014__x0007__x0001__x0001_ 2 2 2 2 5 2" xfId="348"/>
    <cellStyle name="常规 2 2 2 2 5" xfId="349"/>
    <cellStyle name="?鹎%U龡&amp;H齲_x0001_C铣_x0014__x0007__x0001__x0001_ 2 3 4 3 2" xfId="350"/>
    <cellStyle name="常规 7 2 4" xfId="351"/>
    <cellStyle name="?鹎%U龡&amp;H齲_x0001_C铣_x0014__x0007__x0001__x0001_ 2 2 2 2 6" xfId="352"/>
    <cellStyle name="?鹎%U龡&amp;H齲_x0001_C铣_x0014__x0007__x0001__x0001_ 3 2 7 4" xfId="353"/>
    <cellStyle name="检查单元格 2 3 2 3" xfId="354"/>
    <cellStyle name="20% - 强调文字颜色 2 8" xfId="355"/>
    <cellStyle name="样式 1" xfId="356"/>
    <cellStyle name="常规 5 2 3 3 2" xfId="357"/>
    <cellStyle name="?鹎%U龡&amp;H齲_x0001_C铣_x0014__x0007__x0001__x0001_ 3 2 2 5 4" xfId="358"/>
    <cellStyle name="?鹎%U龡&amp;H齲_x0001_C铣_x0014__x0007__x0001__x0001_ 2 2 2 2 6 2" xfId="359"/>
    <cellStyle name="常规 5 2 3 4" xfId="360"/>
    <cellStyle name="常规 13 4 2" xfId="361"/>
    <cellStyle name="?鹎%U龡&amp;H齲_x0001_C铣_x0014__x0007__x0001__x0001_ 2 4 7 2" xfId="362"/>
    <cellStyle name="常规 7 2 5" xfId="363"/>
    <cellStyle name="?鹎%U龡&amp;H齲_x0001_C铣_x0014__x0007__x0001__x0001_ 2 2 2 2 7" xfId="364"/>
    <cellStyle name="20% - 强调文字颜色 3 8" xfId="365"/>
    <cellStyle name="?鹎%U龡&amp;H齲_x0001_C铣_x0014__x0007__x0001__x0001_ 3 2 2 6 4" xfId="366"/>
    <cellStyle name="注释 5 2 3" xfId="367"/>
    <cellStyle name="警告文本 2 3" xfId="368"/>
    <cellStyle name="?鹎%U龡&amp;H齲_x0001_C铣_x0014__x0007__x0001__x0001_ 2 4 2 4 5" xfId="369"/>
    <cellStyle name="20% - 强调文字颜色 1 4 2 2 2" xfId="370"/>
    <cellStyle name="常规 2 2 2 2 6 2" xfId="371"/>
    <cellStyle name="20% - 强调文字颜色 2 2 3 4" xfId="372"/>
    <cellStyle name="常规 12 3_2015财政决算公开" xfId="373"/>
    <cellStyle name="?鹎%U龡&amp;H齲_x0001_C铣_x0014__x0007__x0001__x0001_ 2 2 2 2 7 2" xfId="374"/>
    <cellStyle name="?鹎%U龡&amp;H齲_x0001_C铣_x0014__x0007__x0001__x0001_ 2 3 6_2015财政决算公开" xfId="375"/>
    <cellStyle name="?鹎%U龡&amp;H齲_x0001_C铣_x0014__x0007__x0001__x0001_ 2 2 2 2 8" xfId="376"/>
    <cellStyle name="千位分隔 4 5 2 2" xfId="377"/>
    <cellStyle name="好 4 4" xfId="378"/>
    <cellStyle name="常规 14" xfId="379"/>
    <cellStyle name="?鹎%U龡&amp;H齲_x0001_C铣_x0014__x0007__x0001__x0001_ 2 2 2 6 4 2" xfId="380"/>
    <cellStyle name="20% - 强调文字颜色 3 3 3 3" xfId="381"/>
    <cellStyle name="?鹎%U龡&amp;H齲_x0001_C铣_x0014__x0007__x0001__x0001_ 2 2 2 2_2015财政决算公开" xfId="382"/>
    <cellStyle name="?鹎%U龡&amp;H齲_x0001_C铣_x0014__x0007__x0001__x0001_ 2 2 2 3" xfId="383"/>
    <cellStyle name="?鹎%U龡&amp;H齲_x0001_C铣_x0014__x0007__x0001__x0001_ 2 2 2 3 2" xfId="384"/>
    <cellStyle name="链接单元格 2 2 2 2" xfId="385"/>
    <cellStyle name="货币 2 2 3 2 2" xfId="386"/>
    <cellStyle name="常规 2 5 4" xfId="387"/>
    <cellStyle name="?鹎%U龡&amp;H齲_x0001_C铣_x0014__x0007__x0001__x0001_ 3 2 3 2_2015财政决算公开" xfId="388"/>
    <cellStyle name="60% - 强调文字颜色 5 2 3" xfId="389"/>
    <cellStyle name="?鹎%U龡&amp;H齲_x0001_C铣_x0014__x0007__x0001__x0001_ 3 3 4_2015财政决算公开" xfId="390"/>
    <cellStyle name="?鹎%U龡&amp;H齲_x0001_C铣_x0014__x0007__x0001__x0001_ 2 2 2 3 3" xfId="391"/>
    <cellStyle name="?鹎%U龡&amp;H齲_x0001_C铣_x0014__x0007__x0001__x0001_ 3 2 3 2 4" xfId="392"/>
    <cellStyle name="?鹎%U龡&amp;H齲_x0001_C铣_x0014__x0007__x0001__x0001_ 3 3 4 4" xfId="393"/>
    <cellStyle name="强调文字颜色 4 2 4 2" xfId="394"/>
    <cellStyle name="?鹎%U龡&amp;H齲_x0001_C铣_x0014__x0007__x0001__x0001_ 2 2 2 3 3 2" xfId="395"/>
    <cellStyle name="适中 5 2 3" xfId="396"/>
    <cellStyle name="常规 7 3 2" xfId="397"/>
    <cellStyle name="?鹎%U龡&amp;H齲_x0001_C铣_x0014__x0007__x0001__x0001_ 2 2 2 3 4" xfId="398"/>
    <cellStyle name="?鹎%U龡&amp;H齲_x0001_C铣_x0014__x0007__x0001__x0001_ 2 2 3_2015财政决算公开" xfId="399"/>
    <cellStyle name="?鹎%U龡&amp;H齲_x0001_C铣_x0014__x0007__x0001__x0001_ 3 2 3 3 4" xfId="400"/>
    <cellStyle name="?鹎%U龡&amp;H齲_x0001_C铣_x0014__x0007__x0001__x0001_ 3 3 5 4" xfId="401"/>
    <cellStyle name="强调文字颜色 4 2 5 2" xfId="402"/>
    <cellStyle name="常规 7 3 2 2" xfId="403"/>
    <cellStyle name="?鹎%U龡&amp;H齲_x0001_C铣_x0014__x0007__x0001__x0001_ 2 2 2 3 4 2" xfId="404"/>
    <cellStyle name="标题 4 2" xfId="405"/>
    <cellStyle name="?鹎%U龡&amp;H齲_x0001_C铣_x0014__x0007__x0001__x0001_ 2 3 2 3 2 2" xfId="406"/>
    <cellStyle name="千位分隔 3" xfId="407"/>
    <cellStyle name="常规 7 3 3" xfId="408"/>
    <cellStyle name="?鹎%U龡&amp;H齲_x0001_C铣_x0014__x0007__x0001__x0001_ 2 2 2 3 5" xfId="409"/>
    <cellStyle name="?鹎%U龡&amp;H齲_x0001_C铣_x0014__x0007__x0001__x0001_ 2 3 10" xfId="410"/>
    <cellStyle name="?鹎%U龡&amp;H齲_x0001_C铣_x0014__x0007__x0001__x0001_ 2 2 2 4" xfId="411"/>
    <cellStyle name="?鹎%U龡&amp;H齲_x0001_C铣_x0014__x0007__x0001__x0001_ 2 2 3 3_2015财政决算公开" xfId="412"/>
    <cellStyle name="常规 2 6 3" xfId="413"/>
    <cellStyle name="60% - 强调文字颜色 6 2_2015财政决算公开" xfId="414"/>
    <cellStyle name="?鹎%U龡&amp;H齲_x0001_C铣_x0014__x0007__x0001__x0001_ 2 2 2 4 2" xfId="415"/>
    <cellStyle name="60% - 强调文字颜色 5 3 2 2" xfId="416"/>
    <cellStyle name="?鹎%U龡&amp;H齲_x0001_C铣_x0014__x0007__x0001__x0001_ 2 2 2 8" xfId="417"/>
    <cellStyle name="?鹎%U龡&amp;H齲_x0001_C铣_x0014__x0007__x0001__x0001_ 2 2 2 4 2 2" xfId="418"/>
    <cellStyle name="?鹎%U龡&amp;H齲_x0001_C铣_x0014__x0007__x0001__x0001_ 2 2 2 4 3" xfId="419"/>
    <cellStyle name="40% - 强调文字颜色 5 3 2 3 2" xfId="420"/>
    <cellStyle name="?鹎%U龡&amp;H齲_x0001_C铣_x0014__x0007__x0001__x0001_ 3 4 4 4" xfId="421"/>
    <cellStyle name="强调文字颜色 4 3 4 2" xfId="422"/>
    <cellStyle name="?鹎%U龡&amp;H齲_x0001_C铣_x0014__x0007__x0001__x0001_ 3 2 2 2 2 4" xfId="423"/>
    <cellStyle name="?鹎%U龡&amp;H齲_x0001_C铣_x0014__x0007__x0001__x0001_ 2 2 3 8" xfId="424"/>
    <cellStyle name="检查单元格 3 2 2 2" xfId="425"/>
    <cellStyle name="60% - 强调文字颜色 5 3 3 2" xfId="426"/>
    <cellStyle name="?鹎%U龡&amp;H齲_x0001_C铣_x0014__x0007__x0001__x0001_ 2 2 2 4 3 2" xfId="427"/>
    <cellStyle name="常规 7 4 2" xfId="428"/>
    <cellStyle name="常规 4 2 3 2 2" xfId="429"/>
    <cellStyle name="?鹎%U龡&amp;H齲_x0001_C铣_x0014__x0007__x0001__x0001_ 2 2 2 4 4" xfId="430"/>
    <cellStyle name="?鹎%U龡&amp;H齲_x0001_C铣_x0014__x0007__x0001__x0001_ 3 4 5 4" xfId="431"/>
    <cellStyle name="?鹎%U龡&amp;H齲_x0001_C铣_x0014__x0007__x0001__x0001_ 3 2 2 2 3 4" xfId="432"/>
    <cellStyle name="?鹎%U龡&amp;H齲_x0001_C铣_x0014__x0007__x0001__x0001_ 2 2 2 4 4 2" xfId="433"/>
    <cellStyle name="标题 5 2" xfId="434"/>
    <cellStyle name="?鹎%U龡&amp;H齲_x0001_C铣_x0014__x0007__x0001__x0001_ 2 3 2 3 3 2" xfId="435"/>
    <cellStyle name="20% - 强调文字颜色 5 3 3_2015财政决算公开" xfId="436"/>
    <cellStyle name="常规 7 4 3" xfId="437"/>
    <cellStyle name="?鹎%U龡&amp;H齲_x0001_C铣_x0014__x0007__x0001__x0001_ 2 2 2 4 5" xfId="438"/>
    <cellStyle name="20% - 强调文字颜色 1 2 2 2 2" xfId="439"/>
    <cellStyle name="?鹎%U龡&amp;H齲_x0001_C铣_x0014__x0007__x0001__x0001_ 2 2 7 2 2" xfId="440"/>
    <cellStyle name="解释性文本 2 3 2" xfId="441"/>
    <cellStyle name="检查单元格 3 2 4" xfId="442"/>
    <cellStyle name="60% - 强调文字颜色 5 3 5" xfId="443"/>
    <cellStyle name="?鹎%U龡&amp;H齲_x0001_C铣_x0014__x0007__x0001__x0001_ 2 2 2 4_2015财政决算公开" xfId="444"/>
    <cellStyle name="?鹎%U龡&amp;H齲_x0001_C铣_x0014__x0007__x0001__x0001_ 2 3 3 2 2" xfId="445"/>
    <cellStyle name="40% - 强调文字颜色 1 2 3 3 2" xfId="446"/>
    <cellStyle name="?鹎%U龡&amp;H齲_x0001_C铣_x0014__x0007__x0001__x0001_ 2 2 2 5" xfId="447"/>
    <cellStyle name="60% - 强调文字颜色 5 4 2 2" xfId="448"/>
    <cellStyle name="?鹎%U龡&amp;H齲_x0001_C铣_x0014__x0007__x0001__x0001_ 2 3 2 8" xfId="449"/>
    <cellStyle name="?鹎%U龡&amp;H齲_x0001_C铣_x0014__x0007__x0001__x0001_ 3 3 2 4 3" xfId="450"/>
    <cellStyle name="强调文字颜色 4 2 2 2 3" xfId="451"/>
    <cellStyle name="解释性文本 7" xfId="452"/>
    <cellStyle name="差 4" xfId="453"/>
    <cellStyle name="?鹎%U龡&amp;H齲_x0001_C铣_x0014__x0007__x0001__x0001_ 2 2 2 5 2 2" xfId="454"/>
    <cellStyle name="?鹎%U龡&amp;H齲_x0001_C铣_x0014__x0007__x0001__x0001_ 2 2 2 5 3" xfId="455"/>
    <cellStyle name="?鹎%U龡&amp;H齲_x0001_C铣_x0014__x0007__x0001__x0001_ 2 2 2 5 3 2" xfId="456"/>
    <cellStyle name="20% - 强调文字颜色 3 2 2 3" xfId="457"/>
    <cellStyle name="常规 4 2 3 3 2" xfId="458"/>
    <cellStyle name="?鹎%U龡&amp;H齲_x0001_C铣_x0014__x0007__x0001__x0001_ 2 2 2 5 4" xfId="459"/>
    <cellStyle name="60% - 强调文字颜色 5 2 3 5" xfId="460"/>
    <cellStyle name="?鹎%U龡&amp;H齲_x0001_C铣_x0014__x0007__x0001__x0001_ 2 2 2 5_2015财政决算公开" xfId="461"/>
    <cellStyle name="?鹎%U龡&amp;H齲_x0001_C铣_x0014__x0007__x0001__x0001_ 2 2 2 6" xfId="462"/>
    <cellStyle name="?鹎%U龡&amp;H齲_x0001_C铣_x0014__x0007__x0001__x0001_ 2 2 2 6 2" xfId="463"/>
    <cellStyle name="60% - 强调文字颜色 5 5 2 2" xfId="464"/>
    <cellStyle name="?鹎%U龡&amp;H齲_x0001_C铣_x0014__x0007__x0001__x0001_ 2 4 2 8" xfId="465"/>
    <cellStyle name="强调文字颜色 4 2 3 2 3" xfId="466"/>
    <cellStyle name="?鹎%U龡&amp;H齲_x0001_C铣_x0014__x0007__x0001__x0001_ 5 3" xfId="467"/>
    <cellStyle name="好 2 4" xfId="468"/>
    <cellStyle name="40% - 强调文字颜色 5 3" xfId="469"/>
    <cellStyle name="?鹎%U龡&amp;H齲_x0001_C铣_x0014__x0007__x0001__x0001_ 2 2 2 6 2 2" xfId="470"/>
    <cellStyle name="?鹎%U龡&amp;H齲_x0001_C铣_x0014__x0007__x0001__x0001_ 2 2 2 6 3" xfId="471"/>
    <cellStyle name="好 3 4" xfId="472"/>
    <cellStyle name="40% - 强调文字颜色 6 3" xfId="473"/>
    <cellStyle name="?鹎%U龡&amp;H齲_x0001_C铣_x0014__x0007__x0001__x0001_ 2 2 2 6 3 2" xfId="474"/>
    <cellStyle name="常规 2 3 6 5" xfId="475"/>
    <cellStyle name="20% - 强调文字颜色 3 3 2 3" xfId="476"/>
    <cellStyle name="常规 4 2 3 4 2" xfId="477"/>
    <cellStyle name="?鹎%U龡&amp;H齲_x0001_C铣_x0014__x0007__x0001__x0001_ 2 2 2 6 4" xfId="478"/>
    <cellStyle name="40% - 强调文字颜色 6 2 4 2 2" xfId="479"/>
    <cellStyle name="?鹎%U龡&amp;H齲_x0001_C铣_x0014__x0007__x0001__x0001_ 2 2 7 4 2" xfId="480"/>
    <cellStyle name="?鹎%U龡&amp;H齲_x0001_C铣_x0014__x0007__x0001__x0001_ 2 2 2 6 5" xfId="481"/>
    <cellStyle name="?鹎%U龡&amp;H齲_x0001_C铣_x0014__x0007__x0001__x0001_ 2 2 2 6_2015财政决算公开" xfId="482"/>
    <cellStyle name="?鹎%U龡&amp;H齲_x0001_C铣_x0014__x0007__x0001__x0001_ 3 2 5 2 2" xfId="483"/>
    <cellStyle name="?鹎%U龡&amp;H齲_x0001_C铣_x0014__x0007__x0001__x0001_ 3 2 2 3 2 2" xfId="484"/>
    <cellStyle name="?鹎%U龡&amp;H齲_x0001_C铣_x0014__x0007__x0001__x0001_ 2 2 2 7" xfId="485"/>
    <cellStyle name="?鹎%U龡&amp;H齲_x0001_C铣_x0014__x0007__x0001__x0001_ 2 2 2 7 2" xfId="486"/>
    <cellStyle name="60% - 强调文字颜色 5 3 2 2 2" xfId="487"/>
    <cellStyle name="?鹎%U龡&amp;H齲_x0001_C铣_x0014__x0007__x0001__x0001_ 2 2 2 8 2" xfId="488"/>
    <cellStyle name="常规 3 4" xfId="489"/>
    <cellStyle name="20% - 强调文字颜色 5 3_2015财政决算公开" xfId="490"/>
    <cellStyle name="Percent_laroux" xfId="491"/>
    <cellStyle name="60% - 强调文字颜色 5 3 2 3" xfId="492"/>
    <cellStyle name="?鹎%U龡&amp;H齲_x0001_C铣_x0014__x0007__x0001__x0001_ 2 2 2 9" xfId="493"/>
    <cellStyle name="60% - 强调文字颜色 5 3 2 3 2" xfId="494"/>
    <cellStyle name="?鹎%U龡&amp;H齲_x0001_C铣_x0014__x0007__x0001__x0001_ 2 2 2 9 2" xfId="495"/>
    <cellStyle name="?鹎%U龡&amp;H齲_x0001_C铣_x0014__x0007__x0001__x0001_ 2 2 4" xfId="496"/>
    <cellStyle name="20% - 强调文字颜色 1 2 3 2_2015财政决算公开" xfId="497"/>
    <cellStyle name="20% - 强调文字颜色 1 3 2 2 2" xfId="498"/>
    <cellStyle name="?鹎%U龡&amp;H齲_x0001_C铣_x0014__x0007__x0001__x0001_ 2 3 2 4 5" xfId="499"/>
    <cellStyle name="40% - 强调文字颜色 2 2 2_2015财政决算公开" xfId="500"/>
    <cellStyle name="20% - 强调文字颜色 1 2 3 4" xfId="501"/>
    <cellStyle name="?鹎%U龡&amp;H齲_x0001_C铣_x0014__x0007__x0001__x0001_ 2 2 2_2015财政决算公开" xfId="502"/>
    <cellStyle name="?鹎%U龡&amp;H齲_x0001_C铣_x0014__x0007__x0001__x0001_ 2 3 2 4 4 2" xfId="503"/>
    <cellStyle name="20% - 强调文字颜色 1 2 3 3 2" xfId="504"/>
    <cellStyle name="?鹎%U龡&amp;H齲_x0001_C铣_x0014__x0007__x0001__x0001_ 2 2 3 2" xfId="505"/>
    <cellStyle name="货币 2 7 2 2" xfId="506"/>
    <cellStyle name="?鹎%U龡&amp;H齲_x0001_C铣_x0014__x0007__x0001__x0001_ 2 2 3 2 3 2" xfId="507"/>
    <cellStyle name="?鹎%U龡&amp;H齲_x0001_C铣_x0014__x0007__x0001__x0001_ 2 2 3 2 4" xfId="508"/>
    <cellStyle name="常规 8 2 2" xfId="509"/>
    <cellStyle name="货币 2 7 3" xfId="510"/>
    <cellStyle name="?鹎%U龡&amp;H齲_x0001_C铣_x0014__x0007__x0001__x0001_ 4 3_2015财政决算公开" xfId="511"/>
    <cellStyle name="千位分隔 2 8" xfId="512"/>
    <cellStyle name="?鹎%U龡&amp;H齲_x0001_C铣_x0014__x0007__x0001__x0001_ 2 2 3 2 4 2" xfId="513"/>
    <cellStyle name="常规 8 2 2 2" xfId="514"/>
    <cellStyle name="货币 2 7 3 2" xfId="515"/>
    <cellStyle name="?鹎%U龡&amp;H齲_x0001_C铣_x0014__x0007__x0001__x0001_ 2 2 3 2 5" xfId="516"/>
    <cellStyle name="常规 8 2 3" xfId="517"/>
    <cellStyle name="货币 2 7 4" xfId="518"/>
    <cellStyle name="?鹎%U龡&amp;H齲_x0001_C铣_x0014__x0007__x0001__x0001_ 2 2 3 2_2015财政决算公开" xfId="519"/>
    <cellStyle name="20% - 强调文字颜色 1 2 4 2" xfId="520"/>
    <cellStyle name="解释性文本 4 3" xfId="521"/>
    <cellStyle name="?鹎%U龡&amp;H齲_x0001_C铣_x0014__x0007__x0001__x0001_ 2 2 9 2" xfId="522"/>
    <cellStyle name="?鹎%U龡&amp;H齲_x0001_C铣_x0014__x0007__x0001__x0001_ 2 3 2" xfId="523"/>
    <cellStyle name="?鹎%U龡&amp;H齲_x0001_C铣_x0014__x0007__x0001__x0001_ 2 2 3 3" xfId="524"/>
    <cellStyle name="?鹎%U龡&amp;H齲_x0001_C铣_x0014__x0007__x0001__x0001_ 2 2 3 3 2" xfId="525"/>
    <cellStyle name="千位分隔 3 6 2" xfId="526"/>
    <cellStyle name="20% - 强调文字颜色 1 2 5" xfId="527"/>
    <cellStyle name="?鹎%U龡&amp;H齲_x0001_C铣_x0014__x0007__x0001__x0001_ 2 2 3 3 2 2" xfId="528"/>
    <cellStyle name="?鹎%U龡&amp;H齲_x0001_C铣_x0014__x0007__x0001__x0001_ 2 4" xfId="529"/>
    <cellStyle name="?鹎%U龡&amp;H齲_x0001_C铣_x0014__x0007__x0001__x0001_ 2 2 3 3 3" xfId="530"/>
    <cellStyle name="货币 2 8 2" xfId="531"/>
    <cellStyle name="千位分隔 3 7 2" xfId="532"/>
    <cellStyle name="20% - 强调文字颜色 1 3 5" xfId="533"/>
    <cellStyle name="?鹎%U龡&amp;H齲_x0001_C铣_x0014__x0007__x0001__x0001_ 2 2 3 3 3 2" xfId="534"/>
    <cellStyle name="计算 2 4" xfId="535"/>
    <cellStyle name="60% - 强调文字颜色 1 3 2 2 2 2" xfId="536"/>
    <cellStyle name="?鹎%U龡&amp;H齲_x0001_C铣_x0014__x0007__x0001__x0001_ 2 2 3 3 4" xfId="537"/>
    <cellStyle name="常规 8 3 2" xfId="538"/>
    <cellStyle name="20% - 强调文字颜色 6 2" xfId="539"/>
    <cellStyle name="常规 3 5 5" xfId="540"/>
    <cellStyle name="?鹎%U龡&amp;H齲_x0001_C铣_x0014__x0007__x0001__x0001_ 3 4 5_2015财政决算公开" xfId="541"/>
    <cellStyle name="?鹎%U龡&amp;H齲_x0001_C铣_x0014__x0007__x0001__x0001_ 3 2 2 2 3_2015财政决算公开" xfId="542"/>
    <cellStyle name="60% - 强调文字颜色 6 2 4" xfId="543"/>
    <cellStyle name="60% - 强调文字颜色 2 5 3 2" xfId="544"/>
    <cellStyle name="20% - 强调文字颜色 6 3 2 2" xfId="545"/>
    <cellStyle name="?鹎%U龡&amp;H齲_x0001_C铣_x0014__x0007__x0001__x0001_ 2 2 3 4" xfId="546"/>
    <cellStyle name="千位分隔 4 6 2" xfId="547"/>
    <cellStyle name="20% - 强调文字颜色 2 2 5" xfId="548"/>
    <cellStyle name="20% - 强调文字颜色 6 3 2 2 2 2" xfId="549"/>
    <cellStyle name="?鹎%U龡&amp;H齲_x0001_C铣_x0014__x0007__x0001__x0001_ 2 2 3 4 2 2" xfId="550"/>
    <cellStyle name="百分比 2 2 2 4" xfId="551"/>
    <cellStyle name="?鹎%U龡&amp;H齲_x0001_C铣_x0014__x0007__x0001__x0001_ 3 2 2 8" xfId="552"/>
    <cellStyle name="60% - 强调文字颜色 6 3 2 2" xfId="553"/>
    <cellStyle name="千位分隔 4 7" xfId="554"/>
    <cellStyle name="20% - 强调文字颜色 6 3 2 2 3" xfId="555"/>
    <cellStyle name="?鹎%U龡&amp;H齲_x0001_C铣_x0014__x0007__x0001__x0001_ 2 2 3 4 3" xfId="556"/>
    <cellStyle name="货币 2 9 2" xfId="557"/>
    <cellStyle name="千位分隔 4 7 2" xfId="558"/>
    <cellStyle name="20% - 强调文字颜色 2 3 5" xfId="559"/>
    <cellStyle name="常规 43" xfId="560"/>
    <cellStyle name="常规 38" xfId="561"/>
    <cellStyle name="?鹎%U龡&amp;H齲_x0001_C铣_x0014__x0007__x0001__x0001_ 2 2 3 4 3 2" xfId="562"/>
    <cellStyle name="小数 2 2 2 2" xfId="563"/>
    <cellStyle name="60% - 强调文字颜色 6 3 3 2" xfId="564"/>
    <cellStyle name="检查单元格 4 2 2 2" xfId="565"/>
    <cellStyle name="?鹎%U龡&amp;H齲_x0001_C铣_x0014__x0007__x0001__x0001_ 3 2 3 8" xfId="566"/>
    <cellStyle name="?鹎%U龡&amp;H齲_x0001_C铣_x0014__x0007__x0001__x0001_ 2 2 3 4 4" xfId="567"/>
    <cellStyle name="常规 4 2 4 2 2" xfId="568"/>
    <cellStyle name="常规 8 4 2" xfId="569"/>
    <cellStyle name="?鹎%U龡&amp;H齲_x0001_C铣_x0014__x0007__x0001__x0001_ 2 2 3 4 4 2" xfId="570"/>
    <cellStyle name="?鹎%U龡&amp;H齲_x0001_C铣_x0014__x0007__x0001__x0001_ 3 2 2 2 8" xfId="571"/>
    <cellStyle name="20% - 强调文字颜色 6 6_2015财政决算公开" xfId="572"/>
    <cellStyle name="20% - 强调文字颜色 6 3 2 3" xfId="573"/>
    <cellStyle name="40% - 强调文字颜色 5 2 3_2015财政决算公开" xfId="574"/>
    <cellStyle name="?鹎%U龡&amp;H齲_x0001_C铣_x0014__x0007__x0001__x0001_ 2 2 3 5" xfId="575"/>
    <cellStyle name="20% - 强调文字颜色 6 3 2 3 2" xfId="576"/>
    <cellStyle name="?鹎%U龡&amp;H齲_x0001_C铣_x0014__x0007__x0001__x0001_ 4 2 2 6" xfId="577"/>
    <cellStyle name="?鹎%U龡&amp;H齲_x0001_C铣_x0014__x0007__x0001__x0001_ 2 2 3 5 2" xfId="578"/>
    <cellStyle name="20% - 强调文字颜色 6 3 2 4" xfId="579"/>
    <cellStyle name="?鹎%U龡&amp;H齲_x0001_C铣_x0014__x0007__x0001__x0001_ 2 2 3 6" xfId="580"/>
    <cellStyle name="?鹎%U龡&amp;H齲_x0001_C铣_x0014__x0007__x0001__x0001_ 3 2 2 2 2 2" xfId="581"/>
    <cellStyle name="?鹎%U龡&amp;H齲_x0001_C铣_x0014__x0007__x0001__x0001_ 3 4 4 2" xfId="582"/>
    <cellStyle name="差 3 2 3 2" xfId="583"/>
    <cellStyle name="?鹎%U龡&amp;H齲_x0001_C铣_x0014__x0007__x0001__x0001_ 3 2 4 2 2" xfId="584"/>
    <cellStyle name="差 5 2 3" xfId="585"/>
    <cellStyle name="?鹎%U龡&amp;H齲_x0001_C铣_x0014__x0007__x0001__x0001_ 2 2 3 7" xfId="586"/>
    <cellStyle name="?鹎%U龡&amp;H齲_x0001_C铣_x0014__x0007__x0001__x0001_ 3 2 2 2 2 3" xfId="587"/>
    <cellStyle name="?鹎%U龡&amp;H齲_x0001_C铣_x0014__x0007__x0001__x0001_ 3 4 4 3" xfId="588"/>
    <cellStyle name="?鹎%U龡&amp;H齲_x0001_C铣_x0014__x0007__x0001__x0001_ 2 2 3 7 2" xfId="589"/>
    <cellStyle name="?鹎%U龡&amp;H齲_x0001_C铣_x0014__x0007__x0001__x0001_ 3 2 2 2 2 3 2" xfId="590"/>
    <cellStyle name="?鹎%U龡&amp;H齲_x0001_C铣_x0014__x0007__x0001__x0001_ 3 4 4 3 2" xfId="591"/>
    <cellStyle name="千位[0]_，" xfId="592"/>
    <cellStyle name="?鹎%U龡&amp;H齲_x0001_C铣_x0014__x0007__x0001__x0001_ 2 2 4 2" xfId="593"/>
    <cellStyle name="?鹎%U龡&amp;H齲_x0001_C铣_x0014__x0007__x0001__x0001_ 2 2 4 3" xfId="594"/>
    <cellStyle name="20% - 强调文字颜色 3 2 4 2 2" xfId="595"/>
    <cellStyle name="?鹎%U龡&amp;H齲_x0001_C铣_x0014__x0007__x0001__x0001_ 2 2 4 3 2" xfId="596"/>
    <cellStyle name="no dec 2" xfId="597"/>
    <cellStyle name="20% - 强调文字颜色 6 3 3 2" xfId="598"/>
    <cellStyle name="?鹎%U龡&amp;H齲_x0001_C铣_x0014__x0007__x0001__x0001_ 2 2 4 4" xfId="599"/>
    <cellStyle name="?鹎%U龡&amp;H齲_x0001_C铣_x0014__x0007__x0001__x0001_ 2 4 2 2_2015财政决算公开" xfId="600"/>
    <cellStyle name="20% - 强调文字颜色 6 3 3 2 2" xfId="601"/>
    <cellStyle name="?鹎%U龡&amp;H齲_x0001_C铣_x0014__x0007__x0001__x0001_ 2 2 4 4 2" xfId="602"/>
    <cellStyle name="20% - 强调文字颜色 6 3 3 3" xfId="603"/>
    <cellStyle name="?鹎%U龡&amp;H齲_x0001_C铣_x0014__x0007__x0001__x0001_ 2 2 4 5" xfId="604"/>
    <cellStyle name="20% - 强调文字颜色 5 2 2 2 2 2" xfId="605"/>
    <cellStyle name="数字 2 4" xfId="606"/>
    <cellStyle name="?鹎%U龡&amp;H齲_x0001_C铣_x0014__x0007__x0001__x0001_ 2 2 4_2015财政决算公开" xfId="607"/>
    <cellStyle name="20% - 强调文字颜色 4 6 2" xfId="608"/>
    <cellStyle name="20% - 强调文字颜色 2 2 4 2 2" xfId="609"/>
    <cellStyle name="?鹎%U龡&amp;H齲_x0001_C铣_x0014__x0007__x0001__x0001_ 3 2 2 2 4 5" xfId="610"/>
    <cellStyle name="?鹎%U龡&amp;H齲_x0001_C铣_x0014__x0007__x0001__x0001_ 3 4 6 5" xfId="611"/>
    <cellStyle name="?鹎%U龡&amp;H齲_x0001_C铣_x0014__x0007__x0001__x0001_ 2 2 5" xfId="612"/>
    <cellStyle name="常规 11 2" xfId="613"/>
    <cellStyle name="?鹎%U龡&amp;H齲_x0001_C铣_x0014__x0007__x0001__x0001_ 2 2 5 2" xfId="614"/>
    <cellStyle name="常规 11 2 2" xfId="615"/>
    <cellStyle name="烹拳 [0]_laroux" xfId="616"/>
    <cellStyle name="?鹎%U龡&amp;H齲_x0001_C铣_x0014__x0007__x0001__x0001_ 2 2 5 2 2" xfId="617"/>
    <cellStyle name="60% - 强调文字颜色 3 3 5" xfId="618"/>
    <cellStyle name="60% - 强调文字颜色 2 2 4 3" xfId="619"/>
    <cellStyle name="常规 11 2 2 2" xfId="620"/>
    <cellStyle name="?鹎%U龡&amp;H齲_x0001_C铣_x0014__x0007__x0001__x0001_ 2 2 5 3" xfId="621"/>
    <cellStyle name="常规 11 2 3" xfId="622"/>
    <cellStyle name="?鹎%U龡&amp;H齲_x0001_C铣_x0014__x0007__x0001__x0001_ 2 2 5 3 2" xfId="623"/>
    <cellStyle name="常规 11 2 3 2" xfId="624"/>
    <cellStyle name="20% - 强调文字颜色 4 5 2 2 2" xfId="625"/>
    <cellStyle name="20% - 强调文字颜色 6 3 4 2" xfId="626"/>
    <cellStyle name="常规 11 2 4" xfId="627"/>
    <cellStyle name="强调文字颜色 1 3 3 2 2" xfId="628"/>
    <cellStyle name="?鹎%U龡&amp;H齲_x0001_C铣_x0014__x0007__x0001__x0001_ 2 2 5 4" xfId="629"/>
    <cellStyle name="?鹎%U龡&amp;H齲_x0001_C铣_x0014__x0007__x0001__x0001_ 2 2 5 4 2" xfId="630"/>
    <cellStyle name="注释 2 2 3" xfId="631"/>
    <cellStyle name="40% - 强调文字颜色 5 6 3" xfId="632"/>
    <cellStyle name="60% - 强调文字颜色 2 3 2 2 3" xfId="633"/>
    <cellStyle name="?鹎%U龡&amp;H齲_x0001_C铣_x0014__x0007__x0001__x0001_ 2 4 4 2 2" xfId="634"/>
    <cellStyle name="常规 11 2 5" xfId="635"/>
    <cellStyle name="?鹎%U龡&amp;H齲_x0001_C铣_x0014__x0007__x0001__x0001_ 2 2 5 5" xfId="636"/>
    <cellStyle name="常规 13 2 4" xfId="637"/>
    <cellStyle name="千位分隔 3 2 3 2 2" xfId="638"/>
    <cellStyle name="?鹎%U龡&amp;H齲_x0001_C铣_x0014__x0007__x0001__x0001_ 2 4 5 4" xfId="639"/>
    <cellStyle name="?鹎%U龡&amp;H齲_x0001_C铣_x0014__x0007__x0001__x0001_ 2 2 5_2015财政决算公开" xfId="640"/>
    <cellStyle name="?鹎%U龡&amp;H齲_x0001_C铣_x0014__x0007__x0001__x0001_ 3 4 9 2" xfId="641"/>
    <cellStyle name="?鹎%U龡&amp;H齲_x0001_C铣_x0014__x0007__x0001__x0001_ 2 2 6" xfId="642"/>
    <cellStyle name="常规 11 3" xfId="643"/>
    <cellStyle name="?鹎%U龡&amp;H齲_x0001_C铣_x0014__x0007__x0001__x0001_ 3 2 2 2 7 2" xfId="644"/>
    <cellStyle name="?鹎%U龡&amp;H齲_x0001_C铣_x0014__x0007__x0001__x0001_ 2 3 2 2 3" xfId="645"/>
    <cellStyle name="常规 11 3 2" xfId="646"/>
    <cellStyle name="?鹎%U龡&amp;H齲_x0001_C铣_x0014__x0007__x0001__x0001_ 2 2 6 2" xfId="647"/>
    <cellStyle name="40% - 强调文字颜色 2 3 2 2 3" xfId="648"/>
    <cellStyle name="?鹎%U龡&amp;H齲_x0001_C铣_x0014__x0007__x0001__x0001_ 2 3 2 2 3 2" xfId="649"/>
    <cellStyle name="注释 4 3" xfId="650"/>
    <cellStyle name="常规 11 3 2 2" xfId="651"/>
    <cellStyle name="常规 18" xfId="652"/>
    <cellStyle name="常规 23" xfId="653"/>
    <cellStyle name="检查单元格 2 2 4" xfId="654"/>
    <cellStyle name="60% - 强调文字颜色 4 3 5" xfId="655"/>
    <cellStyle name="?鹎%U龡&amp;H齲_x0001_C铣_x0014__x0007__x0001__x0001_ 2 2 6 2 2" xfId="656"/>
    <cellStyle name="?鹎%U龡&amp;H齲_x0001_C铣_x0014__x0007__x0001__x0001_ 2 3 2 2 4" xfId="657"/>
    <cellStyle name="常规 11 3 3" xfId="658"/>
    <cellStyle name="?鹎%U龡&amp;H齲_x0001_C铣_x0014__x0007__x0001__x0001_ 2 2 6 3" xfId="659"/>
    <cellStyle name="?鹎%U龡&amp;H齲_x0001_C铣_x0014__x0007__x0001__x0001_ 2 3 2 2 4 2" xfId="660"/>
    <cellStyle name="注释 5 3" xfId="661"/>
    <cellStyle name="常规 68" xfId="662"/>
    <cellStyle name="常规 73" xfId="663"/>
    <cellStyle name="检查单元格 2 3 4" xfId="664"/>
    <cellStyle name="?鹎%U龡&amp;H齲_x0001_C铣_x0014__x0007__x0001__x0001_ 2 2 6 3 2" xfId="665"/>
    <cellStyle name="?鹎%U龡&amp;H齲_x0001_C铣_x0014__x0007__x0001__x0001_ 2 3 2 2 5" xfId="666"/>
    <cellStyle name="常规 11 3 4" xfId="667"/>
    <cellStyle name="?鹎%U龡&amp;H齲_x0001_C铣_x0014__x0007__x0001__x0001_ 2 2 6 4" xfId="668"/>
    <cellStyle name="表标题 2 2 2" xfId="669"/>
    <cellStyle name="?鹎%U龡&amp;H齲_x0001_C铣_x0014__x0007__x0001__x0001_ 2 2 6_2015财政决算公开" xfId="670"/>
    <cellStyle name="40% - 强调文字颜色 1 3 2 3 2" xfId="671"/>
    <cellStyle name="货币 2 3 3 2" xfId="672"/>
    <cellStyle name="常规 11 4" xfId="673"/>
    <cellStyle name="链接单元格 3 2 2" xfId="674"/>
    <cellStyle name="?鹎%U龡&amp;H齲_x0001_C铣_x0014__x0007__x0001__x0001_ 2 2 7" xfId="675"/>
    <cellStyle name="20% - 强调文字颜色 1 2 2 2" xfId="676"/>
    <cellStyle name="标题 5" xfId="677"/>
    <cellStyle name="?鹎%U龡&amp;H齲_x0001_C铣_x0014__x0007__x0001__x0001_ 2 3 2 3 3" xfId="678"/>
    <cellStyle name="链接单元格 3 2 2 2" xfId="679"/>
    <cellStyle name="?鹎%U龡&amp;H齲_x0001_C铣_x0014__x0007__x0001__x0001_ 2 2 7 2" xfId="680"/>
    <cellStyle name="解释性文本 2 3" xfId="681"/>
    <cellStyle name="货币 2 3 3 2 2" xfId="682"/>
    <cellStyle name="常规 11 4 2" xfId="683"/>
    <cellStyle name="20% - 强调文字颜色 1 2 2 3" xfId="684"/>
    <cellStyle name="标题 6" xfId="685"/>
    <cellStyle name="?鹎%U龡&amp;H齲_x0001_C铣_x0014__x0007__x0001__x0001_ 2 3 2 3 4" xfId="686"/>
    <cellStyle name="?鹎%U龡&amp;H齲_x0001_C铣_x0014__x0007__x0001__x0001_ 2 2 7 3" xfId="687"/>
    <cellStyle name="解释性文本 2 4" xfId="688"/>
    <cellStyle name="?鹎%U龡&amp;H齲_x0001_C铣_x0014__x0007__x0001__x0001_ 2 2 7 3 2" xfId="689"/>
    <cellStyle name="常规 2 2 2 2_2015财政决算公开" xfId="690"/>
    <cellStyle name="?鹎%U龡&amp;H齲_x0001_C铣_x0014__x0007__x0001__x0001_ 2 4 10" xfId="691"/>
    <cellStyle name="?鹎%U龡&amp;H齲_x0001_C铣_x0014__x0007__x0001__x0001_ 2 2 7 4" xfId="692"/>
    <cellStyle name="表标题 2 3 2" xfId="693"/>
    <cellStyle name="常规 2 3 2 3 5" xfId="694"/>
    <cellStyle name="注释 2 4 3" xfId="695"/>
    <cellStyle name="20% - 强调文字颜色 3 5_2015财政决算公开" xfId="696"/>
    <cellStyle name="?鹎%U龡&amp;H齲_x0001_C铣_x0014__x0007__x0001__x0001_ 2 4 4 4 2" xfId="697"/>
    <cellStyle name="?鹎%U龡&amp;H齲_x0001_C铣_x0014__x0007__x0001__x0001_ 2 2 7 5" xfId="698"/>
    <cellStyle name="20% - 强调文字颜色 6 3 2" xfId="699"/>
    <cellStyle name="常规 14 7" xfId="700"/>
    <cellStyle name="解释性文本 3 2 2 2" xfId="701"/>
    <cellStyle name="60% - 强调文字颜色 6 2 5 2" xfId="702"/>
    <cellStyle name="?鹎%U龡&amp;H齲_x0001_C铣_x0014__x0007__x0001__x0001_ 2 2 7_2015财政决算公开" xfId="703"/>
    <cellStyle name="60% - 强调文字颜色 2 7 2" xfId="704"/>
    <cellStyle name="?鹎%U龡&amp;H齲_x0001_C铣_x0014__x0007__x0001__x0001_ 2 3" xfId="705"/>
    <cellStyle name="货币 2 3 3 4" xfId="706"/>
    <cellStyle name="常规 11 6" xfId="707"/>
    <cellStyle name="?鹎%U龡&amp;H齲_x0001_C铣_x0014__x0007__x0001__x0001_ 4 10" xfId="708"/>
    <cellStyle name="?鹎%U龡&amp;H齲_x0001_C铣_x0014__x0007__x0001__x0001_ 2 2 9" xfId="709"/>
    <cellStyle name="?鹎%U龡&amp;H齲_x0001_C铣_x0014__x0007__x0001__x0001_ 3 3 5 3" xfId="710"/>
    <cellStyle name="40% - 强调文字颜色 2 2_2015财政决算公开" xfId="711"/>
    <cellStyle name="?鹎%U龡&amp;H齲_x0001_C铣_x0014__x0007__x0001__x0001_ 3 2 3 3 3" xfId="712"/>
    <cellStyle name="货币 3 2 8" xfId="713"/>
    <cellStyle name="常规 28 3" xfId="714"/>
    <cellStyle name="常规 33 3" xfId="715"/>
    <cellStyle name="?鹎%U龡&amp;H齲_x0001_C铣_x0014__x0007__x0001__x0001_ 2 2_2015财政决算公开" xfId="716"/>
    <cellStyle name="?鹎%U龡&amp;H齲_x0001_C铣_x0014__x0007__x0001__x0001_ 2 3 2 2" xfId="717"/>
    <cellStyle name="40% - 强调文字颜色 4 5 2_2015财政决算公开" xfId="718"/>
    <cellStyle name="?鹎%U龡&amp;H齲_x0001_C铣_x0014__x0007__x0001__x0001_ 2 3 2 2 2" xfId="719"/>
    <cellStyle name="?鹎%U龡&amp;H齲_x0001_C铣_x0014__x0007__x0001__x0001_ 2 3 2 2 2 2" xfId="720"/>
    <cellStyle name="?鹎%U龡&amp;H齲_x0001_C铣_x0014__x0007__x0001__x0001_ 3 2 5 3 2" xfId="721"/>
    <cellStyle name="?鹎%U龡&amp;H齲_x0001_C铣_x0014__x0007__x0001__x0001_ 3 2 2 3 3 2" xfId="722"/>
    <cellStyle name="?鹎%U龡&amp;H齲_x0001_C铣_x0014__x0007__x0001__x0001_ 2 3 2 2_2015财政决算公开" xfId="723"/>
    <cellStyle name="?鹎%U龡&amp;H齲_x0001_C铣_x0014__x0007__x0001__x0001_ 2 3 2 3" xfId="724"/>
    <cellStyle name="?鹎%U龡&amp;H齲_x0001_C铣_x0014__x0007__x0001__x0001_ 2 3 2 3_2015财政决算公开" xfId="725"/>
    <cellStyle name="40% - 强调文字颜色 3 7 2" xfId="726"/>
    <cellStyle name="20% - 强调文字颜色 5 2 3 2 2" xfId="727"/>
    <cellStyle name="强调文字颜色 3 2 2 2" xfId="728"/>
    <cellStyle name="?鹎%U龡&amp;H齲_x0001_C铣_x0014__x0007__x0001__x0001_ 2 3 2 4" xfId="729"/>
    <cellStyle name="强调文字颜色 3 2 2 2 2" xfId="730"/>
    <cellStyle name="?鹎%U龡&amp;H齲_x0001_C铣_x0014__x0007__x0001__x0001_ 2 3 2 4 2" xfId="731"/>
    <cellStyle name="常规 8 3 3" xfId="732"/>
    <cellStyle name="?鹎%U龡&amp;H齲_x0001_C铣_x0014__x0007__x0001__x0001_ 2 3 4_2015财政决算公开" xfId="733"/>
    <cellStyle name="强调文字颜色 3 2 2 2 2 2" xfId="734"/>
    <cellStyle name="?鹎%U龡&amp;H齲_x0001_C铣_x0014__x0007__x0001__x0001_ 2 3 2 4 2 2" xfId="735"/>
    <cellStyle name="?鹎%U龡&amp;H齲_x0001_C铣_x0014__x0007__x0001__x0001_ 3 4 4 4 2" xfId="736"/>
    <cellStyle name="40% - 着色 4" xfId="737"/>
    <cellStyle name="?鹎%U龡&amp;H齲_x0001_C铣_x0014__x0007__x0001__x0001_ 3 2 2 2 2 4 2" xfId="738"/>
    <cellStyle name="20% - 强调文字颜色 5 2 4" xfId="739"/>
    <cellStyle name="?鹎%U龡&amp;H齲_x0001_C铣_x0014__x0007__x0001__x0001_ 2 3 2 4_2015财政决算公开" xfId="740"/>
    <cellStyle name="强调文字颜色 3 2 2 3" xfId="741"/>
    <cellStyle name="?鹎%U龡&amp;H齲_x0001_C铣_x0014__x0007__x0001__x0001_ 2 3 2 5" xfId="742"/>
    <cellStyle name="强调文字颜色 3 2 2 3 2" xfId="743"/>
    <cellStyle name="?鹎%U龡&amp;H齲_x0001_C铣_x0014__x0007__x0001__x0001_ 2 3 2 5 2" xfId="744"/>
    <cellStyle name="强调文字颜色 3 2 2 4" xfId="745"/>
    <cellStyle name="?鹎%U龡&amp;H齲_x0001_C铣_x0014__x0007__x0001__x0001_ 2 3 2 6" xfId="746"/>
    <cellStyle name="?鹎%U龡&amp;H齲_x0001_C铣_x0014__x0007__x0001__x0001_ 2 3 2 6 2" xfId="747"/>
    <cellStyle name="货币 4 9" xfId="748"/>
    <cellStyle name="?鹎%U龡&amp;H齲_x0001_C铣_x0014__x0007__x0001__x0001_ 3 2 2 5_2015财政决算公开" xfId="749"/>
    <cellStyle name="?鹎%U龡&amp;H齲_x0001_C铣_x0014__x0007__x0001__x0001_ 3 2 7_2015财政决算公开" xfId="750"/>
    <cellStyle name="千位分隔 9 2" xfId="751"/>
    <cellStyle name="?鹎%U龡&amp;H齲_x0001_C铣_x0014__x0007__x0001__x0001_ 4 2 6 2" xfId="752"/>
    <cellStyle name="强调文字颜色 4 2 2 2 2" xfId="753"/>
    <cellStyle name="?鹎%U龡&amp;H齲_x0001_C铣_x0014__x0007__x0001__x0001_ 3 3 2 4 2" xfId="754"/>
    <cellStyle name="?鹎%U龡&amp;H齲_x0001_C铣_x0014__x0007__x0001__x0001_ 2 3 2 7" xfId="755"/>
    <cellStyle name="强调文字颜色 4 2 2 2 2 2" xfId="756"/>
    <cellStyle name="?鹎%U龡&amp;H齲_x0001_C铣_x0014__x0007__x0001__x0001_ 3 3 2 4 2 2" xfId="757"/>
    <cellStyle name="?鹎%U龡&amp;H齲_x0001_C铣_x0014__x0007__x0001__x0001_ 2 3 2 7 2" xfId="758"/>
    <cellStyle name="?鹎%U龡&amp;H齲_x0001_C铣_x0014__x0007__x0001__x0001_ 2 3 3" xfId="759"/>
    <cellStyle name="?鹎%U龡&amp;H齲_x0001_C铣_x0014__x0007__x0001__x0001_ 2 3 3 2" xfId="760"/>
    <cellStyle name="?鹎%U龡&amp;H齲_x0001_C铣_x0014__x0007__x0001__x0001_ 2 3 3 3" xfId="761"/>
    <cellStyle name="?鹎%U龡&amp;H齲_x0001_C铣_x0014__x0007__x0001__x0001_ 2 3 3 3 2" xfId="762"/>
    <cellStyle name="20% - 强调文字颜色 6 4 2 2 2" xfId="763"/>
    <cellStyle name="强调文字颜色 3 2 3 2 2" xfId="764"/>
    <cellStyle name="?鹎%U龡&amp;H齲_x0001_C铣_x0014__x0007__x0001__x0001_ 2 3 3 4 2" xfId="765"/>
    <cellStyle name="20% - 强调文字颜色 6 4 2 3" xfId="766"/>
    <cellStyle name="60% - 着色 4 2" xfId="767"/>
    <cellStyle name="标题 1 2 2" xfId="768"/>
    <cellStyle name="强调文字颜色 3 2 3 3" xfId="769"/>
    <cellStyle name="?鹎%U龡&amp;H齲_x0001_C铣_x0014__x0007__x0001__x0001_ 2 3 3 5" xfId="770"/>
    <cellStyle name="后继超级链接 3 2" xfId="771"/>
    <cellStyle name="?鹎%U龡&amp;H齲_x0001_C铣_x0014__x0007__x0001__x0001_ 3 2 5" xfId="772"/>
    <cellStyle name="?鹎%U龡&amp;H齲_x0001_C铣_x0014__x0007__x0001__x0001_ 3 2 2 3" xfId="773"/>
    <cellStyle name="?鹎%U龡&amp;H齲_x0001_C铣_x0014__x0007__x0001__x0001_ 2 3 3_2015财政决算公开" xfId="774"/>
    <cellStyle name="40% - 强调文字颜色 6 5_2015财政决算公开" xfId="775"/>
    <cellStyle name="?鹎%U龡&amp;H齲_x0001_C铣_x0014__x0007__x0001__x0001_ 2 3 4" xfId="776"/>
    <cellStyle name="?鹎%U龡&amp;H齲_x0001_C铣_x0014__x0007__x0001__x0001_ 2 3 4 2" xfId="777"/>
    <cellStyle name="?鹎%U龡&amp;H齲_x0001_C铣_x0014__x0007__x0001__x0001_ 2 3_2015财政决算公开" xfId="778"/>
    <cellStyle name="60% - 强调文字颜色 2 2 2 2 3" xfId="779"/>
    <cellStyle name="?鹎%U龡&amp;H齲_x0001_C铣_x0014__x0007__x0001__x0001_ 2 3 4 2 2" xfId="780"/>
    <cellStyle name="40% - 强调文字颜色 4 2 2 2_2015财政决算公开" xfId="781"/>
    <cellStyle name="?鹎%U龡&amp;H齲_x0001_C铣_x0014__x0007__x0001__x0001_ 2 3 4 3" xfId="782"/>
    <cellStyle name="20% - 强调文字颜色 6 4 3 2" xfId="783"/>
    <cellStyle name="强调文字颜色 3 2 4 2" xfId="784"/>
    <cellStyle name="?鹎%U龡&amp;H齲_x0001_C铣_x0014__x0007__x0001__x0001_ 2 3 4 4" xfId="785"/>
    <cellStyle name="常规 2 2 2 3 5" xfId="786"/>
    <cellStyle name="强调文字颜色 3 2 4 2 2" xfId="787"/>
    <cellStyle name="?鹎%U龡&amp;H齲_x0001_C铣_x0014__x0007__x0001__x0001_ 2 3 4 4 2" xfId="788"/>
    <cellStyle name="标题 1 3 2" xfId="789"/>
    <cellStyle name="强调文字颜色 3 2 4 3" xfId="790"/>
    <cellStyle name="?鹎%U龡&amp;H齲_x0001_C铣_x0014__x0007__x0001__x0001_ 2 3 4 5" xfId="791"/>
    <cellStyle name="好 4 2 2" xfId="792"/>
    <cellStyle name="常规 12 2" xfId="793"/>
    <cellStyle name="?鹎%U龡&amp;H齲_x0001_C铣_x0014__x0007__x0001__x0001_ 2 3 5" xfId="794"/>
    <cellStyle name="常规 12 2 2 2" xfId="795"/>
    <cellStyle name="60% - 强调文字颜色 2 2 3 2 3" xfId="796"/>
    <cellStyle name="60% - 强调文字颜色 3 2 4 3" xfId="797"/>
    <cellStyle name="?鹎%U龡&amp;H齲_x0001_C铣_x0014__x0007__x0001__x0001_ 2 3 5 2 2" xfId="798"/>
    <cellStyle name="常规 2 2 3 2 5" xfId="799"/>
    <cellStyle name="常规 12 2 3 2" xfId="800"/>
    <cellStyle name="千位分隔 2 2 8" xfId="801"/>
    <cellStyle name="?鹎%U龡&amp;H齲_x0001_C铣_x0014__x0007__x0001__x0001_ 2 3 5 3 2" xfId="802"/>
    <cellStyle name="常规 12 2_2015财政决算公开" xfId="803"/>
    <cellStyle name="20% - 强调文字颜色 5 6 3" xfId="804"/>
    <cellStyle name="60% - 强调文字颜色 1 5 2 2" xfId="805"/>
    <cellStyle name="?鹎%U龡&amp;H齲_x0001_C铣_x0014__x0007__x0001__x0001_ 2 3 5_2015财政决算公开" xfId="806"/>
    <cellStyle name="好 4 2 3" xfId="807"/>
    <cellStyle name="常规 12 3" xfId="808"/>
    <cellStyle name="?鹎%U龡&amp;H齲_x0001_C铣_x0014__x0007__x0001__x0001_ 2 3 6" xfId="809"/>
    <cellStyle name="常规 12 3 2" xfId="810"/>
    <cellStyle name="?鹎%U龡&amp;H齲_x0001_C铣_x0014__x0007__x0001__x0001_ 2 3 6 2" xfId="811"/>
    <cellStyle name="常规 12 3 2 2" xfId="812"/>
    <cellStyle name="?鹎%U龡&amp;H齲_x0001_C铣_x0014__x0007__x0001__x0001_ 2 3 6 2 2" xfId="813"/>
    <cellStyle name="常规 12 3 3" xfId="814"/>
    <cellStyle name="霓付_laroux" xfId="815"/>
    <cellStyle name="?鹎%U龡&amp;H齲_x0001_C铣_x0014__x0007__x0001__x0001_ 2 3 6 3" xfId="816"/>
    <cellStyle name="千位分隔 3 2 8" xfId="817"/>
    <cellStyle name="?鹎%U龡&amp;H齲_x0001_C铣_x0014__x0007__x0001__x0001_ 2 3 6 3 2" xfId="818"/>
    <cellStyle name="千位分隔 3 2 2 3 2" xfId="819"/>
    <cellStyle name="?鹎%U龡&amp;H齲_x0001_C铣_x0014__x0007__x0001__x0001_ 2 3 6 4" xfId="820"/>
    <cellStyle name="表标题 3 2 2" xfId="821"/>
    <cellStyle name="注释 3 3 2 2" xfId="822"/>
    <cellStyle name="40% - 强调文字颜色 1 4 4" xfId="823"/>
    <cellStyle name="常规 13 2_2015财政决算公开" xfId="824"/>
    <cellStyle name="?鹎%U龡&amp;H齲_x0001_C铣_x0014__x0007__x0001__x0001_ 2 4 5_2015财政决算公开" xfId="825"/>
    <cellStyle name="?鹎%U龡&amp;H齲_x0001_C铣_x0014__x0007__x0001__x0001_ 2 3 6 4 2" xfId="826"/>
    <cellStyle name="货币 2 3 4 2" xfId="827"/>
    <cellStyle name="常规 12 4" xfId="828"/>
    <cellStyle name="链接单元格 3 3 2" xfId="829"/>
    <cellStyle name="?鹎%U龡&amp;H齲_x0001_C铣_x0014__x0007__x0001__x0001_ 2 3 7" xfId="830"/>
    <cellStyle name="货币 2 3 4 2 2" xfId="831"/>
    <cellStyle name="常规 12 4 2" xfId="832"/>
    <cellStyle name="?鹎%U龡&amp;H齲_x0001_C铣_x0014__x0007__x0001__x0001_ 2 3 7 2" xfId="833"/>
    <cellStyle name="?鹎%U龡&amp;H齲_x0001_C铣_x0014__x0007__x0001__x0001_ 4 3 4 2" xfId="834"/>
    <cellStyle name="?鹎%U龡&amp;H齲_x0001_C铣_x0014__x0007__x0001__x0001_ 3 3 3 2 2" xfId="835"/>
    <cellStyle name="?鹎%U龡&amp;H齲_x0001_C铣_x0014__x0007__x0001__x0001_ 3 2" xfId="836"/>
    <cellStyle name="货币 2 3 4 3" xfId="837"/>
    <cellStyle name="常规 12 5" xfId="838"/>
    <cellStyle name="?鹎%U龡&amp;H齲_x0001_C铣_x0014__x0007__x0001__x0001_ 2 3 8" xfId="839"/>
    <cellStyle name="?鹎%U龡&amp;H齲_x0001_C铣_x0014__x0007__x0001__x0001_ 3 2 2" xfId="840"/>
    <cellStyle name="货币 2 3 4 3 2" xfId="841"/>
    <cellStyle name="常规 12 5 2" xfId="842"/>
    <cellStyle name="?鹎%U龡&amp;H齲_x0001_C铣_x0014__x0007__x0001__x0001_ 2 3 8 2" xfId="843"/>
    <cellStyle name="货币 2 3 4 4" xfId="844"/>
    <cellStyle name="常规 12 6" xfId="845"/>
    <cellStyle name="?鹎%U龡&amp;H齲_x0001_C铣_x0014__x0007__x0001__x0001_ 2 3 9" xfId="846"/>
    <cellStyle name="货币 2 3 4 4 2" xfId="847"/>
    <cellStyle name="?鹎%U龡&amp;H齲_x0001_C铣_x0014__x0007__x0001__x0001_ 2 3 9 2" xfId="848"/>
    <cellStyle name="?鹎%U龡&amp;H齲_x0001_C铣_x0014__x0007__x0001__x0001_ 2 4 2" xfId="849"/>
    <cellStyle name="?鹎%U龡&amp;H齲_x0001_C铣_x0014__x0007__x0001__x0001_ 2 5 3 2" xfId="850"/>
    <cellStyle name="好 2" xfId="851"/>
    <cellStyle name="差 2 3 2 2" xfId="852"/>
    <cellStyle name="?鹎%U龡&amp;H齲_x0001_C铣_x0014__x0007__x0001__x0001_ 4 2 4_2015财政决算公开" xfId="853"/>
    <cellStyle name="货币 2 3 6" xfId="854"/>
    <cellStyle name="40% - 强调文字颜色 3 6 3" xfId="855"/>
    <cellStyle name="?鹎%U龡&amp;H齲_x0001_C铣_x0014__x0007__x0001__x0001_ 3 3 2 2_2015财政决算公开" xfId="856"/>
    <cellStyle name="?鹎%U龡&amp;H齲_x0001_C铣_x0014__x0007__x0001__x0001_ 2 4 2 2 2" xfId="857"/>
    <cellStyle name="强调文字颜色 3 3 2 4" xfId="858"/>
    <cellStyle name="?鹎%U龡&amp;H齲_x0001_C铣_x0014__x0007__x0001__x0001_ 2 4 2 6" xfId="859"/>
    <cellStyle name="?鹎%U龡&amp;H齲_x0001_C铣_x0014__x0007__x0001__x0001_ 2 4 2 2 2 2" xfId="860"/>
    <cellStyle name="?鹎%U龡&amp;H齲_x0001_C铣_x0014__x0007__x0001__x0001_ 3 2 6 2" xfId="861"/>
    <cellStyle name="20% - 强调文字颜色 1 6" xfId="862"/>
    <cellStyle name="?鹎%U龡&amp;H齲_x0001_C铣_x0014__x0007__x0001__x0001_ 3 6 4" xfId="863"/>
    <cellStyle name="?鹎%U龡&amp;H齲_x0001_C铣_x0014__x0007__x0001__x0001_ 3 2 2 4 2" xfId="864"/>
    <cellStyle name="?鹎%U龡&amp;H齲_x0001_C铣_x0014__x0007__x0001__x0001_ 2 4 2 2 3" xfId="865"/>
    <cellStyle name="?鹎%U龡&amp;H齲_x0001_C铣_x0014__x0007__x0001__x0001_ 3 2 6 2 2" xfId="866"/>
    <cellStyle name="20% - 强调文字颜色 1 6 2" xfId="867"/>
    <cellStyle name="?鹎%U龡&amp;H齲_x0001_C铣_x0014__x0007__x0001__x0001_ 3 2 2 4 2 2" xfId="868"/>
    <cellStyle name="?鹎%U龡&amp;H齲_x0001_C铣_x0014__x0007__x0001__x0001_ 2 4 2 2 3 2" xfId="869"/>
    <cellStyle name="?鹎%U龡&amp;H齲_x0001_C铣_x0014__x0007__x0001__x0001_ 3 2 6 3" xfId="870"/>
    <cellStyle name="60% - 强调文字颜色 4 4 2 2" xfId="871"/>
    <cellStyle name="20% - 强调文字颜色 1 7" xfId="872"/>
    <cellStyle name="?鹎%U龡&amp;H齲_x0001_C铣_x0014__x0007__x0001__x0001_ 3 2 2 4 3" xfId="873"/>
    <cellStyle name="货币 3 2 3 3 2" xfId="874"/>
    <cellStyle name="?鹎%U龡&amp;H齲_x0001_C铣_x0014__x0007__x0001__x0001_ 2 4 2 2 4" xfId="875"/>
    <cellStyle name="?鹎%U龡&amp;H齲_x0001_C铣_x0014__x0007__x0001__x0001_ 3 2 6 3 2" xfId="876"/>
    <cellStyle name="60% - 强调文字颜色 4 4 2 2 2" xfId="877"/>
    <cellStyle name="20% - 强调文字颜色 1 7 2" xfId="878"/>
    <cellStyle name="?鹎%U龡&amp;H齲_x0001_C铣_x0014__x0007__x0001__x0001_ 3 2 2 4 3 2" xfId="879"/>
    <cellStyle name="?鹎%U龡&amp;H齲_x0001_C铣_x0014__x0007__x0001__x0001_ 2 4 2 2 4 2" xfId="880"/>
    <cellStyle name="差 2 3 3" xfId="881"/>
    <cellStyle name="?鹎%U龡&amp;H齲_x0001_C铣_x0014__x0007__x0001__x0001_ 2 5 4" xfId="882"/>
    <cellStyle name="?鹎%U龡&amp;H齲_x0001_C铣_x0014__x0007__x0001__x0001_ 2 4 2 3" xfId="883"/>
    <cellStyle name="?鹎%U龡&amp;H齲_x0001_C铣_x0014__x0007__x0001__x0001_ 3 4 6 2 2" xfId="884"/>
    <cellStyle name="千位分隔 4 6 4" xfId="885"/>
    <cellStyle name="20% - 强调文字颜色 2 2 7" xfId="886"/>
    <cellStyle name="?鹎%U龡&amp;H齲_x0001_C铣_x0014__x0007__x0001__x0001_ 3 2 2 2 4 2 2" xfId="887"/>
    <cellStyle name="常规 2 4 2 8" xfId="888"/>
    <cellStyle name="?鹎%U龡&amp;H齲_x0001_C铣_x0014__x0007__x0001__x0001_ 2 4 2 3_2015财政决算公开" xfId="889"/>
    <cellStyle name="强调文字颜色 3 3 2 2" xfId="890"/>
    <cellStyle name="?鹎%U龡&amp;H齲_x0001_C铣_x0014__x0007__x0001__x0001_ 2 4 2 4" xfId="891"/>
    <cellStyle name="强调文字颜色 3 3 2 2 2" xfId="892"/>
    <cellStyle name="?鹎%U龡&amp;H齲_x0001_C铣_x0014__x0007__x0001__x0001_ 2 4 2 4 2" xfId="893"/>
    <cellStyle name="强调文字颜色 3 3 2 2 2 2" xfId="894"/>
    <cellStyle name="?鹎%U龡&amp;H齲_x0001_C铣_x0014__x0007__x0001__x0001_ 2 4 2 4 2 2" xfId="895"/>
    <cellStyle name="20% - 强调文字颜色 2 2 3 2" xfId="896"/>
    <cellStyle name="强调文字颜色 3 3 2 2 3" xfId="897"/>
    <cellStyle name="百分比 2 2 2 2 2" xfId="898"/>
    <cellStyle name="?鹎%U龡&amp;H齲_x0001_C铣_x0014__x0007__x0001__x0001_ 2 4 2 4 3" xfId="899"/>
    <cellStyle name="20% - 强调文字颜色 3 6" xfId="900"/>
    <cellStyle name="?鹎%U龡&amp;H齲_x0001_C铣_x0014__x0007__x0001__x0001_ 3 2 2 6 2" xfId="901"/>
    <cellStyle name="?鹎%U龡&amp;H齲_x0001_C铣_x0014__x0007__x0001__x0001_ 3 2 8 2" xfId="902"/>
    <cellStyle name="20% - 强调文字颜色 3 6 2" xfId="903"/>
    <cellStyle name="?鹎%U龡&amp;H齲_x0001_C铣_x0014__x0007__x0001__x0001_ 3 2 2 6 2 2" xfId="904"/>
    <cellStyle name="20% - 强调文字颜色 2 2 3 2 2" xfId="905"/>
    <cellStyle name="输入 8" xfId="906"/>
    <cellStyle name="?鹎%U龡&amp;H齲_x0001_C铣_x0014__x0007__x0001__x0001_ 3 2 3 4 5" xfId="907"/>
    <cellStyle name="千位分隔 11" xfId="908"/>
    <cellStyle name="?鹎%U龡&amp;H齲_x0001_C铣_x0014__x0007__x0001__x0001_ 3 3 6 5" xfId="909"/>
    <cellStyle name="百分比 2 2 2 2 2 2" xfId="910"/>
    <cellStyle name="?鹎%U龡&amp;H齲_x0001_C铣_x0014__x0007__x0001__x0001_ 2 4 2 4 3 2" xfId="911"/>
    <cellStyle name="检查单元格 2 3 3 2" xfId="912"/>
    <cellStyle name="20% - 强调文字颜色 3 7" xfId="913"/>
    <cellStyle name="注释 5 2 2" xfId="914"/>
    <cellStyle name="?鹎%U龡&amp;H齲_x0001_C铣_x0014__x0007__x0001__x0001_ 3 2 2 6 3" xfId="915"/>
    <cellStyle name="20% - 强调文字颜色 2 2 3 3" xfId="916"/>
    <cellStyle name="百分比 2 2 2 2 3" xfId="917"/>
    <cellStyle name="警告文本 2 2" xfId="918"/>
    <cellStyle name="常规 4 2 2 3 2 2" xfId="919"/>
    <cellStyle name="?鹎%U龡&amp;H齲_x0001_C铣_x0014__x0007__x0001__x0001_ 2 4 2 4 4" xfId="920"/>
    <cellStyle name="20% - 强调文字颜色 5 2 3_2015财政决算公开" xfId="921"/>
    <cellStyle name="20% - 强调文字颜色 3 7 2" xfId="922"/>
    <cellStyle name="注释 5 2 2 2" xfId="923"/>
    <cellStyle name="?鹎%U龡&amp;H齲_x0001_C铣_x0014__x0007__x0001__x0001_ 3 2 2 6 3 2" xfId="924"/>
    <cellStyle name="20% - 强调文字颜色 2 2 3 3 2" xfId="925"/>
    <cellStyle name="汇总 2 2 3" xfId="926"/>
    <cellStyle name="警告文本 2 2 2" xfId="927"/>
    <cellStyle name="?鹎%U龡&amp;H齲_x0001_C铣_x0014__x0007__x0001__x0001_ 2 4 2 4 4 2" xfId="928"/>
    <cellStyle name="强调文字颜色 4 3 2 3" xfId="929"/>
    <cellStyle name="?鹎%U龡&amp;H齲_x0001_C铣_x0014__x0007__x0001__x0001_ 3 4 2 5" xfId="930"/>
    <cellStyle name="?鹎%U龡&amp;H齲_x0001_C铣_x0014__x0007__x0001__x0001_ 2 4 2 4_2015财政决算公开" xfId="931"/>
    <cellStyle name="强调文字颜色 3 3 2 3" xfId="932"/>
    <cellStyle name="?鹎%U龡&amp;H齲_x0001_C铣_x0014__x0007__x0001__x0001_ 2 4 2 5" xfId="933"/>
    <cellStyle name="?鹎%U龡&amp;H齲_x0001_C铣_x0014__x0007__x0001__x0001_ 2 4 2 6 2" xfId="934"/>
    <cellStyle name="强调文字颜色 4 2 3 2 2" xfId="935"/>
    <cellStyle name="?鹎%U龡&amp;H齲_x0001_C铣_x0014__x0007__x0001__x0001_ 5 2" xfId="936"/>
    <cellStyle name="?鹎%U龡&amp;H齲_x0001_C铣_x0014__x0007__x0001__x0001_ 3 3 3 4 2" xfId="937"/>
    <cellStyle name="?鹎%U龡&amp;H齲_x0001_C铣_x0014__x0007__x0001__x0001_ 2 4 2 7" xfId="938"/>
    <cellStyle name="注释 3 2 2 3" xfId="939"/>
    <cellStyle name="20% - 强调文字颜色 3 2_2015财政决算公开" xfId="940"/>
    <cellStyle name="强调文字颜色 4 2 3 2 2 2" xfId="941"/>
    <cellStyle name="?鹎%U龡&amp;H齲_x0001_C铣_x0014__x0007__x0001__x0001_ 5 2 2" xfId="942"/>
    <cellStyle name="?鹎%U龡&amp;H齲_x0001_C铣_x0014__x0007__x0001__x0001_ 2 4 2 7 2" xfId="943"/>
    <cellStyle name="?鹎%U龡&amp;H齲_x0001_C铣_x0014__x0007__x0001__x0001_ 2 4 2_2015财政决算公开" xfId="944"/>
    <cellStyle name="解释性文本 5 2 2" xfId="945"/>
    <cellStyle name="差 2 2 2" xfId="946"/>
    <cellStyle name="?鹎%U龡&amp;H齲_x0001_C铣_x0014__x0007__x0001__x0001_ 2 4 3" xfId="947"/>
    <cellStyle name="差 2 2 2 2" xfId="948"/>
    <cellStyle name="?鹎%U龡&amp;H齲_x0001_C铣_x0014__x0007__x0001__x0001_ 2 4 3 2" xfId="949"/>
    <cellStyle name="40% - 强调文字颜色 4 6 3" xfId="950"/>
    <cellStyle name="差 2 2 2 2 2" xfId="951"/>
    <cellStyle name="?鹎%U龡&amp;H齲_x0001_C铣_x0014__x0007__x0001__x0001_ 2 4 3 2 2" xfId="952"/>
    <cellStyle name="差 2 2 2 3" xfId="953"/>
    <cellStyle name="?鹎%U龡&amp;H齲_x0001_C铣_x0014__x0007__x0001__x0001_ 2 4 3 3" xfId="954"/>
    <cellStyle name="?鹎%U龡&amp;H齲_x0001_C铣_x0014__x0007__x0001__x0001_ 2 4 3 3 2" xfId="955"/>
    <cellStyle name="20% - 强调文字颜色 6 5 2 2" xfId="956"/>
    <cellStyle name="强调文字颜色 3 3 3 2" xfId="957"/>
    <cellStyle name="40% - 强调文字颜色 5 2 2 2 2" xfId="958"/>
    <cellStyle name="?鹎%U龡&amp;H齲_x0001_C铣_x0014__x0007__x0001__x0001_ 2 4 3 4" xfId="959"/>
    <cellStyle name="20% - 强调文字颜色 6 5 2 2 2" xfId="960"/>
    <cellStyle name="强调文字颜色 3 3 3 2 2" xfId="961"/>
    <cellStyle name="40% - 强调文字颜色 5 2 2 2 2 2" xfId="962"/>
    <cellStyle name="?鹎%U龡&amp;H齲_x0001_C铣_x0014__x0007__x0001__x0001_ 2 4 3 4 2" xfId="963"/>
    <cellStyle name="20% - 强调文字颜色 6 5 2 3" xfId="964"/>
    <cellStyle name="标题 2 2 2" xfId="965"/>
    <cellStyle name="强调文字颜色 3 3 3 3" xfId="966"/>
    <cellStyle name="40% - 强调文字颜色 5 2 2 2 3" xfId="967"/>
    <cellStyle name="?鹎%U龡&amp;H齲_x0001_C铣_x0014__x0007__x0001__x0001_ 2 4 3 5" xfId="968"/>
    <cellStyle name="?鹎%U龡&amp;H齲_x0001_C铣_x0014__x0007__x0001__x0001_ 2 5" xfId="969"/>
    <cellStyle name="千位分隔 3 6 3" xfId="970"/>
    <cellStyle name="20% - 强调文字颜色 1 2 6" xfId="971"/>
    <cellStyle name="60% - 强调文字颜色 3 3 3 2 2" xfId="972"/>
    <cellStyle name="?鹎%U龡&amp;H齲_x0001_C铣_x0014__x0007__x0001__x0001_ 2 4 3_2015财政决算公开" xfId="973"/>
    <cellStyle name="差 2 2 3" xfId="974"/>
    <cellStyle name="?鹎%U龡&amp;H齲_x0001_C铣_x0014__x0007__x0001__x0001_ 2 4 4" xfId="975"/>
    <cellStyle name="差 2 2 3 2" xfId="976"/>
    <cellStyle name="?鹎%U龡&amp;H齲_x0001_C铣_x0014__x0007__x0001__x0001_ 2 4 4 2" xfId="977"/>
    <cellStyle name="?鹎%U龡&amp;H齲_x0001_C铣_x0014__x0007__x0001__x0001_ 3 4_2015财政决算公开" xfId="978"/>
    <cellStyle name="?鹎%U龡&amp;H齲_x0001_C铣_x0014__x0007__x0001__x0001_ 2 4 4 3" xfId="979"/>
    <cellStyle name="20% - 强调文字颜色 6 5 3 2" xfId="980"/>
    <cellStyle name="强调文字颜色 3 3 4 2" xfId="981"/>
    <cellStyle name="40% - 强调文字颜色 5 2 2 3 2" xfId="982"/>
    <cellStyle name="常规 2 2 2 5_2015财政决算公开" xfId="983"/>
    <cellStyle name="?鹎%U龡&amp;H齲_x0001_C铣_x0014__x0007__x0001__x0001_ 2 4 4 4" xfId="984"/>
    <cellStyle name="标题 2 3 2" xfId="985"/>
    <cellStyle name="?鹎%U龡&amp;H齲_x0001_C铣_x0014__x0007__x0001__x0001_ 2 4 4 5" xfId="986"/>
    <cellStyle name="?鹎%U龡&amp;H齲_x0001_C铣_x0014__x0007__x0001__x0001_ 2 4 4_2015财政决算公开" xfId="987"/>
    <cellStyle name="检查单元格 6" xfId="988"/>
    <cellStyle name="小数 4" xfId="989"/>
    <cellStyle name="常规 2 5 2 2" xfId="990"/>
    <cellStyle name="20% - 强调文字颜色 3 3 3 2 2" xfId="991"/>
    <cellStyle name="好 4 3 2" xfId="992"/>
    <cellStyle name="常规 13 2" xfId="993"/>
    <cellStyle name="差 2 2 4" xfId="994"/>
    <cellStyle name="?鹎%U龡&amp;H齲_x0001_C铣_x0014__x0007__x0001__x0001_ 2 4 5" xfId="995"/>
    <cellStyle name="常规 13 2 2" xfId="996"/>
    <cellStyle name="?鹎%U龡&amp;H齲_x0001_C铣_x0014__x0007__x0001__x0001_ 2 4 5 2" xfId="997"/>
    <cellStyle name="40% - 强调文字颜色 4 4 2 2 2" xfId="998"/>
    <cellStyle name="?鹎%U龡&amp;H齲_x0001_C铣_x0014__x0007__x0001__x0001_ 3 3 6_2015财政决算公开" xfId="999"/>
    <cellStyle name="常规 54" xfId="1000"/>
    <cellStyle name="常规 49" xfId="1001"/>
    <cellStyle name="?鹎%U龡&amp;H齲_x0001_C铣_x0014__x0007__x0001__x0001_ 3 2 3 4_2015财政决算公开" xfId="1002"/>
    <cellStyle name="常规 13 2 3" xfId="1003"/>
    <cellStyle name="?鹎%U龡&amp;H齲_x0001_C铣_x0014__x0007__x0001__x0001_ 2 4 5 3" xfId="1004"/>
    <cellStyle name="常规 13 3" xfId="1005"/>
    <cellStyle name="?鹎%U龡&amp;H齲_x0001_C铣_x0014__x0007__x0001__x0001_ 2 4 6" xfId="1006"/>
    <cellStyle name="常规 5 2 2 4" xfId="1007"/>
    <cellStyle name="常规 13 3 2" xfId="1008"/>
    <cellStyle name="?鹎%U龡&amp;H齲_x0001_C铣_x0014__x0007__x0001__x0001_ 2 4 6 2" xfId="1009"/>
    <cellStyle name="注释 4 2 3" xfId="1010"/>
    <cellStyle name="常规 5 2 2 4 2" xfId="1011"/>
    <cellStyle name="常规 13 3 2 2" xfId="1012"/>
    <cellStyle name="常规 17 3" xfId="1013"/>
    <cellStyle name="常规 22 3" xfId="1014"/>
    <cellStyle name="?鹎%U龡&amp;H齲_x0001_C铣_x0014__x0007__x0001__x0001_ 2 4 6 2 2" xfId="1015"/>
    <cellStyle name="常规 5 2 2 5" xfId="1016"/>
    <cellStyle name="常规 13 3 3" xfId="1017"/>
    <cellStyle name="?鹎%U龡&amp;H齲_x0001_C铣_x0014__x0007__x0001__x0001_ 2 4 6 3" xfId="1018"/>
    <cellStyle name="标题 2 5 2" xfId="1019"/>
    <cellStyle name="?鹎%U龡&amp;H齲_x0001_C铣_x0014__x0007__x0001__x0001_ 2 4 6 5" xfId="1020"/>
    <cellStyle name="常规 23 3" xfId="1021"/>
    <cellStyle name="常规 18 3" xfId="1022"/>
    <cellStyle name="常规 5 2 2 5 2" xfId="1023"/>
    <cellStyle name="百分比 5 7" xfId="1024"/>
    <cellStyle name="?鹎%U龡&amp;H齲_x0001_C铣_x0014__x0007__x0001__x0001_ 2 4 6 3 2" xfId="1025"/>
    <cellStyle name="?鹎%U龡&amp;H齲_x0001_C铣_x0014__x0007__x0001__x0001_ 2 4 6 4" xfId="1026"/>
    <cellStyle name="千位分隔 3 2 3 3 2" xfId="1027"/>
    <cellStyle name="常规 5 2 2 6" xfId="1028"/>
    <cellStyle name="?鹎%U龡&amp;H齲_x0001_C铣_x0014__x0007__x0001__x0001_ 2 4 6 4 2" xfId="1029"/>
    <cellStyle name="常规 24 3" xfId="1030"/>
    <cellStyle name="常规 19 3" xfId="1031"/>
    <cellStyle name="?鹎%U龡&amp;H齲_x0001_C铣_x0014__x0007__x0001__x0001_ 2 4 6_2015财政决算公开" xfId="1032"/>
    <cellStyle name="常规 13 3_2015财政决算公开" xfId="1033"/>
    <cellStyle name="?鹎%U龡&amp;H齲_x0001_C铣_x0014__x0007__x0001__x0001_ 2 4 7" xfId="1034"/>
    <cellStyle name="常规 13 4" xfId="1035"/>
    <cellStyle name="货币 2 3 5 2" xfId="1036"/>
    <cellStyle name="?鹎%U龡&amp;H齲_x0001_C铣_x0014__x0007__x0001__x0001_ 2 4 8 2" xfId="1037"/>
    <cellStyle name="检查单元格 2" xfId="1038"/>
    <cellStyle name="常规 5 2 4 4" xfId="1039"/>
    <cellStyle name="?鹎%U龡&amp;H齲_x0001_C铣_x0014__x0007__x0001__x0001_ 2 4 9" xfId="1040"/>
    <cellStyle name="?鹎%U龡&amp;H齲_x0001_C铣_x0014__x0007__x0001__x0001_ 3 6_2015财政决算公开" xfId="1041"/>
    <cellStyle name="?鹎%U龡&amp;H齲_x0001_C铣_x0014__x0007__x0001__x0001_ 2 4_2015财政决算公开" xfId="1042"/>
    <cellStyle name="强调文字颜色 5 4 3 2" xfId="1043"/>
    <cellStyle name="货币 2 2 2 7 2" xfId="1044"/>
    <cellStyle name="?鹎%U龡&amp;H齲_x0001_C铣_x0014__x0007__x0001__x0001_ 2 5 2" xfId="1045"/>
    <cellStyle name="?鹎%U龡&amp;H齲_x0001_C铣_x0014__x0007__x0001__x0001_ 2 5_2015财政决算公开" xfId="1046"/>
    <cellStyle name="40% - 强调文字颜色 6 2 5" xfId="1047"/>
    <cellStyle name="货币 2 2 5 3" xfId="1048"/>
    <cellStyle name="?鹎%U龡&amp;H齲_x0001_C铣_x0014__x0007__x0001__x0001_ 3 2 2 2 3 2 2" xfId="1049"/>
    <cellStyle name="20% - 强调文字颜色 1 2 7" xfId="1050"/>
    <cellStyle name="千位分隔 3 6 4" xfId="1051"/>
    <cellStyle name="?鹎%U龡&amp;H齲_x0001_C铣_x0014__x0007__x0001__x0001_ 3 4 5 2 2" xfId="1052"/>
    <cellStyle name="40% - 强调文字颜色 1 3 2_2015财政决算公开" xfId="1053"/>
    <cellStyle name="?鹎%U龡&amp;H齲_x0001_C铣_x0014__x0007__x0001__x0001_ 2 6" xfId="1054"/>
    <cellStyle name="?鹎%U龡&amp;H齲_x0001_C铣_x0014__x0007__x0001__x0001_ 2 6 2" xfId="1055"/>
    <cellStyle name="百分比 2 3" xfId="1056"/>
    <cellStyle name="?鹎%U龡&amp;H齲_x0001_C铣_x0014__x0007__x0001__x0001_ 2 7" xfId="1057"/>
    <cellStyle name="常规 8 2 2 2 2" xfId="1058"/>
    <cellStyle name="?鹎%U龡&amp;H齲_x0001_C铣_x0014__x0007__x0001__x0001_ 2 7 2" xfId="1059"/>
    <cellStyle name="百分比 3 3" xfId="1060"/>
    <cellStyle name="20% - 强调文字颜色 5 3 2 3" xfId="1061"/>
    <cellStyle name="?鹎%U龡&amp;H齲_x0001_C铣_x0014__x0007__x0001__x0001_ 2 8" xfId="1062"/>
    <cellStyle name="40% - 强调文字颜色 1 7 2" xfId="1063"/>
    <cellStyle name="?鹎%U龡&amp;H齲_x0001_C铣_x0014__x0007__x0001__x0001_ 3 2 10" xfId="1064"/>
    <cellStyle name="常规 2 4 9 2" xfId="1065"/>
    <cellStyle name="?鹎%U龡&amp;H齲_x0001_C铣_x0014__x0007__x0001__x0001_ 3 2 10 2" xfId="1066"/>
    <cellStyle name="标题 5 4 3" xfId="1067"/>
    <cellStyle name="?鹎%U龡&amp;H齲_x0001_C铣_x0014__x0007__x0001__x0001_ 3 2 11" xfId="1068"/>
    <cellStyle name="40% - 强调文字颜色 4 5 3" xfId="1069"/>
    <cellStyle name="?鹎%U龡&amp;H齲_x0001_C铣_x0014__x0007__x0001__x0001_ 3 2 2 10" xfId="1070"/>
    <cellStyle name="?鹎%U龡&amp;H齲_x0001_C铣_x0014__x0007__x0001__x0001_ 3 2 2 2" xfId="1071"/>
    <cellStyle name="?鹎%U龡&amp;H齲_x0001_C铣_x0014__x0007__x0001__x0001_ 3 2 4" xfId="1072"/>
    <cellStyle name="?鹎%U龡&amp;H齲_x0001_C铣_x0014__x0007__x0001__x0001_ 3 2 2 2 2_2015财政决算公开" xfId="1073"/>
    <cellStyle name="20% - 强调文字颜色 1 3 3 2 2" xfId="1074"/>
    <cellStyle name="计算 2 2 4" xfId="1075"/>
    <cellStyle name="?鹎%U龡&amp;H齲_x0001_C铣_x0014__x0007__x0001__x0001_ 3 4 4_2015财政决算公开" xfId="1076"/>
    <cellStyle name="?鹎%U龡&amp;H齲_x0001_C铣_x0014__x0007__x0001__x0001_ 3 2 2 2 2" xfId="1077"/>
    <cellStyle name="?鹎%U龡&amp;H齲_x0001_C铣_x0014__x0007__x0001__x0001_ 3 4 4" xfId="1078"/>
    <cellStyle name="差 3 2 3" xfId="1079"/>
    <cellStyle name="?鹎%U龡&amp;H齲_x0001_C铣_x0014__x0007__x0001__x0001_ 3 2 4 2" xfId="1080"/>
    <cellStyle name="警告文本 7" xfId="1081"/>
    <cellStyle name="?鹎%U龡&amp;H齲_x0001_C铣_x0014__x0007__x0001__x0001_ 3 2 2 2 3" xfId="1082"/>
    <cellStyle name="好 5 3 2" xfId="1083"/>
    <cellStyle name="?鹎%U龡&amp;H齲_x0001_C铣_x0014__x0007__x0001__x0001_ 3 4 5" xfId="1084"/>
    <cellStyle name="差 3 2 4" xfId="1085"/>
    <cellStyle name="?鹎%U龡&amp;H齲_x0001_C铣_x0014__x0007__x0001__x0001_ 3 2 4 3" xfId="1086"/>
    <cellStyle name="20% - 强调文字颜色 4 2 2 2 2 2" xfId="1087"/>
    <cellStyle name="?鹎%U龡&amp;H齲_x0001_C铣_x0014__x0007__x0001__x0001_ 3 2 2 2 3 2" xfId="1088"/>
    <cellStyle name="?鹎%U龡&amp;H齲_x0001_C铣_x0014__x0007__x0001__x0001_ 3 4 5 2" xfId="1089"/>
    <cellStyle name="?鹎%U龡&amp;H齲_x0001_C铣_x0014__x0007__x0001__x0001_ 3 2 4 3 2" xfId="1090"/>
    <cellStyle name="?鹎%U龡&amp;H齲_x0001_C铣_x0014__x0007__x0001__x0001_ 3 2 2 2 3 3" xfId="1091"/>
    <cellStyle name="?鹎%U龡&amp;H齲_x0001_C铣_x0014__x0007__x0001__x0001_ 3 4 5 3" xfId="1092"/>
    <cellStyle name="?鹎%U龡&amp;H齲_x0001_C铣_x0014__x0007__x0001__x0001_ 3 2 2 2 3 3 2" xfId="1093"/>
    <cellStyle name="?鹎%U龡&amp;H齲_x0001_C铣_x0014__x0007__x0001__x0001_ 3 4 5 3 2" xfId="1094"/>
    <cellStyle name="?鹎%U龡&amp;H齲_x0001_C铣_x0014__x0007__x0001__x0001_ 3 2 2 2 4 3" xfId="1095"/>
    <cellStyle name="?鹎%U龡&amp;H齲_x0001_C铣_x0014__x0007__x0001__x0001_ 3 4 6 3" xfId="1096"/>
    <cellStyle name="?鹎%U龡&amp;H齲_x0001_C铣_x0014__x0007__x0001__x0001_ 3 2 2 2 4 3 2" xfId="1097"/>
    <cellStyle name="常规 50" xfId="1098"/>
    <cellStyle name="常规 45" xfId="1099"/>
    <cellStyle name="?鹎%U龡&amp;H齲_x0001_C铣_x0014__x0007__x0001__x0001_ 3 4 6 3 2" xfId="1100"/>
    <cellStyle name="?鹎%U龡&amp;H齲_x0001_C铣_x0014__x0007__x0001__x0001_ 3 2 3 3_2015财政决算公开" xfId="1101"/>
    <cellStyle name="?鹎%U龡&amp;H齲_x0001_C铣_x0014__x0007__x0001__x0001_ 3 4 6 4" xfId="1102"/>
    <cellStyle name="?鹎%U龡&amp;H齲_x0001_C铣_x0014__x0007__x0001__x0001_ 3 2 2 2 4 4" xfId="1103"/>
    <cellStyle name="?鹎%U龡&amp;H齲_x0001_C铣_x0014__x0007__x0001__x0001_ 3 3 5_2015财政决算公开" xfId="1104"/>
    <cellStyle name="?鹎%U龡&amp;H齲_x0001_C铣_x0014__x0007__x0001__x0001_ 3 2 2 2 4 4 2" xfId="1105"/>
    <cellStyle name="?鹎%U龡&amp;H齲_x0001_C铣_x0014__x0007__x0001__x0001_ 3 4 6 4 2" xfId="1106"/>
    <cellStyle name="?鹎%U龡&amp;H齲_x0001_C铣_x0014__x0007__x0001__x0001_ 3 2 2 2 4_2015财政决算公开" xfId="1107"/>
    <cellStyle name="?鹎%U龡&amp;H齲_x0001_C铣_x0014__x0007__x0001__x0001_ 3 4 6_2015财政决算公开" xfId="1108"/>
    <cellStyle name="?鹎%U龡&amp;H齲_x0001_C铣_x0014__x0007__x0001__x0001_ 3 2 2 2 6 2" xfId="1109"/>
    <cellStyle name="常规 10 3" xfId="1110"/>
    <cellStyle name="?鹎%U龡&amp;H齲_x0001_C铣_x0014__x0007__x0001__x0001_ 3 4 8 2" xfId="1111"/>
    <cellStyle name="?鹎%U龡&amp;H齲_x0001_C铣_x0014__x0007__x0001__x0001_ 3 2 2 2 7" xfId="1112"/>
    <cellStyle name="?鹎%U龡&amp;H齲_x0001_C铣_x0014__x0007__x0001__x0001_ 3 4 9" xfId="1113"/>
    <cellStyle name="?鹎%U龡&amp;H齲_x0001_C铣_x0014__x0007__x0001__x0001_ 3 2 2 2_2015财政决算公开" xfId="1114"/>
    <cellStyle name="?鹎%U龡&amp;H齲_x0001_C铣_x0014__x0007__x0001__x0001_ 3 3 6 3" xfId="1115"/>
    <cellStyle name="?鹎%U龡&amp;H齲_x0001_C铣_x0014__x0007__x0001__x0001_ 3 2 3 4 3" xfId="1116"/>
    <cellStyle name="输入 6" xfId="1117"/>
    <cellStyle name="?鹎%U龡&amp;H齲_x0001_C铣_x0014__x0007__x0001__x0001_ 4 6 5" xfId="1118"/>
    <cellStyle name="?鹎%U龡&amp;H齲_x0001_C铣_x0014__x0007__x0001__x0001_ 3 2 4_2015财政决算公开" xfId="1119"/>
    <cellStyle name="60% - 强调文字颜色 4 5 2 2" xfId="1120"/>
    <cellStyle name="?鹎%U龡&amp;H齲_x0001_C铣_x0014__x0007__x0001__x0001_ 3 2 2 3 2" xfId="1121"/>
    <cellStyle name="差 3 3 3" xfId="1122"/>
    <cellStyle name="?鹎%U龡&amp;H齲_x0001_C铣_x0014__x0007__x0001__x0001_ 3 2 5 2" xfId="1123"/>
    <cellStyle name="后继超级链接 3 2 2" xfId="1124"/>
    <cellStyle name="?鹎%U龡&amp;H齲_x0001_C铣_x0014__x0007__x0001__x0001_ 3 2 2 3 3" xfId="1125"/>
    <cellStyle name="?鹎%U龡&amp;H齲_x0001_C铣_x0014__x0007__x0001__x0001_ 3 2 5 3" xfId="1126"/>
    <cellStyle name="?鹎%U龡&amp;H齲_x0001_C铣_x0014__x0007__x0001__x0001_ 3 2 2 4" xfId="1127"/>
    <cellStyle name="?鹎%U龡&amp;H齲_x0001_C铣_x0014__x0007__x0001__x0001_ 3 2 6" xfId="1128"/>
    <cellStyle name="后继超级链接 3 3" xfId="1129"/>
    <cellStyle name="?鹎%U龡&amp;H齲_x0001_C铣_x0014__x0007__x0001__x0001_ 3 2 2 4 4 2" xfId="1130"/>
    <cellStyle name="标题 1 8" xfId="1131"/>
    <cellStyle name="?鹎%U龡&amp;H齲_x0001_C铣_x0014__x0007__x0001__x0001_ 3 2 6_2015财政决算公开" xfId="1132"/>
    <cellStyle name="常规 3 2 3" xfId="1133"/>
    <cellStyle name="?鹎%U龡&amp;H齲_x0001_C铣_x0014__x0007__x0001__x0001_ 3 2 2 4_2015财政决算公开" xfId="1134"/>
    <cellStyle name="适中 5" xfId="1135"/>
    <cellStyle name="?鹎%U龡&amp;H齲_x0001_C铣_x0014__x0007__x0001__x0001_ 3 2 7" xfId="1136"/>
    <cellStyle name="链接单元格 4 2 2" xfId="1137"/>
    <cellStyle name="货币 2 4 3 2" xfId="1138"/>
    <cellStyle name="?鹎%U龡&amp;H齲_x0001_C铣_x0014__x0007__x0001__x0001_ 3 2 2 5" xfId="1139"/>
    <cellStyle name="?鹎%U龡&amp;H齲_x0001_C铣_x0014__x0007__x0001__x0001_ 3 2 7 5" xfId="1140"/>
    <cellStyle name="20% - 强调文字颜色 2 9" xfId="1141"/>
    <cellStyle name="20% - 强调文字颜色 2 2 2 3 2" xfId="1142"/>
    <cellStyle name="?鹎%U龡&amp;H齲_x0001_C铣_x0014__x0007__x0001__x0001_ 3 2 7 3 2" xfId="1143"/>
    <cellStyle name="?鹎%U龡&amp;H齲_x0001_C铣_x0014__x0007__x0001__x0001_ 3 2 2 5 3 2" xfId="1144"/>
    <cellStyle name="20% - 强调文字颜色 2 7 2" xfId="1145"/>
    <cellStyle name="检查单元格 2 3 2 2 2" xfId="1146"/>
    <cellStyle name="?鹎%U龡&amp;H齲_x0001_C铣_x0014__x0007__x0001__x0001_ 3 2 8" xfId="1147"/>
    <cellStyle name="20% - 强调文字颜色 6 2 2 3 2" xfId="1148"/>
    <cellStyle name="?鹎%U龡&amp;H齲_x0001_C铣_x0014__x0007__x0001__x0001_ 3 2 2 6" xfId="1149"/>
    <cellStyle name="?鹎%U龡&amp;H齲_x0001_C铣_x0014__x0007__x0001__x0001_ 3 2 2 6 4 2" xfId="1150"/>
    <cellStyle name="20% - 强调文字颜色 2 2 3 5" xfId="1151"/>
    <cellStyle name="?鹎%U龡&amp;H齲_x0001_C铣_x0014__x0007__x0001__x0001_ 3 2 7 4 2" xfId="1152"/>
    <cellStyle name="?鹎%U龡&amp;H齲_x0001_C铣_x0014__x0007__x0001__x0001_ 3 2 2 6 5" xfId="1153"/>
    <cellStyle name="20% - 强调文字颜色 3 9" xfId="1154"/>
    <cellStyle name="?鹎%U龡&amp;H齲_x0001_C铣_x0014__x0007__x0001__x0001_ 3 2 9" xfId="1155"/>
    <cellStyle name="?鹎%U龡&amp;H齲_x0001_C铣_x0014__x0007__x0001__x0001_ 3 2 2 7" xfId="1156"/>
    <cellStyle name="?鹎%U龡&amp;H齲_x0001_C铣_x0014__x0007__x0001__x0001_ 3 2 9 2" xfId="1157"/>
    <cellStyle name="?鹎%U龡&amp;H齲_x0001_C铣_x0014__x0007__x0001__x0001_ 3 2 2 7 2" xfId="1158"/>
    <cellStyle name="20% - 强调文字颜色 4 6" xfId="1159"/>
    <cellStyle name="?鹎%U龡&amp;H齲_x0001_C铣_x0014__x0007__x0001__x0001_ 3 2 2 8 2" xfId="1160"/>
    <cellStyle name="60% - 强调文字颜色 6 3 2 2 2" xfId="1161"/>
    <cellStyle name="20% - 强调文字颜色 5 6" xfId="1162"/>
    <cellStyle name="?鹎%U龡&amp;H齲_x0001_C铣_x0014__x0007__x0001__x0001_ 3 2 2 9" xfId="1163"/>
    <cellStyle name="60% - 强调文字颜色 6 3 2 3" xfId="1164"/>
    <cellStyle name="?鹎%U龡&amp;H齲_x0001_C铣_x0014__x0007__x0001__x0001_ 3 2 2 9 2" xfId="1165"/>
    <cellStyle name="60% - 强调文字颜色 6 3 2 3 2" xfId="1166"/>
    <cellStyle name="20% - 强调文字颜色 6 6" xfId="1167"/>
    <cellStyle name="?鹎%U龡&amp;H齲_x0001_C铣_x0014__x0007__x0001__x0001_ 3 2 2_2015财政决算公开" xfId="1168"/>
    <cellStyle name="货币 4 2 2 4" xfId="1169"/>
    <cellStyle name="?鹎%U龡&amp;H齲_x0001_C铣_x0014__x0007__x0001__x0001_ 3 2 3" xfId="1170"/>
    <cellStyle name="?鹎%U龡&amp;H齲_x0001_C铣_x0014__x0007__x0001__x0001_ 3 2 3 2" xfId="1171"/>
    <cellStyle name="?鹎%U龡&amp;H齲_x0001_C铣_x0014__x0007__x0001__x0001_ 3 3 4" xfId="1172"/>
    <cellStyle name="?鹎%U龡&amp;H齲_x0001_C铣_x0014__x0007__x0001__x0001_ 3 2 3 2 2" xfId="1173"/>
    <cellStyle name="?鹎%U龡&amp;H齲_x0001_C铣_x0014__x0007__x0001__x0001_ 4 4 4" xfId="1174"/>
    <cellStyle name="差 4 2 3" xfId="1175"/>
    <cellStyle name="?鹎%U龡&amp;H齲_x0001_C铣_x0014__x0007__x0001__x0001_ 3 3 4 2" xfId="1176"/>
    <cellStyle name="?鹎%U龡&amp;H齲_x0001_C铣_x0014__x0007__x0001__x0001_ 3 2 3 2 3" xfId="1177"/>
    <cellStyle name="?鹎%U龡&amp;H齲_x0001_C铣_x0014__x0007__x0001__x0001_ 4 4 5" xfId="1178"/>
    <cellStyle name="?鹎%U龡&amp;H齲_x0001_C铣_x0014__x0007__x0001__x0001_ 3 3 4 3" xfId="1179"/>
    <cellStyle name="?鹎%U龡&amp;H齲_x0001_C铣_x0014__x0007__x0001__x0001_ 3 2 3 2 5" xfId="1180"/>
    <cellStyle name="?鹎%U龡&amp;H齲_x0001_C铣_x0014__x0007__x0001__x0001_ 3 3 4 5" xfId="1181"/>
    <cellStyle name="强调文字颜色 4 2 4 3" xfId="1182"/>
    <cellStyle name="?鹎%U龡&amp;H齲_x0001_C铣_x0014__x0007__x0001__x0001_ 3 2 3 3" xfId="1183"/>
    <cellStyle name="常规 17_2015财政决算公开" xfId="1184"/>
    <cellStyle name="后继超级链接 4 2" xfId="1185"/>
    <cellStyle name="好 5 2 2" xfId="1186"/>
    <cellStyle name="标题 3 2 2 2 2" xfId="1187"/>
    <cellStyle name="?鹎%U龡&amp;H齲_x0001_C铣_x0014__x0007__x0001__x0001_ 3 3 5" xfId="1188"/>
    <cellStyle name="?鹎%U龡&amp;H齲_x0001_C铣_x0014__x0007__x0001__x0001_ 3 2 3 3 2" xfId="1189"/>
    <cellStyle name="?鹎%U龡&amp;H齲_x0001_C铣_x0014__x0007__x0001__x0001_ 4 5 4" xfId="1190"/>
    <cellStyle name="好 5 2 2 2" xfId="1191"/>
    <cellStyle name="?鹎%U龡&amp;H齲_x0001_C铣_x0014__x0007__x0001__x0001_ 3 3 5 2" xfId="1192"/>
    <cellStyle name="?鹎%U龡&amp;H齲_x0001_C铣_x0014__x0007__x0001__x0001_ 3 2 3 3 2 2" xfId="1193"/>
    <cellStyle name="计算 6" xfId="1194"/>
    <cellStyle name="20% - 着色 4" xfId="1195"/>
    <cellStyle name="60% - 强调文字颜色 3 2 3 2 3" xfId="1196"/>
    <cellStyle name="?鹎%U龡&amp;H齲_x0001_C铣_x0014__x0007__x0001__x0001_ 3 3 5 2 2" xfId="1197"/>
    <cellStyle name="?鹎%U龡&amp;H齲_x0001_C铣_x0014__x0007__x0001__x0001_ 3 2 3 3 3 2" xfId="1198"/>
    <cellStyle name="60% - 强调文字颜色 1 2 3" xfId="1199"/>
    <cellStyle name="?鹎%U龡&amp;H齲_x0001_C铣_x0014__x0007__x0001__x0001_ 3 3 5 3 2" xfId="1200"/>
    <cellStyle name="?鹎%U龡&amp;H齲_x0001_C铣_x0014__x0007__x0001__x0001_ 3 2 3 4 2 2" xfId="1201"/>
    <cellStyle name="输入 5 2" xfId="1202"/>
    <cellStyle name="?鹎%U龡&amp;H齲_x0001_C铣_x0014__x0007__x0001__x0001_ 4 6 4 2" xfId="1203"/>
    <cellStyle name="60% - 强调文字颜色 5 9" xfId="1204"/>
    <cellStyle name="?鹎%U龡&amp;H齲_x0001_C铣_x0014__x0007__x0001__x0001_ 3 3 6 2 2" xfId="1205"/>
    <cellStyle name="?鹎%U龡&amp;H齲_x0001_C铣_x0014__x0007__x0001__x0001_ 3 2 3 4 3 2" xfId="1206"/>
    <cellStyle name="输入 6 2" xfId="1207"/>
    <cellStyle name="60% - 强调文字颜色 2 2 3" xfId="1208"/>
    <cellStyle name="60% - 强调文字颜色 4 5 2 2 2" xfId="1209"/>
    <cellStyle name="常规 12 2 2 2 3" xfId="1210"/>
    <cellStyle name="60% - 强调文字颜色 6 9" xfId="1211"/>
    <cellStyle name="?鹎%U龡&amp;H齲_x0001_C铣_x0014__x0007__x0001__x0001_ 3 3 6 3 2" xfId="1212"/>
    <cellStyle name="?鹎%U龡&amp;H齲_x0001_C铣_x0014__x0007__x0001__x0001_ 3 2 3 4 4" xfId="1213"/>
    <cellStyle name="常规 5 2 4 2 2" xfId="1214"/>
    <cellStyle name="输入 7" xfId="1215"/>
    <cellStyle name="60% - 强调文字颜色 4 5 2 3" xfId="1216"/>
    <cellStyle name="千位分隔 10" xfId="1217"/>
    <cellStyle name="?鹎%U龡&amp;H齲_x0001_C铣_x0014__x0007__x0001__x0001_ 3 3 6 4" xfId="1218"/>
    <cellStyle name="?鹎%U龡&amp;H齲_x0001_C铣_x0014__x0007__x0001__x0001_ 3 2 3 4 4 2" xfId="1219"/>
    <cellStyle name="注释 3" xfId="1220"/>
    <cellStyle name="输入 7 2" xfId="1221"/>
    <cellStyle name="60% - 强调文字颜色 2 3 3" xfId="1222"/>
    <cellStyle name="?鹎%U龡&amp;H齲_x0001_C铣_x0014__x0007__x0001__x0001_ 3 3 6 4 2" xfId="1223"/>
    <cellStyle name="?鹎%U龡&amp;H齲_x0001_C铣_x0014__x0007__x0001__x0001_ 3 2 3 7 2" xfId="1224"/>
    <cellStyle name="百分比 5 2 2 3" xfId="1225"/>
    <cellStyle name="?鹎%U龡&amp;H齲_x0001_C铣_x0014__x0007__x0001__x0001_ 3 3 9 2" xfId="1226"/>
    <cellStyle name="40% - 强调文字颜色 6 4" xfId="1227"/>
    <cellStyle name="?鹎%U龡&amp;H齲_x0001_C铣_x0014__x0007__x0001__x0001_ 3 2 3_2015财政决算公开" xfId="1228"/>
    <cellStyle name="好 3 5" xfId="1229"/>
    <cellStyle name="60% - 强调文字颜色 4 2 2" xfId="1230"/>
    <cellStyle name="20% - 强调文字颜色 3 3 2 4" xfId="1231"/>
    <cellStyle name="?鹎%U龡&amp;H齲_x0001_C铣_x0014__x0007__x0001__x0001_ 3 3" xfId="1232"/>
    <cellStyle name="?鹎%U龡&amp;H齲_x0001_C铣_x0014__x0007__x0001__x0001_ 3 3 10" xfId="1233"/>
    <cellStyle name="?鹎%U龡&amp;H齲_x0001_C铣_x0014__x0007__x0001__x0001_ 3 3 2" xfId="1234"/>
    <cellStyle name="?鹎%U龡&amp;H齲_x0001_C铣_x0014__x0007__x0001__x0001_ 3 3 2 2" xfId="1235"/>
    <cellStyle name="常规 4 2 2 2 5 2" xfId="1236"/>
    <cellStyle name="标题 4 6" xfId="1237"/>
    <cellStyle name="?鹎%U龡&amp;H齲_x0001_C铣_x0014__x0007__x0001__x0001_ 4 2 4" xfId="1238"/>
    <cellStyle name="千位分隔 7" xfId="1239"/>
    <cellStyle name="?鹎%U龡&amp;H齲_x0001_C铣_x0014__x0007__x0001__x0001_ 3 3 2 2 2" xfId="1240"/>
    <cellStyle name="标题 4 6 2" xfId="1241"/>
    <cellStyle name="?鹎%U龡&amp;H齲_x0001_C铣_x0014__x0007__x0001__x0001_ 4 2 4 2" xfId="1242"/>
    <cellStyle name="千位分隔 7 2" xfId="1243"/>
    <cellStyle name="?鹎%U龡&amp;H齲_x0001_C铣_x0014__x0007__x0001__x0001_ 3 3 2 2 2 2" xfId="1244"/>
    <cellStyle name="40% - 强调文字颜色 5 4 2 3" xfId="1245"/>
    <cellStyle name="强调文字颜色 5 3 4" xfId="1246"/>
    <cellStyle name="?鹎%U龡&amp;H齲_x0001_C铣_x0014__x0007__x0001__x0001_ 4 2 4 2 2" xfId="1247"/>
    <cellStyle name="?鹎%U龡&amp;H齲_x0001_C铣_x0014__x0007__x0001__x0001_ 3 3 2 2 3" xfId="1248"/>
    <cellStyle name="20% - 强调文字颜色 4 2 3 2 2 2" xfId="1249"/>
    <cellStyle name="?鹎%U龡&amp;H齲_x0001_C铣_x0014__x0007__x0001__x0001_ 4 2 4 3" xfId="1250"/>
    <cellStyle name="?鹎%U龡&amp;H齲_x0001_C铣_x0014__x0007__x0001__x0001_ 3 3 2 2 3 2" xfId="1251"/>
    <cellStyle name="检查单元格 2 7" xfId="1252"/>
    <cellStyle name="货币 2 2 2 8" xfId="1253"/>
    <cellStyle name="?鹎%U龡&amp;H齲_x0001_C铣_x0014__x0007__x0001__x0001_ 4 2 4 3 2" xfId="1254"/>
    <cellStyle name="?鹎%U龡&amp;H齲_x0001_C铣_x0014__x0007__x0001__x0001_ 3 3 2 2 4" xfId="1255"/>
    <cellStyle name="?鹎%U龡&amp;H齲_x0001_C铣_x0014__x0007__x0001__x0001_ 4 2 4 4" xfId="1256"/>
    <cellStyle name="?鹎%U龡&amp;H齲_x0001_C铣_x0014__x0007__x0001__x0001_ 3 3 2 2 4 2" xfId="1257"/>
    <cellStyle name="?鹎%U龡&amp;H齲_x0001_C铣_x0014__x0007__x0001__x0001_ 4 2 4 4 2" xfId="1258"/>
    <cellStyle name="?鹎%U龡&amp;H齲_x0001_C铣_x0014__x0007__x0001__x0001_ 3 3 2 2 5" xfId="1259"/>
    <cellStyle name="?鹎%U龡&amp;H齲_x0001_C铣_x0014__x0007__x0001__x0001_ 4 2 4 5" xfId="1260"/>
    <cellStyle name="?鹎%U龡&amp;H齲_x0001_C铣_x0014__x0007__x0001__x0001_ 3 3 2 3" xfId="1261"/>
    <cellStyle name="标题 4 7" xfId="1262"/>
    <cellStyle name="?鹎%U龡&amp;H齲_x0001_C铣_x0014__x0007__x0001__x0001_ 4 2 5" xfId="1263"/>
    <cellStyle name="千位分隔 8" xfId="1264"/>
    <cellStyle name="?鹎%U龡&amp;H齲_x0001_C铣_x0014__x0007__x0001__x0001_ 3 3 2 3 2" xfId="1265"/>
    <cellStyle name="?鹎%U龡&amp;H齲_x0001_C铣_x0014__x0007__x0001__x0001_ 4 2 5 2" xfId="1266"/>
    <cellStyle name="千位分隔 8 2" xfId="1267"/>
    <cellStyle name="?鹎%U龡&amp;H齲_x0001_C铣_x0014__x0007__x0001__x0001_ 3 3 2 3 2 2" xfId="1268"/>
    <cellStyle name="?鹎%U龡&amp;H齲_x0001_C铣_x0014__x0007__x0001__x0001_ 3 3 2 3 3" xfId="1269"/>
    <cellStyle name="?鹎%U龡&amp;H齲_x0001_C铣_x0014__x0007__x0001__x0001_ 3 3 2 3 3 2" xfId="1270"/>
    <cellStyle name="?鹎%U龡&amp;H齲_x0001_C铣_x0014__x0007__x0001__x0001_ 3 3 2 3 4" xfId="1271"/>
    <cellStyle name="?鹎%U龡&amp;H齲_x0001_C铣_x0014__x0007__x0001__x0001_ 3 3 2 3_2015财政决算公开" xfId="1272"/>
    <cellStyle name="?鹎%U龡&amp;H齲_x0001_C铣_x0014__x0007__x0001__x0001_ 3 3 2 4" xfId="1273"/>
    <cellStyle name="强调文字颜色 4 2 2 2" xfId="1274"/>
    <cellStyle name="标题 4 8" xfId="1275"/>
    <cellStyle name="?鹎%U龡&amp;H齲_x0001_C铣_x0014__x0007__x0001__x0001_ 4 2 6" xfId="1276"/>
    <cellStyle name="千位分隔 9" xfId="1277"/>
    <cellStyle name="60% - 强调文字颜色 5 4 2 2 2" xfId="1278"/>
    <cellStyle name="?鹎%U龡&amp;H齲_x0001_C铣_x0014__x0007__x0001__x0001_ 3 3 2 4 3 2" xfId="1279"/>
    <cellStyle name="60% - 强调文字颜色 5 4 2 3" xfId="1280"/>
    <cellStyle name="?鹎%U龡&amp;H齲_x0001_C铣_x0014__x0007__x0001__x0001_ 3 3 2 4 4" xfId="1281"/>
    <cellStyle name="?鹎%U龡&amp;H齲_x0001_C铣_x0014__x0007__x0001__x0001_ 3 3 2 4 4 2" xfId="1282"/>
    <cellStyle name="20% - 强调文字颜色 2 3 2 2 2" xfId="1283"/>
    <cellStyle name="?鹎%U龡&amp;H齲_x0001_C铣_x0014__x0007__x0001__x0001_ 3 3 2 4 5" xfId="1284"/>
    <cellStyle name="?鹎%U龡&amp;H齲_x0001_C铣_x0014__x0007__x0001__x0001_ 3 3 2 5" xfId="1285"/>
    <cellStyle name="强调文字颜色 4 2 2 3" xfId="1286"/>
    <cellStyle name="链接单元格 5 2 2" xfId="1287"/>
    <cellStyle name="?鹎%U龡&amp;H齲_x0001_C铣_x0014__x0007__x0001__x0001_ 4 2 7" xfId="1288"/>
    <cellStyle name="着色 4 2" xfId="1289"/>
    <cellStyle name="货币 2 5 3 2" xfId="1290"/>
    <cellStyle name="强调文字颜色 4 2 2 3 2" xfId="1291"/>
    <cellStyle name="标题 1 2 4" xfId="1292"/>
    <cellStyle name="?鹎%U龡&amp;H齲_x0001_C铣_x0014__x0007__x0001__x0001_ 3 3 2 5 2" xfId="1293"/>
    <cellStyle name="?鹎%U龡&amp;H齲_x0001_C铣_x0014__x0007__x0001__x0001_ 4 2 3_2015财政决算公开" xfId="1294"/>
    <cellStyle name="强调文字颜色 3 2 3 5" xfId="1295"/>
    <cellStyle name="?鹎%U龡&amp;H齲_x0001_C铣_x0014__x0007__x0001__x0001_ 4 2 7 2" xfId="1296"/>
    <cellStyle name="?鹎%U龡&amp;H齲_x0001_C铣_x0014__x0007__x0001__x0001_ 3 3 2 6" xfId="1297"/>
    <cellStyle name="强调文字颜色 4 2 2 4" xfId="1298"/>
    <cellStyle name="?鹎%U龡&amp;H齲_x0001_C铣_x0014__x0007__x0001__x0001_ 4 2 8" xfId="1299"/>
    <cellStyle name="标题 1 3 4" xfId="1300"/>
    <cellStyle name="?鹎%U龡&amp;H齲_x0001_C铣_x0014__x0007__x0001__x0001_ 3 3 2 6 2" xfId="1301"/>
    <cellStyle name="?鹎%U龡&amp;H齲_x0001_C铣_x0014__x0007__x0001__x0001_ 3 4 2 4 2" xfId="1302"/>
    <cellStyle name="强调文字颜色 4 3 2 2 2" xfId="1303"/>
    <cellStyle name="?鹎%U龡&amp;H齲_x0001_C铣_x0014__x0007__x0001__x0001_ 3 3 2 7" xfId="1304"/>
    <cellStyle name="?鹎%U龡&amp;H齲_x0001_C铣_x0014__x0007__x0001__x0001_ 3 4 2 4 2 2" xfId="1305"/>
    <cellStyle name="强调文字颜色 4 3 2 2 2 2" xfId="1306"/>
    <cellStyle name="?鹎%U龡&amp;H齲_x0001_C铣_x0014__x0007__x0001__x0001_ 3 3 2 7 2" xfId="1307"/>
    <cellStyle name="百分比 3 2 2 2 2" xfId="1308"/>
    <cellStyle name="?鹎%U龡&amp;H齲_x0001_C铣_x0014__x0007__x0001__x0001_ 3 4 2 4 3" xfId="1309"/>
    <cellStyle name="强调文字颜色 4 3 2 2 3" xfId="1310"/>
    <cellStyle name="60% - 强调文字颜色 6 4 2 2" xfId="1311"/>
    <cellStyle name="?鹎%U龡&amp;H齲_x0001_C铣_x0014__x0007__x0001__x0001_ 3 3 2 8" xfId="1312"/>
    <cellStyle name="?鹎%U龡&amp;H齲_x0001_C铣_x0014__x0007__x0001__x0001_ 3 3 2_2015财政决算公开" xfId="1313"/>
    <cellStyle name="20% - 强调文字颜色 4 8" xfId="1314"/>
    <cellStyle name="强调文字颜色 5 3 2 2 2 2" xfId="1315"/>
    <cellStyle name="?鹎%U龡&amp;H齲_x0001_C铣_x0014__x0007__x0001__x0001_ 3 3 3" xfId="1316"/>
    <cellStyle name="?鹎%U龡&amp;H齲_x0001_C铣_x0014__x0007__x0001__x0001_ 4" xfId="1317"/>
    <cellStyle name="?鹎%U龡&amp;H齲_x0001_C铣_x0014__x0007__x0001__x0001_ 3 3 3 3" xfId="1318"/>
    <cellStyle name="好 6 2 2" xfId="1319"/>
    <cellStyle name="标题 5 7" xfId="1320"/>
    <cellStyle name="标题 3 2 3 2 2" xfId="1321"/>
    <cellStyle name="?鹎%U龡&amp;H齲_x0001_C铣_x0014__x0007__x0001__x0001_ 4 3 5" xfId="1322"/>
    <cellStyle name="?鹎%U龡&amp;H齲_x0001_C铣_x0014__x0007__x0001__x0001_ 4 2" xfId="1323"/>
    <cellStyle name="?鹎%U龡&amp;H齲_x0001_C铣_x0014__x0007__x0001__x0001_ 3 3 3 3 2" xfId="1324"/>
    <cellStyle name="?鹎%U龡&amp;H齲_x0001_C铣_x0014__x0007__x0001__x0001_ 4 3 5 2" xfId="1325"/>
    <cellStyle name="强调文字颜色 4 2 3 2" xfId="1326"/>
    <cellStyle name="?鹎%U龡&amp;H齲_x0001_C铣_x0014__x0007__x0001__x0001_ 5" xfId="1327"/>
    <cellStyle name="?鹎%U龡&amp;H齲_x0001_C铣_x0014__x0007__x0001__x0001_ 3 3 3 4" xfId="1328"/>
    <cellStyle name="?鹎%U龡&amp;H齲_x0001_C铣_x0014__x0007__x0001__x0001_ 4 3 6" xfId="1329"/>
    <cellStyle name="强调文字颜色 4 2 3 3" xfId="1330"/>
    <cellStyle name="?鹎%U龡&amp;H齲_x0001_C铣_x0014__x0007__x0001__x0001_ 6" xfId="1331"/>
    <cellStyle name="?鹎%U龡&amp;H齲_x0001_C铣_x0014__x0007__x0001__x0001_ 3 3 3 5" xfId="1332"/>
    <cellStyle name="常规 2 2 2 4 3 2" xfId="1333"/>
    <cellStyle name="强调文字颜色 1 3 2" xfId="1334"/>
    <cellStyle name="?鹎%U龡&amp;H齲_x0001_C铣_x0014__x0007__x0001__x0001_ 3 3_2015财政决算公开" xfId="1335"/>
    <cellStyle name="?鹎%U龡&amp;H齲_x0001_C铣_x0014__x0007__x0001__x0001_ 3 4" xfId="1336"/>
    <cellStyle name="?鹎%U龡&amp;H齲_x0001_C铣_x0014__x0007__x0001__x0001_ 3 4 10" xfId="1337"/>
    <cellStyle name="?鹎%U龡&amp;H齲_x0001_C铣_x0014__x0007__x0001__x0001_ 3 4 2" xfId="1338"/>
    <cellStyle name="40% - 强调文字颜色 1 4_2015财政决算公开" xfId="1339"/>
    <cellStyle name="?鹎%U龡&amp;H齲_x0001_C铣_x0014__x0007__x0001__x0001_ 3 4 2 2" xfId="1340"/>
    <cellStyle name="?鹎%U龡&amp;H齲_x0001_C铣_x0014__x0007__x0001__x0001_ 3 4 2 2 2" xfId="1341"/>
    <cellStyle name="?鹎%U龡&amp;H齲_x0001_C铣_x0014__x0007__x0001__x0001_ 3 4 2 2 2 2" xfId="1342"/>
    <cellStyle name="?鹎%U龡&amp;H齲_x0001_C铣_x0014__x0007__x0001__x0001_ 3 4 2 2 3" xfId="1343"/>
    <cellStyle name="千位分隔 2 2 3 2 2" xfId="1344"/>
    <cellStyle name="输出 2 3 2 3" xfId="1345"/>
    <cellStyle name="?鹎%U龡&amp;H齲_x0001_C铣_x0014__x0007__x0001__x0001_ 3 4 2 2 3 2" xfId="1346"/>
    <cellStyle name="货币 4 2 3 3 2" xfId="1347"/>
    <cellStyle name="?鹎%U龡&amp;H齲_x0001_C铣_x0014__x0007__x0001__x0001_ 3 4 2 2 4" xfId="1348"/>
    <cellStyle name="?鹎%U龡&amp;H齲_x0001_C铣_x0014__x0007__x0001__x0001_ 3 4 2 2 4 2" xfId="1349"/>
    <cellStyle name="?鹎%U龡&amp;H齲_x0001_C铣_x0014__x0007__x0001__x0001_ 3 4 2 2 5" xfId="1350"/>
    <cellStyle name="百分比 2 2" xfId="1351"/>
    <cellStyle name="?鹎%U龡&amp;H齲_x0001_C铣_x0014__x0007__x0001__x0001_ 3 4 2 2_2015财政决算公开" xfId="1352"/>
    <cellStyle name="?鹎%U龡&amp;H齲_x0001_C铣_x0014__x0007__x0001__x0001_ 3 4 2 3" xfId="1353"/>
    <cellStyle name="?鹎%U龡&amp;H齲_x0001_C铣_x0014__x0007__x0001__x0001_ 3 4 2 3 2" xfId="1354"/>
    <cellStyle name="?鹎%U龡&amp;H齲_x0001_C铣_x0014__x0007__x0001__x0001_ 3 4 2 3 2 2" xfId="1355"/>
    <cellStyle name="?鹎%U龡&amp;H齲_x0001_C铣_x0014__x0007__x0001__x0001_ 3 4 2 3 3" xfId="1356"/>
    <cellStyle name="千位分隔 2 2 3 3 2" xfId="1357"/>
    <cellStyle name="?鹎%U龡&amp;H齲_x0001_C铣_x0014__x0007__x0001__x0001_ 3 4 2 3 3 2" xfId="1358"/>
    <cellStyle name="?鹎%U龡&amp;H齲_x0001_C铣_x0014__x0007__x0001__x0001_ 3 4 2 3 4" xfId="1359"/>
    <cellStyle name="?鹎%U龡&amp;H齲_x0001_C铣_x0014__x0007__x0001__x0001_ 3 4 2 3_2015财政决算公开" xfId="1360"/>
    <cellStyle name="?鹎%U龡&amp;H齲_x0001_C铣_x0014__x0007__x0001__x0001_ 3 4 2 4" xfId="1361"/>
    <cellStyle name="Norma,_laroux_4_营业在建 (2)_E21" xfId="1362"/>
    <cellStyle name="强调文字颜色 4 3 2 2" xfId="1363"/>
    <cellStyle name="60% - 强调文字颜色 6 4 2 2 2" xfId="1364"/>
    <cellStyle name="?鹎%U龡&amp;H齲_x0001_C铣_x0014__x0007__x0001__x0001_ 3 4 2 4 3 2" xfId="1365"/>
    <cellStyle name="60% - 强调文字颜色 6 4 2 3" xfId="1366"/>
    <cellStyle name="?鹎%U龡&amp;H齲_x0001_C铣_x0014__x0007__x0001__x0001_ 3 4 2 4 4" xfId="1367"/>
    <cellStyle name="?鹎%U龡&amp;H齲_x0001_C铣_x0014__x0007__x0001__x0001_ 3 4 2 4 4 2" xfId="1368"/>
    <cellStyle name="20% - 强调文字颜色 2 4 2 2 2" xfId="1369"/>
    <cellStyle name="输出 2 2" xfId="1370"/>
    <cellStyle name="?鹎%U龡&amp;H齲_x0001_C铣_x0014__x0007__x0001__x0001_ 3 4 2 4 5" xfId="1371"/>
    <cellStyle name="常规 2 3 3 2" xfId="1372"/>
    <cellStyle name="?鹎%U龡&amp;H齲_x0001_C铣_x0014__x0007__x0001__x0001_ 3 4 2 4_2015财政决算公开" xfId="1373"/>
    <cellStyle name="?鹎%U龡&amp;H齲_x0001_C铣_x0014__x0007__x0001__x0001_ 3 4 2 5 2" xfId="1374"/>
    <cellStyle name="强调文字颜色 4 3 2 3 2" xfId="1375"/>
    <cellStyle name="?鹎%U龡&amp;H齲_x0001_C铣_x0014__x0007__x0001__x0001_ 3 4 2 6" xfId="1376"/>
    <cellStyle name="强调文字颜色 4 3 2 4" xfId="1377"/>
    <cellStyle name="?鹎%U龡&amp;H齲_x0001_C铣_x0014__x0007__x0001__x0001_ 3 4 2 6 2" xfId="1378"/>
    <cellStyle name="40% - 强调文字颜色 5 3 2 2 2 2" xfId="1379"/>
    <cellStyle name="?鹎%U龡&amp;H齲_x0001_C铣_x0014__x0007__x0001__x0001_ 3 4 3 4 2" xfId="1380"/>
    <cellStyle name="强调文字颜色 4 3 3 2 2" xfId="1381"/>
    <cellStyle name="?鹎%U龡&amp;H齲_x0001_C铣_x0014__x0007__x0001__x0001_ 3 4 2 7" xfId="1382"/>
    <cellStyle name="?鹎%U龡&amp;H齲_x0001_C铣_x0014__x0007__x0001__x0001_ 3 4 2 7 2" xfId="1383"/>
    <cellStyle name="常规 2 2 2 8 2" xfId="1384"/>
    <cellStyle name="强调文字颜色 5 2" xfId="1385"/>
    <cellStyle name="千位分隔 2 2 4 4 2" xfId="1386"/>
    <cellStyle name="60% - 强调文字颜色 6 5 2 2" xfId="1387"/>
    <cellStyle name="?鹎%U龡&amp;H齲_x0001_C铣_x0014__x0007__x0001__x0001_ 3 4 2 8" xfId="1388"/>
    <cellStyle name="货币 2 2 2" xfId="1389"/>
    <cellStyle name="?鹎%U龡&amp;H齲_x0001_C铣_x0014__x0007__x0001__x0001_ 3 4 2_2015财政决算公开" xfId="1390"/>
    <cellStyle name="差 3 2 2" xfId="1391"/>
    <cellStyle name="?鹎%U龡&amp;H齲_x0001_C铣_x0014__x0007__x0001__x0001_ 3 4 3" xfId="1392"/>
    <cellStyle name="差 3 2 2 2" xfId="1393"/>
    <cellStyle name="?鹎%U龡&amp;H齲_x0001_C铣_x0014__x0007__x0001__x0001_ 3 4 3 2" xfId="1394"/>
    <cellStyle name="差 3 2 2 2 2" xfId="1395"/>
    <cellStyle name="?鹎%U龡&amp;H齲_x0001_C铣_x0014__x0007__x0001__x0001_ 3 4 3 2 2" xfId="1396"/>
    <cellStyle name="差 3 2 2 3" xfId="1397"/>
    <cellStyle name="?鹎%U龡&amp;H齲_x0001_C铣_x0014__x0007__x0001__x0001_ 3 4 3 3" xfId="1398"/>
    <cellStyle name="?鹎%U龡&amp;H齲_x0001_C铣_x0014__x0007__x0001__x0001_ 3 4 3 3 2" xfId="1399"/>
    <cellStyle name="40% - 强调文字颜色 5 3 2 2 2" xfId="1400"/>
    <cellStyle name="?鹎%U龡&amp;H齲_x0001_C铣_x0014__x0007__x0001__x0001_ 3 4 3 4" xfId="1401"/>
    <cellStyle name="强调文字颜色 4 3 3 2" xfId="1402"/>
    <cellStyle name="40% - 强调文字颜色 5 3 2 2 3" xfId="1403"/>
    <cellStyle name="?鹎%U龡&amp;H齲_x0001_C铣_x0014__x0007__x0001__x0001_ 3 4 3 5" xfId="1404"/>
    <cellStyle name="强调文字颜色 4 3 3 3" xfId="1405"/>
    <cellStyle name="货币 2 2 3 4" xfId="1406"/>
    <cellStyle name="?鹎%U龡&amp;H齲_x0001_C铣_x0014__x0007__x0001__x0001_ 3 4 3_2015财政决算公开" xfId="1407"/>
    <cellStyle name="?鹎%U龡&amp;H齲_x0001_C铣_x0014__x0007__x0001__x0001_ 3 5" xfId="1408"/>
    <cellStyle name="?鹎%U龡&amp;H齲_x0001_C铣_x0014__x0007__x0001__x0001_ 3 5 2" xfId="1409"/>
    <cellStyle name="货币 3" xfId="1410"/>
    <cellStyle name="?鹎%U龡&amp;H齲_x0001_C铣_x0014__x0007__x0001__x0001_ 3 5 2 2" xfId="1411"/>
    <cellStyle name="差 3 3 2" xfId="1412"/>
    <cellStyle name="?鹎%U龡&amp;H齲_x0001_C铣_x0014__x0007__x0001__x0001_ 3 5 3" xfId="1413"/>
    <cellStyle name="货币 3 4 2" xfId="1414"/>
    <cellStyle name="?鹎%U龡&amp;H齲_x0001_C铣_x0014__x0007__x0001__x0001_ 3 5_2015财政决算公开" xfId="1415"/>
    <cellStyle name="40% - 强调文字颜色 1 4 3 2" xfId="1416"/>
    <cellStyle name="?鹎%U龡&amp;H齲_x0001_C铣_x0014__x0007__x0001__x0001_ 3 6" xfId="1417"/>
    <cellStyle name="强调文字颜色 2 2 2 3" xfId="1418"/>
    <cellStyle name="20% - 强调文字颜色 1 4" xfId="1419"/>
    <cellStyle name="?鹎%U龡&amp;H齲_x0001_C铣_x0014__x0007__x0001__x0001_ 3 6 2" xfId="1420"/>
    <cellStyle name="20% - 强调文字颜色 5 4_2015财政决算公开" xfId="1421"/>
    <cellStyle name="强调文字颜色 2 2 2 3 2" xfId="1422"/>
    <cellStyle name="20% - 强调文字颜色 1 4 2" xfId="1423"/>
    <cellStyle name="?鹎%U龡&amp;H齲_x0001_C铣_x0014__x0007__x0001__x0001_ 3 6 2 2" xfId="1424"/>
    <cellStyle name="差 3 4 2" xfId="1425"/>
    <cellStyle name="40% - 强调文字颜色 4 2 4_2015财政决算公开" xfId="1426"/>
    <cellStyle name="强调文字颜色 2 2 2 4" xfId="1427"/>
    <cellStyle name="20% - 强调文字颜色 1 5" xfId="1428"/>
    <cellStyle name="?鹎%U龡&amp;H齲_x0001_C铣_x0014__x0007__x0001__x0001_ 3 6 3" xfId="1429"/>
    <cellStyle name="20% - 强调文字颜色 1 5 2" xfId="1430"/>
    <cellStyle name="?鹎%U龡&amp;H齲_x0001_C铣_x0014__x0007__x0001__x0001_ 3 6 3 2" xfId="1431"/>
    <cellStyle name="?鹎%U龡&amp;H齲_x0001_C铣_x0014__x0007__x0001__x0001_ 3 7" xfId="1432"/>
    <cellStyle name="强调文字颜色 2 2 3 3" xfId="1433"/>
    <cellStyle name="20% - 强调文字颜色 2 4" xfId="1434"/>
    <cellStyle name="?鹎%U龡&amp;H齲_x0001_C铣_x0014__x0007__x0001__x0001_ 3 7 2" xfId="1435"/>
    <cellStyle name="20% - 强调文字颜色 5 4 2 3" xfId="1436"/>
    <cellStyle name="?鹎%U龡&amp;H齲_x0001_C铣_x0014__x0007__x0001__x0001_ 3 8" xfId="1437"/>
    <cellStyle name="常规 3 2 7" xfId="1438"/>
    <cellStyle name="强调文字颜色 2 2 4 3" xfId="1439"/>
    <cellStyle name="20% - 强调文字颜色 3 4" xfId="1440"/>
    <cellStyle name="?鹎%U龡&amp;H齲_x0001_C铣_x0014__x0007__x0001__x0001_ 3 8 2" xfId="1441"/>
    <cellStyle name="?鹎%U龡&amp;H齲_x0001_C铣_x0014__x0007__x0001__x0001_ 3 9" xfId="1442"/>
    <cellStyle name="20% - 强调文字颜色 4 4" xfId="1443"/>
    <cellStyle name="?鹎%U龡&amp;H齲_x0001_C铣_x0014__x0007__x0001__x0001_ 3 9 2" xfId="1444"/>
    <cellStyle name="?鹎%U龡&amp;H齲_x0001_C铣_x0014__x0007__x0001__x0001_ 3_2015财政决算公开" xfId="1445"/>
    <cellStyle name="?鹎%U龡&amp;H齲_x0001_C铣_x0014__x0007__x0001__x0001_ 6 3" xfId="1446"/>
    <cellStyle name="标题 2 2 5" xfId="1447"/>
    <cellStyle name="60% - 强调文字颜色 5 5 3 2" xfId="1448"/>
    <cellStyle name="标题 4 4" xfId="1449"/>
    <cellStyle name="?鹎%U龡&amp;H齲_x0001_C铣_x0014__x0007__x0001__x0001_ 4 2 2" xfId="1450"/>
    <cellStyle name="千位分隔 5" xfId="1451"/>
    <cellStyle name="标题 4 4 2" xfId="1452"/>
    <cellStyle name="?鹎%U龡&amp;H齲_x0001_C铣_x0014__x0007__x0001__x0001_ 4 2 2 2" xfId="1453"/>
    <cellStyle name="千位分隔 5 2" xfId="1454"/>
    <cellStyle name="标题 4 4 2 2" xfId="1455"/>
    <cellStyle name="?鹎%U龡&amp;H齲_x0001_C铣_x0014__x0007__x0001__x0001_ 4 2 2 2 2" xfId="1456"/>
    <cellStyle name="千位分隔 5 2 2" xfId="1457"/>
    <cellStyle name="40% - 强调文字颜色 5 2 2 3" xfId="1458"/>
    <cellStyle name="强调文字颜色 3 3 4" xfId="1459"/>
    <cellStyle name="20% - 强调文字颜色 6 5 3" xfId="1460"/>
    <cellStyle name="标题 4 4 3" xfId="1461"/>
    <cellStyle name="?鹎%U龡&amp;H齲_x0001_C铣_x0014__x0007__x0001__x0001_ 4 2 2 3" xfId="1462"/>
    <cellStyle name="千位分隔 5 3" xfId="1463"/>
    <cellStyle name="常规 3 2 2 5" xfId="1464"/>
    <cellStyle name="40% - 强调文字颜色 5 2 3 3" xfId="1465"/>
    <cellStyle name="强调文字颜色 3 4 4" xfId="1466"/>
    <cellStyle name="?鹎%U龡&amp;H齲_x0001_C铣_x0014__x0007__x0001__x0001_ 4 2 2 3 2" xfId="1467"/>
    <cellStyle name="千位分隔 5 3 2" xfId="1468"/>
    <cellStyle name="20% - 强调文字颜色 6 6 3" xfId="1469"/>
    <cellStyle name="60% - 强调文字颜色 1 6 2 2" xfId="1470"/>
    <cellStyle name="20% - 强调文字颜色 2 5 2_2015财政决算公开" xfId="1471"/>
    <cellStyle name="?鹎%U龡&amp;H齲_x0001_C铣_x0014__x0007__x0001__x0001_ 4 2 2 4" xfId="1472"/>
    <cellStyle name="千位分隔 5 4" xfId="1473"/>
    <cellStyle name="常规 3 2 3 5" xfId="1474"/>
    <cellStyle name="强调文字颜色 3 5 4" xfId="1475"/>
    <cellStyle name="?鹎%U龡&amp;H齲_x0001_C铣_x0014__x0007__x0001__x0001_ 4 2 2 4 2" xfId="1476"/>
    <cellStyle name="千位分隔 5 4 2" xfId="1477"/>
    <cellStyle name="?鹎%U龡&amp;H齲_x0001_C铣_x0014__x0007__x0001__x0001_ 4 2 2 5" xfId="1478"/>
    <cellStyle name="千位分隔 5 5" xfId="1479"/>
    <cellStyle name="货币 3 4 3 2" xfId="1480"/>
    <cellStyle name="20% - 强调文字颜色 4 5_2015财政决算公开" xfId="1481"/>
    <cellStyle name="常规 3 2 4 5" xfId="1482"/>
    <cellStyle name="?鹎%U龡&amp;H齲_x0001_C铣_x0014__x0007__x0001__x0001_ 4 2 2 5 2" xfId="1483"/>
    <cellStyle name="?鹎%U龡&amp;H齲_x0001_C铣_x0014__x0007__x0001__x0001_ 4 2 2_2015财政决算公开" xfId="1484"/>
    <cellStyle name="20% - 强调文字颜色 4 2 3 3" xfId="1485"/>
    <cellStyle name="标题 4 5" xfId="1486"/>
    <cellStyle name="?鹎%U龡&amp;H齲_x0001_C铣_x0014__x0007__x0001__x0001_ 4 2 3" xfId="1487"/>
    <cellStyle name="千位分隔 6" xfId="1488"/>
    <cellStyle name="标题 4 5 2" xfId="1489"/>
    <cellStyle name="?鹎%U龡&amp;H齲_x0001_C铣_x0014__x0007__x0001__x0001_ 4 2 3 2" xfId="1490"/>
    <cellStyle name="千位分隔 6 2" xfId="1491"/>
    <cellStyle name="标题 4 5 2 2" xfId="1492"/>
    <cellStyle name="?鹎%U龡&amp;H齲_x0001_C铣_x0014__x0007__x0001__x0001_ 4 2 3 2 2" xfId="1493"/>
    <cellStyle name="千位分隔 6 2 2" xfId="1494"/>
    <cellStyle name="40% - 强调文字颜色 5 3 2 3" xfId="1495"/>
    <cellStyle name="强调文字颜色 4 3 4" xfId="1496"/>
    <cellStyle name="标题 4 5 3" xfId="1497"/>
    <cellStyle name="?鹎%U龡&amp;H齲_x0001_C铣_x0014__x0007__x0001__x0001_ 4 2 3 3" xfId="1498"/>
    <cellStyle name="千位分隔 6 3" xfId="1499"/>
    <cellStyle name="40% - 强调文字颜色 5 3 3 3" xfId="1500"/>
    <cellStyle name="强调文字颜色 4 4 4" xfId="1501"/>
    <cellStyle name="?鹎%U龡&amp;H齲_x0001_C铣_x0014__x0007__x0001__x0001_ 4 2 3 3 2" xfId="1502"/>
    <cellStyle name="千位分隔 6 3 2" xfId="1503"/>
    <cellStyle name="?鹎%U龡&amp;H齲_x0001_C铣_x0014__x0007__x0001__x0001_ 4 2 3 4" xfId="1504"/>
    <cellStyle name="千位分隔 6 4" xfId="1505"/>
    <cellStyle name="?鹎%U龡&amp;H齲_x0001_C铣_x0014__x0007__x0001__x0001_ 4 2_2015财政决算公开" xfId="1506"/>
    <cellStyle name="?鹎%U龡&amp;H齲_x0001_C铣_x0014__x0007__x0001__x0001_ 4 3" xfId="1507"/>
    <cellStyle name="标题 5 4" xfId="1508"/>
    <cellStyle name="?鹎%U龡&amp;H齲_x0001_C铣_x0014__x0007__x0001__x0001_ 4 3 2" xfId="1509"/>
    <cellStyle name="标题 5 4 2" xfId="1510"/>
    <cellStyle name="?鹎%U龡&amp;H齲_x0001_C铣_x0014__x0007__x0001__x0001_ 4 3 2 2" xfId="1511"/>
    <cellStyle name="?鹎%U龡&amp;H齲_x0001_C铣_x0014__x0007__x0001__x0001_ 4 4" xfId="1512"/>
    <cellStyle name="?鹎%U龡&amp;H齲_x0001_C铣_x0014__x0007__x0001__x0001_ 4 4 2" xfId="1513"/>
    <cellStyle name="?鹎%U龡&amp;H齲_x0001_C铣_x0014__x0007__x0001__x0001_ 4 4 2 2" xfId="1514"/>
    <cellStyle name="差 4 2 2" xfId="1515"/>
    <cellStyle name="?鹎%U龡&amp;H齲_x0001_C铣_x0014__x0007__x0001__x0001_ 4 4 3" xfId="1516"/>
    <cellStyle name="差 4 2 2 2" xfId="1517"/>
    <cellStyle name="?鹎%U龡&amp;H齲_x0001_C铣_x0014__x0007__x0001__x0001_ 4 4 3 2" xfId="1518"/>
    <cellStyle name="好 2 2 2 2" xfId="1519"/>
    <cellStyle name="强调文字颜色 2 3 3" xfId="1520"/>
    <cellStyle name="?鹎%U龡&amp;H齲_x0001_C铣_x0014__x0007__x0001__x0001_ 4 4_2015财政决算公开" xfId="1521"/>
    <cellStyle name="20% - 强调文字颜色 5 5 2" xfId="1522"/>
    <cellStyle name="?鹎%U龡&amp;H齲_x0001_C铣_x0014__x0007__x0001__x0001_ 4 5" xfId="1523"/>
    <cellStyle name="?鹎%U龡&amp;H齲_x0001_C铣_x0014__x0007__x0001__x0001_ 4 5 2" xfId="1524"/>
    <cellStyle name="?鹎%U龡&amp;H齲_x0001_C铣_x0014__x0007__x0001__x0001_ 4 5 2 2" xfId="1525"/>
    <cellStyle name="差 4 3 2" xfId="1526"/>
    <cellStyle name="?鹎%U龡&amp;H齲_x0001_C铣_x0014__x0007__x0001__x0001_ 4 5 3" xfId="1527"/>
    <cellStyle name="?鹎%U龡&amp;H齲_x0001_C铣_x0014__x0007__x0001__x0001_ 4 5 3 2" xfId="1528"/>
    <cellStyle name="?鹎%U龡&amp;H齲_x0001_C铣_x0014__x0007__x0001__x0001_ 4 6" xfId="1529"/>
    <cellStyle name="输入 3" xfId="1530"/>
    <cellStyle name="常规 2 9" xfId="1531"/>
    <cellStyle name="?鹎%U龡&amp;H齲_x0001_C铣_x0014__x0007__x0001__x0001_ 4 6 2" xfId="1532"/>
    <cellStyle name="强调文字颜色 2 3 2 3" xfId="1533"/>
    <cellStyle name="20% - 强调文字颜色 5 5 2_2015财政决算公开" xfId="1534"/>
    <cellStyle name="?鹎%U龡&amp;H齲_x0001_C铣_x0014__x0007__x0001__x0001_ 4 6 2 2" xfId="1535"/>
    <cellStyle name="强调文字颜色 2 3 2 3 2" xfId="1536"/>
    <cellStyle name="?鹎%U龡&amp;H齲_x0001_C铣_x0014__x0007__x0001__x0001_ 4 6 3" xfId="1537"/>
    <cellStyle name="强调文字颜色 2 3 2 4" xfId="1538"/>
    <cellStyle name="?鹎%U龡&amp;H齲_x0001_C铣_x0014__x0007__x0001__x0001_ 4 6 3 2" xfId="1539"/>
    <cellStyle name="货币 4 4 3" xfId="1540"/>
    <cellStyle name="?鹎%U龡&amp;H齲_x0001_C铣_x0014__x0007__x0001__x0001_ 4 6_2015财政决算公开" xfId="1541"/>
    <cellStyle name="?鹎%U龡&amp;H齲_x0001_C铣_x0014__x0007__x0001__x0001_ 4 7" xfId="1542"/>
    <cellStyle name="常规 3 9" xfId="1543"/>
    <cellStyle name="?鹎%U龡&amp;H齲_x0001_C铣_x0014__x0007__x0001__x0001_ 4 7 2" xfId="1544"/>
    <cellStyle name="强调文字颜色 2 3 3 3" xfId="1545"/>
    <cellStyle name="20% - 强调文字颜色 5 5 2 3" xfId="1546"/>
    <cellStyle name="40% - 强调文字颜色 5 3 2_2015财政决算公开" xfId="1547"/>
    <cellStyle name="?鹎%U龡&amp;H齲_x0001_C铣_x0014__x0007__x0001__x0001_ 4 8" xfId="1548"/>
    <cellStyle name="常规 4 2 7" xfId="1549"/>
    <cellStyle name="千位分隔 4 2 2 3" xfId="1550"/>
    <cellStyle name="?鹎%U龡&amp;H齲_x0001_C铣_x0014__x0007__x0001__x0001_ 4 8 2" xfId="1551"/>
    <cellStyle name="?鹎%U龡&amp;H齲_x0001_C铣_x0014__x0007__x0001__x0001_ 4 9" xfId="1552"/>
    <cellStyle name="千位分隔 4 2 3 3" xfId="1553"/>
    <cellStyle name="常规 5 9" xfId="1554"/>
    <cellStyle name="?鹎%U龡&amp;H齲_x0001_C铣_x0014__x0007__x0001__x0001_ 4 9 2" xfId="1555"/>
    <cellStyle name="?鹎%U龡&amp;H齲_x0001_C铣_x0014__x0007__x0001__x0001_ 4_2015财政决算公开" xfId="1556"/>
    <cellStyle name="60% - 强调文字颜色 5 5 2 2 2" xfId="1557"/>
    <cellStyle name="?鹎%U龡&amp;H齲_x0001_C铣_x0014__x0007__x0001__x0001_ 5 3 2" xfId="1558"/>
    <cellStyle name="60% - 强调文字颜色 5 5 2 3" xfId="1559"/>
    <cellStyle name="40% - 强调文字颜色 6 3 2 2 2 2" xfId="1560"/>
    <cellStyle name="?鹎%U龡&amp;H齲_x0001_C铣_x0014__x0007__x0001__x0001_ 5 4" xfId="1561"/>
    <cellStyle name="强调文字颜色 4 2 3 3 2" xfId="1562"/>
    <cellStyle name="?鹎%U龡&amp;H齲_x0001_C铣_x0014__x0007__x0001__x0001_ 6 2" xfId="1563"/>
    <cellStyle name="标题 2 2 4" xfId="1564"/>
    <cellStyle name="货币 3 6" xfId="1565"/>
    <cellStyle name="?鹎%U龡&amp;H齲_x0001_C铣_x0014__x0007__x0001__x0001_ 6 2 2" xfId="1566"/>
    <cellStyle name="标题 2 2 4 2" xfId="1567"/>
    <cellStyle name="货币 4 6" xfId="1568"/>
    <cellStyle name="?鹎%U龡&amp;H齲_x0001_C铣_x0014__x0007__x0001__x0001_ 6 3 2" xfId="1569"/>
    <cellStyle name="?鹎%U龡&amp;H齲_x0001_C铣_x0014__x0007__x0001__x0001_ 6 4" xfId="1570"/>
    <cellStyle name="?鹎%U龡&amp;H齲_x0001_C铣_x0014__x0007__x0001__x0001_ 6_2015财政决算公开" xfId="1571"/>
    <cellStyle name="计算 7" xfId="1572"/>
    <cellStyle name="20% - 着色 5" xfId="1573"/>
    <cellStyle name="强调文字颜色 4 2 3 4" xfId="1574"/>
    <cellStyle name="?鹎%U龡&amp;H齲_x0001_C铣_x0014__x0007__x0001__x0001_ 7" xfId="1575"/>
    <cellStyle name="20% - 强调文字颜色 1 2" xfId="1576"/>
    <cellStyle name="20% - 强调文字颜色 1 2 2" xfId="1577"/>
    <cellStyle name="20% - 强调文字颜色 1 2 2 2 2 2" xfId="1578"/>
    <cellStyle name="60% - 强调文字颜色 4 2 3 3 2" xfId="1579"/>
    <cellStyle name="20% - 强调文字颜色 1 2 2 2 3" xfId="1580"/>
    <cellStyle name="40% - 强调文字颜色 6 5 3 2" xfId="1581"/>
    <cellStyle name="20% - 强调文字颜色 1 2 2 3 2" xfId="1582"/>
    <cellStyle name="20% - 强调文字颜色 1 2 2 4" xfId="1583"/>
    <cellStyle name="计算 4 4" xfId="1584"/>
    <cellStyle name="20% - 强调文字颜色 1 2 2_2015财政决算公开" xfId="1585"/>
    <cellStyle name="20% - 强调文字颜色 1 2 3" xfId="1586"/>
    <cellStyle name="20% - 强调文字颜色 1 2 3 2 2 2" xfId="1587"/>
    <cellStyle name="常规 13 2 2 2 2" xfId="1588"/>
    <cellStyle name="注释 3 2 3 2" xfId="1589"/>
    <cellStyle name="20% - 强调文字颜色 1 2 3 2 3" xfId="1590"/>
    <cellStyle name="20% - 强调文字颜色 1 2 3 5" xfId="1591"/>
    <cellStyle name="20% - 强调文字颜色 1 3 2 2 3" xfId="1592"/>
    <cellStyle name="20% - 强调文字颜色 1 2 3_2015财政决算公开" xfId="1593"/>
    <cellStyle name="20% - 强调文字颜色 1 2 4" xfId="1594"/>
    <cellStyle name="40% - 强调文字颜色 1 5 3" xfId="1595"/>
    <cellStyle name="20% - 强调文字颜色 1 2 4 2 2" xfId="1596"/>
    <cellStyle name="20% - 强调文字颜色 1 2 4 3" xfId="1597"/>
    <cellStyle name="20% - 强调文字颜色 1 2 4 4" xfId="1598"/>
    <cellStyle name="20% - 强调文字颜色 1 3 2 3 2" xfId="1599"/>
    <cellStyle name="20% - 强调文字颜色 1 2 4_2015财政决算公开" xfId="1600"/>
    <cellStyle name="20% - 强调文字颜色 1 2 5 2" xfId="1601"/>
    <cellStyle name="千位分隔 3 6 2 2" xfId="1602"/>
    <cellStyle name="强调文字颜色 2 2 2 2" xfId="1603"/>
    <cellStyle name="20% - 强调文字颜色 1 3" xfId="1604"/>
    <cellStyle name="强调文字颜色 2 2 2 2 2" xfId="1605"/>
    <cellStyle name="20% - 强调文字颜色 1 3 2" xfId="1606"/>
    <cellStyle name="强调文字颜色 2 2 2 2 2 2" xfId="1607"/>
    <cellStyle name="20% - 强调文字颜色 1 3 2 2" xfId="1608"/>
    <cellStyle name="20% - 强调文字颜色 1 3 2 2 2 2" xfId="1609"/>
    <cellStyle name="20% - 强调文字颜色 1 3 2 2_2015财政决算公开" xfId="1610"/>
    <cellStyle name="20% - 强调文字颜色 1 3 2 3" xfId="1611"/>
    <cellStyle name="20% - 强调文字颜色 1 3 2 4" xfId="1612"/>
    <cellStyle name="强调文字颜色 3 2 3 2 2 2" xfId="1613"/>
    <cellStyle name="60% - 强调文字颜色 1 5 2 2 2" xfId="1614"/>
    <cellStyle name="20% - 强调文字颜色 1 3 2_2015财政决算公开" xfId="1615"/>
    <cellStyle name="强调文字颜色 2 2 2 2 3" xfId="1616"/>
    <cellStyle name="20% - 强调文字颜色 1 3 3" xfId="1617"/>
    <cellStyle name="20% - 强调文字颜色 1 3 3 2" xfId="1618"/>
    <cellStyle name="20% - 强调文字颜色 1 3 3 3" xfId="1619"/>
    <cellStyle name="常规 2 2 2 2 2" xfId="1620"/>
    <cellStyle name="20% - 强调文字颜色 1 3 3_2015财政决算公开" xfId="1621"/>
    <cellStyle name="20% - 强调文字颜色 1 3 4" xfId="1622"/>
    <cellStyle name="20% - 强调文字颜色 1 3 4 2" xfId="1623"/>
    <cellStyle name="20% - 强调文字颜色 1 3_2015财政决算公开" xfId="1624"/>
    <cellStyle name="20% - 强调文字颜色 1 4 2 2" xfId="1625"/>
    <cellStyle name="20% - 强调文字颜色 1 4 2 3" xfId="1626"/>
    <cellStyle name="20% - 强调文字颜色 1 4 2_2015财政决算公开" xfId="1627"/>
    <cellStyle name="20% - 强调文字颜色 1 4 3" xfId="1628"/>
    <cellStyle name="计算 3 2" xfId="1629"/>
    <cellStyle name="标题 2 2_2015财政决算公开" xfId="1630"/>
    <cellStyle name="20% - 着色 1 2" xfId="1631"/>
    <cellStyle name="20% - 强调文字颜色 1 4 3 2" xfId="1632"/>
    <cellStyle name="20% - 强调文字颜色 1 4 4" xfId="1633"/>
    <cellStyle name="40% - 强调文字颜色 3 6_2015财政决算公开" xfId="1634"/>
    <cellStyle name="强调文字颜色 4 5 2 2" xfId="1635"/>
    <cellStyle name="百分比 4" xfId="1636"/>
    <cellStyle name="20% - 强调文字颜色 1 4_2015财政决算公开" xfId="1637"/>
    <cellStyle name="20% - 强调文字颜色 5 3 3" xfId="1638"/>
    <cellStyle name="60% - 强调文字颜色 3 3" xfId="1639"/>
    <cellStyle name="20% - 强调文字颜色 1 5 2 2" xfId="1640"/>
    <cellStyle name="60% - 强调文字颜色 3 3 2" xfId="1641"/>
    <cellStyle name="20% - 强调文字颜色 1 5 2 2 2" xfId="1642"/>
    <cellStyle name="汇总 7" xfId="1643"/>
    <cellStyle name="20% - 强调文字颜色 6 2 2_2015财政决算公开" xfId="1644"/>
    <cellStyle name="20% - 强调文字颜色 3 2 3 4" xfId="1645"/>
    <cellStyle name="常规 2 4 2 6 2" xfId="1646"/>
    <cellStyle name="60% - 强调文字颜色 3 4" xfId="1647"/>
    <cellStyle name="20% - 强调文字颜色 1 5 2 3" xfId="1648"/>
    <cellStyle name="常规 2 3 2 3 3 2" xfId="1649"/>
    <cellStyle name="20% - 强调文字颜色 1 5 2_2015财政决算公开" xfId="1650"/>
    <cellStyle name="强调文字颜色 6 2 3 3" xfId="1651"/>
    <cellStyle name="20% - 强调文字颜色 4 2 3 2_2015财政决算公开" xfId="1652"/>
    <cellStyle name="20% - 强调文字颜色 1 5 3" xfId="1653"/>
    <cellStyle name="计算 4 2" xfId="1654"/>
    <cellStyle name="20% - 着色 2 2" xfId="1655"/>
    <cellStyle name="60% - 强调文字颜色 4 3" xfId="1656"/>
    <cellStyle name="20% - 强调文字颜色 1 5 3 2" xfId="1657"/>
    <cellStyle name="20% - 强调文字颜色 1 5 4" xfId="1658"/>
    <cellStyle name="强调文字颜色 4 5 3 2" xfId="1659"/>
    <cellStyle name="20% - 强调文字颜色 1 6 2 2" xfId="1660"/>
    <cellStyle name="20% - 强调文字颜色 1 6 3" xfId="1661"/>
    <cellStyle name="计算 5 2" xfId="1662"/>
    <cellStyle name="20% - 着色 3 2" xfId="1663"/>
    <cellStyle name="60% - 强调文字颜色 3 2 3 2 2 2" xfId="1664"/>
    <cellStyle name="货币 4 2 4" xfId="1665"/>
    <cellStyle name="20% - 强调文字颜色 1 6_2015财政决算公开" xfId="1666"/>
    <cellStyle name="20% - 强调文字颜色 2 2" xfId="1667"/>
    <cellStyle name="40% - 强调文字颜色 3 2 7" xfId="1668"/>
    <cellStyle name="20% - 强调文字颜色 2 2 2" xfId="1669"/>
    <cellStyle name="标题 2 8" xfId="1670"/>
    <cellStyle name="20% - 强调文字颜色 2 2 2 2 2 2" xfId="1671"/>
    <cellStyle name="60% - 强调文字颜色 5 2 3 3 2" xfId="1672"/>
    <cellStyle name="20% - 强调文字颜色 2 2 2 2 3" xfId="1673"/>
    <cellStyle name="20% - 强调文字颜色 2 2 2 2_2015财政决算公开" xfId="1674"/>
    <cellStyle name="常规 2 2 2 2 5 2" xfId="1675"/>
    <cellStyle name="20% - 强调文字颜色 2 2 2 4" xfId="1676"/>
    <cellStyle name="检查单元格 6 2" xfId="1677"/>
    <cellStyle name="小数 4 2" xfId="1678"/>
    <cellStyle name="20% - 强调文字颜色 2 2 2_2015财政决算公开" xfId="1679"/>
    <cellStyle name="常规 2 5 2 2 2" xfId="1680"/>
    <cellStyle name="20% - 强调文字颜色 2 2 3" xfId="1681"/>
    <cellStyle name="60% - 强调文字颜色 2 4 3" xfId="1682"/>
    <cellStyle name="20% - 强调文字颜色 2 2 3 2 2 2" xfId="1683"/>
    <cellStyle name="20% - 强调文字颜色 2 2 3 2 3" xfId="1684"/>
    <cellStyle name="40% - 强调文字颜色 1 3 2 2_2015财政决算公开" xfId="1685"/>
    <cellStyle name="20% - 强调文字颜色 2 2 3 2_2015财政决算公开" xfId="1686"/>
    <cellStyle name="60% - 强调文字颜色 1 2 3 2 2 2" xfId="1687"/>
    <cellStyle name="20% - 强调文字颜色 2 2 4" xfId="1688"/>
    <cellStyle name="20% - 强调文字颜色 2 2 4 2" xfId="1689"/>
    <cellStyle name="20% - 强调文字颜色 2 2 4 3" xfId="1690"/>
    <cellStyle name="40% - 强调文字颜色 3 3 2_2015财政决算公开" xfId="1691"/>
    <cellStyle name="20% - 强调文字颜色 2 2 4 4" xfId="1692"/>
    <cellStyle name="20% - 强调文字颜色 2 2 5 2" xfId="1693"/>
    <cellStyle name="千位分隔 4 6 2 2" xfId="1694"/>
    <cellStyle name="20% - 强调文字颜色 2 2 6" xfId="1695"/>
    <cellStyle name="千位分隔 4 6 3" xfId="1696"/>
    <cellStyle name="60% - 强调文字颜色 1 4 2 3" xfId="1697"/>
    <cellStyle name="20% - 强调文字颜色 2 2_2015财政决算公开" xfId="1698"/>
    <cellStyle name="20% - 强调文字颜色 4 3 2 3 2" xfId="1699"/>
    <cellStyle name="强调文字颜色 2 2 3 2" xfId="1700"/>
    <cellStyle name="20% - 强调文字颜色 2 3" xfId="1701"/>
    <cellStyle name="20% - 强调文字颜色 5 4 2 2" xfId="1702"/>
    <cellStyle name="常规 35" xfId="1703"/>
    <cellStyle name="常规 40" xfId="1704"/>
    <cellStyle name="强调文字颜色 2 2 3 2 2" xfId="1705"/>
    <cellStyle name="20% - 强调文字颜色 2 3 2" xfId="1706"/>
    <cellStyle name="40% - 强调文字颜色 3 2 3 5" xfId="1707"/>
    <cellStyle name="20% - 强调文字颜色 5 4 2 2 2" xfId="1708"/>
    <cellStyle name="强调文字颜色 2 2 3 2 2 2" xfId="1709"/>
    <cellStyle name="20% - 强调文字颜色 2 3 2 2" xfId="1710"/>
    <cellStyle name="20% - 强调文字颜色 2 3 2 2 2 2" xfId="1711"/>
    <cellStyle name="20% - 强调文字颜色 2 3 2 2 3" xfId="1712"/>
    <cellStyle name="20% - 强调文字颜色 2 3 2 2_2015财政决算公开" xfId="1713"/>
    <cellStyle name="20% - 强调文字颜色 2 3 2 3" xfId="1714"/>
    <cellStyle name="20% - 强调文字颜色 2 3 2 3 2" xfId="1715"/>
    <cellStyle name="20% - 强调文字颜色 2 3 2 4" xfId="1716"/>
    <cellStyle name="20% - 强调文字颜色 2 3 2_2015财政决算公开" xfId="1717"/>
    <cellStyle name="常规 36" xfId="1718"/>
    <cellStyle name="常规 41" xfId="1719"/>
    <cellStyle name="强调文字颜色 2 2 3 2 3" xfId="1720"/>
    <cellStyle name="20% - 强调文字颜色 2 3 3" xfId="1721"/>
    <cellStyle name="20% - 强调文字颜色 2 3 3 2" xfId="1722"/>
    <cellStyle name="20% - 强调文字颜色 2 3 3 2 2" xfId="1723"/>
    <cellStyle name="20% - 强调文字颜色 2 3 3 3" xfId="1724"/>
    <cellStyle name="20% - 强调文字颜色 2 3 3_2015财政决算公开" xfId="1725"/>
    <cellStyle name="常规 37" xfId="1726"/>
    <cellStyle name="常规 42" xfId="1727"/>
    <cellStyle name="20% - 强调文字颜色 2 3 4" xfId="1728"/>
    <cellStyle name="40% - 强调文字颜色 1 2 6" xfId="1729"/>
    <cellStyle name="20% - 强调文字颜色 2 3 4 2" xfId="1730"/>
    <cellStyle name="常规 2 4 2 2 4 2" xfId="1731"/>
    <cellStyle name="20% - 强调文字颜色 2 3_2015财政决算公开" xfId="1732"/>
    <cellStyle name="20% - 强调文字颜色 2 4 2 2" xfId="1733"/>
    <cellStyle name="输出 2" xfId="1734"/>
    <cellStyle name="20% - 强调文字颜色 2 4 2 3" xfId="1735"/>
    <cellStyle name="输出 3" xfId="1736"/>
    <cellStyle name="20% - 强调文字颜色 2 4 2_2015财政决算公开" xfId="1737"/>
    <cellStyle name="20% - 强调文字颜色 6 5_2015财政决算公开" xfId="1738"/>
    <cellStyle name="20% - 强调文字颜色 2 4 3" xfId="1739"/>
    <cellStyle name="20% - 强调文字颜色 2 4 3 2" xfId="1740"/>
    <cellStyle name="20% - 强调文字颜色 2 4 4" xfId="1741"/>
    <cellStyle name="强调文字颜色 4 6 2 2" xfId="1742"/>
    <cellStyle name="20% - 强调文字颜色 2 4_2015财政决算公开" xfId="1743"/>
    <cellStyle name="强调文字颜色 2 2 3 4" xfId="1744"/>
    <cellStyle name="20% - 强调文字颜色 2 5" xfId="1745"/>
    <cellStyle name="20% - 强调文字颜色 2 5 2" xfId="1746"/>
    <cellStyle name="20% - 强调文字颜色 2 5 2 2" xfId="1747"/>
    <cellStyle name="20% - 强调文字颜色 2 5 2 2 2" xfId="1748"/>
    <cellStyle name="20% - 强调文字颜色 2 5 2 3" xfId="1749"/>
    <cellStyle name="20% - 强调文字颜色 2 5 3" xfId="1750"/>
    <cellStyle name="20% - 强调文字颜色 2 5 3 2" xfId="1751"/>
    <cellStyle name="20% - 强调文字颜色 4 6_2015财政决算公开" xfId="1752"/>
    <cellStyle name="20% - 强调文字颜色 2 5 4" xfId="1753"/>
    <cellStyle name="20% - 强调文字颜色 2 5_2015财政决算公开" xfId="1754"/>
    <cellStyle name="20% - 强调文字颜色 6 3 4" xfId="1755"/>
    <cellStyle name="20% - 强调文字颜色 4 5 2 2" xfId="1756"/>
    <cellStyle name="20% - 强调文字颜色 2 6 2 2" xfId="1757"/>
    <cellStyle name="20% - 强调文字颜色 2 6 3" xfId="1758"/>
    <cellStyle name="60% - 强调文字颜色 1 2 2 2" xfId="1759"/>
    <cellStyle name="20% - 强调文字颜色 2 6_2015财政决算公开" xfId="1760"/>
    <cellStyle name="常规 3 2 5" xfId="1761"/>
    <cellStyle name="20% - 强调文字颜色 3 2" xfId="1762"/>
    <cellStyle name="常规 3 2 5 2" xfId="1763"/>
    <cellStyle name="40% - 强调文字颜色 4 2 7" xfId="1764"/>
    <cellStyle name="20% - 强调文字颜色 3 2 2" xfId="1765"/>
    <cellStyle name="常规 2 2 6 4" xfId="1766"/>
    <cellStyle name="百分比 4 2 4" xfId="1767"/>
    <cellStyle name="20% - 强调文字颜色 3 2 2 2" xfId="1768"/>
    <cellStyle name="20% - 强调文字颜色 3 2 2 2 2" xfId="1769"/>
    <cellStyle name="20% - 强调文字颜色 3 2 2 2 2 2" xfId="1770"/>
    <cellStyle name="60% - 强调文字颜色 6 2 3 3 2" xfId="1771"/>
    <cellStyle name="20% - 强调文字颜色 3 2 2 2 3" xfId="1772"/>
    <cellStyle name="20% - 强调文字颜色 4 2 2 2_2015财政决算公开" xfId="1773"/>
    <cellStyle name="常规 51 2" xfId="1774"/>
    <cellStyle name="20% - 强调文字颜色 3 2 2 2_2015财政决算公开" xfId="1775"/>
    <cellStyle name="20% - 强调文字颜色 3 2 2 3 2" xfId="1776"/>
    <cellStyle name="常规 12 2 3 2 2" xfId="1777"/>
    <cellStyle name="20% - 强调文字颜色 3 2 2 4" xfId="1778"/>
    <cellStyle name="20% - 强调文字颜色 3 2 2_2015财政决算公开" xfId="1779"/>
    <cellStyle name="20% - 强调文字颜色 3 2 3" xfId="1780"/>
    <cellStyle name="汇总 5" xfId="1781"/>
    <cellStyle name="常规 2 2 7 4" xfId="1782"/>
    <cellStyle name="20% - 强调文字颜色 3 2 3 2" xfId="1783"/>
    <cellStyle name="汇总 5 2" xfId="1784"/>
    <cellStyle name="常规 2 2 7 4 2" xfId="1785"/>
    <cellStyle name="20% - 强调文字颜色 3 2 3 2 2" xfId="1786"/>
    <cellStyle name="汇总 5 2 2" xfId="1787"/>
    <cellStyle name="20% - 强调文字颜色 3 2 3 2 2 2" xfId="1788"/>
    <cellStyle name="汇总 5 3" xfId="1789"/>
    <cellStyle name="20% - 强调文字颜色 3 2 3 2 3" xfId="1790"/>
    <cellStyle name="20% - 强调文字颜色 6 2 3 2" xfId="1791"/>
    <cellStyle name="常规 5 4" xfId="1792"/>
    <cellStyle name="常规 4 3 2" xfId="1793"/>
    <cellStyle name="20% - 强调文字颜色 3 2 3 2_2015财政决算公开" xfId="1794"/>
    <cellStyle name="汇总 6" xfId="1795"/>
    <cellStyle name="常规 2 2 7 5" xfId="1796"/>
    <cellStyle name="20% - 强调文字颜色 3 2 3 3" xfId="1797"/>
    <cellStyle name="汇总 6 2" xfId="1798"/>
    <cellStyle name="常规 10 2 3" xfId="1799"/>
    <cellStyle name="20% - 强调文字颜色 3 2 3 3 2" xfId="1800"/>
    <cellStyle name="汇总 2 2 2 2" xfId="1801"/>
    <cellStyle name="20% - 强调文字颜色 3 2 3 5" xfId="1802"/>
    <cellStyle name="解释性文本 6 2" xfId="1803"/>
    <cellStyle name="20% - 强调文字颜色 3 2 3_2015财政决算公开" xfId="1804"/>
    <cellStyle name="差 3 2" xfId="1805"/>
    <cellStyle name="20% - 强调文字颜色 3 2 4" xfId="1806"/>
    <cellStyle name="20% - 强调文字颜色 3 2 4 2" xfId="1807"/>
    <cellStyle name="20% - 强调文字颜色 3 2 4 3" xfId="1808"/>
    <cellStyle name="20% - 强调文字颜色 3 2 4 4" xfId="1809"/>
    <cellStyle name="20% - 强调文字颜色 3 2 4_2015财政决算公开" xfId="1810"/>
    <cellStyle name="货币 3 3 4 2" xfId="1811"/>
    <cellStyle name="20% - 强调文字颜色 3 2 5" xfId="1812"/>
    <cellStyle name="20% - 强调文字颜色 3 2 5 2" xfId="1813"/>
    <cellStyle name="20% - 强调文字颜色 3 2 6" xfId="1814"/>
    <cellStyle name="20% - 强调文字颜色 3 2 7" xfId="1815"/>
    <cellStyle name="常规 3 2 6" xfId="1816"/>
    <cellStyle name="强调文字颜色 2 2 4 2" xfId="1817"/>
    <cellStyle name="20% - 强调文字颜色 3 3" xfId="1818"/>
    <cellStyle name="20% - 强调文字颜色 5 4 3 2" xfId="1819"/>
    <cellStyle name="适中 8" xfId="1820"/>
    <cellStyle name="常规 2 3 6 4" xfId="1821"/>
    <cellStyle name="百分比 5 2 4" xfId="1822"/>
    <cellStyle name="20% - 强调文字颜色 3 3 2 2" xfId="1823"/>
    <cellStyle name="常规 2 3 6 4 2" xfId="1824"/>
    <cellStyle name="20% - 强调文字颜色 3 3 2 2 2" xfId="1825"/>
    <cellStyle name="20% - 强调文字颜色 3 3 2 2 2 2" xfId="1826"/>
    <cellStyle name="20% - 强调文字颜色 3 3 2 2 3" xfId="1827"/>
    <cellStyle name="20% - 强调文字颜色 3 3 2 2_2015财政决算公开" xfId="1828"/>
    <cellStyle name="20% - 强调文字颜色 3 3 2 3 2" xfId="1829"/>
    <cellStyle name="常规 3 2 2" xfId="1830"/>
    <cellStyle name="输出 4 2 2 2" xfId="1831"/>
    <cellStyle name="20% - 强调文字颜色 3 3 2_2015财政决算公开" xfId="1832"/>
    <cellStyle name="20% - 强调文字颜色 3 3 3" xfId="1833"/>
    <cellStyle name="20% - 强调文字颜色 3 3 3 2" xfId="1834"/>
    <cellStyle name="差 3 3 2 2" xfId="1835"/>
    <cellStyle name="20% - 强调文字颜色 3 3 3_2015财政决算公开" xfId="1836"/>
    <cellStyle name="20% - 强调文字颜色 4 2 2 2" xfId="1837"/>
    <cellStyle name="20% - 强调文字颜色 3 3 4" xfId="1838"/>
    <cellStyle name="20% - 强调文字颜色 4 2 2 2 2" xfId="1839"/>
    <cellStyle name="20% - 强调文字颜色 3 3 4 2" xfId="1840"/>
    <cellStyle name="20% - 强调文字颜色 4 2 2 3" xfId="1841"/>
    <cellStyle name="20% - 强调文字颜色 3 3 5" xfId="1842"/>
    <cellStyle name="20% - 强调文字颜色 3 3_2015财政决算公开" xfId="1843"/>
    <cellStyle name="20% - 强调文字颜色 3 4 2" xfId="1844"/>
    <cellStyle name="常规 2 4 6 4" xfId="1845"/>
    <cellStyle name="百分比 6 2 4" xfId="1846"/>
    <cellStyle name="20% - 强调文字颜色 3 4 2 2" xfId="1847"/>
    <cellStyle name="常规 2 4 6 4 2" xfId="1848"/>
    <cellStyle name="20% - 强调文字颜色 3 4 2 2 2" xfId="1849"/>
    <cellStyle name="常规 2 5 2" xfId="1850"/>
    <cellStyle name="常规 2 4 6 5" xfId="1851"/>
    <cellStyle name="20% - 强调文字颜色 3 4 2 3" xfId="1852"/>
    <cellStyle name="常规 48" xfId="1853"/>
    <cellStyle name="常规 53" xfId="1854"/>
    <cellStyle name="20% - 强调文字颜色 3 4 2_2015财政决算公开" xfId="1855"/>
    <cellStyle name="20% - 强调文字颜色 3 4 3" xfId="1856"/>
    <cellStyle name="20% - 强调文字颜色 3 4 3 2" xfId="1857"/>
    <cellStyle name="20% - 强调文字颜色 4 2 3 2" xfId="1858"/>
    <cellStyle name="20% - 强调文字颜色 3 4 4" xfId="1859"/>
    <cellStyle name="20% - 强调文字颜色 3 4_2015财政决算公开" xfId="1860"/>
    <cellStyle name="常规 3 2 8" xfId="1861"/>
    <cellStyle name="20% - 强调文字颜色 3 5" xfId="1862"/>
    <cellStyle name="常规 3 2 8 2" xfId="1863"/>
    <cellStyle name="20% - 强调文字颜色 3 5 2" xfId="1864"/>
    <cellStyle name="百分比 7 2 4" xfId="1865"/>
    <cellStyle name="20% - 强调文字颜色 3 5 2 2" xfId="1866"/>
    <cellStyle name="警告文本 3 2 3" xfId="1867"/>
    <cellStyle name="20% - 强调文字颜色 3 5 2 2 2" xfId="1868"/>
    <cellStyle name="常规 3 5 2" xfId="1869"/>
    <cellStyle name="20% - 强调文字颜色 3 5 2 3" xfId="1870"/>
    <cellStyle name="20% - 强调文字颜色 3 5 2_2015财政决算公开" xfId="1871"/>
    <cellStyle name="20% - 强调文字颜色 3 5 3" xfId="1872"/>
    <cellStyle name="20% - 强调文字颜色 3 5 3 2" xfId="1873"/>
    <cellStyle name="20% - 强调文字颜色 4 2 4 2" xfId="1874"/>
    <cellStyle name="20% - 强调文字颜色 3 5 4" xfId="1875"/>
    <cellStyle name="20% - 强调文字颜色 3 6 3" xfId="1876"/>
    <cellStyle name="60% - 强调文字颜色 1 3 2 2" xfId="1877"/>
    <cellStyle name="20% - 强调文字颜色 3 6_2015财政决算公开" xfId="1878"/>
    <cellStyle name="好 3 2 2 3" xfId="1879"/>
    <cellStyle name="常规 3 3 5" xfId="1880"/>
    <cellStyle name="标题 5 3 2 2" xfId="1881"/>
    <cellStyle name="20% - 强调文字颜色 4 2" xfId="1882"/>
    <cellStyle name="标题 5 3 2 2 2" xfId="1883"/>
    <cellStyle name="20% - 强调文字颜色 4 2 2" xfId="1884"/>
    <cellStyle name="20% - 强调文字颜色 4 2 2 2 3" xfId="1885"/>
    <cellStyle name="20% - 强调文字颜色 4 2 2 3 2" xfId="1886"/>
    <cellStyle name="20% - 强调文字颜色 4 2 2 4" xfId="1887"/>
    <cellStyle name="20% - 强调文字颜色 4 2 2_2015财政决算公开" xfId="1888"/>
    <cellStyle name="20% - 强调文字颜色 4 2 3" xfId="1889"/>
    <cellStyle name="20% - 强调文字颜色 4 2 3 2 2" xfId="1890"/>
    <cellStyle name="常规 2 7 2" xfId="1891"/>
    <cellStyle name="20% - 强调文字颜色 4 2 3 2 3" xfId="1892"/>
    <cellStyle name="60% - 强调文字颜色 1 9" xfId="1893"/>
    <cellStyle name="20% - 强调文字颜色 5 3 2 2_2015财政决算公开" xfId="1894"/>
    <cellStyle name="20% - 强调文字颜色 4 2 3 3 2" xfId="1895"/>
    <cellStyle name="20% - 强调文字颜色 4 2 3 4" xfId="1896"/>
    <cellStyle name="汇总 3 2 2 2" xfId="1897"/>
    <cellStyle name="20% - 强调文字颜色 4 2 3 5" xfId="1898"/>
    <cellStyle name="20% - 强调文字颜色 4 2 3_2015财政决算公开" xfId="1899"/>
    <cellStyle name="20% - 强调文字颜色 4 2 4" xfId="1900"/>
    <cellStyle name="20% - 强调文字颜色 4 2 4 2 2" xfId="1901"/>
    <cellStyle name="20% - 强调文字颜色 4 2 4 3" xfId="1902"/>
    <cellStyle name="20% - 强调文字颜色 4 2 4 4" xfId="1903"/>
    <cellStyle name="好 6 2" xfId="1904"/>
    <cellStyle name="20% - 强调文字颜色 4 2 4_2015财政决算公开" xfId="1905"/>
    <cellStyle name="标题 3 2 3 2" xfId="1906"/>
    <cellStyle name="20% - 强调文字颜色 4 2 5" xfId="1907"/>
    <cellStyle name="60% - 强调文字颜色 1 3 2 3" xfId="1908"/>
    <cellStyle name="20% - 强调文字颜色 4 2 5 2" xfId="1909"/>
    <cellStyle name="20% - 强调文字颜色 4 2 6" xfId="1910"/>
    <cellStyle name="常规 10 3 2" xfId="1911"/>
    <cellStyle name="20% - 强调文字颜色 4 2 7" xfId="1912"/>
    <cellStyle name="40% - 强调文字颜色 4 5 3 2" xfId="1913"/>
    <cellStyle name="检查单元格 8" xfId="1914"/>
    <cellStyle name="常规 2 5 2 4" xfId="1915"/>
    <cellStyle name="20% - 强调文字颜色 4 2_2015财政决算公开" xfId="1916"/>
    <cellStyle name="输出 3 2 3" xfId="1917"/>
    <cellStyle name="标题 5 3 2 3" xfId="1918"/>
    <cellStyle name="强调文字颜色 2 2 5 2" xfId="1919"/>
    <cellStyle name="20% - 强调文字颜色 4 3" xfId="1920"/>
    <cellStyle name="20% - 强调文字颜色 4 3 2" xfId="1921"/>
    <cellStyle name="20% - 强调文字颜色 4 3 4" xfId="1922"/>
    <cellStyle name="20% - 强调文字颜色 4 3 2 2" xfId="1923"/>
    <cellStyle name="20% - 强调文字颜色 4 5 4" xfId="1924"/>
    <cellStyle name="20% - 强调文字颜色 4 3 2 2 2" xfId="1925"/>
    <cellStyle name="20% - 强调文字颜色 4 3 4 2" xfId="1926"/>
    <cellStyle name="20% - 强调文字颜色 6 5 4" xfId="1927"/>
    <cellStyle name="20% - 强调文字颜色 4 3 2 2 2 2" xfId="1928"/>
    <cellStyle name="20% - 强调文字颜色 4 3 2 2 3" xfId="1929"/>
    <cellStyle name="20% - 强调文字颜色 4 3 2 2_2015财政决算公开" xfId="1930"/>
    <cellStyle name="20% - 强调文字颜色 4 3 5" xfId="1931"/>
    <cellStyle name="20% - 强调文字颜色 4 3 2 3" xfId="1932"/>
    <cellStyle name="20% - 强调文字颜色 4 3 2 4" xfId="1933"/>
    <cellStyle name="20% - 强调文字颜色 4 3 3" xfId="1934"/>
    <cellStyle name="20% - 强调文字颜色 4 4 4" xfId="1935"/>
    <cellStyle name="20% - 强调文字颜色 4 3 3 2" xfId="1936"/>
    <cellStyle name="20% - 强调文字颜色 5 5 4" xfId="1937"/>
    <cellStyle name="20% - 强调文字颜色 4 3 3 2 2" xfId="1938"/>
    <cellStyle name="20% - 强调文字颜色 4 3 3 3" xfId="1939"/>
    <cellStyle name="好 2 4 2" xfId="1940"/>
    <cellStyle name="40% - 强调文字颜色 5 3 2" xfId="1941"/>
    <cellStyle name="20% - 强调文字颜色 4 3 3_2015财政决算公开" xfId="1942"/>
    <cellStyle name="货币 2" xfId="1943"/>
    <cellStyle name="20% - 强调文字颜色 4 3_2015财政决算公开" xfId="1944"/>
    <cellStyle name="常规 44 2" xfId="1945"/>
    <cellStyle name="20% - 强调文字颜色 4 4 2" xfId="1946"/>
    <cellStyle name="20% - 强调文字颜色 5 3 4" xfId="1947"/>
    <cellStyle name="20% - 强调文字颜色 4 4 2 2" xfId="1948"/>
    <cellStyle name="20% - 强调文字颜色 5 3 4 2" xfId="1949"/>
    <cellStyle name="20% - 强调文字颜色 4 4 2 2 2" xfId="1950"/>
    <cellStyle name="20% - 强调文字颜色 5 3 5" xfId="1951"/>
    <cellStyle name="20% - 强调文字颜色 4 4 2 3" xfId="1952"/>
    <cellStyle name="20% - 强调文字颜色 4 4 2_2015财政决算公开" xfId="1953"/>
    <cellStyle name="20% - 强调文字颜色 4 4 3" xfId="1954"/>
    <cellStyle name="20% - 强调文字颜色 5 4 4" xfId="1955"/>
    <cellStyle name="20% - 强调文字颜色 4 4 3 2" xfId="1956"/>
    <cellStyle name="20% - 强调文字颜色 4 4_2015财政决算公开" xfId="1957"/>
    <cellStyle name="常规 2 3 5 2 2" xfId="1958"/>
    <cellStyle name="20% - 强调文字颜色 4 5" xfId="1959"/>
    <cellStyle name="标题 5 2 2 2 2 2" xfId="1960"/>
    <cellStyle name="20% - 强调文字颜色 4 5 2" xfId="1961"/>
    <cellStyle name="20% - 强调文字颜色 4 5 2_2015财政决算公开" xfId="1962"/>
    <cellStyle name="20% - 强调文字颜色 4 5 3" xfId="1963"/>
    <cellStyle name="20% - 强调文字颜色 6 4 4" xfId="1964"/>
    <cellStyle name="20% - 强调文字颜色 4 5 3 2" xfId="1965"/>
    <cellStyle name="20% - 强调文字颜色 4 6 2 2" xfId="1966"/>
    <cellStyle name="20% - 强调文字颜色 4 6 3" xfId="1967"/>
    <cellStyle name="60% - 强调文字颜色 1 4 2 2" xfId="1968"/>
    <cellStyle name="20% - 强调文字颜色 4 7" xfId="1969"/>
    <cellStyle name="20% - 强调文字颜色 4 7 2" xfId="1970"/>
    <cellStyle name="20% - 强调文字颜色 4 9" xfId="1971"/>
    <cellStyle name="常规 3 4 5" xfId="1972"/>
    <cellStyle name="标题 5 3 3 2" xfId="1973"/>
    <cellStyle name="20% - 强调文字颜色 5 2" xfId="1974"/>
    <cellStyle name="40% - 强调文字颜色 6 2 7" xfId="1975"/>
    <cellStyle name="20% - 强调文字颜色 5 2 2" xfId="1976"/>
    <cellStyle name="40% - 强调文字颜色 2 7" xfId="1977"/>
    <cellStyle name="常规 4 2 6 4" xfId="1978"/>
    <cellStyle name="20% - 强调文字颜色 5 2 2 2" xfId="1979"/>
    <cellStyle name="40% - 强调文字颜色 1 2 3 5" xfId="1980"/>
    <cellStyle name="40% - 强调文字颜色 2 7 2" xfId="1981"/>
    <cellStyle name="常规 4 2 6 4 2" xfId="1982"/>
    <cellStyle name="20% - 强调文字颜色 5 2 2 2 2" xfId="1983"/>
    <cellStyle name="20% - 强调文字颜色 5 2 2 2 3" xfId="1984"/>
    <cellStyle name="未定义 2" xfId="1985"/>
    <cellStyle name="20% - 强调文字颜色 5 2 2 2_2015财政决算公开" xfId="1986"/>
    <cellStyle name="货币 5 2 2" xfId="1987"/>
    <cellStyle name="40% - 强调文字颜色 2 8" xfId="1988"/>
    <cellStyle name="常规 4 2 6 5" xfId="1989"/>
    <cellStyle name="20% - 强调文字颜色 5 2 2 3" xfId="1990"/>
    <cellStyle name="20% - 强调文字颜色 5 2 2 3 2" xfId="1991"/>
    <cellStyle name="标题 1 3" xfId="1992"/>
    <cellStyle name="20% - 强调文字颜色 5 2 2 4" xfId="1993"/>
    <cellStyle name="20% - 强调文字颜色 5 2 2_2015财政决算公开" xfId="1994"/>
    <cellStyle name="20% - 强调文字颜色 5 2 3" xfId="1995"/>
    <cellStyle name="40% - 强调文字颜色 3 7" xfId="1996"/>
    <cellStyle name="20% - 强调文字颜色 5 2 3 2" xfId="1997"/>
    <cellStyle name="货币 5 3 2" xfId="1998"/>
    <cellStyle name="40% - 强调文字颜色 3 8" xfId="1999"/>
    <cellStyle name="20% - 强调文字颜色 5 2 3 3" xfId="2000"/>
    <cellStyle name="40% - 强调文字颜色 1 6 2 2" xfId="2001"/>
    <cellStyle name="40% - 强调文字颜色 4 7" xfId="2002"/>
    <cellStyle name="20% - 强调文字颜色 5 2 4 2" xfId="2003"/>
    <cellStyle name="20% - 强调文字颜色 5 2 5" xfId="2004"/>
    <cellStyle name="20% - 强调文字颜色 5 2_2015财政决算公开" xfId="2005"/>
    <cellStyle name="20% - 强调文字颜色 5 3" xfId="2006"/>
    <cellStyle name="货币 2 2 6 5" xfId="2007"/>
    <cellStyle name="20% - 强调文字颜色 5 3 2" xfId="2008"/>
    <cellStyle name="20% - 强调文字颜色 5 3 2 2" xfId="2009"/>
    <cellStyle name="20% - 强调文字颜色 5 3 2 2 2" xfId="2010"/>
    <cellStyle name="常规 3 7 3" xfId="2011"/>
    <cellStyle name="20% - 强调文字颜色 5 3 2 2 2 2" xfId="2012"/>
    <cellStyle name="20% - 强调文字颜色 5 3 2 2 3" xfId="2013"/>
    <cellStyle name="20% - 强调文字颜色 5 3 2 3 2" xfId="2014"/>
    <cellStyle name="20% - 强调文字颜色 5 3 2 4" xfId="2015"/>
    <cellStyle name="20% - 强调文字颜色 5 3 2_2015财政决算公开" xfId="2016"/>
    <cellStyle name="20% - 强调文字颜色 5 3 3 2" xfId="2017"/>
    <cellStyle name="20% - 强调文字颜色 5 3 3 2 2" xfId="2018"/>
    <cellStyle name="20% - 强调文字颜色 5 3 3 3" xfId="2019"/>
    <cellStyle name="20% - 强调文字颜色 5 4" xfId="2020"/>
    <cellStyle name="20% - 强调文字颜色 5 4 2" xfId="2021"/>
    <cellStyle name="20% - 强调文字颜色 5 4 2_2015财政决算公开" xfId="2022"/>
    <cellStyle name="20% - 强调文字颜色 5 4 3" xfId="2023"/>
    <cellStyle name="常规 2 3 5 3 2" xfId="2024"/>
    <cellStyle name="20% - 强调文字颜色 5 5" xfId="2025"/>
    <cellStyle name="20% - 强调文字颜色 5 5 2 2" xfId="2026"/>
    <cellStyle name="20% - 强调文字颜色 5 5 3" xfId="2027"/>
    <cellStyle name="20% - 强调文字颜色 5 5 3 2" xfId="2028"/>
    <cellStyle name="20% - 强调文字颜色 5 5_2015财政决算公开" xfId="2029"/>
    <cellStyle name="20% - 强调文字颜色 6 2 2 2" xfId="2030"/>
    <cellStyle name="60% - 强调文字颜色 6 3 2 2 2 2" xfId="2031"/>
    <cellStyle name="20% - 强调文字颜色 5 6 2" xfId="2032"/>
    <cellStyle name="表标题 5" xfId="2033"/>
    <cellStyle name="20% - 强调文字颜色 5 6 2 2" xfId="2034"/>
    <cellStyle name="20% - 强调文字颜色 5 6_2015财政决算公开" xfId="2035"/>
    <cellStyle name="60% - 强调文字颜色 6 3 2 2 3" xfId="2036"/>
    <cellStyle name="20% - 强调文字颜色 5 7" xfId="2037"/>
    <cellStyle name="20% - 强调文字颜色 5 7 2" xfId="2038"/>
    <cellStyle name="20% - 强调文字颜色 6 2 2 2_2015财政决算公开" xfId="2039"/>
    <cellStyle name="20% - 强调文字颜色 5 8" xfId="2040"/>
    <cellStyle name="20% - 强调文字颜色 6 2 2" xfId="2041"/>
    <cellStyle name="20% - 强调文字颜色 6 2 2 2 2" xfId="2042"/>
    <cellStyle name="常规 2 2 9" xfId="2043"/>
    <cellStyle name="20% - 强调文字颜色 6 2 2 2 2 2" xfId="2044"/>
    <cellStyle name="百分比 4 5" xfId="2045"/>
    <cellStyle name="20% - 强调文字颜色 6 2 2 2 3" xfId="2046"/>
    <cellStyle name="20% - 强调文字颜色 6 2 2 3" xfId="2047"/>
    <cellStyle name="20% - 强调文字颜色 6 2 2 4" xfId="2048"/>
    <cellStyle name="20% - 强调文字颜色 6 2 3" xfId="2049"/>
    <cellStyle name="20% - 强调文字颜色 6 2 3 2 2" xfId="2050"/>
    <cellStyle name="20% - 强调文字颜色 6 2 3 3" xfId="2051"/>
    <cellStyle name="强调文字颜色 6 2 2 2 2 2" xfId="2052"/>
    <cellStyle name="20% - 强调文字颜色 6 2 4" xfId="2053"/>
    <cellStyle name="20% - 强调文字颜色 6 2 4 2" xfId="2054"/>
    <cellStyle name="20% - 强调文字颜色 6 2 5" xfId="2055"/>
    <cellStyle name="20% - 强调文字颜色 6 2_2015财政决算公开" xfId="2056"/>
    <cellStyle name="20% - 强调文字颜色 6 3" xfId="2057"/>
    <cellStyle name="20% - 强调文字颜色 6 3 2_2015财政决算公开" xfId="2058"/>
    <cellStyle name="no dec" xfId="2059"/>
    <cellStyle name="20% - 强调文字颜色 6 3 3" xfId="2060"/>
    <cellStyle name="20% - 强调文字颜色 6 3 3_2015财政决算公开" xfId="2061"/>
    <cellStyle name="货币 2 2 2 3 2" xfId="2062"/>
    <cellStyle name="汇总 2 3 2 2" xfId="2063"/>
    <cellStyle name="20% - 强调文字颜色 6 3_2015财政决算公开" xfId="2064"/>
    <cellStyle name="20% - 强调文字颜色 6 4" xfId="2065"/>
    <cellStyle name="20% - 强调文字颜色 6 4 2" xfId="2066"/>
    <cellStyle name="20% - 强调文字颜色 6 4 2_2015财政决算公开" xfId="2067"/>
    <cellStyle name="20% - 强调文字颜色 6 4 3" xfId="2068"/>
    <cellStyle name="20% - 强调文字颜色 6 4_2015财政决算公开" xfId="2069"/>
    <cellStyle name="20% - 强调文字颜色 6 5" xfId="2070"/>
    <cellStyle name="20% - 强调文字颜色 6 5 2" xfId="2071"/>
    <cellStyle name="20% - 强调文字颜色 6 5 2_2015财政决算公开" xfId="2072"/>
    <cellStyle name="40% - 强调文字颜色 1 3 2 3" xfId="2073"/>
    <cellStyle name="20% - 强调文字颜色 6 6 2" xfId="2074"/>
    <cellStyle name="20% - 强调文字颜色 6 6 2 2" xfId="2075"/>
    <cellStyle name="40% - 强调文字颜色 3 4 2 2" xfId="2076"/>
    <cellStyle name="20% - 强调文字颜色 6 7" xfId="2077"/>
    <cellStyle name="40% - 强调文字颜色 3 4 2 2 2" xfId="2078"/>
    <cellStyle name="20% - 强调文字颜色 6 7 2" xfId="2079"/>
    <cellStyle name="40% - 强调文字颜色 3 4 2 3" xfId="2080"/>
    <cellStyle name="20% - 强调文字颜色 6 8" xfId="2081"/>
    <cellStyle name="20% - 着色 1" xfId="2082"/>
    <cellStyle name="计算 3" xfId="2083"/>
    <cellStyle name="60% - 强调文字颜色 3 2 3 2 2" xfId="2084"/>
    <cellStyle name="超级链接 4 2" xfId="2085"/>
    <cellStyle name="20% - 着色 3" xfId="2086"/>
    <cellStyle name="计算 5" xfId="2087"/>
    <cellStyle name="Currency1" xfId="2088"/>
    <cellStyle name="20% - 着色 4 2" xfId="2089"/>
    <cellStyle name="计算 6 2" xfId="2090"/>
    <cellStyle name="20% - 着色 5 2" xfId="2091"/>
    <cellStyle name="计算 7 2" xfId="2092"/>
    <cellStyle name="20% - 着色 6" xfId="2093"/>
    <cellStyle name="计算 8" xfId="2094"/>
    <cellStyle name="20% - 着色 6 2" xfId="2095"/>
    <cellStyle name="40% - 强调文字颜色 1 2" xfId="2096"/>
    <cellStyle name="40% - 强调文字颜色 1 2 2" xfId="2097"/>
    <cellStyle name="60% - 强调文字颜色 2 2 7" xfId="2098"/>
    <cellStyle name="货币 3 6 3" xfId="2099"/>
    <cellStyle name="40% - 强调文字颜色 1 2 2 2" xfId="2100"/>
    <cellStyle name="货币 3 6 3 2" xfId="2101"/>
    <cellStyle name="40% - 强调文字颜色 1 2 2 2 2" xfId="2102"/>
    <cellStyle name="汇总 2 4" xfId="2103"/>
    <cellStyle name="40% - 强调文字颜色 1 2 2 2 2 2" xfId="2104"/>
    <cellStyle name="货币 2 2 3 3" xfId="2105"/>
    <cellStyle name="汇总 2 4 2" xfId="2106"/>
    <cellStyle name="链接单元格 2 2 3" xfId="2107"/>
    <cellStyle name="40% - 强调文字颜色 1 2 2 2 3" xfId="2108"/>
    <cellStyle name="汇总 2 5" xfId="2109"/>
    <cellStyle name="40% - 强调文字颜色 1 2 2 2_2015财政决算公开" xfId="2110"/>
    <cellStyle name="千位分隔 3 3 4" xfId="2111"/>
    <cellStyle name="标题 4 2 3 4" xfId="2112"/>
    <cellStyle name="40% - 强调文字颜色 1 2 2 3" xfId="2113"/>
    <cellStyle name="40% - 强调文字颜色 1 2 2 3 2" xfId="2114"/>
    <cellStyle name="汇总 3 4" xfId="2115"/>
    <cellStyle name="40% - 强调文字颜色 1 2 2 4" xfId="2116"/>
    <cellStyle name="40% - 强调文字颜色 1 2 2_2015财政决算公开" xfId="2117"/>
    <cellStyle name="40% - 强调文字颜色 1 2 3" xfId="2118"/>
    <cellStyle name="货币 3 6 4" xfId="2119"/>
    <cellStyle name="40% - 强调文字颜色 1 2 3 2" xfId="2120"/>
    <cellStyle name="货币 3 6 4 2" xfId="2121"/>
    <cellStyle name="40% - 强调文字颜色 1 2 3 2 2" xfId="2122"/>
    <cellStyle name="40% - 强调文字颜色 1 2 3 2 2 2" xfId="2123"/>
    <cellStyle name="货币 3 2 3 3" xfId="2124"/>
    <cellStyle name="40% - 强调文字颜色 1 2 3 2 3" xfId="2125"/>
    <cellStyle name="40% - 强调文字颜色 1 2 3 2_2015财政决算公开" xfId="2126"/>
    <cellStyle name="40% - 强调文字颜色 1 2 3 3" xfId="2127"/>
    <cellStyle name="40% - 强调文字颜色 1 2 3 4" xfId="2128"/>
    <cellStyle name="40% - 强调文字颜色 1 2 3_2015财政决算公开" xfId="2129"/>
    <cellStyle name="40% - 强调文字颜色 1 2 4" xfId="2130"/>
    <cellStyle name="货币 3 6 5" xfId="2131"/>
    <cellStyle name="40% - 强调文字颜色 1 2 4 2" xfId="2132"/>
    <cellStyle name="40% - 强调文字颜色 1 2 4 2 2" xfId="2133"/>
    <cellStyle name="40% - 强调文字颜色 1 2 4 3" xfId="2134"/>
    <cellStyle name="40% - 强调文字颜色 1 2 4 4" xfId="2135"/>
    <cellStyle name="标题 1 2" xfId="2136"/>
    <cellStyle name="40% - 强调文字颜色 1 2 4_2015财政决算公开" xfId="2137"/>
    <cellStyle name="千位分隔 4 3 3" xfId="2138"/>
    <cellStyle name="40% - 强调文字颜色 1 2 5" xfId="2139"/>
    <cellStyle name="40% - 强调文字颜色 1 2 5 2" xfId="2140"/>
    <cellStyle name="40% - 强调文字颜色 1 2 7" xfId="2141"/>
    <cellStyle name="40% - 强调文字颜色 1 2_2015财政决算公开" xfId="2142"/>
    <cellStyle name="40% - 强调文字颜色 1 3" xfId="2143"/>
    <cellStyle name="常规 9 2" xfId="2144"/>
    <cellStyle name="40% - 强调文字颜色 1 3 2" xfId="2145"/>
    <cellStyle name="常规 9 2 2" xfId="2146"/>
    <cellStyle name="40% - 强调文字颜色 1 3 2 2" xfId="2147"/>
    <cellStyle name="常规 9 2 2 2" xfId="2148"/>
    <cellStyle name="40% - 强调文字颜色 1 3 2 2 2" xfId="2149"/>
    <cellStyle name="40% - 强调文字颜色 1 3 2 2 2 2" xfId="2150"/>
    <cellStyle name="40% - 强调文字颜色 1 3 2 2 3" xfId="2151"/>
    <cellStyle name="40% - 强调文字颜色 1 3 2 4" xfId="2152"/>
    <cellStyle name="40% - 强调文字颜色 1 3 3" xfId="2153"/>
    <cellStyle name="常规 9 2 3" xfId="2154"/>
    <cellStyle name="40% - 强调文字颜色 1 3 3 2" xfId="2155"/>
    <cellStyle name="40% - 强调文字颜色 1 3 3 2 2" xfId="2156"/>
    <cellStyle name="40% - 强调文字颜色 1 3 3 3" xfId="2157"/>
    <cellStyle name="40% - 强调文字颜色 1 3 3_2015财政决算公开" xfId="2158"/>
    <cellStyle name="40% - 强调文字颜色 1 3 4" xfId="2159"/>
    <cellStyle name="常规 10 2_2015财政决算公开" xfId="2160"/>
    <cellStyle name="计算 9" xfId="2161"/>
    <cellStyle name="40% - 强调文字颜色 1 3 4 2" xfId="2162"/>
    <cellStyle name="40% - 强调文字颜色 1 3 5" xfId="2163"/>
    <cellStyle name="输出 2 2 4" xfId="2164"/>
    <cellStyle name="40% - 强调文字颜色 1 3_2015财政决算公开" xfId="2165"/>
    <cellStyle name="常规 2 4 2 5" xfId="2166"/>
    <cellStyle name="60% - 强调文字颜色 1 3 2 3 2" xfId="2167"/>
    <cellStyle name="40% - 强调文字颜色 1 4" xfId="2168"/>
    <cellStyle name="常规 9 3" xfId="2169"/>
    <cellStyle name="40% - 强调文字颜色 1 4 2" xfId="2170"/>
    <cellStyle name="常规 9 3 2" xfId="2171"/>
    <cellStyle name="40% - 强调文字颜色 1 4 2 2" xfId="2172"/>
    <cellStyle name="40% - 强调文字颜色 1 4 2 2 2" xfId="2173"/>
    <cellStyle name="40% - 强调文字颜色 1 4 2 3" xfId="2174"/>
    <cellStyle name="40% - 强调文字颜色 1 4 2_2015财政决算公开" xfId="2175"/>
    <cellStyle name="40% - 强调文字颜色 1 4 3" xfId="2176"/>
    <cellStyle name="常规 4 2 5 2" xfId="2177"/>
    <cellStyle name="40% - 强调文字颜色 1 5" xfId="2178"/>
    <cellStyle name="常规 9 4" xfId="2179"/>
    <cellStyle name="40% - 强调文字颜色 6 2 4_2015财政决算公开" xfId="2180"/>
    <cellStyle name="常规 4 2 5 2 2" xfId="2181"/>
    <cellStyle name="40% - 强调文字颜色 1 5 2" xfId="2182"/>
    <cellStyle name="40% - 强调文字颜色 1 5 2 2" xfId="2183"/>
    <cellStyle name="40% - 强调文字颜色 1 5 2 2 2" xfId="2184"/>
    <cellStyle name="40% - 强调文字颜色 1 5 2 3" xfId="2185"/>
    <cellStyle name="40% - 强调文字颜色 1 5 2_2015财政决算公开" xfId="2186"/>
    <cellStyle name="常规 3 4 2" xfId="2187"/>
    <cellStyle name="40% - 强调文字颜色 1 5 3 2" xfId="2188"/>
    <cellStyle name="40% - 强调文字颜色 1 5 4" xfId="2189"/>
    <cellStyle name="差 2 3" xfId="2190"/>
    <cellStyle name="40% - 强调文字颜色 1 5_2015财政决算公开" xfId="2191"/>
    <cellStyle name="解释性文本 5 3" xfId="2192"/>
    <cellStyle name="常规 4 2 5 3" xfId="2193"/>
    <cellStyle name="40% - 强调文字颜色 1 6" xfId="2194"/>
    <cellStyle name="常规 9 5" xfId="2195"/>
    <cellStyle name="常规 4 2 5 3 2" xfId="2196"/>
    <cellStyle name="40% - 强调文字颜色 1 6 2" xfId="2197"/>
    <cellStyle name="40% - 强调文字颜色 1 6 3" xfId="2198"/>
    <cellStyle name="40% - 强调文字颜色 1 7" xfId="2199"/>
    <cellStyle name="常规 4 2 5 4" xfId="2200"/>
    <cellStyle name="40% - 强调文字颜色 1 8" xfId="2201"/>
    <cellStyle name="千位分隔 4 2 7 2" xfId="2202"/>
    <cellStyle name="40% - 强调文字颜色 1 9" xfId="2203"/>
    <cellStyle name="40% - 强调文字颜色 2 2" xfId="2204"/>
    <cellStyle name="货币 4 6 3" xfId="2205"/>
    <cellStyle name="60% - 强调文字颜色 2 2 3 5" xfId="2206"/>
    <cellStyle name="60% - 强调文字颜色 3 2 7" xfId="2207"/>
    <cellStyle name="40% - 强调文字颜色 2 2 2" xfId="2208"/>
    <cellStyle name="货币 4 6 3 2" xfId="2209"/>
    <cellStyle name="常规 2 2 3 4 4" xfId="2210"/>
    <cellStyle name="常规 18_2015财政决算公开" xfId="2211"/>
    <cellStyle name="40% - 强调文字颜色 2 2 2 2" xfId="2212"/>
    <cellStyle name="常规 2 4 3" xfId="2213"/>
    <cellStyle name="常规 2 2 3 4 4 2" xfId="2214"/>
    <cellStyle name="40% - 强调文字颜色 2 2 2 2 2" xfId="2215"/>
    <cellStyle name="常规 2 4 3 2" xfId="2216"/>
    <cellStyle name="40% - 强调文字颜色 2 2 2 2 2 2" xfId="2217"/>
    <cellStyle name="常规 2 4 4" xfId="2218"/>
    <cellStyle name="40% - 强调文字颜色 2 2 2 2 3" xfId="2219"/>
    <cellStyle name="40% - 强调文字颜色 2 2 2 2_2015财政决算公开" xfId="2220"/>
    <cellStyle name="常规 2 2 3 4 5" xfId="2221"/>
    <cellStyle name="标题 1 4 2 2" xfId="2222"/>
    <cellStyle name="40% - 强调文字颜色 2 2 2 3" xfId="2223"/>
    <cellStyle name="常规 2 5 3" xfId="2224"/>
    <cellStyle name="40% - 强调文字颜色 2 2 2 3 2" xfId="2225"/>
    <cellStyle name="计算 4 3 2" xfId="2226"/>
    <cellStyle name="40% - 强调文字颜色 2 2 2 4" xfId="2227"/>
    <cellStyle name="货币 4 6 4" xfId="2228"/>
    <cellStyle name="40% - 强调文字颜色 2 2 3" xfId="2229"/>
    <cellStyle name="货币 4 6 4 2" xfId="2230"/>
    <cellStyle name="40% - 强调文字颜色 2 2 3 2" xfId="2231"/>
    <cellStyle name="40% - 强调文字颜色 2 2 3 3" xfId="2232"/>
    <cellStyle name="常规 2 5 5" xfId="2233"/>
    <cellStyle name="标题 5 2 4 2" xfId="2234"/>
    <cellStyle name="40% - 强调文字颜色 2 2 3_2015财政决算公开" xfId="2235"/>
    <cellStyle name="货币 4 6 5" xfId="2236"/>
    <cellStyle name="40% - 强调文字颜色 2 2 4" xfId="2237"/>
    <cellStyle name="40% - 强调文字颜色 2 2 4 2" xfId="2238"/>
    <cellStyle name="40% - 强调文字颜色 2 2 5" xfId="2239"/>
    <cellStyle name="40% - 强调文字颜色 2 3" xfId="2240"/>
    <cellStyle name="40% - 强调文字颜色 2 3 2" xfId="2241"/>
    <cellStyle name="40% - 强调文字颜色 2 3 2 2" xfId="2242"/>
    <cellStyle name="40% - 强调文字颜色 2 3 2 2 2" xfId="2243"/>
    <cellStyle name="注释 3 3" xfId="2244"/>
    <cellStyle name="40% - 强调文字颜色 6 7" xfId="2245"/>
    <cellStyle name="60% - 强调文字颜色 2 3 3 3" xfId="2246"/>
    <cellStyle name="60% - 强调文字颜色 4 2 5" xfId="2247"/>
    <cellStyle name="40% - 强调文字颜色 2 3 2 2 2 2" xfId="2248"/>
    <cellStyle name="常规 2 2 7 3" xfId="2249"/>
    <cellStyle name="百分比 4 3 3" xfId="2250"/>
    <cellStyle name="汇总 4" xfId="2251"/>
    <cellStyle name="40% - 强调文字颜色 2 3 2 2_2015财政决算公开" xfId="2252"/>
    <cellStyle name="40% - 强调文字颜色 2 3 2 3" xfId="2253"/>
    <cellStyle name="解释性文本 2" xfId="2254"/>
    <cellStyle name="标题 1 5 2 2" xfId="2255"/>
    <cellStyle name="40% - 强调文字颜色 2 3 2 3 2" xfId="2256"/>
    <cellStyle name="解释性文本 2 2" xfId="2257"/>
    <cellStyle name="40% - 强调文字颜色 2 3 2 4" xfId="2258"/>
    <cellStyle name="解释性文本 3" xfId="2259"/>
    <cellStyle name="计算 5 3 2" xfId="2260"/>
    <cellStyle name="检查单元格 3 4" xfId="2261"/>
    <cellStyle name="40% - 强调文字颜色 2 3 2_2015财政决算公开" xfId="2262"/>
    <cellStyle name="40% - 强调文字颜色 2 3 3" xfId="2263"/>
    <cellStyle name="40% - 强调文字颜色 2 3 3 2" xfId="2264"/>
    <cellStyle name="40% - 强调文字颜色 2 3 3 2 2" xfId="2265"/>
    <cellStyle name="40% - 强调文字颜色 2 3 3 3" xfId="2266"/>
    <cellStyle name="40% - 强调文字颜色 2 3 3_2015财政决算公开" xfId="2267"/>
    <cellStyle name="计算 2 2 2 3" xfId="2268"/>
    <cellStyle name="40% - 强调文字颜色 2 3 4" xfId="2269"/>
    <cellStyle name="40% - 强调文字颜色 2 3_2015财政决算公开" xfId="2270"/>
    <cellStyle name="40% - 强调文字颜色 2 3 4 2" xfId="2271"/>
    <cellStyle name="40% - 强调文字颜色 2 3 5" xfId="2272"/>
    <cellStyle name="40% - 强调文字颜色 2 4" xfId="2273"/>
    <cellStyle name="40% - 强调文字颜色 2 4 2" xfId="2274"/>
    <cellStyle name="40% - 强调文字颜色 2 4 2 2" xfId="2275"/>
    <cellStyle name="40% - 强调文字颜色 3 3 2 2_2015财政决算公开" xfId="2276"/>
    <cellStyle name="40% - 强调文字颜色 2 4 2 2 2" xfId="2277"/>
    <cellStyle name="40% - 强调文字颜色 2 4 2 3" xfId="2278"/>
    <cellStyle name="40% - 强调文字颜色 2 4 2_2015财政决算公开" xfId="2279"/>
    <cellStyle name="40% - 强调文字颜色 2 4 3" xfId="2280"/>
    <cellStyle name="40% - 强调文字颜色 2 4 3 2" xfId="2281"/>
    <cellStyle name="40% - 强调文字颜色 2 4 4" xfId="2282"/>
    <cellStyle name="40% - 强调文字颜色 2 4_2015财政决算公开" xfId="2283"/>
    <cellStyle name="千位分隔 4 2 2 2 2" xfId="2284"/>
    <cellStyle name="40% - 强调文字颜色 2 5" xfId="2285"/>
    <cellStyle name="常规 4 2 6 2" xfId="2286"/>
    <cellStyle name="40% - 强调文字颜色 2 5 2" xfId="2287"/>
    <cellStyle name="常规 4 2 6 2 2" xfId="2288"/>
    <cellStyle name="40% - 强调文字颜色 2 5 2 2 2" xfId="2289"/>
    <cellStyle name="常规 2 4 10" xfId="2290"/>
    <cellStyle name="40% - 强调文字颜色 2 5 2 3" xfId="2291"/>
    <cellStyle name="40% - 强调文字颜色 2 5 3" xfId="2292"/>
    <cellStyle name="40% - 强调文字颜色 2 5 3 2" xfId="2293"/>
    <cellStyle name="40% - 强调文字颜色 2 5 4" xfId="2294"/>
    <cellStyle name="货币 4" xfId="2295"/>
    <cellStyle name="40% - 强调文字颜色 2 5_2015财政决算公开" xfId="2296"/>
    <cellStyle name="40% - 强调文字颜色 2 6" xfId="2297"/>
    <cellStyle name="常规 4 2 6 3" xfId="2298"/>
    <cellStyle name="40% - 强调文字颜色 2 6 2" xfId="2299"/>
    <cellStyle name="常规 4 2 6 3 2" xfId="2300"/>
    <cellStyle name="40% - 强调文字颜色 2 6 2 2" xfId="2301"/>
    <cellStyle name="千分位_97-917" xfId="2302"/>
    <cellStyle name="40% - 强调文字颜色 2 6 3" xfId="2303"/>
    <cellStyle name="40% - 强调文字颜色 2 6_2015财政决算公开" xfId="2304"/>
    <cellStyle name="常规 26 2 2" xfId="2305"/>
    <cellStyle name="40% - 强调文字颜色 3 3 3 2 2" xfId="2306"/>
    <cellStyle name="40% - 强调文字颜色 3 2" xfId="2307"/>
    <cellStyle name="注释 3 5" xfId="2308"/>
    <cellStyle name="40% - 强调文字颜色 6 9" xfId="2309"/>
    <cellStyle name="60% - 强调文字颜色 4 2 7" xfId="2310"/>
    <cellStyle name="40% - 强调文字颜色 3 2 2" xfId="2311"/>
    <cellStyle name="40% - 强调文字颜色 3 2 2 2" xfId="2312"/>
    <cellStyle name="40% - 强调文字颜色 3 4 4" xfId="2313"/>
    <cellStyle name="常规 77" xfId="2314"/>
    <cellStyle name="40% - 强调文字颜色 3 2 2 2 2" xfId="2315"/>
    <cellStyle name="40% - 强调文字颜色 3 2 2 2 2 2" xfId="2316"/>
    <cellStyle name="常规 78" xfId="2317"/>
    <cellStyle name="40% - 强调文字颜色 3 2 2 2 3" xfId="2318"/>
    <cellStyle name="40% - 强调文字颜色 3 2 2 2_2015财政决算公开" xfId="2319"/>
    <cellStyle name="常规 29 3" xfId="2320"/>
    <cellStyle name="标题 2 4 2 2" xfId="2321"/>
    <cellStyle name="40% - 强调文字颜色 3 2 2 3" xfId="2322"/>
    <cellStyle name="40% - 强调文字颜色 3 5 4" xfId="2323"/>
    <cellStyle name="40% - 强调文字颜色 3 2 2 3 2" xfId="2324"/>
    <cellStyle name="40% - 强调文字颜色 3 2 2 4" xfId="2325"/>
    <cellStyle name="货币 2 3 2 3 2" xfId="2326"/>
    <cellStyle name="40% - 强调文字颜色 3 2 2_2015财政决算公开" xfId="2327"/>
    <cellStyle name="40% - 强调文字颜色 3 2 3" xfId="2328"/>
    <cellStyle name="货币 2 2 10" xfId="2329"/>
    <cellStyle name="40% - 强调文字颜色 3 2 3 2" xfId="2330"/>
    <cellStyle name="40% - 强调文字颜色 4 4 4" xfId="2331"/>
    <cellStyle name="40% - 强调文字颜色 3 2 3 2 2" xfId="2332"/>
    <cellStyle name="常规 2 4 3 4" xfId="2333"/>
    <cellStyle name="输出 2 3 3" xfId="2334"/>
    <cellStyle name="40% - 强调文字颜色 3 2 3 2 2 2" xfId="2335"/>
    <cellStyle name="40% - 强调文字颜色 3 2 3 2 3" xfId="2336"/>
    <cellStyle name="40% - 强调文字颜色 3 2 3 2_2015财政决算公开" xfId="2337"/>
    <cellStyle name="百分比 6 2 2 2 2" xfId="2338"/>
    <cellStyle name="40% - 强调文字颜色 3 2 3 3" xfId="2339"/>
    <cellStyle name="40% - 强调文字颜色 4 5 4" xfId="2340"/>
    <cellStyle name="常规 2 2 2_2015财政决算公开" xfId="2341"/>
    <cellStyle name="40% - 强调文字颜色 3 2 3 3 2" xfId="2342"/>
    <cellStyle name="40% - 强调文字颜色 3 2 3 4" xfId="2343"/>
    <cellStyle name="40% - 强调文字颜色 3 2 3_2015财政决算公开" xfId="2344"/>
    <cellStyle name="40% - 强调文字颜色 3 2 4" xfId="2345"/>
    <cellStyle name="40% - 强调文字颜色 3 2 4 2" xfId="2346"/>
    <cellStyle name="40% - 强调文字颜色 5 4 4" xfId="2347"/>
    <cellStyle name="40% - 强调文字颜色 3 2 4 2 2" xfId="2348"/>
    <cellStyle name="40% - 强调文字颜色 3 2 4 3" xfId="2349"/>
    <cellStyle name="常规 2 2 2 2 2 2" xfId="2350"/>
    <cellStyle name="40% - 强调文字颜色 3 2 4 4" xfId="2351"/>
    <cellStyle name="货币 3 2 4 3 2" xfId="2352"/>
    <cellStyle name="40% - 强调文字颜色 3 2 4_2015财政决算公开" xfId="2353"/>
    <cellStyle name="40% - 强调文字颜色 3 2 5" xfId="2354"/>
    <cellStyle name="货币 2 2 7" xfId="2355"/>
    <cellStyle name="40% - 强调文字颜色 3 2 5 2" xfId="2356"/>
    <cellStyle name="40% - 强调文字颜色 3 2 6" xfId="2357"/>
    <cellStyle name="40% - 强调文字颜色 3 2_2015财政决算公开" xfId="2358"/>
    <cellStyle name="40% - 强调文字颜色 3 3" xfId="2359"/>
    <cellStyle name="常规 25" xfId="2360"/>
    <cellStyle name="常规 30" xfId="2361"/>
    <cellStyle name="40% - 强调文字颜色 3 3 2" xfId="2362"/>
    <cellStyle name="常规 25 2" xfId="2363"/>
    <cellStyle name="常规 30 2" xfId="2364"/>
    <cellStyle name="40% - 强调文字颜色 3 3 2 2" xfId="2365"/>
    <cellStyle name="常规 25 2 2" xfId="2366"/>
    <cellStyle name="40% - 强调文字颜色 3 3 2 2 2" xfId="2367"/>
    <cellStyle name="40% - 强调文字颜色 5 5 2_2015财政决算公开" xfId="2368"/>
    <cellStyle name="40% - 强调文字颜色 3 3 2 2 2 2" xfId="2369"/>
    <cellStyle name="40% - 强调文字颜色 3 3 2 2 3" xfId="2370"/>
    <cellStyle name="常规 25 3" xfId="2371"/>
    <cellStyle name="常规 30 3" xfId="2372"/>
    <cellStyle name="标题 2 5 2 2" xfId="2373"/>
    <cellStyle name="40% - 强调文字颜色 3 3 2 3" xfId="2374"/>
    <cellStyle name="40% - 强调文字颜色 3 3 2 3 2" xfId="2375"/>
    <cellStyle name="40% - 强调文字颜色 3 3 2 4" xfId="2376"/>
    <cellStyle name="注释 2 2 2 2 2" xfId="2377"/>
    <cellStyle name="常规 26" xfId="2378"/>
    <cellStyle name="常规 31" xfId="2379"/>
    <cellStyle name="40% - 强调文字颜色 3 3 3" xfId="2380"/>
    <cellStyle name="解释性文本 3 4" xfId="2381"/>
    <cellStyle name="40% - 强调文字颜色 3 3 3_2015财政决算公开" xfId="2382"/>
    <cellStyle name="常规 27" xfId="2383"/>
    <cellStyle name="常规 32" xfId="2384"/>
    <cellStyle name="40% - 强调文字颜色 3 3 4" xfId="2385"/>
    <cellStyle name="常规 27 2" xfId="2386"/>
    <cellStyle name="常规 32 2" xfId="2387"/>
    <cellStyle name="40% - 强调文字颜色 3 3 4 2" xfId="2388"/>
    <cellStyle name="常规 28" xfId="2389"/>
    <cellStyle name="常规 33" xfId="2390"/>
    <cellStyle name="40% - 强调文字颜色 3 3 5" xfId="2391"/>
    <cellStyle name="40% - 强调文字颜色 3 3_2015财政决算公开" xfId="2392"/>
    <cellStyle name="40% - 强调文字颜色 3 4" xfId="2393"/>
    <cellStyle name="常规 75" xfId="2394"/>
    <cellStyle name="40% - 强调文字颜色 3 4 2" xfId="2395"/>
    <cellStyle name="40% - 强调文字颜色 3 4 2_2015财政决算公开" xfId="2396"/>
    <cellStyle name="常规 76" xfId="2397"/>
    <cellStyle name="40% - 强调文字颜色 3 4 3" xfId="2398"/>
    <cellStyle name="40% - 强调文字颜色 3 4 3 2" xfId="2399"/>
    <cellStyle name="40% - 强调文字颜色 3 4_2015财政决算公开" xfId="2400"/>
    <cellStyle name="千位分隔 4 2 2 3 2" xfId="2401"/>
    <cellStyle name="40% - 强调文字颜色 3 5" xfId="2402"/>
    <cellStyle name="常规 4 2 7 2" xfId="2403"/>
    <cellStyle name="40% - 强调文字颜色 3 5 2" xfId="2404"/>
    <cellStyle name="40% - 强调文字颜色 3 5 2 2" xfId="2405"/>
    <cellStyle name="40% - 强调文字颜色 3 5 2 2 2" xfId="2406"/>
    <cellStyle name="小数 3 2" xfId="2407"/>
    <cellStyle name="检查单元格 5 2" xfId="2408"/>
    <cellStyle name="40% - 强调文字颜色 3 5 2 3" xfId="2409"/>
    <cellStyle name="40% - 强调文字颜色 3 5 2_2015财政决算公开" xfId="2410"/>
    <cellStyle name="40% - 强调文字颜色 3 5 3" xfId="2411"/>
    <cellStyle name="常规 8_报 预算   行政政法处(1)" xfId="2412"/>
    <cellStyle name="40% - 强调文字颜色 3 5 3 2" xfId="2413"/>
    <cellStyle name="Comma [0]" xfId="2414"/>
    <cellStyle name="常规 3 6" xfId="2415"/>
    <cellStyle name="40% - 强调文字颜色 3 5_2015财政决算公开" xfId="2416"/>
    <cellStyle name="40% - 强调文字颜色 3 6" xfId="2417"/>
    <cellStyle name="40% - 强调文字颜色 3 6 2" xfId="2418"/>
    <cellStyle name="40% - 强调文字颜色 3 6 2 2" xfId="2419"/>
    <cellStyle name="40% - 强调文字颜色 3 9" xfId="2420"/>
    <cellStyle name="40% - 强调文字颜色 4 2" xfId="2421"/>
    <cellStyle name="60% - 强调文字颜色 5 2 7" xfId="2422"/>
    <cellStyle name="40% - 强调文字颜色 4 2 2" xfId="2423"/>
    <cellStyle name="40% - 强调文字颜色 4 2 2 2" xfId="2424"/>
    <cellStyle name="好_出版署2010年度中央部门决算草案" xfId="2425"/>
    <cellStyle name="40% - 强调文字颜色 5 5_2015财政决算公开" xfId="2426"/>
    <cellStyle name="40% - 强调文字颜色 4 2 2 2 2" xfId="2427"/>
    <cellStyle name="常规 10" xfId="2428"/>
    <cellStyle name="40% - 强调文字颜色 4 2 2 2 2 2" xfId="2429"/>
    <cellStyle name="后继超级链接" xfId="2430"/>
    <cellStyle name="40% - 强调文字颜色 4 2 2 2 3" xfId="2431"/>
    <cellStyle name="标题 3 4 2 2" xfId="2432"/>
    <cellStyle name="40% - 强调文字颜色 4 2 2 3" xfId="2433"/>
    <cellStyle name="40% - 强调文字颜色 4 2 2 3 2" xfId="2434"/>
    <cellStyle name="千位分隔 2 2 3 2" xfId="2435"/>
    <cellStyle name="40% - 强调文字颜色 4 2 2 4" xfId="2436"/>
    <cellStyle name="40% - 强调文字颜色 4 2 2_2015财政决算公开" xfId="2437"/>
    <cellStyle name="40% - 强调文字颜色 4 2 3" xfId="2438"/>
    <cellStyle name="强调文字颜色 1 2" xfId="2439"/>
    <cellStyle name="常规 2 2 2 4 2" xfId="2440"/>
    <cellStyle name="40% - 强调文字颜色 4 2 3 2 2" xfId="2441"/>
    <cellStyle name="强调文字颜色 1 2 2" xfId="2442"/>
    <cellStyle name="常规 2 2 2 4 2 2" xfId="2443"/>
    <cellStyle name="40% - 强调文字颜色 4 2 3 2 2 2" xfId="2444"/>
    <cellStyle name="40% - 强调文字颜色 6 6_2015财政决算公开" xfId="2445"/>
    <cellStyle name="强调文字颜色 1 3" xfId="2446"/>
    <cellStyle name="常规 2 2 2 4 3" xfId="2447"/>
    <cellStyle name="40% - 强调文字颜色 4 2 3 2 3" xfId="2448"/>
    <cellStyle name="强调文字颜色 1 3 3" xfId="2449"/>
    <cellStyle name="常规 2 2 2 4_2015财政决算公开" xfId="2450"/>
    <cellStyle name="40% - 强调文字颜色 4 2 3 2_2015财政决算公开" xfId="2451"/>
    <cellStyle name="强调文字颜色 2 2" xfId="2452"/>
    <cellStyle name="常规 2 2 2 5 2" xfId="2453"/>
    <cellStyle name="40% - 强调文字颜色 4 2 3 3 2" xfId="2454"/>
    <cellStyle name="40% - 强调文字颜色 4 2 3_2015财政决算公开" xfId="2455"/>
    <cellStyle name="40% - 强调文字颜色 4 2 4" xfId="2456"/>
    <cellStyle name="常规 2 2 3 4" xfId="2457"/>
    <cellStyle name="40% - 强调文字颜色 4 2 4 2" xfId="2458"/>
    <cellStyle name="常规 2 2 3 4 2" xfId="2459"/>
    <cellStyle name="40% - 强调文字颜色 4 2 4 2 2" xfId="2460"/>
    <cellStyle name="常规 2 2 3 5" xfId="2461"/>
    <cellStyle name="40% - 强调文字颜色 4 2 4 3" xfId="2462"/>
    <cellStyle name="常规 2 2 3 2 2 2" xfId="2463"/>
    <cellStyle name="千位分隔 2 2 5 2" xfId="2464"/>
    <cellStyle name="常规 2 2 3 6" xfId="2465"/>
    <cellStyle name="40% - 强调文字颜色 4 2 4 4" xfId="2466"/>
    <cellStyle name="40% - 强调文字颜色 4 2 5" xfId="2467"/>
    <cellStyle name="常规 2 2 4 4" xfId="2468"/>
    <cellStyle name="40% - 强调文字颜色 4 2 5 2" xfId="2469"/>
    <cellStyle name="60% - 强调文字颜色 1 2 2 3 2" xfId="2470"/>
    <cellStyle name="40% - 强调文字颜色 4 2 6" xfId="2471"/>
    <cellStyle name="40% - 强调文字颜色 4 2_2015财政决算公开" xfId="2472"/>
    <cellStyle name="40% - 强调文字颜色 4 3" xfId="2473"/>
    <cellStyle name="40% - 强调文字颜色 4 3 2" xfId="2474"/>
    <cellStyle name="40% - 强调文字颜色 4 3 2 2" xfId="2475"/>
    <cellStyle name="40% - 强调文字颜色 4 3 2 2 2" xfId="2476"/>
    <cellStyle name="40% - 强调文字颜色 4 3 2 2 2 2" xfId="2477"/>
    <cellStyle name="40% - 强调文字颜色 4 3 2 2 3" xfId="2478"/>
    <cellStyle name="40% - 强调文字颜色 4 3 2 2_2015财政决算公开" xfId="2479"/>
    <cellStyle name="标题 3 5 2 2" xfId="2480"/>
    <cellStyle name="40% - 强调文字颜色 4 3 2 3" xfId="2481"/>
    <cellStyle name="40% - 强调文字颜色 4 3 2 3 2" xfId="2482"/>
    <cellStyle name="货币 2 3" xfId="2483"/>
    <cellStyle name="常规_04-分类改革-预算表 2" xfId="2484"/>
    <cellStyle name="千位分隔 2 3 3 2" xfId="2485"/>
    <cellStyle name="40% - 强调文字颜色 4 3 2 4" xfId="2486"/>
    <cellStyle name="40% - 强调文字颜色 4 3 2_2015财政决算公开" xfId="2487"/>
    <cellStyle name="40% - 强调文字颜色 4 3 3" xfId="2488"/>
    <cellStyle name="常规 2 3 2 4" xfId="2489"/>
    <cellStyle name="40% - 强调文字颜色 4 3 3 2" xfId="2490"/>
    <cellStyle name="常规 2 3 2 4 2" xfId="2491"/>
    <cellStyle name="40% - 强调文字颜色 4 3 3 2 2" xfId="2492"/>
    <cellStyle name="常规 2 3 2 5" xfId="2493"/>
    <cellStyle name="40% - 强调文字颜色 4 3 3 3" xfId="2494"/>
    <cellStyle name="货币 4 2 2 3" xfId="2495"/>
    <cellStyle name="40% - 强调文字颜色 4 3 3_2015财政决算公开" xfId="2496"/>
    <cellStyle name="40% - 强调文字颜色 4 3 4" xfId="2497"/>
    <cellStyle name="常规 2 3 3 4" xfId="2498"/>
    <cellStyle name="40% - 强调文字颜色 4 3 4 2" xfId="2499"/>
    <cellStyle name="40% - 强调文字颜色 4 3 5" xfId="2500"/>
    <cellStyle name="40% - 强调文字颜色 4 3_2015财政决算公开" xfId="2501"/>
    <cellStyle name="60% - 强调文字颜色 2 5 2 2" xfId="2502"/>
    <cellStyle name="40% - 强调文字颜色 4 4" xfId="2503"/>
    <cellStyle name="40% - 强调文字颜色 4 4 2" xfId="2504"/>
    <cellStyle name="40% - 强调文字颜色 4 4 2 2" xfId="2505"/>
    <cellStyle name="40% - 强调文字颜色 4 4 2 3" xfId="2506"/>
    <cellStyle name="40% - 强调文字颜色 4 4 2_2015财政决算公开" xfId="2507"/>
    <cellStyle name="40% - 强调文字颜色 4 4 3" xfId="2508"/>
    <cellStyle name="常规 2 4 2 4" xfId="2509"/>
    <cellStyle name="40% - 强调文字颜色 4 4 3 2" xfId="2510"/>
    <cellStyle name="HEADING1" xfId="2511"/>
    <cellStyle name="40% - 强调文字颜色 4 4_2015财政决算公开" xfId="2512"/>
    <cellStyle name="千位分隔 4 2 2 4 2" xfId="2513"/>
    <cellStyle name="40% - 强调文字颜色 4 5" xfId="2514"/>
    <cellStyle name="常规 4 2 8 2" xfId="2515"/>
    <cellStyle name="40% - 强调文字颜色 4 5 2" xfId="2516"/>
    <cellStyle name="40% - 强调文字颜色 4 5 2 2" xfId="2517"/>
    <cellStyle name="货币 4 2 8" xfId="2518"/>
    <cellStyle name="40% - 强调文字颜色 4 5 2 2 2" xfId="2519"/>
    <cellStyle name="常规 12 2 2_2015财政决算公开" xfId="2520"/>
    <cellStyle name="40% - 强调文字颜色 4 5 2 3" xfId="2521"/>
    <cellStyle name="40% - 强调文字颜色 4 5_2015财政决算公开" xfId="2522"/>
    <cellStyle name="常规 2 4 2 3 3" xfId="2523"/>
    <cellStyle name="40% - 强调文字颜色 4 6" xfId="2524"/>
    <cellStyle name="40% - 强调文字颜色 4 6 2" xfId="2525"/>
    <cellStyle name="常规 2 3" xfId="2526"/>
    <cellStyle name="40% - 强调文字颜色 4 6 2 2" xfId="2527"/>
    <cellStyle name="40% - 强调文字颜色 4 6_2015财政决算公开" xfId="2528"/>
    <cellStyle name="40% - 强调文字颜色 4 7 2" xfId="2529"/>
    <cellStyle name="40% - 强调文字颜色 4 8" xfId="2530"/>
    <cellStyle name="40% - 强调文字颜色 4 9" xfId="2531"/>
    <cellStyle name="好 2 3" xfId="2532"/>
    <cellStyle name="40% - 强调文字颜色 5 2" xfId="2533"/>
    <cellStyle name="好 2 3 2" xfId="2534"/>
    <cellStyle name="60% - 强调文字颜色 6 2 7" xfId="2535"/>
    <cellStyle name="40% - 强调文字颜色 5 2 2" xfId="2536"/>
    <cellStyle name="强调文字颜色 3 3 3" xfId="2537"/>
    <cellStyle name="好 2 3 2 2" xfId="2538"/>
    <cellStyle name="40% - 强调文字颜色 5 2 2 2" xfId="2539"/>
    <cellStyle name="链接单元格 3 2" xfId="2540"/>
    <cellStyle name="货币 2 3 3" xfId="2541"/>
    <cellStyle name="40% - 强调文字颜色 5 2 2 2_2015财政决算公开" xfId="2542"/>
    <cellStyle name="千位分隔 3 2 3 2" xfId="2543"/>
    <cellStyle name="强调文字颜色 3 3 5" xfId="2544"/>
    <cellStyle name="40% - 强调文字颜色 5 2 2 4" xfId="2545"/>
    <cellStyle name="百分比 2 2 4 2" xfId="2546"/>
    <cellStyle name="常规 2 2 2 2 2 4" xfId="2547"/>
    <cellStyle name="40% - 强调文字颜色 5 2 2_2015财政决算公开" xfId="2548"/>
    <cellStyle name="好 2 3 3" xfId="2549"/>
    <cellStyle name="40% - 强调文字颜色 5 2 3" xfId="2550"/>
    <cellStyle name="强调文字颜色 3 4 3" xfId="2551"/>
    <cellStyle name="常规 3 2 2 4" xfId="2552"/>
    <cellStyle name="40% - 强调文字颜色 5 2 3 2" xfId="2553"/>
    <cellStyle name="强调文字颜色 3 4 3 2" xfId="2554"/>
    <cellStyle name="常规 3 2 2 4 2" xfId="2555"/>
    <cellStyle name="好 4" xfId="2556"/>
    <cellStyle name="40% - 强调文字颜色 5 2 3 2 2" xfId="2557"/>
    <cellStyle name="40% - 强调文字颜色 5 2 4" xfId="2558"/>
    <cellStyle name="强调文字颜色 3 5 3" xfId="2559"/>
    <cellStyle name="常规 3 2 3 4" xfId="2560"/>
    <cellStyle name="40% - 强调文字颜色 5 2 4 2" xfId="2561"/>
    <cellStyle name="40% - 强调文字颜色 5 2 5" xfId="2562"/>
    <cellStyle name="常规 3 5 2 2" xfId="2563"/>
    <cellStyle name="货币 2 3 2 5" xfId="2564"/>
    <cellStyle name="40% - 强调文字颜色 5 2_2015财政决算公开" xfId="2565"/>
    <cellStyle name="强调文字颜色 4 3 3" xfId="2566"/>
    <cellStyle name="40% - 强调文字颜色 5 3 2 2" xfId="2567"/>
    <cellStyle name="40% - 强调文字颜色 5 3 2 2_2015财政决算公开" xfId="2568"/>
    <cellStyle name="千位分隔 3 3 3 2" xfId="2569"/>
    <cellStyle name="强调文字颜色 4 3 5" xfId="2570"/>
    <cellStyle name="40% - 强调文字颜色 5 3 2 4" xfId="2571"/>
    <cellStyle name="40% - 强调文字颜色 5 3 3" xfId="2572"/>
    <cellStyle name="强调文字颜色 4 4 3" xfId="2573"/>
    <cellStyle name="40% - 强调文字颜色 5 3 3 2" xfId="2574"/>
    <cellStyle name="强调文字颜色 4 4 3 2" xfId="2575"/>
    <cellStyle name="40% - 强调文字颜色 5 3 3 2 2" xfId="2576"/>
    <cellStyle name="40% - 强调文字颜色 5 3 3_2015财政决算公开" xfId="2577"/>
    <cellStyle name="40% - 强调文字颜色 5 3 4" xfId="2578"/>
    <cellStyle name="强调文字颜色 4 5 3" xfId="2579"/>
    <cellStyle name="40% - 强调文字颜色 5 3 4 2" xfId="2580"/>
    <cellStyle name="40% - 强调文字颜色 5 3 5" xfId="2581"/>
    <cellStyle name="常规 18 2 2" xfId="2582"/>
    <cellStyle name="常规 23 2 2" xfId="2583"/>
    <cellStyle name="40% - 强调文字颜色 5 3_2015财政决算公开" xfId="2584"/>
    <cellStyle name="好 2 5" xfId="2585"/>
    <cellStyle name="40% - 强调文字颜色 5 4" xfId="2586"/>
    <cellStyle name="40% - 强调文字颜色 5 4 2" xfId="2587"/>
    <cellStyle name="强调文字颜色 5 3 3" xfId="2588"/>
    <cellStyle name="40% - 强调文字颜色 5 4 2 2" xfId="2589"/>
    <cellStyle name="强调文字颜色 5 3 3 2" xfId="2590"/>
    <cellStyle name="40% - 强调文字颜色 5 4 2 2 2" xfId="2591"/>
    <cellStyle name="链接单元格 5" xfId="2592"/>
    <cellStyle name="40% - 强调文字颜色 5 4 2_2015财政决算公开" xfId="2593"/>
    <cellStyle name="40% - 强调文字颜色 5 4 3" xfId="2594"/>
    <cellStyle name="货币 2 2 2 7" xfId="2595"/>
    <cellStyle name="强调文字颜色 5 4 3" xfId="2596"/>
    <cellStyle name="40% - 强调文字颜色 5 4 3 2" xfId="2597"/>
    <cellStyle name="40% - 强调文字颜色 5 4_2015财政决算公开" xfId="2598"/>
    <cellStyle name="40% - 强调文字颜色 5 5" xfId="2599"/>
    <cellStyle name="常规 4 2 9 2" xfId="2600"/>
    <cellStyle name="40% - 强调文字颜色 5 5 2" xfId="2601"/>
    <cellStyle name="强调文字颜色 6 3 3" xfId="2602"/>
    <cellStyle name="40% - 强调文字颜色 5 5 2 2" xfId="2603"/>
    <cellStyle name="强调文字颜色 6 3 3 2" xfId="2604"/>
    <cellStyle name="40% - 强调文字颜色 5 5 2 2 2" xfId="2605"/>
    <cellStyle name="强调文字颜色 6 3 4" xfId="2606"/>
    <cellStyle name="40% - 强调文字颜色 5 5 2 3" xfId="2607"/>
    <cellStyle name="40% - 强调文字颜色 5 5 3" xfId="2608"/>
    <cellStyle name="强调文字颜色 6 4 3" xfId="2609"/>
    <cellStyle name="40% - 强调文字颜色 5 5 3 2" xfId="2610"/>
    <cellStyle name="40% - 强调文字颜色 5 5 4" xfId="2611"/>
    <cellStyle name="60% - 强调文字颜色 2 3 2 2" xfId="2612"/>
    <cellStyle name="注释 2 2" xfId="2613"/>
    <cellStyle name="40% - 强调文字颜色 5 6" xfId="2614"/>
    <cellStyle name="60% - 强调文字颜色 2 3 2 2 2" xfId="2615"/>
    <cellStyle name="注释 2 2 2" xfId="2616"/>
    <cellStyle name="40% - 强调文字颜色 5 6 2" xfId="2617"/>
    <cellStyle name="60% - 强调文字颜色 2 3 2 2 2 2" xfId="2618"/>
    <cellStyle name="注释 2 2 2 2" xfId="2619"/>
    <cellStyle name="40% - 强调文字颜色 5 6 2 2" xfId="2620"/>
    <cellStyle name="40% - 强调文字颜色 5 6_2015财政决算公开" xfId="2621"/>
    <cellStyle name="60% - 强调文字颜色 2 3 2 3" xfId="2622"/>
    <cellStyle name="注释 2 3" xfId="2623"/>
    <cellStyle name="40% - 强调文字颜色 5 7" xfId="2624"/>
    <cellStyle name="60% - 强调文字颜色 2 3 2 3 2" xfId="2625"/>
    <cellStyle name="注释 2 3 2" xfId="2626"/>
    <cellStyle name="常规 2 3 2 2 4" xfId="2627"/>
    <cellStyle name="40% - 强调文字颜色 5 7 2" xfId="2628"/>
    <cellStyle name="60% - 强调文字颜色 2 3 2 4" xfId="2629"/>
    <cellStyle name="注释 2 4" xfId="2630"/>
    <cellStyle name="40% - 强调文字颜色 5 8" xfId="2631"/>
    <cellStyle name="好 3 3" xfId="2632"/>
    <cellStyle name="40% - 强调文字颜色 6 2" xfId="2633"/>
    <cellStyle name="好 3 3 2" xfId="2634"/>
    <cellStyle name="40% - 强调文字颜色 6 2 2" xfId="2635"/>
    <cellStyle name="好 3 3 2 2" xfId="2636"/>
    <cellStyle name="常规 5 6" xfId="2637"/>
    <cellStyle name="40% - 强调文字颜色 6 2 2 2" xfId="2638"/>
    <cellStyle name="常规 4 3 4" xfId="2639"/>
    <cellStyle name="常规 5 6 2" xfId="2640"/>
    <cellStyle name="40% - 强调文字颜色 6 2 2 2 2" xfId="2641"/>
    <cellStyle name="常规 4 3 4 2" xfId="2642"/>
    <cellStyle name="计算 2 2 3" xfId="2643"/>
    <cellStyle name="常规 5 6 2 2" xfId="2644"/>
    <cellStyle name="40% - 强调文字颜色 6 2 2 2 2 2" xfId="2645"/>
    <cellStyle name="常规 5 6 3" xfId="2646"/>
    <cellStyle name="40% - 强调文字颜色 6 2 2 2 3" xfId="2647"/>
    <cellStyle name="强调文字颜色 5 5 2" xfId="2648"/>
    <cellStyle name="40% - 强调文字颜色 6 2 2 2_2015财政决算公开" xfId="2649"/>
    <cellStyle name="常规 5 7" xfId="2650"/>
    <cellStyle name="40% - 强调文字颜色 6 2 2 3" xfId="2651"/>
    <cellStyle name="常规 4 3 5" xfId="2652"/>
    <cellStyle name="标题 5 4 2 2" xfId="2653"/>
    <cellStyle name="常规 5 7 2" xfId="2654"/>
    <cellStyle name="40% - 强调文字颜色 6 2 2 3 2" xfId="2655"/>
    <cellStyle name="千位分隔 4 2 3 2" xfId="2656"/>
    <cellStyle name="常规 5 8" xfId="2657"/>
    <cellStyle name="40% - 强调文字颜色 6 2 2 4" xfId="2658"/>
    <cellStyle name="常规 4 3 6" xfId="2659"/>
    <cellStyle name="40% - 强调文字颜色 6 2 2_2015财政决算公开" xfId="2660"/>
    <cellStyle name="好 3 3 3" xfId="2661"/>
    <cellStyle name="40% - 强调文字颜色 6 2 3" xfId="2662"/>
    <cellStyle name="常规 6 6" xfId="2663"/>
    <cellStyle name="常规 4 2 2 4" xfId="2664"/>
    <cellStyle name="40% - 强调文字颜色 6 2 3 2" xfId="2665"/>
    <cellStyle name="货币 3 2 4 5" xfId="2666"/>
    <cellStyle name="常规 4 2 2 4 2" xfId="2667"/>
    <cellStyle name="40% - 强调文字颜色 6 2 3 2 2" xfId="2668"/>
    <cellStyle name="常规 4 2 2 4 2 2" xfId="2669"/>
    <cellStyle name="40% - 强调文字颜色 6 2 3 2 2 2" xfId="2670"/>
    <cellStyle name="常规 4 2 2 4 3" xfId="2671"/>
    <cellStyle name="40% - 强调文字颜色 6 2 3 2 3" xfId="2672"/>
    <cellStyle name="货币 3 2 5" xfId="2673"/>
    <cellStyle name="40% - 强调文字颜色 6 2 3 2_2015财政决算公开" xfId="2674"/>
    <cellStyle name="常规 4 2 2 5" xfId="2675"/>
    <cellStyle name="40% - 强调文字颜色 6 2 3 3" xfId="2676"/>
    <cellStyle name="数字 4" xfId="2677"/>
    <cellStyle name="常规 4 2 2 5 2" xfId="2678"/>
    <cellStyle name="40% - 强调文字颜色 6 2 3 3 2" xfId="2679"/>
    <cellStyle name="千位分隔 4 2 4 2" xfId="2680"/>
    <cellStyle name="常规 4 2 2 6" xfId="2681"/>
    <cellStyle name="40% - 强调文字颜色 6 2 3 4" xfId="2682"/>
    <cellStyle name="千位分隔 4 2 4 3" xfId="2683"/>
    <cellStyle name="常规 4 2 2 7" xfId="2684"/>
    <cellStyle name="40% - 强调文字颜色 6 2 3 5" xfId="2685"/>
    <cellStyle name="40% - 强调文字颜色 6 2 3_2015财政决算公开" xfId="2686"/>
    <cellStyle name="货币 2 2 5 2" xfId="2687"/>
    <cellStyle name="40% - 强调文字颜色 6 2 4" xfId="2688"/>
    <cellStyle name="常规 4 2 3 4" xfId="2689"/>
    <cellStyle name="货币 2 2 5 2 2" xfId="2690"/>
    <cellStyle name="常规 7 6" xfId="2691"/>
    <cellStyle name="40% - 强调文字颜色 6 2 4 2" xfId="2692"/>
    <cellStyle name="常规 4 2 3 5" xfId="2693"/>
    <cellStyle name="40% - 强调文字颜色 6 2 4 3" xfId="2694"/>
    <cellStyle name="千位分隔 4 2 5 2" xfId="2695"/>
    <cellStyle name="常规 4 2 3 6" xfId="2696"/>
    <cellStyle name="40% - 强调文字颜色 6 2 4 4" xfId="2697"/>
    <cellStyle name="常规 4 2 4 4" xfId="2698"/>
    <cellStyle name="货币 2 2 5 3 2" xfId="2699"/>
    <cellStyle name="常规 8 6" xfId="2700"/>
    <cellStyle name="40% - 强调文字颜色 6 2 5 2" xfId="2701"/>
    <cellStyle name="常规 10 2 2 2 2" xfId="2702"/>
    <cellStyle name="货币 2 2 5 4" xfId="2703"/>
    <cellStyle name="40% - 强调文字颜色 6 2 6" xfId="2704"/>
    <cellStyle name="40% - 强调文字颜色 6 2_2015财政决算公开" xfId="2705"/>
    <cellStyle name="好 3 4 2" xfId="2706"/>
    <cellStyle name="40% - 强调文字颜色 6 3 2" xfId="2707"/>
    <cellStyle name="40% - 强调文字颜色 6 3 2 2" xfId="2708"/>
    <cellStyle name="常规 5 3 4" xfId="2709"/>
    <cellStyle name="40% - 强调文字颜色 6 3 2 2 2" xfId="2710"/>
    <cellStyle name="常规 5 3 4 2" xfId="2711"/>
    <cellStyle name="40% - 强调文字颜色 6 3 2 2 3" xfId="2712"/>
    <cellStyle name="警告文本 3 4" xfId="2713"/>
    <cellStyle name="40% - 强调文字颜色 6 3 2 2_2015财政决算公开" xfId="2714"/>
    <cellStyle name="40% - 强调文字颜色 6 3 2 3" xfId="2715"/>
    <cellStyle name="常规 5 3 5" xfId="2716"/>
    <cellStyle name="40% - 强调文字颜色 6 3 2 3 2" xfId="2717"/>
    <cellStyle name="60% - 强调文字颜色 6 7 2" xfId="2718"/>
    <cellStyle name="40% - 强调文字颜色 6 3 2_2015财政决算公开" xfId="2719"/>
    <cellStyle name="数字 2 2 2 2" xfId="2720"/>
    <cellStyle name="40% - 强调文字颜色 6 3 3" xfId="2721"/>
    <cellStyle name="40% - 强调文字颜色 6 3 3 2" xfId="2722"/>
    <cellStyle name="常规 5 4 4" xfId="2723"/>
    <cellStyle name="货币 4 2 4 5" xfId="2724"/>
    <cellStyle name="40% - 强调文字颜色 6 3 3 2 2" xfId="2725"/>
    <cellStyle name="常规 5 4 4 2" xfId="2726"/>
    <cellStyle name="40% - 强调文字颜色 6 3 3 3" xfId="2727"/>
    <cellStyle name="常规 5 4 5" xfId="2728"/>
    <cellStyle name="货币 2 2 6 2" xfId="2729"/>
    <cellStyle name="40% - 强调文字颜色 6 3 4" xfId="2730"/>
    <cellStyle name="货币 2 2 6 2 2" xfId="2731"/>
    <cellStyle name="40% - 强调文字颜色 6 3 4 2" xfId="2732"/>
    <cellStyle name="常规 5 5 4" xfId="2733"/>
    <cellStyle name="货币 2 2 6 3" xfId="2734"/>
    <cellStyle name="40% - 强调文字颜色 6 3 5" xfId="2735"/>
    <cellStyle name="Currency_1995" xfId="2736"/>
    <cellStyle name="40% - 强调文字颜色 6 3_2015财政决算公开" xfId="2737"/>
    <cellStyle name="60% - 强调文字颜色 4 2 2 2" xfId="2738"/>
    <cellStyle name="40% - 强调文字颜色 6 4 2" xfId="2739"/>
    <cellStyle name="40% - 强调文字颜色 6 4 2 2" xfId="2740"/>
    <cellStyle name="常规 6 3 4" xfId="2741"/>
    <cellStyle name="60% - 强调文字颜色 4 2 2 2 2" xfId="2742"/>
    <cellStyle name="60% - 强调文字颜色 4 2 2 2 2 2" xfId="2743"/>
    <cellStyle name="40% - 强调文字颜色 6 4 2 2 2" xfId="2744"/>
    <cellStyle name="60% - 强调文字颜色 4 2 2 2 3" xfId="2745"/>
    <cellStyle name="40% - 强调文字颜色 6 4 2 3" xfId="2746"/>
    <cellStyle name="强调文字颜色 5 7" xfId="2747"/>
    <cellStyle name="常规 4_征收计划表8" xfId="2748"/>
    <cellStyle name="40% - 强调文字颜色 6 4 2_2015财政决算公开" xfId="2749"/>
    <cellStyle name="60% - 强调文字颜色 4 2 2 3" xfId="2750"/>
    <cellStyle name="40% - 强调文字颜色 6 4 3" xfId="2751"/>
    <cellStyle name="60% - 强调文字颜色 4 2 2 3 2" xfId="2752"/>
    <cellStyle name="常规 4 2 2 2 4" xfId="2753"/>
    <cellStyle name="40% - 强调文字颜色 6 4 3 2" xfId="2754"/>
    <cellStyle name="60% - 强调文字颜色 4 2 2 4" xfId="2755"/>
    <cellStyle name="货币 2 2 7 2" xfId="2756"/>
    <cellStyle name="40% - 强调文字颜色 6 4 4" xfId="2757"/>
    <cellStyle name="40% - 强调文字颜色 6 4_2015财政决算公开" xfId="2758"/>
    <cellStyle name="60% - 强调文字颜色 4 2 3" xfId="2759"/>
    <cellStyle name="40% - 强调文字颜色 6 5" xfId="2760"/>
    <cellStyle name="60% - 强调文字颜色 4 2 3 2" xfId="2761"/>
    <cellStyle name="40% - 强调文字颜色 6 5 2" xfId="2762"/>
    <cellStyle name="40% - 强调文字颜色 6 5 2 2" xfId="2763"/>
    <cellStyle name="常规 7 3 4" xfId="2764"/>
    <cellStyle name="60% - 强调文字颜色 4 2 3 2 2" xfId="2765"/>
    <cellStyle name="60% - 强调文字颜色 4 2 3 2 2 2" xfId="2766"/>
    <cellStyle name="40% - 强调文字颜色 6 5 2 2 2" xfId="2767"/>
    <cellStyle name="60% - 强调文字颜色 4 2 3 2 3" xfId="2768"/>
    <cellStyle name="40% - 强调文字颜色 6 5 2 3" xfId="2769"/>
    <cellStyle name="40% - 强调文字颜色 6 5 2_2015财政决算公开" xfId="2770"/>
    <cellStyle name="60% - 强调文字颜色 4 2 3 3" xfId="2771"/>
    <cellStyle name="40% - 强调文字颜色 6 5 3" xfId="2772"/>
    <cellStyle name="60% - 强调文字颜色 4 2 3 4" xfId="2773"/>
    <cellStyle name="货币 2 2 8 2" xfId="2774"/>
    <cellStyle name="40% - 强调文字颜色 6 5 4" xfId="2775"/>
    <cellStyle name="60% - 强调文字颜色 2 3 3 2" xfId="2776"/>
    <cellStyle name="60% - 强调文字颜色 4 2 4" xfId="2777"/>
    <cellStyle name="注释 3 2" xfId="2778"/>
    <cellStyle name="40% - 强调文字颜色 6 6" xfId="2779"/>
    <cellStyle name="60% - 强调文字颜色 2 3 3 2 2" xfId="2780"/>
    <cellStyle name="60% - 强调文字颜色 4 2 4 2" xfId="2781"/>
    <cellStyle name="注释 3 2 2" xfId="2782"/>
    <cellStyle name="40% - 强调文字颜色 6 6 2" xfId="2783"/>
    <cellStyle name="注释 3 2 2 2" xfId="2784"/>
    <cellStyle name="40% - 强调文字颜色 6 6 2 2" xfId="2785"/>
    <cellStyle name="常规 8 3 4" xfId="2786"/>
    <cellStyle name="60% - 强调文字颜色 4 2 4 2 2" xfId="2787"/>
    <cellStyle name="60% - 强调文字颜色 4 2 5 2" xfId="2788"/>
    <cellStyle name="注释 3 3 2" xfId="2789"/>
    <cellStyle name="40% - 强调文字颜色 6 7 2" xfId="2790"/>
    <cellStyle name="60% - 强调文字颜色 4 2 6" xfId="2791"/>
    <cellStyle name="注释 3 4" xfId="2792"/>
    <cellStyle name="40% - 强调文字颜色 6 8" xfId="2793"/>
    <cellStyle name="强调文字颜色 4 4 2 2" xfId="2794"/>
    <cellStyle name="货币 5" xfId="2795"/>
    <cellStyle name="40% - 着色 1" xfId="2796"/>
    <cellStyle name="强调文字颜色 4 4 2 3" xfId="2797"/>
    <cellStyle name="千位分隔 2 8 2" xfId="2798"/>
    <cellStyle name="40% - 着色 2" xfId="2799"/>
    <cellStyle name="40% - 着色 2 2" xfId="2800"/>
    <cellStyle name="40% - 着色 3" xfId="2801"/>
    <cellStyle name="40% - 着色 3 2" xfId="2802"/>
    <cellStyle name="40% - 着色 4 2" xfId="2803"/>
    <cellStyle name="60% - 强调文字颜色 6 6 2 2" xfId="2804"/>
    <cellStyle name="40% - 着色 5" xfId="2805"/>
    <cellStyle name="40% - 着色 6" xfId="2806"/>
    <cellStyle name="常规 2 2 2 2 4_2015财政决算公开" xfId="2807"/>
    <cellStyle name="常规 6 3 3" xfId="2808"/>
    <cellStyle name="40% - 着色 6 2" xfId="2809"/>
    <cellStyle name="60% - 强调文字颜色 1 2" xfId="2810"/>
    <cellStyle name="60% - 强调文字颜色 1 2 2" xfId="2811"/>
    <cellStyle name="60% - 强调文字颜色 1 2 2 2 2" xfId="2812"/>
    <cellStyle name="60% - 强调文字颜色 5 6" xfId="2813"/>
    <cellStyle name="60% - 强调文字颜色 1 2 2 2 2 2" xfId="2814"/>
    <cellStyle name="常规 3 2 4 2" xfId="2815"/>
    <cellStyle name="60% - 强调文字颜色 1 2 2 2 3" xfId="2816"/>
    <cellStyle name="60% - 强调文字颜色 1 2 2 3" xfId="2817"/>
    <cellStyle name="60% - 强调文字颜色 1 2 2 4" xfId="2818"/>
    <cellStyle name="60% - 强调文字颜色 1 2 3 2" xfId="2819"/>
    <cellStyle name="60% - 强调文字颜色 1 2 3 2 2" xfId="2820"/>
    <cellStyle name="好 3 2 2 2 2" xfId="2821"/>
    <cellStyle name="60% - 强调文字颜色 1 2 3 2 3" xfId="2822"/>
    <cellStyle name="60% - 强调文字颜色 1 2 3 3" xfId="2823"/>
    <cellStyle name="60% - 强调文字颜色 1 2 3 3 2" xfId="2824"/>
    <cellStyle name="60% - 强调文字颜色 1 2 3 4" xfId="2825"/>
    <cellStyle name="标题 5 2_2015财政决算公开" xfId="2826"/>
    <cellStyle name="60% - 强调文字颜色 1 2 3 5" xfId="2827"/>
    <cellStyle name="60% - 强调文字颜色 1 2 4" xfId="2828"/>
    <cellStyle name="60% - 强调文字颜色 1 2 4 2" xfId="2829"/>
    <cellStyle name="货币 2 2 4 4" xfId="2830"/>
    <cellStyle name="60% - 强调文字颜色 1 2 4 2 2" xfId="2831"/>
    <cellStyle name="常规 10 2 2 2" xfId="2832"/>
    <cellStyle name="60% - 强调文字颜色 1 2 4 3" xfId="2833"/>
    <cellStyle name="输入 4 2 3" xfId="2834"/>
    <cellStyle name="Calc Currency (0) 2" xfId="2835"/>
    <cellStyle name="60% - 强调文字颜色 1 2 5" xfId="2836"/>
    <cellStyle name="60% - 强调文字颜色 1 2 5 2" xfId="2837"/>
    <cellStyle name="货币 2 6 2" xfId="2838"/>
    <cellStyle name="标题 2 2 3 2 2" xfId="2839"/>
    <cellStyle name="60% - 强调文字颜色 1 2 6" xfId="2840"/>
    <cellStyle name="货币 2 6 3" xfId="2841"/>
    <cellStyle name="链接单元格 6 2" xfId="2842"/>
    <cellStyle name="60% - 强调文字颜色 1 2 7" xfId="2843"/>
    <cellStyle name="60% - 强调文字颜色 1 2_2015财政决算公开" xfId="2844"/>
    <cellStyle name="60% - 强调文字颜色 1 3" xfId="2845"/>
    <cellStyle name="60% - 强调文字颜色 1 3 2" xfId="2846"/>
    <cellStyle name="常规 8 3" xfId="2847"/>
    <cellStyle name="60% - 强调文字颜色 1 3 2 2 2" xfId="2848"/>
    <cellStyle name="常规 8 4" xfId="2849"/>
    <cellStyle name="常规 4 6 2" xfId="2850"/>
    <cellStyle name="常规 4 2 4 2" xfId="2851"/>
    <cellStyle name="60% - 强调文字颜色 1 3 2 2 3" xfId="2852"/>
    <cellStyle name="60% - 强调文字颜色 1 3 2 4" xfId="2853"/>
    <cellStyle name="60% - 强调文字颜色 1 3 3" xfId="2854"/>
    <cellStyle name="60% - 强调文字颜色 1 3 3 2" xfId="2855"/>
    <cellStyle name="常规 2_2012-2013年“三公”经费预决算情况汇总表样" xfId="2856"/>
    <cellStyle name="60% - 强调文字颜色 1 3 3 2 2" xfId="2857"/>
    <cellStyle name="60% - 强调文字颜色 1 3 3 3" xfId="2858"/>
    <cellStyle name="60% - 强调文字颜色 1 3 4" xfId="2859"/>
    <cellStyle name="60% - 强调文字颜色 1 3 4 2" xfId="2860"/>
    <cellStyle name="常规 2 4 2 4 2" xfId="2861"/>
    <cellStyle name="60% - 强调文字颜色 1 4" xfId="2862"/>
    <cellStyle name="常规 2 4 2 4 2 2" xfId="2863"/>
    <cellStyle name="60% - 强调文字颜色 1 4 2" xfId="2864"/>
    <cellStyle name="60% - 强调文字颜色 1 4 2 2 2" xfId="2865"/>
    <cellStyle name="货币 2 10 2" xfId="2866"/>
    <cellStyle name="60% - 强调文字颜色 1 4 3" xfId="2867"/>
    <cellStyle name="60% - 强调文字颜色 1 4 3 2" xfId="2868"/>
    <cellStyle name="60% - 强调文字颜色 1 4 4" xfId="2869"/>
    <cellStyle name="常规 2 4 2 4 3" xfId="2870"/>
    <cellStyle name="60% - 强调文字颜色 1 5" xfId="2871"/>
    <cellStyle name="常规 2 4 2 4 3 2" xfId="2872"/>
    <cellStyle name="60% - 强调文字颜色 1 5 2" xfId="2873"/>
    <cellStyle name="60% - 强调文字颜色 1 5 2 3" xfId="2874"/>
    <cellStyle name="60% - 强调文字颜色 1 5 3" xfId="2875"/>
    <cellStyle name="60% - 强调文字颜色 1 5 3 2" xfId="2876"/>
    <cellStyle name="货币 3 4 2 2" xfId="2877"/>
    <cellStyle name="60% - 强调文字颜色 1 5 4" xfId="2878"/>
    <cellStyle name="常规 2 4 2 4 4" xfId="2879"/>
    <cellStyle name="60% - 强调文字颜色 1 6" xfId="2880"/>
    <cellStyle name="常规 2 4 2 4 4 2" xfId="2881"/>
    <cellStyle name="60% - 强调文字颜色 1 6 2" xfId="2882"/>
    <cellStyle name="60% - 强调文字颜色 1 6 3" xfId="2883"/>
    <cellStyle name="常规 2 4 2 4 5" xfId="2884"/>
    <cellStyle name="标题 3 3 2 2" xfId="2885"/>
    <cellStyle name="60% - 强调文字颜色 1 7" xfId="2886"/>
    <cellStyle name="标题 3 3 2 2 2" xfId="2887"/>
    <cellStyle name="60% - 强调文字颜色 1 7 2" xfId="2888"/>
    <cellStyle name="标题 3 3 2 3" xfId="2889"/>
    <cellStyle name="60% - 强调文字颜色 1 8" xfId="2890"/>
    <cellStyle name="60% - 强调文字颜色 2 2" xfId="2891"/>
    <cellStyle name="60% - 强调文字颜色 2 2 2" xfId="2892"/>
    <cellStyle name="差 7" xfId="2893"/>
    <cellStyle name="60% - 强调文字颜色 2 2 2 2" xfId="2894"/>
    <cellStyle name="差 7 2" xfId="2895"/>
    <cellStyle name="60% - 强调文字颜色 2 2 2 2 2" xfId="2896"/>
    <cellStyle name="60% - 强调文字颜色 2 2 2 2 2 2" xfId="2897"/>
    <cellStyle name="差 8" xfId="2898"/>
    <cellStyle name="60% - 强调文字颜色 2 2 2 3" xfId="2899"/>
    <cellStyle name="常规 2 2 2 2 4" xfId="2900"/>
    <cellStyle name="60% - 强调文字颜色 2 2 2 3 2" xfId="2901"/>
    <cellStyle name="货币 4 5 2" xfId="2902"/>
    <cellStyle name="60% - 强调文字颜色 2 2 2 4" xfId="2903"/>
    <cellStyle name="60% - 强调文字颜色 2 2 3 2" xfId="2904"/>
    <cellStyle name="60% - 强调文字颜色 3 2 4" xfId="2905"/>
    <cellStyle name="60% - 强调文字颜色 2 2 3 2 2" xfId="2906"/>
    <cellStyle name="60% - 强调文字颜色 3 2 4 2" xfId="2907"/>
    <cellStyle name="60% - 强调文字颜色 5 8" xfId="2908"/>
    <cellStyle name="60% - 强调文字颜色 2 2 3 2 2 2" xfId="2909"/>
    <cellStyle name="60% - 强调文字颜色 3 2 4 2 2" xfId="2910"/>
    <cellStyle name="60% - 强调文字颜色 2 2 3 3" xfId="2911"/>
    <cellStyle name="60% - 强调文字颜色 3 2 5" xfId="2912"/>
    <cellStyle name="comma zerodec 2" xfId="2913"/>
    <cellStyle name="常规 2 2 3 2 4" xfId="2914"/>
    <cellStyle name="千位分隔 2 2 7" xfId="2915"/>
    <cellStyle name="60% - 强调文字颜色 2 2 3 3 2" xfId="2916"/>
    <cellStyle name="60% - 强调文字颜色 3 2 5 2" xfId="2917"/>
    <cellStyle name="货币 4 6 2" xfId="2918"/>
    <cellStyle name="60% - 强调文字颜色 2 2 3 4" xfId="2919"/>
    <cellStyle name="60% - 强调文字颜色 3 2 6" xfId="2920"/>
    <cellStyle name="60% - 强调文字颜色 2 2 4" xfId="2921"/>
    <cellStyle name="60% - 强调文字颜色 2 2 4 2" xfId="2922"/>
    <cellStyle name="60% - 强调文字颜色 3 3 4" xfId="2923"/>
    <cellStyle name="60% - 强调文字颜色 2 2 4 2 2" xfId="2924"/>
    <cellStyle name="60% - 强调文字颜色 3 3 4 2" xfId="2925"/>
    <cellStyle name="60% - 强调文字颜色 2 2 5" xfId="2926"/>
    <cellStyle name="60% - 强调文字颜色 2 2 5 2" xfId="2927"/>
    <cellStyle name="60% - 强调文字颜色 3 4 4" xfId="2928"/>
    <cellStyle name="货币 3 6 2" xfId="2929"/>
    <cellStyle name="60% - 强调文字颜色 2 2 6" xfId="2930"/>
    <cellStyle name="货币 2 2 2 4 5" xfId="2931"/>
    <cellStyle name="60% - 强调文字颜色 2 2_2015财政决算公开" xfId="2932"/>
    <cellStyle name="60% - 强调文字颜色 2 3 2" xfId="2933"/>
    <cellStyle name="60% - 强调文字颜色 2 3 4" xfId="2934"/>
    <cellStyle name="注释 4 2" xfId="2935"/>
    <cellStyle name="常规 17" xfId="2936"/>
    <cellStyle name="常规 22" xfId="2937"/>
    <cellStyle name="检查单元格 2 2 3" xfId="2938"/>
    <cellStyle name="60% - 强调文字颜色 2 3 4 2" xfId="2939"/>
    <cellStyle name="60% - 强调文字颜色 4 3 4" xfId="2940"/>
    <cellStyle name="常规 2 4 2 5 2" xfId="2941"/>
    <cellStyle name="60% - 强调文字颜色 2 4" xfId="2942"/>
    <cellStyle name="60% - 强调文字颜色 2 4 2" xfId="2943"/>
    <cellStyle name="60% - 强调文字颜色 2 4 2 2" xfId="2944"/>
    <cellStyle name="60% - 强调文字颜色 2 4 2 2 2" xfId="2945"/>
    <cellStyle name="60% - 强调文字颜色 2 4 2 3" xfId="2946"/>
    <cellStyle name="60% - 强调文字颜色 2 4 3 2" xfId="2947"/>
    <cellStyle name="60% - 强调文字颜色 5 2 4" xfId="2948"/>
    <cellStyle name="60% - 强调文字颜色 2 4 4" xfId="2949"/>
    <cellStyle name="60% - 强调文字颜色 2 5" xfId="2950"/>
    <cellStyle name="60% - 强调文字颜色 2 5 2" xfId="2951"/>
    <cellStyle name="检查单元格 5 4" xfId="2952"/>
    <cellStyle name="60% - 强调文字颜色 2 5 2 2 2" xfId="2953"/>
    <cellStyle name="60% - 强调文字颜色 2 5 2 3" xfId="2954"/>
    <cellStyle name="60% - 强调文字颜色 2 5 3" xfId="2955"/>
    <cellStyle name="货币 3 5 2 2" xfId="2956"/>
    <cellStyle name="60% - 强调文字颜色 2 5 4" xfId="2957"/>
    <cellStyle name="60% - 强调文字颜色 2 6" xfId="2958"/>
    <cellStyle name="60% - 强调文字颜色 2 6 2" xfId="2959"/>
    <cellStyle name="60% - 强调文字颜色 2 6 2 2" xfId="2960"/>
    <cellStyle name="60% - 强调文字颜色 2 6 3" xfId="2961"/>
    <cellStyle name="标题 3 3 3 2" xfId="2962"/>
    <cellStyle name="60% - 强调文字颜色 2 7" xfId="2963"/>
    <cellStyle name="60% - 强调文字颜色 2 8" xfId="2964"/>
    <cellStyle name="60% - 强调文字颜色 2 9" xfId="2965"/>
    <cellStyle name="60% - 强调文字颜色 3 2" xfId="2966"/>
    <cellStyle name="60% - 强调文字颜色 3 2 2" xfId="2967"/>
    <cellStyle name="60% - 强调文字颜色 3 2 2 2" xfId="2968"/>
    <cellStyle name="60% - 强调文字颜色 3 2 2 2 2" xfId="2969"/>
    <cellStyle name="60% - 强调文字颜色 3 2 2 2 2 2" xfId="2970"/>
    <cellStyle name="60% - 强调文字颜色 3 2 2 3" xfId="2971"/>
    <cellStyle name="60% - 强调文字颜色 3 2 2 3 2" xfId="2972"/>
    <cellStyle name="60% - 强调文字颜色 3 2 2 4" xfId="2973"/>
    <cellStyle name="60% - 强调文字颜色 3 2 3" xfId="2974"/>
    <cellStyle name="超级链接 4" xfId="2975"/>
    <cellStyle name="60% - 强调文字颜色 3 2 3 2" xfId="2976"/>
    <cellStyle name="超级链接 5" xfId="2977"/>
    <cellStyle name="60% - 强调文字颜色 3 2 3 3" xfId="2978"/>
    <cellStyle name="常规 13_2015财政决算公开" xfId="2979"/>
    <cellStyle name="60% - 强调文字颜色 3 2 3 3 2" xfId="2980"/>
    <cellStyle name="60% - 强调文字颜色 3 2 3 4" xfId="2981"/>
    <cellStyle name="60% - 强调文字颜色 3 2 3 5" xfId="2982"/>
    <cellStyle name="60% - 强调文字颜色 3 2_2015财政决算公开" xfId="2983"/>
    <cellStyle name="60% - 强调文字颜色 3 3 2 2" xfId="2984"/>
    <cellStyle name="60% - 强调文字颜色 3 3 2 2 2" xfId="2985"/>
    <cellStyle name="60% - 强调文字颜色 3 3 2 2 2 2" xfId="2986"/>
    <cellStyle name="常规 2 5" xfId="2987"/>
    <cellStyle name="60% - 强调文字颜色 3 3 2 3" xfId="2988"/>
    <cellStyle name="60% - 强调文字颜色 3 3 2 3 2" xfId="2989"/>
    <cellStyle name="60% - 强调文字颜色 3 3 2 4" xfId="2990"/>
    <cellStyle name="60% - 强调文字颜色 3 3 3" xfId="2991"/>
    <cellStyle name="60% - 强调文字颜色 3 3 3 2" xfId="2992"/>
    <cellStyle name="60% - 强调文字颜色 3 3 3 3" xfId="2993"/>
    <cellStyle name="60% - 强调文字颜色 3 4 2" xfId="2994"/>
    <cellStyle name="60% - 强调文字颜色 3 4 2 2" xfId="2995"/>
    <cellStyle name="60% - 强调文字颜色 3 4 2 2 2" xfId="2996"/>
    <cellStyle name="货币 2 2 2 4 4" xfId="2997"/>
    <cellStyle name="链接单元格 2" xfId="2998"/>
    <cellStyle name="60% - 强调文字颜色 3 4 2 3" xfId="2999"/>
    <cellStyle name="60% - 强调文字颜色 3 4 3" xfId="3000"/>
    <cellStyle name="60% - 强调文字颜色 3 4 3 2" xfId="3001"/>
    <cellStyle name="标题 1 2 3 2 2" xfId="3002"/>
    <cellStyle name="60% - 强调文字颜色 3 5" xfId="3003"/>
    <cellStyle name="60% - 强调文字颜色 3 5 2" xfId="3004"/>
    <cellStyle name="60% - 强调文字颜色 3 5 2 2" xfId="3005"/>
    <cellStyle name="超级链接" xfId="3006"/>
    <cellStyle name="60% - 强调文字颜色 3 5 2 2 2" xfId="3007"/>
    <cellStyle name="常规 2 3 10" xfId="3008"/>
    <cellStyle name="60% - 强调文字颜色 3 5 2 3" xfId="3009"/>
    <cellStyle name="60% - 强调文字颜色 3 5 3" xfId="3010"/>
    <cellStyle name="60% - 强调文字颜色 3 5 3 2" xfId="3011"/>
    <cellStyle name="货币 3 6 2 2" xfId="3012"/>
    <cellStyle name="60% - 强调文字颜色 3 5 4" xfId="3013"/>
    <cellStyle name="60% - 强调文字颜色 3 6" xfId="3014"/>
    <cellStyle name="60% - 强调文字颜色 3 6 2" xfId="3015"/>
    <cellStyle name="60% - 强调文字颜色 3 6 2 2" xfId="3016"/>
    <cellStyle name="60% - 强调文字颜色 3 6 3" xfId="3017"/>
    <cellStyle name="60% - 强调文字颜色 3 7" xfId="3018"/>
    <cellStyle name="60% - 强调文字颜色 3 7 2" xfId="3019"/>
    <cellStyle name="60% - 强调文字颜色 3 8" xfId="3020"/>
    <cellStyle name="60% - 强调文字颜色 3 9" xfId="3021"/>
    <cellStyle name="60% - 强调文字颜色 4 2" xfId="3022"/>
    <cellStyle name="60% - 强调文字颜色 4 2 3 5" xfId="3023"/>
    <cellStyle name="强调文字颜色 1 2 2 3" xfId="3024"/>
    <cellStyle name="60% - 强调文字颜色 4 2_2015财政决算公开" xfId="3025"/>
    <cellStyle name="常规 15" xfId="3026"/>
    <cellStyle name="常规 20" xfId="3027"/>
    <cellStyle name="60% - 强调文字颜色 4 3 2" xfId="3028"/>
    <cellStyle name="百分比 2 6" xfId="3029"/>
    <cellStyle name="常规 15 2" xfId="3030"/>
    <cellStyle name="常规 20 2" xfId="3031"/>
    <cellStyle name="60% - 强调文字颜色 4 3 2 2" xfId="3032"/>
    <cellStyle name="常规 15 2 2" xfId="3033"/>
    <cellStyle name="常规 20 2 2" xfId="3034"/>
    <cellStyle name="60% - 强调文字颜色 4 3 2 2 2" xfId="3035"/>
    <cellStyle name="60% - 强调文字颜色 4 3 2 2 2 2" xfId="3036"/>
    <cellStyle name="60% - 强调文字颜色 6 2 4 3" xfId="3037"/>
    <cellStyle name="常规 5 2 2 2 2" xfId="3038"/>
    <cellStyle name="常规 15 3" xfId="3039"/>
    <cellStyle name="常规 20 3" xfId="3040"/>
    <cellStyle name="60% - 强调文字颜色 4 3 2 3" xfId="3041"/>
    <cellStyle name="常规 15 3 2" xfId="3042"/>
    <cellStyle name="60% - 强调文字颜色 4 3 2 3 2" xfId="3043"/>
    <cellStyle name="货币 2 3 7 2" xfId="3044"/>
    <cellStyle name="常规 15 4" xfId="3045"/>
    <cellStyle name="60% - 强调文字颜色 4 3 2 4" xfId="3046"/>
    <cellStyle name="常规 16" xfId="3047"/>
    <cellStyle name="常规 21" xfId="3048"/>
    <cellStyle name="检查单元格 2 2 2" xfId="3049"/>
    <cellStyle name="60% - 强调文字颜色 4 3 3" xfId="3050"/>
    <cellStyle name="百分比 3 6" xfId="3051"/>
    <cellStyle name="常规 16 2" xfId="3052"/>
    <cellStyle name="常规 21 2" xfId="3053"/>
    <cellStyle name="检查单元格 2 2 2 2" xfId="3054"/>
    <cellStyle name="60% - 强调文字颜色 4 3 3 2" xfId="3055"/>
    <cellStyle name="标题 8" xfId="3056"/>
    <cellStyle name="常规 16 2 2" xfId="3057"/>
    <cellStyle name="常规 21 2 2" xfId="3058"/>
    <cellStyle name="检查单元格 2 2 2 2 2" xfId="3059"/>
    <cellStyle name="60% - 强调文字颜色 4 3 3 2 2" xfId="3060"/>
    <cellStyle name="常规 5 2 2 3 2" xfId="3061"/>
    <cellStyle name="常规 16 3" xfId="3062"/>
    <cellStyle name="常规 21 3" xfId="3063"/>
    <cellStyle name="检查单元格 2 2 2 3" xfId="3064"/>
    <cellStyle name="60% - 强调文字颜色 4 3 3 3" xfId="3065"/>
    <cellStyle name="注释 4 2 2" xfId="3066"/>
    <cellStyle name="常规 17 2" xfId="3067"/>
    <cellStyle name="常规 22 2" xfId="3068"/>
    <cellStyle name="检查单元格 2 2 3 2" xfId="3069"/>
    <cellStyle name="60% - 强调文字颜色 4 3 4 2" xfId="3070"/>
    <cellStyle name="常规 2 4 2 7 2" xfId="3071"/>
    <cellStyle name="60% - 强调文字颜色 4 4" xfId="3072"/>
    <cellStyle name="常规 65" xfId="3073"/>
    <cellStyle name="常规 70" xfId="3074"/>
    <cellStyle name="60% - 强调文字颜色 4 4 2" xfId="3075"/>
    <cellStyle name="常规 66" xfId="3076"/>
    <cellStyle name="常规 71" xfId="3077"/>
    <cellStyle name="检查单元格 2 3 2" xfId="3078"/>
    <cellStyle name="60% - 强调文字颜色 4 4 3" xfId="3079"/>
    <cellStyle name="差_全国友协2010年度中央部门决算（草案）" xfId="3080"/>
    <cellStyle name="注释 5 2" xfId="3081"/>
    <cellStyle name="常规 67" xfId="3082"/>
    <cellStyle name="常规 72" xfId="3083"/>
    <cellStyle name="检查单元格 2 3 3" xfId="3084"/>
    <cellStyle name="60% - 强调文字颜色 4 4 4" xfId="3085"/>
    <cellStyle name="计算 2 4 2 2" xfId="3086"/>
    <cellStyle name="60% - 强调文字颜色 4 5" xfId="3087"/>
    <cellStyle name="60% - 强调文字颜色 4 5 2" xfId="3088"/>
    <cellStyle name="检查单元格 2 4 2" xfId="3089"/>
    <cellStyle name="60% - 强调文字颜色 4 5 3" xfId="3090"/>
    <cellStyle name="检查单元格 2 4 2 2" xfId="3091"/>
    <cellStyle name="60% - 强调文字颜色 4 5 3 2" xfId="3092"/>
    <cellStyle name="检查单元格 2 4 3" xfId="3093"/>
    <cellStyle name="60% - 强调文字颜色 4 5 4" xfId="3094"/>
    <cellStyle name="60% - 强调文字颜色 4 6" xfId="3095"/>
    <cellStyle name="超级链接 2 4" xfId="3096"/>
    <cellStyle name="60% - 强调文字颜色 4 6 2" xfId="3097"/>
    <cellStyle name="60% - 强调文字颜色 4 6 2 2" xfId="3098"/>
    <cellStyle name="检查单元格 2 5 2" xfId="3099"/>
    <cellStyle name="60% - 强调文字颜色 4 6 3" xfId="3100"/>
    <cellStyle name="60% - 强调文字颜色 4 7" xfId="3101"/>
    <cellStyle name="60% - 强调文字颜色 4 7 2" xfId="3102"/>
    <cellStyle name="60% - 强调文字颜色 4 8" xfId="3103"/>
    <cellStyle name="60% - 强调文字颜色 4 9" xfId="3104"/>
    <cellStyle name="60% - 强调文字颜色 5 2" xfId="3105"/>
    <cellStyle name="60% - 强调文字颜色 5 2 2" xfId="3106"/>
    <cellStyle name="60% - 强调文字颜色 5 2 2 2" xfId="3107"/>
    <cellStyle name="常规 14 5" xfId="3108"/>
    <cellStyle name="60% - 强调文字颜色 5 2 2 2 2" xfId="3109"/>
    <cellStyle name="60% - 强调文字颜色 5 2 2 2 2 2" xfId="3110"/>
    <cellStyle name="常规 14 6" xfId="3111"/>
    <cellStyle name="60% - 强调文字颜色 5 2 2 2 3" xfId="3112"/>
    <cellStyle name="适中 2" xfId="3113"/>
    <cellStyle name="60% - 强调文字颜色 5 2 2 3" xfId="3114"/>
    <cellStyle name="常规 15 5" xfId="3115"/>
    <cellStyle name="适中 2 2" xfId="3116"/>
    <cellStyle name="60% - 强调文字颜色 5 2 2 3 2" xfId="3117"/>
    <cellStyle name="货币 3 2 7 2" xfId="3118"/>
    <cellStyle name="常规 28 2 2" xfId="3119"/>
    <cellStyle name="适中 3" xfId="3120"/>
    <cellStyle name="Fixed 2" xfId="3121"/>
    <cellStyle name="60% - 强调文字颜色 5 2 2 4" xfId="3122"/>
    <cellStyle name="60% - 强调文字颜色 5 2 3 2" xfId="3123"/>
    <cellStyle name="60% - 强调文字颜色 5 2 3 2 2" xfId="3124"/>
    <cellStyle name="后继超级链接 2 3" xfId="3125"/>
    <cellStyle name="60% - 强调文字颜色 5 2 3 2 2 2" xfId="3126"/>
    <cellStyle name="60% - 强调文字颜色 5 2 3 2 3" xfId="3127"/>
    <cellStyle name="60% - 强调文字颜色 5 2 3 3" xfId="3128"/>
    <cellStyle name="60% - 强调文字颜色 5 2 3 4" xfId="3129"/>
    <cellStyle name="60% - 强调文字颜色 5 2 4 2" xfId="3130"/>
    <cellStyle name="货币 2 11" xfId="3131"/>
    <cellStyle name="60% - 强调文字颜色 5 2 4 2 2" xfId="3132"/>
    <cellStyle name="60% - 强调文字颜色 5 2 4 3" xfId="3133"/>
    <cellStyle name="解释性文本 2 2 2" xfId="3134"/>
    <cellStyle name="60% - 强调文字颜色 5 2 5" xfId="3135"/>
    <cellStyle name="解释性文本 2 2 2 2" xfId="3136"/>
    <cellStyle name="60% - 强调文字颜色 5 2 5 2" xfId="3137"/>
    <cellStyle name="解释性文本 2 2 3" xfId="3138"/>
    <cellStyle name="60% - 强调文字颜色 5 2 6" xfId="3139"/>
    <cellStyle name="千位分隔 3 10" xfId="3140"/>
    <cellStyle name="60% - 强调文字颜色 5 2_2015财政决算公开" xfId="3141"/>
    <cellStyle name="60% - 强调文字颜色 5 3" xfId="3142"/>
    <cellStyle name="60% - 强调文字颜色 5 3 2" xfId="3143"/>
    <cellStyle name="60% - 强调文字颜色 5 3 2 2 2 2" xfId="3144"/>
    <cellStyle name="60% - 强调文字颜色 5 3 2 2 3" xfId="3145"/>
    <cellStyle name="常规 29 2 2" xfId="3146"/>
    <cellStyle name="60% - 强调文字颜色 5 3 2 4" xfId="3147"/>
    <cellStyle name="检查单元格 3 2 2" xfId="3148"/>
    <cellStyle name="60% - 强调文字颜色 5 3 3" xfId="3149"/>
    <cellStyle name="检查单元格 3 2 2 2 2" xfId="3150"/>
    <cellStyle name="60% - 强调文字颜色 5 3 3 2 2" xfId="3151"/>
    <cellStyle name="检查单元格 3 2 2 3" xfId="3152"/>
    <cellStyle name="60% - 强调文字颜色 5 3 3 3" xfId="3153"/>
    <cellStyle name="检查单元格 3 2 3" xfId="3154"/>
    <cellStyle name="60% - 强调文字颜色 5 3 4" xfId="3155"/>
    <cellStyle name="检查单元格 3 2 3 2" xfId="3156"/>
    <cellStyle name="60% - 强调文字颜色 5 3 4 2" xfId="3157"/>
    <cellStyle name="60% - 强调文字颜色 5 4" xfId="3158"/>
    <cellStyle name="60% - 强调文字颜色 5 4 2" xfId="3159"/>
    <cellStyle name="检查单元格 3 3 2" xfId="3160"/>
    <cellStyle name="60% - 强调文字颜色 5 4 3" xfId="3161"/>
    <cellStyle name="标题 1 2 5" xfId="3162"/>
    <cellStyle name="检查单元格 3 3 2 2" xfId="3163"/>
    <cellStyle name="60% - 强调文字颜色 5 4 3 2" xfId="3164"/>
    <cellStyle name="检查单元格 3 3 3" xfId="3165"/>
    <cellStyle name="60% - 强调文字颜色 5 4 4" xfId="3166"/>
    <cellStyle name="60% - 强调文字颜色 5 5" xfId="3167"/>
    <cellStyle name="60% - 强调文字颜色 5 5 2" xfId="3168"/>
    <cellStyle name="检查单元格 3 4 2" xfId="3169"/>
    <cellStyle name="60% - 强调文字颜色 5 5 3" xfId="3170"/>
    <cellStyle name="60% - 强调文字颜色 5 5 4" xfId="3171"/>
    <cellStyle name="60% - 强调文字颜色 5 6 2" xfId="3172"/>
    <cellStyle name="60% - 强调文字颜色 5 6 2 2" xfId="3173"/>
    <cellStyle name="60% - 强调文字颜色 5 6 3" xfId="3174"/>
    <cellStyle name="60% - 强调文字颜色 5 7" xfId="3175"/>
    <cellStyle name="60% - 强调文字颜色 5 7 2" xfId="3176"/>
    <cellStyle name="60% - 强调文字颜色 6 2" xfId="3177"/>
    <cellStyle name="60% - 强调文字颜色 6 2 2" xfId="3178"/>
    <cellStyle name="60% - 强调文字颜色 6 2 2 2" xfId="3179"/>
    <cellStyle name="60% - 强调文字颜色 6 2 2 2 2" xfId="3180"/>
    <cellStyle name="60% - 强调文字颜色 6 2 2 2 2 2" xfId="3181"/>
    <cellStyle name="60% - 强调文字颜色 6 2 2 2 3" xfId="3182"/>
    <cellStyle name="60% - 强调文字颜色 6 2 2 3" xfId="3183"/>
    <cellStyle name="60% - 强调文字颜色 6 2 2 3 2" xfId="3184"/>
    <cellStyle name="货币 4 2 7 2" xfId="3185"/>
    <cellStyle name="60% - 强调文字颜色 6 2 2 4" xfId="3186"/>
    <cellStyle name="60% - 强调文字颜色 6 2 3" xfId="3187"/>
    <cellStyle name="60% - 强调文字颜色 6 2 3 2" xfId="3188"/>
    <cellStyle name="千位分隔 3 2 4 5" xfId="3189"/>
    <cellStyle name="60% - 强调文字颜色 6 2 3 2 2" xfId="3190"/>
    <cellStyle name="标题 1 2_2015财政决算公开" xfId="3191"/>
    <cellStyle name="60% - 强调文字颜色 6 2 3 2 2 2" xfId="3192"/>
    <cellStyle name="60% - 强调文字颜色 6 2 3 2 3" xfId="3193"/>
    <cellStyle name="60% - 强调文字颜色 6 2 3 3" xfId="3194"/>
    <cellStyle name="60% - 强调文字颜色 6 2 3 4" xfId="3195"/>
    <cellStyle name="60% - 强调文字颜色 6 2 3 5" xfId="3196"/>
    <cellStyle name="60% - 强调文字颜色 6 2 4 2" xfId="3197"/>
    <cellStyle name="汇总 4 3" xfId="3198"/>
    <cellStyle name="60% - 强调文字颜色 6 2 4 2 2" xfId="3199"/>
    <cellStyle name="解释性文本 3 2 2" xfId="3200"/>
    <cellStyle name="60% - 强调文字颜色 6 2 5" xfId="3201"/>
    <cellStyle name="解释性文本 3 2 3" xfId="3202"/>
    <cellStyle name="60% - 强调文字颜色 6 2 6" xfId="3203"/>
    <cellStyle name="60% - 强调文字颜色 6 3" xfId="3204"/>
    <cellStyle name="60% - 强调文字颜色 6 3 2" xfId="3205"/>
    <cellStyle name="60% - 强调文字颜色 6 3 2 4" xfId="3206"/>
    <cellStyle name="小数 2 2 2" xfId="3207"/>
    <cellStyle name="检查单元格 4 2 2" xfId="3208"/>
    <cellStyle name="60% - 强调文字颜色 6 3 3" xfId="3209"/>
    <cellStyle name="千位分隔 4 2 4 5" xfId="3210"/>
    <cellStyle name="常规 4 2 2 9" xfId="3211"/>
    <cellStyle name="60% - 强调文字颜色 6 3 3 2 2" xfId="3212"/>
    <cellStyle name="60% - 强调文字颜色 6 3 3 3" xfId="3213"/>
    <cellStyle name="小数 2 2 3" xfId="3214"/>
    <cellStyle name="检查单元格 4 2 3" xfId="3215"/>
    <cellStyle name="60% - 强调文字颜色 6 3 4" xfId="3216"/>
    <cellStyle name="60% - 强调文字颜色 6 3 4 2" xfId="3217"/>
    <cellStyle name="解释性文本 3 3 2" xfId="3218"/>
    <cellStyle name="60% - 强调文字颜色 6 3 5" xfId="3219"/>
    <cellStyle name="百分比 3 2 2" xfId="3220"/>
    <cellStyle name="60% - 强调文字颜色 6 4" xfId="3221"/>
    <cellStyle name="千位分隔 2 2 3 4" xfId="3222"/>
    <cellStyle name="百分比 3 2 2 2" xfId="3223"/>
    <cellStyle name="60% - 强调文字颜色 6 4 2" xfId="3224"/>
    <cellStyle name="千位分隔 2 2 3 5" xfId="3225"/>
    <cellStyle name="百分比 3 2 2 3" xfId="3226"/>
    <cellStyle name="小数 2 3 2" xfId="3227"/>
    <cellStyle name="检查单元格 4 3 2" xfId="3228"/>
    <cellStyle name="60% - 强调文字颜色 6 4 3" xfId="3229"/>
    <cellStyle name="60% - 强调文字颜色 6 4 3 2" xfId="3230"/>
    <cellStyle name="60% - 强调文字颜色 6 4 4" xfId="3231"/>
    <cellStyle name="百分比 3 2 3" xfId="3232"/>
    <cellStyle name="60% - 强调文字颜色 6 5" xfId="3233"/>
    <cellStyle name="Header1" xfId="3234"/>
    <cellStyle name="60% - 强调文字颜色 6 5 2 2 2" xfId="3235"/>
    <cellStyle name="60% - 强调文字颜色 6 5 2 3" xfId="3236"/>
    <cellStyle name="60% - 强调文字颜色 6 5 3 2" xfId="3237"/>
    <cellStyle name="60% - 强调文字颜色 6 5 4" xfId="3238"/>
    <cellStyle name="百分比 3 2 4" xfId="3239"/>
    <cellStyle name="常规 3 2 4 2 2" xfId="3240"/>
    <cellStyle name="60% - 强调文字颜色 6 6" xfId="3241"/>
    <cellStyle name="常规 2 2 3 8" xfId="3242"/>
    <cellStyle name="60% - 强调文字颜色 6 6 2" xfId="3243"/>
    <cellStyle name="60% - 强调文字颜色 6 6 3" xfId="3244"/>
    <cellStyle name="60% - 强调文字颜色 6 7" xfId="3245"/>
    <cellStyle name="常规 12 2 2 2 2" xfId="3246"/>
    <cellStyle name="60% - 强调文字颜色 6 8" xfId="3247"/>
    <cellStyle name="强调文字颜色 5 3 4 2" xfId="3248"/>
    <cellStyle name="60% - 着色 1" xfId="3249"/>
    <cellStyle name="60% - 着色 1 2" xfId="3250"/>
    <cellStyle name="60% - 着色 2" xfId="3251"/>
    <cellStyle name="常规 2 2 11" xfId="3252"/>
    <cellStyle name="适中 2 2 3" xfId="3253"/>
    <cellStyle name="60% - 着色 2 2" xfId="3254"/>
    <cellStyle name="60% - 着色 3" xfId="3255"/>
    <cellStyle name="适中 2 3 3" xfId="3256"/>
    <cellStyle name="60% - 着色 3 2" xfId="3257"/>
    <cellStyle name="60% - 着色 4" xfId="3258"/>
    <cellStyle name="60% - 着色 5" xfId="3259"/>
    <cellStyle name="适中 3 2 2 2" xfId="3260"/>
    <cellStyle name="60% - 着色 6" xfId="3261"/>
    <cellStyle name="Calc Currency (0)" xfId="3262"/>
    <cellStyle name="常规 3 6 2" xfId="3263"/>
    <cellStyle name="Comma [0] 2" xfId="3264"/>
    <cellStyle name="comma zerodec" xfId="3265"/>
    <cellStyle name="常规 2 2" xfId="3266"/>
    <cellStyle name="Comma_1995" xfId="3267"/>
    <cellStyle name="Currency [0]" xfId="3268"/>
    <cellStyle name="Currency [0] 2" xfId="3269"/>
    <cellStyle name="计算 6 2 2" xfId="3270"/>
    <cellStyle name="Currency1 2" xfId="3271"/>
    <cellStyle name="计算 5 2 3" xfId="3272"/>
    <cellStyle name="Date" xfId="3273"/>
    <cellStyle name="Date 2" xfId="3274"/>
    <cellStyle name="货币 3 2 4 4 2" xfId="3275"/>
    <cellStyle name="千位分隔 3 11" xfId="3276"/>
    <cellStyle name="Dollar (zero dec)" xfId="3277"/>
    <cellStyle name="Dollar (zero dec) 2" xfId="3278"/>
    <cellStyle name="货币 3 2 7" xfId="3279"/>
    <cellStyle name="常规 28 2" xfId="3280"/>
    <cellStyle name="常规 33 2" xfId="3281"/>
    <cellStyle name="Fixed" xfId="3282"/>
    <cellStyle name="Header1 2" xfId="3283"/>
    <cellStyle name="强调文字颜色 5 2 3" xfId="3284"/>
    <cellStyle name="标题 5 2 3_2015财政决算公开" xfId="3285"/>
    <cellStyle name="Header2" xfId="3286"/>
    <cellStyle name="Header2 2" xfId="3287"/>
    <cellStyle name="HEADING1 2" xfId="3288"/>
    <cellStyle name="HEADING2" xfId="3289"/>
    <cellStyle name="HEADING2 2" xfId="3290"/>
    <cellStyle name="Normal_#10-Headcount" xfId="3291"/>
    <cellStyle name="常规 2 3 2 9" xfId="3292"/>
    <cellStyle name="Total" xfId="3293"/>
    <cellStyle name="表标题 3" xfId="3294"/>
    <cellStyle name="标题 3 2_2015财政决算公开" xfId="3295"/>
    <cellStyle name="Total 2" xfId="3296"/>
    <cellStyle name="常规 10 3_2015财政决算公开" xfId="3297"/>
    <cellStyle name="检查单元格 6 3" xfId="3298"/>
    <cellStyle name="常规 2 5 2 2 3" xfId="3299"/>
    <cellStyle name="百分比 2" xfId="3300"/>
    <cellStyle name="百分比 2 2 2" xfId="3301"/>
    <cellStyle name="百分比 2 2 2 2" xfId="3302"/>
    <cellStyle name="百分比 2 2 2 3" xfId="3303"/>
    <cellStyle name="百分比 2 2 2 3 2" xfId="3304"/>
    <cellStyle name="百分比 2 2 3" xfId="3305"/>
    <cellStyle name="百分比 2 2 3 2" xfId="3306"/>
    <cellStyle name="百分比 2 2 3 2 2" xfId="3307"/>
    <cellStyle name="百分比 2 2 3 3" xfId="3308"/>
    <cellStyle name="常规 3 2 3 2 2" xfId="3309"/>
    <cellStyle name="百分比 2 2 4" xfId="3310"/>
    <cellStyle name="百分比 2 2 5" xfId="3311"/>
    <cellStyle name="百分比 2 3 2" xfId="3312"/>
    <cellStyle name="百分比 2 3 2 2" xfId="3313"/>
    <cellStyle name="百分比 2 3 2 2 2" xfId="3314"/>
    <cellStyle name="百分比 2 3 2 3" xfId="3315"/>
    <cellStyle name="百分比 2 3 3" xfId="3316"/>
    <cellStyle name="百分比 2 3 3 2" xfId="3317"/>
    <cellStyle name="强调文字颜色 3 5 2 2" xfId="3318"/>
    <cellStyle name="常规 3 2 3 3 2" xfId="3319"/>
    <cellStyle name="百分比 2 3 4" xfId="3320"/>
    <cellStyle name="差 2 4 2" xfId="3321"/>
    <cellStyle name="百分比 2 4" xfId="3322"/>
    <cellStyle name="百分比 2 4 2" xfId="3323"/>
    <cellStyle name="百分比 2 4 2 2" xfId="3324"/>
    <cellStyle name="百分比 2 5" xfId="3325"/>
    <cellStyle name="百分比 2 5 2" xfId="3326"/>
    <cellStyle name="百分比 3" xfId="3327"/>
    <cellStyle name="常规 2 4 2 9" xfId="3328"/>
    <cellStyle name="百分比 3 2" xfId="3329"/>
    <cellStyle name="百分比 3 3 2" xfId="3330"/>
    <cellStyle name="百分比 3 3 2 2" xfId="3331"/>
    <cellStyle name="适中 4 2 2 2" xfId="3332"/>
    <cellStyle name="百分比 3 3 3" xfId="3333"/>
    <cellStyle name="百分比 3 4" xfId="3334"/>
    <cellStyle name="百分比 3 4 2" xfId="3335"/>
    <cellStyle name="百分比 3 5" xfId="3336"/>
    <cellStyle name="常规 2 2 6" xfId="3337"/>
    <cellStyle name="百分比 4 2" xfId="3338"/>
    <cellStyle name="常规 2 2 6 2" xfId="3339"/>
    <cellStyle name="百分比 4 2 2" xfId="3340"/>
    <cellStyle name="千位分隔 3 2 3 4" xfId="3341"/>
    <cellStyle name="常规 2 2 6 2 2" xfId="3342"/>
    <cellStyle name="百分比 4 2 2 2" xfId="3343"/>
    <cellStyle name="强调文字颜色 5 3 2 2 3" xfId="3344"/>
    <cellStyle name="百分比 4 2 2 2 2" xfId="3345"/>
    <cellStyle name="小数" xfId="3346"/>
    <cellStyle name="百分比 4 2 2 3" xfId="3347"/>
    <cellStyle name="常规 2 2 6 3" xfId="3348"/>
    <cellStyle name="百分比 4 2 3" xfId="3349"/>
    <cellStyle name="千位分隔 3 2 4 4" xfId="3350"/>
    <cellStyle name="常规 2 2 6 3 2" xfId="3351"/>
    <cellStyle name="百分比 4 2 3 2" xfId="3352"/>
    <cellStyle name="常规 2 2 7" xfId="3353"/>
    <cellStyle name="百分比 4 3" xfId="3354"/>
    <cellStyle name="汇总 3" xfId="3355"/>
    <cellStyle name="常规 2 2 7 2" xfId="3356"/>
    <cellStyle name="百分比 4 3 2" xfId="3357"/>
    <cellStyle name="汇总 3 2" xfId="3358"/>
    <cellStyle name="常规 2 2 7 2 2" xfId="3359"/>
    <cellStyle name="百分比 4 3 2 2" xfId="3360"/>
    <cellStyle name="常规 2 2 8" xfId="3361"/>
    <cellStyle name="百分比 4 4" xfId="3362"/>
    <cellStyle name="常规 2 2 8 2" xfId="3363"/>
    <cellStyle name="百分比 4 4 2" xfId="3364"/>
    <cellStyle name="强调文字颜色 1 2 3 2" xfId="3365"/>
    <cellStyle name="百分比 5" xfId="3366"/>
    <cellStyle name="标题 5 2 2 3" xfId="3367"/>
    <cellStyle name="强调文字颜色 1 2 3 2 2" xfId="3368"/>
    <cellStyle name="常规 2 3 6" xfId="3369"/>
    <cellStyle name="百分比 5 2" xfId="3370"/>
    <cellStyle name="标题 5 2 2 3 2" xfId="3371"/>
    <cellStyle name="强调文字颜色 1 2 3 2 2 2" xfId="3372"/>
    <cellStyle name="常规 2 3 6 2" xfId="3373"/>
    <cellStyle name="百分比 5 2 2" xfId="3374"/>
    <cellStyle name="千位分隔 4 2 3 4" xfId="3375"/>
    <cellStyle name="常规 2 3 6 2 2" xfId="3376"/>
    <cellStyle name="百分比 5 2 2 2" xfId="3377"/>
    <cellStyle name="强调文字颜色 6 3 2 2 3" xfId="3378"/>
    <cellStyle name="百分比 5 2 2 2 2" xfId="3379"/>
    <cellStyle name="常规 2 3 6 3" xfId="3380"/>
    <cellStyle name="百分比 5 2 3" xfId="3381"/>
    <cellStyle name="常规 4 2 2 8" xfId="3382"/>
    <cellStyle name="千位分隔 4 2 4 4" xfId="3383"/>
    <cellStyle name="常规 2 3 6 3 2" xfId="3384"/>
    <cellStyle name="百分比 5 2 3 2" xfId="3385"/>
    <cellStyle name="标题 5 2 2 4" xfId="3386"/>
    <cellStyle name="强调文字颜色 1 2 3 2 3" xfId="3387"/>
    <cellStyle name="常规 2 3 7" xfId="3388"/>
    <cellStyle name="百分比 5 3" xfId="3389"/>
    <cellStyle name="常规 2 3 7 2" xfId="3390"/>
    <cellStyle name="百分比 5 3 2" xfId="3391"/>
    <cellStyle name="百分比 5 3 2 2" xfId="3392"/>
    <cellStyle name="百分比 5 3 3" xfId="3393"/>
    <cellStyle name="标题 5 2 2 5" xfId="3394"/>
    <cellStyle name="常规 2 3 8" xfId="3395"/>
    <cellStyle name="常规 2 3 4 2 2" xfId="3396"/>
    <cellStyle name="百分比 5 4" xfId="3397"/>
    <cellStyle name="常规 2 3 8 2" xfId="3398"/>
    <cellStyle name="百分比 5 4 2" xfId="3399"/>
    <cellStyle name="常规 2 3 9" xfId="3400"/>
    <cellStyle name="百分比 5 5" xfId="3401"/>
    <cellStyle name="常规 2 3 9 2" xfId="3402"/>
    <cellStyle name="百分比 5 5 2" xfId="3403"/>
    <cellStyle name="注释 4 3 2" xfId="3404"/>
    <cellStyle name="百分比 5 6" xfId="3405"/>
    <cellStyle name="常规 18 2" xfId="3406"/>
    <cellStyle name="常规 23 2" xfId="3407"/>
    <cellStyle name="强调文字颜色 1 2 3 3" xfId="3408"/>
    <cellStyle name="百分比 6" xfId="3409"/>
    <cellStyle name="标题 5 2 3 3" xfId="3410"/>
    <cellStyle name="强调文字颜色 1 2 3 3 2" xfId="3411"/>
    <cellStyle name="常规 2 4 6" xfId="3412"/>
    <cellStyle name="百分比 6 2" xfId="3413"/>
    <cellStyle name="常规 2 4 6 2" xfId="3414"/>
    <cellStyle name="百分比 6 2 2" xfId="3415"/>
    <cellStyle name="标题 2 4 3" xfId="3416"/>
    <cellStyle name="常规 2 4 6 2 2" xfId="3417"/>
    <cellStyle name="百分比 6 2 2 2" xfId="3418"/>
    <cellStyle name="百分比 6 2 2 3" xfId="3419"/>
    <cellStyle name="常规 2 4 6 3" xfId="3420"/>
    <cellStyle name="百分比 6 2 3" xfId="3421"/>
    <cellStyle name="标题 2 5 3" xfId="3422"/>
    <cellStyle name="常规 2 4 6 3 2" xfId="3423"/>
    <cellStyle name="百分比 6 2 3 2" xfId="3424"/>
    <cellStyle name="标题 5 2 3 4" xfId="3425"/>
    <cellStyle name="常规 2 4 7" xfId="3426"/>
    <cellStyle name="百分比 6 3" xfId="3427"/>
    <cellStyle name="常规 2 4 7 2" xfId="3428"/>
    <cellStyle name="百分比 6 3 2" xfId="3429"/>
    <cellStyle name="标题 3 4 3" xfId="3430"/>
    <cellStyle name="百分比 6 3 2 2" xfId="3431"/>
    <cellStyle name="百分比 6 3 3" xfId="3432"/>
    <cellStyle name="常规 2 4 8" xfId="3433"/>
    <cellStyle name="常规 2 3 4 3 2" xfId="3434"/>
    <cellStyle name="百分比 6 4" xfId="3435"/>
    <cellStyle name="常规 2 4 8 2" xfId="3436"/>
    <cellStyle name="百分比 6 4 2" xfId="3437"/>
    <cellStyle name="常规 2 4 9" xfId="3438"/>
    <cellStyle name="百分比 6 5" xfId="3439"/>
    <cellStyle name="强调文字颜色 1 2 3 4" xfId="3440"/>
    <cellStyle name="百分比 7" xfId="3441"/>
    <cellStyle name="常规 2 5 6" xfId="3442"/>
    <cellStyle name="百分比 7 2" xfId="3443"/>
    <cellStyle name="百分比 7 2 2" xfId="3444"/>
    <cellStyle name="百分比 7 2 2 2" xfId="3445"/>
    <cellStyle name="百分比 7 2 2 2 2" xfId="3446"/>
    <cellStyle name="百分比 7 2 2 3" xfId="3447"/>
    <cellStyle name="百分比 7 2 3" xfId="3448"/>
    <cellStyle name="百分比 7 2 3 2" xfId="3449"/>
    <cellStyle name="百分比 7 3" xfId="3450"/>
    <cellStyle name="百分比 7 3 2" xfId="3451"/>
    <cellStyle name="百分比 7 3 2 2" xfId="3452"/>
    <cellStyle name="百分比 7 3 3" xfId="3453"/>
    <cellStyle name="常规 2 3 4 4 2" xfId="3454"/>
    <cellStyle name="百分比 7 4" xfId="3455"/>
    <cellStyle name="百分比 7 4 2" xfId="3456"/>
    <cellStyle name="百分比 7 5" xfId="3457"/>
    <cellStyle name="强调文字颜色 1 2 3 5" xfId="3458"/>
    <cellStyle name="百分比 8" xfId="3459"/>
    <cellStyle name="标题 1 2 2 2" xfId="3460"/>
    <cellStyle name="标题 1 2 2 2 2" xfId="3461"/>
    <cellStyle name="计算 2 3 2" xfId="3462"/>
    <cellStyle name="标题 1 2 2 3" xfId="3463"/>
    <cellStyle name="标题 1 2 3" xfId="3464"/>
    <cellStyle name="标题 1 2 3 2" xfId="3465"/>
    <cellStyle name="计算 2 4 2" xfId="3466"/>
    <cellStyle name="标题 1 2 3 3" xfId="3467"/>
    <cellStyle name="常规 5 6 4 2" xfId="3468"/>
    <cellStyle name="计算 2 4 3" xfId="3469"/>
    <cellStyle name="标题 1 2 3 4" xfId="3470"/>
    <cellStyle name="标题 1 2 4 2" xfId="3471"/>
    <cellStyle name="强调文字颜色 1 5" xfId="3472"/>
    <cellStyle name="常规 2 2 2 4 5" xfId="3473"/>
    <cellStyle name="标题 1 3 2 2" xfId="3474"/>
    <cellStyle name="强调文字颜色 1 5 2" xfId="3475"/>
    <cellStyle name="标题 1 3 2 2 2" xfId="3476"/>
    <cellStyle name="强调文字颜色 1 6" xfId="3477"/>
    <cellStyle name="计算 3 3 2" xfId="3478"/>
    <cellStyle name="标题 1 3 2 3" xfId="3479"/>
    <cellStyle name="标题 1 3 3" xfId="3480"/>
    <cellStyle name="强调文字颜色 2 5" xfId="3481"/>
    <cellStyle name="标题 1 3 3 2" xfId="3482"/>
    <cellStyle name="好_F00DC810C49E00C2E0430A3413167AE0" xfId="3483"/>
    <cellStyle name="标题 1 4" xfId="3484"/>
    <cellStyle name="常规 12 2 5" xfId="3485"/>
    <cellStyle name="标题 1 4 2" xfId="3486"/>
    <cellStyle name="标题 1 4 3" xfId="3487"/>
    <cellStyle name="常规 2 4 5 2 2" xfId="3488"/>
    <cellStyle name="标题 1 5" xfId="3489"/>
    <cellStyle name="标题 1 5 3" xfId="3490"/>
    <cellStyle name="常规 2 4 5 3 2" xfId="3491"/>
    <cellStyle name="常规 4 2 2 2 2 2" xfId="3492"/>
    <cellStyle name="标题 1 6" xfId="3493"/>
    <cellStyle name="标题 1 6 2" xfId="3494"/>
    <cellStyle name="标题 1 7" xfId="3495"/>
    <cellStyle name="标题 10" xfId="3496"/>
    <cellStyle name="标题 2 2" xfId="3497"/>
    <cellStyle name="标题 2 2 2 2" xfId="3498"/>
    <cellStyle name="差_5.中央部门决算（草案)-1" xfId="3499"/>
    <cellStyle name="输入 3 2 4" xfId="3500"/>
    <cellStyle name="标题 2 2 2 2 2" xfId="3501"/>
    <cellStyle name="标题 2 2 2 3" xfId="3502"/>
    <cellStyle name="标题 2 2 3" xfId="3503"/>
    <cellStyle name="货币 2 6" xfId="3504"/>
    <cellStyle name="标题 2 2 3 2" xfId="3505"/>
    <cellStyle name="货币 2 7" xfId="3506"/>
    <cellStyle name="标题 2 2 3 3" xfId="3507"/>
    <cellStyle name="常规 4 2 2 4 4 2" xfId="3508"/>
    <cellStyle name="货币 2 8" xfId="3509"/>
    <cellStyle name="标题 2 2 3 4" xfId="3510"/>
    <cellStyle name="标题 2 3" xfId="3511"/>
    <cellStyle name="常规 2 3 2 4 5" xfId="3512"/>
    <cellStyle name="标题 2 3 2 2" xfId="3513"/>
    <cellStyle name="标题 2 3 2 2 2" xfId="3514"/>
    <cellStyle name="标题 2 3 2 3" xfId="3515"/>
    <cellStyle name="标题 2 3 3" xfId="3516"/>
    <cellStyle name="标题 2 3 3 2" xfId="3517"/>
    <cellStyle name="标题 2 3 4" xfId="3518"/>
    <cellStyle name="标题 2 4" xfId="3519"/>
    <cellStyle name="常规 13 2 5" xfId="3520"/>
    <cellStyle name="标题 2 4 2" xfId="3521"/>
    <cellStyle name="标题 2 5" xfId="3522"/>
    <cellStyle name="常规 4 2 2 2 3 2" xfId="3523"/>
    <cellStyle name="标题 2 6" xfId="3524"/>
    <cellStyle name="标题 2 6 2" xfId="3525"/>
    <cellStyle name="标题 2 7" xfId="3526"/>
    <cellStyle name="标题 3 2" xfId="3527"/>
    <cellStyle name="好 5" xfId="3528"/>
    <cellStyle name="标题 3 2 2" xfId="3529"/>
    <cellStyle name="后继超级链接 4" xfId="3530"/>
    <cellStyle name="好 5 2" xfId="3531"/>
    <cellStyle name="常规 57" xfId="3532"/>
    <cellStyle name="常规 62" xfId="3533"/>
    <cellStyle name="标题 3 2 2 2" xfId="3534"/>
    <cellStyle name="后继超级链接 5" xfId="3535"/>
    <cellStyle name="好 5 3" xfId="3536"/>
    <cellStyle name="常规 58" xfId="3537"/>
    <cellStyle name="常规 63" xfId="3538"/>
    <cellStyle name="标题 3 2 2 3" xfId="3539"/>
    <cellStyle name="好 6" xfId="3540"/>
    <cellStyle name="标题 3 2 3" xfId="3541"/>
    <cellStyle name="好 6 3" xfId="3542"/>
    <cellStyle name="标题 3 2 3 3" xfId="3543"/>
    <cellStyle name="标题 3 2 3 4" xfId="3544"/>
    <cellStyle name="好 7" xfId="3545"/>
    <cellStyle name="标题 3 2 4" xfId="3546"/>
    <cellStyle name="好 7 2" xfId="3547"/>
    <cellStyle name="标题 3 2 4 2" xfId="3548"/>
    <cellStyle name="好 8" xfId="3549"/>
    <cellStyle name="标题 3 2 5" xfId="3550"/>
    <cellStyle name="标题 3 3" xfId="3551"/>
    <cellStyle name="标题 3 3 2" xfId="3552"/>
    <cellStyle name="标题 3 3 3" xfId="3553"/>
    <cellStyle name="标题 3 3 4" xfId="3554"/>
    <cellStyle name="标题 3 4" xfId="3555"/>
    <cellStyle name="标题 3 4 2" xfId="3556"/>
    <cellStyle name="标题 3 5" xfId="3557"/>
    <cellStyle name="标题 3 5 2" xfId="3558"/>
    <cellStyle name="烹拳_laroux" xfId="3559"/>
    <cellStyle name="标题 3 5 3" xfId="3560"/>
    <cellStyle name="常规 4 2 2 2 4 2" xfId="3561"/>
    <cellStyle name="标题 3 6" xfId="3562"/>
    <cellStyle name="标题 3 6 2" xfId="3563"/>
    <cellStyle name="标题 3 7" xfId="3564"/>
    <cellStyle name="标题 3 8" xfId="3565"/>
    <cellStyle name="千位分隔 3 2" xfId="3566"/>
    <cellStyle name="标题 4 2 2" xfId="3567"/>
    <cellStyle name="千位分隔 3 2 2" xfId="3568"/>
    <cellStyle name="标题 4 2 2 2" xfId="3569"/>
    <cellStyle name="千位分隔 3 2 2 2" xfId="3570"/>
    <cellStyle name="强调文字颜色 3 2 5" xfId="3571"/>
    <cellStyle name="标题 4 2 2 2 2" xfId="3572"/>
    <cellStyle name="千位分隔 3 2 3" xfId="3573"/>
    <cellStyle name="标题 4 2 2 3" xfId="3574"/>
    <cellStyle name="千位分隔 3 3" xfId="3575"/>
    <cellStyle name="标题 4 2 3" xfId="3576"/>
    <cellStyle name="千位分隔 3 3 2" xfId="3577"/>
    <cellStyle name="标题 4 2 3 2" xfId="3578"/>
    <cellStyle name="千位分隔 3 3 2 2" xfId="3579"/>
    <cellStyle name="强调文字颜色 4 2 5" xfId="3580"/>
    <cellStyle name="标题 4 2 3 2 2" xfId="3581"/>
    <cellStyle name="千位分隔 3 3 3" xfId="3582"/>
    <cellStyle name="标题 4 2 3 3" xfId="3583"/>
    <cellStyle name="千位分隔 3 4" xfId="3584"/>
    <cellStyle name="标题 4 2 4" xfId="3585"/>
    <cellStyle name="千位分隔 3 4 2" xfId="3586"/>
    <cellStyle name="输出 6" xfId="3587"/>
    <cellStyle name="标题 4 2 4 2" xfId="3588"/>
    <cellStyle name="千位分隔 3 5" xfId="3589"/>
    <cellStyle name="标题 4 2 5" xfId="3590"/>
    <cellStyle name="标题 4 2_2015财政决算公开" xfId="3591"/>
    <cellStyle name="千位分隔 4" xfId="3592"/>
    <cellStyle name="标题 4 3" xfId="3593"/>
    <cellStyle name="千位分隔 4 2" xfId="3594"/>
    <cellStyle name="标题 4 3 2" xfId="3595"/>
    <cellStyle name="强调文字颜色 2 3 4" xfId="3596"/>
    <cellStyle name="好 2 2 2 3" xfId="3597"/>
    <cellStyle name="千位分隔 4 2 2" xfId="3598"/>
    <cellStyle name="标题 4 3 2 2" xfId="3599"/>
    <cellStyle name="千位分隔 4 2 2 2" xfId="3600"/>
    <cellStyle name="常规 4 2 6" xfId="3601"/>
    <cellStyle name="标题 4 3 2 2 2" xfId="3602"/>
    <cellStyle name="强调文字颜色 1 2 5 2" xfId="3603"/>
    <cellStyle name="千位分隔 4 2 3" xfId="3604"/>
    <cellStyle name="标题 4 3 2 3" xfId="3605"/>
    <cellStyle name="千位分隔 4 3" xfId="3606"/>
    <cellStyle name="标题 4 3 3" xfId="3607"/>
    <cellStyle name="千位分隔 4 3 2" xfId="3608"/>
    <cellStyle name="标题 4 3 3 2" xfId="3609"/>
    <cellStyle name="常规 2 2_2015财政决算公开" xfId="3610"/>
    <cellStyle name="千位分隔 4 4" xfId="3611"/>
    <cellStyle name="标题 4 3 4" xfId="3612"/>
    <cellStyle name="标题 5 2 2" xfId="3613"/>
    <cellStyle name="常规 2 3 5" xfId="3614"/>
    <cellStyle name="标题 5 2 2 2" xfId="3615"/>
    <cellStyle name="常规 2 3 5 2" xfId="3616"/>
    <cellStyle name="标题 5 2 2 2 2" xfId="3617"/>
    <cellStyle name="常规 2 3 5 3" xfId="3618"/>
    <cellStyle name="标题 5 2 2 2 3" xfId="3619"/>
    <cellStyle name="标题 5 2 2 2_2015财政决算公开" xfId="3620"/>
    <cellStyle name="常规 2 3 3 4 2" xfId="3621"/>
    <cellStyle name="标题 5 2 2_2015财政决算公开" xfId="3622"/>
    <cellStyle name="标题 5 2 3" xfId="3623"/>
    <cellStyle name="常规 2 4 5" xfId="3624"/>
    <cellStyle name="标题 5 2 3 2" xfId="3625"/>
    <cellStyle name="常规 2 4 5 2" xfId="3626"/>
    <cellStyle name="标题 5 2 3 2 2" xfId="3627"/>
    <cellStyle name="标题 5 2 4" xfId="3628"/>
    <cellStyle name="标题 5 2 5" xfId="3629"/>
    <cellStyle name="标题 5 2 6" xfId="3630"/>
    <cellStyle name="标题 5 3" xfId="3631"/>
    <cellStyle name="标题 5 3 5" xfId="3632"/>
    <cellStyle name="链接单元格 6" xfId="3633"/>
    <cellStyle name="标题 5 3_2015财政决算公开" xfId="3634"/>
    <cellStyle name="标题 5_2015财政决算公开" xfId="3635"/>
    <cellStyle name="标题 6 2" xfId="3636"/>
    <cellStyle name="标题 7" xfId="3637"/>
    <cellStyle name="标题 7 2" xfId="3638"/>
    <cellStyle name="标题 9" xfId="3639"/>
    <cellStyle name="超级链接 2 2 2 2" xfId="3640"/>
    <cellStyle name="表标题" xfId="3641"/>
    <cellStyle name="表标题 2" xfId="3642"/>
    <cellStyle name="表标题 2 2" xfId="3643"/>
    <cellStyle name="表标题 2 2 2 2" xfId="3644"/>
    <cellStyle name="表标题 2 2 3" xfId="3645"/>
    <cellStyle name="表标题 2 3" xfId="3646"/>
    <cellStyle name="表标题 2 4" xfId="3647"/>
    <cellStyle name="千位分隔 3 2 2 3" xfId="3648"/>
    <cellStyle name="强调文字颜色 3 2 6" xfId="3649"/>
    <cellStyle name="表标题 3 2" xfId="3650"/>
    <cellStyle name="千位分隔 3 2 2 4" xfId="3651"/>
    <cellStyle name="强调文字颜色 3 2 7" xfId="3652"/>
    <cellStyle name="表标题 3 3" xfId="3653"/>
    <cellStyle name="表标题 4" xfId="3654"/>
    <cellStyle name="千位分隔 3 2 3 3" xfId="3655"/>
    <cellStyle name="表标题 4 2" xfId="3656"/>
    <cellStyle name="解释性文本 5" xfId="3657"/>
    <cellStyle name="差 2" xfId="3658"/>
    <cellStyle name="解释性文本 5 2" xfId="3659"/>
    <cellStyle name="差 2 2" xfId="3660"/>
    <cellStyle name="差 2 4" xfId="3661"/>
    <cellStyle name="差 2 5" xfId="3662"/>
    <cellStyle name="差 2_2015财政决算公开" xfId="3663"/>
    <cellStyle name="解释性文本 6" xfId="3664"/>
    <cellStyle name="差 3" xfId="3665"/>
    <cellStyle name="差 3 3" xfId="3666"/>
    <cellStyle name="差 3 4" xfId="3667"/>
    <cellStyle name="差 3 5" xfId="3668"/>
    <cellStyle name="差 4 2" xfId="3669"/>
    <cellStyle name="差 4 3" xfId="3670"/>
    <cellStyle name="差 4 4" xfId="3671"/>
    <cellStyle name="差 5" xfId="3672"/>
    <cellStyle name="差 5 2" xfId="3673"/>
    <cellStyle name="差 5 2 2" xfId="3674"/>
    <cellStyle name="差 5 2 2 2" xfId="3675"/>
    <cellStyle name="差 5 3" xfId="3676"/>
    <cellStyle name="差 5 3 2" xfId="3677"/>
    <cellStyle name="差 5 4" xfId="3678"/>
    <cellStyle name="差 6" xfId="3679"/>
    <cellStyle name="差 6 2" xfId="3680"/>
    <cellStyle name="差 6 2 2" xfId="3681"/>
    <cellStyle name="差 6 3" xfId="3682"/>
    <cellStyle name="差_出版署2010年度中央部门决算草案" xfId="3683"/>
    <cellStyle name="差_司法部2010年度中央部门决算（草案）报" xfId="3684"/>
    <cellStyle name="常规 10 2" xfId="3685"/>
    <cellStyle name="常规 10 2 2" xfId="3686"/>
    <cellStyle name="常规 10 2 2 3" xfId="3687"/>
    <cellStyle name="常规 10 2 2_2015财政决算公开" xfId="3688"/>
    <cellStyle name="常规 10 2 3 2" xfId="3689"/>
    <cellStyle name="强调文字颜色 1 3 2 2 2" xfId="3690"/>
    <cellStyle name="常规 10 2 4" xfId="3691"/>
    <cellStyle name="常规 10 3 2 2" xfId="3692"/>
    <cellStyle name="常规 10 3 3" xfId="3693"/>
    <cellStyle name="货币 2 3 2 2" xfId="3694"/>
    <cellStyle name="常规 10 4" xfId="3695"/>
    <cellStyle name="货币 2 3 2 2 2" xfId="3696"/>
    <cellStyle name="常规 10 4 2" xfId="3697"/>
    <cellStyle name="汇总 3 3 2" xfId="3698"/>
    <cellStyle name="货币 2 3 2 3" xfId="3699"/>
    <cellStyle name="常规 10 5" xfId="3700"/>
    <cellStyle name="警告文本 3 3 2" xfId="3701"/>
    <cellStyle name="货币 2 3 2 4" xfId="3702"/>
    <cellStyle name="常规 10 6" xfId="3703"/>
    <cellStyle name="常规 2 4 2 2 3 2" xfId="3704"/>
    <cellStyle name="常规 10_2015财政决算公开" xfId="3705"/>
    <cellStyle name="常规 11" xfId="3706"/>
    <cellStyle name="常规 11 2 2 2 2" xfId="3707"/>
    <cellStyle name="货币 4 7 2" xfId="3708"/>
    <cellStyle name="常规 11 2 2 3" xfId="3709"/>
    <cellStyle name="常规 11_报 预算   行政政法处(1)" xfId="3710"/>
    <cellStyle name="好 4 2" xfId="3711"/>
    <cellStyle name="常规 12" xfId="3712"/>
    <cellStyle name="常规 12 2 2 2 2 2" xfId="3713"/>
    <cellStyle name="注释 5 4" xfId="3714"/>
    <cellStyle name="常规 69" xfId="3715"/>
    <cellStyle name="常规 74" xfId="3716"/>
    <cellStyle name="检查单元格 2 3 5" xfId="3717"/>
    <cellStyle name="常规 12 2 2 2_2015财政决算公开" xfId="3718"/>
    <cellStyle name="常规 12 2 2 3" xfId="3719"/>
    <cellStyle name="常规 12 2 2 3 2" xfId="3720"/>
    <cellStyle name="常规 12 2 2 4" xfId="3721"/>
    <cellStyle name="常规 12 2 2 5" xfId="3722"/>
    <cellStyle name="常规 12 2 3 3" xfId="3723"/>
    <cellStyle name="常规 12 2 3_2015财政决算公开" xfId="3724"/>
    <cellStyle name="常规 12 2 4 2" xfId="3725"/>
    <cellStyle name="常规 12 4 2 2" xfId="3726"/>
    <cellStyle name="常规 12 4 3" xfId="3727"/>
    <cellStyle name="常规 2 3 2 3 3" xfId="3728"/>
    <cellStyle name="常规 12 4_2015财政决算公开" xfId="3729"/>
    <cellStyle name="货币 2 3 4 5" xfId="3730"/>
    <cellStyle name="常规 12 7" xfId="3731"/>
    <cellStyle name="强调文字颜色 1 3 2 2" xfId="3732"/>
    <cellStyle name="常规 12_2015财政决算公开" xfId="3733"/>
    <cellStyle name="好 4 3" xfId="3734"/>
    <cellStyle name="常规 13" xfId="3735"/>
    <cellStyle name="注释 3 2 4" xfId="3736"/>
    <cellStyle name="货币 2 2 9 2" xfId="3737"/>
    <cellStyle name="常规 13 2 2 3" xfId="3738"/>
    <cellStyle name="常规 2 2 2 2 3 2 2" xfId="3739"/>
    <cellStyle name="常规 13 2 2_2015财政决算公开" xfId="3740"/>
    <cellStyle name="常规 14 2" xfId="3741"/>
    <cellStyle name="常规 14 2 2" xfId="3742"/>
    <cellStyle name="常规 14 3" xfId="3743"/>
    <cellStyle name="常规 14 3 2" xfId="3744"/>
    <cellStyle name="货币 2 3 6 2" xfId="3745"/>
    <cellStyle name="常规 14 4" xfId="3746"/>
    <cellStyle name="常规 14 4 2" xfId="3747"/>
    <cellStyle name="常规 14_2015财政决算公开" xfId="3748"/>
    <cellStyle name="常规 2 3 2 2 5 2" xfId="3749"/>
    <cellStyle name="常规 15_2015财政决算公开" xfId="3750"/>
    <cellStyle name="常规 16_2015财政决算公开" xfId="3751"/>
    <cellStyle name="注释 4 2 2 2" xfId="3752"/>
    <cellStyle name="常规 17 2 2" xfId="3753"/>
    <cellStyle name="常规 22 2 2" xfId="3754"/>
    <cellStyle name="注释 4 4" xfId="3755"/>
    <cellStyle name="常规 19" xfId="3756"/>
    <cellStyle name="常规 24" xfId="3757"/>
    <cellStyle name="常规 19 2" xfId="3758"/>
    <cellStyle name="常规 24 2" xfId="3759"/>
    <cellStyle name="常规 19 2 2" xfId="3760"/>
    <cellStyle name="常规 24 2 2" xfId="3761"/>
    <cellStyle name="常规 3_收入总表2 2" xfId="3762"/>
    <cellStyle name="常规 19_2015财政决算公开" xfId="3763"/>
    <cellStyle name="常规 2" xfId="3764"/>
    <cellStyle name="货币 4 2 4 3 2" xfId="3765"/>
    <cellStyle name="强调文字颜色 3 3" xfId="3766"/>
    <cellStyle name="常规 2 10" xfId="3767"/>
    <cellStyle name="常规 2 2 2 6 3" xfId="3768"/>
    <cellStyle name="强调文字颜色 3 4" xfId="3769"/>
    <cellStyle name="常规 2 11" xfId="3770"/>
    <cellStyle name="常规 2 2 2 6 4" xfId="3771"/>
    <cellStyle name="常规 2 2 10" xfId="3772"/>
    <cellStyle name="常规 2 4 3 5" xfId="3773"/>
    <cellStyle name="输出 2 3 4" xfId="3774"/>
    <cellStyle name="常规 2 2 2" xfId="3775"/>
    <cellStyle name="常规 2 2 2 10" xfId="3776"/>
    <cellStyle name="常规 2 4 3 5 2" xfId="3777"/>
    <cellStyle name="常规 2 2 2 2" xfId="3778"/>
    <cellStyle name="注释 2 2 4" xfId="3779"/>
    <cellStyle name="常规 2 2 2 2 2 2 2" xfId="3780"/>
    <cellStyle name="常规 2 2 2 2 2 3" xfId="3781"/>
    <cellStyle name="注释 2 3 4" xfId="3782"/>
    <cellStyle name="常规 2 3 2 2 6" xfId="3783"/>
    <cellStyle name="常规 2 2 2 2 2 3 2" xfId="3784"/>
    <cellStyle name="常规 2 2 2 2 2 4 2" xfId="3785"/>
    <cellStyle name="常规 2 2 2 2 2 5" xfId="3786"/>
    <cellStyle name="常规 2 2 2 2 2_2015财政决算公开" xfId="3787"/>
    <cellStyle name="常规 2 2 2 2 3" xfId="3788"/>
    <cellStyle name="货币 2 2 9" xfId="3789"/>
    <cellStyle name="常规 2 2 2 2 3 2" xfId="3790"/>
    <cellStyle name="常规 2 2 2 2 3 3" xfId="3791"/>
    <cellStyle name="常规 2 2 2 2 3 3 2" xfId="3792"/>
    <cellStyle name="常规 2 2 2 2 3 4" xfId="3793"/>
    <cellStyle name="常规 2 2 2 2 4 2" xfId="3794"/>
    <cellStyle name="常规 2 2 2 2 4 2 2" xfId="3795"/>
    <cellStyle name="常规 2 2 2 2 4 3 2" xfId="3796"/>
    <cellStyle name="常规 2 2 2 2 4 4" xfId="3797"/>
    <cellStyle name="常规 2 2 2 2 4 4 2" xfId="3798"/>
    <cellStyle name="常规 2 2 2 2 4 5" xfId="3799"/>
    <cellStyle name="常规 2 2 2 2 6" xfId="3800"/>
    <cellStyle name="常规 2 2 2 2 7" xfId="3801"/>
    <cellStyle name="常规 2 2 2 2 8" xfId="3802"/>
    <cellStyle name="常规 2 2 2 3" xfId="3803"/>
    <cellStyle name="常规 2 2 2 3 2" xfId="3804"/>
    <cellStyle name="常规 2 2 2 3 2 2" xfId="3805"/>
    <cellStyle name="常规 2 2 2 3 3" xfId="3806"/>
    <cellStyle name="常规 2 2 2 3 3 2" xfId="3807"/>
    <cellStyle name="货币 4 5 2 2" xfId="3808"/>
    <cellStyle name="常规 2 2 2 3 4" xfId="3809"/>
    <cellStyle name="常规 2 2 2 3 4 2" xfId="3810"/>
    <cellStyle name="常规 2 2 2 3_2015财政决算公开" xfId="3811"/>
    <cellStyle name="强调文字颜色 1 4" xfId="3812"/>
    <cellStyle name="货币 4 5 3 2" xfId="3813"/>
    <cellStyle name="常规 2 2 2 4 4" xfId="3814"/>
    <cellStyle name="强调文字颜色 1 4 2" xfId="3815"/>
    <cellStyle name="常规 2 2 2 4 4 2" xfId="3816"/>
    <cellStyle name="强调文字颜色 2 2 2" xfId="3817"/>
    <cellStyle name="输出 3 2 2 3" xfId="3818"/>
    <cellStyle name="常规 2 2 2 5 2 2" xfId="3819"/>
    <cellStyle name="货币 4 2 4 2 2" xfId="3820"/>
    <cellStyle name="强调文字颜色 2 3" xfId="3821"/>
    <cellStyle name="常规 2 2 2 5 3" xfId="3822"/>
    <cellStyle name="强调文字颜色 2 4" xfId="3823"/>
    <cellStyle name="常规 2 2 2 5 4" xfId="3824"/>
    <cellStyle name="千位分隔 2 2 4 2 2" xfId="3825"/>
    <cellStyle name="强调文字颜色 3 2" xfId="3826"/>
    <cellStyle name="常规 2 2 2 6 2" xfId="3827"/>
    <cellStyle name="强调文字颜色 3 2 2" xfId="3828"/>
    <cellStyle name="常规 2 2 2 6 2 2" xfId="3829"/>
    <cellStyle name="强调文字颜色 3 3 2" xfId="3830"/>
    <cellStyle name="常规 2 2 2 6 3 2" xfId="3831"/>
    <cellStyle name="强调文字颜色 3 4 2" xfId="3832"/>
    <cellStyle name="常规 2 2 2 6 4 2" xfId="3833"/>
    <cellStyle name="常规 3 2 2 3" xfId="3834"/>
    <cellStyle name="强调文字颜色 3 5" xfId="3835"/>
    <cellStyle name="常规 2 2 2 6 5" xfId="3836"/>
    <cellStyle name="常规 2 2 2 6_2015财政决算公开" xfId="3837"/>
    <cellStyle name="货币 3 4 3" xfId="3838"/>
    <cellStyle name="千位分隔 2 2 4 3 2" xfId="3839"/>
    <cellStyle name="强调文字颜色 4 2" xfId="3840"/>
    <cellStyle name="常规 2 2 2 7 2" xfId="3841"/>
    <cellStyle name="常规 2 4 3 6" xfId="3842"/>
    <cellStyle name="常规 2 2 3 4 2 2" xfId="3843"/>
    <cellStyle name="输出 2 3 5" xfId="3844"/>
    <cellStyle name="常规 2 2 3" xfId="3845"/>
    <cellStyle name="常规 2 2 3 2" xfId="3846"/>
    <cellStyle name="常规 2 2 3 2 2" xfId="3847"/>
    <cellStyle name="常规 2 2 3 2 3" xfId="3848"/>
    <cellStyle name="常规 2 2 3 2 3 2" xfId="3849"/>
    <cellStyle name="常规 2 2 3 2 4 2" xfId="3850"/>
    <cellStyle name="常规 2 2 3 3" xfId="3851"/>
    <cellStyle name="常规 2 2 3 3 2" xfId="3852"/>
    <cellStyle name="千位分隔 2 3 5 2" xfId="3853"/>
    <cellStyle name="常规 2 3 3 6" xfId="3854"/>
    <cellStyle name="常规 2 2 3 3 2 2" xfId="3855"/>
    <cellStyle name="常规 2 2 3 3 3" xfId="3856"/>
    <cellStyle name="常规 2 3 4 6" xfId="3857"/>
    <cellStyle name="常规 2 2 3 3 3 2" xfId="3858"/>
    <cellStyle name="货币 4 6 2 2" xfId="3859"/>
    <cellStyle name="常规 2 2 3 3 4" xfId="3860"/>
    <cellStyle name="常规 2 2 3 4 3" xfId="3861"/>
    <cellStyle name="常规 2 4 4 6" xfId="3862"/>
    <cellStyle name="常规 2 3 3" xfId="3863"/>
    <cellStyle name="常规 2 2 3 4 3 2" xfId="3864"/>
    <cellStyle name="常规 2 2 3 5 2" xfId="3865"/>
    <cellStyle name="常规 2 2 3 6 2" xfId="3866"/>
    <cellStyle name="常规 2 2 3 7" xfId="3867"/>
    <cellStyle name="常规 2 4 3 7" xfId="3868"/>
    <cellStyle name="常规 2 2 4" xfId="3869"/>
    <cellStyle name="常规 2 2 4 2" xfId="3870"/>
    <cellStyle name="常规 2 2 4 2 2" xfId="3871"/>
    <cellStyle name="常规 2 2 4 3" xfId="3872"/>
    <cellStyle name="常规 2 2 4 3 2" xfId="3873"/>
    <cellStyle name="常规 2 2 4 4 2" xfId="3874"/>
    <cellStyle name="常规 2 2 4 5" xfId="3875"/>
    <cellStyle name="常规 2 2 5" xfId="3876"/>
    <cellStyle name="常规 2 2 5 2" xfId="3877"/>
    <cellStyle name="常规 2 2 5 2 2" xfId="3878"/>
    <cellStyle name="常规 2 2 5 3" xfId="3879"/>
    <cellStyle name="常规 2 2 5 3 2" xfId="3880"/>
    <cellStyle name="常规 2 2 5 4" xfId="3881"/>
    <cellStyle name="常规 2 2 5 4 2" xfId="3882"/>
    <cellStyle name="常规 2 2 5 5" xfId="3883"/>
    <cellStyle name="汇总 4 2" xfId="3884"/>
    <cellStyle name="常规 2 2 7 3 2" xfId="3885"/>
    <cellStyle name="常规 2 2 9 2" xfId="3886"/>
    <cellStyle name="常规 2 3 11" xfId="3887"/>
    <cellStyle name="常规 2 4 4 5" xfId="3888"/>
    <cellStyle name="常规 2 3 2" xfId="3889"/>
    <cellStyle name="常规 2 3 2 2" xfId="3890"/>
    <cellStyle name="常规 2 3 2 2 2" xfId="3891"/>
    <cellStyle name="常规 2 3 2 2 2 2" xfId="3892"/>
    <cellStyle name="常规 2 3 2 2 3" xfId="3893"/>
    <cellStyle name="常规 2 3 2 2 3 2" xfId="3894"/>
    <cellStyle name="注释 2 3 2 2" xfId="3895"/>
    <cellStyle name="常规 2 3 2 2 4 2" xfId="3896"/>
    <cellStyle name="常规 2 3 2 2 7" xfId="3897"/>
    <cellStyle name="常规 2 3 2 3" xfId="3898"/>
    <cellStyle name="常规 2 3 2 3 2" xfId="3899"/>
    <cellStyle name="常规 2 3 2 3 2 2" xfId="3900"/>
    <cellStyle name="注释 2 4 2" xfId="3901"/>
    <cellStyle name="常规 2 3 2 3 4" xfId="3902"/>
    <cellStyle name="常规 2 3 2 4 2 2" xfId="3903"/>
    <cellStyle name="常规 2 3 2 4 3" xfId="3904"/>
    <cellStyle name="常规 2 3 2 4 3 2" xfId="3905"/>
    <cellStyle name="常规 2 3 2 4 4" xfId="3906"/>
    <cellStyle name="常规 2 3 2 4 4 2" xfId="3907"/>
    <cellStyle name="常规 2 3 2 5 2" xfId="3908"/>
    <cellStyle name="千位分隔 2 3 4 2" xfId="3909"/>
    <cellStyle name="常规 2 3 2 6" xfId="3910"/>
    <cellStyle name="常规 2 3 2 6 2" xfId="3911"/>
    <cellStyle name="常规 2 3 2 7" xfId="3912"/>
    <cellStyle name="常规 2 3 2 7 2" xfId="3913"/>
    <cellStyle name="常规 2 3 2 8" xfId="3914"/>
    <cellStyle name="常规 2 3 3 2 2" xfId="3915"/>
    <cellStyle name="常规 2 3 3 3" xfId="3916"/>
    <cellStyle name="常规 2 3 3 3 2" xfId="3917"/>
    <cellStyle name="常规 2 3 3 5" xfId="3918"/>
    <cellStyle name="常规 2 3 3 5 2" xfId="3919"/>
    <cellStyle name="常规 2 3 3 7" xfId="3920"/>
    <cellStyle name="常规 2 3 4" xfId="3921"/>
    <cellStyle name="常规 2 3 4 2" xfId="3922"/>
    <cellStyle name="常规 2 3 4 3" xfId="3923"/>
    <cellStyle name="常规 2 3 4 4" xfId="3924"/>
    <cellStyle name="常规 2 3 4 5" xfId="3925"/>
    <cellStyle name="常规 2 3 5 4" xfId="3926"/>
    <cellStyle name="常规 2 4" xfId="3927"/>
    <cellStyle name="常规 2 4 10 2" xfId="3928"/>
    <cellStyle name="常规 2 4 11" xfId="3929"/>
    <cellStyle name="常规 2 4 2" xfId="3930"/>
    <cellStyle name="常规 2 4 2 2" xfId="3931"/>
    <cellStyle name="常规 2 4 2 2 2" xfId="3932"/>
    <cellStyle name="常规 2 4 2 2 2 2" xfId="3933"/>
    <cellStyle name="常规 2 4 2 2 3" xfId="3934"/>
    <cellStyle name="常规 2 4 2 2 4" xfId="3935"/>
    <cellStyle name="常规 2 4 2 2 5 2" xfId="3936"/>
    <cellStyle name="常规 2 4 2 2 6" xfId="3937"/>
    <cellStyle name="常规 2 4 2 2 7" xfId="3938"/>
    <cellStyle name="常规 2 4 2 3" xfId="3939"/>
    <cellStyle name="输出 2 2 2 2 2" xfId="3940"/>
    <cellStyle name="常规 7 2 3 3" xfId="3941"/>
    <cellStyle name="常规 2 4 2 3 2 2" xfId="3942"/>
    <cellStyle name="常规 2 4 2 3 3 2" xfId="3943"/>
    <cellStyle name="常规 2 4 2 3 4" xfId="3944"/>
    <cellStyle name="常规 2 4 2 3 5" xfId="3945"/>
    <cellStyle name="常规 2 4 2 6" xfId="3946"/>
    <cellStyle name="常规 2 4 2 7" xfId="3947"/>
    <cellStyle name="常规 2 4 3 2 2" xfId="3948"/>
    <cellStyle name="常规 2 4 3 3" xfId="3949"/>
    <cellStyle name="常规 2 4 3 3 2" xfId="3950"/>
    <cellStyle name="常规 2 4 3 4 2" xfId="3951"/>
    <cellStyle name="常规 2 4 4 2" xfId="3952"/>
    <cellStyle name="常规 2 4 4 2 2" xfId="3953"/>
    <cellStyle name="常规 2 4 4 3" xfId="3954"/>
    <cellStyle name="常规 2 4 4 3 2" xfId="3955"/>
    <cellStyle name="常规 2 4 4 4" xfId="3956"/>
    <cellStyle name="常规 2 4 4 4 2" xfId="3957"/>
    <cellStyle name="常规 2 4 5 3" xfId="3958"/>
    <cellStyle name="常规 2 4 5 4" xfId="3959"/>
    <cellStyle name="检查单元格 7" xfId="3960"/>
    <cellStyle name="小数 5" xfId="3961"/>
    <cellStyle name="常规 2 5 2 3" xfId="3962"/>
    <cellStyle name="检查单元格 9" xfId="3963"/>
    <cellStyle name="常规 2 5 2 5" xfId="3964"/>
    <cellStyle name="常规 2 5 3 2" xfId="3965"/>
    <cellStyle name="常规 2 5 3 3" xfId="3966"/>
    <cellStyle name="常规 2 5 4 2" xfId="3967"/>
    <cellStyle name="常规 2 5 4 3" xfId="3968"/>
    <cellStyle name="常规 2 6" xfId="3969"/>
    <cellStyle name="常规 2 6 2" xfId="3970"/>
    <cellStyle name="常规 2 6 2 2" xfId="3971"/>
    <cellStyle name="货币 2 2 3 3 2" xfId="3972"/>
    <cellStyle name="常规 2 6 4" xfId="3973"/>
    <cellStyle name="常规 2 7" xfId="3974"/>
    <cellStyle name="常规 2 7 3" xfId="3975"/>
    <cellStyle name="输入 2" xfId="3976"/>
    <cellStyle name="常规 2 8" xfId="3977"/>
    <cellStyle name="输入 2 2" xfId="3978"/>
    <cellStyle name="常规 2 8 2" xfId="3979"/>
    <cellStyle name="常规 27 2 2" xfId="3980"/>
    <cellStyle name="常规 27 3" xfId="3981"/>
    <cellStyle name="常规 29" xfId="3982"/>
    <cellStyle name="常规 34" xfId="3983"/>
    <cellStyle name="常规 29 2" xfId="3984"/>
    <cellStyle name="注释 10" xfId="3985"/>
    <cellStyle name="输出 4 2" xfId="3986"/>
    <cellStyle name="常规 3" xfId="3987"/>
    <cellStyle name="常规 3 10" xfId="3988"/>
    <cellStyle name="常规 3 11" xfId="3989"/>
    <cellStyle name="输出 4 2 2" xfId="3990"/>
    <cellStyle name="常规 3 2" xfId="3991"/>
    <cellStyle name="常规 3 2 2 2" xfId="3992"/>
    <cellStyle name="常规 3 2 2 2 2" xfId="3993"/>
    <cellStyle name="强调文字颜色 3 4 2 2" xfId="3994"/>
    <cellStyle name="常规 3 2 2 3 2" xfId="3995"/>
    <cellStyle name="千位分隔 3 2 4 2" xfId="3996"/>
    <cellStyle name="常规 3 2 2 6" xfId="3997"/>
    <cellStyle name="千位分隔 3 2 4 2 2" xfId="3998"/>
    <cellStyle name="常规 3 2 2 6 2" xfId="3999"/>
    <cellStyle name="常规 3 2 3 2" xfId="4000"/>
    <cellStyle name="强调文字颜色 3 5 2" xfId="4001"/>
    <cellStyle name="常规 3 2 3 3" xfId="4002"/>
    <cellStyle name="常规 3 2 4" xfId="4003"/>
    <cellStyle name="强调文字颜色 3 6 2" xfId="4004"/>
    <cellStyle name="常规 3 2 4 3" xfId="4005"/>
    <cellStyle name="强调文字颜色 3 6 2 2" xfId="4006"/>
    <cellStyle name="常规 3 2 4 3 2" xfId="4007"/>
    <cellStyle name="强调文字颜色 3 6 3" xfId="4008"/>
    <cellStyle name="常规 3 2 4 4" xfId="4009"/>
    <cellStyle name="常规 3 2 4 4 2" xfId="4010"/>
    <cellStyle name="输出 4 2 3" xfId="4011"/>
    <cellStyle name="常规 3 3" xfId="4012"/>
    <cellStyle name="常规 3 3 2" xfId="4013"/>
    <cellStyle name="常规 3 3 3" xfId="4014"/>
    <cellStyle name="好 3 2 2 2" xfId="4015"/>
    <cellStyle name="常规 3 3 4" xfId="4016"/>
    <cellStyle name="汇总 2 3 4" xfId="4017"/>
    <cellStyle name="货币 2 2 2 5" xfId="4018"/>
    <cellStyle name="常规 3 4 2 2" xfId="4019"/>
    <cellStyle name="货币 2 2 3 5" xfId="4020"/>
    <cellStyle name="常规 3 4 3 2" xfId="4021"/>
    <cellStyle name="好 3 2 3 2" xfId="4022"/>
    <cellStyle name="常规 3 4 4" xfId="4023"/>
    <cellStyle name="常规 3 5" xfId="4024"/>
    <cellStyle name="常规 3 5 3" xfId="4025"/>
    <cellStyle name="常规 3 5 3 2" xfId="4026"/>
    <cellStyle name="货币 2 2 4 2 2" xfId="4027"/>
    <cellStyle name="常规 3 5 4" xfId="4028"/>
    <cellStyle name="常规 3 6 2 2" xfId="4029"/>
    <cellStyle name="常规 3 6 3" xfId="4030"/>
    <cellStyle name="常规 3 6 3 2" xfId="4031"/>
    <cellStyle name="货币 2 2 4 3 2" xfId="4032"/>
    <cellStyle name="常规 3 6 4" xfId="4033"/>
    <cellStyle name="常规 3 6 5" xfId="4034"/>
    <cellStyle name="常规 3 7" xfId="4035"/>
    <cellStyle name="常规 3 7 2" xfId="4036"/>
    <cellStyle name="常规 3 7 2 2" xfId="4037"/>
    <cellStyle name="常规 3 7 3 2" xfId="4038"/>
    <cellStyle name="货币 2 2 4 4 2" xfId="4039"/>
    <cellStyle name="常规 3 7 4" xfId="4040"/>
    <cellStyle name="强调文字颜色 2 3 3 2" xfId="4041"/>
    <cellStyle name="好 2 2 2 2 2" xfId="4042"/>
    <cellStyle name="常规 3 8" xfId="4043"/>
    <cellStyle name="常规 3 8 2" xfId="4044"/>
    <cellStyle name="常规 3 9 2" xfId="4045"/>
    <cellStyle name="常规 3_收入总表2" xfId="4046"/>
    <cellStyle name="输出 4 3" xfId="4047"/>
    <cellStyle name="常规 4" xfId="4048"/>
    <cellStyle name="输出 4 3 2" xfId="4049"/>
    <cellStyle name="常规 4 2" xfId="4050"/>
    <cellStyle name="常规 4 2 10" xfId="4051"/>
    <cellStyle name="常规 4 2 11" xfId="4052"/>
    <cellStyle name="常规 4 4" xfId="4053"/>
    <cellStyle name="常规 4 2 2" xfId="4054"/>
    <cellStyle name="常规 6 4" xfId="4055"/>
    <cellStyle name="常规 4 4 2" xfId="4056"/>
    <cellStyle name="常规 4 2 2 2" xfId="4057"/>
    <cellStyle name="货币 3 2 2 5" xfId="4058"/>
    <cellStyle name="常规 6 4 2" xfId="4059"/>
    <cellStyle name="常规 4 2 2 2 2" xfId="4060"/>
    <cellStyle name="常规 6 4 3" xfId="4061"/>
    <cellStyle name="常规 4 2 2 2 3" xfId="4062"/>
    <cellStyle name="常规 4 2 2 2 5" xfId="4063"/>
    <cellStyle name="千位分隔 4 4 4 2" xfId="4064"/>
    <cellStyle name="常规 4 2 2 2 6" xfId="4065"/>
    <cellStyle name="霓付 [0]_laroux" xfId="4066"/>
    <cellStyle name="警告文本 2" xfId="4067"/>
    <cellStyle name="常规 4 2 2 3 2" xfId="4068"/>
    <cellStyle name="警告文本 3" xfId="4069"/>
    <cellStyle name="常规 4 2 2 3 3" xfId="4070"/>
    <cellStyle name="警告文本 3 2" xfId="4071"/>
    <cellStyle name="常规 4 2 2 3 3 2" xfId="4072"/>
    <cellStyle name="警告文本 4" xfId="4073"/>
    <cellStyle name="常规 4 2 2 3 4" xfId="4074"/>
    <cellStyle name="常规 4 2 2 4 3 2" xfId="4075"/>
    <cellStyle name="常规 4 2 2 4 4" xfId="4076"/>
    <cellStyle name="常规 4 2 2 4 5" xfId="4077"/>
    <cellStyle name="千位分隔 4 2 4 2 2" xfId="4078"/>
    <cellStyle name="常规 4 2 2 6 2" xfId="4079"/>
    <cellStyle name="千位分隔 4 2 4 3 2" xfId="4080"/>
    <cellStyle name="适中 6" xfId="4081"/>
    <cellStyle name="常规 4 2 2 7 2" xfId="4082"/>
    <cellStyle name="常规 4 5" xfId="4083"/>
    <cellStyle name="常规 4 2 3" xfId="4084"/>
    <cellStyle name="常规 7 4" xfId="4085"/>
    <cellStyle name="常规 4 5 2" xfId="4086"/>
    <cellStyle name="常规 4 2 3 2" xfId="4087"/>
    <cellStyle name="常规 7 5" xfId="4088"/>
    <cellStyle name="常规 4 5 3" xfId="4089"/>
    <cellStyle name="常规 4 2 3 3" xfId="4090"/>
    <cellStyle name="常规 4 6" xfId="4091"/>
    <cellStyle name="常规 4 2 4" xfId="4092"/>
    <cellStyle name="常规 8 5" xfId="4093"/>
    <cellStyle name="常规 4 6 3" xfId="4094"/>
    <cellStyle name="常规 4 2 4 3" xfId="4095"/>
    <cellStyle name="常规 4 2 4 3 2" xfId="4096"/>
    <cellStyle name="常规 4 2 4 4 2" xfId="4097"/>
    <cellStyle name="常规 4 2 4 5" xfId="4098"/>
    <cellStyle name="常规 4 2 5" xfId="4099"/>
    <cellStyle name="常规 4 7" xfId="4100"/>
    <cellStyle name="常规 4 2 8" xfId="4101"/>
    <cellStyle name="千位分隔 4 2 2 4" xfId="4102"/>
    <cellStyle name="常规 4 3" xfId="4103"/>
    <cellStyle name="常规 4 3 2 2" xfId="4104"/>
    <cellStyle name="常规 5 4 2" xfId="4105"/>
    <cellStyle name="常规 4 3 2 3" xfId="4106"/>
    <cellStyle name="常规 5 4 3" xfId="4107"/>
    <cellStyle name="常规 4 3 3" xfId="4108"/>
    <cellStyle name="常规 5 5" xfId="4109"/>
    <cellStyle name="常规 4 3 3 2" xfId="4110"/>
    <cellStyle name="常规 5 5 2" xfId="4111"/>
    <cellStyle name="常规 50 2" xfId="4112"/>
    <cellStyle name="常规 45 2" xfId="4113"/>
    <cellStyle name="常规 51" xfId="4114"/>
    <cellStyle name="常规 46" xfId="4115"/>
    <cellStyle name="常规 52" xfId="4116"/>
    <cellStyle name="常规 47" xfId="4117"/>
    <cellStyle name="常规 48 2" xfId="4118"/>
    <cellStyle name="常规 49 2" xfId="4119"/>
    <cellStyle name="常规 5" xfId="4120"/>
    <cellStyle name="输出 4 4" xfId="4121"/>
    <cellStyle name="常规 5 10" xfId="4122"/>
    <cellStyle name="常规 5 2" xfId="4123"/>
    <cellStyle name="常规 5 2 2" xfId="4124"/>
    <cellStyle name="常规 5 2 2 2" xfId="4125"/>
    <cellStyle name="常规 5 2 2 3" xfId="4126"/>
    <cellStyle name="常规 5 2 3" xfId="4127"/>
    <cellStyle name="常规 5 2 3 2" xfId="4128"/>
    <cellStyle name="常规 5 2 3 3" xfId="4129"/>
    <cellStyle name="常规 5 2 3 5" xfId="4130"/>
    <cellStyle name="常规 5 2 4" xfId="4131"/>
    <cellStyle name="常规 5 2 4 2" xfId="4132"/>
    <cellStyle name="常规 5 2 4 3" xfId="4133"/>
    <cellStyle name="常规 5 2 4 3 2" xfId="4134"/>
    <cellStyle name="常规 5 2 4 4 2" xfId="4135"/>
    <cellStyle name="检查单元格 2 2" xfId="4136"/>
    <cellStyle name="常规 5 2 4 5" xfId="4137"/>
    <cellStyle name="检查单元格 3" xfId="4138"/>
    <cellStyle name="强调文字颜色 5 3 2 3 2" xfId="4139"/>
    <cellStyle name="常规 5 2 5" xfId="4140"/>
    <cellStyle name="常规 5 2 5 2" xfId="4141"/>
    <cellStyle name="常规 5 2 6" xfId="4142"/>
    <cellStyle name="千位分隔 4 3 2 2" xfId="4143"/>
    <cellStyle name="常规 5 2 6 2" xfId="4144"/>
    <cellStyle name="常规 5 2 7" xfId="4145"/>
    <cellStyle name="常规 5 2 7 2" xfId="4146"/>
    <cellStyle name="常规 5 2 8" xfId="4147"/>
    <cellStyle name="常规 5 3" xfId="4148"/>
    <cellStyle name="常规 5 3 2" xfId="4149"/>
    <cellStyle name="常规 5 3 2 2" xfId="4150"/>
    <cellStyle name="常规 5 3 3" xfId="4151"/>
    <cellStyle name="常规 5 3 3 2" xfId="4152"/>
    <cellStyle name="常规 5 4 2 2" xfId="4153"/>
    <cellStyle name="货币 4 2 2 5" xfId="4154"/>
    <cellStyle name="常规 5 4 3 2" xfId="4155"/>
    <cellStyle name="常规 5 4 6" xfId="4156"/>
    <cellStyle name="千位分隔 4 3 4 2" xfId="4157"/>
    <cellStyle name="常规 5 5 3" xfId="4158"/>
    <cellStyle name="常规 5 5 3 2" xfId="4159"/>
    <cellStyle name="常规 5 6 4" xfId="4160"/>
    <cellStyle name="货币 2 2 6 3 2" xfId="4161"/>
    <cellStyle name="常规 5 6 5" xfId="4162"/>
    <cellStyle name="常规 5 8 2" xfId="4163"/>
    <cellStyle name="千位分隔 4 2 3 2 2" xfId="4164"/>
    <cellStyle name="好_全国友协2010年度中央部门决算（草案）" xfId="4165"/>
    <cellStyle name="常规 5 9 2" xfId="4166"/>
    <cellStyle name="千位分隔 4 2 3 3 2" xfId="4167"/>
    <cellStyle name="常规 60" xfId="4168"/>
    <cellStyle name="常规 55" xfId="4169"/>
    <cellStyle name="后继超级链接 2" xfId="4170"/>
    <cellStyle name="常规 61" xfId="4171"/>
    <cellStyle name="常规 56" xfId="4172"/>
    <cellStyle name="后继超级链接 3" xfId="4173"/>
    <cellStyle name="常规 64" xfId="4174"/>
    <cellStyle name="常规 59" xfId="4175"/>
    <cellStyle name="好 5 4" xfId="4176"/>
    <cellStyle name="常规 6" xfId="4177"/>
    <cellStyle name="常规 6 2" xfId="4178"/>
    <cellStyle name="常规 6 2 2" xfId="4179"/>
    <cellStyle name="常规 6 2 2 2" xfId="4180"/>
    <cellStyle name="常规 6 2 2 2 2" xfId="4181"/>
    <cellStyle name="千位分隔 4 4 4" xfId="4182"/>
    <cellStyle name="常规 6 2 2 3" xfId="4183"/>
    <cellStyle name="常规 6 2 3" xfId="4184"/>
    <cellStyle name="常规 6 2 3 2" xfId="4185"/>
    <cellStyle name="常规 6 2 3 3" xfId="4186"/>
    <cellStyle name="常规 6 2 4" xfId="4187"/>
    <cellStyle name="常规 6 2 5" xfId="4188"/>
    <cellStyle name="常规 6 3" xfId="4189"/>
    <cellStyle name="常规 6 3 2" xfId="4190"/>
    <cellStyle name="常规 6 3 2 2" xfId="4191"/>
    <cellStyle name="常规 7" xfId="4192"/>
    <cellStyle name="常规 7 2" xfId="4193"/>
    <cellStyle name="常规 79" xfId="4194"/>
    <cellStyle name="常规 8" xfId="4195"/>
    <cellStyle name="常规 8 2" xfId="4196"/>
    <cellStyle name="链接单元格 7" xfId="4197"/>
    <cellStyle name="常规 8 2 2 3" xfId="4198"/>
    <cellStyle name="常规 8 2 3 2" xfId="4199"/>
    <cellStyle name="货币 2 7 4 2" xfId="4200"/>
    <cellStyle name="常规 8 2 4" xfId="4201"/>
    <cellStyle name="货币 2 7 5" xfId="4202"/>
    <cellStyle name="常规 8 2 5" xfId="4203"/>
    <cellStyle name="计算 3 4" xfId="4204"/>
    <cellStyle name="常规 8 3 2 2" xfId="4205"/>
    <cellStyle name="常规 9" xfId="4206"/>
    <cellStyle name="超级链接 2" xfId="4207"/>
    <cellStyle name="超级链接 2 2" xfId="4208"/>
    <cellStyle name="超级链接 2 2 2" xfId="4209"/>
    <cellStyle name="超级链接 2 2 3" xfId="4210"/>
    <cellStyle name="超级链接 2 3" xfId="4211"/>
    <cellStyle name="超级链接 2 3 2" xfId="4212"/>
    <cellStyle name="超级链接 3" xfId="4213"/>
    <cellStyle name="超级链接 3 2" xfId="4214"/>
    <cellStyle name="超级链接 3 2 2" xfId="4215"/>
    <cellStyle name="超级链接 3 3" xfId="4216"/>
    <cellStyle name="好 2 2" xfId="4217"/>
    <cellStyle name="好 2 2 2" xfId="4218"/>
    <cellStyle name="好 2 2 3" xfId="4219"/>
    <cellStyle name="好 2 2 3 2" xfId="4220"/>
    <cellStyle name="强调文字颜色 2 4 3" xfId="4221"/>
    <cellStyle name="好 2 2 4" xfId="4222"/>
    <cellStyle name="好 3" xfId="4223"/>
    <cellStyle name="好 3 2" xfId="4224"/>
    <cellStyle name="好 3 2 2" xfId="4225"/>
    <cellStyle name="好 3 2 3" xfId="4226"/>
    <cellStyle name="好 3 2 4" xfId="4227"/>
    <cellStyle name="货币 2 2 4 2" xfId="4228"/>
    <cellStyle name="链接单元格 2 3 2" xfId="4229"/>
    <cellStyle name="好_5.中央部门决算（草案)-1" xfId="4230"/>
    <cellStyle name="后继超级链接 2 2" xfId="4231"/>
    <cellStyle name="后继超级链接 2 2 2" xfId="4232"/>
    <cellStyle name="后继超级链接 2 2 2 2" xfId="4233"/>
    <cellStyle name="后继超级链接 2 2 3" xfId="4234"/>
    <cellStyle name="后继超级链接 2 3 2" xfId="4235"/>
    <cellStyle name="货币 2 4 2 2" xfId="4236"/>
    <cellStyle name="后继超级链接 2 4" xfId="4237"/>
    <cellStyle name="汇总 2" xfId="4238"/>
    <cellStyle name="汇总 2 2" xfId="4239"/>
    <cellStyle name="汇总 2 2 2" xfId="4240"/>
    <cellStyle name="汇总 2 3" xfId="4241"/>
    <cellStyle name="货币 2 2 2 3" xfId="4242"/>
    <cellStyle name="汇总 2 3 2" xfId="4243"/>
    <cellStyle name="货币 2 2 2 4" xfId="4244"/>
    <cellStyle name="汇总 2 3 3" xfId="4245"/>
    <cellStyle name="警告文本 2 3 2" xfId="4246"/>
    <cellStyle name="汇总 3 2 2" xfId="4247"/>
    <cellStyle name="汇总 3 2 3" xfId="4248"/>
    <cellStyle name="警告文本 3 2 2" xfId="4249"/>
    <cellStyle name="汇总 3 3" xfId="4250"/>
    <cellStyle name="汇总 4 2 2" xfId="4251"/>
    <cellStyle name="货币 2 10" xfId="4252"/>
    <cellStyle name="货币 2 2" xfId="4253"/>
    <cellStyle name="货币 2 2 2 2" xfId="4254"/>
    <cellStyle name="货币 2 2 2 2 2" xfId="4255"/>
    <cellStyle name="货币 2 2 2 2 2 2" xfId="4256"/>
    <cellStyle name="货币 2 2 2 2 3" xfId="4257"/>
    <cellStyle name="货币 2 2 2 2 3 2" xfId="4258"/>
    <cellStyle name="货币 2 2 2 2 4" xfId="4259"/>
    <cellStyle name="货币 2 2 2 2 4 2" xfId="4260"/>
    <cellStyle name="货币 2 2 2 2 5" xfId="4261"/>
    <cellStyle name="货币 2 2 2 3 2 2" xfId="4262"/>
    <cellStyle name="货币 2 2 2 3 3" xfId="4263"/>
    <cellStyle name="货币 2 2 2 3 3 2" xfId="4264"/>
    <cellStyle name="货币 2 2 2 3 4" xfId="4265"/>
    <cellStyle name="货币 2 2 2 4 2" xfId="4266"/>
    <cellStyle name="货币 2 2 2 4 3" xfId="4267"/>
    <cellStyle name="货币 2 2 2 4 3 2" xfId="4268"/>
    <cellStyle name="货币 2 2 2 4 4 2" xfId="4269"/>
    <cellStyle name="货币 2 2 2 5 2" xfId="4270"/>
    <cellStyle name="货币 2 2 2 6" xfId="4271"/>
    <cellStyle name="货币 2 2 2 6 2" xfId="4272"/>
    <cellStyle name="货币 2 2 3" xfId="4273"/>
    <cellStyle name="链接单元格 2 2" xfId="4274"/>
    <cellStyle name="货币 2 2 3 2" xfId="4275"/>
    <cellStyle name="链接单元格 2 2 2" xfId="4276"/>
    <cellStyle name="货币 2 2 3 4 2" xfId="4277"/>
    <cellStyle name="货币 2 2 4" xfId="4278"/>
    <cellStyle name="链接单元格 2 3" xfId="4279"/>
    <cellStyle name="货币 2 2 4 3" xfId="4280"/>
    <cellStyle name="货币 2 2 4 5" xfId="4281"/>
    <cellStyle name="货币 2 2 5" xfId="4282"/>
    <cellStyle name="链接单元格 2 4" xfId="4283"/>
    <cellStyle name="货币 2 2 6" xfId="4284"/>
    <cellStyle name="货币 2 2 6 4" xfId="4285"/>
    <cellStyle name="货币 2 2 6 4 2" xfId="4286"/>
    <cellStyle name="货币 2 2 8" xfId="4287"/>
    <cellStyle name="货币 2 3 2" xfId="4288"/>
    <cellStyle name="货币 2 3 2 4 2" xfId="4289"/>
    <cellStyle name="货币 2 3 4" xfId="4290"/>
    <cellStyle name="链接单元格 3 3" xfId="4291"/>
    <cellStyle name="货币 2 3 5" xfId="4292"/>
    <cellStyle name="链接单元格 3 4" xfId="4293"/>
    <cellStyle name="货币 2 3 7" xfId="4294"/>
    <cellStyle name="货币 2 3 8" xfId="4295"/>
    <cellStyle name="货币 2 4" xfId="4296"/>
    <cellStyle name="货币 2 4 2" xfId="4297"/>
    <cellStyle name="货币 2 4 3" xfId="4298"/>
    <cellStyle name="链接单元格 4 2" xfId="4299"/>
    <cellStyle name="货币 2 4 4" xfId="4300"/>
    <cellStyle name="链接单元格 4 3" xfId="4301"/>
    <cellStyle name="货币 2 4 5" xfId="4302"/>
    <cellStyle name="货币 2 5" xfId="4303"/>
    <cellStyle name="货币 2 5 2" xfId="4304"/>
    <cellStyle name="货币 2 5 2 2" xfId="4305"/>
    <cellStyle name="货币 2 5 3" xfId="4306"/>
    <cellStyle name="链接单元格 5 2" xfId="4307"/>
    <cellStyle name="着色 4" xfId="4308"/>
    <cellStyle name="货币 2 5 4" xfId="4309"/>
    <cellStyle name="链接单元格 5 3" xfId="4310"/>
    <cellStyle name="着色 5" xfId="4311"/>
    <cellStyle name="货币 2 5 4 2" xfId="4312"/>
    <cellStyle name="货币 2 5 5" xfId="4313"/>
    <cellStyle name="货币 2 6 2 2" xfId="4314"/>
    <cellStyle name="货币 2 6 3 2" xfId="4315"/>
    <cellStyle name="货币 2 6 4" xfId="4316"/>
    <cellStyle name="货币 2 9" xfId="4317"/>
    <cellStyle name="计算 2 3 2 2 2" xfId="4318"/>
    <cellStyle name="货币 3 10" xfId="4319"/>
    <cellStyle name="检查单元格 4 3" xfId="4320"/>
    <cellStyle name="小数 2 3" xfId="4321"/>
    <cellStyle name="货币 3 2" xfId="4322"/>
    <cellStyle name="货币 3 2 2" xfId="4323"/>
    <cellStyle name="输入 2 5" xfId="4324"/>
    <cellStyle name="货币 3 2 2 2" xfId="4325"/>
    <cellStyle name="货币 3 2 2 2 2" xfId="4326"/>
    <cellStyle name="货币 3 2 2 3" xfId="4327"/>
    <cellStyle name="货币 3 2 2 3 2" xfId="4328"/>
    <cellStyle name="货币 3 2 2 4" xfId="4329"/>
    <cellStyle name="货币 3 2 2 4 2" xfId="4330"/>
    <cellStyle name="货币 3 2 3" xfId="4331"/>
    <cellStyle name="货币 3 2 3 2" xfId="4332"/>
    <cellStyle name="货币 3 2 3 2 2" xfId="4333"/>
    <cellStyle name="货币 3 2 3 4" xfId="4334"/>
    <cellStyle name="货币 3 2 4" xfId="4335"/>
    <cellStyle name="货币 3 2 4 2" xfId="4336"/>
    <cellStyle name="货币 3 2 4 2 2" xfId="4337"/>
    <cellStyle name="货币 3 2 4 3" xfId="4338"/>
    <cellStyle name="货币 3 2 4 4" xfId="4339"/>
    <cellStyle name="货币 3 2 5 2" xfId="4340"/>
    <cellStyle name="货币 3 2 6" xfId="4341"/>
    <cellStyle name="货币 3 2 6 2" xfId="4342"/>
    <cellStyle name="货币 3 3" xfId="4343"/>
    <cellStyle name="货币 3 3 2" xfId="4344"/>
    <cellStyle name="输入 3 5" xfId="4345"/>
    <cellStyle name="货币 3 3 2 2" xfId="4346"/>
    <cellStyle name="货币 3 3 3" xfId="4347"/>
    <cellStyle name="货币 3 3 3 2" xfId="4348"/>
    <cellStyle name="货币 3 3 4" xfId="4349"/>
    <cellStyle name="货币 3 3 5" xfId="4350"/>
    <cellStyle name="货币 3 4" xfId="4351"/>
    <cellStyle name="货币 3 4 4" xfId="4352"/>
    <cellStyle name="货币 3 4 4 2" xfId="4353"/>
    <cellStyle name="货币 3 4 5" xfId="4354"/>
    <cellStyle name="货币 3 5" xfId="4355"/>
    <cellStyle name="货币 3 5 2" xfId="4356"/>
    <cellStyle name="货币 3 5 3" xfId="4357"/>
    <cellStyle name="货币 3 5 3 2" xfId="4358"/>
    <cellStyle name="货币 3 5 4" xfId="4359"/>
    <cellStyle name="货币 3 7" xfId="4360"/>
    <cellStyle name="货币 3 7 2" xfId="4361"/>
    <cellStyle name="注释 6" xfId="4362"/>
    <cellStyle name="货币 3 8" xfId="4363"/>
    <cellStyle name="货币 3 8 2" xfId="4364"/>
    <cellStyle name="货币 3 9" xfId="4365"/>
    <cellStyle name="货币 3 9 2" xfId="4366"/>
    <cellStyle name="货币 4 10" xfId="4367"/>
    <cellStyle name="强调文字颜色 2 4 2" xfId="4368"/>
    <cellStyle name="货币 4 2" xfId="4369"/>
    <cellStyle name="货币 4 2 2" xfId="4370"/>
    <cellStyle name="货币 4 2 2 2" xfId="4371"/>
    <cellStyle name="货币 4 2 2 2 2" xfId="4372"/>
    <cellStyle name="货币 4 2 2 3 2" xfId="4373"/>
    <cellStyle name="货币 4 2 2 4 2" xfId="4374"/>
    <cellStyle name="货币 4 2 3" xfId="4375"/>
    <cellStyle name="货币 4 2 3 2" xfId="4376"/>
    <cellStyle name="货币 4 2 3 2 2" xfId="4377"/>
    <cellStyle name="货币 4 2 3 3" xfId="4378"/>
    <cellStyle name="货币 4 2 3 4" xfId="4379"/>
    <cellStyle name="货币 4 2 4 2" xfId="4380"/>
    <cellStyle name="货币 4 2 4 3" xfId="4381"/>
    <cellStyle name="货币 4 2 4 4" xfId="4382"/>
    <cellStyle name="货币 4 2 4 4 2" xfId="4383"/>
    <cellStyle name="货币 4 2 5" xfId="4384"/>
    <cellStyle name="货币 4 2 5 2" xfId="4385"/>
    <cellStyle name="货币 4 2 6" xfId="4386"/>
    <cellStyle name="货币 4 2 6 2" xfId="4387"/>
    <cellStyle name="货币 4 2 7" xfId="4388"/>
    <cellStyle name="货币 4 3" xfId="4389"/>
    <cellStyle name="货币 4 3 2" xfId="4390"/>
    <cellStyle name="货币 4 3 2 2" xfId="4391"/>
    <cellStyle name="货币 4 3 3" xfId="4392"/>
    <cellStyle name="货币 4 3 3 2" xfId="4393"/>
    <cellStyle name="货币 4 3 4" xfId="4394"/>
    <cellStyle name="货币 4 3 4 2" xfId="4395"/>
    <cellStyle name="货币 4 3 5" xfId="4396"/>
    <cellStyle name="货币 4 4" xfId="4397"/>
    <cellStyle name="货币 4 4 2" xfId="4398"/>
    <cellStyle name="货币 4 4 2 2" xfId="4399"/>
    <cellStyle name="货币 4 4 3 2" xfId="4400"/>
    <cellStyle name="货币 4 4 4" xfId="4401"/>
    <cellStyle name="货币 4 4 4 2" xfId="4402"/>
    <cellStyle name="货币 4 4 5" xfId="4403"/>
    <cellStyle name="货币 4 5" xfId="4404"/>
    <cellStyle name="货币 4 5 3" xfId="4405"/>
    <cellStyle name="货币 4 5 4" xfId="4406"/>
    <cellStyle name="货币 4 7" xfId="4407"/>
    <cellStyle name="货币 4 8" xfId="4408"/>
    <cellStyle name="货币 4 8 2" xfId="4409"/>
    <cellStyle name="货币 4 9 2" xfId="4410"/>
    <cellStyle name="货币 5 2" xfId="4411"/>
    <cellStyle name="强调文字颜色 4 4 2 2 2" xfId="4412"/>
    <cellStyle name="货币 5 3" xfId="4413"/>
    <cellStyle name="货币 5 4" xfId="4414"/>
    <cellStyle name="计算 2" xfId="4415"/>
    <cellStyle name="计算 2 3 3 2" xfId="4416"/>
    <cellStyle name="计算 2 2" xfId="4417"/>
    <cellStyle name="计算 2 2 2" xfId="4418"/>
    <cellStyle name="计算 2 2 2 2" xfId="4419"/>
    <cellStyle name="计算 2 2 2 2 2" xfId="4420"/>
    <cellStyle name="计算 2 2 3 2" xfId="4421"/>
    <cellStyle name="计算 2 3" xfId="4422"/>
    <cellStyle name="计算 2 3 2 2" xfId="4423"/>
    <cellStyle name="计算 2 3 2 3" xfId="4424"/>
    <cellStyle name="计算 2 3 4" xfId="4425"/>
    <cellStyle name="计算 2 3 5" xfId="4426"/>
    <cellStyle name="计算 2 5" xfId="4427"/>
    <cellStyle name="计算 2 5 2" xfId="4428"/>
    <cellStyle name="计算 2 6" xfId="4429"/>
    <cellStyle name="计算 2 7" xfId="4430"/>
    <cellStyle name="计算 3 2 2" xfId="4431"/>
    <cellStyle name="计算 3 2 2 2" xfId="4432"/>
    <cellStyle name="计算 3 2 2 2 2" xfId="4433"/>
    <cellStyle name="计算 3 2 2 3" xfId="4434"/>
    <cellStyle name="计算 3 2 3" xfId="4435"/>
    <cellStyle name="计算 3 2 3 2" xfId="4436"/>
    <cellStyle name="计算 3 2 4" xfId="4437"/>
    <cellStyle name="计算 3 3" xfId="4438"/>
    <cellStyle name="计算 3 3 2 2" xfId="4439"/>
    <cellStyle name="强调文字颜色 1 6 2" xfId="4440"/>
    <cellStyle name="计算 3 3 3" xfId="4441"/>
    <cellStyle name="强调文字颜色 1 7" xfId="4442"/>
    <cellStyle name="计算 3 4 2" xfId="4443"/>
    <cellStyle name="强调文字颜色 2 6" xfId="4444"/>
    <cellStyle name="计算 3 5" xfId="4445"/>
    <cellStyle name="计算 4 2 2" xfId="4446"/>
    <cellStyle name="计算 4 2 2 2" xfId="4447"/>
    <cellStyle name="计算 4 2 3" xfId="4448"/>
    <cellStyle name="计算 4 3" xfId="4449"/>
    <cellStyle name="计算 5 2 2" xfId="4450"/>
    <cellStyle name="计算 5 2 2 2" xfId="4451"/>
    <cellStyle name="计算 5 3" xfId="4452"/>
    <cellStyle name="计算 5 4" xfId="4453"/>
    <cellStyle name="注释 3 2 2 2 2" xfId="4454"/>
    <cellStyle name="计算 6 3" xfId="4455"/>
    <cellStyle name="检查单元格 2 3" xfId="4456"/>
    <cellStyle name="检查单元格 2 4" xfId="4457"/>
    <cellStyle name="检查单元格 2 5" xfId="4458"/>
    <cellStyle name="检查单元格 2 6" xfId="4459"/>
    <cellStyle name="检查单元格 3 2" xfId="4460"/>
    <cellStyle name="检查单元格 3 3" xfId="4461"/>
    <cellStyle name="检查单元格 3 5" xfId="4462"/>
    <cellStyle name="检查单元格 4" xfId="4463"/>
    <cellStyle name="小数 2" xfId="4464"/>
    <cellStyle name="检查单元格 4 2" xfId="4465"/>
    <cellStyle name="小数 2 2" xfId="4466"/>
    <cellStyle name="检查单元格 4 4" xfId="4467"/>
    <cellStyle name="小数 2 4" xfId="4468"/>
    <cellStyle name="检查单元格 5" xfId="4469"/>
    <cellStyle name="小数 3" xfId="4470"/>
    <cellStyle name="检查单元格 5 2 2" xfId="4471"/>
    <cellStyle name="小数 3 2 2" xfId="4472"/>
    <cellStyle name="检查单元格 5 2 2 2" xfId="4473"/>
    <cellStyle name="检查单元格 5 2 3" xfId="4474"/>
    <cellStyle name="检查单元格 5 3" xfId="4475"/>
    <cellStyle name="小数 3 3" xfId="4476"/>
    <cellStyle name="千位_，" xfId="4477"/>
    <cellStyle name="检查单元格 5 3 2" xfId="4478"/>
    <cellStyle name="检查单元格 6 2 2" xfId="4479"/>
    <cellStyle name="检查单元格 7 2" xfId="4480"/>
    <cellStyle name="解释性文本 3 2" xfId="4481"/>
    <cellStyle name="解释性文本 4" xfId="4482"/>
    <cellStyle name="解释性文本 4 2" xfId="4483"/>
    <cellStyle name="解释性文本 4 2 2" xfId="4484"/>
    <cellStyle name="警告文本 2 2 2 2" xfId="4485"/>
    <cellStyle name="警告文本 2 2 3" xfId="4486"/>
    <cellStyle name="警告文本 2 4" xfId="4487"/>
    <cellStyle name="样式 1 2" xfId="4488"/>
    <cellStyle name="警告文本 3 2 2 2" xfId="4489"/>
    <cellStyle name="警告文本 3 3" xfId="4490"/>
    <cellStyle name="警告文本 4 2" xfId="4491"/>
    <cellStyle name="警告文本 4 2 2" xfId="4492"/>
    <cellStyle name="警告文本 4 3" xfId="4493"/>
    <cellStyle name="警告文本 5" xfId="4494"/>
    <cellStyle name="警告文本 5 2" xfId="4495"/>
    <cellStyle name="警告文本 5 2 2" xfId="4496"/>
    <cellStyle name="警告文本 5 3" xfId="4497"/>
    <cellStyle name="警告文本 6" xfId="4498"/>
    <cellStyle name="警告文本 6 2" xfId="4499"/>
    <cellStyle name="链接单元格 3" xfId="4500"/>
    <cellStyle name="链接单元格 4" xfId="4501"/>
    <cellStyle name="普通_97-917" xfId="4502"/>
    <cellStyle name="千分位[0]_BT (2)" xfId="4503"/>
    <cellStyle name="千位分隔 2" xfId="4504"/>
    <cellStyle name="千位分隔 2 2" xfId="4505"/>
    <cellStyle name="千位分隔 2 2 2" xfId="4506"/>
    <cellStyle name="千位分隔 2 2 2 2" xfId="4507"/>
    <cellStyle name="千位分隔 2 2 2 2 2" xfId="4508"/>
    <cellStyle name="千位分隔 2 2 2 3" xfId="4509"/>
    <cellStyle name="千位分隔 2 2 2 3 2" xfId="4510"/>
    <cellStyle name="千位分隔 2 2 2 4" xfId="4511"/>
    <cellStyle name="千位分隔 2 2 2 4 2" xfId="4512"/>
    <cellStyle name="千位分隔 2 2 2 5" xfId="4513"/>
    <cellStyle name="千位分隔 2 2 2 5 2" xfId="4514"/>
    <cellStyle name="千位分隔 2 2 2 6" xfId="4515"/>
    <cellStyle name="千位分隔 2 2 3" xfId="4516"/>
    <cellStyle name="千位分隔 2 2 3 3" xfId="4517"/>
    <cellStyle name="千位分隔 2 2 4" xfId="4518"/>
    <cellStyle name="千位分隔 2 2 5" xfId="4519"/>
    <cellStyle name="千位分隔 2 2 6" xfId="4520"/>
    <cellStyle name="千位分隔 2 2 6 2" xfId="4521"/>
    <cellStyle name="千位分隔 2 2 7 2" xfId="4522"/>
    <cellStyle name="千位分隔 2 3" xfId="4523"/>
    <cellStyle name="千位分隔 2 3 2" xfId="4524"/>
    <cellStyle name="千位分隔 2 3 2 2" xfId="4525"/>
    <cellStyle name="千位分隔 2 3 3" xfId="4526"/>
    <cellStyle name="千位分隔 2 3 4" xfId="4527"/>
    <cellStyle name="千位分隔 2 3 5" xfId="4528"/>
    <cellStyle name="千位分隔 2 3 6" xfId="4529"/>
    <cellStyle name="千位分隔 2 4" xfId="4530"/>
    <cellStyle name="千位分隔 2 4 2" xfId="4531"/>
    <cellStyle name="千位分隔 2 4 2 2" xfId="4532"/>
    <cellStyle name="千位分隔 2 4 3" xfId="4533"/>
    <cellStyle name="千位分隔 2 4 3 2" xfId="4534"/>
    <cellStyle name="千位分隔 2 4 4" xfId="4535"/>
    <cellStyle name="千位分隔 2 4 5" xfId="4536"/>
    <cellStyle name="千位分隔 2 5" xfId="4537"/>
    <cellStyle name="千位分隔 2 5 2" xfId="4538"/>
    <cellStyle name="千位分隔 2 5 2 2" xfId="4539"/>
    <cellStyle name="千位分隔 2 5 3" xfId="4540"/>
    <cellStyle name="千位分隔 2 5 3 2" xfId="4541"/>
    <cellStyle name="千位分隔 2 5 4" xfId="4542"/>
    <cellStyle name="千位分隔 2 5 4 2" xfId="4543"/>
    <cellStyle name="千位分隔 2 5 5" xfId="4544"/>
    <cellStyle name="千位分隔 2 6" xfId="4545"/>
    <cellStyle name="千位分隔 2 6 2" xfId="4546"/>
    <cellStyle name="千位分隔 2 7" xfId="4547"/>
    <cellStyle name="千位分隔 2 7 2" xfId="4548"/>
    <cellStyle name="千位分隔 2 9" xfId="4549"/>
    <cellStyle name="千位分隔 3 2 2 4 2" xfId="4550"/>
    <cellStyle name="千位分隔 3 2 2 5" xfId="4551"/>
    <cellStyle name="千位分隔 3 2 4" xfId="4552"/>
    <cellStyle name="千位分隔 3 2 4 3" xfId="4553"/>
    <cellStyle name="千位分隔 3 2 4 3 2" xfId="4554"/>
    <cellStyle name="千位分隔 3 2 4 4 2" xfId="4555"/>
    <cellStyle name="千位分隔 3 2 5" xfId="4556"/>
    <cellStyle name="千位分隔 3 2 5 2" xfId="4557"/>
    <cellStyle name="千位分隔 3 2 6" xfId="4558"/>
    <cellStyle name="千位分隔 3 2 6 2" xfId="4559"/>
    <cellStyle name="千位分隔 3 2 7" xfId="4560"/>
    <cellStyle name="千位分隔 3 2 7 2" xfId="4561"/>
    <cellStyle name="千位分隔 3 3 4 2" xfId="4562"/>
    <cellStyle name="千位分隔 3 3 5" xfId="4563"/>
    <cellStyle name="输出 6 2" xfId="4564"/>
    <cellStyle name="强调文字颜色 5 2 5" xfId="4565"/>
    <cellStyle name="千位分隔 3 4 2 2" xfId="4566"/>
    <cellStyle name="输出 7" xfId="4567"/>
    <cellStyle name="千位分隔 3 4 3" xfId="4568"/>
    <cellStyle name="输出 7 2" xfId="4569"/>
    <cellStyle name="强调文字颜色 5 3 5" xfId="4570"/>
    <cellStyle name="千位分隔 3 4 3 2" xfId="4571"/>
    <cellStyle name="输出 8" xfId="4572"/>
    <cellStyle name="千位分隔 3 4 4" xfId="4573"/>
    <cellStyle name="千位分隔 3 4 4 2" xfId="4574"/>
    <cellStyle name="输出 9" xfId="4575"/>
    <cellStyle name="千位分隔 3 4 5" xfId="4576"/>
    <cellStyle name="千位分隔 3 5 2" xfId="4577"/>
    <cellStyle name="强调文字颜色 6 2 5" xfId="4578"/>
    <cellStyle name="千位分隔 3 5 2 2" xfId="4579"/>
    <cellStyle name="千位分隔 3 5 3" xfId="4580"/>
    <cellStyle name="强调文字颜色 6 3 5" xfId="4581"/>
    <cellStyle name="千位分隔 3 5 3 2" xfId="4582"/>
    <cellStyle name="千位分隔 3 5 4" xfId="4583"/>
    <cellStyle name="千位分隔 3 6" xfId="4584"/>
    <cellStyle name="注释 2 2 2 4" xfId="4585"/>
    <cellStyle name="千位分隔 3 6 3 2" xfId="4586"/>
    <cellStyle name="千位分隔 3 6 4 2" xfId="4587"/>
    <cellStyle name="千位分隔 3 6 5" xfId="4588"/>
    <cellStyle name="千位分隔 3 7" xfId="4589"/>
    <cellStyle name="千位分隔 3 8" xfId="4590"/>
    <cellStyle name="千位分隔 3 8 2" xfId="4591"/>
    <cellStyle name="强调文字颜色 4 5 2 3" xfId="4592"/>
    <cellStyle name="千位分隔 3 9" xfId="4593"/>
    <cellStyle name="千位分隔 3 9 2" xfId="4594"/>
    <cellStyle name="千位分隔 4 10" xfId="4595"/>
    <cellStyle name="千位分隔 4 2 4" xfId="4596"/>
    <cellStyle name="千位分隔 4 2 4 4 2" xfId="4597"/>
    <cellStyle name="千位分隔 4 2 5" xfId="4598"/>
    <cellStyle name="千位分隔 4 2 6" xfId="4599"/>
    <cellStyle name="千位分隔 4 2 6 2" xfId="4600"/>
    <cellStyle name="千位分隔 4 2 7" xfId="4601"/>
    <cellStyle name="千位分隔 4 2 8" xfId="4602"/>
    <cellStyle name="千位分隔 4 3 4" xfId="4603"/>
    <cellStyle name="千位分隔 4 3 5" xfId="4604"/>
    <cellStyle name="千位分隔 4 4 2" xfId="4605"/>
    <cellStyle name="千位分隔 4 4 2 2" xfId="4606"/>
    <cellStyle name="千位分隔 4 4 3" xfId="4607"/>
    <cellStyle name="千位分隔 4 4 3 2" xfId="4608"/>
    <cellStyle name="千位分隔 4 4 5" xfId="4609"/>
    <cellStyle name="千位分隔 4 5" xfId="4610"/>
    <cellStyle name="千位分隔 4 5 2" xfId="4611"/>
    <cellStyle name="千位分隔 4 5 3" xfId="4612"/>
    <cellStyle name="千位分隔 4 5 3 2" xfId="4613"/>
    <cellStyle name="千位分隔 4 6 3 2" xfId="4614"/>
    <cellStyle name="千位分隔 4 6 4 2" xfId="4615"/>
    <cellStyle name="千位分隔 4 6 5" xfId="4616"/>
    <cellStyle name="千位分隔 4 8" xfId="4617"/>
    <cellStyle name="千位分隔 4 8 2" xfId="4618"/>
    <cellStyle name="千位分隔 4 9" xfId="4619"/>
    <cellStyle name="千位分隔 4 9 2" xfId="4620"/>
    <cellStyle name="钎霖_laroux" xfId="4621"/>
    <cellStyle name="强调文字颜色 1 2 2 2" xfId="4622"/>
    <cellStyle name="强调文字颜色 1 2 2 2 2" xfId="4623"/>
    <cellStyle name="强调文字颜色 1 2 2 2 2 2" xfId="4624"/>
    <cellStyle name="强调文字颜色 1 2 2 2 3" xfId="4625"/>
    <cellStyle name="强调文字颜色 1 2 2 3 2" xfId="4626"/>
    <cellStyle name="强调文字颜色 1 2 2 4" xfId="4627"/>
    <cellStyle name="强调文字颜色 1 2 3" xfId="4628"/>
    <cellStyle name="强调文字颜色 1 2 4" xfId="4629"/>
    <cellStyle name="强调文字颜色 1 2 4 2" xfId="4630"/>
    <cellStyle name="强调文字颜色 1 2 4 2 2" xfId="4631"/>
    <cellStyle name="强调文字颜色 1 2 4 3" xfId="4632"/>
    <cellStyle name="强调文字颜色 1 2 5" xfId="4633"/>
    <cellStyle name="强调文字颜色 1 2 6" xfId="4634"/>
    <cellStyle name="强调文字颜色 1 2 7" xfId="4635"/>
    <cellStyle name="强调文字颜色 1 3 2 2 2 2" xfId="4636"/>
    <cellStyle name="强调文字颜色 1 3 2 2 3" xfId="4637"/>
    <cellStyle name="强调文字颜色 1 3 2 3" xfId="4638"/>
    <cellStyle name="强调文字颜色 1 3 2 3 2" xfId="4639"/>
    <cellStyle name="强调文字颜色 1 3 2 4" xfId="4640"/>
    <cellStyle name="强调文字颜色 1 3 3 2" xfId="4641"/>
    <cellStyle name="强调文字颜色 1 3 3 3" xfId="4642"/>
    <cellStyle name="强调文字颜色 1 3 4" xfId="4643"/>
    <cellStyle name="强调文字颜色 1 3 4 2" xfId="4644"/>
    <cellStyle name="强调文字颜色 1 3 5" xfId="4645"/>
    <cellStyle name="强调文字颜色 1 4 2 2" xfId="4646"/>
    <cellStyle name="强调文字颜色 1 4 2 2 2" xfId="4647"/>
    <cellStyle name="强调文字颜色 1 4 2 3" xfId="4648"/>
    <cellStyle name="强调文字颜色 1 4 3" xfId="4649"/>
    <cellStyle name="强调文字颜色 1 4 3 2" xfId="4650"/>
    <cellStyle name="强调文字颜色 1 4 4" xfId="4651"/>
    <cellStyle name="强调文字颜色 1 5 2 2" xfId="4652"/>
    <cellStyle name="强调文字颜色 1 5 2 2 2" xfId="4653"/>
    <cellStyle name="强调文字颜色 1 5 2 3" xfId="4654"/>
    <cellStyle name="强调文字颜色 1 5 3" xfId="4655"/>
    <cellStyle name="强调文字颜色 1 5 3 2" xfId="4656"/>
    <cellStyle name="强调文字颜色 1 5 4" xfId="4657"/>
    <cellStyle name="强调文字颜色 1 6 2 2" xfId="4658"/>
    <cellStyle name="强调文字颜色 1 6 3" xfId="4659"/>
    <cellStyle name="强调文字颜色 1 7 2" xfId="4660"/>
    <cellStyle name="强调文字颜色 1 8" xfId="4661"/>
    <cellStyle name="强调文字颜色 1 9" xfId="4662"/>
    <cellStyle name="强调文字颜色 2 2 3" xfId="4663"/>
    <cellStyle name="强调文字颜色 2 2 4" xfId="4664"/>
    <cellStyle name="强调文字颜色 2 2 5" xfId="4665"/>
    <cellStyle name="强调文字颜色 2 2 6" xfId="4666"/>
    <cellStyle name="强调文字颜色 2 2 7" xfId="4667"/>
    <cellStyle name="强调文字颜色 2 3 2 2" xfId="4668"/>
    <cellStyle name="强调文字颜色 2 3 2 2 2" xfId="4669"/>
    <cellStyle name="强调文字颜色 2 3 2 2 2 2" xfId="4670"/>
    <cellStyle name="强调文字颜色 2 3 2 2 3" xfId="4671"/>
    <cellStyle name="强调文字颜色 2 3 3 2 2" xfId="4672"/>
    <cellStyle name="强调文字颜色 2 3 4 2" xfId="4673"/>
    <cellStyle name="强调文字颜色 2 3 5" xfId="4674"/>
    <cellStyle name="强调文字颜色 2 4 2 2" xfId="4675"/>
    <cellStyle name="强调文字颜色 2 4 2 2 2" xfId="4676"/>
    <cellStyle name="强调文字颜色 2 4 2 3" xfId="4677"/>
    <cellStyle name="强调文字颜色 2 4 3 2" xfId="4678"/>
    <cellStyle name="强调文字颜色 2 4 4" xfId="4679"/>
    <cellStyle name="强调文字颜色 2 5 2" xfId="4680"/>
    <cellStyle name="强调文字颜色 2 5 2 2" xfId="4681"/>
    <cellStyle name="强调文字颜色 2 5 2 2 2" xfId="4682"/>
    <cellStyle name="强调文字颜色 2 5 2 3" xfId="4683"/>
    <cellStyle name="强调文字颜色 2 5 3" xfId="4684"/>
    <cellStyle name="强调文字颜色 2 5 3 2" xfId="4685"/>
    <cellStyle name="强调文字颜色 2 5 4" xfId="4686"/>
    <cellStyle name="强调文字颜色 2 6 2" xfId="4687"/>
    <cellStyle name="强调文字颜色 2 6 2 2" xfId="4688"/>
    <cellStyle name="强调文字颜色 2 6 3" xfId="4689"/>
    <cellStyle name="强调文字颜色 2 7" xfId="4690"/>
    <cellStyle name="强调文字颜色 2 7 2" xfId="4691"/>
    <cellStyle name="强调文字颜色 2 8" xfId="4692"/>
    <cellStyle name="强调文字颜色 2 9" xfId="4693"/>
    <cellStyle name="适中 5 2 2" xfId="4694"/>
    <cellStyle name="强调文字颜色 3 2 3" xfId="4695"/>
    <cellStyle name="强调文字颜色 3 2 3 2 3" xfId="4696"/>
    <cellStyle name="强调文字颜色 3 2 3 3 2" xfId="4697"/>
    <cellStyle name="强调文字颜色 3 2 3 4" xfId="4698"/>
    <cellStyle name="强调文字颜色 3 2 4" xfId="4699"/>
    <cellStyle name="强调文字颜色 3 4 2 2 2" xfId="4700"/>
    <cellStyle name="强调文字颜色 3 5 2 2 2" xfId="4701"/>
    <cellStyle name="强调文字颜色 3 5 2 3" xfId="4702"/>
    <cellStyle name="强调文字颜色 3 5 3 2" xfId="4703"/>
    <cellStyle name="强调文字颜色 3 6" xfId="4704"/>
    <cellStyle name="强调文字颜色 3 7" xfId="4705"/>
    <cellStyle name="强调文字颜色 3 7 2" xfId="4706"/>
    <cellStyle name="强调文字颜色 3 8" xfId="4707"/>
    <cellStyle name="强调文字颜色 3 9" xfId="4708"/>
    <cellStyle name="适中 5 3 2" xfId="4709"/>
    <cellStyle name="强调文字颜色 4 2 2" xfId="4710"/>
    <cellStyle name="强调文字颜色 4 2 3" xfId="4711"/>
    <cellStyle name="强调文字颜色 4 2 3 5" xfId="4712"/>
    <cellStyle name="强调文字颜色 4 2 4" xfId="4713"/>
    <cellStyle name="强调文字颜色 4 2 6" xfId="4714"/>
    <cellStyle name="强调文字颜色 4 2 7" xfId="4715"/>
    <cellStyle name="强调文字颜色 4 3" xfId="4716"/>
    <cellStyle name="强调文字颜色 4 3 2" xfId="4717"/>
    <cellStyle name="强调文字颜色 4 4" xfId="4718"/>
    <cellStyle name="强调文字颜色 4 4 2" xfId="4719"/>
    <cellStyle name="强调文字颜色 4 5" xfId="4720"/>
    <cellStyle name="强调文字颜色 4 5 2" xfId="4721"/>
    <cellStyle name="强调文字颜色 4 5 2 2 2" xfId="4722"/>
    <cellStyle name="强调文字颜色 4 5 4" xfId="4723"/>
    <cellStyle name="强调文字颜色 4 6" xfId="4724"/>
    <cellStyle name="强调文字颜色 4 6 2" xfId="4725"/>
    <cellStyle name="强调文字颜色 4 6 3" xfId="4726"/>
    <cellStyle name="强调文字颜色 4 7" xfId="4727"/>
    <cellStyle name="强调文字颜色 4 7 2" xfId="4728"/>
    <cellStyle name="强调文字颜色 4 8" xfId="4729"/>
    <cellStyle name="强调文字颜色 4 9" xfId="4730"/>
    <cellStyle name="强调文字颜色 5 2 2" xfId="4731"/>
    <cellStyle name="强调文字颜色 5 2 2 2" xfId="4732"/>
    <cellStyle name="强调文字颜色 5 2 2 2 2" xfId="4733"/>
    <cellStyle name="强调文字颜色 5 2 2 2 2 2" xfId="4734"/>
    <cellStyle name="强调文字颜色 5 2 2 2 3" xfId="4735"/>
    <cellStyle name="强调文字颜色 5 2 2 3" xfId="4736"/>
    <cellStyle name="强调文字颜色 5 2 2 3 2" xfId="4737"/>
    <cellStyle name="强调文字颜色 5 2 2 4" xfId="4738"/>
    <cellStyle name="强调文字颜色 5 2 3 2" xfId="4739"/>
    <cellStyle name="强调文字颜色 5 2 3 2 2" xfId="4740"/>
    <cellStyle name="强调文字颜色 5 2 3 2 2 2" xfId="4741"/>
    <cellStyle name="强调文字颜色 5 2 3 2 3" xfId="4742"/>
    <cellStyle name="强调文字颜色 5 2 3 3" xfId="4743"/>
    <cellStyle name="强调文字颜色 5 2 3 3 2" xfId="4744"/>
    <cellStyle name="强调文字颜色 5 2 3 4" xfId="4745"/>
    <cellStyle name="强调文字颜色 5 2 3 5" xfId="4746"/>
    <cellStyle name="强调文字颜色 5 2 4" xfId="4747"/>
    <cellStyle name="强调文字颜色 5 2 4 2" xfId="4748"/>
    <cellStyle name="强调文字颜色 5 2 4 2 2" xfId="4749"/>
    <cellStyle name="强调文字颜色 5 2 4 3" xfId="4750"/>
    <cellStyle name="输出 6 2 2" xfId="4751"/>
    <cellStyle name="强调文字颜色 5 2 5 2" xfId="4752"/>
    <cellStyle name="输出 6 3" xfId="4753"/>
    <cellStyle name="强调文字颜色 5 2 6" xfId="4754"/>
    <cellStyle name="强调文字颜色 5 2 7" xfId="4755"/>
    <cellStyle name="强调文字颜色 5 3" xfId="4756"/>
    <cellStyle name="强调文字颜色 5 3 2" xfId="4757"/>
    <cellStyle name="强调文字颜色 5 3 2 2" xfId="4758"/>
    <cellStyle name="强调文字颜色 5 3 2 2 2" xfId="4759"/>
    <cellStyle name="强调文字颜色 5 3 2 3" xfId="4760"/>
    <cellStyle name="强调文字颜色 5 3 2 4" xfId="4761"/>
    <cellStyle name="强调文字颜色 5 3 3 2 2" xfId="4762"/>
    <cellStyle name="强调文字颜色 5 3 3 3" xfId="4763"/>
    <cellStyle name="强调文字颜色 5 4" xfId="4764"/>
    <cellStyle name="强调文字颜色 5 4 2" xfId="4765"/>
    <cellStyle name="强调文字颜色 5 4 2 2" xfId="4766"/>
    <cellStyle name="强调文字颜色 5 4 2 3" xfId="4767"/>
    <cellStyle name="强调文字颜色 5 4 4" xfId="4768"/>
    <cellStyle name="强调文字颜色 5 5" xfId="4769"/>
    <cellStyle name="强调文字颜色 5 5 2 2" xfId="4770"/>
    <cellStyle name="强调文字颜色 5 5 2 2 2" xfId="4771"/>
    <cellStyle name="强调文字颜色 5 5 2 3" xfId="4772"/>
    <cellStyle name="强调文字颜色 5 5 3" xfId="4773"/>
    <cellStyle name="强调文字颜色 5 5 3 2" xfId="4774"/>
    <cellStyle name="强调文字颜色 5 5 4" xfId="4775"/>
    <cellStyle name="强调文字颜色 5 6" xfId="4776"/>
    <cellStyle name="强调文字颜色 5 6 2" xfId="4777"/>
    <cellStyle name="强调文字颜色 5 6 2 2" xfId="4778"/>
    <cellStyle name="强调文字颜色 5 6 3" xfId="4779"/>
    <cellStyle name="强调文字颜色 5 7 2" xfId="4780"/>
    <cellStyle name="强调文字颜色 5 8" xfId="4781"/>
    <cellStyle name="强调文字颜色 5 9" xfId="4782"/>
    <cellStyle name="强调文字颜色 6 2" xfId="4783"/>
    <cellStyle name="强调文字颜色 6 2 2" xfId="4784"/>
    <cellStyle name="强调文字颜色 6 2 2 2" xfId="4785"/>
    <cellStyle name="强调文字颜色 6 2 2 2 2" xfId="4786"/>
    <cellStyle name="强调文字颜色 6 2 2 2 3" xfId="4787"/>
    <cellStyle name="强调文字颜色 6 2 2 3" xfId="4788"/>
    <cellStyle name="强调文字颜色 6 2 2 3 2" xfId="4789"/>
    <cellStyle name="数字 2 3" xfId="4790"/>
    <cellStyle name="强调文字颜色 6 2 2 4" xfId="4791"/>
    <cellStyle name="强调文字颜色 6 2 3" xfId="4792"/>
    <cellStyle name="强调文字颜色 6 2 3 2" xfId="4793"/>
    <cellStyle name="强调文字颜色 6 2 3 2 2" xfId="4794"/>
    <cellStyle name="强调文字颜色 6 2 3 2 2 2" xfId="4795"/>
    <cellStyle name="强调文字颜色 6 2 3 2 3" xfId="4796"/>
    <cellStyle name="强调文字颜色 6 2 3 3 2" xfId="4797"/>
    <cellStyle name="强调文字颜色 6 2 3 4" xfId="4798"/>
    <cellStyle name="强调文字颜色 6 2 3 5" xfId="4799"/>
    <cellStyle name="强调文字颜色 6 2 4" xfId="4800"/>
    <cellStyle name="强调文字颜色 6 2 4 2" xfId="4801"/>
    <cellStyle name="强调文字颜色 6 2 4 2 2" xfId="4802"/>
    <cellStyle name="适中 3 3" xfId="4803"/>
    <cellStyle name="强调文字颜色 6 2 4 3" xfId="4804"/>
    <cellStyle name="强调文字颜色 6 2 5 2" xfId="4805"/>
    <cellStyle name="强调文字颜色 6 2 6" xfId="4806"/>
    <cellStyle name="强调文字颜色 6 2 7" xfId="4807"/>
    <cellStyle name="强调文字颜色 6 3" xfId="4808"/>
    <cellStyle name="强调文字颜色 6 3 2" xfId="4809"/>
    <cellStyle name="强调文字颜色 6 3 2 2" xfId="4810"/>
    <cellStyle name="强调文字颜色 6 3 2 2 2" xfId="4811"/>
    <cellStyle name="强调文字颜色 6 3 2 2 2 2" xfId="4812"/>
    <cellStyle name="强调文字颜色 6 3 2 3" xfId="4813"/>
    <cellStyle name="强调文字颜色 6 3 2 3 2" xfId="4814"/>
    <cellStyle name="强调文字颜色 6 3 2 4" xfId="4815"/>
    <cellStyle name="强调文字颜色 6 3 3 2 2" xfId="4816"/>
    <cellStyle name="强调文字颜色 6 3 3 3" xfId="4817"/>
    <cellStyle name="强调文字颜色 6 3 4 2" xfId="4818"/>
    <cellStyle name="强调文字颜色 6 4" xfId="4819"/>
    <cellStyle name="强调文字颜色 6 4 2" xfId="4820"/>
    <cellStyle name="强调文字颜色 6 4 2 2" xfId="4821"/>
    <cellStyle name="强调文字颜色 6 4 2 2 2" xfId="4822"/>
    <cellStyle name="强调文字颜色 6 4 2 3" xfId="4823"/>
    <cellStyle name="强调文字颜色 6 4 3 2" xfId="4824"/>
    <cellStyle name="强调文字颜色 6 4 4" xfId="4825"/>
    <cellStyle name="强调文字颜色 6 5" xfId="4826"/>
    <cellStyle name="强调文字颜色 6 5 2" xfId="4827"/>
    <cellStyle name="强调文字颜色 6 5 2 2" xfId="4828"/>
    <cellStyle name="强调文字颜色 6 5 2 2 2" xfId="4829"/>
    <cellStyle name="强调文字颜色 6 5 2 3" xfId="4830"/>
    <cellStyle name="强调文字颜色 6 5 3" xfId="4831"/>
    <cellStyle name="强调文字颜色 6 5 3 2" xfId="4832"/>
    <cellStyle name="强调文字颜色 6 5 4" xfId="4833"/>
    <cellStyle name="强调文字颜色 6 6" xfId="4834"/>
    <cellStyle name="强调文字颜色 6 6 2" xfId="4835"/>
    <cellStyle name="强调文字颜色 6 6 2 2" xfId="4836"/>
    <cellStyle name="强调文字颜色 6 6 3" xfId="4837"/>
    <cellStyle name="强调文字颜色 6 7" xfId="4838"/>
    <cellStyle name="强调文字颜色 6 7 2" xfId="4839"/>
    <cellStyle name="强调文字颜色 6 8" xfId="4840"/>
    <cellStyle name="强调文字颜色 6 9" xfId="4841"/>
    <cellStyle name="适中 2 2 2" xfId="4842"/>
    <cellStyle name="适中 2 2 2 2" xfId="4843"/>
    <cellStyle name="适中 2 2 2 2 2" xfId="4844"/>
    <cellStyle name="适中 2 2 2 3" xfId="4845"/>
    <cellStyle name="适中 2 2 3 2" xfId="4846"/>
    <cellStyle name="适中 2 2 4" xfId="4847"/>
    <cellStyle name="适中 2 3" xfId="4848"/>
    <cellStyle name="适中 2 3 2" xfId="4849"/>
    <cellStyle name="适中 2 3 2 2" xfId="4850"/>
    <cellStyle name="适中 2 4" xfId="4851"/>
    <cellStyle name="适中 2 5" xfId="4852"/>
    <cellStyle name="适中 3 2" xfId="4853"/>
    <cellStyle name="适中 3 2 2" xfId="4854"/>
    <cellStyle name="适中 3 2 2 3" xfId="4855"/>
    <cellStyle name="适中 3 2 3" xfId="4856"/>
    <cellStyle name="适中 3 2 3 2" xfId="4857"/>
    <cellStyle name="适中 3 2 4" xfId="4858"/>
    <cellStyle name="适中 3 3 2" xfId="4859"/>
    <cellStyle name="适中 3 3 2 2" xfId="4860"/>
    <cellStyle name="适中 3 3 3" xfId="4861"/>
    <cellStyle name="适中 3 4" xfId="4862"/>
    <cellStyle name="适中 3 4 2" xfId="4863"/>
    <cellStyle name="适中 3 5" xfId="4864"/>
    <cellStyle name="适中 4" xfId="4865"/>
    <cellStyle name="适中 4 2" xfId="4866"/>
    <cellStyle name="适中 4 2 2" xfId="4867"/>
    <cellStyle name="适中 4 3" xfId="4868"/>
    <cellStyle name="适中 4 3 2" xfId="4869"/>
    <cellStyle name="适中 4 4" xfId="4870"/>
    <cellStyle name="适中 5 2" xfId="4871"/>
    <cellStyle name="适中 5 2 2 2" xfId="4872"/>
    <cellStyle name="适中 5 3" xfId="4873"/>
    <cellStyle name="适中 5 4" xfId="4874"/>
    <cellStyle name="适中 6 2" xfId="4875"/>
    <cellStyle name="适中 6 2 2" xfId="4876"/>
    <cellStyle name="适中 6 3" xfId="4877"/>
    <cellStyle name="适中 7" xfId="4878"/>
    <cellStyle name="适中 7 2" xfId="4879"/>
    <cellStyle name="输出 2 2 2" xfId="4880"/>
    <cellStyle name="输出 2 2 2 2" xfId="4881"/>
    <cellStyle name="输出 2 2 2 3" xfId="4882"/>
    <cellStyle name="输出 2 2 3" xfId="4883"/>
    <cellStyle name="输出 2 2 3 2" xfId="4884"/>
    <cellStyle name="输出 2 3" xfId="4885"/>
    <cellStyle name="输出 2 3 2" xfId="4886"/>
    <cellStyle name="输出 2 3 2 2" xfId="4887"/>
    <cellStyle name="输出 2 3 2 2 2" xfId="4888"/>
    <cellStyle name="输出 2 3 3 2" xfId="4889"/>
    <cellStyle name="输出 2 4" xfId="4890"/>
    <cellStyle name="输出 2 4 2" xfId="4891"/>
    <cellStyle name="输出 2 4 2 2" xfId="4892"/>
    <cellStyle name="输出 2 4 3" xfId="4893"/>
    <cellStyle name="输出 2 5" xfId="4894"/>
    <cellStyle name="输出 2 5 2" xfId="4895"/>
    <cellStyle name="输出 2 6" xfId="4896"/>
    <cellStyle name="输出 2 7" xfId="4897"/>
    <cellStyle name="输出 3 2" xfId="4898"/>
    <cellStyle name="输出 3 2 2" xfId="4899"/>
    <cellStyle name="输出 3 2 2 2" xfId="4900"/>
    <cellStyle name="输出 3 2 2 2 2" xfId="4901"/>
    <cellStyle name="输出 3 2 3 2" xfId="4902"/>
    <cellStyle name="输出 3 2 4" xfId="4903"/>
    <cellStyle name="输出 3 3" xfId="4904"/>
    <cellStyle name="输出 3 3 2" xfId="4905"/>
    <cellStyle name="输出 3 3 2 2" xfId="4906"/>
    <cellStyle name="输出 3 3 3" xfId="4907"/>
    <cellStyle name="输出 3 4" xfId="4908"/>
    <cellStyle name="输出 3 4 2" xfId="4909"/>
    <cellStyle name="输出 3 5" xfId="4910"/>
    <cellStyle name="输出 4" xfId="4911"/>
    <cellStyle name="输出 5" xfId="4912"/>
    <cellStyle name="输出 5 2" xfId="4913"/>
    <cellStyle name="输出 5 2 2" xfId="4914"/>
    <cellStyle name="输出 5 2 2 2" xfId="4915"/>
    <cellStyle name="输出 5 2 3" xfId="4916"/>
    <cellStyle name="输出 5 3" xfId="4917"/>
    <cellStyle name="输出 5 3 2" xfId="4918"/>
    <cellStyle name="输出 5 4" xfId="4919"/>
    <cellStyle name="输入 2 2 2" xfId="4920"/>
    <cellStyle name="输入 2 2 2 2" xfId="4921"/>
    <cellStyle name="输入 2 2 2 2 2" xfId="4922"/>
    <cellStyle name="输入 2 2 3" xfId="4923"/>
    <cellStyle name="输入 2 2 3 2" xfId="4924"/>
    <cellStyle name="输入 2 2 4" xfId="4925"/>
    <cellStyle name="输入 2 3" xfId="4926"/>
    <cellStyle name="输入 2 3 2" xfId="4927"/>
    <cellStyle name="输入 2 3 2 2" xfId="4928"/>
    <cellStyle name="输入 2 3 3" xfId="4929"/>
    <cellStyle name="输入 2 4" xfId="4930"/>
    <cellStyle name="输入 2 4 2" xfId="4931"/>
    <cellStyle name="输入 3 2" xfId="4932"/>
    <cellStyle name="输入 3 2 2" xfId="4933"/>
    <cellStyle name="输入 3 2 2 2" xfId="4934"/>
    <cellStyle name="输入 3 2 2 2 2" xfId="4935"/>
    <cellStyle name="输入 3 2 2 3" xfId="4936"/>
    <cellStyle name="输入 3 2 3" xfId="4937"/>
    <cellStyle name="输入 3 2 3 2" xfId="4938"/>
    <cellStyle name="输入 3 3" xfId="4939"/>
    <cellStyle name="输入 3 3 2 2" xfId="4940"/>
    <cellStyle name="输入 3 3 3" xfId="4941"/>
    <cellStyle name="输入 3 4" xfId="4942"/>
    <cellStyle name="输入 3 4 2" xfId="4943"/>
    <cellStyle name="输入 4" xfId="4944"/>
    <cellStyle name="输入 4 2" xfId="4945"/>
    <cellStyle name="输入 4 2 2" xfId="4946"/>
    <cellStyle name="输入 4 2 2 2" xfId="4947"/>
    <cellStyle name="输入 4 3" xfId="4948"/>
    <cellStyle name="输入 4 3 2" xfId="4949"/>
    <cellStyle name="输入 4 4" xfId="4950"/>
    <cellStyle name="输入 6 3" xfId="4951"/>
    <cellStyle name="输入 5 2 2" xfId="4952"/>
    <cellStyle name="输入 5 2 2 2" xfId="4953"/>
    <cellStyle name="输入 5 2 3" xfId="4954"/>
    <cellStyle name="输入 5 3" xfId="4955"/>
    <cellStyle name="注释 4" xfId="4956"/>
    <cellStyle name="输入 5 3 2" xfId="4957"/>
    <cellStyle name="输入 5 4" xfId="4958"/>
    <cellStyle name="输入 6 2 2" xfId="4959"/>
    <cellStyle name="数字" xfId="4960"/>
    <cellStyle name="数字 2" xfId="4961"/>
    <cellStyle name="数字 2 2" xfId="4962"/>
    <cellStyle name="数字 2 2 2" xfId="4963"/>
    <cellStyle name="数字 2 2 3" xfId="4964"/>
    <cellStyle name="数字 2 3 2" xfId="4965"/>
    <cellStyle name="数字 3" xfId="4966"/>
    <cellStyle name="数字 3 2" xfId="4967"/>
    <cellStyle name="数字 3 2 2" xfId="4968"/>
    <cellStyle name="数字 3 3" xfId="4969"/>
    <cellStyle name="数字 4 2" xfId="4970"/>
    <cellStyle name="数字 5" xfId="4971"/>
    <cellStyle name="未定义" xfId="4972"/>
    <cellStyle name="着色 1" xfId="4973"/>
    <cellStyle name="着色 1 2" xfId="4974"/>
    <cellStyle name="着色 2" xfId="4975"/>
    <cellStyle name="着色 2 2" xfId="4976"/>
    <cellStyle name="着色 3" xfId="4977"/>
    <cellStyle name="着色 3 2" xfId="4978"/>
    <cellStyle name="着色 5 2" xfId="4979"/>
    <cellStyle name="着色 6" xfId="4980"/>
    <cellStyle name="着色 6 2" xfId="4981"/>
    <cellStyle name="寘嬫愗傝 [0.00]_Region Orders (2)" xfId="4982"/>
    <cellStyle name="注释 2" xfId="4983"/>
    <cellStyle name="注释 2 2 2 3" xfId="4984"/>
    <cellStyle name="注释 2 2 3 2" xfId="4985"/>
    <cellStyle name="注释 2 2 3 3" xfId="4986"/>
    <cellStyle name="注释 2 2 5" xfId="4987"/>
    <cellStyle name="注释 2 5" xfId="4988"/>
    <cellStyle name="注释 3 4 2" xfId="4989"/>
    <cellStyle name="注释 5" xfId="4990"/>
    <cellStyle name="注释 5 3 2" xfId="4991"/>
    <cellStyle name="注释 6 2" xfId="4992"/>
    <cellStyle name="注释 6 2 2" xfId="4993"/>
    <cellStyle name="注释 6 3" xfId="4994"/>
    <cellStyle name="注释 7" xfId="4995"/>
    <cellStyle name="注释 7 2" xfId="4996"/>
    <cellStyle name="注释 8" xfId="4997"/>
    <cellStyle name="注释 9" xfId="499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
      <sheetName val=""/>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workbookViewId="0">
      <selection activeCell="A29" sqref="A29"/>
    </sheetView>
  </sheetViews>
  <sheetFormatPr defaultColWidth="9" defaultRowHeight="14.25" outlineLevelCol="3"/>
  <cols>
    <col min="1" max="1" width="29.875" customWidth="1"/>
    <col min="2" max="2" width="15.125" customWidth="1"/>
    <col min="3" max="3" width="26.25" customWidth="1"/>
    <col min="4" max="4" width="14.75" customWidth="1"/>
  </cols>
  <sheetData>
    <row r="1" spans="1:4">
      <c r="A1" s="207"/>
      <c r="B1" s="207"/>
      <c r="C1" s="207"/>
      <c r="D1" s="207"/>
    </row>
    <row r="2" spans="1:4">
      <c r="A2" s="137" t="s">
        <v>0</v>
      </c>
      <c r="B2" s="63"/>
      <c r="C2" s="63"/>
      <c r="D2" s="63"/>
    </row>
    <row r="3" ht="20.25" spans="1:4">
      <c r="A3" s="93" t="s">
        <v>1</v>
      </c>
      <c r="B3" s="93"/>
      <c r="C3" s="93"/>
      <c r="D3" s="93"/>
    </row>
    <row r="4" spans="1:4">
      <c r="A4" s="208"/>
      <c r="B4" s="208"/>
      <c r="C4" s="208"/>
      <c r="D4" s="209" t="s">
        <v>2</v>
      </c>
    </row>
    <row r="5" ht="20.1" customHeight="1" spans="1:4">
      <c r="A5" s="210" t="s">
        <v>3</v>
      </c>
      <c r="B5" s="210"/>
      <c r="C5" s="210" t="s">
        <v>4</v>
      </c>
      <c r="D5" s="210"/>
    </row>
    <row r="6" ht="20.1" customHeight="1" spans="1:4">
      <c r="A6" s="211" t="s">
        <v>5</v>
      </c>
      <c r="B6" s="211" t="s">
        <v>6</v>
      </c>
      <c r="C6" s="211" t="s">
        <v>7</v>
      </c>
      <c r="D6" s="211" t="s">
        <v>6</v>
      </c>
    </row>
    <row r="7" ht="20.1" customHeight="1" spans="1:4">
      <c r="A7" s="212" t="s">
        <v>8</v>
      </c>
      <c r="B7" s="146">
        <v>57011.9</v>
      </c>
      <c r="C7" s="212" t="s">
        <v>9</v>
      </c>
      <c r="D7" s="145">
        <f>D8+D9+D10</f>
        <v>4861.77</v>
      </c>
    </row>
    <row r="8" ht="20.1" customHeight="1" spans="1:4">
      <c r="A8" s="212" t="s">
        <v>10</v>
      </c>
      <c r="B8" s="146">
        <v>0</v>
      </c>
      <c r="C8" s="212" t="s">
        <v>11</v>
      </c>
      <c r="D8" s="146">
        <v>3839.01</v>
      </c>
    </row>
    <row r="9" ht="20.1" customHeight="1" spans="1:4">
      <c r="A9" s="213" t="s">
        <v>12</v>
      </c>
      <c r="B9" s="146">
        <v>0</v>
      </c>
      <c r="C9" s="212" t="s">
        <v>13</v>
      </c>
      <c r="D9" s="146">
        <v>74.58</v>
      </c>
    </row>
    <row r="10" ht="20.1" customHeight="1" spans="1:4">
      <c r="A10" s="213" t="s">
        <v>14</v>
      </c>
      <c r="B10" s="146">
        <v>0</v>
      </c>
      <c r="C10" s="212" t="s">
        <v>15</v>
      </c>
      <c r="D10" s="146">
        <v>948.18</v>
      </c>
    </row>
    <row r="11" ht="20.1" customHeight="1" spans="1:4">
      <c r="A11" s="213" t="s">
        <v>16</v>
      </c>
      <c r="B11" s="146">
        <v>0</v>
      </c>
      <c r="C11" s="212" t="s">
        <v>17</v>
      </c>
      <c r="D11" s="146">
        <v>52150.13</v>
      </c>
    </row>
    <row r="12" ht="20.1" customHeight="1" spans="1:4">
      <c r="A12" s="214" t="s">
        <v>18</v>
      </c>
      <c r="B12" s="215">
        <f>B7+B8+B9+B10+B11</f>
        <v>57011.9</v>
      </c>
      <c r="C12" s="214" t="s">
        <v>19</v>
      </c>
      <c r="D12" s="146">
        <f>D7+D11</f>
        <v>57011.9</v>
      </c>
    </row>
  </sheetData>
  <mergeCells count="2">
    <mergeCell ref="A1:D1"/>
    <mergeCell ref="A3:D3"/>
  </mergeCells>
  <pageMargins left="0.707638888888889" right="0.707638888888889" top="0.747916666666667" bottom="0.747916666666667" header="0.313888888888889" footer="0.313888888888889"/>
  <pageSetup paperSize="9" scale="95"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opLeftCell="A10" workbookViewId="0">
      <selection activeCell="C7" sqref="C7:C18"/>
    </sheetView>
  </sheetViews>
  <sheetFormatPr defaultColWidth="9" defaultRowHeight="14.25" outlineLevelCol="7"/>
  <cols>
    <col min="1" max="1" width="10.25" customWidth="1"/>
    <col min="2" max="2" width="20.875" customWidth="1"/>
    <col min="3" max="3" width="10" style="182" customWidth="1"/>
    <col min="4" max="8" width="9.5" style="182" customWidth="1"/>
  </cols>
  <sheetData>
    <row r="1" spans="1:8">
      <c r="A1" s="183" t="s">
        <v>20</v>
      </c>
      <c r="B1" s="184"/>
      <c r="C1" s="185"/>
      <c r="D1" s="186"/>
      <c r="E1" s="186"/>
      <c r="F1" s="187"/>
      <c r="G1" s="188"/>
      <c r="H1" s="188"/>
    </row>
    <row r="2" ht="29.1" customHeight="1" spans="1:8">
      <c r="A2" s="189" t="s">
        <v>21</v>
      </c>
      <c r="B2" s="189"/>
      <c r="C2" s="189"/>
      <c r="D2" s="189"/>
      <c r="E2" s="189"/>
      <c r="F2" s="189"/>
      <c r="G2" s="189"/>
      <c r="H2" s="189"/>
    </row>
    <row r="3" ht="25.5" spans="1:8">
      <c r="A3" s="183"/>
      <c r="B3" s="183"/>
      <c r="C3" s="190"/>
      <c r="D3" s="191"/>
      <c r="E3" s="191"/>
      <c r="F3" s="192"/>
      <c r="G3" s="193" t="s">
        <v>2</v>
      </c>
      <c r="H3" s="193"/>
    </row>
    <row r="4" spans="1:8">
      <c r="A4" s="194" t="s">
        <v>22</v>
      </c>
      <c r="B4" s="194" t="s">
        <v>23</v>
      </c>
      <c r="C4" s="195" t="s">
        <v>24</v>
      </c>
      <c r="D4" s="196"/>
      <c r="E4" s="196"/>
      <c r="F4" s="196"/>
      <c r="G4" s="196"/>
      <c r="H4" s="197"/>
    </row>
    <row r="5" ht="60" customHeight="1" spans="1:8">
      <c r="A5" s="194"/>
      <c r="B5" s="194"/>
      <c r="C5" s="198" t="s">
        <v>25</v>
      </c>
      <c r="D5" s="198" t="s">
        <v>26</v>
      </c>
      <c r="E5" s="198" t="s">
        <v>27</v>
      </c>
      <c r="F5" s="198" t="s">
        <v>28</v>
      </c>
      <c r="G5" s="199" t="s">
        <v>29</v>
      </c>
      <c r="H5" s="198" t="s">
        <v>30</v>
      </c>
    </row>
    <row r="6" spans="1:8">
      <c r="A6" s="200" t="s">
        <v>31</v>
      </c>
      <c r="B6" s="200" t="s">
        <v>31</v>
      </c>
      <c r="C6" s="201">
        <v>1</v>
      </c>
      <c r="D6" s="200">
        <v>2</v>
      </c>
      <c r="E6" s="201">
        <v>3</v>
      </c>
      <c r="F6" s="201">
        <v>4</v>
      </c>
      <c r="G6" s="200">
        <v>5</v>
      </c>
      <c r="H6" s="201">
        <v>6</v>
      </c>
    </row>
    <row r="7" ht="30" customHeight="1" spans="1:8">
      <c r="A7" s="202" t="s">
        <v>32</v>
      </c>
      <c r="B7" s="158" t="s">
        <v>33</v>
      </c>
      <c r="C7" s="203">
        <v>35190.09</v>
      </c>
      <c r="D7" s="203">
        <v>35190.09</v>
      </c>
      <c r="E7" s="204">
        <v>0</v>
      </c>
      <c r="F7" s="204">
        <v>0</v>
      </c>
      <c r="G7" s="204">
        <v>0</v>
      </c>
      <c r="H7" s="204">
        <v>0</v>
      </c>
    </row>
    <row r="8" ht="30" customHeight="1" spans="1:8">
      <c r="A8" s="157" t="s">
        <v>34</v>
      </c>
      <c r="B8" s="158" t="s">
        <v>35</v>
      </c>
      <c r="C8" s="203">
        <v>259.5</v>
      </c>
      <c r="D8" s="203">
        <v>259.5</v>
      </c>
      <c r="E8" s="204">
        <v>0</v>
      </c>
      <c r="F8" s="204">
        <v>0</v>
      </c>
      <c r="G8" s="204">
        <v>0</v>
      </c>
      <c r="H8" s="204">
        <v>0</v>
      </c>
    </row>
    <row r="9" ht="30" customHeight="1" spans="1:8">
      <c r="A9" s="157" t="s">
        <v>36</v>
      </c>
      <c r="B9" s="158" t="s">
        <v>37</v>
      </c>
      <c r="C9" s="203">
        <v>2012.97</v>
      </c>
      <c r="D9" s="203">
        <v>2012.97</v>
      </c>
      <c r="E9" s="204">
        <v>0</v>
      </c>
      <c r="F9" s="204">
        <v>0</v>
      </c>
      <c r="G9" s="204">
        <v>0</v>
      </c>
      <c r="H9" s="204">
        <v>0</v>
      </c>
    </row>
    <row r="10" ht="30" customHeight="1" spans="1:8">
      <c r="A10" s="157" t="s">
        <v>38</v>
      </c>
      <c r="B10" s="158" t="s">
        <v>39</v>
      </c>
      <c r="C10" s="203">
        <v>105.19</v>
      </c>
      <c r="D10" s="203">
        <v>105.19</v>
      </c>
      <c r="E10" s="204">
        <v>0</v>
      </c>
      <c r="F10" s="204">
        <v>0</v>
      </c>
      <c r="G10" s="204">
        <v>0</v>
      </c>
      <c r="H10" s="204">
        <v>0</v>
      </c>
    </row>
    <row r="11" ht="30" customHeight="1" spans="1:8">
      <c r="A11" s="157" t="s">
        <v>40</v>
      </c>
      <c r="B11" s="158" t="s">
        <v>41</v>
      </c>
      <c r="C11" s="203">
        <v>243.85</v>
      </c>
      <c r="D11" s="203">
        <v>243.85</v>
      </c>
      <c r="E11" s="204">
        <v>0</v>
      </c>
      <c r="F11" s="204">
        <v>0</v>
      </c>
      <c r="G11" s="204">
        <v>0</v>
      </c>
      <c r="H11" s="204">
        <v>0</v>
      </c>
    </row>
    <row r="12" ht="30" customHeight="1" spans="1:8">
      <c r="A12" s="157" t="s">
        <v>42</v>
      </c>
      <c r="B12" s="158" t="s">
        <v>43</v>
      </c>
      <c r="C12" s="203">
        <v>2986.73</v>
      </c>
      <c r="D12" s="203">
        <v>2986.73</v>
      </c>
      <c r="E12" s="204">
        <v>0</v>
      </c>
      <c r="F12" s="204">
        <v>0</v>
      </c>
      <c r="G12" s="204">
        <v>0</v>
      </c>
      <c r="H12" s="204">
        <v>0</v>
      </c>
    </row>
    <row r="13" ht="30" customHeight="1" spans="1:8">
      <c r="A13" s="157" t="s">
        <v>44</v>
      </c>
      <c r="B13" s="158" t="s">
        <v>45</v>
      </c>
      <c r="C13" s="203">
        <v>536.6</v>
      </c>
      <c r="D13" s="203">
        <v>536.6</v>
      </c>
      <c r="E13" s="204">
        <v>0</v>
      </c>
      <c r="F13" s="204">
        <v>0</v>
      </c>
      <c r="G13" s="204">
        <v>0</v>
      </c>
      <c r="H13" s="204">
        <v>0</v>
      </c>
    </row>
    <row r="14" ht="30" customHeight="1" spans="1:8">
      <c r="A14" s="157" t="s">
        <v>46</v>
      </c>
      <c r="B14" s="158" t="s">
        <v>47</v>
      </c>
      <c r="C14" s="203">
        <v>11818.95</v>
      </c>
      <c r="D14" s="203">
        <v>11818.95</v>
      </c>
      <c r="E14" s="204">
        <v>0</v>
      </c>
      <c r="F14" s="204">
        <v>0</v>
      </c>
      <c r="G14" s="204">
        <v>0</v>
      </c>
      <c r="H14" s="204">
        <v>0</v>
      </c>
    </row>
    <row r="15" ht="30" customHeight="1" spans="1:8">
      <c r="A15" s="157" t="s">
        <v>48</v>
      </c>
      <c r="B15" s="158" t="s">
        <v>49</v>
      </c>
      <c r="C15" s="203">
        <v>277.53</v>
      </c>
      <c r="D15" s="203">
        <v>277.53</v>
      </c>
      <c r="E15" s="204">
        <v>0</v>
      </c>
      <c r="F15" s="204">
        <v>0</v>
      </c>
      <c r="G15" s="204">
        <v>0</v>
      </c>
      <c r="H15" s="204">
        <v>0</v>
      </c>
    </row>
    <row r="16" ht="30" customHeight="1" spans="1:8">
      <c r="A16" s="157" t="s">
        <v>50</v>
      </c>
      <c r="B16" s="158" t="s">
        <v>51</v>
      </c>
      <c r="C16" s="203">
        <v>3324.49</v>
      </c>
      <c r="D16" s="203">
        <v>3324.49</v>
      </c>
      <c r="E16" s="204">
        <v>0</v>
      </c>
      <c r="F16" s="204">
        <v>0</v>
      </c>
      <c r="G16" s="204">
        <v>0</v>
      </c>
      <c r="H16" s="204">
        <v>0</v>
      </c>
    </row>
    <row r="17" ht="30" customHeight="1" spans="1:8">
      <c r="A17" s="157" t="s">
        <v>52</v>
      </c>
      <c r="B17" s="158" t="s">
        <v>53</v>
      </c>
      <c r="C17" s="203">
        <v>92.76</v>
      </c>
      <c r="D17" s="203">
        <v>92.76</v>
      </c>
      <c r="E17" s="204">
        <v>0</v>
      </c>
      <c r="F17" s="204">
        <v>0</v>
      </c>
      <c r="G17" s="204">
        <v>0</v>
      </c>
      <c r="H17" s="204">
        <v>0</v>
      </c>
    </row>
    <row r="18" ht="30" customHeight="1" spans="1:8">
      <c r="A18" s="157" t="s">
        <v>54</v>
      </c>
      <c r="B18" s="158" t="s">
        <v>55</v>
      </c>
      <c r="C18" s="203">
        <v>163.24</v>
      </c>
      <c r="D18" s="203">
        <v>163.24</v>
      </c>
      <c r="E18" s="204">
        <v>0</v>
      </c>
      <c r="F18" s="204">
        <v>0</v>
      </c>
      <c r="G18" s="204">
        <v>0</v>
      </c>
      <c r="H18" s="204">
        <v>0</v>
      </c>
    </row>
    <row r="19" ht="30" customHeight="1" spans="1:8">
      <c r="A19" s="205" t="s">
        <v>56</v>
      </c>
      <c r="B19" s="205"/>
      <c r="C19" s="206">
        <f>SUM(C7:C18)</f>
        <v>57011.9</v>
      </c>
      <c r="D19" s="206">
        <f t="shared" ref="D19" si="0">SUM(D7:D18)</f>
        <v>57011.9</v>
      </c>
      <c r="E19" s="204">
        <v>0</v>
      </c>
      <c r="F19" s="204">
        <v>0</v>
      </c>
      <c r="G19" s="204">
        <v>0</v>
      </c>
      <c r="H19" s="204">
        <v>0</v>
      </c>
    </row>
  </sheetData>
  <mergeCells count="6">
    <mergeCell ref="A2:H2"/>
    <mergeCell ref="G3:H3"/>
    <mergeCell ref="C4:H4"/>
    <mergeCell ref="A19:B19"/>
    <mergeCell ref="A4:A5"/>
    <mergeCell ref="B4:B5"/>
  </mergeCells>
  <pageMargins left="0.707638888888889" right="0.707638888888889" top="0.747916666666667" bottom="0.747916666666667" header="0.313888888888889" footer="0.313888888888889"/>
  <pageSetup paperSize="9" scale="95"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72"/>
  <sheetViews>
    <sheetView workbookViewId="0">
      <selection activeCell="K69" sqref="K69:K71"/>
    </sheetView>
  </sheetViews>
  <sheetFormatPr defaultColWidth="9" defaultRowHeight="14.25"/>
  <cols>
    <col min="1" max="1" width="9" customWidth="1"/>
    <col min="2" max="2" width="19" customWidth="1"/>
    <col min="3" max="3" width="9.125" customWidth="1"/>
    <col min="4" max="4" width="10.5" customWidth="1"/>
    <col min="5" max="5" width="9.875" customWidth="1"/>
    <col min="6" max="6" width="8.375" customWidth="1"/>
    <col min="7" max="8" width="7.5" customWidth="1"/>
    <col min="9" max="9" width="9.375" customWidth="1"/>
    <col min="10" max="14" width="9.625" customWidth="1"/>
    <col min="15" max="15" width="9.125" customWidth="1"/>
  </cols>
  <sheetData>
    <row r="1" ht="25.5" spans="1:15">
      <c r="A1" s="149" t="s">
        <v>57</v>
      </c>
      <c r="B1" s="150"/>
      <c r="C1" s="150"/>
      <c r="D1" s="150"/>
      <c r="E1" s="150"/>
      <c r="F1" s="150"/>
      <c r="G1" s="150"/>
      <c r="H1" s="150"/>
      <c r="I1" s="150"/>
      <c r="J1" s="150"/>
      <c r="K1" s="150"/>
      <c r="L1" s="150"/>
      <c r="M1" s="63"/>
      <c r="N1" s="63"/>
      <c r="O1" s="63"/>
    </row>
    <row r="2" ht="20.25" spans="1:15">
      <c r="A2" s="151" t="s">
        <v>58</v>
      </c>
      <c r="B2" s="151"/>
      <c r="C2" s="151"/>
      <c r="D2" s="151"/>
      <c r="E2" s="151"/>
      <c r="F2" s="151"/>
      <c r="G2" s="151"/>
      <c r="H2" s="151"/>
      <c r="I2" s="151"/>
      <c r="J2" s="151"/>
      <c r="K2" s="151"/>
      <c r="L2" s="151"/>
      <c r="M2" s="151"/>
      <c r="N2" s="151"/>
      <c r="O2" s="151"/>
    </row>
    <row r="3" spans="1:15">
      <c r="A3" s="152"/>
      <c r="B3" s="152"/>
      <c r="C3" s="152"/>
      <c r="D3" s="152"/>
      <c r="E3" s="152"/>
      <c r="F3" s="152"/>
      <c r="G3" s="152"/>
      <c r="H3" s="152"/>
      <c r="I3" s="152"/>
      <c r="J3" s="152"/>
      <c r="K3" s="152"/>
      <c r="L3" s="152"/>
      <c r="M3" s="152"/>
      <c r="N3" s="176" t="s">
        <v>2</v>
      </c>
      <c r="O3" s="176"/>
    </row>
    <row r="4" s="90" customFormat="1" ht="13.5" spans="1:15">
      <c r="A4" s="153" t="s">
        <v>22</v>
      </c>
      <c r="B4" s="153" t="s">
        <v>23</v>
      </c>
      <c r="C4" s="153" t="s">
        <v>59</v>
      </c>
      <c r="D4" s="153" t="s">
        <v>60</v>
      </c>
      <c r="E4" s="153" t="s">
        <v>56</v>
      </c>
      <c r="F4" s="153" t="s">
        <v>61</v>
      </c>
      <c r="G4" s="153" t="s">
        <v>62</v>
      </c>
      <c r="H4" s="153" t="s">
        <v>63</v>
      </c>
      <c r="I4" s="153" t="s">
        <v>64</v>
      </c>
      <c r="J4" s="177" t="s">
        <v>24</v>
      </c>
      <c r="K4" s="177"/>
      <c r="L4" s="177"/>
      <c r="M4" s="177"/>
      <c r="N4" s="177"/>
      <c r="O4" s="177"/>
    </row>
    <row r="5" s="90" customFormat="1" ht="43.15" customHeight="1" spans="1:15">
      <c r="A5" s="154"/>
      <c r="B5" s="154"/>
      <c r="C5" s="154"/>
      <c r="D5" s="154"/>
      <c r="E5" s="154"/>
      <c r="F5" s="154"/>
      <c r="G5" s="154"/>
      <c r="H5" s="154"/>
      <c r="I5" s="154"/>
      <c r="J5" s="153" t="s">
        <v>56</v>
      </c>
      <c r="K5" s="153" t="s">
        <v>26</v>
      </c>
      <c r="L5" s="153" t="s">
        <v>27</v>
      </c>
      <c r="M5" s="153" t="s">
        <v>28</v>
      </c>
      <c r="N5" s="178" t="s">
        <v>29</v>
      </c>
      <c r="O5" s="153" t="s">
        <v>30</v>
      </c>
    </row>
    <row r="6" s="90" customFormat="1" ht="13.5" spans="1:15">
      <c r="A6" s="155"/>
      <c r="B6" s="155"/>
      <c r="C6" s="155"/>
      <c r="D6" s="155"/>
      <c r="E6" s="155"/>
      <c r="F6" s="155"/>
      <c r="G6" s="155"/>
      <c r="H6" s="155"/>
      <c r="I6" s="155"/>
      <c r="J6" s="155"/>
      <c r="K6" s="155"/>
      <c r="L6" s="155"/>
      <c r="M6" s="155"/>
      <c r="N6" s="179"/>
      <c r="O6" s="155"/>
    </row>
    <row r="7" s="90" customFormat="1" ht="20.1" customHeight="1" spans="1:15">
      <c r="A7" s="156" t="s">
        <v>31</v>
      </c>
      <c r="B7" s="156" t="s">
        <v>31</v>
      </c>
      <c r="C7" s="156" t="s">
        <v>31</v>
      </c>
      <c r="D7" s="156" t="s">
        <v>31</v>
      </c>
      <c r="E7" s="156">
        <v>1</v>
      </c>
      <c r="F7" s="156">
        <v>2</v>
      </c>
      <c r="G7" s="156">
        <v>3</v>
      </c>
      <c r="H7" s="156">
        <v>4</v>
      </c>
      <c r="I7" s="156">
        <v>5</v>
      </c>
      <c r="J7" s="156">
        <v>6</v>
      </c>
      <c r="K7" s="156">
        <v>7</v>
      </c>
      <c r="L7" s="156">
        <v>8</v>
      </c>
      <c r="M7" s="156">
        <v>9</v>
      </c>
      <c r="N7" s="156">
        <v>10</v>
      </c>
      <c r="O7" s="156">
        <v>11</v>
      </c>
    </row>
    <row r="8" s="90" customFormat="1" ht="30" customHeight="1" spans="1:15">
      <c r="A8" s="157" t="s">
        <v>32</v>
      </c>
      <c r="B8" s="158" t="s">
        <v>33</v>
      </c>
      <c r="C8" s="159" t="s">
        <v>65</v>
      </c>
      <c r="D8" s="160"/>
      <c r="E8" s="161">
        <v>35190.09</v>
      </c>
      <c r="F8" s="162">
        <v>848.78</v>
      </c>
      <c r="G8" s="161">
        <v>0</v>
      </c>
      <c r="H8" s="161">
        <v>444.22</v>
      </c>
      <c r="I8" s="161">
        <v>33897.09</v>
      </c>
      <c r="J8" s="161">
        <v>35190.09</v>
      </c>
      <c r="K8" s="161">
        <v>35190.09</v>
      </c>
      <c r="L8" s="180">
        <v>0</v>
      </c>
      <c r="M8" s="180">
        <v>0</v>
      </c>
      <c r="N8" s="180">
        <v>0</v>
      </c>
      <c r="O8" s="180">
        <v>0</v>
      </c>
    </row>
    <row r="9" s="90" customFormat="1" ht="30" customHeight="1" spans="1:15">
      <c r="A9" s="157" t="s">
        <v>32</v>
      </c>
      <c r="B9" s="158" t="s">
        <v>33</v>
      </c>
      <c r="C9" s="163">
        <v>2060502</v>
      </c>
      <c r="D9" s="163" t="s">
        <v>66</v>
      </c>
      <c r="E9" s="161">
        <v>3908</v>
      </c>
      <c r="F9" s="162">
        <v>0</v>
      </c>
      <c r="G9" s="161">
        <v>0</v>
      </c>
      <c r="H9" s="161">
        <v>0</v>
      </c>
      <c r="I9" s="161">
        <v>3908</v>
      </c>
      <c r="J9" s="161">
        <v>3908</v>
      </c>
      <c r="K9" s="161">
        <v>3908</v>
      </c>
      <c r="L9" s="180">
        <v>0</v>
      </c>
      <c r="M9" s="180">
        <v>0</v>
      </c>
      <c r="N9" s="180">
        <v>0</v>
      </c>
      <c r="O9" s="180">
        <v>0</v>
      </c>
    </row>
    <row r="10" s="90" customFormat="1" ht="30" customHeight="1" spans="1:15">
      <c r="A10" s="157" t="s">
        <v>32</v>
      </c>
      <c r="B10" s="158" t="s">
        <v>33</v>
      </c>
      <c r="C10" s="163">
        <v>2110399</v>
      </c>
      <c r="D10" s="163" t="s">
        <v>67</v>
      </c>
      <c r="E10" s="161">
        <v>147.55</v>
      </c>
      <c r="F10" s="162">
        <v>0</v>
      </c>
      <c r="G10" s="161">
        <v>0</v>
      </c>
      <c r="H10" s="161">
        <v>0</v>
      </c>
      <c r="I10" s="161">
        <v>147.55</v>
      </c>
      <c r="J10" s="161">
        <v>147.55</v>
      </c>
      <c r="K10" s="161">
        <v>147.55</v>
      </c>
      <c r="L10" s="180">
        <v>0</v>
      </c>
      <c r="M10" s="180">
        <v>0</v>
      </c>
      <c r="N10" s="180">
        <v>0</v>
      </c>
      <c r="O10" s="180">
        <v>0</v>
      </c>
    </row>
    <row r="11" s="90" customFormat="1" ht="30" customHeight="1" spans="1:15">
      <c r="A11" s="157" t="s">
        <v>32</v>
      </c>
      <c r="B11" s="158" t="s">
        <v>33</v>
      </c>
      <c r="C11" s="163">
        <v>2120102</v>
      </c>
      <c r="D11" s="163" t="s">
        <v>68</v>
      </c>
      <c r="E11" s="161">
        <v>10</v>
      </c>
      <c r="F11" s="162">
        <v>0</v>
      </c>
      <c r="G11" s="161">
        <v>0</v>
      </c>
      <c r="H11" s="161">
        <v>10</v>
      </c>
      <c r="I11" s="161">
        <v>0</v>
      </c>
      <c r="J11" s="161">
        <v>10</v>
      </c>
      <c r="K11" s="161">
        <v>10</v>
      </c>
      <c r="L11" s="180">
        <v>0</v>
      </c>
      <c r="M11" s="180">
        <v>0</v>
      </c>
      <c r="N11" s="180">
        <v>0</v>
      </c>
      <c r="O11" s="180">
        <v>0</v>
      </c>
    </row>
    <row r="12" s="90" customFormat="1" ht="30" customHeight="1" spans="1:15">
      <c r="A12" s="157" t="s">
        <v>32</v>
      </c>
      <c r="B12" s="158" t="s">
        <v>33</v>
      </c>
      <c r="C12" s="163">
        <v>2120201</v>
      </c>
      <c r="D12" s="163" t="s">
        <v>69</v>
      </c>
      <c r="E12" s="161">
        <v>80</v>
      </c>
      <c r="F12" s="162">
        <v>0</v>
      </c>
      <c r="G12" s="161">
        <v>0</v>
      </c>
      <c r="H12" s="161">
        <v>0</v>
      </c>
      <c r="I12" s="161">
        <v>80</v>
      </c>
      <c r="J12" s="161">
        <v>80</v>
      </c>
      <c r="K12" s="161">
        <v>80</v>
      </c>
      <c r="L12" s="180">
        <v>0</v>
      </c>
      <c r="M12" s="180">
        <v>0</v>
      </c>
      <c r="N12" s="180">
        <v>0</v>
      </c>
      <c r="O12" s="180">
        <v>0</v>
      </c>
    </row>
    <row r="13" s="90" customFormat="1" ht="30" customHeight="1" spans="1:15">
      <c r="A13" s="157" t="s">
        <v>32</v>
      </c>
      <c r="B13" s="158" t="s">
        <v>33</v>
      </c>
      <c r="C13" s="163">
        <v>2120303</v>
      </c>
      <c r="D13" s="163" t="s">
        <v>70</v>
      </c>
      <c r="E13" s="161">
        <v>22950</v>
      </c>
      <c r="F13" s="162">
        <v>0</v>
      </c>
      <c r="G13" s="161">
        <v>0</v>
      </c>
      <c r="H13" s="161">
        <v>0</v>
      </c>
      <c r="I13" s="161">
        <v>22950</v>
      </c>
      <c r="J13" s="161">
        <v>22950</v>
      </c>
      <c r="K13" s="161">
        <v>22950</v>
      </c>
      <c r="L13" s="180">
        <v>0</v>
      </c>
      <c r="M13" s="180">
        <v>0</v>
      </c>
      <c r="N13" s="180">
        <v>0</v>
      </c>
      <c r="O13" s="180">
        <v>0</v>
      </c>
    </row>
    <row r="14" s="90" customFormat="1" ht="30" customHeight="1" spans="1:15">
      <c r="A14" s="157" t="s">
        <v>32</v>
      </c>
      <c r="B14" s="158" t="s">
        <v>33</v>
      </c>
      <c r="C14" s="163">
        <v>2120399</v>
      </c>
      <c r="D14" s="163" t="s">
        <v>71</v>
      </c>
      <c r="E14" s="161">
        <v>1004.64</v>
      </c>
      <c r="F14" s="162">
        <v>0</v>
      </c>
      <c r="G14" s="161">
        <v>0</v>
      </c>
      <c r="H14" s="161">
        <v>0</v>
      </c>
      <c r="I14" s="161">
        <v>1004.64</v>
      </c>
      <c r="J14" s="161">
        <v>1004.64</v>
      </c>
      <c r="K14" s="161">
        <v>1004.64</v>
      </c>
      <c r="L14" s="180">
        <v>0</v>
      </c>
      <c r="M14" s="180">
        <v>0</v>
      </c>
      <c r="N14" s="180">
        <v>0</v>
      </c>
      <c r="O14" s="180">
        <v>0</v>
      </c>
    </row>
    <row r="15" s="90" customFormat="1" ht="30" customHeight="1" spans="1:15">
      <c r="A15" s="157" t="s">
        <v>32</v>
      </c>
      <c r="B15" s="158" t="s">
        <v>33</v>
      </c>
      <c r="C15" s="163">
        <v>2120501</v>
      </c>
      <c r="D15" s="163" t="s">
        <v>72</v>
      </c>
      <c r="E15" s="161">
        <v>5806.9</v>
      </c>
      <c r="F15" s="162">
        <v>0</v>
      </c>
      <c r="G15" s="161">
        <v>0</v>
      </c>
      <c r="H15" s="161">
        <v>0</v>
      </c>
      <c r="I15" s="161">
        <v>5806.9</v>
      </c>
      <c r="J15" s="161">
        <v>5807.9</v>
      </c>
      <c r="K15" s="161">
        <v>5808.9</v>
      </c>
      <c r="L15" s="180">
        <v>0</v>
      </c>
      <c r="M15" s="180">
        <v>0</v>
      </c>
      <c r="N15" s="180">
        <v>0</v>
      </c>
      <c r="O15" s="180">
        <v>0</v>
      </c>
    </row>
    <row r="16" s="90" customFormat="1" ht="30" customHeight="1" spans="1:15">
      <c r="A16" s="157" t="s">
        <v>32</v>
      </c>
      <c r="B16" s="158" t="s">
        <v>33</v>
      </c>
      <c r="C16" s="163">
        <v>2140101</v>
      </c>
      <c r="D16" s="163" t="s">
        <v>73</v>
      </c>
      <c r="E16" s="161">
        <v>897.06</v>
      </c>
      <c r="F16" s="162">
        <v>755.84</v>
      </c>
      <c r="G16" s="161">
        <v>0</v>
      </c>
      <c r="H16" s="161">
        <v>141.22</v>
      </c>
      <c r="I16" s="161">
        <v>0</v>
      </c>
      <c r="J16" s="161">
        <v>897.06</v>
      </c>
      <c r="K16" s="161">
        <v>897.06</v>
      </c>
      <c r="L16" s="180">
        <v>0</v>
      </c>
      <c r="M16" s="180">
        <v>0</v>
      </c>
      <c r="N16" s="180">
        <v>0</v>
      </c>
      <c r="O16" s="180">
        <v>0</v>
      </c>
    </row>
    <row r="17" s="90" customFormat="1" ht="30" customHeight="1" spans="1:15">
      <c r="A17" s="157" t="s">
        <v>32</v>
      </c>
      <c r="B17" s="158" t="s">
        <v>33</v>
      </c>
      <c r="C17" s="163">
        <v>2140102</v>
      </c>
      <c r="D17" s="163" t="s">
        <v>74</v>
      </c>
      <c r="E17" s="161">
        <v>178</v>
      </c>
      <c r="F17" s="162">
        <v>0</v>
      </c>
      <c r="G17" s="161">
        <v>0</v>
      </c>
      <c r="H17" s="161">
        <v>178</v>
      </c>
      <c r="I17" s="161">
        <v>0</v>
      </c>
      <c r="J17" s="161">
        <v>178</v>
      </c>
      <c r="K17" s="161">
        <v>178</v>
      </c>
      <c r="L17" s="180">
        <v>0</v>
      </c>
      <c r="M17" s="180">
        <v>0</v>
      </c>
      <c r="N17" s="180">
        <v>0</v>
      </c>
      <c r="O17" s="180">
        <v>0</v>
      </c>
    </row>
    <row r="18" s="90" customFormat="1" ht="30" customHeight="1" spans="1:15">
      <c r="A18" s="157" t="s">
        <v>32</v>
      </c>
      <c r="B18" s="158" t="s">
        <v>33</v>
      </c>
      <c r="C18" s="163">
        <v>2140112</v>
      </c>
      <c r="D18" s="163" t="s">
        <v>75</v>
      </c>
      <c r="E18" s="161">
        <v>15</v>
      </c>
      <c r="F18" s="162">
        <v>0</v>
      </c>
      <c r="G18" s="161">
        <v>0</v>
      </c>
      <c r="H18" s="161">
        <v>15</v>
      </c>
      <c r="I18" s="161">
        <v>0</v>
      </c>
      <c r="J18" s="161">
        <v>15</v>
      </c>
      <c r="K18" s="161">
        <v>15</v>
      </c>
      <c r="L18" s="180">
        <v>0</v>
      </c>
      <c r="M18" s="180">
        <v>0</v>
      </c>
      <c r="N18" s="180">
        <v>0</v>
      </c>
      <c r="O18" s="180">
        <v>0</v>
      </c>
    </row>
    <row r="19" s="90" customFormat="1" ht="30" customHeight="1" spans="1:15">
      <c r="A19" s="157" t="s">
        <v>32</v>
      </c>
      <c r="B19" s="158" t="s">
        <v>33</v>
      </c>
      <c r="C19" s="163">
        <v>2140202</v>
      </c>
      <c r="D19" s="163" t="s">
        <v>74</v>
      </c>
      <c r="E19" s="161">
        <v>100</v>
      </c>
      <c r="F19" s="162">
        <v>0</v>
      </c>
      <c r="G19" s="161">
        <v>0</v>
      </c>
      <c r="H19" s="161">
        <v>100</v>
      </c>
      <c r="I19" s="161">
        <v>0</v>
      </c>
      <c r="J19" s="161">
        <v>100</v>
      </c>
      <c r="K19" s="161">
        <v>100</v>
      </c>
      <c r="L19" s="180">
        <v>0</v>
      </c>
      <c r="M19" s="180">
        <v>0</v>
      </c>
      <c r="N19" s="180">
        <v>0</v>
      </c>
      <c r="O19" s="180">
        <v>0</v>
      </c>
    </row>
    <row r="20" s="90" customFormat="1" ht="30" customHeight="1" spans="1:15">
      <c r="A20" s="157" t="s">
        <v>32</v>
      </c>
      <c r="B20" s="158" t="s">
        <v>33</v>
      </c>
      <c r="C20" s="163">
        <v>2210201</v>
      </c>
      <c r="D20" s="163" t="s">
        <v>76</v>
      </c>
      <c r="E20" s="161">
        <v>77.74</v>
      </c>
      <c r="F20" s="162">
        <v>77.74</v>
      </c>
      <c r="G20" s="161">
        <v>0</v>
      </c>
      <c r="H20" s="161">
        <v>0</v>
      </c>
      <c r="I20" s="161">
        <v>0</v>
      </c>
      <c r="J20" s="161">
        <v>77.74</v>
      </c>
      <c r="K20" s="161">
        <v>77.74</v>
      </c>
      <c r="L20" s="180">
        <v>0</v>
      </c>
      <c r="M20" s="180">
        <v>0</v>
      </c>
      <c r="N20" s="180">
        <v>0</v>
      </c>
      <c r="O20" s="180">
        <v>0</v>
      </c>
    </row>
    <row r="21" s="90" customFormat="1" ht="30" customHeight="1" spans="1:15">
      <c r="A21" s="157" t="s">
        <v>32</v>
      </c>
      <c r="B21" s="158" t="s">
        <v>33</v>
      </c>
      <c r="C21" s="163">
        <v>2210202</v>
      </c>
      <c r="D21" s="163" t="s">
        <v>77</v>
      </c>
      <c r="E21" s="161">
        <v>15.2</v>
      </c>
      <c r="F21" s="162">
        <v>15.2</v>
      </c>
      <c r="G21" s="161">
        <v>0</v>
      </c>
      <c r="H21" s="161">
        <v>0</v>
      </c>
      <c r="I21" s="161">
        <v>0</v>
      </c>
      <c r="J21" s="161">
        <v>15.2</v>
      </c>
      <c r="K21" s="161">
        <v>15.2</v>
      </c>
      <c r="L21" s="180">
        <v>0</v>
      </c>
      <c r="M21" s="180">
        <v>0</v>
      </c>
      <c r="N21" s="180">
        <v>0</v>
      </c>
      <c r="O21" s="180">
        <v>0</v>
      </c>
    </row>
    <row r="22" s="90" customFormat="1" ht="30" customHeight="1" spans="1:15">
      <c r="A22" s="157" t="s">
        <v>34</v>
      </c>
      <c r="B22" s="158" t="s">
        <v>35</v>
      </c>
      <c r="C22" s="159" t="s">
        <v>65</v>
      </c>
      <c r="D22" s="160"/>
      <c r="E22" s="161">
        <v>259.5</v>
      </c>
      <c r="F22" s="162">
        <v>103.85</v>
      </c>
      <c r="G22" s="161">
        <v>0</v>
      </c>
      <c r="H22" s="161">
        <v>25.85</v>
      </c>
      <c r="I22" s="161">
        <v>129.8</v>
      </c>
      <c r="J22" s="161">
        <v>259.5</v>
      </c>
      <c r="K22" s="161">
        <v>259.5</v>
      </c>
      <c r="L22" s="180">
        <v>0</v>
      </c>
      <c r="M22" s="180">
        <v>0</v>
      </c>
      <c r="N22" s="180">
        <v>0</v>
      </c>
      <c r="O22" s="180">
        <v>0</v>
      </c>
    </row>
    <row r="23" s="90" customFormat="1" ht="36" customHeight="1" spans="1:15">
      <c r="A23" s="157" t="s">
        <v>34</v>
      </c>
      <c r="B23" s="158" t="s">
        <v>35</v>
      </c>
      <c r="C23" s="163">
        <v>2120199</v>
      </c>
      <c r="D23" s="163" t="s">
        <v>78</v>
      </c>
      <c r="E23" s="161">
        <v>248.5</v>
      </c>
      <c r="F23" s="162">
        <v>92.85</v>
      </c>
      <c r="G23" s="161">
        <v>0</v>
      </c>
      <c r="H23" s="161">
        <v>25.85</v>
      </c>
      <c r="I23" s="161">
        <v>129.8</v>
      </c>
      <c r="J23" s="161">
        <v>248.5</v>
      </c>
      <c r="K23" s="161">
        <v>248.5</v>
      </c>
      <c r="L23" s="180">
        <v>0</v>
      </c>
      <c r="M23" s="180">
        <v>0</v>
      </c>
      <c r="N23" s="180">
        <v>0</v>
      </c>
      <c r="O23" s="180">
        <v>0</v>
      </c>
    </row>
    <row r="24" s="90" customFormat="1" ht="30" customHeight="1" spans="1:15">
      <c r="A24" s="157" t="s">
        <v>34</v>
      </c>
      <c r="B24" s="158" t="s">
        <v>35</v>
      </c>
      <c r="C24" s="163">
        <v>2210201</v>
      </c>
      <c r="D24" s="163" t="s">
        <v>79</v>
      </c>
      <c r="E24" s="161">
        <v>8.7</v>
      </c>
      <c r="F24" s="162">
        <v>8.7</v>
      </c>
      <c r="G24" s="161">
        <v>0</v>
      </c>
      <c r="H24" s="161">
        <v>0</v>
      </c>
      <c r="I24" s="161">
        <v>0</v>
      </c>
      <c r="J24" s="161">
        <v>8.7</v>
      </c>
      <c r="K24" s="161">
        <v>8.7</v>
      </c>
      <c r="L24" s="180">
        <v>0</v>
      </c>
      <c r="M24" s="180">
        <v>0</v>
      </c>
      <c r="N24" s="180">
        <v>0</v>
      </c>
      <c r="O24" s="180">
        <v>0</v>
      </c>
    </row>
    <row r="25" s="90" customFormat="1" ht="30" customHeight="1" spans="1:15">
      <c r="A25" s="157" t="s">
        <v>34</v>
      </c>
      <c r="B25" s="158" t="s">
        <v>35</v>
      </c>
      <c r="C25" s="163">
        <v>2210202</v>
      </c>
      <c r="D25" s="163" t="s">
        <v>77</v>
      </c>
      <c r="E25" s="161">
        <v>2.3</v>
      </c>
      <c r="F25" s="162">
        <v>2.3</v>
      </c>
      <c r="G25" s="161">
        <v>0</v>
      </c>
      <c r="H25" s="161">
        <v>0</v>
      </c>
      <c r="I25" s="161">
        <v>0</v>
      </c>
      <c r="J25" s="161">
        <v>2.3</v>
      </c>
      <c r="K25" s="161">
        <v>2.3</v>
      </c>
      <c r="L25" s="180">
        <v>0</v>
      </c>
      <c r="M25" s="180">
        <v>0</v>
      </c>
      <c r="N25" s="180">
        <v>0</v>
      </c>
      <c r="O25" s="180">
        <v>0</v>
      </c>
    </row>
    <row r="26" ht="30" customHeight="1" spans="1:15">
      <c r="A26" s="157" t="s">
        <v>36</v>
      </c>
      <c r="B26" s="158" t="s">
        <v>37</v>
      </c>
      <c r="C26" s="159" t="s">
        <v>65</v>
      </c>
      <c r="D26" s="160"/>
      <c r="E26" s="161">
        <v>2012.97</v>
      </c>
      <c r="F26" s="162">
        <v>198.57</v>
      </c>
      <c r="G26" s="161">
        <v>0</v>
      </c>
      <c r="H26" s="161">
        <v>14.4</v>
      </c>
      <c r="I26" s="161">
        <v>1800</v>
      </c>
      <c r="J26" s="161">
        <v>2012.97</v>
      </c>
      <c r="K26" s="161">
        <v>2012.97</v>
      </c>
      <c r="L26" s="180">
        <v>0</v>
      </c>
      <c r="M26" s="180">
        <v>0</v>
      </c>
      <c r="N26" s="180">
        <v>0</v>
      </c>
      <c r="O26" s="180">
        <v>0</v>
      </c>
    </row>
    <row r="27" ht="30" customHeight="1" spans="1:15">
      <c r="A27" s="157" t="s">
        <v>36</v>
      </c>
      <c r="B27" s="158" t="s">
        <v>37</v>
      </c>
      <c r="C27" s="164">
        <v>2120303</v>
      </c>
      <c r="D27" s="165" t="s">
        <v>70</v>
      </c>
      <c r="E27" s="161">
        <v>500</v>
      </c>
      <c r="F27" s="162">
        <v>0</v>
      </c>
      <c r="G27" s="161">
        <v>0</v>
      </c>
      <c r="H27" s="161">
        <v>0</v>
      </c>
      <c r="I27" s="161">
        <v>500</v>
      </c>
      <c r="J27" s="161">
        <v>500</v>
      </c>
      <c r="K27" s="161">
        <v>500</v>
      </c>
      <c r="L27" s="180">
        <v>0</v>
      </c>
      <c r="M27" s="180">
        <v>0</v>
      </c>
      <c r="N27" s="180">
        <v>0</v>
      </c>
      <c r="O27" s="180">
        <v>0</v>
      </c>
    </row>
    <row r="28" ht="30" customHeight="1" spans="1:15">
      <c r="A28" s="157" t="s">
        <v>36</v>
      </c>
      <c r="B28" s="158" t="s">
        <v>37</v>
      </c>
      <c r="C28" s="164">
        <v>2140106</v>
      </c>
      <c r="D28" s="166" t="s">
        <v>80</v>
      </c>
      <c r="E28" s="161">
        <v>1512.97</v>
      </c>
      <c r="F28" s="162">
        <v>198.57</v>
      </c>
      <c r="G28" s="161">
        <v>0</v>
      </c>
      <c r="H28" s="161">
        <v>14.4</v>
      </c>
      <c r="I28" s="161">
        <v>1300</v>
      </c>
      <c r="J28" s="161">
        <v>1512.97</v>
      </c>
      <c r="K28" s="161">
        <v>1512.97</v>
      </c>
      <c r="L28" s="180">
        <v>0</v>
      </c>
      <c r="M28" s="180">
        <v>0</v>
      </c>
      <c r="N28" s="180">
        <v>0</v>
      </c>
      <c r="O28" s="180">
        <v>0</v>
      </c>
    </row>
    <row r="29" ht="30" customHeight="1" spans="1:15">
      <c r="A29" s="157" t="s">
        <v>38</v>
      </c>
      <c r="B29" s="158" t="s">
        <v>39</v>
      </c>
      <c r="C29" s="159" t="s">
        <v>65</v>
      </c>
      <c r="D29" s="160"/>
      <c r="E29" s="161">
        <v>105.19</v>
      </c>
      <c r="F29" s="162">
        <v>74.96</v>
      </c>
      <c r="G29" s="161">
        <v>0</v>
      </c>
      <c r="H29" s="161">
        <v>30.23</v>
      </c>
      <c r="I29" s="161">
        <v>0</v>
      </c>
      <c r="J29" s="161">
        <v>105.19</v>
      </c>
      <c r="K29" s="161">
        <v>105.19</v>
      </c>
      <c r="L29" s="180">
        <v>0</v>
      </c>
      <c r="M29" s="180">
        <v>0</v>
      </c>
      <c r="N29" s="180">
        <v>0</v>
      </c>
      <c r="O29" s="180">
        <v>0</v>
      </c>
    </row>
    <row r="30" ht="30" customHeight="1" spans="1:15">
      <c r="A30" s="157" t="s">
        <v>38</v>
      </c>
      <c r="B30" s="158" t="s">
        <v>39</v>
      </c>
      <c r="C30" s="164">
        <v>2120101</v>
      </c>
      <c r="D30" s="164" t="s">
        <v>73</v>
      </c>
      <c r="E30" s="161">
        <v>77.65</v>
      </c>
      <c r="F30" s="162">
        <v>67.42</v>
      </c>
      <c r="G30" s="161">
        <v>0</v>
      </c>
      <c r="H30" s="161">
        <v>10.23</v>
      </c>
      <c r="I30" s="161">
        <v>0</v>
      </c>
      <c r="J30" s="161">
        <v>77.65</v>
      </c>
      <c r="K30" s="161">
        <v>77.65</v>
      </c>
      <c r="L30" s="180">
        <v>0</v>
      </c>
      <c r="M30" s="180">
        <v>0</v>
      </c>
      <c r="N30" s="180">
        <v>0</v>
      </c>
      <c r="O30" s="180">
        <v>0</v>
      </c>
    </row>
    <row r="31" ht="30" customHeight="1" spans="1:15">
      <c r="A31" s="157" t="s">
        <v>38</v>
      </c>
      <c r="B31" s="158" t="s">
        <v>39</v>
      </c>
      <c r="C31" s="164">
        <v>2120102</v>
      </c>
      <c r="D31" s="167" t="s">
        <v>81</v>
      </c>
      <c r="E31" s="161">
        <v>20</v>
      </c>
      <c r="F31" s="162">
        <v>0</v>
      </c>
      <c r="G31" s="161">
        <v>0</v>
      </c>
      <c r="H31" s="161">
        <v>20</v>
      </c>
      <c r="I31" s="161">
        <v>0</v>
      </c>
      <c r="J31" s="161">
        <v>20</v>
      </c>
      <c r="K31" s="161">
        <v>20</v>
      </c>
      <c r="L31" s="180">
        <v>0</v>
      </c>
      <c r="M31" s="180">
        <v>0</v>
      </c>
      <c r="N31" s="180">
        <v>0</v>
      </c>
      <c r="O31" s="180">
        <v>0</v>
      </c>
    </row>
    <row r="32" ht="30" customHeight="1" spans="1:15">
      <c r="A32" s="157" t="s">
        <v>38</v>
      </c>
      <c r="B32" s="158" t="s">
        <v>39</v>
      </c>
      <c r="C32" s="164">
        <v>2210201</v>
      </c>
      <c r="D32" s="164" t="s">
        <v>79</v>
      </c>
      <c r="E32" s="161">
        <v>6.22</v>
      </c>
      <c r="F32" s="162">
        <v>6.22</v>
      </c>
      <c r="G32" s="161">
        <v>0</v>
      </c>
      <c r="H32" s="161">
        <v>0</v>
      </c>
      <c r="I32" s="161">
        <v>0</v>
      </c>
      <c r="J32" s="161">
        <v>6.22</v>
      </c>
      <c r="K32" s="161">
        <v>6.22</v>
      </c>
      <c r="L32" s="180">
        <v>0</v>
      </c>
      <c r="M32" s="180">
        <v>0</v>
      </c>
      <c r="N32" s="180">
        <v>0</v>
      </c>
      <c r="O32" s="180">
        <v>0</v>
      </c>
    </row>
    <row r="33" ht="30" customHeight="1" spans="1:15">
      <c r="A33" s="157" t="s">
        <v>38</v>
      </c>
      <c r="B33" s="158" t="s">
        <v>39</v>
      </c>
      <c r="C33" s="166">
        <v>2210202</v>
      </c>
      <c r="D33" s="166" t="s">
        <v>82</v>
      </c>
      <c r="E33" s="161">
        <v>1.32</v>
      </c>
      <c r="F33" s="162">
        <v>1.32</v>
      </c>
      <c r="G33" s="161">
        <v>0</v>
      </c>
      <c r="H33" s="161">
        <v>0</v>
      </c>
      <c r="I33" s="161">
        <v>0</v>
      </c>
      <c r="J33" s="161">
        <v>1.32</v>
      </c>
      <c r="K33" s="161">
        <v>1.32</v>
      </c>
      <c r="L33" s="180">
        <v>0</v>
      </c>
      <c r="M33" s="180">
        <v>0</v>
      </c>
      <c r="N33" s="180">
        <v>0</v>
      </c>
      <c r="O33" s="180">
        <v>0</v>
      </c>
    </row>
    <row r="34" ht="30" customHeight="1" spans="1:15">
      <c r="A34" s="157" t="s">
        <v>40</v>
      </c>
      <c r="B34" s="158" t="s">
        <v>41</v>
      </c>
      <c r="C34" s="159" t="s">
        <v>65</v>
      </c>
      <c r="D34" s="160"/>
      <c r="E34" s="161">
        <v>243.85</v>
      </c>
      <c r="F34" s="162">
        <v>54.01</v>
      </c>
      <c r="G34" s="161">
        <v>0</v>
      </c>
      <c r="H34" s="161">
        <v>54.6</v>
      </c>
      <c r="I34" s="161">
        <v>135.24</v>
      </c>
      <c r="J34" s="161">
        <v>243.85</v>
      </c>
      <c r="K34" s="161">
        <v>243.85</v>
      </c>
      <c r="L34" s="180">
        <v>0</v>
      </c>
      <c r="M34" s="180">
        <v>0</v>
      </c>
      <c r="N34" s="180">
        <v>0</v>
      </c>
      <c r="O34" s="180">
        <v>0</v>
      </c>
    </row>
    <row r="35" ht="30" customHeight="1" spans="1:15">
      <c r="A35" s="157" t="s">
        <v>40</v>
      </c>
      <c r="B35" s="158" t="s">
        <v>41</v>
      </c>
      <c r="C35" s="166">
        <v>2210201</v>
      </c>
      <c r="D35" s="166" t="s">
        <v>76</v>
      </c>
      <c r="E35" s="161">
        <v>5.3</v>
      </c>
      <c r="F35" s="162">
        <v>5.3</v>
      </c>
      <c r="G35" s="161">
        <v>0</v>
      </c>
      <c r="H35" s="161">
        <v>0</v>
      </c>
      <c r="I35" s="161">
        <v>0</v>
      </c>
      <c r="J35" s="161">
        <v>5.3</v>
      </c>
      <c r="K35" s="161">
        <v>5.3</v>
      </c>
      <c r="L35" s="180">
        <v>0</v>
      </c>
      <c r="M35" s="180">
        <v>0</v>
      </c>
      <c r="N35" s="180">
        <v>0</v>
      </c>
      <c r="O35" s="180">
        <v>0</v>
      </c>
    </row>
    <row r="36" ht="30" customHeight="1" spans="1:15">
      <c r="A36" s="157" t="s">
        <v>40</v>
      </c>
      <c r="B36" s="158" t="s">
        <v>41</v>
      </c>
      <c r="C36" s="166">
        <v>2210202</v>
      </c>
      <c r="D36" s="166" t="s">
        <v>82</v>
      </c>
      <c r="E36" s="161">
        <v>1.12</v>
      </c>
      <c r="F36" s="162">
        <v>1.12</v>
      </c>
      <c r="G36" s="161">
        <v>0</v>
      </c>
      <c r="H36" s="161">
        <v>0</v>
      </c>
      <c r="I36" s="161">
        <v>0</v>
      </c>
      <c r="J36" s="161">
        <v>1.12</v>
      </c>
      <c r="K36" s="161">
        <v>1.12</v>
      </c>
      <c r="L36" s="180">
        <v>0</v>
      </c>
      <c r="M36" s="180">
        <v>0</v>
      </c>
      <c r="N36" s="180">
        <v>0</v>
      </c>
      <c r="O36" s="180">
        <v>0</v>
      </c>
    </row>
    <row r="37" ht="30" customHeight="1" spans="1:15">
      <c r="A37" s="157" t="s">
        <v>40</v>
      </c>
      <c r="B37" s="158" t="s">
        <v>41</v>
      </c>
      <c r="C37" s="164">
        <v>2240501</v>
      </c>
      <c r="D37" s="164" t="s">
        <v>83</v>
      </c>
      <c r="E37" s="161">
        <v>52.99</v>
      </c>
      <c r="F37" s="162">
        <v>47.59</v>
      </c>
      <c r="G37" s="161">
        <v>0</v>
      </c>
      <c r="H37" s="161">
        <v>5.4</v>
      </c>
      <c r="I37" s="161">
        <v>0</v>
      </c>
      <c r="J37" s="161">
        <v>52.99</v>
      </c>
      <c r="K37" s="161">
        <v>52.99</v>
      </c>
      <c r="L37" s="180">
        <v>0</v>
      </c>
      <c r="M37" s="180">
        <v>0</v>
      </c>
      <c r="N37" s="180">
        <v>0</v>
      </c>
      <c r="O37" s="180">
        <v>0</v>
      </c>
    </row>
    <row r="38" ht="30" customHeight="1" spans="1:15">
      <c r="A38" s="157" t="s">
        <v>40</v>
      </c>
      <c r="B38" s="158" t="s">
        <v>41</v>
      </c>
      <c r="C38" s="164">
        <v>2240502</v>
      </c>
      <c r="D38" s="165" t="s">
        <v>81</v>
      </c>
      <c r="E38" s="161">
        <v>184.44</v>
      </c>
      <c r="F38" s="162">
        <v>0</v>
      </c>
      <c r="G38" s="161">
        <v>0</v>
      </c>
      <c r="H38" s="161">
        <v>49.2</v>
      </c>
      <c r="I38" s="161">
        <v>135.24</v>
      </c>
      <c r="J38" s="161">
        <v>184.44</v>
      </c>
      <c r="K38" s="161">
        <v>184.44</v>
      </c>
      <c r="L38" s="180">
        <v>0</v>
      </c>
      <c r="M38" s="180">
        <v>0</v>
      </c>
      <c r="N38" s="180">
        <v>0</v>
      </c>
      <c r="O38" s="180">
        <v>0</v>
      </c>
    </row>
    <row r="39" ht="30" customHeight="1" spans="1:15">
      <c r="A39" s="157" t="s">
        <v>42</v>
      </c>
      <c r="B39" s="158" t="s">
        <v>43</v>
      </c>
      <c r="C39" s="159" t="s">
        <v>65</v>
      </c>
      <c r="D39" s="160"/>
      <c r="E39" s="161">
        <v>2986.73</v>
      </c>
      <c r="F39" s="162">
        <v>353.28</v>
      </c>
      <c r="G39" s="161">
        <v>0</v>
      </c>
      <c r="H39" s="161">
        <v>33.45</v>
      </c>
      <c r="I39" s="161">
        <v>2600</v>
      </c>
      <c r="J39" s="161">
        <v>2986.73</v>
      </c>
      <c r="K39" s="161">
        <v>2986.73</v>
      </c>
      <c r="L39" s="180">
        <v>0</v>
      </c>
      <c r="M39" s="180">
        <v>0</v>
      </c>
      <c r="N39" s="180">
        <v>0</v>
      </c>
      <c r="O39" s="180">
        <v>0</v>
      </c>
    </row>
    <row r="40" ht="30" customHeight="1" spans="1:15">
      <c r="A40" s="157" t="s">
        <v>42</v>
      </c>
      <c r="B40" s="158" t="s">
        <v>43</v>
      </c>
      <c r="C40" s="168">
        <v>2120103</v>
      </c>
      <c r="D40" s="169" t="s">
        <v>84</v>
      </c>
      <c r="E40" s="161">
        <v>349.13</v>
      </c>
      <c r="F40" s="162">
        <v>315.68</v>
      </c>
      <c r="G40" s="161">
        <v>0</v>
      </c>
      <c r="H40" s="161">
        <v>33.45</v>
      </c>
      <c r="I40" s="161">
        <v>0</v>
      </c>
      <c r="J40" s="161">
        <v>349.13</v>
      </c>
      <c r="K40" s="161">
        <v>349.13</v>
      </c>
      <c r="L40" s="180">
        <v>0</v>
      </c>
      <c r="M40" s="180">
        <v>0</v>
      </c>
      <c r="N40" s="180">
        <v>0</v>
      </c>
      <c r="O40" s="180">
        <v>0</v>
      </c>
    </row>
    <row r="41" ht="30" customHeight="1" spans="1:15">
      <c r="A41" s="157" t="s">
        <v>42</v>
      </c>
      <c r="B41" s="158" t="s">
        <v>43</v>
      </c>
      <c r="C41" s="168">
        <v>2120201</v>
      </c>
      <c r="D41" s="160" t="s">
        <v>69</v>
      </c>
      <c r="E41" s="161">
        <v>2600</v>
      </c>
      <c r="F41" s="162">
        <v>0</v>
      </c>
      <c r="G41" s="161">
        <v>0</v>
      </c>
      <c r="H41" s="161">
        <v>0</v>
      </c>
      <c r="I41" s="161">
        <v>2600</v>
      </c>
      <c r="J41" s="161">
        <v>2600</v>
      </c>
      <c r="K41" s="161">
        <v>2600</v>
      </c>
      <c r="L41" s="180">
        <v>0</v>
      </c>
      <c r="M41" s="180">
        <v>0</v>
      </c>
      <c r="N41" s="180">
        <v>0</v>
      </c>
      <c r="O41" s="180">
        <v>0</v>
      </c>
    </row>
    <row r="42" ht="30" customHeight="1" spans="1:15">
      <c r="A42" s="157" t="s">
        <v>42</v>
      </c>
      <c r="B42" s="158" t="s">
        <v>43</v>
      </c>
      <c r="C42" s="168">
        <v>2210201</v>
      </c>
      <c r="D42" s="160" t="s">
        <v>79</v>
      </c>
      <c r="E42" s="161">
        <v>30.9</v>
      </c>
      <c r="F42" s="162">
        <v>30.9</v>
      </c>
      <c r="G42" s="161">
        <v>0</v>
      </c>
      <c r="H42" s="161">
        <v>0</v>
      </c>
      <c r="I42" s="161">
        <v>0</v>
      </c>
      <c r="J42" s="161">
        <v>30.9</v>
      </c>
      <c r="K42" s="161">
        <v>30.9</v>
      </c>
      <c r="L42" s="180">
        <v>0</v>
      </c>
      <c r="M42" s="180">
        <v>0</v>
      </c>
      <c r="N42" s="180">
        <v>0</v>
      </c>
      <c r="O42" s="180">
        <v>0</v>
      </c>
    </row>
    <row r="43" ht="30" customHeight="1" spans="1:15">
      <c r="A43" s="157" t="s">
        <v>42</v>
      </c>
      <c r="B43" s="158" t="s">
        <v>43</v>
      </c>
      <c r="C43" s="166">
        <v>2210202</v>
      </c>
      <c r="D43" s="166" t="s">
        <v>82</v>
      </c>
      <c r="E43" s="161">
        <v>6.7</v>
      </c>
      <c r="F43" s="162">
        <v>6.7</v>
      </c>
      <c r="G43" s="161">
        <v>0</v>
      </c>
      <c r="H43" s="161">
        <v>0</v>
      </c>
      <c r="I43" s="161">
        <v>0</v>
      </c>
      <c r="J43" s="161">
        <v>6.7</v>
      </c>
      <c r="K43" s="161">
        <v>6.7</v>
      </c>
      <c r="L43" s="180">
        <v>0</v>
      </c>
      <c r="M43" s="180">
        <v>0</v>
      </c>
      <c r="N43" s="180">
        <v>0</v>
      </c>
      <c r="O43" s="180">
        <v>0</v>
      </c>
    </row>
    <row r="44" ht="30" customHeight="1" spans="1:15">
      <c r="A44" s="157" t="s">
        <v>44</v>
      </c>
      <c r="B44" s="158" t="s">
        <v>45</v>
      </c>
      <c r="C44" s="159" t="s">
        <v>65</v>
      </c>
      <c r="D44" s="160"/>
      <c r="E44" s="161">
        <v>536.6</v>
      </c>
      <c r="F44" s="162">
        <v>399.35</v>
      </c>
      <c r="G44" s="161">
        <v>0</v>
      </c>
      <c r="H44" s="161">
        <v>47.25</v>
      </c>
      <c r="I44" s="161">
        <v>90</v>
      </c>
      <c r="J44" s="161">
        <v>536.6</v>
      </c>
      <c r="K44" s="161">
        <v>536.6</v>
      </c>
      <c r="L44" s="180">
        <v>0</v>
      </c>
      <c r="M44" s="180">
        <v>0</v>
      </c>
      <c r="N44" s="180">
        <v>0</v>
      </c>
      <c r="O44" s="180">
        <v>0</v>
      </c>
    </row>
    <row r="45" ht="30" customHeight="1" spans="1:15">
      <c r="A45" s="157" t="s">
        <v>44</v>
      </c>
      <c r="B45" s="158" t="s">
        <v>45</v>
      </c>
      <c r="C45" s="164">
        <v>2120103</v>
      </c>
      <c r="D45" s="164" t="s">
        <v>85</v>
      </c>
      <c r="E45" s="161">
        <v>500.04</v>
      </c>
      <c r="F45" s="162">
        <v>362.79</v>
      </c>
      <c r="G45" s="161">
        <v>0</v>
      </c>
      <c r="H45" s="161">
        <v>47.25</v>
      </c>
      <c r="I45" s="161">
        <v>90</v>
      </c>
      <c r="J45" s="161">
        <v>500.04</v>
      </c>
      <c r="K45" s="161">
        <v>500.04</v>
      </c>
      <c r="L45" s="180">
        <v>0</v>
      </c>
      <c r="M45" s="180">
        <v>0</v>
      </c>
      <c r="N45" s="180">
        <v>0</v>
      </c>
      <c r="O45" s="180">
        <v>0</v>
      </c>
    </row>
    <row r="46" ht="30" customHeight="1" spans="1:15">
      <c r="A46" s="157" t="s">
        <v>44</v>
      </c>
      <c r="B46" s="158" t="s">
        <v>45</v>
      </c>
      <c r="C46" s="164">
        <v>2210201</v>
      </c>
      <c r="D46" s="164" t="s">
        <v>79</v>
      </c>
      <c r="E46" s="161">
        <v>30.12</v>
      </c>
      <c r="F46" s="162">
        <v>30.12</v>
      </c>
      <c r="G46" s="161">
        <v>0</v>
      </c>
      <c r="H46" s="161">
        <v>0</v>
      </c>
      <c r="I46" s="161">
        <v>0</v>
      </c>
      <c r="J46" s="161">
        <v>30.12</v>
      </c>
      <c r="K46" s="161">
        <v>30.12</v>
      </c>
      <c r="L46" s="180">
        <v>0</v>
      </c>
      <c r="M46" s="180">
        <v>0</v>
      </c>
      <c r="N46" s="180">
        <v>0</v>
      </c>
      <c r="O46" s="180">
        <v>0</v>
      </c>
    </row>
    <row r="47" ht="30" customHeight="1" spans="1:15">
      <c r="A47" s="157" t="s">
        <v>44</v>
      </c>
      <c r="B47" s="158" t="s">
        <v>45</v>
      </c>
      <c r="C47" s="164">
        <v>2210202</v>
      </c>
      <c r="D47" s="164" t="s">
        <v>82</v>
      </c>
      <c r="E47" s="161">
        <v>6.44</v>
      </c>
      <c r="F47" s="162">
        <v>6.44</v>
      </c>
      <c r="G47" s="161">
        <v>0</v>
      </c>
      <c r="H47" s="161">
        <v>0</v>
      </c>
      <c r="I47" s="161">
        <v>0</v>
      </c>
      <c r="J47" s="161">
        <v>6.44</v>
      </c>
      <c r="K47" s="161">
        <v>6.44</v>
      </c>
      <c r="L47" s="180">
        <v>0</v>
      </c>
      <c r="M47" s="180">
        <v>0</v>
      </c>
      <c r="N47" s="180">
        <v>0</v>
      </c>
      <c r="O47" s="180">
        <v>0</v>
      </c>
    </row>
    <row r="48" ht="30" customHeight="1" spans="1:15">
      <c r="A48" s="157" t="s">
        <v>46</v>
      </c>
      <c r="B48" s="158" t="s">
        <v>47</v>
      </c>
      <c r="C48" s="159" t="s">
        <v>65</v>
      </c>
      <c r="D48" s="160"/>
      <c r="E48" s="161">
        <v>11818.95</v>
      </c>
      <c r="F48" s="162">
        <v>937.65</v>
      </c>
      <c r="G48" s="161">
        <v>69.22</v>
      </c>
      <c r="H48" s="161">
        <v>169.08</v>
      </c>
      <c r="I48" s="161">
        <v>10643</v>
      </c>
      <c r="J48" s="161">
        <v>11818.95</v>
      </c>
      <c r="K48" s="161">
        <v>11818.95</v>
      </c>
      <c r="L48" s="180">
        <v>0</v>
      </c>
      <c r="M48" s="180">
        <v>0</v>
      </c>
      <c r="N48" s="180">
        <v>0</v>
      </c>
      <c r="O48" s="180">
        <v>0</v>
      </c>
    </row>
    <row r="49" ht="53" customHeight="1" spans="1:15">
      <c r="A49" s="157" t="s">
        <v>46</v>
      </c>
      <c r="B49" s="158" t="s">
        <v>47</v>
      </c>
      <c r="C49" s="166">
        <v>2110199</v>
      </c>
      <c r="D49" s="165" t="s">
        <v>86</v>
      </c>
      <c r="E49" s="161">
        <v>6919</v>
      </c>
      <c r="F49" s="162">
        <v>0</v>
      </c>
      <c r="G49" s="161">
        <v>0</v>
      </c>
      <c r="H49" s="161">
        <v>0</v>
      </c>
      <c r="I49" s="161">
        <v>6919</v>
      </c>
      <c r="J49" s="161">
        <v>6919</v>
      </c>
      <c r="K49" s="161">
        <v>6919</v>
      </c>
      <c r="L49" s="180">
        <v>0</v>
      </c>
      <c r="M49" s="180">
        <v>0</v>
      </c>
      <c r="N49" s="180">
        <v>0</v>
      </c>
      <c r="O49" s="180">
        <v>0</v>
      </c>
    </row>
    <row r="50" ht="30" customHeight="1" spans="1:15">
      <c r="A50" s="157" t="s">
        <v>46</v>
      </c>
      <c r="B50" s="158" t="s">
        <v>47</v>
      </c>
      <c r="C50" s="166">
        <v>2120303</v>
      </c>
      <c r="D50" s="167" t="s">
        <v>70</v>
      </c>
      <c r="E50" s="161">
        <v>500</v>
      </c>
      <c r="F50" s="162">
        <v>0</v>
      </c>
      <c r="G50" s="161">
        <v>0</v>
      </c>
      <c r="H50" s="161">
        <v>0</v>
      </c>
      <c r="I50" s="161">
        <v>500</v>
      </c>
      <c r="J50" s="161">
        <v>500</v>
      </c>
      <c r="K50" s="161">
        <v>500</v>
      </c>
      <c r="L50" s="180">
        <v>0</v>
      </c>
      <c r="M50" s="180">
        <v>0</v>
      </c>
      <c r="N50" s="180">
        <v>0</v>
      </c>
      <c r="O50" s="180">
        <v>0</v>
      </c>
    </row>
    <row r="51" ht="30" customHeight="1" spans="1:15">
      <c r="A51" s="157" t="s">
        <v>46</v>
      </c>
      <c r="B51" s="158" t="s">
        <v>47</v>
      </c>
      <c r="C51" s="166">
        <v>2120501</v>
      </c>
      <c r="D51" s="165" t="s">
        <v>87</v>
      </c>
      <c r="E51" s="161">
        <v>4307.28</v>
      </c>
      <c r="F51" s="162">
        <v>844.98</v>
      </c>
      <c r="G51" s="161">
        <v>69.22</v>
      </c>
      <c r="H51" s="161">
        <v>169.08</v>
      </c>
      <c r="I51" s="161">
        <v>3224</v>
      </c>
      <c r="J51" s="161">
        <v>4307.28</v>
      </c>
      <c r="K51" s="161">
        <v>4307.28</v>
      </c>
      <c r="L51" s="180">
        <v>0</v>
      </c>
      <c r="M51" s="180">
        <v>0</v>
      </c>
      <c r="N51" s="180">
        <v>0</v>
      </c>
      <c r="O51" s="180">
        <v>0</v>
      </c>
    </row>
    <row r="52" ht="30" customHeight="1" spans="1:15">
      <c r="A52" s="157" t="s">
        <v>46</v>
      </c>
      <c r="B52" s="158" t="s">
        <v>47</v>
      </c>
      <c r="C52" s="166">
        <v>2210201</v>
      </c>
      <c r="D52" s="164" t="s">
        <v>79</v>
      </c>
      <c r="E52" s="161">
        <v>73.69</v>
      </c>
      <c r="F52" s="162">
        <v>73.69</v>
      </c>
      <c r="G52" s="161">
        <v>0</v>
      </c>
      <c r="H52" s="161">
        <v>0</v>
      </c>
      <c r="I52" s="161">
        <v>0</v>
      </c>
      <c r="J52" s="161">
        <v>73.69</v>
      </c>
      <c r="K52" s="161">
        <v>73.69</v>
      </c>
      <c r="L52" s="180">
        <v>0</v>
      </c>
      <c r="M52" s="180">
        <v>0</v>
      </c>
      <c r="N52" s="180">
        <v>0</v>
      </c>
      <c r="O52" s="180">
        <v>0</v>
      </c>
    </row>
    <row r="53" ht="30" customHeight="1" spans="1:15">
      <c r="A53" s="157" t="s">
        <v>46</v>
      </c>
      <c r="B53" s="158" t="s">
        <v>47</v>
      </c>
      <c r="C53" s="166">
        <v>2210202</v>
      </c>
      <c r="D53" s="164" t="s">
        <v>82</v>
      </c>
      <c r="E53" s="161">
        <v>18.98</v>
      </c>
      <c r="F53" s="162">
        <v>18.98</v>
      </c>
      <c r="G53" s="161">
        <v>0</v>
      </c>
      <c r="H53" s="161">
        <v>0</v>
      </c>
      <c r="I53" s="161">
        <v>0</v>
      </c>
      <c r="J53" s="161">
        <v>18.98</v>
      </c>
      <c r="K53" s="161">
        <v>18.98</v>
      </c>
      <c r="L53" s="180">
        <v>0</v>
      </c>
      <c r="M53" s="180">
        <v>0</v>
      </c>
      <c r="N53" s="180">
        <v>0</v>
      </c>
      <c r="O53" s="180">
        <v>0</v>
      </c>
    </row>
    <row r="54" ht="30" customHeight="1" spans="1:15">
      <c r="A54" s="157" t="s">
        <v>48</v>
      </c>
      <c r="B54" s="158" t="s">
        <v>49</v>
      </c>
      <c r="C54" s="159" t="s">
        <v>65</v>
      </c>
      <c r="D54" s="160"/>
      <c r="E54" s="161">
        <v>277.53</v>
      </c>
      <c r="F54" s="162">
        <v>252.78</v>
      </c>
      <c r="G54" s="161">
        <v>0</v>
      </c>
      <c r="H54" s="161">
        <v>24.75</v>
      </c>
      <c r="I54" s="161">
        <v>0</v>
      </c>
      <c r="J54" s="161">
        <v>277.53</v>
      </c>
      <c r="K54" s="161">
        <v>277.53</v>
      </c>
      <c r="L54" s="180">
        <v>0</v>
      </c>
      <c r="M54" s="180">
        <v>0</v>
      </c>
      <c r="N54" s="180">
        <v>0</v>
      </c>
      <c r="O54" s="180">
        <v>0</v>
      </c>
    </row>
    <row r="55" ht="30" customHeight="1" spans="1:15">
      <c r="A55" s="157" t="s">
        <v>48</v>
      </c>
      <c r="B55" s="158" t="s">
        <v>49</v>
      </c>
      <c r="C55" s="170">
        <v>2140101</v>
      </c>
      <c r="D55" s="171" t="s">
        <v>73</v>
      </c>
      <c r="E55" s="172">
        <v>240.29</v>
      </c>
      <c r="F55" s="173">
        <v>225.54</v>
      </c>
      <c r="G55" s="172">
        <v>0</v>
      </c>
      <c r="H55" s="172">
        <v>14.75</v>
      </c>
      <c r="I55" s="172">
        <v>0</v>
      </c>
      <c r="J55" s="172">
        <v>240.29</v>
      </c>
      <c r="K55" s="172">
        <v>240.29</v>
      </c>
      <c r="L55" s="180">
        <v>0</v>
      </c>
      <c r="M55" s="180">
        <v>0</v>
      </c>
      <c r="N55" s="180">
        <v>0</v>
      </c>
      <c r="O55" s="180">
        <v>0</v>
      </c>
    </row>
    <row r="56" ht="30" customHeight="1" spans="1:15">
      <c r="A56" s="157" t="s">
        <v>48</v>
      </c>
      <c r="B56" s="158" t="s">
        <v>49</v>
      </c>
      <c r="C56" s="171">
        <v>2140102</v>
      </c>
      <c r="D56" s="174" t="s">
        <v>74</v>
      </c>
      <c r="E56" s="172">
        <v>10</v>
      </c>
      <c r="F56" s="173">
        <v>0</v>
      </c>
      <c r="G56" s="172">
        <v>0</v>
      </c>
      <c r="H56" s="172">
        <v>10</v>
      </c>
      <c r="I56" s="172">
        <v>0</v>
      </c>
      <c r="J56" s="172">
        <v>10</v>
      </c>
      <c r="K56" s="172">
        <v>10</v>
      </c>
      <c r="L56" s="180">
        <v>0</v>
      </c>
      <c r="M56" s="180">
        <v>0</v>
      </c>
      <c r="N56" s="180">
        <v>0</v>
      </c>
      <c r="O56" s="180">
        <v>0</v>
      </c>
    </row>
    <row r="57" ht="30" customHeight="1" spans="1:15">
      <c r="A57" s="157" t="s">
        <v>48</v>
      </c>
      <c r="B57" s="158" t="s">
        <v>49</v>
      </c>
      <c r="C57" s="166">
        <v>2210201</v>
      </c>
      <c r="D57" s="164" t="s">
        <v>79</v>
      </c>
      <c r="E57" s="172">
        <v>21.7</v>
      </c>
      <c r="F57" s="173">
        <v>21.7</v>
      </c>
      <c r="G57" s="172">
        <v>0</v>
      </c>
      <c r="H57" s="172">
        <v>0</v>
      </c>
      <c r="I57" s="172">
        <v>0</v>
      </c>
      <c r="J57" s="172">
        <v>21.7</v>
      </c>
      <c r="K57" s="172">
        <v>21.7</v>
      </c>
      <c r="L57" s="180">
        <v>0</v>
      </c>
      <c r="M57" s="180">
        <v>0</v>
      </c>
      <c r="N57" s="180">
        <v>0</v>
      </c>
      <c r="O57" s="180">
        <v>0</v>
      </c>
    </row>
    <row r="58" ht="30" customHeight="1" spans="1:15">
      <c r="A58" s="157" t="s">
        <v>48</v>
      </c>
      <c r="B58" s="158" t="s">
        <v>49</v>
      </c>
      <c r="C58" s="166">
        <v>2210202</v>
      </c>
      <c r="D58" s="164" t="s">
        <v>82</v>
      </c>
      <c r="E58" s="172">
        <v>5.54</v>
      </c>
      <c r="F58" s="173">
        <v>5.54</v>
      </c>
      <c r="G58" s="172">
        <v>0</v>
      </c>
      <c r="H58" s="172">
        <v>0</v>
      </c>
      <c r="I58" s="172">
        <v>0</v>
      </c>
      <c r="J58" s="172">
        <v>5.54</v>
      </c>
      <c r="K58" s="172">
        <v>5.54</v>
      </c>
      <c r="L58" s="180">
        <v>0</v>
      </c>
      <c r="M58" s="180">
        <v>0</v>
      </c>
      <c r="N58" s="180">
        <v>0</v>
      </c>
      <c r="O58" s="180">
        <v>0</v>
      </c>
    </row>
    <row r="59" ht="30" customHeight="1" spans="1:15">
      <c r="A59" s="157" t="s">
        <v>50</v>
      </c>
      <c r="B59" s="175" t="s">
        <v>51</v>
      </c>
      <c r="C59" s="159" t="s">
        <v>65</v>
      </c>
      <c r="D59" s="160"/>
      <c r="E59" s="172">
        <v>3324.49</v>
      </c>
      <c r="F59" s="173">
        <v>462.74</v>
      </c>
      <c r="G59" s="172">
        <v>0</v>
      </c>
      <c r="H59" s="172">
        <v>61.75</v>
      </c>
      <c r="I59" s="172">
        <v>2800</v>
      </c>
      <c r="J59" s="172">
        <v>3324.49</v>
      </c>
      <c r="K59" s="172">
        <v>3324.49</v>
      </c>
      <c r="L59" s="180">
        <v>0</v>
      </c>
      <c r="M59" s="180">
        <v>0</v>
      </c>
      <c r="N59" s="180">
        <v>0</v>
      </c>
      <c r="O59" s="180">
        <v>0</v>
      </c>
    </row>
    <row r="60" ht="30" customHeight="1" spans="1:15">
      <c r="A60" s="157" t="s">
        <v>50</v>
      </c>
      <c r="B60" s="175" t="s">
        <v>51</v>
      </c>
      <c r="C60" s="171">
        <v>2120103</v>
      </c>
      <c r="D60" s="171" t="s">
        <v>88</v>
      </c>
      <c r="E60" s="172">
        <v>476.27</v>
      </c>
      <c r="F60" s="172">
        <v>414.52</v>
      </c>
      <c r="G60" s="172">
        <v>0</v>
      </c>
      <c r="H60" s="172">
        <v>61.75</v>
      </c>
      <c r="I60" s="172">
        <v>0</v>
      </c>
      <c r="J60" s="172">
        <v>476.27</v>
      </c>
      <c r="K60" s="172">
        <v>476.27</v>
      </c>
      <c r="L60" s="180">
        <v>0</v>
      </c>
      <c r="M60" s="180">
        <v>0</v>
      </c>
      <c r="N60" s="180">
        <v>0</v>
      </c>
      <c r="O60" s="180">
        <v>0</v>
      </c>
    </row>
    <row r="61" ht="30" customHeight="1" spans="1:15">
      <c r="A61" s="157" t="s">
        <v>50</v>
      </c>
      <c r="B61" s="175" t="s">
        <v>51</v>
      </c>
      <c r="C61" s="171">
        <v>2120199</v>
      </c>
      <c r="D61" s="174" t="s">
        <v>78</v>
      </c>
      <c r="E61" s="172">
        <v>2800</v>
      </c>
      <c r="F61" s="172">
        <v>0</v>
      </c>
      <c r="G61" s="172">
        <v>0</v>
      </c>
      <c r="H61" s="172">
        <v>0</v>
      </c>
      <c r="I61" s="172">
        <v>2800</v>
      </c>
      <c r="J61" s="172">
        <v>2800</v>
      </c>
      <c r="K61" s="172">
        <v>2800</v>
      </c>
      <c r="L61" s="180">
        <v>0</v>
      </c>
      <c r="M61" s="180">
        <v>0</v>
      </c>
      <c r="N61" s="180">
        <v>0</v>
      </c>
      <c r="O61" s="180">
        <v>0</v>
      </c>
    </row>
    <row r="62" ht="30" customHeight="1" spans="1:15">
      <c r="A62" s="157" t="s">
        <v>50</v>
      </c>
      <c r="B62" s="175" t="s">
        <v>51</v>
      </c>
      <c r="C62" s="166">
        <v>2210201</v>
      </c>
      <c r="D62" s="164" t="s">
        <v>79</v>
      </c>
      <c r="E62" s="172">
        <v>39.67</v>
      </c>
      <c r="F62" s="172">
        <v>39.67</v>
      </c>
      <c r="G62" s="172">
        <v>0</v>
      </c>
      <c r="H62" s="172">
        <v>0</v>
      </c>
      <c r="I62" s="172">
        <v>0</v>
      </c>
      <c r="J62" s="172">
        <v>39.67</v>
      </c>
      <c r="K62" s="172">
        <v>39.67</v>
      </c>
      <c r="L62" s="180">
        <v>0</v>
      </c>
      <c r="M62" s="180">
        <v>0</v>
      </c>
      <c r="N62" s="180">
        <v>0</v>
      </c>
      <c r="O62" s="180">
        <v>0</v>
      </c>
    </row>
    <row r="63" ht="30" customHeight="1" spans="1:15">
      <c r="A63" s="157" t="s">
        <v>50</v>
      </c>
      <c r="B63" s="175" t="s">
        <v>51</v>
      </c>
      <c r="C63" s="166">
        <v>2210202</v>
      </c>
      <c r="D63" s="164" t="s">
        <v>82</v>
      </c>
      <c r="E63" s="161">
        <v>8.55</v>
      </c>
      <c r="F63" s="161">
        <v>8.55</v>
      </c>
      <c r="G63" s="161">
        <v>0</v>
      </c>
      <c r="H63" s="161">
        <v>0</v>
      </c>
      <c r="I63" s="161">
        <v>0</v>
      </c>
      <c r="J63" s="161">
        <v>8.55</v>
      </c>
      <c r="K63" s="161">
        <v>8.55</v>
      </c>
      <c r="L63" s="180">
        <v>0</v>
      </c>
      <c r="M63" s="180">
        <v>0</v>
      </c>
      <c r="N63" s="180">
        <v>0</v>
      </c>
      <c r="O63" s="180">
        <v>0</v>
      </c>
    </row>
    <row r="64" ht="30" customHeight="1" spans="1:15">
      <c r="A64" s="157" t="s">
        <v>52</v>
      </c>
      <c r="B64" s="158" t="s">
        <v>53</v>
      </c>
      <c r="C64" s="159" t="s">
        <v>65</v>
      </c>
      <c r="D64" s="160"/>
      <c r="E64" s="161">
        <v>92.76</v>
      </c>
      <c r="F64" s="161">
        <v>24.21</v>
      </c>
      <c r="G64" s="161">
        <v>0.9</v>
      </c>
      <c r="H64" s="161">
        <v>12.65</v>
      </c>
      <c r="I64" s="161">
        <v>55</v>
      </c>
      <c r="J64" s="161">
        <v>92.76</v>
      </c>
      <c r="K64" s="161">
        <v>92.76</v>
      </c>
      <c r="L64" s="180">
        <v>0</v>
      </c>
      <c r="M64" s="180">
        <v>0</v>
      </c>
      <c r="N64" s="180">
        <v>0</v>
      </c>
      <c r="O64" s="180">
        <v>0</v>
      </c>
    </row>
    <row r="65" ht="30" customHeight="1" spans="1:15">
      <c r="A65" s="157" t="s">
        <v>52</v>
      </c>
      <c r="B65" s="158" t="s">
        <v>53</v>
      </c>
      <c r="C65" s="166">
        <v>2140503</v>
      </c>
      <c r="D65" s="166" t="s">
        <v>88</v>
      </c>
      <c r="E65" s="161">
        <v>90.26</v>
      </c>
      <c r="F65" s="161">
        <v>21.71</v>
      </c>
      <c r="G65" s="161">
        <v>0.9</v>
      </c>
      <c r="H65" s="161">
        <v>12.65</v>
      </c>
      <c r="I65" s="161">
        <v>55</v>
      </c>
      <c r="J65" s="161">
        <v>90.26</v>
      </c>
      <c r="K65" s="161">
        <v>90.26</v>
      </c>
      <c r="L65" s="180">
        <v>0</v>
      </c>
      <c r="M65" s="180">
        <v>0</v>
      </c>
      <c r="N65" s="180">
        <v>0</v>
      </c>
      <c r="O65" s="180">
        <v>0</v>
      </c>
    </row>
    <row r="66" ht="30" customHeight="1" spans="1:15">
      <c r="A66" s="157" t="s">
        <v>52</v>
      </c>
      <c r="B66" s="158" t="s">
        <v>53</v>
      </c>
      <c r="C66" s="166">
        <v>2210202</v>
      </c>
      <c r="D66" s="164" t="s">
        <v>82</v>
      </c>
      <c r="E66" s="161">
        <v>0.5</v>
      </c>
      <c r="F66" s="161">
        <v>0.5</v>
      </c>
      <c r="G66" s="161">
        <v>0</v>
      </c>
      <c r="H66" s="161">
        <v>0</v>
      </c>
      <c r="I66" s="161">
        <v>0</v>
      </c>
      <c r="J66" s="161">
        <v>0.5</v>
      </c>
      <c r="K66" s="161">
        <v>0.5</v>
      </c>
      <c r="L66" s="180">
        <v>0</v>
      </c>
      <c r="M66" s="180">
        <v>0</v>
      </c>
      <c r="N66" s="180">
        <v>0</v>
      </c>
      <c r="O66" s="180">
        <v>0</v>
      </c>
    </row>
    <row r="67" ht="30" customHeight="1" spans="1:15">
      <c r="A67" s="157" t="s">
        <v>52</v>
      </c>
      <c r="B67" s="158" t="s">
        <v>53</v>
      </c>
      <c r="C67" s="166">
        <v>2210201</v>
      </c>
      <c r="D67" s="164" t="s">
        <v>79</v>
      </c>
      <c r="E67" s="161">
        <v>2</v>
      </c>
      <c r="F67" s="161">
        <v>2</v>
      </c>
      <c r="G67" s="161">
        <v>0</v>
      </c>
      <c r="H67" s="161">
        <v>0</v>
      </c>
      <c r="I67" s="161">
        <v>0</v>
      </c>
      <c r="J67" s="161">
        <v>2</v>
      </c>
      <c r="K67" s="161">
        <v>2</v>
      </c>
      <c r="L67" s="180">
        <v>0</v>
      </c>
      <c r="M67" s="180">
        <v>0</v>
      </c>
      <c r="N67" s="180">
        <v>0</v>
      </c>
      <c r="O67" s="180">
        <v>0</v>
      </c>
    </row>
    <row r="68" ht="30" customHeight="1" spans="1:15">
      <c r="A68" s="157" t="s">
        <v>54</v>
      </c>
      <c r="B68" s="158" t="s">
        <v>55</v>
      </c>
      <c r="C68" s="159" t="s">
        <v>65</v>
      </c>
      <c r="D68" s="160"/>
      <c r="E68" s="161">
        <v>163.24</v>
      </c>
      <c r="F68" s="161">
        <v>128.83</v>
      </c>
      <c r="G68" s="161">
        <v>4.46</v>
      </c>
      <c r="H68" s="161">
        <v>29.95</v>
      </c>
      <c r="I68" s="161">
        <v>0</v>
      </c>
      <c r="J68" s="161">
        <v>163.24</v>
      </c>
      <c r="K68" s="161">
        <v>163.24</v>
      </c>
      <c r="L68" s="180">
        <v>0</v>
      </c>
      <c r="M68" s="180">
        <v>0</v>
      </c>
      <c r="N68" s="180">
        <v>0</v>
      </c>
      <c r="O68" s="180">
        <v>0</v>
      </c>
    </row>
    <row r="69" ht="63" customHeight="1" spans="1:15">
      <c r="A69" s="157" t="s">
        <v>54</v>
      </c>
      <c r="B69" s="158" t="s">
        <v>55</v>
      </c>
      <c r="C69" s="166">
        <v>2120105</v>
      </c>
      <c r="D69" s="165" t="s">
        <v>89</v>
      </c>
      <c r="E69" s="161">
        <v>149.52</v>
      </c>
      <c r="F69" s="161">
        <v>115.11</v>
      </c>
      <c r="G69" s="161">
        <v>4.46</v>
      </c>
      <c r="H69" s="161">
        <v>29.95</v>
      </c>
      <c r="I69" s="161">
        <v>0</v>
      </c>
      <c r="J69" s="161">
        <v>149.52</v>
      </c>
      <c r="K69" s="161">
        <v>149.52</v>
      </c>
      <c r="L69" s="180">
        <v>0</v>
      </c>
      <c r="M69" s="180">
        <v>0</v>
      </c>
      <c r="N69" s="180">
        <v>0</v>
      </c>
      <c r="O69" s="180">
        <v>0</v>
      </c>
    </row>
    <row r="70" ht="30" customHeight="1" spans="1:15">
      <c r="A70" s="157" t="s">
        <v>54</v>
      </c>
      <c r="B70" s="158" t="s">
        <v>55</v>
      </c>
      <c r="C70" s="166">
        <v>2210202</v>
      </c>
      <c r="D70" s="164" t="s">
        <v>82</v>
      </c>
      <c r="E70" s="161">
        <v>2.53</v>
      </c>
      <c r="F70" s="161">
        <v>2.53</v>
      </c>
      <c r="G70" s="161">
        <v>0</v>
      </c>
      <c r="H70" s="161">
        <v>0</v>
      </c>
      <c r="I70" s="161">
        <v>0</v>
      </c>
      <c r="J70" s="161">
        <v>2.53</v>
      </c>
      <c r="K70" s="161">
        <v>2.53</v>
      </c>
      <c r="L70" s="180">
        <v>0</v>
      </c>
      <c r="M70" s="180">
        <v>0</v>
      </c>
      <c r="N70" s="180">
        <v>0</v>
      </c>
      <c r="O70" s="180">
        <v>0</v>
      </c>
    </row>
    <row r="71" ht="30" customHeight="1" spans="1:15">
      <c r="A71" s="157" t="s">
        <v>54</v>
      </c>
      <c r="B71" s="158" t="s">
        <v>55</v>
      </c>
      <c r="C71" s="166">
        <v>2210201</v>
      </c>
      <c r="D71" s="164" t="s">
        <v>79</v>
      </c>
      <c r="E71" s="161">
        <v>11.19</v>
      </c>
      <c r="F71" s="161">
        <v>11.19</v>
      </c>
      <c r="G71" s="161">
        <v>0</v>
      </c>
      <c r="H71" s="161">
        <v>0</v>
      </c>
      <c r="I71" s="161">
        <v>0</v>
      </c>
      <c r="J71" s="161">
        <v>11.19</v>
      </c>
      <c r="K71" s="161">
        <v>11.19</v>
      </c>
      <c r="L71" s="180">
        <v>0</v>
      </c>
      <c r="M71" s="180">
        <v>0</v>
      </c>
      <c r="N71" s="180">
        <v>0</v>
      </c>
      <c r="O71" s="180">
        <v>0</v>
      </c>
    </row>
    <row r="72" ht="64.9" customHeight="1" spans="1:15">
      <c r="A72" s="181" t="s">
        <v>90</v>
      </c>
      <c r="B72" s="181"/>
      <c r="C72" s="181"/>
      <c r="D72" s="181"/>
      <c r="E72" s="181"/>
      <c r="F72" s="181"/>
      <c r="G72" s="181"/>
      <c r="H72" s="181"/>
      <c r="I72" s="181"/>
      <c r="J72" s="181"/>
      <c r="K72" s="181"/>
      <c r="L72" s="181"/>
      <c r="M72" s="181"/>
      <c r="N72" s="181"/>
      <c r="O72" s="181"/>
    </row>
  </sheetData>
  <mergeCells count="30">
    <mergeCell ref="A2:O2"/>
    <mergeCell ref="N3:O3"/>
    <mergeCell ref="C8:D8"/>
    <mergeCell ref="C22:D22"/>
    <mergeCell ref="C26:D26"/>
    <mergeCell ref="C29:D29"/>
    <mergeCell ref="C34:D34"/>
    <mergeCell ref="C39:D39"/>
    <mergeCell ref="C44:D44"/>
    <mergeCell ref="C48:D48"/>
    <mergeCell ref="C54:D54"/>
    <mergeCell ref="C59:D59"/>
    <mergeCell ref="C64:D64"/>
    <mergeCell ref="C68:D68"/>
    <mergeCell ref="A72:O72"/>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7638888888889" right="0.707638888888889" top="0.747916666666667" bottom="0.747916666666667" header="0.313888888888889" footer="0.313888888888889"/>
  <pageSetup paperSize="9" scale="9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A2" sqref="A2:D2"/>
    </sheetView>
  </sheetViews>
  <sheetFormatPr defaultColWidth="9" defaultRowHeight="14.25" outlineLevelCol="3"/>
  <cols>
    <col min="1" max="1" width="23.625" customWidth="1"/>
    <col min="2" max="2" width="18.25" customWidth="1"/>
    <col min="3" max="3" width="25" customWidth="1"/>
    <col min="4" max="4" width="21.875" customWidth="1"/>
  </cols>
  <sheetData>
    <row r="1" spans="1:4">
      <c r="A1" s="137" t="s">
        <v>91</v>
      </c>
      <c r="B1" s="63"/>
      <c r="C1" s="63"/>
      <c r="D1" s="63"/>
    </row>
    <row r="2" ht="20.25" spans="1:4">
      <c r="A2" s="138" t="s">
        <v>92</v>
      </c>
      <c r="B2" s="138"/>
      <c r="C2" s="138"/>
      <c r="D2" s="138"/>
    </row>
    <row r="3" spans="1:4">
      <c r="A3" s="139"/>
      <c r="B3" s="139"/>
      <c r="C3" s="139"/>
      <c r="D3" s="140" t="s">
        <v>2</v>
      </c>
    </row>
    <row r="4" s="90" customFormat="1" ht="20.1" customHeight="1" spans="1:4">
      <c r="A4" s="141" t="s">
        <v>3</v>
      </c>
      <c r="B4" s="141"/>
      <c r="C4" s="141" t="s">
        <v>4</v>
      </c>
      <c r="D4" s="141"/>
    </row>
    <row r="5" s="90" customFormat="1" ht="20.1" customHeight="1" spans="1:4">
      <c r="A5" s="142" t="s">
        <v>5</v>
      </c>
      <c r="B5" s="142" t="s">
        <v>6</v>
      </c>
      <c r="C5" s="142" t="s">
        <v>7</v>
      </c>
      <c r="D5" s="142" t="s">
        <v>6</v>
      </c>
    </row>
    <row r="6" s="90" customFormat="1" ht="20.1" customHeight="1" spans="1:4">
      <c r="A6" s="143" t="s">
        <v>8</v>
      </c>
      <c r="B6" s="144">
        <v>57011.9</v>
      </c>
      <c r="C6" s="143" t="s">
        <v>9</v>
      </c>
      <c r="D6" s="145">
        <f>D7+D8+D9</f>
        <v>4861.77</v>
      </c>
    </row>
    <row r="7" s="90" customFormat="1" ht="20.1" customHeight="1" spans="1:4">
      <c r="A7" s="143" t="s">
        <v>10</v>
      </c>
      <c r="B7" s="144">
        <v>0</v>
      </c>
      <c r="C7" s="143" t="s">
        <v>93</v>
      </c>
      <c r="D7" s="146">
        <v>3839.01</v>
      </c>
    </row>
    <row r="8" s="90" customFormat="1" ht="20.1" customHeight="1" spans="1:4">
      <c r="A8" s="143"/>
      <c r="B8" s="144"/>
      <c r="C8" s="143" t="s">
        <v>94</v>
      </c>
      <c r="D8" s="146">
        <v>74.58</v>
      </c>
    </row>
    <row r="9" s="90" customFormat="1" ht="20.1" customHeight="1" spans="1:4">
      <c r="A9" s="143"/>
      <c r="B9" s="144"/>
      <c r="C9" s="143" t="s">
        <v>95</v>
      </c>
      <c r="D9" s="146">
        <v>948.18</v>
      </c>
    </row>
    <row r="10" s="90" customFormat="1" ht="20.1" customHeight="1" spans="1:4">
      <c r="A10" s="143"/>
      <c r="B10" s="144"/>
      <c r="C10" s="143" t="s">
        <v>17</v>
      </c>
      <c r="D10" s="146">
        <v>52150.13</v>
      </c>
    </row>
    <row r="11" s="90" customFormat="1" ht="20.1" customHeight="1" spans="1:4">
      <c r="A11" s="143"/>
      <c r="B11" s="144"/>
      <c r="C11" s="143"/>
      <c r="D11" s="146"/>
    </row>
    <row r="12" s="90" customFormat="1" ht="20.1" customHeight="1" spans="1:4">
      <c r="A12" s="143"/>
      <c r="B12" s="144"/>
      <c r="C12" s="143"/>
      <c r="D12" s="144"/>
    </row>
    <row r="13" s="90" customFormat="1" ht="20.1" customHeight="1" spans="1:4">
      <c r="A13" s="147" t="s">
        <v>18</v>
      </c>
      <c r="B13" s="148">
        <f>B6+B7</f>
        <v>57011.9</v>
      </c>
      <c r="C13" s="147" t="s">
        <v>19</v>
      </c>
      <c r="D13" s="144">
        <f>D6+D10</f>
        <v>57011.9</v>
      </c>
    </row>
  </sheetData>
  <mergeCells count="1">
    <mergeCell ref="A2:D2"/>
  </mergeCells>
  <pageMargins left="0.707638888888889" right="0.707638888888889" top="0.747916666666667" bottom="0.747916666666667" header="0.313888888888889" footer="0.313888888888889"/>
  <pageSetup paperSize="9" scale="9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E16" sqref="E16"/>
    </sheetView>
  </sheetViews>
  <sheetFormatPr defaultColWidth="9" defaultRowHeight="14.25" outlineLevelCol="4"/>
  <cols>
    <col min="1" max="1" width="16" customWidth="1"/>
    <col min="2" max="2" width="24" style="105" customWidth="1"/>
    <col min="3" max="3" width="12.5" customWidth="1"/>
    <col min="4" max="4" width="14.125" customWidth="1"/>
    <col min="5" max="5" width="15.875" style="106" customWidth="1"/>
  </cols>
  <sheetData>
    <row r="1" spans="1:5">
      <c r="A1" s="91" t="s">
        <v>96</v>
      </c>
      <c r="B1" s="107"/>
      <c r="C1" s="91"/>
      <c r="D1" s="92"/>
      <c r="E1" s="108"/>
    </row>
    <row r="2" ht="20.25" spans="1:5">
      <c r="A2" s="93" t="s">
        <v>97</v>
      </c>
      <c r="B2" s="93"/>
      <c r="C2" s="93"/>
      <c r="D2" s="93"/>
      <c r="E2" s="109"/>
    </row>
    <row r="3" spans="1:5">
      <c r="A3" s="94"/>
      <c r="B3" s="110"/>
      <c r="C3" s="94"/>
      <c r="D3" s="94"/>
      <c r="E3" s="66" t="s">
        <v>2</v>
      </c>
    </row>
    <row r="4" s="90" customFormat="1" ht="20.1" customHeight="1" spans="1:5">
      <c r="A4" s="95" t="s">
        <v>59</v>
      </c>
      <c r="B4" s="111" t="s">
        <v>60</v>
      </c>
      <c r="C4" s="95" t="s">
        <v>56</v>
      </c>
      <c r="D4" s="96" t="s">
        <v>98</v>
      </c>
      <c r="E4" s="112"/>
    </row>
    <row r="5" s="90" customFormat="1" ht="20.1" customHeight="1" spans="1:5">
      <c r="A5" s="95"/>
      <c r="B5" s="111"/>
      <c r="C5" s="95"/>
      <c r="D5" s="216" t="s">
        <v>99</v>
      </c>
      <c r="E5" s="113" t="s">
        <v>64</v>
      </c>
    </row>
    <row r="6" s="90" customFormat="1" ht="20.1" customHeight="1" spans="1:5">
      <c r="A6" s="97" t="s">
        <v>31</v>
      </c>
      <c r="B6" s="114" t="s">
        <v>31</v>
      </c>
      <c r="C6" s="97">
        <v>1</v>
      </c>
      <c r="D6" s="98">
        <v>2</v>
      </c>
      <c r="E6" s="115">
        <v>3</v>
      </c>
    </row>
    <row r="7" s="90" customFormat="1" ht="20.1" customHeight="1" spans="1:5">
      <c r="A7" s="116" t="s">
        <v>100</v>
      </c>
      <c r="B7" s="117" t="s">
        <v>66</v>
      </c>
      <c r="C7" s="118">
        <v>3908</v>
      </c>
      <c r="D7" s="119">
        <v>0</v>
      </c>
      <c r="E7" s="120">
        <f>C7</f>
        <v>3908</v>
      </c>
    </row>
    <row r="8" s="90" customFormat="1" ht="33" customHeight="1" spans="1:5">
      <c r="A8" s="116" t="s">
        <v>101</v>
      </c>
      <c r="B8" s="117" t="s">
        <v>86</v>
      </c>
      <c r="C8" s="118">
        <v>6919</v>
      </c>
      <c r="D8" s="119">
        <v>0</v>
      </c>
      <c r="E8" s="121">
        <f>C8</f>
        <v>6919</v>
      </c>
    </row>
    <row r="9" s="90" customFormat="1" ht="20.1" customHeight="1" spans="1:5">
      <c r="A9" s="116" t="s">
        <v>102</v>
      </c>
      <c r="B9" s="117" t="s">
        <v>103</v>
      </c>
      <c r="C9" s="122">
        <v>147.55</v>
      </c>
      <c r="D9" s="119">
        <v>0</v>
      </c>
      <c r="E9" s="120">
        <f>C9</f>
        <v>147.55</v>
      </c>
    </row>
    <row r="10" s="90" customFormat="1" ht="20.1" customHeight="1" spans="1:5">
      <c r="A10" s="116" t="s">
        <v>104</v>
      </c>
      <c r="B10" s="117" t="s">
        <v>73</v>
      </c>
      <c r="C10" s="122">
        <v>77.65</v>
      </c>
      <c r="D10" s="123">
        <v>77.65</v>
      </c>
      <c r="E10" s="120">
        <v>0</v>
      </c>
    </row>
    <row r="11" s="90" customFormat="1" ht="20.1" customHeight="1" spans="1:5">
      <c r="A11" s="116" t="s">
        <v>105</v>
      </c>
      <c r="B11" s="117" t="s">
        <v>81</v>
      </c>
      <c r="C11" s="122">
        <v>30</v>
      </c>
      <c r="D11" s="123">
        <v>30</v>
      </c>
      <c r="E11" s="120">
        <v>0</v>
      </c>
    </row>
    <row r="12" s="90" customFormat="1" ht="20.1" customHeight="1" spans="1:5">
      <c r="A12" s="116" t="s">
        <v>106</v>
      </c>
      <c r="B12" s="117" t="s">
        <v>88</v>
      </c>
      <c r="C12" s="122">
        <v>1325.44</v>
      </c>
      <c r="D12" s="119">
        <v>1235.44</v>
      </c>
      <c r="E12" s="120">
        <v>90</v>
      </c>
    </row>
    <row r="13" s="90" customFormat="1" ht="31.5" customHeight="1" spans="1:5">
      <c r="A13" s="116" t="s">
        <v>107</v>
      </c>
      <c r="B13" s="117" t="s">
        <v>108</v>
      </c>
      <c r="C13" s="122">
        <v>149.52</v>
      </c>
      <c r="D13" s="119">
        <v>149.52</v>
      </c>
      <c r="E13" s="120">
        <v>0</v>
      </c>
    </row>
    <row r="14" s="90" customFormat="1" ht="39" customHeight="1" spans="1:5">
      <c r="A14" s="116" t="s">
        <v>109</v>
      </c>
      <c r="B14" s="117" t="s">
        <v>78</v>
      </c>
      <c r="C14" s="124">
        <v>3048.5</v>
      </c>
      <c r="D14" s="119">
        <v>118.7</v>
      </c>
      <c r="E14" s="120">
        <v>2929.8</v>
      </c>
    </row>
    <row r="15" s="90" customFormat="1" ht="20.1" customHeight="1" spans="1:5">
      <c r="A15" s="116" t="s">
        <v>110</v>
      </c>
      <c r="B15" s="117" t="s">
        <v>69</v>
      </c>
      <c r="C15" s="124">
        <v>2680</v>
      </c>
      <c r="D15" s="119">
        <v>0</v>
      </c>
      <c r="E15" s="120">
        <v>2680</v>
      </c>
    </row>
    <row r="16" s="90" customFormat="1" ht="20.1" customHeight="1" spans="1:5">
      <c r="A16" s="116" t="s">
        <v>111</v>
      </c>
      <c r="B16" s="117" t="s">
        <v>70</v>
      </c>
      <c r="C16" s="124">
        <v>23950</v>
      </c>
      <c r="D16" s="119">
        <v>0</v>
      </c>
      <c r="E16" s="120">
        <f>C16</f>
        <v>23950</v>
      </c>
    </row>
    <row r="17" s="90" customFormat="1" ht="38.25" customHeight="1" spans="1:5">
      <c r="A17" s="116" t="s">
        <v>112</v>
      </c>
      <c r="B17" s="117" t="s">
        <v>71</v>
      </c>
      <c r="C17" s="124">
        <v>1004.64</v>
      </c>
      <c r="D17" s="119">
        <v>0</v>
      </c>
      <c r="E17" s="120">
        <f>C17</f>
        <v>1004.64</v>
      </c>
    </row>
    <row r="18" s="90" customFormat="1" ht="20.1" customHeight="1" spans="1:5">
      <c r="A18" s="116" t="s">
        <v>113</v>
      </c>
      <c r="B18" s="117" t="s">
        <v>72</v>
      </c>
      <c r="C18" s="124">
        <v>10114.18</v>
      </c>
      <c r="D18" s="119">
        <v>1083.28</v>
      </c>
      <c r="E18" s="120">
        <v>9030.9</v>
      </c>
    </row>
    <row r="19" s="90" customFormat="1" ht="20.1" customHeight="1" spans="1:5">
      <c r="A19" s="116" t="s">
        <v>114</v>
      </c>
      <c r="B19" s="117" t="s">
        <v>73</v>
      </c>
      <c r="C19" s="124">
        <v>1137.35</v>
      </c>
      <c r="D19" s="119">
        <f>C19</f>
        <v>1137.35</v>
      </c>
      <c r="E19" s="125">
        <v>0</v>
      </c>
    </row>
    <row r="20" s="90" customFormat="1" ht="20.1" customHeight="1" spans="1:5">
      <c r="A20" s="116" t="s">
        <v>115</v>
      </c>
      <c r="B20" s="117" t="s">
        <v>81</v>
      </c>
      <c r="C20" s="126">
        <v>188</v>
      </c>
      <c r="D20" s="126">
        <v>188</v>
      </c>
      <c r="E20" s="125">
        <v>0</v>
      </c>
    </row>
    <row r="21" s="90" customFormat="1" ht="20.1" customHeight="1" spans="1:5">
      <c r="A21" s="116" t="s">
        <v>116</v>
      </c>
      <c r="B21" s="117" t="s">
        <v>80</v>
      </c>
      <c r="C21" s="126">
        <v>1512.97</v>
      </c>
      <c r="D21" s="127">
        <v>212.97</v>
      </c>
      <c r="E21" s="125">
        <v>1300</v>
      </c>
    </row>
    <row r="22" s="90" customFormat="1" ht="20.1" customHeight="1" spans="1:5">
      <c r="A22" s="116" t="s">
        <v>117</v>
      </c>
      <c r="B22" s="128" t="s">
        <v>118</v>
      </c>
      <c r="C22" s="126">
        <v>15</v>
      </c>
      <c r="D22" s="127">
        <v>15</v>
      </c>
      <c r="E22" s="125">
        <v>0</v>
      </c>
    </row>
    <row r="23" s="90" customFormat="1" ht="20.1" customHeight="1" spans="1:5">
      <c r="A23" s="116" t="s">
        <v>119</v>
      </c>
      <c r="B23" s="117" t="s">
        <v>81</v>
      </c>
      <c r="C23" s="126">
        <v>100</v>
      </c>
      <c r="D23" s="127">
        <v>100</v>
      </c>
      <c r="E23" s="125">
        <v>0</v>
      </c>
    </row>
    <row r="24" s="90" customFormat="1" ht="20.1" customHeight="1" spans="1:5">
      <c r="A24" s="116" t="s">
        <v>120</v>
      </c>
      <c r="B24" s="117" t="s">
        <v>88</v>
      </c>
      <c r="C24" s="126">
        <v>90.26</v>
      </c>
      <c r="D24" s="127">
        <v>35.26</v>
      </c>
      <c r="E24" s="125">
        <v>55</v>
      </c>
    </row>
    <row r="25" s="90" customFormat="1" ht="20.1" customHeight="1" spans="1:5">
      <c r="A25" s="116" t="s">
        <v>121</v>
      </c>
      <c r="B25" s="117" t="s">
        <v>79</v>
      </c>
      <c r="C25" s="126">
        <v>307.23</v>
      </c>
      <c r="D25" s="127">
        <f>C25</f>
        <v>307.23</v>
      </c>
      <c r="E25" s="125">
        <v>0</v>
      </c>
    </row>
    <row r="26" s="90" customFormat="1" ht="20.1" customHeight="1" spans="1:5">
      <c r="A26" s="116" t="s">
        <v>122</v>
      </c>
      <c r="B26" s="117" t="s">
        <v>123</v>
      </c>
      <c r="C26" s="126">
        <v>69.18</v>
      </c>
      <c r="D26" s="127">
        <f>C26</f>
        <v>69.18</v>
      </c>
      <c r="E26" s="125">
        <v>0</v>
      </c>
    </row>
    <row r="27" s="90" customFormat="1" ht="20.1" customHeight="1" spans="1:5">
      <c r="A27" s="116" t="s">
        <v>124</v>
      </c>
      <c r="B27" s="117" t="s">
        <v>73</v>
      </c>
      <c r="C27" s="126">
        <v>52.99</v>
      </c>
      <c r="D27" s="127">
        <f>C27</f>
        <v>52.99</v>
      </c>
      <c r="E27" s="125">
        <v>0</v>
      </c>
    </row>
    <row r="28" s="90" customFormat="1" ht="20.1" customHeight="1" spans="1:5">
      <c r="A28" s="116" t="s">
        <v>125</v>
      </c>
      <c r="B28" s="117" t="s">
        <v>81</v>
      </c>
      <c r="C28" s="126">
        <v>184.44</v>
      </c>
      <c r="D28" s="127">
        <v>49.2</v>
      </c>
      <c r="E28" s="126">
        <v>135.24</v>
      </c>
    </row>
    <row r="29" s="90" customFormat="1" ht="20.1" customHeight="1" spans="1:5">
      <c r="A29" s="129" t="s">
        <v>56</v>
      </c>
      <c r="B29" s="130"/>
      <c r="C29" s="127">
        <f>SUM(C7:C28)</f>
        <v>57011.9</v>
      </c>
      <c r="D29" s="127">
        <f>SUM(D7:D28)</f>
        <v>4861.77</v>
      </c>
      <c r="E29" s="127">
        <f>SUM(E7:E28)</f>
        <v>52150.13</v>
      </c>
    </row>
    <row r="30" s="90" customFormat="1" ht="16.5" spans="1:5">
      <c r="A30" s="131" t="s">
        <v>126</v>
      </c>
      <c r="B30" s="132"/>
      <c r="C30" s="131"/>
      <c r="D30" s="131"/>
      <c r="E30" s="133"/>
    </row>
    <row r="31" s="90" customFormat="1" ht="16.5" spans="1:5">
      <c r="A31" s="134"/>
      <c r="B31" s="135"/>
      <c r="C31" s="134"/>
      <c r="D31" s="134"/>
      <c r="E31" s="136"/>
    </row>
  </sheetData>
  <mergeCells count="8">
    <mergeCell ref="A2:E2"/>
    <mergeCell ref="D4:E4"/>
    <mergeCell ref="A29:B29"/>
    <mergeCell ref="A30:E30"/>
    <mergeCell ref="A31:E31"/>
    <mergeCell ref="A4:A5"/>
    <mergeCell ref="B4:B5"/>
    <mergeCell ref="C4:C5"/>
  </mergeCells>
  <pageMargins left="0.707638888888889" right="0.707638888888889" top="0.747916666666667" bottom="0.747916666666667" header="0.313888888888889" footer="0.313888888888889"/>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A7" sqref="A7:E7"/>
    </sheetView>
  </sheetViews>
  <sheetFormatPr defaultColWidth="9" defaultRowHeight="14.25" outlineLevelCol="4"/>
  <cols>
    <col min="1" max="1" width="15.75" customWidth="1"/>
    <col min="2" max="2" width="23.625" customWidth="1"/>
    <col min="3" max="5" width="15.25" customWidth="1"/>
  </cols>
  <sheetData>
    <row r="1" ht="24.6" customHeight="1" spans="1:5">
      <c r="A1" s="91" t="s">
        <v>127</v>
      </c>
      <c r="B1" s="91"/>
      <c r="C1" s="91"/>
      <c r="D1" s="92"/>
      <c r="E1" s="92"/>
    </row>
    <row r="2" ht="26.45" customHeight="1" spans="1:5">
      <c r="A2" s="93" t="s">
        <v>128</v>
      </c>
      <c r="B2" s="93"/>
      <c r="C2" s="93"/>
      <c r="D2" s="93"/>
      <c r="E2" s="93"/>
    </row>
    <row r="3" spans="1:5">
      <c r="A3" s="94"/>
      <c r="B3" s="94"/>
      <c r="C3" s="94"/>
      <c r="D3" s="94"/>
      <c r="E3" s="66" t="s">
        <v>2</v>
      </c>
    </row>
    <row r="4" s="90" customFormat="1" ht="20.1" customHeight="1" spans="1:5">
      <c r="A4" s="95" t="s">
        <v>59</v>
      </c>
      <c r="B4" s="95" t="s">
        <v>60</v>
      </c>
      <c r="C4" s="95" t="s">
        <v>56</v>
      </c>
      <c r="D4" s="96" t="s">
        <v>98</v>
      </c>
      <c r="E4" s="96"/>
    </row>
    <row r="5" s="90" customFormat="1" ht="20.1" customHeight="1" spans="1:5">
      <c r="A5" s="95"/>
      <c r="B5" s="95"/>
      <c r="C5" s="95"/>
      <c r="D5" s="216" t="s">
        <v>99</v>
      </c>
      <c r="E5" s="95" t="s">
        <v>64</v>
      </c>
    </row>
    <row r="6" s="90" customFormat="1" ht="20.1" customHeight="1" spans="1:5">
      <c r="A6" s="97" t="s">
        <v>31</v>
      </c>
      <c r="B6" s="97" t="s">
        <v>31</v>
      </c>
      <c r="C6" s="97">
        <v>1</v>
      </c>
      <c r="D6" s="98">
        <v>2</v>
      </c>
      <c r="E6" s="98">
        <v>3</v>
      </c>
    </row>
    <row r="7" s="90" customFormat="1" ht="20.1" customHeight="1" spans="1:5">
      <c r="A7" s="97">
        <v>0</v>
      </c>
      <c r="B7" s="97">
        <v>0</v>
      </c>
      <c r="C7" s="97">
        <v>0</v>
      </c>
      <c r="D7" s="99">
        <v>0</v>
      </c>
      <c r="E7" s="99">
        <v>0</v>
      </c>
    </row>
    <row r="8" s="90" customFormat="1" ht="20.1" customHeight="1" spans="1:5">
      <c r="A8" s="100" t="s">
        <v>129</v>
      </c>
      <c r="B8" s="101"/>
      <c r="C8" s="101"/>
      <c r="D8" s="101"/>
      <c r="E8" s="101"/>
    </row>
    <row r="9" s="90" customFormat="1" ht="20.1" customHeight="1" spans="1:5">
      <c r="A9" s="102" t="s">
        <v>130</v>
      </c>
      <c r="B9" s="102"/>
      <c r="C9" s="102"/>
      <c r="D9" s="102"/>
      <c r="E9" s="103"/>
    </row>
    <row r="10" s="90" customFormat="1" ht="20.1" customHeight="1" spans="1:5">
      <c r="A10" s="104" t="s">
        <v>131</v>
      </c>
      <c r="B10" s="104"/>
      <c r="C10" s="104"/>
      <c r="D10" s="104"/>
      <c r="E10" s="103"/>
    </row>
    <row r="11" s="90" customFormat="1" ht="20.1" customHeight="1" spans="1:5">
      <c r="A11"/>
      <c r="B11"/>
      <c r="C11"/>
      <c r="D11"/>
      <c r="E11"/>
    </row>
    <row r="12" s="90" customFormat="1" ht="20.1" customHeight="1" spans="1:5">
      <c r="A12"/>
      <c r="B12"/>
      <c r="C12"/>
      <c r="D12"/>
      <c r="E12"/>
    </row>
    <row r="13" s="90" customFormat="1" ht="20.1" customHeight="1" spans="1:5">
      <c r="A13"/>
      <c r="B13"/>
      <c r="C13"/>
      <c r="D13"/>
      <c r="E13"/>
    </row>
    <row r="14" s="90" customFormat="1" ht="20.1" customHeight="1" spans="1:5">
      <c r="A14"/>
      <c r="B14"/>
      <c r="C14"/>
      <c r="D14"/>
      <c r="E14"/>
    </row>
    <row r="15" s="90" customFormat="1" ht="20.1" customHeight="1" spans="1:5">
      <c r="A15"/>
      <c r="B15"/>
      <c r="C15"/>
      <c r="D15"/>
      <c r="E15"/>
    </row>
    <row r="16" s="90" customFormat="1" ht="20.1" customHeight="1" spans="1:5">
      <c r="A16"/>
      <c r="B16"/>
      <c r="C16"/>
      <c r="D16"/>
      <c r="E16"/>
    </row>
    <row r="17" s="90" customFormat="1" ht="20.1" customHeight="1" spans="1:5">
      <c r="A17"/>
      <c r="B17"/>
      <c r="C17"/>
      <c r="D17"/>
      <c r="E17"/>
    </row>
    <row r="18" s="90" customFormat="1" ht="20.1" customHeight="1" spans="1:5">
      <c r="A18"/>
      <c r="B18"/>
      <c r="C18"/>
      <c r="D18"/>
      <c r="E18"/>
    </row>
    <row r="19" s="90" customFormat="1" ht="20.1" customHeight="1" spans="1:5">
      <c r="A19"/>
      <c r="B19"/>
      <c r="C19"/>
      <c r="D19"/>
      <c r="E19"/>
    </row>
    <row r="20" s="90" customFormat="1" ht="20.1" customHeight="1" spans="1:5">
      <c r="A20"/>
      <c r="B20"/>
      <c r="C20"/>
      <c r="D20"/>
      <c r="E20"/>
    </row>
    <row r="21" s="90" customFormat="1" ht="20.1" customHeight="1" spans="1:5">
      <c r="A21"/>
      <c r="B21"/>
      <c r="C21"/>
      <c r="D21"/>
      <c r="E21"/>
    </row>
    <row r="22" s="90" customFormat="1" ht="18.6" customHeight="1" spans="1:5">
      <c r="A22"/>
      <c r="B22"/>
      <c r="C22"/>
      <c r="D22"/>
      <c r="E22"/>
    </row>
    <row r="23" s="90" customFormat="1" ht="18.6" customHeight="1" spans="1:5">
      <c r="A23"/>
      <c r="B23"/>
      <c r="C23"/>
      <c r="D23"/>
      <c r="E23"/>
    </row>
    <row r="24" s="90" customFormat="1" ht="18.6" customHeight="1" spans="1:5">
      <c r="A24"/>
      <c r="B24"/>
      <c r="C24"/>
      <c r="D24"/>
      <c r="E24"/>
    </row>
  </sheetData>
  <mergeCells count="8">
    <mergeCell ref="A2:E2"/>
    <mergeCell ref="D4:E4"/>
    <mergeCell ref="A8:E8"/>
    <mergeCell ref="A9:D9"/>
    <mergeCell ref="A10:D10"/>
    <mergeCell ref="A4:A5"/>
    <mergeCell ref="B4:B5"/>
    <mergeCell ref="C4:C5"/>
  </mergeCells>
  <pageMargins left="0.707638888888889" right="0.707638888888889" top="0.747916666666667" bottom="0.747916666666667" header="0.313888888888889" footer="0.313888888888889"/>
  <pageSetup paperSize="9" scale="96"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C6" sqref="C6:C13"/>
    </sheetView>
  </sheetViews>
  <sheetFormatPr defaultColWidth="9" defaultRowHeight="14.25" outlineLevelCol="2"/>
  <cols>
    <col min="1" max="1" width="17.125" customWidth="1"/>
    <col min="2" max="2" width="20.1" customWidth="1"/>
    <col min="3" max="3" width="30.625" customWidth="1"/>
  </cols>
  <sheetData>
    <row r="1" ht="23.45" customHeight="1" spans="1:3">
      <c r="A1" s="77" t="s">
        <v>132</v>
      </c>
      <c r="B1" s="78"/>
      <c r="C1" s="78"/>
    </row>
    <row r="2" ht="37.15" customHeight="1" spans="1:3">
      <c r="A2" s="79" t="s">
        <v>133</v>
      </c>
      <c r="B2" s="79"/>
      <c r="C2" s="79"/>
    </row>
    <row r="3" s="76" customFormat="1" ht="18" customHeight="1" spans="1:3">
      <c r="A3" s="80"/>
      <c r="B3" s="81"/>
      <c r="C3" s="82" t="s">
        <v>2</v>
      </c>
    </row>
    <row r="4" ht="31.5" customHeight="1" spans="1:3">
      <c r="A4" s="83" t="s">
        <v>59</v>
      </c>
      <c r="B4" s="84" t="s">
        <v>60</v>
      </c>
      <c r="C4" s="85" t="s">
        <v>6</v>
      </c>
    </row>
    <row r="5" ht="20.1" customHeight="1" spans="1:3">
      <c r="A5" s="84" t="s">
        <v>134</v>
      </c>
      <c r="B5" s="84" t="s">
        <v>135</v>
      </c>
      <c r="C5" s="86">
        <f>SUM(C6:C15)</f>
        <v>57011.9</v>
      </c>
    </row>
    <row r="6" ht="20.1" customHeight="1" spans="1:3">
      <c r="A6" s="87" t="s">
        <v>136</v>
      </c>
      <c r="B6" s="87" t="s">
        <v>137</v>
      </c>
      <c r="C6" s="88">
        <v>3839</v>
      </c>
    </row>
    <row r="7" ht="20.1" customHeight="1" spans="1:3">
      <c r="A7" s="87" t="s">
        <v>138</v>
      </c>
      <c r="B7" s="87" t="s">
        <v>139</v>
      </c>
      <c r="C7" s="88">
        <v>948.2</v>
      </c>
    </row>
    <row r="8" ht="20.1" customHeight="1" spans="1:3">
      <c r="A8" s="87" t="s">
        <v>140</v>
      </c>
      <c r="B8" s="87" t="s">
        <v>141</v>
      </c>
      <c r="C8" s="88">
        <v>74.6</v>
      </c>
    </row>
    <row r="9" ht="20.1" customHeight="1" spans="1:3">
      <c r="A9" s="87" t="s">
        <v>142</v>
      </c>
      <c r="B9" s="87" t="s">
        <v>143</v>
      </c>
      <c r="C9" s="88">
        <v>0</v>
      </c>
    </row>
    <row r="10" ht="20.1" customHeight="1" spans="1:3">
      <c r="A10" s="87" t="s">
        <v>144</v>
      </c>
      <c r="B10" s="87" t="s">
        <v>145</v>
      </c>
      <c r="C10" s="88">
        <v>0</v>
      </c>
    </row>
    <row r="11" ht="20.1" customHeight="1" spans="1:3">
      <c r="A11" s="87" t="s">
        <v>146</v>
      </c>
      <c r="B11" s="87" t="s">
        <v>147</v>
      </c>
      <c r="C11" s="88">
        <f>52150.1-3908</f>
        <v>48242.1</v>
      </c>
    </row>
    <row r="12" ht="20.1" customHeight="1" spans="1:3">
      <c r="A12" s="87" t="s">
        <v>148</v>
      </c>
      <c r="B12" s="87" t="s">
        <v>149</v>
      </c>
      <c r="C12" s="88">
        <v>0</v>
      </c>
    </row>
    <row r="13" ht="20.1" customHeight="1" spans="1:3">
      <c r="A13" s="87" t="s">
        <v>150</v>
      </c>
      <c r="B13" s="87" t="s">
        <v>151</v>
      </c>
      <c r="C13" s="88">
        <v>3908</v>
      </c>
    </row>
    <row r="14" ht="20.1" customHeight="1" spans="1:3">
      <c r="A14" s="87" t="s">
        <v>152</v>
      </c>
      <c r="B14" s="87" t="s">
        <v>153</v>
      </c>
      <c r="C14" s="89">
        <v>0</v>
      </c>
    </row>
    <row r="15" ht="20.1" customHeight="1" spans="1:3">
      <c r="A15" s="87" t="s">
        <v>154</v>
      </c>
      <c r="B15" s="87" t="s">
        <v>155</v>
      </c>
      <c r="C15" s="89">
        <v>0</v>
      </c>
    </row>
  </sheetData>
  <mergeCells count="2">
    <mergeCell ref="A2:C2"/>
    <mergeCell ref="A5:B5"/>
  </mergeCells>
  <pageMargins left="0.707638888888889" right="0.707638888888889" top="0.747916666666667" bottom="0.747916666666667" header="0.313888888888889" footer="0.313888888888889"/>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abSelected="1" topLeftCell="A10" workbookViewId="0">
      <selection activeCell="C21" sqref="C21:C47"/>
    </sheetView>
  </sheetViews>
  <sheetFormatPr defaultColWidth="9" defaultRowHeight="14.25" outlineLevelCol="2"/>
  <cols>
    <col min="1" max="1" width="17.625" customWidth="1"/>
    <col min="2" max="2" width="37.125" customWidth="1"/>
    <col min="3" max="3" width="27.25" customWidth="1"/>
  </cols>
  <sheetData>
    <row r="1" ht="25.9" customHeight="1" spans="1:3">
      <c r="A1" s="61" t="s">
        <v>156</v>
      </c>
      <c r="B1" s="62"/>
      <c r="C1" s="63"/>
    </row>
    <row r="2" ht="33.75" customHeight="1" spans="1:3">
      <c r="A2" s="64" t="s">
        <v>157</v>
      </c>
      <c r="B2" s="64"/>
      <c r="C2" s="64"/>
    </row>
    <row r="3" ht="21" customHeight="1" spans="1:3">
      <c r="A3" s="65"/>
      <c r="B3" s="66" t="s">
        <v>2</v>
      </c>
      <c r="C3" s="66"/>
    </row>
    <row r="4" ht="20.1" customHeight="1" spans="1:3">
      <c r="A4" s="67" t="s">
        <v>158</v>
      </c>
      <c r="B4" s="68" t="s">
        <v>60</v>
      </c>
      <c r="C4" s="68" t="s">
        <v>6</v>
      </c>
    </row>
    <row r="5" ht="20.1" customHeight="1" spans="1:3">
      <c r="A5" s="68" t="s">
        <v>134</v>
      </c>
      <c r="B5" s="68" t="s">
        <v>135</v>
      </c>
      <c r="C5" s="69">
        <f>C6+C20+C48+C78+C98</f>
        <v>57011.9</v>
      </c>
    </row>
    <row r="6" s="60" customFormat="1" ht="20.1" customHeight="1" spans="1:3">
      <c r="A6" s="70" t="s">
        <v>136</v>
      </c>
      <c r="B6" s="70" t="s">
        <v>137</v>
      </c>
      <c r="C6" s="69">
        <f>SUM(C7:C19)</f>
        <v>3839</v>
      </c>
    </row>
    <row r="7" ht="20.1" customHeight="1" spans="1:3">
      <c r="A7" s="71" t="s">
        <v>159</v>
      </c>
      <c r="B7" s="71" t="s">
        <v>160</v>
      </c>
      <c r="C7" s="72">
        <f>1633.15-C9</f>
        <v>702.83</v>
      </c>
    </row>
    <row r="8" ht="20.1" customHeight="1" spans="1:3">
      <c r="A8" s="71" t="s">
        <v>161</v>
      </c>
      <c r="B8" s="71" t="s">
        <v>162</v>
      </c>
      <c r="C8" s="72">
        <f>2343.13-C7-C9</f>
        <v>709.98</v>
      </c>
    </row>
    <row r="9" ht="20.1" customHeight="1" spans="1:3">
      <c r="A9" s="71" t="s">
        <v>163</v>
      </c>
      <c r="B9" s="71" t="s">
        <v>164</v>
      </c>
      <c r="C9" s="72">
        <v>930.32</v>
      </c>
    </row>
    <row r="10" ht="20.1" customHeight="1" spans="1:3">
      <c r="A10" s="71" t="s">
        <v>165</v>
      </c>
      <c r="B10" s="71" t="s">
        <v>166</v>
      </c>
      <c r="C10" s="72">
        <v>0</v>
      </c>
    </row>
    <row r="11" ht="20.1" customHeight="1" spans="1:3">
      <c r="A11" s="71" t="s">
        <v>167</v>
      </c>
      <c r="B11" s="71" t="s">
        <v>168</v>
      </c>
      <c r="C11" s="72">
        <f>2513.41-C7-C8-C9</f>
        <v>170.28</v>
      </c>
    </row>
    <row r="12" ht="20.1" customHeight="1" spans="1:3">
      <c r="A12" s="71" t="s">
        <v>169</v>
      </c>
      <c r="B12" s="71" t="s">
        <v>170</v>
      </c>
      <c r="C12" s="72">
        <v>309.64</v>
      </c>
    </row>
    <row r="13" ht="20.1" customHeight="1" spans="1:3">
      <c r="A13" s="71" t="s">
        <v>171</v>
      </c>
      <c r="B13" s="71" t="s">
        <v>172</v>
      </c>
      <c r="C13" s="72">
        <v>28.93</v>
      </c>
    </row>
    <row r="14" ht="20.1" customHeight="1" spans="1:3">
      <c r="A14" s="71" t="s">
        <v>173</v>
      </c>
      <c r="B14" s="71" t="s">
        <v>174</v>
      </c>
      <c r="C14" s="72">
        <v>124.06</v>
      </c>
    </row>
    <row r="15" ht="20.1" customHeight="1" spans="1:3">
      <c r="A15" s="71" t="s">
        <v>175</v>
      </c>
      <c r="B15" s="71" t="s">
        <v>176</v>
      </c>
      <c r="C15" s="72">
        <v>97.69</v>
      </c>
    </row>
    <row r="16" ht="20.1" customHeight="1" spans="1:3">
      <c r="A16" s="71" t="s">
        <v>177</v>
      </c>
      <c r="B16" s="71" t="s">
        <v>178</v>
      </c>
      <c r="C16" s="72">
        <v>13.47</v>
      </c>
    </row>
    <row r="17" ht="20.1" customHeight="1" spans="1:3">
      <c r="A17" s="71" t="s">
        <v>179</v>
      </c>
      <c r="B17" s="71" t="s">
        <v>79</v>
      </c>
      <c r="C17" s="72">
        <v>320.3</v>
      </c>
    </row>
    <row r="18" ht="20.1" customHeight="1" spans="1:3">
      <c r="A18" s="71" t="s">
        <v>180</v>
      </c>
      <c r="B18" s="71" t="s">
        <v>181</v>
      </c>
      <c r="C18" s="72">
        <v>0</v>
      </c>
    </row>
    <row r="19" ht="20.1" customHeight="1" spans="1:3">
      <c r="A19" s="71" t="s">
        <v>182</v>
      </c>
      <c r="B19" s="71" t="s">
        <v>183</v>
      </c>
      <c r="C19" s="72">
        <v>431.5</v>
      </c>
    </row>
    <row r="20" s="60" customFormat="1" ht="20.1" customHeight="1" spans="1:3">
      <c r="A20" s="70" t="s">
        <v>138</v>
      </c>
      <c r="B20" s="70" t="s">
        <v>139</v>
      </c>
      <c r="C20" s="69">
        <v>948.2</v>
      </c>
    </row>
    <row r="21" ht="20.1" customHeight="1" spans="1:3">
      <c r="A21" s="71" t="s">
        <v>184</v>
      </c>
      <c r="B21" s="71" t="s">
        <v>185</v>
      </c>
      <c r="C21" s="72">
        <v>150</v>
      </c>
    </row>
    <row r="22" ht="20.1" customHeight="1" spans="1:3">
      <c r="A22" s="71" t="s">
        <v>186</v>
      </c>
      <c r="B22" s="71" t="s">
        <v>187</v>
      </c>
      <c r="C22" s="72">
        <v>15</v>
      </c>
    </row>
    <row r="23" ht="20.1" customHeight="1" spans="1:3">
      <c r="A23" s="71" t="s">
        <v>188</v>
      </c>
      <c r="B23" s="71" t="s">
        <v>189</v>
      </c>
      <c r="C23" s="72">
        <v>80</v>
      </c>
    </row>
    <row r="24" ht="20.1" customHeight="1" spans="1:3">
      <c r="A24" s="71" t="s">
        <v>190</v>
      </c>
      <c r="B24" s="73" t="s">
        <v>191</v>
      </c>
      <c r="C24" s="72">
        <v>15</v>
      </c>
    </row>
    <row r="25" ht="20.1" customHeight="1" spans="1:3">
      <c r="A25" s="71" t="s">
        <v>192</v>
      </c>
      <c r="B25" s="71" t="s">
        <v>193</v>
      </c>
      <c r="C25" s="72">
        <v>0</v>
      </c>
    </row>
    <row r="26" ht="20.1" customHeight="1" spans="1:3">
      <c r="A26" s="71" t="s">
        <v>194</v>
      </c>
      <c r="B26" s="71" t="s">
        <v>195</v>
      </c>
      <c r="C26" s="72">
        <v>0</v>
      </c>
    </row>
    <row r="27" ht="20.1" customHeight="1" spans="1:3">
      <c r="A27" s="71" t="s">
        <v>196</v>
      </c>
      <c r="B27" s="71" t="s">
        <v>197</v>
      </c>
      <c r="C27" s="72">
        <v>25</v>
      </c>
    </row>
    <row r="28" ht="20.1" customHeight="1" spans="1:3">
      <c r="A28" s="71" t="s">
        <v>198</v>
      </c>
      <c r="B28" s="71" t="s">
        <v>199</v>
      </c>
      <c r="C28" s="72">
        <v>0</v>
      </c>
    </row>
    <row r="29" ht="20.1" customHeight="1" spans="1:3">
      <c r="A29" s="71" t="s">
        <v>200</v>
      </c>
      <c r="B29" s="71" t="s">
        <v>201</v>
      </c>
      <c r="C29" s="72">
        <v>0</v>
      </c>
    </row>
    <row r="30" ht="20.1" customHeight="1" spans="1:3">
      <c r="A30" s="71" t="s">
        <v>202</v>
      </c>
      <c r="B30" s="71" t="s">
        <v>203</v>
      </c>
      <c r="C30" s="72">
        <v>40.28</v>
      </c>
    </row>
    <row r="31" ht="20.1" customHeight="1" spans="1:3">
      <c r="A31" s="71" t="s">
        <v>204</v>
      </c>
      <c r="B31" s="71" t="s">
        <v>205</v>
      </c>
      <c r="C31" s="72">
        <v>10</v>
      </c>
    </row>
    <row r="32" ht="20.1" customHeight="1" spans="1:3">
      <c r="A32" s="71" t="s">
        <v>206</v>
      </c>
      <c r="B32" s="71" t="s">
        <v>207</v>
      </c>
      <c r="C32" s="72">
        <v>25</v>
      </c>
    </row>
    <row r="33" ht="20.1" customHeight="1" spans="1:3">
      <c r="A33" s="71" t="s">
        <v>208</v>
      </c>
      <c r="B33" s="71" t="s">
        <v>209</v>
      </c>
      <c r="C33" s="72">
        <v>0</v>
      </c>
    </row>
    <row r="34" ht="20.1" customHeight="1" spans="1:3">
      <c r="A34" s="71" t="s">
        <v>210</v>
      </c>
      <c r="B34" s="71" t="s">
        <v>211</v>
      </c>
      <c r="C34" s="72">
        <v>5</v>
      </c>
    </row>
    <row r="35" ht="20.1" customHeight="1" spans="1:3">
      <c r="A35" s="71" t="s">
        <v>212</v>
      </c>
      <c r="B35" s="71" t="s">
        <v>213</v>
      </c>
      <c r="C35" s="72">
        <v>10</v>
      </c>
    </row>
    <row r="36" ht="20.1" customHeight="1" spans="1:3">
      <c r="A36" s="71" t="s">
        <v>214</v>
      </c>
      <c r="B36" s="71" t="s">
        <v>215</v>
      </c>
      <c r="C36" s="72">
        <v>20.8</v>
      </c>
    </row>
    <row r="37" ht="20.1" customHeight="1" spans="1:3">
      <c r="A37" s="71" t="s">
        <v>216</v>
      </c>
      <c r="B37" s="71" t="s">
        <v>217</v>
      </c>
      <c r="C37" s="72">
        <v>0</v>
      </c>
    </row>
    <row r="38" ht="20.1" customHeight="1" spans="1:3">
      <c r="A38" s="71" t="s">
        <v>218</v>
      </c>
      <c r="B38" s="71" t="s">
        <v>219</v>
      </c>
      <c r="C38" s="72">
        <v>0</v>
      </c>
    </row>
    <row r="39" ht="20.1" customHeight="1" spans="1:3">
      <c r="A39" s="71" t="s">
        <v>220</v>
      </c>
      <c r="B39" s="71" t="s">
        <v>221</v>
      </c>
      <c r="C39" s="72">
        <v>0</v>
      </c>
    </row>
    <row r="40" ht="20.1" customHeight="1" spans="1:3">
      <c r="A40" s="71" t="s">
        <v>222</v>
      </c>
      <c r="B40" s="71" t="s">
        <v>223</v>
      </c>
      <c r="C40" s="72">
        <v>100</v>
      </c>
    </row>
    <row r="41" ht="20.1" customHeight="1" spans="1:3">
      <c r="A41" s="71" t="s">
        <v>224</v>
      </c>
      <c r="B41" s="71" t="s">
        <v>225</v>
      </c>
      <c r="C41" s="72">
        <v>150</v>
      </c>
    </row>
    <row r="42" ht="20.1" customHeight="1" spans="1:3">
      <c r="A42" s="71" t="s">
        <v>226</v>
      </c>
      <c r="B42" s="71" t="s">
        <v>227</v>
      </c>
      <c r="C42" s="72">
        <v>58.72</v>
      </c>
    </row>
    <row r="43" ht="20.1" customHeight="1" spans="1:3">
      <c r="A43" s="71" t="s">
        <v>228</v>
      </c>
      <c r="B43" s="71" t="s">
        <v>229</v>
      </c>
      <c r="C43" s="72">
        <v>0</v>
      </c>
    </row>
    <row r="44" ht="20.1" customHeight="1" spans="1:3">
      <c r="A44" s="71" t="s">
        <v>230</v>
      </c>
      <c r="B44" s="71" t="s">
        <v>231</v>
      </c>
      <c r="C44" s="72">
        <v>30.4</v>
      </c>
    </row>
    <row r="45" ht="20.1" customHeight="1" spans="1:3">
      <c r="A45" s="71" t="s">
        <v>232</v>
      </c>
      <c r="B45" s="71" t="s">
        <v>233</v>
      </c>
      <c r="C45" s="72">
        <v>58</v>
      </c>
    </row>
    <row r="46" ht="20.1" customHeight="1" spans="1:3">
      <c r="A46" s="71" t="s">
        <v>234</v>
      </c>
      <c r="B46" s="71" t="s">
        <v>235</v>
      </c>
      <c r="C46" s="72">
        <v>0</v>
      </c>
    </row>
    <row r="47" ht="20.1" customHeight="1" spans="1:3">
      <c r="A47" s="71" t="s">
        <v>236</v>
      </c>
      <c r="B47" s="71" t="s">
        <v>237</v>
      </c>
      <c r="C47" s="72">
        <v>155</v>
      </c>
    </row>
    <row r="48" s="60" customFormat="1" ht="20.1" customHeight="1" spans="1:3">
      <c r="A48" s="70" t="s">
        <v>140</v>
      </c>
      <c r="B48" s="70" t="s">
        <v>141</v>
      </c>
      <c r="C48" s="69">
        <v>74.6</v>
      </c>
    </row>
    <row r="49" ht="20.1" customHeight="1" spans="1:3">
      <c r="A49" s="71" t="s">
        <v>238</v>
      </c>
      <c r="B49" s="71" t="s">
        <v>239</v>
      </c>
      <c r="C49" s="72">
        <v>0</v>
      </c>
    </row>
    <row r="50" ht="20.1" customHeight="1" spans="1:3">
      <c r="A50" s="71" t="s">
        <v>240</v>
      </c>
      <c r="B50" s="71" t="s">
        <v>241</v>
      </c>
      <c r="C50" s="72">
        <v>0</v>
      </c>
    </row>
    <row r="51" ht="20.1" customHeight="1" spans="1:3">
      <c r="A51" s="71" t="s">
        <v>242</v>
      </c>
      <c r="B51" s="71" t="s">
        <v>243</v>
      </c>
      <c r="C51" s="72">
        <v>0</v>
      </c>
    </row>
    <row r="52" ht="20.1" customHeight="1" spans="1:3">
      <c r="A52" s="71" t="s">
        <v>244</v>
      </c>
      <c r="B52" s="71" t="s">
        <v>245</v>
      </c>
      <c r="C52" s="72">
        <v>0</v>
      </c>
    </row>
    <row r="53" ht="20.1" customHeight="1" spans="1:3">
      <c r="A53" s="71" t="s">
        <v>246</v>
      </c>
      <c r="B53" s="71" t="s">
        <v>247</v>
      </c>
      <c r="C53" s="72">
        <v>0</v>
      </c>
    </row>
    <row r="54" ht="20.1" customHeight="1" spans="1:3">
      <c r="A54" s="71" t="s">
        <v>248</v>
      </c>
      <c r="B54" s="71" t="s">
        <v>249</v>
      </c>
      <c r="C54" s="72">
        <v>0</v>
      </c>
    </row>
    <row r="55" ht="20.1" customHeight="1" spans="1:3">
      <c r="A55" s="71" t="s">
        <v>250</v>
      </c>
      <c r="B55" s="71" t="s">
        <v>251</v>
      </c>
      <c r="C55" s="72">
        <v>0</v>
      </c>
    </row>
    <row r="56" ht="20.1" customHeight="1" spans="1:3">
      <c r="A56" s="71" t="s">
        <v>252</v>
      </c>
      <c r="B56" s="71" t="s">
        <v>253</v>
      </c>
      <c r="C56" s="72">
        <v>0</v>
      </c>
    </row>
    <row r="57" ht="20.1" customHeight="1" spans="1:3">
      <c r="A57" s="71" t="s">
        <v>254</v>
      </c>
      <c r="B57" s="71" t="s">
        <v>255</v>
      </c>
      <c r="C57" s="72">
        <v>0</v>
      </c>
    </row>
    <row r="58" ht="20.1" customHeight="1" spans="1:3">
      <c r="A58" s="71" t="s">
        <v>256</v>
      </c>
      <c r="B58" s="71" t="s">
        <v>257</v>
      </c>
      <c r="C58" s="72">
        <v>0</v>
      </c>
    </row>
    <row r="59" ht="20.1" customHeight="1" spans="1:3">
      <c r="A59" s="71" t="s">
        <v>258</v>
      </c>
      <c r="B59" s="71" t="s">
        <v>259</v>
      </c>
      <c r="C59" s="72">
        <v>74.6</v>
      </c>
    </row>
    <row r="60" s="60" customFormat="1" ht="20.1" customHeight="1" spans="1:3">
      <c r="A60" s="70" t="s">
        <v>142</v>
      </c>
      <c r="B60" s="70" t="s">
        <v>143</v>
      </c>
      <c r="C60" s="69">
        <v>0</v>
      </c>
    </row>
    <row r="61" ht="20.1" customHeight="1" spans="1:3">
      <c r="A61" s="71" t="s">
        <v>260</v>
      </c>
      <c r="B61" s="71" t="s">
        <v>261</v>
      </c>
      <c r="C61" s="72">
        <v>0</v>
      </c>
    </row>
    <row r="62" ht="20.1" customHeight="1" spans="1:3">
      <c r="A62" s="71" t="s">
        <v>262</v>
      </c>
      <c r="B62" s="71" t="s">
        <v>263</v>
      </c>
      <c r="C62" s="69">
        <v>0</v>
      </c>
    </row>
    <row r="63" ht="20.1" customHeight="1" spans="1:3">
      <c r="A63" s="71" t="s">
        <v>264</v>
      </c>
      <c r="B63" s="71" t="s">
        <v>265</v>
      </c>
      <c r="C63" s="72">
        <v>0</v>
      </c>
    </row>
    <row r="64" ht="20.1" customHeight="1" spans="1:3">
      <c r="A64" s="71" t="s">
        <v>266</v>
      </c>
      <c r="B64" s="71" t="s">
        <v>267</v>
      </c>
      <c r="C64" s="69">
        <v>0</v>
      </c>
    </row>
    <row r="65" s="60" customFormat="1" ht="20.1" customHeight="1" spans="1:3">
      <c r="A65" s="70" t="s">
        <v>144</v>
      </c>
      <c r="B65" s="70" t="s">
        <v>145</v>
      </c>
      <c r="C65" s="72">
        <v>0</v>
      </c>
    </row>
    <row r="66" ht="20.1" customHeight="1" spans="1:3">
      <c r="A66" s="71" t="s">
        <v>268</v>
      </c>
      <c r="B66" s="71" t="s">
        <v>269</v>
      </c>
      <c r="C66" s="69">
        <v>0</v>
      </c>
    </row>
    <row r="67" ht="20.1" customHeight="1" spans="1:3">
      <c r="A67" s="71" t="s">
        <v>270</v>
      </c>
      <c r="B67" s="71" t="s">
        <v>271</v>
      </c>
      <c r="C67" s="72">
        <v>0</v>
      </c>
    </row>
    <row r="68" ht="20.1" customHeight="1" spans="1:3">
      <c r="A68" s="71" t="s">
        <v>272</v>
      </c>
      <c r="B68" s="71" t="s">
        <v>273</v>
      </c>
      <c r="C68" s="69">
        <v>0</v>
      </c>
    </row>
    <row r="69" ht="20.1" customHeight="1" spans="1:3">
      <c r="A69" s="71" t="s">
        <v>274</v>
      </c>
      <c r="B69" s="71" t="s">
        <v>275</v>
      </c>
      <c r="C69" s="72">
        <v>0</v>
      </c>
    </row>
    <row r="70" ht="20.1" customHeight="1" spans="1:3">
      <c r="A70" s="71" t="s">
        <v>276</v>
      </c>
      <c r="B70" s="71" t="s">
        <v>277</v>
      </c>
      <c r="C70" s="69">
        <v>0</v>
      </c>
    </row>
    <row r="71" ht="20.1" customHeight="1" spans="1:3">
      <c r="A71" s="71" t="s">
        <v>278</v>
      </c>
      <c r="B71" s="71" t="s">
        <v>279</v>
      </c>
      <c r="C71" s="72">
        <v>0</v>
      </c>
    </row>
    <row r="72" ht="20.1" customHeight="1" spans="1:3">
      <c r="A72" s="71" t="s">
        <v>280</v>
      </c>
      <c r="B72" s="71" t="s">
        <v>281</v>
      </c>
      <c r="C72" s="69">
        <v>0</v>
      </c>
    </row>
    <row r="73" ht="20.1" customHeight="1" spans="1:3">
      <c r="A73" s="71" t="s">
        <v>282</v>
      </c>
      <c r="B73" s="71" t="s">
        <v>283</v>
      </c>
      <c r="C73" s="72">
        <v>0</v>
      </c>
    </row>
    <row r="74" ht="20.1" customHeight="1" spans="1:3">
      <c r="A74" s="71" t="s">
        <v>284</v>
      </c>
      <c r="B74" s="71" t="s">
        <v>285</v>
      </c>
      <c r="C74" s="69">
        <v>0</v>
      </c>
    </row>
    <row r="75" ht="20.1" customHeight="1" spans="1:3">
      <c r="A75" s="71" t="s">
        <v>286</v>
      </c>
      <c r="B75" s="71" t="s">
        <v>287</v>
      </c>
      <c r="C75" s="72">
        <v>0</v>
      </c>
    </row>
    <row r="76" ht="20.1" customHeight="1" spans="1:3">
      <c r="A76" s="71" t="s">
        <v>288</v>
      </c>
      <c r="B76" s="71" t="s">
        <v>289</v>
      </c>
      <c r="C76" s="69">
        <v>0</v>
      </c>
    </row>
    <row r="77" ht="20.1" customHeight="1" spans="1:3">
      <c r="A77" s="71" t="s">
        <v>290</v>
      </c>
      <c r="B77" s="71" t="s">
        <v>291</v>
      </c>
      <c r="C77" s="72">
        <v>0</v>
      </c>
    </row>
    <row r="78" s="60" customFormat="1" ht="20.1" customHeight="1" spans="1:3">
      <c r="A78" s="70" t="s">
        <v>146</v>
      </c>
      <c r="B78" s="70" t="s">
        <v>147</v>
      </c>
      <c r="C78" s="69">
        <v>48242.1</v>
      </c>
    </row>
    <row r="79" ht="20.1" customHeight="1" spans="1:3">
      <c r="A79" s="71" t="s">
        <v>292</v>
      </c>
      <c r="B79" s="71" t="s">
        <v>269</v>
      </c>
      <c r="C79" s="72">
        <v>0</v>
      </c>
    </row>
    <row r="80" ht="20.1" customHeight="1" spans="1:3">
      <c r="A80" s="71" t="s">
        <v>293</v>
      </c>
      <c r="B80" s="71" t="s">
        <v>271</v>
      </c>
      <c r="C80" s="72">
        <v>0</v>
      </c>
    </row>
    <row r="81" ht="20.1" customHeight="1" spans="1:3">
      <c r="A81" s="71" t="s">
        <v>294</v>
      </c>
      <c r="B81" s="71" t="s">
        <v>273</v>
      </c>
      <c r="C81" s="72">
        <v>0</v>
      </c>
    </row>
    <row r="82" ht="20.1" customHeight="1" spans="1:3">
      <c r="A82" s="71" t="s">
        <v>295</v>
      </c>
      <c r="B82" s="71" t="s">
        <v>275</v>
      </c>
      <c r="C82" s="72">
        <v>0</v>
      </c>
    </row>
    <row r="83" ht="20.1" customHeight="1" spans="1:3">
      <c r="A83" s="71" t="s">
        <v>296</v>
      </c>
      <c r="B83" s="71" t="s">
        <v>277</v>
      </c>
      <c r="C83" s="72">
        <v>0</v>
      </c>
    </row>
    <row r="84" ht="20.1" customHeight="1" spans="1:3">
      <c r="A84" s="71" t="s">
        <v>297</v>
      </c>
      <c r="B84" s="71" t="s">
        <v>279</v>
      </c>
      <c r="C84" s="72">
        <v>0</v>
      </c>
    </row>
    <row r="85" ht="20.1" customHeight="1" spans="1:3">
      <c r="A85" s="71" t="s">
        <v>298</v>
      </c>
      <c r="B85" s="71" t="s">
        <v>281</v>
      </c>
      <c r="C85" s="72">
        <v>0</v>
      </c>
    </row>
    <row r="86" ht="20.1" customHeight="1" spans="1:3">
      <c r="A86" s="71" t="s">
        <v>299</v>
      </c>
      <c r="B86" s="71" t="s">
        <v>300</v>
      </c>
      <c r="C86" s="72">
        <v>0</v>
      </c>
    </row>
    <row r="87" ht="20.1" customHeight="1" spans="1:3">
      <c r="A87" s="71" t="s">
        <v>301</v>
      </c>
      <c r="B87" s="71" t="s">
        <v>302</v>
      </c>
      <c r="C87" s="72">
        <v>0</v>
      </c>
    </row>
    <row r="88" ht="20.1" customHeight="1" spans="1:3">
      <c r="A88" s="71" t="s">
        <v>303</v>
      </c>
      <c r="B88" s="71" t="s">
        <v>304</v>
      </c>
      <c r="C88" s="72">
        <v>0</v>
      </c>
    </row>
    <row r="89" ht="20.1" customHeight="1" spans="1:3">
      <c r="A89" s="71" t="s">
        <v>305</v>
      </c>
      <c r="B89" s="73" t="s">
        <v>306</v>
      </c>
      <c r="C89" s="72">
        <v>0</v>
      </c>
    </row>
    <row r="90" ht="20.1" customHeight="1" spans="1:3">
      <c r="A90" s="71" t="s">
        <v>307</v>
      </c>
      <c r="B90" s="71" t="s">
        <v>283</v>
      </c>
      <c r="C90" s="72">
        <v>0</v>
      </c>
    </row>
    <row r="91" ht="20.1" customHeight="1" spans="1:3">
      <c r="A91" s="71" t="s">
        <v>308</v>
      </c>
      <c r="B91" s="71" t="s">
        <v>285</v>
      </c>
      <c r="C91" s="72">
        <v>0</v>
      </c>
    </row>
    <row r="92" ht="20.1" customHeight="1" spans="1:3">
      <c r="A92" s="71" t="s">
        <v>309</v>
      </c>
      <c r="B92" s="71" t="s">
        <v>287</v>
      </c>
      <c r="C92" s="72">
        <v>0</v>
      </c>
    </row>
    <row r="93" ht="20.1" customHeight="1" spans="1:3">
      <c r="A93" s="71" t="s">
        <v>310</v>
      </c>
      <c r="B93" s="71" t="s">
        <v>289</v>
      </c>
      <c r="C93" s="72">
        <v>0</v>
      </c>
    </row>
    <row r="94" ht="20.1" customHeight="1" spans="1:3">
      <c r="A94" s="71" t="s">
        <v>311</v>
      </c>
      <c r="B94" s="71" t="s">
        <v>312</v>
      </c>
      <c r="C94" s="74">
        <v>48242.1</v>
      </c>
    </row>
    <row r="95" s="60" customFormat="1" ht="20.1" customHeight="1" spans="1:3">
      <c r="A95" s="70" t="s">
        <v>148</v>
      </c>
      <c r="B95" s="70" t="s">
        <v>149</v>
      </c>
      <c r="C95" s="75">
        <v>0</v>
      </c>
    </row>
    <row r="96" ht="20.1" customHeight="1" spans="1:3">
      <c r="A96" s="71" t="s">
        <v>313</v>
      </c>
      <c r="B96" s="71" t="s">
        <v>314</v>
      </c>
      <c r="C96" s="74">
        <v>0</v>
      </c>
    </row>
    <row r="97" ht="20.1" customHeight="1" spans="1:3">
      <c r="A97" s="71" t="s">
        <v>315</v>
      </c>
      <c r="B97" s="71" t="s">
        <v>316</v>
      </c>
      <c r="C97" s="74">
        <v>0</v>
      </c>
    </row>
    <row r="98" s="60" customFormat="1" ht="20.1" customHeight="1" spans="1:3">
      <c r="A98" s="70" t="s">
        <v>150</v>
      </c>
      <c r="B98" s="70" t="s">
        <v>151</v>
      </c>
      <c r="C98" s="75">
        <v>3908</v>
      </c>
    </row>
    <row r="99" ht="20.1" customHeight="1" spans="1:3">
      <c r="A99" s="71" t="s">
        <v>317</v>
      </c>
      <c r="B99" s="71" t="s">
        <v>314</v>
      </c>
      <c r="C99" s="74">
        <v>0</v>
      </c>
    </row>
    <row r="100" ht="20.1" customHeight="1" spans="1:3">
      <c r="A100" s="71" t="s">
        <v>318</v>
      </c>
      <c r="B100" s="71" t="s">
        <v>319</v>
      </c>
      <c r="C100" s="74">
        <v>0</v>
      </c>
    </row>
    <row r="101" ht="20.1" customHeight="1" spans="1:3">
      <c r="A101" s="71" t="s">
        <v>320</v>
      </c>
      <c r="B101" s="71" t="s">
        <v>321</v>
      </c>
      <c r="C101" s="74">
        <v>0</v>
      </c>
    </row>
    <row r="102" ht="20.1" customHeight="1" spans="1:3">
      <c r="A102" s="71" t="s">
        <v>322</v>
      </c>
      <c r="B102" s="71" t="s">
        <v>323</v>
      </c>
      <c r="C102" s="74">
        <v>0</v>
      </c>
    </row>
    <row r="103" ht="20.1" customHeight="1" spans="1:3">
      <c r="A103" s="71" t="s">
        <v>324</v>
      </c>
      <c r="B103" s="71" t="s">
        <v>316</v>
      </c>
      <c r="C103" s="74">
        <v>3908</v>
      </c>
    </row>
    <row r="104" s="60" customFormat="1" ht="20.1" customHeight="1" spans="1:3">
      <c r="A104" s="70" t="s">
        <v>152</v>
      </c>
      <c r="B104" s="70" t="s">
        <v>153</v>
      </c>
      <c r="C104" s="75">
        <v>0</v>
      </c>
    </row>
    <row r="105" ht="20.1" customHeight="1" spans="1:3">
      <c r="A105" s="71" t="s">
        <v>325</v>
      </c>
      <c r="B105" s="71" t="s">
        <v>326</v>
      </c>
      <c r="C105" s="74">
        <v>0</v>
      </c>
    </row>
    <row r="106" ht="20.1" customHeight="1" spans="1:3">
      <c r="A106" s="71" t="s">
        <v>327</v>
      </c>
      <c r="B106" s="71" t="s">
        <v>328</v>
      </c>
      <c r="C106" s="75">
        <v>0</v>
      </c>
    </row>
    <row r="107" s="60" customFormat="1" ht="20.1" customHeight="1" spans="1:3">
      <c r="A107" s="70" t="s">
        <v>154</v>
      </c>
      <c r="B107" s="70" t="s">
        <v>155</v>
      </c>
      <c r="C107" s="74">
        <v>0</v>
      </c>
    </row>
    <row r="108" ht="20.1" customHeight="1" spans="1:3">
      <c r="A108" s="71" t="s">
        <v>329</v>
      </c>
      <c r="B108" s="71" t="s">
        <v>330</v>
      </c>
      <c r="C108" s="75">
        <v>0</v>
      </c>
    </row>
    <row r="109" ht="20.1" customHeight="1" spans="1:3">
      <c r="A109" s="71" t="s">
        <v>331</v>
      </c>
      <c r="B109" s="71" t="s">
        <v>332</v>
      </c>
      <c r="C109" s="74">
        <v>0</v>
      </c>
    </row>
    <row r="110" ht="20.1" customHeight="1" spans="1:3">
      <c r="A110" s="71" t="s">
        <v>333</v>
      </c>
      <c r="B110" s="71" t="s">
        <v>334</v>
      </c>
      <c r="C110" s="75">
        <v>0</v>
      </c>
    </row>
    <row r="111" ht="20.1" customHeight="1" spans="1:3">
      <c r="A111" s="71" t="s">
        <v>335</v>
      </c>
      <c r="B111" s="71" t="s">
        <v>155</v>
      </c>
      <c r="C111" s="74">
        <v>0</v>
      </c>
    </row>
  </sheetData>
  <mergeCells count="3">
    <mergeCell ref="A2:C2"/>
    <mergeCell ref="B3:C3"/>
    <mergeCell ref="A5:B5"/>
  </mergeCells>
  <pageMargins left="0.707638888888889" right="0.707638888888889" top="0.747916666666667" bottom="0.747916666666667" header="0.313888888888889" footer="0.313888888888889"/>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8" sqref="B8"/>
    </sheetView>
  </sheetViews>
  <sheetFormatPr defaultColWidth="9" defaultRowHeight="14.25" outlineLevelCol="1"/>
  <cols>
    <col min="1" max="1" width="50.75" customWidth="1"/>
    <col min="2" max="2" width="29.75" customWidth="1"/>
  </cols>
  <sheetData>
    <row r="1" spans="1:2">
      <c r="A1" s="51" t="s">
        <v>336</v>
      </c>
      <c r="B1" s="52"/>
    </row>
    <row r="2" ht="28.5" customHeight="1" spans="1:2">
      <c r="A2" s="53" t="s">
        <v>337</v>
      </c>
      <c r="B2" s="53"/>
    </row>
    <row r="3" ht="18" customHeight="1" spans="1:2">
      <c r="A3" s="54"/>
      <c r="B3" s="55" t="s">
        <v>2</v>
      </c>
    </row>
    <row r="4" ht="20.1" customHeight="1" spans="1:2">
      <c r="A4" s="56" t="s">
        <v>338</v>
      </c>
      <c r="B4" s="56" t="s">
        <v>6</v>
      </c>
    </row>
    <row r="5" ht="20.1" customHeight="1" spans="1:2">
      <c r="A5" s="56" t="s">
        <v>56</v>
      </c>
      <c r="B5" s="57">
        <f>B6+B7+B8</f>
        <v>51.2</v>
      </c>
    </row>
    <row r="6" ht="20.1" customHeight="1" spans="1:2">
      <c r="A6" s="57" t="s">
        <v>339</v>
      </c>
      <c r="B6" s="57">
        <v>0</v>
      </c>
    </row>
    <row r="7" ht="20.1" customHeight="1" spans="1:2">
      <c r="A7" s="57" t="s">
        <v>340</v>
      </c>
      <c r="B7" s="57">
        <v>20.8</v>
      </c>
    </row>
    <row r="8" ht="20.1" customHeight="1" spans="1:2">
      <c r="A8" s="57" t="s">
        <v>341</v>
      </c>
      <c r="B8" s="57">
        <v>30.4</v>
      </c>
    </row>
    <row r="9" ht="20.1" customHeight="1" spans="1:2">
      <c r="A9" s="58" t="s">
        <v>342</v>
      </c>
      <c r="B9" s="57">
        <v>30.4</v>
      </c>
    </row>
    <row r="10" ht="20.1" customHeight="1" spans="1:2">
      <c r="A10" s="58" t="s">
        <v>343</v>
      </c>
      <c r="B10" s="57">
        <v>0</v>
      </c>
    </row>
    <row r="11" ht="46.5" customHeight="1" spans="1:2">
      <c r="A11" s="59" t="s">
        <v>344</v>
      </c>
      <c r="B11" s="59"/>
    </row>
  </sheetData>
  <mergeCells count="2">
    <mergeCell ref="A2:B2"/>
    <mergeCell ref="A11:B11"/>
  </mergeCells>
  <pageMargins left="0.707638888888889" right="0.707638888888889" top="0.747916666666667" bottom="0.747916666666667" header="0.313888888888889" footer="0.313888888888889"/>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49"/>
  <sheetViews>
    <sheetView zoomScale="73" zoomScaleNormal="73" workbookViewId="0">
      <selection activeCell="L48" sqref="L48"/>
    </sheetView>
  </sheetViews>
  <sheetFormatPr defaultColWidth="9" defaultRowHeight="14.25"/>
  <cols>
    <col min="1" max="1" width="14.625" style="35" customWidth="1"/>
    <col min="2" max="2" width="20.625" style="35" customWidth="1"/>
    <col min="3" max="3" width="24.125" style="35" customWidth="1"/>
    <col min="4" max="4" width="9.75" style="35" customWidth="1"/>
    <col min="5" max="5" width="26" style="35" customWidth="1"/>
    <col min="6" max="6" width="22.625" style="35" customWidth="1"/>
    <col min="7" max="7" width="8.625" style="35" customWidth="1"/>
    <col min="8" max="8" width="7.625" style="35" customWidth="1"/>
    <col min="9" max="10" width="8.625" style="35" customWidth="1"/>
    <col min="11" max="11" width="22.625" style="35" customWidth="1"/>
    <col min="12" max="16384" width="32.875" style="35"/>
  </cols>
  <sheetData>
    <row r="1" ht="21" customHeight="1" spans="1:1">
      <c r="A1" s="36" t="s">
        <v>345</v>
      </c>
    </row>
    <row r="2" ht="26.25" customHeight="1" spans="1:11">
      <c r="A2" s="37" t="s">
        <v>346</v>
      </c>
      <c r="B2" s="37"/>
      <c r="C2" s="37"/>
      <c r="D2" s="37"/>
      <c r="E2" s="37"/>
      <c r="F2" s="37"/>
      <c r="G2" s="37"/>
      <c r="H2" s="37"/>
      <c r="I2" s="37"/>
      <c r="J2" s="37"/>
      <c r="K2" s="37"/>
    </row>
    <row r="3" ht="23.25" customHeight="1" spans="1:11">
      <c r="A3" s="38"/>
      <c r="B3" s="38"/>
      <c r="C3" s="38"/>
      <c r="D3" s="38"/>
      <c r="E3" s="38"/>
      <c r="F3" s="38"/>
      <c r="G3" s="38"/>
      <c r="H3" s="38"/>
      <c r="I3" s="38"/>
      <c r="J3" s="38"/>
      <c r="K3" s="50" t="s">
        <v>2</v>
      </c>
    </row>
    <row r="4" ht="20.1" customHeight="1" spans="1:11">
      <c r="A4" s="39" t="s">
        <v>347</v>
      </c>
      <c r="B4" s="39" t="s">
        <v>348</v>
      </c>
      <c r="C4" s="39" t="s">
        <v>349</v>
      </c>
      <c r="D4" s="39" t="s">
        <v>350</v>
      </c>
      <c r="E4" s="39" t="s">
        <v>351</v>
      </c>
      <c r="F4" s="39" t="s">
        <v>352</v>
      </c>
      <c r="G4" s="39" t="s">
        <v>353</v>
      </c>
      <c r="H4" s="40" t="s">
        <v>354</v>
      </c>
      <c r="I4" s="40"/>
      <c r="J4" s="40"/>
      <c r="K4" s="39" t="s">
        <v>355</v>
      </c>
    </row>
    <row r="5" ht="36.75" customHeight="1" spans="1:11">
      <c r="A5" s="41"/>
      <c r="B5" s="41"/>
      <c r="C5" s="41"/>
      <c r="D5" s="41"/>
      <c r="E5" s="41"/>
      <c r="F5" s="41"/>
      <c r="G5" s="41"/>
      <c r="H5" s="40" t="s">
        <v>356</v>
      </c>
      <c r="I5" s="40" t="s">
        <v>357</v>
      </c>
      <c r="J5" s="40" t="s">
        <v>358</v>
      </c>
      <c r="K5" s="41"/>
    </row>
    <row r="6" ht="195" customHeight="1" spans="1:11">
      <c r="A6" s="42" t="s">
        <v>359</v>
      </c>
      <c r="B6" s="42" t="s">
        <v>360</v>
      </c>
      <c r="C6" s="43" t="s">
        <v>361</v>
      </c>
      <c r="D6" s="44" t="s">
        <v>362</v>
      </c>
      <c r="E6" s="43" t="s">
        <v>363</v>
      </c>
      <c r="F6" s="43" t="s">
        <v>364</v>
      </c>
      <c r="G6" s="42" t="s">
        <v>365</v>
      </c>
      <c r="H6" s="42">
        <v>800</v>
      </c>
      <c r="I6" s="42">
        <v>800</v>
      </c>
      <c r="J6" s="42">
        <v>0</v>
      </c>
      <c r="K6" s="42" t="s">
        <v>366</v>
      </c>
    </row>
    <row r="7" customFormat="1" ht="196" customHeight="1" spans="1:11">
      <c r="A7" s="42" t="s">
        <v>359</v>
      </c>
      <c r="B7" s="45" t="s">
        <v>367</v>
      </c>
      <c r="C7" s="46" t="s">
        <v>368</v>
      </c>
      <c r="D7" s="47" t="s">
        <v>369</v>
      </c>
      <c r="E7" s="46" t="s">
        <v>370</v>
      </c>
      <c r="F7" s="46" t="s">
        <v>371</v>
      </c>
      <c r="G7" s="42" t="s">
        <v>365</v>
      </c>
      <c r="H7" s="48">
        <v>174.64</v>
      </c>
      <c r="I7" s="42">
        <v>174.64</v>
      </c>
      <c r="J7" s="42">
        <v>0</v>
      </c>
      <c r="K7" s="42" t="s">
        <v>366</v>
      </c>
    </row>
    <row r="8" customFormat="1" ht="170" customHeight="1" spans="1:11">
      <c r="A8" s="42" t="s">
        <v>359</v>
      </c>
      <c r="B8" s="45" t="s">
        <v>372</v>
      </c>
      <c r="C8" s="46" t="s">
        <v>373</v>
      </c>
      <c r="D8" s="47" t="s">
        <v>374</v>
      </c>
      <c r="E8" s="46" t="s">
        <v>375</v>
      </c>
      <c r="F8" s="46" t="s">
        <v>376</v>
      </c>
      <c r="G8" s="42" t="s">
        <v>365</v>
      </c>
      <c r="H8" s="42">
        <v>17300</v>
      </c>
      <c r="I8" s="42">
        <v>17300</v>
      </c>
      <c r="J8" s="42">
        <v>0</v>
      </c>
      <c r="K8" s="45" t="s">
        <v>366</v>
      </c>
    </row>
    <row r="9" customFormat="1" ht="270" customHeight="1" spans="1:11">
      <c r="A9" s="42" t="s">
        <v>359</v>
      </c>
      <c r="B9" s="45" t="s">
        <v>377</v>
      </c>
      <c r="C9" s="46" t="s">
        <v>378</v>
      </c>
      <c r="D9" s="47" t="s">
        <v>379</v>
      </c>
      <c r="E9" s="46" t="s">
        <v>380</v>
      </c>
      <c r="F9" s="46" t="s">
        <v>381</v>
      </c>
      <c r="G9" s="42" t="s">
        <v>365</v>
      </c>
      <c r="H9" s="42">
        <v>3908</v>
      </c>
      <c r="I9" s="42">
        <v>3908</v>
      </c>
      <c r="J9" s="42">
        <v>0</v>
      </c>
      <c r="K9" s="45" t="s">
        <v>366</v>
      </c>
    </row>
    <row r="10" customFormat="1" ht="87" customHeight="1" spans="1:11">
      <c r="A10" s="42" t="s">
        <v>359</v>
      </c>
      <c r="B10" s="45" t="s">
        <v>382</v>
      </c>
      <c r="C10" s="46" t="s">
        <v>383</v>
      </c>
      <c r="D10" s="47" t="s">
        <v>384</v>
      </c>
      <c r="E10" s="46" t="s">
        <v>385</v>
      </c>
      <c r="F10" s="46" t="s">
        <v>386</v>
      </c>
      <c r="G10" s="42" t="s">
        <v>365</v>
      </c>
      <c r="H10" s="42">
        <v>147</v>
      </c>
      <c r="I10" s="42">
        <v>147</v>
      </c>
      <c r="J10" s="42">
        <v>0</v>
      </c>
      <c r="K10" s="45" t="s">
        <v>366</v>
      </c>
    </row>
    <row r="11" s="35" customFormat="1" ht="192" customHeight="1" spans="1:11">
      <c r="A11" s="42" t="s">
        <v>359</v>
      </c>
      <c r="B11" s="45" t="s">
        <v>387</v>
      </c>
      <c r="C11" s="42" t="s">
        <v>388</v>
      </c>
      <c r="D11" s="45" t="s">
        <v>389</v>
      </c>
      <c r="E11" s="42" t="s">
        <v>390</v>
      </c>
      <c r="F11" s="45" t="s">
        <v>376</v>
      </c>
      <c r="G11" s="42" t="s">
        <v>365</v>
      </c>
      <c r="H11" s="45">
        <v>30</v>
      </c>
      <c r="I11" s="42">
        <v>30</v>
      </c>
      <c r="J11" s="45">
        <v>0</v>
      </c>
      <c r="K11" s="45" t="s">
        <v>366</v>
      </c>
    </row>
    <row r="12" s="35" customFormat="1" ht="192" customHeight="1" spans="1:11">
      <c r="A12" s="42" t="s">
        <v>359</v>
      </c>
      <c r="B12" s="45" t="s">
        <v>391</v>
      </c>
      <c r="C12" s="45" t="s">
        <v>392</v>
      </c>
      <c r="D12" s="45" t="s">
        <v>393</v>
      </c>
      <c r="E12" s="45" t="s">
        <v>394</v>
      </c>
      <c r="F12" s="45" t="s">
        <v>395</v>
      </c>
      <c r="G12" s="42" t="s">
        <v>365</v>
      </c>
      <c r="H12" s="45">
        <v>3800</v>
      </c>
      <c r="I12" s="42">
        <v>3800</v>
      </c>
      <c r="J12" s="45">
        <v>0</v>
      </c>
      <c r="K12" s="45" t="s">
        <v>366</v>
      </c>
    </row>
    <row r="13" s="35" customFormat="1" ht="192" customHeight="1" spans="1:11">
      <c r="A13" s="42" t="s">
        <v>359</v>
      </c>
      <c r="B13" s="45" t="s">
        <v>396</v>
      </c>
      <c r="C13" s="45" t="s">
        <v>397</v>
      </c>
      <c r="D13" s="45" t="s">
        <v>398</v>
      </c>
      <c r="E13" s="45" t="s">
        <v>399</v>
      </c>
      <c r="F13" s="45" t="s">
        <v>400</v>
      </c>
      <c r="G13" s="42" t="s">
        <v>365</v>
      </c>
      <c r="H13" s="45">
        <v>80</v>
      </c>
      <c r="I13" s="42">
        <v>80</v>
      </c>
      <c r="J13" s="45">
        <v>0</v>
      </c>
      <c r="K13" s="45" t="s">
        <v>366</v>
      </c>
    </row>
    <row r="14" s="35" customFormat="1" ht="147" customHeight="1" spans="1:11">
      <c r="A14" s="42" t="s">
        <v>359</v>
      </c>
      <c r="B14" s="45" t="s">
        <v>401</v>
      </c>
      <c r="C14" s="45" t="s">
        <v>402</v>
      </c>
      <c r="D14" s="45" t="s">
        <v>403</v>
      </c>
      <c r="E14" s="45" t="s">
        <v>404</v>
      </c>
      <c r="F14" s="45" t="s">
        <v>405</v>
      </c>
      <c r="G14" s="42" t="s">
        <v>365</v>
      </c>
      <c r="H14" s="45">
        <v>500</v>
      </c>
      <c r="I14" s="42">
        <v>500</v>
      </c>
      <c r="J14" s="45">
        <v>0</v>
      </c>
      <c r="K14" s="45" t="s">
        <v>366</v>
      </c>
    </row>
    <row r="15" s="35" customFormat="1" ht="192" customHeight="1" spans="1:11">
      <c r="A15" s="42" t="s">
        <v>359</v>
      </c>
      <c r="B15" s="45" t="s">
        <v>406</v>
      </c>
      <c r="C15" s="45" t="s">
        <v>407</v>
      </c>
      <c r="D15" s="45" t="s">
        <v>403</v>
      </c>
      <c r="E15" s="45" t="s">
        <v>407</v>
      </c>
      <c r="F15" s="45" t="s">
        <v>405</v>
      </c>
      <c r="G15" s="42" t="s">
        <v>365</v>
      </c>
      <c r="H15" s="45">
        <v>300</v>
      </c>
      <c r="I15" s="42">
        <v>300</v>
      </c>
      <c r="J15" s="45">
        <v>0</v>
      </c>
      <c r="K15" s="45" t="s">
        <v>366</v>
      </c>
    </row>
    <row r="16" s="35" customFormat="1" ht="202" customHeight="1" spans="1:11">
      <c r="A16" s="42" t="s">
        <v>359</v>
      </c>
      <c r="B16" s="45" t="s">
        <v>408</v>
      </c>
      <c r="C16" s="45" t="s">
        <v>409</v>
      </c>
      <c r="D16" s="45" t="s">
        <v>403</v>
      </c>
      <c r="E16" s="45" t="s">
        <v>410</v>
      </c>
      <c r="F16" s="45" t="s">
        <v>405</v>
      </c>
      <c r="G16" s="42" t="s">
        <v>365</v>
      </c>
      <c r="H16" s="45">
        <v>80</v>
      </c>
      <c r="I16" s="42">
        <v>80</v>
      </c>
      <c r="J16" s="45">
        <v>0</v>
      </c>
      <c r="K16" s="45" t="s">
        <v>366</v>
      </c>
    </row>
    <row r="17" s="35" customFormat="1" ht="149" customHeight="1" spans="1:11">
      <c r="A17" s="42" t="s">
        <v>359</v>
      </c>
      <c r="B17" s="45" t="s">
        <v>411</v>
      </c>
      <c r="C17" s="45" t="s">
        <v>412</v>
      </c>
      <c r="D17" s="45" t="s">
        <v>403</v>
      </c>
      <c r="E17" s="45" t="s">
        <v>413</v>
      </c>
      <c r="F17" s="45" t="s">
        <v>405</v>
      </c>
      <c r="G17" s="42" t="s">
        <v>365</v>
      </c>
      <c r="H17" s="45">
        <v>180</v>
      </c>
      <c r="I17" s="42">
        <v>180</v>
      </c>
      <c r="J17" s="45">
        <v>0</v>
      </c>
      <c r="K17" s="45" t="s">
        <v>366</v>
      </c>
    </row>
    <row r="18" s="35" customFormat="1" ht="140" customHeight="1" spans="1:11">
      <c r="A18" s="42" t="s">
        <v>359</v>
      </c>
      <c r="B18" s="45" t="s">
        <v>414</v>
      </c>
      <c r="C18" s="45" t="s">
        <v>415</v>
      </c>
      <c r="D18" s="45" t="s">
        <v>403</v>
      </c>
      <c r="E18" s="45" t="s">
        <v>416</v>
      </c>
      <c r="F18" s="45" t="s">
        <v>405</v>
      </c>
      <c r="G18" s="42" t="s">
        <v>365</v>
      </c>
      <c r="H18" s="45">
        <v>2000</v>
      </c>
      <c r="I18" s="42">
        <v>2000</v>
      </c>
      <c r="J18" s="45">
        <v>0</v>
      </c>
      <c r="K18" s="45" t="s">
        <v>366</v>
      </c>
    </row>
    <row r="19" s="35" customFormat="1" ht="192" customHeight="1" spans="1:11">
      <c r="A19" s="42" t="s">
        <v>359</v>
      </c>
      <c r="B19" s="45" t="s">
        <v>417</v>
      </c>
      <c r="C19" s="45" t="s">
        <v>418</v>
      </c>
      <c r="D19" s="45" t="s">
        <v>403</v>
      </c>
      <c r="E19" s="45" t="s">
        <v>419</v>
      </c>
      <c r="F19" s="45" t="s">
        <v>405</v>
      </c>
      <c r="G19" s="42" t="s">
        <v>365</v>
      </c>
      <c r="H19" s="45">
        <v>240</v>
      </c>
      <c r="I19" s="42">
        <v>240</v>
      </c>
      <c r="J19" s="45">
        <v>0</v>
      </c>
      <c r="K19" s="45" t="s">
        <v>366</v>
      </c>
    </row>
    <row r="20" s="35" customFormat="1" ht="192" customHeight="1" spans="1:11">
      <c r="A20" s="42" t="s">
        <v>359</v>
      </c>
      <c r="B20" s="45" t="s">
        <v>420</v>
      </c>
      <c r="C20" s="45" t="s">
        <v>421</v>
      </c>
      <c r="D20" s="45" t="s">
        <v>403</v>
      </c>
      <c r="E20" s="45" t="s">
        <v>422</v>
      </c>
      <c r="F20" s="45" t="s">
        <v>405</v>
      </c>
      <c r="G20" s="42" t="s">
        <v>365</v>
      </c>
      <c r="H20" s="45">
        <v>378</v>
      </c>
      <c r="I20" s="42">
        <v>378</v>
      </c>
      <c r="J20" s="45">
        <v>0</v>
      </c>
      <c r="K20" s="45" t="s">
        <v>366</v>
      </c>
    </row>
    <row r="21" s="35" customFormat="1" ht="192" customHeight="1" spans="1:11">
      <c r="A21" s="42" t="s">
        <v>359</v>
      </c>
      <c r="B21" s="45" t="s">
        <v>423</v>
      </c>
      <c r="C21" s="45" t="s">
        <v>424</v>
      </c>
      <c r="D21" s="45" t="s">
        <v>403</v>
      </c>
      <c r="E21" s="45" t="s">
        <v>425</v>
      </c>
      <c r="F21" s="45" t="s">
        <v>405</v>
      </c>
      <c r="G21" s="42" t="s">
        <v>365</v>
      </c>
      <c r="H21" s="45">
        <v>30</v>
      </c>
      <c r="I21" s="42">
        <v>30</v>
      </c>
      <c r="J21" s="45">
        <v>0</v>
      </c>
      <c r="K21" s="45" t="s">
        <v>366</v>
      </c>
    </row>
    <row r="22" s="35" customFormat="1" ht="192" customHeight="1" spans="1:11">
      <c r="A22" s="42" t="s">
        <v>359</v>
      </c>
      <c r="B22" s="45" t="s">
        <v>426</v>
      </c>
      <c r="C22" s="45" t="s">
        <v>427</v>
      </c>
      <c r="D22" s="45" t="s">
        <v>403</v>
      </c>
      <c r="E22" s="45" t="s">
        <v>428</v>
      </c>
      <c r="F22" s="45" t="s">
        <v>405</v>
      </c>
      <c r="G22" s="42" t="s">
        <v>365</v>
      </c>
      <c r="H22" s="45">
        <v>16</v>
      </c>
      <c r="I22" s="42">
        <v>16</v>
      </c>
      <c r="J22" s="45">
        <v>0</v>
      </c>
      <c r="K22" s="45" t="s">
        <v>366</v>
      </c>
    </row>
    <row r="23" s="35" customFormat="1" ht="265" customHeight="1" spans="1:11">
      <c r="A23" s="42" t="s">
        <v>359</v>
      </c>
      <c r="B23" s="45" t="s">
        <v>429</v>
      </c>
      <c r="C23" s="45" t="s">
        <v>430</v>
      </c>
      <c r="D23" s="45" t="s">
        <v>403</v>
      </c>
      <c r="E23" s="45" t="s">
        <v>431</v>
      </c>
      <c r="F23" s="45" t="s">
        <v>405</v>
      </c>
      <c r="G23" s="42" t="s">
        <v>365</v>
      </c>
      <c r="H23" s="45">
        <v>6919</v>
      </c>
      <c r="I23" s="42">
        <v>6919</v>
      </c>
      <c r="J23" s="45">
        <v>0</v>
      </c>
      <c r="K23" s="45" t="s">
        <v>366</v>
      </c>
    </row>
    <row r="24" s="35" customFormat="1" ht="192" customHeight="1" spans="1:11">
      <c r="A24" s="42" t="s">
        <v>359</v>
      </c>
      <c r="B24" s="45" t="s">
        <v>432</v>
      </c>
      <c r="C24" s="45" t="s">
        <v>65</v>
      </c>
      <c r="D24" s="45" t="s">
        <v>433</v>
      </c>
      <c r="E24" s="45" t="s">
        <v>434</v>
      </c>
      <c r="F24" s="45" t="s">
        <v>435</v>
      </c>
      <c r="G24" s="42" t="s">
        <v>365</v>
      </c>
      <c r="H24" s="45">
        <v>90</v>
      </c>
      <c r="I24" s="42">
        <v>90</v>
      </c>
      <c r="J24" s="45">
        <v>0</v>
      </c>
      <c r="K24" s="45" t="s">
        <v>366</v>
      </c>
    </row>
    <row r="25" s="35" customFormat="1" ht="192" customHeight="1" spans="1:11">
      <c r="A25" s="42" t="s">
        <v>359</v>
      </c>
      <c r="B25" s="45" t="s">
        <v>436</v>
      </c>
      <c r="C25" s="45" t="s">
        <v>65</v>
      </c>
      <c r="D25" s="45" t="s">
        <v>437</v>
      </c>
      <c r="E25" s="45" t="s">
        <v>438</v>
      </c>
      <c r="F25" s="45" t="s">
        <v>439</v>
      </c>
      <c r="G25" s="42" t="s">
        <v>365</v>
      </c>
      <c r="H25" s="45">
        <v>40</v>
      </c>
      <c r="I25" s="42">
        <v>40</v>
      </c>
      <c r="J25" s="45">
        <v>0</v>
      </c>
      <c r="K25" s="45" t="s">
        <v>366</v>
      </c>
    </row>
    <row r="26" s="35" customFormat="1" ht="192" customHeight="1" spans="1:11">
      <c r="A26" s="42" t="s">
        <v>359</v>
      </c>
      <c r="B26" s="45" t="s">
        <v>440</v>
      </c>
      <c r="C26" s="45" t="s">
        <v>65</v>
      </c>
      <c r="D26" s="45" t="s">
        <v>437</v>
      </c>
      <c r="E26" s="45" t="s">
        <v>441</v>
      </c>
      <c r="F26" s="45" t="s">
        <v>442</v>
      </c>
      <c r="G26" s="42" t="s">
        <v>365</v>
      </c>
      <c r="H26" s="45">
        <v>15</v>
      </c>
      <c r="I26" s="42">
        <v>15</v>
      </c>
      <c r="J26" s="45">
        <v>0</v>
      </c>
      <c r="K26" s="45" t="s">
        <v>366</v>
      </c>
    </row>
    <row r="27" s="35" customFormat="1" ht="192" customHeight="1" spans="1:11">
      <c r="A27" s="42" t="s">
        <v>359</v>
      </c>
      <c r="B27" s="45" t="s">
        <v>443</v>
      </c>
      <c r="C27" s="45" t="s">
        <v>444</v>
      </c>
      <c r="D27" s="45" t="s">
        <v>445</v>
      </c>
      <c r="E27" s="45" t="s">
        <v>446</v>
      </c>
      <c r="F27" s="45" t="s">
        <v>447</v>
      </c>
      <c r="G27" s="42" t="s">
        <v>365</v>
      </c>
      <c r="H27" s="45">
        <v>86</v>
      </c>
      <c r="I27" s="42">
        <v>86</v>
      </c>
      <c r="J27" s="45">
        <v>0</v>
      </c>
      <c r="K27" s="45" t="s">
        <v>366</v>
      </c>
    </row>
    <row r="28" s="35" customFormat="1" ht="192" customHeight="1" spans="1:11">
      <c r="A28" s="42" t="s">
        <v>359</v>
      </c>
      <c r="B28" s="45" t="s">
        <v>448</v>
      </c>
      <c r="C28" s="45" t="s">
        <v>65</v>
      </c>
      <c r="D28" s="45" t="s">
        <v>445</v>
      </c>
      <c r="E28" s="45" t="s">
        <v>449</v>
      </c>
      <c r="F28" s="45" t="s">
        <v>450</v>
      </c>
      <c r="G28" s="42" t="s">
        <v>365</v>
      </c>
      <c r="H28" s="45">
        <v>20</v>
      </c>
      <c r="I28" s="42">
        <v>20</v>
      </c>
      <c r="J28" s="45">
        <v>0</v>
      </c>
      <c r="K28" s="45" t="s">
        <v>366</v>
      </c>
    </row>
    <row r="29" s="35" customFormat="1" ht="192" customHeight="1" spans="1:11">
      <c r="A29" s="42" t="s">
        <v>359</v>
      </c>
      <c r="B29" s="45" t="s">
        <v>451</v>
      </c>
      <c r="C29" s="45" t="s">
        <v>65</v>
      </c>
      <c r="D29" s="45" t="s">
        <v>445</v>
      </c>
      <c r="E29" s="45" t="s">
        <v>452</v>
      </c>
      <c r="F29" s="45" t="s">
        <v>453</v>
      </c>
      <c r="G29" s="42" t="s">
        <v>365</v>
      </c>
      <c r="H29" s="45">
        <v>19.24</v>
      </c>
      <c r="I29" s="42">
        <v>19.24</v>
      </c>
      <c r="J29" s="45">
        <v>0</v>
      </c>
      <c r="K29" s="45" t="s">
        <v>366</v>
      </c>
    </row>
    <row r="30" s="35" customFormat="1" ht="192" customHeight="1" spans="1:11">
      <c r="A30" s="42" t="s">
        <v>359</v>
      </c>
      <c r="B30" s="45" t="s">
        <v>454</v>
      </c>
      <c r="C30" s="45" t="s">
        <v>65</v>
      </c>
      <c r="D30" s="45" t="s">
        <v>445</v>
      </c>
      <c r="E30" s="45" t="s">
        <v>453</v>
      </c>
      <c r="F30" s="45" t="s">
        <v>453</v>
      </c>
      <c r="G30" s="42" t="s">
        <v>365</v>
      </c>
      <c r="H30" s="45">
        <v>10</v>
      </c>
      <c r="I30" s="42">
        <v>10</v>
      </c>
      <c r="J30" s="45">
        <v>0</v>
      </c>
      <c r="K30" s="45" t="s">
        <v>366</v>
      </c>
    </row>
    <row r="31" s="35" customFormat="1" ht="192" customHeight="1" spans="1:11">
      <c r="A31" s="42" t="s">
        <v>359</v>
      </c>
      <c r="B31" s="45" t="s">
        <v>455</v>
      </c>
      <c r="C31" s="45" t="s">
        <v>456</v>
      </c>
      <c r="D31" s="45" t="s">
        <v>393</v>
      </c>
      <c r="E31" s="45" t="s">
        <v>457</v>
      </c>
      <c r="F31" s="45" t="s">
        <v>458</v>
      </c>
      <c r="G31" s="42" t="s">
        <v>365</v>
      </c>
      <c r="H31" s="45">
        <v>30</v>
      </c>
      <c r="I31" s="42">
        <v>30</v>
      </c>
      <c r="J31" s="45">
        <v>0</v>
      </c>
      <c r="K31" s="45" t="s">
        <v>366</v>
      </c>
    </row>
    <row r="32" s="35" customFormat="1" ht="192" customHeight="1" spans="1:11">
      <c r="A32" s="42" t="s">
        <v>359</v>
      </c>
      <c r="B32" s="45" t="s">
        <v>459</v>
      </c>
      <c r="C32" s="45" t="s">
        <v>460</v>
      </c>
      <c r="D32" s="45" t="s">
        <v>461</v>
      </c>
      <c r="E32" s="45" t="s">
        <v>462</v>
      </c>
      <c r="F32" s="45" t="s">
        <v>463</v>
      </c>
      <c r="G32" s="42" t="s">
        <v>365</v>
      </c>
      <c r="H32" s="45">
        <v>99.8</v>
      </c>
      <c r="I32" s="42">
        <v>99.8</v>
      </c>
      <c r="J32" s="45">
        <v>0</v>
      </c>
      <c r="K32" s="45" t="s">
        <v>366</v>
      </c>
    </row>
    <row r="33" s="35" customFormat="1" ht="192" customHeight="1" spans="1:11">
      <c r="A33" s="42" t="s">
        <v>359</v>
      </c>
      <c r="B33" s="45" t="s">
        <v>464</v>
      </c>
      <c r="C33" s="45" t="s">
        <v>465</v>
      </c>
      <c r="D33" s="45" t="s">
        <v>466</v>
      </c>
      <c r="E33" s="45" t="s">
        <v>467</v>
      </c>
      <c r="F33" s="45" t="s">
        <v>468</v>
      </c>
      <c r="G33" s="42" t="s">
        <v>365</v>
      </c>
      <c r="H33" s="45">
        <v>500</v>
      </c>
      <c r="I33" s="42">
        <v>500</v>
      </c>
      <c r="J33" s="45">
        <v>0</v>
      </c>
      <c r="K33" s="45" t="s">
        <v>366</v>
      </c>
    </row>
    <row r="34" s="35" customFormat="1" ht="192" customHeight="1" spans="1:11">
      <c r="A34" s="42" t="s">
        <v>359</v>
      </c>
      <c r="B34" s="45" t="s">
        <v>469</v>
      </c>
      <c r="C34" s="45" t="s">
        <v>470</v>
      </c>
      <c r="D34" s="45" t="s">
        <v>471</v>
      </c>
      <c r="E34" s="45" t="s">
        <v>472</v>
      </c>
      <c r="F34" s="45" t="s">
        <v>468</v>
      </c>
      <c r="G34" s="42" t="s">
        <v>365</v>
      </c>
      <c r="H34" s="45">
        <v>150</v>
      </c>
      <c r="I34" s="42">
        <v>150</v>
      </c>
      <c r="J34" s="45">
        <v>0</v>
      </c>
      <c r="K34" s="45" t="s">
        <v>366</v>
      </c>
    </row>
    <row r="35" s="35" customFormat="1" ht="192" customHeight="1" spans="1:11">
      <c r="A35" s="42" t="s">
        <v>359</v>
      </c>
      <c r="B35" s="45" t="s">
        <v>473</v>
      </c>
      <c r="C35" s="45" t="s">
        <v>474</v>
      </c>
      <c r="D35" s="45" t="s">
        <v>437</v>
      </c>
      <c r="E35" s="45" t="s">
        <v>475</v>
      </c>
      <c r="F35" s="45" t="s">
        <v>476</v>
      </c>
      <c r="G35" s="42" t="s">
        <v>365</v>
      </c>
      <c r="H35" s="45">
        <v>1962.84</v>
      </c>
      <c r="I35" s="42">
        <v>1962.84</v>
      </c>
      <c r="J35" s="45">
        <v>0</v>
      </c>
      <c r="K35" s="45" t="s">
        <v>366</v>
      </c>
    </row>
    <row r="36" s="35" customFormat="1" ht="192" customHeight="1" spans="1:11">
      <c r="A36" s="42" t="s">
        <v>359</v>
      </c>
      <c r="B36" s="45" t="s">
        <v>477</v>
      </c>
      <c r="C36" s="45" t="s">
        <v>478</v>
      </c>
      <c r="D36" s="45" t="s">
        <v>479</v>
      </c>
      <c r="E36" s="45" t="s">
        <v>480</v>
      </c>
      <c r="F36" s="45" t="s">
        <v>481</v>
      </c>
      <c r="G36" s="42" t="s">
        <v>365</v>
      </c>
      <c r="H36" s="45">
        <v>800</v>
      </c>
      <c r="I36" s="42">
        <v>800</v>
      </c>
      <c r="J36" s="45">
        <v>0</v>
      </c>
      <c r="K36" s="45" t="s">
        <v>366</v>
      </c>
    </row>
    <row r="37" s="35" customFormat="1" ht="192" customHeight="1" spans="1:11">
      <c r="A37" s="42" t="s">
        <v>359</v>
      </c>
      <c r="B37" s="45" t="s">
        <v>482</v>
      </c>
      <c r="C37" s="45" t="s">
        <v>483</v>
      </c>
      <c r="D37" s="45" t="s">
        <v>471</v>
      </c>
      <c r="E37" s="45" t="s">
        <v>484</v>
      </c>
      <c r="F37" s="45" t="s">
        <v>485</v>
      </c>
      <c r="G37" s="42" t="s">
        <v>365</v>
      </c>
      <c r="H37" s="45">
        <v>150</v>
      </c>
      <c r="I37" s="42">
        <v>150</v>
      </c>
      <c r="J37" s="45">
        <v>0</v>
      </c>
      <c r="K37" s="45" t="s">
        <v>366</v>
      </c>
    </row>
    <row r="38" s="35" customFormat="1" ht="192" customHeight="1" spans="1:11">
      <c r="A38" s="42" t="s">
        <v>359</v>
      </c>
      <c r="B38" s="45" t="s">
        <v>486</v>
      </c>
      <c r="C38" s="45" t="s">
        <v>487</v>
      </c>
      <c r="D38" s="45" t="s">
        <v>369</v>
      </c>
      <c r="E38" s="45" t="s">
        <v>488</v>
      </c>
      <c r="F38" s="45" t="s">
        <v>489</v>
      </c>
      <c r="G38" s="42" t="s">
        <v>365</v>
      </c>
      <c r="H38" s="45">
        <v>3344.06</v>
      </c>
      <c r="I38" s="42">
        <v>3344.06</v>
      </c>
      <c r="J38" s="45">
        <v>0</v>
      </c>
      <c r="K38" s="45" t="s">
        <v>366</v>
      </c>
    </row>
    <row r="39" s="35" customFormat="1" ht="192" customHeight="1" spans="1:11">
      <c r="A39" s="42" t="s">
        <v>359</v>
      </c>
      <c r="B39" s="45" t="s">
        <v>490</v>
      </c>
      <c r="C39" s="45" t="s">
        <v>491</v>
      </c>
      <c r="D39" s="45" t="s">
        <v>492</v>
      </c>
      <c r="E39" s="45" t="s">
        <v>493</v>
      </c>
      <c r="F39" s="45" t="s">
        <v>468</v>
      </c>
      <c r="G39" s="42" t="s">
        <v>365</v>
      </c>
      <c r="H39" s="45">
        <v>200</v>
      </c>
      <c r="I39" s="42">
        <v>200</v>
      </c>
      <c r="J39" s="45">
        <v>0</v>
      </c>
      <c r="K39" s="45" t="s">
        <v>366</v>
      </c>
    </row>
    <row r="40" s="35" customFormat="1" ht="192" customHeight="1" spans="1:11">
      <c r="A40" s="42" t="s">
        <v>359</v>
      </c>
      <c r="B40" s="45" t="s">
        <v>494</v>
      </c>
      <c r="C40" s="45" t="s">
        <v>495</v>
      </c>
      <c r="D40" s="45" t="s">
        <v>393</v>
      </c>
      <c r="E40" s="45" t="s">
        <v>496</v>
      </c>
      <c r="F40" s="45" t="s">
        <v>497</v>
      </c>
      <c r="G40" s="42" t="s">
        <v>365</v>
      </c>
      <c r="H40" s="45">
        <v>300</v>
      </c>
      <c r="I40" s="42">
        <v>300</v>
      </c>
      <c r="J40" s="45">
        <v>0</v>
      </c>
      <c r="K40" s="45" t="s">
        <v>366</v>
      </c>
    </row>
    <row r="41" s="35" customFormat="1" ht="192" customHeight="1" spans="1:11">
      <c r="A41" s="42" t="s">
        <v>359</v>
      </c>
      <c r="B41" s="45" t="s">
        <v>498</v>
      </c>
      <c r="C41" s="45" t="s">
        <v>499</v>
      </c>
      <c r="D41" s="45" t="s">
        <v>437</v>
      </c>
      <c r="E41" s="45" t="s">
        <v>500</v>
      </c>
      <c r="F41" s="45" t="s">
        <v>501</v>
      </c>
      <c r="G41" s="42" t="s">
        <v>365</v>
      </c>
      <c r="H41" s="45">
        <v>500</v>
      </c>
      <c r="I41" s="42">
        <v>500</v>
      </c>
      <c r="J41" s="45">
        <v>0</v>
      </c>
      <c r="K41" s="45" t="s">
        <v>366</v>
      </c>
    </row>
    <row r="42" s="35" customFormat="1" ht="192" customHeight="1" spans="1:11">
      <c r="A42" s="42" t="s">
        <v>359</v>
      </c>
      <c r="B42" s="45" t="s">
        <v>502</v>
      </c>
      <c r="C42" s="45" t="s">
        <v>503</v>
      </c>
      <c r="D42" s="45" t="s">
        <v>504</v>
      </c>
      <c r="E42" s="45" t="s">
        <v>505</v>
      </c>
      <c r="F42" s="45" t="s">
        <v>506</v>
      </c>
      <c r="G42" s="42" t="s">
        <v>365</v>
      </c>
      <c r="H42" s="45">
        <v>900</v>
      </c>
      <c r="I42" s="42">
        <v>900</v>
      </c>
      <c r="J42" s="45">
        <v>0</v>
      </c>
      <c r="K42" s="45" t="s">
        <v>366</v>
      </c>
    </row>
    <row r="43" s="35" customFormat="1" ht="192" customHeight="1" spans="1:11">
      <c r="A43" s="42" t="s">
        <v>359</v>
      </c>
      <c r="B43" s="45" t="s">
        <v>507</v>
      </c>
      <c r="C43" s="45" t="s">
        <v>508</v>
      </c>
      <c r="D43" s="45" t="s">
        <v>504</v>
      </c>
      <c r="E43" s="45" t="s">
        <v>509</v>
      </c>
      <c r="F43" s="45" t="s">
        <v>510</v>
      </c>
      <c r="G43" s="42" t="s">
        <v>365</v>
      </c>
      <c r="H43" s="45">
        <v>500</v>
      </c>
      <c r="I43" s="42">
        <v>500</v>
      </c>
      <c r="J43" s="45">
        <v>0</v>
      </c>
      <c r="K43" s="45" t="s">
        <v>366</v>
      </c>
    </row>
    <row r="44" s="35" customFormat="1" ht="192" customHeight="1" spans="1:11">
      <c r="A44" s="42" t="s">
        <v>359</v>
      </c>
      <c r="B44" s="45" t="s">
        <v>511</v>
      </c>
      <c r="C44" s="45" t="s">
        <v>512</v>
      </c>
      <c r="D44" s="45" t="s">
        <v>437</v>
      </c>
      <c r="E44" s="45" t="s">
        <v>513</v>
      </c>
      <c r="F44" s="45" t="s">
        <v>514</v>
      </c>
      <c r="G44" s="42" t="s">
        <v>365</v>
      </c>
      <c r="H44" s="45">
        <v>900</v>
      </c>
      <c r="I44" s="42">
        <v>900</v>
      </c>
      <c r="J44" s="45">
        <v>0</v>
      </c>
      <c r="K44" s="45" t="s">
        <v>366</v>
      </c>
    </row>
    <row r="45" s="35" customFormat="1" ht="192" customHeight="1" spans="1:11">
      <c r="A45" s="42" t="s">
        <v>359</v>
      </c>
      <c r="B45" s="45" t="s">
        <v>515</v>
      </c>
      <c r="C45" s="45" t="s">
        <v>516</v>
      </c>
      <c r="D45" s="45" t="s">
        <v>504</v>
      </c>
      <c r="E45" s="45" t="s">
        <v>517</v>
      </c>
      <c r="F45" s="45" t="s">
        <v>518</v>
      </c>
      <c r="G45" s="42" t="s">
        <v>365</v>
      </c>
      <c r="H45" s="45">
        <v>950</v>
      </c>
      <c r="I45" s="42">
        <v>950</v>
      </c>
      <c r="J45" s="45">
        <v>0</v>
      </c>
      <c r="K45" s="45" t="s">
        <v>366</v>
      </c>
    </row>
    <row r="46" s="35" customFormat="1" ht="192" customHeight="1" spans="1:11">
      <c r="A46" s="42" t="s">
        <v>359</v>
      </c>
      <c r="B46" s="45" t="s">
        <v>519</v>
      </c>
      <c r="C46" s="45" t="s">
        <v>520</v>
      </c>
      <c r="D46" s="45" t="s">
        <v>504</v>
      </c>
      <c r="E46" s="45" t="s">
        <v>521</v>
      </c>
      <c r="F46" s="45" t="s">
        <v>522</v>
      </c>
      <c r="G46" s="42" t="s">
        <v>365</v>
      </c>
      <c r="H46" s="45">
        <v>200</v>
      </c>
      <c r="I46" s="42">
        <v>200</v>
      </c>
      <c r="J46" s="45">
        <v>0</v>
      </c>
      <c r="K46" s="45" t="s">
        <v>366</v>
      </c>
    </row>
    <row r="47" s="35" customFormat="1" ht="192" customHeight="1" spans="1:11">
      <c r="A47" s="42" t="s">
        <v>359</v>
      </c>
      <c r="B47" s="45" t="s">
        <v>523</v>
      </c>
      <c r="C47" s="45" t="s">
        <v>508</v>
      </c>
      <c r="D47" s="45" t="s">
        <v>504</v>
      </c>
      <c r="E47" s="45" t="s">
        <v>524</v>
      </c>
      <c r="F47" s="45" t="s">
        <v>525</v>
      </c>
      <c r="G47" s="42" t="s">
        <v>365</v>
      </c>
      <c r="H47" s="45">
        <v>300</v>
      </c>
      <c r="I47" s="42">
        <v>300</v>
      </c>
      <c r="J47" s="45">
        <v>0</v>
      </c>
      <c r="K47" s="45" t="s">
        <v>366</v>
      </c>
    </row>
    <row r="48" s="35" customFormat="1" ht="209" customHeight="1" spans="1:11">
      <c r="A48" s="42" t="s">
        <v>359</v>
      </c>
      <c r="B48" s="45" t="s">
        <v>526</v>
      </c>
      <c r="C48" s="45" t="s">
        <v>527</v>
      </c>
      <c r="D48" s="45" t="s">
        <v>437</v>
      </c>
      <c r="E48" s="45" t="s">
        <v>528</v>
      </c>
      <c r="F48" s="45" t="s">
        <v>529</v>
      </c>
      <c r="G48" s="42" t="s">
        <v>365</v>
      </c>
      <c r="H48" s="45">
        <v>600</v>
      </c>
      <c r="I48" s="42">
        <v>600</v>
      </c>
      <c r="J48" s="45">
        <v>0</v>
      </c>
      <c r="K48" s="45" t="s">
        <v>366</v>
      </c>
    </row>
    <row r="49" ht="184.15" customHeight="1" spans="1:11">
      <c r="A49" s="49" t="s">
        <v>530</v>
      </c>
      <c r="B49" s="49"/>
      <c r="C49" s="49"/>
      <c r="D49" s="49"/>
      <c r="E49" s="49"/>
      <c r="F49" s="49"/>
      <c r="G49" s="49"/>
      <c r="H49" s="49"/>
      <c r="I49" s="49"/>
      <c r="J49" s="49"/>
      <c r="K49" s="49"/>
    </row>
  </sheetData>
  <mergeCells count="11">
    <mergeCell ref="A2:K2"/>
    <mergeCell ref="H4:J4"/>
    <mergeCell ref="A49:K49"/>
    <mergeCell ref="A4:A5"/>
    <mergeCell ref="B4:B5"/>
    <mergeCell ref="C4:C5"/>
    <mergeCell ref="D4:D5"/>
    <mergeCell ref="E4:E5"/>
    <mergeCell ref="F4:F5"/>
    <mergeCell ref="G4:G5"/>
    <mergeCell ref="K4:K5"/>
  </mergeCells>
  <pageMargins left="0.707638888888889" right="0.707638888888889" top="0.747916666666667" bottom="0.747916666666667" header="0.313888888888889" footer="0.313888888888889"/>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31"/>
  <sheetViews>
    <sheetView workbookViewId="0">
      <selection activeCell="H4" sqref="H4"/>
    </sheetView>
  </sheetViews>
  <sheetFormatPr defaultColWidth="9" defaultRowHeight="14.25" outlineLevelCol="6"/>
  <cols>
    <col min="1" max="1" width="11.125" style="15" customWidth="1"/>
    <col min="2" max="2" width="11.5" style="15" customWidth="1"/>
    <col min="3" max="3" width="29.375" style="15" customWidth="1"/>
    <col min="4" max="4" width="30.75" style="15" customWidth="1"/>
    <col min="5" max="16384" width="9" style="15"/>
  </cols>
  <sheetData>
    <row r="1" s="15" customFormat="1" ht="25.15" customHeight="1" spans="1:4">
      <c r="A1" s="2" t="s">
        <v>531</v>
      </c>
      <c r="B1" s="1"/>
      <c r="C1" s="1"/>
      <c r="D1" s="1"/>
    </row>
    <row r="2" s="15" customFormat="1" ht="34.9" customHeight="1" spans="1:4">
      <c r="A2" s="16" t="s">
        <v>532</v>
      </c>
      <c r="B2" s="16"/>
      <c r="C2" s="16"/>
      <c r="D2" s="16"/>
    </row>
    <row r="3" s="15" customFormat="1" ht="34.9" customHeight="1" spans="1:4">
      <c r="A3" s="17" t="s">
        <v>533</v>
      </c>
      <c r="B3" s="18"/>
      <c r="C3" s="18" t="s">
        <v>359</v>
      </c>
      <c r="D3" s="18"/>
    </row>
    <row r="4" s="15" customFormat="1" ht="86.25" customHeight="1" spans="1:4">
      <c r="A4" s="4" t="s">
        <v>534</v>
      </c>
      <c r="B4" s="6" t="s">
        <v>535</v>
      </c>
      <c r="C4" s="6"/>
      <c r="D4" s="6"/>
    </row>
    <row r="5" s="15" customFormat="1" ht="20.1" customHeight="1" spans="1:4">
      <c r="A5" s="4" t="s">
        <v>536</v>
      </c>
      <c r="B5" s="4" t="s">
        <v>537</v>
      </c>
      <c r="C5" s="4" t="s">
        <v>538</v>
      </c>
      <c r="D5" s="4" t="s">
        <v>539</v>
      </c>
    </row>
    <row r="6" s="15" customFormat="1" ht="20.1" customHeight="1" spans="1:4">
      <c r="A6" s="4"/>
      <c r="B6" s="7" t="s">
        <v>540</v>
      </c>
      <c r="C6" s="8" t="s">
        <v>541</v>
      </c>
      <c r="D6" s="9" t="s">
        <v>542</v>
      </c>
    </row>
    <row r="7" s="15" customFormat="1" ht="30" customHeight="1" spans="1:4">
      <c r="A7" s="4"/>
      <c r="B7" s="10"/>
      <c r="C7" s="8" t="s">
        <v>543</v>
      </c>
      <c r="D7" s="9" t="s">
        <v>542</v>
      </c>
    </row>
    <row r="8" s="15" customFormat="1" ht="20.1" customHeight="1" spans="1:4">
      <c r="A8" s="4"/>
      <c r="B8" s="13"/>
      <c r="C8" s="8" t="s">
        <v>544</v>
      </c>
      <c r="D8" s="14">
        <v>1</v>
      </c>
    </row>
    <row r="9" s="15" customFormat="1" ht="20.1" customHeight="1" spans="1:4">
      <c r="A9" s="4"/>
      <c r="B9" s="7" t="s">
        <v>545</v>
      </c>
      <c r="C9" s="8" t="s">
        <v>546</v>
      </c>
      <c r="D9" s="14">
        <v>1</v>
      </c>
    </row>
    <row r="10" s="15" customFormat="1" ht="32" customHeight="1" spans="1:4">
      <c r="A10" s="4"/>
      <c r="B10" s="10"/>
      <c r="C10" s="8" t="s">
        <v>547</v>
      </c>
      <c r="D10" s="9" t="s">
        <v>548</v>
      </c>
    </row>
    <row r="11" s="15" customFormat="1" ht="27" customHeight="1" spans="1:4">
      <c r="A11" s="4"/>
      <c r="B11" s="13"/>
      <c r="C11" s="8" t="s">
        <v>549</v>
      </c>
      <c r="D11" s="9" t="s">
        <v>550</v>
      </c>
    </row>
    <row r="12" s="15" customFormat="1" ht="20.1" customHeight="1" spans="1:4">
      <c r="A12" s="4"/>
      <c r="B12" s="9" t="s">
        <v>551</v>
      </c>
      <c r="C12" s="8" t="s">
        <v>552</v>
      </c>
      <c r="D12" s="9" t="s">
        <v>553</v>
      </c>
    </row>
    <row r="13" s="15" customFormat="1" ht="26.25" customHeight="1" spans="1:4">
      <c r="A13" s="11" t="s">
        <v>554</v>
      </c>
      <c r="B13" s="11"/>
      <c r="C13" s="11"/>
      <c r="D13" s="11"/>
    </row>
    <row r="15" s="15" customFormat="1" ht="20.25" spans="1:4">
      <c r="A15" s="16" t="s">
        <v>532</v>
      </c>
      <c r="B15" s="16"/>
      <c r="C15" s="16"/>
      <c r="D15" s="16"/>
    </row>
    <row r="16" s="15" customFormat="1" spans="1:4">
      <c r="A16" s="17" t="s">
        <v>533</v>
      </c>
      <c r="B16" s="18"/>
      <c r="C16" s="18" t="s">
        <v>45</v>
      </c>
      <c r="D16" s="18"/>
    </row>
    <row r="17" s="15" customFormat="1" ht="30" customHeight="1" spans="1:4">
      <c r="A17" s="4" t="s">
        <v>534</v>
      </c>
      <c r="B17" s="6" t="s">
        <v>555</v>
      </c>
      <c r="C17" s="6"/>
      <c r="D17" s="6"/>
    </row>
    <row r="18" s="15" customFormat="1" ht="32" customHeight="1" spans="1:4">
      <c r="A18" s="4" t="s">
        <v>536</v>
      </c>
      <c r="B18" s="4" t="s">
        <v>537</v>
      </c>
      <c r="C18" s="4" t="s">
        <v>538</v>
      </c>
      <c r="D18" s="4" t="s">
        <v>539</v>
      </c>
    </row>
    <row r="19" s="15" customFormat="1" spans="1:4">
      <c r="A19" s="4"/>
      <c r="B19" s="7" t="s">
        <v>540</v>
      </c>
      <c r="C19" s="8" t="s">
        <v>541</v>
      </c>
      <c r="D19" s="19" t="s">
        <v>556</v>
      </c>
    </row>
    <row r="20" s="15" customFormat="1" ht="27" spans="1:4">
      <c r="A20" s="4"/>
      <c r="B20" s="10"/>
      <c r="C20" s="8" t="s">
        <v>543</v>
      </c>
      <c r="D20" s="19" t="s">
        <v>556</v>
      </c>
    </row>
    <row r="21" s="15" customFormat="1" spans="1:4">
      <c r="A21" s="4"/>
      <c r="B21" s="13"/>
      <c r="C21" s="8" t="s">
        <v>544</v>
      </c>
      <c r="D21" s="20">
        <v>0.9</v>
      </c>
    </row>
    <row r="22" s="15" customFormat="1" spans="1:4">
      <c r="A22" s="4"/>
      <c r="B22" s="7" t="s">
        <v>545</v>
      </c>
      <c r="C22" s="8" t="s">
        <v>546</v>
      </c>
      <c r="D22" s="14">
        <v>0.9</v>
      </c>
    </row>
    <row r="23" s="15" customFormat="1" ht="27" spans="1:4">
      <c r="A23" s="4"/>
      <c r="B23" s="10"/>
      <c r="C23" s="8" t="s">
        <v>547</v>
      </c>
      <c r="D23" s="9" t="s">
        <v>557</v>
      </c>
    </row>
    <row r="24" s="15" customFormat="1" ht="27" spans="1:4">
      <c r="A24" s="4"/>
      <c r="B24" s="13"/>
      <c r="C24" s="8" t="s">
        <v>549</v>
      </c>
      <c r="D24" s="9" t="s">
        <v>550</v>
      </c>
    </row>
    <row r="25" s="15" customFormat="1" ht="21" customHeight="1" spans="1:4">
      <c r="A25" s="4"/>
      <c r="B25" s="9" t="s">
        <v>551</v>
      </c>
      <c r="C25" s="8" t="s">
        <v>552</v>
      </c>
      <c r="D25" s="14">
        <v>0.9</v>
      </c>
    </row>
    <row r="26" s="15" customFormat="1" ht="16.5" spans="1:4">
      <c r="A26" s="11" t="s">
        <v>554</v>
      </c>
      <c r="B26" s="11"/>
      <c r="C26" s="11"/>
      <c r="D26" s="11"/>
    </row>
    <row r="28" s="15" customFormat="1" ht="20.25" spans="1:4">
      <c r="A28" s="16" t="s">
        <v>532</v>
      </c>
      <c r="B28" s="16"/>
      <c r="C28" s="16"/>
      <c r="D28" s="16"/>
    </row>
    <row r="29" s="15" customFormat="1" spans="1:4">
      <c r="A29" s="17" t="s">
        <v>533</v>
      </c>
      <c r="B29" s="18"/>
      <c r="C29" s="18" t="s">
        <v>558</v>
      </c>
      <c r="D29" s="18"/>
    </row>
    <row r="30" s="15" customFormat="1" spans="1:4">
      <c r="A30" s="4" t="s">
        <v>534</v>
      </c>
      <c r="B30" s="6" t="s">
        <v>559</v>
      </c>
      <c r="C30" s="6"/>
      <c r="D30" s="6"/>
    </row>
    <row r="31" s="15" customFormat="1" spans="1:4">
      <c r="A31" s="4" t="s">
        <v>536</v>
      </c>
      <c r="B31" s="4" t="s">
        <v>537</v>
      </c>
      <c r="C31" s="4" t="s">
        <v>538</v>
      </c>
      <c r="D31" s="4" t="s">
        <v>539</v>
      </c>
    </row>
    <row r="32" s="15" customFormat="1" ht="27" spans="1:4">
      <c r="A32" s="4"/>
      <c r="B32" s="7" t="s">
        <v>540</v>
      </c>
      <c r="C32" s="8" t="s">
        <v>541</v>
      </c>
      <c r="D32" s="9" t="s">
        <v>560</v>
      </c>
    </row>
    <row r="33" s="15" customFormat="1" ht="27" spans="1:4">
      <c r="A33" s="4"/>
      <c r="B33" s="10"/>
      <c r="C33" s="8" t="s">
        <v>543</v>
      </c>
      <c r="D33" s="19" t="s">
        <v>556</v>
      </c>
    </row>
    <row r="34" s="15" customFormat="1" spans="1:4">
      <c r="A34" s="4"/>
      <c r="B34" s="13"/>
      <c r="C34" s="8" t="s">
        <v>544</v>
      </c>
      <c r="D34" s="14">
        <v>1</v>
      </c>
    </row>
    <row r="35" s="15" customFormat="1" spans="1:4">
      <c r="A35" s="4"/>
      <c r="B35" s="7" t="s">
        <v>545</v>
      </c>
      <c r="C35" s="8" t="s">
        <v>546</v>
      </c>
      <c r="D35" s="14">
        <v>1</v>
      </c>
    </row>
    <row r="36" s="15" customFormat="1" ht="27" spans="1:4">
      <c r="A36" s="4"/>
      <c r="B36" s="10"/>
      <c r="C36" s="8" t="s">
        <v>547</v>
      </c>
      <c r="D36" s="9" t="s">
        <v>561</v>
      </c>
    </row>
    <row r="37" s="15" customFormat="1" ht="27" spans="1:4">
      <c r="A37" s="4"/>
      <c r="B37" s="13"/>
      <c r="C37" s="8" t="s">
        <v>549</v>
      </c>
      <c r="D37" s="9" t="s">
        <v>550</v>
      </c>
    </row>
    <row r="38" s="15" customFormat="1" spans="1:4">
      <c r="A38" s="4"/>
      <c r="B38" s="9" t="s">
        <v>551</v>
      </c>
      <c r="C38" s="8" t="s">
        <v>552</v>
      </c>
      <c r="D38" s="14">
        <v>0.95</v>
      </c>
    </row>
    <row r="39" s="15" customFormat="1" ht="16.5" spans="1:4">
      <c r="A39" s="11" t="s">
        <v>554</v>
      </c>
      <c r="B39" s="11"/>
      <c r="C39" s="11"/>
      <c r="D39" s="11"/>
    </row>
    <row r="41" s="15" customFormat="1" ht="20.25" spans="1:4">
      <c r="A41" s="16" t="s">
        <v>532</v>
      </c>
      <c r="B41" s="16"/>
      <c r="C41" s="16"/>
      <c r="D41" s="16"/>
    </row>
    <row r="42" s="15" customFormat="1" spans="1:4">
      <c r="A42" s="21" t="s">
        <v>562</v>
      </c>
      <c r="B42" s="22"/>
      <c r="C42" s="22"/>
      <c r="D42" s="22"/>
    </row>
    <row r="43" s="15" customFormat="1" spans="1:4">
      <c r="A43" s="4" t="s">
        <v>534</v>
      </c>
      <c r="B43" s="6" t="s">
        <v>555</v>
      </c>
      <c r="C43" s="6"/>
      <c r="D43" s="6"/>
    </row>
    <row r="44" s="15" customFormat="1" spans="1:4">
      <c r="A44" s="4" t="s">
        <v>536</v>
      </c>
      <c r="B44" s="4" t="s">
        <v>537</v>
      </c>
      <c r="C44" s="4" t="s">
        <v>538</v>
      </c>
      <c r="D44" s="4" t="s">
        <v>539</v>
      </c>
    </row>
    <row r="45" s="15" customFormat="1" spans="1:4">
      <c r="A45" s="4"/>
      <c r="B45" s="7" t="s">
        <v>540</v>
      </c>
      <c r="C45" s="8" t="s">
        <v>541</v>
      </c>
      <c r="D45" s="23" t="s">
        <v>563</v>
      </c>
    </row>
    <row r="46" s="15" customFormat="1" ht="27" spans="1:4">
      <c r="A46" s="4"/>
      <c r="B46" s="10"/>
      <c r="C46" s="8" t="s">
        <v>543</v>
      </c>
      <c r="D46" s="23" t="s">
        <v>563</v>
      </c>
    </row>
    <row r="47" s="15" customFormat="1" spans="1:4">
      <c r="A47" s="4"/>
      <c r="B47" s="13"/>
      <c r="C47" s="8" t="s">
        <v>544</v>
      </c>
      <c r="D47" s="24">
        <v>0.9</v>
      </c>
    </row>
    <row r="48" s="15" customFormat="1" spans="1:4">
      <c r="A48" s="4"/>
      <c r="B48" s="7" t="s">
        <v>545</v>
      </c>
      <c r="C48" s="8" t="s">
        <v>546</v>
      </c>
      <c r="D48" s="14">
        <v>1</v>
      </c>
    </row>
    <row r="49" s="15" customFormat="1" ht="27" spans="1:4">
      <c r="A49" s="4"/>
      <c r="B49" s="10"/>
      <c r="C49" s="8" t="s">
        <v>547</v>
      </c>
      <c r="D49" s="9" t="s">
        <v>564</v>
      </c>
    </row>
    <row r="50" s="15" customFormat="1" ht="27" spans="1:4">
      <c r="A50" s="4"/>
      <c r="B50" s="13"/>
      <c r="C50" s="8" t="s">
        <v>549</v>
      </c>
      <c r="D50" s="9" t="s">
        <v>550</v>
      </c>
    </row>
    <row r="51" s="15" customFormat="1" spans="1:4">
      <c r="A51" s="4"/>
      <c r="B51" s="9" t="s">
        <v>551</v>
      </c>
      <c r="C51" s="8" t="s">
        <v>552</v>
      </c>
      <c r="D51" s="14">
        <v>0.9</v>
      </c>
    </row>
    <row r="52" s="15" customFormat="1" ht="16.5" spans="1:4">
      <c r="A52" s="11" t="s">
        <v>554</v>
      </c>
      <c r="B52" s="11"/>
      <c r="C52" s="11"/>
      <c r="D52" s="11"/>
    </row>
    <row r="54" s="15" customFormat="1" ht="20.25" spans="1:4">
      <c r="A54" s="16" t="s">
        <v>532</v>
      </c>
      <c r="B54" s="16"/>
      <c r="C54" s="16"/>
      <c r="D54" s="16"/>
    </row>
    <row r="55" s="15" customFormat="1" ht="18" customHeight="1" spans="1:4">
      <c r="A55" s="25" t="s">
        <v>533</v>
      </c>
      <c r="B55" s="26"/>
      <c r="C55" s="26" t="s">
        <v>565</v>
      </c>
      <c r="D55" s="26"/>
    </row>
    <row r="56" s="15" customFormat="1" spans="1:4">
      <c r="A56" s="4" t="s">
        <v>534</v>
      </c>
      <c r="B56" s="6" t="s">
        <v>566</v>
      </c>
      <c r="C56" s="6"/>
      <c r="D56" s="6"/>
    </row>
    <row r="57" s="15" customFormat="1" spans="1:4">
      <c r="A57" s="4" t="s">
        <v>536</v>
      </c>
      <c r="B57" s="4" t="s">
        <v>537</v>
      </c>
      <c r="C57" s="4" t="s">
        <v>538</v>
      </c>
      <c r="D57" s="4" t="s">
        <v>539</v>
      </c>
    </row>
    <row r="58" s="15" customFormat="1" spans="1:4">
      <c r="A58" s="4"/>
      <c r="B58" s="7" t="s">
        <v>540</v>
      </c>
      <c r="C58" s="8" t="s">
        <v>541</v>
      </c>
      <c r="D58" s="9" t="s">
        <v>563</v>
      </c>
    </row>
    <row r="59" s="15" customFormat="1" ht="27" spans="1:4">
      <c r="A59" s="4"/>
      <c r="B59" s="10"/>
      <c r="C59" s="8" t="s">
        <v>543</v>
      </c>
      <c r="D59" s="9" t="s">
        <v>563</v>
      </c>
    </row>
    <row r="60" s="15" customFormat="1" spans="1:4">
      <c r="A60" s="4"/>
      <c r="B60" s="13"/>
      <c r="C60" s="8" t="s">
        <v>544</v>
      </c>
      <c r="D60" s="14">
        <v>1</v>
      </c>
    </row>
    <row r="61" s="15" customFormat="1" spans="1:4">
      <c r="A61" s="4"/>
      <c r="B61" s="7" t="s">
        <v>545</v>
      </c>
      <c r="C61" s="8" t="s">
        <v>546</v>
      </c>
      <c r="D61" s="14">
        <v>1</v>
      </c>
    </row>
    <row r="62" s="15" customFormat="1" ht="27" spans="1:4">
      <c r="A62" s="4"/>
      <c r="B62" s="10"/>
      <c r="C62" s="8" t="s">
        <v>547</v>
      </c>
      <c r="D62" s="9" t="s">
        <v>567</v>
      </c>
    </row>
    <row r="63" s="15" customFormat="1" ht="27" spans="1:4">
      <c r="A63" s="4"/>
      <c r="B63" s="13"/>
      <c r="C63" s="8" t="s">
        <v>549</v>
      </c>
      <c r="D63" s="9" t="s">
        <v>550</v>
      </c>
    </row>
    <row r="64" s="15" customFormat="1" spans="1:4">
      <c r="A64" s="4"/>
      <c r="B64" s="9" t="s">
        <v>551</v>
      </c>
      <c r="C64" s="8" t="s">
        <v>552</v>
      </c>
      <c r="D64" s="14">
        <v>0.95</v>
      </c>
    </row>
    <row r="65" s="15" customFormat="1" ht="16.5" spans="1:4">
      <c r="A65" s="11" t="s">
        <v>554</v>
      </c>
      <c r="B65" s="11"/>
      <c r="C65" s="11"/>
      <c r="D65" s="11"/>
    </row>
    <row r="67" s="15" customFormat="1" ht="20.25" spans="1:4">
      <c r="A67" s="16" t="s">
        <v>532</v>
      </c>
      <c r="B67" s="16"/>
      <c r="C67" s="16"/>
      <c r="D67" s="16"/>
    </row>
    <row r="68" s="15" customFormat="1" spans="1:7">
      <c r="A68" s="17" t="s">
        <v>533</v>
      </c>
      <c r="B68" s="18"/>
      <c r="C68" s="27" t="s">
        <v>568</v>
      </c>
      <c r="D68" s="27"/>
      <c r="E68" s="28"/>
      <c r="F68" s="28"/>
      <c r="G68" s="28"/>
    </row>
    <row r="69" s="15" customFormat="1" ht="37" customHeight="1" spans="1:4">
      <c r="A69" s="4" t="s">
        <v>534</v>
      </c>
      <c r="B69" s="6" t="s">
        <v>569</v>
      </c>
      <c r="C69" s="6"/>
      <c r="D69" s="6"/>
    </row>
    <row r="70" s="15" customFormat="1" spans="1:4">
      <c r="A70" s="4" t="s">
        <v>536</v>
      </c>
      <c r="B70" s="4" t="s">
        <v>537</v>
      </c>
      <c r="C70" s="4" t="s">
        <v>538</v>
      </c>
      <c r="D70" s="4" t="s">
        <v>539</v>
      </c>
    </row>
    <row r="71" s="15" customFormat="1" spans="1:4">
      <c r="A71" s="4"/>
      <c r="B71" s="7" t="s">
        <v>540</v>
      </c>
      <c r="C71" s="8" t="s">
        <v>541</v>
      </c>
      <c r="D71" s="14">
        <v>1</v>
      </c>
    </row>
    <row r="72" s="15" customFormat="1" ht="27" spans="1:4">
      <c r="A72" s="4"/>
      <c r="B72" s="10"/>
      <c r="C72" s="8" t="s">
        <v>543</v>
      </c>
      <c r="D72" s="9" t="s">
        <v>570</v>
      </c>
    </row>
    <row r="73" s="15" customFormat="1" spans="1:4">
      <c r="A73" s="4"/>
      <c r="B73" s="13"/>
      <c r="C73" s="8" t="s">
        <v>544</v>
      </c>
      <c r="D73" s="14">
        <v>1</v>
      </c>
    </row>
    <row r="74" s="15" customFormat="1" spans="1:4">
      <c r="A74" s="4"/>
      <c r="B74" s="7" t="s">
        <v>545</v>
      </c>
      <c r="C74" s="8" t="s">
        <v>546</v>
      </c>
      <c r="D74" s="14" t="s">
        <v>571</v>
      </c>
    </row>
    <row r="75" s="15" customFormat="1" ht="27" spans="1:4">
      <c r="A75" s="4"/>
      <c r="B75" s="10"/>
      <c r="C75" s="8" t="s">
        <v>547</v>
      </c>
      <c r="D75" s="9" t="s">
        <v>572</v>
      </c>
    </row>
    <row r="76" s="15" customFormat="1" ht="27" spans="1:4">
      <c r="A76" s="4"/>
      <c r="B76" s="13"/>
      <c r="C76" s="8" t="s">
        <v>549</v>
      </c>
      <c r="D76" s="9" t="s">
        <v>573</v>
      </c>
    </row>
    <row r="77" s="15" customFormat="1" spans="1:4">
      <c r="A77" s="4"/>
      <c r="B77" s="9" t="s">
        <v>551</v>
      </c>
      <c r="C77" s="8" t="s">
        <v>552</v>
      </c>
      <c r="D77" s="9" t="s">
        <v>574</v>
      </c>
    </row>
    <row r="78" s="15" customFormat="1" ht="16.5" spans="1:4">
      <c r="A78" s="11" t="s">
        <v>554</v>
      </c>
      <c r="B78" s="11"/>
      <c r="C78" s="11"/>
      <c r="D78" s="11"/>
    </row>
    <row r="80" s="15" customFormat="1" ht="20.25" spans="1:4">
      <c r="A80" s="16" t="s">
        <v>532</v>
      </c>
      <c r="B80" s="16"/>
      <c r="C80" s="16"/>
      <c r="D80" s="16"/>
    </row>
    <row r="81" s="15" customFormat="1" spans="1:5">
      <c r="A81" s="17" t="s">
        <v>533</v>
      </c>
      <c r="B81" s="18"/>
      <c r="C81" s="27" t="s">
        <v>51</v>
      </c>
      <c r="D81" s="27"/>
      <c r="E81" s="28"/>
    </row>
    <row r="82" s="15" customFormat="1" ht="45" customHeight="1" spans="1:4">
      <c r="A82" s="4" t="s">
        <v>534</v>
      </c>
      <c r="B82" s="6" t="s">
        <v>535</v>
      </c>
      <c r="C82" s="6"/>
      <c r="D82" s="6"/>
    </row>
    <row r="83" s="15" customFormat="1" spans="1:4">
      <c r="A83" s="4" t="s">
        <v>536</v>
      </c>
      <c r="B83" s="4" t="s">
        <v>537</v>
      </c>
      <c r="C83" s="4" t="s">
        <v>538</v>
      </c>
      <c r="D83" s="4" t="s">
        <v>539</v>
      </c>
    </row>
    <row r="84" s="15" customFormat="1" spans="1:4">
      <c r="A84" s="4"/>
      <c r="B84" s="7" t="s">
        <v>540</v>
      </c>
      <c r="C84" s="8" t="s">
        <v>541</v>
      </c>
      <c r="D84" s="9" t="s">
        <v>563</v>
      </c>
    </row>
    <row r="85" s="15" customFormat="1" ht="27" spans="1:4">
      <c r="A85" s="4"/>
      <c r="B85" s="10"/>
      <c r="C85" s="8" t="s">
        <v>543</v>
      </c>
      <c r="D85" s="9" t="s">
        <v>563</v>
      </c>
    </row>
    <row r="86" s="15" customFormat="1" spans="1:4">
      <c r="A86" s="4"/>
      <c r="B86" s="13"/>
      <c r="C86" s="8" t="s">
        <v>544</v>
      </c>
      <c r="D86" s="14" t="s">
        <v>575</v>
      </c>
    </row>
    <row r="87" s="15" customFormat="1" spans="1:4">
      <c r="A87" s="4"/>
      <c r="B87" s="7" t="s">
        <v>545</v>
      </c>
      <c r="C87" s="8" t="s">
        <v>546</v>
      </c>
      <c r="D87" s="14" t="s">
        <v>575</v>
      </c>
    </row>
    <row r="88" s="15" customFormat="1" ht="27" spans="1:4">
      <c r="A88" s="4"/>
      <c r="B88" s="10"/>
      <c r="C88" s="8" t="s">
        <v>547</v>
      </c>
      <c r="D88" s="9" t="s">
        <v>576</v>
      </c>
    </row>
    <row r="89" s="15" customFormat="1" ht="27" spans="1:4">
      <c r="A89" s="4"/>
      <c r="B89" s="13"/>
      <c r="C89" s="8" t="s">
        <v>549</v>
      </c>
      <c r="D89" s="9" t="s">
        <v>577</v>
      </c>
    </row>
    <row r="90" s="15" customFormat="1" spans="1:4">
      <c r="A90" s="4"/>
      <c r="B90" s="9" t="s">
        <v>551</v>
      </c>
      <c r="C90" s="8" t="s">
        <v>552</v>
      </c>
      <c r="D90" s="9" t="s">
        <v>578</v>
      </c>
    </row>
    <row r="91" s="15" customFormat="1" ht="16.5" spans="1:4">
      <c r="A91" s="11" t="s">
        <v>554</v>
      </c>
      <c r="B91" s="11"/>
      <c r="C91" s="11"/>
      <c r="D91" s="11"/>
    </row>
    <row r="93" s="15" customFormat="1" ht="20.25" spans="1:4">
      <c r="A93" s="16" t="s">
        <v>532</v>
      </c>
      <c r="B93" s="16"/>
      <c r="C93" s="16"/>
      <c r="D93" s="16"/>
    </row>
    <row r="94" s="15" customFormat="1" spans="1:4">
      <c r="A94" s="17" t="s">
        <v>533</v>
      </c>
      <c r="B94" s="18"/>
      <c r="C94" s="18" t="s">
        <v>37</v>
      </c>
      <c r="D94" s="18"/>
    </row>
    <row r="95" s="15" customFormat="1" ht="48" customHeight="1" spans="1:4">
      <c r="A95" s="4" t="s">
        <v>534</v>
      </c>
      <c r="B95" s="6" t="s">
        <v>579</v>
      </c>
      <c r="C95" s="6"/>
      <c r="D95" s="6"/>
    </row>
    <row r="96" s="15" customFormat="1" spans="1:4">
      <c r="A96" s="4" t="s">
        <v>536</v>
      </c>
      <c r="B96" s="4" t="s">
        <v>537</v>
      </c>
      <c r="C96" s="4" t="s">
        <v>538</v>
      </c>
      <c r="D96" s="4" t="s">
        <v>539</v>
      </c>
    </row>
    <row r="97" s="15" customFormat="1" spans="1:4">
      <c r="A97" s="4"/>
      <c r="B97" s="7" t="s">
        <v>540</v>
      </c>
      <c r="C97" s="8" t="s">
        <v>541</v>
      </c>
      <c r="D97" s="9" t="s">
        <v>580</v>
      </c>
    </row>
    <row r="98" s="15" customFormat="1" ht="27" spans="1:4">
      <c r="A98" s="4"/>
      <c r="B98" s="10"/>
      <c r="C98" s="8" t="s">
        <v>543</v>
      </c>
      <c r="D98" s="9" t="s">
        <v>581</v>
      </c>
    </row>
    <row r="99" s="15" customFormat="1" spans="1:4">
      <c r="A99" s="4"/>
      <c r="B99" s="13"/>
      <c r="C99" s="8" t="s">
        <v>544</v>
      </c>
      <c r="D99" s="14">
        <v>1</v>
      </c>
    </row>
    <row r="100" s="15" customFormat="1" spans="1:4">
      <c r="A100" s="4"/>
      <c r="B100" s="7" t="s">
        <v>545</v>
      </c>
      <c r="C100" s="8" t="s">
        <v>546</v>
      </c>
      <c r="D100" s="14">
        <v>1</v>
      </c>
    </row>
    <row r="101" s="15" customFormat="1" ht="27" spans="1:4">
      <c r="A101" s="4"/>
      <c r="B101" s="10"/>
      <c r="C101" s="8" t="s">
        <v>547</v>
      </c>
      <c r="D101" s="9" t="s">
        <v>548</v>
      </c>
    </row>
    <row r="102" s="15" customFormat="1" ht="27" spans="1:4">
      <c r="A102" s="4"/>
      <c r="B102" s="13"/>
      <c r="C102" s="8" t="s">
        <v>549</v>
      </c>
      <c r="D102" s="9" t="s">
        <v>550</v>
      </c>
    </row>
    <row r="103" s="15" customFormat="1" spans="1:4">
      <c r="A103" s="4"/>
      <c r="B103" s="9" t="s">
        <v>551</v>
      </c>
      <c r="C103" s="8" t="s">
        <v>552</v>
      </c>
      <c r="D103" s="9" t="s">
        <v>553</v>
      </c>
    </row>
    <row r="104" s="15" customFormat="1" ht="16.5" spans="1:4">
      <c r="A104" s="11" t="s">
        <v>554</v>
      </c>
      <c r="B104" s="11"/>
      <c r="C104" s="11"/>
      <c r="D104" s="11"/>
    </row>
    <row r="106" s="15" customFormat="1" ht="20.25" spans="1:4">
      <c r="A106" s="16" t="s">
        <v>532</v>
      </c>
      <c r="B106" s="16"/>
      <c r="C106" s="16"/>
      <c r="D106" s="16"/>
    </row>
    <row r="107" s="15" customFormat="1" spans="1:5">
      <c r="A107" s="17" t="s">
        <v>533</v>
      </c>
      <c r="B107" s="18"/>
      <c r="C107" s="18" t="s">
        <v>35</v>
      </c>
      <c r="D107" s="29"/>
      <c r="E107" s="30"/>
    </row>
    <row r="108" s="15" customFormat="1" spans="1:5">
      <c r="A108" s="4" t="s">
        <v>534</v>
      </c>
      <c r="B108" s="6" t="s">
        <v>535</v>
      </c>
      <c r="C108" s="6"/>
      <c r="D108" s="31"/>
      <c r="E108" s="32"/>
    </row>
    <row r="109" s="15" customFormat="1" spans="1:4">
      <c r="A109" s="4" t="s">
        <v>536</v>
      </c>
      <c r="B109" s="4" t="s">
        <v>537</v>
      </c>
      <c r="C109" s="4" t="s">
        <v>538</v>
      </c>
      <c r="D109" s="4" t="s">
        <v>539</v>
      </c>
    </row>
    <row r="110" s="15" customFormat="1" spans="1:4">
      <c r="A110" s="4"/>
      <c r="B110" s="7" t="s">
        <v>540</v>
      </c>
      <c r="C110" s="8" t="s">
        <v>541</v>
      </c>
      <c r="D110" s="9" t="s">
        <v>582</v>
      </c>
    </row>
    <row r="111" s="15" customFormat="1" ht="27" spans="1:4">
      <c r="A111" s="4"/>
      <c r="B111" s="10"/>
      <c r="C111" s="8" t="s">
        <v>543</v>
      </c>
      <c r="D111" s="9" t="s">
        <v>583</v>
      </c>
    </row>
    <row r="112" s="15" customFormat="1" spans="1:4">
      <c r="A112" s="4"/>
      <c r="B112" s="13"/>
      <c r="C112" s="8" t="s">
        <v>544</v>
      </c>
      <c r="D112" s="9" t="s">
        <v>578</v>
      </c>
    </row>
    <row r="113" s="15" customFormat="1" spans="1:4">
      <c r="A113" s="4"/>
      <c r="B113" s="7" t="s">
        <v>545</v>
      </c>
      <c r="C113" s="8" t="s">
        <v>546</v>
      </c>
      <c r="D113" s="9" t="s">
        <v>578</v>
      </c>
    </row>
    <row r="114" s="15" customFormat="1" ht="27" spans="1:4">
      <c r="A114" s="4"/>
      <c r="B114" s="10"/>
      <c r="C114" s="8" t="s">
        <v>547</v>
      </c>
      <c r="D114" s="9" t="s">
        <v>584</v>
      </c>
    </row>
    <row r="115" s="15" customFormat="1" ht="27" spans="1:4">
      <c r="A115" s="4"/>
      <c r="B115" s="13"/>
      <c r="C115" s="8" t="s">
        <v>549</v>
      </c>
      <c r="D115" s="9" t="s">
        <v>550</v>
      </c>
    </row>
    <row r="116" s="15" customFormat="1" spans="1:4">
      <c r="A116" s="4"/>
      <c r="B116" s="9" t="s">
        <v>551</v>
      </c>
      <c r="C116" s="8" t="s">
        <v>552</v>
      </c>
      <c r="D116" s="9" t="s">
        <v>578</v>
      </c>
    </row>
    <row r="117" s="15" customFormat="1" ht="16.5" spans="1:4">
      <c r="A117" s="11" t="s">
        <v>554</v>
      </c>
      <c r="B117" s="11"/>
      <c r="C117" s="11"/>
      <c r="D117" s="11"/>
    </row>
    <row r="120" s="15" customFormat="1" ht="20.25" spans="1:4">
      <c r="A120" s="16" t="s">
        <v>532</v>
      </c>
      <c r="B120" s="16"/>
      <c r="C120" s="16"/>
      <c r="D120" s="16"/>
    </row>
    <row r="121" s="15" customFormat="1" spans="1:7">
      <c r="A121" s="17" t="s">
        <v>533</v>
      </c>
      <c r="B121" s="18"/>
      <c r="C121" s="18" t="s">
        <v>585</v>
      </c>
      <c r="D121" s="18"/>
      <c r="E121" s="33"/>
      <c r="F121" s="33"/>
      <c r="G121" s="33"/>
    </row>
    <row r="122" s="15" customFormat="1" ht="33" customHeight="1" spans="1:4">
      <c r="A122" s="4" t="s">
        <v>534</v>
      </c>
      <c r="B122" s="6" t="s">
        <v>586</v>
      </c>
      <c r="C122" s="6"/>
      <c r="D122" s="6"/>
    </row>
    <row r="123" s="15" customFormat="1" spans="1:4">
      <c r="A123" s="4" t="s">
        <v>536</v>
      </c>
      <c r="B123" s="4" t="s">
        <v>537</v>
      </c>
      <c r="C123" s="4" t="s">
        <v>538</v>
      </c>
      <c r="D123" s="4" t="s">
        <v>539</v>
      </c>
    </row>
    <row r="124" s="15" customFormat="1" spans="1:4">
      <c r="A124" s="4"/>
      <c r="B124" s="7" t="s">
        <v>540</v>
      </c>
      <c r="C124" s="8" t="s">
        <v>541</v>
      </c>
      <c r="D124" s="34">
        <v>0.095</v>
      </c>
    </row>
    <row r="125" s="15" customFormat="1" ht="27" spans="1:4">
      <c r="A125" s="4"/>
      <c r="B125" s="10"/>
      <c r="C125" s="8" t="s">
        <v>543</v>
      </c>
      <c r="D125" s="14">
        <v>0</v>
      </c>
    </row>
    <row r="126" s="15" customFormat="1" spans="1:4">
      <c r="A126" s="4"/>
      <c r="B126" s="13"/>
      <c r="C126" s="8" t="s">
        <v>544</v>
      </c>
      <c r="D126" s="14">
        <v>1</v>
      </c>
    </row>
    <row r="127" s="15" customFormat="1" spans="1:4">
      <c r="A127" s="4"/>
      <c r="B127" s="7" t="s">
        <v>545</v>
      </c>
      <c r="C127" s="8" t="s">
        <v>546</v>
      </c>
      <c r="D127" s="14">
        <v>1</v>
      </c>
    </row>
    <row r="128" s="15" customFormat="1" ht="27" spans="1:4">
      <c r="A128" s="4"/>
      <c r="B128" s="10"/>
      <c r="C128" s="8" t="s">
        <v>547</v>
      </c>
      <c r="D128" s="9" t="s">
        <v>587</v>
      </c>
    </row>
    <row r="129" s="15" customFormat="1" ht="27" spans="1:4">
      <c r="A129" s="4"/>
      <c r="B129" s="13"/>
      <c r="C129" s="8" t="s">
        <v>549</v>
      </c>
      <c r="D129" s="9" t="s">
        <v>550</v>
      </c>
    </row>
    <row r="130" s="15" customFormat="1" spans="1:4">
      <c r="A130" s="4"/>
      <c r="B130" s="9" t="s">
        <v>551</v>
      </c>
      <c r="C130" s="8" t="s">
        <v>552</v>
      </c>
      <c r="D130" s="14">
        <v>0.95</v>
      </c>
    </row>
    <row r="131" s="15" customFormat="1" ht="16.5" spans="1:4">
      <c r="A131" s="11" t="s">
        <v>554</v>
      </c>
      <c r="B131" s="11"/>
      <c r="C131" s="11"/>
      <c r="D131" s="11"/>
    </row>
  </sheetData>
  <mergeCells count="64">
    <mergeCell ref="A2:D2"/>
    <mergeCell ref="B4:D4"/>
    <mergeCell ref="A13:D13"/>
    <mergeCell ref="A15:D15"/>
    <mergeCell ref="C16:D16"/>
    <mergeCell ref="B17:D17"/>
    <mergeCell ref="A26:D26"/>
    <mergeCell ref="A28:D28"/>
    <mergeCell ref="B30:D30"/>
    <mergeCell ref="A39:D39"/>
    <mergeCell ref="A41:D41"/>
    <mergeCell ref="B43:D43"/>
    <mergeCell ref="A52:D52"/>
    <mergeCell ref="A54:D54"/>
    <mergeCell ref="B56:D56"/>
    <mergeCell ref="A65:D65"/>
    <mergeCell ref="A67:D67"/>
    <mergeCell ref="C68:G68"/>
    <mergeCell ref="B69:D69"/>
    <mergeCell ref="A78:D78"/>
    <mergeCell ref="A80:D80"/>
    <mergeCell ref="C81:E81"/>
    <mergeCell ref="B82:D82"/>
    <mergeCell ref="A91:D91"/>
    <mergeCell ref="A93:D93"/>
    <mergeCell ref="B95:D95"/>
    <mergeCell ref="A104:D104"/>
    <mergeCell ref="A106:D106"/>
    <mergeCell ref="C107:E107"/>
    <mergeCell ref="B108:D108"/>
    <mergeCell ref="A117:D117"/>
    <mergeCell ref="A120:D120"/>
    <mergeCell ref="B122:D122"/>
    <mergeCell ref="A131:D131"/>
    <mergeCell ref="A5:A12"/>
    <mergeCell ref="A18:A25"/>
    <mergeCell ref="A31:A38"/>
    <mergeCell ref="A44:A51"/>
    <mergeCell ref="A57:A64"/>
    <mergeCell ref="A70:A77"/>
    <mergeCell ref="A83:A90"/>
    <mergeCell ref="A96:A103"/>
    <mergeCell ref="A109:A116"/>
    <mergeCell ref="A123:A130"/>
    <mergeCell ref="B6:B8"/>
    <mergeCell ref="B9:B11"/>
    <mergeCell ref="B19:B21"/>
    <mergeCell ref="B22:B24"/>
    <mergeCell ref="B32:B34"/>
    <mergeCell ref="B35:B37"/>
    <mergeCell ref="B45:B47"/>
    <mergeCell ref="B48:B50"/>
    <mergeCell ref="B58:B60"/>
    <mergeCell ref="B61:B63"/>
    <mergeCell ref="B71:B73"/>
    <mergeCell ref="B74:B76"/>
    <mergeCell ref="B84:B86"/>
    <mergeCell ref="B87:B89"/>
    <mergeCell ref="B97:B99"/>
    <mergeCell ref="B100:B102"/>
    <mergeCell ref="B110:B112"/>
    <mergeCell ref="B113:B115"/>
    <mergeCell ref="B124:B126"/>
    <mergeCell ref="B127:B129"/>
  </mergeCells>
  <pageMargins left="0.707638888888889" right="0.707638888888889" top="0.747916666666667" bottom="0.747916666666667" header="0.313888888888889" footer="0.313888888888889"/>
  <pageSetup paperSize="9" scale="99"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80"/>
  <sheetViews>
    <sheetView workbookViewId="0">
      <selection activeCell="B3" sqref="B3:D3"/>
    </sheetView>
  </sheetViews>
  <sheetFormatPr defaultColWidth="8.125" defaultRowHeight="31.5" customHeight="1" outlineLevelCol="3"/>
  <cols>
    <col min="1" max="1" width="14.375" style="1" customWidth="1"/>
    <col min="2" max="2" width="14.25" style="1" customWidth="1"/>
    <col min="3" max="3" width="29.875" style="1" customWidth="1"/>
    <col min="4" max="4" width="26.5" style="1" customWidth="1"/>
    <col min="5" max="16384" width="8.125" style="1"/>
  </cols>
  <sheetData>
    <row r="1" s="1" customFormat="1" ht="27.6" customHeight="1" spans="1:1">
      <c r="A1" s="2" t="s">
        <v>588</v>
      </c>
    </row>
    <row r="2" s="1" customFormat="1" ht="40.15" customHeight="1" spans="1:4">
      <c r="A2" s="3" t="s">
        <v>589</v>
      </c>
      <c r="B2" s="3"/>
      <c r="C2" s="3"/>
      <c r="D2" s="3"/>
    </row>
    <row r="3" s="1" customFormat="1" ht="20.25" customHeight="1" spans="1:4">
      <c r="A3" s="4" t="s">
        <v>590</v>
      </c>
      <c r="B3" s="5" t="s">
        <v>367</v>
      </c>
      <c r="C3" s="5"/>
      <c r="D3" s="5"/>
    </row>
    <row r="4" s="1" customFormat="1" ht="87.75" customHeight="1" spans="1:4">
      <c r="A4" s="4" t="s">
        <v>591</v>
      </c>
      <c r="B4" s="6" t="s">
        <v>592</v>
      </c>
      <c r="C4" s="6"/>
      <c r="D4" s="6"/>
    </row>
    <row r="5" s="1" customFormat="1" ht="23.45" customHeight="1" spans="1:4">
      <c r="A5" s="4" t="s">
        <v>536</v>
      </c>
      <c r="B5" s="4" t="s">
        <v>537</v>
      </c>
      <c r="C5" s="4" t="s">
        <v>538</v>
      </c>
      <c r="D5" s="4" t="s">
        <v>539</v>
      </c>
    </row>
    <row r="6" s="1" customFormat="1" ht="32" customHeight="1" spans="1:4">
      <c r="A6" s="4"/>
      <c r="B6" s="7" t="s">
        <v>540</v>
      </c>
      <c r="C6" s="8" t="s">
        <v>593</v>
      </c>
      <c r="D6" s="9" t="s">
        <v>594</v>
      </c>
    </row>
    <row r="7" s="1" customFormat="1" ht="29" customHeight="1" spans="1:4">
      <c r="A7" s="4"/>
      <c r="B7" s="10"/>
      <c r="C7" s="8" t="s">
        <v>595</v>
      </c>
      <c r="D7" s="9" t="s">
        <v>596</v>
      </c>
    </row>
    <row r="8" s="1" customFormat="1" ht="33" customHeight="1" spans="1:4">
      <c r="A8" s="4"/>
      <c r="B8" s="7" t="s">
        <v>545</v>
      </c>
      <c r="C8" s="8" t="s">
        <v>597</v>
      </c>
      <c r="D8" s="9" t="s">
        <v>598</v>
      </c>
    </row>
    <row r="9" s="1" customFormat="1" ht="23.45" customHeight="1" spans="1:4">
      <c r="A9" s="4"/>
      <c r="B9" s="10"/>
      <c r="C9" s="8" t="s">
        <v>599</v>
      </c>
      <c r="D9" s="9" t="s">
        <v>600</v>
      </c>
    </row>
    <row r="10" s="1" customFormat="1" ht="77" customHeight="1" spans="1:4">
      <c r="A10" s="4"/>
      <c r="B10" s="9" t="s">
        <v>551</v>
      </c>
      <c r="C10" s="8" t="s">
        <v>601</v>
      </c>
      <c r="D10" s="9" t="s">
        <v>602</v>
      </c>
    </row>
    <row r="11" s="1" customFormat="1" ht="32" customHeight="1" spans="1:4">
      <c r="A11" s="4"/>
      <c r="B11" s="9"/>
      <c r="C11" s="8" t="s">
        <v>603</v>
      </c>
      <c r="D11" s="9" t="s">
        <v>604</v>
      </c>
    </row>
    <row r="12" s="1" customFormat="1" ht="22.15" customHeight="1" spans="1:4">
      <c r="A12" s="11" t="s">
        <v>554</v>
      </c>
      <c r="B12" s="11"/>
      <c r="C12" s="11"/>
      <c r="D12" s="11"/>
    </row>
    <row r="14" s="1" customFormat="1" customHeight="1" spans="1:4">
      <c r="A14" s="3" t="s">
        <v>589</v>
      </c>
      <c r="B14" s="3"/>
      <c r="C14" s="3"/>
      <c r="D14" s="3"/>
    </row>
    <row r="15" s="1" customFormat="1" customHeight="1" spans="1:4">
      <c r="A15" s="4" t="s">
        <v>590</v>
      </c>
      <c r="B15" s="12" t="s">
        <v>360</v>
      </c>
      <c r="C15" s="12"/>
      <c r="D15" s="12"/>
    </row>
    <row r="16" s="1" customFormat="1" ht="83" customHeight="1" spans="1:4">
      <c r="A16" s="4" t="s">
        <v>591</v>
      </c>
      <c r="B16" s="6" t="s">
        <v>363</v>
      </c>
      <c r="C16" s="6"/>
      <c r="D16" s="6"/>
    </row>
    <row r="17" s="1" customFormat="1" customHeight="1" spans="1:4">
      <c r="A17" s="4" t="s">
        <v>536</v>
      </c>
      <c r="B17" s="4" t="s">
        <v>537</v>
      </c>
      <c r="C17" s="4" t="s">
        <v>538</v>
      </c>
      <c r="D17" s="4" t="s">
        <v>539</v>
      </c>
    </row>
    <row r="18" s="1" customFormat="1" customHeight="1" spans="1:4">
      <c r="A18" s="4"/>
      <c r="B18" s="7" t="s">
        <v>540</v>
      </c>
      <c r="C18" s="8" t="s">
        <v>605</v>
      </c>
      <c r="D18" s="9" t="s">
        <v>606</v>
      </c>
    </row>
    <row r="19" s="1" customFormat="1" customHeight="1" spans="1:4">
      <c r="A19" s="4"/>
      <c r="B19" s="10"/>
      <c r="C19" s="8" t="s">
        <v>607</v>
      </c>
      <c r="D19" s="9" t="s">
        <v>608</v>
      </c>
    </row>
    <row r="20" s="1" customFormat="1" customHeight="1" spans="1:4">
      <c r="A20" s="4"/>
      <c r="B20" s="13"/>
      <c r="C20" s="8" t="s">
        <v>609</v>
      </c>
      <c r="D20" s="9" t="s">
        <v>610</v>
      </c>
    </row>
    <row r="21" s="1" customFormat="1" customHeight="1" spans="1:4">
      <c r="A21" s="4"/>
      <c r="B21" s="7" t="s">
        <v>545</v>
      </c>
      <c r="C21" s="8" t="s">
        <v>611</v>
      </c>
      <c r="D21" s="9" t="s">
        <v>612</v>
      </c>
    </row>
    <row r="22" s="1" customFormat="1" customHeight="1" spans="1:4">
      <c r="A22" s="4"/>
      <c r="B22" s="10"/>
      <c r="C22" s="8" t="s">
        <v>599</v>
      </c>
      <c r="D22" s="9" t="s">
        <v>613</v>
      </c>
    </row>
    <row r="23" s="1" customFormat="1" customHeight="1" spans="1:4">
      <c r="A23" s="4"/>
      <c r="B23" s="9" t="s">
        <v>551</v>
      </c>
      <c r="C23" s="8" t="s">
        <v>614</v>
      </c>
      <c r="D23" s="9" t="s">
        <v>615</v>
      </c>
    </row>
    <row r="24" s="1" customFormat="1" customHeight="1" spans="1:4">
      <c r="A24" s="4"/>
      <c r="B24" s="9"/>
      <c r="C24" s="8" t="s">
        <v>616</v>
      </c>
      <c r="D24" s="9" t="s">
        <v>617</v>
      </c>
    </row>
    <row r="25" s="1" customFormat="1" customHeight="1" spans="1:4">
      <c r="A25" s="11" t="s">
        <v>554</v>
      </c>
      <c r="B25" s="11"/>
      <c r="C25" s="11"/>
      <c r="D25" s="11"/>
    </row>
    <row r="27" s="1" customFormat="1" customHeight="1" spans="1:4">
      <c r="A27" s="3" t="s">
        <v>589</v>
      </c>
      <c r="B27" s="3"/>
      <c r="C27" s="3"/>
      <c r="D27" s="3"/>
    </row>
    <row r="28" s="1" customFormat="1" customHeight="1" spans="1:4">
      <c r="A28" s="4" t="s">
        <v>590</v>
      </c>
      <c r="B28" s="12" t="s">
        <v>377</v>
      </c>
      <c r="C28" s="12"/>
      <c r="D28" s="12"/>
    </row>
    <row r="29" s="1" customFormat="1" ht="66" customHeight="1" spans="1:4">
      <c r="A29" s="4" t="s">
        <v>591</v>
      </c>
      <c r="B29" s="6" t="s">
        <v>380</v>
      </c>
      <c r="C29" s="6"/>
      <c r="D29" s="6"/>
    </row>
    <row r="30" s="1" customFormat="1" customHeight="1" spans="1:4">
      <c r="A30" s="4" t="s">
        <v>536</v>
      </c>
      <c r="B30" s="4" t="s">
        <v>537</v>
      </c>
      <c r="C30" s="4" t="s">
        <v>538</v>
      </c>
      <c r="D30" s="4" t="s">
        <v>539</v>
      </c>
    </row>
    <row r="31" s="1" customFormat="1" customHeight="1" spans="1:4">
      <c r="A31" s="4"/>
      <c r="B31" s="7" t="s">
        <v>540</v>
      </c>
      <c r="C31" s="8" t="s">
        <v>618</v>
      </c>
      <c r="D31" s="9" t="s">
        <v>619</v>
      </c>
    </row>
    <row r="32" s="1" customFormat="1" customHeight="1" spans="1:4">
      <c r="A32" s="4"/>
      <c r="B32" s="10"/>
      <c r="C32" s="8" t="s">
        <v>620</v>
      </c>
      <c r="D32" s="9" t="s">
        <v>621</v>
      </c>
    </row>
    <row r="33" s="1" customFormat="1" customHeight="1" spans="1:4">
      <c r="A33" s="4"/>
      <c r="B33" s="7" t="s">
        <v>545</v>
      </c>
      <c r="C33" s="8" t="s">
        <v>622</v>
      </c>
      <c r="D33" s="9" t="s">
        <v>623</v>
      </c>
    </row>
    <row r="34" s="1" customFormat="1" customHeight="1" spans="1:4">
      <c r="A34" s="4"/>
      <c r="B34" s="10"/>
      <c r="C34" s="8" t="s">
        <v>624</v>
      </c>
      <c r="D34" s="9" t="s">
        <v>625</v>
      </c>
    </row>
    <row r="35" s="1" customFormat="1" customHeight="1" spans="1:4">
      <c r="A35" s="4"/>
      <c r="B35" s="9" t="s">
        <v>551</v>
      </c>
      <c r="C35" s="8" t="s">
        <v>626</v>
      </c>
      <c r="D35" s="9" t="s">
        <v>627</v>
      </c>
    </row>
    <row r="36" s="1" customFormat="1" customHeight="1" spans="1:4">
      <c r="A36" s="4"/>
      <c r="B36" s="9"/>
      <c r="C36" s="8" t="s">
        <v>628</v>
      </c>
      <c r="D36" s="9" t="s">
        <v>629</v>
      </c>
    </row>
    <row r="37" s="1" customFormat="1" customHeight="1" spans="1:4">
      <c r="A37" s="11" t="s">
        <v>554</v>
      </c>
      <c r="B37" s="11"/>
      <c r="C37" s="11"/>
      <c r="D37" s="11"/>
    </row>
    <row r="39" s="1" customFormat="1" customHeight="1" spans="1:4">
      <c r="A39" s="3" t="s">
        <v>589</v>
      </c>
      <c r="B39" s="3"/>
      <c r="C39" s="3"/>
      <c r="D39" s="3"/>
    </row>
    <row r="40" s="1" customFormat="1" customHeight="1" spans="1:4">
      <c r="A40" s="4" t="s">
        <v>590</v>
      </c>
      <c r="B40" s="5" t="s">
        <v>382</v>
      </c>
      <c r="C40" s="5"/>
      <c r="D40" s="5"/>
    </row>
    <row r="41" s="1" customFormat="1" customHeight="1" spans="1:4">
      <c r="A41" s="4" t="s">
        <v>591</v>
      </c>
      <c r="B41" s="6" t="s">
        <v>386</v>
      </c>
      <c r="C41" s="6"/>
      <c r="D41" s="6"/>
    </row>
    <row r="42" s="1" customFormat="1" customHeight="1" spans="1:4">
      <c r="A42" s="4" t="s">
        <v>536</v>
      </c>
      <c r="B42" s="4" t="s">
        <v>537</v>
      </c>
      <c r="C42" s="4" t="s">
        <v>538</v>
      </c>
      <c r="D42" s="4" t="s">
        <v>539</v>
      </c>
    </row>
    <row r="43" s="1" customFormat="1" customHeight="1" spans="1:4">
      <c r="A43" s="4"/>
      <c r="B43" s="7" t="s">
        <v>540</v>
      </c>
      <c r="C43" s="8" t="s">
        <v>630</v>
      </c>
      <c r="D43" s="9" t="s">
        <v>631</v>
      </c>
    </row>
    <row r="44" s="1" customFormat="1" customHeight="1" spans="1:4">
      <c r="A44" s="4"/>
      <c r="B44" s="10"/>
      <c r="C44" s="8" t="s">
        <v>632</v>
      </c>
      <c r="D44" s="9" t="s">
        <v>633</v>
      </c>
    </row>
    <row r="45" s="1" customFormat="1" customHeight="1" spans="1:4">
      <c r="A45" s="4"/>
      <c r="B45" s="7" t="s">
        <v>545</v>
      </c>
      <c r="C45" s="8" t="s">
        <v>634</v>
      </c>
      <c r="D45" s="9" t="s">
        <v>635</v>
      </c>
    </row>
    <row r="46" s="1" customFormat="1" customHeight="1" spans="1:4">
      <c r="A46" s="4"/>
      <c r="B46" s="10"/>
      <c r="C46" s="8" t="s">
        <v>636</v>
      </c>
      <c r="D46" s="9" t="s">
        <v>637</v>
      </c>
    </row>
    <row r="47" s="1" customFormat="1" customHeight="1" spans="1:4">
      <c r="A47" s="4"/>
      <c r="B47" s="9" t="s">
        <v>551</v>
      </c>
      <c r="C47" s="8" t="s">
        <v>638</v>
      </c>
      <c r="D47" s="9" t="s">
        <v>639</v>
      </c>
    </row>
    <row r="48" s="1" customFormat="1" customHeight="1" spans="1:4">
      <c r="A48" s="4"/>
      <c r="B48" s="9"/>
      <c r="C48" s="8" t="s">
        <v>640</v>
      </c>
      <c r="D48" s="9" t="s">
        <v>641</v>
      </c>
    </row>
    <row r="49" s="1" customFormat="1" customHeight="1" spans="1:4">
      <c r="A49" s="11" t="s">
        <v>554</v>
      </c>
      <c r="B49" s="11"/>
      <c r="C49" s="11"/>
      <c r="D49" s="11"/>
    </row>
    <row r="51" s="1" customFormat="1" customHeight="1" spans="1:4">
      <c r="A51" s="3" t="s">
        <v>589</v>
      </c>
      <c r="B51" s="3"/>
      <c r="C51" s="3"/>
      <c r="D51" s="3"/>
    </row>
    <row r="52" s="1" customFormat="1" customHeight="1" spans="1:4">
      <c r="A52" s="4" t="s">
        <v>590</v>
      </c>
      <c r="B52" s="12" t="s">
        <v>387</v>
      </c>
      <c r="C52" s="12"/>
      <c r="D52" s="12"/>
    </row>
    <row r="53" s="1" customFormat="1" ht="67" customHeight="1" spans="1:4">
      <c r="A53" s="4" t="s">
        <v>591</v>
      </c>
      <c r="B53" s="6" t="s">
        <v>390</v>
      </c>
      <c r="C53" s="6"/>
      <c r="D53" s="6"/>
    </row>
    <row r="54" s="1" customFormat="1" customHeight="1" spans="1:4">
      <c r="A54" s="4" t="s">
        <v>536</v>
      </c>
      <c r="B54" s="4" t="s">
        <v>537</v>
      </c>
      <c r="C54" s="4" t="s">
        <v>538</v>
      </c>
      <c r="D54" s="4" t="s">
        <v>539</v>
      </c>
    </row>
    <row r="55" s="1" customFormat="1" customHeight="1" spans="1:4">
      <c r="A55" s="4"/>
      <c r="B55" s="7" t="s">
        <v>540</v>
      </c>
      <c r="C55" s="8" t="s">
        <v>630</v>
      </c>
      <c r="D55" s="9" t="s">
        <v>596</v>
      </c>
    </row>
    <row r="56" s="1" customFormat="1" customHeight="1" spans="1:4">
      <c r="A56" s="4"/>
      <c r="B56" s="10"/>
      <c r="C56" s="8" t="s">
        <v>632</v>
      </c>
      <c r="D56" s="9" t="s">
        <v>642</v>
      </c>
    </row>
    <row r="57" s="1" customFormat="1" customHeight="1" spans="1:4">
      <c r="A57" s="4"/>
      <c r="B57" s="7" t="s">
        <v>545</v>
      </c>
      <c r="C57" s="8" t="s">
        <v>643</v>
      </c>
      <c r="D57" s="9" t="s">
        <v>644</v>
      </c>
    </row>
    <row r="58" s="1" customFormat="1" ht="57" customHeight="1" spans="1:4">
      <c r="A58" s="4"/>
      <c r="B58" s="10"/>
      <c r="C58" s="8" t="s">
        <v>645</v>
      </c>
      <c r="D58" s="9" t="s">
        <v>646</v>
      </c>
    </row>
    <row r="59" s="1" customFormat="1" customHeight="1" spans="1:4">
      <c r="A59" s="4"/>
      <c r="B59" s="9" t="s">
        <v>551</v>
      </c>
      <c r="C59" s="8" t="s">
        <v>647</v>
      </c>
      <c r="D59" s="9" t="s">
        <v>604</v>
      </c>
    </row>
    <row r="60" s="1" customFormat="1" customHeight="1" spans="1:4">
      <c r="A60" s="11" t="s">
        <v>554</v>
      </c>
      <c r="B60" s="11"/>
      <c r="C60" s="11"/>
      <c r="D60" s="11"/>
    </row>
    <row r="62" s="1" customFormat="1" customHeight="1" spans="1:4">
      <c r="A62" s="3" t="s">
        <v>589</v>
      </c>
      <c r="B62" s="3"/>
      <c r="C62" s="3"/>
      <c r="D62" s="3"/>
    </row>
    <row r="63" s="1" customFormat="1" customHeight="1" spans="1:4">
      <c r="A63" s="4" t="s">
        <v>590</v>
      </c>
      <c r="B63" s="12" t="s">
        <v>391</v>
      </c>
      <c r="C63" s="12"/>
      <c r="D63" s="12"/>
    </row>
    <row r="64" s="1" customFormat="1" ht="63" customHeight="1" spans="1:4">
      <c r="A64" s="4" t="s">
        <v>591</v>
      </c>
      <c r="B64" s="6" t="s">
        <v>394</v>
      </c>
      <c r="C64" s="6"/>
      <c r="D64" s="6"/>
    </row>
    <row r="65" s="1" customFormat="1" customHeight="1" spans="1:4">
      <c r="A65" s="4" t="s">
        <v>536</v>
      </c>
      <c r="B65" s="4" t="s">
        <v>537</v>
      </c>
      <c r="C65" s="4" t="s">
        <v>538</v>
      </c>
      <c r="D65" s="4" t="s">
        <v>539</v>
      </c>
    </row>
    <row r="66" s="1" customFormat="1" customHeight="1" spans="1:4">
      <c r="A66" s="4"/>
      <c r="B66" s="7" t="s">
        <v>540</v>
      </c>
      <c r="C66" s="8" t="s">
        <v>630</v>
      </c>
      <c r="D66" s="9" t="s">
        <v>631</v>
      </c>
    </row>
    <row r="67" s="1" customFormat="1" customHeight="1" spans="1:4">
      <c r="A67" s="4"/>
      <c r="B67" s="10"/>
      <c r="C67" s="8" t="s">
        <v>632</v>
      </c>
      <c r="D67" s="9" t="s">
        <v>648</v>
      </c>
    </row>
    <row r="68" s="1" customFormat="1" customHeight="1" spans="1:4">
      <c r="A68" s="4"/>
      <c r="B68" s="7" t="s">
        <v>545</v>
      </c>
      <c r="C68" s="8" t="s">
        <v>634</v>
      </c>
      <c r="D68" s="9" t="s">
        <v>649</v>
      </c>
    </row>
    <row r="69" s="1" customFormat="1" customHeight="1" spans="1:4">
      <c r="A69" s="4"/>
      <c r="B69" s="10"/>
      <c r="C69" s="8" t="s">
        <v>636</v>
      </c>
      <c r="D69" s="9" t="s">
        <v>650</v>
      </c>
    </row>
    <row r="70" s="1" customFormat="1" customHeight="1" spans="1:4">
      <c r="A70" s="4"/>
      <c r="B70" s="9" t="s">
        <v>551</v>
      </c>
      <c r="C70" s="8" t="s">
        <v>651</v>
      </c>
      <c r="D70" s="9" t="s">
        <v>652</v>
      </c>
    </row>
    <row r="71" s="1" customFormat="1" customHeight="1" spans="1:4">
      <c r="A71" s="4"/>
      <c r="B71" s="9"/>
      <c r="C71" s="8" t="s">
        <v>653</v>
      </c>
      <c r="D71" s="9" t="s">
        <v>654</v>
      </c>
    </row>
    <row r="72" s="1" customFormat="1" customHeight="1" spans="1:4">
      <c r="A72" s="11" t="s">
        <v>554</v>
      </c>
      <c r="B72" s="11"/>
      <c r="C72" s="11"/>
      <c r="D72" s="11"/>
    </row>
    <row r="74" s="1" customFormat="1" customHeight="1" spans="1:4">
      <c r="A74" s="3" t="s">
        <v>589</v>
      </c>
      <c r="B74" s="3"/>
      <c r="C74" s="3"/>
      <c r="D74" s="3"/>
    </row>
    <row r="75" s="1" customFormat="1" customHeight="1" spans="1:4">
      <c r="A75" s="4" t="s">
        <v>590</v>
      </c>
      <c r="B75" s="12" t="s">
        <v>396</v>
      </c>
      <c r="C75" s="12"/>
      <c r="D75" s="12"/>
    </row>
    <row r="76" s="1" customFormat="1" customHeight="1" spans="1:4">
      <c r="A76" s="4" t="s">
        <v>591</v>
      </c>
      <c r="B76" s="6" t="s">
        <v>399</v>
      </c>
      <c r="C76" s="6"/>
      <c r="D76" s="6"/>
    </row>
    <row r="77" s="1" customFormat="1" customHeight="1" spans="1:4">
      <c r="A77" s="4" t="s">
        <v>536</v>
      </c>
      <c r="B77" s="4" t="s">
        <v>537</v>
      </c>
      <c r="C77" s="4" t="s">
        <v>538</v>
      </c>
      <c r="D77" s="4" t="s">
        <v>539</v>
      </c>
    </row>
    <row r="78" s="1" customFormat="1" customHeight="1" spans="1:4">
      <c r="A78" s="4"/>
      <c r="B78" s="7" t="s">
        <v>540</v>
      </c>
      <c r="C78" s="8" t="s">
        <v>630</v>
      </c>
      <c r="D78" s="9" t="s">
        <v>631</v>
      </c>
    </row>
    <row r="79" s="1" customFormat="1" customHeight="1" spans="1:4">
      <c r="A79" s="4"/>
      <c r="B79" s="10"/>
      <c r="C79" s="8" t="s">
        <v>632</v>
      </c>
      <c r="D79" s="9" t="s">
        <v>655</v>
      </c>
    </row>
    <row r="80" s="1" customFormat="1" customHeight="1" spans="1:4">
      <c r="A80" s="4"/>
      <c r="B80" s="7" t="s">
        <v>545</v>
      </c>
      <c r="C80" s="8" t="s">
        <v>656</v>
      </c>
      <c r="D80" s="9" t="s">
        <v>657</v>
      </c>
    </row>
    <row r="81" s="1" customFormat="1" ht="104" customHeight="1" spans="1:4">
      <c r="A81" s="4"/>
      <c r="B81" s="10"/>
      <c r="C81" s="8" t="s">
        <v>658</v>
      </c>
      <c r="D81" s="9" t="s">
        <v>659</v>
      </c>
    </row>
    <row r="82" s="1" customFormat="1" customHeight="1" spans="1:4">
      <c r="A82" s="4"/>
      <c r="B82" s="9" t="s">
        <v>551</v>
      </c>
      <c r="C82" s="8" t="s">
        <v>647</v>
      </c>
      <c r="D82" s="9" t="s">
        <v>604</v>
      </c>
    </row>
    <row r="83" s="1" customFormat="1" customHeight="1" spans="1:4">
      <c r="A83" s="11" t="s">
        <v>554</v>
      </c>
      <c r="B83" s="11"/>
      <c r="C83" s="11"/>
      <c r="D83" s="11"/>
    </row>
    <row r="85" s="1" customFormat="1" customHeight="1" spans="1:4">
      <c r="A85" s="3" t="s">
        <v>589</v>
      </c>
      <c r="B85" s="3"/>
      <c r="C85" s="3"/>
      <c r="D85" s="3"/>
    </row>
    <row r="86" s="1" customFormat="1" customHeight="1" spans="1:4">
      <c r="A86" s="4" t="s">
        <v>590</v>
      </c>
      <c r="B86" s="12" t="s">
        <v>432</v>
      </c>
      <c r="C86" s="12"/>
      <c r="D86" s="12"/>
    </row>
    <row r="87" s="1" customFormat="1" customHeight="1" spans="1:4">
      <c r="A87" s="4" t="s">
        <v>591</v>
      </c>
      <c r="B87" s="6" t="s">
        <v>434</v>
      </c>
      <c r="C87" s="6"/>
      <c r="D87" s="6"/>
    </row>
    <row r="88" s="1" customFormat="1" customHeight="1" spans="1:4">
      <c r="A88" s="4" t="s">
        <v>536</v>
      </c>
      <c r="B88" s="4" t="s">
        <v>537</v>
      </c>
      <c r="C88" s="4" t="s">
        <v>538</v>
      </c>
      <c r="D88" s="4" t="s">
        <v>539</v>
      </c>
    </row>
    <row r="89" s="1" customFormat="1" customHeight="1" spans="1:4">
      <c r="A89" s="4"/>
      <c r="B89" s="7" t="s">
        <v>540</v>
      </c>
      <c r="C89" s="8" t="s">
        <v>630</v>
      </c>
      <c r="D89" s="9" t="s">
        <v>660</v>
      </c>
    </row>
    <row r="90" s="1" customFormat="1" customHeight="1" spans="1:4">
      <c r="A90" s="4"/>
      <c r="B90" s="10"/>
      <c r="C90" s="8" t="s">
        <v>632</v>
      </c>
      <c r="D90" s="9" t="s">
        <v>661</v>
      </c>
    </row>
    <row r="91" s="1" customFormat="1" customHeight="1" spans="1:4">
      <c r="A91" s="4"/>
      <c r="B91" s="7" t="s">
        <v>545</v>
      </c>
      <c r="C91" s="8" t="s">
        <v>662</v>
      </c>
      <c r="D91" s="9" t="s">
        <v>663</v>
      </c>
    </row>
    <row r="92" s="1" customFormat="1" customHeight="1" spans="1:4">
      <c r="A92" s="4"/>
      <c r="B92" s="9" t="s">
        <v>551</v>
      </c>
      <c r="C92" s="8" t="s">
        <v>664</v>
      </c>
      <c r="D92" s="14">
        <v>1</v>
      </c>
    </row>
    <row r="93" s="1" customFormat="1" customHeight="1" spans="1:4">
      <c r="A93" s="11" t="s">
        <v>554</v>
      </c>
      <c r="B93" s="11"/>
      <c r="C93" s="11"/>
      <c r="D93" s="11"/>
    </row>
    <row r="95" s="1" customFormat="1" customHeight="1" spans="1:4">
      <c r="A95" s="3" t="s">
        <v>589</v>
      </c>
      <c r="B95" s="3"/>
      <c r="C95" s="3"/>
      <c r="D95" s="3"/>
    </row>
    <row r="96" s="1" customFormat="1" customHeight="1" spans="1:4">
      <c r="A96" s="4" t="s">
        <v>590</v>
      </c>
      <c r="B96" s="12" t="s">
        <v>436</v>
      </c>
      <c r="C96" s="12"/>
      <c r="D96" s="12"/>
    </row>
    <row r="97" s="1" customFormat="1" customHeight="1" spans="1:4">
      <c r="A97" s="4" t="s">
        <v>591</v>
      </c>
      <c r="B97" s="6" t="s">
        <v>438</v>
      </c>
      <c r="C97" s="6"/>
      <c r="D97" s="6"/>
    </row>
    <row r="98" s="1" customFormat="1" customHeight="1" spans="1:4">
      <c r="A98" s="4" t="s">
        <v>536</v>
      </c>
      <c r="B98" s="4" t="s">
        <v>537</v>
      </c>
      <c r="C98" s="4" t="s">
        <v>538</v>
      </c>
      <c r="D98" s="4" t="s">
        <v>539</v>
      </c>
    </row>
    <row r="99" s="1" customFormat="1" customHeight="1" spans="1:4">
      <c r="A99" s="4"/>
      <c r="B99" s="7" t="s">
        <v>540</v>
      </c>
      <c r="C99" s="8" t="s">
        <v>665</v>
      </c>
      <c r="D99" s="9" t="s">
        <v>596</v>
      </c>
    </row>
    <row r="100" s="1" customFormat="1" customHeight="1" spans="1:4">
      <c r="A100" s="4"/>
      <c r="B100" s="10"/>
      <c r="C100" s="8" t="s">
        <v>666</v>
      </c>
      <c r="D100" s="9" t="s">
        <v>667</v>
      </c>
    </row>
    <row r="101" s="1" customFormat="1" customHeight="1" spans="1:4">
      <c r="A101" s="4"/>
      <c r="B101" s="7" t="s">
        <v>545</v>
      </c>
      <c r="C101" s="8" t="s">
        <v>668</v>
      </c>
      <c r="D101" s="9" t="s">
        <v>669</v>
      </c>
    </row>
    <row r="102" s="1" customFormat="1" customHeight="1" spans="1:4">
      <c r="A102" s="4"/>
      <c r="B102" s="10"/>
      <c r="C102" s="8" t="s">
        <v>670</v>
      </c>
      <c r="D102" s="9" t="s">
        <v>671</v>
      </c>
    </row>
    <row r="103" s="1" customFormat="1" customHeight="1" spans="1:4">
      <c r="A103" s="4"/>
      <c r="B103" s="9" t="s">
        <v>551</v>
      </c>
      <c r="C103" s="8" t="s">
        <v>672</v>
      </c>
      <c r="D103" s="9" t="s">
        <v>673</v>
      </c>
    </row>
    <row r="104" s="1" customFormat="1" customHeight="1" spans="1:4">
      <c r="A104" s="11" t="s">
        <v>554</v>
      </c>
      <c r="B104" s="11"/>
      <c r="C104" s="11"/>
      <c r="D104" s="11"/>
    </row>
    <row r="106" s="1" customFormat="1" customHeight="1" spans="1:4">
      <c r="A106" s="3" t="s">
        <v>589</v>
      </c>
      <c r="B106" s="3"/>
      <c r="C106" s="3"/>
      <c r="D106" s="3"/>
    </row>
    <row r="107" s="1" customFormat="1" customHeight="1" spans="1:4">
      <c r="A107" s="4" t="s">
        <v>590</v>
      </c>
      <c r="B107" s="12" t="s">
        <v>440</v>
      </c>
      <c r="C107" s="12"/>
      <c r="D107" s="12"/>
    </row>
    <row r="108" s="1" customFormat="1" customHeight="1" spans="1:4">
      <c r="A108" s="4" t="s">
        <v>591</v>
      </c>
      <c r="B108" s="6" t="s">
        <v>441</v>
      </c>
      <c r="C108" s="6"/>
      <c r="D108" s="6"/>
    </row>
    <row r="109" s="1" customFormat="1" customHeight="1" spans="1:4">
      <c r="A109" s="4" t="s">
        <v>536</v>
      </c>
      <c r="B109" s="4" t="s">
        <v>537</v>
      </c>
      <c r="C109" s="4" t="s">
        <v>538</v>
      </c>
      <c r="D109" s="4" t="s">
        <v>539</v>
      </c>
    </row>
    <row r="110" s="1" customFormat="1" customHeight="1" spans="1:4">
      <c r="A110" s="4"/>
      <c r="B110" s="7" t="s">
        <v>540</v>
      </c>
      <c r="C110" s="8" t="s">
        <v>665</v>
      </c>
      <c r="D110" s="9" t="s">
        <v>596</v>
      </c>
    </row>
    <row r="111" s="1" customFormat="1" customHeight="1" spans="1:4">
      <c r="A111" s="4"/>
      <c r="B111" s="10"/>
      <c r="C111" s="8" t="s">
        <v>666</v>
      </c>
      <c r="D111" s="9" t="s">
        <v>674</v>
      </c>
    </row>
    <row r="112" s="1" customFormat="1" customHeight="1" spans="1:4">
      <c r="A112" s="4"/>
      <c r="B112" s="7" t="s">
        <v>545</v>
      </c>
      <c r="C112" s="8" t="s">
        <v>675</v>
      </c>
      <c r="D112" s="9" t="s">
        <v>676</v>
      </c>
    </row>
    <row r="113" s="1" customFormat="1" customHeight="1" spans="1:4">
      <c r="A113" s="4"/>
      <c r="B113" s="10"/>
      <c r="C113" s="8" t="s">
        <v>677</v>
      </c>
      <c r="D113" s="9" t="s">
        <v>578</v>
      </c>
    </row>
    <row r="114" s="1" customFormat="1" customHeight="1" spans="1:4">
      <c r="A114" s="4"/>
      <c r="B114" s="9" t="s">
        <v>551</v>
      </c>
      <c r="C114" s="8" t="s">
        <v>678</v>
      </c>
      <c r="D114" s="9" t="s">
        <v>578</v>
      </c>
    </row>
    <row r="115" s="1" customFormat="1" customHeight="1" spans="1:4">
      <c r="A115" s="11" t="s">
        <v>554</v>
      </c>
      <c r="B115" s="11"/>
      <c r="C115" s="11"/>
      <c r="D115" s="11"/>
    </row>
    <row r="117" s="1" customFormat="1" customHeight="1" spans="1:4">
      <c r="A117" s="3" t="s">
        <v>589</v>
      </c>
      <c r="B117" s="3"/>
      <c r="C117" s="3"/>
      <c r="D117" s="3"/>
    </row>
    <row r="118" s="1" customFormat="1" customHeight="1" spans="1:4">
      <c r="A118" s="4" t="s">
        <v>590</v>
      </c>
      <c r="B118" s="12" t="s">
        <v>414</v>
      </c>
      <c r="C118" s="12"/>
      <c r="D118" s="12"/>
    </row>
    <row r="119" s="1" customFormat="1" customHeight="1" spans="1:4">
      <c r="A119" s="4" t="s">
        <v>591</v>
      </c>
      <c r="B119" s="6" t="s">
        <v>416</v>
      </c>
      <c r="C119" s="6"/>
      <c r="D119" s="6"/>
    </row>
    <row r="120" s="1" customFormat="1" customHeight="1" spans="1:4">
      <c r="A120" s="4" t="s">
        <v>536</v>
      </c>
      <c r="B120" s="4" t="s">
        <v>537</v>
      </c>
      <c r="C120" s="4" t="s">
        <v>538</v>
      </c>
      <c r="D120" s="4" t="s">
        <v>539</v>
      </c>
    </row>
    <row r="121" s="1" customFormat="1" customHeight="1" spans="1:4">
      <c r="A121" s="4"/>
      <c r="B121" s="7" t="s">
        <v>540</v>
      </c>
      <c r="C121" s="8" t="s">
        <v>679</v>
      </c>
      <c r="D121" s="9" t="s">
        <v>680</v>
      </c>
    </row>
    <row r="122" s="1" customFormat="1" customHeight="1" spans="1:4">
      <c r="A122" s="4"/>
      <c r="B122" s="10"/>
      <c r="C122" s="8" t="s">
        <v>681</v>
      </c>
      <c r="D122" s="9" t="s">
        <v>682</v>
      </c>
    </row>
    <row r="123" s="1" customFormat="1" customHeight="1" spans="1:4">
      <c r="A123" s="4"/>
      <c r="B123" s="7" t="s">
        <v>545</v>
      </c>
      <c r="C123" s="8" t="s">
        <v>683</v>
      </c>
      <c r="D123" s="9" t="s">
        <v>684</v>
      </c>
    </row>
    <row r="124" s="1" customFormat="1" customHeight="1" spans="1:4">
      <c r="A124" s="4"/>
      <c r="B124" s="10"/>
      <c r="C124" s="8" t="s">
        <v>685</v>
      </c>
      <c r="D124" s="9" t="s">
        <v>686</v>
      </c>
    </row>
    <row r="125" s="1" customFormat="1" customHeight="1" spans="1:4">
      <c r="A125" s="4"/>
      <c r="B125" s="9" t="s">
        <v>551</v>
      </c>
      <c r="C125" s="8" t="s">
        <v>687</v>
      </c>
      <c r="D125" s="9" t="s">
        <v>688</v>
      </c>
    </row>
    <row r="126" s="1" customFormat="1" customHeight="1" spans="1:4">
      <c r="A126" s="4"/>
      <c r="B126" s="9"/>
      <c r="C126" s="8" t="s">
        <v>689</v>
      </c>
      <c r="D126" s="9" t="s">
        <v>690</v>
      </c>
    </row>
    <row r="127" s="1" customFormat="1" customHeight="1" spans="1:4">
      <c r="A127" s="11" t="s">
        <v>554</v>
      </c>
      <c r="B127" s="11"/>
      <c r="C127" s="11"/>
      <c r="D127" s="11"/>
    </row>
    <row r="129" s="1" customFormat="1" customHeight="1" spans="1:4">
      <c r="A129" s="3" t="s">
        <v>589</v>
      </c>
      <c r="B129" s="3"/>
      <c r="C129" s="3"/>
      <c r="D129" s="3"/>
    </row>
    <row r="130" s="1" customFormat="1" customHeight="1" spans="1:4">
      <c r="A130" s="4" t="s">
        <v>590</v>
      </c>
      <c r="B130" s="12" t="s">
        <v>406</v>
      </c>
      <c r="C130" s="12"/>
      <c r="D130" s="12"/>
    </row>
    <row r="131" s="1" customFormat="1" customHeight="1" spans="1:4">
      <c r="A131" s="4" t="s">
        <v>591</v>
      </c>
      <c r="B131" s="6" t="s">
        <v>406</v>
      </c>
      <c r="C131" s="6"/>
      <c r="D131" s="6"/>
    </row>
    <row r="132" s="1" customFormat="1" customHeight="1" spans="1:4">
      <c r="A132" s="4" t="s">
        <v>536</v>
      </c>
      <c r="B132" s="4" t="s">
        <v>537</v>
      </c>
      <c r="C132" s="4" t="s">
        <v>538</v>
      </c>
      <c r="D132" s="4" t="s">
        <v>539</v>
      </c>
    </row>
    <row r="133" s="1" customFormat="1" customHeight="1" spans="1:4">
      <c r="A133" s="4"/>
      <c r="B133" s="7" t="s">
        <v>540</v>
      </c>
      <c r="C133" s="8" t="s">
        <v>679</v>
      </c>
      <c r="D133" s="9" t="s">
        <v>680</v>
      </c>
    </row>
    <row r="134" s="1" customFormat="1" customHeight="1" spans="1:4">
      <c r="A134" s="4"/>
      <c r="B134" s="10"/>
      <c r="C134" s="8" t="s">
        <v>681</v>
      </c>
      <c r="D134" s="9" t="s">
        <v>691</v>
      </c>
    </row>
    <row r="135" s="1" customFormat="1" customHeight="1" spans="1:4">
      <c r="A135" s="4"/>
      <c r="B135" s="7" t="s">
        <v>545</v>
      </c>
      <c r="C135" s="8" t="s">
        <v>692</v>
      </c>
      <c r="D135" s="9" t="s">
        <v>693</v>
      </c>
    </row>
    <row r="136" s="1" customFormat="1" customHeight="1" spans="1:4">
      <c r="A136" s="4"/>
      <c r="B136" s="10"/>
      <c r="C136" s="8" t="s">
        <v>694</v>
      </c>
      <c r="D136" s="9" t="s">
        <v>688</v>
      </c>
    </row>
    <row r="137" s="1" customFormat="1" customHeight="1" spans="1:4">
      <c r="A137" s="4"/>
      <c r="B137" s="9" t="s">
        <v>551</v>
      </c>
      <c r="C137" s="8" t="s">
        <v>695</v>
      </c>
      <c r="D137" s="9" t="s">
        <v>696</v>
      </c>
    </row>
    <row r="138" s="1" customFormat="1" customHeight="1" spans="1:4">
      <c r="A138" s="4"/>
      <c r="B138" s="9"/>
      <c r="C138" s="8" t="s">
        <v>689</v>
      </c>
      <c r="D138" s="9" t="s">
        <v>690</v>
      </c>
    </row>
    <row r="139" s="1" customFormat="1" customHeight="1" spans="1:4">
      <c r="A139" s="11" t="s">
        <v>554</v>
      </c>
      <c r="B139" s="11"/>
      <c r="C139" s="11"/>
      <c r="D139" s="11"/>
    </row>
    <row r="141" s="1" customFormat="1" customHeight="1" spans="1:4">
      <c r="A141" s="3" t="s">
        <v>589</v>
      </c>
      <c r="B141" s="3"/>
      <c r="C141" s="3"/>
      <c r="D141" s="3"/>
    </row>
    <row r="142" s="1" customFormat="1" customHeight="1" spans="1:4">
      <c r="A142" s="4" t="s">
        <v>590</v>
      </c>
      <c r="B142" s="12" t="s">
        <v>408</v>
      </c>
      <c r="C142" s="12"/>
      <c r="D142" s="12"/>
    </row>
    <row r="143" s="1" customFormat="1" ht="69" customHeight="1" spans="1:4">
      <c r="A143" s="4" t="s">
        <v>591</v>
      </c>
      <c r="B143" s="6" t="s">
        <v>410</v>
      </c>
      <c r="C143" s="6"/>
      <c r="D143" s="6"/>
    </row>
    <row r="144" s="1" customFormat="1" customHeight="1" spans="1:4">
      <c r="A144" s="4" t="s">
        <v>536</v>
      </c>
      <c r="B144" s="4" t="s">
        <v>537</v>
      </c>
      <c r="C144" s="4" t="s">
        <v>538</v>
      </c>
      <c r="D144" s="4" t="s">
        <v>539</v>
      </c>
    </row>
    <row r="145" s="1" customFormat="1" customHeight="1" spans="1:4">
      <c r="A145" s="4"/>
      <c r="B145" s="7" t="s">
        <v>540</v>
      </c>
      <c r="C145" s="8" t="s">
        <v>679</v>
      </c>
      <c r="D145" s="9" t="s">
        <v>680</v>
      </c>
    </row>
    <row r="146" s="1" customFormat="1" customHeight="1" spans="1:4">
      <c r="A146" s="4"/>
      <c r="B146" s="10"/>
      <c r="C146" s="8" t="s">
        <v>681</v>
      </c>
      <c r="D146" s="9" t="s">
        <v>697</v>
      </c>
    </row>
    <row r="147" s="1" customFormat="1" customHeight="1" spans="1:4">
      <c r="A147" s="4"/>
      <c r="B147" s="7" t="s">
        <v>545</v>
      </c>
      <c r="C147" s="8" t="s">
        <v>698</v>
      </c>
      <c r="D147" s="9" t="s">
        <v>699</v>
      </c>
    </row>
    <row r="148" s="1" customFormat="1" customHeight="1" spans="1:4">
      <c r="A148" s="4"/>
      <c r="B148" s="10"/>
      <c r="C148" s="8" t="s">
        <v>694</v>
      </c>
      <c r="D148" s="9" t="s">
        <v>688</v>
      </c>
    </row>
    <row r="149" s="1" customFormat="1" customHeight="1" spans="1:4">
      <c r="A149" s="4"/>
      <c r="B149" s="9" t="s">
        <v>551</v>
      </c>
      <c r="C149" s="8" t="s">
        <v>695</v>
      </c>
      <c r="D149" s="9" t="s">
        <v>696</v>
      </c>
    </row>
    <row r="150" s="1" customFormat="1" customHeight="1" spans="1:4">
      <c r="A150" s="4"/>
      <c r="B150" s="9"/>
      <c r="C150" s="8" t="s">
        <v>689</v>
      </c>
      <c r="D150" s="9" t="s">
        <v>690</v>
      </c>
    </row>
    <row r="151" s="1" customFormat="1" customHeight="1" spans="1:4">
      <c r="A151" s="11" t="s">
        <v>554</v>
      </c>
      <c r="B151" s="11"/>
      <c r="C151" s="11"/>
      <c r="D151" s="11"/>
    </row>
    <row r="153" s="1" customFormat="1" customHeight="1" spans="1:4">
      <c r="A153" s="3" t="s">
        <v>589</v>
      </c>
      <c r="B153" s="3"/>
      <c r="C153" s="3"/>
      <c r="D153" s="3"/>
    </row>
    <row r="154" s="1" customFormat="1" customHeight="1" spans="1:4">
      <c r="A154" s="4" t="s">
        <v>590</v>
      </c>
      <c r="B154" s="12" t="s">
        <v>411</v>
      </c>
      <c r="C154" s="12"/>
      <c r="D154" s="12"/>
    </row>
    <row r="155" s="1" customFormat="1" customHeight="1" spans="1:4">
      <c r="A155" s="4" t="s">
        <v>591</v>
      </c>
      <c r="B155" s="6" t="s">
        <v>413</v>
      </c>
      <c r="C155" s="6"/>
      <c r="D155" s="6"/>
    </row>
    <row r="156" s="1" customFormat="1" customHeight="1" spans="1:4">
      <c r="A156" s="4" t="s">
        <v>536</v>
      </c>
      <c r="B156" s="4" t="s">
        <v>537</v>
      </c>
      <c r="C156" s="4" t="s">
        <v>538</v>
      </c>
      <c r="D156" s="4" t="s">
        <v>539</v>
      </c>
    </row>
    <row r="157" s="1" customFormat="1" customHeight="1" spans="1:4">
      <c r="A157" s="4"/>
      <c r="B157" s="7" t="s">
        <v>540</v>
      </c>
      <c r="C157" s="8" t="s">
        <v>679</v>
      </c>
      <c r="D157" s="9" t="s">
        <v>680</v>
      </c>
    </row>
    <row r="158" s="1" customFormat="1" customHeight="1" spans="1:4">
      <c r="A158" s="4"/>
      <c r="B158" s="10"/>
      <c r="C158" s="8" t="s">
        <v>681</v>
      </c>
      <c r="D158" s="9" t="s">
        <v>700</v>
      </c>
    </row>
    <row r="159" s="1" customFormat="1" customHeight="1" spans="1:4">
      <c r="A159" s="4"/>
      <c r="B159" s="7" t="s">
        <v>545</v>
      </c>
      <c r="C159" s="8" t="s">
        <v>701</v>
      </c>
      <c r="D159" s="9" t="s">
        <v>702</v>
      </c>
    </row>
    <row r="160" s="1" customFormat="1" customHeight="1" spans="1:4">
      <c r="A160" s="4"/>
      <c r="B160" s="10"/>
      <c r="C160" s="8" t="s">
        <v>685</v>
      </c>
      <c r="D160" s="9" t="s">
        <v>686</v>
      </c>
    </row>
    <row r="161" s="1" customFormat="1" customHeight="1" spans="1:4">
      <c r="A161" s="4"/>
      <c r="B161" s="9" t="s">
        <v>551</v>
      </c>
      <c r="C161" s="8" t="s">
        <v>695</v>
      </c>
      <c r="D161" s="9" t="s">
        <v>696</v>
      </c>
    </row>
    <row r="162" s="1" customFormat="1" customHeight="1" spans="1:4">
      <c r="A162" s="4"/>
      <c r="B162" s="9"/>
      <c r="C162" s="8" t="s">
        <v>689</v>
      </c>
      <c r="D162" s="9" t="s">
        <v>690</v>
      </c>
    </row>
    <row r="163" s="1" customFormat="1" customHeight="1" spans="1:4">
      <c r="A163" s="11" t="s">
        <v>554</v>
      </c>
      <c r="B163" s="11"/>
      <c r="C163" s="11"/>
      <c r="D163" s="11"/>
    </row>
    <row r="165" s="1" customFormat="1" customHeight="1" spans="1:4">
      <c r="A165" s="3" t="s">
        <v>589</v>
      </c>
      <c r="B165" s="3"/>
      <c r="C165" s="3"/>
      <c r="D165" s="3"/>
    </row>
    <row r="166" s="1" customFormat="1" customHeight="1" spans="1:4">
      <c r="A166" s="4" t="s">
        <v>590</v>
      </c>
      <c r="B166" s="12" t="s">
        <v>414</v>
      </c>
      <c r="C166" s="12"/>
      <c r="D166" s="12"/>
    </row>
    <row r="167" s="1" customFormat="1" ht="75" customHeight="1" spans="1:4">
      <c r="A167" s="4" t="s">
        <v>591</v>
      </c>
      <c r="B167" s="6" t="s">
        <v>416</v>
      </c>
      <c r="C167" s="6"/>
      <c r="D167" s="6"/>
    </row>
    <row r="168" s="1" customFormat="1" customHeight="1" spans="1:4">
      <c r="A168" s="4" t="s">
        <v>536</v>
      </c>
      <c r="B168" s="4" t="s">
        <v>537</v>
      </c>
      <c r="C168" s="4" t="s">
        <v>538</v>
      </c>
      <c r="D168" s="4" t="s">
        <v>539</v>
      </c>
    </row>
    <row r="169" s="1" customFormat="1" customHeight="1" spans="1:4">
      <c r="A169" s="4"/>
      <c r="B169" s="7" t="s">
        <v>540</v>
      </c>
      <c r="C169" s="8" t="s">
        <v>679</v>
      </c>
      <c r="D169" s="9" t="s">
        <v>680</v>
      </c>
    </row>
    <row r="170" s="1" customFormat="1" customHeight="1" spans="1:4">
      <c r="A170" s="4"/>
      <c r="B170" s="10"/>
      <c r="C170" s="8" t="s">
        <v>681</v>
      </c>
      <c r="D170" s="9" t="s">
        <v>682</v>
      </c>
    </row>
    <row r="171" s="1" customFormat="1" customHeight="1" spans="1:4">
      <c r="A171" s="4"/>
      <c r="B171" s="7" t="s">
        <v>545</v>
      </c>
      <c r="C171" s="8" t="s">
        <v>683</v>
      </c>
      <c r="D171" s="9" t="s">
        <v>693</v>
      </c>
    </row>
    <row r="172" s="1" customFormat="1" customHeight="1" spans="1:4">
      <c r="A172" s="4"/>
      <c r="B172" s="10"/>
      <c r="C172" s="8" t="s">
        <v>685</v>
      </c>
      <c r="D172" s="9" t="s">
        <v>686</v>
      </c>
    </row>
    <row r="173" s="1" customFormat="1" customHeight="1" spans="1:4">
      <c r="A173" s="4"/>
      <c r="B173" s="9" t="s">
        <v>551</v>
      </c>
      <c r="C173" s="8" t="s">
        <v>695</v>
      </c>
      <c r="D173" s="9" t="s">
        <v>696</v>
      </c>
    </row>
    <row r="174" s="1" customFormat="1" customHeight="1" spans="1:4">
      <c r="A174" s="4"/>
      <c r="B174" s="9"/>
      <c r="C174" s="8" t="s">
        <v>689</v>
      </c>
      <c r="D174" s="9" t="s">
        <v>690</v>
      </c>
    </row>
    <row r="175" s="1" customFormat="1" customHeight="1" spans="1:4">
      <c r="A175" s="11" t="s">
        <v>554</v>
      </c>
      <c r="B175" s="11"/>
      <c r="C175" s="11"/>
      <c r="D175" s="11"/>
    </row>
    <row r="177" s="1" customFormat="1" customHeight="1" spans="1:4">
      <c r="A177" s="3" t="s">
        <v>589</v>
      </c>
      <c r="B177" s="3"/>
      <c r="C177" s="3"/>
      <c r="D177" s="3"/>
    </row>
    <row r="178" s="1" customFormat="1" customHeight="1" spans="1:4">
      <c r="A178" s="4" t="s">
        <v>590</v>
      </c>
      <c r="B178" s="12" t="s">
        <v>417</v>
      </c>
      <c r="C178" s="12"/>
      <c r="D178" s="12"/>
    </row>
    <row r="179" s="1" customFormat="1" customHeight="1" spans="1:4">
      <c r="A179" s="4" t="s">
        <v>591</v>
      </c>
      <c r="B179" s="6" t="s">
        <v>419</v>
      </c>
      <c r="C179" s="6"/>
      <c r="D179" s="6"/>
    </row>
    <row r="180" s="1" customFormat="1" customHeight="1" spans="1:4">
      <c r="A180" s="4" t="s">
        <v>536</v>
      </c>
      <c r="B180" s="4" t="s">
        <v>537</v>
      </c>
      <c r="C180" s="4" t="s">
        <v>538</v>
      </c>
      <c r="D180" s="4" t="s">
        <v>539</v>
      </c>
    </row>
    <row r="181" s="1" customFormat="1" customHeight="1" spans="1:4">
      <c r="A181" s="4"/>
      <c r="B181" s="7" t="s">
        <v>540</v>
      </c>
      <c r="C181" s="8" t="s">
        <v>679</v>
      </c>
      <c r="D181" s="9" t="s">
        <v>680</v>
      </c>
    </row>
    <row r="182" s="1" customFormat="1" customHeight="1" spans="1:4">
      <c r="A182" s="4"/>
      <c r="B182" s="10"/>
      <c r="C182" s="8" t="s">
        <v>681</v>
      </c>
      <c r="D182" s="9" t="s">
        <v>703</v>
      </c>
    </row>
    <row r="183" s="1" customFormat="1" customHeight="1" spans="1:4">
      <c r="A183" s="4"/>
      <c r="B183" s="7" t="s">
        <v>545</v>
      </c>
      <c r="C183" s="8" t="s">
        <v>704</v>
      </c>
      <c r="D183" s="9" t="s">
        <v>705</v>
      </c>
    </row>
    <row r="184" s="1" customFormat="1" customHeight="1" spans="1:4">
      <c r="A184" s="4"/>
      <c r="B184" s="10"/>
      <c r="C184" s="8" t="s">
        <v>685</v>
      </c>
      <c r="D184" s="9" t="s">
        <v>686</v>
      </c>
    </row>
    <row r="185" s="1" customFormat="1" customHeight="1" spans="1:4">
      <c r="A185" s="4"/>
      <c r="B185" s="9" t="s">
        <v>551</v>
      </c>
      <c r="C185" s="8" t="s">
        <v>695</v>
      </c>
      <c r="D185" s="9" t="s">
        <v>696</v>
      </c>
    </row>
    <row r="186" s="1" customFormat="1" customHeight="1" spans="1:4">
      <c r="A186" s="4"/>
      <c r="B186" s="9"/>
      <c r="C186" s="8" t="s">
        <v>689</v>
      </c>
      <c r="D186" s="9" t="s">
        <v>690</v>
      </c>
    </row>
    <row r="187" s="1" customFormat="1" customHeight="1" spans="1:4">
      <c r="A187" s="11" t="s">
        <v>554</v>
      </c>
      <c r="B187" s="11"/>
      <c r="C187" s="11"/>
      <c r="D187" s="11"/>
    </row>
    <row r="189" s="1" customFormat="1" customHeight="1" spans="1:4">
      <c r="A189" s="3" t="s">
        <v>589</v>
      </c>
      <c r="B189" s="3"/>
      <c r="C189" s="3"/>
      <c r="D189" s="3"/>
    </row>
    <row r="190" s="1" customFormat="1" customHeight="1" spans="1:4">
      <c r="A190" s="4" t="s">
        <v>590</v>
      </c>
      <c r="B190" s="12" t="s">
        <v>420</v>
      </c>
      <c r="C190" s="12"/>
      <c r="D190" s="12"/>
    </row>
    <row r="191" s="1" customFormat="1" ht="46" customHeight="1" spans="1:4">
      <c r="A191" s="4" t="s">
        <v>591</v>
      </c>
      <c r="B191" s="6" t="s">
        <v>422</v>
      </c>
      <c r="C191" s="6"/>
      <c r="D191" s="6"/>
    </row>
    <row r="192" s="1" customFormat="1" customHeight="1" spans="1:4">
      <c r="A192" s="4" t="s">
        <v>536</v>
      </c>
      <c r="B192" s="4" t="s">
        <v>537</v>
      </c>
      <c r="C192" s="4" t="s">
        <v>538</v>
      </c>
      <c r="D192" s="4" t="s">
        <v>539</v>
      </c>
    </row>
    <row r="193" s="1" customFormat="1" customHeight="1" spans="1:4">
      <c r="A193" s="4"/>
      <c r="B193" s="7" t="s">
        <v>540</v>
      </c>
      <c r="C193" s="8" t="s">
        <v>679</v>
      </c>
      <c r="D193" s="9" t="s">
        <v>680</v>
      </c>
    </row>
    <row r="194" s="1" customFormat="1" customHeight="1" spans="1:4">
      <c r="A194" s="4"/>
      <c r="B194" s="10"/>
      <c r="C194" s="8" t="s">
        <v>681</v>
      </c>
      <c r="D194" s="9" t="s">
        <v>706</v>
      </c>
    </row>
    <row r="195" s="1" customFormat="1" customHeight="1" spans="1:4">
      <c r="A195" s="4"/>
      <c r="B195" s="7" t="s">
        <v>545</v>
      </c>
      <c r="C195" s="8" t="s">
        <v>701</v>
      </c>
      <c r="D195" s="9" t="s">
        <v>707</v>
      </c>
    </row>
    <row r="196" s="1" customFormat="1" customHeight="1" spans="1:4">
      <c r="A196" s="4"/>
      <c r="B196" s="10"/>
      <c r="C196" s="8" t="s">
        <v>685</v>
      </c>
      <c r="D196" s="9" t="s">
        <v>686</v>
      </c>
    </row>
    <row r="197" s="1" customFormat="1" customHeight="1" spans="1:4">
      <c r="A197" s="4"/>
      <c r="B197" s="9" t="s">
        <v>551</v>
      </c>
      <c r="C197" s="8" t="s">
        <v>687</v>
      </c>
      <c r="D197" s="9" t="s">
        <v>688</v>
      </c>
    </row>
    <row r="198" s="1" customFormat="1" customHeight="1" spans="1:4">
      <c r="A198" s="4"/>
      <c r="B198" s="9"/>
      <c r="C198" s="8" t="s">
        <v>689</v>
      </c>
      <c r="D198" s="9" t="s">
        <v>690</v>
      </c>
    </row>
    <row r="199" s="1" customFormat="1" customHeight="1" spans="1:4">
      <c r="A199" s="11" t="s">
        <v>554</v>
      </c>
      <c r="B199" s="11"/>
      <c r="C199" s="11"/>
      <c r="D199" s="11"/>
    </row>
    <row r="201" s="1" customFormat="1" customHeight="1" spans="1:4">
      <c r="A201" s="3" t="s">
        <v>589</v>
      </c>
      <c r="B201" s="3"/>
      <c r="C201" s="3"/>
      <c r="D201" s="3"/>
    </row>
    <row r="202" s="1" customFormat="1" customHeight="1" spans="1:4">
      <c r="A202" s="4" t="s">
        <v>590</v>
      </c>
      <c r="B202" s="12" t="s">
        <v>423</v>
      </c>
      <c r="C202" s="12"/>
      <c r="D202" s="12"/>
    </row>
    <row r="203" s="1" customFormat="1" customHeight="1" spans="1:4">
      <c r="A203" s="4" t="s">
        <v>591</v>
      </c>
      <c r="B203" s="6" t="s">
        <v>425</v>
      </c>
      <c r="C203" s="6"/>
      <c r="D203" s="6"/>
    </row>
    <row r="204" s="1" customFormat="1" customHeight="1" spans="1:4">
      <c r="A204" s="4" t="s">
        <v>536</v>
      </c>
      <c r="B204" s="4" t="s">
        <v>537</v>
      </c>
      <c r="C204" s="4" t="s">
        <v>538</v>
      </c>
      <c r="D204" s="4" t="s">
        <v>539</v>
      </c>
    </row>
    <row r="205" s="1" customFormat="1" customHeight="1" spans="1:4">
      <c r="A205" s="4"/>
      <c r="B205" s="7" t="s">
        <v>540</v>
      </c>
      <c r="C205" s="8" t="s">
        <v>679</v>
      </c>
      <c r="D205" s="9" t="s">
        <v>680</v>
      </c>
    </row>
    <row r="206" s="1" customFormat="1" customHeight="1" spans="1:4">
      <c r="A206" s="4"/>
      <c r="B206" s="10"/>
      <c r="C206" s="8" t="s">
        <v>681</v>
      </c>
      <c r="D206" s="9" t="s">
        <v>708</v>
      </c>
    </row>
    <row r="207" s="1" customFormat="1" customHeight="1" spans="1:4">
      <c r="A207" s="4"/>
      <c r="B207" s="7" t="s">
        <v>545</v>
      </c>
      <c r="C207" s="8" t="s">
        <v>709</v>
      </c>
      <c r="D207" s="9" t="s">
        <v>710</v>
      </c>
    </row>
    <row r="208" s="1" customFormat="1" customHeight="1" spans="1:4">
      <c r="A208" s="4"/>
      <c r="B208" s="10"/>
      <c r="C208" s="8" t="s">
        <v>685</v>
      </c>
      <c r="D208" s="9" t="s">
        <v>686</v>
      </c>
    </row>
    <row r="209" s="1" customFormat="1" customHeight="1" spans="1:4">
      <c r="A209" s="4"/>
      <c r="B209" s="9" t="s">
        <v>551</v>
      </c>
      <c r="C209" s="8" t="s">
        <v>687</v>
      </c>
      <c r="D209" s="9" t="s">
        <v>688</v>
      </c>
    </row>
    <row r="210" s="1" customFormat="1" customHeight="1" spans="1:4">
      <c r="A210" s="4"/>
      <c r="B210" s="9"/>
      <c r="C210" s="8" t="s">
        <v>689</v>
      </c>
      <c r="D210" s="9" t="s">
        <v>690</v>
      </c>
    </row>
    <row r="211" s="1" customFormat="1" customHeight="1" spans="1:4">
      <c r="A211" s="11" t="s">
        <v>554</v>
      </c>
      <c r="B211" s="11"/>
      <c r="C211" s="11"/>
      <c r="D211" s="11"/>
    </row>
    <row r="213" s="1" customFormat="1" customHeight="1" spans="1:4">
      <c r="A213" s="3" t="s">
        <v>589</v>
      </c>
      <c r="B213" s="3"/>
      <c r="C213" s="3"/>
      <c r="D213" s="3"/>
    </row>
    <row r="214" s="1" customFormat="1" customHeight="1" spans="1:4">
      <c r="A214" s="4" t="s">
        <v>590</v>
      </c>
      <c r="B214" s="12" t="s">
        <v>426</v>
      </c>
      <c r="C214" s="12"/>
      <c r="D214" s="12"/>
    </row>
    <row r="215" s="1" customFormat="1" customHeight="1" spans="1:4">
      <c r="A215" s="4" t="s">
        <v>591</v>
      </c>
      <c r="B215" s="6" t="s">
        <v>428</v>
      </c>
      <c r="C215" s="6"/>
      <c r="D215" s="6"/>
    </row>
    <row r="216" s="1" customFormat="1" customHeight="1" spans="1:4">
      <c r="A216" s="4" t="s">
        <v>536</v>
      </c>
      <c r="B216" s="4" t="s">
        <v>537</v>
      </c>
      <c r="C216" s="4" t="s">
        <v>538</v>
      </c>
      <c r="D216" s="4" t="s">
        <v>539</v>
      </c>
    </row>
    <row r="217" s="1" customFormat="1" customHeight="1" spans="1:4">
      <c r="A217" s="4"/>
      <c r="B217" s="7" t="s">
        <v>540</v>
      </c>
      <c r="C217" s="8" t="s">
        <v>679</v>
      </c>
      <c r="D217" s="9" t="s">
        <v>680</v>
      </c>
    </row>
    <row r="218" s="1" customFormat="1" customHeight="1" spans="1:4">
      <c r="A218" s="4"/>
      <c r="B218" s="10"/>
      <c r="C218" s="8" t="s">
        <v>681</v>
      </c>
      <c r="D218" s="9" t="s">
        <v>711</v>
      </c>
    </row>
    <row r="219" s="1" customFormat="1" customHeight="1" spans="1:4">
      <c r="A219" s="4"/>
      <c r="B219" s="7" t="s">
        <v>545</v>
      </c>
      <c r="C219" s="8" t="s">
        <v>712</v>
      </c>
      <c r="D219" s="9" t="s">
        <v>713</v>
      </c>
    </row>
    <row r="220" s="1" customFormat="1" customHeight="1" spans="1:4">
      <c r="A220" s="4"/>
      <c r="B220" s="10"/>
      <c r="C220" s="8" t="s">
        <v>714</v>
      </c>
      <c r="D220" s="9" t="s">
        <v>715</v>
      </c>
    </row>
    <row r="221" s="1" customFormat="1" customHeight="1" spans="1:4">
      <c r="A221" s="4"/>
      <c r="B221" s="9" t="s">
        <v>551</v>
      </c>
      <c r="C221" s="8" t="s">
        <v>687</v>
      </c>
      <c r="D221" s="9" t="s">
        <v>688</v>
      </c>
    </row>
    <row r="222" s="1" customFormat="1" customHeight="1" spans="1:4">
      <c r="A222" s="4"/>
      <c r="B222" s="9"/>
      <c r="C222" s="8" t="s">
        <v>689</v>
      </c>
      <c r="D222" s="9" t="s">
        <v>690</v>
      </c>
    </row>
    <row r="223" s="1" customFormat="1" customHeight="1" spans="1:4">
      <c r="A223" s="11" t="s">
        <v>554</v>
      </c>
      <c r="B223" s="11"/>
      <c r="C223" s="11"/>
      <c r="D223" s="11"/>
    </row>
    <row r="225" s="1" customFormat="1" customHeight="1" spans="1:4">
      <c r="A225" s="3" t="s">
        <v>589</v>
      </c>
      <c r="B225" s="3"/>
      <c r="C225" s="3"/>
      <c r="D225" s="3"/>
    </row>
    <row r="226" s="1" customFormat="1" customHeight="1" spans="1:4">
      <c r="A226" s="4" t="s">
        <v>590</v>
      </c>
      <c r="B226" s="12" t="s">
        <v>429</v>
      </c>
      <c r="C226" s="12"/>
      <c r="D226" s="12"/>
    </row>
    <row r="227" s="1" customFormat="1" ht="93" customHeight="1" spans="1:4">
      <c r="A227" s="4" t="s">
        <v>591</v>
      </c>
      <c r="B227" s="6" t="s">
        <v>431</v>
      </c>
      <c r="C227" s="6"/>
      <c r="D227" s="6"/>
    </row>
    <row r="228" s="1" customFormat="1" customHeight="1" spans="1:4">
      <c r="A228" s="4" t="s">
        <v>536</v>
      </c>
      <c r="B228" s="4" t="s">
        <v>537</v>
      </c>
      <c r="C228" s="4" t="s">
        <v>538</v>
      </c>
      <c r="D228" s="4" t="s">
        <v>539</v>
      </c>
    </row>
    <row r="229" s="1" customFormat="1" customHeight="1" spans="1:4">
      <c r="A229" s="4"/>
      <c r="B229" s="7" t="s">
        <v>540</v>
      </c>
      <c r="C229" s="8" t="s">
        <v>679</v>
      </c>
      <c r="D229" s="9" t="s">
        <v>680</v>
      </c>
    </row>
    <row r="230" s="1" customFormat="1" customHeight="1" spans="1:4">
      <c r="A230" s="4"/>
      <c r="B230" s="10"/>
      <c r="C230" s="8" t="s">
        <v>681</v>
      </c>
      <c r="D230" s="9" t="s">
        <v>716</v>
      </c>
    </row>
    <row r="231" s="1" customFormat="1" customHeight="1" spans="1:4">
      <c r="A231" s="4"/>
      <c r="B231" s="7" t="s">
        <v>545</v>
      </c>
      <c r="C231" s="8" t="s">
        <v>692</v>
      </c>
      <c r="D231" s="9" t="s">
        <v>717</v>
      </c>
    </row>
    <row r="232" s="1" customFormat="1" customHeight="1" spans="1:4">
      <c r="A232" s="4"/>
      <c r="B232" s="10"/>
      <c r="C232" s="8" t="s">
        <v>718</v>
      </c>
      <c r="D232" s="9" t="s">
        <v>719</v>
      </c>
    </row>
    <row r="233" s="1" customFormat="1" customHeight="1" spans="1:4">
      <c r="A233" s="4"/>
      <c r="B233" s="9" t="s">
        <v>551</v>
      </c>
      <c r="C233" s="8" t="s">
        <v>695</v>
      </c>
      <c r="D233" s="9" t="s">
        <v>696</v>
      </c>
    </row>
    <row r="234" s="1" customFormat="1" customHeight="1" spans="1:4">
      <c r="A234" s="4"/>
      <c r="B234" s="9"/>
      <c r="C234" s="8" t="s">
        <v>689</v>
      </c>
      <c r="D234" s="9" t="s">
        <v>690</v>
      </c>
    </row>
    <row r="235" s="1" customFormat="1" customHeight="1" spans="1:4">
      <c r="A235" s="11" t="s">
        <v>554</v>
      </c>
      <c r="B235" s="11"/>
      <c r="C235" s="11"/>
      <c r="D235" s="11"/>
    </row>
    <row r="237" s="1" customFormat="1" customHeight="1" spans="1:4">
      <c r="A237" s="3" t="s">
        <v>589</v>
      </c>
      <c r="B237" s="3"/>
      <c r="C237" s="3"/>
      <c r="D237" s="3"/>
    </row>
    <row r="238" s="1" customFormat="1" customHeight="1" spans="1:4">
      <c r="A238" s="4" t="s">
        <v>590</v>
      </c>
      <c r="B238" s="12" t="s">
        <v>494</v>
      </c>
      <c r="C238" s="12"/>
      <c r="D238" s="12"/>
    </row>
    <row r="239" s="1" customFormat="1" customHeight="1" spans="1:4">
      <c r="A239" s="4" t="s">
        <v>591</v>
      </c>
      <c r="B239" s="6" t="s">
        <v>496</v>
      </c>
      <c r="C239" s="6"/>
      <c r="D239" s="6"/>
    </row>
    <row r="240" s="1" customFormat="1" customHeight="1" spans="1:4">
      <c r="A240" s="4" t="s">
        <v>536</v>
      </c>
      <c r="B240" s="4" t="s">
        <v>537</v>
      </c>
      <c r="C240" s="4" t="s">
        <v>538</v>
      </c>
      <c r="D240" s="4" t="s">
        <v>539</v>
      </c>
    </row>
    <row r="241" s="1" customFormat="1" customHeight="1" spans="1:4">
      <c r="A241" s="4"/>
      <c r="B241" s="7" t="s">
        <v>540</v>
      </c>
      <c r="C241" s="8" t="s">
        <v>720</v>
      </c>
      <c r="D241" s="9" t="s">
        <v>680</v>
      </c>
    </row>
    <row r="242" s="1" customFormat="1" customHeight="1" spans="1:4">
      <c r="A242" s="4"/>
      <c r="B242" s="10"/>
      <c r="C242" s="8" t="s">
        <v>721</v>
      </c>
      <c r="D242" s="9" t="s">
        <v>722</v>
      </c>
    </row>
    <row r="243" s="1" customFormat="1" customHeight="1" spans="1:4">
      <c r="A243" s="4"/>
      <c r="B243" s="7" t="s">
        <v>545</v>
      </c>
      <c r="C243" s="8" t="s">
        <v>723</v>
      </c>
      <c r="D243" s="9" t="s">
        <v>724</v>
      </c>
    </row>
    <row r="244" s="1" customFormat="1" ht="94" customHeight="1" spans="1:4">
      <c r="A244" s="4"/>
      <c r="B244" s="10"/>
      <c r="C244" s="8" t="s">
        <v>725</v>
      </c>
      <c r="D244" s="9" t="s">
        <v>726</v>
      </c>
    </row>
    <row r="245" s="1" customFormat="1" customHeight="1" spans="1:4">
      <c r="A245" s="4"/>
      <c r="B245" s="9" t="s">
        <v>551</v>
      </c>
      <c r="C245" s="8" t="s">
        <v>727</v>
      </c>
      <c r="D245" s="9" t="s">
        <v>690</v>
      </c>
    </row>
    <row r="246" s="1" customFormat="1" customHeight="1" spans="1:4">
      <c r="A246" s="4"/>
      <c r="B246" s="9"/>
      <c r="C246" s="8" t="s">
        <v>728</v>
      </c>
      <c r="D246" s="9" t="s">
        <v>690</v>
      </c>
    </row>
    <row r="247" s="1" customFormat="1" customHeight="1" spans="1:4">
      <c r="A247" s="11" t="s">
        <v>554</v>
      </c>
      <c r="B247" s="11"/>
      <c r="C247" s="11"/>
      <c r="D247" s="11"/>
    </row>
    <row r="249" s="1" customFormat="1" customHeight="1" spans="1:4">
      <c r="A249" s="3" t="s">
        <v>589</v>
      </c>
      <c r="B249" s="3"/>
      <c r="C249" s="3"/>
      <c r="D249" s="3"/>
    </row>
    <row r="250" s="1" customFormat="1" customHeight="1" spans="1:4">
      <c r="A250" s="4" t="s">
        <v>590</v>
      </c>
      <c r="B250" s="12" t="s">
        <v>498</v>
      </c>
      <c r="C250" s="12"/>
      <c r="D250" s="12"/>
    </row>
    <row r="251" s="1" customFormat="1" customHeight="1" spans="1:4">
      <c r="A251" s="4" t="s">
        <v>591</v>
      </c>
      <c r="B251" s="6" t="s">
        <v>500</v>
      </c>
      <c r="C251" s="6"/>
      <c r="D251" s="6"/>
    </row>
    <row r="252" s="1" customFormat="1" customHeight="1" spans="1:4">
      <c r="A252" s="4" t="s">
        <v>536</v>
      </c>
      <c r="B252" s="4" t="s">
        <v>537</v>
      </c>
      <c r="C252" s="4" t="s">
        <v>538</v>
      </c>
      <c r="D252" s="4" t="s">
        <v>539</v>
      </c>
    </row>
    <row r="253" s="1" customFormat="1" customHeight="1" spans="1:4">
      <c r="A253" s="4"/>
      <c r="B253" s="7" t="s">
        <v>540</v>
      </c>
      <c r="C253" s="8" t="s">
        <v>729</v>
      </c>
      <c r="D253" s="9" t="s">
        <v>596</v>
      </c>
    </row>
    <row r="254" s="1" customFormat="1" customHeight="1" spans="1:4">
      <c r="A254" s="4"/>
      <c r="B254" s="10"/>
      <c r="C254" s="8" t="s">
        <v>730</v>
      </c>
      <c r="D254" s="9" t="s">
        <v>731</v>
      </c>
    </row>
    <row r="255" s="1" customFormat="1" customHeight="1" spans="1:4">
      <c r="A255" s="4"/>
      <c r="B255" s="7" t="s">
        <v>545</v>
      </c>
      <c r="C255" s="8" t="s">
        <v>732</v>
      </c>
      <c r="D255" s="9" t="s">
        <v>733</v>
      </c>
    </row>
    <row r="256" s="1" customFormat="1" customHeight="1" spans="1:4">
      <c r="A256" s="4"/>
      <c r="B256" s="10"/>
      <c r="C256" s="8" t="s">
        <v>734</v>
      </c>
      <c r="D256" s="9" t="s">
        <v>735</v>
      </c>
    </row>
    <row r="257" s="1" customFormat="1" customHeight="1" spans="1:4">
      <c r="A257" s="4"/>
      <c r="B257" s="9" t="s">
        <v>551</v>
      </c>
      <c r="C257" s="8" t="s">
        <v>736</v>
      </c>
      <c r="D257" s="9" t="s">
        <v>737</v>
      </c>
    </row>
    <row r="258" s="1" customFormat="1" customHeight="1" spans="1:4">
      <c r="A258" s="4"/>
      <c r="B258" s="9"/>
      <c r="C258" s="8" t="s">
        <v>738</v>
      </c>
      <c r="D258" s="9" t="s">
        <v>690</v>
      </c>
    </row>
    <row r="259" s="1" customFormat="1" customHeight="1" spans="1:4">
      <c r="A259" s="11" t="s">
        <v>554</v>
      </c>
      <c r="B259" s="11"/>
      <c r="C259" s="11"/>
      <c r="D259" s="11"/>
    </row>
    <row r="261" s="1" customFormat="1" customHeight="1" spans="1:4">
      <c r="A261" s="3" t="s">
        <v>589</v>
      </c>
      <c r="B261" s="3"/>
      <c r="C261" s="3"/>
      <c r="D261" s="3"/>
    </row>
    <row r="262" s="1" customFormat="1" customHeight="1" spans="1:4">
      <c r="A262" s="4" t="s">
        <v>590</v>
      </c>
      <c r="B262" s="12" t="s">
        <v>502</v>
      </c>
      <c r="C262" s="12"/>
      <c r="D262" s="12"/>
    </row>
    <row r="263" s="1" customFormat="1" customHeight="1" spans="1:4">
      <c r="A263" s="4" t="s">
        <v>591</v>
      </c>
      <c r="B263" s="6" t="s">
        <v>505</v>
      </c>
      <c r="C263" s="6"/>
      <c r="D263" s="6"/>
    </row>
    <row r="264" s="1" customFormat="1" customHeight="1" spans="1:4">
      <c r="A264" s="4" t="s">
        <v>536</v>
      </c>
      <c r="B264" s="4" t="s">
        <v>537</v>
      </c>
      <c r="C264" s="4" t="s">
        <v>538</v>
      </c>
      <c r="D264" s="4" t="s">
        <v>539</v>
      </c>
    </row>
    <row r="265" s="1" customFormat="1" customHeight="1" spans="1:4">
      <c r="A265" s="4"/>
      <c r="B265" s="7" t="s">
        <v>540</v>
      </c>
      <c r="C265" s="8" t="s">
        <v>739</v>
      </c>
      <c r="D265" s="9" t="s">
        <v>596</v>
      </c>
    </row>
    <row r="266" s="1" customFormat="1" customHeight="1" spans="1:4">
      <c r="A266" s="4"/>
      <c r="B266" s="10"/>
      <c r="C266" s="8" t="s">
        <v>730</v>
      </c>
      <c r="D266" s="9" t="s">
        <v>740</v>
      </c>
    </row>
    <row r="267" s="1" customFormat="1" customHeight="1" spans="1:4">
      <c r="A267" s="4"/>
      <c r="B267" s="7" t="s">
        <v>545</v>
      </c>
      <c r="C267" s="8" t="s">
        <v>741</v>
      </c>
      <c r="D267" s="9">
        <v>9650</v>
      </c>
    </row>
    <row r="268" s="1" customFormat="1" customHeight="1" spans="1:4">
      <c r="A268" s="4"/>
      <c r="B268" s="10"/>
      <c r="C268" s="8" t="s">
        <v>742</v>
      </c>
      <c r="D268" s="9" t="s">
        <v>743</v>
      </c>
    </row>
    <row r="269" s="1" customFormat="1" customHeight="1" spans="1:4">
      <c r="A269" s="4"/>
      <c r="B269" s="9" t="s">
        <v>551</v>
      </c>
      <c r="C269" s="8" t="s">
        <v>744</v>
      </c>
      <c r="D269" s="9" t="s">
        <v>578</v>
      </c>
    </row>
    <row r="270" s="1" customFormat="1" customHeight="1" spans="1:4">
      <c r="A270" s="4"/>
      <c r="B270" s="9"/>
      <c r="C270" s="8" t="s">
        <v>745</v>
      </c>
      <c r="D270" s="9" t="s">
        <v>578</v>
      </c>
    </row>
    <row r="271" s="1" customFormat="1" customHeight="1" spans="1:4">
      <c r="A271" s="11" t="s">
        <v>554</v>
      </c>
      <c r="B271" s="11"/>
      <c r="C271" s="11"/>
      <c r="D271" s="11"/>
    </row>
    <row r="273" s="1" customFormat="1" customHeight="1" spans="1:4">
      <c r="A273" s="3" t="s">
        <v>589</v>
      </c>
      <c r="B273" s="3"/>
      <c r="C273" s="3"/>
      <c r="D273" s="3"/>
    </row>
    <row r="274" s="1" customFormat="1" customHeight="1" spans="1:4">
      <c r="A274" s="4" t="s">
        <v>590</v>
      </c>
      <c r="B274" s="12" t="s">
        <v>507</v>
      </c>
      <c r="C274" s="12"/>
      <c r="D274" s="12"/>
    </row>
    <row r="275" s="1" customFormat="1" customHeight="1" spans="1:4">
      <c r="A275" s="4" t="s">
        <v>591</v>
      </c>
      <c r="B275" s="6" t="s">
        <v>509</v>
      </c>
      <c r="C275" s="6"/>
      <c r="D275" s="6"/>
    </row>
    <row r="276" s="1" customFormat="1" customHeight="1" spans="1:4">
      <c r="A276" s="4" t="s">
        <v>536</v>
      </c>
      <c r="B276" s="4" t="s">
        <v>537</v>
      </c>
      <c r="C276" s="4" t="s">
        <v>538</v>
      </c>
      <c r="D276" s="4" t="s">
        <v>539</v>
      </c>
    </row>
    <row r="277" s="1" customFormat="1" customHeight="1" spans="1:4">
      <c r="A277" s="4"/>
      <c r="B277" s="7" t="s">
        <v>540</v>
      </c>
      <c r="C277" s="8" t="s">
        <v>746</v>
      </c>
      <c r="D277" s="9" t="s">
        <v>596</v>
      </c>
    </row>
    <row r="278" s="1" customFormat="1" customHeight="1" spans="1:4">
      <c r="A278" s="4"/>
      <c r="B278" s="10"/>
      <c r="C278" s="8" t="s">
        <v>730</v>
      </c>
      <c r="D278" s="9" t="s">
        <v>731</v>
      </c>
    </row>
    <row r="279" s="1" customFormat="1" customHeight="1" spans="1:4">
      <c r="A279" s="4"/>
      <c r="B279" s="7" t="s">
        <v>545</v>
      </c>
      <c r="C279" s="8" t="s">
        <v>747</v>
      </c>
      <c r="D279" s="9" t="s">
        <v>748</v>
      </c>
    </row>
    <row r="280" s="1" customFormat="1" customHeight="1" spans="1:4">
      <c r="A280" s="4"/>
      <c r="B280" s="10"/>
      <c r="C280" s="8" t="s">
        <v>749</v>
      </c>
      <c r="D280" s="9" t="s">
        <v>750</v>
      </c>
    </row>
    <row r="281" s="1" customFormat="1" customHeight="1" spans="1:4">
      <c r="A281" s="4"/>
      <c r="B281" s="9" t="s">
        <v>551</v>
      </c>
      <c r="C281" s="8" t="s">
        <v>751</v>
      </c>
      <c r="D281" s="9" t="s">
        <v>690</v>
      </c>
    </row>
    <row r="282" s="1" customFormat="1" customHeight="1" spans="1:4">
      <c r="A282" s="4"/>
      <c r="B282" s="9"/>
      <c r="C282" s="8" t="s">
        <v>752</v>
      </c>
      <c r="D282" s="9" t="s">
        <v>578</v>
      </c>
    </row>
    <row r="283" s="1" customFormat="1" customHeight="1" spans="1:4">
      <c r="A283" s="11" t="s">
        <v>554</v>
      </c>
      <c r="B283" s="11"/>
      <c r="C283" s="11"/>
      <c r="D283" s="11"/>
    </row>
    <row r="285" s="1" customFormat="1" customHeight="1" spans="1:4">
      <c r="A285" s="3" t="s">
        <v>589</v>
      </c>
      <c r="B285" s="3"/>
      <c r="C285" s="3"/>
      <c r="D285" s="3"/>
    </row>
    <row r="286" s="1" customFormat="1" customHeight="1" spans="1:4">
      <c r="A286" s="4" t="s">
        <v>590</v>
      </c>
      <c r="B286" s="12" t="s">
        <v>511</v>
      </c>
      <c r="C286" s="12"/>
      <c r="D286" s="12"/>
    </row>
    <row r="287" s="1" customFormat="1" ht="72" customHeight="1" spans="1:4">
      <c r="A287" s="4" t="s">
        <v>591</v>
      </c>
      <c r="B287" s="6" t="s">
        <v>513</v>
      </c>
      <c r="C287" s="6"/>
      <c r="D287" s="6"/>
    </row>
    <row r="288" s="1" customFormat="1" customHeight="1" spans="1:4">
      <c r="A288" s="4" t="s">
        <v>536</v>
      </c>
      <c r="B288" s="4" t="s">
        <v>537</v>
      </c>
      <c r="C288" s="4" t="s">
        <v>538</v>
      </c>
      <c r="D288" s="4" t="s">
        <v>539</v>
      </c>
    </row>
    <row r="289" s="1" customFormat="1" customHeight="1" spans="1:4">
      <c r="A289" s="4"/>
      <c r="B289" s="7" t="s">
        <v>540</v>
      </c>
      <c r="C289" s="8" t="s">
        <v>753</v>
      </c>
      <c r="D289" s="9" t="s">
        <v>596</v>
      </c>
    </row>
    <row r="290" s="1" customFormat="1" customHeight="1" spans="1:4">
      <c r="A290" s="4"/>
      <c r="B290" s="10"/>
      <c r="C290" s="8" t="s">
        <v>681</v>
      </c>
      <c r="D290" s="9" t="s">
        <v>700</v>
      </c>
    </row>
    <row r="291" s="1" customFormat="1" ht="50" customHeight="1" spans="1:4">
      <c r="A291" s="4"/>
      <c r="B291" s="7" t="s">
        <v>545</v>
      </c>
      <c r="C291" s="8" t="s">
        <v>754</v>
      </c>
      <c r="D291" s="9" t="s">
        <v>755</v>
      </c>
    </row>
    <row r="292" s="1" customFormat="1" ht="42" customHeight="1" spans="1:4">
      <c r="A292" s="4"/>
      <c r="B292" s="10"/>
      <c r="C292" s="8" t="s">
        <v>756</v>
      </c>
      <c r="D292" s="9" t="s">
        <v>726</v>
      </c>
    </row>
    <row r="293" s="1" customFormat="1" customHeight="1" spans="1:4">
      <c r="A293" s="4"/>
      <c r="B293" s="9" t="s">
        <v>551</v>
      </c>
      <c r="C293" s="8" t="s">
        <v>757</v>
      </c>
      <c r="D293" s="9" t="s">
        <v>758</v>
      </c>
    </row>
    <row r="294" s="1" customFormat="1" ht="57" customHeight="1" spans="1:4">
      <c r="A294" s="4"/>
      <c r="B294" s="9"/>
      <c r="C294" s="8" t="s">
        <v>759</v>
      </c>
      <c r="D294" s="9" t="s">
        <v>760</v>
      </c>
    </row>
    <row r="295" s="1" customFormat="1" customHeight="1" spans="1:4">
      <c r="A295" s="11" t="s">
        <v>554</v>
      </c>
      <c r="B295" s="11"/>
      <c r="C295" s="11"/>
      <c r="D295" s="11"/>
    </row>
    <row r="297" s="1" customFormat="1" customHeight="1" spans="1:4">
      <c r="A297" s="3" t="s">
        <v>589</v>
      </c>
      <c r="B297" s="3"/>
      <c r="C297" s="3"/>
      <c r="D297" s="3"/>
    </row>
    <row r="298" s="1" customFormat="1" customHeight="1" spans="1:4">
      <c r="A298" s="4" t="s">
        <v>590</v>
      </c>
      <c r="B298" s="12" t="s">
        <v>515</v>
      </c>
      <c r="C298" s="12"/>
      <c r="D298" s="12"/>
    </row>
    <row r="299" s="1" customFormat="1" customHeight="1" spans="1:4">
      <c r="A299" s="4" t="s">
        <v>591</v>
      </c>
      <c r="B299" s="6" t="s">
        <v>517</v>
      </c>
      <c r="C299" s="6"/>
      <c r="D299" s="6"/>
    </row>
    <row r="300" s="1" customFormat="1" customHeight="1" spans="1:4">
      <c r="A300" s="4" t="s">
        <v>536</v>
      </c>
      <c r="B300" s="4" t="s">
        <v>537</v>
      </c>
      <c r="C300" s="4" t="s">
        <v>538</v>
      </c>
      <c r="D300" s="4" t="s">
        <v>539</v>
      </c>
    </row>
    <row r="301" s="1" customFormat="1" customHeight="1" spans="1:4">
      <c r="A301" s="4"/>
      <c r="B301" s="7" t="s">
        <v>540</v>
      </c>
      <c r="C301" s="8" t="s">
        <v>761</v>
      </c>
      <c r="D301" s="9" t="s">
        <v>596</v>
      </c>
    </row>
    <row r="302" s="1" customFormat="1" customHeight="1" spans="1:4">
      <c r="A302" s="4"/>
      <c r="B302" s="10"/>
      <c r="C302" s="8" t="s">
        <v>730</v>
      </c>
      <c r="D302" s="9" t="s">
        <v>762</v>
      </c>
    </row>
    <row r="303" s="1" customFormat="1" customHeight="1" spans="1:4">
      <c r="A303" s="4"/>
      <c r="B303" s="7" t="s">
        <v>545</v>
      </c>
      <c r="C303" s="8" t="s">
        <v>763</v>
      </c>
      <c r="D303" s="9" t="s">
        <v>764</v>
      </c>
    </row>
    <row r="304" s="1" customFormat="1" ht="49" customHeight="1" spans="1:4">
      <c r="A304" s="4"/>
      <c r="B304" s="10"/>
      <c r="C304" s="8" t="s">
        <v>765</v>
      </c>
      <c r="D304" s="9" t="s">
        <v>766</v>
      </c>
    </row>
    <row r="305" s="1" customFormat="1" customHeight="1" spans="1:4">
      <c r="A305" s="4"/>
      <c r="B305" s="9" t="s">
        <v>551</v>
      </c>
      <c r="C305" s="8" t="s">
        <v>767</v>
      </c>
      <c r="D305" s="9" t="s">
        <v>768</v>
      </c>
    </row>
    <row r="306" s="1" customFormat="1" customHeight="1" spans="1:4">
      <c r="A306" s="11" t="s">
        <v>554</v>
      </c>
      <c r="B306" s="11"/>
      <c r="C306" s="11"/>
      <c r="D306" s="11"/>
    </row>
    <row r="308" s="1" customFormat="1" customHeight="1" spans="1:4">
      <c r="A308" s="3" t="s">
        <v>589</v>
      </c>
      <c r="B308" s="3"/>
      <c r="C308" s="3"/>
      <c r="D308" s="3"/>
    </row>
    <row r="309" s="1" customFormat="1" customHeight="1" spans="1:4">
      <c r="A309" s="4" t="s">
        <v>590</v>
      </c>
      <c r="B309" s="12" t="s">
        <v>519</v>
      </c>
      <c r="C309" s="12"/>
      <c r="D309" s="12"/>
    </row>
    <row r="310" s="1" customFormat="1" customHeight="1" spans="1:4">
      <c r="A310" s="4" t="s">
        <v>591</v>
      </c>
      <c r="B310" s="6" t="s">
        <v>521</v>
      </c>
      <c r="C310" s="6"/>
      <c r="D310" s="6"/>
    </row>
    <row r="311" s="1" customFormat="1" customHeight="1" spans="1:4">
      <c r="A311" s="4" t="s">
        <v>536</v>
      </c>
      <c r="B311" s="4" t="s">
        <v>537</v>
      </c>
      <c r="C311" s="4" t="s">
        <v>538</v>
      </c>
      <c r="D311" s="4" t="s">
        <v>539</v>
      </c>
    </row>
    <row r="312" s="1" customFormat="1" customHeight="1" spans="1:4">
      <c r="A312" s="4"/>
      <c r="B312" s="7" t="s">
        <v>540</v>
      </c>
      <c r="C312" s="8" t="s">
        <v>769</v>
      </c>
      <c r="D312" s="9" t="s">
        <v>596</v>
      </c>
    </row>
    <row r="313" s="1" customFormat="1" customHeight="1" spans="1:4">
      <c r="A313" s="4"/>
      <c r="B313" s="10"/>
      <c r="C313" s="8" t="s">
        <v>770</v>
      </c>
      <c r="D313" s="9" t="s">
        <v>771</v>
      </c>
    </row>
    <row r="314" s="1" customFormat="1" customHeight="1" spans="1:4">
      <c r="A314" s="4"/>
      <c r="B314" s="7" t="s">
        <v>545</v>
      </c>
      <c r="C314" s="8" t="s">
        <v>772</v>
      </c>
      <c r="D314" s="9" t="s">
        <v>773</v>
      </c>
    </row>
    <row r="315" s="1" customFormat="1" customHeight="1" spans="1:4">
      <c r="A315" s="4"/>
      <c r="B315" s="10"/>
      <c r="C315" s="8" t="s">
        <v>774</v>
      </c>
      <c r="D315" s="9" t="s">
        <v>775</v>
      </c>
    </row>
    <row r="316" s="1" customFormat="1" customHeight="1" spans="1:4">
      <c r="A316" s="4"/>
      <c r="B316" s="9" t="s">
        <v>551</v>
      </c>
      <c r="C316" s="8" t="s">
        <v>776</v>
      </c>
      <c r="D316" s="9" t="s">
        <v>777</v>
      </c>
    </row>
    <row r="317" s="1" customFormat="1" customHeight="1" spans="1:4">
      <c r="A317" s="4"/>
      <c r="B317" s="9"/>
      <c r="C317" s="8" t="s">
        <v>778</v>
      </c>
      <c r="D317" s="9" t="s">
        <v>760</v>
      </c>
    </row>
    <row r="318" s="1" customFormat="1" customHeight="1" spans="1:4">
      <c r="A318" s="11" t="s">
        <v>554</v>
      </c>
      <c r="B318" s="11"/>
      <c r="C318" s="11"/>
      <c r="D318" s="11"/>
    </row>
    <row r="320" s="1" customFormat="1" customHeight="1" spans="1:4">
      <c r="A320" s="3" t="s">
        <v>589</v>
      </c>
      <c r="B320" s="3"/>
      <c r="C320" s="3"/>
      <c r="D320" s="3"/>
    </row>
    <row r="321" s="1" customFormat="1" customHeight="1" spans="1:4">
      <c r="A321" s="4" t="s">
        <v>590</v>
      </c>
      <c r="B321" s="12" t="s">
        <v>523</v>
      </c>
      <c r="C321" s="12"/>
      <c r="D321" s="12"/>
    </row>
    <row r="322" s="1" customFormat="1" customHeight="1" spans="1:4">
      <c r="A322" s="4" t="s">
        <v>591</v>
      </c>
      <c r="B322" s="6" t="s">
        <v>524</v>
      </c>
      <c r="C322" s="6"/>
      <c r="D322" s="6"/>
    </row>
    <row r="323" s="1" customFormat="1" customHeight="1" spans="1:4">
      <c r="A323" s="4" t="s">
        <v>536</v>
      </c>
      <c r="B323" s="4" t="s">
        <v>537</v>
      </c>
      <c r="C323" s="4" t="s">
        <v>538</v>
      </c>
      <c r="D323" s="4" t="s">
        <v>539</v>
      </c>
    </row>
    <row r="324" s="1" customFormat="1" customHeight="1" spans="1:4">
      <c r="A324" s="4"/>
      <c r="B324" s="7" t="s">
        <v>540</v>
      </c>
      <c r="C324" s="8" t="s">
        <v>779</v>
      </c>
      <c r="D324" s="9" t="s">
        <v>596</v>
      </c>
    </row>
    <row r="325" s="1" customFormat="1" customHeight="1" spans="1:4">
      <c r="A325" s="4"/>
      <c r="B325" s="10"/>
      <c r="C325" s="8" t="s">
        <v>730</v>
      </c>
      <c r="D325" s="9" t="s">
        <v>722</v>
      </c>
    </row>
    <row r="326" s="1" customFormat="1" customHeight="1" spans="1:4">
      <c r="A326" s="4"/>
      <c r="B326" s="7" t="s">
        <v>545</v>
      </c>
      <c r="C326" s="8" t="s">
        <v>780</v>
      </c>
      <c r="D326" s="9" t="s">
        <v>781</v>
      </c>
    </row>
    <row r="327" s="1" customFormat="1" customHeight="1" spans="1:4">
      <c r="A327" s="4"/>
      <c r="B327" s="10"/>
      <c r="C327" s="8" t="s">
        <v>742</v>
      </c>
      <c r="D327" s="9" t="s">
        <v>743</v>
      </c>
    </row>
    <row r="328" s="1" customFormat="1" customHeight="1" spans="1:4">
      <c r="A328" s="4"/>
      <c r="B328" s="9" t="s">
        <v>551</v>
      </c>
      <c r="C328" s="8" t="s">
        <v>782</v>
      </c>
      <c r="D328" s="9" t="s">
        <v>578</v>
      </c>
    </row>
    <row r="329" s="1" customFormat="1" customHeight="1" spans="1:4">
      <c r="A329" s="4"/>
      <c r="B329" s="9"/>
      <c r="C329" s="8" t="s">
        <v>783</v>
      </c>
      <c r="D329" s="9" t="s">
        <v>578</v>
      </c>
    </row>
    <row r="330" s="1" customFormat="1" customHeight="1" spans="1:4">
      <c r="A330" s="11" t="s">
        <v>554</v>
      </c>
      <c r="B330" s="11"/>
      <c r="C330" s="11"/>
      <c r="D330" s="11"/>
    </row>
    <row r="332" s="1" customFormat="1" customHeight="1" spans="1:4">
      <c r="A332" s="3" t="s">
        <v>589</v>
      </c>
      <c r="B332" s="3"/>
      <c r="C332" s="3"/>
      <c r="D332" s="3"/>
    </row>
    <row r="333" s="1" customFormat="1" customHeight="1" spans="1:4">
      <c r="A333" s="4" t="s">
        <v>590</v>
      </c>
      <c r="B333" s="12" t="s">
        <v>526</v>
      </c>
      <c r="C333" s="12"/>
      <c r="D333" s="12"/>
    </row>
    <row r="334" s="1" customFormat="1" customHeight="1" spans="1:4">
      <c r="A334" s="4" t="s">
        <v>591</v>
      </c>
      <c r="B334" s="6" t="s">
        <v>528</v>
      </c>
      <c r="C334" s="6"/>
      <c r="D334" s="6"/>
    </row>
    <row r="335" s="1" customFormat="1" customHeight="1" spans="1:4">
      <c r="A335" s="4" t="s">
        <v>536</v>
      </c>
      <c r="B335" s="4" t="s">
        <v>537</v>
      </c>
      <c r="C335" s="4" t="s">
        <v>538</v>
      </c>
      <c r="D335" s="4" t="s">
        <v>539</v>
      </c>
    </row>
    <row r="336" s="1" customFormat="1" customHeight="1" spans="1:4">
      <c r="A336" s="4"/>
      <c r="B336" s="7" t="s">
        <v>540</v>
      </c>
      <c r="C336" s="8" t="s">
        <v>784</v>
      </c>
      <c r="D336" s="9" t="s">
        <v>596</v>
      </c>
    </row>
    <row r="337" s="1" customFormat="1" customHeight="1" spans="1:4">
      <c r="A337" s="4"/>
      <c r="B337" s="10"/>
      <c r="C337" s="8" t="s">
        <v>730</v>
      </c>
      <c r="D337" s="9" t="s">
        <v>785</v>
      </c>
    </row>
    <row r="338" s="1" customFormat="1" customHeight="1" spans="1:4">
      <c r="A338" s="4"/>
      <c r="B338" s="7" t="s">
        <v>545</v>
      </c>
      <c r="C338" s="8" t="s">
        <v>786</v>
      </c>
      <c r="D338" s="9" t="s">
        <v>787</v>
      </c>
    </row>
    <row r="339" s="1" customFormat="1" customHeight="1" spans="1:4">
      <c r="A339" s="4"/>
      <c r="B339" s="10"/>
      <c r="C339" s="8" t="s">
        <v>788</v>
      </c>
      <c r="D339" s="9" t="s">
        <v>726</v>
      </c>
    </row>
    <row r="340" s="1" customFormat="1" customHeight="1" spans="1:4">
      <c r="A340" s="4"/>
      <c r="B340" s="9" t="s">
        <v>551</v>
      </c>
      <c r="C340" s="8" t="s">
        <v>789</v>
      </c>
      <c r="D340" s="9" t="s">
        <v>578</v>
      </c>
    </row>
    <row r="341" s="1" customFormat="1" ht="45" customHeight="1" spans="1:4">
      <c r="A341" s="4"/>
      <c r="B341" s="9"/>
      <c r="C341" s="8" t="s">
        <v>790</v>
      </c>
      <c r="D341" s="9" t="s">
        <v>760</v>
      </c>
    </row>
    <row r="342" s="1" customFormat="1" customHeight="1" spans="1:4">
      <c r="A342" s="11" t="s">
        <v>554</v>
      </c>
      <c r="B342" s="11"/>
      <c r="C342" s="11"/>
      <c r="D342" s="11"/>
    </row>
    <row r="344" s="1" customFormat="1" customHeight="1" spans="1:4">
      <c r="A344" s="3" t="s">
        <v>589</v>
      </c>
      <c r="B344" s="3"/>
      <c r="C344" s="3"/>
      <c r="D344" s="3"/>
    </row>
    <row r="345" s="1" customFormat="1" customHeight="1" spans="1:4">
      <c r="A345" s="4" t="s">
        <v>590</v>
      </c>
      <c r="B345" s="12" t="s">
        <v>464</v>
      </c>
      <c r="C345" s="12"/>
      <c r="D345" s="12"/>
    </row>
    <row r="346" s="1" customFormat="1" customHeight="1" spans="1:4">
      <c r="A346" s="4" t="s">
        <v>591</v>
      </c>
      <c r="B346" s="6" t="s">
        <v>467</v>
      </c>
      <c r="C346" s="6"/>
      <c r="D346" s="6"/>
    </row>
    <row r="347" s="1" customFormat="1" customHeight="1" spans="1:4">
      <c r="A347" s="4" t="s">
        <v>536</v>
      </c>
      <c r="B347" s="4" t="s">
        <v>537</v>
      </c>
      <c r="C347" s="4" t="s">
        <v>538</v>
      </c>
      <c r="D347" s="4" t="s">
        <v>539</v>
      </c>
    </row>
    <row r="348" s="1" customFormat="1" customHeight="1" spans="1:4">
      <c r="A348" s="4"/>
      <c r="B348" s="7" t="s">
        <v>540</v>
      </c>
      <c r="C348" s="8" t="s">
        <v>769</v>
      </c>
      <c r="D348" s="9" t="s">
        <v>596</v>
      </c>
    </row>
    <row r="349" s="1" customFormat="1" customHeight="1" spans="1:4">
      <c r="A349" s="4"/>
      <c r="B349" s="10"/>
      <c r="C349" s="8" t="s">
        <v>791</v>
      </c>
      <c r="D349" s="9" t="s">
        <v>792</v>
      </c>
    </row>
    <row r="350" s="1" customFormat="1" customHeight="1" spans="1:4">
      <c r="A350" s="4"/>
      <c r="B350" s="7" t="s">
        <v>545</v>
      </c>
      <c r="C350" s="8" t="s">
        <v>793</v>
      </c>
      <c r="D350" s="9" t="s">
        <v>794</v>
      </c>
    </row>
    <row r="351" s="1" customFormat="1" customHeight="1" spans="1:4">
      <c r="A351" s="4"/>
      <c r="B351" s="10"/>
      <c r="C351" s="8" t="s">
        <v>795</v>
      </c>
      <c r="D351" s="14">
        <v>1</v>
      </c>
    </row>
    <row r="352" s="1" customFormat="1" customHeight="1" spans="1:4">
      <c r="A352" s="4"/>
      <c r="B352" s="9" t="s">
        <v>551</v>
      </c>
      <c r="C352" s="8" t="s">
        <v>796</v>
      </c>
      <c r="D352" s="9" t="s">
        <v>797</v>
      </c>
    </row>
    <row r="353" s="1" customFormat="1" customHeight="1" spans="1:4">
      <c r="A353" s="4"/>
      <c r="B353" s="9"/>
      <c r="C353" s="8" t="s">
        <v>783</v>
      </c>
      <c r="D353" s="9" t="s">
        <v>578</v>
      </c>
    </row>
    <row r="354" s="1" customFormat="1" customHeight="1" spans="1:4">
      <c r="A354" s="11" t="s">
        <v>554</v>
      </c>
      <c r="B354" s="11"/>
      <c r="C354" s="11"/>
      <c r="D354" s="11"/>
    </row>
    <row r="356" s="1" customFormat="1" customHeight="1" spans="1:4">
      <c r="A356" s="3" t="s">
        <v>589</v>
      </c>
      <c r="B356" s="3"/>
      <c r="C356" s="3"/>
      <c r="D356" s="3"/>
    </row>
    <row r="357" s="1" customFormat="1" customHeight="1" spans="1:4">
      <c r="A357" s="4" t="s">
        <v>590</v>
      </c>
      <c r="B357" s="12" t="s">
        <v>473</v>
      </c>
      <c r="C357" s="12"/>
      <c r="D357" s="12"/>
    </row>
    <row r="358" s="1" customFormat="1" ht="51" customHeight="1" spans="1:4">
      <c r="A358" s="4" t="s">
        <v>591</v>
      </c>
      <c r="B358" s="6" t="s">
        <v>475</v>
      </c>
      <c r="C358" s="6"/>
      <c r="D358" s="6"/>
    </row>
    <row r="359" s="1" customFormat="1" customHeight="1" spans="1:4">
      <c r="A359" s="4" t="s">
        <v>536</v>
      </c>
      <c r="B359" s="4" t="s">
        <v>537</v>
      </c>
      <c r="C359" s="4" t="s">
        <v>538</v>
      </c>
      <c r="D359" s="4" t="s">
        <v>539</v>
      </c>
    </row>
    <row r="360" s="1" customFormat="1" customHeight="1" spans="1:4">
      <c r="A360" s="4"/>
      <c r="B360" s="7" t="s">
        <v>540</v>
      </c>
      <c r="C360" s="8" t="s">
        <v>630</v>
      </c>
      <c r="D360" s="9" t="s">
        <v>596</v>
      </c>
    </row>
    <row r="361" s="1" customFormat="1" customHeight="1" spans="1:4">
      <c r="A361" s="4"/>
      <c r="B361" s="10"/>
      <c r="C361" s="8" t="s">
        <v>730</v>
      </c>
      <c r="D361" s="9" t="s">
        <v>798</v>
      </c>
    </row>
    <row r="362" s="1" customFormat="1" customHeight="1" spans="1:4">
      <c r="A362" s="4"/>
      <c r="B362" s="7" t="s">
        <v>545</v>
      </c>
      <c r="C362" s="8" t="s">
        <v>799</v>
      </c>
      <c r="D362" s="9" t="s">
        <v>800</v>
      </c>
    </row>
    <row r="363" s="1" customFormat="1" customHeight="1" spans="1:4">
      <c r="A363" s="4"/>
      <c r="B363" s="10"/>
      <c r="C363" s="8" t="s">
        <v>801</v>
      </c>
      <c r="D363" s="14" t="s">
        <v>802</v>
      </c>
    </row>
    <row r="364" s="1" customFormat="1" customHeight="1" spans="1:4">
      <c r="A364" s="4"/>
      <c r="B364" s="9" t="s">
        <v>551</v>
      </c>
      <c r="C364" s="8" t="s">
        <v>803</v>
      </c>
      <c r="D364" s="9" t="s">
        <v>578</v>
      </c>
    </row>
    <row r="365" s="1" customFormat="1" customHeight="1" spans="1:4">
      <c r="A365" s="11" t="s">
        <v>554</v>
      </c>
      <c r="B365" s="11"/>
      <c r="C365" s="11"/>
      <c r="D365" s="11"/>
    </row>
    <row r="367" s="1" customFormat="1" customHeight="1" spans="1:4">
      <c r="A367" s="3" t="s">
        <v>589</v>
      </c>
      <c r="B367" s="3"/>
      <c r="C367" s="3"/>
      <c r="D367" s="3"/>
    </row>
    <row r="368" s="1" customFormat="1" customHeight="1" spans="1:4">
      <c r="A368" s="4" t="s">
        <v>590</v>
      </c>
      <c r="B368" s="12" t="s">
        <v>477</v>
      </c>
      <c r="C368" s="12"/>
      <c r="D368" s="12"/>
    </row>
    <row r="369" s="1" customFormat="1" ht="48" customHeight="1" spans="1:4">
      <c r="A369" s="4" t="s">
        <v>591</v>
      </c>
      <c r="B369" s="6" t="s">
        <v>480</v>
      </c>
      <c r="C369" s="6"/>
      <c r="D369" s="6"/>
    </row>
    <row r="370" s="1" customFormat="1" customHeight="1" spans="1:4">
      <c r="A370" s="4" t="s">
        <v>536</v>
      </c>
      <c r="B370" s="4" t="s">
        <v>537</v>
      </c>
      <c r="C370" s="4" t="s">
        <v>538</v>
      </c>
      <c r="D370" s="4" t="s">
        <v>539</v>
      </c>
    </row>
    <row r="371" s="1" customFormat="1" customHeight="1" spans="1:4">
      <c r="A371" s="4"/>
      <c r="B371" s="7" t="s">
        <v>540</v>
      </c>
      <c r="C371" s="8" t="s">
        <v>769</v>
      </c>
      <c r="D371" s="9" t="s">
        <v>596</v>
      </c>
    </row>
    <row r="372" s="1" customFormat="1" customHeight="1" spans="1:4">
      <c r="A372" s="4"/>
      <c r="B372" s="10"/>
      <c r="C372" s="8" t="s">
        <v>791</v>
      </c>
      <c r="D372" s="9" t="s">
        <v>804</v>
      </c>
    </row>
    <row r="373" s="1" customFormat="1" customHeight="1" spans="1:4">
      <c r="A373" s="4"/>
      <c r="B373" s="7" t="s">
        <v>545</v>
      </c>
      <c r="C373" s="8" t="s">
        <v>805</v>
      </c>
      <c r="D373" s="9" t="s">
        <v>806</v>
      </c>
    </row>
    <row r="374" s="1" customFormat="1" ht="42" customHeight="1" spans="1:4">
      <c r="A374" s="4"/>
      <c r="B374" s="10"/>
      <c r="C374" s="8" t="s">
        <v>795</v>
      </c>
      <c r="D374" s="14" t="s">
        <v>671</v>
      </c>
    </row>
    <row r="375" s="1" customFormat="1" customHeight="1" spans="1:4">
      <c r="A375" s="4"/>
      <c r="B375" s="9" t="s">
        <v>551</v>
      </c>
      <c r="C375" s="8" t="s">
        <v>803</v>
      </c>
      <c r="D375" s="9" t="s">
        <v>578</v>
      </c>
    </row>
    <row r="376" s="1" customFormat="1" ht="62" customHeight="1" spans="1:4">
      <c r="A376" s="11" t="s">
        <v>554</v>
      </c>
      <c r="B376" s="11"/>
      <c r="C376" s="11"/>
      <c r="D376" s="11"/>
    </row>
    <row r="378" s="1" customFormat="1" customHeight="1" spans="1:4">
      <c r="A378" s="3" t="s">
        <v>589</v>
      </c>
      <c r="B378" s="3"/>
      <c r="C378" s="3"/>
      <c r="D378" s="3"/>
    </row>
    <row r="379" s="1" customFormat="1" customHeight="1" spans="1:4">
      <c r="A379" s="4" t="s">
        <v>590</v>
      </c>
      <c r="B379" s="12" t="s">
        <v>469</v>
      </c>
      <c r="C379" s="12"/>
      <c r="D379" s="12"/>
    </row>
    <row r="380" s="1" customFormat="1" customHeight="1" spans="1:4">
      <c r="A380" s="4" t="s">
        <v>591</v>
      </c>
      <c r="B380" s="6" t="s">
        <v>472</v>
      </c>
      <c r="C380" s="6"/>
      <c r="D380" s="6"/>
    </row>
    <row r="381" s="1" customFormat="1" customHeight="1" spans="1:4">
      <c r="A381" s="4" t="s">
        <v>536</v>
      </c>
      <c r="B381" s="4" t="s">
        <v>537</v>
      </c>
      <c r="C381" s="4" t="s">
        <v>538</v>
      </c>
      <c r="D381" s="4" t="s">
        <v>539</v>
      </c>
    </row>
    <row r="382" s="1" customFormat="1" customHeight="1" spans="1:4">
      <c r="A382" s="4"/>
      <c r="B382" s="7" t="s">
        <v>540</v>
      </c>
      <c r="C382" s="8" t="s">
        <v>769</v>
      </c>
      <c r="D382" s="9" t="s">
        <v>596</v>
      </c>
    </row>
    <row r="383" s="1" customFormat="1" customHeight="1" spans="1:4">
      <c r="A383" s="4"/>
      <c r="B383" s="10"/>
      <c r="C383" s="8" t="s">
        <v>791</v>
      </c>
      <c r="D383" s="9" t="s">
        <v>807</v>
      </c>
    </row>
    <row r="384" s="1" customFormat="1" customHeight="1" spans="1:4">
      <c r="A384" s="4"/>
      <c r="B384" s="7" t="s">
        <v>545</v>
      </c>
      <c r="C384" s="8" t="s">
        <v>808</v>
      </c>
      <c r="D384" s="9" t="s">
        <v>809</v>
      </c>
    </row>
    <row r="385" s="1" customFormat="1" customHeight="1" spans="1:4">
      <c r="A385" s="4"/>
      <c r="B385" s="10"/>
      <c r="C385" s="8" t="s">
        <v>810</v>
      </c>
      <c r="D385" s="14" t="s">
        <v>797</v>
      </c>
    </row>
    <row r="386" s="1" customFormat="1" customHeight="1" spans="1:4">
      <c r="A386" s="4"/>
      <c r="B386" s="9" t="s">
        <v>551</v>
      </c>
      <c r="C386" s="8" t="s">
        <v>803</v>
      </c>
      <c r="D386" s="9" t="s">
        <v>578</v>
      </c>
    </row>
    <row r="387" s="1" customFormat="1" customHeight="1" spans="1:4">
      <c r="A387" s="11" t="s">
        <v>554</v>
      </c>
      <c r="B387" s="11"/>
      <c r="C387" s="11"/>
      <c r="D387" s="11"/>
    </row>
    <row r="389" s="1" customFormat="1" customHeight="1" spans="1:4">
      <c r="A389" s="3" t="s">
        <v>589</v>
      </c>
      <c r="B389" s="3"/>
      <c r="C389" s="3"/>
      <c r="D389" s="3"/>
    </row>
    <row r="390" s="1" customFormat="1" customHeight="1" spans="1:4">
      <c r="A390" s="4" t="s">
        <v>590</v>
      </c>
      <c r="B390" s="12" t="s">
        <v>482</v>
      </c>
      <c r="C390" s="12"/>
      <c r="D390" s="12"/>
    </row>
    <row r="391" s="1" customFormat="1" customHeight="1" spans="1:4">
      <c r="A391" s="4" t="s">
        <v>591</v>
      </c>
      <c r="B391" s="6" t="s">
        <v>472</v>
      </c>
      <c r="C391" s="6"/>
      <c r="D391" s="6"/>
    </row>
    <row r="392" s="1" customFormat="1" customHeight="1" spans="1:4">
      <c r="A392" s="4" t="s">
        <v>536</v>
      </c>
      <c r="B392" s="4" t="s">
        <v>537</v>
      </c>
      <c r="C392" s="4" t="s">
        <v>538</v>
      </c>
      <c r="D392" s="4" t="s">
        <v>539</v>
      </c>
    </row>
    <row r="393" s="1" customFormat="1" customHeight="1" spans="1:4">
      <c r="A393" s="4"/>
      <c r="B393" s="7" t="s">
        <v>540</v>
      </c>
      <c r="C393" s="8" t="s">
        <v>769</v>
      </c>
      <c r="D393" s="9" t="s">
        <v>596</v>
      </c>
    </row>
    <row r="394" s="1" customFormat="1" customHeight="1" spans="1:4">
      <c r="A394" s="4"/>
      <c r="B394" s="10"/>
      <c r="C394" s="8" t="s">
        <v>791</v>
      </c>
      <c r="D394" s="9" t="s">
        <v>807</v>
      </c>
    </row>
    <row r="395" s="1" customFormat="1" customHeight="1" spans="1:4">
      <c r="A395" s="4"/>
      <c r="B395" s="7" t="s">
        <v>545</v>
      </c>
      <c r="C395" s="8" t="s">
        <v>811</v>
      </c>
      <c r="D395" s="9" t="s">
        <v>812</v>
      </c>
    </row>
    <row r="396" s="1" customFormat="1" customHeight="1" spans="1:4">
      <c r="A396" s="4"/>
      <c r="B396" s="10"/>
      <c r="C396" s="8" t="s">
        <v>795</v>
      </c>
      <c r="D396" s="14" t="s">
        <v>671</v>
      </c>
    </row>
    <row r="397" s="1" customFormat="1" customHeight="1" spans="1:4">
      <c r="A397" s="4"/>
      <c r="B397" s="7" t="s">
        <v>551</v>
      </c>
      <c r="C397" s="8" t="s">
        <v>813</v>
      </c>
      <c r="D397" s="14" t="s">
        <v>814</v>
      </c>
    </row>
    <row r="398" s="1" customFormat="1" customHeight="1" spans="1:4">
      <c r="A398" s="4"/>
      <c r="B398" s="13"/>
      <c r="C398" s="8" t="s">
        <v>783</v>
      </c>
      <c r="D398" s="9" t="s">
        <v>578</v>
      </c>
    </row>
    <row r="399" s="1" customFormat="1" customHeight="1" spans="1:4">
      <c r="A399" s="11" t="s">
        <v>554</v>
      </c>
      <c r="B399" s="11"/>
      <c r="C399" s="11"/>
      <c r="D399" s="11"/>
    </row>
    <row r="401" s="1" customFormat="1" customHeight="1" spans="1:4">
      <c r="A401" s="3" t="s">
        <v>589</v>
      </c>
      <c r="B401" s="3"/>
      <c r="C401" s="3"/>
      <c r="D401" s="3"/>
    </row>
    <row r="402" s="1" customFormat="1" customHeight="1" spans="1:4">
      <c r="A402" s="4" t="s">
        <v>590</v>
      </c>
      <c r="B402" s="12" t="s">
        <v>486</v>
      </c>
      <c r="C402" s="12"/>
      <c r="D402" s="12"/>
    </row>
    <row r="403" s="1" customFormat="1" ht="58" customHeight="1" spans="1:4">
      <c r="A403" s="4" t="s">
        <v>591</v>
      </c>
      <c r="B403" s="6" t="s">
        <v>488</v>
      </c>
      <c r="C403" s="6"/>
      <c r="D403" s="6"/>
    </row>
    <row r="404" s="1" customFormat="1" customHeight="1" spans="1:4">
      <c r="A404" s="4" t="s">
        <v>536</v>
      </c>
      <c r="B404" s="4" t="s">
        <v>537</v>
      </c>
      <c r="C404" s="4" t="s">
        <v>538</v>
      </c>
      <c r="D404" s="4" t="s">
        <v>539</v>
      </c>
    </row>
    <row r="405" s="1" customFormat="1" ht="54" customHeight="1" spans="1:4">
      <c r="A405" s="4"/>
      <c r="B405" s="7" t="s">
        <v>540</v>
      </c>
      <c r="C405" s="8" t="s">
        <v>815</v>
      </c>
      <c r="D405" s="9" t="s">
        <v>816</v>
      </c>
    </row>
    <row r="406" s="1" customFormat="1" customHeight="1" spans="1:4">
      <c r="A406" s="4"/>
      <c r="B406" s="10"/>
      <c r="C406" s="8" t="s">
        <v>730</v>
      </c>
      <c r="D406" s="9" t="s">
        <v>817</v>
      </c>
    </row>
    <row r="407" s="1" customFormat="1" customHeight="1" spans="1:4">
      <c r="A407" s="4"/>
      <c r="B407" s="7" t="s">
        <v>545</v>
      </c>
      <c r="C407" s="8" t="s">
        <v>818</v>
      </c>
      <c r="D407" s="9" t="s">
        <v>819</v>
      </c>
    </row>
    <row r="408" s="1" customFormat="1" customHeight="1" spans="1:4">
      <c r="A408" s="4"/>
      <c r="B408" s="10"/>
      <c r="C408" s="8" t="s">
        <v>820</v>
      </c>
      <c r="D408" s="14">
        <v>1</v>
      </c>
    </row>
    <row r="409" s="1" customFormat="1" customHeight="1" spans="1:4">
      <c r="A409" s="4"/>
      <c r="B409" s="10" t="s">
        <v>551</v>
      </c>
      <c r="C409" s="8" t="s">
        <v>803</v>
      </c>
      <c r="D409" s="9" t="s">
        <v>578</v>
      </c>
    </row>
    <row r="410" s="1" customFormat="1" customHeight="1" spans="1:4">
      <c r="A410" s="4"/>
      <c r="B410" s="13"/>
      <c r="C410" s="8" t="s">
        <v>821</v>
      </c>
      <c r="D410" s="9" t="s">
        <v>822</v>
      </c>
    </row>
    <row r="411" s="1" customFormat="1" customHeight="1" spans="1:4">
      <c r="A411" s="11" t="s">
        <v>554</v>
      </c>
      <c r="B411" s="11"/>
      <c r="C411" s="11"/>
      <c r="D411" s="11"/>
    </row>
    <row r="413" s="1" customFormat="1" customHeight="1" spans="1:4">
      <c r="A413" s="3" t="s">
        <v>589</v>
      </c>
      <c r="B413" s="3"/>
      <c r="C413" s="3"/>
      <c r="D413" s="3"/>
    </row>
    <row r="414" s="1" customFormat="1" customHeight="1" spans="1:4">
      <c r="A414" s="4" t="s">
        <v>590</v>
      </c>
      <c r="B414" s="12" t="s">
        <v>490</v>
      </c>
      <c r="C414" s="12"/>
      <c r="D414" s="12"/>
    </row>
    <row r="415" s="1" customFormat="1" ht="74" customHeight="1" spans="1:4">
      <c r="A415" s="4" t="s">
        <v>591</v>
      </c>
      <c r="B415" s="6" t="s">
        <v>493</v>
      </c>
      <c r="C415" s="6"/>
      <c r="D415" s="6"/>
    </row>
    <row r="416" s="1" customFormat="1" customHeight="1" spans="1:4">
      <c r="A416" s="4" t="s">
        <v>536</v>
      </c>
      <c r="B416" s="4" t="s">
        <v>537</v>
      </c>
      <c r="C416" s="4" t="s">
        <v>538</v>
      </c>
      <c r="D416" s="4" t="s">
        <v>539</v>
      </c>
    </row>
    <row r="417" s="1" customFormat="1" customHeight="1" spans="1:4">
      <c r="A417" s="4"/>
      <c r="B417" s="7" t="s">
        <v>540</v>
      </c>
      <c r="C417" s="8" t="s">
        <v>769</v>
      </c>
      <c r="D417" s="9" t="s">
        <v>596</v>
      </c>
    </row>
    <row r="418" s="1" customFormat="1" customHeight="1" spans="1:4">
      <c r="A418" s="4"/>
      <c r="B418" s="10"/>
      <c r="C418" s="8" t="s">
        <v>791</v>
      </c>
      <c r="D418" s="9" t="s">
        <v>823</v>
      </c>
    </row>
    <row r="419" s="1" customFormat="1" customHeight="1" spans="1:4">
      <c r="A419" s="4"/>
      <c r="B419" s="7" t="s">
        <v>545</v>
      </c>
      <c r="C419" s="8" t="s">
        <v>824</v>
      </c>
      <c r="D419" s="9" t="s">
        <v>825</v>
      </c>
    </row>
    <row r="420" s="1" customFormat="1" customHeight="1" spans="1:4">
      <c r="A420" s="4"/>
      <c r="B420" s="10"/>
      <c r="C420" s="8" t="s">
        <v>810</v>
      </c>
      <c r="D420" s="14" t="s">
        <v>797</v>
      </c>
    </row>
    <row r="421" s="1" customFormat="1" customHeight="1" spans="1:4">
      <c r="A421" s="4"/>
      <c r="B421" s="9" t="s">
        <v>551</v>
      </c>
      <c r="C421" s="8" t="s">
        <v>803</v>
      </c>
      <c r="D421" s="9" t="s">
        <v>578</v>
      </c>
    </row>
    <row r="422" s="1" customFormat="1" customHeight="1" spans="1:4">
      <c r="A422" s="11" t="s">
        <v>554</v>
      </c>
      <c r="B422" s="11"/>
      <c r="C422" s="11"/>
      <c r="D422" s="11"/>
    </row>
    <row r="424" s="1" customFormat="1" customHeight="1" spans="1:4">
      <c r="A424" s="3" t="s">
        <v>589</v>
      </c>
      <c r="B424" s="3"/>
      <c r="C424" s="3"/>
      <c r="D424" s="3"/>
    </row>
    <row r="425" s="1" customFormat="1" customHeight="1" spans="1:4">
      <c r="A425" s="4" t="s">
        <v>590</v>
      </c>
      <c r="B425" s="12" t="s">
        <v>455</v>
      </c>
      <c r="C425" s="12"/>
      <c r="D425" s="12"/>
    </row>
    <row r="426" s="1" customFormat="1" customHeight="1" spans="1:4">
      <c r="A426" s="4" t="s">
        <v>591</v>
      </c>
      <c r="B426" s="6" t="s">
        <v>457</v>
      </c>
      <c r="C426" s="6"/>
      <c r="D426" s="6"/>
    </row>
    <row r="427" s="1" customFormat="1" customHeight="1" spans="1:4">
      <c r="A427" s="4" t="s">
        <v>536</v>
      </c>
      <c r="B427" s="4" t="s">
        <v>537</v>
      </c>
      <c r="C427" s="4" t="s">
        <v>538</v>
      </c>
      <c r="D427" s="4" t="s">
        <v>539</v>
      </c>
    </row>
    <row r="428" s="1" customFormat="1" customHeight="1" spans="1:4">
      <c r="A428" s="4"/>
      <c r="B428" s="7" t="s">
        <v>540</v>
      </c>
      <c r="C428" s="8" t="s">
        <v>630</v>
      </c>
      <c r="D428" s="9" t="s">
        <v>596</v>
      </c>
    </row>
    <row r="429" s="1" customFormat="1" customHeight="1" spans="1:4">
      <c r="A429" s="4"/>
      <c r="B429" s="10"/>
      <c r="C429" s="8" t="s">
        <v>826</v>
      </c>
      <c r="D429" s="9" t="s">
        <v>827</v>
      </c>
    </row>
    <row r="430" s="1" customFormat="1" customHeight="1" spans="1:4">
      <c r="A430" s="4"/>
      <c r="B430" s="7" t="s">
        <v>545</v>
      </c>
      <c r="C430" s="8" t="s">
        <v>828</v>
      </c>
      <c r="D430" s="9" t="s">
        <v>829</v>
      </c>
    </row>
    <row r="431" s="1" customFormat="1" customHeight="1" spans="1:4">
      <c r="A431" s="4"/>
      <c r="B431" s="10"/>
      <c r="C431" s="8" t="s">
        <v>830</v>
      </c>
      <c r="D431" s="14">
        <v>0.9</v>
      </c>
    </row>
    <row r="432" s="1" customFormat="1" customHeight="1" spans="1:4">
      <c r="A432" s="4"/>
      <c r="B432" s="9" t="s">
        <v>551</v>
      </c>
      <c r="C432" s="8" t="s">
        <v>831</v>
      </c>
      <c r="D432" s="9" t="s">
        <v>832</v>
      </c>
    </row>
    <row r="433" s="1" customFormat="1" customHeight="1" spans="1:4">
      <c r="A433" s="11" t="s">
        <v>554</v>
      </c>
      <c r="B433" s="11"/>
      <c r="C433" s="11"/>
      <c r="D433" s="11"/>
    </row>
    <row r="435" s="1" customFormat="1" customHeight="1" spans="1:4">
      <c r="A435" s="3" t="s">
        <v>589</v>
      </c>
      <c r="B435" s="3"/>
      <c r="C435" s="3"/>
      <c r="D435" s="3"/>
    </row>
    <row r="436" s="1" customFormat="1" customHeight="1" spans="1:4">
      <c r="A436" s="4" t="s">
        <v>590</v>
      </c>
      <c r="B436" s="12" t="s">
        <v>443</v>
      </c>
      <c r="C436" s="12"/>
      <c r="D436" s="12"/>
    </row>
    <row r="437" s="1" customFormat="1" customHeight="1" spans="1:4">
      <c r="A437" s="4" t="s">
        <v>591</v>
      </c>
      <c r="B437" s="6" t="s">
        <v>446</v>
      </c>
      <c r="C437" s="6"/>
      <c r="D437" s="6"/>
    </row>
    <row r="438" s="1" customFormat="1" customHeight="1" spans="1:4">
      <c r="A438" s="4" t="s">
        <v>536</v>
      </c>
      <c r="B438" s="4" t="s">
        <v>537</v>
      </c>
      <c r="C438" s="4" t="s">
        <v>538</v>
      </c>
      <c r="D438" s="4" t="s">
        <v>539</v>
      </c>
    </row>
    <row r="439" s="1" customFormat="1" customHeight="1" spans="1:4">
      <c r="A439" s="4"/>
      <c r="B439" s="7" t="s">
        <v>540</v>
      </c>
      <c r="C439" s="8" t="s">
        <v>630</v>
      </c>
      <c r="D439" s="9" t="s">
        <v>596</v>
      </c>
    </row>
    <row r="440" s="1" customFormat="1" customHeight="1" spans="1:4">
      <c r="A440" s="4"/>
      <c r="B440" s="10"/>
      <c r="C440" s="8" t="s">
        <v>791</v>
      </c>
      <c r="D440" s="9" t="s">
        <v>833</v>
      </c>
    </row>
    <row r="441" s="1" customFormat="1" customHeight="1" spans="1:4">
      <c r="A441" s="4"/>
      <c r="B441" s="7" t="s">
        <v>545</v>
      </c>
      <c r="C441" s="8" t="s">
        <v>834</v>
      </c>
      <c r="D441" s="9" t="s">
        <v>835</v>
      </c>
    </row>
    <row r="442" s="1" customFormat="1" customHeight="1" spans="1:4">
      <c r="A442" s="4"/>
      <c r="B442" s="10"/>
      <c r="C442" s="8" t="s">
        <v>836</v>
      </c>
      <c r="D442" s="14">
        <v>1</v>
      </c>
    </row>
    <row r="443" s="1" customFormat="1" customHeight="1" spans="1:4">
      <c r="A443" s="4"/>
      <c r="B443" s="7" t="s">
        <v>551</v>
      </c>
      <c r="C443" s="8" t="s">
        <v>837</v>
      </c>
      <c r="D443" s="14" t="s">
        <v>838</v>
      </c>
    </row>
    <row r="444" s="1" customFormat="1" customHeight="1" spans="1:4">
      <c r="A444" s="4"/>
      <c r="B444" s="13"/>
      <c r="C444" s="8" t="s">
        <v>839</v>
      </c>
      <c r="D444" s="9" t="s">
        <v>578</v>
      </c>
    </row>
    <row r="445" s="1" customFormat="1" customHeight="1" spans="1:4">
      <c r="A445" s="11" t="s">
        <v>554</v>
      </c>
      <c r="B445" s="11"/>
      <c r="C445" s="11"/>
      <c r="D445" s="11"/>
    </row>
    <row r="447" s="1" customFormat="1" customHeight="1" spans="1:4">
      <c r="A447" s="3" t="s">
        <v>589</v>
      </c>
      <c r="B447" s="3"/>
      <c r="C447" s="3"/>
      <c r="D447" s="3"/>
    </row>
    <row r="448" s="1" customFormat="1" customHeight="1" spans="1:4">
      <c r="A448" s="4" t="s">
        <v>590</v>
      </c>
      <c r="B448" s="12" t="s">
        <v>448</v>
      </c>
      <c r="C448" s="12"/>
      <c r="D448" s="12"/>
    </row>
    <row r="449" s="1" customFormat="1" customHeight="1" spans="1:4">
      <c r="A449" s="4" t="s">
        <v>591</v>
      </c>
      <c r="B449" s="6" t="s">
        <v>449</v>
      </c>
      <c r="C449" s="6"/>
      <c r="D449" s="6"/>
    </row>
    <row r="450" s="1" customFormat="1" customHeight="1" spans="1:4">
      <c r="A450" s="4" t="s">
        <v>536</v>
      </c>
      <c r="B450" s="4" t="s">
        <v>537</v>
      </c>
      <c r="C450" s="4" t="s">
        <v>538</v>
      </c>
      <c r="D450" s="4" t="s">
        <v>539</v>
      </c>
    </row>
    <row r="451" s="1" customFormat="1" customHeight="1" spans="1:4">
      <c r="A451" s="4"/>
      <c r="B451" s="7" t="s">
        <v>540</v>
      </c>
      <c r="C451" s="8" t="s">
        <v>630</v>
      </c>
      <c r="D451" s="9" t="s">
        <v>596</v>
      </c>
    </row>
    <row r="452" s="1" customFormat="1" customHeight="1" spans="1:4">
      <c r="A452" s="4"/>
      <c r="B452" s="10"/>
      <c r="C452" s="8" t="s">
        <v>791</v>
      </c>
      <c r="D452" s="9" t="s">
        <v>840</v>
      </c>
    </row>
    <row r="453" s="1" customFormat="1" customHeight="1" spans="1:4">
      <c r="A453" s="4"/>
      <c r="B453" s="7" t="s">
        <v>545</v>
      </c>
      <c r="C453" s="8" t="s">
        <v>841</v>
      </c>
      <c r="D453" s="9" t="s">
        <v>842</v>
      </c>
    </row>
    <row r="454" s="1" customFormat="1" customHeight="1" spans="1:4">
      <c r="A454" s="4"/>
      <c r="B454" s="10"/>
      <c r="C454" s="8" t="s">
        <v>843</v>
      </c>
      <c r="D454" s="14" t="s">
        <v>844</v>
      </c>
    </row>
    <row r="455" s="1" customFormat="1" customHeight="1" spans="1:4">
      <c r="A455" s="4"/>
      <c r="B455" s="9" t="s">
        <v>551</v>
      </c>
      <c r="C455" s="8" t="s">
        <v>678</v>
      </c>
      <c r="D455" s="9" t="s">
        <v>604</v>
      </c>
    </row>
    <row r="456" s="1" customFormat="1" customHeight="1" spans="1:4">
      <c r="A456" s="11" t="s">
        <v>554</v>
      </c>
      <c r="B456" s="11"/>
      <c r="C456" s="11"/>
      <c r="D456" s="11"/>
    </row>
    <row r="458" s="1" customFormat="1" customHeight="1" spans="1:4">
      <c r="A458" s="3" t="s">
        <v>589</v>
      </c>
      <c r="B458" s="3"/>
      <c r="C458" s="3"/>
      <c r="D458" s="3"/>
    </row>
    <row r="459" s="1" customFormat="1" customHeight="1" spans="1:4">
      <c r="A459" s="4" t="s">
        <v>590</v>
      </c>
      <c r="B459" s="12" t="s">
        <v>451</v>
      </c>
      <c r="C459" s="12"/>
      <c r="D459" s="12"/>
    </row>
    <row r="460" s="1" customFormat="1" customHeight="1" spans="1:4">
      <c r="A460" s="4" t="s">
        <v>591</v>
      </c>
      <c r="B460" s="6" t="s">
        <v>452</v>
      </c>
      <c r="C460" s="6"/>
      <c r="D460" s="6"/>
    </row>
    <row r="461" s="1" customFormat="1" customHeight="1" spans="1:4">
      <c r="A461" s="4" t="s">
        <v>536</v>
      </c>
      <c r="B461" s="4" t="s">
        <v>537</v>
      </c>
      <c r="C461" s="4" t="s">
        <v>538</v>
      </c>
      <c r="D461" s="4" t="s">
        <v>539</v>
      </c>
    </row>
    <row r="462" s="1" customFormat="1" customHeight="1" spans="1:4">
      <c r="A462" s="4"/>
      <c r="B462" s="7" t="s">
        <v>540</v>
      </c>
      <c r="C462" s="8" t="s">
        <v>630</v>
      </c>
      <c r="D462" s="9" t="s">
        <v>596</v>
      </c>
    </row>
    <row r="463" s="1" customFormat="1" customHeight="1" spans="1:4">
      <c r="A463" s="4"/>
      <c r="B463" s="10"/>
      <c r="C463" s="8" t="s">
        <v>791</v>
      </c>
      <c r="D463" s="9" t="s">
        <v>845</v>
      </c>
    </row>
    <row r="464" s="1" customFormat="1" customHeight="1" spans="1:4">
      <c r="A464" s="4"/>
      <c r="B464" s="7" t="s">
        <v>545</v>
      </c>
      <c r="C464" s="8" t="s">
        <v>846</v>
      </c>
      <c r="D464" s="9" t="s">
        <v>847</v>
      </c>
    </row>
    <row r="465" s="1" customFormat="1" customHeight="1" spans="1:4">
      <c r="A465" s="4"/>
      <c r="B465" s="10"/>
      <c r="C465" s="8" t="s">
        <v>848</v>
      </c>
      <c r="D465" s="14">
        <v>1</v>
      </c>
    </row>
    <row r="466" s="1" customFormat="1" customHeight="1" spans="1:4">
      <c r="A466" s="4"/>
      <c r="B466" s="7" t="s">
        <v>551</v>
      </c>
      <c r="C466" s="8" t="s">
        <v>849</v>
      </c>
      <c r="D466" s="14" t="s">
        <v>850</v>
      </c>
    </row>
    <row r="467" s="1" customFormat="1" customHeight="1" spans="1:4">
      <c r="A467" s="4"/>
      <c r="B467" s="13"/>
      <c r="C467" s="8" t="s">
        <v>839</v>
      </c>
      <c r="D467" s="9" t="s">
        <v>766</v>
      </c>
    </row>
    <row r="468" s="1" customFormat="1" customHeight="1" spans="1:4">
      <c r="A468" s="11" t="s">
        <v>554</v>
      </c>
      <c r="B468" s="11"/>
      <c r="C468" s="11"/>
      <c r="D468" s="11"/>
    </row>
    <row r="470" s="1" customFormat="1" customHeight="1" spans="1:4">
      <c r="A470" s="3" t="s">
        <v>589</v>
      </c>
      <c r="B470" s="3"/>
      <c r="C470" s="3"/>
      <c r="D470" s="3"/>
    </row>
    <row r="471" s="1" customFormat="1" customHeight="1" spans="1:4">
      <c r="A471" s="4" t="s">
        <v>590</v>
      </c>
      <c r="B471" s="12" t="s">
        <v>454</v>
      </c>
      <c r="C471" s="12"/>
      <c r="D471" s="12"/>
    </row>
    <row r="472" s="1" customFormat="1" customHeight="1" spans="1:4">
      <c r="A472" s="4" t="s">
        <v>591</v>
      </c>
      <c r="B472" s="6" t="s">
        <v>453</v>
      </c>
      <c r="C472" s="6"/>
      <c r="D472" s="6"/>
    </row>
    <row r="473" s="1" customFormat="1" customHeight="1" spans="1:4">
      <c r="A473" s="4" t="s">
        <v>536</v>
      </c>
      <c r="B473" s="4" t="s">
        <v>537</v>
      </c>
      <c r="C473" s="4" t="s">
        <v>538</v>
      </c>
      <c r="D473" s="4" t="s">
        <v>539</v>
      </c>
    </row>
    <row r="474" s="1" customFormat="1" customHeight="1" spans="1:4">
      <c r="A474" s="4"/>
      <c r="B474" s="7" t="s">
        <v>540</v>
      </c>
      <c r="C474" s="8" t="s">
        <v>630</v>
      </c>
      <c r="D474" s="9" t="s">
        <v>596</v>
      </c>
    </row>
    <row r="475" s="1" customFormat="1" customHeight="1" spans="1:4">
      <c r="A475" s="4"/>
      <c r="B475" s="10"/>
      <c r="C475" s="8" t="s">
        <v>791</v>
      </c>
      <c r="D475" s="9" t="s">
        <v>851</v>
      </c>
    </row>
    <row r="476" s="1" customFormat="1" customHeight="1" spans="1:4">
      <c r="A476" s="4"/>
      <c r="B476" s="7" t="s">
        <v>545</v>
      </c>
      <c r="C476" s="8" t="s">
        <v>852</v>
      </c>
      <c r="D476" s="9" t="s">
        <v>853</v>
      </c>
    </row>
    <row r="477" s="1" customFormat="1" customHeight="1" spans="1:4">
      <c r="A477" s="4"/>
      <c r="B477" s="10"/>
      <c r="C477" s="8" t="s">
        <v>854</v>
      </c>
      <c r="D477" s="14" t="s">
        <v>855</v>
      </c>
    </row>
    <row r="478" s="1" customFormat="1" customHeight="1" spans="1:4">
      <c r="A478" s="4"/>
      <c r="B478" s="7" t="s">
        <v>551</v>
      </c>
      <c r="C478" s="8" t="s">
        <v>856</v>
      </c>
      <c r="D478" s="14" t="s">
        <v>857</v>
      </c>
    </row>
    <row r="479" s="1" customFormat="1" customHeight="1" spans="1:4">
      <c r="A479" s="4"/>
      <c r="B479" s="13"/>
      <c r="C479" s="8" t="s">
        <v>839</v>
      </c>
      <c r="D479" s="9" t="s">
        <v>766</v>
      </c>
    </row>
    <row r="480" s="1" customFormat="1" customHeight="1" spans="1:4">
      <c r="A480" s="11" t="s">
        <v>554</v>
      </c>
      <c r="B480" s="11"/>
      <c r="C480" s="11"/>
      <c r="D480" s="11"/>
    </row>
  </sheetData>
  <mergeCells count="315">
    <mergeCell ref="A2:D2"/>
    <mergeCell ref="B3:D3"/>
    <mergeCell ref="B4:D4"/>
    <mergeCell ref="A12:D12"/>
    <mergeCell ref="A14:D14"/>
    <mergeCell ref="B15:D15"/>
    <mergeCell ref="B16:D16"/>
    <mergeCell ref="A25:D25"/>
    <mergeCell ref="A27:D27"/>
    <mergeCell ref="B28:D28"/>
    <mergeCell ref="B29:D29"/>
    <mergeCell ref="A37:D37"/>
    <mergeCell ref="A39:D39"/>
    <mergeCell ref="B40:D40"/>
    <mergeCell ref="B41:D41"/>
    <mergeCell ref="A49:D49"/>
    <mergeCell ref="A51:D51"/>
    <mergeCell ref="B52:D52"/>
    <mergeCell ref="B53:D53"/>
    <mergeCell ref="A60:D60"/>
    <mergeCell ref="A62:D62"/>
    <mergeCell ref="B63:D63"/>
    <mergeCell ref="B64:D64"/>
    <mergeCell ref="A72:D72"/>
    <mergeCell ref="A74:D74"/>
    <mergeCell ref="B75:D75"/>
    <mergeCell ref="B76:D76"/>
    <mergeCell ref="A83:D83"/>
    <mergeCell ref="A85:D85"/>
    <mergeCell ref="B86:D86"/>
    <mergeCell ref="B87:D87"/>
    <mergeCell ref="A93:D93"/>
    <mergeCell ref="A95:D95"/>
    <mergeCell ref="B96:D96"/>
    <mergeCell ref="B97:D97"/>
    <mergeCell ref="A104:D104"/>
    <mergeCell ref="A106:D106"/>
    <mergeCell ref="B107:D107"/>
    <mergeCell ref="B108:D108"/>
    <mergeCell ref="A115:D115"/>
    <mergeCell ref="A117:D117"/>
    <mergeCell ref="B118:D118"/>
    <mergeCell ref="B119:D119"/>
    <mergeCell ref="A127:D127"/>
    <mergeCell ref="A129:D129"/>
    <mergeCell ref="B130:D130"/>
    <mergeCell ref="B131:D131"/>
    <mergeCell ref="A139:D139"/>
    <mergeCell ref="A141:D141"/>
    <mergeCell ref="B142:D142"/>
    <mergeCell ref="B143:D143"/>
    <mergeCell ref="A151:D151"/>
    <mergeCell ref="A153:D153"/>
    <mergeCell ref="B154:D154"/>
    <mergeCell ref="B155:D155"/>
    <mergeCell ref="A163:D163"/>
    <mergeCell ref="A165:D165"/>
    <mergeCell ref="B166:D166"/>
    <mergeCell ref="B167:D167"/>
    <mergeCell ref="A175:D175"/>
    <mergeCell ref="A177:D177"/>
    <mergeCell ref="B178:D178"/>
    <mergeCell ref="B179:D179"/>
    <mergeCell ref="A187:D187"/>
    <mergeCell ref="A189:D189"/>
    <mergeCell ref="B190:D190"/>
    <mergeCell ref="B191:D191"/>
    <mergeCell ref="A199:D199"/>
    <mergeCell ref="A201:D201"/>
    <mergeCell ref="B202:D202"/>
    <mergeCell ref="B203:D203"/>
    <mergeCell ref="A211:D211"/>
    <mergeCell ref="A213:D213"/>
    <mergeCell ref="B214:D214"/>
    <mergeCell ref="B215:D215"/>
    <mergeCell ref="A223:D223"/>
    <mergeCell ref="A225:D225"/>
    <mergeCell ref="B226:D226"/>
    <mergeCell ref="B227:D227"/>
    <mergeCell ref="A235:D235"/>
    <mergeCell ref="A237:D237"/>
    <mergeCell ref="B238:D238"/>
    <mergeCell ref="B239:D239"/>
    <mergeCell ref="A247:D247"/>
    <mergeCell ref="A249:D249"/>
    <mergeCell ref="B250:D250"/>
    <mergeCell ref="B251:D251"/>
    <mergeCell ref="A259:D259"/>
    <mergeCell ref="A261:D261"/>
    <mergeCell ref="B262:D262"/>
    <mergeCell ref="B263:D263"/>
    <mergeCell ref="A271:D271"/>
    <mergeCell ref="A273:D273"/>
    <mergeCell ref="B274:D274"/>
    <mergeCell ref="B275:D275"/>
    <mergeCell ref="A283:D283"/>
    <mergeCell ref="A285:D285"/>
    <mergeCell ref="B286:D286"/>
    <mergeCell ref="B287:D287"/>
    <mergeCell ref="A295:D295"/>
    <mergeCell ref="A297:D297"/>
    <mergeCell ref="B298:D298"/>
    <mergeCell ref="B299:D299"/>
    <mergeCell ref="A306:D306"/>
    <mergeCell ref="A308:D308"/>
    <mergeCell ref="B309:D309"/>
    <mergeCell ref="B310:D310"/>
    <mergeCell ref="A318:D318"/>
    <mergeCell ref="A320:D320"/>
    <mergeCell ref="B321:D321"/>
    <mergeCell ref="B322:D322"/>
    <mergeCell ref="A330:D330"/>
    <mergeCell ref="A332:D332"/>
    <mergeCell ref="B333:D333"/>
    <mergeCell ref="B334:D334"/>
    <mergeCell ref="A342:D342"/>
    <mergeCell ref="A344:D344"/>
    <mergeCell ref="B345:D345"/>
    <mergeCell ref="B346:D346"/>
    <mergeCell ref="A354:D354"/>
    <mergeCell ref="A356:D356"/>
    <mergeCell ref="B357:D357"/>
    <mergeCell ref="B358:D358"/>
    <mergeCell ref="A365:D365"/>
    <mergeCell ref="A367:D367"/>
    <mergeCell ref="B368:D368"/>
    <mergeCell ref="B369:D369"/>
    <mergeCell ref="A376:D376"/>
    <mergeCell ref="A378:D378"/>
    <mergeCell ref="B379:D379"/>
    <mergeCell ref="B380:D380"/>
    <mergeCell ref="A387:D387"/>
    <mergeCell ref="A389:D389"/>
    <mergeCell ref="B390:D390"/>
    <mergeCell ref="B391:D391"/>
    <mergeCell ref="A399:D399"/>
    <mergeCell ref="A401:D401"/>
    <mergeCell ref="B402:D402"/>
    <mergeCell ref="B403:D403"/>
    <mergeCell ref="A411:D411"/>
    <mergeCell ref="A413:D413"/>
    <mergeCell ref="B414:D414"/>
    <mergeCell ref="B415:D415"/>
    <mergeCell ref="A422:D422"/>
    <mergeCell ref="A424:D424"/>
    <mergeCell ref="B425:D425"/>
    <mergeCell ref="B426:D426"/>
    <mergeCell ref="A433:D433"/>
    <mergeCell ref="A435:D435"/>
    <mergeCell ref="B436:D436"/>
    <mergeCell ref="B437:D437"/>
    <mergeCell ref="A445:D445"/>
    <mergeCell ref="A447:D447"/>
    <mergeCell ref="B448:D448"/>
    <mergeCell ref="B449:D449"/>
    <mergeCell ref="A456:D456"/>
    <mergeCell ref="A458:D458"/>
    <mergeCell ref="B459:D459"/>
    <mergeCell ref="B460:D460"/>
    <mergeCell ref="A468:D468"/>
    <mergeCell ref="A470:D470"/>
    <mergeCell ref="B471:D471"/>
    <mergeCell ref="B472:D472"/>
    <mergeCell ref="A480:D480"/>
    <mergeCell ref="A5:A11"/>
    <mergeCell ref="A17:A24"/>
    <mergeCell ref="A30:A36"/>
    <mergeCell ref="A42:A48"/>
    <mergeCell ref="A54:A59"/>
    <mergeCell ref="A65:A71"/>
    <mergeCell ref="A77:A82"/>
    <mergeCell ref="A88:A92"/>
    <mergeCell ref="A98:A103"/>
    <mergeCell ref="A109:A114"/>
    <mergeCell ref="A120:A126"/>
    <mergeCell ref="A132:A138"/>
    <mergeCell ref="A144:A150"/>
    <mergeCell ref="A156:A162"/>
    <mergeCell ref="A168:A174"/>
    <mergeCell ref="A180:A186"/>
    <mergeCell ref="A192:A198"/>
    <mergeCell ref="A204:A210"/>
    <mergeCell ref="A216:A222"/>
    <mergeCell ref="A228:A234"/>
    <mergeCell ref="A240:A246"/>
    <mergeCell ref="A252:A258"/>
    <mergeCell ref="A264:A270"/>
    <mergeCell ref="A276:A282"/>
    <mergeCell ref="A288:A294"/>
    <mergeCell ref="A300:A305"/>
    <mergeCell ref="A311:A317"/>
    <mergeCell ref="A323:A329"/>
    <mergeCell ref="A335:A341"/>
    <mergeCell ref="A347:A353"/>
    <mergeCell ref="A359:A364"/>
    <mergeCell ref="A370:A375"/>
    <mergeCell ref="A381:A386"/>
    <mergeCell ref="A392:A398"/>
    <mergeCell ref="A404:A410"/>
    <mergeCell ref="A416:A421"/>
    <mergeCell ref="A427:A432"/>
    <mergeCell ref="A438:A444"/>
    <mergeCell ref="A450:A455"/>
    <mergeCell ref="A461:A467"/>
    <mergeCell ref="A473:A479"/>
    <mergeCell ref="B6:B7"/>
    <mergeCell ref="B8:B9"/>
    <mergeCell ref="B10:B11"/>
    <mergeCell ref="B18:B20"/>
    <mergeCell ref="B21:B22"/>
    <mergeCell ref="B23:B24"/>
    <mergeCell ref="B31:B32"/>
    <mergeCell ref="B33:B34"/>
    <mergeCell ref="B35:B36"/>
    <mergeCell ref="B43:B44"/>
    <mergeCell ref="B45:B46"/>
    <mergeCell ref="B47:B48"/>
    <mergeCell ref="B55:B56"/>
    <mergeCell ref="B57:B58"/>
    <mergeCell ref="B66:B67"/>
    <mergeCell ref="B68:B69"/>
    <mergeCell ref="B70:B71"/>
    <mergeCell ref="B78:B79"/>
    <mergeCell ref="B80:B81"/>
    <mergeCell ref="B89:B90"/>
    <mergeCell ref="B99:B100"/>
    <mergeCell ref="B101:B102"/>
    <mergeCell ref="B110:B111"/>
    <mergeCell ref="B112:B113"/>
    <mergeCell ref="B121:B122"/>
    <mergeCell ref="B123:B124"/>
    <mergeCell ref="B125:B126"/>
    <mergeCell ref="B133:B134"/>
    <mergeCell ref="B135:B136"/>
    <mergeCell ref="B137:B138"/>
    <mergeCell ref="B145:B146"/>
    <mergeCell ref="B147:B148"/>
    <mergeCell ref="B149:B150"/>
    <mergeCell ref="B157:B158"/>
    <mergeCell ref="B159:B160"/>
    <mergeCell ref="B161:B162"/>
    <mergeCell ref="B169:B170"/>
    <mergeCell ref="B171:B172"/>
    <mergeCell ref="B173:B174"/>
    <mergeCell ref="B181:B182"/>
    <mergeCell ref="B183:B184"/>
    <mergeCell ref="B185:B186"/>
    <mergeCell ref="B193:B194"/>
    <mergeCell ref="B195:B196"/>
    <mergeCell ref="B197:B198"/>
    <mergeCell ref="B205:B206"/>
    <mergeCell ref="B207:B208"/>
    <mergeCell ref="B209:B210"/>
    <mergeCell ref="B217:B218"/>
    <mergeCell ref="B219:B220"/>
    <mergeCell ref="B221:B222"/>
    <mergeCell ref="B229:B230"/>
    <mergeCell ref="B231:B232"/>
    <mergeCell ref="B233:B234"/>
    <mergeCell ref="B241:B242"/>
    <mergeCell ref="B243:B244"/>
    <mergeCell ref="B245:B246"/>
    <mergeCell ref="B253:B254"/>
    <mergeCell ref="B255:B256"/>
    <mergeCell ref="B257:B258"/>
    <mergeCell ref="B265:B266"/>
    <mergeCell ref="B267:B268"/>
    <mergeCell ref="B269:B270"/>
    <mergeCell ref="B277:B278"/>
    <mergeCell ref="B279:B280"/>
    <mergeCell ref="B281:B282"/>
    <mergeCell ref="B289:B290"/>
    <mergeCell ref="B291:B292"/>
    <mergeCell ref="B293:B294"/>
    <mergeCell ref="B301:B302"/>
    <mergeCell ref="B303:B304"/>
    <mergeCell ref="B312:B313"/>
    <mergeCell ref="B314:B315"/>
    <mergeCell ref="B316:B317"/>
    <mergeCell ref="B324:B325"/>
    <mergeCell ref="B326:B327"/>
    <mergeCell ref="B328:B329"/>
    <mergeCell ref="B336:B337"/>
    <mergeCell ref="B338:B339"/>
    <mergeCell ref="B340:B341"/>
    <mergeCell ref="B348:B349"/>
    <mergeCell ref="B350:B351"/>
    <mergeCell ref="B352:B353"/>
    <mergeCell ref="B360:B361"/>
    <mergeCell ref="B362:B363"/>
    <mergeCell ref="B371:B372"/>
    <mergeCell ref="B373:B374"/>
    <mergeCell ref="B382:B383"/>
    <mergeCell ref="B384:B385"/>
    <mergeCell ref="B393:B394"/>
    <mergeCell ref="B395:B396"/>
    <mergeCell ref="B397:B398"/>
    <mergeCell ref="B405:B406"/>
    <mergeCell ref="B407:B408"/>
    <mergeCell ref="B409:B410"/>
    <mergeCell ref="B417:B418"/>
    <mergeCell ref="B419:B420"/>
    <mergeCell ref="B428:B429"/>
    <mergeCell ref="B430:B431"/>
    <mergeCell ref="B439:B440"/>
    <mergeCell ref="B441:B442"/>
    <mergeCell ref="B443:B444"/>
    <mergeCell ref="B451:B452"/>
    <mergeCell ref="B453:B454"/>
    <mergeCell ref="B462:B463"/>
    <mergeCell ref="B464:B465"/>
    <mergeCell ref="B466:B467"/>
    <mergeCell ref="B474:B475"/>
    <mergeCell ref="B476:B477"/>
    <mergeCell ref="B478:B479"/>
  </mergeCells>
  <pageMargins left="0.707638888888889" right="0.707638888888889" top="0.747916666666667" bottom="0.747916666666667" header="0.313888888888889" footer="0.313888888888889"/>
  <pageSetup paperSize="9" scale="96"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cp:lastModifiedBy>
  <dcterms:created xsi:type="dcterms:W3CDTF">2008-01-10T09:59:00Z</dcterms:created>
  <cp:lastPrinted>2018-01-19T08:43:00Z</cp:lastPrinted>
  <dcterms:modified xsi:type="dcterms:W3CDTF">2021-06-02T10:17:32Z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FA91A1D91A22420A97EA4D4A866749ED</vt:lpwstr>
  </property>
</Properties>
</file>