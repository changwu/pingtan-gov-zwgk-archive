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收入预算表" sheetId="7" r:id="rId1"/>
  </sheets>
  <calcPr calcId="144525"/>
</workbook>
</file>

<file path=xl/sharedStrings.xml><?xml version="1.0" encoding="utf-8"?>
<sst xmlns="http://schemas.openxmlformats.org/spreadsheetml/2006/main" count="37">
  <si>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</si>
  <si>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</si>
  <si>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</si>
  <si>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</si>
  <si>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</si>
  <si>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</si>
  <si>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</si>
  <si>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</si>
  <si>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</si>
  <si>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</si>
  <si>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</si>
  <si>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</si>
  <si>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</si>
  <si>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t>区级一般公共预算拨款</t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</si>
  <si>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</si>
  <si>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</si>
  <si>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</si>
  <si>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</si>
  <si>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</si>
  <si>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t>区级基金预算拨款</t>
  </si>
  <si>
    <t>中央财政转移支付补助（基金）</t>
  </si>
  <si>
    <t>**</t>
  </si>
  <si>
    <t>平潭综合实验区劳动人事争议仲裁院</t>
  </si>
  <si>
    <t>在职人员基础性绩效工资</t>
  </si>
  <si>
    <t>在职人员基本工资</t>
  </si>
  <si>
    <t>在职人员养老保险</t>
  </si>
  <si>
    <t>综合定额公用经费</t>
  </si>
  <si>
    <t>劳动争议仲裁工作经费</t>
  </si>
  <si>
    <t>仲裁办案补助经费</t>
  </si>
  <si>
    <t>在职人员奖励性绩效（事业单位一次性奖金）</t>
  </si>
  <si>
    <t>在职人员地方津补贴(含行业性津贴)</t>
  </si>
  <si>
    <t>在职人员医疗保险</t>
  </si>
  <si>
    <t>在职人员生育保险</t>
  </si>
  <si>
    <t>在职人员工伤保险</t>
  </si>
  <si>
    <t>仲裁庭建设经费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</si>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</sst>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10"/>
      <color indexed="8"/>
      <name val="宋体"/>
      <charset val="134"/>
    </font>
    <font>
      <sz val="9"/>
      <color rgb="FFFF000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7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8" borderId="1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3" borderId="18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22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4" fillId="20" borderId="17" applyNumberFormat="0" applyAlignment="0" applyProtection="0">
      <alignment vertical="center"/>
    </xf>
    <xf numFmtId="0" fontId="21" fillId="20" borderId="16" applyNumberFormat="0" applyAlignment="0" applyProtection="0">
      <alignment vertical="center"/>
    </xf>
    <xf numFmtId="0" fontId="16" fillId="15" borderId="14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0" borderId="0"/>
    <xf numFmtId="0" fontId="5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0" borderId="0"/>
    <xf numFmtId="0" fontId="5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/>
    </xf>
    <xf numFmtId="0" fontId="1" fillId="0" borderId="3" xfId="43" applyNumberFormat="1" applyBorder="1" applyAlignment="1">
      <alignment horizontal="center" vertical="center"/>
    </xf>
    <xf numFmtId="0" fontId="1" fillId="0" borderId="4" xfId="43" applyNumberFormat="1" applyBorder="1" applyAlignment="1">
      <alignment horizontal="center" vertical="center"/>
    </xf>
    <xf numFmtId="0" fontId="1" fillId="0" borderId="5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 wrapText="1"/>
    </xf>
    <xf numFmtId="0" fontId="1" fillId="0" borderId="3" xfId="43" applyNumberFormat="1" applyBorder="1" applyAlignment="1">
      <alignment horizontal="center" vertical="center" wrapText="1"/>
    </xf>
    <xf numFmtId="0" fontId="1" fillId="0" borderId="4" xfId="43" applyNumberFormat="1" applyBorder="1" applyAlignment="1">
      <alignment horizontal="center" vertical="center" wrapText="1"/>
    </xf>
    <xf numFmtId="0" fontId="1" fillId="0" borderId="6" xfId="43" applyNumberFormat="1" applyBorder="1" applyAlignment="1">
      <alignment horizontal="center" vertical="center"/>
    </xf>
    <xf numFmtId="0" fontId="1" fillId="0" borderId="6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1" fillId="0" borderId="1" xfId="43" applyNumberFormat="1" applyFont="1" applyBorder="1" applyAlignment="1">
      <alignment horizontal="left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6" xfId="43" applyBorder="1" applyAlignment="1">
      <alignment horizontal="center" vertical="center"/>
    </xf>
    <xf numFmtId="0" fontId="1" fillId="0" borderId="6" xfId="43" applyFont="1" applyBorder="1" applyAlignment="1">
      <alignment horizontal="center" vertical="center"/>
    </xf>
    <xf numFmtId="0" fontId="1" fillId="0" borderId="1" xfId="43" applyNumberFormat="1" applyBorder="1" applyAlignment="1">
      <alignment horizontal="center" vertical="center" wrapText="1"/>
    </xf>
    <xf numFmtId="0" fontId="1" fillId="0" borderId="1" xfId="43" applyBorder="1">
      <alignment vertical="center"/>
    </xf>
    <xf numFmtId="4" fontId="1" fillId="0" borderId="1" xfId="43" applyNumberFormat="1" applyFill="1" applyBorder="1" applyAlignment="1">
      <alignment horizontal="center" vertical="center" wrapText="1"/>
    </xf>
    <xf numFmtId="4" fontId="1" fillId="0" borderId="1" xfId="43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4" fillId="0" borderId="7" xfId="43" applyNumberFormat="1" applyFont="1" applyFill="1" applyBorder="1" applyAlignment="1">
      <alignment horizontal="center" vertical="center" wrapText="1"/>
    </xf>
    <xf numFmtId="4" fontId="4" fillId="0" borderId="0" xfId="43" applyNumberFormat="1" applyFont="1" applyFill="1" applyBorder="1" applyAlignment="1">
      <alignment horizontal="center" vertical="center" wrapText="1"/>
    </xf>
    <xf numFmtId="4" fontId="1" fillId="0" borderId="0" xfId="43" applyNumberFormat="1" applyFill="1" applyBorder="1" applyAlignment="1">
      <alignment horizontal="center" vertical="center" wrapText="1"/>
    </xf>
    <xf numFmtId="0" fontId="1" fillId="0" borderId="8" xfId="43" applyNumberFormat="1" applyBorder="1" applyAlignment="1">
      <alignment horizontal="center" vertical="center" wrapText="1"/>
    </xf>
    <xf numFmtId="0" fontId="1" fillId="0" borderId="1" xfId="43" applyNumberFormat="1" applyFont="1" applyBorder="1" applyAlignment="1">
      <alignment horizontal="centerContinuous" vertical="center" wrapText="1"/>
    </xf>
    <xf numFmtId="0" fontId="1" fillId="0" borderId="1" xfId="43" applyNumberFormat="1" applyBorder="1" applyAlignment="1">
      <alignment vertical="center" wrapText="1"/>
    </xf>
    <xf numFmtId="4" fontId="1" fillId="0" borderId="3" xfId="43" applyNumberFormat="1" applyFill="1" applyBorder="1" applyAlignment="1">
      <alignment horizontal="center" vertical="center" wrapText="1"/>
    </xf>
    <xf numFmtId="0" fontId="1" fillId="0" borderId="3" xfId="43" applyBorder="1">
      <alignment vertical="center"/>
    </xf>
    <xf numFmtId="0" fontId="1" fillId="0" borderId="0" xfId="43" applyAlignment="1">
      <alignment horizontal="right" vertical="center"/>
    </xf>
    <xf numFmtId="0" fontId="1" fillId="0" borderId="8" xfId="43" applyNumberFormat="1" applyBorder="1" applyAlignment="1">
      <alignment horizontal="center" vertical="center"/>
    </xf>
    <xf numFmtId="4" fontId="1" fillId="0" borderId="9" xfId="43" applyNumberFormat="1" applyFill="1" applyBorder="1" applyAlignment="1">
      <alignment horizontal="center" vertical="center" wrapText="1"/>
    </xf>
    <xf numFmtId="0" fontId="1" fillId="0" borderId="9" xfId="43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  <colors>
    <mruColors>
      <color rgb="00FF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79"/>
  <sheetViews>
    <sheetView showGridLines="0" showZeros="0" tabSelected="1" workbookViewId="0">
      <selection activeCell="L8" sqref="L8"/>
    </sheetView>
  </sheetViews>
  <sheetFormatPr defaultColWidth="7" defaultRowHeight="11.25"/>
  <cols>
    <col min="1" max="1" width="8.625" style="2" customWidth="1"/>
    <col min="2" max="2" width="9.125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ht="23.25" customHeight="1"/>
    <row r="2" ht="54" customHeight="1" spans="1:1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7.25" customHeight="1" spans="17:17">
      <c r="Q3" s="34" t="s">
        <v>1</v>
      </c>
    </row>
    <row r="4" ht="17.25" customHeight="1" spans="1:17">
      <c r="A4" s="4" t="s">
        <v>2</v>
      </c>
      <c r="B4" s="4" t="s">
        <v>3</v>
      </c>
      <c r="C4" s="5" t="s">
        <v>4</v>
      </c>
      <c r="D4" s="6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5"/>
    </row>
    <row r="5" ht="28.5" customHeight="1" spans="1:17">
      <c r="A5" s="4"/>
      <c r="B5" s="4"/>
      <c r="C5" s="8"/>
      <c r="D5" s="9" t="s">
        <v>4</v>
      </c>
      <c r="E5" s="10" t="s">
        <v>6</v>
      </c>
      <c r="F5" s="11"/>
      <c r="G5" s="11"/>
      <c r="H5" s="11"/>
      <c r="I5" s="11"/>
      <c r="J5" s="29"/>
      <c r="K5" s="10" t="s">
        <v>7</v>
      </c>
      <c r="L5" s="11"/>
      <c r="M5" s="29"/>
      <c r="N5" s="19" t="s">
        <v>8</v>
      </c>
      <c r="O5" s="19" t="s">
        <v>9</v>
      </c>
      <c r="P5" s="19" t="s">
        <v>10</v>
      </c>
      <c r="Q5" s="19" t="s">
        <v>11</v>
      </c>
    </row>
    <row r="6" ht="54" customHeight="1" spans="1:17">
      <c r="A6" s="4"/>
      <c r="B6" s="4"/>
      <c r="C6" s="12"/>
      <c r="D6" s="13"/>
      <c r="E6" s="14" t="s">
        <v>12</v>
      </c>
      <c r="F6" s="15" t="s">
        <v>13</v>
      </c>
      <c r="G6" s="16" t="s">
        <v>14</v>
      </c>
      <c r="H6" s="16" t="s">
        <v>15</v>
      </c>
      <c r="I6" s="16" t="s">
        <v>16</v>
      </c>
      <c r="J6" s="16" t="s">
        <v>17</v>
      </c>
      <c r="K6" s="16" t="s">
        <v>18</v>
      </c>
      <c r="L6" s="30" t="s">
        <v>19</v>
      </c>
      <c r="M6" s="31" t="s">
        <v>20</v>
      </c>
      <c r="N6" s="19"/>
      <c r="O6" s="19"/>
      <c r="P6" s="19"/>
      <c r="Q6" s="19"/>
    </row>
    <row r="7" ht="15" customHeight="1" spans="1:17">
      <c r="A7" s="12" t="s">
        <v>21</v>
      </c>
      <c r="B7" s="12" t="s">
        <v>21</v>
      </c>
      <c r="C7" s="17">
        <v>1</v>
      </c>
      <c r="D7" s="17">
        <v>2</v>
      </c>
      <c r="E7" s="17">
        <v>3</v>
      </c>
      <c r="F7" s="18">
        <v>4</v>
      </c>
      <c r="G7" s="17">
        <v>5</v>
      </c>
      <c r="H7" s="17">
        <v>6</v>
      </c>
      <c r="I7" s="17">
        <v>7</v>
      </c>
      <c r="J7" s="17">
        <v>8</v>
      </c>
      <c r="K7" s="17">
        <v>9</v>
      </c>
      <c r="L7" s="17">
        <v>10</v>
      </c>
      <c r="M7" s="17">
        <v>11</v>
      </c>
      <c r="N7" s="17">
        <v>12</v>
      </c>
      <c r="O7" s="17">
        <v>13</v>
      </c>
      <c r="P7" s="17">
        <v>14</v>
      </c>
      <c r="Q7" s="17">
        <v>15</v>
      </c>
    </row>
    <row r="8" s="1" customFormat="1" ht="43" customHeight="1" spans="1:17">
      <c r="A8" s="4">
        <v>701109</v>
      </c>
      <c r="B8" s="19" t="s">
        <v>22</v>
      </c>
      <c r="C8" s="20">
        <f t="shared" ref="C8:C19" si="0">D8+I8+L8+M8+N8+O8</f>
        <v>59.85</v>
      </c>
      <c r="D8" s="21">
        <v>59.85</v>
      </c>
      <c r="E8" s="22">
        <f t="shared" ref="E8:E19" si="1">D8</f>
        <v>59.85</v>
      </c>
      <c r="F8" s="22">
        <f>E8</f>
        <v>59.85</v>
      </c>
      <c r="G8" s="21"/>
      <c r="H8" s="21"/>
      <c r="I8" s="21"/>
      <c r="J8" s="21"/>
      <c r="K8" s="21"/>
      <c r="L8" s="21"/>
      <c r="M8" s="21">
        <v>0</v>
      </c>
      <c r="N8" s="21">
        <v>0</v>
      </c>
      <c r="O8" s="21">
        <v>0</v>
      </c>
      <c r="P8" s="32">
        <v>0</v>
      </c>
      <c r="Q8" s="36">
        <v>0</v>
      </c>
    </row>
    <row r="9" ht="36" spans="1:17">
      <c r="A9" s="23">
        <v>2080112</v>
      </c>
      <c r="B9" s="24" t="s">
        <v>23</v>
      </c>
      <c r="C9" s="20">
        <f t="shared" si="0"/>
        <v>3.32</v>
      </c>
      <c r="D9" s="25">
        <v>3.32</v>
      </c>
      <c r="E9" s="22">
        <f t="shared" si="1"/>
        <v>3.32</v>
      </c>
      <c r="F9" s="22">
        <f t="shared" ref="F9:F15" si="2">E9</f>
        <v>3.32</v>
      </c>
      <c r="G9" s="20"/>
      <c r="H9" s="20"/>
      <c r="I9" s="20"/>
      <c r="J9" s="20"/>
      <c r="K9" s="20"/>
      <c r="L9" s="20"/>
      <c r="M9" s="20"/>
      <c r="N9" s="20"/>
      <c r="O9" s="20"/>
      <c r="P9" s="33"/>
      <c r="Q9" s="37"/>
    </row>
    <row r="10" ht="24" spans="1:17">
      <c r="A10" s="23">
        <v>2080112</v>
      </c>
      <c r="B10" s="24" t="s">
        <v>24</v>
      </c>
      <c r="C10" s="20">
        <f t="shared" si="0"/>
        <v>6.41</v>
      </c>
      <c r="D10" s="25">
        <v>6.41</v>
      </c>
      <c r="E10" s="22">
        <f t="shared" si="1"/>
        <v>6.41</v>
      </c>
      <c r="F10" s="22">
        <f t="shared" si="2"/>
        <v>6.41</v>
      </c>
      <c r="G10" s="20"/>
      <c r="H10" s="20"/>
      <c r="I10" s="20"/>
      <c r="J10" s="20"/>
      <c r="K10" s="20"/>
      <c r="L10" s="20"/>
      <c r="M10" s="20"/>
      <c r="N10" s="20"/>
      <c r="O10" s="20"/>
      <c r="P10" s="33"/>
      <c r="Q10" s="37"/>
    </row>
    <row r="11" ht="24" spans="1:17">
      <c r="A11" s="23">
        <v>2080112</v>
      </c>
      <c r="B11" s="24" t="s">
        <v>25</v>
      </c>
      <c r="C11" s="20">
        <f t="shared" si="0"/>
        <v>3.57</v>
      </c>
      <c r="D11" s="25">
        <v>3.57</v>
      </c>
      <c r="E11" s="22">
        <f t="shared" si="1"/>
        <v>3.57</v>
      </c>
      <c r="F11" s="22">
        <f t="shared" si="2"/>
        <v>3.57</v>
      </c>
      <c r="G11" s="20"/>
      <c r="H11" s="20"/>
      <c r="I11" s="20"/>
      <c r="J11" s="20"/>
      <c r="K11" s="20"/>
      <c r="L11" s="20"/>
      <c r="M11" s="20"/>
      <c r="N11" s="20"/>
      <c r="O11" s="20"/>
      <c r="P11" s="33"/>
      <c r="Q11" s="37"/>
    </row>
    <row r="12" ht="24" spans="1:17">
      <c r="A12" s="23">
        <v>2080112</v>
      </c>
      <c r="B12" s="24" t="s">
        <v>26</v>
      </c>
      <c r="C12" s="20">
        <f t="shared" si="0"/>
        <v>1.65</v>
      </c>
      <c r="D12" s="25">
        <v>1.65</v>
      </c>
      <c r="E12" s="22">
        <f t="shared" si="1"/>
        <v>1.65</v>
      </c>
      <c r="F12" s="22">
        <f t="shared" si="2"/>
        <v>1.65</v>
      </c>
      <c r="G12" s="20"/>
      <c r="H12" s="20"/>
      <c r="I12" s="20"/>
      <c r="J12" s="20"/>
      <c r="K12" s="20"/>
      <c r="L12" s="20"/>
      <c r="M12" s="20"/>
      <c r="N12" s="20"/>
      <c r="O12" s="20"/>
      <c r="P12" s="33"/>
      <c r="Q12" s="37"/>
    </row>
    <row r="13" ht="24" spans="1:17">
      <c r="A13" s="23">
        <v>2080112</v>
      </c>
      <c r="B13" s="24" t="s">
        <v>27</v>
      </c>
      <c r="C13" s="20">
        <f t="shared" si="0"/>
        <v>10</v>
      </c>
      <c r="D13" s="25">
        <v>10</v>
      </c>
      <c r="E13" s="22">
        <f t="shared" si="1"/>
        <v>10</v>
      </c>
      <c r="F13" s="22">
        <f t="shared" si="2"/>
        <v>10</v>
      </c>
      <c r="G13" s="20"/>
      <c r="H13" s="20"/>
      <c r="I13" s="20"/>
      <c r="J13" s="20"/>
      <c r="K13" s="20"/>
      <c r="L13" s="20"/>
      <c r="M13" s="20"/>
      <c r="N13" s="20"/>
      <c r="O13" s="20"/>
      <c r="P13" s="33"/>
      <c r="Q13" s="37"/>
    </row>
    <row r="14" ht="24" spans="1:17">
      <c r="A14" s="23">
        <v>2080112</v>
      </c>
      <c r="B14" s="24" t="s">
        <v>28</v>
      </c>
      <c r="C14" s="20">
        <f t="shared" si="0"/>
        <v>5</v>
      </c>
      <c r="D14" s="25">
        <v>5</v>
      </c>
      <c r="E14" s="22">
        <f t="shared" si="1"/>
        <v>5</v>
      </c>
      <c r="F14" s="22">
        <f t="shared" si="2"/>
        <v>5</v>
      </c>
      <c r="G14" s="20"/>
      <c r="H14" s="20"/>
      <c r="I14" s="20"/>
      <c r="J14" s="20"/>
      <c r="K14" s="20"/>
      <c r="L14" s="20"/>
      <c r="M14" s="20"/>
      <c r="N14" s="20"/>
      <c r="O14" s="20"/>
      <c r="P14" s="33"/>
      <c r="Q14" s="37"/>
    </row>
    <row r="15" ht="60" spans="1:17">
      <c r="A15" s="23">
        <v>2080112</v>
      </c>
      <c r="B15" s="24" t="s">
        <v>29</v>
      </c>
      <c r="C15" s="20">
        <f t="shared" si="0"/>
        <v>3.27</v>
      </c>
      <c r="D15" s="25">
        <v>3.27</v>
      </c>
      <c r="E15" s="22">
        <f t="shared" si="1"/>
        <v>3.27</v>
      </c>
      <c r="F15" s="22">
        <f t="shared" si="2"/>
        <v>3.27</v>
      </c>
      <c r="G15" s="20"/>
      <c r="H15" s="20"/>
      <c r="I15" s="20"/>
      <c r="J15" s="20"/>
      <c r="K15" s="20"/>
      <c r="L15" s="20"/>
      <c r="M15" s="20"/>
      <c r="N15" s="20"/>
      <c r="O15" s="20"/>
      <c r="P15" s="33"/>
      <c r="Q15" s="37"/>
    </row>
    <row r="16" ht="48" spans="1:17">
      <c r="A16" s="23">
        <v>2080112</v>
      </c>
      <c r="B16" s="24" t="s">
        <v>30</v>
      </c>
      <c r="C16" s="20">
        <f t="shared" si="0"/>
        <v>7.43</v>
      </c>
      <c r="D16" s="25">
        <v>7.43</v>
      </c>
      <c r="E16" s="22">
        <f t="shared" si="1"/>
        <v>7.43</v>
      </c>
      <c r="F16" s="22">
        <f t="shared" ref="F16:F55" si="3">E16</f>
        <v>7.43</v>
      </c>
      <c r="G16" s="20"/>
      <c r="H16" s="20"/>
      <c r="I16" s="20"/>
      <c r="J16" s="20"/>
      <c r="K16" s="20"/>
      <c r="L16" s="20"/>
      <c r="M16" s="20"/>
      <c r="N16" s="20"/>
      <c r="O16" s="20"/>
      <c r="P16" s="33"/>
      <c r="Q16" s="37"/>
    </row>
    <row r="17" ht="24" spans="1:17">
      <c r="A17" s="23">
        <v>2080112</v>
      </c>
      <c r="B17" s="24" t="s">
        <v>31</v>
      </c>
      <c r="C17" s="20">
        <f t="shared" si="0"/>
        <v>1.43</v>
      </c>
      <c r="D17" s="25">
        <v>1.43</v>
      </c>
      <c r="E17" s="22">
        <f t="shared" si="1"/>
        <v>1.43</v>
      </c>
      <c r="F17" s="22">
        <f t="shared" si="3"/>
        <v>1.43</v>
      </c>
      <c r="G17" s="20"/>
      <c r="H17" s="20"/>
      <c r="I17" s="20"/>
      <c r="J17" s="20"/>
      <c r="K17" s="20"/>
      <c r="L17" s="20"/>
      <c r="M17" s="20"/>
      <c r="N17" s="20"/>
      <c r="O17" s="20"/>
      <c r="P17" s="33"/>
      <c r="Q17" s="37"/>
    </row>
    <row r="18" ht="24" spans="1:17">
      <c r="A18" s="23">
        <v>2080112</v>
      </c>
      <c r="B18" s="24" t="s">
        <v>32</v>
      </c>
      <c r="C18" s="20">
        <f t="shared" si="0"/>
        <v>0.06</v>
      </c>
      <c r="D18" s="25">
        <v>0.06</v>
      </c>
      <c r="E18" s="22">
        <f t="shared" si="1"/>
        <v>0.06</v>
      </c>
      <c r="F18" s="22">
        <f t="shared" si="3"/>
        <v>0.06</v>
      </c>
      <c r="G18" s="20"/>
      <c r="H18" s="20"/>
      <c r="I18" s="20"/>
      <c r="J18" s="20"/>
      <c r="K18" s="20"/>
      <c r="L18" s="20"/>
      <c r="M18" s="20"/>
      <c r="N18" s="20"/>
      <c r="O18" s="20"/>
      <c r="P18" s="33"/>
      <c r="Q18" s="37"/>
    </row>
    <row r="19" ht="24" spans="1:17">
      <c r="A19" s="23">
        <v>2080112</v>
      </c>
      <c r="B19" s="24" t="s">
        <v>33</v>
      </c>
      <c r="C19" s="20">
        <f t="shared" si="0"/>
        <v>0.09</v>
      </c>
      <c r="D19" s="25">
        <v>0.09</v>
      </c>
      <c r="E19" s="22">
        <f t="shared" si="1"/>
        <v>0.09</v>
      </c>
      <c r="F19" s="22">
        <f t="shared" si="3"/>
        <v>0.09</v>
      </c>
      <c r="G19" s="20"/>
      <c r="H19" s="20"/>
      <c r="I19" s="20"/>
      <c r="J19" s="20"/>
      <c r="K19" s="20"/>
      <c r="L19" s="20"/>
      <c r="M19" s="20"/>
      <c r="N19" s="20"/>
      <c r="O19" s="20"/>
      <c r="P19" s="33"/>
      <c r="Q19" s="37"/>
    </row>
    <row r="20" ht="24" spans="1:17">
      <c r="A20" s="23">
        <v>2080112</v>
      </c>
      <c r="B20" s="24" t="s">
        <v>34</v>
      </c>
      <c r="C20" s="20">
        <v>14.38</v>
      </c>
      <c r="D20" s="25">
        <v>14.38</v>
      </c>
      <c r="E20" s="22">
        <v>14.38</v>
      </c>
      <c r="F20" s="22">
        <f t="shared" si="3"/>
        <v>14.38</v>
      </c>
      <c r="G20" s="20"/>
      <c r="H20" s="20"/>
      <c r="I20" s="20"/>
      <c r="J20" s="20"/>
      <c r="K20" s="20"/>
      <c r="L20" s="20"/>
      <c r="M20" s="20"/>
      <c r="N20" s="20"/>
      <c r="O20" s="20"/>
      <c r="P20" s="33"/>
      <c r="Q20" s="37"/>
    </row>
    <row r="21" ht="24" spans="1:17">
      <c r="A21" s="23">
        <v>2210201</v>
      </c>
      <c r="B21" s="24" t="s">
        <v>35</v>
      </c>
      <c r="C21" s="20">
        <v>2.54</v>
      </c>
      <c r="D21" s="25">
        <v>2.54</v>
      </c>
      <c r="E21" s="22">
        <v>2.54</v>
      </c>
      <c r="F21" s="22">
        <f t="shared" si="3"/>
        <v>2.54</v>
      </c>
      <c r="G21" s="20"/>
      <c r="H21" s="20"/>
      <c r="I21" s="20"/>
      <c r="J21" s="20"/>
      <c r="K21" s="20"/>
      <c r="L21" s="20"/>
      <c r="M21" s="20"/>
      <c r="N21" s="20"/>
      <c r="O21" s="20"/>
      <c r="P21" s="33"/>
      <c r="Q21" s="37"/>
    </row>
    <row r="22" ht="24" spans="1:17">
      <c r="A22" s="23">
        <v>2210202</v>
      </c>
      <c r="B22" s="24" t="s">
        <v>36</v>
      </c>
      <c r="C22" s="20">
        <v>0.7</v>
      </c>
      <c r="D22" s="25">
        <v>0.7</v>
      </c>
      <c r="E22" s="22">
        <v>0.7</v>
      </c>
      <c r="F22" s="22">
        <f t="shared" si="3"/>
        <v>0.7</v>
      </c>
      <c r="G22" s="20"/>
      <c r="H22" s="20"/>
      <c r="I22" s="20"/>
      <c r="J22" s="20"/>
      <c r="K22" s="20"/>
      <c r="L22" s="20"/>
      <c r="M22" s="20"/>
      <c r="N22" s="20"/>
      <c r="O22" s="20"/>
      <c r="P22" s="33"/>
      <c r="Q22" s="37"/>
    </row>
    <row r="23" spans="6:6">
      <c r="F23" s="26">
        <f>E23</f>
        <v>0</v>
      </c>
    </row>
    <row r="24" spans="6:6">
      <c r="F24" s="27"/>
    </row>
    <row r="25" spans="6:6">
      <c r="F25" s="27"/>
    </row>
    <row r="26" spans="6:6">
      <c r="F26" s="27"/>
    </row>
    <row r="27" spans="6:6">
      <c r="F27" s="27"/>
    </row>
    <row r="28" spans="6:6">
      <c r="F28" s="27"/>
    </row>
    <row r="29" spans="6:6">
      <c r="F29" s="27"/>
    </row>
    <row r="30" spans="6:6">
      <c r="F30" s="27"/>
    </row>
    <row r="31" spans="6:6">
      <c r="F31" s="27"/>
    </row>
    <row r="32" spans="6:6">
      <c r="F32" s="27"/>
    </row>
    <row r="33" spans="6:6">
      <c r="F33" s="27"/>
    </row>
    <row r="34" spans="6:6">
      <c r="F34" s="27"/>
    </row>
    <row r="35" spans="6:6">
      <c r="F35" s="27"/>
    </row>
    <row r="36" spans="6:6">
      <c r="F36" s="27"/>
    </row>
    <row r="37" spans="6:6">
      <c r="F37" s="27"/>
    </row>
    <row r="38" spans="6:6">
      <c r="F38" s="27"/>
    </row>
    <row r="39" spans="6:6">
      <c r="F39" s="27"/>
    </row>
    <row r="40" spans="6:6">
      <c r="F40" s="27"/>
    </row>
    <row r="41" spans="6:6">
      <c r="F41" s="27"/>
    </row>
    <row r="42" spans="6:6">
      <c r="F42" s="27"/>
    </row>
    <row r="43" spans="6:6">
      <c r="F43" s="27"/>
    </row>
    <row r="44" spans="6:6">
      <c r="F44" s="27"/>
    </row>
    <row r="45" spans="6:6">
      <c r="F45" s="27"/>
    </row>
    <row r="46" spans="6:6">
      <c r="F46" s="27"/>
    </row>
    <row r="47" spans="6:6">
      <c r="F47" s="27"/>
    </row>
    <row r="48" spans="6:6">
      <c r="F48" s="27"/>
    </row>
    <row r="49" spans="6:6">
      <c r="F49" s="27"/>
    </row>
    <row r="50" spans="6:6">
      <c r="F50" s="27"/>
    </row>
    <row r="51" spans="6:6">
      <c r="F51" s="27"/>
    </row>
    <row r="52" spans="6:6">
      <c r="F52" s="27"/>
    </row>
    <row r="53" spans="6:6">
      <c r="F53" s="27"/>
    </row>
    <row r="54" spans="6:6">
      <c r="F54" s="27"/>
    </row>
    <row r="55" spans="6:6">
      <c r="F55" s="28"/>
    </row>
    <row r="56" spans="6:6">
      <c r="F56" s="28"/>
    </row>
    <row r="57" spans="6:6">
      <c r="F57" s="28"/>
    </row>
    <row r="58" spans="6:6">
      <c r="F58" s="28"/>
    </row>
    <row r="59" spans="6:6">
      <c r="F59" s="28"/>
    </row>
    <row r="60" spans="6:6">
      <c r="F60" s="28"/>
    </row>
    <row r="61" spans="6:6">
      <c r="F61" s="28"/>
    </row>
    <row r="62" spans="6:6">
      <c r="F62" s="28"/>
    </row>
    <row r="63" spans="6:6">
      <c r="F63" s="28"/>
    </row>
    <row r="64" spans="6:6">
      <c r="F64" s="28">
        <f t="shared" ref="F48:F79" si="4">E64</f>
        <v>0</v>
      </c>
    </row>
    <row r="65" spans="6:6">
      <c r="F65" s="28">
        <f t="shared" si="4"/>
        <v>0</v>
      </c>
    </row>
    <row r="66" spans="6:6">
      <c r="F66" s="28">
        <f t="shared" si="4"/>
        <v>0</v>
      </c>
    </row>
    <row r="67" spans="6:6">
      <c r="F67" s="28">
        <f t="shared" si="4"/>
        <v>0</v>
      </c>
    </row>
    <row r="68" spans="6:6">
      <c r="F68" s="28">
        <f t="shared" si="4"/>
        <v>0</v>
      </c>
    </row>
    <row r="69" spans="6:6">
      <c r="F69" s="28">
        <f t="shared" si="4"/>
        <v>0</v>
      </c>
    </row>
    <row r="70" spans="6:6">
      <c r="F70" s="28">
        <f t="shared" si="4"/>
        <v>0</v>
      </c>
    </row>
    <row r="71" spans="6:6">
      <c r="F71" s="28">
        <f t="shared" si="4"/>
        <v>0</v>
      </c>
    </row>
    <row r="72" spans="6:6">
      <c r="F72" s="28">
        <f t="shared" si="4"/>
        <v>0</v>
      </c>
    </row>
    <row r="73" spans="6:6">
      <c r="F73" s="28">
        <f t="shared" si="4"/>
        <v>0</v>
      </c>
    </row>
    <row r="74" spans="6:6">
      <c r="F74" s="28">
        <f t="shared" si="4"/>
        <v>0</v>
      </c>
    </row>
    <row r="75" spans="6:6">
      <c r="F75" s="28">
        <f t="shared" si="4"/>
        <v>0</v>
      </c>
    </row>
    <row r="76" spans="6:6">
      <c r="F76" s="28">
        <f t="shared" si="4"/>
        <v>0</v>
      </c>
    </row>
    <row r="77" spans="6:6">
      <c r="F77" s="28">
        <f t="shared" si="4"/>
        <v>0</v>
      </c>
    </row>
    <row r="78" spans="6:6">
      <c r="F78" s="28">
        <f t="shared" si="4"/>
        <v>0</v>
      </c>
    </row>
    <row r="79" spans="6:6">
      <c r="F79" s="28">
        <f t="shared" si="4"/>
        <v>0</v>
      </c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ageMargins left="0.888888888888889" right="0.393055555555556" top="0.786805555555556" bottom="0.590277777777778" header="0.511805555555556" footer="0.393055555555556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2017-02-09T08:02:25Z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