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95" windowHeight="10350"/>
  </bookViews>
  <sheets>
    <sheet name="收入预算表" sheetId="7" r:id="rId1"/>
  </sheets>
  <calcPr calcId="144525"/>
</workbook>
</file>

<file path=xl/sharedStrings.xml><?xml version="1.0" encoding="utf-8"?>
<sst xmlns="http://schemas.openxmlformats.org/spreadsheetml/2006/main" count="34">
  <si>
    <t>2017年收入预算总表</t>
  </si>
  <si>
    <t>单位：万元</t>
  </si>
  <si>
    <t>科目编码</t>
  </si>
  <si>
    <t>科目名称</t>
  </si>
  <si>
    <t>总计</t>
  </si>
  <si>
    <t>一般公共财政预算拨款</t>
  </si>
  <si>
    <t>基金预算财政拨款</t>
  </si>
  <si>
    <t>财政代管资金拨款</t>
  </si>
  <si>
    <t>财政专户拨款</t>
  </si>
  <si>
    <t>单位结余结转资金</t>
  </si>
  <si>
    <t>单位其他收入</t>
  </si>
  <si>
    <t>小计</t>
  </si>
  <si>
    <t>区级一般公共财政预算拨款</t>
  </si>
  <si>
    <t>省级政府性基金列入一般公共预算</t>
  </si>
  <si>
    <t>成品油价格和税费改革税收返还</t>
  </si>
  <si>
    <t>上级财政转移支付补助</t>
  </si>
  <si>
    <t>区级基金预算拨款</t>
  </si>
  <si>
    <t>中央财政转移支付补助（基金）</t>
  </si>
  <si>
    <t>**</t>
  </si>
  <si>
    <t>平潭综合实验区劳动人事争议仲裁院</t>
  </si>
  <si>
    <t>在职人员基础性绩效工资</t>
  </si>
  <si>
    <t>在职人员基本工资</t>
  </si>
  <si>
    <t>在职人员养老保险</t>
  </si>
  <si>
    <t>综合定额公用经费</t>
  </si>
  <si>
    <t>劳动争议仲裁工作经费</t>
  </si>
  <si>
    <t>仲裁办案补助经费</t>
  </si>
  <si>
    <t>在职人员奖励性绩效（事业单位一次性奖金）</t>
  </si>
  <si>
    <t>在职人员地方津补贴(含行业性津贴)</t>
  </si>
  <si>
    <t>在职人员医疗保险</t>
  </si>
  <si>
    <t>在职人员生育保险</t>
  </si>
  <si>
    <t>在职人员工伤保险</t>
  </si>
  <si>
    <t>仲裁庭建设经费</t>
  </si>
  <si>
    <t xml:space="preserve">        住房公积金</t>
  </si>
  <si>
    <t xml:space="preserve">        提租补贴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</si>
</sst>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2"/>
      <name val="宋体"/>
      <charset val="134"/>
    </font>
    <font>
      <sz val="9"/>
      <name val="宋体"/>
      <charset val="134"/>
    </font>
    <font>
      <b/>
      <sz val="20"/>
      <name val="宋体"/>
      <charset val="134"/>
    </font>
    <font>
      <sz val="10"/>
      <color indexed="8"/>
      <name val="宋体"/>
      <charset val="134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sz val="11"/>
      <color indexed="62"/>
      <name val="宋体"/>
      <charset val="134"/>
    </font>
    <font>
      <sz val="11"/>
      <color indexed="9"/>
      <name val="宋体"/>
      <charset val="134"/>
    </font>
    <font>
      <sz val="11"/>
      <color indexed="60"/>
      <name val="宋体"/>
      <charset val="134"/>
    </font>
    <font>
      <u/>
      <sz val="11"/>
      <color rgb="FF0000FF"/>
      <name val="宋体"/>
      <charset val="0"/>
      <scheme val="minor"/>
    </font>
    <font>
      <b/>
      <sz val="11"/>
      <color indexed="56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indexed="52"/>
      <name val="宋体"/>
      <charset val="134"/>
    </font>
    <font>
      <b/>
      <sz val="11"/>
      <color indexed="63"/>
      <name val="宋体"/>
      <charset val="134"/>
    </font>
    <font>
      <sz val="11"/>
      <color indexed="10"/>
      <name val="宋体"/>
      <charset val="134"/>
    </font>
    <font>
      <b/>
      <sz val="11"/>
      <color indexed="52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9"/>
      <name val="宋体"/>
      <charset val="134"/>
    </font>
    <font>
      <b/>
      <sz val="11"/>
      <color indexed="8"/>
      <name val="宋体"/>
      <charset val="134"/>
    </font>
  </fonts>
  <fills count="24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1"/>
        <bgColor indexed="64"/>
      </patternFill>
    </fill>
  </fills>
  <borders count="1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7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8" fillId="7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8" borderId="4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" fillId="0" borderId="0"/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5" fillId="15" borderId="7" applyNumberFormat="0" applyAlignment="0" applyProtection="0">
      <alignment vertical="center"/>
    </xf>
    <xf numFmtId="0" fontId="17" fillId="15" borderId="5" applyNumberFormat="0" applyAlignment="0" applyProtection="0">
      <alignment vertical="center"/>
    </xf>
    <xf numFmtId="0" fontId="22" fillId="19" borderId="11" applyNumberForma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" fillId="0" borderId="0"/>
    <xf numFmtId="0" fontId="5" fillId="1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" fillId="0" borderId="0"/>
    <xf numFmtId="0" fontId="5" fillId="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</cellStyleXfs>
  <cellXfs count="29">
    <xf numFmtId="0" fontId="0" fillId="0" borderId="0" xfId="0">
      <alignment vertical="center"/>
    </xf>
    <xf numFmtId="0" fontId="1" fillId="0" borderId="0" xfId="43" applyFill="1">
      <alignment vertical="center"/>
    </xf>
    <xf numFmtId="0" fontId="1" fillId="0" borderId="0" xfId="43">
      <alignment vertical="center"/>
    </xf>
    <xf numFmtId="0" fontId="2" fillId="0" borderId="0" xfId="43" applyFont="1" applyAlignment="1">
      <alignment horizontal="center" vertical="center"/>
    </xf>
    <xf numFmtId="0" fontId="1" fillId="0" borderId="1" xfId="43" applyNumberFormat="1" applyBorder="1" applyAlignment="1">
      <alignment horizontal="center" vertical="center"/>
    </xf>
    <xf numFmtId="0" fontId="1" fillId="0" borderId="1" xfId="43" applyBorder="1" applyAlignment="1">
      <alignment horizontal="center" vertical="center"/>
    </xf>
    <xf numFmtId="0" fontId="1" fillId="0" borderId="1" xfId="43" applyBorder="1" applyAlignment="1">
      <alignment horizontal="centerContinuous" vertical="center" wrapText="1"/>
    </xf>
    <xf numFmtId="0" fontId="1" fillId="0" borderId="1" xfId="43" applyNumberFormat="1" applyFont="1" applyBorder="1" applyAlignment="1">
      <alignment horizontal="left" vertical="center" wrapText="1"/>
    </xf>
    <xf numFmtId="0" fontId="1" fillId="0" borderId="1" xfId="43" applyNumberFormat="1" applyBorder="1" applyAlignment="1">
      <alignment horizontal="left" vertical="center" wrapText="1"/>
    </xf>
    <xf numFmtId="0" fontId="1" fillId="0" borderId="1" xfId="43" applyNumberFormat="1" applyBorder="1" applyAlignment="1">
      <alignment horizontal="centerContinuous" vertical="center" wrapText="1"/>
    </xf>
    <xf numFmtId="0" fontId="1" fillId="0" borderId="1" xfId="43" applyNumberFormat="1" applyBorder="1" applyAlignment="1">
      <alignment horizontal="center" vertical="center" wrapText="1"/>
    </xf>
    <xf numFmtId="0" fontId="1" fillId="0" borderId="1" xfId="43" applyBorder="1">
      <alignment vertical="center"/>
    </xf>
    <xf numFmtId="4" fontId="1" fillId="0" borderId="1" xfId="43" applyNumberFormat="1" applyFill="1" applyBorder="1" applyAlignment="1">
      <alignment horizontal="center" vertical="center" wrapText="1"/>
    </xf>
    <xf numFmtId="4" fontId="1" fillId="0" borderId="1" xfId="43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4" fontId="1" fillId="0" borderId="1" xfId="0" applyNumberFormat="1" applyFont="1" applyFill="1" applyBorder="1" applyAlignment="1">
      <alignment horizontal="right" vertical="center" wrapText="1"/>
    </xf>
    <xf numFmtId="4" fontId="1" fillId="0" borderId="0" xfId="43" applyNumberFormat="1" applyFill="1" applyBorder="1" applyAlignment="1">
      <alignment horizontal="center" vertical="center" wrapText="1"/>
    </xf>
    <xf numFmtId="0" fontId="1" fillId="0" borderId="0" xfId="43" applyBorder="1">
      <alignment vertical="center"/>
    </xf>
    <xf numFmtId="0" fontId="1" fillId="0" borderId="0" xfId="43" applyAlignment="1">
      <alignment horizontal="right" vertical="center"/>
    </xf>
    <xf numFmtId="0" fontId="1" fillId="0" borderId="1" xfId="43" applyBorder="1" applyAlignment="1">
      <alignment horizontal="center" vertical="center" wrapText="1"/>
    </xf>
    <xf numFmtId="0" fontId="1" fillId="0" borderId="2" xfId="43" applyBorder="1" applyAlignment="1">
      <alignment horizontal="center" vertical="center" wrapText="1"/>
    </xf>
    <xf numFmtId="0" fontId="1" fillId="0" borderId="3" xfId="43" applyBorder="1" applyAlignment="1">
      <alignment horizontal="center" vertical="center" wrapText="1"/>
    </xf>
    <xf numFmtId="0" fontId="1" fillId="0" borderId="1" xfId="43" applyFont="1" applyBorder="1" applyAlignment="1">
      <alignment horizontal="centerContinuous" vertical="center" wrapText="1"/>
    </xf>
    <xf numFmtId="0" fontId="1" fillId="0" borderId="1" xfId="43" applyBorder="1" applyAlignment="1">
      <alignment vertical="center" wrapText="1"/>
    </xf>
    <xf numFmtId="4" fontId="1" fillId="0" borderId="2" xfId="43" applyNumberFormat="1" applyFill="1" applyBorder="1" applyAlignment="1">
      <alignment horizontal="center" vertical="center" wrapText="1"/>
    </xf>
    <xf numFmtId="4" fontId="1" fillId="0" borderId="3" xfId="43" applyNumberFormat="1" applyFill="1" applyBorder="1" applyAlignment="1">
      <alignment horizontal="center" vertical="center" wrapText="1"/>
    </xf>
    <xf numFmtId="0" fontId="1" fillId="0" borderId="2" xfId="43" applyBorder="1">
      <alignment vertical="center"/>
    </xf>
    <xf numFmtId="0" fontId="1" fillId="0" borderId="3" xfId="43" applyBorder="1">
      <alignment vertical="center"/>
    </xf>
  </cellXfs>
  <cellStyles count="57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常规 2 5" xfId="18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常规_06288AE0BF99009CE0530A34131A2B7F" xfId="43"/>
    <cellStyle name="40% - 强调文字颜色 4" xfId="44" builtinId="43"/>
    <cellStyle name="强调文字颜色 5" xfId="45" builtinId="45"/>
    <cellStyle name="常规 2 2" xfId="46"/>
    <cellStyle name="40% - 强调文字颜色 5" xfId="47" builtinId="47"/>
    <cellStyle name="60% - 强调文字颜色 5" xfId="48" builtinId="48"/>
    <cellStyle name="强调文字颜色 6" xfId="49" builtinId="49"/>
    <cellStyle name="常规 2 3" xfId="50"/>
    <cellStyle name="40% - 强调文字颜色 6" xfId="51" builtinId="51"/>
    <cellStyle name="60% - 强调文字颜色 6" xfId="52" builtinId="52"/>
    <cellStyle name="常规 2" xfId="53"/>
    <cellStyle name="常规 2 4" xfId="54"/>
    <cellStyle name="常规 2 6" xfId="55"/>
    <cellStyle name="常规 2 7" xfId="56"/>
  </cellStyles>
  <tableStyles count="0" defaultTableStyle="TableStyleMedium2"/>
  <colors>
    <mruColors>
      <color rgb="00FF0000"/>
    </mruColors>
  </color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O68"/>
  <sheetViews>
    <sheetView showGridLines="0" showZeros="0" tabSelected="1" workbookViewId="0">
      <selection activeCell="F8" sqref="F8"/>
    </sheetView>
  </sheetViews>
  <sheetFormatPr defaultColWidth="7" defaultRowHeight="11.25"/>
  <cols>
    <col min="1" max="1" width="8.625" style="2" customWidth="1"/>
    <col min="2" max="2" width="9.125" style="2" customWidth="1"/>
    <col min="3" max="4" width="13.375" style="2" customWidth="1"/>
    <col min="5" max="5" width="10.75" style="2" customWidth="1"/>
    <col min="6" max="7" width="13.375" style="2" customWidth="1"/>
    <col min="8" max="8" width="9.375" style="2" customWidth="1"/>
    <col min="9" max="9" width="9.875" style="2" customWidth="1"/>
    <col min="10" max="10" width="12" style="2" customWidth="1"/>
    <col min="11" max="11" width="10" style="2" customWidth="1"/>
    <col min="12" max="12" width="9.75" style="2" customWidth="1"/>
    <col min="13" max="13" width="7.625" style="2" customWidth="1"/>
    <col min="14" max="14" width="9.5" style="2" customWidth="1"/>
    <col min="15" max="15" width="13.375" style="2" customWidth="1"/>
    <col min="16" max="16384" width="7" style="2"/>
  </cols>
  <sheetData>
    <row r="1" ht="23.25" customHeight="1"/>
    <row r="2" ht="54" customHeight="1" spans="1:15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ht="17.25" customHeight="1" spans="15:15">
      <c r="O3" s="19" t="s">
        <v>1</v>
      </c>
    </row>
    <row r="4" ht="28.5" customHeight="1" spans="1:15">
      <c r="A4" s="4" t="s">
        <v>2</v>
      </c>
      <c r="B4" s="4" t="s">
        <v>3</v>
      </c>
      <c r="C4" s="5" t="s">
        <v>4</v>
      </c>
      <c r="D4" s="6" t="s">
        <v>5</v>
      </c>
      <c r="E4" s="6"/>
      <c r="F4" s="6"/>
      <c r="G4" s="6"/>
      <c r="H4" s="6"/>
      <c r="I4" s="6" t="s">
        <v>6</v>
      </c>
      <c r="J4" s="6"/>
      <c r="K4" s="6"/>
      <c r="L4" s="20" t="s">
        <v>7</v>
      </c>
      <c r="M4" s="20" t="s">
        <v>8</v>
      </c>
      <c r="N4" s="21" t="s">
        <v>9</v>
      </c>
      <c r="O4" s="22" t="s">
        <v>10</v>
      </c>
    </row>
    <row r="5" ht="30" customHeight="1" spans="1:15">
      <c r="A5" s="4"/>
      <c r="B5" s="4"/>
      <c r="C5" s="5"/>
      <c r="D5" s="6" t="s">
        <v>11</v>
      </c>
      <c r="E5" s="7" t="s">
        <v>12</v>
      </c>
      <c r="F5" s="8" t="s">
        <v>13</v>
      </c>
      <c r="G5" s="9" t="s">
        <v>14</v>
      </c>
      <c r="H5" s="6" t="s">
        <v>15</v>
      </c>
      <c r="I5" s="6" t="s">
        <v>11</v>
      </c>
      <c r="J5" s="23" t="s">
        <v>16</v>
      </c>
      <c r="K5" s="24" t="s">
        <v>17</v>
      </c>
      <c r="L5" s="20"/>
      <c r="M5" s="20"/>
      <c r="N5" s="21"/>
      <c r="O5" s="22"/>
    </row>
    <row r="6" ht="15" customHeight="1" spans="1:15">
      <c r="A6" s="4" t="s">
        <v>18</v>
      </c>
      <c r="B6" s="4" t="s">
        <v>18</v>
      </c>
      <c r="C6" s="5">
        <v>1</v>
      </c>
      <c r="D6" s="5">
        <v>2</v>
      </c>
      <c r="E6" s="5">
        <v>3</v>
      </c>
      <c r="F6" s="5">
        <v>4</v>
      </c>
      <c r="G6" s="5">
        <v>5</v>
      </c>
      <c r="H6" s="5">
        <v>6</v>
      </c>
      <c r="I6" s="5">
        <v>7</v>
      </c>
      <c r="J6" s="5">
        <v>8</v>
      </c>
      <c r="K6" s="5">
        <v>9</v>
      </c>
      <c r="L6" s="5">
        <v>10</v>
      </c>
      <c r="M6" s="5">
        <v>11</v>
      </c>
      <c r="N6" s="5">
        <v>12</v>
      </c>
      <c r="O6" s="5">
        <v>13</v>
      </c>
    </row>
    <row r="7" s="1" customFormat="1" ht="43" customHeight="1" spans="1:15">
      <c r="A7" s="4">
        <v>701109</v>
      </c>
      <c r="B7" s="10" t="s">
        <v>19</v>
      </c>
      <c r="C7" s="11">
        <f>D7+I7+L7+M7+N7+O7</f>
        <v>59.85</v>
      </c>
      <c r="D7" s="12">
        <v>59.85</v>
      </c>
      <c r="E7" s="13">
        <f>D7</f>
        <v>59.85</v>
      </c>
      <c r="F7" s="12"/>
      <c r="G7" s="12"/>
      <c r="H7" s="12">
        <v>0</v>
      </c>
      <c r="I7" s="12"/>
      <c r="J7" s="12"/>
      <c r="K7" s="12">
        <v>0</v>
      </c>
      <c r="L7" s="12">
        <v>0</v>
      </c>
      <c r="M7" s="12">
        <v>0</v>
      </c>
      <c r="N7" s="25">
        <v>0</v>
      </c>
      <c r="O7" s="26">
        <v>0</v>
      </c>
    </row>
    <row r="8" ht="36" spans="1:15">
      <c r="A8" s="14">
        <v>2080112</v>
      </c>
      <c r="B8" s="15" t="s">
        <v>20</v>
      </c>
      <c r="C8" s="11">
        <f>D8+I8+L8+M8+N8+O8</f>
        <v>3.32</v>
      </c>
      <c r="D8" s="16">
        <v>3.32</v>
      </c>
      <c r="E8" s="13">
        <f t="shared" ref="E8:E14" si="0">D8</f>
        <v>3.32</v>
      </c>
      <c r="F8" s="16"/>
      <c r="G8" s="16"/>
      <c r="H8" s="11"/>
      <c r="I8" s="11"/>
      <c r="J8" s="11"/>
      <c r="K8" s="11"/>
      <c r="L8" s="11"/>
      <c r="M8" s="11"/>
      <c r="N8" s="27"/>
      <c r="O8" s="28"/>
    </row>
    <row r="9" ht="24" spans="1:15">
      <c r="A9" s="14">
        <v>2080112</v>
      </c>
      <c r="B9" s="15" t="s">
        <v>21</v>
      </c>
      <c r="C9" s="11">
        <f>D9+I9+L9+M9+N9+O9</f>
        <v>6.41</v>
      </c>
      <c r="D9" s="16">
        <v>6.41</v>
      </c>
      <c r="E9" s="13">
        <f t="shared" si="0"/>
        <v>6.41</v>
      </c>
      <c r="F9" s="16"/>
      <c r="G9" s="16"/>
      <c r="H9" s="11"/>
      <c r="I9" s="11"/>
      <c r="J9" s="11"/>
      <c r="K9" s="11"/>
      <c r="L9" s="11"/>
      <c r="M9" s="11"/>
      <c r="N9" s="27"/>
      <c r="O9" s="28"/>
    </row>
    <row r="10" ht="24" spans="1:15">
      <c r="A10" s="14">
        <v>2080112</v>
      </c>
      <c r="B10" s="15" t="s">
        <v>22</v>
      </c>
      <c r="C10" s="11">
        <f>D10+I10+L10+M10+N10+O10</f>
        <v>3.57</v>
      </c>
      <c r="D10" s="16">
        <v>3.57</v>
      </c>
      <c r="E10" s="13">
        <f t="shared" si="0"/>
        <v>3.57</v>
      </c>
      <c r="F10" s="16"/>
      <c r="G10" s="16"/>
      <c r="H10" s="11"/>
      <c r="I10" s="11"/>
      <c r="J10" s="11"/>
      <c r="K10" s="11"/>
      <c r="L10" s="11"/>
      <c r="M10" s="11"/>
      <c r="N10" s="27"/>
      <c r="O10" s="28"/>
    </row>
    <row r="11" ht="24" spans="1:15">
      <c r="A11" s="14">
        <v>2080112</v>
      </c>
      <c r="B11" s="15" t="s">
        <v>23</v>
      </c>
      <c r="C11" s="11">
        <f>D11+I11+L11+M11+N11+O11</f>
        <v>1.65</v>
      </c>
      <c r="D11" s="16">
        <v>1.65</v>
      </c>
      <c r="E11" s="13">
        <f t="shared" si="0"/>
        <v>1.65</v>
      </c>
      <c r="F11" s="16"/>
      <c r="G11" s="16"/>
      <c r="H11" s="11"/>
      <c r="I11" s="11"/>
      <c r="J11" s="11"/>
      <c r="K11" s="11"/>
      <c r="L11" s="11"/>
      <c r="M11" s="11"/>
      <c r="N11" s="27"/>
      <c r="O11" s="28"/>
    </row>
    <row r="12" ht="24" spans="1:15">
      <c r="A12" s="14">
        <v>2080112</v>
      </c>
      <c r="B12" s="15" t="s">
        <v>24</v>
      </c>
      <c r="C12" s="11">
        <f>D12+I12+L12+M12+N12+O12</f>
        <v>10</v>
      </c>
      <c r="D12" s="16">
        <v>10</v>
      </c>
      <c r="E12" s="13">
        <f t="shared" si="0"/>
        <v>10</v>
      </c>
      <c r="F12" s="16"/>
      <c r="G12" s="16"/>
      <c r="H12" s="11"/>
      <c r="I12" s="11"/>
      <c r="J12" s="11"/>
      <c r="K12" s="11"/>
      <c r="L12" s="11"/>
      <c r="M12" s="11"/>
      <c r="N12" s="27"/>
      <c r="O12" s="28"/>
    </row>
    <row r="13" ht="24" spans="1:15">
      <c r="A13" s="14">
        <v>2080112</v>
      </c>
      <c r="B13" s="15" t="s">
        <v>25</v>
      </c>
      <c r="C13" s="11">
        <f>D13+I13+L13+M13+N13+O13</f>
        <v>5</v>
      </c>
      <c r="D13" s="16">
        <v>5</v>
      </c>
      <c r="E13" s="13">
        <f t="shared" si="0"/>
        <v>5</v>
      </c>
      <c r="F13" s="16"/>
      <c r="G13" s="16"/>
      <c r="H13" s="11"/>
      <c r="I13" s="11"/>
      <c r="J13" s="11"/>
      <c r="K13" s="11"/>
      <c r="L13" s="11"/>
      <c r="M13" s="11"/>
      <c r="N13" s="27"/>
      <c r="O13" s="28"/>
    </row>
    <row r="14" ht="60" spans="1:15">
      <c r="A14" s="14">
        <v>2080112</v>
      </c>
      <c r="B14" s="15" t="s">
        <v>26</v>
      </c>
      <c r="C14" s="11">
        <f>D14+I14+L14+M14+N14+O14</f>
        <v>3.27</v>
      </c>
      <c r="D14" s="16">
        <v>3.27</v>
      </c>
      <c r="E14" s="13">
        <f t="shared" si="0"/>
        <v>3.27</v>
      </c>
      <c r="F14" s="16"/>
      <c r="G14" s="16"/>
      <c r="H14" s="11"/>
      <c r="I14" s="11"/>
      <c r="J14" s="11"/>
      <c r="K14" s="11"/>
      <c r="L14" s="11"/>
      <c r="M14" s="11"/>
      <c r="N14" s="27"/>
      <c r="O14" s="28"/>
    </row>
    <row r="15" ht="48" spans="1:15">
      <c r="A15" s="14">
        <v>2080112</v>
      </c>
      <c r="B15" s="15" t="s">
        <v>27</v>
      </c>
      <c r="C15" s="11">
        <f>D15+I15+L15+M15+N15+O15</f>
        <v>7.43</v>
      </c>
      <c r="D15" s="16">
        <v>7.43</v>
      </c>
      <c r="E15" s="13">
        <f>D15</f>
        <v>7.43</v>
      </c>
      <c r="F15" s="16"/>
      <c r="G15" s="16"/>
      <c r="H15" s="11"/>
      <c r="I15" s="11"/>
      <c r="J15" s="11"/>
      <c r="K15" s="11"/>
      <c r="L15" s="11"/>
      <c r="M15" s="11"/>
      <c r="N15" s="27"/>
      <c r="O15" s="28"/>
    </row>
    <row r="16" ht="24" spans="1:15">
      <c r="A16" s="14">
        <v>2080112</v>
      </c>
      <c r="B16" s="15" t="s">
        <v>28</v>
      </c>
      <c r="C16" s="11">
        <f>D16+I16+L16+M16+N16+O16</f>
        <v>1.43</v>
      </c>
      <c r="D16" s="16">
        <v>1.43</v>
      </c>
      <c r="E16" s="13">
        <f>D16</f>
        <v>1.43</v>
      </c>
      <c r="F16" s="16"/>
      <c r="G16" s="16"/>
      <c r="H16" s="11"/>
      <c r="I16" s="11"/>
      <c r="J16" s="11"/>
      <c r="K16" s="11"/>
      <c r="L16" s="11"/>
      <c r="M16" s="11"/>
      <c r="N16" s="27"/>
      <c r="O16" s="28"/>
    </row>
    <row r="17" ht="24" spans="1:15">
      <c r="A17" s="14">
        <v>2080112</v>
      </c>
      <c r="B17" s="15" t="s">
        <v>29</v>
      </c>
      <c r="C17" s="11">
        <f>D17+I17+L17+M17+N17+O17</f>
        <v>0.06</v>
      </c>
      <c r="D17" s="16">
        <v>0.06</v>
      </c>
      <c r="E17" s="13">
        <f>D17</f>
        <v>0.06</v>
      </c>
      <c r="F17" s="16"/>
      <c r="G17" s="16"/>
      <c r="H17" s="11"/>
      <c r="I17" s="11"/>
      <c r="J17" s="11"/>
      <c r="K17" s="11"/>
      <c r="L17" s="11"/>
      <c r="M17" s="11"/>
      <c r="N17" s="27"/>
      <c r="O17" s="28"/>
    </row>
    <row r="18" ht="24" spans="1:15">
      <c r="A18" s="14">
        <v>2080112</v>
      </c>
      <c r="B18" s="15" t="s">
        <v>30</v>
      </c>
      <c r="C18" s="11">
        <f>D18+I18+L18+M18+N18+O18</f>
        <v>0.09</v>
      </c>
      <c r="D18" s="16">
        <v>0.09</v>
      </c>
      <c r="E18" s="13">
        <f>D18</f>
        <v>0.09</v>
      </c>
      <c r="F18" s="16"/>
      <c r="G18" s="16"/>
      <c r="H18" s="11"/>
      <c r="I18" s="11"/>
      <c r="J18" s="11"/>
      <c r="K18" s="11"/>
      <c r="L18" s="11"/>
      <c r="M18" s="11"/>
      <c r="N18" s="27"/>
      <c r="O18" s="28"/>
    </row>
    <row r="19" ht="24" spans="1:15">
      <c r="A19" s="14">
        <v>2080112</v>
      </c>
      <c r="B19" s="15" t="s">
        <v>31</v>
      </c>
      <c r="C19" s="11">
        <v>14.38</v>
      </c>
      <c r="D19" s="16">
        <v>14.38</v>
      </c>
      <c r="E19" s="13">
        <v>14.38</v>
      </c>
      <c r="F19" s="16"/>
      <c r="G19" s="16"/>
      <c r="H19" s="11"/>
      <c r="I19" s="11"/>
      <c r="J19" s="11"/>
      <c r="K19" s="11"/>
      <c r="L19" s="11"/>
      <c r="M19" s="11"/>
      <c r="N19" s="27"/>
      <c r="O19" s="28"/>
    </row>
    <row r="20" ht="24" spans="1:15">
      <c r="A20" s="14">
        <v>2210201</v>
      </c>
      <c r="B20" s="15" t="s">
        <v>32</v>
      </c>
      <c r="C20" s="11">
        <v>2.54</v>
      </c>
      <c r="D20" s="16">
        <v>2.54</v>
      </c>
      <c r="E20" s="13">
        <v>2.54</v>
      </c>
      <c r="F20" s="16"/>
      <c r="G20" s="16"/>
      <c r="H20" s="11"/>
      <c r="I20" s="11"/>
      <c r="J20" s="11"/>
      <c r="K20" s="11"/>
      <c r="L20" s="11"/>
      <c r="M20" s="11"/>
      <c r="N20" s="27"/>
      <c r="O20" s="28"/>
    </row>
    <row r="21" ht="24" spans="1:15">
      <c r="A21" s="14">
        <v>2210202</v>
      </c>
      <c r="B21" s="15" t="s">
        <v>33</v>
      </c>
      <c r="C21" s="11">
        <v>0.7</v>
      </c>
      <c r="D21" s="16">
        <v>0.7</v>
      </c>
      <c r="E21" s="13">
        <v>0.7</v>
      </c>
      <c r="F21" s="16"/>
      <c r="G21" s="16"/>
      <c r="H21" s="11"/>
      <c r="I21" s="11"/>
      <c r="J21" s="11"/>
      <c r="K21" s="11"/>
      <c r="L21" s="11"/>
      <c r="M21" s="11"/>
      <c r="N21" s="27"/>
      <c r="O21" s="28"/>
    </row>
    <row r="22" spans="5:5">
      <c r="E22" s="17">
        <f t="shared" ref="E22:E39" si="1">D22</f>
        <v>0</v>
      </c>
    </row>
    <row r="23" spans="5:5">
      <c r="E23" s="17">
        <f t="shared" si="1"/>
        <v>0</v>
      </c>
    </row>
    <row r="24" spans="5:5">
      <c r="E24" s="17">
        <f t="shared" si="1"/>
        <v>0</v>
      </c>
    </row>
    <row r="25" spans="5:5">
      <c r="E25" s="17">
        <f t="shared" si="1"/>
        <v>0</v>
      </c>
    </row>
    <row r="26" spans="5:5">
      <c r="E26" s="17">
        <f t="shared" si="1"/>
        <v>0</v>
      </c>
    </row>
    <row r="27" spans="5:5">
      <c r="E27" s="17">
        <f t="shared" si="1"/>
        <v>0</v>
      </c>
    </row>
    <row r="28" spans="5:5">
      <c r="E28" s="17">
        <f t="shared" si="1"/>
        <v>0</v>
      </c>
    </row>
    <row r="29" spans="5:5">
      <c r="E29" s="17">
        <f t="shared" si="1"/>
        <v>0</v>
      </c>
    </row>
    <row r="30" spans="5:5">
      <c r="E30" s="17">
        <f t="shared" si="1"/>
        <v>0</v>
      </c>
    </row>
    <row r="31" spans="5:5">
      <c r="E31" s="17">
        <f t="shared" si="1"/>
        <v>0</v>
      </c>
    </row>
    <row r="32" spans="5:5">
      <c r="E32" s="17">
        <f t="shared" si="1"/>
        <v>0</v>
      </c>
    </row>
    <row r="33" spans="5:5">
      <c r="E33" s="17">
        <f t="shared" si="1"/>
        <v>0</v>
      </c>
    </row>
    <row r="34" spans="5:5">
      <c r="E34" s="17">
        <f t="shared" si="1"/>
        <v>0</v>
      </c>
    </row>
    <row r="35" spans="5:5">
      <c r="E35" s="17">
        <f t="shared" si="1"/>
        <v>0</v>
      </c>
    </row>
    <row r="36" spans="5:5">
      <c r="E36" s="17">
        <f t="shared" si="1"/>
        <v>0</v>
      </c>
    </row>
    <row r="37" spans="5:5">
      <c r="E37" s="17">
        <f t="shared" si="1"/>
        <v>0</v>
      </c>
    </row>
    <row r="38" spans="5:5">
      <c r="E38" s="17">
        <f t="shared" si="1"/>
        <v>0</v>
      </c>
    </row>
    <row r="39" spans="5:5">
      <c r="E39" s="17">
        <f t="shared" si="1"/>
        <v>0</v>
      </c>
    </row>
    <row r="40" spans="5:5">
      <c r="E40" s="17">
        <f t="shared" ref="E40:E55" si="2">D40</f>
        <v>0</v>
      </c>
    </row>
    <row r="41" spans="5:5">
      <c r="E41" s="17">
        <f t="shared" si="2"/>
        <v>0</v>
      </c>
    </row>
    <row r="42" spans="5:5">
      <c r="E42" s="17">
        <f t="shared" si="2"/>
        <v>0</v>
      </c>
    </row>
    <row r="43" spans="5:5">
      <c r="E43" s="17">
        <f t="shared" si="2"/>
        <v>0</v>
      </c>
    </row>
    <row r="44" spans="5:5">
      <c r="E44" s="17">
        <f t="shared" si="2"/>
        <v>0</v>
      </c>
    </row>
    <row r="45" spans="5:5">
      <c r="E45" s="17">
        <f t="shared" si="2"/>
        <v>0</v>
      </c>
    </row>
    <row r="46" spans="5:5">
      <c r="E46" s="17">
        <f t="shared" si="2"/>
        <v>0</v>
      </c>
    </row>
    <row r="47" spans="5:5">
      <c r="E47" s="17">
        <f t="shared" si="2"/>
        <v>0</v>
      </c>
    </row>
    <row r="48" spans="5:5">
      <c r="E48" s="17">
        <f t="shared" si="2"/>
        <v>0</v>
      </c>
    </row>
    <row r="49" spans="5:5">
      <c r="E49" s="17">
        <f t="shared" si="2"/>
        <v>0</v>
      </c>
    </row>
    <row r="50" spans="5:5">
      <c r="E50" s="17">
        <f t="shared" si="2"/>
        <v>0</v>
      </c>
    </row>
    <row r="51" spans="5:5">
      <c r="E51" s="17">
        <f t="shared" si="2"/>
        <v>0</v>
      </c>
    </row>
    <row r="52" spans="5:5">
      <c r="E52" s="17">
        <f t="shared" si="2"/>
        <v>0</v>
      </c>
    </row>
    <row r="53" spans="5:5">
      <c r="E53" s="17">
        <f t="shared" si="2"/>
        <v>0</v>
      </c>
    </row>
    <row r="54" spans="5:5">
      <c r="E54" s="17">
        <f t="shared" si="2"/>
        <v>0</v>
      </c>
    </row>
    <row r="55" spans="5:5">
      <c r="E55" s="17">
        <f t="shared" si="2"/>
        <v>0</v>
      </c>
    </row>
    <row r="56" spans="5:5">
      <c r="E56" s="18"/>
    </row>
    <row r="57" spans="5:5">
      <c r="E57" s="18"/>
    </row>
    <row r="58" spans="5:5">
      <c r="E58" s="18"/>
    </row>
    <row r="59" spans="5:5">
      <c r="E59" s="18"/>
    </row>
    <row r="60" spans="5:5">
      <c r="E60" s="18"/>
    </row>
    <row r="61" spans="5:5">
      <c r="E61" s="18"/>
    </row>
    <row r="62" spans="5:5">
      <c r="E62" s="18"/>
    </row>
    <row r="63" spans="5:5">
      <c r="E63" s="18"/>
    </row>
    <row r="64" spans="5:5">
      <c r="E64" s="18"/>
    </row>
    <row r="65" spans="5:5">
      <c r="E65" s="18"/>
    </row>
    <row r="66" spans="5:5">
      <c r="E66" s="18"/>
    </row>
    <row r="67" spans="5:5">
      <c r="E67" s="18"/>
    </row>
    <row r="68" spans="5:5">
      <c r="E68" s="18"/>
    </row>
  </sheetData>
  <sheetProtection formatCells="0" formatColumns="0" formatRows="0"/>
  <mergeCells count="8">
    <mergeCell ref="A2:O2"/>
    <mergeCell ref="A4:A5"/>
    <mergeCell ref="B4:B5"/>
    <mergeCell ref="C4:C5"/>
    <mergeCell ref="L4:L5"/>
    <mergeCell ref="M4:M5"/>
    <mergeCell ref="N4:N5"/>
    <mergeCell ref="O4:O5"/>
  </mergeCells>
  <pageMargins left="0.888888888888889" right="0.393055555555556" top="0.786805555555556" bottom="0.590277777777778" header="0.511805555555556" footer="0.393055555555556"/>
  <pageSetup paperSize="9" orientation="landscape" horizontalDpi="300" verticalDpi="300"/>
  <headerFooter alignWithMargins="0"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WWW.TYGHOST.COM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收入预算表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Administrator</cp:lastModifiedBy>
  <dcterms:created xsi:type="dcterms:W3CDTF">2014-10-26T02:43:00Z</dcterms:created>
  <cp:lastPrinted>2016-02-17T01:45:00Z</cp:lastPrinted>
  <dcterms:modified xsi:type="dcterms:W3CDTF">2017-02-09T07:17:16Z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8128266</vt:i4>
  </property>
  <property fmtid="{D5CDD505-2E9C-101B-9397-08002B2CF9AE}" pid="3" name="KSOProductBuildVer">
    <vt:lpwstr>2052-10.1.0.6206</vt:lpwstr>
  </property>
</Properties>
</file>