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" windowWidth="15480" windowHeight="10125" tabRatio="953"/>
  </bookViews>
  <sheets>
    <sheet name="收支总表" sheetId="93" r:id="rId1"/>
  </sheets>
  <definedNames>
    <definedName name="_xlnm.Print_Area">#REF!</definedName>
    <definedName name="_xlnm.Print_Titles">#N/A</definedName>
  </definedNames>
  <calcPr calcId="114210"/>
  <fileRecoveryPr autoRecover="0"/>
</workbook>
</file>

<file path=xl/calcChain.xml><?xml version="1.0" encoding="utf-8"?>
<calcChain xmlns="http://schemas.openxmlformats.org/spreadsheetml/2006/main">
  <c r="B16" i="93"/>
  <c r="D10"/>
  <c r="D6"/>
  <c r="D16"/>
  <c r="F16"/>
</calcChain>
</file>

<file path=xl/sharedStrings.xml><?xml version="1.0" encoding="utf-8"?>
<sst xmlns="http://schemas.openxmlformats.org/spreadsheetml/2006/main" count="37" uniqueCount="32">
  <si>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</si>
  <si>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</si>
  <si>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</si>
  <si>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</si>
  <si>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一、公共财政预算拨款</t>
    <phoneticPr fontId="2" type="noConversion"/>
  </si>
  <si>
    <t>一、基本支出</t>
    <phoneticPr fontId="2" type="noConversion"/>
  </si>
  <si>
    <t>一、工资福利支出</t>
    <phoneticPr fontId="2" type="noConversion"/>
  </si>
  <si>
    <t>二、商品和服务支出</t>
    <phoneticPr fontId="2" type="noConversion"/>
  </si>
  <si>
    <t>三、对个人和家庭的补助</t>
    <phoneticPr fontId="2" type="noConversion"/>
  </si>
  <si>
    <t>四、对企事业单位的补贴</t>
    <phoneticPr fontId="2" type="noConversion"/>
  </si>
  <si>
    <t>二、项目支出</t>
    <phoneticPr fontId="2" type="noConversion"/>
  </si>
  <si>
    <t>五、转移支付</t>
    <phoneticPr fontId="2" type="noConversion"/>
  </si>
  <si>
    <t>本年收入合计</t>
    <phoneticPr fontId="2" type="noConversion"/>
  </si>
  <si>
    <t>本年支出合计</t>
    <phoneticPr fontId="2" type="noConversion"/>
  </si>
  <si>
    <t xml:space="preserve">    对个人和家庭的补助</t>
    <phoneticPr fontId="2" type="noConversion"/>
  </si>
  <si>
    <t xml:space="preserve">    公用支出</t>
    <phoneticPr fontId="2" type="noConversion"/>
  </si>
  <si>
    <t>六、债务利息支出</t>
    <phoneticPr fontId="2" type="noConversion"/>
  </si>
  <si>
    <t>七、基本建设支出</t>
    <phoneticPr fontId="2" type="noConversion"/>
  </si>
  <si>
    <t>八、其他资本性支出</t>
    <phoneticPr fontId="2" type="noConversion"/>
  </si>
  <si>
    <t>九、其他支出</t>
    <phoneticPr fontId="2" type="noConversion"/>
  </si>
  <si>
    <t>　　区级公共财政预算拨款　</t>
    <phoneticPr fontId="2" type="noConversion"/>
  </si>
  <si>
    <t>　　办案费补助返还</t>
    <phoneticPr fontId="2" type="noConversion"/>
  </si>
  <si>
    <t xml:space="preserve">    公共财政预算拨款补助</t>
    <phoneticPr fontId="2" type="noConversion"/>
  </si>
  <si>
    <t>　　行政事业性收费及专项收入</t>
    <phoneticPr fontId="2" type="noConversion"/>
  </si>
  <si>
    <t xml:space="preserve">    财政转移支付补助</t>
    <phoneticPr fontId="2" type="noConversion"/>
  </si>
  <si>
    <t xml:space="preserve">    人员支出</t>
    <phoneticPr fontId="2" type="noConversion"/>
  </si>
  <si>
    <t xml:space="preserve">    专项业务费</t>
    <phoneticPr fontId="2" type="noConversion"/>
  </si>
  <si>
    <t xml:space="preserve">    部门发展专项</t>
    <phoneticPr fontId="2" type="noConversion"/>
  </si>
  <si>
    <t xml:space="preserve">    社会发展专项</t>
    <phoneticPr fontId="2" type="noConversion"/>
  </si>
  <si>
    <t>单位：</t>
    <phoneticPr fontId="2" type="noConversion"/>
  </si>
  <si>
    <t>2017年预算</t>
    <phoneticPr fontId="2" type="noConversion"/>
  </si>
  <si>
    <t>2017年财政拨款收支总表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</si>
</sst>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);\(0.00\)"/>
  </numFmts>
  <fonts count="36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2"/>
      <color indexed="20"/>
      <name val="宋体"/>
      <charset val="134"/>
    </font>
    <font>
      <sz val="12"/>
      <color indexed="17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1"/>
      <color indexed="8"/>
      <name val="宋体"/>
      <charset val="134"/>
    </font>
    <font>
      <b/>
      <sz val="10"/>
      <name val="宋体"/>
      <charset val="134"/>
    </font>
    <font>
      <b/>
      <sz val="11"/>
      <name val="宋体"/>
      <charset val="134"/>
    </font>
    <font>
      <sz val="9"/>
      <color indexed="8"/>
      <name val="宋体"/>
      <charset val="134"/>
    </font>
    <font>
      <sz val="11"/>
      <color theme="1"/>
      <name val="宋体"/>
      <charset val="134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8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5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1" fillId="0" borderId="0"/>
    <xf numFmtId="0" fontId="30" fillId="0" borderId="0"/>
    <xf numFmtId="0" fontId="2" fillId="0" borderId="0">
      <alignment vertical="center"/>
    </xf>
    <xf numFmtId="0" fontId="29" fillId="0" borderId="0">
      <alignment vertical="center"/>
    </xf>
    <xf numFmtId="0" fontId="24" fillId="0" borderId="0">
      <alignment vertical="center"/>
    </xf>
    <xf numFmtId="0" fontId="3" fillId="0" borderId="0"/>
    <xf numFmtId="0" fontId="35" fillId="0" borderId="0"/>
    <xf numFmtId="0" fontId="35" fillId="0" borderId="0"/>
    <xf numFmtId="0" fontId="35" fillId="0" borderId="0"/>
    <xf numFmtId="0" fontId="31" fillId="0" borderId="0"/>
    <xf numFmtId="0" fontId="2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9" fillId="0" borderId="0">
      <alignment vertical="center"/>
    </xf>
    <xf numFmtId="0" fontId="25" fillId="0" borderId="0">
      <alignment vertical="center"/>
    </xf>
    <xf numFmtId="0" fontId="28" fillId="0" borderId="0"/>
    <xf numFmtId="0" fontId="30" fillId="0" borderId="0"/>
    <xf numFmtId="0" fontId="26" fillId="0" borderId="0">
      <alignment vertical="center"/>
    </xf>
    <xf numFmtId="0" fontId="1" fillId="0" borderId="0"/>
    <xf numFmtId="0" fontId="30" fillId="0" borderId="0"/>
    <xf numFmtId="0" fontId="2" fillId="0" borderId="0">
      <alignment vertical="center"/>
    </xf>
    <xf numFmtId="0" fontId="1" fillId="0" borderId="0"/>
    <xf numFmtId="0" fontId="30" fillId="0" borderId="0"/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" fillId="0" borderId="0"/>
    <xf numFmtId="0" fontId="10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" fillId="23" borderId="9" applyNumberFormat="0" applyFont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43" applyFill="1">
      <alignment vertical="center"/>
    </xf>
    <xf numFmtId="0" fontId="2" fillId="0" borderId="0" xfId="43">
      <alignment vertical="center"/>
    </xf>
    <xf numFmtId="0" fontId="2" fillId="0" borderId="0" xfId="43" applyFont="1" applyAlignment="1">
      <alignment horizontal="right" vertical="center"/>
    </xf>
    <xf numFmtId="0" fontId="20" fillId="0" borderId="0" xfId="43" applyFont="1" applyAlignment="1">
      <alignment horizontal="centerContinuous" vertical="center"/>
    </xf>
    <xf numFmtId="0" fontId="33" fillId="0" borderId="10" xfId="43" applyFont="1" applyBorder="1" applyAlignment="1">
      <alignment horizontal="centerContinuous" vertical="center"/>
    </xf>
    <xf numFmtId="0" fontId="33" fillId="0" borderId="10" xfId="43" applyFont="1" applyBorder="1" applyAlignment="1">
      <alignment horizontal="center" vertical="center"/>
    </xf>
    <xf numFmtId="49" fontId="2" fillId="0" borderId="0" xfId="43" applyNumberFormat="1" applyFont="1" applyFill="1">
      <alignment vertical="center"/>
    </xf>
    <xf numFmtId="0" fontId="2" fillId="0" borderId="0" xfId="43" applyFont="1" applyFill="1">
      <alignment vertical="center"/>
    </xf>
    <xf numFmtId="0" fontId="2" fillId="0" borderId="0" xfId="43" applyFont="1" applyFill="1" applyAlignment="1">
      <alignment horizontal="right" vertical="center"/>
    </xf>
    <xf numFmtId="0" fontId="32" fillId="0" borderId="10" xfId="43" applyFont="1" applyFill="1" applyBorder="1">
      <alignment vertical="center"/>
    </xf>
    <xf numFmtId="4" fontId="21" fillId="0" borderId="10" xfId="43" applyNumberFormat="1" applyFont="1" applyFill="1" applyBorder="1" applyAlignment="1">
      <alignment horizontal="right" vertical="center" wrapText="1"/>
    </xf>
    <xf numFmtId="0" fontId="21" fillId="0" borderId="10" xfId="43" applyFont="1" applyFill="1" applyBorder="1" applyAlignment="1">
      <alignment horizontal="left" vertical="center"/>
    </xf>
    <xf numFmtId="0" fontId="21" fillId="0" borderId="10" xfId="43" applyFont="1" applyFill="1" applyBorder="1">
      <alignment vertical="center"/>
    </xf>
    <xf numFmtId="0" fontId="2" fillId="0" borderId="10" xfId="43" applyFill="1" applyBorder="1" applyAlignment="1">
      <alignment horizontal="left" vertical="center"/>
    </xf>
    <xf numFmtId="4" fontId="2" fillId="0" borderId="0" xfId="43" applyNumberFormat="1" applyFill="1">
      <alignment vertical="center"/>
    </xf>
    <xf numFmtId="4" fontId="2" fillId="0" borderId="10" xfId="43" applyNumberFormat="1" applyFill="1" applyBorder="1">
      <alignment vertical="center"/>
    </xf>
    <xf numFmtId="0" fontId="21" fillId="0" borderId="10" xfId="43" applyFont="1" applyFill="1" applyBorder="1" applyAlignment="1">
      <alignment horizontal="right" vertical="center" wrapText="1"/>
    </xf>
    <xf numFmtId="0" fontId="33" fillId="0" borderId="10" xfId="43" applyFont="1" applyFill="1" applyBorder="1" applyAlignment="1">
      <alignment horizontal="center" vertical="center"/>
    </xf>
    <xf numFmtId="4" fontId="34" fillId="0" borderId="11" xfId="0" applyNumberFormat="1" applyFont="1" applyFill="1" applyBorder="1" applyAlignment="1">
      <alignment horizontal="right" vertical="center"/>
    </xf>
    <xf numFmtId="176" fontId="34" fillId="0" borderId="10" xfId="0" applyNumberFormat="1" applyFont="1" applyFill="1" applyBorder="1" applyAlignment="1">
      <alignment horizontal="right" vertical="center"/>
    </xf>
  </cellXfs>
  <cellStyles count="82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差_在职人员支出12" xfId="25"/>
    <cellStyle name="常规" xfId="0" builtinId="0"/>
    <cellStyle name="常规 2" xfId="26"/>
    <cellStyle name="常规 2 2" xfId="27"/>
    <cellStyle name="常规 2 2 2" xfId="28"/>
    <cellStyle name="常规 2 3" xfId="29"/>
    <cellStyle name="常规 2 3 2" xfId="30"/>
    <cellStyle name="常规 2 4" xfId="31"/>
    <cellStyle name="常规 2 4 2" xfId="32"/>
    <cellStyle name="常规 2 5" xfId="33"/>
    <cellStyle name="常规 2 5 2" xfId="34"/>
    <cellStyle name="常规 2 6" xfId="35"/>
    <cellStyle name="常规 2 6 2" xfId="36"/>
    <cellStyle name="常规 2 7" xfId="37"/>
    <cellStyle name="常规 3" xfId="38"/>
    <cellStyle name="常规 3 2" xfId="39"/>
    <cellStyle name="常规 3 3" xfId="40"/>
    <cellStyle name="常规 3 4" xfId="41"/>
    <cellStyle name="常规 3 5" xfId="42"/>
    <cellStyle name="常规 4" xfId="43"/>
    <cellStyle name="常规 4 2" xfId="44"/>
    <cellStyle name="常规 4 2 2" xfId="45"/>
    <cellStyle name="常规 4 3" xfId="46"/>
    <cellStyle name="常规 4 3 2" xfId="47"/>
    <cellStyle name="常规 4 4" xfId="48"/>
    <cellStyle name="常规 4 4 2" xfId="49"/>
    <cellStyle name="常规 4 5" xfId="50"/>
    <cellStyle name="常规 5" xfId="51"/>
    <cellStyle name="常规 5 2" xfId="52"/>
    <cellStyle name="常规 5 2 2" xfId="53"/>
    <cellStyle name="常规 6" xfId="54"/>
    <cellStyle name="常规 6 2" xfId="55"/>
    <cellStyle name="常规 6 2 2" xfId="56"/>
    <cellStyle name="常规 7" xfId="57"/>
    <cellStyle name="常规 7 2" xfId="58"/>
    <cellStyle name="常规 7 2 2" xfId="59"/>
    <cellStyle name="常规 8" xfId="60"/>
    <cellStyle name="常规 8 2" xfId="61"/>
    <cellStyle name="常规 9" xfId="62"/>
    <cellStyle name="常规 9 2" xfId="63"/>
    <cellStyle name="好" xfId="64" builtinId="26" customBuiltin="1"/>
    <cellStyle name="好_在职人员支出12" xfId="65"/>
    <cellStyle name="汇总" xfId="66" builtinId="25" customBuiltin="1"/>
    <cellStyle name="计算" xfId="67" builtinId="22" customBuiltin="1"/>
    <cellStyle name="检查单元格" xfId="68" builtinId="23" customBuiltin="1"/>
    <cellStyle name="解释性文本" xfId="69" builtinId="53" customBuiltin="1"/>
    <cellStyle name="警告文本" xfId="70" builtinId="11" customBuiltin="1"/>
    <cellStyle name="链接单元格" xfId="71" builtinId="24" customBuiltin="1"/>
    <cellStyle name="强调文字颜色 1" xfId="72" builtinId="29" customBuiltin="1"/>
    <cellStyle name="强调文字颜色 2" xfId="73" builtinId="33" customBuiltin="1"/>
    <cellStyle name="强调文字颜色 3" xfId="74" builtinId="37" customBuiltin="1"/>
    <cellStyle name="强调文字颜色 4" xfId="75" builtinId="41" customBuiltin="1"/>
    <cellStyle name="强调文字颜色 5" xfId="76" builtinId="45" customBuiltin="1"/>
    <cellStyle name="强调文字颜色 6" xfId="77" builtinId="49" customBuiltin="1"/>
    <cellStyle name="适中" xfId="78" builtinId="28" customBuiltin="1"/>
    <cellStyle name="输出" xfId="79" builtinId="21" customBuiltin="1"/>
    <cellStyle name="输入" xfId="80" builtinId="20" customBuiltin="1"/>
    <cellStyle name="注释" xfId="81" builtinId="1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7"/>
  <sheetViews>
    <sheetView showGridLines="0" showZeros="0" tabSelected="1" zoomScaleNormal="100" workbookViewId="0">
      <selection activeCell="F16" sqref="F16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>
      <c r="A1" s="1"/>
      <c r="F1" s="3"/>
    </row>
    <row r="2" spans="1:6" ht="26.25" customHeight="1">
      <c r="A2" s="4" t="s">
        <v>31</v>
      </c>
      <c r="B2" s="4"/>
      <c r="C2" s="4"/>
      <c r="D2" s="4"/>
      <c r="E2" s="4"/>
      <c r="F2" s="4"/>
    </row>
    <row r="3" spans="1:6" s="1" customFormat="1" ht="18.95" customHeight="1">
      <c r="A3" s="7" t="s">
        <v>29</v>
      </c>
      <c r="B3" s="8"/>
      <c r="C3" s="8"/>
      <c r="D3" s="8"/>
      <c r="E3" s="8"/>
      <c r="F3" s="9" t="s">
        <v>0</v>
      </c>
    </row>
    <row r="4" spans="1:6" ht="18.95" customHeight="1">
      <c r="A4" s="5" t="s">
        <v>1</v>
      </c>
      <c r="B4" s="5"/>
      <c r="C4" s="5" t="s">
        <v>2</v>
      </c>
      <c r="D4" s="5"/>
      <c r="E4" s="5"/>
      <c r="F4" s="5"/>
    </row>
    <row r="5" spans="1:6" ht="18.95" customHeight="1">
      <c r="A5" s="6" t="s">
        <v>3</v>
      </c>
      <c r="B5" s="6" t="s">
        <v>30</v>
      </c>
      <c r="C5" s="6" t="s">
        <v>3</v>
      </c>
      <c r="D5" s="6" t="s">
        <v>30</v>
      </c>
      <c r="E5" s="6" t="s">
        <v>3</v>
      </c>
      <c r="F5" s="6" t="s">
        <v>30</v>
      </c>
    </row>
    <row r="6" spans="1:6" s="1" customFormat="1" ht="20.100000000000001" customHeight="1">
      <c r="A6" s="10" t="s">
        <v>4</v>
      </c>
      <c r="B6" s="11"/>
      <c r="C6" s="10" t="s">
        <v>5</v>
      </c>
      <c r="D6" s="11">
        <f>SUM(D7:D9)</f>
        <v>8294.5399999999991</v>
      </c>
      <c r="E6" s="10" t="s">
        <v>6</v>
      </c>
      <c r="F6" s="11">
        <v>6799.82</v>
      </c>
    </row>
    <row r="7" spans="1:6" s="1" customFormat="1" ht="20.100000000000001" customHeight="1">
      <c r="A7" s="12" t="s">
        <v>20</v>
      </c>
      <c r="B7" s="19">
        <v>23082.58</v>
      </c>
      <c r="C7" s="13" t="s">
        <v>25</v>
      </c>
      <c r="D7" s="11">
        <v>6799.82</v>
      </c>
      <c r="E7" s="10" t="s">
        <v>7</v>
      </c>
      <c r="F7" s="11">
        <v>4781.1000000000004</v>
      </c>
    </row>
    <row r="8" spans="1:6" s="1" customFormat="1" ht="20.100000000000001" customHeight="1">
      <c r="A8" s="12" t="s">
        <v>22</v>
      </c>
      <c r="B8" s="11"/>
      <c r="C8" s="13" t="s">
        <v>14</v>
      </c>
      <c r="D8" s="11">
        <v>1.66</v>
      </c>
      <c r="E8" s="10" t="s">
        <v>8</v>
      </c>
      <c r="F8" s="11">
        <v>1.66</v>
      </c>
    </row>
    <row r="9" spans="1:6" s="1" customFormat="1" ht="20.100000000000001" customHeight="1">
      <c r="A9" s="14" t="s">
        <v>21</v>
      </c>
      <c r="B9" s="15">
        <v>0</v>
      </c>
      <c r="C9" s="13" t="s">
        <v>15</v>
      </c>
      <c r="D9" s="11">
        <v>1493.06</v>
      </c>
      <c r="E9" s="10" t="s">
        <v>9</v>
      </c>
      <c r="F9" s="11">
        <v>0</v>
      </c>
    </row>
    <row r="10" spans="1:6" s="1" customFormat="1" ht="20.100000000000001" customHeight="1">
      <c r="A10" s="13" t="s">
        <v>23</v>
      </c>
      <c r="B10" s="11">
        <v>0</v>
      </c>
      <c r="C10" s="10" t="s">
        <v>10</v>
      </c>
      <c r="D10" s="11">
        <f>SUM(D11:D13)</f>
        <v>14788.04</v>
      </c>
      <c r="E10" s="10" t="s">
        <v>11</v>
      </c>
      <c r="F10" s="11">
        <v>0</v>
      </c>
    </row>
    <row r="11" spans="1:6" s="1" customFormat="1" ht="20.100000000000001" customHeight="1">
      <c r="A11" s="13" t="s">
        <v>24</v>
      </c>
      <c r="B11" s="11">
        <v>0</v>
      </c>
      <c r="C11" s="13" t="s">
        <v>26</v>
      </c>
      <c r="D11" s="20">
        <v>581.04</v>
      </c>
      <c r="E11" s="10" t="s">
        <v>16</v>
      </c>
      <c r="F11" s="16">
        <v>0</v>
      </c>
    </row>
    <row r="12" spans="1:6" s="1" customFormat="1" ht="20.100000000000001" customHeight="1">
      <c r="A12" s="10"/>
      <c r="B12" s="11">
        <v>0</v>
      </c>
      <c r="C12" s="13" t="s">
        <v>27</v>
      </c>
      <c r="D12" s="20">
        <v>2707</v>
      </c>
      <c r="E12" s="10" t="s">
        <v>17</v>
      </c>
      <c r="F12" s="11">
        <v>11500</v>
      </c>
    </row>
    <row r="13" spans="1:6" s="1" customFormat="1" ht="20.100000000000001" customHeight="1">
      <c r="A13" s="13"/>
      <c r="B13" s="11">
        <v>0</v>
      </c>
      <c r="C13" s="13" t="s">
        <v>28</v>
      </c>
      <c r="D13" s="20">
        <v>11500</v>
      </c>
      <c r="E13" s="10" t="s">
        <v>18</v>
      </c>
      <c r="F13" s="11">
        <v>0</v>
      </c>
    </row>
    <row r="14" spans="1:6" s="1" customFormat="1" ht="20.100000000000001" customHeight="1">
      <c r="A14" s="13"/>
      <c r="B14" s="11">
        <v>0</v>
      </c>
      <c r="C14" s="13"/>
      <c r="D14" s="17"/>
      <c r="E14" s="10" t="s">
        <v>19</v>
      </c>
      <c r="F14" s="11">
        <v>0</v>
      </c>
    </row>
    <row r="15" spans="1:6" s="1" customFormat="1" ht="20.100000000000001" customHeight="1">
      <c r="A15" s="10"/>
      <c r="B15" s="11">
        <v>0</v>
      </c>
      <c r="C15" s="13"/>
      <c r="D15" s="17"/>
      <c r="E15" s="13"/>
      <c r="F15" s="17"/>
    </row>
    <row r="16" spans="1:6" s="1" customFormat="1" ht="20.100000000000001" customHeight="1">
      <c r="A16" s="18" t="s">
        <v>12</v>
      </c>
      <c r="B16" s="11">
        <f>B7</f>
        <v>23082.58</v>
      </c>
      <c r="C16" s="18" t="s">
        <v>13</v>
      </c>
      <c r="D16" s="11">
        <f>D6+D10</f>
        <v>23082.58</v>
      </c>
      <c r="E16" s="18" t="s">
        <v>13</v>
      </c>
      <c r="F16" s="11">
        <f>SUM(F6:F14)</f>
        <v>23082.58</v>
      </c>
    </row>
    <row r="17" ht="20.100000000000001" customHeight="1"/>
  </sheetData>
  <sheetProtection formatCells="0" formatColumns="0" formatRows="0"/>
  <phoneticPr fontId="2" type="noConversion"/>
  <printOptions horizontalCentered="1"/>
  <pageMargins left="0.98425196850393704" right="0.74803149606299213" top="0.98425196850393704" bottom="0.98425196850393704" header="0.51181102362204722" footer="0.51181102362204722"/>
  <pageSetup paperSize="9" scale="79" orientation="landscape" cellComments="atEnd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收支总表</vt:lpstr>
    </vt:vector>
  </TitlesOfParts>
  <Company>lv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</dc:creator>
  <cp:lastModifiedBy>Administrator</cp:lastModifiedBy>
  <cp:lastPrinted>2014-12-03T01:05:32Z</cp:lastPrinted>
  <dcterms:created xsi:type="dcterms:W3CDTF">2013-11-14T06:13:45Z</dcterms:created>
  <dcterms:modified xsi:type="dcterms:W3CDTF">2017-02-17T02:35:04Z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263874</vt:i4>
  </property>
</Properties>
</file>