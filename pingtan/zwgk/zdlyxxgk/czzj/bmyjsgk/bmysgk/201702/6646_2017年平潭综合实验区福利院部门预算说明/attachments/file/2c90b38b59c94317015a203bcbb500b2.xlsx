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/>
  </bookViews>
  <sheets>
    <sheet name="收入预算表" sheetId="7" r:id="rId1"/>
  </sheets>
  <calcPr calcId="144525"/>
</workbook>
</file>

<file path=xl/sharedStrings.xml><?xml version="1.0" encoding="utf-8"?>
<sst xmlns="http://schemas.openxmlformats.org/spreadsheetml/2006/main" count="38">
  <si>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</si>
  <si>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</si>
  <si>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</si>
  <si>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</si>
  <si>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</si>
  <si>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</si>
  <si>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</si>
  <si>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</si>
  <si>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</si>
  <si>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</si>
  <si>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</si>
  <si>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</si>
  <si>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区级一般公共财政预算拨款</t>
  </si>
  <si>
    <t>省级政府性基金列入一般公共预算</t>
  </si>
  <si>
    <t>成品油价格和税费改革税收返还</t>
  </si>
  <si>
    <t>中央财政转移支付补助</t>
  </si>
  <si>
    <t>区级基金预算拨款</t>
  </si>
  <si>
    <t>中央财政转移支付补助（基金）</t>
  </si>
  <si>
    <t>**</t>
  </si>
  <si>
    <t>平潭综合实验区福利院</t>
  </si>
  <si>
    <t xml:space="preserve">在职人员生育保险   </t>
  </si>
  <si>
    <t>在职人员基础性绩效工资</t>
  </si>
  <si>
    <t>在职人员基本工资</t>
  </si>
  <si>
    <r>
      <rPr>
        <sz val="10"/>
        <color rgb="FF000000"/>
        <rFont val="宋体"/>
        <charset val="134"/>
      </rPr>
      <t>在职人员奖</t>
    </r>
    <r>
      <rPr>
        <sz val="8"/>
        <color rgb="FF000000"/>
        <rFont val="宋体"/>
        <charset val="134"/>
      </rPr>
      <t>励性绩效{事业单位一次性奖金}</t>
    </r>
  </si>
  <si>
    <t>其他人员费用</t>
  </si>
  <si>
    <t xml:space="preserve">业务经费、  管理费 </t>
  </si>
  <si>
    <t>公务用车运行费</t>
  </si>
  <si>
    <t>在职人员工伤保险</t>
  </si>
  <si>
    <t>在职人员医疗保险</t>
  </si>
  <si>
    <t>综合定额公用经费</t>
  </si>
  <si>
    <t>福利院大楼物业管理费</t>
  </si>
  <si>
    <t>临聘工资等</t>
  </si>
  <si>
    <t>在职人员养老保险</t>
  </si>
  <si>
    <t>院民生活费</t>
  </si>
  <si>
    <t>在职人员地方津补贴{含行业性津贴}</t>
  </si>
  <si>
    <t>流浪乞讨人员救助费</t>
  </si>
  <si>
    <t>在职人员住房公积金</t>
  </si>
  <si>
    <t>在职人员改革性补贴{提租补贴}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</si>
</sst>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b/>
      <sz val="20"/>
      <name val="宋体"/>
      <charset val="134"/>
    </font>
    <font>
      <sz val="9"/>
      <color theme="1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sz val="8"/>
      <color rgb="FF000000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7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/>
    <xf numFmtId="0" fontId="26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29" fillId="18" borderId="12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" fillId="0" borderId="0"/>
    <xf numFmtId="0" fontId="22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0" borderId="0"/>
    <xf numFmtId="0" fontId="22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>
      <alignment vertical="center"/>
    </xf>
    <xf numFmtId="0" fontId="3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1" xfId="43" applyBorder="1" applyAlignment="1">
      <alignment horizontal="center" vertical="center"/>
    </xf>
    <xf numFmtId="0" fontId="1" fillId="0" borderId="1" xfId="43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center" vertical="center" wrapText="1"/>
    </xf>
    <xf numFmtId="0" fontId="1" fillId="0" borderId="1" xfId="43" applyBorder="1">
      <alignment vertical="center"/>
    </xf>
    <xf numFmtId="4" fontId="1" fillId="0" borderId="1" xfId="43" applyNumberFormat="1" applyFill="1" applyBorder="1" applyAlignment="1">
      <alignment horizontal="center" vertical="center" wrapText="1"/>
    </xf>
    <xf numFmtId="4" fontId="4" fillId="0" borderId="1" xfId="43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9" fillId="0" borderId="1" xfId="43" applyFont="1" applyBorder="1">
      <alignment vertical="center"/>
    </xf>
    <xf numFmtId="0" fontId="1" fillId="0" borderId="0" xfId="43" applyAlignment="1">
      <alignment horizontal="right" vertical="center"/>
    </xf>
    <xf numFmtId="0" fontId="1" fillId="0" borderId="1" xfId="43" applyBorder="1" applyAlignment="1">
      <alignment horizontal="center" vertical="center" wrapText="1"/>
    </xf>
    <xf numFmtId="0" fontId="1" fillId="0" borderId="2" xfId="43" applyBorder="1" applyAlignment="1">
      <alignment horizontal="center" vertical="center" wrapText="1"/>
    </xf>
    <xf numFmtId="0" fontId="1" fillId="0" borderId="3" xfId="43" applyBorder="1" applyAlignment="1">
      <alignment horizontal="center" vertical="center" wrapText="1"/>
    </xf>
    <xf numFmtId="0" fontId="1" fillId="0" borderId="1" xfId="43" applyBorder="1" applyAlignment="1">
      <alignment vertical="center" wrapText="1"/>
    </xf>
    <xf numFmtId="4" fontId="1" fillId="0" borderId="2" xfId="43" applyNumberFormat="1" applyFill="1" applyBorder="1" applyAlignment="1">
      <alignment horizontal="center" vertical="center" wrapText="1"/>
    </xf>
    <xf numFmtId="4" fontId="1" fillId="0" borderId="3" xfId="43" applyNumberFormat="1" applyFill="1" applyBorder="1" applyAlignment="1">
      <alignment horizontal="center" vertical="center" wrapText="1"/>
    </xf>
    <xf numFmtId="0" fontId="1" fillId="0" borderId="2" xfId="43" applyBorder="1">
      <alignment vertical="center"/>
    </xf>
    <xf numFmtId="0" fontId="1" fillId="0" borderId="3" xfId="43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25"/>
  <sheetViews>
    <sheetView showGridLines="0" showZeros="0" tabSelected="1" workbookViewId="0">
      <selection activeCell="J8" sqref="J8"/>
    </sheetView>
  </sheetViews>
  <sheetFormatPr defaultColWidth="7" defaultRowHeight="11.25"/>
  <cols>
    <col min="1" max="1" width="8.625" style="2" customWidth="1"/>
    <col min="2" max="2" width="9.125" style="2" customWidth="1"/>
    <col min="3" max="4" width="13.375" style="2" customWidth="1"/>
    <col min="5" max="5" width="10.75" style="2" customWidth="1"/>
    <col min="6" max="7" width="13.375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ht="23.25" customHeight="1" spans="3:3">
      <c r="C1" s="3"/>
    </row>
    <row r="2" ht="54" customHeight="1" spans="1:1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7.25" customHeight="1" spans="15:15">
      <c r="O3" s="22" t="s">
        <v>1</v>
      </c>
    </row>
    <row r="4" ht="28.5" customHeight="1" spans="1:15">
      <c r="A4" s="5" t="s">
        <v>2</v>
      </c>
      <c r="B4" s="5" t="s">
        <v>3</v>
      </c>
      <c r="C4" s="6" t="s">
        <v>4</v>
      </c>
      <c r="D4" s="7" t="s">
        <v>5</v>
      </c>
      <c r="E4" s="7"/>
      <c r="F4" s="7"/>
      <c r="G4" s="7"/>
      <c r="H4" s="7"/>
      <c r="I4" s="7" t="s">
        <v>6</v>
      </c>
      <c r="J4" s="7"/>
      <c r="K4" s="7"/>
      <c r="L4" s="23" t="s">
        <v>7</v>
      </c>
      <c r="M4" s="23" t="s">
        <v>8</v>
      </c>
      <c r="N4" s="24" t="s">
        <v>9</v>
      </c>
      <c r="O4" s="25" t="s">
        <v>10</v>
      </c>
    </row>
    <row r="5" ht="30" customHeight="1" spans="1:15">
      <c r="A5" s="5"/>
      <c r="B5" s="5"/>
      <c r="C5" s="6"/>
      <c r="D5" s="7" t="s">
        <v>11</v>
      </c>
      <c r="E5" s="8" t="s">
        <v>12</v>
      </c>
      <c r="F5" s="8" t="s">
        <v>13</v>
      </c>
      <c r="G5" s="9" t="s">
        <v>14</v>
      </c>
      <c r="H5" s="7" t="s">
        <v>15</v>
      </c>
      <c r="I5" s="7" t="s">
        <v>11</v>
      </c>
      <c r="J5" s="7" t="s">
        <v>16</v>
      </c>
      <c r="K5" s="26" t="s">
        <v>17</v>
      </c>
      <c r="L5" s="23"/>
      <c r="M5" s="23"/>
      <c r="N5" s="24"/>
      <c r="O5" s="25"/>
    </row>
    <row r="6" ht="15" customHeight="1" spans="1:15">
      <c r="A6" s="5" t="s">
        <v>18</v>
      </c>
      <c r="B6" s="5" t="s">
        <v>18</v>
      </c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  <c r="K6" s="6">
        <v>9</v>
      </c>
      <c r="L6" s="6">
        <v>10</v>
      </c>
      <c r="M6" s="6">
        <v>11</v>
      </c>
      <c r="N6" s="6">
        <v>12</v>
      </c>
      <c r="O6" s="6">
        <v>13</v>
      </c>
    </row>
    <row r="7" s="1" customFormat="1" ht="43" customHeight="1" spans="1:15">
      <c r="A7" s="5">
        <v>701004</v>
      </c>
      <c r="B7" s="10" t="s">
        <v>19</v>
      </c>
      <c r="C7" s="11">
        <v>202.76</v>
      </c>
      <c r="D7" s="12">
        <v>202.76</v>
      </c>
      <c r="E7" s="13">
        <f>D7</f>
        <v>202.76</v>
      </c>
      <c r="F7" s="12"/>
      <c r="G7" s="12"/>
      <c r="H7" s="12">
        <v>0</v>
      </c>
      <c r="I7" s="12"/>
      <c r="J7" s="12"/>
      <c r="K7" s="12">
        <v>0</v>
      </c>
      <c r="L7" s="12">
        <v>0</v>
      </c>
      <c r="M7" s="12">
        <v>0</v>
      </c>
      <c r="N7" s="27">
        <v>0</v>
      </c>
      <c r="O7" s="28">
        <v>0</v>
      </c>
    </row>
    <row r="8" ht="22.5" spans="1:15">
      <c r="A8" s="14">
        <v>2081005</v>
      </c>
      <c r="B8" s="15" t="s">
        <v>20</v>
      </c>
      <c r="C8" s="11">
        <v>0.19</v>
      </c>
      <c r="D8" s="16">
        <v>0.19</v>
      </c>
      <c r="E8" s="13">
        <f t="shared" ref="E8:E25" si="0">D8</f>
        <v>0.19</v>
      </c>
      <c r="F8" s="16"/>
      <c r="G8" s="16"/>
      <c r="H8" s="11"/>
      <c r="I8" s="11"/>
      <c r="J8" s="11"/>
      <c r="K8" s="11"/>
      <c r="L8" s="11"/>
      <c r="M8" s="11"/>
      <c r="N8" s="29"/>
      <c r="O8" s="30"/>
    </row>
    <row r="9" ht="36" spans="1:15">
      <c r="A9" s="14">
        <v>2081005</v>
      </c>
      <c r="B9" s="14" t="s">
        <v>21</v>
      </c>
      <c r="C9" s="11">
        <v>9.78</v>
      </c>
      <c r="D9" s="16">
        <v>9.78</v>
      </c>
      <c r="E9" s="13">
        <f t="shared" si="0"/>
        <v>9.78</v>
      </c>
      <c r="F9" s="16"/>
      <c r="G9" s="16"/>
      <c r="H9" s="11"/>
      <c r="I9" s="11"/>
      <c r="J9" s="11"/>
      <c r="K9" s="11"/>
      <c r="L9" s="11"/>
      <c r="M9" s="11"/>
      <c r="N9" s="29"/>
      <c r="O9" s="30"/>
    </row>
    <row r="10" ht="24" spans="1:15">
      <c r="A10" s="14">
        <v>2081005</v>
      </c>
      <c r="B10" s="14" t="s">
        <v>22</v>
      </c>
      <c r="C10" s="11">
        <v>20.14</v>
      </c>
      <c r="D10" s="16">
        <v>20.14</v>
      </c>
      <c r="E10" s="13">
        <f t="shared" si="0"/>
        <v>20.14</v>
      </c>
      <c r="F10" s="16"/>
      <c r="G10" s="16"/>
      <c r="H10" s="11"/>
      <c r="I10" s="11"/>
      <c r="J10" s="11"/>
      <c r="K10" s="11"/>
      <c r="L10" s="11"/>
      <c r="M10" s="11"/>
      <c r="N10" s="29"/>
      <c r="O10" s="30"/>
    </row>
    <row r="11" ht="43.5" spans="1:15">
      <c r="A11" s="14">
        <v>2081005</v>
      </c>
      <c r="B11" s="17" t="s">
        <v>23</v>
      </c>
      <c r="C11" s="11">
        <v>9.87</v>
      </c>
      <c r="D11" s="16">
        <v>9.87</v>
      </c>
      <c r="E11" s="13">
        <f t="shared" si="0"/>
        <v>9.87</v>
      </c>
      <c r="F11" s="16"/>
      <c r="G11" s="16"/>
      <c r="H11" s="11"/>
      <c r="I11" s="11"/>
      <c r="J11" s="11"/>
      <c r="K11" s="11"/>
      <c r="L11" s="11"/>
      <c r="M11" s="11"/>
      <c r="N11" s="29"/>
      <c r="O11" s="30"/>
    </row>
    <row r="12" ht="24" spans="1:15">
      <c r="A12" s="14">
        <v>2081005</v>
      </c>
      <c r="B12" s="14" t="s">
        <v>24</v>
      </c>
      <c r="C12" s="11">
        <v>13.92</v>
      </c>
      <c r="D12" s="16">
        <v>13.92</v>
      </c>
      <c r="E12" s="13">
        <f t="shared" si="0"/>
        <v>13.92</v>
      </c>
      <c r="F12" s="16"/>
      <c r="G12" s="16"/>
      <c r="H12" s="11"/>
      <c r="I12" s="11"/>
      <c r="J12" s="11"/>
      <c r="K12" s="11"/>
      <c r="L12" s="11"/>
      <c r="M12" s="11"/>
      <c r="N12" s="29"/>
      <c r="O12" s="30"/>
    </row>
    <row r="13" ht="24" spans="1:15">
      <c r="A13" s="14">
        <v>2081005</v>
      </c>
      <c r="B13" s="14" t="s">
        <v>25</v>
      </c>
      <c r="C13" s="11">
        <v>16.3</v>
      </c>
      <c r="D13" s="16">
        <v>16.3</v>
      </c>
      <c r="E13" s="13">
        <f t="shared" si="0"/>
        <v>16.3</v>
      </c>
      <c r="F13" s="16"/>
      <c r="G13" s="16"/>
      <c r="H13" s="11"/>
      <c r="I13" s="11"/>
      <c r="J13" s="11"/>
      <c r="K13" s="11"/>
      <c r="L13" s="11"/>
      <c r="M13" s="11"/>
      <c r="N13" s="29"/>
      <c r="O13" s="30"/>
    </row>
    <row r="14" ht="24" spans="1:15">
      <c r="A14" s="14">
        <v>2081005</v>
      </c>
      <c r="B14" s="14" t="s">
        <v>26</v>
      </c>
      <c r="C14" s="11">
        <v>3.8</v>
      </c>
      <c r="D14" s="16">
        <v>3.8</v>
      </c>
      <c r="E14" s="13">
        <f t="shared" si="0"/>
        <v>3.8</v>
      </c>
      <c r="F14" s="16"/>
      <c r="G14" s="16"/>
      <c r="H14" s="11"/>
      <c r="I14" s="11"/>
      <c r="J14" s="11"/>
      <c r="K14" s="11"/>
      <c r="L14" s="11"/>
      <c r="M14" s="11"/>
      <c r="N14" s="29"/>
      <c r="O14" s="30"/>
    </row>
    <row r="15" ht="24" spans="1:15">
      <c r="A15" s="14">
        <v>2081005</v>
      </c>
      <c r="B15" s="14" t="s">
        <v>27</v>
      </c>
      <c r="C15" s="11">
        <v>0.27</v>
      </c>
      <c r="D15" s="16">
        <v>0.27</v>
      </c>
      <c r="E15" s="13">
        <f t="shared" si="0"/>
        <v>0.27</v>
      </c>
      <c r="F15" s="16"/>
      <c r="G15" s="16"/>
      <c r="H15" s="11"/>
      <c r="I15" s="11"/>
      <c r="J15" s="11"/>
      <c r="K15" s="11"/>
      <c r="L15" s="11"/>
      <c r="M15" s="11"/>
      <c r="N15" s="29"/>
      <c r="O15" s="30"/>
    </row>
    <row r="16" ht="24" spans="1:15">
      <c r="A16" s="14">
        <v>2081005</v>
      </c>
      <c r="B16" s="14" t="s">
        <v>28</v>
      </c>
      <c r="C16" s="11">
        <v>4.31</v>
      </c>
      <c r="D16" s="16">
        <v>4.31</v>
      </c>
      <c r="E16" s="13">
        <f t="shared" si="0"/>
        <v>4.31</v>
      </c>
      <c r="F16" s="16"/>
      <c r="G16" s="16"/>
      <c r="H16" s="11"/>
      <c r="I16" s="11"/>
      <c r="J16" s="11"/>
      <c r="K16" s="11"/>
      <c r="L16" s="11"/>
      <c r="M16" s="11"/>
      <c r="N16" s="29"/>
      <c r="O16" s="30"/>
    </row>
    <row r="17" ht="24" spans="1:15">
      <c r="A17" s="14">
        <v>2081005</v>
      </c>
      <c r="B17" s="14" t="s">
        <v>29</v>
      </c>
      <c r="C17" s="11">
        <v>4.95</v>
      </c>
      <c r="D17" s="16">
        <v>4.95</v>
      </c>
      <c r="E17" s="13">
        <f t="shared" si="0"/>
        <v>4.95</v>
      </c>
      <c r="F17" s="16"/>
      <c r="G17" s="16"/>
      <c r="H17" s="11"/>
      <c r="I17" s="11"/>
      <c r="J17" s="11"/>
      <c r="K17" s="11"/>
      <c r="L17" s="11"/>
      <c r="M17" s="11"/>
      <c r="N17" s="29"/>
      <c r="O17" s="30"/>
    </row>
    <row r="18" ht="24" spans="1:15">
      <c r="A18" s="14">
        <v>2081005</v>
      </c>
      <c r="B18" s="18" t="s">
        <v>30</v>
      </c>
      <c r="C18" s="11">
        <v>2.4</v>
      </c>
      <c r="D18" s="16">
        <v>2.4</v>
      </c>
      <c r="E18" s="13">
        <f t="shared" si="0"/>
        <v>2.4</v>
      </c>
      <c r="F18" s="16"/>
      <c r="G18" s="16"/>
      <c r="H18" s="11"/>
      <c r="I18" s="11"/>
      <c r="J18" s="11"/>
      <c r="K18" s="11"/>
      <c r="L18" s="11"/>
      <c r="M18" s="11"/>
      <c r="N18" s="29"/>
      <c r="O18" s="30"/>
    </row>
    <row r="19" ht="12" spans="1:15">
      <c r="A19" s="14">
        <v>2081005</v>
      </c>
      <c r="B19" s="18" t="s">
        <v>31</v>
      </c>
      <c r="C19" s="11">
        <v>12</v>
      </c>
      <c r="D19" s="16">
        <v>12</v>
      </c>
      <c r="E19" s="13">
        <f t="shared" si="0"/>
        <v>12</v>
      </c>
      <c r="F19" s="16"/>
      <c r="G19" s="16"/>
      <c r="H19" s="11"/>
      <c r="I19" s="11"/>
      <c r="J19" s="11"/>
      <c r="K19" s="11"/>
      <c r="L19" s="11"/>
      <c r="M19" s="11"/>
      <c r="N19" s="29"/>
      <c r="O19" s="30"/>
    </row>
    <row r="20" ht="22.5" spans="1:15">
      <c r="A20" s="14">
        <v>2081005</v>
      </c>
      <c r="B20" s="19" t="s">
        <v>32</v>
      </c>
      <c r="C20" s="11">
        <v>10.77</v>
      </c>
      <c r="D20" s="16">
        <v>10.77</v>
      </c>
      <c r="E20" s="13">
        <f t="shared" si="0"/>
        <v>10.77</v>
      </c>
      <c r="F20" s="16"/>
      <c r="G20" s="16"/>
      <c r="H20" s="11"/>
      <c r="I20" s="11"/>
      <c r="J20" s="11"/>
      <c r="K20" s="11"/>
      <c r="L20" s="11"/>
      <c r="M20" s="11"/>
      <c r="N20" s="29"/>
      <c r="O20" s="30"/>
    </row>
    <row r="21" ht="12" spans="1:15">
      <c r="A21" s="14">
        <v>2081005</v>
      </c>
      <c r="B21" s="18" t="s">
        <v>33</v>
      </c>
      <c r="C21" s="11">
        <v>42</v>
      </c>
      <c r="D21" s="16">
        <v>42</v>
      </c>
      <c r="E21" s="13">
        <f t="shared" si="0"/>
        <v>42</v>
      </c>
      <c r="F21" s="16"/>
      <c r="G21" s="16"/>
      <c r="H21" s="11"/>
      <c r="I21" s="11"/>
      <c r="J21" s="11"/>
      <c r="K21" s="11"/>
      <c r="L21" s="11"/>
      <c r="M21" s="11"/>
      <c r="N21" s="29"/>
      <c r="O21" s="30"/>
    </row>
    <row r="22" ht="33.75" spans="1:15">
      <c r="A22" s="14">
        <v>2081005</v>
      </c>
      <c r="B22" s="20" t="s">
        <v>34</v>
      </c>
      <c r="C22" s="21">
        <v>21.91</v>
      </c>
      <c r="D22" s="16">
        <v>21.91</v>
      </c>
      <c r="E22" s="13">
        <f t="shared" si="0"/>
        <v>21.91</v>
      </c>
      <c r="F22" s="16"/>
      <c r="G22" s="16"/>
      <c r="H22" s="11"/>
      <c r="I22" s="11"/>
      <c r="J22" s="11"/>
      <c r="K22" s="11"/>
      <c r="L22" s="11"/>
      <c r="M22" s="11"/>
      <c r="N22" s="29"/>
      <c r="O22" s="30"/>
    </row>
    <row r="23" ht="24" spans="1:15">
      <c r="A23" s="14">
        <v>2082002</v>
      </c>
      <c r="B23" s="14" t="s">
        <v>35</v>
      </c>
      <c r="C23" s="11">
        <v>20</v>
      </c>
      <c r="D23" s="16">
        <v>20</v>
      </c>
      <c r="E23" s="13">
        <f t="shared" si="0"/>
        <v>20</v>
      </c>
      <c r="F23" s="16"/>
      <c r="G23" s="16"/>
      <c r="H23" s="11"/>
      <c r="I23" s="11"/>
      <c r="J23" s="11"/>
      <c r="K23" s="11"/>
      <c r="L23" s="11"/>
      <c r="M23" s="11"/>
      <c r="N23" s="29"/>
      <c r="O23" s="30"/>
    </row>
    <row r="24" ht="24" spans="1:15">
      <c r="A24" s="14">
        <v>2210201</v>
      </c>
      <c r="B24" s="14" t="s">
        <v>36</v>
      </c>
      <c r="C24" s="11">
        <v>8.04</v>
      </c>
      <c r="D24" s="16">
        <v>8.04</v>
      </c>
      <c r="E24" s="13">
        <f t="shared" si="0"/>
        <v>8.04</v>
      </c>
      <c r="F24" s="16"/>
      <c r="G24" s="16"/>
      <c r="H24" s="11"/>
      <c r="I24" s="11"/>
      <c r="J24" s="11"/>
      <c r="K24" s="11"/>
      <c r="L24" s="11"/>
      <c r="M24" s="11"/>
      <c r="N24" s="29"/>
      <c r="O24" s="30"/>
    </row>
    <row r="25" ht="36" spans="1:15">
      <c r="A25" s="14">
        <v>2210202</v>
      </c>
      <c r="B25" s="18" t="s">
        <v>37</v>
      </c>
      <c r="C25" s="11">
        <v>2.11</v>
      </c>
      <c r="D25" s="16">
        <v>2.11</v>
      </c>
      <c r="E25" s="13">
        <f t="shared" si="0"/>
        <v>2.11</v>
      </c>
      <c r="F25" s="16"/>
      <c r="G25" s="16"/>
      <c r="H25" s="11"/>
      <c r="I25" s="11"/>
      <c r="J25" s="11"/>
      <c r="K25" s="11"/>
      <c r="L25" s="11"/>
      <c r="M25" s="11"/>
      <c r="N25" s="29"/>
      <c r="O25" s="30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ageMargins left="0.888888888888889" right="0.393055555555556" top="0.786805555555556" bottom="0.590277777777778" header="0.511805555555556" footer="0.393055555555556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2017-02-08T15:15:19Z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