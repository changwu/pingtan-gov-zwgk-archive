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895" windowHeight="10350"/>
  </bookViews>
  <sheets>
    <sheet name="收入预算表" sheetId="7" r:id="rId1"/>
  </sheets>
  <calcPr calcId="124519"/>
</workbook>
</file>

<file path=xl/calcChain.xml><?xml version="1.0" encoding="utf-8"?>
<calcChain xmlns="http://schemas.openxmlformats.org/spreadsheetml/2006/main">
  <c r="E67" i="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C14"/>
  <c r="E13"/>
  <c r="E12"/>
  <c r="E11"/>
  <c r="E10"/>
  <c r="E9"/>
</calcChain>
</file>

<file path=xl/sharedStrings.xml><?xml version="1.0" encoding="utf-8"?>
<sst xmlns="http://schemas.openxmlformats.org/spreadsheetml/2006/main" count="41" uniqueCount="39">
  <si>
    <t>2017年收入预算总表</t>
  </si>
  <si>
    <t>单位：万元</t>
  </si>
  <si>
    <t>科目编码</t>
  </si>
  <si>
    <t>科目名称</t>
  </si>
  <si>
    <t>总计</t>
  </si>
  <si>
    <t>一般公共财政预算拨款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</si>
  <si>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</si>
  <si>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</si>
  <si>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</si>
  <si>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</si>
  <si>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</si>
  <si>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</si>
  <si>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r>
      <t>区</t>
    </r>
    <r>
      <rPr>
        <sz val="9"/>
        <rFont val="宋体"/>
        <charset val="134"/>
      </rPr>
      <t>级一般公共财政预算拨款</t>
    </r>
  </si>
  <si>
    <t>省级政府性基金列入一般公共预算</t>
  </si>
  <si>
    <t>成品油价格和税费改革税收返还</t>
  </si>
  <si>
    <t>上级财政转移支付补助</t>
  </si>
  <si>
    <r>
      <t>区</t>
    </r>
    <r>
      <rPr>
        <sz val="9"/>
        <rFont val="宋体"/>
        <charset val="134"/>
      </rPr>
      <t>级基金预算拨款</t>
    </r>
  </si>
  <si>
    <t>中央财政转移支付补助（基金）</t>
  </si>
  <si>
    <t>**</t>
  </si>
  <si>
    <t>平潭综合实验区图书馆</t>
    <phoneticPr fontId="1" type="noConversion"/>
  </si>
  <si>
    <t>专项业务费</t>
    <phoneticPr fontId="1" type="noConversion"/>
  </si>
  <si>
    <t>其他人员支出</t>
    <phoneticPr fontId="1" type="noConversion"/>
  </si>
  <si>
    <t>在职人员生育保险</t>
    <phoneticPr fontId="1" type="noConversion"/>
  </si>
  <si>
    <t>“读书推广”活动经费</t>
    <phoneticPr fontId="1" type="noConversion"/>
  </si>
  <si>
    <t>综合定额公用经费</t>
    <phoneticPr fontId="1" type="noConversion"/>
  </si>
  <si>
    <t>购置图书</t>
    <phoneticPr fontId="1" type="noConversion"/>
  </si>
  <si>
    <t>修缮专项</t>
    <phoneticPr fontId="1" type="noConversion"/>
  </si>
  <si>
    <t>在职人员奖励性绩效（一次性奖金）</t>
    <phoneticPr fontId="1" type="noConversion"/>
  </si>
  <si>
    <t>在职人员地方津补贴（含行业性津贴）</t>
    <phoneticPr fontId="1" type="noConversion"/>
  </si>
  <si>
    <t>在职人员养老保险</t>
    <phoneticPr fontId="1" type="noConversion"/>
  </si>
  <si>
    <t>设备购置</t>
    <phoneticPr fontId="1" type="noConversion"/>
  </si>
  <si>
    <t>退休人员公务费</t>
    <phoneticPr fontId="1" type="noConversion"/>
  </si>
  <si>
    <t>在职人员基本工资</t>
    <phoneticPr fontId="1" type="noConversion"/>
  </si>
  <si>
    <t>在职人员工伤保险</t>
    <phoneticPr fontId="1" type="noConversion"/>
  </si>
  <si>
    <t>免费开放补助</t>
    <phoneticPr fontId="1" type="noConversion"/>
  </si>
  <si>
    <t>在职人员医疗保险</t>
    <phoneticPr fontId="1" type="noConversion"/>
  </si>
  <si>
    <t>在职人员基础性绩效工资</t>
    <phoneticPr fontId="1" type="noConversion"/>
  </si>
  <si>
    <t>在职人员住房公积金</t>
    <phoneticPr fontId="1" type="noConversion"/>
  </si>
  <si>
    <t>在职人员改革性补贴（提租补贴）</t>
    <phoneticPr fontId="1" type="noConversion"/>
  </si>
</sst>
</file>

<file path=xl/styles.xml><?xml version="1.0" encoding="utf-8"?>
<styleSheet xmlns="http://schemas.openxmlformats.org/spreadsheetml/2006/main">
  <fonts count="6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sz val="9"/>
      <color rgb="FFFF0000"/>
      <name val="宋体"/>
      <charset val="134"/>
    </font>
    <font>
      <sz val="10"/>
      <color indexed="8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>
      <alignment vertical="center"/>
    </xf>
    <xf numFmtId="0" fontId="1" fillId="0" borderId="0" xfId="2" applyFill="1">
      <alignment vertical="center"/>
    </xf>
    <xf numFmtId="0" fontId="1" fillId="0" borderId="0" xfId="2">
      <alignment vertical="center"/>
    </xf>
    <xf numFmtId="0" fontId="1" fillId="0" borderId="1" xfId="2" applyNumberFormat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centerContinuous" vertical="center" wrapText="1"/>
    </xf>
    <xf numFmtId="0" fontId="3" fillId="0" borderId="1" xfId="2" applyNumberFormat="1" applyFont="1" applyBorder="1" applyAlignment="1">
      <alignment horizontal="left" vertical="center" wrapText="1"/>
    </xf>
    <xf numFmtId="0" fontId="1" fillId="0" borderId="1" xfId="2" applyNumberFormat="1" applyBorder="1" applyAlignment="1">
      <alignment horizontal="left" vertical="center" wrapText="1"/>
    </xf>
    <xf numFmtId="0" fontId="1" fillId="0" borderId="1" xfId="2" applyNumberFormat="1" applyBorder="1" applyAlignment="1">
      <alignment horizontal="centerContinuous" vertical="center" wrapText="1"/>
    </xf>
    <xf numFmtId="0" fontId="1" fillId="0" borderId="1" xfId="2" applyNumberFormat="1" applyBorder="1" applyAlignment="1">
      <alignment horizontal="center" vertical="center" wrapText="1"/>
    </xf>
    <xf numFmtId="0" fontId="1" fillId="0" borderId="1" xfId="2" applyBorder="1">
      <alignment vertical="center"/>
    </xf>
    <xf numFmtId="4" fontId="1" fillId="0" borderId="1" xfId="2" applyNumberForma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1" fillId="0" borderId="0" xfId="2" applyNumberFormat="1" applyFill="1" applyBorder="1" applyAlignment="1">
      <alignment horizontal="center" vertical="center" wrapText="1"/>
    </xf>
    <xf numFmtId="0" fontId="1" fillId="0" borderId="0" xfId="2" applyAlignment="1">
      <alignment horizontal="right" vertical="center"/>
    </xf>
    <xf numFmtId="0" fontId="3" fillId="0" borderId="1" xfId="2" applyFont="1" applyBorder="1" applyAlignment="1">
      <alignment horizontal="centerContinuous" vertical="center" wrapText="1"/>
    </xf>
    <xf numFmtId="0" fontId="1" fillId="0" borderId="1" xfId="2" applyBorder="1" applyAlignment="1">
      <alignment vertical="center" wrapText="1"/>
    </xf>
    <xf numFmtId="4" fontId="1" fillId="0" borderId="2" xfId="2" applyNumberFormat="1" applyFill="1" applyBorder="1" applyAlignment="1">
      <alignment horizontal="center" vertical="center" wrapText="1"/>
    </xf>
    <xf numFmtId="4" fontId="1" fillId="0" borderId="3" xfId="2" applyNumberFormat="1" applyFill="1" applyBorder="1" applyAlignment="1">
      <alignment horizontal="center" vertical="center" wrapText="1"/>
    </xf>
    <xf numFmtId="0" fontId="1" fillId="0" borderId="2" xfId="2" applyBorder="1">
      <alignment vertical="center"/>
    </xf>
    <xf numFmtId="0" fontId="1" fillId="0" borderId="3" xfId="2" applyBorder="1">
      <alignment vertical="center"/>
    </xf>
    <xf numFmtId="0" fontId="1" fillId="0" borderId="0" xfId="2" applyBorder="1">
      <alignment vertical="center"/>
    </xf>
    <xf numFmtId="0" fontId="2" fillId="0" borderId="0" xfId="2" applyFont="1" applyAlignment="1">
      <alignment horizontal="center" vertical="center"/>
    </xf>
    <xf numFmtId="0" fontId="1" fillId="0" borderId="1" xfId="2" applyNumberFormat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3" xfId="2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4" fontId="5" fillId="0" borderId="1" xfId="2" applyNumberFormat="1" applyFont="1" applyFill="1" applyBorder="1" applyAlignment="1">
      <alignment horizontal="center" vertical="center" wrapText="1"/>
    </xf>
  </cellXfs>
  <cellStyles count="9">
    <cellStyle name="常规" xfId="0" builtinId="0"/>
    <cellStyle name="常规 2" xfId="5"/>
    <cellStyle name="常规 2 2" xfId="3"/>
    <cellStyle name="常规 2 3" xfId="4"/>
    <cellStyle name="常规 2 4" xfId="6"/>
    <cellStyle name="常规 2 5" xfId="1"/>
    <cellStyle name="常规 2 6" xfId="7"/>
    <cellStyle name="常规 2 7" xfId="8"/>
    <cellStyle name="常规_06288AE0BF99009CE0530A34131A2B7F" xfId="2"/>
  </cellStyles>
  <dxfs count="0"/>
  <tableStyles count="0" defaultTableStyle="TableStyleMedium2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561975</xdr:colOff>
      <xdr:row>0</xdr:row>
      <xdr:rowOff>285750</xdr:rowOff>
    </xdr:from>
    <xdr:to>
      <xdr:col>5</xdr:col>
      <xdr:colOff>695325</xdr:colOff>
      <xdr:row>3</xdr:row>
      <xdr:rowOff>38100</xdr:rowOff>
    </xdr:to>
    <xdr:pic>
      <xdr:nvPicPr>
        <xdr:cNvPr id="1025" name="Picture 1" descr="C:\Users\lenovo\AppData\Local\Temp\SGPicFaceTpBq\4480\001863B2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52875" y="285750"/>
          <a:ext cx="952500" cy="952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0"/>
  <sheetViews>
    <sheetView showGridLines="0" showZeros="0" tabSelected="1" workbookViewId="0">
      <selection activeCell="G11" sqref="G11"/>
    </sheetView>
  </sheetViews>
  <sheetFormatPr defaultColWidth="7" defaultRowHeight="11.25"/>
  <cols>
    <col min="1" max="1" width="8.625" style="2" customWidth="1"/>
    <col min="2" max="2" width="9.125" style="2" customWidth="1"/>
    <col min="3" max="4" width="13.375" style="2" customWidth="1"/>
    <col min="5" max="5" width="10.75" style="2" customWidth="1"/>
    <col min="6" max="7" width="13.375" style="2" customWidth="1"/>
    <col min="8" max="8" width="9.375" style="2" customWidth="1"/>
    <col min="9" max="9" width="9.875" style="2" customWidth="1"/>
    <col min="10" max="10" width="12" style="2" customWidth="1"/>
    <col min="11" max="11" width="10" style="2" customWidth="1"/>
    <col min="12" max="12" width="9.75" style="2" customWidth="1"/>
    <col min="13" max="13" width="7.625" style="2" customWidth="1"/>
    <col min="14" max="14" width="9.5" style="2" customWidth="1"/>
    <col min="15" max="15" width="13.375" style="2" customWidth="1"/>
    <col min="16" max="16384" width="7" style="2"/>
  </cols>
  <sheetData>
    <row r="1" spans="1:15" ht="23.25" customHeight="1"/>
    <row r="2" spans="1:15" ht="54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17.25" customHeight="1">
      <c r="O3" s="16" t="s">
        <v>1</v>
      </c>
    </row>
    <row r="4" spans="1:15" ht="28.5" customHeight="1">
      <c r="A4" s="25" t="s">
        <v>2</v>
      </c>
      <c r="B4" s="25" t="s">
        <v>3</v>
      </c>
      <c r="C4" s="26" t="s">
        <v>4</v>
      </c>
      <c r="D4" s="5" t="s">
        <v>5</v>
      </c>
      <c r="E4" s="5"/>
      <c r="F4" s="5"/>
      <c r="G4" s="5"/>
      <c r="H4" s="5"/>
      <c r="I4" s="5" t="s">
        <v>6</v>
      </c>
      <c r="J4" s="5"/>
      <c r="K4" s="5"/>
      <c r="L4" s="27" t="s">
        <v>7</v>
      </c>
      <c r="M4" s="27" t="s">
        <v>8</v>
      </c>
      <c r="N4" s="28" t="s">
        <v>9</v>
      </c>
      <c r="O4" s="29" t="s">
        <v>10</v>
      </c>
    </row>
    <row r="5" spans="1:15" ht="30" customHeight="1">
      <c r="A5" s="25"/>
      <c r="B5" s="25"/>
      <c r="C5" s="26"/>
      <c r="D5" s="5" t="s">
        <v>11</v>
      </c>
      <c r="E5" s="6" t="s">
        <v>12</v>
      </c>
      <c r="F5" s="7" t="s">
        <v>13</v>
      </c>
      <c r="G5" s="8" t="s">
        <v>14</v>
      </c>
      <c r="H5" s="5" t="s">
        <v>15</v>
      </c>
      <c r="I5" s="5" t="s">
        <v>11</v>
      </c>
      <c r="J5" s="17" t="s">
        <v>16</v>
      </c>
      <c r="K5" s="18" t="s">
        <v>17</v>
      </c>
      <c r="L5" s="27"/>
      <c r="M5" s="27"/>
      <c r="N5" s="28"/>
      <c r="O5" s="29"/>
    </row>
    <row r="6" spans="1:15" ht="15" customHeight="1">
      <c r="A6" s="3" t="s">
        <v>18</v>
      </c>
      <c r="B6" s="3" t="s">
        <v>18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</row>
    <row r="7" spans="1:15" s="1" customFormat="1" ht="42.95" customHeight="1">
      <c r="A7" s="3">
        <v>701009</v>
      </c>
      <c r="B7" s="9" t="s">
        <v>19</v>
      </c>
      <c r="C7" s="10">
        <v>286.72000000000003</v>
      </c>
      <c r="D7" s="11">
        <v>286.72000000000003</v>
      </c>
      <c r="E7" s="31">
        <v>286.72000000000003</v>
      </c>
      <c r="F7" s="11"/>
      <c r="G7" s="11"/>
      <c r="H7" s="11">
        <v>0</v>
      </c>
      <c r="I7" s="11"/>
      <c r="J7" s="11"/>
      <c r="K7" s="11">
        <v>0</v>
      </c>
      <c r="L7" s="11">
        <v>0</v>
      </c>
      <c r="M7" s="11">
        <v>0</v>
      </c>
      <c r="N7" s="19">
        <v>0</v>
      </c>
      <c r="O7" s="20">
        <v>0</v>
      </c>
    </row>
    <row r="8" spans="1:15" ht="12">
      <c r="A8" s="12">
        <v>2070104</v>
      </c>
      <c r="B8" s="13" t="s">
        <v>20</v>
      </c>
      <c r="C8" s="10">
        <v>5</v>
      </c>
      <c r="D8" s="14">
        <v>5</v>
      </c>
      <c r="E8" s="31">
        <v>5</v>
      </c>
      <c r="F8" s="14"/>
      <c r="G8" s="14"/>
      <c r="H8" s="10"/>
      <c r="I8" s="10"/>
      <c r="J8" s="10"/>
      <c r="K8" s="10"/>
      <c r="L8" s="10"/>
      <c r="M8" s="10"/>
      <c r="N8" s="21"/>
      <c r="O8" s="22"/>
    </row>
    <row r="9" spans="1:15" ht="24">
      <c r="A9" s="12">
        <v>2070104</v>
      </c>
      <c r="B9" s="13" t="s">
        <v>21</v>
      </c>
      <c r="C9" s="10">
        <v>40</v>
      </c>
      <c r="D9" s="14">
        <v>40</v>
      </c>
      <c r="E9" s="31">
        <f t="shared" ref="E9:E13" si="0">D9</f>
        <v>40</v>
      </c>
      <c r="F9" s="14"/>
      <c r="G9" s="14"/>
      <c r="H9" s="10"/>
      <c r="I9" s="10"/>
      <c r="J9" s="10"/>
      <c r="K9" s="10"/>
      <c r="L9" s="10"/>
      <c r="M9" s="10"/>
      <c r="N9" s="21"/>
      <c r="O9" s="22"/>
    </row>
    <row r="10" spans="1:15" ht="24">
      <c r="A10" s="12">
        <v>2070104</v>
      </c>
      <c r="B10" s="13" t="s">
        <v>22</v>
      </c>
      <c r="C10" s="10">
        <v>0.22</v>
      </c>
      <c r="D10" s="14">
        <v>0.22</v>
      </c>
      <c r="E10" s="31">
        <f t="shared" si="0"/>
        <v>0.22</v>
      </c>
      <c r="F10" s="14"/>
      <c r="G10" s="14"/>
      <c r="H10" s="10"/>
      <c r="I10" s="10"/>
      <c r="J10" s="10"/>
      <c r="K10" s="10"/>
      <c r="L10" s="10"/>
      <c r="M10" s="10"/>
      <c r="N10" s="21"/>
      <c r="O10" s="22"/>
    </row>
    <row r="11" spans="1:15" ht="24">
      <c r="A11" s="12">
        <v>2070104</v>
      </c>
      <c r="B11" s="13" t="s">
        <v>23</v>
      </c>
      <c r="C11" s="10">
        <v>10</v>
      </c>
      <c r="D11" s="14">
        <v>10</v>
      </c>
      <c r="E11" s="31">
        <f t="shared" si="0"/>
        <v>10</v>
      </c>
      <c r="F11" s="14"/>
      <c r="G11" s="14"/>
      <c r="H11" s="10"/>
      <c r="I11" s="10"/>
      <c r="J11" s="10"/>
      <c r="K11" s="10"/>
      <c r="L11" s="10"/>
      <c r="M11" s="10"/>
      <c r="N11" s="21"/>
      <c r="O11" s="22"/>
    </row>
    <row r="12" spans="1:15" ht="24">
      <c r="A12" s="12">
        <v>2070104</v>
      </c>
      <c r="B12" s="13" t="s">
        <v>24</v>
      </c>
      <c r="C12" s="10">
        <v>4.95</v>
      </c>
      <c r="D12" s="14">
        <v>4.95</v>
      </c>
      <c r="E12" s="31">
        <f t="shared" si="0"/>
        <v>4.95</v>
      </c>
      <c r="F12" s="14"/>
      <c r="G12" s="14"/>
      <c r="H12" s="10"/>
      <c r="I12" s="10"/>
      <c r="J12" s="10"/>
      <c r="K12" s="10"/>
      <c r="L12" s="10"/>
      <c r="M12" s="10"/>
      <c r="N12" s="21"/>
      <c r="O12" s="22"/>
    </row>
    <row r="13" spans="1:15" ht="12">
      <c r="A13" s="12">
        <v>2070104</v>
      </c>
      <c r="B13" s="13" t="s">
        <v>25</v>
      </c>
      <c r="C13" s="10">
        <v>50</v>
      </c>
      <c r="D13" s="14">
        <v>50</v>
      </c>
      <c r="E13" s="31">
        <f t="shared" si="0"/>
        <v>50</v>
      </c>
      <c r="F13" s="14"/>
      <c r="G13" s="14"/>
      <c r="H13" s="10"/>
      <c r="I13" s="10"/>
      <c r="J13" s="10"/>
      <c r="K13" s="10"/>
      <c r="L13" s="10"/>
      <c r="M13" s="10"/>
      <c r="N13" s="21"/>
      <c r="O13" s="22"/>
    </row>
    <row r="14" spans="1:15" ht="12">
      <c r="A14" s="12">
        <v>2070104</v>
      </c>
      <c r="B14" s="30" t="s">
        <v>26</v>
      </c>
      <c r="C14" s="10">
        <f t="shared" ref="C14" si="1">D14+I14+L14+M14+N14+O14</f>
        <v>25</v>
      </c>
      <c r="D14" s="14">
        <v>25</v>
      </c>
      <c r="E14" s="31">
        <v>25</v>
      </c>
      <c r="F14" s="14"/>
      <c r="G14" s="14"/>
      <c r="H14" s="10"/>
      <c r="I14" s="10"/>
      <c r="J14" s="10"/>
      <c r="K14" s="10"/>
      <c r="L14" s="10"/>
      <c r="M14" s="10"/>
      <c r="N14" s="21"/>
      <c r="O14" s="22"/>
    </row>
    <row r="15" spans="1:15" ht="48">
      <c r="A15" s="12">
        <v>2070104</v>
      </c>
      <c r="B15" s="13" t="s">
        <v>27</v>
      </c>
      <c r="C15" s="10">
        <v>11.04</v>
      </c>
      <c r="D15" s="14">
        <v>11.04</v>
      </c>
      <c r="E15" s="31">
        <f t="shared" ref="E15:E26" si="2">D15</f>
        <v>11.04</v>
      </c>
      <c r="F15" s="14"/>
      <c r="G15" s="14"/>
      <c r="H15" s="10"/>
      <c r="I15" s="10"/>
      <c r="J15" s="10"/>
      <c r="K15" s="10"/>
      <c r="L15" s="10"/>
      <c r="M15" s="10"/>
      <c r="N15" s="21"/>
      <c r="O15" s="22"/>
    </row>
    <row r="16" spans="1:15" ht="48">
      <c r="A16" s="12">
        <v>2070104</v>
      </c>
      <c r="B16" s="13" t="s">
        <v>28</v>
      </c>
      <c r="C16" s="10">
        <v>24.2</v>
      </c>
      <c r="D16" s="14">
        <v>24.2</v>
      </c>
      <c r="E16" s="31">
        <f t="shared" si="2"/>
        <v>24.2</v>
      </c>
      <c r="F16" s="14"/>
      <c r="G16" s="14"/>
      <c r="H16" s="10"/>
      <c r="I16" s="10"/>
      <c r="J16" s="10"/>
      <c r="K16" s="10"/>
      <c r="L16" s="10"/>
      <c r="M16" s="10"/>
      <c r="N16" s="21"/>
      <c r="O16" s="22"/>
    </row>
    <row r="17" spans="1:15" ht="24">
      <c r="A17" s="12">
        <v>2070104</v>
      </c>
      <c r="B17" s="13" t="s">
        <v>29</v>
      </c>
      <c r="C17" s="10">
        <v>12.25</v>
      </c>
      <c r="D17" s="14">
        <v>12.25</v>
      </c>
      <c r="E17" s="31">
        <f t="shared" si="2"/>
        <v>12.25</v>
      </c>
      <c r="F17" s="14"/>
      <c r="G17" s="14"/>
      <c r="H17" s="10"/>
      <c r="I17" s="10"/>
      <c r="J17" s="10"/>
      <c r="K17" s="10"/>
      <c r="L17" s="10"/>
      <c r="M17" s="10"/>
      <c r="N17" s="21"/>
      <c r="O17" s="22"/>
    </row>
    <row r="18" spans="1:15" ht="12">
      <c r="A18" s="12">
        <v>2070104</v>
      </c>
      <c r="B18" s="13" t="s">
        <v>30</v>
      </c>
      <c r="C18" s="10">
        <v>30</v>
      </c>
      <c r="D18" s="14">
        <v>30</v>
      </c>
      <c r="E18" s="31">
        <f t="shared" si="2"/>
        <v>30</v>
      </c>
      <c r="F18" s="14"/>
      <c r="G18" s="14"/>
      <c r="H18" s="10"/>
      <c r="I18" s="10"/>
      <c r="J18" s="10"/>
      <c r="K18" s="10"/>
      <c r="L18" s="10"/>
      <c r="M18" s="10"/>
      <c r="N18" s="21"/>
      <c r="O18" s="22"/>
    </row>
    <row r="19" spans="1:15" ht="24">
      <c r="A19" s="12">
        <v>2070104</v>
      </c>
      <c r="B19" s="13" t="s">
        <v>31</v>
      </c>
      <c r="C19" s="10">
        <v>0.1</v>
      </c>
      <c r="D19" s="14">
        <v>0.1</v>
      </c>
      <c r="E19" s="31">
        <f t="shared" si="2"/>
        <v>0.1</v>
      </c>
      <c r="F19" s="14"/>
      <c r="G19" s="14"/>
      <c r="H19" s="10"/>
      <c r="I19" s="10"/>
      <c r="J19" s="10"/>
      <c r="K19" s="10"/>
      <c r="L19" s="10"/>
      <c r="M19" s="10"/>
      <c r="N19" s="21"/>
      <c r="O19" s="22"/>
    </row>
    <row r="20" spans="1:15" ht="24">
      <c r="A20" s="12">
        <v>2070104</v>
      </c>
      <c r="B20" s="13" t="s">
        <v>32</v>
      </c>
      <c r="C20" s="10">
        <v>24.14</v>
      </c>
      <c r="D20" s="14">
        <v>24.14</v>
      </c>
      <c r="E20" s="31">
        <f t="shared" si="2"/>
        <v>24.14</v>
      </c>
      <c r="F20" s="14"/>
      <c r="G20" s="14"/>
      <c r="H20" s="10"/>
      <c r="I20" s="10"/>
      <c r="J20" s="10"/>
      <c r="K20" s="10"/>
      <c r="L20" s="10"/>
      <c r="M20" s="10"/>
      <c r="N20" s="21"/>
      <c r="O20" s="22"/>
    </row>
    <row r="21" spans="1:15" ht="24">
      <c r="A21" s="12">
        <v>2070104</v>
      </c>
      <c r="B21" s="13" t="s">
        <v>33</v>
      </c>
      <c r="C21" s="10">
        <v>0.31</v>
      </c>
      <c r="D21" s="14">
        <v>0.31</v>
      </c>
      <c r="E21" s="31">
        <f t="shared" si="2"/>
        <v>0.31</v>
      </c>
      <c r="F21" s="14"/>
      <c r="G21" s="14"/>
      <c r="H21" s="10"/>
      <c r="I21" s="10"/>
      <c r="J21" s="10"/>
      <c r="K21" s="10"/>
      <c r="L21" s="10"/>
      <c r="M21" s="10"/>
      <c r="N21" s="21"/>
      <c r="O21" s="22"/>
    </row>
    <row r="22" spans="1:15" ht="24">
      <c r="A22" s="12">
        <v>2070104</v>
      </c>
      <c r="B22" s="13" t="s">
        <v>34</v>
      </c>
      <c r="C22" s="10">
        <v>12</v>
      </c>
      <c r="D22" s="14">
        <v>12</v>
      </c>
      <c r="E22" s="31">
        <f t="shared" si="2"/>
        <v>12</v>
      </c>
      <c r="F22" s="14"/>
      <c r="G22" s="14"/>
      <c r="H22" s="10"/>
      <c r="I22" s="10"/>
      <c r="J22" s="10"/>
      <c r="K22" s="10"/>
      <c r="L22" s="10"/>
      <c r="M22" s="10"/>
      <c r="N22" s="21"/>
      <c r="O22" s="22"/>
    </row>
    <row r="23" spans="1:15" ht="24">
      <c r="A23" s="12">
        <v>2070104</v>
      </c>
      <c r="B23" s="13" t="s">
        <v>35</v>
      </c>
      <c r="C23" s="10">
        <v>4.9000000000000004</v>
      </c>
      <c r="D23" s="14">
        <v>4.9000000000000004</v>
      </c>
      <c r="E23" s="31">
        <f t="shared" si="2"/>
        <v>4.9000000000000004</v>
      </c>
      <c r="F23" s="14"/>
      <c r="G23" s="14"/>
      <c r="H23" s="10"/>
      <c r="I23" s="10"/>
      <c r="J23" s="10"/>
      <c r="K23" s="10"/>
      <c r="L23" s="10"/>
      <c r="M23" s="10"/>
      <c r="N23" s="21"/>
      <c r="O23" s="22"/>
    </row>
    <row r="24" spans="1:15" ht="36">
      <c r="A24" s="12">
        <v>2070104</v>
      </c>
      <c r="B24" s="13" t="s">
        <v>36</v>
      </c>
      <c r="C24" s="10">
        <v>10.52</v>
      </c>
      <c r="D24" s="14">
        <v>10.52</v>
      </c>
      <c r="E24" s="31">
        <f t="shared" si="2"/>
        <v>10.52</v>
      </c>
      <c r="F24" s="14"/>
      <c r="G24" s="14"/>
      <c r="H24" s="10"/>
      <c r="I24" s="10"/>
      <c r="J24" s="10"/>
      <c r="K24" s="10"/>
      <c r="L24" s="10"/>
      <c r="M24" s="10"/>
      <c r="N24" s="21"/>
      <c r="O24" s="22"/>
    </row>
    <row r="25" spans="1:15" ht="24">
      <c r="A25" s="12">
        <v>2070104</v>
      </c>
      <c r="B25" s="13" t="s">
        <v>37</v>
      </c>
      <c r="C25" s="10">
        <v>19.59</v>
      </c>
      <c r="D25" s="14">
        <v>19.59</v>
      </c>
      <c r="E25" s="31">
        <f t="shared" si="2"/>
        <v>19.59</v>
      </c>
      <c r="F25" s="14"/>
      <c r="G25" s="14"/>
      <c r="H25" s="10"/>
      <c r="I25" s="10"/>
      <c r="J25" s="10"/>
      <c r="K25" s="10"/>
      <c r="L25" s="10"/>
      <c r="M25" s="10"/>
      <c r="N25" s="21"/>
      <c r="O25" s="22"/>
    </row>
    <row r="26" spans="1:15" ht="48">
      <c r="A26" s="12">
        <v>2070104</v>
      </c>
      <c r="B26" s="13" t="s">
        <v>38</v>
      </c>
      <c r="C26" s="10">
        <v>2.5</v>
      </c>
      <c r="D26" s="14">
        <v>2.5</v>
      </c>
      <c r="E26" s="31">
        <f t="shared" si="2"/>
        <v>2.5</v>
      </c>
      <c r="F26" s="14"/>
      <c r="G26" s="14"/>
      <c r="H26" s="10"/>
      <c r="I26" s="10"/>
      <c r="J26" s="10"/>
      <c r="K26" s="10"/>
      <c r="L26" s="10"/>
      <c r="M26" s="10"/>
      <c r="N26" s="21"/>
      <c r="O26" s="22"/>
    </row>
    <row r="27" spans="1:15">
      <c r="E27" s="15">
        <f t="shared" ref="E27:E51" si="3">D27</f>
        <v>0</v>
      </c>
    </row>
    <row r="28" spans="1:15">
      <c r="E28" s="15">
        <f t="shared" si="3"/>
        <v>0</v>
      </c>
    </row>
    <row r="29" spans="1:15">
      <c r="E29" s="15">
        <f t="shared" si="3"/>
        <v>0</v>
      </c>
    </row>
    <row r="30" spans="1:15">
      <c r="E30" s="15">
        <f t="shared" si="3"/>
        <v>0</v>
      </c>
    </row>
    <row r="31" spans="1:15">
      <c r="E31" s="15">
        <f t="shared" si="3"/>
        <v>0</v>
      </c>
    </row>
    <row r="32" spans="1:15">
      <c r="E32" s="15">
        <f t="shared" si="3"/>
        <v>0</v>
      </c>
    </row>
    <row r="33" spans="5:5">
      <c r="E33" s="15">
        <f t="shared" si="3"/>
        <v>0</v>
      </c>
    </row>
    <row r="34" spans="5:5">
      <c r="E34" s="15">
        <f t="shared" si="3"/>
        <v>0</v>
      </c>
    </row>
    <row r="35" spans="5:5">
      <c r="E35" s="15">
        <f t="shared" si="3"/>
        <v>0</v>
      </c>
    </row>
    <row r="36" spans="5:5">
      <c r="E36" s="15">
        <f t="shared" si="3"/>
        <v>0</v>
      </c>
    </row>
    <row r="37" spans="5:5">
      <c r="E37" s="15">
        <f t="shared" si="3"/>
        <v>0</v>
      </c>
    </row>
    <row r="38" spans="5:5">
      <c r="E38" s="15">
        <f t="shared" si="3"/>
        <v>0</v>
      </c>
    </row>
    <row r="39" spans="5:5">
      <c r="E39" s="15">
        <f t="shared" si="3"/>
        <v>0</v>
      </c>
    </row>
    <row r="40" spans="5:5">
      <c r="E40" s="15">
        <f t="shared" si="3"/>
        <v>0</v>
      </c>
    </row>
    <row r="41" spans="5:5">
      <c r="E41" s="15">
        <f t="shared" si="3"/>
        <v>0</v>
      </c>
    </row>
    <row r="42" spans="5:5">
      <c r="E42" s="15">
        <f t="shared" si="3"/>
        <v>0</v>
      </c>
    </row>
    <row r="43" spans="5:5">
      <c r="E43" s="15">
        <f t="shared" si="3"/>
        <v>0</v>
      </c>
    </row>
    <row r="44" spans="5:5">
      <c r="E44" s="15">
        <f t="shared" si="3"/>
        <v>0</v>
      </c>
    </row>
    <row r="45" spans="5:5">
      <c r="E45" s="15">
        <f t="shared" si="3"/>
        <v>0</v>
      </c>
    </row>
    <row r="46" spans="5:5">
      <c r="E46" s="15">
        <f t="shared" si="3"/>
        <v>0</v>
      </c>
    </row>
    <row r="47" spans="5:5">
      <c r="E47" s="15">
        <f t="shared" si="3"/>
        <v>0</v>
      </c>
    </row>
    <row r="48" spans="5:5">
      <c r="E48" s="15">
        <f t="shared" si="3"/>
        <v>0</v>
      </c>
    </row>
    <row r="49" spans="5:5">
      <c r="E49" s="15">
        <f t="shared" si="3"/>
        <v>0</v>
      </c>
    </row>
    <row r="50" spans="5:5">
      <c r="E50" s="15">
        <f t="shared" si="3"/>
        <v>0</v>
      </c>
    </row>
    <row r="51" spans="5:5">
      <c r="E51" s="15">
        <f t="shared" si="3"/>
        <v>0</v>
      </c>
    </row>
    <row r="52" spans="5:5">
      <c r="E52" s="15">
        <f t="shared" ref="E52:E67" si="4">D52</f>
        <v>0</v>
      </c>
    </row>
    <row r="53" spans="5:5">
      <c r="E53" s="15">
        <f t="shared" si="4"/>
        <v>0</v>
      </c>
    </row>
    <row r="54" spans="5:5">
      <c r="E54" s="15">
        <f t="shared" si="4"/>
        <v>0</v>
      </c>
    </row>
    <row r="55" spans="5:5">
      <c r="E55" s="15">
        <f t="shared" si="4"/>
        <v>0</v>
      </c>
    </row>
    <row r="56" spans="5:5">
      <c r="E56" s="15">
        <f t="shared" si="4"/>
        <v>0</v>
      </c>
    </row>
    <row r="57" spans="5:5">
      <c r="E57" s="15">
        <f t="shared" si="4"/>
        <v>0</v>
      </c>
    </row>
    <row r="58" spans="5:5">
      <c r="E58" s="15">
        <f t="shared" si="4"/>
        <v>0</v>
      </c>
    </row>
    <row r="59" spans="5:5">
      <c r="E59" s="15">
        <f t="shared" si="4"/>
        <v>0</v>
      </c>
    </row>
    <row r="60" spans="5:5">
      <c r="E60" s="15">
        <f t="shared" si="4"/>
        <v>0</v>
      </c>
    </row>
    <row r="61" spans="5:5">
      <c r="E61" s="15">
        <f t="shared" si="4"/>
        <v>0</v>
      </c>
    </row>
    <row r="62" spans="5:5">
      <c r="E62" s="15">
        <f t="shared" si="4"/>
        <v>0</v>
      </c>
    </row>
    <row r="63" spans="5:5">
      <c r="E63" s="15">
        <f t="shared" si="4"/>
        <v>0</v>
      </c>
    </row>
    <row r="64" spans="5:5">
      <c r="E64" s="15">
        <f t="shared" si="4"/>
        <v>0</v>
      </c>
    </row>
    <row r="65" spans="5:5">
      <c r="E65" s="15">
        <f t="shared" si="4"/>
        <v>0</v>
      </c>
    </row>
    <row r="66" spans="5:5">
      <c r="E66" s="15">
        <f t="shared" si="4"/>
        <v>0</v>
      </c>
    </row>
    <row r="67" spans="5:5">
      <c r="E67" s="15">
        <f t="shared" si="4"/>
        <v>0</v>
      </c>
    </row>
    <row r="68" spans="5:5">
      <c r="E68" s="23"/>
    </row>
    <row r="69" spans="5:5">
      <c r="E69" s="23"/>
    </row>
    <row r="70" spans="5:5">
      <c r="E70" s="23"/>
    </row>
    <row r="71" spans="5:5">
      <c r="E71" s="23"/>
    </row>
    <row r="72" spans="5:5">
      <c r="E72" s="23"/>
    </row>
    <row r="73" spans="5:5">
      <c r="E73" s="23"/>
    </row>
    <row r="74" spans="5:5">
      <c r="E74" s="23"/>
    </row>
    <row r="75" spans="5:5">
      <c r="E75" s="23"/>
    </row>
    <row r="76" spans="5:5">
      <c r="E76" s="23"/>
    </row>
    <row r="77" spans="5:5">
      <c r="E77" s="23"/>
    </row>
    <row r="78" spans="5:5">
      <c r="E78" s="23"/>
    </row>
    <row r="79" spans="5:5">
      <c r="E79" s="23"/>
    </row>
    <row r="80" spans="5:5">
      <c r="E80" s="23"/>
    </row>
  </sheetData>
  <sheetProtection formatCells="0" formatColumns="0" formatRows="0"/>
  <mergeCells count="8">
    <mergeCell ref="A2:O2"/>
    <mergeCell ref="A4:A5"/>
    <mergeCell ref="B4:B5"/>
    <mergeCell ref="C4:C5"/>
    <mergeCell ref="L4:L5"/>
    <mergeCell ref="M4:M5"/>
    <mergeCell ref="N4:N5"/>
    <mergeCell ref="O4:O5"/>
  </mergeCells>
  <phoneticPr fontId="1" type="noConversion"/>
  <pageMargins left="0.88888888888888895" right="0.39305555555555599" top="0.78680555555555598" bottom="0.59027777777777801" header="0.51180555555555596" footer="0.39305555555555599"/>
  <pageSetup paperSize="9" orientation="landscape" horizontalDpi="300" verticalDpi="300" r:id="rId1"/>
  <headerFooter alignWithMargins="0">
    <oddFooter>&amp;C第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lenovo</cp:lastModifiedBy>
  <cp:lastPrinted>2016-02-17T01:45:00Z</cp:lastPrinted>
  <dcterms:created xsi:type="dcterms:W3CDTF">2014-10-26T02:43:00Z</dcterms:created>
  <dcterms:modified xsi:type="dcterms:W3CDTF">2017-02-13T00:46:59Z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