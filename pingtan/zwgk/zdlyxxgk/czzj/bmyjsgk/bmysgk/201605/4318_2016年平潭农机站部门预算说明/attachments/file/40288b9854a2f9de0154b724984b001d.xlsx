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415" activeTab="3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14210"/>
</workbook>
</file>

<file path=xl/calcChain.xml><?xml version="1.0" encoding="utf-8"?>
<calcChain xmlns="http://schemas.openxmlformats.org/spreadsheetml/2006/main">
  <c r="F20" i="1"/>
  <c r="D7" i="3"/>
  <c r="I7"/>
  <c r="E7"/>
  <c r="E9" i="4"/>
  <c r="P9"/>
  <c r="X9"/>
  <c r="C9"/>
</calcChain>
</file>

<file path=xl/sharedStrings.xml><?xml version="1.0" encoding="utf-8"?>
<sst xmlns="http://schemas.openxmlformats.org/spreadsheetml/2006/main" count="228" uniqueCount="174">
  <si>
    <t>2016年收支预算总表</t>
    <phoneticPr fontId="2" type="noConversion"/>
  </si>
  <si>
    <t>单位：万元</t>
    <phoneticPr fontId="2" type="noConversion"/>
  </si>
  <si>
    <t>收入</t>
    <phoneticPr fontId="2" type="noConversion"/>
  </si>
  <si>
    <t>支出</t>
    <phoneticPr fontId="2" type="noConversion"/>
  </si>
  <si>
    <t>项目</t>
    <phoneticPr fontId="2" type="noConversion"/>
  </si>
  <si>
    <t>2016年预算</t>
    <phoneticPr fontId="2" type="noConversion"/>
  </si>
  <si>
    <t>一、公共财政预算拨款</t>
    <phoneticPr fontId="2" type="noConversion"/>
  </si>
  <si>
    <t>一、基本支出</t>
    <phoneticPr fontId="2" type="noConversion"/>
  </si>
  <si>
    <t>一、工资福利支出</t>
    <phoneticPr fontId="2" type="noConversion"/>
  </si>
  <si>
    <t>　　区级公共财政预算拨款　</t>
    <phoneticPr fontId="2" type="noConversion"/>
  </si>
  <si>
    <t xml:space="preserve">    人员支出</t>
    <phoneticPr fontId="2" type="noConversion"/>
  </si>
  <si>
    <t>二、商品和服务支出</t>
    <phoneticPr fontId="2" type="noConversion"/>
  </si>
  <si>
    <t xml:space="preserve">    公共财政预算拨款补助</t>
    <phoneticPr fontId="2" type="noConversion"/>
  </si>
  <si>
    <t xml:space="preserve">    对个人和家庭的补助</t>
    <phoneticPr fontId="2" type="noConversion"/>
  </si>
  <si>
    <t>三、对个人和家庭的补助</t>
    <phoneticPr fontId="2" type="noConversion"/>
  </si>
  <si>
    <t>　　办案费补助返还</t>
    <phoneticPr fontId="2" type="noConversion"/>
  </si>
  <si>
    <t xml:space="preserve">    公用支出</t>
    <phoneticPr fontId="2" type="noConversion"/>
  </si>
  <si>
    <t>四、对企事业单位的补贴</t>
    <phoneticPr fontId="2" type="noConversion"/>
  </si>
  <si>
    <t>　　行政事业性收费及专项收入</t>
    <phoneticPr fontId="2" type="noConversion"/>
  </si>
  <si>
    <t>二、项目支出</t>
    <phoneticPr fontId="2" type="noConversion"/>
  </si>
  <si>
    <t>五、转移支付</t>
    <phoneticPr fontId="2" type="noConversion"/>
  </si>
  <si>
    <t xml:space="preserve">    财政转移支付补助</t>
    <phoneticPr fontId="2" type="noConversion"/>
  </si>
  <si>
    <t xml:space="preserve">    专项业务费</t>
    <phoneticPr fontId="2" type="noConversion"/>
  </si>
  <si>
    <t>六、债务利息支出</t>
    <phoneticPr fontId="2" type="noConversion"/>
  </si>
  <si>
    <t>二、基金预算财政拨款</t>
    <phoneticPr fontId="2" type="noConversion"/>
  </si>
  <si>
    <t xml:space="preserve">    部门发展专项</t>
    <phoneticPr fontId="2" type="noConversion"/>
  </si>
  <si>
    <t>七、基本建设支出</t>
    <phoneticPr fontId="2" type="noConversion"/>
  </si>
  <si>
    <t xml:space="preserve">    区级基金预算拨款</t>
    <phoneticPr fontId="2" type="noConversion"/>
  </si>
  <si>
    <t xml:space="preserve">    社会发展专项</t>
    <phoneticPr fontId="2" type="noConversion"/>
  </si>
  <si>
    <t>八、其他资本性支出</t>
    <phoneticPr fontId="2" type="noConversion"/>
  </si>
  <si>
    <t xml:space="preserve">    财政转移支付补助（基金）</t>
    <phoneticPr fontId="2" type="noConversion"/>
  </si>
  <si>
    <t>九、其他支出</t>
    <phoneticPr fontId="2" type="noConversion"/>
  </si>
  <si>
    <t>三、财政代管资金</t>
    <phoneticPr fontId="2" type="noConversion"/>
  </si>
  <si>
    <t>四、财政专户</t>
    <phoneticPr fontId="2" type="noConversion"/>
  </si>
  <si>
    <t>五、单位结余、结转资金</t>
    <phoneticPr fontId="2" type="noConversion"/>
  </si>
  <si>
    <t>三、对附属单位补助支出</t>
    <phoneticPr fontId="2" type="noConversion"/>
  </si>
  <si>
    <t>六、单位其他收入</t>
    <phoneticPr fontId="2" type="noConversion"/>
  </si>
  <si>
    <t>四、上缴上级支出</t>
    <phoneticPr fontId="2" type="noConversion"/>
  </si>
  <si>
    <t>七、上级补助收入</t>
    <phoneticPr fontId="2" type="noConversion"/>
  </si>
  <si>
    <t>本年收入合计</t>
    <phoneticPr fontId="2" type="noConversion"/>
  </si>
  <si>
    <t>本年支出合计</t>
    <phoneticPr fontId="2" type="noConversion"/>
  </si>
  <si>
    <t>2016年部门预算收入预算总表</t>
    <phoneticPr fontId="7" type="noConversion"/>
  </si>
  <si>
    <t>单位：万元</t>
    <phoneticPr fontId="7" type="noConversion"/>
  </si>
  <si>
    <t>总计</t>
    <phoneticPr fontId="7" type="noConversion"/>
  </si>
  <si>
    <t>公共财政预算拨款</t>
    <phoneticPr fontId="7" type="noConversion"/>
  </si>
  <si>
    <t>基金预算财政拨款</t>
    <phoneticPr fontId="7" type="noConversion"/>
  </si>
  <si>
    <t>财政代管资金拨款</t>
    <phoneticPr fontId="7" type="noConversion"/>
  </si>
  <si>
    <t>财政专户拨款</t>
    <phoneticPr fontId="7" type="noConversion"/>
  </si>
  <si>
    <t>单位结余结转资金</t>
    <phoneticPr fontId="7" type="noConversion"/>
  </si>
  <si>
    <t>单位其他收入</t>
    <phoneticPr fontId="7" type="noConversion"/>
  </si>
  <si>
    <t>小计</t>
    <phoneticPr fontId="7" type="noConversion"/>
  </si>
  <si>
    <t>财政转移支付补助</t>
    <phoneticPr fontId="7" type="noConversion"/>
  </si>
  <si>
    <t>基金预算拨款</t>
    <phoneticPr fontId="7" type="noConversion"/>
  </si>
  <si>
    <t>财政转移支付补助（基金）</t>
    <phoneticPr fontId="7" type="noConversion"/>
  </si>
  <si>
    <t>2016年支出预算总表</t>
    <phoneticPr fontId="2" type="noConversion"/>
  </si>
  <si>
    <t>单位：万元</t>
  </si>
  <si>
    <t>科目编码</t>
  </si>
  <si>
    <t>单位名称</t>
  </si>
  <si>
    <t>科目名称</t>
  </si>
  <si>
    <t>总计</t>
  </si>
  <si>
    <t>基本支出</t>
  </si>
  <si>
    <t>项目支出</t>
  </si>
  <si>
    <t>上缴上级支出</t>
  </si>
  <si>
    <t>对附属单位补助支出</t>
  </si>
  <si>
    <t>小计</t>
  </si>
  <si>
    <t>人员支出</t>
  </si>
  <si>
    <t>对个人和家庭的补助支出</t>
  </si>
  <si>
    <t>公用支出</t>
  </si>
  <si>
    <t>专项业务费</t>
  </si>
  <si>
    <t>部门发展</t>
  </si>
  <si>
    <t>社会发展</t>
  </si>
  <si>
    <t>*</t>
  </si>
  <si>
    <t>合计</t>
  </si>
  <si>
    <t>平潭2016年部门预算支出批复明细表</t>
    <phoneticPr fontId="2" type="noConversion"/>
  </si>
  <si>
    <t>单位：万元</t>
    <phoneticPr fontId="2" type="noConversion"/>
  </si>
  <si>
    <t>预算代码</t>
  </si>
  <si>
    <t>公共财政预算支出小计</t>
  </si>
  <si>
    <t>公共财政预算支出</t>
  </si>
  <si>
    <t>基金预算支出</t>
  </si>
  <si>
    <t>经营服务性支出及代管资金</t>
  </si>
  <si>
    <t>单位结余和结转资金</t>
  </si>
  <si>
    <t>备注</t>
  </si>
  <si>
    <t>人员经费</t>
  </si>
  <si>
    <t>学生助学金</t>
  </si>
  <si>
    <t>其他对个人和家庭补助支出</t>
  </si>
  <si>
    <t>公用经费</t>
  </si>
  <si>
    <t xml:space="preserve">在职人员工资及福利费 </t>
  </si>
  <si>
    <t>离退休 人员经费</t>
  </si>
  <si>
    <t>住房公积金</t>
  </si>
  <si>
    <t>提租补贴</t>
  </si>
  <si>
    <t>在职人员年金</t>
  </si>
  <si>
    <t>养老保险</t>
  </si>
  <si>
    <t>医保社保生育工伤</t>
  </si>
  <si>
    <t>临时人员工资和其他人员支出</t>
  </si>
  <si>
    <t>定额公用经费</t>
  </si>
  <si>
    <t>通讯和误餐费补贴</t>
  </si>
  <si>
    <t>车辆经费</t>
  </si>
  <si>
    <t>生均公用经费及教师代课费</t>
  </si>
  <si>
    <t>公车改革补贴</t>
  </si>
  <si>
    <t>小岛交通补贴</t>
  </si>
  <si>
    <t>其他公用支出</t>
  </si>
  <si>
    <t>部门发展专项</t>
  </si>
  <si>
    <t>社会发展性项目支出</t>
  </si>
  <si>
    <t>**</t>
  </si>
  <si>
    <t>2016年政府采购（含购买服务）及资产购置预算表</t>
    <phoneticPr fontId="7" type="noConversion"/>
  </si>
  <si>
    <t>单位：</t>
    <phoneticPr fontId="7" type="noConversion"/>
  </si>
  <si>
    <t>单位：万元</t>
    <phoneticPr fontId="7" type="noConversion"/>
  </si>
  <si>
    <t>是否属于政府采购预算编制范围</t>
    <phoneticPr fontId="7" type="noConversion"/>
  </si>
  <si>
    <t>是否属于资产购置预算编制范围</t>
    <phoneticPr fontId="7" type="noConversion"/>
  </si>
  <si>
    <t>项目</t>
    <phoneticPr fontId="7" type="noConversion"/>
  </si>
  <si>
    <t>采购组织形式</t>
    <phoneticPr fontId="7" type="noConversion"/>
  </si>
  <si>
    <t>专门面向中小企业（含监狱企业）</t>
    <phoneticPr fontId="7" type="noConversion"/>
  </si>
  <si>
    <t>数量</t>
    <phoneticPr fontId="7" type="noConversion"/>
  </si>
  <si>
    <t>计量单位</t>
    <phoneticPr fontId="7" type="noConversion"/>
  </si>
  <si>
    <t>单位</t>
    <phoneticPr fontId="7" type="noConversion"/>
  </si>
  <si>
    <t>资金来源</t>
    <phoneticPr fontId="7" type="noConversion"/>
  </si>
  <si>
    <t>采购项目</t>
    <phoneticPr fontId="7" type="noConversion"/>
  </si>
  <si>
    <t>品目名称</t>
    <phoneticPr fontId="7" type="noConversion"/>
  </si>
  <si>
    <t>资产类别</t>
    <phoneticPr fontId="7" type="noConversion"/>
  </si>
  <si>
    <t>资产名称</t>
    <phoneticPr fontId="7" type="noConversion"/>
  </si>
  <si>
    <t>总计</t>
    <phoneticPr fontId="7" type="noConversion"/>
  </si>
  <si>
    <t>公共财政预算拨款</t>
    <phoneticPr fontId="7" type="noConversion"/>
  </si>
  <si>
    <t>基金预算拨款</t>
    <phoneticPr fontId="7" type="noConversion"/>
  </si>
  <si>
    <t>财政代管资金拨款</t>
    <phoneticPr fontId="7" type="noConversion"/>
  </si>
  <si>
    <t>财政专户拨款</t>
    <phoneticPr fontId="7" type="noConversion"/>
  </si>
  <si>
    <t>单位结余结转资金</t>
    <phoneticPr fontId="7" type="noConversion"/>
  </si>
  <si>
    <t>单位其他收入</t>
    <phoneticPr fontId="7" type="noConversion"/>
  </si>
  <si>
    <t>需求时间</t>
    <phoneticPr fontId="7" type="noConversion"/>
  </si>
  <si>
    <t>购置理由</t>
    <phoneticPr fontId="7" type="noConversion"/>
  </si>
  <si>
    <t>通用类</t>
    <phoneticPr fontId="7" type="noConversion"/>
  </si>
  <si>
    <t>非通用类</t>
    <phoneticPr fontId="7" type="noConversion"/>
  </si>
  <si>
    <t>公共财政预算拨款小计</t>
    <phoneticPr fontId="7" type="noConversion"/>
  </si>
  <si>
    <t>预算拨款补助</t>
    <phoneticPr fontId="7" type="noConversion"/>
  </si>
  <si>
    <t>办案费补助</t>
    <phoneticPr fontId="7" type="noConversion"/>
  </si>
  <si>
    <t>**</t>
    <phoneticPr fontId="7" type="noConversion"/>
  </si>
  <si>
    <t/>
  </si>
  <si>
    <t>2016年“三公经费”支出预算表</t>
    <phoneticPr fontId="2" type="noConversion"/>
  </si>
  <si>
    <t>项目</t>
  </si>
  <si>
    <t>本年预算数</t>
  </si>
  <si>
    <t>1、因公出国（境）费用</t>
  </si>
  <si>
    <t>2、公务接待费</t>
  </si>
  <si>
    <t>3、公务用车费</t>
  </si>
  <si>
    <t>其中：（1）公务用车运行维护费</t>
    <phoneticPr fontId="2" type="noConversion"/>
  </si>
  <si>
    <t xml:space="preserve">      （2）公务用车购置费</t>
    <phoneticPr fontId="2" type="noConversion"/>
  </si>
  <si>
    <t>单位：平潭综合试验区农业机械管理站</t>
    <phoneticPr fontId="7" type="noConversion"/>
  </si>
  <si>
    <t>单位：平潭综合试验区农业机械管理站</t>
    <phoneticPr fontId="2" type="noConversion"/>
  </si>
  <si>
    <t>单位：平潭综合试验区农业机械管理站</t>
    <phoneticPr fontId="2" type="noConversion"/>
  </si>
  <si>
    <t>21301</t>
    <phoneticPr fontId="1" type="noConversion"/>
  </si>
  <si>
    <t>农业</t>
    <phoneticPr fontId="1" type="noConversion"/>
  </si>
  <si>
    <t>【2130103】机关服务</t>
    <phoneticPr fontId="1" type="noConversion"/>
  </si>
  <si>
    <t>在职人员基本工资</t>
    <phoneticPr fontId="1" type="noConversion"/>
  </si>
  <si>
    <t>在职人员地方津补贴</t>
    <phoneticPr fontId="1" type="noConversion"/>
  </si>
  <si>
    <t>在职人员年终一个月奖金</t>
    <phoneticPr fontId="1" type="noConversion"/>
  </si>
  <si>
    <t>在职人员防暑降温费</t>
    <phoneticPr fontId="1" type="noConversion"/>
  </si>
  <si>
    <t>在职人员医疗保险</t>
    <phoneticPr fontId="1" type="noConversion"/>
  </si>
  <si>
    <t>在职人员工伤保险</t>
    <phoneticPr fontId="1" type="noConversion"/>
  </si>
  <si>
    <t>在职人员生育保险</t>
    <phoneticPr fontId="1" type="noConversion"/>
  </si>
  <si>
    <t>在职人员养老保险</t>
    <phoneticPr fontId="1" type="noConversion"/>
  </si>
  <si>
    <t>在职人员年金</t>
    <phoneticPr fontId="1" type="noConversion"/>
  </si>
  <si>
    <t>综合定额公用经费</t>
    <phoneticPr fontId="1" type="noConversion"/>
  </si>
  <si>
    <t>误餐及通讯补贴</t>
    <phoneticPr fontId="1" type="noConversion"/>
  </si>
  <si>
    <t>公务用车运行费</t>
    <phoneticPr fontId="1" type="noConversion"/>
  </si>
  <si>
    <t>其他人员支出（自收自支人员）</t>
    <phoneticPr fontId="1" type="noConversion"/>
  </si>
  <si>
    <t>其他人员支出</t>
  </si>
  <si>
    <t>拖拉机报废补贴资金</t>
    <phoneticPr fontId="1" type="noConversion"/>
  </si>
  <si>
    <t>农机购置.农机免费管理等经费</t>
    <phoneticPr fontId="1" type="noConversion"/>
  </si>
  <si>
    <t>农机安全检查及监管工作经费</t>
    <phoneticPr fontId="1" type="noConversion"/>
  </si>
  <si>
    <t>农机装备建设经费</t>
    <phoneticPr fontId="1" type="noConversion"/>
  </si>
  <si>
    <t>22102</t>
    <phoneticPr fontId="1" type="noConversion"/>
  </si>
  <si>
    <t>【2210201】住房公积金</t>
    <phoneticPr fontId="1" type="noConversion"/>
  </si>
  <si>
    <t>【2210202】提租补贴</t>
    <phoneticPr fontId="1" type="noConversion"/>
  </si>
  <si>
    <t>住房改革支出</t>
    <phoneticPr fontId="1" type="noConversion"/>
  </si>
  <si>
    <t>在职人员住房公积金</t>
    <phoneticPr fontId="1" type="noConversion"/>
  </si>
  <si>
    <t>在职人员改革性补贴（提租补贴）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</si>
</sst>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#,##0.00_ "/>
    <numFmt numFmtId="177" formatCode="0.00_);[Red]\(0.00\)"/>
  </numFmts>
  <fonts count="20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9"/>
      <name val="宋体"/>
      <charset val="134"/>
    </font>
    <font>
      <b/>
      <sz val="18"/>
      <color indexed="8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b/>
      <sz val="11"/>
      <color indexed="8"/>
      <name val="宋体"/>
      <charset val="134"/>
    </font>
    <font>
      <sz val="12"/>
      <name val="宋体"/>
      <charset val="134"/>
    </font>
    <font>
      <sz val="16"/>
      <name val="方正小标宋简体"/>
      <charset val="134"/>
    </font>
    <font>
      <sz val="12"/>
      <name val="楷体_GB2312"/>
      <family val="3"/>
      <charset val="134"/>
    </font>
    <font>
      <sz val="12"/>
      <name val="宋体"/>
      <charset val="134"/>
    </font>
    <font>
      <b/>
      <sz val="12"/>
      <name val="宋体"/>
      <charset val="134"/>
    </font>
    <font>
      <sz val="12"/>
      <name val="华文中宋"/>
      <charset val="13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4" fillId="0" borderId="0"/>
    <xf numFmtId="0" fontId="7" fillId="0" borderId="0">
      <alignment vertical="center"/>
    </xf>
    <xf numFmtId="0" fontId="7" fillId="0" borderId="0">
      <alignment vertical="center"/>
    </xf>
  </cellStyleXfs>
  <cellXfs count="139">
    <xf numFmtId="0" fontId="0" fillId="0" borderId="0" xfId="0">
      <alignment vertical="center"/>
    </xf>
    <xf numFmtId="0" fontId="2" fillId="0" borderId="0" xfId="1" applyFill="1">
      <alignment vertical="center"/>
    </xf>
    <xf numFmtId="0" fontId="2" fillId="0" borderId="0" xfId="1">
      <alignment vertical="center"/>
    </xf>
    <xf numFmtId="0" fontId="2" fillId="0" borderId="0" xfId="1" applyFont="1" applyAlignment="1">
      <alignment horizontal="right" vertical="center"/>
    </xf>
    <xf numFmtId="0" fontId="3" fillId="0" borderId="0" xfId="1" applyFont="1" applyAlignment="1">
      <alignment horizontal="centerContinuous" vertical="center"/>
    </xf>
    <xf numFmtId="49" fontId="2" fillId="0" borderId="0" xfId="1" applyNumberFormat="1" applyFont="1" applyFill="1">
      <alignment vertical="center"/>
    </xf>
    <xf numFmtId="0" fontId="2" fillId="0" borderId="0" xfId="1" applyFont="1" applyFill="1">
      <alignment vertical="center"/>
    </xf>
    <xf numFmtId="0" fontId="2" fillId="0" borderId="0" xfId="1" applyFont="1" applyFill="1" applyAlignment="1">
      <alignment horizontal="right" vertical="center"/>
    </xf>
    <xf numFmtId="0" fontId="4" fillId="0" borderId="1" xfId="1" applyFont="1" applyBorder="1" applyAlignment="1">
      <alignment horizontal="centerContinuous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Fill="1" applyBorder="1">
      <alignment vertical="center"/>
    </xf>
    <xf numFmtId="4" fontId="6" fillId="0" borderId="1" xfId="1" applyNumberFormat="1" applyFont="1" applyFill="1" applyBorder="1" applyAlignment="1">
      <alignment horizontal="right" vertical="center" wrapText="1"/>
    </xf>
    <xf numFmtId="0" fontId="6" fillId="0" borderId="1" xfId="1" applyFont="1" applyFill="1" applyBorder="1" applyAlignment="1">
      <alignment horizontal="left" vertical="center"/>
    </xf>
    <xf numFmtId="0" fontId="6" fillId="0" borderId="1" xfId="1" applyFont="1" applyFill="1" applyBorder="1">
      <alignment vertical="center"/>
    </xf>
    <xf numFmtId="0" fontId="2" fillId="0" borderId="1" xfId="1" applyFill="1" applyBorder="1" applyAlignment="1">
      <alignment horizontal="left" vertical="center"/>
    </xf>
    <xf numFmtId="4" fontId="2" fillId="0" borderId="0" xfId="1" applyNumberFormat="1" applyFill="1">
      <alignment vertical="center"/>
    </xf>
    <xf numFmtId="4" fontId="2" fillId="0" borderId="1" xfId="1" applyNumberFormat="1" applyFill="1" applyBorder="1">
      <alignment vertical="center"/>
    </xf>
    <xf numFmtId="0" fontId="6" fillId="0" borderId="1" xfId="1" applyFont="1" applyFill="1" applyBorder="1" applyAlignment="1">
      <alignment horizontal="right" vertical="center" wrapText="1"/>
    </xf>
    <xf numFmtId="176" fontId="6" fillId="0" borderId="1" xfId="1" applyNumberFormat="1" applyFont="1" applyFill="1" applyBorder="1" applyAlignment="1">
      <alignment horizontal="right" vertical="center" wrapText="1"/>
    </xf>
    <xf numFmtId="0" fontId="4" fillId="0" borderId="1" xfId="1" applyFont="1" applyFill="1" applyBorder="1" applyAlignment="1">
      <alignment horizontal="center" vertical="center"/>
    </xf>
    <xf numFmtId="0" fontId="7" fillId="0" borderId="0" xfId="3">
      <alignment vertical="center"/>
    </xf>
    <xf numFmtId="0" fontId="7" fillId="0" borderId="0" xfId="3" applyAlignment="1">
      <alignment horizontal="right" vertical="center"/>
    </xf>
    <xf numFmtId="0" fontId="7" fillId="0" borderId="1" xfId="3" applyBorder="1" applyAlignment="1">
      <alignment horizontal="centerContinuous" vertical="center" wrapText="1"/>
    </xf>
    <xf numFmtId="0" fontId="7" fillId="0" borderId="1" xfId="3" applyBorder="1" applyAlignment="1">
      <alignment vertical="center" wrapText="1"/>
    </xf>
    <xf numFmtId="0" fontId="7" fillId="0" borderId="1" xfId="3" applyBorder="1" applyAlignment="1">
      <alignment horizontal="center" vertical="center"/>
    </xf>
    <xf numFmtId="4" fontId="7" fillId="0" borderId="1" xfId="3" applyNumberFormat="1" applyFill="1" applyBorder="1" applyAlignment="1">
      <alignment horizontal="center" vertical="center" wrapText="1"/>
    </xf>
    <xf numFmtId="0" fontId="7" fillId="0" borderId="0" xfId="3" applyFill="1">
      <alignment vertical="center"/>
    </xf>
    <xf numFmtId="0" fontId="3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9" fillId="0" borderId="0" xfId="0" applyFont="1" applyAlignment="1">
      <alignment horizontal="righ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NumberForma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left" vertical="center" wrapText="1"/>
    </xf>
    <xf numFmtId="4" fontId="0" fillId="0" borderId="1" xfId="0" applyNumberFormat="1" applyFill="1" applyBorder="1" applyAlignment="1">
      <alignment horizontal="right" vertical="center" wrapText="1"/>
    </xf>
    <xf numFmtId="0" fontId="0" fillId="0" borderId="0" xfId="0" applyFill="1">
      <alignment vertical="center"/>
    </xf>
    <xf numFmtId="0" fontId="11" fillId="0" borderId="0" xfId="0" applyFont="1">
      <alignment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1" fillId="0" borderId="3" xfId="0" applyNumberFormat="1" applyFont="1" applyFill="1" applyBorder="1" applyAlignment="1">
      <alignment horizontal="center" vertical="center" wrapText="1"/>
    </xf>
    <xf numFmtId="4" fontId="11" fillId="0" borderId="3" xfId="0" applyNumberFormat="1" applyFont="1" applyFill="1" applyBorder="1" applyAlignment="1">
      <alignment horizontal="center" vertical="center"/>
    </xf>
    <xf numFmtId="177" fontId="11" fillId="0" borderId="3" xfId="0" applyNumberFormat="1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  <xf numFmtId="4" fontId="11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49" fontId="12" fillId="0" borderId="3" xfId="0" applyNumberFormat="1" applyFont="1" applyFill="1" applyBorder="1" applyAlignment="1">
      <alignment horizontal="left" vertical="center" wrapText="1"/>
    </xf>
    <xf numFmtId="4" fontId="12" fillId="0" borderId="3" xfId="0" applyNumberFormat="1" applyFont="1" applyFill="1" applyBorder="1" applyAlignment="1">
      <alignment horizontal="right" vertical="center"/>
    </xf>
    <xf numFmtId="177" fontId="12" fillId="0" borderId="3" xfId="0" applyNumberFormat="1" applyFont="1" applyFill="1" applyBorder="1" applyAlignment="1">
      <alignment horizontal="right" vertical="center"/>
    </xf>
    <xf numFmtId="177" fontId="12" fillId="0" borderId="1" xfId="0" applyNumberFormat="1" applyFont="1" applyFill="1" applyBorder="1" applyAlignment="1">
      <alignment horizontal="right" vertical="center"/>
    </xf>
    <xf numFmtId="4" fontId="12" fillId="0" borderId="1" xfId="0" applyNumberFormat="1" applyFont="1" applyFill="1" applyBorder="1" applyAlignment="1">
      <alignment horizontal="right" vertical="center"/>
    </xf>
    <xf numFmtId="49" fontId="12" fillId="0" borderId="1" xfId="0" applyNumberFormat="1" applyFont="1" applyFill="1" applyBorder="1" applyAlignment="1">
      <alignment horizontal="right" vertical="center"/>
    </xf>
    <xf numFmtId="0" fontId="13" fillId="0" borderId="0" xfId="0" applyFont="1">
      <alignment vertical="center"/>
    </xf>
    <xf numFmtId="49" fontId="11" fillId="0" borderId="3" xfId="0" applyNumberFormat="1" applyFont="1" applyFill="1" applyBorder="1" applyAlignment="1">
      <alignment horizontal="left" vertical="center" wrapText="1"/>
    </xf>
    <xf numFmtId="4" fontId="11" fillId="0" borderId="3" xfId="0" applyNumberFormat="1" applyFont="1" applyFill="1" applyBorder="1" applyAlignment="1">
      <alignment horizontal="right" vertical="center"/>
    </xf>
    <xf numFmtId="177" fontId="11" fillId="0" borderId="3" xfId="0" applyNumberFormat="1" applyFont="1" applyFill="1" applyBorder="1" applyAlignment="1">
      <alignment horizontal="right" vertical="center"/>
    </xf>
    <xf numFmtId="177" fontId="11" fillId="0" borderId="1" xfId="0" applyNumberFormat="1" applyFont="1" applyFill="1" applyBorder="1" applyAlignment="1">
      <alignment horizontal="right" vertical="center"/>
    </xf>
    <xf numFmtId="4" fontId="11" fillId="0" borderId="1" xfId="0" applyNumberFormat="1" applyFont="1" applyFill="1" applyBorder="1" applyAlignment="1">
      <alignment horizontal="right" vertical="center"/>
    </xf>
    <xf numFmtId="49" fontId="11" fillId="0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vertical="center" wrapText="1"/>
    </xf>
    <xf numFmtId="0" fontId="7" fillId="0" borderId="0" xfId="4">
      <alignment vertical="center"/>
    </xf>
    <xf numFmtId="0" fontId="7" fillId="0" borderId="0" xfId="4" applyAlignment="1">
      <alignment horizontal="right" vertical="center"/>
    </xf>
    <xf numFmtId="0" fontId="7" fillId="0" borderId="1" xfId="4" applyBorder="1" applyAlignment="1">
      <alignment horizontal="centerContinuous" vertical="center" wrapText="1"/>
    </xf>
    <xf numFmtId="0" fontId="7" fillId="0" borderId="1" xfId="4" applyBorder="1" applyAlignment="1">
      <alignment horizontal="centerContinuous" vertical="center"/>
    </xf>
    <xf numFmtId="0" fontId="7" fillId="0" borderId="1" xfId="4" applyBorder="1">
      <alignment vertical="center"/>
    </xf>
    <xf numFmtId="0" fontId="7" fillId="0" borderId="1" xfId="4" applyBorder="1" applyAlignment="1">
      <alignment horizontal="center" vertical="center"/>
    </xf>
    <xf numFmtId="49" fontId="7" fillId="0" borderId="1" xfId="4" applyNumberFormat="1" applyFill="1" applyBorder="1">
      <alignment vertical="center"/>
    </xf>
    <xf numFmtId="49" fontId="7" fillId="0" borderId="1" xfId="4" applyNumberFormat="1" applyFill="1" applyBorder="1" applyAlignment="1">
      <alignment horizontal="left" vertical="center" wrapText="1"/>
    </xf>
    <xf numFmtId="4" fontId="7" fillId="0" borderId="1" xfId="4" applyNumberFormat="1" applyFill="1" applyBorder="1" applyAlignment="1">
      <alignment horizontal="center" vertical="center" wrapText="1"/>
    </xf>
    <xf numFmtId="4" fontId="7" fillId="0" borderId="1" xfId="4" applyNumberFormat="1" applyFill="1" applyBorder="1" applyAlignment="1">
      <alignment horizontal="right" vertical="center" wrapText="1"/>
    </xf>
    <xf numFmtId="49" fontId="7" fillId="0" borderId="1" xfId="4" applyNumberFormat="1" applyFill="1" applyBorder="1" applyAlignment="1">
      <alignment horizontal="right" vertical="center" wrapText="1"/>
    </xf>
    <xf numFmtId="0" fontId="7" fillId="0" borderId="0" xfId="4" applyFill="1">
      <alignment vertical="center"/>
    </xf>
    <xf numFmtId="0" fontId="14" fillId="0" borderId="0" xfId="2" applyFont="1" applyAlignment="1">
      <alignment vertical="center"/>
    </xf>
    <xf numFmtId="0" fontId="14" fillId="0" borderId="0" xfId="2" applyAlignment="1">
      <alignment horizontal="center"/>
    </xf>
    <xf numFmtId="0" fontId="14" fillId="0" borderId="0" xfId="2"/>
    <xf numFmtId="0" fontId="14" fillId="0" borderId="0" xfId="2" applyFont="1" applyAlignment="1"/>
    <xf numFmtId="0" fontId="14" fillId="0" borderId="0" xfId="2" applyFont="1"/>
    <xf numFmtId="0" fontId="16" fillId="0" borderId="0" xfId="2" applyFont="1"/>
    <xf numFmtId="0" fontId="17" fillId="0" borderId="1" xfId="2" applyFont="1" applyBorder="1" applyAlignment="1">
      <alignment horizontal="center" vertical="center"/>
    </xf>
    <xf numFmtId="0" fontId="17" fillId="0" borderId="1" xfId="2" applyFont="1" applyBorder="1" applyAlignment="1">
      <alignment vertical="center"/>
    </xf>
    <xf numFmtId="0" fontId="19" fillId="0" borderId="0" xfId="2" applyFont="1"/>
    <xf numFmtId="0" fontId="17" fillId="0" borderId="0" xfId="2" applyFont="1" applyAlignment="1">
      <alignment horizontal="right" vertical="center"/>
    </xf>
    <xf numFmtId="0" fontId="16" fillId="0" borderId="0" xfId="2" applyFont="1" applyBorder="1" applyAlignment="1">
      <alignment vertical="center"/>
    </xf>
    <xf numFmtId="0" fontId="18" fillId="0" borderId="1" xfId="2" applyFont="1" applyBorder="1" applyAlignment="1">
      <alignment horizontal="center" vertical="center"/>
    </xf>
    <xf numFmtId="0" fontId="17" fillId="0" borderId="1" xfId="2" applyFont="1" applyBorder="1" applyAlignment="1">
      <alignment horizontal="left" vertical="center" wrapText="1"/>
    </xf>
    <xf numFmtId="0" fontId="7" fillId="0" borderId="0" xfId="3" applyFont="1">
      <alignment vertical="center"/>
    </xf>
    <xf numFmtId="177" fontId="11" fillId="0" borderId="0" xfId="0" applyNumberFormat="1" applyFont="1">
      <alignment vertical="center"/>
    </xf>
    <xf numFmtId="0" fontId="8" fillId="0" borderId="0" xfId="3" applyFont="1" applyAlignment="1">
      <alignment horizontal="center" vertical="center"/>
    </xf>
    <xf numFmtId="0" fontId="7" fillId="0" borderId="5" xfId="3" applyBorder="1" applyAlignment="1">
      <alignment horizontal="center" vertical="center"/>
    </xf>
    <xf numFmtId="0" fontId="7" fillId="0" borderId="2" xfId="3" applyBorder="1" applyAlignment="1">
      <alignment horizontal="center" vertical="center"/>
    </xf>
    <xf numFmtId="0" fontId="7" fillId="0" borderId="5" xfId="3" applyBorder="1" applyAlignment="1">
      <alignment horizontal="center" vertical="center" wrapText="1"/>
    </xf>
    <xf numFmtId="0" fontId="7" fillId="0" borderId="2" xfId="3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0" borderId="5" xfId="4" applyBorder="1" applyAlignment="1">
      <alignment horizontal="center" vertical="center" wrapText="1"/>
    </xf>
    <xf numFmtId="0" fontId="7" fillId="0" borderId="15" xfId="4" applyBorder="1" applyAlignment="1">
      <alignment horizontal="center" vertical="center" wrapText="1"/>
    </xf>
    <xf numFmtId="0" fontId="7" fillId="0" borderId="2" xfId="4" applyBorder="1" applyAlignment="1">
      <alignment horizontal="center" vertical="center" wrapText="1"/>
    </xf>
    <xf numFmtId="0" fontId="7" fillId="0" borderId="1" xfId="4" applyBorder="1" applyAlignment="1">
      <alignment horizontal="center" vertical="center" wrapText="1"/>
    </xf>
    <xf numFmtId="0" fontId="8" fillId="0" borderId="0" xfId="4" applyFont="1" applyAlignment="1">
      <alignment horizontal="center" vertical="center"/>
    </xf>
    <xf numFmtId="0" fontId="7" fillId="0" borderId="9" xfId="4" applyBorder="1" applyAlignment="1">
      <alignment horizontal="left" vertical="center"/>
    </xf>
    <xf numFmtId="0" fontId="7" fillId="0" borderId="5" xfId="4" applyBorder="1" applyAlignment="1">
      <alignment vertical="center" wrapText="1"/>
    </xf>
    <xf numFmtId="0" fontId="7" fillId="0" borderId="15" xfId="4" applyBorder="1" applyAlignment="1">
      <alignment vertical="center" wrapText="1"/>
    </xf>
    <xf numFmtId="0" fontId="7" fillId="0" borderId="2" xfId="4" applyBorder="1" applyAlignment="1">
      <alignment vertical="center" wrapText="1"/>
    </xf>
    <xf numFmtId="0" fontId="7" fillId="0" borderId="6" xfId="4" applyBorder="1" applyAlignment="1">
      <alignment horizontal="center" vertical="center" wrapText="1"/>
    </xf>
    <xf numFmtId="0" fontId="7" fillId="0" borderId="7" xfId="4" applyBorder="1" applyAlignment="1">
      <alignment horizontal="center" vertical="center" wrapText="1"/>
    </xf>
    <xf numFmtId="0" fontId="7" fillId="0" borderId="8" xfId="4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</cellXfs>
  <cellStyles count="5">
    <cellStyle name="常规" xfId="0" builtinId="0"/>
    <cellStyle name="常规 4" xfId="1"/>
    <cellStyle name="常规 64" xfId="2"/>
    <cellStyle name="常规_06288AE0BF99009CE0530A34131A2B7F" xfId="3"/>
    <cellStyle name="常规_06288AE0BFA2009CE0530A34131A2B7F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1"/>
  <sheetViews>
    <sheetView topLeftCell="A4" workbookViewId="0">
      <selection activeCell="J17" sqref="J17"/>
    </sheetView>
  </sheetViews>
  <sheetFormatPr defaultRowHeight="11.25"/>
  <cols>
    <col min="1" max="1" width="32.75" style="2" customWidth="1"/>
    <col min="2" max="2" width="16.5" style="2" customWidth="1"/>
    <col min="3" max="3" width="19.25" style="2" customWidth="1"/>
    <col min="4" max="4" width="14.125" style="2" customWidth="1"/>
    <col min="5" max="5" width="21.5" style="2" customWidth="1"/>
    <col min="6" max="6" width="17.25" style="2" customWidth="1"/>
    <col min="7" max="16384" width="9" style="2"/>
  </cols>
  <sheetData>
    <row r="1" spans="1:6" ht="18.75" customHeight="1">
      <c r="A1" s="1"/>
      <c r="F1" s="3"/>
    </row>
    <row r="2" spans="1:6" ht="26.25" customHeight="1">
      <c r="A2" s="4" t="s">
        <v>0</v>
      </c>
      <c r="B2" s="4"/>
      <c r="C2" s="4"/>
      <c r="D2" s="4"/>
      <c r="E2" s="4"/>
      <c r="F2" s="4"/>
    </row>
    <row r="3" spans="1:6" s="1" customFormat="1" ht="18.95" customHeight="1">
      <c r="A3" s="5" t="s">
        <v>145</v>
      </c>
      <c r="B3" s="6"/>
      <c r="C3" s="6"/>
      <c r="D3" s="6"/>
      <c r="E3" s="6"/>
      <c r="F3" s="7" t="s">
        <v>1</v>
      </c>
    </row>
    <row r="4" spans="1:6" ht="18.95" customHeight="1">
      <c r="A4" s="8" t="s">
        <v>2</v>
      </c>
      <c r="B4" s="8"/>
      <c r="C4" s="8" t="s">
        <v>3</v>
      </c>
      <c r="D4" s="8"/>
      <c r="E4" s="8"/>
      <c r="F4" s="8"/>
    </row>
    <row r="5" spans="1:6" ht="18.95" customHeight="1">
      <c r="A5" s="9" t="s">
        <v>4</v>
      </c>
      <c r="B5" s="9" t="s">
        <v>5</v>
      </c>
      <c r="C5" s="9" t="s">
        <v>4</v>
      </c>
      <c r="D5" s="9" t="s">
        <v>5</v>
      </c>
      <c r="E5" s="9" t="s">
        <v>4</v>
      </c>
      <c r="F5" s="9" t="s">
        <v>5</v>
      </c>
    </row>
    <row r="6" spans="1:6" s="1" customFormat="1" ht="20.100000000000001" customHeight="1">
      <c r="A6" s="10" t="s">
        <v>6</v>
      </c>
      <c r="B6" s="11"/>
      <c r="C6" s="10" t="s">
        <v>7</v>
      </c>
      <c r="D6" s="11">
        <v>196.71</v>
      </c>
      <c r="E6" s="10" t="s">
        <v>8</v>
      </c>
      <c r="F6" s="11">
        <v>153.19</v>
      </c>
    </row>
    <row r="7" spans="1:6" s="1" customFormat="1" ht="20.100000000000001" customHeight="1">
      <c r="A7" s="12" t="s">
        <v>9</v>
      </c>
      <c r="B7" s="11">
        <v>278.20999999999998</v>
      </c>
      <c r="C7" s="13" t="s">
        <v>10</v>
      </c>
      <c r="D7" s="11">
        <v>153.19</v>
      </c>
      <c r="E7" s="10" t="s">
        <v>11</v>
      </c>
      <c r="F7" s="11">
        <v>36.549999999999997</v>
      </c>
    </row>
    <row r="8" spans="1:6" s="1" customFormat="1" ht="20.100000000000001" customHeight="1">
      <c r="A8" s="12" t="s">
        <v>12</v>
      </c>
      <c r="B8" s="11"/>
      <c r="C8" s="13" t="s">
        <v>13</v>
      </c>
      <c r="D8" s="11">
        <v>20.97</v>
      </c>
      <c r="E8" s="10" t="s">
        <v>14</v>
      </c>
      <c r="F8" s="11">
        <v>20.97</v>
      </c>
    </row>
    <row r="9" spans="1:6" s="1" customFormat="1" ht="20.100000000000001" customHeight="1">
      <c r="A9" s="14" t="s">
        <v>15</v>
      </c>
      <c r="B9" s="15"/>
      <c r="C9" s="13" t="s">
        <v>16</v>
      </c>
      <c r="D9" s="46">
        <v>22.55</v>
      </c>
      <c r="E9" s="10" t="s">
        <v>17</v>
      </c>
      <c r="F9" s="11"/>
    </row>
    <row r="10" spans="1:6" s="1" customFormat="1" ht="20.100000000000001" customHeight="1">
      <c r="A10" s="13" t="s">
        <v>18</v>
      </c>
      <c r="B10" s="11"/>
      <c r="C10" s="10" t="s">
        <v>19</v>
      </c>
      <c r="D10" s="11">
        <v>81.5</v>
      </c>
      <c r="E10" s="10" t="s">
        <v>20</v>
      </c>
      <c r="F10" s="11"/>
    </row>
    <row r="11" spans="1:6" s="1" customFormat="1" ht="20.100000000000001" customHeight="1">
      <c r="A11" s="13" t="s">
        <v>21</v>
      </c>
      <c r="B11" s="11"/>
      <c r="C11" s="13" t="s">
        <v>22</v>
      </c>
      <c r="D11" s="11">
        <v>14</v>
      </c>
      <c r="E11" s="10" t="s">
        <v>23</v>
      </c>
      <c r="F11" s="16"/>
    </row>
    <row r="12" spans="1:6" s="1" customFormat="1" ht="20.100000000000001" customHeight="1">
      <c r="A12" s="10" t="s">
        <v>24</v>
      </c>
      <c r="B12" s="11"/>
      <c r="C12" s="13" t="s">
        <v>25</v>
      </c>
      <c r="D12" s="11">
        <v>67.5</v>
      </c>
      <c r="E12" s="10" t="s">
        <v>26</v>
      </c>
      <c r="F12" s="11"/>
    </row>
    <row r="13" spans="1:6" s="1" customFormat="1" ht="20.100000000000001" customHeight="1">
      <c r="A13" s="13" t="s">
        <v>27</v>
      </c>
      <c r="B13" s="11"/>
      <c r="C13" s="13" t="s">
        <v>28</v>
      </c>
      <c r="D13" s="11"/>
      <c r="E13" s="10" t="s">
        <v>29</v>
      </c>
      <c r="F13" s="11"/>
    </row>
    <row r="14" spans="1:6" s="1" customFormat="1" ht="20.100000000000001" customHeight="1">
      <c r="A14" s="13" t="s">
        <v>30</v>
      </c>
      <c r="B14" s="11"/>
      <c r="C14" s="13"/>
      <c r="D14" s="17"/>
      <c r="E14" s="10" t="s">
        <v>31</v>
      </c>
      <c r="F14" s="11">
        <v>67.5</v>
      </c>
    </row>
    <row r="15" spans="1:6" s="1" customFormat="1" ht="20.100000000000001" customHeight="1">
      <c r="A15" s="10" t="s">
        <v>32</v>
      </c>
      <c r="B15" s="11"/>
      <c r="C15" s="13"/>
      <c r="D15" s="17"/>
      <c r="F15" s="18"/>
    </row>
    <row r="16" spans="1:6" s="1" customFormat="1" ht="20.100000000000001" customHeight="1">
      <c r="A16" s="10" t="s">
        <v>33</v>
      </c>
      <c r="B16" s="15"/>
      <c r="C16" s="13"/>
      <c r="D16" s="17"/>
      <c r="E16" s="13"/>
      <c r="F16" s="18"/>
    </row>
    <row r="17" spans="1:6" s="1" customFormat="1" ht="20.100000000000001" customHeight="1">
      <c r="A17" s="10" t="s">
        <v>34</v>
      </c>
      <c r="B17" s="11"/>
      <c r="C17" s="10" t="s">
        <v>35</v>
      </c>
      <c r="D17" s="11"/>
      <c r="F17" s="18"/>
    </row>
    <row r="18" spans="1:6" s="1" customFormat="1" ht="20.100000000000001" customHeight="1">
      <c r="A18" s="10" t="s">
        <v>36</v>
      </c>
      <c r="B18" s="11"/>
      <c r="C18" s="10" t="s">
        <v>37</v>
      </c>
      <c r="D18" s="11"/>
      <c r="E18" s="13"/>
      <c r="F18" s="17"/>
    </row>
    <row r="19" spans="1:6" s="1" customFormat="1" ht="20.100000000000001" customHeight="1">
      <c r="A19" s="10" t="s">
        <v>38</v>
      </c>
      <c r="B19" s="11"/>
      <c r="C19" s="13"/>
      <c r="D19" s="17"/>
      <c r="E19" s="13"/>
      <c r="F19" s="17"/>
    </row>
    <row r="20" spans="1:6" s="1" customFormat="1" ht="20.100000000000001" customHeight="1">
      <c r="A20" s="19" t="s">
        <v>39</v>
      </c>
      <c r="B20" s="11">
        <v>278.20999999999998</v>
      </c>
      <c r="C20" s="19" t="s">
        <v>40</v>
      </c>
      <c r="D20" s="11">
        <v>278.20999999999998</v>
      </c>
      <c r="E20" s="19" t="s">
        <v>40</v>
      </c>
      <c r="F20" s="11">
        <f>SUM(F6:F19)</f>
        <v>278.21000000000004</v>
      </c>
    </row>
    <row r="21" spans="1:6" ht="20.100000000000001" customHeight="1"/>
  </sheetData>
  <phoneticPr fontId="1" type="noConversion"/>
  <pageMargins left="1.1023622047244095" right="0.70866141732283472" top="0.74803149606299213" bottom="0.74803149606299213" header="0.31496062992125984" footer="0.31496062992125984"/>
  <pageSetup paperSize="9" orientation="landscape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8"/>
  <sheetViews>
    <sheetView workbookViewId="0">
      <selection activeCell="D14" sqref="C14:D14"/>
    </sheetView>
  </sheetViews>
  <sheetFormatPr defaultColWidth="7" defaultRowHeight="11.25"/>
  <cols>
    <col min="1" max="3" width="13.375" style="20" customWidth="1"/>
    <col min="4" max="4" width="9.375" style="20" customWidth="1"/>
    <col min="5" max="5" width="9.875" style="20" customWidth="1"/>
    <col min="6" max="6" width="12" style="20" customWidth="1"/>
    <col min="7" max="7" width="10" style="20" customWidth="1"/>
    <col min="8" max="8" width="9.75" style="20" customWidth="1"/>
    <col min="9" max="9" width="7.625" style="20" customWidth="1"/>
    <col min="10" max="10" width="9.5" style="20" customWidth="1"/>
    <col min="11" max="11" width="13.375" style="20" customWidth="1"/>
    <col min="12" max="16384" width="7" style="20"/>
  </cols>
  <sheetData>
    <row r="1" spans="1:11" ht="23.25" customHeight="1"/>
    <row r="2" spans="1:11" ht="54" customHeight="1">
      <c r="A2" s="91" t="s">
        <v>41</v>
      </c>
      <c r="B2" s="91"/>
      <c r="C2" s="91"/>
      <c r="D2" s="91"/>
      <c r="E2" s="91"/>
      <c r="F2" s="91"/>
      <c r="G2" s="91"/>
      <c r="H2" s="91"/>
      <c r="I2" s="91"/>
      <c r="J2" s="91"/>
      <c r="K2" s="91"/>
    </row>
    <row r="3" spans="1:11" ht="17.25" customHeight="1">
      <c r="A3" s="89" t="s">
        <v>144</v>
      </c>
      <c r="K3" s="21" t="s">
        <v>42</v>
      </c>
    </row>
    <row r="4" spans="1:11" ht="28.5" customHeight="1">
      <c r="A4" s="92" t="s">
        <v>43</v>
      </c>
      <c r="B4" s="22" t="s">
        <v>44</v>
      </c>
      <c r="C4" s="22"/>
      <c r="D4" s="22"/>
      <c r="E4" s="22" t="s">
        <v>45</v>
      </c>
      <c r="F4" s="22"/>
      <c r="G4" s="22"/>
      <c r="H4" s="94" t="s">
        <v>46</v>
      </c>
      <c r="I4" s="94" t="s">
        <v>47</v>
      </c>
      <c r="J4" s="94" t="s">
        <v>48</v>
      </c>
      <c r="K4" s="94" t="s">
        <v>49</v>
      </c>
    </row>
    <row r="5" spans="1:11" ht="30" customHeight="1">
      <c r="A5" s="93"/>
      <c r="B5" s="22" t="s">
        <v>50</v>
      </c>
      <c r="C5" s="22" t="s">
        <v>44</v>
      </c>
      <c r="D5" s="22" t="s">
        <v>51</v>
      </c>
      <c r="E5" s="22" t="s">
        <v>50</v>
      </c>
      <c r="F5" s="22" t="s">
        <v>52</v>
      </c>
      <c r="G5" s="23" t="s">
        <v>53</v>
      </c>
      <c r="H5" s="95"/>
      <c r="I5" s="95"/>
      <c r="J5" s="95"/>
      <c r="K5" s="95"/>
    </row>
    <row r="6" spans="1:11" ht="15" customHeight="1">
      <c r="A6" s="24">
        <v>1</v>
      </c>
      <c r="B6" s="24">
        <v>2</v>
      </c>
      <c r="C6" s="24">
        <v>3</v>
      </c>
      <c r="D6" s="24">
        <v>4</v>
      </c>
      <c r="E6" s="24">
        <v>5</v>
      </c>
      <c r="F6" s="24">
        <v>6</v>
      </c>
      <c r="G6" s="24">
        <v>7</v>
      </c>
      <c r="H6" s="24">
        <v>8</v>
      </c>
      <c r="I6" s="24">
        <v>9</v>
      </c>
      <c r="J6" s="24">
        <v>10</v>
      </c>
      <c r="K6" s="24">
        <v>11</v>
      </c>
    </row>
    <row r="7" spans="1:11" ht="15" customHeight="1">
      <c r="A7" s="24">
        <v>278.20999999999998</v>
      </c>
      <c r="B7" s="24">
        <v>278.20999999999998</v>
      </c>
      <c r="C7" s="24">
        <v>278.20999999999998</v>
      </c>
      <c r="D7" s="24"/>
      <c r="E7" s="24"/>
      <c r="F7" s="24"/>
      <c r="G7" s="24"/>
      <c r="H7" s="24"/>
      <c r="I7" s="24"/>
      <c r="J7" s="24"/>
      <c r="K7" s="24"/>
    </row>
    <row r="8" spans="1:11" s="26" customFormat="1" ht="17.25" customHeight="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</row>
  </sheetData>
  <mergeCells count="6">
    <mergeCell ref="A2:K2"/>
    <mergeCell ref="A4:A5"/>
    <mergeCell ref="H4:H5"/>
    <mergeCell ref="I4:I5"/>
    <mergeCell ref="J4:J5"/>
    <mergeCell ref="K4:K5"/>
  </mergeCells>
  <phoneticPr fontId="1" type="noConversion"/>
  <pageMargins left="1.299212598425197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0"/>
  <sheetViews>
    <sheetView workbookViewId="0">
      <selection activeCell="C9" sqref="C9"/>
    </sheetView>
  </sheetViews>
  <sheetFormatPr defaultRowHeight="13.5"/>
  <cols>
    <col min="1" max="1" width="9.5" customWidth="1"/>
    <col min="2" max="2" width="11.375" customWidth="1"/>
    <col min="3" max="3" width="29.5" customWidth="1"/>
    <col min="4" max="4" width="10.625" customWidth="1"/>
    <col min="5" max="5" width="9.125" customWidth="1"/>
    <col min="6" max="7" width="8.375" customWidth="1"/>
    <col min="8" max="8" width="8.5" customWidth="1"/>
    <col min="9" max="9" width="10.125" customWidth="1"/>
    <col min="10" max="10" width="9.125" customWidth="1"/>
    <col min="11" max="12" width="8.375" customWidth="1"/>
    <col min="13" max="13" width="6.75" customWidth="1"/>
    <col min="14" max="14" width="8.375" customWidth="1"/>
  </cols>
  <sheetData>
    <row r="1" spans="1:14" ht="11.25" customHeight="1"/>
    <row r="2" spans="1:14" ht="47.25" customHeight="1">
      <c r="A2" s="27" t="s">
        <v>54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17.25" customHeight="1">
      <c r="A3" t="s">
        <v>145</v>
      </c>
      <c r="N3" s="29" t="s">
        <v>55</v>
      </c>
    </row>
    <row r="4" spans="1:14" ht="20.25" customHeight="1">
      <c r="A4" s="96" t="s">
        <v>56</v>
      </c>
      <c r="B4" s="96" t="s">
        <v>57</v>
      </c>
      <c r="C4" s="96" t="s">
        <v>58</v>
      </c>
      <c r="D4" s="96" t="s">
        <v>59</v>
      </c>
      <c r="E4" s="98" t="s">
        <v>60</v>
      </c>
      <c r="F4" s="99"/>
      <c r="G4" s="99"/>
      <c r="H4" s="100"/>
      <c r="I4" s="101" t="s">
        <v>61</v>
      </c>
      <c r="J4" s="101"/>
      <c r="K4" s="101"/>
      <c r="L4" s="101"/>
      <c r="M4" s="96" t="s">
        <v>62</v>
      </c>
      <c r="N4" s="96" t="s">
        <v>63</v>
      </c>
    </row>
    <row r="5" spans="1:14" ht="44.25" customHeight="1">
      <c r="A5" s="97"/>
      <c r="B5" s="97"/>
      <c r="C5" s="97"/>
      <c r="D5" s="97"/>
      <c r="E5" s="30" t="s">
        <v>64</v>
      </c>
      <c r="F5" s="30" t="s">
        <v>65</v>
      </c>
      <c r="G5" s="30" t="s">
        <v>66</v>
      </c>
      <c r="H5" s="30" t="s">
        <v>67</v>
      </c>
      <c r="I5" s="31" t="s">
        <v>64</v>
      </c>
      <c r="J5" s="32" t="s">
        <v>68</v>
      </c>
      <c r="K5" s="31" t="s">
        <v>69</v>
      </c>
      <c r="L5" s="31" t="s">
        <v>70</v>
      </c>
      <c r="M5" s="97"/>
      <c r="N5" s="97"/>
    </row>
    <row r="6" spans="1:14" ht="16.5" customHeight="1">
      <c r="A6" s="33" t="s">
        <v>71</v>
      </c>
      <c r="B6" s="33" t="s">
        <v>71</v>
      </c>
      <c r="C6" s="33" t="s">
        <v>71</v>
      </c>
      <c r="D6" s="33">
        <v>1</v>
      </c>
      <c r="E6" s="33">
        <v>2</v>
      </c>
      <c r="F6" s="33">
        <v>3</v>
      </c>
      <c r="G6" s="33">
        <v>4</v>
      </c>
      <c r="H6" s="33">
        <v>5</v>
      </c>
      <c r="I6" s="33">
        <v>6</v>
      </c>
      <c r="J6" s="33">
        <v>7</v>
      </c>
      <c r="K6" s="33">
        <v>8</v>
      </c>
      <c r="L6" s="33">
        <v>9</v>
      </c>
      <c r="M6" s="33">
        <v>10</v>
      </c>
      <c r="N6" s="33">
        <v>11</v>
      </c>
    </row>
    <row r="7" spans="1:14" s="37" customFormat="1" ht="24.95" customHeight="1">
      <c r="A7" s="34"/>
      <c r="B7" s="35" t="s">
        <v>72</v>
      </c>
      <c r="C7" s="35"/>
      <c r="D7" s="36">
        <f>E7+I7</f>
        <v>278.21000000000004</v>
      </c>
      <c r="E7" s="36">
        <f>F7+G7+H7</f>
        <v>196.71</v>
      </c>
      <c r="F7" s="36">
        <v>153.19</v>
      </c>
      <c r="G7" s="36">
        <v>20.97</v>
      </c>
      <c r="H7" s="36">
        <v>22.55</v>
      </c>
      <c r="I7" s="36">
        <f>J7+K7</f>
        <v>81.5</v>
      </c>
      <c r="J7" s="36">
        <v>14</v>
      </c>
      <c r="K7" s="36">
        <v>67.5</v>
      </c>
      <c r="L7" s="36"/>
      <c r="M7" s="36"/>
      <c r="N7" s="36"/>
    </row>
    <row r="8" spans="1:14" ht="24.95" customHeight="1">
      <c r="A8" s="34"/>
      <c r="B8" s="35"/>
      <c r="C8" s="35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</row>
    <row r="9" spans="1:14" ht="24.95" customHeight="1">
      <c r="A9" s="34"/>
      <c r="B9" s="35"/>
      <c r="C9" s="35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</row>
    <row r="10" spans="1:14" ht="24.95" customHeight="1">
      <c r="A10" s="34"/>
      <c r="B10" s="35"/>
      <c r="C10" s="35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</row>
    <row r="11" spans="1:14" ht="24.95" customHeight="1">
      <c r="A11" s="34"/>
      <c r="B11" s="35"/>
      <c r="C11" s="35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</row>
    <row r="12" spans="1:14" ht="24.95" customHeight="1">
      <c r="A12" s="34"/>
      <c r="B12" s="35"/>
      <c r="C12" s="35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</row>
    <row r="13" spans="1:14" ht="42" customHeight="1"/>
    <row r="14" spans="1:14" ht="42" customHeight="1"/>
    <row r="15" spans="1:14" ht="42" customHeight="1"/>
    <row r="16" spans="1:14" ht="42" customHeight="1"/>
    <row r="17" ht="42" customHeight="1"/>
    <row r="18" ht="42" customHeight="1"/>
    <row r="19" ht="42" customHeight="1"/>
    <row r="20" ht="42" customHeight="1"/>
  </sheetData>
  <mergeCells count="8">
    <mergeCell ref="M4:M5"/>
    <mergeCell ref="N4:N5"/>
    <mergeCell ref="A4:A5"/>
    <mergeCell ref="B4:B5"/>
    <mergeCell ref="C4:C5"/>
    <mergeCell ref="D4:D5"/>
    <mergeCell ref="E4:H4"/>
    <mergeCell ref="I4:L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1" orientation="landscape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AE32"/>
  <sheetViews>
    <sheetView tabSelected="1" topLeftCell="A7" workbookViewId="0">
      <selection activeCell="F34" sqref="F34"/>
    </sheetView>
  </sheetViews>
  <sheetFormatPr defaultColWidth="7.375" defaultRowHeight="13.5"/>
  <cols>
    <col min="1" max="1" width="10.875" style="63" customWidth="1"/>
    <col min="2" max="2" width="15.875" style="63" customWidth="1"/>
    <col min="3" max="3" width="7.375" style="38" customWidth="1"/>
    <col min="4" max="4" width="8.25" style="38" customWidth="1"/>
    <col min="5" max="5" width="8" style="38" customWidth="1"/>
    <col min="6" max="6" width="8.25" style="38" customWidth="1"/>
    <col min="7" max="7" width="4.875" style="38" customWidth="1"/>
    <col min="8" max="9" width="7" style="38" customWidth="1"/>
    <col min="10" max="10" width="7.5" style="38" customWidth="1"/>
    <col min="11" max="11" width="7.625" style="38" customWidth="1"/>
    <col min="12" max="12" width="7.75" style="38" customWidth="1"/>
    <col min="13" max="13" width="6.875" style="38" customWidth="1"/>
    <col min="14" max="14" width="3.625" style="38" customWidth="1"/>
    <col min="15" max="15" width="5.25" style="38" customWidth="1"/>
    <col min="16" max="16" width="7" style="38" customWidth="1"/>
    <col min="17" max="17" width="6" style="38" customWidth="1"/>
    <col min="18" max="18" width="5" style="38" customWidth="1"/>
    <col min="19" max="19" width="6.625" style="38" customWidth="1"/>
    <col min="20" max="20" width="4.5" style="38" customWidth="1"/>
    <col min="21" max="21" width="2.75" style="38" customWidth="1"/>
    <col min="22" max="22" width="2.5" style="38" customWidth="1"/>
    <col min="23" max="23" width="2.875" style="38" customWidth="1"/>
    <col min="24" max="24" width="7.375" style="38" customWidth="1"/>
    <col min="25" max="25" width="6.625" style="38" customWidth="1"/>
    <col min="26" max="26" width="7.125" style="38" customWidth="1"/>
    <col min="27" max="28" width="5.75" style="38" customWidth="1"/>
    <col min="29" max="29" width="5" style="38" customWidth="1"/>
    <col min="30" max="30" width="5.25" style="38" customWidth="1"/>
    <col min="31" max="31" width="2.75" style="38" customWidth="1"/>
  </cols>
  <sheetData>
    <row r="3" spans="1:31" ht="43.5" customHeight="1">
      <c r="A3" s="117" t="s">
        <v>73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</row>
    <row r="4" spans="1:31" ht="18.75" customHeight="1">
      <c r="A4" s="118" t="s">
        <v>145</v>
      </c>
      <c r="B4" s="118"/>
      <c r="C4" s="118"/>
      <c r="D4" s="118"/>
      <c r="E4" s="118"/>
      <c r="F4" s="118"/>
      <c r="G4" s="118"/>
      <c r="J4" s="119" t="s">
        <v>74</v>
      </c>
      <c r="K4" s="119"/>
      <c r="L4" s="119"/>
      <c r="M4" s="119"/>
    </row>
    <row r="5" spans="1:31">
      <c r="A5" s="120" t="s">
        <v>75</v>
      </c>
      <c r="B5" s="120" t="s">
        <v>57</v>
      </c>
      <c r="C5" s="120" t="s">
        <v>59</v>
      </c>
      <c r="D5" s="123" t="s">
        <v>76</v>
      </c>
      <c r="E5" s="114" t="s">
        <v>77</v>
      </c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6"/>
      <c r="AB5" s="102" t="s">
        <v>78</v>
      </c>
      <c r="AC5" s="102" t="s">
        <v>79</v>
      </c>
      <c r="AD5" s="102" t="s">
        <v>80</v>
      </c>
      <c r="AE5" s="105" t="s">
        <v>81</v>
      </c>
    </row>
    <row r="6" spans="1:31">
      <c r="A6" s="121"/>
      <c r="B6" s="121"/>
      <c r="C6" s="121"/>
      <c r="D6" s="124"/>
      <c r="E6" s="108" t="s">
        <v>82</v>
      </c>
      <c r="F6" s="109"/>
      <c r="G6" s="109"/>
      <c r="H6" s="109"/>
      <c r="I6" s="109"/>
      <c r="J6" s="109"/>
      <c r="K6" s="109"/>
      <c r="L6" s="109"/>
      <c r="M6" s="110"/>
      <c r="N6" s="111" t="s">
        <v>83</v>
      </c>
      <c r="O6" s="113" t="s">
        <v>84</v>
      </c>
      <c r="P6" s="114" t="s">
        <v>85</v>
      </c>
      <c r="Q6" s="115"/>
      <c r="R6" s="115"/>
      <c r="S6" s="115"/>
      <c r="T6" s="115"/>
      <c r="U6" s="115"/>
      <c r="V6" s="115"/>
      <c r="W6" s="116"/>
      <c r="X6" s="114" t="s">
        <v>61</v>
      </c>
      <c r="Y6" s="115"/>
      <c r="Z6" s="115"/>
      <c r="AA6" s="116"/>
      <c r="AB6" s="103"/>
      <c r="AC6" s="103"/>
      <c r="AD6" s="103"/>
      <c r="AE6" s="106"/>
    </row>
    <row r="7" spans="1:31" ht="72">
      <c r="A7" s="122"/>
      <c r="B7" s="122"/>
      <c r="C7" s="122"/>
      <c r="D7" s="125"/>
      <c r="E7" s="39" t="s">
        <v>72</v>
      </c>
      <c r="F7" s="39" t="s">
        <v>86</v>
      </c>
      <c r="G7" s="39" t="s">
        <v>87</v>
      </c>
      <c r="H7" s="39" t="s">
        <v>88</v>
      </c>
      <c r="I7" s="39" t="s">
        <v>89</v>
      </c>
      <c r="J7" s="39" t="s">
        <v>90</v>
      </c>
      <c r="K7" s="39" t="s">
        <v>91</v>
      </c>
      <c r="L7" s="39" t="s">
        <v>92</v>
      </c>
      <c r="M7" s="39" t="s">
        <v>93</v>
      </c>
      <c r="N7" s="112"/>
      <c r="O7" s="113"/>
      <c r="P7" s="40" t="s">
        <v>72</v>
      </c>
      <c r="Q7" s="40" t="s">
        <v>94</v>
      </c>
      <c r="R7" s="40" t="s">
        <v>95</v>
      </c>
      <c r="S7" s="40" t="s">
        <v>96</v>
      </c>
      <c r="T7" s="40" t="s">
        <v>97</v>
      </c>
      <c r="U7" s="40" t="s">
        <v>98</v>
      </c>
      <c r="V7" s="40" t="s">
        <v>99</v>
      </c>
      <c r="W7" s="40" t="s">
        <v>100</v>
      </c>
      <c r="X7" s="40" t="s">
        <v>72</v>
      </c>
      <c r="Y7" s="40" t="s">
        <v>68</v>
      </c>
      <c r="Z7" s="40" t="s">
        <v>101</v>
      </c>
      <c r="AA7" s="40" t="s">
        <v>102</v>
      </c>
      <c r="AB7" s="104"/>
      <c r="AC7" s="104"/>
      <c r="AD7" s="104"/>
      <c r="AE7" s="107"/>
    </row>
    <row r="8" spans="1:31" s="42" customFormat="1" ht="20.100000000000001" customHeight="1">
      <c r="A8" s="39" t="s">
        <v>103</v>
      </c>
      <c r="B8" s="39" t="s">
        <v>103</v>
      </c>
      <c r="C8" s="41">
        <v>1</v>
      </c>
      <c r="D8" s="41">
        <v>2</v>
      </c>
      <c r="E8" s="41">
        <v>3</v>
      </c>
      <c r="F8" s="41">
        <v>4</v>
      </c>
      <c r="G8" s="41">
        <v>5</v>
      </c>
      <c r="H8" s="41">
        <v>6</v>
      </c>
      <c r="I8" s="41">
        <v>7</v>
      </c>
      <c r="J8" s="41">
        <v>8</v>
      </c>
      <c r="K8" s="41">
        <v>9</v>
      </c>
      <c r="L8" s="41">
        <v>10</v>
      </c>
      <c r="M8" s="41">
        <v>11</v>
      </c>
      <c r="N8" s="41">
        <v>12</v>
      </c>
      <c r="O8" s="41">
        <v>13</v>
      </c>
      <c r="P8" s="41">
        <v>14</v>
      </c>
      <c r="Q8" s="41">
        <v>15</v>
      </c>
      <c r="R8" s="41">
        <v>16</v>
      </c>
      <c r="S8" s="41">
        <v>17</v>
      </c>
      <c r="T8" s="41">
        <v>18</v>
      </c>
      <c r="U8" s="41">
        <v>19</v>
      </c>
      <c r="V8" s="41">
        <v>20</v>
      </c>
      <c r="W8" s="41">
        <v>21</v>
      </c>
      <c r="X8" s="41">
        <v>22</v>
      </c>
      <c r="Y8" s="41">
        <v>23</v>
      </c>
      <c r="Z8" s="41">
        <v>24</v>
      </c>
      <c r="AA8" s="41">
        <v>25</v>
      </c>
      <c r="AB8" s="41">
        <v>26</v>
      </c>
      <c r="AC8" s="41">
        <v>27</v>
      </c>
      <c r="AD8" s="41">
        <v>28</v>
      </c>
      <c r="AE8" s="41">
        <v>29</v>
      </c>
    </row>
    <row r="9" spans="1:31" s="49" customFormat="1" ht="20.100000000000001" customHeight="1">
      <c r="A9" s="43"/>
      <c r="B9" s="43" t="s">
        <v>72</v>
      </c>
      <c r="C9" s="44">
        <f>E9+P9+X9</f>
        <v>278.21000000000004</v>
      </c>
      <c r="D9" s="45">
        <v>278.20999999999998</v>
      </c>
      <c r="E9" s="45">
        <f>F9+H9+I9+J9+K9+L9+M9</f>
        <v>174.16000000000003</v>
      </c>
      <c r="F9" s="45">
        <v>104.9</v>
      </c>
      <c r="G9" s="45"/>
      <c r="H9" s="44">
        <v>16.149999999999999</v>
      </c>
      <c r="I9" s="44">
        <v>4.82</v>
      </c>
      <c r="J9" s="44">
        <v>8.09</v>
      </c>
      <c r="K9" s="44">
        <v>20.239999999999998</v>
      </c>
      <c r="L9" s="45">
        <v>9.31</v>
      </c>
      <c r="M9" s="44">
        <v>10.65</v>
      </c>
      <c r="N9" s="46"/>
      <c r="O9" s="47"/>
      <c r="P9" s="46">
        <f>Q9+R9+S9</f>
        <v>22.55</v>
      </c>
      <c r="Q9" s="47">
        <v>12.35</v>
      </c>
      <c r="R9" s="47">
        <v>6.4</v>
      </c>
      <c r="S9" s="46">
        <v>3.8</v>
      </c>
      <c r="T9" s="47"/>
      <c r="U9" s="47"/>
      <c r="V9" s="47"/>
      <c r="W9" s="47"/>
      <c r="X9" s="46">
        <f>Y9+Z9</f>
        <v>81.5</v>
      </c>
      <c r="Y9" s="46">
        <v>14</v>
      </c>
      <c r="Z9" s="46">
        <v>67.5</v>
      </c>
      <c r="AA9" s="46"/>
      <c r="AB9" s="46"/>
      <c r="AC9" s="46"/>
      <c r="AD9" s="46"/>
      <c r="AE9" s="48"/>
    </row>
    <row r="10" spans="1:31" s="56" customFormat="1" ht="20.100000000000001" customHeight="1">
      <c r="A10" s="50" t="s">
        <v>147</v>
      </c>
      <c r="B10" s="50" t="s">
        <v>148</v>
      </c>
      <c r="C10" s="51">
        <v>257.24</v>
      </c>
      <c r="D10" s="52">
        <v>257.24</v>
      </c>
      <c r="E10" s="52">
        <v>153.19</v>
      </c>
      <c r="F10" s="52">
        <v>104.9</v>
      </c>
      <c r="G10" s="52"/>
      <c r="H10" s="51"/>
      <c r="I10" s="51"/>
      <c r="J10" s="51">
        <v>8.09</v>
      </c>
      <c r="K10" s="51">
        <v>20.239999999999998</v>
      </c>
      <c r="L10" s="52">
        <v>9.31</v>
      </c>
      <c r="M10" s="51">
        <v>10.65</v>
      </c>
      <c r="N10" s="53"/>
      <c r="O10" s="54"/>
      <c r="P10" s="53">
        <v>22.55</v>
      </c>
      <c r="Q10" s="54">
        <v>12.35</v>
      </c>
      <c r="R10" s="54">
        <v>6.4</v>
      </c>
      <c r="S10" s="53">
        <v>3.8</v>
      </c>
      <c r="T10" s="54"/>
      <c r="U10" s="54"/>
      <c r="V10" s="54"/>
      <c r="W10" s="54"/>
      <c r="X10" s="53">
        <v>81.5</v>
      </c>
      <c r="Y10" s="53">
        <v>14</v>
      </c>
      <c r="Z10" s="53">
        <v>67.5</v>
      </c>
      <c r="AA10" s="53"/>
      <c r="AB10" s="53"/>
      <c r="AC10" s="53"/>
      <c r="AD10" s="53"/>
      <c r="AE10" s="55"/>
    </row>
    <row r="11" spans="1:31" ht="20.100000000000001" customHeight="1">
      <c r="A11" s="57" t="s">
        <v>149</v>
      </c>
      <c r="B11" s="57" t="s">
        <v>150</v>
      </c>
      <c r="C11" s="58">
        <v>36.76</v>
      </c>
      <c r="D11" s="59">
        <v>36.76</v>
      </c>
      <c r="E11" s="59">
        <v>36.76</v>
      </c>
      <c r="F11" s="59">
        <v>36.76</v>
      </c>
      <c r="G11" s="59"/>
      <c r="H11" s="58"/>
      <c r="I11" s="58"/>
      <c r="J11" s="58"/>
      <c r="K11" s="58"/>
      <c r="L11" s="59"/>
      <c r="M11" s="58"/>
      <c r="N11" s="60"/>
      <c r="O11" s="61"/>
      <c r="P11" s="60"/>
      <c r="Q11" s="61"/>
      <c r="R11" s="61"/>
      <c r="S11" s="60"/>
      <c r="T11" s="61"/>
      <c r="U11" s="61"/>
      <c r="V11" s="61"/>
      <c r="W11" s="61"/>
      <c r="X11" s="60"/>
      <c r="Y11" s="60"/>
      <c r="Z11" s="60"/>
      <c r="AA11" s="60"/>
      <c r="AB11" s="60"/>
      <c r="AC11" s="60"/>
      <c r="AD11" s="60"/>
      <c r="AE11" s="62"/>
    </row>
    <row r="12" spans="1:31" ht="20.100000000000001" customHeight="1">
      <c r="A12" s="57" t="s">
        <v>149</v>
      </c>
      <c r="B12" s="57" t="s">
        <v>151</v>
      </c>
      <c r="C12" s="58">
        <v>59.6</v>
      </c>
      <c r="D12" s="59">
        <v>59.6</v>
      </c>
      <c r="E12" s="59">
        <v>59.6</v>
      </c>
      <c r="F12" s="59">
        <v>59.6</v>
      </c>
      <c r="G12" s="59"/>
      <c r="H12" s="58"/>
      <c r="I12" s="58"/>
      <c r="J12" s="58"/>
      <c r="K12" s="58"/>
      <c r="L12" s="59"/>
      <c r="M12" s="58"/>
      <c r="N12" s="60"/>
      <c r="O12" s="61"/>
      <c r="P12" s="60"/>
      <c r="Q12" s="61"/>
      <c r="R12" s="61"/>
      <c r="S12" s="60"/>
      <c r="T12" s="61"/>
      <c r="U12" s="61"/>
      <c r="V12" s="61"/>
      <c r="W12" s="61"/>
      <c r="X12" s="60"/>
      <c r="Y12" s="60"/>
      <c r="Z12" s="60"/>
      <c r="AA12" s="60"/>
      <c r="AB12" s="60"/>
      <c r="AC12" s="60"/>
      <c r="AD12" s="60"/>
      <c r="AE12" s="62"/>
    </row>
    <row r="13" spans="1:31" ht="20.100000000000001" customHeight="1">
      <c r="A13" s="57" t="s">
        <v>149</v>
      </c>
      <c r="B13" s="57" t="s">
        <v>152</v>
      </c>
      <c r="C13" s="58">
        <v>8.43</v>
      </c>
      <c r="D13" s="59">
        <v>8.43</v>
      </c>
      <c r="E13" s="59">
        <v>8.43</v>
      </c>
      <c r="F13" s="59">
        <v>8.43</v>
      </c>
      <c r="G13" s="59"/>
      <c r="H13" s="58"/>
      <c r="I13" s="58"/>
      <c r="J13" s="58"/>
      <c r="K13" s="58"/>
      <c r="L13" s="59"/>
      <c r="M13" s="58"/>
      <c r="N13" s="60"/>
      <c r="O13" s="61"/>
      <c r="P13" s="60"/>
      <c r="Q13" s="61"/>
      <c r="R13" s="61"/>
      <c r="S13" s="60"/>
      <c r="T13" s="61"/>
      <c r="U13" s="61"/>
      <c r="V13" s="61"/>
      <c r="W13" s="61"/>
      <c r="X13" s="60"/>
      <c r="Y13" s="60"/>
      <c r="Z13" s="60"/>
      <c r="AA13" s="60"/>
      <c r="AB13" s="60"/>
      <c r="AC13" s="60"/>
      <c r="AD13" s="60"/>
      <c r="AE13" s="62"/>
    </row>
    <row r="14" spans="1:31" ht="20.100000000000001" customHeight="1">
      <c r="A14" s="57" t="s">
        <v>149</v>
      </c>
      <c r="B14" s="57" t="s">
        <v>153</v>
      </c>
      <c r="C14" s="58">
        <v>0.11</v>
      </c>
      <c r="D14" s="59">
        <v>0.11</v>
      </c>
      <c r="E14" s="59">
        <v>0.11</v>
      </c>
      <c r="F14" s="59">
        <v>0.11</v>
      </c>
      <c r="G14" s="59"/>
      <c r="H14" s="58"/>
      <c r="I14" s="58"/>
      <c r="J14" s="58"/>
      <c r="K14" s="58"/>
      <c r="L14" s="59"/>
      <c r="M14" s="58"/>
      <c r="N14" s="60"/>
      <c r="O14" s="61"/>
      <c r="P14" s="60"/>
      <c r="Q14" s="61"/>
      <c r="R14" s="61"/>
      <c r="S14" s="60"/>
      <c r="T14" s="61"/>
      <c r="U14" s="61"/>
      <c r="V14" s="61"/>
      <c r="W14" s="61"/>
      <c r="X14" s="60"/>
      <c r="Y14" s="60"/>
      <c r="Z14" s="60"/>
      <c r="AA14" s="60"/>
      <c r="AB14" s="60"/>
      <c r="AC14" s="60"/>
      <c r="AD14" s="60"/>
      <c r="AE14" s="62"/>
    </row>
    <row r="15" spans="1:31" ht="20.100000000000001" customHeight="1">
      <c r="A15" s="57" t="s">
        <v>149</v>
      </c>
      <c r="B15" s="57" t="s">
        <v>154</v>
      </c>
      <c r="C15" s="58">
        <v>8.09</v>
      </c>
      <c r="D15" s="59">
        <v>8.09</v>
      </c>
      <c r="E15" s="59">
        <v>8.09</v>
      </c>
      <c r="F15" s="59"/>
      <c r="G15" s="59"/>
      <c r="H15" s="58"/>
      <c r="I15" s="58"/>
      <c r="J15" s="58"/>
      <c r="K15" s="58"/>
      <c r="L15" s="59">
        <v>8.09</v>
      </c>
      <c r="M15" s="58"/>
      <c r="N15" s="60"/>
      <c r="O15" s="61"/>
      <c r="P15" s="60"/>
      <c r="Q15" s="61"/>
      <c r="R15" s="61"/>
      <c r="S15" s="60"/>
      <c r="T15" s="61"/>
      <c r="U15" s="61"/>
      <c r="V15" s="61"/>
      <c r="W15" s="61"/>
      <c r="X15" s="60"/>
      <c r="Y15" s="60"/>
      <c r="Z15" s="60"/>
      <c r="AA15" s="60"/>
      <c r="AB15" s="60"/>
      <c r="AC15" s="60"/>
      <c r="AD15" s="60"/>
      <c r="AE15" s="62"/>
    </row>
    <row r="16" spans="1:31" ht="20.100000000000001" customHeight="1">
      <c r="A16" s="57" t="s">
        <v>149</v>
      </c>
      <c r="B16" s="57" t="s">
        <v>155</v>
      </c>
      <c r="C16" s="58">
        <v>0.51</v>
      </c>
      <c r="D16" s="59">
        <v>0.51</v>
      </c>
      <c r="E16" s="59">
        <v>0.51</v>
      </c>
      <c r="F16" s="59"/>
      <c r="G16" s="59"/>
      <c r="H16" s="58"/>
      <c r="I16" s="58"/>
      <c r="J16" s="58"/>
      <c r="K16" s="58"/>
      <c r="L16" s="59">
        <v>0.51</v>
      </c>
      <c r="M16" s="58"/>
      <c r="N16" s="60"/>
      <c r="O16" s="61"/>
      <c r="P16" s="60"/>
      <c r="Q16" s="61"/>
      <c r="R16" s="61"/>
      <c r="S16" s="60"/>
      <c r="T16" s="61"/>
      <c r="U16" s="61"/>
      <c r="V16" s="61"/>
      <c r="W16" s="61"/>
      <c r="X16" s="60"/>
      <c r="Y16" s="60"/>
      <c r="Z16" s="60"/>
      <c r="AA16" s="60"/>
      <c r="AB16" s="60"/>
      <c r="AC16" s="60"/>
      <c r="AD16" s="60"/>
      <c r="AE16" s="62"/>
    </row>
    <row r="17" spans="1:31" ht="20.100000000000001" customHeight="1">
      <c r="A17" s="57" t="s">
        <v>149</v>
      </c>
      <c r="B17" s="57" t="s">
        <v>156</v>
      </c>
      <c r="C17" s="58">
        <v>0.71</v>
      </c>
      <c r="D17" s="59">
        <v>0.71</v>
      </c>
      <c r="E17" s="59">
        <v>0.71</v>
      </c>
      <c r="F17" s="59"/>
      <c r="G17" s="59"/>
      <c r="H17" s="58"/>
      <c r="I17" s="58"/>
      <c r="J17" s="58"/>
      <c r="K17" s="58"/>
      <c r="L17" s="59">
        <v>0.71</v>
      </c>
      <c r="M17" s="58"/>
      <c r="N17" s="60"/>
      <c r="O17" s="61"/>
      <c r="P17" s="60"/>
      <c r="Q17" s="61"/>
      <c r="R17" s="61"/>
      <c r="S17" s="60"/>
      <c r="T17" s="61"/>
      <c r="U17" s="61"/>
      <c r="V17" s="61"/>
      <c r="W17" s="61"/>
      <c r="X17" s="60"/>
      <c r="Y17" s="60"/>
      <c r="Z17" s="60"/>
      <c r="AA17" s="60"/>
      <c r="AB17" s="60"/>
      <c r="AC17" s="60"/>
      <c r="AD17" s="60"/>
      <c r="AE17" s="62"/>
    </row>
    <row r="18" spans="1:31" ht="20.100000000000001" customHeight="1">
      <c r="A18" s="57" t="s">
        <v>149</v>
      </c>
      <c r="B18" s="57" t="s">
        <v>157</v>
      </c>
      <c r="C18" s="58">
        <v>20.239999999999998</v>
      </c>
      <c r="D18" s="59">
        <v>20.239999999999998</v>
      </c>
      <c r="E18" s="59">
        <v>20.239999999999998</v>
      </c>
      <c r="F18" s="59"/>
      <c r="G18" s="59"/>
      <c r="H18" s="58"/>
      <c r="I18" s="58"/>
      <c r="J18" s="58"/>
      <c r="K18" s="58">
        <v>20.239999999999998</v>
      </c>
      <c r="L18" s="59"/>
      <c r="M18" s="58"/>
      <c r="N18" s="60"/>
      <c r="O18" s="61"/>
      <c r="P18" s="60"/>
      <c r="Q18" s="61"/>
      <c r="R18" s="61"/>
      <c r="S18" s="60"/>
      <c r="T18" s="61"/>
      <c r="U18" s="61"/>
      <c r="V18" s="61"/>
      <c r="W18" s="61"/>
      <c r="X18" s="60"/>
      <c r="Y18" s="60"/>
      <c r="Z18" s="60"/>
      <c r="AA18" s="60"/>
      <c r="AB18" s="60"/>
      <c r="AC18" s="60"/>
      <c r="AD18" s="60"/>
      <c r="AE18" s="62"/>
    </row>
    <row r="19" spans="1:31" ht="20.100000000000001" customHeight="1">
      <c r="A19" s="57" t="s">
        <v>149</v>
      </c>
      <c r="B19" s="57" t="s">
        <v>158</v>
      </c>
      <c r="C19" s="58">
        <v>8.09</v>
      </c>
      <c r="D19" s="59">
        <v>8.09</v>
      </c>
      <c r="E19" s="59">
        <v>8.09</v>
      </c>
      <c r="F19" s="59"/>
      <c r="G19" s="59"/>
      <c r="H19" s="58"/>
      <c r="I19" s="58"/>
      <c r="J19" s="58">
        <v>8.09</v>
      </c>
      <c r="K19" s="58"/>
      <c r="L19" s="59"/>
      <c r="M19" s="58"/>
      <c r="N19" s="60"/>
      <c r="O19" s="61"/>
      <c r="P19" s="60"/>
      <c r="Q19" s="61"/>
      <c r="R19" s="61"/>
      <c r="S19" s="60"/>
      <c r="T19" s="61"/>
      <c r="U19" s="61"/>
      <c r="V19" s="61"/>
      <c r="W19" s="61"/>
      <c r="X19" s="60"/>
      <c r="Y19" s="60"/>
      <c r="Z19" s="60"/>
      <c r="AA19" s="60"/>
      <c r="AB19" s="60"/>
      <c r="AC19" s="60"/>
      <c r="AD19" s="60"/>
      <c r="AE19" s="62"/>
    </row>
    <row r="20" spans="1:31" ht="20.100000000000001" customHeight="1">
      <c r="A20" s="57" t="s">
        <v>149</v>
      </c>
      <c r="B20" s="57" t="s">
        <v>159</v>
      </c>
      <c r="C20" s="58">
        <v>12.35</v>
      </c>
      <c r="D20" s="59">
        <v>12.35</v>
      </c>
      <c r="E20" s="59"/>
      <c r="F20" s="59"/>
      <c r="G20" s="59"/>
      <c r="H20" s="58"/>
      <c r="I20" s="58"/>
      <c r="J20" s="58"/>
      <c r="K20" s="58"/>
      <c r="L20" s="59"/>
      <c r="M20" s="58"/>
      <c r="N20" s="60"/>
      <c r="O20" s="61"/>
      <c r="P20" s="60">
        <v>12.35</v>
      </c>
      <c r="Q20" s="61">
        <v>12.35</v>
      </c>
      <c r="R20" s="61"/>
      <c r="S20" s="60"/>
      <c r="T20" s="61"/>
      <c r="U20" s="61"/>
      <c r="V20" s="61"/>
      <c r="W20" s="61"/>
      <c r="X20" s="60"/>
      <c r="Y20" s="60"/>
      <c r="Z20" s="60"/>
      <c r="AA20" s="60"/>
      <c r="AB20" s="60"/>
      <c r="AC20" s="60"/>
      <c r="AD20" s="60"/>
      <c r="AE20" s="62"/>
    </row>
    <row r="21" spans="1:31" ht="20.100000000000001" customHeight="1">
      <c r="A21" s="57" t="s">
        <v>149</v>
      </c>
      <c r="B21" s="57" t="s">
        <v>160</v>
      </c>
      <c r="C21" s="58">
        <v>6.4</v>
      </c>
      <c r="D21" s="59">
        <v>6.4</v>
      </c>
      <c r="E21" s="59"/>
      <c r="F21" s="59"/>
      <c r="G21" s="59"/>
      <c r="H21" s="58"/>
      <c r="I21" s="58"/>
      <c r="J21" s="58"/>
      <c r="K21" s="58"/>
      <c r="L21" s="59"/>
      <c r="M21" s="58"/>
      <c r="N21" s="60"/>
      <c r="O21" s="61"/>
      <c r="P21" s="60">
        <v>6.4</v>
      </c>
      <c r="Q21" s="61"/>
      <c r="R21" s="61">
        <v>6.4</v>
      </c>
      <c r="S21" s="60"/>
      <c r="T21" s="61"/>
      <c r="U21" s="61"/>
      <c r="V21" s="61"/>
      <c r="W21" s="61"/>
      <c r="X21" s="60"/>
      <c r="Y21" s="60"/>
      <c r="Z21" s="60"/>
      <c r="AA21" s="60"/>
      <c r="AB21" s="60"/>
      <c r="AC21" s="60"/>
      <c r="AD21" s="60"/>
      <c r="AE21" s="62"/>
    </row>
    <row r="22" spans="1:31" ht="20.100000000000001" customHeight="1">
      <c r="A22" s="57" t="s">
        <v>149</v>
      </c>
      <c r="B22" s="57" t="s">
        <v>161</v>
      </c>
      <c r="C22" s="58">
        <v>3.8</v>
      </c>
      <c r="D22" s="59">
        <v>3.8</v>
      </c>
      <c r="E22" s="59"/>
      <c r="F22" s="59"/>
      <c r="G22" s="59"/>
      <c r="H22" s="58"/>
      <c r="I22" s="58"/>
      <c r="J22" s="58"/>
      <c r="K22" s="58"/>
      <c r="L22" s="59"/>
      <c r="M22" s="58"/>
      <c r="N22" s="60"/>
      <c r="O22" s="61"/>
      <c r="P22" s="60">
        <v>3.8</v>
      </c>
      <c r="Q22" s="61"/>
      <c r="R22" s="61"/>
      <c r="S22" s="60">
        <v>3.8</v>
      </c>
      <c r="T22" s="61"/>
      <c r="U22" s="61"/>
      <c r="V22" s="61"/>
      <c r="W22" s="61"/>
      <c r="X22" s="60"/>
      <c r="Y22" s="60"/>
      <c r="Z22" s="60"/>
      <c r="AA22" s="60"/>
      <c r="AB22" s="60"/>
      <c r="AC22" s="60"/>
      <c r="AD22" s="60"/>
      <c r="AE22" s="62"/>
    </row>
    <row r="23" spans="1:31" ht="20.100000000000001" customHeight="1">
      <c r="A23" s="57" t="s">
        <v>149</v>
      </c>
      <c r="B23" s="57" t="s">
        <v>162</v>
      </c>
      <c r="C23" s="58">
        <v>1.1499999999999999</v>
      </c>
      <c r="D23" s="59">
        <v>1.1499999999999999</v>
      </c>
      <c r="E23" s="59">
        <v>1.1499999999999999</v>
      </c>
      <c r="F23" s="59"/>
      <c r="G23" s="59"/>
      <c r="H23" s="58"/>
      <c r="I23" s="58"/>
      <c r="J23" s="58"/>
      <c r="K23" s="58"/>
      <c r="L23" s="59"/>
      <c r="M23" s="58">
        <v>1.1499999999999999</v>
      </c>
      <c r="N23" s="60"/>
      <c r="O23" s="61"/>
      <c r="P23" s="60"/>
      <c r="Q23" s="61"/>
      <c r="R23" s="61"/>
      <c r="S23" s="60"/>
      <c r="T23" s="61"/>
      <c r="U23" s="61"/>
      <c r="V23" s="61"/>
      <c r="W23" s="61"/>
      <c r="X23" s="60"/>
      <c r="Y23" s="60"/>
      <c r="Z23" s="60"/>
      <c r="AA23" s="60"/>
      <c r="AB23" s="60"/>
      <c r="AC23" s="60"/>
      <c r="AD23" s="60"/>
      <c r="AE23" s="62"/>
    </row>
    <row r="24" spans="1:31" ht="20.100000000000001" customHeight="1">
      <c r="A24" s="57" t="s">
        <v>149</v>
      </c>
      <c r="B24" s="57" t="s">
        <v>163</v>
      </c>
      <c r="C24" s="58">
        <v>9.5</v>
      </c>
      <c r="D24" s="59">
        <v>9.5</v>
      </c>
      <c r="E24" s="59">
        <v>9.5</v>
      </c>
      <c r="F24" s="59"/>
      <c r="G24" s="59"/>
      <c r="H24" s="58"/>
      <c r="I24" s="58"/>
      <c r="J24" s="58"/>
      <c r="K24" s="58"/>
      <c r="L24" s="59"/>
      <c r="M24" s="58">
        <v>9.5</v>
      </c>
      <c r="N24" s="60"/>
      <c r="O24" s="61"/>
      <c r="P24" s="60"/>
      <c r="Q24" s="61"/>
      <c r="R24" s="61"/>
      <c r="S24" s="60"/>
      <c r="T24" s="61"/>
      <c r="U24" s="61"/>
      <c r="V24" s="61"/>
      <c r="W24" s="61"/>
      <c r="X24" s="60"/>
      <c r="Y24" s="60"/>
      <c r="Z24" s="60"/>
      <c r="AA24" s="60"/>
      <c r="AB24" s="60"/>
      <c r="AC24" s="60"/>
      <c r="AD24" s="60"/>
      <c r="AE24" s="62"/>
    </row>
    <row r="25" spans="1:31" ht="20.100000000000001" customHeight="1">
      <c r="A25" s="57" t="s">
        <v>149</v>
      </c>
      <c r="B25" s="57" t="s">
        <v>164</v>
      </c>
      <c r="C25" s="58">
        <v>67.5</v>
      </c>
      <c r="D25" s="59">
        <v>67.5</v>
      </c>
      <c r="E25" s="59"/>
      <c r="F25" s="59"/>
      <c r="G25" s="59"/>
      <c r="H25" s="58"/>
      <c r="I25" s="58"/>
      <c r="J25" s="58"/>
      <c r="K25" s="58"/>
      <c r="L25" s="59"/>
      <c r="M25" s="58"/>
      <c r="N25" s="60"/>
      <c r="O25" s="61"/>
      <c r="P25" s="60"/>
      <c r="Q25" s="61"/>
      <c r="R25" s="61"/>
      <c r="S25" s="60"/>
      <c r="T25" s="61"/>
      <c r="U25" s="61"/>
      <c r="V25" s="61"/>
      <c r="W25" s="61"/>
      <c r="X25" s="60">
        <v>67.5</v>
      </c>
      <c r="Y25" s="60"/>
      <c r="Z25" s="60">
        <v>67.5</v>
      </c>
      <c r="AA25" s="60"/>
      <c r="AB25" s="60"/>
      <c r="AC25" s="60"/>
      <c r="AD25" s="60"/>
      <c r="AE25" s="62"/>
    </row>
    <row r="26" spans="1:31" ht="20.100000000000001" customHeight="1">
      <c r="A26" s="57" t="s">
        <v>149</v>
      </c>
      <c r="B26" s="57" t="s">
        <v>165</v>
      </c>
      <c r="C26" s="58">
        <v>3</v>
      </c>
      <c r="D26" s="59">
        <v>3</v>
      </c>
      <c r="E26" s="59"/>
      <c r="F26" s="59"/>
      <c r="G26" s="59"/>
      <c r="H26" s="58"/>
      <c r="I26" s="58"/>
      <c r="J26" s="58"/>
      <c r="K26" s="58"/>
      <c r="L26" s="59"/>
      <c r="M26" s="58"/>
      <c r="N26" s="60"/>
      <c r="O26" s="61"/>
      <c r="P26" s="60"/>
      <c r="Q26" s="61"/>
      <c r="R26" s="61"/>
      <c r="S26" s="60"/>
      <c r="T26" s="61"/>
      <c r="U26" s="61"/>
      <c r="V26" s="61"/>
      <c r="W26" s="61"/>
      <c r="X26" s="60">
        <v>3</v>
      </c>
      <c r="Y26" s="60">
        <v>3</v>
      </c>
      <c r="Z26" s="60"/>
      <c r="AA26" s="60"/>
      <c r="AB26" s="60"/>
      <c r="AC26" s="60"/>
      <c r="AD26" s="60"/>
      <c r="AE26" s="62"/>
    </row>
    <row r="27" spans="1:31" ht="20.100000000000001" customHeight="1">
      <c r="A27" s="57" t="s">
        <v>149</v>
      </c>
      <c r="B27" s="57" t="s">
        <v>166</v>
      </c>
      <c r="C27" s="58">
        <v>8</v>
      </c>
      <c r="D27" s="59">
        <v>8</v>
      </c>
      <c r="E27" s="59"/>
      <c r="F27" s="59"/>
      <c r="G27" s="59"/>
      <c r="H27" s="58"/>
      <c r="I27" s="58"/>
      <c r="J27" s="58"/>
      <c r="K27" s="58"/>
      <c r="L27" s="59"/>
      <c r="M27" s="58"/>
      <c r="N27" s="60"/>
      <c r="O27" s="61"/>
      <c r="P27" s="60"/>
      <c r="Q27" s="61"/>
      <c r="R27" s="61"/>
      <c r="S27" s="60"/>
      <c r="T27" s="61"/>
      <c r="U27" s="61"/>
      <c r="V27" s="61"/>
      <c r="W27" s="61"/>
      <c r="X27" s="60">
        <v>8</v>
      </c>
      <c r="Y27" s="60">
        <v>8</v>
      </c>
      <c r="Z27" s="60"/>
      <c r="AA27" s="60"/>
      <c r="AB27" s="60"/>
      <c r="AC27" s="60"/>
      <c r="AD27" s="60"/>
      <c r="AE27" s="62"/>
    </row>
    <row r="28" spans="1:31" ht="20.100000000000001" customHeight="1">
      <c r="A28" s="57" t="s">
        <v>149</v>
      </c>
      <c r="B28" s="57" t="s">
        <v>167</v>
      </c>
      <c r="C28" s="58">
        <v>3</v>
      </c>
      <c r="D28" s="59">
        <v>3</v>
      </c>
      <c r="E28" s="59"/>
      <c r="F28" s="59"/>
      <c r="G28" s="59"/>
      <c r="H28" s="58"/>
      <c r="I28" s="58"/>
      <c r="J28" s="58"/>
      <c r="K28" s="58"/>
      <c r="L28" s="59"/>
      <c r="M28" s="58"/>
      <c r="N28" s="60"/>
      <c r="O28" s="61"/>
      <c r="P28" s="60"/>
      <c r="Q28" s="61"/>
      <c r="R28" s="61"/>
      <c r="S28" s="60"/>
      <c r="T28" s="61"/>
      <c r="U28" s="61"/>
      <c r="V28" s="61"/>
      <c r="W28" s="61"/>
      <c r="X28" s="60">
        <v>3</v>
      </c>
      <c r="Y28" s="60">
        <v>3</v>
      </c>
      <c r="Z28" s="60"/>
      <c r="AA28" s="60"/>
      <c r="AB28" s="60"/>
      <c r="AC28" s="60"/>
      <c r="AD28" s="60"/>
      <c r="AE28" s="62"/>
    </row>
    <row r="29" spans="1:31" ht="20.100000000000001" customHeight="1">
      <c r="A29" s="57" t="s">
        <v>168</v>
      </c>
      <c r="B29" s="57" t="s">
        <v>171</v>
      </c>
      <c r="C29" s="58">
        <v>20.97</v>
      </c>
      <c r="D29" s="59">
        <v>20.97</v>
      </c>
      <c r="E29" s="59">
        <v>20.97</v>
      </c>
      <c r="F29" s="59"/>
      <c r="G29" s="59"/>
      <c r="H29" s="58">
        <v>16.149999999999999</v>
      </c>
      <c r="I29" s="58">
        <v>4.82</v>
      </c>
      <c r="J29" s="58"/>
      <c r="K29" s="58"/>
      <c r="L29" s="59"/>
      <c r="M29" s="58"/>
      <c r="N29" s="60"/>
      <c r="O29" s="61"/>
      <c r="P29" s="60"/>
      <c r="Q29" s="61"/>
      <c r="R29" s="61"/>
      <c r="S29" s="60"/>
      <c r="T29" s="61"/>
      <c r="U29" s="61"/>
      <c r="V29" s="61"/>
      <c r="W29" s="61"/>
      <c r="X29" s="60"/>
      <c r="Y29" s="60"/>
      <c r="Z29" s="60"/>
      <c r="AA29" s="60"/>
      <c r="AB29" s="60"/>
      <c r="AC29" s="60"/>
      <c r="AD29" s="60"/>
      <c r="AE29" s="62"/>
    </row>
    <row r="30" spans="1:31" ht="20.100000000000001" customHeight="1">
      <c r="A30" s="57" t="s">
        <v>169</v>
      </c>
      <c r="B30" s="57" t="s">
        <v>172</v>
      </c>
      <c r="C30" s="58">
        <v>16.149999999999999</v>
      </c>
      <c r="D30" s="59">
        <v>16.149999999999999</v>
      </c>
      <c r="E30" s="59">
        <v>16.149999999999999</v>
      </c>
      <c r="F30" s="59"/>
      <c r="G30" s="59"/>
      <c r="H30" s="58">
        <v>16.149999999999999</v>
      </c>
      <c r="I30" s="58"/>
      <c r="J30" s="58"/>
      <c r="K30" s="58"/>
      <c r="L30" s="59"/>
      <c r="M30" s="58"/>
      <c r="N30" s="60"/>
      <c r="O30" s="61"/>
      <c r="P30" s="60"/>
      <c r="Q30" s="61"/>
      <c r="R30" s="61"/>
      <c r="S30" s="60"/>
      <c r="T30" s="61"/>
      <c r="U30" s="61"/>
      <c r="V30" s="61"/>
      <c r="W30" s="61"/>
      <c r="X30" s="60"/>
      <c r="Y30" s="60"/>
      <c r="Z30" s="60"/>
      <c r="AA30" s="60"/>
      <c r="AB30" s="60"/>
      <c r="AC30" s="60"/>
      <c r="AD30" s="60"/>
      <c r="AE30" s="62"/>
    </row>
    <row r="31" spans="1:31" ht="20.100000000000001" customHeight="1">
      <c r="A31" s="57" t="s">
        <v>170</v>
      </c>
      <c r="B31" s="57" t="s">
        <v>173</v>
      </c>
      <c r="C31" s="58">
        <v>4.82</v>
      </c>
      <c r="D31" s="59">
        <v>4.82</v>
      </c>
      <c r="E31" s="59">
        <v>4.82</v>
      </c>
      <c r="F31" s="59"/>
      <c r="G31" s="59"/>
      <c r="H31" s="58"/>
      <c r="I31" s="58">
        <v>4.82</v>
      </c>
      <c r="J31" s="58"/>
      <c r="K31" s="58"/>
      <c r="L31" s="59"/>
      <c r="M31" s="58"/>
      <c r="N31" s="60"/>
      <c r="O31" s="61"/>
      <c r="P31" s="60"/>
      <c r="Q31" s="61"/>
      <c r="R31" s="61"/>
      <c r="S31" s="60"/>
      <c r="T31" s="61"/>
      <c r="U31" s="61"/>
      <c r="V31" s="61"/>
      <c r="W31" s="61"/>
      <c r="X31" s="60"/>
      <c r="Y31" s="60"/>
      <c r="Z31" s="60"/>
      <c r="AA31" s="60"/>
      <c r="AB31" s="60"/>
      <c r="AC31" s="60"/>
      <c r="AD31" s="60"/>
      <c r="AE31" s="62"/>
    </row>
    <row r="32" spans="1:31">
      <c r="D32" s="90"/>
    </row>
  </sheetData>
  <mergeCells count="17">
    <mergeCell ref="A3:AE3"/>
    <mergeCell ref="A4:G4"/>
    <mergeCell ref="J4:M4"/>
    <mergeCell ref="A5:A7"/>
    <mergeCell ref="B5:B7"/>
    <mergeCell ref="C5:C7"/>
    <mergeCell ref="D5:D7"/>
    <mergeCell ref="E5:AA5"/>
    <mergeCell ref="AB5:AB7"/>
    <mergeCell ref="AC5:AC7"/>
    <mergeCell ref="AD5:AD7"/>
    <mergeCell ref="AE5:AE7"/>
    <mergeCell ref="E6:M6"/>
    <mergeCell ref="N6:N7"/>
    <mergeCell ref="O6:O7"/>
    <mergeCell ref="P6:W6"/>
    <mergeCell ref="X6:AA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9"/>
  <sheetViews>
    <sheetView topLeftCell="C1" workbookViewId="0">
      <selection activeCell="P9" sqref="P9:U10"/>
    </sheetView>
  </sheetViews>
  <sheetFormatPr defaultColWidth="7" defaultRowHeight="11.25"/>
  <cols>
    <col min="1" max="16" width="8.125" style="64" customWidth="1"/>
    <col min="17" max="18" width="6.25" style="64" customWidth="1"/>
    <col min="19" max="19" width="6.125" style="64" customWidth="1"/>
    <col min="20" max="23" width="8.125" style="64" customWidth="1"/>
    <col min="24" max="16384" width="7" style="64"/>
  </cols>
  <sheetData>
    <row r="1" spans="1:23" ht="27" customHeight="1">
      <c r="W1" s="65"/>
    </row>
    <row r="2" spans="1:23" ht="50.25" customHeight="1">
      <c r="A2" s="130" t="s">
        <v>104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</row>
    <row r="3" spans="1:23" ht="18" customHeight="1">
      <c r="A3" s="131" t="s">
        <v>105</v>
      </c>
      <c r="B3" s="131"/>
      <c r="C3" s="131"/>
      <c r="D3" s="131"/>
      <c r="V3" s="65"/>
      <c r="W3" s="65" t="s">
        <v>106</v>
      </c>
    </row>
    <row r="4" spans="1:23" ht="33.75" customHeight="1">
      <c r="A4" s="132" t="s">
        <v>107</v>
      </c>
      <c r="B4" s="132" t="s">
        <v>108</v>
      </c>
      <c r="C4" s="129" t="s">
        <v>109</v>
      </c>
      <c r="D4" s="129"/>
      <c r="E4" s="129"/>
      <c r="F4" s="129"/>
      <c r="G4" s="129"/>
      <c r="H4" s="126" t="s">
        <v>110</v>
      </c>
      <c r="I4" s="126" t="s">
        <v>111</v>
      </c>
      <c r="J4" s="126" t="s">
        <v>112</v>
      </c>
      <c r="K4" s="126" t="s">
        <v>113</v>
      </c>
      <c r="L4" s="126" t="s">
        <v>114</v>
      </c>
      <c r="M4" s="66" t="s">
        <v>115</v>
      </c>
      <c r="N4" s="66"/>
      <c r="O4" s="66"/>
      <c r="P4" s="66"/>
      <c r="Q4" s="66"/>
      <c r="R4" s="66"/>
      <c r="S4" s="66"/>
      <c r="T4" s="66"/>
      <c r="U4" s="66"/>
      <c r="V4" s="66"/>
      <c r="W4" s="67"/>
    </row>
    <row r="5" spans="1:23" ht="20.25" customHeight="1">
      <c r="A5" s="133"/>
      <c r="B5" s="133"/>
      <c r="C5" s="129" t="s">
        <v>116</v>
      </c>
      <c r="D5" s="129" t="s">
        <v>117</v>
      </c>
      <c r="E5" s="129" t="s">
        <v>118</v>
      </c>
      <c r="F5" s="129" t="s">
        <v>119</v>
      </c>
      <c r="G5" s="129"/>
      <c r="H5" s="127"/>
      <c r="I5" s="127"/>
      <c r="J5" s="127"/>
      <c r="K5" s="127"/>
      <c r="L5" s="127"/>
      <c r="M5" s="129" t="s">
        <v>120</v>
      </c>
      <c r="N5" s="135" t="s">
        <v>121</v>
      </c>
      <c r="O5" s="136"/>
      <c r="P5" s="137"/>
      <c r="Q5" s="126" t="s">
        <v>122</v>
      </c>
      <c r="R5" s="129" t="s">
        <v>123</v>
      </c>
      <c r="S5" s="129" t="s">
        <v>124</v>
      </c>
      <c r="T5" s="129" t="s">
        <v>125</v>
      </c>
      <c r="U5" s="129" t="s">
        <v>126</v>
      </c>
      <c r="V5" s="129" t="s">
        <v>127</v>
      </c>
      <c r="W5" s="126" t="s">
        <v>128</v>
      </c>
    </row>
    <row r="6" spans="1:23" ht="24.75" customHeight="1">
      <c r="A6" s="133"/>
      <c r="B6" s="133"/>
      <c r="C6" s="129"/>
      <c r="D6" s="129"/>
      <c r="E6" s="129"/>
      <c r="F6" s="129" t="s">
        <v>129</v>
      </c>
      <c r="G6" s="129" t="s">
        <v>130</v>
      </c>
      <c r="H6" s="127"/>
      <c r="I6" s="127"/>
      <c r="J6" s="127"/>
      <c r="K6" s="127"/>
      <c r="L6" s="127"/>
      <c r="M6" s="129"/>
      <c r="N6" s="129" t="s">
        <v>131</v>
      </c>
      <c r="O6" s="126" t="s">
        <v>132</v>
      </c>
      <c r="P6" s="126" t="s">
        <v>133</v>
      </c>
      <c r="Q6" s="127"/>
      <c r="R6" s="129"/>
      <c r="S6" s="129"/>
      <c r="T6" s="129"/>
      <c r="U6" s="129"/>
      <c r="V6" s="129"/>
      <c r="W6" s="127"/>
    </row>
    <row r="7" spans="1:23" ht="28.5" customHeight="1">
      <c r="A7" s="134"/>
      <c r="B7" s="134"/>
      <c r="C7" s="129"/>
      <c r="D7" s="129"/>
      <c r="E7" s="129"/>
      <c r="F7" s="129"/>
      <c r="G7" s="129"/>
      <c r="H7" s="128"/>
      <c r="I7" s="128"/>
      <c r="J7" s="128"/>
      <c r="K7" s="128"/>
      <c r="L7" s="128"/>
      <c r="M7" s="129"/>
      <c r="N7" s="129"/>
      <c r="O7" s="128"/>
      <c r="P7" s="128"/>
      <c r="Q7" s="128"/>
      <c r="R7" s="129"/>
      <c r="S7" s="129"/>
      <c r="T7" s="129"/>
      <c r="U7" s="129"/>
      <c r="V7" s="129"/>
      <c r="W7" s="128"/>
    </row>
    <row r="8" spans="1:23" ht="18" customHeight="1">
      <c r="A8" s="68" t="s">
        <v>134</v>
      </c>
      <c r="B8" s="68" t="s">
        <v>134</v>
      </c>
      <c r="C8" s="68" t="s">
        <v>134</v>
      </c>
      <c r="D8" s="68" t="s">
        <v>134</v>
      </c>
      <c r="E8" s="68" t="s">
        <v>134</v>
      </c>
      <c r="F8" s="68" t="s">
        <v>134</v>
      </c>
      <c r="G8" s="68" t="s">
        <v>134</v>
      </c>
      <c r="H8" s="68" t="s">
        <v>134</v>
      </c>
      <c r="I8" s="68" t="s">
        <v>134</v>
      </c>
      <c r="J8" s="68" t="s">
        <v>134</v>
      </c>
      <c r="K8" s="68" t="s">
        <v>134</v>
      </c>
      <c r="L8" s="68" t="s">
        <v>134</v>
      </c>
      <c r="M8" s="69">
        <v>1</v>
      </c>
      <c r="N8" s="69">
        <v>2</v>
      </c>
      <c r="O8" s="69">
        <v>3</v>
      </c>
      <c r="P8" s="69">
        <v>4</v>
      </c>
      <c r="Q8" s="69">
        <v>5</v>
      </c>
      <c r="R8" s="69">
        <v>6</v>
      </c>
      <c r="S8" s="69">
        <v>7</v>
      </c>
      <c r="T8" s="69">
        <v>8</v>
      </c>
      <c r="U8" s="69">
        <v>9</v>
      </c>
      <c r="V8" s="69">
        <v>10</v>
      </c>
      <c r="W8" s="69">
        <v>11</v>
      </c>
    </row>
    <row r="9" spans="1:23" s="75" customFormat="1" ht="45.75" customHeight="1">
      <c r="A9" s="70"/>
      <c r="B9" s="70"/>
      <c r="C9" s="71"/>
      <c r="D9" s="71"/>
      <c r="E9" s="71"/>
      <c r="F9" s="71"/>
      <c r="G9" s="71"/>
      <c r="H9" s="71"/>
      <c r="I9" s="71"/>
      <c r="J9" s="71"/>
      <c r="K9" s="71"/>
      <c r="L9" s="71" t="s">
        <v>135</v>
      </c>
      <c r="M9" s="72" t="s">
        <v>59</v>
      </c>
      <c r="N9" s="73"/>
      <c r="O9" s="73"/>
      <c r="P9" s="73"/>
      <c r="Q9" s="73"/>
      <c r="R9" s="73"/>
      <c r="S9" s="73"/>
      <c r="T9" s="73"/>
      <c r="U9" s="73"/>
      <c r="V9" s="74" t="s">
        <v>135</v>
      </c>
      <c r="W9" s="74" t="s">
        <v>135</v>
      </c>
    </row>
  </sheetData>
  <mergeCells count="28">
    <mergeCell ref="T5:T7"/>
    <mergeCell ref="P6:P7"/>
    <mergeCell ref="Q5:Q7"/>
    <mergeCell ref="U5:U7"/>
    <mergeCell ref="C5:C7"/>
    <mergeCell ref="D5:D7"/>
    <mergeCell ref="E5:E7"/>
    <mergeCell ref="F5:G5"/>
    <mergeCell ref="A2:W2"/>
    <mergeCell ref="A3:D3"/>
    <mergeCell ref="A4:A7"/>
    <mergeCell ref="B4:B7"/>
    <mergeCell ref="C4:G4"/>
    <mergeCell ref="H4:H7"/>
    <mergeCell ref="F6:F7"/>
    <mergeCell ref="G6:G7"/>
    <mergeCell ref="N6:N7"/>
    <mergeCell ref="O6:O7"/>
    <mergeCell ref="W5:W7"/>
    <mergeCell ref="R5:R7"/>
    <mergeCell ref="S5:S7"/>
    <mergeCell ref="I4:I7"/>
    <mergeCell ref="J4:J7"/>
    <mergeCell ref="K4:K7"/>
    <mergeCell ref="V5:V7"/>
    <mergeCell ref="N5:P5"/>
    <mergeCell ref="M5:M7"/>
    <mergeCell ref="L4:L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3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0"/>
  <sheetViews>
    <sheetView workbookViewId="0">
      <selection activeCell="A3" sqref="A3"/>
    </sheetView>
  </sheetViews>
  <sheetFormatPr defaultRowHeight="13.5"/>
  <cols>
    <col min="1" max="1" width="66.625" customWidth="1"/>
    <col min="2" max="2" width="66.625" style="42" customWidth="1"/>
  </cols>
  <sheetData>
    <row r="1" spans="1:6" ht="30" customHeight="1">
      <c r="A1" s="76"/>
      <c r="B1" s="77"/>
      <c r="C1" s="78"/>
      <c r="D1" s="78"/>
      <c r="E1" s="78"/>
      <c r="F1" s="78"/>
    </row>
    <row r="2" spans="1:6" ht="30" customHeight="1">
      <c r="A2" s="138" t="s">
        <v>136</v>
      </c>
      <c r="B2" s="138"/>
      <c r="C2" s="79"/>
      <c r="D2" s="80"/>
      <c r="E2" s="80"/>
      <c r="F2" s="80"/>
    </row>
    <row r="3" spans="1:6" ht="30" customHeight="1">
      <c r="A3" s="86" t="s">
        <v>146</v>
      </c>
      <c r="B3" s="85" t="s">
        <v>55</v>
      </c>
      <c r="C3" s="81"/>
      <c r="D3" s="81"/>
      <c r="E3" s="81"/>
      <c r="F3" s="81"/>
    </row>
    <row r="4" spans="1:6" ht="30" customHeight="1">
      <c r="A4" s="87" t="s">
        <v>137</v>
      </c>
      <c r="B4" s="87" t="s">
        <v>138</v>
      </c>
      <c r="C4" s="78"/>
      <c r="D4" s="78"/>
      <c r="E4" s="78"/>
      <c r="F4" s="78"/>
    </row>
    <row r="5" spans="1:6" ht="30" customHeight="1">
      <c r="A5" s="82" t="s">
        <v>72</v>
      </c>
      <c r="B5" s="82">
        <v>4.79</v>
      </c>
      <c r="C5" s="78"/>
      <c r="D5" s="78"/>
      <c r="E5" s="78"/>
      <c r="F5" s="78"/>
    </row>
    <row r="6" spans="1:6" ht="30" customHeight="1">
      <c r="A6" s="83" t="s">
        <v>139</v>
      </c>
      <c r="B6" s="82"/>
      <c r="C6" s="78"/>
      <c r="D6" s="78"/>
      <c r="E6" s="78"/>
      <c r="F6" s="84"/>
    </row>
    <row r="7" spans="1:6" ht="30" customHeight="1">
      <c r="A7" s="83" t="s">
        <v>140</v>
      </c>
      <c r="B7" s="82">
        <v>0.99</v>
      </c>
      <c r="C7" s="78"/>
      <c r="D7" s="78"/>
      <c r="E7" s="78"/>
      <c r="F7" s="78"/>
    </row>
    <row r="8" spans="1:6" ht="30" customHeight="1">
      <c r="A8" s="83" t="s">
        <v>141</v>
      </c>
      <c r="B8" s="82">
        <v>3.8</v>
      </c>
      <c r="C8" s="78"/>
      <c r="D8" s="78"/>
      <c r="E8" s="78"/>
      <c r="F8" s="78"/>
    </row>
    <row r="9" spans="1:6" ht="30" customHeight="1">
      <c r="A9" s="88" t="s">
        <v>142</v>
      </c>
      <c r="B9" s="82">
        <v>3.8</v>
      </c>
      <c r="C9" s="78"/>
      <c r="D9" s="78"/>
      <c r="E9" s="78"/>
      <c r="F9" s="78"/>
    </row>
    <row r="10" spans="1:6" ht="30" customHeight="1">
      <c r="A10" s="88" t="s">
        <v>143</v>
      </c>
      <c r="B10" s="82"/>
      <c r="C10" s="78"/>
      <c r="D10" s="78"/>
      <c r="E10" s="78"/>
      <c r="F10" s="78"/>
    </row>
  </sheetData>
  <mergeCells count="1">
    <mergeCell ref="A2:B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2016-02-29T00:51:42Z</cp:lastPrinted>
  <dcterms:created xsi:type="dcterms:W3CDTF">2006-09-13T11:21:51Z</dcterms:created>
  <dcterms:modified xsi:type="dcterms:W3CDTF">2016-05-13T02:30:01Z</dcterms:modified>
</cp:coreProperties>
</file>