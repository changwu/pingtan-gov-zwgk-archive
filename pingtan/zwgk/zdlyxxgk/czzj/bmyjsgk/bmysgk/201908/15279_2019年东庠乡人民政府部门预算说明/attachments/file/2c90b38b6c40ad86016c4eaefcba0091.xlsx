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347" tabRatio="1000" activeTab="3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<sst xmlns="http://schemas.openxmlformats.org/spreadsheetml/2006/main" count="518" uniqueCount="353">
  <si>
    <t>附表5-1</t>
  </si>
  <si>
    <t>2019年度收支预算总表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</si>
  <si>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</si>
  <si>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</si>
  <si>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</si>
  <si>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</si>
  <si>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</si>
  <si>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</si>
  <si>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</si>
  <si>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</si>
  <si>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</si>
  <si>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</si>
  <si>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</si>
  <si>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</si>
  <si>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</si>
  <si>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</si>
  <si>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</si>
  <si>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二、项目支出</t>
  </si>
  <si>
    <t>收入合计</t>
  </si>
  <si>
    <t>支出合计</t>
  </si>
  <si>
    <t>附表5-2</t>
  </si>
  <si>
    <t>2019年度收入预算总表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</si>
  <si>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</si>
  <si>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</si>
  <si>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</si>
  <si>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</si>
  <si>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</si>
  <si>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</si>
  <si>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</si>
  <si>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</si>
  <si>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</si>
  <si>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</si>
  <si>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平潭县东庠乡人民政府</t>
  </si>
  <si>
    <t>附表5-3</t>
  </si>
  <si>
    <t>2019年度支出预算总表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</si>
  <si>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</si>
  <si>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</si>
  <si>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</si>
  <si>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</si>
  <si>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</si>
  <si>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</si>
  <si>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</si>
  <si>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综合定额公用经费</t>
  </si>
  <si>
    <t>在职自收自支人员年金</t>
  </si>
  <si>
    <t>在职人员住房公积金</t>
  </si>
  <si>
    <t>在职人员医疗保险（行政）</t>
  </si>
  <si>
    <t>在职人员养老保险（行政）</t>
  </si>
  <si>
    <t>在职人员生育保险（行政）</t>
  </si>
  <si>
    <t>在职人员工伤保险（行政）</t>
  </si>
  <si>
    <t>在职人员奖励性绩效（事业单位一次性奖金）（文化）</t>
  </si>
  <si>
    <t>在职人员奖励性绩效（事业单位一次性奖金）（农业）</t>
  </si>
  <si>
    <t>在职人员奖励性绩效（事业单位一次性奖金）（计生）</t>
  </si>
  <si>
    <t>在职人员基础性绩效工资（文化）</t>
  </si>
  <si>
    <t>在职人员基础性绩效工资（农业）</t>
  </si>
  <si>
    <t>在职人员基础性绩效工资（计生）</t>
  </si>
  <si>
    <t>在职人员基本工资（行政）</t>
  </si>
  <si>
    <t>在职人员基本工资（文化）</t>
  </si>
  <si>
    <t>在职人员基本工资（农业）</t>
  </si>
  <si>
    <t>在职人员基本工资（计生）</t>
  </si>
  <si>
    <t>在职人员基本工资（财政）</t>
  </si>
  <si>
    <t>在职人员地方津补贴（含行业性津贴）（行政）</t>
  </si>
  <si>
    <t>在职人员地方津补贴（含行业性津贴）（文化）</t>
  </si>
  <si>
    <t>在职人员地方津补贴（含行业性津贴）（农业）</t>
  </si>
  <si>
    <t>在职人员地方津补贴（含行业性津贴）（计生）</t>
  </si>
  <si>
    <t>在职人员地方津补贴（含行业性津贴）（财政）</t>
  </si>
  <si>
    <t>越战退役人员补助</t>
  </si>
  <si>
    <t>越战老兵两节补助款</t>
  </si>
  <si>
    <t>原村居退岗养老金及离任村居主干生活补助</t>
  </si>
  <si>
    <t>行政人员一次性奖金</t>
  </si>
  <si>
    <t>小岛交通补贴</t>
  </si>
  <si>
    <t>误餐及通讯补贴</t>
  </si>
  <si>
    <t>文明奖</t>
  </si>
  <si>
    <t>提租补贴</t>
  </si>
  <si>
    <t>其他村干部报酬补贴</t>
  </si>
  <si>
    <t>小岛运转经费补助</t>
  </si>
  <si>
    <t>乡镇运转经费</t>
  </si>
  <si>
    <t>村级运转经费</t>
  </si>
  <si>
    <t>财政所专项经费</t>
  </si>
  <si>
    <t>平安综治奖</t>
  </si>
  <si>
    <t>离退休人员公务费</t>
  </si>
  <si>
    <t>建设绩效奖</t>
  </si>
  <si>
    <t>公务员医疗补助款</t>
  </si>
  <si>
    <t>公务用车运行费</t>
  </si>
  <si>
    <t>工会经费</t>
  </si>
  <si>
    <t>公车改革补贴</t>
  </si>
  <si>
    <t>防暑降温费</t>
  </si>
  <si>
    <t>村主干报酬补贴</t>
  </si>
  <si>
    <t>村务监督委员会主任报酬补贴</t>
  </si>
  <si>
    <t>财政人员一次性奖金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</si>
  <si>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</si>
  <si>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附表5-4</t>
  </si>
  <si>
    <t>2019年度财政拨款收支预算总表</t>
  </si>
  <si>
    <t xml:space="preserve">    人员支出</t>
  </si>
  <si>
    <t>三、单位结余结转资金</t>
  </si>
  <si>
    <t xml:space="preserve">    对个人和家庭补助支出</t>
  </si>
  <si>
    <t xml:space="preserve">    公用支出</t>
  </si>
  <si>
    <t>附表5-5</t>
  </si>
  <si>
    <t>2019年度一般公共预算拨款支出预算表</t>
  </si>
  <si>
    <t>其中：</t>
  </si>
  <si>
    <t>基本支出</t>
  </si>
  <si>
    <t>备注：本表公开到政府支出功能分类项级科目。</t>
  </si>
  <si>
    <t>附表5-6</t>
  </si>
  <si>
    <t>2019年度政府性基金拨款支出预算表</t>
  </si>
  <si>
    <t>备注：1.本表公开到政府支出功能分类项级科目。</t>
  </si>
  <si>
    <t xml:space="preserve">      2.没有数据的单位应当列出空表并说明。</t>
  </si>
  <si>
    <t>附表5-7</t>
  </si>
  <si>
    <t>2019年度一般公共预算支出经济分类情况表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</si>
  <si>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</si>
  <si>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</si>
  <si>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</si>
  <si>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</si>
  <si>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</si>
  <si>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</si>
  <si>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</si>
  <si>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</si>
  <si>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</si>
  <si>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</si>
  <si>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</si>
  <si>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</si>
  <si>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</si>
  <si>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</si>
  <si>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</si>
  <si>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</si>
  <si>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</si>
  <si>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</si>
  <si>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</si>
  <si>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</si>
  <si>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</si>
  <si>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</si>
  <si>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附表5-8</t>
  </si>
  <si>
    <t>2019年度一般公共预算基本支出经济分类情况表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</si>
  <si>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</si>
  <si>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</si>
  <si>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</si>
  <si>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</si>
  <si>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</si>
  <si>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</si>
  <si>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</si>
  <si>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</si>
  <si>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</si>
  <si>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</si>
  <si>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</si>
  <si>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</si>
  <si>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</si>
  <si>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</si>
  <si>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</si>
  <si>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</si>
  <si>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</si>
  <si>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</si>
  <si>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</si>
  <si>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</si>
  <si>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</si>
  <si>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</si>
  <si>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</si>
  <si>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</si>
  <si>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</si>
  <si>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</si>
  <si>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</si>
  <si>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</si>
  <si>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</si>
  <si>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</si>
  <si>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</si>
  <si>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</si>
  <si>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</si>
  <si>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</si>
  <si>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</si>
  <si>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</si>
  <si>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</si>
  <si>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</si>
  <si>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</si>
  <si>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</si>
  <si>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</si>
  <si>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</si>
  <si>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</si>
  <si>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</si>
  <si>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</si>
  <si>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</si>
  <si>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</si>
  <si>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</si>
  <si>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</si>
  <si>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</si>
  <si>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</si>
  <si>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</si>
  <si>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</si>
  <si>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</si>
  <si>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</si>
  <si>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</si>
  <si>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</si>
  <si>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</si>
  <si>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</si>
  <si>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</si>
  <si>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</si>
  <si>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</si>
  <si>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</si>
  <si>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</si>
  <si>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</si>
  <si>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</si>
  <si>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</si>
  <si>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</si>
  <si>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</si>
  <si>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</si>
  <si>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</si>
  <si>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</si>
  <si>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</si>
  <si>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</si>
  <si>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</si>
  <si>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</si>
  <si>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</si>
  <si>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</si>
  <si>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</si>
  <si>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</si>
  <si>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</si>
  <si>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</si>
  <si>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</si>
  <si>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</si>
  <si>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</si>
  <si>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</si>
  <si>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</si>
  <si>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</si>
  <si>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</si>
  <si>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</si>
  <si>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</si>
  <si>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</si>
  <si>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</si>
  <si>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</si>
  <si>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</si>
  <si>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</si>
  <si>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</si>
  <si>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</si>
  <si>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</si>
  <si>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</si>
  <si>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</si>
  <si>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</si>
  <si>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</si>
  <si>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</si>
  <si>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</si>
  <si>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</si>
  <si>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</si>
  <si>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</si>
  <si>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</si>
  <si>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</si>
  <si>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</si>
  <si>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</si>
  <si>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</si>
  <si>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</si>
  <si>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</si>
  <si>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</si>
  <si>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</si>
  <si>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</si>
  <si>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</si>
  <si>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</si>
  <si>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</si>
  <si>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</si>
  <si>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</si>
  <si>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</si>
  <si>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</si>
  <si>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</si>
  <si>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</si>
  <si>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</si>
  <si>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</si>
  <si>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</si>
  <si>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</si>
  <si>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</si>
  <si>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</si>
  <si>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</si>
  <si>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</si>
  <si>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</si>
  <si>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</si>
  <si>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</si>
  <si>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</si>
  <si>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</si>
  <si>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</si>
  <si>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</si>
  <si>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</si>
  <si>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</si>
  <si>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</si>
  <si>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</si>
  <si>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</si>
  <si>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</si>
  <si>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>拆迁补偿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</si>
  <si>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</si>
  <si>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</si>
  <si>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</si>
  <si>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</si>
  <si>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</si>
  <si>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</si>
  <si>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</si>
  <si>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</si>
  <si>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</si>
  <si>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</si>
  <si>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</si>
  <si>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</si>
  <si>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</si>
  <si>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</si>
  <si>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</si>
  <si>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</si>
  <si>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</si>
  <si>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</si>
  <si>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</si>
  <si>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</si>
  <si>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</si>
  <si>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</si>
  <si>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</si>
  <si>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</si>
  <si>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</si>
  <si>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</si>
  <si>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</si>
  <si>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</si>
  <si>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</si>
  <si>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附表5-9</t>
  </si>
  <si>
    <t>2019年度一般公共预算“三公”经费支出预算表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</si>
  <si>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</si>
  <si>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</si>
  <si>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</si>
  <si>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</si>
  <si>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</si>
  <si>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</si>
  <si>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</si>
  <si>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附表5-10</t>
  </si>
  <si>
    <t>2019年度部门专项资金管理清单目录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</si>
  <si>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</si>
  <si>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</si>
  <si>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</si>
  <si>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</si>
  <si>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</si>
  <si>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</si>
  <si>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</si>
  <si>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</si>
  <si>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</si>
  <si>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</si>
  <si>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</si>
  <si>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</si>
  <si>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</si>
  <si>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附表5-11</t>
  </si>
  <si>
    <t>2019年度部门业务费绩效目标表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</si>
  <si>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</si>
  <si>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</si>
  <si>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</si>
  <si>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</si>
  <si>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</si>
  <si>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</si>
  <si>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</si>
  <si>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</si>
  <si>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</si>
  <si>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</si>
  <si>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</si>
  <si>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</si>
  <si>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</si>
  <si>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附表5-12</t>
  </si>
  <si>
    <t>2019年度专项资金绩效目标表</t>
  </si>
  <si>
    <t>立项项目名称</t>
  </si>
  <si>
    <t>概况</t>
  </si>
  <si>
    <t>（简要填写执行年限、预算安排、主要工作任务等情况）</t>
  </si>
</sst>
</file>

<file path=xl/styles.xml><?xml version="1.0" encoding="utf-8"?>
<styleSheet xmlns="http://schemas.openxmlformats.org/spreadsheetml/2006/main">
  <numFmts count="22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_-\¥* #,##0_-;\-\¥* #,##0_-;_-\¥* &quot;-&quot;_-;_-@_-"/>
    <numFmt numFmtId="177" formatCode="_(&quot;$&quot;* #,##0.00_);_(&quot;$&quot;* \(#,##0.00\);_(&quot;$&quot;* &quot;-&quot;??_);_(@_)"/>
    <numFmt numFmtId="178" formatCode="0.0"/>
    <numFmt numFmtId="179" formatCode="#,##0.000_ "/>
    <numFmt numFmtId="180" formatCode="\$#,##0.00;\(\$#,##0.00\)"/>
    <numFmt numFmtId="181" formatCode="_ \¥* #,##0.00_ ;_ \¥* \-#,##0.00_ ;_ \¥* &quot;-&quot;??_ ;_ @_ "/>
    <numFmt numFmtId="182" formatCode="_-* #,##0.0000_-;\-* #,##0.0000_-;_-* &quot;-&quot;??_-;_-@_-"/>
    <numFmt numFmtId="183" formatCode="_(* #,##0.00_);_(* \(#,##0.00\);_(* &quot;-&quot;??_);_(@_)"/>
    <numFmt numFmtId="184" formatCode="\$#,##0;\(\$#,##0\)"/>
    <numFmt numFmtId="185" formatCode="_-&quot;$&quot;* #,##0_-;\-&quot;$&quot;* #,##0_-;_-&quot;$&quot;* &quot;-&quot;_-;_-@_-"/>
    <numFmt numFmtId="186" formatCode="#,##0;\-#,##0;&quot;-&quot;"/>
    <numFmt numFmtId="187" formatCode="* #,##0.0;* \-#,##0.0;* &quot;&quot;??;@"/>
    <numFmt numFmtId="188" formatCode="#,##0.0"/>
    <numFmt numFmtId="189" formatCode="#,##0;\(#,##0\)"/>
    <numFmt numFmtId="190" formatCode="#,##0.00_ "/>
    <numFmt numFmtId="191" formatCode="0.00;[Red]0.00"/>
    <numFmt numFmtId="192" formatCode="_-* #,##0.00_-;\-* #,##0.00_-;_-* &quot;-&quot;??_-;_-@_-"/>
    <numFmt numFmtId="193" formatCode="_-* #,##0_-;\-* #,##0_-;_-* &quot;-&quot;_-;_-@_-"/>
  </numFmts>
  <fonts count="80">
    <font>
      <sz val="12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color theme="1"/>
      <name val="宋体"/>
      <charset val="134"/>
    </font>
    <font>
      <sz val="11"/>
      <name val="华文楷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12"/>
      <color indexed="8"/>
      <name val="宋体"/>
      <charset val="134"/>
    </font>
    <font>
      <b/>
      <sz val="20"/>
      <color indexed="8"/>
      <name val="宋体"/>
      <charset val="134"/>
    </font>
    <font>
      <b/>
      <sz val="10"/>
      <color indexed="8"/>
      <name val="宋体"/>
      <charset val="134"/>
    </font>
    <font>
      <sz val="16"/>
      <color indexed="8"/>
      <name val="方正小标宋_GBK"/>
      <charset val="134"/>
    </font>
    <font>
      <sz val="10"/>
      <color indexed="8"/>
      <name val="方正小标宋_GBK"/>
      <charset val="134"/>
    </font>
    <font>
      <sz val="10"/>
      <color indexed="8"/>
      <name val="宋体"/>
      <charset val="134"/>
    </font>
    <font>
      <sz val="9"/>
      <name val="宋体"/>
      <charset val="134"/>
    </font>
    <font>
      <sz val="10"/>
      <name val="楷体"/>
      <charset val="134"/>
    </font>
    <font>
      <sz val="20"/>
      <name val="黑体"/>
      <charset val="134"/>
    </font>
    <font>
      <sz val="11"/>
      <color theme="1"/>
      <name val="宋体"/>
      <charset val="134"/>
      <scheme val="minor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2"/>
      <color indexed="36"/>
      <name val="宋体"/>
      <charset val="134"/>
    </font>
    <font>
      <sz val="11"/>
      <color indexed="52"/>
      <name val="宋体"/>
      <charset val="134"/>
    </font>
    <font>
      <sz val="11"/>
      <color indexed="17"/>
      <name val="宋体"/>
      <charset val="134"/>
    </font>
    <font>
      <b/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56"/>
      <name val="宋体"/>
      <charset val="134"/>
    </font>
    <font>
      <b/>
      <sz val="21"/>
      <name val="楷体_GB2312"/>
      <charset val="134"/>
    </font>
    <font>
      <sz val="11"/>
      <color indexed="4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b/>
      <sz val="18"/>
      <color indexed="62"/>
      <name val="宋体"/>
      <charset val="134"/>
    </font>
    <font>
      <sz val="12"/>
      <color indexed="20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3"/>
      <color indexed="56"/>
      <name val="宋体"/>
      <charset val="134"/>
    </font>
    <font>
      <b/>
      <sz val="18"/>
      <color indexed="56"/>
      <name val="宋体"/>
      <charset val="134"/>
    </font>
    <font>
      <b/>
      <sz val="13"/>
      <color indexed="54"/>
      <name val="宋体"/>
      <charset val="134"/>
    </font>
    <font>
      <b/>
      <sz val="11"/>
      <color indexed="42"/>
      <name val="宋体"/>
      <charset val="134"/>
    </font>
    <font>
      <b/>
      <sz val="11"/>
      <color indexed="62"/>
      <name val="宋体"/>
      <charset val="134"/>
    </font>
    <font>
      <sz val="9"/>
      <color indexed="8"/>
      <name val="宋体"/>
      <charset val="134"/>
    </font>
    <font>
      <b/>
      <sz val="12"/>
      <name val="Arial"/>
      <charset val="134"/>
    </font>
    <font>
      <sz val="10"/>
      <name val="Times New Roman"/>
      <charset val="134"/>
    </font>
    <font>
      <u/>
      <sz val="12"/>
      <color indexed="12"/>
      <name val="宋体"/>
      <charset val="134"/>
    </font>
    <font>
      <sz val="12"/>
      <name val="Arial"/>
      <charset val="134"/>
    </font>
    <font>
      <sz val="10"/>
      <color indexed="8"/>
      <name val="Arial"/>
      <charset val="134"/>
    </font>
    <font>
      <sz val="12"/>
      <color indexed="17"/>
      <name val="宋体"/>
      <charset val="134"/>
    </font>
    <font>
      <b/>
      <sz val="15"/>
      <color indexed="62"/>
      <name val="宋体"/>
      <charset val="134"/>
    </font>
    <font>
      <b/>
      <sz val="18"/>
      <color theme="3"/>
      <name val="宋体"/>
      <charset val="134"/>
      <scheme val="major"/>
    </font>
    <font>
      <b/>
      <sz val="13"/>
      <color indexed="62"/>
      <name val="宋体"/>
      <charset val="134"/>
    </font>
    <font>
      <sz val="12"/>
      <name val="奔覆眉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b/>
      <sz val="18"/>
      <name val="Arial"/>
      <charset val="134"/>
    </font>
    <font>
      <b/>
      <sz val="11"/>
      <color indexed="54"/>
      <name val="宋体"/>
      <charset val="134"/>
    </font>
    <font>
      <sz val="8"/>
      <name val="Times New Roman"/>
      <charset val="134"/>
    </font>
    <font>
      <sz val="7"/>
      <name val="Small Fonts"/>
      <charset val="134"/>
    </font>
    <font>
      <sz val="18"/>
      <color indexed="54"/>
      <name val="宋体"/>
      <charset val="134"/>
    </font>
    <font>
      <sz val="10"/>
      <name val="MS Sans Serif"/>
      <charset val="134"/>
    </font>
    <font>
      <sz val="12"/>
      <name val="Courier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5002">
    <xf numFmtId="0" fontId="0" fillId="0" borderId="0">
      <alignment vertical="center"/>
    </xf>
    <xf numFmtId="42" fontId="34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34" fillId="0" borderId="0" applyFont="0" applyFill="0" applyBorder="0" applyAlignment="0" applyProtection="0">
      <alignment vertical="center"/>
    </xf>
    <xf numFmtId="0" fontId="0" fillId="0" borderId="0"/>
    <xf numFmtId="0" fontId="45" fillId="13" borderId="15" applyNumberFormat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0" borderId="0">
      <alignment vertical="center"/>
    </xf>
    <xf numFmtId="41" fontId="3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3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54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9" fontId="34" fillId="0" borderId="0" applyFon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5" borderId="12" applyNumberFormat="0" applyFont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0" fillId="0" borderId="0"/>
    <xf numFmtId="0" fontId="3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6" fillId="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6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3" fillId="0" borderId="0">
      <alignment horizontal="centerContinuous" vertical="center"/>
    </xf>
    <xf numFmtId="0" fontId="52" fillId="0" borderId="0" applyNumberFormat="0" applyFill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9" fillId="0" borderId="20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/>
    <xf numFmtId="0" fontId="42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6" fillId="15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40" fillId="20" borderId="15" applyNumberFormat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0" fillId="0" borderId="0"/>
    <xf numFmtId="0" fontId="47" fillId="22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51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>
      <alignment vertical="center"/>
    </xf>
    <xf numFmtId="0" fontId="45" fillId="13" borderId="15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/>
    <xf numFmtId="0" fontId="36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36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6" fillId="2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34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8" fillId="22" borderId="19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5" fillId="13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0" fillId="0" borderId="0"/>
    <xf numFmtId="0" fontId="36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8" fillId="22" borderId="19" applyNumberFormat="0" applyAlignment="0" applyProtection="0">
      <alignment vertical="center"/>
    </xf>
    <xf numFmtId="0" fontId="0" fillId="0" borderId="0"/>
    <xf numFmtId="0" fontId="10" fillId="0" borderId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39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/>
    <xf numFmtId="0" fontId="0" fillId="0" borderId="0"/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4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/>
    <xf numFmtId="0" fontId="3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7" fillId="22" borderId="19" applyNumberFormat="0" applyAlignment="0" applyProtection="0">
      <alignment vertical="center"/>
    </xf>
    <xf numFmtId="0" fontId="0" fillId="0" borderId="0"/>
    <xf numFmtId="0" fontId="36" fillId="11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/>
    <xf numFmtId="0" fontId="52" fillId="0" borderId="0" applyNumberFormat="0" applyFill="0" applyBorder="0" applyAlignment="0" applyProtection="0">
      <alignment vertical="center"/>
    </xf>
    <xf numFmtId="0" fontId="0" fillId="0" borderId="0"/>
    <xf numFmtId="0" fontId="47" fillId="22" borderId="19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3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3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6" fillId="11" borderId="0" applyNumberFormat="0" applyBorder="0" applyAlignment="0" applyProtection="0">
      <alignment vertical="center"/>
    </xf>
    <xf numFmtId="0" fontId="0" fillId="0" borderId="0"/>
    <xf numFmtId="0" fontId="3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/>
    <xf numFmtId="0" fontId="5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40" fillId="12" borderId="1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/>
    <xf numFmtId="0" fontId="44" fillId="1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36" fillId="25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7" fillId="22" borderId="19" applyNumberFormat="0" applyAlignment="0" applyProtection="0">
      <alignment vertical="center"/>
    </xf>
    <xf numFmtId="0" fontId="0" fillId="0" borderId="0"/>
    <xf numFmtId="0" fontId="36" fillId="25" borderId="0" applyNumberFormat="0" applyBorder="0" applyAlignment="0" applyProtection="0">
      <alignment vertical="center"/>
    </xf>
    <xf numFmtId="0" fontId="34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36" fillId="7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19" fillId="0" borderId="0"/>
    <xf numFmtId="0" fontId="0" fillId="0" borderId="0"/>
    <xf numFmtId="0" fontId="18" fillId="0" borderId="0"/>
    <xf numFmtId="0" fontId="3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0" fillId="0" borderId="0"/>
    <xf numFmtId="0" fontId="19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9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9" fillId="0" borderId="0">
      <alignment vertical="center"/>
    </xf>
    <xf numFmtId="0" fontId="0" fillId="0" borderId="0"/>
    <xf numFmtId="0" fontId="0" fillId="0" borderId="0"/>
    <xf numFmtId="0" fontId="36" fillId="15" borderId="0" applyNumberFormat="0" applyBorder="0" applyAlignment="0" applyProtection="0">
      <alignment vertical="center"/>
    </xf>
    <xf numFmtId="0" fontId="19" fillId="0" borderId="0"/>
    <xf numFmtId="0" fontId="0" fillId="0" borderId="0">
      <alignment vertical="center"/>
    </xf>
    <xf numFmtId="0" fontId="0" fillId="0" borderId="0">
      <alignment vertical="center"/>
    </xf>
    <xf numFmtId="0" fontId="47" fillId="22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0" fillId="0" borderId="0"/>
    <xf numFmtId="0" fontId="0" fillId="0" borderId="0"/>
    <xf numFmtId="0" fontId="10" fillId="0" borderId="0"/>
    <xf numFmtId="0" fontId="10" fillId="0" borderId="0"/>
    <xf numFmtId="0" fontId="47" fillId="22" borderId="19" applyNumberFormat="0" applyAlignment="0" applyProtection="0">
      <alignment vertical="center"/>
    </xf>
    <xf numFmtId="0" fontId="0" fillId="0" borderId="0"/>
    <xf numFmtId="0" fontId="0" fillId="0" borderId="0"/>
    <xf numFmtId="0" fontId="9" fillId="0" borderId="2">
      <alignment horizontal="distributed" vertical="center" wrapText="1"/>
    </xf>
    <xf numFmtId="0" fontId="19" fillId="0" borderId="0"/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19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0" fillId="0" borderId="0"/>
    <xf numFmtId="0" fontId="43" fillId="0" borderId="0">
      <alignment horizontal="centerContinuous" vertical="center"/>
    </xf>
    <xf numFmtId="0" fontId="0" fillId="0" borderId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0" fillId="5" borderId="12" applyNumberFormat="0" applyFon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4" fillId="1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9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4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/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9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9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/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0" fillId="0" borderId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8" fillId="2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92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9" fillId="0" borderId="2">
      <alignment horizontal="distributed" vertical="center" wrapText="1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0" fillId="0" borderId="0"/>
    <xf numFmtId="0" fontId="18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3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18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58" fillId="22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/>
    <xf numFmtId="0" fontId="16" fillId="0" borderId="1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4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55" fillId="0" borderId="21" applyNumberFormat="0" applyFill="0" applyAlignment="0" applyProtection="0">
      <alignment vertical="center"/>
    </xf>
    <xf numFmtId="178" fontId="9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58" fillId="22" borderId="19" applyNumberFormat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/>
    <xf numFmtId="0" fontId="55" fillId="0" borderId="21" applyNumberFormat="0" applyFill="0" applyAlignment="0" applyProtection="0">
      <alignment vertical="center"/>
    </xf>
    <xf numFmtId="0" fontId="0" fillId="0" borderId="0"/>
    <xf numFmtId="9" fontId="34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34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7" fillId="22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/>
    <xf numFmtId="0" fontId="40" fillId="20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6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71" fillId="0" borderId="25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58" fillId="22" borderId="19" applyNumberFormat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4" fillId="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4" borderId="0" applyNumberFormat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38" fillId="0" borderId="13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58" fillId="22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6" fillId="15" borderId="0" applyNumberFormat="0" applyBorder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9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6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2" fillId="0" borderId="16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11" borderId="0" applyNumberFormat="0" applyBorder="0" applyAlignment="0" applyProtection="0">
      <alignment vertical="center"/>
    </xf>
    <xf numFmtId="0" fontId="0" fillId="0" borderId="0"/>
    <xf numFmtId="0" fontId="44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6" fillId="12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2" fillId="0" borderId="0">
      <alignment vertical="center"/>
    </xf>
    <xf numFmtId="0" fontId="0" fillId="0" borderId="0"/>
    <xf numFmtId="0" fontId="3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35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35" fillId="6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2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/>
    <xf numFmtId="0" fontId="36" fillId="2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2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2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2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31" fillId="0" borderId="0"/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38" fillId="0" borderId="13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9" fillId="0" borderId="2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35" fillId="6" borderId="0" applyNumberFormat="0" applyBorder="0" applyAlignment="0" applyProtection="0">
      <alignment vertical="center"/>
    </xf>
    <xf numFmtId="0" fontId="0" fillId="0" borderId="0"/>
    <xf numFmtId="0" fontId="3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5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5" fillId="13" borderId="15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0" fillId="0" borderId="0"/>
    <xf numFmtId="0" fontId="0" fillId="0" borderId="0"/>
    <xf numFmtId="0" fontId="36" fillId="11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9" fillId="0" borderId="21" applyNumberFormat="0" applyFill="0" applyAlignment="0" applyProtection="0">
      <alignment vertical="center"/>
    </xf>
    <xf numFmtId="0" fontId="0" fillId="0" borderId="0"/>
    <xf numFmtId="0" fontId="69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9" fillId="0" borderId="21" applyNumberFormat="0" applyFill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0" fillId="0" borderId="0"/>
    <xf numFmtId="0" fontId="40" fillId="12" borderId="15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10" fillId="0" borderId="0"/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0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0" fillId="0" borderId="0"/>
    <xf numFmtId="0" fontId="18" fillId="1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178" fontId="9" fillId="0" borderId="2">
      <alignment vertical="center"/>
      <protection locked="0"/>
    </xf>
    <xf numFmtId="0" fontId="18" fillId="6" borderId="0" applyNumberFormat="0" applyBorder="0" applyAlignment="0" applyProtection="0">
      <alignment vertical="center"/>
    </xf>
    <xf numFmtId="0" fontId="34" fillId="0" borderId="0"/>
    <xf numFmtId="0" fontId="58" fillId="22" borderId="19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44" fillId="2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0" borderId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/>
    <xf numFmtId="0" fontId="18" fillId="6" borderId="0" applyNumberFormat="0" applyBorder="0" applyAlignment="0" applyProtection="0">
      <alignment vertical="center"/>
    </xf>
    <xf numFmtId="0" fontId="0" fillId="0" borderId="0"/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17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6" fillId="0" borderId="17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/>
    <xf numFmtId="0" fontId="16" fillId="0" borderId="14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0" borderId="0">
      <alignment vertical="center"/>
    </xf>
    <xf numFmtId="0" fontId="16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0" fillId="0" borderId="0"/>
    <xf numFmtId="0" fontId="18" fillId="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31" fillId="0" borderId="0"/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34" fillId="0" borderId="0"/>
    <xf numFmtId="0" fontId="1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9" borderId="0" applyNumberFormat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5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4" fillId="0" borderId="0"/>
    <xf numFmtId="0" fontId="39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4" fillId="0" borderId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2" borderId="0" applyNumberFormat="0" applyBorder="0" applyAlignment="0" applyProtection="0">
      <alignment vertical="center"/>
    </xf>
    <xf numFmtId="0" fontId="34" fillId="0" borderId="0"/>
    <xf numFmtId="0" fontId="18" fillId="17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4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1" fontId="10" fillId="0" borderId="0">
      <alignment vertical="center"/>
    </xf>
    <xf numFmtId="0" fontId="18" fillId="0" borderId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0" fillId="0" borderId="0"/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9" fillId="0" borderId="2">
      <alignment horizontal="distributed" vertical="center" wrapText="1"/>
    </xf>
    <xf numFmtId="0" fontId="18" fillId="2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4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37" fontId="76" fillId="0" borderId="0">
      <alignment vertical="center"/>
    </xf>
    <xf numFmtId="0" fontId="18" fillId="13" borderId="0" applyNumberFormat="0" applyBorder="0" applyAlignment="0" applyProtection="0">
      <alignment vertical="center"/>
    </xf>
    <xf numFmtId="37" fontId="76" fillId="0" borderId="0"/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40" fillId="20" borderId="15" applyNumberFormat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180" fontId="62" fillId="0" borderId="0">
      <alignment vertical="center"/>
    </xf>
    <xf numFmtId="0" fontId="40" fillId="12" borderId="15" applyNumberFormat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8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0" borderId="0"/>
    <xf numFmtId="0" fontId="18" fillId="8" borderId="0" applyNumberFormat="0" applyBorder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65" fillId="0" borderId="0"/>
    <xf numFmtId="0" fontId="18" fillId="20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34" fillId="0" borderId="0"/>
    <xf numFmtId="0" fontId="18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16" fillId="0" borderId="17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0" borderId="0"/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4" borderId="0" applyNumberFormat="0" applyBorder="0" applyAlignment="0" applyProtection="0">
      <alignment vertical="center"/>
    </xf>
    <xf numFmtId="0" fontId="0" fillId="0" borderId="0"/>
    <xf numFmtId="0" fontId="18" fillId="4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4" fillId="0" borderId="0">
      <alignment vertical="center"/>
    </xf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4" fillId="0" borderId="0">
      <alignment vertical="center"/>
    </xf>
    <xf numFmtId="0" fontId="10" fillId="0" borderId="0"/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0" fillId="0" borderId="0"/>
    <xf numFmtId="0" fontId="34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34" fillId="0" borderId="0">
      <alignment vertical="center"/>
    </xf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0" fillId="0" borderId="0"/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0" borderId="0"/>
    <xf numFmtId="0" fontId="18" fillId="7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18" fillId="17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0" fillId="0" borderId="0"/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7" borderId="0" applyNumberFormat="0" applyBorder="0" applyAlignment="0" applyProtection="0">
      <alignment vertical="center"/>
    </xf>
    <xf numFmtId="0" fontId="73" fillId="0" borderId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17" borderId="0" applyNumberFormat="0" applyBorder="0" applyAlignment="0" applyProtection="0">
      <alignment vertical="center"/>
    </xf>
    <xf numFmtId="0" fontId="0" fillId="0" borderId="0"/>
    <xf numFmtId="0" fontId="1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20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39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4" fillId="0" borderId="0">
      <alignment vertical="center"/>
    </xf>
    <xf numFmtId="181" fontId="0" fillId="0" borderId="0" applyFont="0" applyFill="0" applyBorder="0" applyAlignment="0" applyProtection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8" fillId="8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0" fillId="0" borderId="0"/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40" fillId="20" borderId="15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1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4" fillId="0" borderId="0"/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13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4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0" borderId="0"/>
    <xf numFmtId="0" fontId="18" fillId="13" borderId="0" applyNumberFormat="0" applyBorder="0" applyAlignment="0" applyProtection="0">
      <alignment vertical="center"/>
    </xf>
    <xf numFmtId="0" fontId="31" fillId="0" borderId="0"/>
    <xf numFmtId="0" fontId="18" fillId="13" borderId="0" applyNumberFormat="0" applyBorder="0" applyAlignment="0" applyProtection="0">
      <alignment vertical="center"/>
    </xf>
    <xf numFmtId="0" fontId="34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34" fillId="0" borderId="0"/>
    <xf numFmtId="181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3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4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0" borderId="0"/>
    <xf numFmtId="0" fontId="18" fillId="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18" fillId="1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0" borderId="0"/>
    <xf numFmtId="0" fontId="18" fillId="13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0" fillId="0" borderId="0"/>
    <xf numFmtId="0" fontId="18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18" fillId="0" borderId="0">
      <alignment vertical="center"/>
    </xf>
    <xf numFmtId="0" fontId="44" fillId="11" borderId="0" applyNumberFormat="0" applyBorder="0" applyAlignment="0" applyProtection="0">
      <alignment vertical="center"/>
    </xf>
    <xf numFmtId="186" fontId="65" fillId="0" borderId="0" applyFill="0" applyBorder="0" applyAlignment="0"/>
    <xf numFmtId="0" fontId="44" fillId="1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18" fillId="0" borderId="0"/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/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0" fillId="0" borderId="0"/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4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11" borderId="0" applyNumberFormat="0" applyBorder="0" applyAlignment="0" applyProtection="0">
      <alignment vertical="center"/>
    </xf>
    <xf numFmtId="0" fontId="0" fillId="0" borderId="0"/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0" fillId="0" borderId="0"/>
    <xf numFmtId="0" fontId="44" fillId="11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89" fontId="62" fillId="0" borderId="0"/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2" borderId="19" applyNumberFormat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0" fillId="0" borderId="0"/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44" fillId="1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44" fillId="14" borderId="0" applyNumberFormat="0" applyBorder="0" applyAlignment="0" applyProtection="0">
      <alignment vertical="center"/>
    </xf>
    <xf numFmtId="0" fontId="0" fillId="0" borderId="0"/>
    <xf numFmtId="0" fontId="36" fillId="7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36" fillId="7" borderId="0" applyNumberFormat="0" applyBorder="0" applyAlignment="0" applyProtection="0">
      <alignment vertical="center"/>
    </xf>
    <xf numFmtId="0" fontId="34" fillId="0" borderId="0"/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15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6" fillId="15" borderId="0" applyNumberFormat="0" applyBorder="0" applyAlignment="0" applyProtection="0">
      <alignment vertical="center"/>
    </xf>
    <xf numFmtId="0" fontId="0" fillId="0" borderId="0"/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2" borderId="19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2" borderId="19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47" fillId="22" borderId="19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7" fillId="22" borderId="19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22" borderId="19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0" fillId="0" borderId="0"/>
    <xf numFmtId="0" fontId="36" fillId="15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36" fillId="1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58" fillId="22" borderId="19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10" fillId="0" borderId="0"/>
    <xf numFmtId="0" fontId="0" fillId="0" borderId="0">
      <alignment vertical="center"/>
    </xf>
    <xf numFmtId="0" fontId="58" fillId="22" borderId="19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8" fillId="22" borderId="19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8" fillId="22" borderId="19" applyNumberFormat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58" fillId="22" borderId="19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58" fillId="22" borderId="19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0" fillId="0" borderId="0"/>
    <xf numFmtId="0" fontId="36" fillId="11" borderId="0" applyNumberFormat="0" applyBorder="0" applyAlignment="0" applyProtection="0">
      <alignment vertical="center"/>
    </xf>
    <xf numFmtId="2" fontId="64" fillId="0" borderId="0" applyProtection="0"/>
    <xf numFmtId="0" fontId="0" fillId="0" borderId="0"/>
    <xf numFmtId="181" fontId="0" fillId="0" borderId="0" applyFont="0" applyFill="0" applyBorder="0" applyAlignment="0" applyProtection="0"/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0" fillId="0" borderId="0"/>
    <xf numFmtId="0" fontId="36" fillId="11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/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61" fillId="0" borderId="24" applyNumberFormat="0" applyAlignment="0" applyProtection="0">
      <alignment horizontal="left"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4" fillId="13" borderId="0" applyNumberFormat="0" applyBorder="0" applyAlignment="0" applyProtection="0">
      <alignment vertical="center"/>
    </xf>
    <xf numFmtId="0" fontId="0" fillId="0" borderId="0"/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36" fillId="19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0" fillId="0" borderId="0"/>
    <xf numFmtId="0" fontId="36" fillId="7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186" fontId="65" fillId="0" borderId="0" applyFill="0" applyBorder="0" applyAlignment="0">
      <alignment vertical="center"/>
    </xf>
    <xf numFmtId="41" fontId="10" fillId="0" borderId="0" applyFont="0" applyFill="0" applyBorder="0" applyAlignment="0" applyProtection="0"/>
    <xf numFmtId="0" fontId="18" fillId="0" borderId="0">
      <alignment vertical="center"/>
    </xf>
    <xf numFmtId="189" fontId="62" fillId="0" borderId="0">
      <alignment vertical="center"/>
    </xf>
    <xf numFmtId="18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5" fontId="0" fillId="0" borderId="0" applyFont="0" applyFill="0" applyBorder="0" applyAlignment="0" applyProtection="0">
      <alignment vertical="center"/>
    </xf>
    <xf numFmtId="185" fontId="10" fillId="0" borderId="0" applyFont="0" applyFill="0" applyBorder="0" applyAlignment="0" applyProtection="0"/>
    <xf numFmtId="180" fontId="62" fillId="0" borderId="0"/>
    <xf numFmtId="0" fontId="40" fillId="12" borderId="15" applyNumberFormat="0" applyAlignment="0" applyProtection="0">
      <alignment vertical="center"/>
    </xf>
    <xf numFmtId="0" fontId="64" fillId="0" borderId="0" applyProtection="0">
      <alignment vertical="center"/>
    </xf>
    <xf numFmtId="0" fontId="40" fillId="20" borderId="15" applyNumberFormat="0" applyAlignment="0" applyProtection="0">
      <alignment vertical="center"/>
    </xf>
    <xf numFmtId="0" fontId="64" fillId="0" borderId="0" applyProtection="0"/>
    <xf numFmtId="184" fontId="62" fillId="0" borderId="0">
      <alignment vertical="center"/>
    </xf>
    <xf numFmtId="181" fontId="0" fillId="0" borderId="0" applyFont="0" applyFill="0" applyBorder="0" applyAlignment="0" applyProtection="0"/>
    <xf numFmtId="184" fontId="62" fillId="0" borderId="0"/>
    <xf numFmtId="2" fontId="64" fillId="0" borderId="0" applyProtection="0">
      <alignment vertical="center"/>
    </xf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61" fillId="0" borderId="24" applyNumberFormat="0" applyAlignment="0" applyProtection="0">
      <alignment horizontal="left" vertical="center"/>
    </xf>
    <xf numFmtId="0" fontId="61" fillId="0" borderId="10">
      <alignment horizontal="left" vertical="center"/>
    </xf>
    <xf numFmtId="0" fontId="44" fillId="11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1" fillId="0" borderId="10">
      <alignment horizontal="left" vertical="center"/>
    </xf>
    <xf numFmtId="0" fontId="73" fillId="0" borderId="0" applyProtection="0"/>
    <xf numFmtId="0" fontId="61" fillId="0" borderId="0" applyProtection="0">
      <alignment vertical="center"/>
    </xf>
    <xf numFmtId="0" fontId="61" fillId="0" borderId="0" applyProtection="0"/>
    <xf numFmtId="0" fontId="75" fillId="0" borderId="0">
      <alignment vertical="center"/>
    </xf>
    <xf numFmtId="0" fontId="0" fillId="0" borderId="0"/>
    <xf numFmtId="0" fontId="64" fillId="0" borderId="26" applyProtection="0">
      <alignment vertical="center"/>
    </xf>
    <xf numFmtId="0" fontId="64" fillId="0" borderId="26" applyProtection="0"/>
    <xf numFmtId="0" fontId="59" fillId="0" borderId="23" applyNumberFormat="0" applyFill="0" applyAlignment="0" applyProtection="0">
      <alignment vertical="center"/>
    </xf>
    <xf numFmtId="0" fontId="9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18" fillId="0" borderId="0"/>
    <xf numFmtId="0" fontId="0" fillId="0" borderId="0"/>
    <xf numFmtId="0" fontId="58" fillId="22" borderId="19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78" fontId="9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6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16" fillId="0" borderId="17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34" fillId="0" borderId="0"/>
    <xf numFmtId="9" fontId="0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0" fillId="0" borderId="0"/>
    <xf numFmtId="0" fontId="40" fillId="12" borderId="15" applyNumberFormat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0" fillId="0" borderId="0"/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66" fillId="9" borderId="0" applyNumberFormat="0" applyBorder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0" fillId="0" borderId="0"/>
    <xf numFmtId="0" fontId="49" fillId="0" borderId="20" applyNumberFormat="0" applyFill="0" applyAlignment="0" applyProtection="0">
      <alignment vertical="center"/>
    </xf>
    <xf numFmtId="0" fontId="0" fillId="0" borderId="0"/>
    <xf numFmtId="0" fontId="49" fillId="0" borderId="20" applyNumberFormat="0" applyFill="0" applyAlignment="0" applyProtection="0">
      <alignment vertical="center"/>
    </xf>
    <xf numFmtId="0" fontId="49" fillId="0" borderId="20" applyNumberFormat="0" applyFill="0" applyAlignment="0" applyProtection="0">
      <alignment vertical="center"/>
    </xf>
    <xf numFmtId="0" fontId="0" fillId="0" borderId="0"/>
    <xf numFmtId="0" fontId="67" fillId="0" borderId="25" applyNumberFormat="0" applyFill="0" applyAlignment="0" applyProtection="0">
      <alignment vertical="center"/>
    </xf>
    <xf numFmtId="0" fontId="0" fillId="0" borderId="0"/>
    <xf numFmtId="0" fontId="67" fillId="0" borderId="25" applyNumberFormat="0" applyFill="0" applyAlignment="0" applyProtection="0">
      <alignment vertical="center"/>
    </xf>
    <xf numFmtId="0" fontId="67" fillId="0" borderId="25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0" fillId="0" borderId="0"/>
    <xf numFmtId="181" fontId="0" fillId="0" borderId="0" applyFont="0" applyFill="0" applyBorder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0" fillId="0" borderId="0"/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55" fillId="0" borderId="21" applyNumberFormat="0" applyFill="0" applyAlignment="0" applyProtection="0">
      <alignment vertical="center"/>
    </xf>
    <xf numFmtId="0" fontId="0" fillId="0" borderId="0"/>
    <xf numFmtId="0" fontId="55" fillId="0" borderId="21" applyNumberFormat="0" applyFill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0" fillId="0" borderId="0"/>
    <xf numFmtId="0" fontId="69" fillId="0" borderId="21" applyNumberFormat="0" applyFill="0" applyAlignment="0" applyProtection="0">
      <alignment vertical="center"/>
    </xf>
    <xf numFmtId="0" fontId="69" fillId="0" borderId="21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10" fillId="0" borderId="0"/>
    <xf numFmtId="0" fontId="10" fillId="0" borderId="0"/>
    <xf numFmtId="0" fontId="39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42" fillId="0" borderId="16" applyNumberFormat="0" applyFill="0" applyAlignment="0" applyProtection="0">
      <alignment vertical="center"/>
    </xf>
    <xf numFmtId="0" fontId="10" fillId="0" borderId="0"/>
    <xf numFmtId="0" fontId="10" fillId="0" borderId="0"/>
    <xf numFmtId="0" fontId="39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59" fillId="0" borderId="23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0" fontId="42" fillId="0" borderId="16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0" fillId="0" borderId="0"/>
    <xf numFmtId="0" fontId="59" fillId="0" borderId="23" applyNumberFormat="0" applyFill="0" applyAlignment="0" applyProtection="0">
      <alignment vertical="center"/>
    </xf>
    <xf numFmtId="0" fontId="59" fillId="0" borderId="23" applyNumberFormat="0" applyFill="0" applyAlignment="0" applyProtection="0">
      <alignment vertical="center"/>
    </xf>
    <xf numFmtId="0" fontId="74" fillId="0" borderId="27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/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9" fillId="0" borderId="2">
      <alignment horizontal="distributed" vertical="center" wrapText="1"/>
    </xf>
    <xf numFmtId="0" fontId="63" fillId="0" borderId="0" applyNumberFormat="0" applyFill="0" applyBorder="0" applyAlignment="0" applyProtection="0">
      <alignment vertical="top"/>
      <protection locked="0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9" fillId="0" borderId="2">
      <alignment horizontal="distributed" vertical="center" wrapText="1"/>
    </xf>
    <xf numFmtId="0" fontId="35" fillId="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0" borderId="0"/>
    <xf numFmtId="0" fontId="18" fillId="0" borderId="0"/>
    <xf numFmtId="0" fontId="34" fillId="0" borderId="0"/>
    <xf numFmtId="0" fontId="36" fillId="16" borderId="0" applyNumberFormat="0" applyBorder="0" applyAlignment="0" applyProtection="0">
      <alignment vertical="center"/>
    </xf>
    <xf numFmtId="0" fontId="34" fillId="0" borderId="0"/>
    <xf numFmtId="0" fontId="34" fillId="0" borderId="0"/>
    <xf numFmtId="0" fontId="34" fillId="0" borderId="0"/>
    <xf numFmtId="0" fontId="18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0" borderId="0"/>
    <xf numFmtId="181" fontId="0" fillId="0" borderId="0" applyFont="0" applyFill="0" applyBorder="0" applyAlignment="0" applyProtection="0"/>
    <xf numFmtId="0" fontId="65" fillId="0" borderId="0"/>
    <xf numFmtId="0" fontId="16" fillId="0" borderId="17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0" borderId="0"/>
    <xf numFmtId="181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8" fillId="0" borderId="0"/>
    <xf numFmtId="0" fontId="0" fillId="0" borderId="0"/>
    <xf numFmtId="0" fontId="19" fillId="0" borderId="0">
      <alignment vertical="center"/>
    </xf>
    <xf numFmtId="0" fontId="19" fillId="0" borderId="0"/>
    <xf numFmtId="0" fontId="19" fillId="0" borderId="0"/>
    <xf numFmtId="181" fontId="0" fillId="0" borderId="0" applyFont="0" applyFill="0" applyBorder="0" applyAlignment="0" applyProtection="0"/>
    <xf numFmtId="0" fontId="18" fillId="0" borderId="0"/>
    <xf numFmtId="0" fontId="18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0" fillId="0" borderId="0"/>
    <xf numFmtId="0" fontId="10" fillId="0" borderId="0"/>
    <xf numFmtId="0" fontId="58" fillId="22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/>
    <xf numFmtId="0" fontId="34" fillId="0" borderId="0"/>
    <xf numFmtId="0" fontId="18" fillId="0" borderId="0"/>
    <xf numFmtId="0" fontId="0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18" fillId="0" borderId="0">
      <alignment vertical="center"/>
    </xf>
    <xf numFmtId="0" fontId="34" fillId="0" borderId="0"/>
    <xf numFmtId="0" fontId="18" fillId="0" borderId="0">
      <alignment vertical="center"/>
    </xf>
    <xf numFmtId="0" fontId="34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6" fillId="20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4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46" fillId="20" borderId="18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>
      <alignment vertical="center"/>
    </xf>
    <xf numFmtId="0" fontId="0" fillId="0" borderId="0"/>
    <xf numFmtId="0" fontId="46" fillId="12" borderId="18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34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6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34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/>
    <xf numFmtId="0" fontId="46" fillId="20" borderId="18" applyNumberFormat="0" applyAlignment="0" applyProtection="0">
      <alignment vertical="center"/>
    </xf>
    <xf numFmtId="0" fontId="0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8" fontId="9" fillId="0" borderId="2">
      <alignment vertical="center"/>
      <protection locked="0"/>
    </xf>
    <xf numFmtId="0" fontId="18" fillId="0" borderId="0"/>
    <xf numFmtId="0" fontId="58" fillId="22" borderId="19" applyNumberFormat="0" applyAlignment="0" applyProtection="0">
      <alignment vertical="center"/>
    </xf>
    <xf numFmtId="0" fontId="0" fillId="0" borderId="0"/>
    <xf numFmtId="0" fontId="58" fillId="22" borderId="19" applyNumberFormat="0" applyAlignment="0" applyProtection="0">
      <alignment vertical="center"/>
    </xf>
    <xf numFmtId="0" fontId="34" fillId="0" borderId="0"/>
    <xf numFmtId="0" fontId="0" fillId="0" borderId="0"/>
    <xf numFmtId="0" fontId="18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34" fillId="0" borderId="0"/>
    <xf numFmtId="181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5" fillId="13" borderId="15" applyNumberFormat="0" applyAlignment="0" applyProtection="0">
      <alignment vertical="center"/>
    </xf>
    <xf numFmtId="0" fontId="0" fillId="0" borderId="0">
      <alignment vertical="center"/>
    </xf>
    <xf numFmtId="0" fontId="45" fillId="13" borderId="15" applyNumberFormat="0" applyAlignment="0" applyProtection="0">
      <alignment vertical="center"/>
    </xf>
    <xf numFmtId="0" fontId="34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16" fillId="0" borderId="17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4" fillId="0" borderId="0">
      <alignment vertical="center"/>
    </xf>
    <xf numFmtId="181" fontId="0" fillId="0" borderId="0" applyFont="0" applyFill="0" applyBorder="0" applyAlignment="0" applyProtection="0"/>
    <xf numFmtId="0" fontId="18" fillId="0" borderId="0"/>
    <xf numFmtId="0" fontId="39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0" fontId="34" fillId="0" borderId="0"/>
    <xf numFmtId="181" fontId="0" fillId="0" borderId="0" applyFont="0" applyFill="0" applyBorder="0" applyAlignment="0" applyProtection="0"/>
    <xf numFmtId="0" fontId="34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3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181" fontId="0" fillId="0" borderId="0" applyFont="0" applyFill="0" applyBorder="0" applyAlignment="0" applyProtection="0"/>
    <xf numFmtId="0" fontId="18" fillId="0" borderId="0">
      <alignment vertical="center"/>
    </xf>
    <xf numFmtId="0" fontId="39" fillId="9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0" fillId="0" borderId="0"/>
    <xf numFmtId="0" fontId="0" fillId="0" borderId="0">
      <alignment vertical="center"/>
    </xf>
    <xf numFmtId="0" fontId="31" fillId="0" borderId="0">
      <alignment vertical="center"/>
    </xf>
    <xf numFmtId="0" fontId="34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>
      <alignment vertical="center"/>
    </xf>
    <xf numFmtId="0" fontId="18" fillId="0" borderId="0"/>
    <xf numFmtId="0" fontId="31" fillId="0" borderId="0">
      <alignment vertical="center"/>
    </xf>
    <xf numFmtId="0" fontId="0" fillId="0" borderId="0"/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19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1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1" fillId="0" borderId="0"/>
    <xf numFmtId="0" fontId="0" fillId="0" borderId="0"/>
    <xf numFmtId="0" fontId="31" fillId="0" borderId="0"/>
    <xf numFmtId="0" fontId="0" fillId="0" borderId="0"/>
    <xf numFmtId="0" fontId="18" fillId="0" borderId="0">
      <alignment vertical="center"/>
    </xf>
    <xf numFmtId="0" fontId="31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7" fillId="22" borderId="19" applyNumberFormat="0" applyAlignment="0" applyProtection="0">
      <alignment vertical="center"/>
    </xf>
    <xf numFmtId="0" fontId="0" fillId="0" borderId="0"/>
    <xf numFmtId="0" fontId="36" fillId="11" borderId="0" applyNumberFormat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8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0" fontId="18" fillId="0" borderId="0">
      <alignment vertical="center"/>
    </xf>
    <xf numFmtId="0" fontId="34" fillId="0" borderId="0">
      <alignment vertical="center"/>
    </xf>
    <xf numFmtId="0" fontId="0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81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3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4" fillId="0" borderId="0">
      <alignment vertical="center"/>
    </xf>
    <xf numFmtId="0" fontId="0" fillId="0" borderId="0"/>
    <xf numFmtId="0" fontId="10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0" fillId="0" borderId="0"/>
    <xf numFmtId="0" fontId="37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39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1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0" fillId="0" borderId="0"/>
    <xf numFmtId="0" fontId="0" fillId="0" borderId="0">
      <alignment vertical="center"/>
    </xf>
    <xf numFmtId="0" fontId="0" fillId="0" borderId="0">
      <alignment vertical="center"/>
    </xf>
    <xf numFmtId="0" fontId="38" fillId="0" borderId="13" applyNumberFormat="0" applyFill="0" applyAlignment="0" applyProtection="0">
      <alignment vertical="center"/>
    </xf>
    <xf numFmtId="0" fontId="0" fillId="0" borderId="0"/>
    <xf numFmtId="0" fontId="0" fillId="0" borderId="0"/>
    <xf numFmtId="181" fontId="0" fillId="0" borderId="0" applyFont="0" applyFill="0" applyBorder="0" applyAlignment="0" applyProtection="0"/>
    <xf numFmtId="0" fontId="18" fillId="0" borderId="0"/>
    <xf numFmtId="181" fontId="0" fillId="0" borderId="0" applyFont="0" applyFill="0" applyBorder="0" applyAlignment="0" applyProtection="0"/>
    <xf numFmtId="0" fontId="0" fillId="0" borderId="0"/>
    <xf numFmtId="0" fontId="0" fillId="0" borderId="0"/>
    <xf numFmtId="0" fontId="40" fillId="20" borderId="15" applyNumberFormat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81" fontId="0" fillId="0" borderId="0" applyFont="0" applyFill="0" applyBorder="0" applyAlignment="0" applyProtection="0"/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40" fillId="12" borderId="15" applyNumberFormat="0" applyAlignment="0" applyProtection="0">
      <alignment vertical="center"/>
    </xf>
    <xf numFmtId="181" fontId="0" fillId="0" borderId="0" applyFont="0" applyFill="0" applyBorder="0" applyAlignment="0" applyProtection="0"/>
    <xf numFmtId="0" fontId="47" fillId="22" borderId="19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45" fillId="13" borderId="15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45" fillId="13" borderId="15" applyNumberFormat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/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181" fontId="0" fillId="0" borderId="0" applyFont="0" applyFill="0" applyBorder="0" applyAlignment="0" applyProtection="0"/>
    <xf numFmtId="0" fontId="40" fillId="20" borderId="15" applyNumberFormat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20" borderId="15" applyNumberFormat="0" applyAlignment="0" applyProtection="0">
      <alignment vertical="center"/>
    </xf>
    <xf numFmtId="0" fontId="40" fillId="12" borderId="15" applyNumberFormat="0" applyAlignment="0" applyProtection="0">
      <alignment vertical="center"/>
    </xf>
    <xf numFmtId="0" fontId="58" fillId="22" borderId="19" applyNumberFormat="0" applyAlignment="0" applyProtection="0">
      <alignment vertical="center"/>
    </xf>
    <xf numFmtId="0" fontId="58" fillId="22" borderId="19" applyNumberFormat="0" applyAlignment="0" applyProtection="0">
      <alignment vertical="center"/>
    </xf>
    <xf numFmtId="0" fontId="58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47" fillId="22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7" fillId="22" borderId="19" applyNumberFormat="0" applyAlignment="0" applyProtection="0">
      <alignment vertical="center"/>
    </xf>
    <xf numFmtId="0" fontId="58" fillId="22" borderId="19" applyNumberFormat="0" applyAlignment="0" applyProtection="0">
      <alignment vertical="center"/>
    </xf>
    <xf numFmtId="0" fontId="58" fillId="22" borderId="19" applyNumberFormat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38" fillId="0" borderId="13" applyNumberFormat="0" applyFill="0" applyAlignment="0" applyProtection="0">
      <alignment vertical="center"/>
    </xf>
    <xf numFmtId="0" fontId="78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4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4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12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4" fillId="11" borderId="0" applyNumberFormat="0" applyBorder="0" applyAlignment="0" applyProtection="0">
      <alignment vertical="center"/>
    </xf>
    <xf numFmtId="0" fontId="46" fillId="12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12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6" fillId="11" borderId="0" applyNumberFormat="0" applyBorder="0" applyAlignment="0" applyProtection="0">
      <alignment vertical="center"/>
    </xf>
    <xf numFmtId="0" fontId="46" fillId="12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46" fillId="12" borderId="18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4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36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5" borderId="12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1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0" fillId="0" borderId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12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6" fillId="20" borderId="18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45" fillId="13" borderId="15" applyNumberForma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45" fillId="13" borderId="15" applyNumberFormat="0" applyAlignment="0" applyProtection="0">
      <alignment vertical="center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1" fontId="9" fillId="0" borderId="2">
      <alignment vertical="center"/>
      <protection locked="0"/>
    </xf>
    <xf numFmtId="0" fontId="79" fillId="0" borderId="0">
      <alignment vertical="center"/>
    </xf>
    <xf numFmtId="0" fontId="79" fillId="0" borderId="0"/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178" fontId="9" fillId="0" borderId="2">
      <alignment vertical="center"/>
      <protection locked="0"/>
    </xf>
    <xf numFmtId="0" fontId="10" fillId="0" borderId="0"/>
    <xf numFmtId="0" fontId="36" fillId="16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43" fontId="18" fillId="0" borderId="0" applyFont="0" applyFill="0" applyBorder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8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8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8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8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8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0" fillId="5" borderId="12" applyNumberFormat="0" applyFont="0" applyAlignment="0" applyProtection="0">
      <alignment vertical="center"/>
    </xf>
    <xf numFmtId="0" fontId="18" fillId="5" borderId="12" applyNumberFormat="0" applyFont="0" applyAlignment="0" applyProtection="0">
      <alignment vertical="center"/>
    </xf>
  </cellStyleXfs>
  <cellXfs count="185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justify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7" fillId="0" borderId="3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8" fillId="0" borderId="2" xfId="0" applyFont="1" applyBorder="1" applyAlignment="1"/>
    <xf numFmtId="0" fontId="6" fillId="0" borderId="6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/>
    </xf>
    <xf numFmtId="0" fontId="9" fillId="0" borderId="0" xfId="0" applyFont="1" applyAlignment="1">
      <alignment horizontal="right"/>
    </xf>
    <xf numFmtId="0" fontId="0" fillId="0" borderId="0" xfId="3861" applyFont="1" applyAlignment="1">
      <alignment vertical="center"/>
    </xf>
    <xf numFmtId="0" fontId="10" fillId="0" borderId="0" xfId="3861"/>
    <xf numFmtId="0" fontId="2" fillId="0" borderId="0" xfId="3861" applyFont="1" applyAlignment="1">
      <alignment horizontal="center" vertical="center"/>
    </xf>
    <xf numFmtId="0" fontId="11" fillId="0" borderId="0" xfId="3861" applyFont="1" applyBorder="1" applyAlignment="1">
      <alignment vertical="center"/>
    </xf>
    <xf numFmtId="0" fontId="12" fillId="0" borderId="0" xfId="3861" applyFont="1" applyAlignment="1">
      <alignment horizontal="right" vertical="center"/>
    </xf>
    <xf numFmtId="0" fontId="13" fillId="0" borderId="2" xfId="3861" applyFont="1" applyBorder="1" applyAlignment="1">
      <alignment horizontal="center" vertical="center"/>
    </xf>
    <xf numFmtId="0" fontId="12" fillId="0" borderId="2" xfId="3861" applyFont="1" applyBorder="1" applyAlignment="1">
      <alignment vertical="center"/>
    </xf>
    <xf numFmtId="0" fontId="12" fillId="0" borderId="2" xfId="3861" applyFont="1" applyBorder="1" applyAlignment="1">
      <alignment horizontal="left" vertical="center" wrapText="1"/>
    </xf>
    <xf numFmtId="0" fontId="14" fillId="0" borderId="0" xfId="0" applyFont="1" applyAlignment="1">
      <alignment vertical="center"/>
    </xf>
    <xf numFmtId="0" fontId="0" fillId="0" borderId="0" xfId="3300" applyFont="1"/>
    <xf numFmtId="0" fontId="10" fillId="0" borderId="0" xfId="3300"/>
    <xf numFmtId="0" fontId="0" fillId="0" borderId="0" xfId="0">
      <alignment vertical="center"/>
    </xf>
    <xf numFmtId="0" fontId="15" fillId="0" borderId="0" xfId="3472" applyFont="1" applyAlignment="1">
      <alignment horizontal="center" vertical="center"/>
    </xf>
    <xf numFmtId="0" fontId="10" fillId="0" borderId="0" xfId="3300" applyAlignment="1">
      <alignment vertical="center"/>
    </xf>
    <xf numFmtId="0" fontId="9" fillId="0" borderId="0" xfId="2319" applyFont="1" applyBorder="1" applyAlignment="1">
      <alignment horizontal="right" vertical="center"/>
    </xf>
    <xf numFmtId="0" fontId="16" fillId="0" borderId="2" xfId="3432" applyFont="1" applyFill="1" applyBorder="1" applyAlignment="1">
      <alignment horizontal="center" vertical="center" wrapText="1"/>
    </xf>
    <xf numFmtId="0" fontId="16" fillId="0" borderId="2" xfId="3432" applyFont="1" applyFill="1" applyBorder="1" applyAlignment="1">
      <alignment horizontal="center" vertical="center"/>
    </xf>
    <xf numFmtId="0" fontId="16" fillId="0" borderId="2" xfId="3432" applyFont="1" applyFill="1" applyBorder="1" applyAlignment="1">
      <alignment horizontal="right" vertical="center" shrinkToFit="1"/>
    </xf>
    <xf numFmtId="49" fontId="17" fillId="0" borderId="2" xfId="2160" applyNumberFormat="1" applyFont="1" applyBorder="1" applyAlignment="1">
      <alignment vertical="center"/>
    </xf>
    <xf numFmtId="191" fontId="16" fillId="0" borderId="2" xfId="3432" applyNumberFormat="1" applyFont="1" applyFill="1" applyBorder="1" applyAlignment="1">
      <alignment horizontal="right" vertical="center" shrinkToFit="1"/>
    </xf>
    <xf numFmtId="49" fontId="9" fillId="0" borderId="2" xfId="2160" applyNumberFormat="1" applyFont="1" applyBorder="1" applyAlignment="1">
      <alignment vertical="center"/>
    </xf>
    <xf numFmtId="4" fontId="18" fillId="0" borderId="2" xfId="3432" applyNumberFormat="1" applyFont="1" applyFill="1" applyBorder="1" applyAlignment="1">
      <alignment horizontal="right" vertical="center" shrinkToFit="1"/>
    </xf>
    <xf numFmtId="49" fontId="9" fillId="0" borderId="2" xfId="2160" applyNumberFormat="1" applyFont="1" applyBorder="1" applyAlignment="1">
      <alignment vertical="center" wrapText="1"/>
    </xf>
    <xf numFmtId="0" fontId="19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20" fillId="2" borderId="0" xfId="0" applyFont="1" applyFill="1" applyBorder="1" applyAlignment="1">
      <alignment horizontal="left" vertical="center"/>
    </xf>
    <xf numFmtId="0" fontId="19" fillId="0" borderId="0" xfId="0" applyFont="1" applyAlignment="1">
      <alignment horizontal="right"/>
    </xf>
    <xf numFmtId="0" fontId="20" fillId="2" borderId="0" xfId="0" applyFont="1" applyFill="1" applyBorder="1" applyAlignment="1">
      <alignment horizontal="right" vertical="center"/>
    </xf>
    <xf numFmtId="0" fontId="16" fillId="0" borderId="7" xfId="0" applyFont="1" applyFill="1" applyBorder="1" applyAlignment="1">
      <alignment horizontal="center" vertical="center" wrapText="1"/>
    </xf>
    <xf numFmtId="0" fontId="16" fillId="0" borderId="7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right" vertical="center"/>
    </xf>
    <xf numFmtId="0" fontId="21" fillId="0" borderId="7" xfId="2164" applyFont="1" applyBorder="1" applyAlignment="1">
      <alignment horizontal="left" vertical="center" wrapText="1"/>
    </xf>
    <xf numFmtId="190" fontId="9" fillId="0" borderId="2" xfId="3494" applyNumberFormat="1" applyFont="1" applyFill="1" applyBorder="1" applyAlignment="1">
      <alignment horizontal="right" vertical="center" wrapText="1"/>
    </xf>
    <xf numFmtId="0" fontId="22" fillId="0" borderId="7" xfId="0" applyFont="1" applyFill="1" applyBorder="1" applyAlignment="1">
      <alignment horizontal="right" vertical="center"/>
    </xf>
    <xf numFmtId="4" fontId="22" fillId="0" borderId="7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4" fontId="8" fillId="0" borderId="7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191" fontId="0" fillId="0" borderId="0" xfId="0" applyNumberFormat="1" applyAlignment="1">
      <alignment vertical="center"/>
    </xf>
    <xf numFmtId="0" fontId="0" fillId="0" borderId="0" xfId="3729" applyFont="1"/>
    <xf numFmtId="191" fontId="0" fillId="0" borderId="0" xfId="3729" applyNumberFormat="1" applyFont="1"/>
    <xf numFmtId="0" fontId="23" fillId="0" borderId="0" xfId="2319" applyFont="1" applyAlignment="1">
      <alignment vertical="center"/>
    </xf>
    <xf numFmtId="0" fontId="2" fillId="0" borderId="0" xfId="3494" applyFont="1" applyAlignment="1">
      <alignment horizontal="center" vertical="center"/>
    </xf>
    <xf numFmtId="191" fontId="2" fillId="0" borderId="0" xfId="3494" applyNumberFormat="1" applyFont="1" applyAlignment="1">
      <alignment horizontal="center" vertical="center"/>
    </xf>
    <xf numFmtId="0" fontId="0" fillId="0" borderId="0" xfId="2319" applyFont="1" applyBorder="1" applyAlignment="1">
      <alignment vertical="center"/>
    </xf>
    <xf numFmtId="191" fontId="0" fillId="0" borderId="0" xfId="2319" applyNumberFormat="1" applyFont="1" applyBorder="1" applyAlignment="1">
      <alignment vertical="center"/>
    </xf>
    <xf numFmtId="0" fontId="17" fillId="0" borderId="2" xfId="2319" applyFont="1" applyBorder="1" applyAlignment="1">
      <alignment horizontal="center" vertical="center"/>
    </xf>
    <xf numFmtId="191" fontId="17" fillId="0" borderId="2" xfId="2319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9" fillId="0" borderId="2" xfId="1732" applyFont="1" applyBorder="1" applyAlignment="1">
      <alignment horizontal="center" vertical="center"/>
    </xf>
    <xf numFmtId="191" fontId="9" fillId="0" borderId="2" xfId="1732" applyNumberFormat="1" applyFont="1" applyBorder="1" applyAlignment="1">
      <alignment horizontal="right" vertical="center"/>
    </xf>
    <xf numFmtId="0" fontId="9" fillId="0" borderId="2" xfId="3729" applyFont="1" applyBorder="1" applyAlignment="1">
      <alignment horizontal="center"/>
    </xf>
    <xf numFmtId="49" fontId="9" fillId="0" borderId="2" xfId="1732" applyNumberFormat="1" applyFont="1" applyFill="1" applyBorder="1" applyAlignment="1">
      <alignment horizontal="left" vertical="center"/>
    </xf>
    <xf numFmtId="188" fontId="9" fillId="0" borderId="2" xfId="1732" applyNumberFormat="1" applyFont="1" applyFill="1" applyBorder="1" applyAlignment="1">
      <alignment horizontal="left" vertical="center"/>
    </xf>
    <xf numFmtId="191" fontId="9" fillId="0" borderId="2" xfId="1732" applyNumberFormat="1" applyFont="1" applyBorder="1" applyAlignment="1">
      <alignment vertical="center"/>
    </xf>
    <xf numFmtId="0" fontId="9" fillId="0" borderId="2" xfId="3807" applyFont="1" applyBorder="1"/>
    <xf numFmtId="0" fontId="9" fillId="0" borderId="2" xfId="0" applyFont="1" applyBorder="1" applyAlignment="1">
      <alignment vertical="center"/>
    </xf>
    <xf numFmtId="191" fontId="9" fillId="0" borderId="2" xfId="1732" applyNumberFormat="1" applyFont="1" applyFill="1" applyBorder="1" applyAlignment="1">
      <alignment horizontal="left" vertical="center"/>
    </xf>
    <xf numFmtId="0" fontId="9" fillId="0" borderId="2" xfId="1732" applyFont="1" applyBorder="1"/>
    <xf numFmtId="191" fontId="9" fillId="0" borderId="2" xfId="1732" applyNumberFormat="1" applyFont="1" applyBorder="1"/>
    <xf numFmtId="191" fontId="9" fillId="0" borderId="2" xfId="3807" applyNumberFormat="1" applyFont="1" applyBorder="1"/>
    <xf numFmtId="188" fontId="24" fillId="0" borderId="0" xfId="3801" applyNumberFormat="1" applyFont="1" applyFill="1" applyBorder="1" applyAlignment="1">
      <alignment horizontal="left"/>
    </xf>
    <xf numFmtId="191" fontId="24" fillId="0" borderId="0" xfId="3801" applyNumberFormat="1" applyFont="1" applyFill="1" applyBorder="1" applyAlignment="1">
      <alignment horizontal="left"/>
    </xf>
    <xf numFmtId="0" fontId="9" fillId="0" borderId="0" xfId="0" applyFont="1">
      <alignment vertical="center"/>
    </xf>
    <xf numFmtId="0" fontId="24" fillId="0" borderId="0" xfId="3801" applyNumberFormat="1" applyFont="1" applyFill="1" applyBorder="1" applyAlignment="1" applyProtection="1">
      <alignment horizontal="left" wrapText="1"/>
    </xf>
    <xf numFmtId="191" fontId="24" fillId="0" borderId="0" xfId="3801" applyNumberFormat="1" applyFont="1" applyFill="1" applyBorder="1" applyAlignment="1" applyProtection="1">
      <alignment horizontal="left" wrapText="1"/>
    </xf>
    <xf numFmtId="0" fontId="24" fillId="0" borderId="0" xfId="0" applyFont="1" applyAlignment="1">
      <alignment horizontal="left" vertical="center"/>
    </xf>
    <xf numFmtId="191" fontId="24" fillId="0" borderId="0" xfId="0" applyNumberFormat="1" applyFont="1" applyAlignment="1">
      <alignment horizontal="left" vertical="center"/>
    </xf>
    <xf numFmtId="191" fontId="0" fillId="0" borderId="0" xfId="0" applyNumberFormat="1" applyAlignment="1">
      <alignment horizontal="right" vertical="center"/>
    </xf>
    <xf numFmtId="191" fontId="0" fillId="0" borderId="0" xfId="3729" applyNumberFormat="1" applyFont="1" applyAlignment="1">
      <alignment horizontal="right"/>
    </xf>
    <xf numFmtId="191" fontId="2" fillId="0" borderId="0" xfId="3494" applyNumberFormat="1" applyFont="1" applyAlignment="1">
      <alignment horizontal="right" vertical="center"/>
    </xf>
    <xf numFmtId="191" fontId="0" fillId="0" borderId="0" xfId="2319" applyNumberFormat="1" applyFont="1" applyBorder="1" applyAlignment="1">
      <alignment horizontal="right" vertical="center"/>
    </xf>
    <xf numFmtId="191" fontId="17" fillId="0" borderId="2" xfId="2319" applyNumberFormat="1" applyFont="1" applyBorder="1" applyAlignment="1">
      <alignment horizontal="right" vertical="center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vertical="center" wrapText="1"/>
    </xf>
    <xf numFmtId="4" fontId="18" fillId="0" borderId="2" xfId="0" applyNumberFormat="1" applyFont="1" applyFill="1" applyBorder="1" applyAlignment="1">
      <alignment horizontal="right" vertical="center" wrapText="1"/>
    </xf>
    <xf numFmtId="4" fontId="9" fillId="0" borderId="2" xfId="3807" applyNumberFormat="1" applyFont="1" applyBorder="1"/>
    <xf numFmtId="188" fontId="6" fillId="0" borderId="0" xfId="3801" applyNumberFormat="1" applyFont="1" applyFill="1" applyBorder="1" applyAlignment="1">
      <alignment horizontal="left"/>
    </xf>
    <xf numFmtId="191" fontId="6" fillId="0" borderId="0" xfId="3801" applyNumberFormat="1" applyFont="1" applyFill="1" applyBorder="1" applyAlignment="1">
      <alignment horizontal="right"/>
    </xf>
    <xf numFmtId="0" fontId="6" fillId="0" borderId="0" xfId="3801" applyNumberFormat="1" applyFont="1" applyFill="1" applyBorder="1" applyAlignment="1" applyProtection="1">
      <alignment horizontal="left" wrapText="1"/>
    </xf>
    <xf numFmtId="191" fontId="6" fillId="0" borderId="0" xfId="3801" applyNumberFormat="1" applyFont="1" applyFill="1" applyBorder="1" applyAlignment="1" applyProtection="1">
      <alignment horizontal="right" wrapText="1"/>
    </xf>
    <xf numFmtId="0" fontId="0" fillId="0" borderId="0" xfId="0" applyFont="1">
      <alignment vertical="center"/>
    </xf>
    <xf numFmtId="0" fontId="2" fillId="0" borderId="0" xfId="3497" applyFont="1" applyAlignment="1">
      <alignment horizontal="center" vertical="center"/>
    </xf>
    <xf numFmtId="0" fontId="0" fillId="0" borderId="0" xfId="3497" applyFont="1"/>
    <xf numFmtId="0" fontId="19" fillId="0" borderId="0" xfId="3497" applyFont="1" applyAlignment="1">
      <alignment horizontal="right" vertical="center"/>
    </xf>
    <xf numFmtId="0" fontId="17" fillId="0" borderId="2" xfId="3497" applyFont="1" applyBorder="1" applyAlignment="1">
      <alignment horizontal="centerContinuous" vertical="center"/>
    </xf>
    <xf numFmtId="0" fontId="17" fillId="0" borderId="2" xfId="3497" applyFont="1" applyBorder="1" applyAlignment="1">
      <alignment horizontal="center" vertical="center"/>
    </xf>
    <xf numFmtId="0" fontId="9" fillId="0" borderId="2" xfId="3497" applyFont="1" applyBorder="1" applyAlignment="1">
      <alignment vertical="center"/>
    </xf>
    <xf numFmtId="190" fontId="9" fillId="0" borderId="2" xfId="3497" applyNumberFormat="1" applyFont="1" applyFill="1" applyBorder="1" applyAlignment="1">
      <alignment horizontal="right" vertical="center" wrapText="1"/>
    </xf>
    <xf numFmtId="0" fontId="9" fillId="0" borderId="2" xfId="165" applyFont="1" applyBorder="1" applyAlignment="1">
      <alignment vertical="center"/>
    </xf>
    <xf numFmtId="4" fontId="9" fillId="0" borderId="2" xfId="3497" applyNumberFormat="1" applyFont="1" applyFill="1" applyBorder="1" applyAlignment="1">
      <alignment horizontal="right" vertical="center" wrapText="1"/>
    </xf>
    <xf numFmtId="0" fontId="9" fillId="0" borderId="2" xfId="3497" applyFont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30" fillId="0" borderId="0" xfId="0" applyFont="1">
      <alignment vertical="center"/>
    </xf>
    <xf numFmtId="0" fontId="16" fillId="0" borderId="3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49" fontId="18" fillId="0" borderId="2" xfId="0" applyNumberFormat="1" applyFont="1" applyFill="1" applyBorder="1" applyAlignment="1">
      <alignment horizontal="left" vertical="center" wrapText="1"/>
    </xf>
    <xf numFmtId="49" fontId="31" fillId="0" borderId="2" xfId="3492" applyNumberFormat="1" applyFont="1" applyFill="1" applyBorder="1" applyAlignment="1">
      <alignment horizontal="left" vertical="center" wrapText="1"/>
    </xf>
    <xf numFmtId="0" fontId="31" fillId="0" borderId="2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vertical="center" wrapText="1"/>
    </xf>
    <xf numFmtId="190" fontId="30" fillId="0" borderId="2" xfId="0" applyNumberFormat="1" applyFont="1" applyFill="1" applyBorder="1" applyAlignment="1">
      <alignment horizontal="right" vertical="center" wrapText="1"/>
    </xf>
    <xf numFmtId="190" fontId="19" fillId="0" borderId="2" xfId="3494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19" fillId="0" borderId="2" xfId="0" applyFont="1" applyFill="1" applyBorder="1" applyAlignment="1">
      <alignment vertical="center" wrapText="1"/>
    </xf>
    <xf numFmtId="0" fontId="19" fillId="0" borderId="2" xfId="0" applyFont="1" applyFill="1" applyBorder="1" applyAlignment="1">
      <alignment vertical="center"/>
    </xf>
    <xf numFmtId="0" fontId="24" fillId="0" borderId="6" xfId="0" applyFont="1" applyBorder="1" applyAlignment="1">
      <alignment horizontal="left" vertical="center" wrapText="1"/>
    </xf>
    <xf numFmtId="0" fontId="32" fillId="0" borderId="6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right" vertical="center"/>
    </xf>
    <xf numFmtId="0" fontId="27" fillId="0" borderId="2" xfId="0" applyFont="1" applyBorder="1" applyAlignment="1">
      <alignment horizontal="centerContinuous" vertical="center" wrapText="1"/>
    </xf>
    <xf numFmtId="0" fontId="16" fillId="0" borderId="2" xfId="0" applyFont="1" applyBorder="1" applyAlignment="1">
      <alignment horizontal="centerContinuous" vertical="center" wrapText="1"/>
    </xf>
    <xf numFmtId="0" fontId="17" fillId="0" borderId="3" xfId="3802" applyNumberFormat="1" applyFont="1" applyFill="1" applyBorder="1" applyAlignment="1" applyProtection="1">
      <alignment horizontal="center" vertical="center" wrapText="1"/>
    </xf>
    <xf numFmtId="0" fontId="17" fillId="0" borderId="5" xfId="3802" applyNumberFormat="1" applyFont="1" applyFill="1" applyBorder="1" applyAlignment="1" applyProtection="1">
      <alignment horizontal="center" vertical="center" wrapText="1"/>
    </xf>
    <xf numFmtId="4" fontId="19" fillId="0" borderId="2" xfId="3492" applyNumberFormat="1" applyFont="1" applyFill="1" applyBorder="1" applyAlignment="1">
      <alignment horizontal="center" vertical="center" wrapText="1"/>
    </xf>
    <xf numFmtId="4" fontId="9" fillId="0" borderId="2" xfId="3492" applyNumberFormat="1" applyFont="1" applyFill="1" applyBorder="1" applyAlignment="1">
      <alignment horizontal="center" vertical="center" wrapText="1"/>
    </xf>
    <xf numFmtId="4" fontId="30" fillId="0" borderId="2" xfId="0" applyNumberFormat="1" applyFont="1" applyFill="1" applyBorder="1" applyAlignment="1">
      <alignment horizontal="right" vertical="center" wrapText="1"/>
    </xf>
    <xf numFmtId="0" fontId="19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3492" applyFont="1"/>
    <xf numFmtId="0" fontId="19" fillId="0" borderId="0" xfId="3492" applyFont="1"/>
    <xf numFmtId="49" fontId="19" fillId="0" borderId="0" xfId="3492" applyNumberFormat="1" applyFont="1" applyFill="1" applyAlignment="1" applyProtection="1">
      <alignment horizontal="center" vertical="center"/>
    </xf>
    <xf numFmtId="0" fontId="19" fillId="0" borderId="0" xfId="3492" applyFont="1" applyAlignment="1">
      <alignment horizontal="center" vertical="center" wrapText="1"/>
    </xf>
    <xf numFmtId="187" fontId="19" fillId="0" borderId="0" xfId="3492" applyNumberFormat="1" applyFont="1" applyAlignment="1">
      <alignment horizontal="center" vertical="center"/>
    </xf>
    <xf numFmtId="0" fontId="19" fillId="0" borderId="0" xfId="3492" applyFont="1" applyAlignment="1">
      <alignment horizontal="center" vertical="center"/>
    </xf>
    <xf numFmtId="49" fontId="2" fillId="0" borderId="0" xfId="3492" applyNumberFormat="1" applyFont="1" applyFill="1" applyAlignment="1" applyProtection="1">
      <alignment horizontal="center" vertical="center" wrapText="1"/>
    </xf>
    <xf numFmtId="49" fontId="33" fillId="0" borderId="0" xfId="3492" applyNumberFormat="1" applyFont="1" applyFill="1" applyAlignment="1" applyProtection="1">
      <alignment horizontal="center" vertical="center" wrapText="1"/>
    </xf>
    <xf numFmtId="0" fontId="0" fillId="0" borderId="0" xfId="3492" applyFont="1" applyAlignment="1">
      <alignment horizontal="center" vertical="center" wrapText="1"/>
    </xf>
    <xf numFmtId="187" fontId="0" fillId="0" borderId="0" xfId="3492" applyNumberFormat="1" applyFont="1" applyAlignment="1">
      <alignment horizontal="center" vertical="center"/>
    </xf>
    <xf numFmtId="0" fontId="9" fillId="0" borderId="1" xfId="3492" applyFont="1" applyBorder="1" applyAlignment="1">
      <alignment horizontal="right" vertical="center"/>
    </xf>
    <xf numFmtId="0" fontId="17" fillId="0" borderId="2" xfId="3492" applyNumberFormat="1" applyFont="1" applyFill="1" applyBorder="1" applyAlignment="1" applyProtection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3802" applyNumberFormat="1" applyFont="1" applyFill="1" applyBorder="1" applyAlignment="1" applyProtection="1">
      <alignment horizontal="center" vertical="center" wrapText="1"/>
    </xf>
    <xf numFmtId="0" fontId="9" fillId="0" borderId="2" xfId="3492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49" fontId="9" fillId="0" borderId="2" xfId="3492" applyNumberFormat="1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0" fillId="0" borderId="0" xfId="3494" applyFont="1"/>
    <xf numFmtId="0" fontId="0" fillId="0" borderId="0" xfId="3494" applyFont="1" applyAlignment="1">
      <alignment horizontal="right" vertical="center"/>
    </xf>
    <xf numFmtId="0" fontId="17" fillId="0" borderId="2" xfId="3494" applyFont="1" applyBorder="1" applyAlignment="1">
      <alignment horizontal="centerContinuous" vertical="center"/>
    </xf>
    <xf numFmtId="0" fontId="17" fillId="0" borderId="2" xfId="3494" applyFont="1" applyBorder="1" applyAlignment="1">
      <alignment horizontal="center" vertical="center"/>
    </xf>
    <xf numFmtId="0" fontId="9" fillId="0" borderId="2" xfId="3494" applyFont="1" applyBorder="1" applyAlignment="1">
      <alignment vertical="center"/>
    </xf>
    <xf numFmtId="190" fontId="9" fillId="0" borderId="2" xfId="3494" applyNumberFormat="1" applyFont="1" applyFill="1" applyBorder="1" applyAlignment="1">
      <alignment horizontal="right" vertical="center"/>
    </xf>
    <xf numFmtId="4" fontId="9" fillId="0" borderId="2" xfId="3492" applyNumberFormat="1" applyFont="1" applyFill="1" applyBorder="1" applyAlignment="1">
      <alignment horizontal="right" vertical="center" wrapText="1"/>
    </xf>
    <xf numFmtId="0" fontId="9" fillId="0" borderId="2" xfId="3494" applyFont="1" applyBorder="1" applyAlignment="1">
      <alignment horizontal="center" vertical="center"/>
    </xf>
    <xf numFmtId="4" fontId="9" fillId="0" borderId="2" xfId="3494" applyNumberFormat="1" applyFont="1" applyFill="1" applyBorder="1" applyAlignment="1">
      <alignment horizontal="right" vertical="center" wrapText="1"/>
    </xf>
    <xf numFmtId="0" fontId="17" fillId="0" borderId="2" xfId="2319" applyFont="1" applyBorder="1" applyAlignment="1" quotePrefix="1">
      <alignment horizontal="center" vertical="center"/>
    </xf>
  </cellXfs>
  <cellStyles count="5002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40% - 强调文字颜色 2 5 2 2" xfId="16"/>
    <cellStyle name="?鹎%U龡&amp;H齲_x0001_C铣_x0014__x0007__x0001__x0001_ 3 2 2 6_2015财政决算公开" xfId="17"/>
    <cellStyle name="20% - 强调文字颜色 2 2 3_2015财政决算公开" xfId="18"/>
    <cellStyle name="差" xfId="19" builtinId="27"/>
    <cellStyle name="?鹎%U龡&amp;H齲_x0001_C铣_x0014__x0007__x0001__x0001_ 2 5 2 2" xfId="20"/>
    <cellStyle name="40% - 强调文字颜色 3 3 3 2" xfId="21"/>
    <cellStyle name="常规 26 2" xfId="22"/>
    <cellStyle name="常规 31 2" xfId="23"/>
    <cellStyle name="40% - 强调文字颜色 3" xfId="24" builtinId="39"/>
    <cellStyle name="?鹎%U龡&amp;H齲_x0001_C铣_x0014__x0007__x0001__x0001_ 3" xfId="25"/>
    <cellStyle name="?鹎%U龡&amp;H齲_x0001_C铣_x0014__x0007__x0001__x0001_ 3 3 3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82" xfId="2159"/>
    <cellStyle name="常规 77" xfId="2160"/>
    <cellStyle name="40% - 强调文字颜色 3 2 2 2 2 2" xfId="2161"/>
    <cellStyle name="40% - 强调文字颜色 3 2 2 2 3" xfId="2162"/>
    <cellStyle name="常规 83" xfId="2163"/>
    <cellStyle name="常规 78" xfId="2164"/>
    <cellStyle name="40% - 强调文字颜色 3 2 2 2_2015财政决算公开" xfId="2165"/>
    <cellStyle name="常规 29 3" xfId="2166"/>
    <cellStyle name="40% - 强调文字颜色 3 2 2 3" xfId="2167"/>
    <cellStyle name="标题 2 4 2 2" xfId="2168"/>
    <cellStyle name="40% - 强调文字颜色 3 2 2 3 2" xfId="2169"/>
    <cellStyle name="40% - 强调文字颜色 3 5 4" xfId="2170"/>
    <cellStyle name="40% - 强调文字颜色 3 2 2 4" xfId="2171"/>
    <cellStyle name="40% - 强调文字颜色 3 2 2_2015财政决算公开" xfId="2172"/>
    <cellStyle name="货币 2 3 2 3 2" xfId="2173"/>
    <cellStyle name="40% - 强调文字颜色 3 2 3" xfId="2174"/>
    <cellStyle name="40% - 强调文字颜色 3 2 3 2" xfId="2175"/>
    <cellStyle name="货币 2 2 10" xfId="2176"/>
    <cellStyle name="40% - 强调文字颜色 3 2 3 2 2" xfId="2177"/>
    <cellStyle name="40% - 强调文字颜色 4 4 4" xfId="2178"/>
    <cellStyle name="40% - 强调文字颜色 3 2 3 2 2 2" xfId="2179"/>
    <cellStyle name="常规 2 4 3 4" xfId="2180"/>
    <cellStyle name="40% - 强调文字颜色 3 2 3 2 3" xfId="2181"/>
    <cellStyle name="40% - 强调文字颜色 3 2 3 2_2015财政决算公开" xfId="2182"/>
    <cellStyle name="40% - 强调文字颜色 3 2 3 3" xfId="2183"/>
    <cellStyle name="百分比 6 2 2 2 2" xfId="2184"/>
    <cellStyle name="40% - 强调文字颜色 3 2 3 3 2" xfId="2185"/>
    <cellStyle name="40% - 强调文字颜色 4 5 4" xfId="2186"/>
    <cellStyle name="常规 2 2 2_2015财政决算公开" xfId="2187"/>
    <cellStyle name="40% - 强调文字颜色 3 2 3 4" xfId="2188"/>
    <cellStyle name="40% - 强调文字颜色 3 2 3_2015财政决算公开" xfId="2189"/>
    <cellStyle name="40% - 强调文字颜色 3 2 4" xfId="2190"/>
    <cellStyle name="40% - 强调文字颜色 3 2 4 2" xfId="2191"/>
    <cellStyle name="40% - 强调文字颜色 3 2 4 2 2" xfId="2192"/>
    <cellStyle name="40% - 强调文字颜色 5 4 4" xfId="2193"/>
    <cellStyle name="40% - 强调文字颜色 3 2 4 3" xfId="2194"/>
    <cellStyle name="40% - 强调文字颜色 3 2 4 4" xfId="2195"/>
    <cellStyle name="常规 2 2 2 2 2 2" xfId="2196"/>
    <cellStyle name="40% - 强调文字颜色 3 2 4_2015财政决算公开" xfId="2197"/>
    <cellStyle name="货币 3 2 4 3 2" xfId="2198"/>
    <cellStyle name="40% - 强调文字颜色 3 2 5" xfId="2199"/>
    <cellStyle name="40% - 强调文字颜色 3 2 5 2" xfId="2200"/>
    <cellStyle name="货币 2 2 7" xfId="2201"/>
    <cellStyle name="40% - 强调文字颜色 3 2 6" xfId="2202"/>
    <cellStyle name="40% - 强调文字颜色 3 2_2015财政决算公开" xfId="2203"/>
    <cellStyle name="40% - 强调文字颜色 3 3" xfId="2204"/>
    <cellStyle name="40% - 强调文字颜色 3 3 2" xfId="2205"/>
    <cellStyle name="常规 25" xfId="2206"/>
    <cellStyle name="常规 30" xfId="2207"/>
    <cellStyle name="40% - 强调文字颜色 3 3 2 2" xfId="2208"/>
    <cellStyle name="常规 25 2" xfId="2209"/>
    <cellStyle name="常规 30 2" xfId="2210"/>
    <cellStyle name="40% - 强调文字颜色 3 3 2 2 2" xfId="2211"/>
    <cellStyle name="常规 25 2 2" xfId="2212"/>
    <cellStyle name="40% - 强调文字颜色 3 3 2 2 2 2" xfId="2213"/>
    <cellStyle name="40% - 强调文字颜色 5 5 2_2015财政决算公开" xfId="2214"/>
    <cellStyle name="40% - 强调文字颜色 3 3 2 2 3" xfId="2215"/>
    <cellStyle name="40% - 强调文字颜色 3 3 2 3" xfId="2216"/>
    <cellStyle name="标题 2 5 2 2" xfId="2217"/>
    <cellStyle name="常规 25 3" xfId="2218"/>
    <cellStyle name="常规 30 3" xfId="2219"/>
    <cellStyle name="40% - 强调文字颜色 3 3 2 3 2" xfId="2220"/>
    <cellStyle name="40% - 强调文字颜色 3 3 2 4" xfId="2221"/>
    <cellStyle name="40% - 强调文字颜色 3 3 3" xfId="2222"/>
    <cellStyle name="常规 26" xfId="2223"/>
    <cellStyle name="常规 31" xfId="2224"/>
    <cellStyle name="40% - 强调文字颜色 3 3 3_2015财政决算公开" xfId="2225"/>
    <cellStyle name="解释性文本 3 4" xfId="2226"/>
    <cellStyle name="40% - 强调文字颜色 3 3 4" xfId="2227"/>
    <cellStyle name="常规 27" xfId="2228"/>
    <cellStyle name="常规 32" xfId="2229"/>
    <cellStyle name="40% - 强调文字颜色 3 3 4 2" xfId="2230"/>
    <cellStyle name="常规 27 2" xfId="2231"/>
    <cellStyle name="常规 32 2" xfId="2232"/>
    <cellStyle name="40% - 强调文字颜色 3 3 5" xfId="2233"/>
    <cellStyle name="常规 28" xfId="2234"/>
    <cellStyle name="常规 33" xfId="2235"/>
    <cellStyle name="40% - 强调文字颜色 3 3_2015财政决算公开" xfId="2236"/>
    <cellStyle name="40% - 强调文字颜色 3 4" xfId="2237"/>
    <cellStyle name="40% - 强调文字颜色 3 4 2" xfId="2238"/>
    <cellStyle name="常规 80" xfId="2239"/>
    <cellStyle name="常规 75" xfId="2240"/>
    <cellStyle name="40% - 强调文字颜色 3 4 2_2015财政决算公开" xfId="2241"/>
    <cellStyle name="40% - 强调文字颜色 3 4 3" xfId="2242"/>
    <cellStyle name="常规 76" xfId="2243"/>
    <cellStyle name="40% - 强调文字颜色 3 4 3 2" xfId="2244"/>
    <cellStyle name="40% - 强调文字颜色 3 4_2015财政决算公开" xfId="2245"/>
    <cellStyle name="40% - 强调文字颜色 3 5" xfId="2246"/>
    <cellStyle name="常规 4 2 7 2" xfId="2247"/>
    <cellStyle name="40% - 强调文字颜色 3 5 2" xfId="2248"/>
    <cellStyle name="40% - 强调文字颜色 3 5 2 2" xfId="2249"/>
    <cellStyle name="40% - 强调文字颜色 3 5 2 2 2" xfId="2250"/>
    <cellStyle name="40% - 强调文字颜色 3 5 2 3" xfId="2251"/>
    <cellStyle name="检查单元格 5 2" xfId="2252"/>
    <cellStyle name="40% - 强调文字颜色 3 5 2_2015财政决算公开" xfId="2253"/>
    <cellStyle name="40% - 强调文字颜色 3 5 3" xfId="2254"/>
    <cellStyle name="40% - 强调文字颜色 3 5 3 2" xfId="2255"/>
    <cellStyle name="常规 8_报 预算   行政政法处(1)" xfId="2256"/>
    <cellStyle name="40% - 强调文字颜色 3 5_2015财政决算公开" xfId="2257"/>
    <cellStyle name="Comma [0]" xfId="2258"/>
    <cellStyle name="常规 3 6" xfId="2259"/>
    <cellStyle name="40% - 强调文字颜色 3 6" xfId="2260"/>
    <cellStyle name="40% - 强调文字颜色 3 6 2" xfId="2261"/>
    <cellStyle name="40% - 强调文字颜色 3 6 2 2" xfId="2262"/>
    <cellStyle name="40% - 强调文字颜色 3 9" xfId="2263"/>
    <cellStyle name="40% - 强调文字颜色 4 2" xfId="2264"/>
    <cellStyle name="40% - 强调文字颜色 4 2 2" xfId="2265"/>
    <cellStyle name="60% - 强调文字颜色 5 2 7" xfId="2266"/>
    <cellStyle name="40% - 强调文字颜色 4 2 2 2" xfId="2267"/>
    <cellStyle name="40% - 强调文字颜色 4 2 2 2 2" xfId="2268"/>
    <cellStyle name="40% - 强调文字颜色 5 5_2015财政决算公开" xfId="2269"/>
    <cellStyle name="好_出版署2010年度中央部门决算草案" xfId="2270"/>
    <cellStyle name="40% - 强调文字颜色 4 2 2 2 2 2" xfId="2271"/>
    <cellStyle name="常规 10" xfId="2272"/>
    <cellStyle name="40% - 强调文字颜色 4 2 2 2 3" xfId="2273"/>
    <cellStyle name="后继超级链接" xfId="2274"/>
    <cellStyle name="40% - 强调文字颜色 4 2 2 3" xfId="2275"/>
    <cellStyle name="标题 3 4 2 2" xfId="2276"/>
    <cellStyle name="40% - 强调文字颜色 4 2 2 3 2" xfId="2277"/>
    <cellStyle name="40% - 强调文字颜色 4 2 2 4" xfId="2278"/>
    <cellStyle name="40% - 强调文字颜色 4 2 2_2015财政决算公开" xfId="2279"/>
    <cellStyle name="40% - 强调文字颜色 4 2 3" xfId="2280"/>
    <cellStyle name="40% - 强调文字颜色 4 2 3 2 2" xfId="2281"/>
    <cellStyle name="常规 2 2 2 4 2" xfId="2282"/>
    <cellStyle name="40% - 强调文字颜色 4 2 3 2 2 2" xfId="2283"/>
    <cellStyle name="常规 2 2 2 4 2 2" xfId="2284"/>
    <cellStyle name="40% - 强调文字颜色 4 2 3 2 3" xfId="2285"/>
    <cellStyle name="40% - 强调文字颜色 6 6_2015财政决算公开" xfId="2286"/>
    <cellStyle name="常规 2 2 2 4 3" xfId="2287"/>
    <cellStyle name="40% - 强调文字颜色 4 2 3 2_2015财政决算公开" xfId="2288"/>
    <cellStyle name="强调文字颜色 1 3 3" xfId="2289"/>
    <cellStyle name="常规 2 2 2 4_2015财政决算公开" xfId="2290"/>
    <cellStyle name="40% - 强调文字颜色 4 2 3 3 2" xfId="2291"/>
    <cellStyle name="常规 2 2 2 5 2" xfId="2292"/>
    <cellStyle name="40% - 强调文字颜色 4 2 3_2015财政决算公开" xfId="2293"/>
    <cellStyle name="40% - 强调文字颜色 4 2 4" xfId="2294"/>
    <cellStyle name="40% - 强调文字颜色 4 2 4 2" xfId="2295"/>
    <cellStyle name="常规 2 2 3 4" xfId="2296"/>
    <cellStyle name="40% - 强调文字颜色 4 2 4 2 2" xfId="2297"/>
    <cellStyle name="常规 2 2 3 4 2" xfId="2298"/>
    <cellStyle name="40% - 强调文字颜色 4 2 4 3" xfId="2299"/>
    <cellStyle name="常规 2 2 3 5" xfId="2300"/>
    <cellStyle name="40% - 强调文字颜色 4 2 4 4" xfId="2301"/>
    <cellStyle name="常规 2 2 3 2 2 2" xfId="2302"/>
    <cellStyle name="常规 2 2 3 6" xfId="2303"/>
    <cellStyle name="40% - 强调文字颜色 4 2 5" xfId="2304"/>
    <cellStyle name="40% - 强调文字颜色 4 2 5 2" xfId="2305"/>
    <cellStyle name="常规 2 2 4 4" xfId="2306"/>
    <cellStyle name="40% - 强调文字颜色 4 2 6" xfId="2307"/>
    <cellStyle name="60% - 强调文字颜色 1 2 2 3 2" xfId="2308"/>
    <cellStyle name="40% - 强调文字颜色 4 2_2015财政决算公开" xfId="2309"/>
    <cellStyle name="40% - 强调文字颜色 4 3" xfId="2310"/>
    <cellStyle name="40% - 强调文字颜色 4 3 2" xfId="2311"/>
    <cellStyle name="40% - 强调文字颜色 4 3 2 2" xfId="2312"/>
    <cellStyle name="40% - 强调文字颜色 4 3 2 2 2" xfId="2313"/>
    <cellStyle name="40% - 强调文字颜色 4 3 2 2 2 2" xfId="2314"/>
    <cellStyle name="40% - 强调文字颜色 4 3 2 2 3" xfId="2315"/>
    <cellStyle name="40% - 强调文字颜色 4 3 2 2_2015财政决算公开" xfId="2316"/>
    <cellStyle name="40% - 强调文字颜色 4 3 2 3" xfId="2317"/>
    <cellStyle name="标题 3 5 2 2" xfId="2318"/>
    <cellStyle name="常规_04-分类改革-预算表 2" xfId="2319"/>
    <cellStyle name="40% - 强调文字颜色 4 3 2 3 2" xfId="2320"/>
    <cellStyle name="货币 2 3" xfId="2321"/>
    <cellStyle name="40% - 强调文字颜色 4 3 2 4" xfId="2322"/>
    <cellStyle name="40% - 强调文字颜色 4 3 2_2015财政决算公开" xfId="2323"/>
    <cellStyle name="40% - 强调文字颜色 4 3 3" xfId="2324"/>
    <cellStyle name="40% - 强调文字颜色 4 3 3 2" xfId="2325"/>
    <cellStyle name="常规 2 3 2 4" xfId="2326"/>
    <cellStyle name="40% - 强调文字颜色 4 3 3 2 2" xfId="2327"/>
    <cellStyle name="常规 2 3 2 4 2" xfId="2328"/>
    <cellStyle name="40% - 强调文字颜色 4 3 3 3" xfId="2329"/>
    <cellStyle name="常规 2 3 2 5" xfId="2330"/>
    <cellStyle name="40% - 强调文字颜色 4 3 3_2015财政决算公开" xfId="2331"/>
    <cellStyle name="货币 4 2 2 3" xfId="2332"/>
    <cellStyle name="40% - 强调文字颜色 4 3 4" xfId="2333"/>
    <cellStyle name="40% - 强调文字颜色 4 3 4 2" xfId="2334"/>
    <cellStyle name="常规 2 3 3 4" xfId="2335"/>
    <cellStyle name="40% - 强调文字颜色 4 3 5" xfId="2336"/>
    <cellStyle name="40% - 强调文字颜色 4 3_2015财政决算公开" xfId="2337"/>
    <cellStyle name="60% - 强调文字颜色 2 5 2 2" xfId="2338"/>
    <cellStyle name="40% - 强调文字颜色 4 4" xfId="2339"/>
    <cellStyle name="40% - 强调文字颜色 4 4 2" xfId="2340"/>
    <cellStyle name="40% - 强调文字颜色 4 4 2 2" xfId="2341"/>
    <cellStyle name="40% - 强调文字颜色 4 4 2 3" xfId="2342"/>
    <cellStyle name="40% - 强调文字颜色 4 4 2_2015财政决算公开" xfId="2343"/>
    <cellStyle name="40% - 强调文字颜色 4 4 3" xfId="2344"/>
    <cellStyle name="40% - 强调文字颜色 4 4 3 2" xfId="2345"/>
    <cellStyle name="常规 2 4 2 4" xfId="2346"/>
    <cellStyle name="40% - 强调文字颜色 4 4_2015财政决算公开" xfId="2347"/>
    <cellStyle name="HEADING1" xfId="2348"/>
    <cellStyle name="40% - 强调文字颜色 4 5" xfId="2349"/>
    <cellStyle name="常规 4 2 8 2" xfId="2350"/>
    <cellStyle name="40% - 强调文字颜色 4 5 2" xfId="2351"/>
    <cellStyle name="40% - 强调文字颜色 4 5 2 2" xfId="2352"/>
    <cellStyle name="40% - 强调文字颜色 4 5 2 2 2" xfId="2353"/>
    <cellStyle name="货币 4 2 8" xfId="2354"/>
    <cellStyle name="40% - 强调文字颜色 4 5 2 3" xfId="2355"/>
    <cellStyle name="常规 12 2 2_2015财政决算公开" xfId="2356"/>
    <cellStyle name="40% - 强调文字颜色 4 5_2015财政决算公开" xfId="2357"/>
    <cellStyle name="常规 2 4 2 3 3" xfId="2358"/>
    <cellStyle name="40% - 强调文字颜色 4 6" xfId="2359"/>
    <cellStyle name="40% - 强调文字颜色 4 6 2" xfId="2360"/>
    <cellStyle name="40% - 强调文字颜色 4 6 2 2" xfId="2361"/>
    <cellStyle name="常规 2 3" xfId="2362"/>
    <cellStyle name="40% - 强调文字颜色 4 6_2015财政决算公开" xfId="2363"/>
    <cellStyle name="40% - 强调文字颜色 4 7 2" xfId="2364"/>
    <cellStyle name="40% - 强调文字颜色 4 8" xfId="2365"/>
    <cellStyle name="40% - 强调文字颜色 4 9" xfId="2366"/>
    <cellStyle name="40% - 强调文字颜色 5 2" xfId="2367"/>
    <cellStyle name="好 2 3" xfId="2368"/>
    <cellStyle name="40% - 强调文字颜色 5 2 2" xfId="2369"/>
    <cellStyle name="60% - 强调文字颜色 6 2 7" xfId="2370"/>
    <cellStyle name="好 2 3 2" xfId="2371"/>
    <cellStyle name="40% - 强调文字颜色 5 2 2 2" xfId="2372"/>
    <cellStyle name="好 2 3 2 2" xfId="2373"/>
    <cellStyle name="40% - 强调文字颜色 5 2 2 2_2015财政决算公开" xfId="2374"/>
    <cellStyle name="货币 2 3 3" xfId="2375"/>
    <cellStyle name="链接单元格 3 2" xfId="2376"/>
    <cellStyle name="40% - 强调文字颜色 5 2 2 4" xfId="2377"/>
    <cellStyle name="40% - 强调文字颜色 5 2 2_2015财政决算公开" xfId="2378"/>
    <cellStyle name="百分比 2 2 4 2" xfId="2379"/>
    <cellStyle name="常规 2 2 2 2 2 4" xfId="2380"/>
    <cellStyle name="40% - 强调文字颜色 5 2 3" xfId="2381"/>
    <cellStyle name="好 2 3 3" xfId="2382"/>
    <cellStyle name="40% - 强调文字颜色 5 2 3 2" xfId="2383"/>
    <cellStyle name="常规 3 2 2 4" xfId="2384"/>
    <cellStyle name="40% - 强调文字颜色 5 2 3 2 2" xfId="2385"/>
    <cellStyle name="常规 3 2 2 4 2" xfId="2386"/>
    <cellStyle name="好 4" xfId="2387"/>
    <cellStyle name="40% - 强调文字颜色 5 2 4" xfId="2388"/>
    <cellStyle name="40% - 强调文字颜色 5 2 4 2" xfId="2389"/>
    <cellStyle name="常规 3 2 3 4" xfId="2390"/>
    <cellStyle name="40% - 强调文字颜色 5 2 5" xfId="2391"/>
    <cellStyle name="40% - 强调文字颜色 5 2_2015财政决算公开" xfId="2392"/>
    <cellStyle name="常规 3 5 2 2" xfId="2393"/>
    <cellStyle name="货币 2 3 2 5" xfId="2394"/>
    <cellStyle name="40% - 强调文字颜色 5 3 2 2" xfId="2395"/>
    <cellStyle name="40% - 强调文字颜色 5 3 2 2_2015财政决算公开" xfId="2396"/>
    <cellStyle name="40% - 强调文字颜色 5 3 2 4" xfId="2397"/>
    <cellStyle name="40% - 强调文字颜色 5 3 3" xfId="2398"/>
    <cellStyle name="40% - 强调文字颜色 5 3 3 2" xfId="2399"/>
    <cellStyle name="40% - 强调文字颜色 5 3 3 2 2" xfId="2400"/>
    <cellStyle name="40% - 强调文字颜色 5 3 3_2015财政决算公开" xfId="2401"/>
    <cellStyle name="40% - 强调文字颜色 5 3 4" xfId="2402"/>
    <cellStyle name="40% - 强调文字颜色 5 3 4 2" xfId="2403"/>
    <cellStyle name="40% - 强调文字颜色 5 3 5" xfId="2404"/>
    <cellStyle name="40% - 强调文字颜色 5 3_2015财政决算公开" xfId="2405"/>
    <cellStyle name="常规 18 2 2" xfId="2406"/>
    <cellStyle name="常规 23 2 2" xfId="2407"/>
    <cellStyle name="40% - 强调文字颜色 5 4" xfId="2408"/>
    <cellStyle name="好 2 5" xfId="2409"/>
    <cellStyle name="40% - 强调文字颜色 5 4 2" xfId="2410"/>
    <cellStyle name="40% - 强调文字颜色 5 4 2 2" xfId="2411"/>
    <cellStyle name="40% - 强调文字颜色 5 4 2 2 2" xfId="2412"/>
    <cellStyle name="40% - 强调文字颜色 5 4 2_2015财政决算公开" xfId="2413"/>
    <cellStyle name="链接单元格 5" xfId="2414"/>
    <cellStyle name="40% - 强调文字颜色 5 4 3" xfId="2415"/>
    <cellStyle name="40% - 强调文字颜色 5 4 3 2" xfId="2416"/>
    <cellStyle name="货币 2 2 2 7" xfId="2417"/>
    <cellStyle name="40% - 强调文字颜色 5 4_2015财政决算公开" xfId="2418"/>
    <cellStyle name="40% - 强调文字颜色 5 5" xfId="2419"/>
    <cellStyle name="常规 4 2 9 2" xfId="2420"/>
    <cellStyle name="40% - 强调文字颜色 5 5 2" xfId="2421"/>
    <cellStyle name="40% - 强调文字颜色 5 5 2 2" xfId="2422"/>
    <cellStyle name="40% - 强调文字颜色 5 5 2 2 2" xfId="2423"/>
    <cellStyle name="40% - 强调文字颜色 5 5 2 3" xfId="2424"/>
    <cellStyle name="40% - 强调文字颜色 5 5 3" xfId="2425"/>
    <cellStyle name="40% - 强调文字颜色 5 5 3 2" xfId="2426"/>
    <cellStyle name="40% - 强调文字颜色 5 5 4" xfId="2427"/>
    <cellStyle name="40% - 强调文字颜色 5 6" xfId="2428"/>
    <cellStyle name="60% - 强调文字颜色 2 3 2 2" xfId="2429"/>
    <cellStyle name="40% - 强调文字颜色 5 6 2" xfId="2430"/>
    <cellStyle name="60% - 强调文字颜色 2 3 2 2 2" xfId="2431"/>
    <cellStyle name="40% - 强调文字颜色 5 6 2 2" xfId="2432"/>
    <cellStyle name="60% - 强调文字颜色 2 3 2 2 2 2" xfId="2433"/>
    <cellStyle name="40% - 强调文字颜色 5 6_2015财政决算公开" xfId="2434"/>
    <cellStyle name="40% - 强调文字颜色 5 7" xfId="2435"/>
    <cellStyle name="60% - 强调文字颜色 2 3 2 3" xfId="2436"/>
    <cellStyle name="40% - 强调文字颜色 5 7 2" xfId="2437"/>
    <cellStyle name="60% - 强调文字颜色 2 3 2 3 2" xfId="2438"/>
    <cellStyle name="常规 2 3 2 2 4" xfId="2439"/>
    <cellStyle name="40% - 强调文字颜色 5 8" xfId="2440"/>
    <cellStyle name="60% - 强调文字颜色 2 3 2 4" xfId="2441"/>
    <cellStyle name="40% - 强调文字颜色 6 2" xfId="2442"/>
    <cellStyle name="好 3 3" xfId="2443"/>
    <cellStyle name="40% - 强调文字颜色 6 2 2" xfId="2444"/>
    <cellStyle name="好 3 3 2" xfId="2445"/>
    <cellStyle name="40% - 强调文字颜色 6 2 2 2" xfId="2446"/>
    <cellStyle name="常规 4 3 4" xfId="2447"/>
    <cellStyle name="常规 5 6" xfId="2448"/>
    <cellStyle name="好 3 3 2 2" xfId="2449"/>
    <cellStyle name="40% - 强调文字颜色 6 2 2 2 2" xfId="2450"/>
    <cellStyle name="常规 4 3 4 2" xfId="2451"/>
    <cellStyle name="常规 5 6 2" xfId="2452"/>
    <cellStyle name="40% - 强调文字颜色 6 2 2 2 2 2" xfId="2453"/>
    <cellStyle name="常规 5 6 2 2" xfId="2454"/>
    <cellStyle name="计算 2 2 3" xfId="2455"/>
    <cellStyle name="40% - 强调文字颜色 6 2 2 2 3" xfId="2456"/>
    <cellStyle name="常规 5 6 3" xfId="2457"/>
    <cellStyle name="强调文字颜色 5 5 2" xfId="2458"/>
    <cellStyle name="40% - 强调文字颜色 6 2 2 2_2015财政决算公开" xfId="2459"/>
    <cellStyle name="标题 5 4 2 2" xfId="2460"/>
    <cellStyle name="40% - 强调文字颜色 6 2 2 3" xfId="2461"/>
    <cellStyle name="常规 4 3 5" xfId="2462"/>
    <cellStyle name="常规 5 7" xfId="2463"/>
    <cellStyle name="40% - 强调文字颜色 6 2 2 3 2" xfId="2464"/>
    <cellStyle name="常规 5 7 2" xfId="2465"/>
    <cellStyle name="40% - 强调文字颜色 6 2 2 4" xfId="2466"/>
    <cellStyle name="常规 4 3 6" xfId="2467"/>
    <cellStyle name="千位分隔 4 2 3 2" xfId="2468"/>
    <cellStyle name="常规 5 8" xfId="2469"/>
    <cellStyle name="40% - 强调文字颜色 6 2 2_2015财政决算公开" xfId="2470"/>
    <cellStyle name="40% - 强调文字颜色 6 2 3" xfId="2471"/>
    <cellStyle name="好 3 3 3" xfId="2472"/>
    <cellStyle name="40% - 强调文字颜色 6 2 3 2" xfId="2473"/>
    <cellStyle name="常规 4 2 2 4" xfId="2474"/>
    <cellStyle name="常规 6 6" xfId="2475"/>
    <cellStyle name="40% - 强调文字颜色 6 2 3 2 2" xfId="2476"/>
    <cellStyle name="常规 4 2 2 4 2" xfId="2477"/>
    <cellStyle name="货币 3 2 4 5" xfId="2478"/>
    <cellStyle name="40% - 强调文字颜色 6 2 3 2 2 2" xfId="2479"/>
    <cellStyle name="常规 4 2 2 4 2 2" xfId="2480"/>
    <cellStyle name="40% - 强调文字颜色 6 2 3 2 3" xfId="2481"/>
    <cellStyle name="常规 4 2 2 4 3" xfId="2482"/>
    <cellStyle name="40% - 强调文字颜色 6 2 3 2_2015财政决算公开" xfId="2483"/>
    <cellStyle name="货币 3 2 5" xfId="2484"/>
    <cellStyle name="40% - 强调文字颜色 6 2 3 3" xfId="2485"/>
    <cellStyle name="常规 4 2 2 5" xfId="2486"/>
    <cellStyle name="40% - 强调文字颜色 6 2 3 3 2" xfId="2487"/>
    <cellStyle name="常规 4 2 2 5 2" xfId="2488"/>
    <cellStyle name="40% - 强调文字颜色 6 2 3 4" xfId="2489"/>
    <cellStyle name="常规 4 2 2 6" xfId="2490"/>
    <cellStyle name="40% - 强调文字颜色 6 2 3 5" xfId="2491"/>
    <cellStyle name="常规 4 2 2 7" xfId="2492"/>
    <cellStyle name="40% - 强调文字颜色 6 2 3_2015财政决算公开" xfId="2493"/>
    <cellStyle name="40% - 强调文字颜色 6 2 4" xfId="2494"/>
    <cellStyle name="货币 2 2 5 2" xfId="2495"/>
    <cellStyle name="40% - 强调文字颜色 6 2 4 2" xfId="2496"/>
    <cellStyle name="常规 7 6" xfId="2497"/>
    <cellStyle name="常规 4 2 3 4" xfId="2498"/>
    <cellStyle name="货币 2 2 5 2 2" xfId="2499"/>
    <cellStyle name="40% - 强调文字颜色 6 2 4 3" xfId="2500"/>
    <cellStyle name="常规 4 2 3 5" xfId="2501"/>
    <cellStyle name="40% - 强调文字颜色 6 2 4 4" xfId="2502"/>
    <cellStyle name="常规 4 2 3 6" xfId="2503"/>
    <cellStyle name="40% - 强调文字颜色 6 2 5 2" xfId="2504"/>
    <cellStyle name="常规 8 6" xfId="2505"/>
    <cellStyle name="常规 4 2 4 4" xfId="2506"/>
    <cellStyle name="货币 2 2 5 3 2" xfId="2507"/>
    <cellStyle name="40% - 强调文字颜色 6 2 6" xfId="2508"/>
    <cellStyle name="常规 10 2 2 2 2" xfId="2509"/>
    <cellStyle name="货币 2 2 5 4" xfId="2510"/>
    <cellStyle name="40% - 强调文字颜色 6 2_2015财政决算公开" xfId="2511"/>
    <cellStyle name="40% - 强调文字颜色 6 3 2" xfId="2512"/>
    <cellStyle name="好 3 4 2" xfId="2513"/>
    <cellStyle name="40% - 强调文字颜色 6 3 2 2" xfId="2514"/>
    <cellStyle name="常规 5 3 4" xfId="2515"/>
    <cellStyle name="40% - 强调文字颜色 6 3 2 2 2" xfId="2516"/>
    <cellStyle name="常规 5 3 4 2" xfId="2517"/>
    <cellStyle name="40% - 强调文字颜色 6 3 2 2 3" xfId="2518"/>
    <cellStyle name="40% - 强调文字颜色 6 3 2 2_2015财政决算公开" xfId="2519"/>
    <cellStyle name="警告文本 3 4" xfId="2520"/>
    <cellStyle name="40% - 强调文字颜色 6 3 2 3" xfId="2521"/>
    <cellStyle name="常规 5 3 5" xfId="2522"/>
    <cellStyle name="40% - 强调文字颜色 6 3 2 3 2" xfId="2523"/>
    <cellStyle name="40% - 强调文字颜色 6 3 2_2015财政决算公开" xfId="2524"/>
    <cellStyle name="60% - 强调文字颜色 6 7 2" xfId="2525"/>
    <cellStyle name="40% - 强调文字颜色 6 3 3" xfId="2526"/>
    <cellStyle name="40% - 强调文字颜色 6 3 3 2" xfId="2527"/>
    <cellStyle name="常规 5 4 4" xfId="2528"/>
    <cellStyle name="40% - 强调文字颜色 6 3 3 2 2" xfId="2529"/>
    <cellStyle name="常规 5 4 4 2" xfId="2530"/>
    <cellStyle name="货币 4 2 4 5" xfId="2531"/>
    <cellStyle name="40% - 强调文字颜色 6 3 3 3" xfId="2532"/>
    <cellStyle name="常规 5 4 5" xfId="2533"/>
    <cellStyle name="40% - 强调文字颜色 6 3 4" xfId="2534"/>
    <cellStyle name="货币 2 2 6 2" xfId="2535"/>
    <cellStyle name="40% - 强调文字颜色 6 3 4 2" xfId="2536"/>
    <cellStyle name="常规 5 5 4" xfId="2537"/>
    <cellStyle name="货币 2 2 6 2 2" xfId="2538"/>
    <cellStyle name="40% - 强调文字颜色 6 3 5" xfId="2539"/>
    <cellStyle name="货币 2 2 6 3" xfId="2540"/>
    <cellStyle name="40% - 强调文字颜色 6 3_2015财政决算公开" xfId="2541"/>
    <cellStyle name="Currency_1995" xfId="2542"/>
    <cellStyle name="40% - 强调文字颜色 6 4 2" xfId="2543"/>
    <cellStyle name="60% - 强调文字颜色 4 2 2 2" xfId="2544"/>
    <cellStyle name="60% - 强调文字颜色 4 2 2 2 2" xfId="2545"/>
    <cellStyle name="40% - 强调文字颜色 6 4 2 2" xfId="2546"/>
    <cellStyle name="常规 6 3 4" xfId="2547"/>
    <cellStyle name="40% - 强调文字颜色 6 4 2 2 2" xfId="2548"/>
    <cellStyle name="60% - 强调文字颜色 4 2 2 2 2 2" xfId="2549"/>
    <cellStyle name="40% - 强调文字颜色 6 4 2 3" xfId="2550"/>
    <cellStyle name="60% - 强调文字颜色 4 2 2 2 3" xfId="2551"/>
    <cellStyle name="40% - 强调文字颜色 6 4 2_2015财政决算公开" xfId="2552"/>
    <cellStyle name="强调文字颜色 5 7" xfId="2553"/>
    <cellStyle name="常规 4_征收计划表8" xfId="2554"/>
    <cellStyle name="40% - 强调文字颜色 6 4 3" xfId="2555"/>
    <cellStyle name="60% - 强调文字颜色 4 2 2 3" xfId="2556"/>
    <cellStyle name="40% - 强调文字颜色 6 4 3 2" xfId="2557"/>
    <cellStyle name="60% - 强调文字颜色 4 2 2 3 2" xfId="2558"/>
    <cellStyle name="常规 4 2 2 2 4" xfId="2559"/>
    <cellStyle name="40% - 强调文字颜色 6 4 4" xfId="2560"/>
    <cellStyle name="60% - 强调文字颜色 4 2 2 4" xfId="2561"/>
    <cellStyle name="货币 2 2 7 2" xfId="2562"/>
    <cellStyle name="40% - 强调文字颜色 6 4_2015财政决算公开" xfId="2563"/>
    <cellStyle name="40% - 强调文字颜色 6 5" xfId="2564"/>
    <cellStyle name="60% - 强调文字颜色 4 2 3" xfId="2565"/>
    <cellStyle name="40% - 强调文字颜色 6 5 2" xfId="2566"/>
    <cellStyle name="60% - 强调文字颜色 4 2 3 2" xfId="2567"/>
    <cellStyle name="60% - 强调文字颜色 4 2 3 2 2" xfId="2568"/>
    <cellStyle name="40% - 强调文字颜色 6 5 2 2" xfId="2569"/>
    <cellStyle name="常规 7 3 4" xfId="2570"/>
    <cellStyle name="40% - 强调文字颜色 6 5 2 2 2" xfId="2571"/>
    <cellStyle name="60% - 强调文字颜色 4 2 3 2 2 2" xfId="2572"/>
    <cellStyle name="40% - 强调文字颜色 6 5 2 3" xfId="2573"/>
    <cellStyle name="60% - 强调文字颜色 4 2 3 2 3" xfId="2574"/>
    <cellStyle name="40% - 强调文字颜色 6 5 2_2015财政决算公开" xfId="2575"/>
    <cellStyle name="40% - 强调文字颜色 6 5 3" xfId="2576"/>
    <cellStyle name="60% - 强调文字颜色 4 2 3 3" xfId="2577"/>
    <cellStyle name="40% - 强调文字颜色 6 5 4" xfId="2578"/>
    <cellStyle name="60% - 强调文字颜色 4 2 3 4" xfId="2579"/>
    <cellStyle name="货币 2 2 8 2" xfId="2580"/>
    <cellStyle name="40% - 强调文字颜色 6 6" xfId="2581"/>
    <cellStyle name="60% - 强调文字颜色 2 3 3 2" xfId="2582"/>
    <cellStyle name="60% - 强调文字颜色 4 2 4" xfId="2583"/>
    <cellStyle name="40% - 强调文字颜色 6 6 2" xfId="2584"/>
    <cellStyle name="60% - 强调文字颜色 2 3 3 2 2" xfId="2585"/>
    <cellStyle name="60% - 强调文字颜色 4 2 4 2" xfId="2586"/>
    <cellStyle name="60% - 强调文字颜色 4 2 4 2 2" xfId="2587"/>
    <cellStyle name="40% - 强调文字颜色 6 6 2 2" xfId="2588"/>
    <cellStyle name="常规 8 3 4" xfId="2589"/>
    <cellStyle name="40% - 强调文字颜色 6 7 2" xfId="2590"/>
    <cellStyle name="60% - 强调文字颜色 4 2 5 2" xfId="2591"/>
    <cellStyle name="40% - 强调文字颜色 6 8" xfId="2592"/>
    <cellStyle name="60% - 强调文字颜色 4 2 6" xfId="2593"/>
    <cellStyle name="40% - 着色 1" xfId="2594"/>
    <cellStyle name="货币 5" xfId="2595"/>
    <cellStyle name="40% - 着色 2" xfId="2596"/>
    <cellStyle name="40% - 着色 2 2" xfId="2597"/>
    <cellStyle name="40% - 着色 3" xfId="2598"/>
    <cellStyle name="40% - 着色 3 2" xfId="2599"/>
    <cellStyle name="40% - 着色 4 2" xfId="2600"/>
    <cellStyle name="40% - 着色 5" xfId="2601"/>
    <cellStyle name="60% - 强调文字颜色 6 6 2 2" xfId="2602"/>
    <cellStyle name="40% - 着色 6" xfId="2603"/>
    <cellStyle name="常规 2 2 2 2 4_2015财政决算公开" xfId="2604"/>
    <cellStyle name="40% - 着色 6 2" xfId="2605"/>
    <cellStyle name="常规 6 3 3" xfId="2606"/>
    <cellStyle name="60% - 强调文字颜色 1 2" xfId="2607"/>
    <cellStyle name="60% - 强调文字颜色 1 2 2" xfId="2608"/>
    <cellStyle name="60% - 强调文字颜色 1 2 2 2 2" xfId="2609"/>
    <cellStyle name="60% - 强调文字颜色 1 2 2 2 2 2" xfId="2610"/>
    <cellStyle name="60% - 强调文字颜色 5 6" xfId="2611"/>
    <cellStyle name="60% - 强调文字颜色 1 2 2 2 3" xfId="2612"/>
    <cellStyle name="常规 3 2 4 2" xfId="2613"/>
    <cellStyle name="60% - 强调文字颜色 1 2 2 3" xfId="2614"/>
    <cellStyle name="60% - 强调文字颜色 1 2 2 4" xfId="2615"/>
    <cellStyle name="60% - 强调文字颜色 1 2 3 2" xfId="2616"/>
    <cellStyle name="60% - 强调文字颜色 1 2 3 2 2" xfId="2617"/>
    <cellStyle name="60% - 强调文字颜色 1 2 3 2 3" xfId="2618"/>
    <cellStyle name="好 3 2 2 2 2" xfId="2619"/>
    <cellStyle name="60% - 强调文字颜色 1 2 3 3" xfId="2620"/>
    <cellStyle name="60% - 强调文字颜色 1 2 3 3 2" xfId="2621"/>
    <cellStyle name="60% - 强调文字颜色 1 2 3 4" xfId="2622"/>
    <cellStyle name="60% - 强调文字颜色 1 2 3 5" xfId="2623"/>
    <cellStyle name="标题 5 2_2015财政决算公开" xfId="2624"/>
    <cellStyle name="60% - 强调文字颜色 1 2 4" xfId="2625"/>
    <cellStyle name="60% - 强调文字颜色 1 2 4 2" xfId="2626"/>
    <cellStyle name="60% - 强调文字颜色 1 2 4 2 2" xfId="2627"/>
    <cellStyle name="货币 2 2 4 4" xfId="2628"/>
    <cellStyle name="60% - 强调文字颜色 1 2 4 3" xfId="2629"/>
    <cellStyle name="常规 10 2 2 2" xfId="2630"/>
    <cellStyle name="60% - 强调文字颜色 1 2 5" xfId="2631"/>
    <cellStyle name="Calc Currency (0) 2" xfId="2632"/>
    <cellStyle name="60% - 强调文字颜色 1 2 5 2" xfId="2633"/>
    <cellStyle name="60% - 强调文字颜色 1 2 6" xfId="2634"/>
    <cellStyle name="标题 2 2 3 2 2" xfId="2635"/>
    <cellStyle name="货币 2 6 2" xfId="2636"/>
    <cellStyle name="60% - 强调文字颜色 1 2 7" xfId="2637"/>
    <cellStyle name="货币 2 6 3" xfId="2638"/>
    <cellStyle name="链接单元格 6 2" xfId="2639"/>
    <cellStyle name="60% - 强调文字颜色 1 2_2015财政决算公开" xfId="2640"/>
    <cellStyle name="60% - 强调文字颜色 1 3" xfId="2641"/>
    <cellStyle name="60% - 强调文字颜色 1 3 2" xfId="2642"/>
    <cellStyle name="60% - 强调文字颜色 1 3 2 2 2" xfId="2643"/>
    <cellStyle name="常规 8 3" xfId="2644"/>
    <cellStyle name="60% - 强调文字颜色 1 3 2 2 3" xfId="2645"/>
    <cellStyle name="常规 4 2 4 2" xfId="2646"/>
    <cellStyle name="常规 4 6 2" xfId="2647"/>
    <cellStyle name="常规 8 4" xfId="2648"/>
    <cellStyle name="60% - 强调文字颜色 1 3 2 4" xfId="2649"/>
    <cellStyle name="60% - 强调文字颜色 1 3 3" xfId="2650"/>
    <cellStyle name="60% - 强调文字颜色 1 3 3 2" xfId="2651"/>
    <cellStyle name="60% - 强调文字颜色 1 3 3 2 2" xfId="2652"/>
    <cellStyle name="常规 2_2012-2013年“三公”经费预决算情况汇总表样" xfId="2653"/>
    <cellStyle name="60% - 强调文字颜色 1 3 3 3" xfId="2654"/>
    <cellStyle name="60% - 强调文字颜色 1 3 4" xfId="2655"/>
    <cellStyle name="60% - 强调文字颜色 1 3 4 2" xfId="2656"/>
    <cellStyle name="60% - 强调文字颜色 1 4" xfId="2657"/>
    <cellStyle name="常规 2 4 2 4 2" xfId="2658"/>
    <cellStyle name="60% - 强调文字颜色 1 4 2" xfId="2659"/>
    <cellStyle name="常规 2 4 2 4 2 2" xfId="2660"/>
    <cellStyle name="60% - 强调文字颜色 1 4 2 2 2" xfId="2661"/>
    <cellStyle name="60% - 强调文字颜色 1 4 3" xfId="2662"/>
    <cellStyle name="货币 2 10 2" xfId="2663"/>
    <cellStyle name="60% - 强调文字颜色 1 4 3 2" xfId="2664"/>
    <cellStyle name="60% - 强调文字颜色 1 4 4" xfId="2665"/>
    <cellStyle name="60% - 强调文字颜色 1 5" xfId="2666"/>
    <cellStyle name="常规 2 4 2 4 3" xfId="2667"/>
    <cellStyle name="60% - 强调文字颜色 1 5 2" xfId="2668"/>
    <cellStyle name="常规 2 4 2 4 3 2" xfId="2669"/>
    <cellStyle name="60% - 强调文字颜色 1 5 2 3" xfId="2670"/>
    <cellStyle name="60% - 强调文字颜色 1 5 3" xfId="2671"/>
    <cellStyle name="60% - 强调文字颜色 1 5 3 2" xfId="2672"/>
    <cellStyle name="60% - 强调文字颜色 1 5 4" xfId="2673"/>
    <cellStyle name="货币 3 4 2 2" xfId="2674"/>
    <cellStyle name="60% - 强调文字颜色 1 6" xfId="2675"/>
    <cellStyle name="常规 2 4 2 4 4" xfId="2676"/>
    <cellStyle name="60% - 强调文字颜色 1 6 2" xfId="2677"/>
    <cellStyle name="常规 2 4 2 4 4 2" xfId="2678"/>
    <cellStyle name="60% - 强调文字颜色 1 6 3" xfId="2679"/>
    <cellStyle name="60% - 强调文字颜色 1 7" xfId="2680"/>
    <cellStyle name="标题 3 3 2 2" xfId="2681"/>
    <cellStyle name="常规 2 4 2 4 5" xfId="2682"/>
    <cellStyle name="60% - 强调文字颜色 1 7 2" xfId="2683"/>
    <cellStyle name="标题 3 3 2 2 2" xfId="2684"/>
    <cellStyle name="60% - 强调文字颜色 1 8" xfId="2685"/>
    <cellStyle name="标题 3 3 2 3" xfId="2686"/>
    <cellStyle name="60% - 强调文字颜色 2 2" xfId="2687"/>
    <cellStyle name="60% - 强调文字颜色 2 2 2" xfId="2688"/>
    <cellStyle name="60% - 强调文字颜色 2 2 2 2" xfId="2689"/>
    <cellStyle name="差 7" xfId="2690"/>
    <cellStyle name="60% - 强调文字颜色 2 2 2 2 2" xfId="2691"/>
    <cellStyle name="差 7 2" xfId="2692"/>
    <cellStyle name="60% - 强调文字颜色 2 2 2 2 2 2" xfId="2693"/>
    <cellStyle name="60% - 强调文字颜色 2 2 2 3" xfId="2694"/>
    <cellStyle name="差 8" xfId="2695"/>
    <cellStyle name="60% - 强调文字颜色 2 2 2 3 2" xfId="2696"/>
    <cellStyle name="常规 2 2 2 2 4" xfId="2697"/>
    <cellStyle name="60% - 强调文字颜色 2 2 2 4" xfId="2698"/>
    <cellStyle name="货币 4 5 2" xfId="2699"/>
    <cellStyle name="60% - 强调文字颜色 2 2 3 2" xfId="2700"/>
    <cellStyle name="60% - 强调文字颜色 3 2 4" xfId="2701"/>
    <cellStyle name="60% - 强调文字颜色 2 2 3 2 2" xfId="2702"/>
    <cellStyle name="60% - 强调文字颜色 3 2 4 2" xfId="2703"/>
    <cellStyle name="60% - 强调文字颜色 2 2 3 2 2 2" xfId="2704"/>
    <cellStyle name="60% - 强调文字颜色 3 2 4 2 2" xfId="2705"/>
    <cellStyle name="60% - 强调文字颜色 5 8" xfId="2706"/>
    <cellStyle name="60% - 强调文字颜色 2 2 3 3" xfId="2707"/>
    <cellStyle name="60% - 强调文字颜色 3 2 5" xfId="2708"/>
    <cellStyle name="comma zerodec 2" xfId="2709"/>
    <cellStyle name="60% - 强调文字颜色 2 2 3 3 2" xfId="2710"/>
    <cellStyle name="60% - 强调文字颜色 3 2 5 2" xfId="2711"/>
    <cellStyle name="常规 2 2 3 2 4" xfId="2712"/>
    <cellStyle name="60% - 强调文字颜色 2 2 3 4" xfId="2713"/>
    <cellStyle name="60% - 强调文字颜色 3 2 6" xfId="2714"/>
    <cellStyle name="货币 4 6 2" xfId="2715"/>
    <cellStyle name="60% - 强调文字颜色 2 2 4" xfId="2716"/>
    <cellStyle name="60% - 强调文字颜色 2 2 4 2" xfId="2717"/>
    <cellStyle name="60% - 强调文字颜色 3 3 4" xfId="2718"/>
    <cellStyle name="60% - 强调文字颜色 2 2 4 2 2" xfId="2719"/>
    <cellStyle name="60% - 强调文字颜色 3 3 4 2" xfId="2720"/>
    <cellStyle name="60% - 强调文字颜色 2 2 5" xfId="2721"/>
    <cellStyle name="60% - 强调文字颜色 2 2 5 2" xfId="2722"/>
    <cellStyle name="60% - 强调文字颜色 3 4 4" xfId="2723"/>
    <cellStyle name="60% - 强调文字颜色 2 2 6" xfId="2724"/>
    <cellStyle name="货币 3 6 2" xfId="2725"/>
    <cellStyle name="60% - 强调文字颜色 2 2_2015财政决算公开" xfId="2726"/>
    <cellStyle name="货币 2 2 2 4 5" xfId="2727"/>
    <cellStyle name="60% - 强调文字颜色 2 3 2" xfId="2728"/>
    <cellStyle name="60% - 强调文字颜色 2 3 4" xfId="2729"/>
    <cellStyle name="60% - 强调文字颜色 2 3 4 2" xfId="2730"/>
    <cellStyle name="60% - 强调文字颜色 4 3 4" xfId="2731"/>
    <cellStyle name="常规 17" xfId="2732"/>
    <cellStyle name="常规 22" xfId="2733"/>
    <cellStyle name="检查单元格 2 2 3" xfId="2734"/>
    <cellStyle name="60% - 强调文字颜色 2 4" xfId="2735"/>
    <cellStyle name="常规 2 4 2 5 2" xfId="2736"/>
    <cellStyle name="60% - 强调文字颜色 2 4 2" xfId="2737"/>
    <cellStyle name="60% - 强调文字颜色 2 4 2 2" xfId="2738"/>
    <cellStyle name="60% - 强调文字颜色 2 4 2 2 2" xfId="2739"/>
    <cellStyle name="60% - 强调文字颜色 2 4 2 3" xfId="2740"/>
    <cellStyle name="60% - 强调文字颜色 2 4 3 2" xfId="2741"/>
    <cellStyle name="60% - 强调文字颜色 5 2 4" xfId="2742"/>
    <cellStyle name="60% - 强调文字颜色 2 4 4" xfId="2743"/>
    <cellStyle name="60% - 强调文字颜色 2 5" xfId="2744"/>
    <cellStyle name="60% - 强调文字颜色 2 5 2" xfId="2745"/>
    <cellStyle name="60% - 强调文字颜色 2 5 2 2 2" xfId="2746"/>
    <cellStyle name="检查单元格 5 4" xfId="2747"/>
    <cellStyle name="60% - 强调文字颜色 2 5 2 3" xfId="2748"/>
    <cellStyle name="60% - 强调文字颜色 2 5 3" xfId="2749"/>
    <cellStyle name="60% - 强调文字颜色 2 5 4" xfId="2750"/>
    <cellStyle name="货币 3 5 2 2" xfId="2751"/>
    <cellStyle name="60% - 强调文字颜色 2 6" xfId="2752"/>
    <cellStyle name="60% - 强调文字颜色 2 6 2" xfId="2753"/>
    <cellStyle name="60% - 强调文字颜色 2 6 2 2" xfId="2754"/>
    <cellStyle name="60% - 强调文字颜色 2 6 3" xfId="2755"/>
    <cellStyle name="60% - 强调文字颜色 2 7" xfId="2756"/>
    <cellStyle name="标题 3 3 3 2" xfId="2757"/>
    <cellStyle name="60% - 强调文字颜色 2 8" xfId="2758"/>
    <cellStyle name="60% - 强调文字颜色 2 9" xfId="2759"/>
    <cellStyle name="60% - 强调文字颜色 3 2" xfId="2760"/>
    <cellStyle name="60% - 强调文字颜色 3 2 2" xfId="2761"/>
    <cellStyle name="60% - 强调文字颜色 3 2 2 2" xfId="2762"/>
    <cellStyle name="60% - 强调文字颜色 3 2 2 2 2" xfId="2763"/>
    <cellStyle name="60% - 强调文字颜色 3 2 2 2 2 2" xfId="2764"/>
    <cellStyle name="60% - 强调文字颜色 3 2 2 3" xfId="2765"/>
    <cellStyle name="60% - 强调文字颜色 3 2 2 3 2" xfId="2766"/>
    <cellStyle name="60% - 强调文字颜色 3 2 2 4" xfId="2767"/>
    <cellStyle name="60% - 强调文字颜色 3 2 3" xfId="2768"/>
    <cellStyle name="60% - 强调文字颜色 3 2 3 2" xfId="2769"/>
    <cellStyle name="超级链接 4" xfId="2770"/>
    <cellStyle name="60% - 强调文字颜色 3 2 3 3" xfId="2771"/>
    <cellStyle name="超级链接 5" xfId="2772"/>
    <cellStyle name="60% - 强调文字颜色 3 2 3 3 2" xfId="2773"/>
    <cellStyle name="常规 13_2015财政决算公开" xfId="2774"/>
    <cellStyle name="60% - 强调文字颜色 3 2 3 4" xfId="2775"/>
    <cellStyle name="60% - 强调文字颜色 3 2 3 5" xfId="2776"/>
    <cellStyle name="60% - 强调文字颜色 3 2_2015财政决算公开" xfId="2777"/>
    <cellStyle name="60% - 强调文字颜色 3 3 2 2" xfId="2778"/>
    <cellStyle name="60% - 强调文字颜色 3 3 2 2 2" xfId="2779"/>
    <cellStyle name="60% - 强调文字颜色 3 3 2 2 2 2" xfId="2780"/>
    <cellStyle name="常规 2 5" xfId="2781"/>
    <cellStyle name="60% - 强调文字颜色 3 3 2 3" xfId="2782"/>
    <cellStyle name="60% - 强调文字颜色 3 3 2 3 2" xfId="2783"/>
    <cellStyle name="60% - 强调文字颜色 3 3 2 4" xfId="2784"/>
    <cellStyle name="60% - 强调文字颜色 3 3 3" xfId="2785"/>
    <cellStyle name="60% - 强调文字颜色 3 3 3 2" xfId="2786"/>
    <cellStyle name="60% - 强调文字颜色 3 3 3 3" xfId="2787"/>
    <cellStyle name="60% - 强调文字颜色 3 4 2" xfId="2788"/>
    <cellStyle name="60% - 强调文字颜色 3 4 2 2" xfId="2789"/>
    <cellStyle name="60% - 强调文字颜色 3 4 2 2 2" xfId="2790"/>
    <cellStyle name="货币 2 2 2 4 4" xfId="2791"/>
    <cellStyle name="60% - 强调文字颜色 3 4 2 3" xfId="2792"/>
    <cellStyle name="链接单元格 2" xfId="2793"/>
    <cellStyle name="60% - 强调文字颜色 3 4 3" xfId="2794"/>
    <cellStyle name="60% - 强调文字颜色 3 4 3 2" xfId="2795"/>
    <cellStyle name="60% - 强调文字颜色 3 5" xfId="2796"/>
    <cellStyle name="标题 1 2 3 2 2" xfId="2797"/>
    <cellStyle name="60% - 强调文字颜色 3 5 2" xfId="2798"/>
    <cellStyle name="60% - 强调文字颜色 3 5 2 2" xfId="2799"/>
    <cellStyle name="60% - 强调文字颜色 3 5 2 2 2" xfId="2800"/>
    <cellStyle name="超级链接" xfId="2801"/>
    <cellStyle name="60% - 强调文字颜色 3 5 2 3" xfId="2802"/>
    <cellStyle name="常规 2 3 10" xfId="2803"/>
    <cellStyle name="60% - 强调文字颜色 3 5 3" xfId="2804"/>
    <cellStyle name="60% - 强调文字颜色 3 5 3 2" xfId="2805"/>
    <cellStyle name="60% - 强调文字颜色 3 5 4" xfId="2806"/>
    <cellStyle name="货币 3 6 2 2" xfId="2807"/>
    <cellStyle name="60% - 强调文字颜色 3 6" xfId="2808"/>
    <cellStyle name="60% - 强调文字颜色 3 6 2" xfId="2809"/>
    <cellStyle name="60% - 强调文字颜色 3 6 2 2" xfId="2810"/>
    <cellStyle name="60% - 强调文字颜色 3 6 3" xfId="2811"/>
    <cellStyle name="60% - 强调文字颜色 3 7" xfId="2812"/>
    <cellStyle name="60% - 强调文字颜色 3 7 2" xfId="2813"/>
    <cellStyle name="60% - 强调文字颜色 3 8" xfId="2814"/>
    <cellStyle name="60% - 强调文字颜色 3 9" xfId="2815"/>
    <cellStyle name="60% - 强调文字颜色 4 2" xfId="2816"/>
    <cellStyle name="60% - 强调文字颜色 4 2 3 5" xfId="2817"/>
    <cellStyle name="强调文字颜色 1 2 2 3" xfId="2818"/>
    <cellStyle name="60% - 强调文字颜色 4 2_2015财政决算公开" xfId="2819"/>
    <cellStyle name="60% - 强调文字颜色 4 3 2" xfId="2820"/>
    <cellStyle name="常规 15" xfId="2821"/>
    <cellStyle name="常规 20" xfId="2822"/>
    <cellStyle name="60% - 强调文字颜色 4 3 2 2" xfId="2823"/>
    <cellStyle name="百分比 2 6" xfId="2824"/>
    <cellStyle name="常规 15 2" xfId="2825"/>
    <cellStyle name="常规 20 2" xfId="2826"/>
    <cellStyle name="60% - 强调文字颜色 4 3 2 2 2" xfId="2827"/>
    <cellStyle name="常规 15 2 2" xfId="2828"/>
    <cellStyle name="常规 20 2 2" xfId="2829"/>
    <cellStyle name="60% - 强调文字颜色 4 3 2 2 2 2" xfId="2830"/>
    <cellStyle name="60% - 强调文字颜色 6 2 4 3" xfId="2831"/>
    <cellStyle name="60% - 强调文字颜色 4 3 2 3" xfId="2832"/>
    <cellStyle name="常规 15 3" xfId="2833"/>
    <cellStyle name="常规 20 3" xfId="2834"/>
    <cellStyle name="常规 5 2 2 2 2" xfId="2835"/>
    <cellStyle name="60% - 强调文字颜色 4 3 2 3 2" xfId="2836"/>
    <cellStyle name="常规 15 3 2" xfId="2837"/>
    <cellStyle name="60% - 强调文字颜色 4 3 2 4" xfId="2838"/>
    <cellStyle name="常规 15 4" xfId="2839"/>
    <cellStyle name="货币 2 3 7 2" xfId="2840"/>
    <cellStyle name="60% - 强调文字颜色 4 3 3" xfId="2841"/>
    <cellStyle name="常规 16" xfId="2842"/>
    <cellStyle name="常规 21" xfId="2843"/>
    <cellStyle name="检查单元格 2 2 2" xfId="2844"/>
    <cellStyle name="60% - 强调文字颜色 4 3 3 2" xfId="2845"/>
    <cellStyle name="百分比 3 6" xfId="2846"/>
    <cellStyle name="常规 16 2" xfId="2847"/>
    <cellStyle name="常规 21 2" xfId="2848"/>
    <cellStyle name="检查单元格 2 2 2 2" xfId="2849"/>
    <cellStyle name="60% - 强调文字颜色 4 3 3 2 2" xfId="2850"/>
    <cellStyle name="标题 8" xfId="2851"/>
    <cellStyle name="常规 16 2 2" xfId="2852"/>
    <cellStyle name="常规 21 2 2" xfId="2853"/>
    <cellStyle name="检查单元格 2 2 2 2 2" xfId="2854"/>
    <cellStyle name="60% - 强调文字颜色 4 3 3 3" xfId="2855"/>
    <cellStyle name="常规 16 3" xfId="2856"/>
    <cellStyle name="常规 21 3" xfId="2857"/>
    <cellStyle name="常规 5 2 2 3 2" xfId="2858"/>
    <cellStyle name="检查单元格 2 2 2 3" xfId="2859"/>
    <cellStyle name="60% - 强调文字颜色 4 3 4 2" xfId="2860"/>
    <cellStyle name="常规 17 2" xfId="2861"/>
    <cellStyle name="常规 22 2" xfId="2862"/>
    <cellStyle name="检查单元格 2 2 3 2" xfId="2863"/>
    <cellStyle name="60% - 强调文字颜色 4 4" xfId="2864"/>
    <cellStyle name="常规 2 4 2 7 2" xfId="2865"/>
    <cellStyle name="60% - 强调文字颜色 4 4 2" xfId="2866"/>
    <cellStyle name="常规 65" xfId="2867"/>
    <cellStyle name="常规 70" xfId="2868"/>
    <cellStyle name="60% - 强调文字颜色 4 4 3" xfId="2869"/>
    <cellStyle name="差_全国友协2010年度中央部门决算（草案）" xfId="2870"/>
    <cellStyle name="常规 66" xfId="2871"/>
    <cellStyle name="常规 71" xfId="2872"/>
    <cellStyle name="检查单元格 2 3 2" xfId="2873"/>
    <cellStyle name="60% - 强调文字颜色 4 4 4" xfId="2874"/>
    <cellStyle name="常规 67" xfId="2875"/>
    <cellStyle name="常规 72" xfId="2876"/>
    <cellStyle name="检查单元格 2 3 3" xfId="2877"/>
    <cellStyle name="60% - 强调文字颜色 4 5" xfId="2878"/>
    <cellStyle name="计算 2 4 2 2" xfId="2879"/>
    <cellStyle name="60% - 强调文字颜色 4 5 2" xfId="2880"/>
    <cellStyle name="60% - 强调文字颜色 4 5 3" xfId="2881"/>
    <cellStyle name="检查单元格 2 4 2" xfId="2882"/>
    <cellStyle name="60% - 强调文字颜色 4 5 3 2" xfId="2883"/>
    <cellStyle name="检查单元格 2 4 2 2" xfId="2884"/>
    <cellStyle name="60% - 强调文字颜色 4 5 4" xfId="2885"/>
    <cellStyle name="检查单元格 2 4 3" xfId="2886"/>
    <cellStyle name="60% - 强调文字颜色 4 6" xfId="2887"/>
    <cellStyle name="60% - 强调文字颜色 4 6 2" xfId="2888"/>
    <cellStyle name="超级链接 2 4" xfId="2889"/>
    <cellStyle name="60% - 强调文字颜色 4 6 2 2" xfId="2890"/>
    <cellStyle name="60% - 强调文字颜色 4 6 3" xfId="2891"/>
    <cellStyle name="检查单元格 2 5 2" xfId="2892"/>
    <cellStyle name="60% - 强调文字颜色 4 7" xfId="2893"/>
    <cellStyle name="60% - 强调文字颜色 4 7 2" xfId="2894"/>
    <cellStyle name="60% - 强调文字颜色 4 8" xfId="2895"/>
    <cellStyle name="60% - 强调文字颜色 4 9" xfId="2896"/>
    <cellStyle name="60% - 强调文字颜色 5 2" xfId="2897"/>
    <cellStyle name="60% - 强调文字颜色 5 2 2" xfId="2898"/>
    <cellStyle name="60% - 强调文字颜色 5 2 2 2" xfId="2899"/>
    <cellStyle name="60% - 强调文字颜色 5 2 2 2 2" xfId="2900"/>
    <cellStyle name="常规 14 5" xfId="2901"/>
    <cellStyle name="60% - 强调文字颜色 5 2 2 2 2 2" xfId="2902"/>
    <cellStyle name="60% - 强调文字颜色 5 2 2 2 3" xfId="2903"/>
    <cellStyle name="常规 14 6" xfId="2904"/>
    <cellStyle name="60% - 强调文字颜色 5 2 2 3" xfId="2905"/>
    <cellStyle name="60% - 强调文字颜色 5 2 2 3 2" xfId="2906"/>
    <cellStyle name="常规 15 5" xfId="2907"/>
    <cellStyle name="60% - 强调文字颜色 5 2 2 4" xfId="2908"/>
    <cellStyle name="Fixed 2" xfId="2909"/>
    <cellStyle name="常规 28 2 2" xfId="2910"/>
    <cellStyle name="货币 3 2 7 2" xfId="2911"/>
    <cellStyle name="60% - 强调文字颜色 5 2 3 2" xfId="2912"/>
    <cellStyle name="60% - 强调文字颜色 5 2 3 2 2" xfId="2913"/>
    <cellStyle name="60% - 强调文字颜色 5 2 3 2 2 2" xfId="2914"/>
    <cellStyle name="后继超级链接 2 3" xfId="2915"/>
    <cellStyle name="60% - 强调文字颜色 5 2 3 2 3" xfId="2916"/>
    <cellStyle name="60% - 强调文字颜色 5 2 3 3" xfId="2917"/>
    <cellStyle name="60% - 强调文字颜色 5 2 3 4" xfId="2918"/>
    <cellStyle name="60% - 强调文字颜色 5 2 4 2" xfId="2919"/>
    <cellStyle name="60% - 强调文字颜色 5 2 4 2 2" xfId="2920"/>
    <cellStyle name="货币 2 11" xfId="2921"/>
    <cellStyle name="60% - 强调文字颜色 5 2 4 3" xfId="2922"/>
    <cellStyle name="60% - 强调文字颜色 5 2 5" xfId="2923"/>
    <cellStyle name="解释性文本 2 2 2" xfId="2924"/>
    <cellStyle name="60% - 强调文字颜色 5 2 5 2" xfId="2925"/>
    <cellStyle name="解释性文本 2 2 2 2" xfId="2926"/>
    <cellStyle name="60% - 强调文字颜色 5 2 6" xfId="2927"/>
    <cellStyle name="解释性文本 2 2 3" xfId="2928"/>
    <cellStyle name="60% - 强调文字颜色 5 2_2015财政决算公开" xfId="2929"/>
    <cellStyle name="60% - 强调文字颜色 5 3" xfId="2930"/>
    <cellStyle name="60% - 强调文字颜色 5 3 2" xfId="2931"/>
    <cellStyle name="60% - 强调文字颜色 5 3 2 2 2 2" xfId="2932"/>
    <cellStyle name="60% - 强调文字颜色 5 3 2 2 3" xfId="2933"/>
    <cellStyle name="60% - 强调文字颜色 5 3 2 4" xfId="2934"/>
    <cellStyle name="常规 29 2 2" xfId="2935"/>
    <cellStyle name="60% - 强调文字颜色 5 3 3" xfId="2936"/>
    <cellStyle name="检查单元格 3 2 2" xfId="2937"/>
    <cellStyle name="60% - 强调文字颜色 5 3 3 2 2" xfId="2938"/>
    <cellStyle name="检查单元格 3 2 2 2 2" xfId="2939"/>
    <cellStyle name="60% - 强调文字颜色 5 3 3 3" xfId="2940"/>
    <cellStyle name="检查单元格 3 2 2 3" xfId="2941"/>
    <cellStyle name="60% - 强调文字颜色 5 3 4" xfId="2942"/>
    <cellStyle name="检查单元格 3 2 3" xfId="2943"/>
    <cellStyle name="60% - 强调文字颜色 5 3 4 2" xfId="2944"/>
    <cellStyle name="检查单元格 3 2 3 2" xfId="2945"/>
    <cellStyle name="60% - 强调文字颜色 5 4" xfId="2946"/>
    <cellStyle name="60% - 强调文字颜色 5 4 2" xfId="2947"/>
    <cellStyle name="60% - 强调文字颜色 5 4 3" xfId="2948"/>
    <cellStyle name="检查单元格 3 3 2" xfId="2949"/>
    <cellStyle name="60% - 强调文字颜色 5 4 3 2" xfId="2950"/>
    <cellStyle name="标题 1 2 5" xfId="2951"/>
    <cellStyle name="检查单元格 3 3 2 2" xfId="2952"/>
    <cellStyle name="60% - 强调文字颜色 5 4 4" xfId="2953"/>
    <cellStyle name="检查单元格 3 3 3" xfId="2954"/>
    <cellStyle name="60% - 强调文字颜色 5 5" xfId="2955"/>
    <cellStyle name="60% - 强调文字颜色 5 5 2" xfId="2956"/>
    <cellStyle name="60% - 强调文字颜色 5 5 3" xfId="2957"/>
    <cellStyle name="检查单元格 3 4 2" xfId="2958"/>
    <cellStyle name="60% - 强调文字颜色 5 5 4" xfId="2959"/>
    <cellStyle name="60% - 强调文字颜色 5 6 2" xfId="2960"/>
    <cellStyle name="60% - 强调文字颜色 5 6 2 2" xfId="2961"/>
    <cellStyle name="60% - 强调文字颜色 5 6 3" xfId="2962"/>
    <cellStyle name="60% - 强调文字颜色 5 7" xfId="2963"/>
    <cellStyle name="60% - 强调文字颜色 5 7 2" xfId="2964"/>
    <cellStyle name="60% - 强调文字颜色 6 2" xfId="2965"/>
    <cellStyle name="60% - 强调文字颜色 6 2 2" xfId="2966"/>
    <cellStyle name="60% - 强调文字颜色 6 2 2 2" xfId="2967"/>
    <cellStyle name="60% - 强调文字颜色 6 2 2 2 2" xfId="2968"/>
    <cellStyle name="60% - 强调文字颜色 6 2 2 2 2 2" xfId="2969"/>
    <cellStyle name="60% - 强调文字颜色 6 2 2 2 3" xfId="2970"/>
    <cellStyle name="60% - 强调文字颜色 6 2 2 3" xfId="2971"/>
    <cellStyle name="60% - 强调文字颜色 6 2 2 3 2" xfId="2972"/>
    <cellStyle name="60% - 强调文字颜色 6 2 2 4" xfId="2973"/>
    <cellStyle name="货币 4 2 7 2" xfId="2974"/>
    <cellStyle name="60% - 强调文字颜色 6 2 3" xfId="2975"/>
    <cellStyle name="60% - 强调文字颜色 6 2 3 2" xfId="2976"/>
    <cellStyle name="60% - 强调文字颜色 6 2 3 2 2" xfId="2977"/>
    <cellStyle name="标题 1 2_2015财政决算公开" xfId="2978"/>
    <cellStyle name="60% - 强调文字颜色 6 2 3 2 2 2" xfId="2979"/>
    <cellStyle name="60% - 强调文字颜色 6 2 3 2 3" xfId="2980"/>
    <cellStyle name="60% - 强调文字颜色 6 2 3 3" xfId="2981"/>
    <cellStyle name="60% - 强调文字颜色 6 2 3 4" xfId="2982"/>
    <cellStyle name="60% - 强调文字颜色 6 2 3 5" xfId="2983"/>
    <cellStyle name="60% - 强调文字颜色 6 2 4 2" xfId="2984"/>
    <cellStyle name="60% - 强调文字颜色 6 2 4 2 2" xfId="2985"/>
    <cellStyle name="汇总 4 3" xfId="2986"/>
    <cellStyle name="60% - 强调文字颜色 6 2 5" xfId="2987"/>
    <cellStyle name="解释性文本 3 2 2" xfId="2988"/>
    <cellStyle name="60% - 强调文字颜色 6 2 6" xfId="2989"/>
    <cellStyle name="解释性文本 3 2 3" xfId="2990"/>
    <cellStyle name="60% - 强调文字颜色 6 3" xfId="2991"/>
    <cellStyle name="60% - 强调文字颜色 6 3 2" xfId="2992"/>
    <cellStyle name="60% - 强调文字颜色 6 3 2 4" xfId="2993"/>
    <cellStyle name="60% - 强调文字颜色 6 3 3" xfId="2994"/>
    <cellStyle name="检查单元格 4 2 2" xfId="2995"/>
    <cellStyle name="60% - 强调文字颜色 6 3 3 2 2" xfId="2996"/>
    <cellStyle name="常规 4 2 2 9" xfId="2997"/>
    <cellStyle name="60% - 强调文字颜色 6 3 3 3" xfId="2998"/>
    <cellStyle name="60% - 强调文字颜色 6 3 4" xfId="2999"/>
    <cellStyle name="检查单元格 4 2 3" xfId="3000"/>
    <cellStyle name="60% - 强调文字颜色 6 3 4 2" xfId="3001"/>
    <cellStyle name="60% - 强调文字颜色 6 3 5" xfId="3002"/>
    <cellStyle name="解释性文本 3 3 2" xfId="3003"/>
    <cellStyle name="60% - 强调文字颜色 6 4" xfId="3004"/>
    <cellStyle name="百分比 3 2 2" xfId="3005"/>
    <cellStyle name="60% - 强调文字颜色 6 4 2" xfId="3006"/>
    <cellStyle name="百分比 3 2 2 2" xfId="3007"/>
    <cellStyle name="60% - 强调文字颜色 6 4 3" xfId="3008"/>
    <cellStyle name="百分比 3 2 2 3" xfId="3009"/>
    <cellStyle name="检查单元格 4 3 2" xfId="3010"/>
    <cellStyle name="60% - 强调文字颜色 6 4 3 2" xfId="3011"/>
    <cellStyle name="60% - 强调文字颜色 6 4 4" xfId="3012"/>
    <cellStyle name="60% - 强调文字颜色 6 5" xfId="3013"/>
    <cellStyle name="百分比 3 2 3" xfId="3014"/>
    <cellStyle name="60% - 强调文字颜色 6 5 2 2 2" xfId="3015"/>
    <cellStyle name="Header1" xfId="3016"/>
    <cellStyle name="60% - 强调文字颜色 6 5 2 3" xfId="3017"/>
    <cellStyle name="60% - 强调文字颜色 6 5 3 2" xfId="3018"/>
    <cellStyle name="60% - 强调文字颜色 6 5 4" xfId="3019"/>
    <cellStyle name="60% - 强调文字颜色 6 6" xfId="3020"/>
    <cellStyle name="百分比 3 2 4" xfId="3021"/>
    <cellStyle name="常规 3 2 4 2 2" xfId="3022"/>
    <cellStyle name="60% - 强调文字颜色 6 6 2" xfId="3023"/>
    <cellStyle name="常规 2 2 3 8" xfId="3024"/>
    <cellStyle name="60% - 强调文字颜色 6 6 3" xfId="3025"/>
    <cellStyle name="60% - 强调文字颜色 6 7" xfId="3026"/>
    <cellStyle name="60% - 强调文字颜色 6 8" xfId="3027"/>
    <cellStyle name="常规 12 2 2 2 2" xfId="3028"/>
    <cellStyle name="60% - 着色 1" xfId="3029"/>
    <cellStyle name="60% - 着色 1 2" xfId="3030"/>
    <cellStyle name="60% - 着色 2" xfId="3031"/>
    <cellStyle name="60% - 着色 2 2" xfId="3032"/>
    <cellStyle name="常规 2 2 11" xfId="3033"/>
    <cellStyle name="60% - 着色 3" xfId="3034"/>
    <cellStyle name="60% - 着色 3 2" xfId="3035"/>
    <cellStyle name="60% - 着色 4" xfId="3036"/>
    <cellStyle name="60% - 着色 5" xfId="3037"/>
    <cellStyle name="适中 3 2 2 2" xfId="3038"/>
    <cellStyle name="60% - 着色 6" xfId="3039"/>
    <cellStyle name="Calc Currency (0)" xfId="3040"/>
    <cellStyle name="Comma [0] 2" xfId="3041"/>
    <cellStyle name="常规 3 6 2" xfId="3042"/>
    <cellStyle name="comma zerodec" xfId="3043"/>
    <cellStyle name="Comma_1995" xfId="3044"/>
    <cellStyle name="常规 2 2" xfId="3045"/>
    <cellStyle name="Currency [0]" xfId="3046"/>
    <cellStyle name="Currency [0] 2" xfId="3047"/>
    <cellStyle name="Currency1 2" xfId="3048"/>
    <cellStyle name="计算 6 2 2" xfId="3049"/>
    <cellStyle name="Date" xfId="3050"/>
    <cellStyle name="计算 5 2 3" xfId="3051"/>
    <cellStyle name="Date 2" xfId="3052"/>
    <cellStyle name="Dollar (zero dec)" xfId="3053"/>
    <cellStyle name="货币 3 2 4 4 2" xfId="3054"/>
    <cellStyle name="Dollar (zero dec) 2" xfId="3055"/>
    <cellStyle name="Fixed" xfId="3056"/>
    <cellStyle name="常规 28 2" xfId="3057"/>
    <cellStyle name="常规 33 2" xfId="3058"/>
    <cellStyle name="货币 3 2 7" xfId="3059"/>
    <cellStyle name="Header1 2" xfId="3060"/>
    <cellStyle name="Header2" xfId="3061"/>
    <cellStyle name="强调文字颜色 5 2 3" xfId="3062"/>
    <cellStyle name="标题 5 2 3_2015财政决算公开" xfId="3063"/>
    <cellStyle name="Header2 2" xfId="3064"/>
    <cellStyle name="HEADING1 2" xfId="3065"/>
    <cellStyle name="HEADING2" xfId="3066"/>
    <cellStyle name="HEADING2 2" xfId="3067"/>
    <cellStyle name="Normal_#10-Headcount" xfId="3068"/>
    <cellStyle name="常规 2 3 2 9" xfId="3069"/>
    <cellStyle name="Total" xfId="3070"/>
    <cellStyle name="Total 2" xfId="3071"/>
    <cellStyle name="标题 3 2_2015财政决算公开" xfId="3072"/>
    <cellStyle name="表标题 3" xfId="3073"/>
    <cellStyle name="百分比 2" xfId="3074"/>
    <cellStyle name="常规 10 3_2015财政决算公开" xfId="3075"/>
    <cellStyle name="常规 2 5 2 2 3" xfId="3076"/>
    <cellStyle name="检查单元格 6 3" xfId="3077"/>
    <cellStyle name="百分比 2 2 2" xfId="3078"/>
    <cellStyle name="百分比 2 2 2 2" xfId="3079"/>
    <cellStyle name="百分比 2 2 2 3" xfId="3080"/>
    <cellStyle name="百分比 2 2 2 3 2" xfId="3081"/>
    <cellStyle name="百分比 2 2 3" xfId="3082"/>
    <cellStyle name="百分比 2 2 3 2" xfId="3083"/>
    <cellStyle name="百分比 2 2 3 2 2" xfId="3084"/>
    <cellStyle name="百分比 2 2 3 3" xfId="3085"/>
    <cellStyle name="百分比 2 2 4" xfId="3086"/>
    <cellStyle name="常规 3 2 3 2 2" xfId="3087"/>
    <cellStyle name="百分比 2 2 5" xfId="3088"/>
    <cellStyle name="百分比 2 3 2" xfId="3089"/>
    <cellStyle name="百分比 2 3 2 2" xfId="3090"/>
    <cellStyle name="百分比 2 3 2 2 2" xfId="3091"/>
    <cellStyle name="百分比 2 3 2 3" xfId="3092"/>
    <cellStyle name="百分比 2 3 3" xfId="3093"/>
    <cellStyle name="百分比 2 3 3 2" xfId="3094"/>
    <cellStyle name="百分比 2 3 4" xfId="3095"/>
    <cellStyle name="常规 3 2 3 3 2" xfId="3096"/>
    <cellStyle name="百分比 2 4" xfId="3097"/>
    <cellStyle name="差 2 4 2" xfId="3098"/>
    <cellStyle name="百分比 2 4 2" xfId="3099"/>
    <cellStyle name="百分比 2 4 2 2" xfId="3100"/>
    <cellStyle name="百分比 2 5" xfId="3101"/>
    <cellStyle name="百分比 2 5 2" xfId="3102"/>
    <cellStyle name="百分比 3" xfId="3103"/>
    <cellStyle name="百分比 3 2" xfId="3104"/>
    <cellStyle name="常规 2 4 2 9" xfId="3105"/>
    <cellStyle name="百分比 3 3 2" xfId="3106"/>
    <cellStyle name="百分比 3 3 2 2" xfId="3107"/>
    <cellStyle name="百分比 3 3 3" xfId="3108"/>
    <cellStyle name="百分比 3 4" xfId="3109"/>
    <cellStyle name="百分比 3 4 2" xfId="3110"/>
    <cellStyle name="百分比 3 5" xfId="3111"/>
    <cellStyle name="百分比 4 2" xfId="3112"/>
    <cellStyle name="常规 2 2 6" xfId="3113"/>
    <cellStyle name="百分比 4 2 2" xfId="3114"/>
    <cellStyle name="常规 2 2 6 2" xfId="3115"/>
    <cellStyle name="百分比 4 2 2 2" xfId="3116"/>
    <cellStyle name="千位分隔 3 2 3 4" xfId="3117"/>
    <cellStyle name="常规 2 2 6 2 2" xfId="3118"/>
    <cellStyle name="百分比 4 2 2 2 2" xfId="3119"/>
    <cellStyle name="小数" xfId="3120"/>
    <cellStyle name="百分比 4 2 2 3" xfId="3121"/>
    <cellStyle name="百分比 4 2 3" xfId="3122"/>
    <cellStyle name="常规 2 2 6 3" xfId="3123"/>
    <cellStyle name="百分比 4 2 3 2" xfId="3124"/>
    <cellStyle name="千位分隔 3 2 4 4" xfId="3125"/>
    <cellStyle name="常规 2 2 6 3 2" xfId="3126"/>
    <cellStyle name="百分比 4 3" xfId="3127"/>
    <cellStyle name="常规 2 2 7" xfId="3128"/>
    <cellStyle name="百分比 4 3 2" xfId="3129"/>
    <cellStyle name="常规 2 2 7 2" xfId="3130"/>
    <cellStyle name="汇总 3" xfId="3131"/>
    <cellStyle name="百分比 4 3 2 2" xfId="3132"/>
    <cellStyle name="常规 2 2 7 2 2" xfId="3133"/>
    <cellStyle name="汇总 3 2" xfId="3134"/>
    <cellStyle name="百分比 4 4" xfId="3135"/>
    <cellStyle name="常规 2 2 8" xfId="3136"/>
    <cellStyle name="百分比 4 4 2" xfId="3137"/>
    <cellStyle name="常规 2 2 8 2" xfId="3138"/>
    <cellStyle name="百分比 5" xfId="3139"/>
    <cellStyle name="百分比 5 2" xfId="3140"/>
    <cellStyle name="标题 5 2 2 3" xfId="3141"/>
    <cellStyle name="强调文字颜色 1 2 3 2 2" xfId="3142"/>
    <cellStyle name="常规 2 3 6" xfId="3143"/>
    <cellStyle name="百分比 5 2 2" xfId="3144"/>
    <cellStyle name="标题 5 2 2 3 2" xfId="3145"/>
    <cellStyle name="强调文字颜色 1 2 3 2 2 2" xfId="3146"/>
    <cellStyle name="常规 2 3 6 2" xfId="3147"/>
    <cellStyle name="百分比 5 2 2 2" xfId="3148"/>
    <cellStyle name="千位分隔 4 2 3 4" xfId="3149"/>
    <cellStyle name="常规 2 3 6 2 2" xfId="3150"/>
    <cellStyle name="百分比 5 2 2 2 2" xfId="3151"/>
    <cellStyle name="百分比 5 2 3" xfId="3152"/>
    <cellStyle name="常规 2 3 6 3" xfId="3153"/>
    <cellStyle name="百分比 5 2 3 2" xfId="3154"/>
    <cellStyle name="千位分隔 4 2 4 4" xfId="3155"/>
    <cellStyle name="常规 2 3 6 3 2" xfId="3156"/>
    <cellStyle name="常规 4 2 2 8" xfId="3157"/>
    <cellStyle name="百分比 5 3" xfId="3158"/>
    <cellStyle name="标题 5 2 2 4" xfId="3159"/>
    <cellStyle name="强调文字颜色 1 2 3 2 3" xfId="3160"/>
    <cellStyle name="常规 2 3 7" xfId="3161"/>
    <cellStyle name="百分比 5 3 2" xfId="3162"/>
    <cellStyle name="常规 2 3 7 2" xfId="3163"/>
    <cellStyle name="百分比 5 3 2 2" xfId="3164"/>
    <cellStyle name="百分比 5 3 3" xfId="3165"/>
    <cellStyle name="百分比 5 4" xfId="3166"/>
    <cellStyle name="标题 5 2 2 5" xfId="3167"/>
    <cellStyle name="常规 2 3 4 2 2" xfId="3168"/>
    <cellStyle name="常规 2 3 8" xfId="3169"/>
    <cellStyle name="百分比 5 4 2" xfId="3170"/>
    <cellStyle name="常规 2 3 8 2" xfId="3171"/>
    <cellStyle name="百分比 5 5" xfId="3172"/>
    <cellStyle name="常规 2 3 9" xfId="3173"/>
    <cellStyle name="百分比 5 5 2" xfId="3174"/>
    <cellStyle name="常规 2 3 9 2" xfId="3175"/>
    <cellStyle name="百分比 5 6" xfId="3176"/>
    <cellStyle name="常规 18 2" xfId="3177"/>
    <cellStyle name="常规 23 2" xfId="3178"/>
    <cellStyle name="百分比 6" xfId="3179"/>
    <cellStyle name="百分比 6 2" xfId="3180"/>
    <cellStyle name="标题 5 2 3 3" xfId="3181"/>
    <cellStyle name="强调文字颜色 1 2 3 3 2" xfId="3182"/>
    <cellStyle name="常规 2 4 6" xfId="3183"/>
    <cellStyle name="百分比 6 2 2" xfId="3184"/>
    <cellStyle name="常规 2 4 6 2" xfId="3185"/>
    <cellStyle name="百分比 6 2 2 2" xfId="3186"/>
    <cellStyle name="标题 2 4 3" xfId="3187"/>
    <cellStyle name="常规 2 4 6 2 2" xfId="3188"/>
    <cellStyle name="百分比 6 2 2 3" xfId="3189"/>
    <cellStyle name="百分比 6 2 3" xfId="3190"/>
    <cellStyle name="常规 2 4 6 3" xfId="3191"/>
    <cellStyle name="百分比 6 2 3 2" xfId="3192"/>
    <cellStyle name="标题 2 5 3" xfId="3193"/>
    <cellStyle name="常规 2 4 6 3 2" xfId="3194"/>
    <cellStyle name="百分比 6 3" xfId="3195"/>
    <cellStyle name="标题 5 2 3 4" xfId="3196"/>
    <cellStyle name="常规 2 4 7" xfId="3197"/>
    <cellStyle name="百分比 6 3 2" xfId="3198"/>
    <cellStyle name="常规 2 4 7 2" xfId="3199"/>
    <cellStyle name="百分比 6 3 2 2" xfId="3200"/>
    <cellStyle name="标题 3 4 3" xfId="3201"/>
    <cellStyle name="百分比 6 3 3" xfId="3202"/>
    <cellStyle name="百分比 6 4" xfId="3203"/>
    <cellStyle name="常规 2 3 4 3 2" xfId="3204"/>
    <cellStyle name="常规 2 4 8" xfId="3205"/>
    <cellStyle name="百分比 6 4 2" xfId="3206"/>
    <cellStyle name="常规 2 4 8 2" xfId="3207"/>
    <cellStyle name="百分比 6 5" xfId="3208"/>
    <cellStyle name="常规 2 4 9" xfId="3209"/>
    <cellStyle name="百分比 7" xfId="3210"/>
    <cellStyle name="百分比 7 2" xfId="3211"/>
    <cellStyle name="常规 2 5 6" xfId="3212"/>
    <cellStyle name="百分比 7 2 2" xfId="3213"/>
    <cellStyle name="百分比 7 2 2 2" xfId="3214"/>
    <cellStyle name="百分比 7 2 2 2 2" xfId="3215"/>
    <cellStyle name="百分比 7 2 2 3" xfId="3216"/>
    <cellStyle name="百分比 7 2 3" xfId="3217"/>
    <cellStyle name="百分比 7 2 3 2" xfId="3218"/>
    <cellStyle name="百分比 7 3" xfId="3219"/>
    <cellStyle name="百分比 7 3 2" xfId="3220"/>
    <cellStyle name="百分比 7 3 2 2" xfId="3221"/>
    <cellStyle name="百分比 7 3 3" xfId="3222"/>
    <cellStyle name="百分比 7 4" xfId="3223"/>
    <cellStyle name="常规 2 3 4 4 2" xfId="3224"/>
    <cellStyle name="百分比 7 4 2" xfId="3225"/>
    <cellStyle name="百分比 7 5" xfId="3226"/>
    <cellStyle name="百分比 8" xfId="3227"/>
    <cellStyle name="标题 1 2 2 2" xfId="3228"/>
    <cellStyle name="标题 1 2 2 2 2" xfId="3229"/>
    <cellStyle name="标题 1 2 2 3" xfId="3230"/>
    <cellStyle name="计算 2 3 2" xfId="3231"/>
    <cellStyle name="标题 1 2 3" xfId="3232"/>
    <cellStyle name="标题 1 2 3 2" xfId="3233"/>
    <cellStyle name="标题 1 2 3 3" xfId="3234"/>
    <cellStyle name="计算 2 4 2" xfId="3235"/>
    <cellStyle name="标题 1 2 3 4" xfId="3236"/>
    <cellStyle name="常规 5 6 4 2" xfId="3237"/>
    <cellStyle name="计算 2 4 3" xfId="3238"/>
    <cellStyle name="标题 1 2 4 2" xfId="3239"/>
    <cellStyle name="标题 1 3 2 2" xfId="3240"/>
    <cellStyle name="常规 2 2 2 4 5" xfId="3241"/>
    <cellStyle name="标题 1 3 2 2 2" xfId="3242"/>
    <cellStyle name="标题 1 3 2 3" xfId="3243"/>
    <cellStyle name="计算 3 3 2" xfId="3244"/>
    <cellStyle name="标题 1 3 3" xfId="3245"/>
    <cellStyle name="标题 1 3 3 2" xfId="3246"/>
    <cellStyle name="标题 1 4" xfId="3247"/>
    <cellStyle name="好_F00DC810C49E00C2E0430A3413167AE0" xfId="3248"/>
    <cellStyle name="标题 1 4 2" xfId="3249"/>
    <cellStyle name="常规 12 2 5" xfId="3250"/>
    <cellStyle name="标题 1 4 3" xfId="3251"/>
    <cellStyle name="常规 2 4 5 2 2" xfId="3252"/>
    <cellStyle name="标题 1 5" xfId="3253"/>
    <cellStyle name="标题 1 5 3" xfId="3254"/>
    <cellStyle name="常规 2 4 5 3 2" xfId="3255"/>
    <cellStyle name="标题 1 6" xfId="3256"/>
    <cellStyle name="常规 4 2 2 2 2 2" xfId="3257"/>
    <cellStyle name="标题 1 6 2" xfId="3258"/>
    <cellStyle name="标题 1 7" xfId="3259"/>
    <cellStyle name="标题 10" xfId="3260"/>
    <cellStyle name="标题 2 2" xfId="3261"/>
    <cellStyle name="标题 2 2 2 2" xfId="3262"/>
    <cellStyle name="标题 2 2 2 2 2" xfId="3263"/>
    <cellStyle name="差_5.中央部门决算（草案)-1" xfId="3264"/>
    <cellStyle name="标题 2 2 2 3" xfId="3265"/>
    <cellStyle name="标题 2 2 3" xfId="3266"/>
    <cellStyle name="标题 2 2 3 2" xfId="3267"/>
    <cellStyle name="货币 2 6" xfId="3268"/>
    <cellStyle name="标题 2 2 3 3" xfId="3269"/>
    <cellStyle name="货币 2 7" xfId="3270"/>
    <cellStyle name="标题 2 2 3 4" xfId="3271"/>
    <cellStyle name="常规 4 2 2 4 4 2" xfId="3272"/>
    <cellStyle name="货币 2 8" xfId="3273"/>
    <cellStyle name="标题 2 3" xfId="3274"/>
    <cellStyle name="标题 2 3 2 2" xfId="3275"/>
    <cellStyle name="常规 2 3 2 4 5" xfId="3276"/>
    <cellStyle name="标题 2 3 2 2 2" xfId="3277"/>
    <cellStyle name="标题 2 3 2 3" xfId="3278"/>
    <cellStyle name="标题 2 3 3" xfId="3279"/>
    <cellStyle name="标题 2 3 3 2" xfId="3280"/>
    <cellStyle name="标题 2 3 4" xfId="3281"/>
    <cellStyle name="标题 2 4" xfId="3282"/>
    <cellStyle name="标题 2 4 2" xfId="3283"/>
    <cellStyle name="常规 13 2 5" xfId="3284"/>
    <cellStyle name="标题 2 5" xfId="3285"/>
    <cellStyle name="标题 2 6" xfId="3286"/>
    <cellStyle name="常规 4 2 2 2 3 2" xfId="3287"/>
    <cellStyle name="标题 2 6 2" xfId="3288"/>
    <cellStyle name="标题 2 7" xfId="3289"/>
    <cellStyle name="标题 3 2" xfId="3290"/>
    <cellStyle name="标题 3 2 2" xfId="3291"/>
    <cellStyle name="好 5" xfId="3292"/>
    <cellStyle name="标题 3 2 2 2" xfId="3293"/>
    <cellStyle name="常规 57" xfId="3294"/>
    <cellStyle name="常规 62" xfId="3295"/>
    <cellStyle name="好 5 2" xfId="3296"/>
    <cellStyle name="后继超级链接 4" xfId="3297"/>
    <cellStyle name="标题 3 2 2 3" xfId="3298"/>
    <cellStyle name="常规 58" xfId="3299"/>
    <cellStyle name="常规 63" xfId="3300"/>
    <cellStyle name="好 5 3" xfId="3301"/>
    <cellStyle name="后继超级链接 5" xfId="3302"/>
    <cellStyle name="标题 3 2 3" xfId="3303"/>
    <cellStyle name="好 6" xfId="3304"/>
    <cellStyle name="标题 3 2 3 3" xfId="3305"/>
    <cellStyle name="好 6 3" xfId="3306"/>
    <cellStyle name="标题 3 2 3 4" xfId="3307"/>
    <cellStyle name="标题 3 2 4" xfId="3308"/>
    <cellStyle name="好 7" xfId="3309"/>
    <cellStyle name="标题 3 2 4 2" xfId="3310"/>
    <cellStyle name="好 7 2" xfId="3311"/>
    <cellStyle name="标题 3 2 5" xfId="3312"/>
    <cellStyle name="好 8" xfId="3313"/>
    <cellStyle name="标题 3 3" xfId="3314"/>
    <cellStyle name="标题 3 3 2" xfId="3315"/>
    <cellStyle name="标题 3 3 3" xfId="3316"/>
    <cellStyle name="标题 3 3 4" xfId="3317"/>
    <cellStyle name="标题 3 4" xfId="3318"/>
    <cellStyle name="标题 3 4 2" xfId="3319"/>
    <cellStyle name="标题 3 5" xfId="3320"/>
    <cellStyle name="标题 3 5 2" xfId="3321"/>
    <cellStyle name="标题 3 5 3" xfId="3322"/>
    <cellStyle name="烹拳_laroux" xfId="3323"/>
    <cellStyle name="标题 3 6" xfId="3324"/>
    <cellStyle name="常规 4 2 2 2 4 2" xfId="3325"/>
    <cellStyle name="标题 3 6 2" xfId="3326"/>
    <cellStyle name="标题 3 7" xfId="3327"/>
    <cellStyle name="标题 3 8" xfId="3328"/>
    <cellStyle name="标题 4 2 2" xfId="3329"/>
    <cellStyle name="标题 4 2 2 2" xfId="3330"/>
    <cellStyle name="标题 4 2 2 2 2" xfId="3331"/>
    <cellStyle name="标题 4 2 2 3" xfId="3332"/>
    <cellStyle name="标题 4 2 3" xfId="3333"/>
    <cellStyle name="标题 4 2 3 2" xfId="3334"/>
    <cellStyle name="标题 4 2 3 2 2" xfId="3335"/>
    <cellStyle name="标题 4 2 3 3" xfId="3336"/>
    <cellStyle name="标题 4 2 4" xfId="3337"/>
    <cellStyle name="标题 4 2 4 2" xfId="3338"/>
    <cellStyle name="标题 4 2 5" xfId="3339"/>
    <cellStyle name="标题 4 2_2015财政决算公开" xfId="3340"/>
    <cellStyle name="标题 4 3" xfId="3341"/>
    <cellStyle name="标题 4 3 2" xfId="3342"/>
    <cellStyle name="标题 4 3 2 2" xfId="3343"/>
    <cellStyle name="好 2 2 2 3" xfId="3344"/>
    <cellStyle name="标题 4 3 2 2 2" xfId="3345"/>
    <cellStyle name="常规 4 2 6" xfId="3346"/>
    <cellStyle name="标题 4 3 2 3" xfId="3347"/>
    <cellStyle name="标题 4 3 3" xfId="3348"/>
    <cellStyle name="标题 4 3 3 2" xfId="3349"/>
    <cellStyle name="标题 4 3 4" xfId="3350"/>
    <cellStyle name="常规 2 2_2015财政决算公开" xfId="3351"/>
    <cellStyle name="标题 5 2 2" xfId="3352"/>
    <cellStyle name="标题 5 2 2 2" xfId="3353"/>
    <cellStyle name="常规 2 3 5" xfId="3354"/>
    <cellStyle name="标题 5 2 2 2 2" xfId="3355"/>
    <cellStyle name="常规 2 3 5 2" xfId="3356"/>
    <cellStyle name="标题 5 2 2 2 3" xfId="3357"/>
    <cellStyle name="常规 2 3 5 3" xfId="3358"/>
    <cellStyle name="标题 5 2 2 2_2015财政决算公开" xfId="3359"/>
    <cellStyle name="标题 5 2 2_2015财政决算公开" xfId="3360"/>
    <cellStyle name="常规 2 3 3 4 2" xfId="3361"/>
    <cellStyle name="标题 5 2 3" xfId="3362"/>
    <cellStyle name="标题 5 2 3 2" xfId="3363"/>
    <cellStyle name="常规 2 4 5" xfId="3364"/>
    <cellStyle name="标题 5 2 3 2 2" xfId="3365"/>
    <cellStyle name="常规 2 4 5 2" xfId="3366"/>
    <cellStyle name="标题 5 2 4" xfId="3367"/>
    <cellStyle name="标题 5 2 5" xfId="3368"/>
    <cellStyle name="标题 5 2 6" xfId="3369"/>
    <cellStyle name="标题 5 3" xfId="3370"/>
    <cellStyle name="标题 5 3 5" xfId="3371"/>
    <cellStyle name="标题 5 3_2015财政决算公开" xfId="3372"/>
    <cellStyle name="链接单元格 6" xfId="3373"/>
    <cellStyle name="标题 5_2015财政决算公开" xfId="3374"/>
    <cellStyle name="标题 6 2" xfId="3375"/>
    <cellStyle name="标题 7" xfId="3376"/>
    <cellStyle name="标题 7 2" xfId="3377"/>
    <cellStyle name="标题 9" xfId="3378"/>
    <cellStyle name="表标题" xfId="3379"/>
    <cellStyle name="超级链接 2 2 2 2" xfId="3380"/>
    <cellStyle name="表标题 2" xfId="3381"/>
    <cellStyle name="表标题 2 2" xfId="3382"/>
    <cellStyle name="表标题 2 2 2 2" xfId="3383"/>
    <cellStyle name="表标题 2 2 3" xfId="3384"/>
    <cellStyle name="表标题 2 3" xfId="3385"/>
    <cellStyle name="表标题 2 4" xfId="3386"/>
    <cellStyle name="表标题 3 2" xfId="3387"/>
    <cellStyle name="表标题 3 3" xfId="3388"/>
    <cellStyle name="表标题 4" xfId="3389"/>
    <cellStyle name="表标题 4 2" xfId="3390"/>
    <cellStyle name="差 2" xfId="3391"/>
    <cellStyle name="解释性文本 5" xfId="3392"/>
    <cellStyle name="差 2 2" xfId="3393"/>
    <cellStyle name="解释性文本 5 2" xfId="3394"/>
    <cellStyle name="差 2 4" xfId="3395"/>
    <cellStyle name="差 2 5" xfId="3396"/>
    <cellStyle name="差 2_2015财政决算公开" xfId="3397"/>
    <cellStyle name="差 3" xfId="3398"/>
    <cellStyle name="解释性文本 6" xfId="3399"/>
    <cellStyle name="差 3 3" xfId="3400"/>
    <cellStyle name="差 3 4" xfId="3401"/>
    <cellStyle name="差 3 5" xfId="3402"/>
    <cellStyle name="差 4 2" xfId="3403"/>
    <cellStyle name="差 4 3" xfId="3404"/>
    <cellStyle name="差 4 4" xfId="3405"/>
    <cellStyle name="差 5" xfId="3406"/>
    <cellStyle name="差 5 2" xfId="3407"/>
    <cellStyle name="差 5 2 2" xfId="3408"/>
    <cellStyle name="差 5 2 2 2" xfId="3409"/>
    <cellStyle name="差 5 3" xfId="3410"/>
    <cellStyle name="差 5 3 2" xfId="3411"/>
    <cellStyle name="差 5 4" xfId="3412"/>
    <cellStyle name="差 6" xfId="3413"/>
    <cellStyle name="差 6 2" xfId="3414"/>
    <cellStyle name="差 6 2 2" xfId="3415"/>
    <cellStyle name="差 6 3" xfId="3416"/>
    <cellStyle name="差_出版署2010年度中央部门决算草案" xfId="3417"/>
    <cellStyle name="差_司法部2010年度中央部门决算（草案）报" xfId="3418"/>
    <cellStyle name="常规 10 2" xfId="3419"/>
    <cellStyle name="常规 10 2 2" xfId="3420"/>
    <cellStyle name="常规 10 2 2 3" xfId="3421"/>
    <cellStyle name="常规 10 2 2_2015财政决算公开" xfId="3422"/>
    <cellStyle name="常规 10 2 3 2" xfId="3423"/>
    <cellStyle name="强调文字颜色 1 3 2 2 2" xfId="3424"/>
    <cellStyle name="常规 10 2 4" xfId="3425"/>
    <cellStyle name="常规 10 3 2 2" xfId="3426"/>
    <cellStyle name="常规 10 3 3" xfId="3427"/>
    <cellStyle name="常规 10 4" xfId="3428"/>
    <cellStyle name="货币 2 3 2 2" xfId="3429"/>
    <cellStyle name="常规 10 4 2" xfId="3430"/>
    <cellStyle name="货币 2 3 2 2 2" xfId="3431"/>
    <cellStyle name="常规 10 5" xfId="3432"/>
    <cellStyle name="汇总 3 3 2" xfId="3433"/>
    <cellStyle name="货币 2 3 2 3" xfId="3434"/>
    <cellStyle name="常规 10 6" xfId="3435"/>
    <cellStyle name="货币 2 3 2 4" xfId="3436"/>
    <cellStyle name="警告文本 3 3 2" xfId="3437"/>
    <cellStyle name="常规 10_2015财政决算公开" xfId="3438"/>
    <cellStyle name="常规 2 4 2 2 3 2" xfId="3439"/>
    <cellStyle name="常规 11" xfId="3440"/>
    <cellStyle name="常规 11 2 2 2 2" xfId="3441"/>
    <cellStyle name="常规 11 2 2 3" xfId="3442"/>
    <cellStyle name="货币 4 7 2" xfId="3443"/>
    <cellStyle name="常规 11_报 预算   行政政法处(1)" xfId="3444"/>
    <cellStyle name="常规 12" xfId="3445"/>
    <cellStyle name="好 4 2" xfId="3446"/>
    <cellStyle name="常规 12 2 2 2 2 2" xfId="3447"/>
    <cellStyle name="常规 12 2 2 2_2015财政决算公开" xfId="3448"/>
    <cellStyle name="常规 69" xfId="3449"/>
    <cellStyle name="常规 74" xfId="3450"/>
    <cellStyle name="检查单元格 2 3 5" xfId="3451"/>
    <cellStyle name="常规 12 2 2 3" xfId="3452"/>
    <cellStyle name="常规 12 2 2 3 2" xfId="3453"/>
    <cellStyle name="常规 12 2 2 4" xfId="3454"/>
    <cellStyle name="常规 12 2 2 5" xfId="3455"/>
    <cellStyle name="常规 12 2 3 3" xfId="3456"/>
    <cellStyle name="常规 12 2 3_2015财政决算公开" xfId="3457"/>
    <cellStyle name="常规 12 2 4 2" xfId="3458"/>
    <cellStyle name="常规 12 4 2 2" xfId="3459"/>
    <cellStyle name="常规 12 4 3" xfId="3460"/>
    <cellStyle name="常规 12 4_2015财政决算公开" xfId="3461"/>
    <cellStyle name="常规 2 3 2 3 3" xfId="3462"/>
    <cellStyle name="常规 12 7" xfId="3463"/>
    <cellStyle name="货币 2 3 4 5" xfId="3464"/>
    <cellStyle name="常规 12_2015财政决算公开" xfId="3465"/>
    <cellStyle name="常规 13" xfId="3466"/>
    <cellStyle name="好 4 3" xfId="3467"/>
    <cellStyle name="常规 13 2 2 3" xfId="3468"/>
    <cellStyle name="常规 2 2 2 2 3 2 2" xfId="3469"/>
    <cellStyle name="货币 2 2 9 2" xfId="3470"/>
    <cellStyle name="常规 13 2 2_2015财政决算公开" xfId="3471"/>
    <cellStyle name="常规 14 2" xfId="3472"/>
    <cellStyle name="常规 14 2 2" xfId="3473"/>
    <cellStyle name="常规 14 3" xfId="3474"/>
    <cellStyle name="常规 14 3 2" xfId="3475"/>
    <cellStyle name="常规 14 4" xfId="3476"/>
    <cellStyle name="货币 2 3 6 2" xfId="3477"/>
    <cellStyle name="常规 14 4 2" xfId="3478"/>
    <cellStyle name="常规 14_2015财政决算公开" xfId="3479"/>
    <cellStyle name="常规 15_2015财政决算公开" xfId="3480"/>
    <cellStyle name="常规 2 3 2 2 5 2" xfId="3481"/>
    <cellStyle name="常规 16_2015财政决算公开" xfId="3482"/>
    <cellStyle name="常规 17 2 2" xfId="3483"/>
    <cellStyle name="常规 22 2 2" xfId="3484"/>
    <cellStyle name="常规 19" xfId="3485"/>
    <cellStyle name="常规 24" xfId="3486"/>
    <cellStyle name="常规 19 2" xfId="3487"/>
    <cellStyle name="常规 24 2" xfId="3488"/>
    <cellStyle name="常规 19 2 2" xfId="3489"/>
    <cellStyle name="常规 24 2 2" xfId="3490"/>
    <cellStyle name="常规 19_2015财政决算公开" xfId="3491"/>
    <cellStyle name="常规 3_收入总表2 2" xfId="3492"/>
    <cellStyle name="常规 2" xfId="3493"/>
    <cellStyle name="常规 2 10" xfId="3494"/>
    <cellStyle name="常规 2 2 2 6 3" xfId="3495"/>
    <cellStyle name="货币 4 2 4 3 2" xfId="3496"/>
    <cellStyle name="常规 2 11" xfId="3497"/>
    <cellStyle name="常规 2 2 2 6 4" xfId="3498"/>
    <cellStyle name="常规 2 2 10" xfId="3499"/>
    <cellStyle name="输出 2 3 4" xfId="3500"/>
    <cellStyle name="常规 2 2 2" xfId="3501"/>
    <cellStyle name="常规 2 4 3 5" xfId="3502"/>
    <cellStyle name="常规 2 2 2 10" xfId="3503"/>
    <cellStyle name="常规 2 2 2 2" xfId="3504"/>
    <cellStyle name="常规 2 4 3 5 2" xfId="3505"/>
    <cellStyle name="常规 2 2 2 2 2 2 2" xfId="3506"/>
    <cellStyle name="常规 2 2 2 2 2 3" xfId="3507"/>
    <cellStyle name="常规 2 2 2 2 2 3 2" xfId="3508"/>
    <cellStyle name="常规 2 3 2 2 6" xfId="3509"/>
    <cellStyle name="常规 2 2 2 2 2 4 2" xfId="3510"/>
    <cellStyle name="常规 2 2 2 2 2 5" xfId="3511"/>
    <cellStyle name="常规 2 2 2 2 2_2015财政决算公开" xfId="3512"/>
    <cellStyle name="常规 2 2 2 2 3" xfId="3513"/>
    <cellStyle name="常规 2 2 2 2 3 2" xfId="3514"/>
    <cellStyle name="货币 2 2 9" xfId="3515"/>
    <cellStyle name="常规 2 2 2 2 3 3" xfId="3516"/>
    <cellStyle name="常规 2 2 2 2 3 3 2" xfId="3517"/>
    <cellStyle name="常规 2 2 2 2 3 4" xfId="3518"/>
    <cellStyle name="常规 2 2 2 2 4 2" xfId="3519"/>
    <cellStyle name="常规 2 2 2 2 4 2 2" xfId="3520"/>
    <cellStyle name="常规 2 2 2 2 4 3 2" xfId="3521"/>
    <cellStyle name="常规 2 2 2 2 4 4" xfId="3522"/>
    <cellStyle name="常规 2 2 2 2 4 4 2" xfId="3523"/>
    <cellStyle name="常规 2 2 2 2 4 5" xfId="3524"/>
    <cellStyle name="常规 2 2 2 2 6" xfId="3525"/>
    <cellStyle name="常规 2 2 2 2 7" xfId="3526"/>
    <cellStyle name="常规 2 2 2 2 8" xfId="3527"/>
    <cellStyle name="常规 2 2 2 3" xfId="3528"/>
    <cellStyle name="常规 2 2 2 3 2" xfId="3529"/>
    <cellStyle name="常规 2 2 2 3 2 2" xfId="3530"/>
    <cellStyle name="常规 2 2 2 3 3" xfId="3531"/>
    <cellStyle name="常规 2 2 2 3 3 2" xfId="3532"/>
    <cellStyle name="常规 2 2 2 3 4" xfId="3533"/>
    <cellStyle name="货币 4 5 2 2" xfId="3534"/>
    <cellStyle name="常规 2 2 2 3 4 2" xfId="3535"/>
    <cellStyle name="常规 2 2 2 3_2015财政决算公开" xfId="3536"/>
    <cellStyle name="常规 2 2 2 4 4" xfId="3537"/>
    <cellStyle name="货币 4 5 3 2" xfId="3538"/>
    <cellStyle name="常规 2 2 2 4 4 2" xfId="3539"/>
    <cellStyle name="输出 3 2 2 3" xfId="3540"/>
    <cellStyle name="常规 2 2 2 5 2 2" xfId="3541"/>
    <cellStyle name="常规 2 2 2 5 3" xfId="3542"/>
    <cellStyle name="货币 4 2 4 2 2" xfId="3543"/>
    <cellStyle name="常规 2 2 2 5 4" xfId="3544"/>
    <cellStyle name="常规 2 2 2 6 2" xfId="3545"/>
    <cellStyle name="常规 2 2 2 6 2 2" xfId="3546"/>
    <cellStyle name="常规 2 2 2 6 3 2" xfId="3547"/>
    <cellStyle name="常规 2 2 2 6 4 2" xfId="3548"/>
    <cellStyle name="常规 3 2 2 3" xfId="3549"/>
    <cellStyle name="常规 2 2 2 6 5" xfId="3550"/>
    <cellStyle name="常规 2 2 2 6_2015财政决算公开" xfId="3551"/>
    <cellStyle name="货币 3 4 3" xfId="3552"/>
    <cellStyle name="常规 2 2 2 7 2" xfId="3553"/>
    <cellStyle name="输出 2 3 5" xfId="3554"/>
    <cellStyle name="常规 2 2 3" xfId="3555"/>
    <cellStyle name="常规 2 2 3 4 2 2" xfId="3556"/>
    <cellStyle name="常规 2 4 3 6" xfId="3557"/>
    <cellStyle name="常规 2 2 3 2" xfId="3558"/>
    <cellStyle name="常规 2 2 3 2 2" xfId="3559"/>
    <cellStyle name="常规 2 2 3 2 3" xfId="3560"/>
    <cellStyle name="常规 2 2 3 2 3 2" xfId="3561"/>
    <cellStyle name="常规 2 2 3 2 4 2" xfId="3562"/>
    <cellStyle name="常规 2 2 3 3" xfId="3563"/>
    <cellStyle name="常规 2 2 3 3 2" xfId="3564"/>
    <cellStyle name="常规 2 2 3 3 2 2" xfId="3565"/>
    <cellStyle name="常规 2 3 3 6" xfId="3566"/>
    <cellStyle name="常规 2 2 3 3 3" xfId="3567"/>
    <cellStyle name="常规 2 2 3 3 3 2" xfId="3568"/>
    <cellStyle name="常规 2 3 4 6" xfId="3569"/>
    <cellStyle name="常规 2 2 3 3 4" xfId="3570"/>
    <cellStyle name="货币 4 6 2 2" xfId="3571"/>
    <cellStyle name="常规 2 2 3 4 3" xfId="3572"/>
    <cellStyle name="常规 2 2 3 4 3 2" xfId="3573"/>
    <cellStyle name="常规 2 3 3" xfId="3574"/>
    <cellStyle name="常规 2 4 4 6" xfId="3575"/>
    <cellStyle name="常规 2 2 3 5 2" xfId="3576"/>
    <cellStyle name="常规 2 2 3 6 2" xfId="3577"/>
    <cellStyle name="常规 2 2 3 7" xfId="3578"/>
    <cellStyle name="常规 2 2 4" xfId="3579"/>
    <cellStyle name="常规 2 4 3 7" xfId="3580"/>
    <cellStyle name="常规 2 2 4 2" xfId="3581"/>
    <cellStyle name="常规 2 2 4 2 2" xfId="3582"/>
    <cellStyle name="常规 2 2 4 3" xfId="3583"/>
    <cellStyle name="常规 2 2 4 3 2" xfId="3584"/>
    <cellStyle name="常规 2 2 4 4 2" xfId="3585"/>
    <cellStyle name="常规 2 2 4 5" xfId="3586"/>
    <cellStyle name="常规 2 2 5" xfId="3587"/>
    <cellStyle name="常规 2 2 5 2" xfId="3588"/>
    <cellStyle name="常规 2 2 5 2 2" xfId="3589"/>
    <cellStyle name="常规 2 2 5 3" xfId="3590"/>
    <cellStyle name="常规 2 2 5 3 2" xfId="3591"/>
    <cellStyle name="常规 2 2 5 4" xfId="3592"/>
    <cellStyle name="常规 2 2 5 4 2" xfId="3593"/>
    <cellStyle name="常规 2 2 5 5" xfId="3594"/>
    <cellStyle name="常规 2 2 7 3 2" xfId="3595"/>
    <cellStyle name="汇总 4 2" xfId="3596"/>
    <cellStyle name="常规 2 2 9 2" xfId="3597"/>
    <cellStyle name="常规 2 3 11" xfId="3598"/>
    <cellStyle name="常规 2 3 2" xfId="3599"/>
    <cellStyle name="常规 2 4 4 5" xfId="3600"/>
    <cellStyle name="常规 2 3 2 2" xfId="3601"/>
    <cellStyle name="常规 2 3 2 2 2" xfId="3602"/>
    <cellStyle name="常规 2 3 2 2 2 2" xfId="3603"/>
    <cellStyle name="常规 2 3 2 2 3" xfId="3604"/>
    <cellStyle name="常规 2 3 2 2 3 2" xfId="3605"/>
    <cellStyle name="常规 2 3 2 2 4 2" xfId="3606"/>
    <cellStyle name="常规 2 3 2 2 7" xfId="3607"/>
    <cellStyle name="常规 2 3 2 3" xfId="3608"/>
    <cellStyle name="常规 2 3 2 3 2" xfId="3609"/>
    <cellStyle name="常规 2 3 2 3 2 2" xfId="3610"/>
    <cellStyle name="常规 2 3 2 3 4" xfId="3611"/>
    <cellStyle name="常规 2 3 2 4 2 2" xfId="3612"/>
    <cellStyle name="常规 2 3 2 4 3" xfId="3613"/>
    <cellStyle name="常规 2 3 2 4 3 2" xfId="3614"/>
    <cellStyle name="常规 2 3 2 4 4" xfId="3615"/>
    <cellStyle name="常规 2 3 2 4 4 2" xfId="3616"/>
    <cellStyle name="常规 2 3 2 5 2" xfId="3617"/>
    <cellStyle name="常规 2 3 2 6" xfId="3618"/>
    <cellStyle name="常规 2 3 2 6 2" xfId="3619"/>
    <cellStyle name="常规 2 3 2 7" xfId="3620"/>
    <cellStyle name="常规 2 3 2 7 2" xfId="3621"/>
    <cellStyle name="常规 2 3 2 8" xfId="3622"/>
    <cellStyle name="常规 2 3 3 2 2" xfId="3623"/>
    <cellStyle name="常规 2 3 3 3" xfId="3624"/>
    <cellStyle name="常规 2 3 3 3 2" xfId="3625"/>
    <cellStyle name="常规 2 3 3 5" xfId="3626"/>
    <cellStyle name="常规 2 3 3 5 2" xfId="3627"/>
    <cellStyle name="常规 2 3 3 7" xfId="3628"/>
    <cellStyle name="常规 2 3 4" xfId="3629"/>
    <cellStyle name="常规 2 3 4 2" xfId="3630"/>
    <cellStyle name="常规 2 3 4 3" xfId="3631"/>
    <cellStyle name="常规 2 3 4 4" xfId="3632"/>
    <cellStyle name="常规 2 3 4 5" xfId="3633"/>
    <cellStyle name="常规 2 3 5 4" xfId="3634"/>
    <cellStyle name="常规 2 4" xfId="3635"/>
    <cellStyle name="常规 2 4 10 2" xfId="3636"/>
    <cellStyle name="常规 2 4 11" xfId="3637"/>
    <cellStyle name="常规 2 4 2" xfId="3638"/>
    <cellStyle name="常规 2 4 2 2" xfId="3639"/>
    <cellStyle name="常规 2 4 2 2 2" xfId="3640"/>
    <cellStyle name="常规 2 4 2 2 2 2" xfId="3641"/>
    <cellStyle name="常规 2 4 2 2 3" xfId="3642"/>
    <cellStyle name="常规 2 4 2 2 4" xfId="3643"/>
    <cellStyle name="常规 2 4 2 2 5 2" xfId="3644"/>
    <cellStyle name="常规 2 4 2 2 6" xfId="3645"/>
    <cellStyle name="常规 2 4 2 2 7" xfId="3646"/>
    <cellStyle name="常规 2 4 2 3" xfId="3647"/>
    <cellStyle name="常规 2 4 2 3 2 2" xfId="3648"/>
    <cellStyle name="输出 2 2 2 2 2" xfId="3649"/>
    <cellStyle name="常规 7 2 3 3" xfId="3650"/>
    <cellStyle name="常规 2 4 2 3 3 2" xfId="3651"/>
    <cellStyle name="常规 2 4 2 3 4" xfId="3652"/>
    <cellStyle name="常规 2 4 2 3 5" xfId="3653"/>
    <cellStyle name="常规 2 4 2 6" xfId="3654"/>
    <cellStyle name="常规 2 4 2 7" xfId="3655"/>
    <cellStyle name="常规 2 4 3 2 2" xfId="3656"/>
    <cellStyle name="常规 2 4 3 3" xfId="3657"/>
    <cellStyle name="常规 2 4 3 3 2" xfId="3658"/>
    <cellStyle name="常规 2 4 3 4 2" xfId="3659"/>
    <cellStyle name="常规 2 4 4 2" xfId="3660"/>
    <cellStyle name="常规 2 4 4 2 2" xfId="3661"/>
    <cellStyle name="常规 2 4 4 3" xfId="3662"/>
    <cellStyle name="常规 2 4 4 3 2" xfId="3663"/>
    <cellStyle name="常规 2 4 4 4" xfId="3664"/>
    <cellStyle name="常规 2 4 4 4 2" xfId="3665"/>
    <cellStyle name="常规 2 4 5 3" xfId="3666"/>
    <cellStyle name="常规 2 4 5 4" xfId="3667"/>
    <cellStyle name="小数 5" xfId="3668"/>
    <cellStyle name="常规 2 5 2 3" xfId="3669"/>
    <cellStyle name="检查单元格 7" xfId="3670"/>
    <cellStyle name="常规 2 5 2 5" xfId="3671"/>
    <cellStyle name="检查单元格 9" xfId="3672"/>
    <cellStyle name="常规 2 5 3 2" xfId="3673"/>
    <cellStyle name="常规 2 5 3 3" xfId="3674"/>
    <cellStyle name="常规 2 5 4 2" xfId="3675"/>
    <cellStyle name="常规 2 5 4 3" xfId="3676"/>
    <cellStyle name="常规 2 6" xfId="3677"/>
    <cellStyle name="常规 2 6 2" xfId="3678"/>
    <cellStyle name="常规 2 6 2 2" xfId="3679"/>
    <cellStyle name="常规 2 6 4" xfId="3680"/>
    <cellStyle name="货币 2 2 3 3 2" xfId="3681"/>
    <cellStyle name="常规 2 7" xfId="3682"/>
    <cellStyle name="常规 2 7 3" xfId="3683"/>
    <cellStyle name="输入 2" xfId="3684"/>
    <cellStyle name="常规 2 8" xfId="3685"/>
    <cellStyle name="输入 2 2" xfId="3686"/>
    <cellStyle name="常规 2 8 2" xfId="3687"/>
    <cellStyle name="常规 27 2 2" xfId="3688"/>
    <cellStyle name="常规 27 3" xfId="3689"/>
    <cellStyle name="常规 29" xfId="3690"/>
    <cellStyle name="常规 34" xfId="3691"/>
    <cellStyle name="常规 29 2" xfId="3692"/>
    <cellStyle name="常规 3" xfId="3693"/>
    <cellStyle name="常规 3 10" xfId="3694"/>
    <cellStyle name="常规 3 11" xfId="3695"/>
    <cellStyle name="常规 3 2" xfId="3696"/>
    <cellStyle name="常规 3 2 2 2" xfId="3697"/>
    <cellStyle name="常规 3 2 2 2 2" xfId="3698"/>
    <cellStyle name="常规 3 2 2 3 2" xfId="3699"/>
    <cellStyle name="常规 3 2 2 6" xfId="3700"/>
    <cellStyle name="常规 3 2 2 6 2" xfId="3701"/>
    <cellStyle name="常规 3 2 3 2" xfId="3702"/>
    <cellStyle name="常规 3 2 3 3" xfId="3703"/>
    <cellStyle name="常规 3 2 4" xfId="3704"/>
    <cellStyle name="常规 3 2 4 3" xfId="3705"/>
    <cellStyle name="常规 3 2 4 3 2" xfId="3706"/>
    <cellStyle name="常规 3 2 4 4" xfId="3707"/>
    <cellStyle name="常规 3 2 4 4 2" xfId="3708"/>
    <cellStyle name="常规 3 3" xfId="3709"/>
    <cellStyle name="常规 3 3 2" xfId="3710"/>
    <cellStyle name="常规 3 3 3" xfId="3711"/>
    <cellStyle name="常规 3 3 4" xfId="3712"/>
    <cellStyle name="好 3 2 2 2" xfId="3713"/>
    <cellStyle name="常规 3 4 2 2" xfId="3714"/>
    <cellStyle name="汇总 2 3 4" xfId="3715"/>
    <cellStyle name="货币 2 2 2 5" xfId="3716"/>
    <cellStyle name="常规 3 4 3 2" xfId="3717"/>
    <cellStyle name="货币 2 2 3 5" xfId="3718"/>
    <cellStyle name="常规 3 4 4" xfId="3719"/>
    <cellStyle name="好 3 2 3 2" xfId="3720"/>
    <cellStyle name="常规 3 5" xfId="3721"/>
    <cellStyle name="常规 3 5 3" xfId="3722"/>
    <cellStyle name="常规 3 5 3 2" xfId="3723"/>
    <cellStyle name="常规 3 5 4" xfId="3724"/>
    <cellStyle name="货币 2 2 4 2 2" xfId="3725"/>
    <cellStyle name="常规 3 6 2 2" xfId="3726"/>
    <cellStyle name="常规 3 6 3" xfId="3727"/>
    <cellStyle name="常规 3 6 3 2" xfId="3728"/>
    <cellStyle name="常规 3 6 4" xfId="3729"/>
    <cellStyle name="货币 2 2 4 3 2" xfId="3730"/>
    <cellStyle name="常规 3 6 5" xfId="3731"/>
    <cellStyle name="常规 3 7" xfId="3732"/>
    <cellStyle name="常规 3 7 2" xfId="3733"/>
    <cellStyle name="常规 3 7 2 2" xfId="3734"/>
    <cellStyle name="常规 3 7 3 2" xfId="3735"/>
    <cellStyle name="常规 3 7 4" xfId="3736"/>
    <cellStyle name="货币 2 2 4 4 2" xfId="3737"/>
    <cellStyle name="常规 3 8" xfId="3738"/>
    <cellStyle name="好 2 2 2 2 2" xfId="3739"/>
    <cellStyle name="常规 3 8 2" xfId="3740"/>
    <cellStyle name="常规 3 9 2" xfId="3741"/>
    <cellStyle name="常规 3_收入总表2" xfId="3742"/>
    <cellStyle name="常规 4" xfId="3743"/>
    <cellStyle name="常规 4 2" xfId="3744"/>
    <cellStyle name="常规 4 2 10" xfId="3745"/>
    <cellStyle name="常规 4 2 11" xfId="3746"/>
    <cellStyle name="常规 4 2 2" xfId="3747"/>
    <cellStyle name="常规 4 4" xfId="3748"/>
    <cellStyle name="常规 4 2 2 2" xfId="3749"/>
    <cellStyle name="常规 4 4 2" xfId="3750"/>
    <cellStyle name="常规 6 4" xfId="3751"/>
    <cellStyle name="常规 4 2 2 2 2" xfId="3752"/>
    <cellStyle name="常规 6 4 2" xfId="3753"/>
    <cellStyle name="货币 3 2 2 5" xfId="3754"/>
    <cellStyle name="常规 4 2 2 2 3" xfId="3755"/>
    <cellStyle name="常规 6 4 3" xfId="3756"/>
    <cellStyle name="常规 4 2 2 2 5" xfId="3757"/>
    <cellStyle name="常规 4 2 2 2 6" xfId="3758"/>
    <cellStyle name="常规 4 2 2 3 2" xfId="3759"/>
    <cellStyle name="警告文本 2" xfId="3760"/>
    <cellStyle name="霓付 [0]_laroux" xfId="3761"/>
    <cellStyle name="常规 4 2 2 3 3" xfId="3762"/>
    <cellStyle name="警告文本 3" xfId="3763"/>
    <cellStyle name="常规 4 2 2 3 3 2" xfId="3764"/>
    <cellStyle name="警告文本 3 2" xfId="3765"/>
    <cellStyle name="常规 4 2 2 3 4" xfId="3766"/>
    <cellStyle name="警告文本 4" xfId="3767"/>
    <cellStyle name="常规 4 2 2 4 3 2" xfId="3768"/>
    <cellStyle name="常规 4 2 2 4 4" xfId="3769"/>
    <cellStyle name="常规 4 2 2 4 5" xfId="3770"/>
    <cellStyle name="常规 4 2 2 6 2" xfId="3771"/>
    <cellStyle name="常规 4 2 2 7 2" xfId="3772"/>
    <cellStyle name="常规 4 2 3" xfId="3773"/>
    <cellStyle name="常规 4 5" xfId="3774"/>
    <cellStyle name="常规 4 2 3 2" xfId="3775"/>
    <cellStyle name="常规 4 5 2" xfId="3776"/>
    <cellStyle name="常规 7 4" xfId="3777"/>
    <cellStyle name="常规 4 2 3 3" xfId="3778"/>
    <cellStyle name="常规 4 5 3" xfId="3779"/>
    <cellStyle name="常规 7 5" xfId="3780"/>
    <cellStyle name="常规 4 2 4" xfId="3781"/>
    <cellStyle name="常规 4 6" xfId="3782"/>
    <cellStyle name="常规 4 2 4 3" xfId="3783"/>
    <cellStyle name="常规 4 6 3" xfId="3784"/>
    <cellStyle name="常规 8 5" xfId="3785"/>
    <cellStyle name="常规 4 2 4 3 2" xfId="3786"/>
    <cellStyle name="常规 4 2 4 4 2" xfId="3787"/>
    <cellStyle name="常规 4 2 4 5" xfId="3788"/>
    <cellStyle name="常规 4 2 5" xfId="3789"/>
    <cellStyle name="常规 4 7" xfId="3790"/>
    <cellStyle name="常规 4 2 8" xfId="3791"/>
    <cellStyle name="常规 4 3" xfId="3792"/>
    <cellStyle name="常规 4 3 2 2" xfId="3793"/>
    <cellStyle name="常规 5 4 2" xfId="3794"/>
    <cellStyle name="常规 4 3 2 3" xfId="3795"/>
    <cellStyle name="常规 5 4 3" xfId="3796"/>
    <cellStyle name="常规 4 3 3" xfId="3797"/>
    <cellStyle name="常规 5 5" xfId="3798"/>
    <cellStyle name="常规 4 3 3 2" xfId="3799"/>
    <cellStyle name="常规 5 5 2" xfId="3800"/>
    <cellStyle name="常规 45 2" xfId="3801"/>
    <cellStyle name="常规 50 2" xfId="3802"/>
    <cellStyle name="常规 46" xfId="3803"/>
    <cellStyle name="常规 51" xfId="3804"/>
    <cellStyle name="常规 47" xfId="3805"/>
    <cellStyle name="常规 52" xfId="3806"/>
    <cellStyle name="常规 48 2" xfId="3807"/>
    <cellStyle name="常规 49 2" xfId="3808"/>
    <cellStyle name="常规 5" xfId="3809"/>
    <cellStyle name="常规 5 10" xfId="3810"/>
    <cellStyle name="常规 5 2" xfId="3811"/>
    <cellStyle name="常规 5 2 2" xfId="3812"/>
    <cellStyle name="常规 5 2 2 2" xfId="3813"/>
    <cellStyle name="常规 5 2 2 3" xfId="3814"/>
    <cellStyle name="常规 5 2 3" xfId="3815"/>
    <cellStyle name="常规 5 2 3 2" xfId="3816"/>
    <cellStyle name="常规 5 2 3 3" xfId="3817"/>
    <cellStyle name="常规 5 2 3 5" xfId="3818"/>
    <cellStyle name="常规 5 2 4" xfId="3819"/>
    <cellStyle name="常规 5 2 4 2" xfId="3820"/>
    <cellStyle name="常规 5 2 4 3" xfId="3821"/>
    <cellStyle name="常规 5 2 4 3 2" xfId="3822"/>
    <cellStyle name="常规 5 2 4 4 2" xfId="3823"/>
    <cellStyle name="检查单元格 2 2" xfId="3824"/>
    <cellStyle name="常规 5 2 4 5" xfId="3825"/>
    <cellStyle name="强调文字颜色 5 3 2 3 2" xfId="3826"/>
    <cellStyle name="检查单元格 3" xfId="3827"/>
    <cellStyle name="常规 5 2 5" xfId="3828"/>
    <cellStyle name="常规 5 2 5 2" xfId="3829"/>
    <cellStyle name="常规 5 2 6" xfId="3830"/>
    <cellStyle name="常规 5 2 6 2" xfId="3831"/>
    <cellStyle name="常规 5 2 7" xfId="3832"/>
    <cellStyle name="常规 5 2 7 2" xfId="3833"/>
    <cellStyle name="常规 5 2 8" xfId="3834"/>
    <cellStyle name="常规 5 3" xfId="3835"/>
    <cellStyle name="常规 5 3 2" xfId="3836"/>
    <cellStyle name="常规 5 3 2 2" xfId="3837"/>
    <cellStyle name="常规 5 3 3" xfId="3838"/>
    <cellStyle name="常规 5 3 3 2" xfId="3839"/>
    <cellStyle name="常规 5 4 2 2" xfId="3840"/>
    <cellStyle name="货币 4 2 2 5" xfId="3841"/>
    <cellStyle name="常规 5 4 3 2" xfId="3842"/>
    <cellStyle name="常规 5 4 6" xfId="3843"/>
    <cellStyle name="常规 5 5 3" xfId="3844"/>
    <cellStyle name="常规 5 5 3 2" xfId="3845"/>
    <cellStyle name="常规 5 6 4" xfId="3846"/>
    <cellStyle name="货币 2 2 6 3 2" xfId="3847"/>
    <cellStyle name="常规 5 6 5" xfId="3848"/>
    <cellStyle name="千位分隔 4 2 3 2 2" xfId="3849"/>
    <cellStyle name="常规 5 8 2" xfId="3850"/>
    <cellStyle name="好_全国友协2010年度中央部门决算（草案）" xfId="3851"/>
    <cellStyle name="千位分隔 4 2 3 3 2" xfId="3852"/>
    <cellStyle name="常规 5 9 2" xfId="3853"/>
    <cellStyle name="常规 55" xfId="3854"/>
    <cellStyle name="常规 60" xfId="3855"/>
    <cellStyle name="后继超级链接 2" xfId="3856"/>
    <cellStyle name="常规 56" xfId="3857"/>
    <cellStyle name="常规 61" xfId="3858"/>
    <cellStyle name="后继超级链接 3" xfId="3859"/>
    <cellStyle name="常规 59" xfId="3860"/>
    <cellStyle name="常规 64" xfId="3861"/>
    <cellStyle name="好 5 4" xfId="3862"/>
    <cellStyle name="常规 6" xfId="3863"/>
    <cellStyle name="常规 6 2" xfId="3864"/>
    <cellStyle name="常规 6 2 2" xfId="3865"/>
    <cellStyle name="常规 6 2 2 2" xfId="3866"/>
    <cellStyle name="千位分隔 4 4 4" xfId="3867"/>
    <cellStyle name="常规 6 2 2 2 2" xfId="3868"/>
    <cellStyle name="常规 6 2 2 3" xfId="3869"/>
    <cellStyle name="常规 6 2 3" xfId="3870"/>
    <cellStyle name="常规 6 2 3 2" xfId="3871"/>
    <cellStyle name="常规 6 2 3 3" xfId="3872"/>
    <cellStyle name="常规 6 2 4" xfId="3873"/>
    <cellStyle name="常规 6 2 5" xfId="3874"/>
    <cellStyle name="常规 6 3" xfId="3875"/>
    <cellStyle name="常规 6 3 2" xfId="3876"/>
    <cellStyle name="常规 6 3 2 2" xfId="3877"/>
    <cellStyle name="常规 7" xfId="3878"/>
    <cellStyle name="常规 7 2" xfId="3879"/>
    <cellStyle name="常规 79" xfId="3880"/>
    <cellStyle name="常规 8" xfId="3881"/>
    <cellStyle name="常规 8 2" xfId="3882"/>
    <cellStyle name="链接单元格 7" xfId="3883"/>
    <cellStyle name="常规 8 2 2 3" xfId="3884"/>
    <cellStyle name="常规 8 2 3 2" xfId="3885"/>
    <cellStyle name="货币 2 7 4 2" xfId="3886"/>
    <cellStyle name="常规 8 2 4" xfId="3887"/>
    <cellStyle name="货币 2 7 5" xfId="3888"/>
    <cellStyle name="常规 8 2 5" xfId="3889"/>
    <cellStyle name="常规 8 3 2 2" xfId="3890"/>
    <cellStyle name="计算 3 4" xfId="3891"/>
    <cellStyle name="常规 9" xfId="3892"/>
    <cellStyle name="超级链接 2" xfId="3893"/>
    <cellStyle name="超级链接 2 2" xfId="3894"/>
    <cellStyle name="超级链接 2 2 2" xfId="3895"/>
    <cellStyle name="超级链接 2 2 3" xfId="3896"/>
    <cellStyle name="超级链接 2 3" xfId="3897"/>
    <cellStyle name="超级链接 2 3 2" xfId="3898"/>
    <cellStyle name="超级链接 3" xfId="3899"/>
    <cellStyle name="超级链接 3 2" xfId="3900"/>
    <cellStyle name="超级链接 3 2 2" xfId="3901"/>
    <cellStyle name="超级链接 3 3" xfId="3902"/>
    <cellStyle name="好 2 2" xfId="3903"/>
    <cellStyle name="好 2 2 2" xfId="3904"/>
    <cellStyle name="好 2 2 3" xfId="3905"/>
    <cellStyle name="好 2 2 3 2" xfId="3906"/>
    <cellStyle name="好 2 2 4" xfId="3907"/>
    <cellStyle name="好 3" xfId="3908"/>
    <cellStyle name="好 3 2" xfId="3909"/>
    <cellStyle name="好 3 2 2" xfId="3910"/>
    <cellStyle name="好 3 2 3" xfId="3911"/>
    <cellStyle name="好 3 2 4" xfId="3912"/>
    <cellStyle name="货币 2 2 4 2" xfId="3913"/>
    <cellStyle name="链接单元格 2 3 2" xfId="3914"/>
    <cellStyle name="好_5.中央部门决算（草案)-1" xfId="3915"/>
    <cellStyle name="后继超级链接 2 2" xfId="3916"/>
    <cellStyle name="后继超级链接 2 2 2" xfId="3917"/>
    <cellStyle name="后继超级链接 2 2 2 2" xfId="3918"/>
    <cellStyle name="后继超级链接 2 2 3" xfId="3919"/>
    <cellStyle name="后继超级链接 2 3 2" xfId="3920"/>
    <cellStyle name="后继超级链接 2 4" xfId="3921"/>
    <cellStyle name="货币 2 4 2 2" xfId="3922"/>
    <cellStyle name="汇总 2" xfId="3923"/>
    <cellStyle name="汇总 2 2" xfId="3924"/>
    <cellStyle name="汇总 2 2 2" xfId="3925"/>
    <cellStyle name="汇总 2 3" xfId="3926"/>
    <cellStyle name="汇总 2 3 2" xfId="3927"/>
    <cellStyle name="货币 2 2 2 3" xfId="3928"/>
    <cellStyle name="汇总 2 3 3" xfId="3929"/>
    <cellStyle name="货币 2 2 2 4" xfId="3930"/>
    <cellStyle name="警告文本 2 3 2" xfId="3931"/>
    <cellStyle name="汇总 3 2 2" xfId="3932"/>
    <cellStyle name="汇总 3 2 3" xfId="3933"/>
    <cellStyle name="警告文本 3 2 2" xfId="3934"/>
    <cellStyle name="汇总 3 3" xfId="3935"/>
    <cellStyle name="汇总 4 2 2" xfId="3936"/>
    <cellStyle name="货币 2 10" xfId="3937"/>
    <cellStyle name="货币 2 2" xfId="3938"/>
    <cellStyle name="货币 2 2 2 2" xfId="3939"/>
    <cellStyle name="货币 2 2 2 2 2" xfId="3940"/>
    <cellStyle name="货币 2 2 2 2 2 2" xfId="3941"/>
    <cellStyle name="货币 2 2 2 2 3" xfId="3942"/>
    <cellStyle name="货币 2 2 2 2 3 2" xfId="3943"/>
    <cellStyle name="货币 2 2 2 2 4" xfId="3944"/>
    <cellStyle name="货币 2 2 2 2 4 2" xfId="3945"/>
    <cellStyle name="货币 2 2 2 2 5" xfId="3946"/>
    <cellStyle name="货币 2 2 2 3 2 2" xfId="3947"/>
    <cellStyle name="货币 2 2 2 3 3" xfId="3948"/>
    <cellStyle name="货币 2 2 2 3 3 2" xfId="3949"/>
    <cellStyle name="货币 2 2 2 3 4" xfId="3950"/>
    <cellStyle name="货币 2 2 2 4 2" xfId="3951"/>
    <cellStyle name="货币 2 2 2 4 3" xfId="3952"/>
    <cellStyle name="货币 2 2 2 4 3 2" xfId="3953"/>
    <cellStyle name="货币 2 2 2 4 4 2" xfId="3954"/>
    <cellStyle name="货币 2 2 2 5 2" xfId="3955"/>
    <cellStyle name="货币 2 2 2 6" xfId="3956"/>
    <cellStyle name="货币 2 2 2 6 2" xfId="3957"/>
    <cellStyle name="货币 2 2 3" xfId="3958"/>
    <cellStyle name="链接单元格 2 2" xfId="3959"/>
    <cellStyle name="货币 2 2 3 2" xfId="3960"/>
    <cellStyle name="链接单元格 2 2 2" xfId="3961"/>
    <cellStyle name="货币 2 2 3 4 2" xfId="3962"/>
    <cellStyle name="货币 2 2 4" xfId="3963"/>
    <cellStyle name="链接单元格 2 3" xfId="3964"/>
    <cellStyle name="货币 2 2 4 3" xfId="3965"/>
    <cellStyle name="货币 2 2 4 5" xfId="3966"/>
    <cellStyle name="货币 2 2 5" xfId="3967"/>
    <cellStyle name="链接单元格 2 4" xfId="3968"/>
    <cellStyle name="货币 2 2 6" xfId="3969"/>
    <cellStyle name="货币 2 2 6 4" xfId="3970"/>
    <cellStyle name="货币 2 2 6 4 2" xfId="3971"/>
    <cellStyle name="货币 2 2 8" xfId="3972"/>
    <cellStyle name="货币 2 3 2" xfId="3973"/>
    <cellStyle name="货币 2 3 2 4 2" xfId="3974"/>
    <cellStyle name="货币 2 3 4" xfId="3975"/>
    <cellStyle name="链接单元格 3 3" xfId="3976"/>
    <cellStyle name="货币 2 3 5" xfId="3977"/>
    <cellStyle name="链接单元格 3 4" xfId="3978"/>
    <cellStyle name="货币 2 3 7" xfId="3979"/>
    <cellStyle name="货币 2 3 8" xfId="3980"/>
    <cellStyle name="货币 2 4" xfId="3981"/>
    <cellStyle name="货币 2 4 2" xfId="3982"/>
    <cellStyle name="货币 2 4 3" xfId="3983"/>
    <cellStyle name="链接单元格 4 2" xfId="3984"/>
    <cellStyle name="货币 2 4 4" xfId="3985"/>
    <cellStyle name="链接单元格 4 3" xfId="3986"/>
    <cellStyle name="货币 2 4 5" xfId="3987"/>
    <cellStyle name="货币 2 5" xfId="3988"/>
    <cellStyle name="货币 2 5 2" xfId="3989"/>
    <cellStyle name="货币 2 5 2 2" xfId="3990"/>
    <cellStyle name="货币 2 5 3" xfId="3991"/>
    <cellStyle name="链接单元格 5 2" xfId="3992"/>
    <cellStyle name="货币 2 5 4" xfId="3993"/>
    <cellStyle name="链接单元格 5 3" xfId="3994"/>
    <cellStyle name="货币 2 5 4 2" xfId="3995"/>
    <cellStyle name="货币 2 5 5" xfId="3996"/>
    <cellStyle name="货币 2 6 2 2" xfId="3997"/>
    <cellStyle name="货币 2 6 3 2" xfId="3998"/>
    <cellStyle name="货币 2 6 4" xfId="3999"/>
    <cellStyle name="货币 2 9" xfId="4000"/>
    <cellStyle name="计算 2 3 2 2 2" xfId="4001"/>
    <cellStyle name="货币 3 10" xfId="4002"/>
    <cellStyle name="检查单元格 4 3" xfId="4003"/>
    <cellStyle name="货币 3 2" xfId="4004"/>
    <cellStyle name="输入 2 5" xfId="4005"/>
    <cellStyle name="货币 3 2 2" xfId="4006"/>
    <cellStyle name="货币 3 2 2 2" xfId="4007"/>
    <cellStyle name="货币 3 2 2 2 2" xfId="4008"/>
    <cellStyle name="货币 3 2 2 3" xfId="4009"/>
    <cellStyle name="货币 3 2 2 3 2" xfId="4010"/>
    <cellStyle name="货币 3 2 2 4" xfId="4011"/>
    <cellStyle name="货币 3 2 2 4 2" xfId="4012"/>
    <cellStyle name="货币 3 2 3" xfId="4013"/>
    <cellStyle name="货币 3 2 3 2" xfId="4014"/>
    <cellStyle name="货币 3 2 3 2 2" xfId="4015"/>
    <cellStyle name="货币 3 2 3 4" xfId="4016"/>
    <cellStyle name="货币 3 2 4" xfId="4017"/>
    <cellStyle name="货币 3 2 4 2" xfId="4018"/>
    <cellStyle name="货币 3 2 4 2 2" xfId="4019"/>
    <cellStyle name="货币 3 2 4 3" xfId="4020"/>
    <cellStyle name="货币 3 2 4 4" xfId="4021"/>
    <cellStyle name="货币 3 2 5 2" xfId="4022"/>
    <cellStyle name="货币 3 2 6" xfId="4023"/>
    <cellStyle name="货币 3 2 6 2" xfId="4024"/>
    <cellStyle name="货币 3 3" xfId="4025"/>
    <cellStyle name="输入 3 5" xfId="4026"/>
    <cellStyle name="货币 3 3 2" xfId="4027"/>
    <cellStyle name="货币 3 3 2 2" xfId="4028"/>
    <cellStyle name="货币 3 3 3" xfId="4029"/>
    <cellStyle name="货币 3 3 3 2" xfId="4030"/>
    <cellStyle name="货币 3 3 4" xfId="4031"/>
    <cellStyle name="货币 3 3 5" xfId="4032"/>
    <cellStyle name="货币 3 4" xfId="4033"/>
    <cellStyle name="货币 3 4 4" xfId="4034"/>
    <cellStyle name="货币 3 4 4 2" xfId="4035"/>
    <cellStyle name="货币 3 4 5" xfId="4036"/>
    <cellStyle name="货币 3 5" xfId="4037"/>
    <cellStyle name="货币 3 5 2" xfId="4038"/>
    <cellStyle name="货币 3 5 3" xfId="4039"/>
    <cellStyle name="货币 3 5 3 2" xfId="4040"/>
    <cellStyle name="货币 3 5 4" xfId="4041"/>
    <cellStyle name="货币 3 7" xfId="4042"/>
    <cellStyle name="注释 6" xfId="4043"/>
    <cellStyle name="货币 3 7 2" xfId="4044"/>
    <cellStyle name="货币 3 8" xfId="4045"/>
    <cellStyle name="货币 3 8 2" xfId="4046"/>
    <cellStyle name="货币 3 9" xfId="4047"/>
    <cellStyle name="货币 3 9 2" xfId="4048"/>
    <cellStyle name="货币 4 10" xfId="4049"/>
    <cellStyle name="货币 4 2" xfId="4050"/>
    <cellStyle name="货币 4 2 2" xfId="4051"/>
    <cellStyle name="货币 4 2 2 2" xfId="4052"/>
    <cellStyle name="货币 4 2 2 2 2" xfId="4053"/>
    <cellStyle name="货币 4 2 2 3 2" xfId="4054"/>
    <cellStyle name="货币 4 2 2 4 2" xfId="4055"/>
    <cellStyle name="货币 4 2 3" xfId="4056"/>
    <cellStyle name="货币 4 2 3 2" xfId="4057"/>
    <cellStyle name="货币 4 2 3 2 2" xfId="4058"/>
    <cellStyle name="货币 4 2 3 3" xfId="4059"/>
    <cellStyle name="货币 4 2 3 4" xfId="4060"/>
    <cellStyle name="货币 4 2 4 2" xfId="4061"/>
    <cellStyle name="货币 4 2 4 3" xfId="4062"/>
    <cellStyle name="货币 4 2 4 4" xfId="4063"/>
    <cellStyle name="货币 4 2 4 4 2" xfId="4064"/>
    <cellStyle name="货币 4 2 5" xfId="4065"/>
    <cellStyle name="货币 4 2 5 2" xfId="4066"/>
    <cellStyle name="货币 4 2 6" xfId="4067"/>
    <cellStyle name="货币 4 2 6 2" xfId="4068"/>
    <cellStyle name="货币 4 2 7" xfId="4069"/>
    <cellStyle name="货币 4 3" xfId="4070"/>
    <cellStyle name="货币 4 3 2" xfId="4071"/>
    <cellStyle name="货币 4 3 2 2" xfId="4072"/>
    <cellStyle name="货币 4 3 3" xfId="4073"/>
    <cellStyle name="货币 4 3 3 2" xfId="4074"/>
    <cellStyle name="货币 4 3 4" xfId="4075"/>
    <cellStyle name="货币 4 3 4 2" xfId="4076"/>
    <cellStyle name="货币 4 3 5" xfId="4077"/>
    <cellStyle name="货币 4 4" xfId="4078"/>
    <cellStyle name="货币 4 4 2" xfId="4079"/>
    <cellStyle name="货币 4 4 2 2" xfId="4080"/>
    <cellStyle name="货币 4 4 3 2" xfId="4081"/>
    <cellStyle name="货币 4 4 4" xfId="4082"/>
    <cellStyle name="货币 4 4 4 2" xfId="4083"/>
    <cellStyle name="货币 4 4 5" xfId="4084"/>
    <cellStyle name="货币 4 5" xfId="4085"/>
    <cellStyle name="货币 4 5 3" xfId="4086"/>
    <cellStyle name="货币 4 5 4" xfId="4087"/>
    <cellStyle name="货币 4 7" xfId="4088"/>
    <cellStyle name="货币 4 8" xfId="4089"/>
    <cellStyle name="货币 4 8 2" xfId="4090"/>
    <cellStyle name="货币 4 9 2" xfId="4091"/>
    <cellStyle name="货币 5 2" xfId="4092"/>
    <cellStyle name="货币 5 3" xfId="4093"/>
    <cellStyle name="货币 5 4" xfId="4094"/>
    <cellStyle name="计算 2" xfId="4095"/>
    <cellStyle name="计算 2 3 3 2" xfId="4096"/>
    <cellStyle name="计算 2 2" xfId="4097"/>
    <cellStyle name="计算 2 2 2" xfId="4098"/>
    <cellStyle name="计算 2 2 2 2" xfId="4099"/>
    <cellStyle name="计算 2 2 2 2 2" xfId="4100"/>
    <cellStyle name="计算 2 2 3 2" xfId="4101"/>
    <cellStyle name="计算 2 3" xfId="4102"/>
    <cellStyle name="计算 2 3 2 2" xfId="4103"/>
    <cellStyle name="计算 2 3 2 3" xfId="4104"/>
    <cellStyle name="计算 2 3 4" xfId="4105"/>
    <cellStyle name="计算 2 3 5" xfId="4106"/>
    <cellStyle name="计算 2 5" xfId="4107"/>
    <cellStyle name="计算 2 5 2" xfId="4108"/>
    <cellStyle name="计算 2 6" xfId="4109"/>
    <cellStyle name="计算 2 7" xfId="4110"/>
    <cellStyle name="计算 3 2 2" xfId="4111"/>
    <cellStyle name="计算 3 2 2 2" xfId="4112"/>
    <cellStyle name="计算 3 2 2 2 2" xfId="4113"/>
    <cellStyle name="计算 3 2 2 3" xfId="4114"/>
    <cellStyle name="计算 3 2 3" xfId="4115"/>
    <cellStyle name="计算 3 2 3 2" xfId="4116"/>
    <cellStyle name="计算 3 2 4" xfId="4117"/>
    <cellStyle name="计算 3 3" xfId="4118"/>
    <cellStyle name="计算 3 3 2 2" xfId="4119"/>
    <cellStyle name="计算 3 3 3" xfId="4120"/>
    <cellStyle name="计算 3 4 2" xfId="4121"/>
    <cellStyle name="计算 3 5" xfId="4122"/>
    <cellStyle name="计算 4 2 2" xfId="4123"/>
    <cellStyle name="计算 4 2 2 2" xfId="4124"/>
    <cellStyle name="计算 4 2 3" xfId="4125"/>
    <cellStyle name="计算 4 3" xfId="4126"/>
    <cellStyle name="计算 5 2 2" xfId="4127"/>
    <cellStyle name="计算 5 2 2 2" xfId="4128"/>
    <cellStyle name="计算 5 3" xfId="4129"/>
    <cellStyle name="计算 5 4" xfId="4130"/>
    <cellStyle name="计算 6 3" xfId="4131"/>
    <cellStyle name="检查单元格 2 3" xfId="4132"/>
    <cellStyle name="检查单元格 2 4" xfId="4133"/>
    <cellStyle name="检查单元格 2 5" xfId="4134"/>
    <cellStyle name="检查单元格 2 6" xfId="4135"/>
    <cellStyle name="检查单元格 3 2" xfId="4136"/>
    <cellStyle name="检查单元格 3 3" xfId="4137"/>
    <cellStyle name="检查单元格 3 5" xfId="4138"/>
    <cellStyle name="检查单元格 4" xfId="4139"/>
    <cellStyle name="检查单元格 4 2" xfId="4140"/>
    <cellStyle name="检查单元格 4 4" xfId="4141"/>
    <cellStyle name="检查单元格 5" xfId="4142"/>
    <cellStyle name="检查单元格 5 2 2" xfId="4143"/>
    <cellStyle name="检查单元格 5 2 2 2" xfId="4144"/>
    <cellStyle name="检查单元格 5 2 3" xfId="4145"/>
    <cellStyle name="检查单元格 5 3" xfId="4146"/>
    <cellStyle name="千位_，" xfId="4147"/>
    <cellStyle name="检查单元格 5 3 2" xfId="4148"/>
    <cellStyle name="检查单元格 6 2 2" xfId="4149"/>
    <cellStyle name="检查单元格 7 2" xfId="4150"/>
    <cellStyle name="解释性文本 3 2" xfId="4151"/>
    <cellStyle name="解释性文本 4" xfId="4152"/>
    <cellStyle name="解释性文本 4 2" xfId="4153"/>
    <cellStyle name="解释性文本 4 2 2" xfId="4154"/>
    <cellStyle name="警告文本 2 2 2 2" xfId="4155"/>
    <cellStyle name="警告文本 2 2 3" xfId="4156"/>
    <cellStyle name="警告文本 2 4" xfId="4157"/>
    <cellStyle name="警告文本 3 2 2 2" xfId="4158"/>
    <cellStyle name="警告文本 3 3" xfId="4159"/>
    <cellStyle name="警告文本 4 2" xfId="4160"/>
    <cellStyle name="警告文本 4 2 2" xfId="4161"/>
    <cellStyle name="警告文本 4 3" xfId="4162"/>
    <cellStyle name="警告文本 5" xfId="4163"/>
    <cellStyle name="警告文本 5 2" xfId="4164"/>
    <cellStyle name="警告文本 5 2 2" xfId="4165"/>
    <cellStyle name="警告文本 5 3" xfId="4166"/>
    <cellStyle name="警告文本 6" xfId="4167"/>
    <cellStyle name="警告文本 6 2" xfId="4168"/>
    <cellStyle name="链接单元格 3" xfId="4169"/>
    <cellStyle name="链接单元格 4" xfId="4170"/>
    <cellStyle name="普通_97-917" xfId="4171"/>
    <cellStyle name="千分位[0]_BT (2)" xfId="4172"/>
    <cellStyle name="千位分隔 2" xfId="4173"/>
    <cellStyle name="千位分隔 2 2" xfId="4174"/>
    <cellStyle name="千位分隔 2 2 2" xfId="4175"/>
    <cellStyle name="千位分隔 2 2 2 2" xfId="4176"/>
    <cellStyle name="千位分隔 2 2 2 2 2" xfId="4177"/>
    <cellStyle name="千位分隔 2 2 2 3" xfId="4178"/>
    <cellStyle name="千位分隔 2 2 2 3 2" xfId="4179"/>
    <cellStyle name="千位分隔 2 2 2 4" xfId="4180"/>
    <cellStyle name="千位分隔 2 2 2 4 2" xfId="4181"/>
    <cellStyle name="千位分隔 2 2 2 5" xfId="4182"/>
    <cellStyle name="千位分隔 2 2 2 5 2" xfId="4183"/>
    <cellStyle name="千位分隔 2 2 2 6" xfId="4184"/>
    <cellStyle name="千位分隔 2 2 3" xfId="4185"/>
    <cellStyle name="千位分隔 2 2 3 2" xfId="4186"/>
    <cellStyle name="千位分隔 2 2 3 2 2" xfId="4187"/>
    <cellStyle name="千位分隔 2 2 3 3" xfId="4188"/>
    <cellStyle name="千位分隔 2 2 3 3 2" xfId="4189"/>
    <cellStyle name="千位分隔 2 2 3 4" xfId="4190"/>
    <cellStyle name="千位分隔 2 2 3 5" xfId="4191"/>
    <cellStyle name="千位分隔 2 2 4" xfId="4192"/>
    <cellStyle name="千位分隔 2 2 4 2 2" xfId="4193"/>
    <cellStyle name="强调文字颜色 3 2" xfId="4194"/>
    <cellStyle name="千位分隔 2 2 4 3 2" xfId="4195"/>
    <cellStyle name="强调文字颜色 4 2" xfId="4196"/>
    <cellStyle name="千位分隔 2 2 4 4 2" xfId="4197"/>
    <cellStyle name="强调文字颜色 5 2" xfId="4198"/>
    <cellStyle name="千位分隔 2 2 5" xfId="4199"/>
    <cellStyle name="千位分隔 2 2 5 2" xfId="4200"/>
    <cellStyle name="千位分隔 2 2 6" xfId="4201"/>
    <cellStyle name="千位分隔 2 2 6 2" xfId="4202"/>
    <cellStyle name="千位分隔 2 2 7" xfId="4203"/>
    <cellStyle name="千位分隔 2 2 7 2" xfId="4204"/>
    <cellStyle name="千位分隔 2 3" xfId="4205"/>
    <cellStyle name="千位分隔 2 3 2" xfId="4206"/>
    <cellStyle name="千位分隔 2 3 2 2" xfId="4207"/>
    <cellStyle name="千位分隔 2 3 3" xfId="4208"/>
    <cellStyle name="千位分隔 2 3 3 2" xfId="4209"/>
    <cellStyle name="千位分隔 2 3 4" xfId="4210"/>
    <cellStyle name="千位分隔 2 3 4 2" xfId="4211"/>
    <cellStyle name="千位分隔 2 3 5" xfId="4212"/>
    <cellStyle name="千位分隔 2 3 5 2" xfId="4213"/>
    <cellStyle name="千位分隔 2 3 6" xfId="4214"/>
    <cellStyle name="千位分隔 2 4" xfId="4215"/>
    <cellStyle name="千位分隔 2 4 2" xfId="4216"/>
    <cellStyle name="千位分隔 2 4 2 2" xfId="4217"/>
    <cellStyle name="千位分隔 2 4 3" xfId="4218"/>
    <cellStyle name="千位分隔 2 4 3 2" xfId="4219"/>
    <cellStyle name="千位分隔 2 4 4" xfId="4220"/>
    <cellStyle name="千位分隔 2 4 5" xfId="4221"/>
    <cellStyle name="千位分隔 2 5" xfId="4222"/>
    <cellStyle name="千位分隔 2 5 2" xfId="4223"/>
    <cellStyle name="千位分隔 2 5 2 2" xfId="4224"/>
    <cellStyle name="千位分隔 2 5 3" xfId="4225"/>
    <cellStyle name="千位分隔 2 5 3 2" xfId="4226"/>
    <cellStyle name="千位分隔 2 5 4" xfId="4227"/>
    <cellStyle name="千位分隔 2 5 4 2" xfId="4228"/>
    <cellStyle name="千位分隔 2 5 5" xfId="4229"/>
    <cellStyle name="千位分隔 2 6" xfId="4230"/>
    <cellStyle name="千位分隔 2 6 2" xfId="4231"/>
    <cellStyle name="千位分隔 2 7" xfId="4232"/>
    <cellStyle name="千位分隔 2 7 2" xfId="4233"/>
    <cellStyle name="千位分隔 2 8" xfId="4234"/>
    <cellStyle name="千位分隔 2 8 2" xfId="4235"/>
    <cellStyle name="千位分隔 2 9" xfId="4236"/>
    <cellStyle name="千位分隔 3" xfId="4237"/>
    <cellStyle name="千位分隔 3 10" xfId="4238"/>
    <cellStyle name="千位分隔 3 11" xfId="4239"/>
    <cellStyle name="千位分隔 3 2" xfId="4240"/>
    <cellStyle name="千位分隔 3 2 2" xfId="4241"/>
    <cellStyle name="千位分隔 3 2 2 2" xfId="4242"/>
    <cellStyle name="强调文字颜色 3 2 5" xfId="4243"/>
    <cellStyle name="千位分隔 3 2 2 2 2" xfId="4244"/>
    <cellStyle name="强调文字颜色 3 2 5 2" xfId="4245"/>
    <cellStyle name="千位分隔 3 2 2 3" xfId="4246"/>
    <cellStyle name="强调文字颜色 3 2 6" xfId="4247"/>
    <cellStyle name="千位分隔 3 2 2 3 2" xfId="4248"/>
    <cellStyle name="千位分隔 3 2 2 4" xfId="4249"/>
    <cellStyle name="强调文字颜色 3 2 7" xfId="4250"/>
    <cellStyle name="千位分隔 3 2 2 4 2" xfId="4251"/>
    <cellStyle name="千位分隔 3 2 2 5" xfId="4252"/>
    <cellStyle name="千位分隔 3 2 3" xfId="4253"/>
    <cellStyle name="千位分隔 3 2 3 2" xfId="4254"/>
    <cellStyle name="强调文字颜色 3 3 5" xfId="4255"/>
    <cellStyle name="千位分隔 3 2 3 2 2" xfId="4256"/>
    <cellStyle name="千位分隔 3 2 3 3" xfId="4257"/>
    <cellStyle name="千位分隔 3 2 3 3 2" xfId="4258"/>
    <cellStyle name="千位分隔 3 2 4" xfId="4259"/>
    <cellStyle name="千位分隔 3 2 4 2" xfId="4260"/>
    <cellStyle name="千位分隔 3 2 4 2 2" xfId="4261"/>
    <cellStyle name="千位分隔 3 2 4 3" xfId="4262"/>
    <cellStyle name="千位分隔 3 2 4 3 2" xfId="4263"/>
    <cellStyle name="千位分隔 3 2 4 4 2" xfId="4264"/>
    <cellStyle name="千位分隔 3 2 4 5" xfId="4265"/>
    <cellStyle name="千位分隔 3 2 5" xfId="4266"/>
    <cellStyle name="千位分隔 3 2 5 2" xfId="4267"/>
    <cellStyle name="千位分隔 3 2 6" xfId="4268"/>
    <cellStyle name="千位分隔 3 2 6 2" xfId="4269"/>
    <cellStyle name="千位分隔 3 2 7" xfId="4270"/>
    <cellStyle name="千位分隔 3 2 7 2" xfId="4271"/>
    <cellStyle name="千位分隔 3 3" xfId="4272"/>
    <cellStyle name="千位分隔 3 3 2" xfId="4273"/>
    <cellStyle name="千位分隔 3 3 2 2" xfId="4274"/>
    <cellStyle name="强调文字颜色 4 2 5" xfId="4275"/>
    <cellStyle name="千位分隔 3 3 3" xfId="4276"/>
    <cellStyle name="千位分隔 3 3 3 2" xfId="4277"/>
    <cellStyle name="强调文字颜色 4 3 5" xfId="4278"/>
    <cellStyle name="千位分隔 3 3 4" xfId="4279"/>
    <cellStyle name="千位分隔 3 3 4 2" xfId="4280"/>
    <cellStyle name="千位分隔 3 3 5" xfId="4281"/>
    <cellStyle name="千位分隔 3 4" xfId="4282"/>
    <cellStyle name="千位分隔 3 4 2" xfId="4283"/>
    <cellStyle name="输出 6" xfId="4284"/>
    <cellStyle name="千位分隔 3 4 2 2" xfId="4285"/>
    <cellStyle name="强调文字颜色 5 2 5" xfId="4286"/>
    <cellStyle name="输出 6 2" xfId="4287"/>
    <cellStyle name="千位分隔 3 4 3" xfId="4288"/>
    <cellStyle name="输出 7" xfId="4289"/>
    <cellStyle name="千位分隔 3 4 3 2" xfId="4290"/>
    <cellStyle name="强调文字颜色 5 3 5" xfId="4291"/>
    <cellStyle name="输出 7 2" xfId="4292"/>
    <cellStyle name="千位分隔 3 4 4" xfId="4293"/>
    <cellStyle name="输出 8" xfId="4294"/>
    <cellStyle name="千位分隔 3 4 4 2" xfId="4295"/>
    <cellStyle name="千位分隔 3 4 5" xfId="4296"/>
    <cellStyle name="输出 9" xfId="4297"/>
    <cellStyle name="千位分隔 3 5" xfId="4298"/>
    <cellStyle name="千位分隔 3 5 2" xfId="4299"/>
    <cellStyle name="千位分隔 3 5 2 2" xfId="4300"/>
    <cellStyle name="强调文字颜色 6 2 5" xfId="4301"/>
    <cellStyle name="千位分隔 3 5 3" xfId="4302"/>
    <cellStyle name="千位分隔 3 5 3 2" xfId="4303"/>
    <cellStyle name="强调文字颜色 6 3 5" xfId="4304"/>
    <cellStyle name="千位分隔 3 5 4" xfId="4305"/>
    <cellStyle name="千位分隔 3 6" xfId="4306"/>
    <cellStyle name="千位分隔 3 6 2" xfId="4307"/>
    <cellStyle name="千位分隔 3 6 2 2" xfId="4308"/>
    <cellStyle name="千位分隔 3 6 3" xfId="4309"/>
    <cellStyle name="千位分隔 3 6 3 2" xfId="4310"/>
    <cellStyle name="注释 2 2 2 4" xfId="4311"/>
    <cellStyle name="千位分隔 3 6 4" xfId="4312"/>
    <cellStyle name="千位分隔 3 6 4 2" xfId="4313"/>
    <cellStyle name="千位分隔 3 6 5" xfId="4314"/>
    <cellStyle name="千位分隔 3 7" xfId="4315"/>
    <cellStyle name="千位分隔 3 7 2" xfId="4316"/>
    <cellStyle name="千位分隔 3 8" xfId="4317"/>
    <cellStyle name="千位分隔 3 8 2" xfId="4318"/>
    <cellStyle name="千位分隔 3 9" xfId="4319"/>
    <cellStyle name="千位分隔 3 9 2" xfId="4320"/>
    <cellStyle name="千位分隔 4" xfId="4321"/>
    <cellStyle name="千位分隔 4 10" xfId="4322"/>
    <cellStyle name="千位分隔 4 2" xfId="4323"/>
    <cellStyle name="千位分隔 4 2 2" xfId="4324"/>
    <cellStyle name="千位分隔 4 2 2 2" xfId="4325"/>
    <cellStyle name="千位分隔 4 2 2 2 2" xfId="4326"/>
    <cellStyle name="千位分隔 4 2 2 3" xfId="4327"/>
    <cellStyle name="千位分隔 4 2 2 3 2" xfId="4328"/>
    <cellStyle name="千位分隔 4 2 2 4" xfId="4329"/>
    <cellStyle name="千位分隔 4 2 2 4 2" xfId="4330"/>
    <cellStyle name="千位分隔 4 2 2 5" xfId="4331"/>
    <cellStyle name="千位分隔 4 2 3" xfId="4332"/>
    <cellStyle name="千位分隔 4 2 4" xfId="4333"/>
    <cellStyle name="千位分隔 4 2 4 2" xfId="4334"/>
    <cellStyle name="千位分隔 4 2 4 2 2" xfId="4335"/>
    <cellStyle name="千位分隔 4 2 4 3" xfId="4336"/>
    <cellStyle name="千位分隔 4 2 4 3 2" xfId="4337"/>
    <cellStyle name="适中 6" xfId="4338"/>
    <cellStyle name="千位分隔 4 2 4 4 2" xfId="4339"/>
    <cellStyle name="千位分隔 4 2 4 5" xfId="4340"/>
    <cellStyle name="千位分隔 4 2 5" xfId="4341"/>
    <cellStyle name="千位分隔 4 2 5 2" xfId="4342"/>
    <cellStyle name="千位分隔 4 2 6" xfId="4343"/>
    <cellStyle name="千位分隔 4 2 6 2" xfId="4344"/>
    <cellStyle name="千位分隔 4 2 7" xfId="4345"/>
    <cellStyle name="千位分隔 4 2 7 2" xfId="4346"/>
    <cellStyle name="千位分隔 4 2 8" xfId="4347"/>
    <cellStyle name="千位分隔 4 3" xfId="4348"/>
    <cellStyle name="千位分隔 4 3 2" xfId="4349"/>
    <cellStyle name="千位分隔 4 3 2 2" xfId="4350"/>
    <cellStyle name="千位分隔 4 3 4" xfId="4351"/>
    <cellStyle name="千位分隔 4 3 4 2" xfId="4352"/>
    <cellStyle name="千位分隔 4 3 5" xfId="4353"/>
    <cellStyle name="千位分隔 4 4" xfId="4354"/>
    <cellStyle name="千位分隔 4 4 2" xfId="4355"/>
    <cellStyle name="千位分隔 4 4 2 2" xfId="4356"/>
    <cellStyle name="千位分隔 4 4 3" xfId="4357"/>
    <cellStyle name="千位分隔 4 4 3 2" xfId="4358"/>
    <cellStyle name="千位分隔 4 4 4 2" xfId="4359"/>
    <cellStyle name="千位分隔 4 4 5" xfId="4360"/>
    <cellStyle name="千位分隔 4 5" xfId="4361"/>
    <cellStyle name="千位分隔 4 5 2" xfId="4362"/>
    <cellStyle name="千位分隔 4 5 2 2" xfId="4363"/>
    <cellStyle name="千位分隔 4 5 3" xfId="4364"/>
    <cellStyle name="千位分隔 4 5 3 2" xfId="4365"/>
    <cellStyle name="千位分隔 4 5 4" xfId="4366"/>
    <cellStyle name="千位分隔 4 6" xfId="4367"/>
    <cellStyle name="千位分隔 4 6 2" xfId="4368"/>
    <cellStyle name="千位分隔 4 6 2 2" xfId="4369"/>
    <cellStyle name="千位分隔 4 6 3" xfId="4370"/>
    <cellStyle name="千位分隔 4 6 3 2" xfId="4371"/>
    <cellStyle name="千位分隔 4 6 4" xfId="4372"/>
    <cellStyle name="千位分隔 4 6 4 2" xfId="4373"/>
    <cellStyle name="千位分隔 4 6 5" xfId="4374"/>
    <cellStyle name="千位分隔 4 7" xfId="4375"/>
    <cellStyle name="千位分隔 4 7 2" xfId="4376"/>
    <cellStyle name="千位分隔 4 8" xfId="4377"/>
    <cellStyle name="千位分隔 4 8 2" xfId="4378"/>
    <cellStyle name="千位分隔 4 9" xfId="4379"/>
    <cellStyle name="千位分隔 4 9 2" xfId="4380"/>
    <cellStyle name="千位分隔 5" xfId="4381"/>
    <cellStyle name="千位分隔 5 2" xfId="4382"/>
    <cellStyle name="千位分隔 5 2 2" xfId="4383"/>
    <cellStyle name="千位分隔 5 3" xfId="4384"/>
    <cellStyle name="千位分隔 5 3 2" xfId="4385"/>
    <cellStyle name="千位分隔 5 4" xfId="4386"/>
    <cellStyle name="千位分隔 5 4 2" xfId="4387"/>
    <cellStyle name="千位分隔 5 5" xfId="4388"/>
    <cellStyle name="千位分隔 6" xfId="4389"/>
    <cellStyle name="千位分隔 6 2" xfId="4390"/>
    <cellStyle name="千位分隔 6 2 2" xfId="4391"/>
    <cellStyle name="千位分隔 6 3" xfId="4392"/>
    <cellStyle name="千位分隔 6 3 2" xfId="4393"/>
    <cellStyle name="千位分隔 6 4" xfId="4394"/>
    <cellStyle name="千位分隔 7" xfId="4395"/>
    <cellStyle name="千位分隔 7 2" xfId="4396"/>
    <cellStyle name="千位分隔 8" xfId="4397"/>
    <cellStyle name="千位分隔 8 2" xfId="4398"/>
    <cellStyle name="千位分隔 9" xfId="4399"/>
    <cellStyle name="千位分隔 9 2" xfId="4400"/>
    <cellStyle name="钎霖_laroux" xfId="4401"/>
    <cellStyle name="强调文字颜色 1 2" xfId="4402"/>
    <cellStyle name="强调文字颜色 1 2 2" xfId="4403"/>
    <cellStyle name="强调文字颜色 1 2 2 2" xfId="4404"/>
    <cellStyle name="强调文字颜色 1 2 2 2 2" xfId="4405"/>
    <cellStyle name="强调文字颜色 1 2 2 2 2 2" xfId="4406"/>
    <cellStyle name="强调文字颜色 1 2 2 2 3" xfId="4407"/>
    <cellStyle name="强调文字颜色 1 2 2 3 2" xfId="4408"/>
    <cellStyle name="强调文字颜色 1 2 2 4" xfId="4409"/>
    <cellStyle name="强调文字颜色 1 2 3" xfId="4410"/>
    <cellStyle name="强调文字颜色 1 2 3 2" xfId="4411"/>
    <cellStyle name="强调文字颜色 1 2 3 3" xfId="4412"/>
    <cellStyle name="强调文字颜色 1 2 3 4" xfId="4413"/>
    <cellStyle name="强调文字颜色 1 2 3 5" xfId="4414"/>
    <cellStyle name="强调文字颜色 1 2 4" xfId="4415"/>
    <cellStyle name="强调文字颜色 1 2 4 2" xfId="4416"/>
    <cellStyle name="强调文字颜色 1 2 4 2 2" xfId="4417"/>
    <cellStyle name="强调文字颜色 1 2 4 3" xfId="4418"/>
    <cellStyle name="强调文字颜色 1 2 5" xfId="4419"/>
    <cellStyle name="强调文字颜色 1 2 5 2" xfId="4420"/>
    <cellStyle name="强调文字颜色 1 2 6" xfId="4421"/>
    <cellStyle name="强调文字颜色 1 2 7" xfId="4422"/>
    <cellStyle name="强调文字颜色 1 3" xfId="4423"/>
    <cellStyle name="强调文字颜色 1 3 2" xfId="4424"/>
    <cellStyle name="强调文字颜色 1 3 2 2" xfId="4425"/>
    <cellStyle name="强调文字颜色 1 3 2 2 2 2" xfId="4426"/>
    <cellStyle name="强调文字颜色 1 3 2 2 3" xfId="4427"/>
    <cellStyle name="强调文字颜色 1 3 2 3" xfId="4428"/>
    <cellStyle name="强调文字颜色 1 3 2 3 2" xfId="4429"/>
    <cellStyle name="强调文字颜色 1 3 2 4" xfId="4430"/>
    <cellStyle name="强调文字颜色 1 3 3 2" xfId="4431"/>
    <cellStyle name="强调文字颜色 1 3 3 3" xfId="4432"/>
    <cellStyle name="强调文字颜色 1 3 4" xfId="4433"/>
    <cellStyle name="强调文字颜色 1 3 4 2" xfId="4434"/>
    <cellStyle name="强调文字颜色 1 3 5" xfId="4435"/>
    <cellStyle name="强调文字颜色 1 4" xfId="4436"/>
    <cellStyle name="强调文字颜色 1 4 2" xfId="4437"/>
    <cellStyle name="强调文字颜色 1 4 2 2" xfId="4438"/>
    <cellStyle name="强调文字颜色 1 4 2 2 2" xfId="4439"/>
    <cellStyle name="强调文字颜色 1 4 2 3" xfId="4440"/>
    <cellStyle name="强调文字颜色 1 4 3" xfId="4441"/>
    <cellStyle name="强调文字颜色 1 4 3 2" xfId="4442"/>
    <cellStyle name="强调文字颜色 1 4 4" xfId="4443"/>
    <cellStyle name="强调文字颜色 1 5" xfId="4444"/>
    <cellStyle name="强调文字颜色 1 5 2" xfId="4445"/>
    <cellStyle name="强调文字颜色 1 5 2 2" xfId="4446"/>
    <cellStyle name="强调文字颜色 1 5 2 2 2" xfId="4447"/>
    <cellStyle name="强调文字颜色 1 5 2 3" xfId="4448"/>
    <cellStyle name="强调文字颜色 1 5 3" xfId="4449"/>
    <cellStyle name="强调文字颜色 1 5 3 2" xfId="4450"/>
    <cellStyle name="强调文字颜色 1 5 4" xfId="4451"/>
    <cellStyle name="强调文字颜色 1 6" xfId="4452"/>
    <cellStyle name="强调文字颜色 1 6 2" xfId="4453"/>
    <cellStyle name="强调文字颜色 1 6 2 2" xfId="4454"/>
    <cellStyle name="强调文字颜色 1 6 3" xfId="4455"/>
    <cellStyle name="强调文字颜色 1 7" xfId="4456"/>
    <cellStyle name="强调文字颜色 1 7 2" xfId="4457"/>
    <cellStyle name="强调文字颜色 1 8" xfId="4458"/>
    <cellStyle name="强调文字颜色 1 9" xfId="4459"/>
    <cellStyle name="强调文字颜色 2 2" xfId="4460"/>
    <cellStyle name="强调文字颜色 2 2 2" xfId="4461"/>
    <cellStyle name="强调文字颜色 2 2 3" xfId="4462"/>
    <cellStyle name="强调文字颜色 2 2 4" xfId="4463"/>
    <cellStyle name="强调文字颜色 2 2 5" xfId="4464"/>
    <cellStyle name="强调文字颜色 2 2 6" xfId="4465"/>
    <cellStyle name="强调文字颜色 2 2 7" xfId="4466"/>
    <cellStyle name="强调文字颜色 2 3" xfId="4467"/>
    <cellStyle name="强调文字颜色 2 3 2" xfId="4468"/>
    <cellStyle name="强调文字颜色 2 3 2 2" xfId="4469"/>
    <cellStyle name="强调文字颜色 2 3 2 2 2" xfId="4470"/>
    <cellStyle name="强调文字颜色 2 3 2 2 2 2" xfId="4471"/>
    <cellStyle name="强调文字颜色 2 3 2 2 3" xfId="4472"/>
    <cellStyle name="强调文字颜色 2 3 2 3" xfId="4473"/>
    <cellStyle name="强调文字颜色 2 3 2 3 2" xfId="4474"/>
    <cellStyle name="强调文字颜色 2 3 2 4" xfId="4475"/>
    <cellStyle name="强调文字颜色 2 3 3" xfId="4476"/>
    <cellStyle name="强调文字颜色 2 3 3 2" xfId="4477"/>
    <cellStyle name="强调文字颜色 2 3 3 2 2" xfId="4478"/>
    <cellStyle name="强调文字颜色 2 3 3 3" xfId="4479"/>
    <cellStyle name="强调文字颜色 2 3 4" xfId="4480"/>
    <cellStyle name="强调文字颜色 2 3 4 2" xfId="4481"/>
    <cellStyle name="强调文字颜色 2 3 5" xfId="4482"/>
    <cellStyle name="强调文字颜色 2 4" xfId="4483"/>
    <cellStyle name="强调文字颜色 2 4 2" xfId="4484"/>
    <cellStyle name="强调文字颜色 2 4 2 2" xfId="4485"/>
    <cellStyle name="强调文字颜色 2 4 2 2 2" xfId="4486"/>
    <cellStyle name="强调文字颜色 2 4 2 3" xfId="4487"/>
    <cellStyle name="强调文字颜色 2 4 3" xfId="4488"/>
    <cellStyle name="强调文字颜色 2 4 3 2" xfId="4489"/>
    <cellStyle name="强调文字颜色 2 4 4" xfId="4490"/>
    <cellStyle name="强调文字颜色 2 5" xfId="4491"/>
    <cellStyle name="强调文字颜色 2 5 2" xfId="4492"/>
    <cellStyle name="强调文字颜色 2 5 2 2" xfId="4493"/>
    <cellStyle name="强调文字颜色 2 5 2 2 2" xfId="4494"/>
    <cellStyle name="强调文字颜色 2 5 2 3" xfId="4495"/>
    <cellStyle name="强调文字颜色 2 5 3" xfId="4496"/>
    <cellStyle name="强调文字颜色 2 5 3 2" xfId="4497"/>
    <cellStyle name="强调文字颜色 2 5 4" xfId="4498"/>
    <cellStyle name="强调文字颜色 2 6" xfId="4499"/>
    <cellStyle name="强调文字颜色 2 6 2" xfId="4500"/>
    <cellStyle name="强调文字颜色 2 6 2 2" xfId="4501"/>
    <cellStyle name="强调文字颜色 2 6 3" xfId="4502"/>
    <cellStyle name="强调文字颜色 2 7" xfId="4503"/>
    <cellStyle name="强调文字颜色 2 7 2" xfId="4504"/>
    <cellStyle name="强调文字颜色 2 8" xfId="4505"/>
    <cellStyle name="强调文字颜色 2 9" xfId="4506"/>
    <cellStyle name="强调文字颜色 3 2 2" xfId="4507"/>
    <cellStyle name="强调文字颜色 3 2 2 2" xfId="4508"/>
    <cellStyle name="强调文字颜色 3 2 2 2 2" xfId="4509"/>
    <cellStyle name="强调文字颜色 3 2 2 2 2 2" xfId="4510"/>
    <cellStyle name="强调文字颜色 3 2 2 2 3" xfId="4511"/>
    <cellStyle name="强调文字颜色 3 2 2 3" xfId="4512"/>
    <cellStyle name="强调文字颜色 3 2 2 3 2" xfId="4513"/>
    <cellStyle name="强调文字颜色 3 2 2 4" xfId="4514"/>
    <cellStyle name="强调文字颜色 3 2 3" xfId="4515"/>
    <cellStyle name="强调文字颜色 3 2 3 2" xfId="4516"/>
    <cellStyle name="强调文字颜色 3 2 3 2 2" xfId="4517"/>
    <cellStyle name="强调文字颜色 3 2 3 2 2 2" xfId="4518"/>
    <cellStyle name="强调文字颜色 3 2 3 2 3" xfId="4519"/>
    <cellStyle name="强调文字颜色 3 2 3 3" xfId="4520"/>
    <cellStyle name="强调文字颜色 3 2 3 3 2" xfId="4521"/>
    <cellStyle name="强调文字颜色 3 2 3 4" xfId="4522"/>
    <cellStyle name="强调文字颜色 3 2 3 5" xfId="4523"/>
    <cellStyle name="强调文字颜色 3 2 4" xfId="4524"/>
    <cellStyle name="强调文字颜色 3 2 4 2" xfId="4525"/>
    <cellStyle name="强调文字颜色 3 2 4 2 2" xfId="4526"/>
    <cellStyle name="强调文字颜色 3 2 4 3" xfId="4527"/>
    <cellStyle name="强调文字颜色 3 3" xfId="4528"/>
    <cellStyle name="强调文字颜色 3 3 2" xfId="4529"/>
    <cellStyle name="强调文字颜色 3 3 2 2" xfId="4530"/>
    <cellStyle name="强调文字颜色 3 3 2 2 2" xfId="4531"/>
    <cellStyle name="强调文字颜色 3 3 2 2 2 2" xfId="4532"/>
    <cellStyle name="强调文字颜色 3 3 2 2 3" xfId="4533"/>
    <cellStyle name="强调文字颜色 3 3 2 3" xfId="4534"/>
    <cellStyle name="强调文字颜色 3 3 2 3 2" xfId="4535"/>
    <cellStyle name="强调文字颜色 3 3 2 4" xfId="4536"/>
    <cellStyle name="强调文字颜色 3 3 3" xfId="4537"/>
    <cellStyle name="强调文字颜色 3 3 3 2" xfId="4538"/>
    <cellStyle name="强调文字颜色 3 3 3 2 2" xfId="4539"/>
    <cellStyle name="强调文字颜色 3 3 3 3" xfId="4540"/>
    <cellStyle name="强调文字颜色 3 3 4" xfId="4541"/>
    <cellStyle name="强调文字颜色 3 3 4 2" xfId="4542"/>
    <cellStyle name="强调文字颜色 3 4" xfId="4543"/>
    <cellStyle name="强调文字颜色 3 4 2" xfId="4544"/>
    <cellStyle name="强调文字颜色 3 4 2 2" xfId="4545"/>
    <cellStyle name="强调文字颜色 3 4 2 2 2" xfId="4546"/>
    <cellStyle name="强调文字颜色 3 4 3" xfId="4547"/>
    <cellStyle name="强调文字颜色 3 4 3 2" xfId="4548"/>
    <cellStyle name="强调文字颜色 3 4 4" xfId="4549"/>
    <cellStyle name="强调文字颜色 3 5" xfId="4550"/>
    <cellStyle name="强调文字颜色 3 5 2" xfId="4551"/>
    <cellStyle name="强调文字颜色 3 5 2 2" xfId="4552"/>
    <cellStyle name="强调文字颜色 3 5 2 2 2" xfId="4553"/>
    <cellStyle name="强调文字颜色 3 5 2 3" xfId="4554"/>
    <cellStyle name="强调文字颜色 3 5 3" xfId="4555"/>
    <cellStyle name="强调文字颜色 3 5 3 2" xfId="4556"/>
    <cellStyle name="强调文字颜色 3 5 4" xfId="4557"/>
    <cellStyle name="强调文字颜色 3 6" xfId="4558"/>
    <cellStyle name="强调文字颜色 3 6 2" xfId="4559"/>
    <cellStyle name="强调文字颜色 3 6 2 2" xfId="4560"/>
    <cellStyle name="强调文字颜色 3 6 3" xfId="4561"/>
    <cellStyle name="强调文字颜色 3 7" xfId="4562"/>
    <cellStyle name="强调文字颜色 3 7 2" xfId="4563"/>
    <cellStyle name="强调文字颜色 3 8" xfId="4564"/>
    <cellStyle name="强调文字颜色 3 9" xfId="4565"/>
    <cellStyle name="强调文字颜色 4 2 2" xfId="4566"/>
    <cellStyle name="强调文字颜色 4 2 2 2" xfId="4567"/>
    <cellStyle name="强调文字颜色 4 2 2 2 2" xfId="4568"/>
    <cellStyle name="强调文字颜色 4 2 2 2 2 2" xfId="4569"/>
    <cellStyle name="强调文字颜色 4 2 2 2 3" xfId="4570"/>
    <cellStyle name="强调文字颜色 4 2 2 3" xfId="4571"/>
    <cellStyle name="强调文字颜色 4 2 2 4" xfId="4572"/>
    <cellStyle name="强调文字颜色 4 2 3" xfId="4573"/>
    <cellStyle name="强调文字颜色 4 2 3 5" xfId="4574"/>
    <cellStyle name="强调文字颜色 4 2 4" xfId="4575"/>
    <cellStyle name="强调文字颜色 4 2 4 2" xfId="4576"/>
    <cellStyle name="强调文字颜色 4 2 4 2 2" xfId="4577"/>
    <cellStyle name="强调文字颜色 4 2 4 3" xfId="4578"/>
    <cellStyle name="强调文字颜色 4 2 5 2" xfId="4579"/>
    <cellStyle name="强调文字颜色 4 2 6" xfId="4580"/>
    <cellStyle name="强调文字颜色 4 2 7" xfId="4581"/>
    <cellStyle name="强调文字颜色 4 3" xfId="4582"/>
    <cellStyle name="强调文字颜色 4 3 2" xfId="4583"/>
    <cellStyle name="强调文字颜色 4 3 2 2" xfId="4584"/>
    <cellStyle name="强调文字颜色 4 3 2 2 2" xfId="4585"/>
    <cellStyle name="强调文字颜色 4 3 2 2 2 2" xfId="4586"/>
    <cellStyle name="强调文字颜色 4 3 2 2 3" xfId="4587"/>
    <cellStyle name="强调文字颜色 4 3 2 3" xfId="4588"/>
    <cellStyle name="强调文字颜色 4 3 2 3 2" xfId="4589"/>
    <cellStyle name="强调文字颜色 4 3 2 4" xfId="4590"/>
    <cellStyle name="强调文字颜色 4 3 3" xfId="4591"/>
    <cellStyle name="强调文字颜色 4 3 3 2" xfId="4592"/>
    <cellStyle name="强调文字颜色 4 3 3 2 2" xfId="4593"/>
    <cellStyle name="强调文字颜色 4 3 3 3" xfId="4594"/>
    <cellStyle name="强调文字颜色 4 3 4" xfId="4595"/>
    <cellStyle name="强调文字颜色 4 3 4 2" xfId="4596"/>
    <cellStyle name="强调文字颜色 4 4" xfId="4597"/>
    <cellStyle name="强调文字颜色 4 4 2" xfId="4598"/>
    <cellStyle name="强调文字颜色 4 4 2 2" xfId="4599"/>
    <cellStyle name="强调文字颜色 4 4 2 2 2" xfId="4600"/>
    <cellStyle name="强调文字颜色 4 4 2 3" xfId="4601"/>
    <cellStyle name="强调文字颜色 4 4 3" xfId="4602"/>
    <cellStyle name="强调文字颜色 4 4 3 2" xfId="4603"/>
    <cellStyle name="强调文字颜色 4 4 4" xfId="4604"/>
    <cellStyle name="强调文字颜色 4 5" xfId="4605"/>
    <cellStyle name="强调文字颜色 4 5 2" xfId="4606"/>
    <cellStyle name="强调文字颜色 4 5 2 2" xfId="4607"/>
    <cellStyle name="强调文字颜色 4 5 2 2 2" xfId="4608"/>
    <cellStyle name="强调文字颜色 4 5 2 3" xfId="4609"/>
    <cellStyle name="强调文字颜色 4 5 3" xfId="4610"/>
    <cellStyle name="强调文字颜色 4 5 3 2" xfId="4611"/>
    <cellStyle name="强调文字颜色 4 5 4" xfId="4612"/>
    <cellStyle name="强调文字颜色 4 6" xfId="4613"/>
    <cellStyle name="强调文字颜色 4 6 2" xfId="4614"/>
    <cellStyle name="强调文字颜色 4 6 2 2" xfId="4615"/>
    <cellStyle name="强调文字颜色 4 6 3" xfId="4616"/>
    <cellStyle name="强调文字颜色 4 7" xfId="4617"/>
    <cellStyle name="强调文字颜色 4 7 2" xfId="4618"/>
    <cellStyle name="强调文字颜色 4 8" xfId="4619"/>
    <cellStyle name="强调文字颜色 4 9" xfId="4620"/>
    <cellStyle name="强调文字颜色 5 2 2" xfId="4621"/>
    <cellStyle name="强调文字颜色 5 2 2 2" xfId="4622"/>
    <cellStyle name="强调文字颜色 5 2 2 2 2" xfId="4623"/>
    <cellStyle name="强调文字颜色 5 2 2 2 2 2" xfId="4624"/>
    <cellStyle name="强调文字颜色 5 2 2 2 3" xfId="4625"/>
    <cellStyle name="强调文字颜色 5 2 2 3" xfId="4626"/>
    <cellStyle name="强调文字颜色 5 2 2 3 2" xfId="4627"/>
    <cellStyle name="强调文字颜色 5 2 2 4" xfId="4628"/>
    <cellStyle name="强调文字颜色 5 2 3 2" xfId="4629"/>
    <cellStyle name="强调文字颜色 5 2 3 2 2" xfId="4630"/>
    <cellStyle name="强调文字颜色 5 2 3 2 2 2" xfId="4631"/>
    <cellStyle name="强调文字颜色 5 2 3 2 3" xfId="4632"/>
    <cellStyle name="强调文字颜色 5 2 3 3" xfId="4633"/>
    <cellStyle name="强调文字颜色 5 2 3 3 2" xfId="4634"/>
    <cellStyle name="强调文字颜色 5 2 3 4" xfId="4635"/>
    <cellStyle name="强调文字颜色 5 2 3 5" xfId="4636"/>
    <cellStyle name="强调文字颜色 5 2 4" xfId="4637"/>
    <cellStyle name="强调文字颜色 5 2 4 2" xfId="4638"/>
    <cellStyle name="强调文字颜色 5 2 4 2 2" xfId="4639"/>
    <cellStyle name="强调文字颜色 5 2 4 3" xfId="4640"/>
    <cellStyle name="强调文字颜色 5 2 5 2" xfId="4641"/>
    <cellStyle name="输出 6 2 2" xfId="4642"/>
    <cellStyle name="强调文字颜色 5 2 6" xfId="4643"/>
    <cellStyle name="输出 6 3" xfId="4644"/>
    <cellStyle name="强调文字颜色 5 2 7" xfId="4645"/>
    <cellStyle name="强调文字颜色 5 3" xfId="4646"/>
    <cellStyle name="强调文字颜色 5 3 2" xfId="4647"/>
    <cellStyle name="强调文字颜色 5 3 2 2" xfId="4648"/>
    <cellStyle name="强调文字颜色 5 3 2 2 2" xfId="4649"/>
    <cellStyle name="强调文字颜色 5 3 2 2 2 2" xfId="4650"/>
    <cellStyle name="强调文字颜色 5 3 2 2 3" xfId="4651"/>
    <cellStyle name="强调文字颜色 5 3 2 3" xfId="4652"/>
    <cellStyle name="强调文字颜色 5 3 2 4" xfId="4653"/>
    <cellStyle name="强调文字颜色 5 3 3" xfId="4654"/>
    <cellStyle name="强调文字颜色 5 3 3 2" xfId="4655"/>
    <cellStyle name="强调文字颜色 5 3 3 2 2" xfId="4656"/>
    <cellStyle name="强调文字颜色 5 3 3 3" xfId="4657"/>
    <cellStyle name="强调文字颜色 5 3 4" xfId="4658"/>
    <cellStyle name="强调文字颜色 5 3 4 2" xfId="4659"/>
    <cellStyle name="强调文字颜色 5 4" xfId="4660"/>
    <cellStyle name="强调文字颜色 5 4 2" xfId="4661"/>
    <cellStyle name="强调文字颜色 5 4 2 2" xfId="4662"/>
    <cellStyle name="强调文字颜色 5 4 2 2 2" xfId="4663"/>
    <cellStyle name="强调文字颜色 5 4 2 3" xfId="4664"/>
    <cellStyle name="强调文字颜色 5 4 3" xfId="4665"/>
    <cellStyle name="强调文字颜色 5 4 3 2" xfId="4666"/>
    <cellStyle name="强调文字颜色 5 4 4" xfId="4667"/>
    <cellStyle name="强调文字颜色 5 5" xfId="4668"/>
    <cellStyle name="强调文字颜色 5 5 2 2" xfId="4669"/>
    <cellStyle name="强调文字颜色 5 5 2 2 2" xfId="4670"/>
    <cellStyle name="强调文字颜色 5 5 2 3" xfId="4671"/>
    <cellStyle name="强调文字颜色 5 5 3" xfId="4672"/>
    <cellStyle name="强调文字颜色 5 5 3 2" xfId="4673"/>
    <cellStyle name="强调文字颜色 5 5 4" xfId="4674"/>
    <cellStyle name="强调文字颜色 5 6" xfId="4675"/>
    <cellStyle name="强调文字颜色 5 6 2" xfId="4676"/>
    <cellStyle name="强调文字颜色 5 6 2 2" xfId="4677"/>
    <cellStyle name="强调文字颜色 5 6 3" xfId="4678"/>
    <cellStyle name="强调文字颜色 5 7 2" xfId="4679"/>
    <cellStyle name="强调文字颜色 5 8" xfId="4680"/>
    <cellStyle name="强调文字颜色 5 9" xfId="4681"/>
    <cellStyle name="强调文字颜色 6 2" xfId="4682"/>
    <cellStyle name="强调文字颜色 6 2 2" xfId="4683"/>
    <cellStyle name="强调文字颜色 6 2 2 2" xfId="4684"/>
    <cellStyle name="强调文字颜色 6 2 2 2 2" xfId="4685"/>
    <cellStyle name="强调文字颜色 6 2 2 2 2 2" xfId="4686"/>
    <cellStyle name="强调文字颜色 6 2 2 2 3" xfId="4687"/>
    <cellStyle name="强调文字颜色 6 2 2 3" xfId="4688"/>
    <cellStyle name="强调文字颜色 6 2 2 3 2" xfId="4689"/>
    <cellStyle name="强调文字颜色 6 2 2 4" xfId="4690"/>
    <cellStyle name="强调文字颜色 6 2 3" xfId="4691"/>
    <cellStyle name="强调文字颜色 6 2 3 2" xfId="4692"/>
    <cellStyle name="强调文字颜色 6 2 3 2 2" xfId="4693"/>
    <cellStyle name="强调文字颜色 6 2 3 2 2 2" xfId="4694"/>
    <cellStyle name="强调文字颜色 6 2 3 2 3" xfId="4695"/>
    <cellStyle name="强调文字颜色 6 2 3 3" xfId="4696"/>
    <cellStyle name="强调文字颜色 6 2 3 3 2" xfId="4697"/>
    <cellStyle name="强调文字颜色 6 2 3 4" xfId="4698"/>
    <cellStyle name="强调文字颜色 6 2 3 5" xfId="4699"/>
    <cellStyle name="强调文字颜色 6 2 4" xfId="4700"/>
    <cellStyle name="强调文字颜色 6 2 4 2" xfId="4701"/>
    <cellStyle name="强调文字颜色 6 2 4 2 2" xfId="4702"/>
    <cellStyle name="强调文字颜色 6 2 4 3" xfId="4703"/>
    <cellStyle name="强调文字颜色 6 2 5 2" xfId="4704"/>
    <cellStyle name="强调文字颜色 6 2 6" xfId="4705"/>
    <cellStyle name="强调文字颜色 6 2 7" xfId="4706"/>
    <cellStyle name="强调文字颜色 6 3" xfId="4707"/>
    <cellStyle name="强调文字颜色 6 3 2" xfId="4708"/>
    <cellStyle name="强调文字颜色 6 3 2 2" xfId="4709"/>
    <cellStyle name="强调文字颜色 6 3 2 2 2" xfId="4710"/>
    <cellStyle name="强调文字颜色 6 3 2 2 2 2" xfId="4711"/>
    <cellStyle name="强调文字颜色 6 3 2 2 3" xfId="4712"/>
    <cellStyle name="强调文字颜色 6 3 2 3" xfId="4713"/>
    <cellStyle name="强调文字颜色 6 3 2 3 2" xfId="4714"/>
    <cellStyle name="强调文字颜色 6 3 2 4" xfId="4715"/>
    <cellStyle name="强调文字颜色 6 3 3" xfId="4716"/>
    <cellStyle name="强调文字颜色 6 3 3 2" xfId="4717"/>
    <cellStyle name="强调文字颜色 6 3 3 2 2" xfId="4718"/>
    <cellStyle name="强调文字颜色 6 3 3 3" xfId="4719"/>
    <cellStyle name="强调文字颜色 6 3 4" xfId="4720"/>
    <cellStyle name="强调文字颜色 6 3 4 2" xfId="4721"/>
    <cellStyle name="强调文字颜色 6 4" xfId="4722"/>
    <cellStyle name="强调文字颜色 6 4 2" xfId="4723"/>
    <cellStyle name="强调文字颜色 6 4 2 2" xfId="4724"/>
    <cellStyle name="强调文字颜色 6 4 2 2 2" xfId="4725"/>
    <cellStyle name="强调文字颜色 6 4 2 3" xfId="4726"/>
    <cellStyle name="强调文字颜色 6 4 3" xfId="4727"/>
    <cellStyle name="强调文字颜色 6 4 3 2" xfId="4728"/>
    <cellStyle name="强调文字颜色 6 4 4" xfId="4729"/>
    <cellStyle name="强调文字颜色 6 5" xfId="4730"/>
    <cellStyle name="强调文字颜色 6 5 2" xfId="4731"/>
    <cellStyle name="强调文字颜色 6 5 2 2" xfId="4732"/>
    <cellStyle name="强调文字颜色 6 5 2 2 2" xfId="4733"/>
    <cellStyle name="强调文字颜色 6 5 2 3" xfId="4734"/>
    <cellStyle name="强调文字颜色 6 5 3" xfId="4735"/>
    <cellStyle name="强调文字颜色 6 5 3 2" xfId="4736"/>
    <cellStyle name="强调文字颜色 6 5 4" xfId="4737"/>
    <cellStyle name="强调文字颜色 6 6" xfId="4738"/>
    <cellStyle name="强调文字颜色 6 6 2" xfId="4739"/>
    <cellStyle name="强调文字颜色 6 6 2 2" xfId="4740"/>
    <cellStyle name="强调文字颜色 6 6 3" xfId="4741"/>
    <cellStyle name="强调文字颜色 6 7" xfId="4742"/>
    <cellStyle name="强调文字颜色 6 7 2" xfId="4743"/>
    <cellStyle name="强调文字颜色 6 8" xfId="4744"/>
    <cellStyle name="强调文字颜色 6 9" xfId="4745"/>
    <cellStyle name="适中 2" xfId="4746"/>
    <cellStyle name="适中 2 2" xfId="4747"/>
    <cellStyle name="适中 2 2 2" xfId="4748"/>
    <cellStyle name="适中 2 2 2 2" xfId="4749"/>
    <cellStyle name="适中 2 2 2 2 2" xfId="4750"/>
    <cellStyle name="适中 2 2 2 3" xfId="4751"/>
    <cellStyle name="适中 2 2 3" xfId="4752"/>
    <cellStyle name="适中 2 2 3 2" xfId="4753"/>
    <cellStyle name="适中 2 2 4" xfId="4754"/>
    <cellStyle name="适中 2 3" xfId="4755"/>
    <cellStyle name="适中 2 3 2" xfId="4756"/>
    <cellStyle name="适中 2 3 2 2" xfId="4757"/>
    <cellStyle name="适中 2 3 3" xfId="4758"/>
    <cellStyle name="适中 2 4" xfId="4759"/>
    <cellStyle name="适中 2 4 2" xfId="4760"/>
    <cellStyle name="适中 2 5" xfId="4761"/>
    <cellStyle name="适中 3" xfId="4762"/>
    <cellStyle name="适中 3 2" xfId="4763"/>
    <cellStyle name="适中 3 2 2" xfId="4764"/>
    <cellStyle name="适中 3 2 2 3" xfId="4765"/>
    <cellStyle name="适中 3 2 3" xfId="4766"/>
    <cellStyle name="适中 3 2 3 2" xfId="4767"/>
    <cellStyle name="适中 3 2 4" xfId="4768"/>
    <cellStyle name="适中 3 3" xfId="4769"/>
    <cellStyle name="适中 3 3 2" xfId="4770"/>
    <cellStyle name="适中 3 3 2 2" xfId="4771"/>
    <cellStyle name="适中 3 3 3" xfId="4772"/>
    <cellStyle name="适中 3 4" xfId="4773"/>
    <cellStyle name="适中 3 4 2" xfId="4774"/>
    <cellStyle name="适中 3 5" xfId="4775"/>
    <cellStyle name="适中 4" xfId="4776"/>
    <cellStyle name="适中 4 2" xfId="4777"/>
    <cellStyle name="适中 4 2 2" xfId="4778"/>
    <cellStyle name="适中 4 2 2 2" xfId="4779"/>
    <cellStyle name="适中 4 2 3" xfId="4780"/>
    <cellStyle name="适中 4 3" xfId="4781"/>
    <cellStyle name="适中 4 3 2" xfId="4782"/>
    <cellStyle name="适中 4 4" xfId="4783"/>
    <cellStyle name="适中 5" xfId="4784"/>
    <cellStyle name="适中 5 2" xfId="4785"/>
    <cellStyle name="适中 5 2 2" xfId="4786"/>
    <cellStyle name="适中 5 2 2 2" xfId="4787"/>
    <cellStyle name="适中 5 2 3" xfId="4788"/>
    <cellStyle name="适中 5 3" xfId="4789"/>
    <cellStyle name="适中 5 3 2" xfId="4790"/>
    <cellStyle name="适中 5 4" xfId="4791"/>
    <cellStyle name="适中 6 2" xfId="4792"/>
    <cellStyle name="适中 6 2 2" xfId="4793"/>
    <cellStyle name="适中 6 3" xfId="4794"/>
    <cellStyle name="适中 7" xfId="4795"/>
    <cellStyle name="适中 7 2" xfId="4796"/>
    <cellStyle name="适中 8" xfId="4797"/>
    <cellStyle name="输出 2" xfId="4798"/>
    <cellStyle name="输出 2 2" xfId="4799"/>
    <cellStyle name="输出 2 2 2" xfId="4800"/>
    <cellStyle name="输出 2 2 2 2" xfId="4801"/>
    <cellStyle name="输出 2 2 2 3" xfId="4802"/>
    <cellStyle name="输出 2 2 3" xfId="4803"/>
    <cellStyle name="输出 2 2 3 2" xfId="4804"/>
    <cellStyle name="输出 2 2 4" xfId="4805"/>
    <cellStyle name="输出 2 3" xfId="4806"/>
    <cellStyle name="输出 2 3 2" xfId="4807"/>
    <cellStyle name="输出 2 3 2 2" xfId="4808"/>
    <cellStyle name="输出 2 3 2 2 2" xfId="4809"/>
    <cellStyle name="输出 2 3 3" xfId="4810"/>
    <cellStyle name="输出 2 3 3 2" xfId="4811"/>
    <cellStyle name="输出 2 4" xfId="4812"/>
    <cellStyle name="输出 2 4 2" xfId="4813"/>
    <cellStyle name="输出 2 4 2 2" xfId="4814"/>
    <cellStyle name="输出 2 4 3" xfId="4815"/>
    <cellStyle name="输出 2 5" xfId="4816"/>
    <cellStyle name="输出 2 5 2" xfId="4817"/>
    <cellStyle name="输出 2 6" xfId="4818"/>
    <cellStyle name="输出 2 7" xfId="4819"/>
    <cellStyle name="输出 3" xfId="4820"/>
    <cellStyle name="输出 3 2" xfId="4821"/>
    <cellStyle name="输出 3 2 2" xfId="4822"/>
    <cellStyle name="输出 3 2 2 2" xfId="4823"/>
    <cellStyle name="输出 3 2 2 2 2" xfId="4824"/>
    <cellStyle name="输出 3 2 3" xfId="4825"/>
    <cellStyle name="输出 3 2 3 2" xfId="4826"/>
    <cellStyle name="输出 3 2 4" xfId="4827"/>
    <cellStyle name="输出 3 3" xfId="4828"/>
    <cellStyle name="输出 3 3 2" xfId="4829"/>
    <cellStyle name="输出 3 3 2 2" xfId="4830"/>
    <cellStyle name="输出 3 3 3" xfId="4831"/>
    <cellStyle name="输出 3 4" xfId="4832"/>
    <cellStyle name="输出 3 4 2" xfId="4833"/>
    <cellStyle name="输出 3 5" xfId="4834"/>
    <cellStyle name="输出 4" xfId="4835"/>
    <cellStyle name="输出 4 2" xfId="4836"/>
    <cellStyle name="输出 4 2 2" xfId="4837"/>
    <cellStyle name="输出 4 2 2 2" xfId="4838"/>
    <cellStyle name="输出 4 2 3" xfId="4839"/>
    <cellStyle name="输出 4 3" xfId="4840"/>
    <cellStyle name="输出 4 3 2" xfId="4841"/>
    <cellStyle name="输出 4 4" xfId="4842"/>
    <cellStyle name="输出 5" xfId="4843"/>
    <cellStyle name="输出 5 2" xfId="4844"/>
    <cellStyle name="输出 5 2 2" xfId="4845"/>
    <cellStyle name="输出 5 2 2 2" xfId="4846"/>
    <cellStyle name="输出 5 2 3" xfId="4847"/>
    <cellStyle name="输出 5 3" xfId="4848"/>
    <cellStyle name="输出 5 3 2" xfId="4849"/>
    <cellStyle name="输出 5 4" xfId="4850"/>
    <cellStyle name="输入 2 2 2" xfId="4851"/>
    <cellStyle name="输入 2 2 2 2" xfId="4852"/>
    <cellStyle name="输入 2 2 2 2 2" xfId="4853"/>
    <cellStyle name="输入 2 2 3" xfId="4854"/>
    <cellStyle name="输入 2 2 3 2" xfId="4855"/>
    <cellStyle name="输入 2 2 4" xfId="4856"/>
    <cellStyle name="输入 2 3" xfId="4857"/>
    <cellStyle name="输入 2 3 2" xfId="4858"/>
    <cellStyle name="输入 2 3 2 2" xfId="4859"/>
    <cellStyle name="输入 2 3 3" xfId="4860"/>
    <cellStyle name="输入 2 4" xfId="4861"/>
    <cellStyle name="输入 2 4 2" xfId="4862"/>
    <cellStyle name="输入 3 2" xfId="4863"/>
    <cellStyle name="输入 3 2 2" xfId="4864"/>
    <cellStyle name="输入 3 2 2 2" xfId="4865"/>
    <cellStyle name="输入 3 2 2 2 2" xfId="4866"/>
    <cellStyle name="输入 3 2 2 3" xfId="4867"/>
    <cellStyle name="输入 3 2 3" xfId="4868"/>
    <cellStyle name="输入 3 2 3 2" xfId="4869"/>
    <cellStyle name="输入 3 2 4" xfId="4870"/>
    <cellStyle name="输入 3 3" xfId="4871"/>
    <cellStyle name="输入 3 3 2 2" xfId="4872"/>
    <cellStyle name="输入 3 3 3" xfId="4873"/>
    <cellStyle name="输入 3 4" xfId="4874"/>
    <cellStyle name="输入 3 4 2" xfId="4875"/>
    <cellStyle name="输入 4" xfId="4876"/>
    <cellStyle name="输入 4 2" xfId="4877"/>
    <cellStyle name="输入 4 2 2" xfId="4878"/>
    <cellStyle name="输入 4 2 2 2" xfId="4879"/>
    <cellStyle name="输入 4 2 3" xfId="4880"/>
    <cellStyle name="输入 4 3" xfId="4881"/>
    <cellStyle name="输入 4 3 2" xfId="4882"/>
    <cellStyle name="输入 4 4" xfId="4883"/>
    <cellStyle name="输入 5" xfId="4884"/>
    <cellStyle name="输入 5 2" xfId="4885"/>
    <cellStyle name="输入 5 2 2" xfId="4886"/>
    <cellStyle name="输入 6 3" xfId="4887"/>
    <cellStyle name="输入 5 2 2 2" xfId="4888"/>
    <cellStyle name="输入 5 2 3" xfId="4889"/>
    <cellStyle name="输入 5 3" xfId="4890"/>
    <cellStyle name="输入 5 3 2" xfId="4891"/>
    <cellStyle name="注释 4" xfId="4892"/>
    <cellStyle name="输入 5 4" xfId="4893"/>
    <cellStyle name="输入 6" xfId="4894"/>
    <cellStyle name="输入 6 2" xfId="4895"/>
    <cellStyle name="输入 6 2 2" xfId="4896"/>
    <cellStyle name="输入 7" xfId="4897"/>
    <cellStyle name="输入 7 2" xfId="4898"/>
    <cellStyle name="注释 3" xfId="4899"/>
    <cellStyle name="输入 8" xfId="4900"/>
    <cellStyle name="数字" xfId="4901"/>
    <cellStyle name="数字 2" xfId="4902"/>
    <cellStyle name="数字 2 2" xfId="4903"/>
    <cellStyle name="数字 2 2 2" xfId="4904"/>
    <cellStyle name="数字 2 2 2 2" xfId="4905"/>
    <cellStyle name="数字 2 2 3" xfId="4906"/>
    <cellStyle name="数字 2 3" xfId="4907"/>
    <cellStyle name="数字 2 3 2" xfId="4908"/>
    <cellStyle name="数字 2 4" xfId="4909"/>
    <cellStyle name="数字 3" xfId="4910"/>
    <cellStyle name="数字 3 2" xfId="4911"/>
    <cellStyle name="数字 3 2 2" xfId="4912"/>
    <cellStyle name="数字 3 3" xfId="4913"/>
    <cellStyle name="数字 4" xfId="4914"/>
    <cellStyle name="数字 4 2" xfId="4915"/>
    <cellStyle name="数字 5" xfId="4916"/>
    <cellStyle name="未定义" xfId="4917"/>
    <cellStyle name="未定义 2" xfId="4918"/>
    <cellStyle name="小数 2" xfId="4919"/>
    <cellStyle name="小数 2 2" xfId="4920"/>
    <cellStyle name="小数 2 2 2" xfId="4921"/>
    <cellStyle name="小数 2 2 2 2" xfId="4922"/>
    <cellStyle name="小数 2 2 3" xfId="4923"/>
    <cellStyle name="小数 2 3" xfId="4924"/>
    <cellStyle name="小数 2 3 2" xfId="4925"/>
    <cellStyle name="小数 2 4" xfId="4926"/>
    <cellStyle name="小数 3" xfId="4927"/>
    <cellStyle name="小数 3 2" xfId="4928"/>
    <cellStyle name="小数 3 2 2" xfId="4929"/>
    <cellStyle name="小数 3 3" xfId="4930"/>
    <cellStyle name="样式 1 2" xfId="4931"/>
    <cellStyle name="着色 1" xfId="4932"/>
    <cellStyle name="着色 1 2" xfId="4933"/>
    <cellStyle name="着色 2" xfId="4934"/>
    <cellStyle name="着色 2 2" xfId="4935"/>
    <cellStyle name="着色 3" xfId="4936"/>
    <cellStyle name="着色 3 2" xfId="4937"/>
    <cellStyle name="着色 4" xfId="4938"/>
    <cellStyle name="着色 4 2" xfId="4939"/>
    <cellStyle name="着色 5" xfId="4940"/>
    <cellStyle name="着色 5 2" xfId="4941"/>
    <cellStyle name="着色 6" xfId="4942"/>
    <cellStyle name="着色 6 2" xfId="4943"/>
    <cellStyle name="寘嬫愗傝 [0.00]_Region Orders (2)" xfId="4944"/>
    <cellStyle name="注释 10" xfId="4945"/>
    <cellStyle name="注释 2" xfId="4946"/>
    <cellStyle name="注释 2 2" xfId="4947"/>
    <cellStyle name="注释 2 2 2" xfId="4948"/>
    <cellStyle name="注释 2 2 2 2" xfId="4949"/>
    <cellStyle name="注释 2 2 2 2 2" xfId="4950"/>
    <cellStyle name="注释 2 2 2 3" xfId="4951"/>
    <cellStyle name="注释 2 2 3" xfId="4952"/>
    <cellStyle name="注释 2 2 3 2" xfId="4953"/>
    <cellStyle name="注释 2 2 3 3" xfId="4954"/>
    <cellStyle name="注释 2 2 4" xfId="4955"/>
    <cellStyle name="注释 2 2 5" xfId="4956"/>
    <cellStyle name="注释 2 3" xfId="4957"/>
    <cellStyle name="注释 2 3 2" xfId="4958"/>
    <cellStyle name="注释 2 3 2 2" xfId="4959"/>
    <cellStyle name="注释 2 3 3" xfId="4960"/>
    <cellStyle name="注释 2 3 4" xfId="4961"/>
    <cellStyle name="注释 2 4" xfId="4962"/>
    <cellStyle name="注释 2 4 2" xfId="4963"/>
    <cellStyle name="注释 2 5" xfId="4964"/>
    <cellStyle name="注释 3 2" xfId="4965"/>
    <cellStyle name="注释 3 2 2" xfId="4966"/>
    <cellStyle name="注释 3 2 2 2" xfId="4967"/>
    <cellStyle name="注释 3 2 2 2 2" xfId="4968"/>
    <cellStyle name="注释 3 2 2 3" xfId="4969"/>
    <cellStyle name="注释 3 2 3" xfId="4970"/>
    <cellStyle name="注释 3 2 3 2" xfId="4971"/>
    <cellStyle name="注释 3 2 4" xfId="4972"/>
    <cellStyle name="注释 3 3" xfId="4973"/>
    <cellStyle name="注释 3 3 2" xfId="4974"/>
    <cellStyle name="注释 3 3 2 2" xfId="4975"/>
    <cellStyle name="注释 3 3 3" xfId="4976"/>
    <cellStyle name="注释 3 4" xfId="4977"/>
    <cellStyle name="注释 3 4 2" xfId="4978"/>
    <cellStyle name="注释 3 5" xfId="4979"/>
    <cellStyle name="注释 4 2" xfId="4980"/>
    <cellStyle name="注释 4 2 2" xfId="4981"/>
    <cellStyle name="注释 4 2 2 2" xfId="4982"/>
    <cellStyle name="注释 4 2 3" xfId="4983"/>
    <cellStyle name="注释 4 3" xfId="4984"/>
    <cellStyle name="注释 4 3 2" xfId="4985"/>
    <cellStyle name="注释 4 4" xfId="4986"/>
    <cellStyle name="注释 5" xfId="4987"/>
    <cellStyle name="注释 5 2" xfId="4988"/>
    <cellStyle name="注释 5 2 2" xfId="4989"/>
    <cellStyle name="注释 5 2 2 2" xfId="4990"/>
    <cellStyle name="注释 5 2 3" xfId="4991"/>
    <cellStyle name="注释 5 3" xfId="4992"/>
    <cellStyle name="注释 5 3 2" xfId="4993"/>
    <cellStyle name="注释 5 4" xfId="4994"/>
    <cellStyle name="注释 6 2" xfId="4995"/>
    <cellStyle name="注释 6 2 2" xfId="4996"/>
    <cellStyle name="注释 6 3" xfId="4997"/>
    <cellStyle name="注释 7" xfId="4998"/>
    <cellStyle name="注释 7 2" xfId="4999"/>
    <cellStyle name="注释 8" xfId="5000"/>
    <cellStyle name="注释 9" xfId="500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2.xml"/><Relationship Id="rId13" Type="http://schemas.openxmlformats.org/officeDocument/2006/relationships/externalLink" Target="externalLinks/externalLink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2"/>
  <sheetViews>
    <sheetView workbookViewId="0">
      <selection activeCell="A7" sqref="A7"/>
    </sheetView>
  </sheetViews>
  <sheetFormatPr defaultColWidth="9" defaultRowHeight="15.6" outlineLevelCol="3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4">
      <c r="A1" s="175"/>
      <c r="B1" s="175"/>
      <c r="C1" s="175"/>
      <c r="D1" s="175"/>
    </row>
    <row r="2" spans="1:4">
      <c r="A2" s="107" t="s">
        <v>0</v>
      </c>
      <c r="B2" s="35"/>
      <c r="C2" s="35"/>
      <c r="D2" s="35"/>
    </row>
    <row r="3" ht="20.4" spans="1:4">
      <c r="A3" s="68" t="s">
        <v>1</v>
      </c>
      <c r="B3" s="68"/>
      <c r="C3" s="68"/>
      <c r="D3" s="68"/>
    </row>
    <row r="4" spans="1:4">
      <c r="A4" s="176"/>
      <c r="B4" s="176"/>
      <c r="C4" s="176"/>
      <c r="D4" s="177" t="s">
        <v>2</v>
      </c>
    </row>
    <row r="5" ht="20.1" customHeight="1" spans="1:4">
      <c r="A5" s="178" t="s">
        <v>3</v>
      </c>
      <c r="B5" s="178"/>
      <c r="C5" s="178" t="s">
        <v>4</v>
      </c>
      <c r="D5" s="178"/>
    </row>
    <row r="6" ht="20.1" customHeight="1" spans="1:4">
      <c r="A6" s="179" t="s">
        <v>5</v>
      </c>
      <c r="B6" s="179" t="s">
        <v>6</v>
      </c>
      <c r="C6" s="179" t="s">
        <v>7</v>
      </c>
      <c r="D6" s="179" t="s">
        <v>6</v>
      </c>
    </row>
    <row r="7" ht="20.1" customHeight="1" spans="1:4">
      <c r="A7" s="180" t="s">
        <v>8</v>
      </c>
      <c r="B7" s="58">
        <v>691.24</v>
      </c>
      <c r="C7" s="180" t="s">
        <v>9</v>
      </c>
      <c r="D7" s="181">
        <v>691.24</v>
      </c>
    </row>
    <row r="8" ht="20.1" customHeight="1" spans="1:4">
      <c r="A8" s="180" t="s">
        <v>10</v>
      </c>
      <c r="B8" s="58"/>
      <c r="C8" s="180" t="s">
        <v>11</v>
      </c>
      <c r="D8" s="58">
        <v>441.32</v>
      </c>
    </row>
    <row r="9" ht="20.1" customHeight="1" spans="1:4">
      <c r="A9" s="115" t="s">
        <v>12</v>
      </c>
      <c r="B9" s="182"/>
      <c r="C9" s="180" t="s">
        <v>13</v>
      </c>
      <c r="D9" s="58">
        <v>90.7</v>
      </c>
    </row>
    <row r="10" ht="20.1" customHeight="1" spans="1:4">
      <c r="A10" s="115" t="s">
        <v>14</v>
      </c>
      <c r="B10" s="58"/>
      <c r="C10" s="180" t="s">
        <v>15</v>
      </c>
      <c r="D10" s="58">
        <v>159.22</v>
      </c>
    </row>
    <row r="11" ht="20.1" customHeight="1" spans="1:4">
      <c r="A11" s="115" t="s">
        <v>16</v>
      </c>
      <c r="B11" s="58"/>
      <c r="C11" s="180" t="s">
        <v>17</v>
      </c>
      <c r="D11" s="58"/>
    </row>
    <row r="12" ht="20.1" customHeight="1" spans="1:4">
      <c r="A12" s="183" t="s">
        <v>18</v>
      </c>
      <c r="B12" s="184">
        <f>SUM(B7:B11)</f>
        <v>691.24</v>
      </c>
      <c r="C12" s="183" t="s">
        <v>19</v>
      </c>
      <c r="D12" s="58">
        <f>D7+D11</f>
        <v>691.24</v>
      </c>
    </row>
  </sheetData>
  <mergeCells count="2">
    <mergeCell ref="A1:D1"/>
    <mergeCell ref="A3:D3"/>
  </mergeCells>
  <pageMargins left="0.708333333333333" right="0.708333333333333" top="0.747916666666667" bottom="0.747916666666667" header="0.314583333333333" footer="0.314583333333333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14"/>
  <sheetViews>
    <sheetView workbookViewId="0">
      <selection activeCell="B7" sqref="B7"/>
    </sheetView>
  </sheetViews>
  <sheetFormatPr defaultColWidth="9" defaultRowHeight="15.6"/>
  <cols>
    <col min="1" max="1" width="10.25" customWidth="1"/>
    <col min="2" max="2" width="18.7" customWidth="1"/>
    <col min="3" max="3" width="13.6" style="153" customWidth="1"/>
    <col min="4" max="4" width="14.6" style="153" customWidth="1"/>
    <col min="5" max="7" width="9.5" style="153" customWidth="1"/>
    <col min="8" max="8" width="11.6" style="153" customWidth="1"/>
    <col min="9" max="9" width="10.6"/>
  </cols>
  <sheetData>
    <row r="1" spans="1:8">
      <c r="A1" s="154" t="s">
        <v>20</v>
      </c>
      <c r="B1" s="155"/>
      <c r="C1" s="156"/>
      <c r="D1" s="157"/>
      <c r="E1" s="157"/>
      <c r="F1" s="158"/>
      <c r="G1" s="159"/>
      <c r="H1" s="159"/>
    </row>
    <row r="2" ht="29.1" customHeight="1" spans="1:8">
      <c r="A2" s="160" t="s">
        <v>21</v>
      </c>
      <c r="B2" s="160"/>
      <c r="C2" s="160"/>
      <c r="D2" s="160"/>
      <c r="E2" s="160"/>
      <c r="F2" s="160"/>
      <c r="G2" s="160"/>
      <c r="H2" s="160"/>
    </row>
    <row r="3" ht="25.8" spans="1:8">
      <c r="A3" s="154"/>
      <c r="B3" s="154"/>
      <c r="C3" s="161"/>
      <c r="D3" s="162"/>
      <c r="E3" s="162"/>
      <c r="F3" s="163"/>
      <c r="G3" s="164" t="s">
        <v>2</v>
      </c>
      <c r="H3" s="164"/>
    </row>
    <row r="4" spans="1:8">
      <c r="A4" s="165" t="s">
        <v>22</v>
      </c>
      <c r="B4" s="165" t="s">
        <v>23</v>
      </c>
      <c r="C4" s="166" t="s">
        <v>24</v>
      </c>
      <c r="D4" s="167"/>
      <c r="E4" s="167"/>
      <c r="F4" s="167"/>
      <c r="G4" s="167"/>
      <c r="H4" s="168"/>
    </row>
    <row r="5" ht="60" customHeight="1" spans="1:8">
      <c r="A5" s="165"/>
      <c r="B5" s="165"/>
      <c r="C5" s="169" t="s">
        <v>25</v>
      </c>
      <c r="D5" s="169" t="s">
        <v>26</v>
      </c>
      <c r="E5" s="169" t="s">
        <v>27</v>
      </c>
      <c r="F5" s="169" t="s">
        <v>28</v>
      </c>
      <c r="G5" s="170" t="s">
        <v>29</v>
      </c>
      <c r="H5" s="169" t="s">
        <v>30</v>
      </c>
    </row>
    <row r="6" ht="20.1" customHeight="1" spans="1:8">
      <c r="A6" s="171" t="s">
        <v>31</v>
      </c>
      <c r="B6" s="171" t="s">
        <v>31</v>
      </c>
      <c r="C6" s="172">
        <v>1</v>
      </c>
      <c r="D6" s="171">
        <v>2</v>
      </c>
      <c r="E6" s="172">
        <v>3</v>
      </c>
      <c r="F6" s="172">
        <v>4</v>
      </c>
      <c r="G6" s="171">
        <v>5</v>
      </c>
      <c r="H6" s="172">
        <v>6</v>
      </c>
    </row>
    <row r="7" ht="20.1" customHeight="1" spans="1:9">
      <c r="A7" s="173"/>
      <c r="B7" s="173" t="s">
        <v>32</v>
      </c>
      <c r="C7" s="150">
        <f>SUM(D7:H7)</f>
        <v>691.24</v>
      </c>
      <c r="D7" s="58">
        <v>691.24</v>
      </c>
      <c r="E7" s="150"/>
      <c r="F7" s="150"/>
      <c r="G7" s="150"/>
      <c r="H7" s="58"/>
      <c r="I7" s="150"/>
    </row>
    <row r="8" ht="20.1" customHeight="1" spans="1:8">
      <c r="A8" s="173"/>
      <c r="B8" s="173"/>
      <c r="C8" s="150"/>
      <c r="D8" s="150"/>
      <c r="E8" s="150"/>
      <c r="F8" s="150"/>
      <c r="G8" s="150"/>
      <c r="H8" s="150"/>
    </row>
    <row r="9" ht="20.1" customHeight="1" spans="1:8">
      <c r="A9" s="139"/>
      <c r="B9" s="139"/>
      <c r="C9" s="174"/>
      <c r="D9" s="174"/>
      <c r="E9" s="174"/>
      <c r="F9" s="174"/>
      <c r="G9" s="174"/>
      <c r="H9" s="174"/>
    </row>
    <row r="10" ht="20.1" customHeight="1" spans="1:8">
      <c r="A10" s="139"/>
      <c r="B10" s="139"/>
      <c r="C10" s="174"/>
      <c r="D10" s="174"/>
      <c r="E10" s="174"/>
      <c r="F10" s="174"/>
      <c r="G10" s="174"/>
      <c r="H10" s="174"/>
    </row>
    <row r="11" ht="20.1" customHeight="1" spans="1:8">
      <c r="A11" s="139"/>
      <c r="B11" s="139"/>
      <c r="C11" s="174"/>
      <c r="D11" s="174"/>
      <c r="E11" s="174"/>
      <c r="F11" s="174"/>
      <c r="G11" s="174"/>
      <c r="H11" s="174"/>
    </row>
    <row r="12" ht="20.1" customHeight="1" spans="1:8">
      <c r="A12" s="139"/>
      <c r="B12" s="139"/>
      <c r="C12" s="174"/>
      <c r="D12" s="174"/>
      <c r="E12" s="174"/>
      <c r="F12" s="174"/>
      <c r="G12" s="174"/>
      <c r="H12" s="174"/>
    </row>
    <row r="13" ht="20.1" customHeight="1" spans="1:8">
      <c r="A13" s="139"/>
      <c r="B13" s="139"/>
      <c r="C13" s="174"/>
      <c r="D13" s="174"/>
      <c r="E13" s="174"/>
      <c r="F13" s="174"/>
      <c r="G13" s="174"/>
      <c r="H13" s="174"/>
    </row>
    <row r="14" ht="20.1" customHeight="1" spans="1:8">
      <c r="A14" s="139"/>
      <c r="B14" s="139"/>
      <c r="C14" s="174"/>
      <c r="D14" s="174"/>
      <c r="E14" s="174"/>
      <c r="F14" s="174"/>
      <c r="G14" s="174"/>
      <c r="H14" s="174"/>
    </row>
  </sheetData>
  <mergeCells count="5">
    <mergeCell ref="A2:H2"/>
    <mergeCell ref="G3:H3"/>
    <mergeCell ref="C4:H4"/>
    <mergeCell ref="A4:A5"/>
    <mergeCell ref="B4:B5"/>
  </mergeCells>
  <pageMargins left="0.708333333333333" right="0.708333333333333" top="0.747916666666667" bottom="0.747916666666667" header="0.314583333333333" footer="0.314583333333333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55"/>
  <sheetViews>
    <sheetView workbookViewId="0">
      <selection activeCell="B8" sqref="B8"/>
    </sheetView>
  </sheetViews>
  <sheetFormatPr defaultColWidth="9" defaultRowHeight="15.6"/>
  <cols>
    <col min="1" max="1" width="9" customWidth="1"/>
    <col min="2" max="2" width="18.7" customWidth="1"/>
    <col min="3" max="3" width="9.125" customWidth="1"/>
    <col min="4" max="4" width="10.5" customWidth="1"/>
    <col min="5" max="6" width="14.6" style="47" customWidth="1"/>
    <col min="7" max="7" width="12.6" style="47" customWidth="1"/>
    <col min="8" max="10" width="13.6" style="47" customWidth="1"/>
    <col min="11" max="11" width="14.6" style="47" customWidth="1"/>
    <col min="12" max="14" width="9.625" customWidth="1"/>
    <col min="15" max="15" width="10.6" customWidth="1"/>
  </cols>
  <sheetData>
    <row r="1" ht="25.8" spans="1:15">
      <c r="A1" s="118" t="s">
        <v>33</v>
      </c>
      <c r="B1" s="119"/>
      <c r="C1" s="119"/>
      <c r="D1" s="119"/>
      <c r="E1" s="120"/>
      <c r="F1" s="120"/>
      <c r="G1" s="120"/>
      <c r="H1" s="120"/>
      <c r="I1" s="120"/>
      <c r="J1" s="120"/>
      <c r="K1" s="120"/>
      <c r="L1" s="119"/>
      <c r="M1" s="35"/>
      <c r="N1" s="35"/>
      <c r="O1" s="35"/>
    </row>
    <row r="2" ht="20.4" spans="1:15">
      <c r="A2" s="121" t="s">
        <v>34</v>
      </c>
      <c r="B2" s="121"/>
      <c r="C2" s="121"/>
      <c r="D2" s="121"/>
      <c r="E2" s="122"/>
      <c r="F2" s="122"/>
      <c r="G2" s="122"/>
      <c r="H2" s="122"/>
      <c r="I2" s="122"/>
      <c r="J2" s="122"/>
      <c r="K2" s="122"/>
      <c r="L2" s="121"/>
      <c r="M2" s="121"/>
      <c r="N2" s="121"/>
      <c r="O2" s="121"/>
    </row>
    <row r="3" spans="1:15">
      <c r="A3" s="123"/>
      <c r="B3" s="123"/>
      <c r="C3" s="123"/>
      <c r="D3" s="123"/>
      <c r="E3" s="124"/>
      <c r="F3" s="124"/>
      <c r="G3" s="124"/>
      <c r="H3" s="124"/>
      <c r="I3" s="124"/>
      <c r="J3" s="124"/>
      <c r="K3" s="124"/>
      <c r="L3" s="123"/>
      <c r="M3" s="123"/>
      <c r="N3" s="144" t="s">
        <v>2</v>
      </c>
      <c r="O3" s="144"/>
    </row>
    <row r="4" s="63" customFormat="1" ht="14.4" spans="1:15">
      <c r="A4" s="125" t="s">
        <v>22</v>
      </c>
      <c r="B4" s="125" t="s">
        <v>23</v>
      </c>
      <c r="C4" s="125" t="s">
        <v>35</v>
      </c>
      <c r="D4" s="125" t="s">
        <v>36</v>
      </c>
      <c r="E4" s="126" t="s">
        <v>37</v>
      </c>
      <c r="F4" s="126" t="s">
        <v>38</v>
      </c>
      <c r="G4" s="126" t="s">
        <v>39</v>
      </c>
      <c r="H4" s="126" t="s">
        <v>40</v>
      </c>
      <c r="I4" s="126" t="s">
        <v>41</v>
      </c>
      <c r="J4" s="145" t="s">
        <v>24</v>
      </c>
      <c r="K4" s="145"/>
      <c r="L4" s="146"/>
      <c r="M4" s="146"/>
      <c r="N4" s="146"/>
      <c r="O4" s="146"/>
    </row>
    <row r="5" s="63" customFormat="1" ht="43.15" customHeight="1" spans="1:15">
      <c r="A5" s="127"/>
      <c r="B5" s="127"/>
      <c r="C5" s="127"/>
      <c r="D5" s="127"/>
      <c r="E5" s="128"/>
      <c r="F5" s="128"/>
      <c r="G5" s="128"/>
      <c r="H5" s="128"/>
      <c r="I5" s="128"/>
      <c r="J5" s="126" t="s">
        <v>37</v>
      </c>
      <c r="K5" s="126" t="s">
        <v>26</v>
      </c>
      <c r="L5" s="125" t="s">
        <v>27</v>
      </c>
      <c r="M5" s="125" t="s">
        <v>28</v>
      </c>
      <c r="N5" s="147" t="s">
        <v>29</v>
      </c>
      <c r="O5" s="125" t="s">
        <v>30</v>
      </c>
    </row>
    <row r="6" s="63" customFormat="1" ht="14.4" spans="1:15">
      <c r="A6" s="129"/>
      <c r="B6" s="129"/>
      <c r="C6" s="129"/>
      <c r="D6" s="129"/>
      <c r="E6" s="130"/>
      <c r="F6" s="130"/>
      <c r="G6" s="130"/>
      <c r="H6" s="130"/>
      <c r="I6" s="130"/>
      <c r="J6" s="130"/>
      <c r="K6" s="130"/>
      <c r="L6" s="129"/>
      <c r="M6" s="129"/>
      <c r="N6" s="148"/>
      <c r="O6" s="129"/>
    </row>
    <row r="7" s="63" customFormat="1" ht="20.1" customHeight="1" spans="1:15">
      <c r="A7" s="131" t="s">
        <v>31</v>
      </c>
      <c r="B7" s="131" t="s">
        <v>31</v>
      </c>
      <c r="C7" s="131" t="s">
        <v>31</v>
      </c>
      <c r="D7" s="131" t="s">
        <v>31</v>
      </c>
      <c r="E7" s="132">
        <v>1</v>
      </c>
      <c r="F7" s="132">
        <v>2</v>
      </c>
      <c r="G7" s="132">
        <v>3</v>
      </c>
      <c r="H7" s="132">
        <v>4</v>
      </c>
      <c r="I7" s="132">
        <v>5</v>
      </c>
      <c r="J7" s="132">
        <v>6</v>
      </c>
      <c r="K7" s="132">
        <v>7</v>
      </c>
      <c r="L7" s="131">
        <v>8</v>
      </c>
      <c r="M7" s="131">
        <v>9</v>
      </c>
      <c r="N7" s="131">
        <v>10</v>
      </c>
      <c r="O7" s="131">
        <v>11</v>
      </c>
    </row>
    <row r="8" s="63" customFormat="1" ht="20.1" customHeight="1" spans="1:15">
      <c r="A8" s="133"/>
      <c r="B8" s="134" t="s">
        <v>32</v>
      </c>
      <c r="C8" s="135">
        <v>2010301</v>
      </c>
      <c r="D8" s="136" t="s">
        <v>42</v>
      </c>
      <c r="E8" s="137">
        <f>SUM(F8:I8)</f>
        <v>23.92</v>
      </c>
      <c r="F8" s="138"/>
      <c r="G8" s="138"/>
      <c r="H8" s="138">
        <v>23.92</v>
      </c>
      <c r="I8" s="138"/>
      <c r="J8" s="149">
        <f>SUM(K8:O8)</f>
        <v>23.92</v>
      </c>
      <c r="K8" s="138">
        <v>23.92</v>
      </c>
      <c r="L8" s="150"/>
      <c r="M8" s="150"/>
      <c r="N8" s="150"/>
      <c r="O8" s="58"/>
    </row>
    <row r="9" s="63" customFormat="1" ht="20.1" customHeight="1" spans="1:15">
      <c r="A9" s="133"/>
      <c r="B9" s="133"/>
      <c r="C9" s="135">
        <v>2010301</v>
      </c>
      <c r="D9" s="136" t="s">
        <v>43</v>
      </c>
      <c r="E9" s="137">
        <f t="shared" ref="E9:E54" si="0">SUM(F9:I9)</f>
        <v>1.13</v>
      </c>
      <c r="F9" s="138">
        <v>1.13</v>
      </c>
      <c r="G9" s="137"/>
      <c r="H9" s="137"/>
      <c r="I9" s="137"/>
      <c r="J9" s="149">
        <f t="shared" ref="J9:J54" si="1">SUM(K9:O9)</f>
        <v>1.13</v>
      </c>
      <c r="K9" s="151">
        <v>1.13</v>
      </c>
      <c r="L9" s="101"/>
      <c r="M9" s="101"/>
      <c r="N9" s="101"/>
      <c r="O9" s="101"/>
    </row>
    <row r="10" ht="20.1" customHeight="1" spans="1:15">
      <c r="A10" s="139"/>
      <c r="B10" s="139"/>
      <c r="C10" s="135">
        <v>2210201</v>
      </c>
      <c r="D10" s="136" t="s">
        <v>44</v>
      </c>
      <c r="E10" s="137">
        <f t="shared" si="0"/>
        <v>44.97</v>
      </c>
      <c r="F10" s="140">
        <v>44.97</v>
      </c>
      <c r="G10" s="141"/>
      <c r="H10" s="141"/>
      <c r="I10" s="152"/>
      <c r="J10" s="149">
        <f t="shared" si="1"/>
        <v>44.97</v>
      </c>
      <c r="K10" s="152">
        <v>44.97</v>
      </c>
      <c r="L10" s="139"/>
      <c r="M10" s="139"/>
      <c r="N10" s="139"/>
      <c r="O10" s="139"/>
    </row>
    <row r="11" ht="20.1" customHeight="1" spans="1:15">
      <c r="A11" s="139"/>
      <c r="B11" s="139"/>
      <c r="C11" s="135">
        <v>2010301</v>
      </c>
      <c r="D11" s="136" t="s">
        <v>45</v>
      </c>
      <c r="E11" s="137">
        <f t="shared" si="0"/>
        <v>16.23</v>
      </c>
      <c r="F11" s="140">
        <v>16.23</v>
      </c>
      <c r="G11" s="141"/>
      <c r="H11" s="141"/>
      <c r="I11" s="152"/>
      <c r="J11" s="149">
        <f t="shared" si="1"/>
        <v>16.23</v>
      </c>
      <c r="K11" s="152">
        <v>16.23</v>
      </c>
      <c r="L11" s="139"/>
      <c r="M11" s="139"/>
      <c r="N11" s="139"/>
      <c r="O11" s="139"/>
    </row>
    <row r="12" ht="20.1" customHeight="1" spans="1:15">
      <c r="A12" s="139"/>
      <c r="B12" s="139"/>
      <c r="C12" s="135">
        <v>2010301</v>
      </c>
      <c r="D12" s="136" t="s">
        <v>46</v>
      </c>
      <c r="E12" s="137">
        <f t="shared" si="0"/>
        <v>40.58</v>
      </c>
      <c r="F12" s="140">
        <v>40.58</v>
      </c>
      <c r="G12" s="141"/>
      <c r="H12" s="141"/>
      <c r="I12" s="152"/>
      <c r="J12" s="149">
        <f t="shared" si="1"/>
        <v>40.58</v>
      </c>
      <c r="K12" s="152">
        <v>40.58</v>
      </c>
      <c r="L12" s="139"/>
      <c r="M12" s="139"/>
      <c r="N12" s="139"/>
      <c r="O12" s="139"/>
    </row>
    <row r="13" ht="20.1" customHeight="1" spans="1:15">
      <c r="A13" s="139"/>
      <c r="B13" s="139"/>
      <c r="C13" s="135">
        <v>2010301</v>
      </c>
      <c r="D13" s="136" t="s">
        <v>47</v>
      </c>
      <c r="E13" s="137">
        <f t="shared" si="0"/>
        <v>0.72</v>
      </c>
      <c r="F13" s="140">
        <v>0.72</v>
      </c>
      <c r="G13" s="141"/>
      <c r="H13" s="141"/>
      <c r="I13" s="152"/>
      <c r="J13" s="149">
        <f t="shared" si="1"/>
        <v>0.72</v>
      </c>
      <c r="K13" s="152">
        <v>0.72</v>
      </c>
      <c r="L13" s="139"/>
      <c r="M13" s="139"/>
      <c r="N13" s="139"/>
      <c r="O13" s="139"/>
    </row>
    <row r="14" ht="20.1" customHeight="1" spans="1:15">
      <c r="A14" s="139"/>
      <c r="B14" s="139"/>
      <c r="C14" s="135">
        <v>2010301</v>
      </c>
      <c r="D14" s="136" t="s">
        <v>48</v>
      </c>
      <c r="E14" s="137">
        <f t="shared" si="0"/>
        <v>1.01</v>
      </c>
      <c r="F14" s="140">
        <v>1.01</v>
      </c>
      <c r="G14" s="141"/>
      <c r="H14" s="141"/>
      <c r="I14" s="152"/>
      <c r="J14" s="149">
        <f t="shared" si="1"/>
        <v>1.01</v>
      </c>
      <c r="K14" s="152">
        <v>1.01</v>
      </c>
      <c r="L14" s="139"/>
      <c r="M14" s="139"/>
      <c r="N14" s="139"/>
      <c r="O14" s="139"/>
    </row>
    <row r="15" ht="20.1" customHeight="1" spans="1:15">
      <c r="A15" s="139"/>
      <c r="B15" s="139"/>
      <c r="C15" s="135">
        <v>2070101</v>
      </c>
      <c r="D15" s="136" t="s">
        <v>49</v>
      </c>
      <c r="E15" s="137">
        <f t="shared" si="0"/>
        <v>1.97</v>
      </c>
      <c r="F15" s="140">
        <v>1.97</v>
      </c>
      <c r="G15" s="141"/>
      <c r="H15" s="141"/>
      <c r="I15" s="152"/>
      <c r="J15" s="149">
        <f t="shared" si="1"/>
        <v>1.97</v>
      </c>
      <c r="K15" s="152">
        <v>1.97</v>
      </c>
      <c r="L15" s="139"/>
      <c r="M15" s="139"/>
      <c r="N15" s="139"/>
      <c r="O15" s="139"/>
    </row>
    <row r="16" ht="20.1" customHeight="1" spans="1:15">
      <c r="A16" s="139"/>
      <c r="B16" s="139"/>
      <c r="C16" s="135">
        <v>2130101</v>
      </c>
      <c r="D16" s="136" t="s">
        <v>50</v>
      </c>
      <c r="E16" s="137">
        <f t="shared" si="0"/>
        <v>2.65</v>
      </c>
      <c r="F16" s="140">
        <v>2.65</v>
      </c>
      <c r="G16" s="141"/>
      <c r="H16" s="141"/>
      <c r="I16" s="152"/>
      <c r="J16" s="149">
        <f t="shared" si="1"/>
        <v>2.65</v>
      </c>
      <c r="K16" s="152">
        <v>2.65</v>
      </c>
      <c r="L16" s="139"/>
      <c r="M16" s="139"/>
      <c r="N16" s="139"/>
      <c r="O16" s="139"/>
    </row>
    <row r="17" ht="24" customHeight="1" spans="1:15">
      <c r="A17" s="139"/>
      <c r="B17" s="139"/>
      <c r="C17" s="135">
        <v>2100716</v>
      </c>
      <c r="D17" s="136" t="s">
        <v>51</v>
      </c>
      <c r="E17" s="137">
        <f t="shared" si="0"/>
        <v>3.07</v>
      </c>
      <c r="F17" s="140">
        <v>3.07</v>
      </c>
      <c r="G17" s="141"/>
      <c r="H17" s="141"/>
      <c r="I17" s="152"/>
      <c r="J17" s="149">
        <f t="shared" si="1"/>
        <v>3.07</v>
      </c>
      <c r="K17" s="152">
        <v>3.07</v>
      </c>
      <c r="L17" s="139"/>
      <c r="M17" s="139"/>
      <c r="N17" s="139"/>
      <c r="O17" s="139"/>
    </row>
    <row r="18" ht="20.1" customHeight="1" spans="1:15">
      <c r="A18" s="139"/>
      <c r="B18" s="139"/>
      <c r="C18" s="135">
        <v>2070101</v>
      </c>
      <c r="D18" s="136" t="s">
        <v>52</v>
      </c>
      <c r="E18" s="137">
        <f t="shared" si="0"/>
        <v>1.11</v>
      </c>
      <c r="F18" s="140">
        <v>1.11</v>
      </c>
      <c r="G18" s="141"/>
      <c r="H18" s="141"/>
      <c r="I18" s="152"/>
      <c r="J18" s="149">
        <f t="shared" si="1"/>
        <v>1.11</v>
      </c>
      <c r="K18" s="152">
        <v>1.11</v>
      </c>
      <c r="L18" s="139"/>
      <c r="M18" s="139"/>
      <c r="N18" s="139"/>
      <c r="O18" s="139"/>
    </row>
    <row r="19" ht="20.1" customHeight="1" spans="1:15">
      <c r="A19" s="139"/>
      <c r="B19" s="139"/>
      <c r="C19" s="135">
        <v>2130101</v>
      </c>
      <c r="D19" s="136" t="s">
        <v>53</v>
      </c>
      <c r="E19" s="137">
        <f t="shared" si="0"/>
        <v>4.89</v>
      </c>
      <c r="F19" s="140">
        <v>4.89</v>
      </c>
      <c r="G19" s="141"/>
      <c r="H19" s="141"/>
      <c r="I19" s="152"/>
      <c r="J19" s="149">
        <f t="shared" si="1"/>
        <v>4.89</v>
      </c>
      <c r="K19" s="152">
        <v>4.89</v>
      </c>
      <c r="L19" s="139"/>
      <c r="M19" s="139"/>
      <c r="N19" s="139"/>
      <c r="O19" s="139"/>
    </row>
    <row r="20" ht="20.1" customHeight="1" spans="1:15">
      <c r="A20" s="139"/>
      <c r="B20" s="139"/>
      <c r="C20" s="135">
        <v>2100716</v>
      </c>
      <c r="D20" s="136" t="s">
        <v>54</v>
      </c>
      <c r="E20" s="137">
        <f t="shared" si="0"/>
        <v>2.23</v>
      </c>
      <c r="F20" s="140">
        <v>2.23</v>
      </c>
      <c r="G20" s="141"/>
      <c r="H20" s="141"/>
      <c r="I20" s="152"/>
      <c r="J20" s="149">
        <f t="shared" si="1"/>
        <v>2.23</v>
      </c>
      <c r="K20" s="152">
        <v>2.23</v>
      </c>
      <c r="L20" s="139"/>
      <c r="M20" s="139"/>
      <c r="N20" s="139"/>
      <c r="O20" s="139"/>
    </row>
    <row r="21" ht="20.1" customHeight="1" spans="1:15">
      <c r="A21" s="139"/>
      <c r="B21" s="139"/>
      <c r="C21" s="135">
        <v>2010301</v>
      </c>
      <c r="D21" s="136" t="s">
        <v>55</v>
      </c>
      <c r="E21" s="137">
        <f t="shared" si="0"/>
        <v>51.83</v>
      </c>
      <c r="F21" s="140">
        <v>51.83</v>
      </c>
      <c r="G21" s="141"/>
      <c r="H21" s="141"/>
      <c r="I21" s="152"/>
      <c r="J21" s="149">
        <f t="shared" si="1"/>
        <v>51.83</v>
      </c>
      <c r="K21" s="152">
        <v>51.83</v>
      </c>
      <c r="L21" s="139"/>
      <c r="M21" s="139"/>
      <c r="N21" s="139"/>
      <c r="O21" s="139"/>
    </row>
    <row r="22" ht="20.1" customHeight="1" spans="1:15">
      <c r="A22" s="139"/>
      <c r="B22" s="139"/>
      <c r="C22" s="135">
        <v>2070101</v>
      </c>
      <c r="D22" s="136" t="s">
        <v>56</v>
      </c>
      <c r="E22" s="137">
        <f t="shared" si="0"/>
        <v>4.62</v>
      </c>
      <c r="F22" s="140">
        <v>4.62</v>
      </c>
      <c r="G22" s="141"/>
      <c r="H22" s="141"/>
      <c r="I22" s="152"/>
      <c r="J22" s="149">
        <f t="shared" si="1"/>
        <v>4.62</v>
      </c>
      <c r="K22" s="152">
        <v>4.62</v>
      </c>
      <c r="L22" s="139"/>
      <c r="M22" s="139"/>
      <c r="N22" s="139"/>
      <c r="O22" s="139"/>
    </row>
    <row r="23" ht="20.1" customHeight="1" spans="1:15">
      <c r="A23" s="139"/>
      <c r="B23" s="139"/>
      <c r="C23" s="135">
        <v>2130101</v>
      </c>
      <c r="D23" s="136" t="s">
        <v>57</v>
      </c>
      <c r="E23" s="137">
        <f t="shared" si="0"/>
        <v>13.56</v>
      </c>
      <c r="F23" s="140">
        <v>13.56</v>
      </c>
      <c r="G23" s="141"/>
      <c r="H23" s="141"/>
      <c r="I23" s="152"/>
      <c r="J23" s="149">
        <f t="shared" si="1"/>
        <v>13.56</v>
      </c>
      <c r="K23" s="152">
        <v>13.56</v>
      </c>
      <c r="L23" s="139"/>
      <c r="M23" s="139"/>
      <c r="N23" s="139"/>
      <c r="O23" s="139"/>
    </row>
    <row r="24" ht="20.1" customHeight="1" spans="1:15">
      <c r="A24" s="139"/>
      <c r="B24" s="139"/>
      <c r="C24" s="135">
        <v>2100716</v>
      </c>
      <c r="D24" s="136" t="s">
        <v>58</v>
      </c>
      <c r="E24" s="137">
        <f t="shared" si="0"/>
        <v>5.29</v>
      </c>
      <c r="F24" s="140">
        <v>5.29</v>
      </c>
      <c r="G24" s="141"/>
      <c r="H24" s="141"/>
      <c r="I24" s="152"/>
      <c r="J24" s="149">
        <f t="shared" si="1"/>
        <v>5.29</v>
      </c>
      <c r="K24" s="152">
        <v>5.29</v>
      </c>
      <c r="L24" s="139"/>
      <c r="M24" s="139"/>
      <c r="N24" s="139"/>
      <c r="O24" s="139"/>
    </row>
    <row r="25" ht="20.1" customHeight="1" spans="1:15">
      <c r="A25" s="139"/>
      <c r="B25" s="139"/>
      <c r="C25" s="135">
        <v>2010601</v>
      </c>
      <c r="D25" s="136" t="s">
        <v>59</v>
      </c>
      <c r="E25" s="137">
        <f t="shared" si="0"/>
        <v>5.93</v>
      </c>
      <c r="F25" s="140">
        <v>5.93</v>
      </c>
      <c r="G25" s="141"/>
      <c r="H25" s="141"/>
      <c r="I25" s="152"/>
      <c r="J25" s="149">
        <f t="shared" si="1"/>
        <v>5.93</v>
      </c>
      <c r="K25" s="152">
        <v>5.93</v>
      </c>
      <c r="L25" s="139"/>
      <c r="M25" s="139"/>
      <c r="N25" s="139"/>
      <c r="O25" s="139"/>
    </row>
    <row r="26" ht="20.1" customHeight="1" spans="1:15">
      <c r="A26" s="139"/>
      <c r="B26" s="139"/>
      <c r="C26" s="135">
        <v>2010301</v>
      </c>
      <c r="D26" s="136" t="s">
        <v>60</v>
      </c>
      <c r="E26" s="137">
        <f t="shared" si="0"/>
        <v>74.01</v>
      </c>
      <c r="F26" s="140">
        <v>74.01</v>
      </c>
      <c r="G26" s="141"/>
      <c r="H26" s="141"/>
      <c r="I26" s="152"/>
      <c r="J26" s="149">
        <f t="shared" si="1"/>
        <v>74.01</v>
      </c>
      <c r="K26" s="152">
        <v>74.01</v>
      </c>
      <c r="L26" s="139"/>
      <c r="M26" s="139"/>
      <c r="N26" s="139"/>
      <c r="O26" s="139"/>
    </row>
    <row r="27" ht="20.1" customHeight="1" spans="1:15">
      <c r="A27" s="139"/>
      <c r="B27" s="139"/>
      <c r="C27" s="135">
        <v>2070101</v>
      </c>
      <c r="D27" s="136" t="s">
        <v>61</v>
      </c>
      <c r="E27" s="137">
        <f t="shared" si="0"/>
        <v>2.68</v>
      </c>
      <c r="F27" s="140">
        <v>2.68</v>
      </c>
      <c r="G27" s="141"/>
      <c r="H27" s="141"/>
      <c r="I27" s="152"/>
      <c r="J27" s="149">
        <f t="shared" si="1"/>
        <v>2.68</v>
      </c>
      <c r="K27" s="152">
        <v>2.68</v>
      </c>
      <c r="L27" s="139"/>
      <c r="M27" s="139"/>
      <c r="N27" s="139"/>
      <c r="O27" s="139"/>
    </row>
    <row r="28" ht="20.1" customHeight="1" spans="1:15">
      <c r="A28" s="139"/>
      <c r="B28" s="139"/>
      <c r="C28" s="135">
        <v>2130101</v>
      </c>
      <c r="D28" s="136" t="s">
        <v>62</v>
      </c>
      <c r="E28" s="137">
        <f t="shared" si="0"/>
        <v>12.08</v>
      </c>
      <c r="F28" s="140">
        <v>12.08</v>
      </c>
      <c r="G28" s="141"/>
      <c r="H28" s="141"/>
      <c r="I28" s="152"/>
      <c r="J28" s="149">
        <f t="shared" si="1"/>
        <v>12.08</v>
      </c>
      <c r="K28" s="152">
        <v>12.08</v>
      </c>
      <c r="L28" s="139"/>
      <c r="M28" s="139"/>
      <c r="N28" s="139"/>
      <c r="O28" s="139"/>
    </row>
    <row r="29" ht="20.1" customHeight="1" spans="1:15">
      <c r="A29" s="139"/>
      <c r="B29" s="139"/>
      <c r="C29" s="135">
        <v>2100716</v>
      </c>
      <c r="D29" s="136" t="s">
        <v>63</v>
      </c>
      <c r="E29" s="137">
        <f t="shared" si="0"/>
        <v>5.63</v>
      </c>
      <c r="F29" s="140">
        <v>5.63</v>
      </c>
      <c r="G29" s="141"/>
      <c r="H29" s="141"/>
      <c r="I29" s="152"/>
      <c r="J29" s="149">
        <f t="shared" si="1"/>
        <v>5.63</v>
      </c>
      <c r="K29" s="152">
        <v>5.63</v>
      </c>
      <c r="L29" s="139"/>
      <c r="M29" s="139"/>
      <c r="N29" s="139"/>
      <c r="O29" s="139"/>
    </row>
    <row r="30" ht="20.1" customHeight="1" spans="1:15">
      <c r="A30" s="139"/>
      <c r="B30" s="139"/>
      <c r="C30" s="135">
        <v>2010601</v>
      </c>
      <c r="D30" s="136" t="s">
        <v>64</v>
      </c>
      <c r="E30" s="137">
        <f t="shared" si="0"/>
        <v>7.73</v>
      </c>
      <c r="F30" s="140">
        <v>7.73</v>
      </c>
      <c r="G30" s="141"/>
      <c r="H30" s="141"/>
      <c r="I30" s="152"/>
      <c r="J30" s="149">
        <f t="shared" si="1"/>
        <v>7.73</v>
      </c>
      <c r="K30" s="152">
        <v>7.73</v>
      </c>
      <c r="L30" s="139"/>
      <c r="M30" s="139"/>
      <c r="N30" s="139"/>
      <c r="O30" s="139"/>
    </row>
    <row r="31" ht="20.1" customHeight="1" spans="1:15">
      <c r="A31" s="139"/>
      <c r="B31" s="139"/>
      <c r="C31" s="135">
        <v>2080899</v>
      </c>
      <c r="D31" s="136" t="s">
        <v>65</v>
      </c>
      <c r="E31" s="137">
        <f t="shared" si="0"/>
        <v>1.32</v>
      </c>
      <c r="F31" s="141"/>
      <c r="G31" s="140">
        <v>1.32</v>
      </c>
      <c r="H31" s="141"/>
      <c r="I31" s="152"/>
      <c r="J31" s="149">
        <f t="shared" si="1"/>
        <v>1.32</v>
      </c>
      <c r="K31" s="152">
        <v>1.32</v>
      </c>
      <c r="L31" s="139"/>
      <c r="M31" s="139"/>
      <c r="N31" s="139"/>
      <c r="O31" s="139"/>
    </row>
    <row r="32" ht="20.1" customHeight="1" spans="1:15">
      <c r="A32" s="139"/>
      <c r="B32" s="139"/>
      <c r="C32" s="135">
        <v>2080899</v>
      </c>
      <c r="D32" s="136" t="s">
        <v>66</v>
      </c>
      <c r="E32" s="137">
        <f t="shared" si="0"/>
        <v>0.4</v>
      </c>
      <c r="F32" s="141"/>
      <c r="G32" s="140">
        <v>0.4</v>
      </c>
      <c r="H32" s="141"/>
      <c r="I32" s="152"/>
      <c r="J32" s="149">
        <f t="shared" si="1"/>
        <v>0.4</v>
      </c>
      <c r="K32" s="152">
        <v>0.4</v>
      </c>
      <c r="L32" s="139"/>
      <c r="M32" s="139"/>
      <c r="N32" s="139"/>
      <c r="O32" s="139"/>
    </row>
    <row r="33" ht="37" customHeight="1" spans="1:15">
      <c r="A33" s="139"/>
      <c r="B33" s="139"/>
      <c r="C33" s="135">
        <v>2130705</v>
      </c>
      <c r="D33" s="136" t="s">
        <v>67</v>
      </c>
      <c r="E33" s="137">
        <f t="shared" si="0"/>
        <v>22.18</v>
      </c>
      <c r="F33" s="141"/>
      <c r="G33" s="140">
        <v>22.18</v>
      </c>
      <c r="H33" s="141"/>
      <c r="I33" s="152"/>
      <c r="J33" s="149">
        <f t="shared" si="1"/>
        <v>22.18</v>
      </c>
      <c r="K33" s="152">
        <v>22.18</v>
      </c>
      <c r="L33" s="139"/>
      <c r="M33" s="139"/>
      <c r="N33" s="139"/>
      <c r="O33" s="139"/>
    </row>
    <row r="34" ht="20.1" customHeight="1" spans="1:15">
      <c r="A34" s="139"/>
      <c r="B34" s="139"/>
      <c r="C34" s="135">
        <v>2010301</v>
      </c>
      <c r="D34" s="136" t="s">
        <v>68</v>
      </c>
      <c r="E34" s="137">
        <f t="shared" si="0"/>
        <v>47.9</v>
      </c>
      <c r="F34" s="140">
        <v>47.9</v>
      </c>
      <c r="G34" s="141"/>
      <c r="H34" s="141"/>
      <c r="I34" s="152"/>
      <c r="J34" s="149">
        <f t="shared" si="1"/>
        <v>47.9</v>
      </c>
      <c r="K34" s="152">
        <v>47.9</v>
      </c>
      <c r="L34" s="139"/>
      <c r="M34" s="139"/>
      <c r="N34" s="139"/>
      <c r="O34" s="139"/>
    </row>
    <row r="35" ht="20.1" customHeight="1" spans="1:15">
      <c r="A35" s="139"/>
      <c r="B35" s="139"/>
      <c r="C35" s="135">
        <v>2010301</v>
      </c>
      <c r="D35" s="136" t="s">
        <v>69</v>
      </c>
      <c r="E35" s="137">
        <f t="shared" si="0"/>
        <v>15</v>
      </c>
      <c r="F35" s="140"/>
      <c r="G35" s="141"/>
      <c r="H35" s="140">
        <v>15</v>
      </c>
      <c r="I35" s="152"/>
      <c r="J35" s="149">
        <f t="shared" si="1"/>
        <v>15</v>
      </c>
      <c r="K35" s="152">
        <v>15</v>
      </c>
      <c r="L35" s="139"/>
      <c r="M35" s="139"/>
      <c r="N35" s="139"/>
      <c r="O35" s="139"/>
    </row>
    <row r="36" ht="20.1" customHeight="1" spans="1:15">
      <c r="A36" s="139"/>
      <c r="B36" s="139"/>
      <c r="C36" s="135">
        <v>2010301</v>
      </c>
      <c r="D36" s="136" t="s">
        <v>70</v>
      </c>
      <c r="E36" s="137">
        <f t="shared" si="0"/>
        <v>8.01</v>
      </c>
      <c r="F36" s="141"/>
      <c r="G36" s="141"/>
      <c r="H36" s="140">
        <v>8.01</v>
      </c>
      <c r="I36" s="152"/>
      <c r="J36" s="149">
        <f t="shared" si="1"/>
        <v>8.01</v>
      </c>
      <c r="K36" s="152">
        <v>8.01</v>
      </c>
      <c r="L36" s="139"/>
      <c r="M36" s="139"/>
      <c r="N36" s="139"/>
      <c r="O36" s="139"/>
    </row>
    <row r="37" ht="20.1" customHeight="1" spans="1:15">
      <c r="A37" s="139"/>
      <c r="B37" s="139"/>
      <c r="C37" s="135">
        <v>2010301</v>
      </c>
      <c r="D37" s="136" t="s">
        <v>71</v>
      </c>
      <c r="E37" s="137">
        <f t="shared" si="0"/>
        <v>16.79</v>
      </c>
      <c r="F37" s="140">
        <v>16.79</v>
      </c>
      <c r="G37" s="141"/>
      <c r="H37" s="141"/>
      <c r="I37" s="152"/>
      <c r="J37" s="149">
        <f t="shared" si="1"/>
        <v>16.79</v>
      </c>
      <c r="K37" s="152">
        <v>16.79</v>
      </c>
      <c r="L37" s="139"/>
      <c r="M37" s="139"/>
      <c r="N37" s="139"/>
      <c r="O37" s="139"/>
    </row>
    <row r="38" ht="20.1" customHeight="1" spans="1:15">
      <c r="A38" s="139"/>
      <c r="B38" s="139"/>
      <c r="C38" s="135">
        <v>2210202</v>
      </c>
      <c r="D38" s="136" t="s">
        <v>72</v>
      </c>
      <c r="E38" s="137">
        <f t="shared" si="0"/>
        <v>8.76</v>
      </c>
      <c r="F38" s="140">
        <v>8.76</v>
      </c>
      <c r="G38" s="141"/>
      <c r="H38" s="141"/>
      <c r="I38" s="152"/>
      <c r="J38" s="149">
        <f t="shared" si="1"/>
        <v>8.76</v>
      </c>
      <c r="K38" s="152">
        <v>8.76</v>
      </c>
      <c r="L38" s="139"/>
      <c r="M38" s="139"/>
      <c r="N38" s="139"/>
      <c r="O38" s="139"/>
    </row>
    <row r="39" ht="20.1" customHeight="1" spans="1:15">
      <c r="A39" s="139"/>
      <c r="B39" s="139"/>
      <c r="C39" s="135">
        <v>2130705</v>
      </c>
      <c r="D39" s="136" t="s">
        <v>73</v>
      </c>
      <c r="E39" s="137">
        <f t="shared" si="0"/>
        <v>31.82</v>
      </c>
      <c r="F39" s="141"/>
      <c r="G39" s="140">
        <v>31.82</v>
      </c>
      <c r="H39" s="141"/>
      <c r="I39" s="152"/>
      <c r="J39" s="149">
        <f t="shared" si="1"/>
        <v>31.82</v>
      </c>
      <c r="K39" s="152">
        <v>31.82</v>
      </c>
      <c r="L39" s="139"/>
      <c r="M39" s="139"/>
      <c r="N39" s="139"/>
      <c r="O39" s="139"/>
    </row>
    <row r="40" ht="20.1" customHeight="1" spans="1:15">
      <c r="A40" s="139"/>
      <c r="B40" s="139"/>
      <c r="C40" s="135">
        <v>2010301</v>
      </c>
      <c r="D40" s="136" t="s">
        <v>74</v>
      </c>
      <c r="E40" s="137">
        <f t="shared" si="0"/>
        <v>30</v>
      </c>
      <c r="F40" s="141"/>
      <c r="G40" s="141"/>
      <c r="H40" s="140">
        <v>30</v>
      </c>
      <c r="I40" s="152"/>
      <c r="J40" s="149">
        <f t="shared" si="1"/>
        <v>30</v>
      </c>
      <c r="K40" s="152">
        <v>30</v>
      </c>
      <c r="L40" s="139"/>
      <c r="M40" s="139"/>
      <c r="N40" s="139"/>
      <c r="O40" s="139"/>
    </row>
    <row r="41" ht="20.1" customHeight="1" spans="1:15">
      <c r="A41" s="139"/>
      <c r="B41" s="139"/>
      <c r="C41" s="135">
        <v>2010301</v>
      </c>
      <c r="D41" s="136" t="s">
        <v>75</v>
      </c>
      <c r="E41" s="137">
        <f t="shared" si="0"/>
        <v>8.05</v>
      </c>
      <c r="F41" s="141"/>
      <c r="G41" s="141"/>
      <c r="H41" s="140">
        <v>8.05</v>
      </c>
      <c r="I41" s="152"/>
      <c r="J41" s="149">
        <f t="shared" si="1"/>
        <v>8.05</v>
      </c>
      <c r="K41" s="152">
        <v>8.05</v>
      </c>
      <c r="L41" s="139"/>
      <c r="M41" s="139"/>
      <c r="N41" s="139"/>
      <c r="O41" s="139"/>
    </row>
    <row r="42" ht="20.1" customHeight="1" spans="1:15">
      <c r="A42" s="139"/>
      <c r="B42" s="139"/>
      <c r="C42" s="135">
        <v>2130705</v>
      </c>
      <c r="D42" s="136" t="s">
        <v>76</v>
      </c>
      <c r="E42" s="137">
        <f t="shared" si="0"/>
        <v>48</v>
      </c>
      <c r="F42" s="141"/>
      <c r="G42" s="141"/>
      <c r="H42" s="140">
        <v>48</v>
      </c>
      <c r="I42" s="152"/>
      <c r="J42" s="149">
        <f t="shared" si="1"/>
        <v>48</v>
      </c>
      <c r="K42" s="152">
        <v>48</v>
      </c>
      <c r="L42" s="139"/>
      <c r="M42" s="139"/>
      <c r="N42" s="139"/>
      <c r="O42" s="139"/>
    </row>
    <row r="43" ht="20.1" customHeight="1" spans="1:15">
      <c r="A43" s="139"/>
      <c r="B43" s="139"/>
      <c r="C43" s="135">
        <v>2010601</v>
      </c>
      <c r="D43" s="136" t="s">
        <v>77</v>
      </c>
      <c r="E43" s="137">
        <f t="shared" si="0"/>
        <v>3</v>
      </c>
      <c r="F43" s="141"/>
      <c r="G43" s="141"/>
      <c r="H43" s="140">
        <v>3</v>
      </c>
      <c r="I43" s="152"/>
      <c r="J43" s="149">
        <f t="shared" si="1"/>
        <v>3</v>
      </c>
      <c r="K43" s="152">
        <v>3</v>
      </c>
      <c r="L43" s="139"/>
      <c r="M43" s="139"/>
      <c r="N43" s="139"/>
      <c r="O43" s="139"/>
    </row>
    <row r="44" ht="20.1" customHeight="1" spans="1:15">
      <c r="A44" s="139"/>
      <c r="B44" s="139"/>
      <c r="C44" s="135">
        <v>2010301</v>
      </c>
      <c r="D44" s="136" t="s">
        <v>78</v>
      </c>
      <c r="E44" s="137">
        <f t="shared" si="0"/>
        <v>33.58</v>
      </c>
      <c r="F44" s="140">
        <v>33.58</v>
      </c>
      <c r="G44" s="141"/>
      <c r="H44" s="141"/>
      <c r="I44" s="152"/>
      <c r="J44" s="149">
        <f t="shared" si="1"/>
        <v>33.58</v>
      </c>
      <c r="K44" s="152">
        <v>33.58</v>
      </c>
      <c r="L44" s="139"/>
      <c r="M44" s="139"/>
      <c r="N44" s="139"/>
      <c r="O44" s="139"/>
    </row>
    <row r="45" ht="20.1" customHeight="1" spans="1:15">
      <c r="A45" s="139"/>
      <c r="B45" s="139"/>
      <c r="C45" s="135">
        <v>2010301</v>
      </c>
      <c r="D45" s="136" t="s">
        <v>79</v>
      </c>
      <c r="E45" s="137">
        <f t="shared" si="0"/>
        <v>0.7</v>
      </c>
      <c r="F45" s="141"/>
      <c r="G45" s="141"/>
      <c r="H45" s="140">
        <v>0.7</v>
      </c>
      <c r="I45" s="152"/>
      <c r="J45" s="149">
        <f t="shared" si="1"/>
        <v>0.7</v>
      </c>
      <c r="K45" s="152">
        <v>0.7</v>
      </c>
      <c r="L45" s="139"/>
      <c r="M45" s="139"/>
      <c r="N45" s="139"/>
      <c r="O45" s="139"/>
    </row>
    <row r="46" ht="20.1" customHeight="1" spans="1:15">
      <c r="A46" s="139"/>
      <c r="B46" s="139"/>
      <c r="C46" s="135">
        <v>2010301</v>
      </c>
      <c r="D46" s="136" t="s">
        <v>80</v>
      </c>
      <c r="E46" s="137">
        <f t="shared" si="0"/>
        <v>12.5</v>
      </c>
      <c r="F46" s="140">
        <v>12.5</v>
      </c>
      <c r="G46" s="141"/>
      <c r="H46" s="141"/>
      <c r="I46" s="152"/>
      <c r="J46" s="149">
        <f t="shared" si="1"/>
        <v>12.5</v>
      </c>
      <c r="K46" s="152">
        <v>12.5</v>
      </c>
      <c r="L46" s="139"/>
      <c r="M46" s="139"/>
      <c r="N46" s="139"/>
      <c r="O46" s="139"/>
    </row>
    <row r="47" ht="20.1" customHeight="1" spans="1:15">
      <c r="A47" s="139"/>
      <c r="B47" s="139"/>
      <c r="C47" s="135">
        <v>2010301</v>
      </c>
      <c r="D47" s="136" t="s">
        <v>81</v>
      </c>
      <c r="E47" s="137">
        <f t="shared" si="0"/>
        <v>14.2</v>
      </c>
      <c r="F47" s="140">
        <v>14.2</v>
      </c>
      <c r="G47" s="141"/>
      <c r="H47" s="141"/>
      <c r="I47" s="152"/>
      <c r="J47" s="149">
        <f t="shared" si="1"/>
        <v>14.2</v>
      </c>
      <c r="K47" s="152">
        <v>14.2</v>
      </c>
      <c r="L47" s="139"/>
      <c r="M47" s="139"/>
      <c r="N47" s="139"/>
      <c r="O47" s="139"/>
    </row>
    <row r="48" ht="20.1" customHeight="1" spans="1:15">
      <c r="A48" s="139"/>
      <c r="B48" s="139"/>
      <c r="C48" s="135">
        <v>2010301</v>
      </c>
      <c r="D48" s="136" t="s">
        <v>82</v>
      </c>
      <c r="E48" s="137">
        <f t="shared" si="0"/>
        <v>3.8</v>
      </c>
      <c r="F48" s="140"/>
      <c r="G48" s="141"/>
      <c r="H48" s="140">
        <v>3.8</v>
      </c>
      <c r="I48" s="152"/>
      <c r="J48" s="149">
        <f t="shared" si="1"/>
        <v>3.8</v>
      </c>
      <c r="K48" s="152">
        <v>3.8</v>
      </c>
      <c r="L48" s="139"/>
      <c r="M48" s="139"/>
      <c r="N48" s="139"/>
      <c r="O48" s="139"/>
    </row>
    <row r="49" ht="20.1" customHeight="1" spans="1:15">
      <c r="A49" s="139"/>
      <c r="B49" s="139"/>
      <c r="C49" s="135">
        <v>2010301</v>
      </c>
      <c r="D49" s="136" t="s">
        <v>83</v>
      </c>
      <c r="E49" s="137">
        <f t="shared" si="0"/>
        <v>6.37</v>
      </c>
      <c r="F49" s="141"/>
      <c r="G49" s="141"/>
      <c r="H49" s="140">
        <v>6.37</v>
      </c>
      <c r="I49" s="152"/>
      <c r="J49" s="149">
        <f t="shared" si="1"/>
        <v>6.37</v>
      </c>
      <c r="K49" s="152">
        <v>6.37</v>
      </c>
      <c r="L49" s="139"/>
      <c r="M49" s="139"/>
      <c r="N49" s="139"/>
      <c r="O49" s="139"/>
    </row>
    <row r="50" ht="20.1" customHeight="1" spans="1:15">
      <c r="A50" s="139"/>
      <c r="B50" s="139"/>
      <c r="C50" s="135">
        <v>2010301</v>
      </c>
      <c r="D50" s="136" t="s">
        <v>84</v>
      </c>
      <c r="E50" s="137">
        <f t="shared" si="0"/>
        <v>12.37</v>
      </c>
      <c r="F50" s="141"/>
      <c r="G50" s="141"/>
      <c r="H50" s="140">
        <v>12.37</v>
      </c>
      <c r="I50" s="152"/>
      <c r="J50" s="149">
        <f t="shared" si="1"/>
        <v>12.37</v>
      </c>
      <c r="K50" s="152">
        <v>12.37</v>
      </c>
      <c r="L50" s="139"/>
      <c r="M50" s="139"/>
      <c r="N50" s="139"/>
      <c r="O50" s="139"/>
    </row>
    <row r="51" ht="20.1" customHeight="1" spans="1:15">
      <c r="A51" s="139"/>
      <c r="B51" s="139"/>
      <c r="C51" s="135">
        <v>2010301</v>
      </c>
      <c r="D51" s="136" t="s">
        <v>85</v>
      </c>
      <c r="E51" s="137">
        <f t="shared" si="0"/>
        <v>0.18</v>
      </c>
      <c r="F51" s="140">
        <v>0.18</v>
      </c>
      <c r="G51" s="141"/>
      <c r="H51" s="141"/>
      <c r="I51" s="152"/>
      <c r="J51" s="149">
        <f t="shared" si="1"/>
        <v>0.18</v>
      </c>
      <c r="K51" s="152">
        <v>0.18</v>
      </c>
      <c r="L51" s="139"/>
      <c r="M51" s="139"/>
      <c r="N51" s="139"/>
      <c r="O51" s="139"/>
    </row>
    <row r="52" ht="20.1" customHeight="1" spans="1:15">
      <c r="A52" s="139"/>
      <c r="B52" s="139"/>
      <c r="C52" s="135">
        <v>2130705</v>
      </c>
      <c r="D52" s="136" t="s">
        <v>86</v>
      </c>
      <c r="E52" s="137">
        <f t="shared" si="0"/>
        <v>24.96</v>
      </c>
      <c r="F52" s="141"/>
      <c r="G52" s="140">
        <v>24.96</v>
      </c>
      <c r="H52" s="141"/>
      <c r="I52" s="152"/>
      <c r="J52" s="149">
        <f t="shared" si="1"/>
        <v>24.96</v>
      </c>
      <c r="K52" s="152">
        <v>24.96</v>
      </c>
      <c r="L52" s="139"/>
      <c r="M52" s="139"/>
      <c r="N52" s="139"/>
      <c r="O52" s="139"/>
    </row>
    <row r="53" ht="20.1" customHeight="1" spans="1:15">
      <c r="A53" s="139"/>
      <c r="B53" s="139"/>
      <c r="C53" s="135">
        <v>2130705</v>
      </c>
      <c r="D53" s="136" t="s">
        <v>87</v>
      </c>
      <c r="E53" s="137">
        <f t="shared" si="0"/>
        <v>10.02</v>
      </c>
      <c r="F53" s="141"/>
      <c r="G53" s="140">
        <v>10.02</v>
      </c>
      <c r="H53" s="141"/>
      <c r="I53" s="152"/>
      <c r="J53" s="149">
        <f t="shared" si="1"/>
        <v>10.02</v>
      </c>
      <c r="K53" s="152">
        <v>10.02</v>
      </c>
      <c r="L53" s="139"/>
      <c r="M53" s="139"/>
      <c r="N53" s="139"/>
      <c r="O53" s="139"/>
    </row>
    <row r="54" ht="20.1" customHeight="1" spans="1:15">
      <c r="A54" s="139"/>
      <c r="B54" s="139"/>
      <c r="C54" s="135">
        <v>2010601</v>
      </c>
      <c r="D54" s="136" t="s">
        <v>88</v>
      </c>
      <c r="E54" s="137">
        <f t="shared" si="0"/>
        <v>3.49</v>
      </c>
      <c r="F54" s="140">
        <v>3.49</v>
      </c>
      <c r="G54" s="141"/>
      <c r="H54" s="141"/>
      <c r="I54" s="152"/>
      <c r="J54" s="149">
        <f t="shared" si="1"/>
        <v>3.49</v>
      </c>
      <c r="K54" s="152">
        <v>3.49</v>
      </c>
      <c r="L54" s="139"/>
      <c r="M54" s="139"/>
      <c r="N54" s="139"/>
      <c r="O54" s="139"/>
    </row>
    <row r="55" ht="64.9" customHeight="1" spans="1:15">
      <c r="A55" s="142" t="s">
        <v>89</v>
      </c>
      <c r="B55" s="142"/>
      <c r="C55" s="142"/>
      <c r="D55" s="142"/>
      <c r="E55" s="143"/>
      <c r="F55" s="143"/>
      <c r="G55" s="143"/>
      <c r="H55" s="143"/>
      <c r="I55" s="143"/>
      <c r="J55" s="143"/>
      <c r="K55" s="143"/>
      <c r="L55" s="142"/>
      <c r="M55" s="142"/>
      <c r="N55" s="142"/>
      <c r="O55" s="142"/>
    </row>
  </sheetData>
  <mergeCells count="18">
    <mergeCell ref="A2:O2"/>
    <mergeCell ref="N3:O3"/>
    <mergeCell ref="A55:O55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8333333333333" right="0.708333333333333" top="0.747916666666667" bottom="0.747916666666667" header="0.314583333333333" footer="0.314583333333333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tabSelected="1" workbookViewId="0">
      <selection activeCell="D7" sqref="D7"/>
    </sheetView>
  </sheetViews>
  <sheetFormatPr defaultColWidth="9" defaultRowHeight="15.6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107" t="s">
        <v>90</v>
      </c>
      <c r="B1" s="35"/>
      <c r="C1" s="35"/>
      <c r="D1" s="35"/>
    </row>
    <row r="2" ht="20.4" spans="1:4">
      <c r="A2" s="108" t="s">
        <v>91</v>
      </c>
      <c r="B2" s="108"/>
      <c r="C2" s="108"/>
      <c r="D2" s="108"/>
    </row>
    <row r="3" spans="1:4">
      <c r="A3" s="109"/>
      <c r="B3" s="109"/>
      <c r="C3" s="109"/>
      <c r="D3" s="110" t="s">
        <v>2</v>
      </c>
    </row>
    <row r="4" s="63" customFormat="1" ht="20.1" customHeight="1" spans="1:4">
      <c r="A4" s="111" t="s">
        <v>3</v>
      </c>
      <c r="B4" s="111"/>
      <c r="C4" s="111" t="s">
        <v>4</v>
      </c>
      <c r="D4" s="111"/>
    </row>
    <row r="5" s="63" customFormat="1" ht="20.1" customHeight="1" spans="1:4">
      <c r="A5" s="112" t="s">
        <v>5</v>
      </c>
      <c r="B5" s="112" t="s">
        <v>6</v>
      </c>
      <c r="C5" s="112" t="s">
        <v>7</v>
      </c>
      <c r="D5" s="112" t="s">
        <v>6</v>
      </c>
    </row>
    <row r="6" s="63" customFormat="1" ht="20.1" customHeight="1" spans="1:4">
      <c r="A6" s="113" t="s">
        <v>8</v>
      </c>
      <c r="B6" s="114">
        <v>691.24</v>
      </c>
      <c r="C6" s="113" t="s">
        <v>9</v>
      </c>
      <c r="D6" s="114">
        <v>691.24</v>
      </c>
    </row>
    <row r="7" s="63" customFormat="1" ht="20.1" customHeight="1" spans="1:4">
      <c r="A7" s="113" t="s">
        <v>10</v>
      </c>
      <c r="B7" s="114">
        <v>0</v>
      </c>
      <c r="C7" s="113" t="s">
        <v>92</v>
      </c>
      <c r="D7" s="58">
        <v>441.32</v>
      </c>
    </row>
    <row r="8" s="63" customFormat="1" ht="20.1" customHeight="1" spans="1:4">
      <c r="A8" s="115" t="s">
        <v>93</v>
      </c>
      <c r="B8" s="114">
        <v>0</v>
      </c>
      <c r="C8" s="113" t="s">
        <v>94</v>
      </c>
      <c r="D8" s="58">
        <v>90.7</v>
      </c>
    </row>
    <row r="9" s="63" customFormat="1" ht="20.1" customHeight="1" spans="1:4">
      <c r="A9" s="113"/>
      <c r="B9" s="114"/>
      <c r="C9" s="113" t="s">
        <v>95</v>
      </c>
      <c r="D9" s="58">
        <v>159.22</v>
      </c>
    </row>
    <row r="10" s="63" customFormat="1" ht="20.1" customHeight="1" spans="1:4">
      <c r="A10" s="113"/>
      <c r="B10" s="114"/>
      <c r="C10" s="113" t="s">
        <v>17</v>
      </c>
      <c r="D10" s="116">
        <v>0</v>
      </c>
    </row>
    <row r="11" s="63" customFormat="1" ht="20.1" customHeight="1" spans="1:4">
      <c r="A11" s="113"/>
      <c r="B11" s="114"/>
      <c r="C11" s="113"/>
      <c r="D11" s="114"/>
    </row>
    <row r="12" s="63" customFormat="1" ht="20.1" customHeight="1" spans="1:4">
      <c r="A12" s="113"/>
      <c r="B12" s="114"/>
      <c r="C12" s="113"/>
      <c r="D12" s="114"/>
    </row>
    <row r="13" s="63" customFormat="1" ht="20.1" customHeight="1" spans="1:4">
      <c r="A13" s="117" t="s">
        <v>18</v>
      </c>
      <c r="B13" s="116">
        <f>SUM(B6:B12)</f>
        <v>691.24</v>
      </c>
      <c r="C13" s="117" t="s">
        <v>19</v>
      </c>
      <c r="D13" s="114">
        <f>D6+D10</f>
        <v>691.24</v>
      </c>
    </row>
  </sheetData>
  <mergeCells count="1">
    <mergeCell ref="A2:D2"/>
  </mergeCells>
  <pageMargins left="0.708333333333333" right="0.708333333333333" top="0.747916666666667" bottom="0.747916666666667" header="0.314583333333333" footer="0.314583333333333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5"/>
  <sheetViews>
    <sheetView workbookViewId="0">
      <selection activeCell="B42" sqref="B42"/>
    </sheetView>
  </sheetViews>
  <sheetFormatPr defaultColWidth="9" defaultRowHeight="15.6" outlineLevelCol="4"/>
  <cols>
    <col min="1" max="1" width="15.4" customWidth="1"/>
    <col min="2" max="2" width="38.7" customWidth="1"/>
    <col min="3" max="3" width="11.6" style="94" customWidth="1"/>
    <col min="4" max="4" width="14.125" customWidth="1"/>
    <col min="5" max="5" width="15.875" customWidth="1"/>
  </cols>
  <sheetData>
    <row r="1" spans="1:5">
      <c r="A1" s="65" t="s">
        <v>96</v>
      </c>
      <c r="B1" s="65"/>
      <c r="C1" s="95"/>
      <c r="D1" s="67"/>
      <c r="E1" s="67"/>
    </row>
    <row r="2" ht="20.4" spans="1:5">
      <c r="A2" s="68" t="s">
        <v>97</v>
      </c>
      <c r="B2" s="68"/>
      <c r="C2" s="96"/>
      <c r="D2" s="68"/>
      <c r="E2" s="68"/>
    </row>
    <row r="3" spans="1:5">
      <c r="A3" s="70"/>
      <c r="B3" s="70"/>
      <c r="C3" s="97"/>
      <c r="D3" s="70"/>
      <c r="E3" s="38" t="s">
        <v>2</v>
      </c>
    </row>
    <row r="4" s="63" customFormat="1" ht="20.1" customHeight="1" spans="1:5">
      <c r="A4" s="72" t="s">
        <v>35</v>
      </c>
      <c r="B4" s="72" t="s">
        <v>36</v>
      </c>
      <c r="C4" s="98" t="s">
        <v>37</v>
      </c>
      <c r="D4" s="74" t="s">
        <v>98</v>
      </c>
      <c r="E4" s="74"/>
    </row>
    <row r="5" s="63" customFormat="1" ht="20.1" customHeight="1" spans="1:5">
      <c r="A5" s="72"/>
      <c r="B5" s="72"/>
      <c r="C5" s="98"/>
      <c r="D5" s="185" t="s">
        <v>99</v>
      </c>
      <c r="E5" s="72" t="s">
        <v>41</v>
      </c>
    </row>
    <row r="6" s="63" customFormat="1" ht="20.1" customHeight="1" spans="1:5">
      <c r="A6" s="75" t="s">
        <v>31</v>
      </c>
      <c r="B6" s="75" t="s">
        <v>31</v>
      </c>
      <c r="C6" s="76">
        <f>SUM(C7:C53)</f>
        <v>691.24</v>
      </c>
      <c r="D6" s="77">
        <v>2</v>
      </c>
      <c r="E6" s="77">
        <v>3</v>
      </c>
    </row>
    <row r="7" s="63" customFormat="1" ht="20.1" customHeight="1" spans="1:5">
      <c r="A7" s="99">
        <v>2010301</v>
      </c>
      <c r="B7" s="100" t="s">
        <v>42</v>
      </c>
      <c r="C7" s="76">
        <f>D7+E7</f>
        <v>23.92</v>
      </c>
      <c r="D7" s="58">
        <v>23.92</v>
      </c>
      <c r="E7" s="81"/>
    </row>
    <row r="8" s="63" customFormat="1" ht="20.1" customHeight="1" spans="1:5">
      <c r="A8" s="99">
        <v>2010301</v>
      </c>
      <c r="B8" s="100" t="s">
        <v>43</v>
      </c>
      <c r="C8" s="76">
        <f t="shared" ref="C8:C20" si="0">D8+E8</f>
        <v>1.13</v>
      </c>
      <c r="D8" s="101">
        <v>1.13</v>
      </c>
      <c r="E8" s="81"/>
    </row>
    <row r="9" s="63" customFormat="1" ht="20.1" customHeight="1" spans="1:5">
      <c r="A9" s="99">
        <v>2210201</v>
      </c>
      <c r="B9" s="100" t="s">
        <v>44</v>
      </c>
      <c r="C9" s="76">
        <f t="shared" si="0"/>
        <v>44.97</v>
      </c>
      <c r="D9" s="82">
        <v>44.97</v>
      </c>
      <c r="E9" s="81"/>
    </row>
    <row r="10" s="63" customFormat="1" ht="20.1" customHeight="1" spans="1:5">
      <c r="A10" s="99">
        <v>2010301</v>
      </c>
      <c r="B10" s="100" t="s">
        <v>45</v>
      </c>
      <c r="C10" s="76">
        <f t="shared" si="0"/>
        <v>16.23</v>
      </c>
      <c r="D10" s="82">
        <v>16.23</v>
      </c>
      <c r="E10" s="81"/>
    </row>
    <row r="11" s="63" customFormat="1" ht="20.1" customHeight="1" spans="1:5">
      <c r="A11" s="99">
        <v>2010301</v>
      </c>
      <c r="B11" s="100" t="s">
        <v>46</v>
      </c>
      <c r="C11" s="76">
        <f t="shared" si="0"/>
        <v>40.58</v>
      </c>
      <c r="D11" s="82">
        <v>40.58</v>
      </c>
      <c r="E11" s="81"/>
    </row>
    <row r="12" s="63" customFormat="1" ht="20.1" customHeight="1" spans="1:5">
      <c r="A12" s="99">
        <v>2010301</v>
      </c>
      <c r="B12" s="100" t="s">
        <v>47</v>
      </c>
      <c r="C12" s="76">
        <f t="shared" si="0"/>
        <v>0.72</v>
      </c>
      <c r="D12" s="82">
        <v>0.72</v>
      </c>
      <c r="E12" s="81"/>
    </row>
    <row r="13" s="63" customFormat="1" ht="20.1" customHeight="1" spans="1:5">
      <c r="A13" s="99">
        <v>2010301</v>
      </c>
      <c r="B13" s="100" t="s">
        <v>48</v>
      </c>
      <c r="C13" s="76">
        <f t="shared" si="0"/>
        <v>1.01</v>
      </c>
      <c r="D13" s="82">
        <v>1.01</v>
      </c>
      <c r="E13" s="81"/>
    </row>
    <row r="14" s="63" customFormat="1" ht="20.1" customHeight="1" spans="1:5">
      <c r="A14" s="99">
        <v>2070101</v>
      </c>
      <c r="B14" s="100" t="s">
        <v>49</v>
      </c>
      <c r="C14" s="76">
        <f t="shared" si="0"/>
        <v>1.97</v>
      </c>
      <c r="D14" s="82">
        <v>1.97</v>
      </c>
      <c r="E14" s="81"/>
    </row>
    <row r="15" s="63" customFormat="1" ht="20.1" customHeight="1" spans="1:5">
      <c r="A15" s="99">
        <v>2130101</v>
      </c>
      <c r="B15" s="100" t="s">
        <v>50</v>
      </c>
      <c r="C15" s="76">
        <f t="shared" si="0"/>
        <v>2.65</v>
      </c>
      <c r="D15" s="82">
        <v>2.65</v>
      </c>
      <c r="E15" s="102"/>
    </row>
    <row r="16" s="63" customFormat="1" ht="20.1" customHeight="1" spans="1:5">
      <c r="A16" s="99">
        <v>2100716</v>
      </c>
      <c r="B16" s="100" t="s">
        <v>51</v>
      </c>
      <c r="C16" s="76">
        <f t="shared" si="0"/>
        <v>3.07</v>
      </c>
      <c r="D16" s="82">
        <v>3.07</v>
      </c>
      <c r="E16" s="81"/>
    </row>
    <row r="17" s="63" customFormat="1" ht="20.1" customHeight="1" spans="1:5">
      <c r="A17" s="99">
        <v>2070101</v>
      </c>
      <c r="B17" s="100" t="s">
        <v>52</v>
      </c>
      <c r="C17" s="76">
        <f t="shared" si="0"/>
        <v>1.11</v>
      </c>
      <c r="D17" s="82">
        <v>1.11</v>
      </c>
      <c r="E17" s="81"/>
    </row>
    <row r="18" s="63" customFormat="1" ht="20.1" customHeight="1" spans="1:5">
      <c r="A18" s="99">
        <v>2130101</v>
      </c>
      <c r="B18" s="100" t="s">
        <v>53</v>
      </c>
      <c r="C18" s="76">
        <f t="shared" si="0"/>
        <v>4.89</v>
      </c>
      <c r="D18" s="82">
        <v>4.89</v>
      </c>
      <c r="E18" s="81"/>
    </row>
    <row r="19" s="63" customFormat="1" ht="20.1" customHeight="1" spans="1:5">
      <c r="A19" s="99">
        <v>2100716</v>
      </c>
      <c r="B19" s="100" t="s">
        <v>54</v>
      </c>
      <c r="C19" s="76">
        <f t="shared" ref="C19:C62" si="1">D19+E19</f>
        <v>2.23</v>
      </c>
      <c r="D19" s="82">
        <v>2.23</v>
      </c>
      <c r="E19" s="81"/>
    </row>
    <row r="20" s="63" customFormat="1" ht="20.1" customHeight="1" spans="1:5">
      <c r="A20" s="99">
        <v>2010301</v>
      </c>
      <c r="B20" s="100" t="s">
        <v>55</v>
      </c>
      <c r="C20" s="76">
        <f t="shared" si="1"/>
        <v>51.83</v>
      </c>
      <c r="D20" s="82">
        <v>51.83</v>
      </c>
      <c r="E20" s="81"/>
    </row>
    <row r="21" s="63" customFormat="1" ht="20.1" customHeight="1" spans="1:5">
      <c r="A21" s="99">
        <v>2070101</v>
      </c>
      <c r="B21" s="100" t="s">
        <v>56</v>
      </c>
      <c r="C21" s="76">
        <f t="shared" si="1"/>
        <v>4.62</v>
      </c>
      <c r="D21" s="82">
        <v>4.62</v>
      </c>
      <c r="E21" s="81"/>
    </row>
    <row r="22" s="63" customFormat="1" ht="20.1" customHeight="1" spans="1:5">
      <c r="A22" s="99">
        <v>2130101</v>
      </c>
      <c r="B22" s="100" t="s">
        <v>57</v>
      </c>
      <c r="C22" s="76">
        <f t="shared" si="1"/>
        <v>13.56</v>
      </c>
      <c r="D22" s="82">
        <v>13.56</v>
      </c>
      <c r="E22" s="81"/>
    </row>
    <row r="23" s="63" customFormat="1" ht="20.1" customHeight="1" spans="1:5">
      <c r="A23" s="99">
        <v>2100716</v>
      </c>
      <c r="B23" s="100" t="s">
        <v>58</v>
      </c>
      <c r="C23" s="76">
        <f t="shared" si="1"/>
        <v>5.29</v>
      </c>
      <c r="D23" s="82">
        <v>5.29</v>
      </c>
      <c r="E23" s="81"/>
    </row>
    <row r="24" s="63" customFormat="1" ht="20.1" customHeight="1" spans="1:5">
      <c r="A24" s="99">
        <v>2010601</v>
      </c>
      <c r="B24" s="100" t="s">
        <v>59</v>
      </c>
      <c r="C24" s="76">
        <f t="shared" si="1"/>
        <v>5.93</v>
      </c>
      <c r="D24" s="82">
        <v>5.93</v>
      </c>
      <c r="E24" s="81"/>
    </row>
    <row r="25" s="63" customFormat="1" ht="20.1" customHeight="1" spans="1:5">
      <c r="A25" s="99">
        <v>2010301</v>
      </c>
      <c r="B25" s="100" t="s">
        <v>60</v>
      </c>
      <c r="C25" s="76">
        <f t="shared" si="1"/>
        <v>74.01</v>
      </c>
      <c r="D25" s="82">
        <v>74.01</v>
      </c>
      <c r="E25" s="81"/>
    </row>
    <row r="26" s="63" customFormat="1" ht="20.1" customHeight="1" spans="1:5">
      <c r="A26" s="99">
        <v>2070101</v>
      </c>
      <c r="B26" s="100" t="s">
        <v>61</v>
      </c>
      <c r="C26" s="76">
        <f t="shared" si="1"/>
        <v>2.68</v>
      </c>
      <c r="D26" s="82">
        <v>2.68</v>
      </c>
      <c r="E26" s="81"/>
    </row>
    <row r="27" s="63" customFormat="1" ht="20.1" customHeight="1" spans="1:5">
      <c r="A27" s="99">
        <v>2130101</v>
      </c>
      <c r="B27" s="100" t="s">
        <v>62</v>
      </c>
      <c r="C27" s="76">
        <f t="shared" si="1"/>
        <v>12.08</v>
      </c>
      <c r="D27" s="82">
        <v>12.08</v>
      </c>
      <c r="E27" s="81"/>
    </row>
    <row r="28" s="63" customFormat="1" ht="20.1" customHeight="1" spans="1:5">
      <c r="A28" s="99">
        <v>2100716</v>
      </c>
      <c r="B28" s="100" t="s">
        <v>63</v>
      </c>
      <c r="C28" s="76">
        <f t="shared" si="1"/>
        <v>5.63</v>
      </c>
      <c r="D28" s="82">
        <v>5.63</v>
      </c>
      <c r="E28" s="81"/>
    </row>
    <row r="29" s="63" customFormat="1" ht="20.1" customHeight="1" spans="1:5">
      <c r="A29" s="99">
        <v>2010601</v>
      </c>
      <c r="B29" s="100" t="s">
        <v>64</v>
      </c>
      <c r="C29" s="76">
        <f t="shared" si="1"/>
        <v>7.73</v>
      </c>
      <c r="D29" s="82">
        <v>7.73</v>
      </c>
      <c r="E29" s="81"/>
    </row>
    <row r="30" s="63" customFormat="1" ht="20.1" customHeight="1" spans="1:5">
      <c r="A30" s="99">
        <v>2080899</v>
      </c>
      <c r="B30" s="100" t="s">
        <v>65</v>
      </c>
      <c r="C30" s="76">
        <f t="shared" si="1"/>
        <v>1.32</v>
      </c>
      <c r="D30" s="82">
        <v>1.32</v>
      </c>
      <c r="E30" s="81"/>
    </row>
    <row r="31" s="63" customFormat="1" ht="20.1" customHeight="1" spans="1:5">
      <c r="A31" s="99">
        <v>2080899</v>
      </c>
      <c r="B31" s="100" t="s">
        <v>66</v>
      </c>
      <c r="C31" s="76">
        <f t="shared" si="1"/>
        <v>0.4</v>
      </c>
      <c r="D31" s="82">
        <v>0.4</v>
      </c>
      <c r="E31" s="81"/>
    </row>
    <row r="32" s="63" customFormat="1" ht="20.1" customHeight="1" spans="1:5">
      <c r="A32" s="99">
        <v>2130705</v>
      </c>
      <c r="B32" s="100" t="s">
        <v>67</v>
      </c>
      <c r="C32" s="76">
        <f t="shared" si="1"/>
        <v>22.18</v>
      </c>
      <c r="D32" s="82">
        <v>22.18</v>
      </c>
      <c r="E32" s="81"/>
    </row>
    <row r="33" s="63" customFormat="1" ht="20.1" customHeight="1" spans="1:5">
      <c r="A33" s="99">
        <v>2010301</v>
      </c>
      <c r="B33" s="100" t="s">
        <v>68</v>
      </c>
      <c r="C33" s="76">
        <f t="shared" si="1"/>
        <v>47.9</v>
      </c>
      <c r="D33" s="82">
        <v>47.9</v>
      </c>
      <c r="E33" s="81"/>
    </row>
    <row r="34" s="63" customFormat="1" ht="20.1" customHeight="1" spans="1:5">
      <c r="A34" s="99">
        <v>2010301</v>
      </c>
      <c r="B34" s="100" t="s">
        <v>69</v>
      </c>
      <c r="C34" s="76">
        <f t="shared" si="1"/>
        <v>15</v>
      </c>
      <c r="D34" s="82">
        <v>15</v>
      </c>
      <c r="E34" s="81"/>
    </row>
    <row r="35" s="63" customFormat="1" ht="20.1" customHeight="1" spans="1:5">
      <c r="A35" s="99">
        <v>2010301</v>
      </c>
      <c r="B35" s="100" t="s">
        <v>70</v>
      </c>
      <c r="C35" s="76">
        <f t="shared" si="1"/>
        <v>8.01</v>
      </c>
      <c r="D35" s="82">
        <v>8.01</v>
      </c>
      <c r="E35" s="81"/>
    </row>
    <row r="36" s="63" customFormat="1" ht="20.1" customHeight="1" spans="1:5">
      <c r="A36" s="99">
        <v>2010301</v>
      </c>
      <c r="B36" s="100" t="s">
        <v>71</v>
      </c>
      <c r="C36" s="76">
        <f t="shared" si="1"/>
        <v>16.79</v>
      </c>
      <c r="D36" s="82">
        <v>16.79</v>
      </c>
      <c r="E36" s="81"/>
    </row>
    <row r="37" s="63" customFormat="1" ht="20.1" customHeight="1" spans="1:5">
      <c r="A37" s="99">
        <v>2210202</v>
      </c>
      <c r="B37" s="100" t="s">
        <v>72</v>
      </c>
      <c r="C37" s="76">
        <f t="shared" si="1"/>
        <v>8.76</v>
      </c>
      <c r="D37" s="82">
        <v>8.76</v>
      </c>
      <c r="E37" s="81"/>
    </row>
    <row r="38" s="63" customFormat="1" ht="20.1" customHeight="1" spans="1:5">
      <c r="A38" s="99">
        <v>2130705</v>
      </c>
      <c r="B38" s="100" t="s">
        <v>73</v>
      </c>
      <c r="C38" s="76">
        <f t="shared" si="1"/>
        <v>31.82</v>
      </c>
      <c r="D38" s="82">
        <v>31.82</v>
      </c>
      <c r="E38" s="81"/>
    </row>
    <row r="39" s="63" customFormat="1" ht="20.1" customHeight="1" spans="1:5">
      <c r="A39" s="99">
        <v>2010301</v>
      </c>
      <c r="B39" s="100" t="s">
        <v>74</v>
      </c>
      <c r="C39" s="76">
        <f t="shared" si="1"/>
        <v>30</v>
      </c>
      <c r="D39" s="82">
        <v>30</v>
      </c>
      <c r="E39" s="81"/>
    </row>
    <row r="40" s="63" customFormat="1" ht="20.1" customHeight="1" spans="1:5">
      <c r="A40" s="99">
        <v>2010301</v>
      </c>
      <c r="B40" s="100" t="s">
        <v>75</v>
      </c>
      <c r="C40" s="76">
        <f t="shared" si="1"/>
        <v>8.05</v>
      </c>
      <c r="D40" s="82">
        <v>8.05</v>
      </c>
      <c r="E40" s="81"/>
    </row>
    <row r="41" s="63" customFormat="1" ht="20.1" customHeight="1" spans="1:5">
      <c r="A41" s="99">
        <v>2130705</v>
      </c>
      <c r="B41" s="100" t="s">
        <v>76</v>
      </c>
      <c r="C41" s="76">
        <f t="shared" si="1"/>
        <v>48</v>
      </c>
      <c r="D41" s="82">
        <v>48</v>
      </c>
      <c r="E41" s="81"/>
    </row>
    <row r="42" s="63" customFormat="1" ht="20.1" customHeight="1" spans="1:5">
      <c r="A42" s="99">
        <v>2010601</v>
      </c>
      <c r="B42" s="100" t="s">
        <v>77</v>
      </c>
      <c r="C42" s="76">
        <f t="shared" si="1"/>
        <v>3</v>
      </c>
      <c r="D42" s="82">
        <v>3</v>
      </c>
      <c r="E42" s="81"/>
    </row>
    <row r="43" s="63" customFormat="1" ht="20.1" customHeight="1" spans="1:5">
      <c r="A43" s="99">
        <v>2010301</v>
      </c>
      <c r="B43" s="100" t="s">
        <v>78</v>
      </c>
      <c r="C43" s="76">
        <f t="shared" si="1"/>
        <v>33.58</v>
      </c>
      <c r="D43" s="82">
        <v>33.58</v>
      </c>
      <c r="E43" s="81"/>
    </row>
    <row r="44" s="63" customFormat="1" ht="20.1" customHeight="1" spans="1:5">
      <c r="A44" s="99">
        <v>2010301</v>
      </c>
      <c r="B44" s="100" t="s">
        <v>79</v>
      </c>
      <c r="C44" s="76">
        <f t="shared" si="1"/>
        <v>0.7</v>
      </c>
      <c r="D44" s="82">
        <v>0.7</v>
      </c>
      <c r="E44" s="81"/>
    </row>
    <row r="45" s="63" customFormat="1" ht="20.1" customHeight="1" spans="1:5">
      <c r="A45" s="99">
        <v>2010301</v>
      </c>
      <c r="B45" s="100" t="s">
        <v>80</v>
      </c>
      <c r="C45" s="76">
        <f t="shared" si="1"/>
        <v>12.5</v>
      </c>
      <c r="D45" s="82">
        <v>12.5</v>
      </c>
      <c r="E45" s="81"/>
    </row>
    <row r="46" s="63" customFormat="1" ht="20.1" customHeight="1" spans="1:5">
      <c r="A46" s="99">
        <v>2010301</v>
      </c>
      <c r="B46" s="100" t="s">
        <v>81</v>
      </c>
      <c r="C46" s="76">
        <f t="shared" si="1"/>
        <v>14.2</v>
      </c>
      <c r="D46" s="82">
        <v>14.2</v>
      </c>
      <c r="E46" s="81"/>
    </row>
    <row r="47" s="63" customFormat="1" ht="20.1" customHeight="1" spans="1:5">
      <c r="A47" s="99">
        <v>2010301</v>
      </c>
      <c r="B47" s="100" t="s">
        <v>82</v>
      </c>
      <c r="C47" s="76">
        <f t="shared" si="1"/>
        <v>3.8</v>
      </c>
      <c r="D47" s="82">
        <v>3.8</v>
      </c>
      <c r="E47" s="81"/>
    </row>
    <row r="48" s="63" customFormat="1" ht="20.1" customHeight="1" spans="1:5">
      <c r="A48" s="99">
        <v>2010301</v>
      </c>
      <c r="B48" s="100" t="s">
        <v>83</v>
      </c>
      <c r="C48" s="76">
        <f t="shared" si="1"/>
        <v>6.37</v>
      </c>
      <c r="D48" s="82">
        <v>6.37</v>
      </c>
      <c r="E48" s="81"/>
    </row>
    <row r="49" s="63" customFormat="1" ht="20.1" customHeight="1" spans="1:5">
      <c r="A49" s="99">
        <v>2010301</v>
      </c>
      <c r="B49" s="100" t="s">
        <v>84</v>
      </c>
      <c r="C49" s="76">
        <f t="shared" si="1"/>
        <v>12.37</v>
      </c>
      <c r="D49" s="82">
        <v>12.37</v>
      </c>
      <c r="E49" s="81"/>
    </row>
    <row r="50" s="63" customFormat="1" ht="20.1" customHeight="1" spans="1:5">
      <c r="A50" s="99">
        <v>2010301</v>
      </c>
      <c r="B50" s="100" t="s">
        <v>85</v>
      </c>
      <c r="C50" s="76">
        <f t="shared" si="1"/>
        <v>0.18</v>
      </c>
      <c r="D50" s="82">
        <v>0.18</v>
      </c>
      <c r="E50" s="81"/>
    </row>
    <row r="51" s="63" customFormat="1" ht="20.1" customHeight="1" spans="1:5">
      <c r="A51" s="99">
        <v>2130705</v>
      </c>
      <c r="B51" s="100" t="s">
        <v>86</v>
      </c>
      <c r="C51" s="76">
        <f t="shared" si="1"/>
        <v>24.96</v>
      </c>
      <c r="D51" s="82">
        <v>24.96</v>
      </c>
      <c r="E51" s="81"/>
    </row>
    <row r="52" s="63" customFormat="1" ht="20.1" customHeight="1" spans="1:5">
      <c r="A52" s="99">
        <v>2130705</v>
      </c>
      <c r="B52" s="100" t="s">
        <v>87</v>
      </c>
      <c r="C52" s="76">
        <f t="shared" si="1"/>
        <v>10.02</v>
      </c>
      <c r="D52" s="82">
        <v>10.02</v>
      </c>
      <c r="E52" s="81"/>
    </row>
    <row r="53" s="63" customFormat="1" ht="20.1" customHeight="1" spans="1:5">
      <c r="A53" s="99">
        <v>2010601</v>
      </c>
      <c r="B53" s="100" t="s">
        <v>88</v>
      </c>
      <c r="C53" s="76">
        <f t="shared" si="1"/>
        <v>3.49</v>
      </c>
      <c r="D53" s="82">
        <v>3.49</v>
      </c>
      <c r="E53" s="81"/>
    </row>
    <row r="54" s="63" customFormat="1" spans="1:5">
      <c r="A54" s="103" t="s">
        <v>100</v>
      </c>
      <c r="B54" s="103"/>
      <c r="C54" s="104"/>
      <c r="D54" s="103"/>
      <c r="E54" s="103"/>
    </row>
    <row r="55" s="63" customFormat="1" spans="1:5">
      <c r="A55" s="105"/>
      <c r="B55" s="105"/>
      <c r="C55" s="106"/>
      <c r="D55" s="105"/>
      <c r="E55" s="105"/>
    </row>
  </sheetData>
  <mergeCells count="7">
    <mergeCell ref="A2:E2"/>
    <mergeCell ref="D4:E4"/>
    <mergeCell ref="A54:E54"/>
    <mergeCell ref="A55:E55"/>
    <mergeCell ref="A4:A5"/>
    <mergeCell ref="B4:B5"/>
    <mergeCell ref="C4:C5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A7" sqref="$A7:$XFD7"/>
    </sheetView>
  </sheetViews>
  <sheetFormatPr defaultColWidth="9" defaultRowHeight="15.6" outlineLevelCol="4"/>
  <cols>
    <col min="1" max="1" width="15.75" customWidth="1"/>
    <col min="2" max="2" width="36.7" customWidth="1"/>
    <col min="3" max="3" width="15.25" style="64" customWidth="1"/>
    <col min="4" max="5" width="15.25" customWidth="1"/>
  </cols>
  <sheetData>
    <row r="1" ht="24.6" customHeight="1" spans="1:5">
      <c r="A1" s="65" t="s">
        <v>101</v>
      </c>
      <c r="B1" s="65"/>
      <c r="C1" s="66"/>
      <c r="D1" s="67"/>
      <c r="E1" s="67"/>
    </row>
    <row r="2" ht="26.45" customHeight="1" spans="1:5">
      <c r="A2" s="68" t="s">
        <v>102</v>
      </c>
      <c r="B2" s="68"/>
      <c r="C2" s="69"/>
      <c r="D2" s="68"/>
      <c r="E2" s="68"/>
    </row>
    <row r="3" spans="1:5">
      <c r="A3" s="70"/>
      <c r="B3" s="70"/>
      <c r="C3" s="71"/>
      <c r="D3" s="70"/>
      <c r="E3" s="38" t="s">
        <v>2</v>
      </c>
    </row>
    <row r="4" s="63" customFormat="1" ht="20.1" customHeight="1" spans="1:5">
      <c r="A4" s="72" t="s">
        <v>35</v>
      </c>
      <c r="B4" s="72" t="s">
        <v>36</v>
      </c>
      <c r="C4" s="73" t="s">
        <v>37</v>
      </c>
      <c r="D4" s="74" t="s">
        <v>98</v>
      </c>
      <c r="E4" s="74"/>
    </row>
    <row r="5" s="63" customFormat="1" ht="20.1" customHeight="1" spans="1:5">
      <c r="A5" s="72"/>
      <c r="B5" s="72"/>
      <c r="C5" s="73"/>
      <c r="D5" s="185" t="s">
        <v>99</v>
      </c>
      <c r="E5" s="72" t="s">
        <v>41</v>
      </c>
    </row>
    <row r="6" s="63" customFormat="1" ht="20.1" customHeight="1" spans="1:5">
      <c r="A6" s="75" t="s">
        <v>31</v>
      </c>
      <c r="B6" s="75" t="s">
        <v>31</v>
      </c>
      <c r="C6" s="76">
        <f>SUM(C7:C21)</f>
        <v>0</v>
      </c>
      <c r="D6" s="77">
        <v>2</v>
      </c>
      <c r="E6" s="77">
        <v>3</v>
      </c>
    </row>
    <row r="7" s="63" customFormat="1" ht="20.1" customHeight="1" spans="1:5">
      <c r="A7" s="78"/>
      <c r="B7" s="79"/>
      <c r="C7" s="80"/>
      <c r="D7" s="81"/>
      <c r="E7" s="81"/>
    </row>
    <row r="8" s="63" customFormat="1" ht="20.1" customHeight="1" spans="1:5">
      <c r="A8" s="82"/>
      <c r="C8" s="83"/>
      <c r="D8" s="81"/>
      <c r="E8" s="81"/>
    </row>
    <row r="9" s="63" customFormat="1" ht="20.1" customHeight="1" spans="1:5">
      <c r="A9" s="84"/>
      <c r="B9" s="84"/>
      <c r="C9" s="85"/>
      <c r="D9" s="81"/>
      <c r="E9" s="81"/>
    </row>
    <row r="10" s="63" customFormat="1" ht="20.1" customHeight="1" spans="1:5">
      <c r="A10" s="84"/>
      <c r="B10" s="84"/>
      <c r="C10" s="85"/>
      <c r="D10" s="81"/>
      <c r="E10" s="81"/>
    </row>
    <row r="11" s="63" customFormat="1" ht="20.1" customHeight="1" spans="1:5">
      <c r="A11" s="84"/>
      <c r="B11" s="84"/>
      <c r="C11" s="85"/>
      <c r="D11" s="81"/>
      <c r="E11" s="81"/>
    </row>
    <row r="12" s="63" customFormat="1" ht="20.1" customHeight="1" spans="1:5">
      <c r="A12" s="84"/>
      <c r="B12" s="84"/>
      <c r="C12" s="85"/>
      <c r="D12" s="81"/>
      <c r="E12" s="81"/>
    </row>
    <row r="13" s="63" customFormat="1" ht="20.1" customHeight="1" spans="1:5">
      <c r="A13" s="84"/>
      <c r="B13" s="84"/>
      <c r="C13" s="85"/>
      <c r="D13" s="81"/>
      <c r="E13" s="81"/>
    </row>
    <row r="14" s="63" customFormat="1" ht="20.1" customHeight="1" spans="1:5">
      <c r="A14" s="81"/>
      <c r="B14" s="81"/>
      <c r="C14" s="86"/>
      <c r="D14" s="81"/>
      <c r="E14" s="81"/>
    </row>
    <row r="15" s="63" customFormat="1" ht="20.1" customHeight="1" spans="1:5">
      <c r="A15" s="81"/>
      <c r="B15" s="81"/>
      <c r="C15" s="86"/>
      <c r="D15" s="81"/>
      <c r="E15" s="81"/>
    </row>
    <row r="16" s="63" customFormat="1" ht="20.1" customHeight="1" spans="1:5">
      <c r="A16" s="81"/>
      <c r="B16" s="81"/>
      <c r="C16" s="86"/>
      <c r="D16" s="81"/>
      <c r="E16" s="81"/>
    </row>
    <row r="17" s="63" customFormat="1" ht="20.1" customHeight="1" spans="1:5">
      <c r="A17" s="81"/>
      <c r="B17" s="81"/>
      <c r="C17" s="86"/>
      <c r="D17" s="81"/>
      <c r="E17" s="81"/>
    </row>
    <row r="18" s="63" customFormat="1" ht="20.1" customHeight="1" spans="1:5">
      <c r="A18" s="81"/>
      <c r="B18" s="81"/>
      <c r="C18" s="86"/>
      <c r="D18" s="81"/>
      <c r="E18" s="81"/>
    </row>
    <row r="19" s="63" customFormat="1" ht="20.1" customHeight="1" spans="1:5">
      <c r="A19" s="81"/>
      <c r="B19" s="81"/>
      <c r="C19" s="86"/>
      <c r="D19" s="81"/>
      <c r="E19" s="81"/>
    </row>
    <row r="20" s="63" customFormat="1" ht="20.1" customHeight="1" spans="1:5">
      <c r="A20" s="81"/>
      <c r="B20" s="81"/>
      <c r="C20" s="86"/>
      <c r="D20" s="81"/>
      <c r="E20" s="81"/>
    </row>
    <row r="21" s="63" customFormat="1" ht="20.1" customHeight="1" spans="1:5">
      <c r="A21" s="81"/>
      <c r="B21" s="81"/>
      <c r="C21" s="86"/>
      <c r="D21" s="81"/>
      <c r="E21" s="81"/>
    </row>
    <row r="22" s="63" customFormat="1" ht="18.6" customHeight="1" spans="1:5">
      <c r="A22" s="87" t="s">
        <v>103</v>
      </c>
      <c r="B22" s="87"/>
      <c r="C22" s="88"/>
      <c r="D22" s="87"/>
      <c r="E22" s="89"/>
    </row>
    <row r="23" s="63" customFormat="1" ht="18.6" customHeight="1" spans="1:5">
      <c r="A23" s="90" t="s">
        <v>104</v>
      </c>
      <c r="B23" s="90"/>
      <c r="C23" s="91"/>
      <c r="D23" s="90"/>
      <c r="E23" s="89"/>
    </row>
    <row r="24" s="63" customFormat="1" ht="18.6" customHeight="1" spans="1:4">
      <c r="A24" s="92"/>
      <c r="B24" s="92"/>
      <c r="C24" s="93"/>
      <c r="D24" s="92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8333333333333" right="0.708333333333333" top="0.747916666666667" bottom="0.747916666666667" header="0.314583333333333" footer="0.314583333333333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C8" sqref="C8"/>
    </sheetView>
  </sheetViews>
  <sheetFormatPr defaultColWidth="9" defaultRowHeight="15.6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48" t="s">
        <v>105</v>
      </c>
      <c r="B1" s="16"/>
      <c r="C1" s="16"/>
    </row>
    <row r="2" ht="37.15" customHeight="1" spans="1:3">
      <c r="A2" s="49" t="s">
        <v>106</v>
      </c>
      <c r="B2" s="49"/>
      <c r="C2" s="49"/>
    </row>
    <row r="3" s="47" customFormat="1" ht="18" customHeight="1" spans="1:3">
      <c r="A3" s="50"/>
      <c r="B3" s="51"/>
      <c r="C3" s="52" t="s">
        <v>2</v>
      </c>
    </row>
    <row r="4" ht="31.5" customHeight="1" spans="1:3">
      <c r="A4" s="53" t="s">
        <v>35</v>
      </c>
      <c r="B4" s="54" t="s">
        <v>36</v>
      </c>
      <c r="C4" s="55" t="s">
        <v>6</v>
      </c>
    </row>
    <row r="5" ht="20.1" customHeight="1" spans="1:3">
      <c r="A5" s="54" t="s">
        <v>107</v>
      </c>
      <c r="B5" s="54" t="s">
        <v>108</v>
      </c>
      <c r="C5" s="56">
        <f>SUM(C6:C15)</f>
        <v>691.24</v>
      </c>
    </row>
    <row r="6" ht="20.1" customHeight="1" spans="1:3">
      <c r="A6" s="57" t="s">
        <v>109</v>
      </c>
      <c r="B6" s="57" t="s">
        <v>110</v>
      </c>
      <c r="C6" s="58">
        <v>441.32</v>
      </c>
    </row>
    <row r="7" ht="20.1" customHeight="1" spans="1:3">
      <c r="A7" s="57" t="s">
        <v>111</v>
      </c>
      <c r="B7" s="57" t="s">
        <v>112</v>
      </c>
      <c r="C7" s="58">
        <v>90.7</v>
      </c>
    </row>
    <row r="8" ht="20.1" customHeight="1" spans="1:3">
      <c r="A8" s="57" t="s">
        <v>113</v>
      </c>
      <c r="B8" s="57" t="s">
        <v>114</v>
      </c>
      <c r="C8" s="58">
        <v>159.22</v>
      </c>
    </row>
    <row r="9" ht="20.1" customHeight="1" spans="1:3">
      <c r="A9" s="57" t="s">
        <v>115</v>
      </c>
      <c r="B9" s="57" t="s">
        <v>116</v>
      </c>
      <c r="C9" s="59"/>
    </row>
    <row r="10" ht="20.1" customHeight="1" spans="1:3">
      <c r="A10" s="57" t="s">
        <v>117</v>
      </c>
      <c r="B10" s="57" t="s">
        <v>118</v>
      </c>
      <c r="C10" s="59"/>
    </row>
    <row r="11" ht="20.1" customHeight="1" spans="1:3">
      <c r="A11" s="57" t="s">
        <v>119</v>
      </c>
      <c r="B11" s="57" t="s">
        <v>120</v>
      </c>
      <c r="C11" s="60"/>
    </row>
    <row r="12" ht="20.1" customHeight="1" spans="1:3">
      <c r="A12" s="57" t="s">
        <v>121</v>
      </c>
      <c r="B12" s="57" t="s">
        <v>122</v>
      </c>
      <c r="C12" s="59"/>
    </row>
    <row r="13" ht="20.1" customHeight="1" spans="1:3">
      <c r="A13" s="57" t="s">
        <v>123</v>
      </c>
      <c r="B13" s="57" t="s">
        <v>124</v>
      </c>
      <c r="C13" s="59"/>
    </row>
    <row r="14" ht="20.1" customHeight="1" spans="1:3">
      <c r="A14" s="57" t="s">
        <v>125</v>
      </c>
      <c r="B14" s="57" t="s">
        <v>126</v>
      </c>
      <c r="C14" s="61"/>
    </row>
    <row r="15" ht="20.1" customHeight="1" spans="1:3">
      <c r="A15" s="57" t="s">
        <v>127</v>
      </c>
      <c r="B15" s="57" t="s">
        <v>128</v>
      </c>
      <c r="C15" s="62"/>
    </row>
  </sheetData>
  <mergeCells count="2">
    <mergeCell ref="A2:C2"/>
    <mergeCell ref="A5:B5"/>
  </mergeCells>
  <pageMargins left="0.708333333333333" right="0.708333333333333" top="0.747916666666667" bottom="0.747916666666667" header="0.314583333333333" footer="0.314583333333333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opLeftCell="A85" workbookViewId="0">
      <selection activeCell="B59" sqref="B59"/>
    </sheetView>
  </sheetViews>
  <sheetFormatPr defaultColWidth="9" defaultRowHeight="15.6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33" t="s">
        <v>129</v>
      </c>
      <c r="B1" s="34"/>
      <c r="C1" s="35"/>
    </row>
    <row r="2" ht="33.75" customHeight="1" spans="1:3">
      <c r="A2" s="36" t="s">
        <v>130</v>
      </c>
      <c r="B2" s="36"/>
      <c r="C2" s="36"/>
    </row>
    <row r="3" ht="21" customHeight="1" spans="1:3">
      <c r="A3" s="37"/>
      <c r="B3" s="38" t="s">
        <v>2</v>
      </c>
      <c r="C3" s="38"/>
    </row>
    <row r="4" ht="20.1" customHeight="1" spans="1:3">
      <c r="A4" s="39" t="s">
        <v>131</v>
      </c>
      <c r="B4" s="40" t="s">
        <v>36</v>
      </c>
      <c r="C4" s="40" t="s">
        <v>6</v>
      </c>
    </row>
    <row r="5" ht="20.1" customHeight="1" spans="1:3">
      <c r="A5" s="40" t="s">
        <v>107</v>
      </c>
      <c r="B5" s="40" t="s">
        <v>108</v>
      </c>
      <c r="C5" s="41">
        <f>C6+C20+C48+C60+C65+C78+C95+C98+C104+C107</f>
        <v>691.24</v>
      </c>
    </row>
    <row r="6" s="32" customFormat="1" ht="20.1" customHeight="1" spans="1:3">
      <c r="A6" s="42" t="s">
        <v>109</v>
      </c>
      <c r="B6" s="42" t="s">
        <v>110</v>
      </c>
      <c r="C6" s="43">
        <f>SUM(C7:C19)</f>
        <v>441.32</v>
      </c>
    </row>
    <row r="7" ht="20.1" customHeight="1" spans="1:3">
      <c r="A7" s="44" t="s">
        <v>132</v>
      </c>
      <c r="B7" s="44" t="s">
        <v>133</v>
      </c>
      <c r="C7" s="45">
        <v>81.23</v>
      </c>
    </row>
    <row r="8" ht="20.1" customHeight="1" spans="1:3">
      <c r="A8" s="44" t="s">
        <v>134</v>
      </c>
      <c r="B8" s="44" t="s">
        <v>135</v>
      </c>
      <c r="C8" s="45">
        <v>110.89</v>
      </c>
    </row>
    <row r="9" ht="20.1" customHeight="1" spans="1:3">
      <c r="A9" s="44" t="s">
        <v>136</v>
      </c>
      <c r="B9" s="44" t="s">
        <v>137</v>
      </c>
      <c r="C9" s="45">
        <v>121.95</v>
      </c>
    </row>
    <row r="10" ht="20.1" customHeight="1" spans="1:3">
      <c r="A10" s="44" t="s">
        <v>138</v>
      </c>
      <c r="B10" s="44" t="s">
        <v>139</v>
      </c>
      <c r="C10" s="45"/>
    </row>
    <row r="11" ht="20.1" customHeight="1" spans="1:3">
      <c r="A11" s="44" t="s">
        <v>140</v>
      </c>
      <c r="B11" s="44" t="s">
        <v>141</v>
      </c>
      <c r="C11" s="45">
        <v>8.23</v>
      </c>
    </row>
    <row r="12" ht="20.1" customHeight="1" spans="1:3">
      <c r="A12" s="44" t="s">
        <v>142</v>
      </c>
      <c r="B12" s="44" t="s">
        <v>143</v>
      </c>
      <c r="C12" s="45">
        <v>40.58</v>
      </c>
    </row>
    <row r="13" ht="20.1" customHeight="1" spans="1:3">
      <c r="A13" s="44" t="s">
        <v>144</v>
      </c>
      <c r="B13" s="44" t="s">
        <v>145</v>
      </c>
      <c r="C13" s="45">
        <v>1.13</v>
      </c>
    </row>
    <row r="14" ht="20.1" customHeight="1" spans="1:3">
      <c r="A14" s="44" t="s">
        <v>146</v>
      </c>
      <c r="B14" s="44" t="s">
        <v>147</v>
      </c>
      <c r="C14" s="45">
        <v>16.23</v>
      </c>
    </row>
    <row r="15" ht="20.1" customHeight="1" spans="1:3">
      <c r="A15" s="44" t="s">
        <v>148</v>
      </c>
      <c r="B15" s="44" t="s">
        <v>149</v>
      </c>
      <c r="C15" s="45">
        <v>14.2</v>
      </c>
    </row>
    <row r="16" ht="20.1" customHeight="1" spans="1:3">
      <c r="A16" s="44" t="s">
        <v>150</v>
      </c>
      <c r="B16" s="44" t="s">
        <v>151</v>
      </c>
      <c r="C16" s="45">
        <v>1.73</v>
      </c>
    </row>
    <row r="17" ht="20.1" customHeight="1" spans="1:3">
      <c r="A17" s="44" t="s">
        <v>152</v>
      </c>
      <c r="B17" s="44" t="s">
        <v>153</v>
      </c>
      <c r="C17" s="45">
        <v>44.97</v>
      </c>
    </row>
    <row r="18" ht="20.1" customHeight="1" spans="1:3">
      <c r="A18" s="44" t="s">
        <v>154</v>
      </c>
      <c r="B18" s="44" t="s">
        <v>155</v>
      </c>
      <c r="C18" s="45"/>
    </row>
    <row r="19" ht="20.1" customHeight="1" spans="1:3">
      <c r="A19" s="44" t="s">
        <v>156</v>
      </c>
      <c r="B19" s="44" t="s">
        <v>157</v>
      </c>
      <c r="C19" s="45">
        <v>0.18</v>
      </c>
    </row>
    <row r="20" s="32" customFormat="1" ht="20.1" customHeight="1" spans="1:3">
      <c r="A20" s="42" t="s">
        <v>111</v>
      </c>
      <c r="B20" s="42" t="s">
        <v>112</v>
      </c>
      <c r="C20" s="43">
        <f>SUM(C21:C47)</f>
        <v>159.22</v>
      </c>
    </row>
    <row r="21" ht="20.1" customHeight="1" spans="1:3">
      <c r="A21" s="44" t="s">
        <v>158</v>
      </c>
      <c r="B21" s="44" t="s">
        <v>159</v>
      </c>
      <c r="C21" s="45">
        <v>10</v>
      </c>
    </row>
    <row r="22" ht="20.1" customHeight="1" spans="1:3">
      <c r="A22" s="44" t="s">
        <v>160</v>
      </c>
      <c r="B22" s="44" t="s">
        <v>161</v>
      </c>
      <c r="C22" s="45">
        <v>3</v>
      </c>
    </row>
    <row r="23" ht="20.1" customHeight="1" spans="1:3">
      <c r="A23" s="44" t="s">
        <v>162</v>
      </c>
      <c r="B23" s="44" t="s">
        <v>163</v>
      </c>
      <c r="C23" s="45"/>
    </row>
    <row r="24" ht="20.1" customHeight="1" spans="1:3">
      <c r="A24" s="44" t="s">
        <v>164</v>
      </c>
      <c r="B24" s="46" t="s">
        <v>165</v>
      </c>
      <c r="C24" s="45">
        <v>1</v>
      </c>
    </row>
    <row r="25" ht="20.1" customHeight="1" spans="1:3">
      <c r="A25" s="44" t="s">
        <v>166</v>
      </c>
      <c r="B25" s="44" t="s">
        <v>167</v>
      </c>
      <c r="C25" s="45">
        <v>3</v>
      </c>
    </row>
    <row r="26" ht="20.1" customHeight="1" spans="1:3">
      <c r="A26" s="44" t="s">
        <v>168</v>
      </c>
      <c r="B26" s="44" t="s">
        <v>169</v>
      </c>
      <c r="C26" s="45">
        <v>4</v>
      </c>
    </row>
    <row r="27" ht="20.1" customHeight="1" spans="1:3">
      <c r="A27" s="44" t="s">
        <v>170</v>
      </c>
      <c r="B27" s="44" t="s">
        <v>171</v>
      </c>
      <c r="C27" s="45">
        <v>3.24</v>
      </c>
    </row>
    <row r="28" ht="20.1" customHeight="1" spans="1:3">
      <c r="A28" s="44" t="s">
        <v>172</v>
      </c>
      <c r="B28" s="44" t="s">
        <v>173</v>
      </c>
      <c r="C28" s="45"/>
    </row>
    <row r="29" ht="20.1" customHeight="1" spans="1:3">
      <c r="A29" s="44" t="s">
        <v>174</v>
      </c>
      <c r="B29" s="44" t="s">
        <v>175</v>
      </c>
      <c r="C29" s="45"/>
    </row>
    <row r="30" ht="20.1" customHeight="1" spans="1:3">
      <c r="A30" s="44" t="s">
        <v>176</v>
      </c>
      <c r="B30" s="44" t="s">
        <v>177</v>
      </c>
      <c r="C30" s="45">
        <v>15</v>
      </c>
    </row>
    <row r="31" ht="20.1" customHeight="1" spans="1:3">
      <c r="A31" s="44" t="s">
        <v>178</v>
      </c>
      <c r="B31" s="44" t="s">
        <v>179</v>
      </c>
      <c r="C31" s="45"/>
    </row>
    <row r="32" ht="20.1" customHeight="1" spans="1:3">
      <c r="A32" s="44" t="s">
        <v>180</v>
      </c>
      <c r="B32" s="44" t="s">
        <v>181</v>
      </c>
      <c r="C32" s="45">
        <v>5</v>
      </c>
    </row>
    <row r="33" ht="20.1" customHeight="1" spans="1:3">
      <c r="A33" s="44" t="s">
        <v>182</v>
      </c>
      <c r="B33" s="44" t="s">
        <v>183</v>
      </c>
      <c r="C33" s="45"/>
    </row>
    <row r="34" ht="20.1" customHeight="1" spans="1:3">
      <c r="A34" s="44" t="s">
        <v>184</v>
      </c>
      <c r="B34" s="44" t="s">
        <v>185</v>
      </c>
      <c r="C34" s="45"/>
    </row>
    <row r="35" ht="20.1" customHeight="1" spans="1:3">
      <c r="A35" s="44" t="s">
        <v>186</v>
      </c>
      <c r="B35" s="44" t="s">
        <v>187</v>
      </c>
      <c r="C35" s="45"/>
    </row>
    <row r="36" ht="20.1" customHeight="1" spans="1:3">
      <c r="A36" s="44" t="s">
        <v>188</v>
      </c>
      <c r="B36" s="44" t="s">
        <v>189</v>
      </c>
      <c r="C36" s="45">
        <v>1</v>
      </c>
    </row>
    <row r="37" ht="20.1" customHeight="1" spans="1:3">
      <c r="A37" s="44" t="s">
        <v>190</v>
      </c>
      <c r="B37" s="44" t="s">
        <v>191</v>
      </c>
      <c r="C37" s="45"/>
    </row>
    <row r="38" ht="20.1" customHeight="1" spans="1:3">
      <c r="A38" s="44" t="s">
        <v>192</v>
      </c>
      <c r="B38" s="44" t="s">
        <v>193</v>
      </c>
      <c r="C38" s="45"/>
    </row>
    <row r="39" ht="20.1" customHeight="1" spans="1:3">
      <c r="A39" s="44" t="s">
        <v>194</v>
      </c>
      <c r="B39" s="44" t="s">
        <v>195</v>
      </c>
      <c r="C39" s="45"/>
    </row>
    <row r="40" ht="20.1" customHeight="1" spans="1:3">
      <c r="A40" s="44" t="s">
        <v>196</v>
      </c>
      <c r="B40" s="44" t="s">
        <v>197</v>
      </c>
      <c r="C40" s="45">
        <v>2</v>
      </c>
    </row>
    <row r="41" ht="20.1" customHeight="1" spans="1:3">
      <c r="A41" s="44" t="s">
        <v>198</v>
      </c>
      <c r="B41" s="44" t="s">
        <v>199</v>
      </c>
      <c r="C41" s="45">
        <v>6</v>
      </c>
    </row>
    <row r="42" ht="20.1" customHeight="1" spans="1:3">
      <c r="A42" s="44" t="s">
        <v>200</v>
      </c>
      <c r="B42" s="44" t="s">
        <v>83</v>
      </c>
      <c r="C42" s="45">
        <v>6.37</v>
      </c>
    </row>
    <row r="43" ht="20.1" customHeight="1" spans="1:3">
      <c r="A43" s="44" t="s">
        <v>201</v>
      </c>
      <c r="B43" s="44" t="s">
        <v>202</v>
      </c>
      <c r="C43" s="45"/>
    </row>
    <row r="44" ht="20.1" customHeight="1" spans="1:3">
      <c r="A44" s="44" t="s">
        <v>203</v>
      </c>
      <c r="B44" s="44" t="s">
        <v>204</v>
      </c>
      <c r="C44" s="45">
        <v>2.8</v>
      </c>
    </row>
    <row r="45" ht="20.1" customHeight="1" spans="1:3">
      <c r="A45" s="44" t="s">
        <v>205</v>
      </c>
      <c r="B45" s="44" t="s">
        <v>206</v>
      </c>
      <c r="C45" s="45">
        <v>12.37</v>
      </c>
    </row>
    <row r="46" ht="20.1" customHeight="1" spans="1:3">
      <c r="A46" s="44" t="s">
        <v>207</v>
      </c>
      <c r="B46" s="44" t="s">
        <v>208</v>
      </c>
      <c r="C46" s="45"/>
    </row>
    <row r="47" ht="20.1" customHeight="1" spans="1:3">
      <c r="A47" s="44" t="s">
        <v>209</v>
      </c>
      <c r="B47" s="44" t="s">
        <v>210</v>
      </c>
      <c r="C47" s="45">
        <v>84.44</v>
      </c>
    </row>
    <row r="48" s="32" customFormat="1" ht="20.1" customHeight="1" spans="1:3">
      <c r="A48" s="42" t="s">
        <v>113</v>
      </c>
      <c r="B48" s="42" t="s">
        <v>114</v>
      </c>
      <c r="C48" s="43">
        <f>SUM(C49:C59)</f>
        <v>90.7</v>
      </c>
    </row>
    <row r="49" ht="20.1" customHeight="1" spans="1:3">
      <c r="A49" s="44" t="s">
        <v>211</v>
      </c>
      <c r="B49" s="44" t="s">
        <v>212</v>
      </c>
      <c r="C49" s="45"/>
    </row>
    <row r="50" ht="20.1" customHeight="1" spans="1:3">
      <c r="A50" s="44" t="s">
        <v>213</v>
      </c>
      <c r="B50" s="44" t="s">
        <v>214</v>
      </c>
      <c r="C50" s="45"/>
    </row>
    <row r="51" ht="20.1" customHeight="1" spans="1:3">
      <c r="A51" s="44" t="s">
        <v>215</v>
      </c>
      <c r="B51" s="44" t="s">
        <v>216</v>
      </c>
      <c r="C51" s="45"/>
    </row>
    <row r="52" ht="20.1" customHeight="1" spans="1:3">
      <c r="A52" s="44" t="s">
        <v>217</v>
      </c>
      <c r="B52" s="44" t="s">
        <v>218</v>
      </c>
      <c r="C52" s="45"/>
    </row>
    <row r="53" ht="20.1" customHeight="1" spans="1:3">
      <c r="A53" s="44" t="s">
        <v>219</v>
      </c>
      <c r="B53" s="44" t="s">
        <v>220</v>
      </c>
      <c r="C53" s="45">
        <v>23.9</v>
      </c>
    </row>
    <row r="54" ht="20.1" customHeight="1" spans="1:3">
      <c r="A54" s="44" t="s">
        <v>221</v>
      </c>
      <c r="B54" s="44" t="s">
        <v>222</v>
      </c>
      <c r="C54" s="45"/>
    </row>
    <row r="55" ht="20.1" customHeight="1" spans="1:3">
      <c r="A55" s="44" t="s">
        <v>223</v>
      </c>
      <c r="B55" s="44" t="s">
        <v>224</v>
      </c>
      <c r="C55" s="45"/>
    </row>
    <row r="56" ht="20.1" customHeight="1" spans="1:3">
      <c r="A56" s="44" t="s">
        <v>225</v>
      </c>
      <c r="B56" s="44" t="s">
        <v>226</v>
      </c>
      <c r="C56" s="45"/>
    </row>
    <row r="57" ht="20.1" customHeight="1" spans="1:3">
      <c r="A57" s="44" t="s">
        <v>227</v>
      </c>
      <c r="B57" s="44" t="s">
        <v>228</v>
      </c>
      <c r="C57" s="45"/>
    </row>
    <row r="58" ht="20.1" customHeight="1" spans="1:3">
      <c r="A58" s="44" t="s">
        <v>229</v>
      </c>
      <c r="B58" s="44" t="s">
        <v>230</v>
      </c>
      <c r="C58" s="45"/>
    </row>
    <row r="59" ht="20.1" customHeight="1" spans="1:3">
      <c r="A59" s="44" t="s">
        <v>231</v>
      </c>
      <c r="B59" s="44" t="s">
        <v>232</v>
      </c>
      <c r="C59" s="45">
        <v>66.8</v>
      </c>
    </row>
    <row r="60" s="32" customFormat="1" ht="20.1" customHeight="1" spans="1:3">
      <c r="A60" s="42" t="s">
        <v>115</v>
      </c>
      <c r="B60" s="42" t="s">
        <v>116</v>
      </c>
      <c r="C60" s="43">
        <f>SUM(C61:C64)</f>
        <v>0</v>
      </c>
    </row>
    <row r="61" ht="20.1" customHeight="1" spans="1:3">
      <c r="A61" s="44" t="s">
        <v>233</v>
      </c>
      <c r="B61" s="44" t="s">
        <v>234</v>
      </c>
      <c r="C61" s="45"/>
    </row>
    <row r="62" ht="20.1" customHeight="1" spans="1:3">
      <c r="A62" s="44" t="s">
        <v>235</v>
      </c>
      <c r="B62" s="44" t="s">
        <v>236</v>
      </c>
      <c r="C62" s="45"/>
    </row>
    <row r="63" ht="20.1" customHeight="1" spans="1:3">
      <c r="A63" s="44" t="s">
        <v>237</v>
      </c>
      <c r="B63" s="44" t="s">
        <v>238</v>
      </c>
      <c r="C63" s="45"/>
    </row>
    <row r="64" ht="20.1" customHeight="1" spans="1:3">
      <c r="A64" s="44" t="s">
        <v>239</v>
      </c>
      <c r="B64" s="44" t="s">
        <v>240</v>
      </c>
      <c r="C64" s="45"/>
    </row>
    <row r="65" s="32" customFormat="1" ht="20.1" customHeight="1" spans="1:3">
      <c r="A65" s="42" t="s">
        <v>117</v>
      </c>
      <c r="B65" s="42" t="s">
        <v>118</v>
      </c>
      <c r="C65" s="43">
        <f>SUM(C66:C77)</f>
        <v>0</v>
      </c>
    </row>
    <row r="66" ht="20.1" customHeight="1" spans="1:3">
      <c r="A66" s="44" t="s">
        <v>241</v>
      </c>
      <c r="B66" s="44" t="s">
        <v>242</v>
      </c>
      <c r="C66" s="45"/>
    </row>
    <row r="67" ht="20.1" customHeight="1" spans="1:3">
      <c r="A67" s="44" t="s">
        <v>243</v>
      </c>
      <c r="B67" s="44" t="s">
        <v>244</v>
      </c>
      <c r="C67" s="45"/>
    </row>
    <row r="68" ht="20.1" customHeight="1" spans="1:3">
      <c r="A68" s="44" t="s">
        <v>245</v>
      </c>
      <c r="B68" s="44" t="s">
        <v>246</v>
      </c>
      <c r="C68" s="45"/>
    </row>
    <row r="69" ht="20.1" customHeight="1" spans="1:3">
      <c r="A69" s="44" t="s">
        <v>247</v>
      </c>
      <c r="B69" s="44" t="s">
        <v>248</v>
      </c>
      <c r="C69" s="45"/>
    </row>
    <row r="70" ht="20.1" customHeight="1" spans="1:3">
      <c r="A70" s="44" t="s">
        <v>249</v>
      </c>
      <c r="B70" s="44" t="s">
        <v>250</v>
      </c>
      <c r="C70" s="45"/>
    </row>
    <row r="71" ht="20.1" customHeight="1" spans="1:3">
      <c r="A71" s="44" t="s">
        <v>251</v>
      </c>
      <c r="B71" s="44" t="s">
        <v>252</v>
      </c>
      <c r="C71" s="45"/>
    </row>
    <row r="72" ht="20.1" customHeight="1" spans="1:3">
      <c r="A72" s="44" t="s">
        <v>253</v>
      </c>
      <c r="B72" s="44" t="s">
        <v>254</v>
      </c>
      <c r="C72" s="45"/>
    </row>
    <row r="73" ht="20.1" customHeight="1" spans="1:3">
      <c r="A73" s="44" t="s">
        <v>255</v>
      </c>
      <c r="B73" s="44" t="s">
        <v>256</v>
      </c>
      <c r="C73" s="45"/>
    </row>
    <row r="74" ht="20.1" customHeight="1" spans="1:3">
      <c r="A74" s="44" t="s">
        <v>257</v>
      </c>
      <c r="B74" s="44" t="s">
        <v>258</v>
      </c>
      <c r="C74" s="45"/>
    </row>
    <row r="75" ht="20.1" customHeight="1" spans="1:3">
      <c r="A75" s="44" t="s">
        <v>259</v>
      </c>
      <c r="B75" s="44" t="s">
        <v>260</v>
      </c>
      <c r="C75" s="45"/>
    </row>
    <row r="76" ht="20.1" customHeight="1" spans="1:3">
      <c r="A76" s="44" t="s">
        <v>261</v>
      </c>
      <c r="B76" s="44" t="s">
        <v>262</v>
      </c>
      <c r="C76" s="45"/>
    </row>
    <row r="77" ht="20.1" customHeight="1" spans="1:3">
      <c r="A77" s="44" t="s">
        <v>263</v>
      </c>
      <c r="B77" s="44" t="s">
        <v>264</v>
      </c>
      <c r="C77" s="45"/>
    </row>
    <row r="78" s="32" customFormat="1" ht="20.1" customHeight="1" spans="1:3">
      <c r="A78" s="42" t="s">
        <v>119</v>
      </c>
      <c r="B78" s="42" t="s">
        <v>120</v>
      </c>
      <c r="C78" s="43">
        <f>SUM(C79:C94)</f>
        <v>0</v>
      </c>
    </row>
    <row r="79" ht="20.1" customHeight="1" spans="1:3">
      <c r="A79" s="44" t="s">
        <v>265</v>
      </c>
      <c r="B79" s="44" t="s">
        <v>242</v>
      </c>
      <c r="C79" s="45"/>
    </row>
    <row r="80" ht="20.1" customHeight="1" spans="1:3">
      <c r="A80" s="44" t="s">
        <v>266</v>
      </c>
      <c r="B80" s="44" t="s">
        <v>244</v>
      </c>
      <c r="C80" s="45"/>
    </row>
    <row r="81" ht="20.1" customHeight="1" spans="1:3">
      <c r="A81" s="44" t="s">
        <v>267</v>
      </c>
      <c r="B81" s="44" t="s">
        <v>246</v>
      </c>
      <c r="C81" s="45"/>
    </row>
    <row r="82" ht="20.1" customHeight="1" spans="1:3">
      <c r="A82" s="44" t="s">
        <v>268</v>
      </c>
      <c r="B82" s="44" t="s">
        <v>248</v>
      </c>
      <c r="C82" s="45"/>
    </row>
    <row r="83" ht="20.1" customHeight="1" spans="1:3">
      <c r="A83" s="44" t="s">
        <v>269</v>
      </c>
      <c r="B83" s="44" t="s">
        <v>250</v>
      </c>
      <c r="C83" s="45"/>
    </row>
    <row r="84" ht="20.1" customHeight="1" spans="1:3">
      <c r="A84" s="44" t="s">
        <v>270</v>
      </c>
      <c r="B84" s="44" t="s">
        <v>252</v>
      </c>
      <c r="C84" s="45"/>
    </row>
    <row r="85" ht="20.1" customHeight="1" spans="1:3">
      <c r="A85" s="44" t="s">
        <v>271</v>
      </c>
      <c r="B85" s="44" t="s">
        <v>254</v>
      </c>
      <c r="C85" s="45"/>
    </row>
    <row r="86" ht="20.1" customHeight="1" spans="1:3">
      <c r="A86" s="44" t="s">
        <v>272</v>
      </c>
      <c r="B86" s="44" t="s">
        <v>273</v>
      </c>
      <c r="C86" s="45"/>
    </row>
    <row r="87" ht="20.1" customHeight="1" spans="1:3">
      <c r="A87" s="44" t="s">
        <v>274</v>
      </c>
      <c r="B87" s="44" t="s">
        <v>275</v>
      </c>
      <c r="C87" s="45"/>
    </row>
    <row r="88" ht="20.1" customHeight="1" spans="1:3">
      <c r="A88" s="44" t="s">
        <v>276</v>
      </c>
      <c r="B88" s="44" t="s">
        <v>277</v>
      </c>
      <c r="C88" s="45"/>
    </row>
    <row r="89" ht="20.1" customHeight="1" spans="1:3">
      <c r="A89" s="44" t="s">
        <v>278</v>
      </c>
      <c r="B89" s="46" t="s">
        <v>279</v>
      </c>
      <c r="C89" s="45"/>
    </row>
    <row r="90" ht="20.1" customHeight="1" spans="1:3">
      <c r="A90" s="44" t="s">
        <v>280</v>
      </c>
      <c r="B90" s="44" t="s">
        <v>256</v>
      </c>
      <c r="C90" s="45"/>
    </row>
    <row r="91" ht="20.1" customHeight="1" spans="1:3">
      <c r="A91" s="44" t="s">
        <v>281</v>
      </c>
      <c r="B91" s="44" t="s">
        <v>258</v>
      </c>
      <c r="C91" s="45"/>
    </row>
    <row r="92" ht="20.1" customHeight="1" spans="1:3">
      <c r="A92" s="44" t="s">
        <v>282</v>
      </c>
      <c r="B92" s="44" t="s">
        <v>260</v>
      </c>
      <c r="C92" s="45"/>
    </row>
    <row r="93" ht="20.1" customHeight="1" spans="1:3">
      <c r="A93" s="44" t="s">
        <v>283</v>
      </c>
      <c r="B93" s="44" t="s">
        <v>262</v>
      </c>
      <c r="C93" s="45"/>
    </row>
    <row r="94" ht="20.1" customHeight="1" spans="1:3">
      <c r="A94" s="44" t="s">
        <v>284</v>
      </c>
      <c r="B94" s="44" t="s">
        <v>285</v>
      </c>
      <c r="C94" s="45"/>
    </row>
    <row r="95" s="32" customFormat="1" ht="20.1" customHeight="1" spans="1:3">
      <c r="A95" s="42" t="s">
        <v>121</v>
      </c>
      <c r="B95" s="42" t="s">
        <v>122</v>
      </c>
      <c r="C95" s="43">
        <f>SUM(C96:C97)</f>
        <v>0</v>
      </c>
    </row>
    <row r="96" ht="20.1" customHeight="1" spans="1:3">
      <c r="A96" s="44" t="s">
        <v>286</v>
      </c>
      <c r="B96" s="44" t="s">
        <v>287</v>
      </c>
      <c r="C96" s="45"/>
    </row>
    <row r="97" ht="20.1" customHeight="1" spans="1:3">
      <c r="A97" s="44" t="s">
        <v>288</v>
      </c>
      <c r="B97" s="44" t="s">
        <v>289</v>
      </c>
      <c r="C97" s="45"/>
    </row>
    <row r="98" s="32" customFormat="1" ht="20.1" customHeight="1" spans="1:3">
      <c r="A98" s="42" t="s">
        <v>123</v>
      </c>
      <c r="B98" s="42" t="s">
        <v>124</v>
      </c>
      <c r="C98" s="43">
        <f>SUM(C99:C103)</f>
        <v>0</v>
      </c>
    </row>
    <row r="99" ht="20.1" customHeight="1" spans="1:3">
      <c r="A99" s="44" t="s">
        <v>290</v>
      </c>
      <c r="B99" s="44" t="s">
        <v>287</v>
      </c>
      <c r="C99" s="45"/>
    </row>
    <row r="100" ht="20.1" customHeight="1" spans="1:3">
      <c r="A100" s="44" t="s">
        <v>291</v>
      </c>
      <c r="B100" s="44" t="s">
        <v>292</v>
      </c>
      <c r="C100" s="45"/>
    </row>
    <row r="101" ht="20.1" customHeight="1" spans="1:3">
      <c r="A101" s="44" t="s">
        <v>293</v>
      </c>
      <c r="B101" s="44" t="s">
        <v>294</v>
      </c>
      <c r="C101" s="45"/>
    </row>
    <row r="102" ht="20.1" customHeight="1" spans="1:3">
      <c r="A102" s="44" t="s">
        <v>295</v>
      </c>
      <c r="B102" s="44" t="s">
        <v>296</v>
      </c>
      <c r="C102" s="45"/>
    </row>
    <row r="103" ht="20.1" customHeight="1" spans="1:3">
      <c r="A103" s="44" t="s">
        <v>297</v>
      </c>
      <c r="B103" s="44" t="s">
        <v>289</v>
      </c>
      <c r="C103" s="45"/>
    </row>
    <row r="104" s="32" customFormat="1" ht="20.1" customHeight="1" spans="1:3">
      <c r="A104" s="42" t="s">
        <v>125</v>
      </c>
      <c r="B104" s="42" t="s">
        <v>126</v>
      </c>
      <c r="C104" s="43">
        <f>SUM(C105:C106)</f>
        <v>0</v>
      </c>
    </row>
    <row r="105" ht="20.1" customHeight="1" spans="1:3">
      <c r="A105" s="44" t="s">
        <v>298</v>
      </c>
      <c r="B105" s="44" t="s">
        <v>299</v>
      </c>
      <c r="C105" s="45"/>
    </row>
    <row r="106" ht="20.1" customHeight="1" spans="1:3">
      <c r="A106" s="44" t="s">
        <v>300</v>
      </c>
      <c r="B106" s="44" t="s">
        <v>301</v>
      </c>
      <c r="C106" s="45"/>
    </row>
    <row r="107" s="32" customFormat="1" ht="20.1" customHeight="1" spans="1:3">
      <c r="A107" s="42" t="s">
        <v>127</v>
      </c>
      <c r="B107" s="42" t="s">
        <v>128</v>
      </c>
      <c r="C107" s="43">
        <f>SUM(C108:C111)</f>
        <v>0</v>
      </c>
    </row>
    <row r="108" ht="20.1" customHeight="1" spans="1:3">
      <c r="A108" s="44" t="s">
        <v>302</v>
      </c>
      <c r="B108" s="44" t="s">
        <v>303</v>
      </c>
      <c r="C108" s="45"/>
    </row>
    <row r="109" ht="20.1" customHeight="1" spans="1:3">
      <c r="A109" s="44" t="s">
        <v>304</v>
      </c>
      <c r="B109" s="44" t="s">
        <v>305</v>
      </c>
      <c r="C109" s="45"/>
    </row>
    <row r="110" ht="20.1" customHeight="1" spans="1:3">
      <c r="A110" s="44" t="s">
        <v>306</v>
      </c>
      <c r="B110" s="44" t="s">
        <v>307</v>
      </c>
      <c r="C110" s="45"/>
    </row>
    <row r="111" ht="20.1" customHeight="1" spans="1:3">
      <c r="A111" s="44" t="s">
        <v>308</v>
      </c>
      <c r="B111" s="44" t="s">
        <v>128</v>
      </c>
      <c r="C111" s="45"/>
    </row>
  </sheetData>
  <mergeCells count="3">
    <mergeCell ref="A2:C2"/>
    <mergeCell ref="B3:C3"/>
    <mergeCell ref="A5:B5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B10" sqref="B10"/>
    </sheetView>
  </sheetViews>
  <sheetFormatPr defaultColWidth="9" defaultRowHeight="15.6" outlineLevelCol="1"/>
  <cols>
    <col min="1" max="1" width="50.75" customWidth="1"/>
    <col min="2" max="2" width="29.75" customWidth="1"/>
  </cols>
  <sheetData>
    <row r="1" spans="1:2">
      <c r="A1" s="24" t="s">
        <v>309</v>
      </c>
      <c r="B1" s="25"/>
    </row>
    <row r="2" ht="28.5" customHeight="1" spans="1:2">
      <c r="A2" s="26" t="s">
        <v>310</v>
      </c>
      <c r="B2" s="26"/>
    </row>
    <row r="3" ht="18" customHeight="1" spans="1:2">
      <c r="A3" s="27"/>
      <c r="B3" s="28" t="s">
        <v>2</v>
      </c>
    </row>
    <row r="4" ht="20.1" customHeight="1" spans="1:2">
      <c r="A4" s="29" t="s">
        <v>311</v>
      </c>
      <c r="B4" s="29" t="s">
        <v>6</v>
      </c>
    </row>
    <row r="5" ht="20.1" customHeight="1" spans="1:2">
      <c r="A5" s="29" t="s">
        <v>37</v>
      </c>
      <c r="B5" s="30">
        <f>SUM(B6:B8)</f>
        <v>3.8</v>
      </c>
    </row>
    <row r="6" ht="20.1" customHeight="1" spans="1:2">
      <c r="A6" s="30" t="s">
        <v>312</v>
      </c>
      <c r="B6" s="30">
        <v>0</v>
      </c>
    </row>
    <row r="7" ht="20.1" customHeight="1" spans="1:2">
      <c r="A7" s="30" t="s">
        <v>313</v>
      </c>
      <c r="B7" s="30">
        <v>1</v>
      </c>
    </row>
    <row r="8" ht="20.1" customHeight="1" spans="1:2">
      <c r="A8" s="30" t="s">
        <v>314</v>
      </c>
      <c r="B8" s="30">
        <v>2.8</v>
      </c>
    </row>
    <row r="9" ht="20.1" customHeight="1" spans="1:2">
      <c r="A9" s="31" t="s">
        <v>315</v>
      </c>
      <c r="B9" s="30">
        <v>2.8</v>
      </c>
    </row>
    <row r="10" ht="20.1" customHeight="1" spans="1:2">
      <c r="A10" s="31" t="s">
        <v>316</v>
      </c>
      <c r="B10" s="30"/>
    </row>
    <row r="11" ht="46.5" customHeight="1" spans="1:2">
      <c r="A11" s="13" t="s">
        <v>317</v>
      </c>
      <c r="B11" s="13"/>
    </row>
  </sheetData>
  <mergeCells count="2">
    <mergeCell ref="A2:B2"/>
    <mergeCell ref="A11:B11"/>
  </mergeCells>
  <pageMargins left="0.708333333333333" right="0.708333333333333" top="0.747916666666667" bottom="0.747916666666667" header="0.314583333333333" footer="0.314583333333333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4"/>
  <sheetViews>
    <sheetView zoomScale="130" zoomScaleNormal="130" workbookViewId="0">
      <selection activeCell="A2" sqref="A2:K2"/>
    </sheetView>
  </sheetViews>
  <sheetFormatPr defaultColWidth="9" defaultRowHeight="15.6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14" t="s">
        <v>318</v>
      </c>
    </row>
    <row r="2" ht="26.25" customHeight="1" spans="1:11">
      <c r="A2" s="15" t="s">
        <v>319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ht="23.25" customHeight="1" spans="1:11">
      <c r="A3" s="16"/>
      <c r="B3" s="16"/>
      <c r="C3" s="16"/>
      <c r="D3" s="16"/>
      <c r="E3" s="16"/>
      <c r="F3" s="16"/>
      <c r="G3" s="16"/>
      <c r="H3" s="16"/>
      <c r="I3" s="16"/>
      <c r="J3" s="16"/>
      <c r="K3" s="23" t="s">
        <v>2</v>
      </c>
    </row>
    <row r="4" ht="20.1" customHeight="1" spans="1:11">
      <c r="A4" s="17" t="s">
        <v>320</v>
      </c>
      <c r="B4" s="17" t="s">
        <v>321</v>
      </c>
      <c r="C4" s="17" t="s">
        <v>322</v>
      </c>
      <c r="D4" s="17" t="s">
        <v>323</v>
      </c>
      <c r="E4" s="17" t="s">
        <v>324</v>
      </c>
      <c r="F4" s="17" t="s">
        <v>325</v>
      </c>
      <c r="G4" s="17" t="s">
        <v>326</v>
      </c>
      <c r="H4" s="18" t="s">
        <v>327</v>
      </c>
      <c r="I4" s="18"/>
      <c r="J4" s="18"/>
      <c r="K4" s="17" t="s">
        <v>328</v>
      </c>
    </row>
    <row r="5" ht="36.75" customHeight="1" spans="1:11">
      <c r="A5" s="19"/>
      <c r="B5" s="19"/>
      <c r="C5" s="19"/>
      <c r="D5" s="19"/>
      <c r="E5" s="19"/>
      <c r="F5" s="19"/>
      <c r="G5" s="19"/>
      <c r="H5" s="18" t="s">
        <v>329</v>
      </c>
      <c r="I5" s="18" t="s">
        <v>330</v>
      </c>
      <c r="J5" s="18" t="s">
        <v>331</v>
      </c>
      <c r="K5" s="19"/>
    </row>
    <row r="6" ht="20.1" customHeight="1" spans="1:11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</row>
    <row r="7" ht="20.1" customHeight="1" spans="1:11">
      <c r="A7" s="20"/>
      <c r="B7" s="20"/>
      <c r="C7" s="20"/>
      <c r="D7" s="20"/>
      <c r="E7" s="20"/>
      <c r="F7" s="20"/>
      <c r="G7" s="20"/>
      <c r="H7" s="20"/>
      <c r="I7" s="20"/>
      <c r="J7" s="20"/>
      <c r="K7" s="20"/>
    </row>
    <row r="8" ht="20.1" customHeight="1" spans="1:1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</row>
    <row r="9" ht="20.1" customHeight="1" spans="1:1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</row>
    <row r="10" ht="20.1" customHeight="1" spans="1:1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</row>
    <row r="11" ht="20.1" customHeight="1" spans="1:1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</row>
    <row r="12" ht="20.1" customHeight="1" spans="1:1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</row>
    <row r="13" ht="20.1" customHeight="1" spans="1:1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</row>
    <row r="14" ht="184.15" customHeight="1" spans="1:11">
      <c r="A14" s="21" t="s">
        <v>332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8333333333333" right="0.708333333333333" top="0.747916666666667" bottom="0.747916666666667" header="0.314583333333333" footer="0.314583333333333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66"/>
  <sheetViews>
    <sheetView workbookViewId="0">
      <selection activeCell="A2" sqref="A2:D2"/>
    </sheetView>
  </sheetViews>
  <sheetFormatPr defaultColWidth="9" defaultRowHeight="15.6" outlineLevelCol="3"/>
  <cols>
    <col min="1" max="1" width="11.125" customWidth="1"/>
    <col min="2" max="2" width="8.1" customWidth="1"/>
    <col min="3" max="3" width="26.9" customWidth="1"/>
    <col min="4" max="4" width="28.5" customWidth="1"/>
    <col min="5" max="5" width="19.5" customWidth="1"/>
    <col min="6" max="6" width="10.1" customWidth="1"/>
    <col min="7" max="7" width="12.3" customWidth="1"/>
  </cols>
  <sheetData>
    <row r="1" customFormat="1" ht="25.15" customHeight="1" spans="1:4">
      <c r="A1" s="2" t="s">
        <v>333</v>
      </c>
      <c r="B1" s="1"/>
      <c r="C1" s="1"/>
      <c r="D1" s="1"/>
    </row>
    <row r="2" customFormat="1" ht="34.9" customHeight="1" spans="1:4">
      <c r="A2" s="3" t="s">
        <v>334</v>
      </c>
      <c r="B2" s="3"/>
      <c r="C2" s="3"/>
      <c r="D2" s="3"/>
    </row>
    <row r="3" customFormat="1" ht="86.25" customHeight="1" spans="1:4">
      <c r="A3" s="4" t="s">
        <v>335</v>
      </c>
      <c r="B3" s="6" t="s">
        <v>336</v>
      </c>
      <c r="C3" s="6"/>
      <c r="D3" s="6"/>
    </row>
    <row r="4" customFormat="1" ht="20.1" customHeight="1" spans="1:4">
      <c r="A4" s="4" t="s">
        <v>337</v>
      </c>
      <c r="B4" s="4" t="s">
        <v>338</v>
      </c>
      <c r="C4" s="4" t="s">
        <v>339</v>
      </c>
      <c r="D4" s="4" t="s">
        <v>340</v>
      </c>
    </row>
    <row r="5" customFormat="1" ht="20.1" customHeight="1" spans="1:4">
      <c r="A5" s="4"/>
      <c r="B5" s="7" t="s">
        <v>341</v>
      </c>
      <c r="C5" s="8" t="s">
        <v>342</v>
      </c>
      <c r="D5" s="9"/>
    </row>
    <row r="6" customFormat="1" ht="20.1" customHeight="1" spans="1:4">
      <c r="A6" s="4"/>
      <c r="B6" s="10"/>
      <c r="C6" s="8" t="s">
        <v>343</v>
      </c>
      <c r="D6" s="9"/>
    </row>
    <row r="7" customFormat="1" ht="20.1" customHeight="1" spans="1:4">
      <c r="A7" s="4"/>
      <c r="B7" s="11"/>
      <c r="C7" s="8" t="s">
        <v>344</v>
      </c>
      <c r="D7" s="9"/>
    </row>
    <row r="8" customFormat="1" ht="20.1" customHeight="1" spans="1:4">
      <c r="A8" s="4"/>
      <c r="B8" s="7" t="s">
        <v>345</v>
      </c>
      <c r="C8" s="8" t="s">
        <v>342</v>
      </c>
      <c r="D8" s="9"/>
    </row>
    <row r="9" customFormat="1" ht="20.1" customHeight="1" spans="1:4">
      <c r="A9" s="4"/>
      <c r="B9" s="10"/>
      <c r="C9" s="8" t="s">
        <v>343</v>
      </c>
      <c r="D9" s="9"/>
    </row>
    <row r="10" customFormat="1" ht="20.1" customHeight="1" spans="1:4">
      <c r="A10" s="4"/>
      <c r="B10" s="11"/>
      <c r="C10" s="8" t="s">
        <v>344</v>
      </c>
      <c r="D10" s="9"/>
    </row>
    <row r="11" customFormat="1" ht="20.1" customHeight="1" spans="1:4">
      <c r="A11" s="4"/>
      <c r="B11" s="9" t="s">
        <v>346</v>
      </c>
      <c r="C11" s="8" t="s">
        <v>342</v>
      </c>
      <c r="D11" s="9"/>
    </row>
    <row r="12" customFormat="1" ht="20.1" customHeight="1" spans="1:4">
      <c r="A12" s="4"/>
      <c r="B12" s="9"/>
      <c r="C12" s="8" t="s">
        <v>343</v>
      </c>
      <c r="D12" s="9"/>
    </row>
    <row r="13" customFormat="1" ht="20.1" customHeight="1" spans="1:4">
      <c r="A13" s="4"/>
      <c r="B13" s="9"/>
      <c r="C13" s="8" t="s">
        <v>344</v>
      </c>
      <c r="D13" s="9"/>
    </row>
    <row r="14" customFormat="1" ht="26.25" customHeight="1" spans="1:4">
      <c r="A14" s="13" t="s">
        <v>347</v>
      </c>
      <c r="B14" s="13"/>
      <c r="C14" s="13"/>
      <c r="D14" s="13"/>
    </row>
    <row r="22" ht="23" customHeight="1"/>
    <row r="43" ht="24" customHeight="1"/>
    <row r="45" ht="34.9" customHeight="1"/>
    <row r="66" ht="34.9" customHeight="1"/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8333333333333" right="0.708333333333333" top="0.747916666666667" bottom="0.747916666666667" header="0.314583333333333" footer="0.314583333333333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workbookViewId="0">
      <selection activeCell="A2" sqref="A2:D2"/>
    </sheetView>
  </sheetViews>
  <sheetFormatPr defaultColWidth="8.125" defaultRowHeight="31.5" customHeight="1" outlineLevelCol="5"/>
  <cols>
    <col min="1" max="1" width="14.375" style="1" customWidth="1"/>
    <col min="2" max="2" width="14.25" style="1" customWidth="1"/>
    <col min="3" max="3" width="29.875" style="1" customWidth="1"/>
    <col min="4" max="4" width="26.5" style="1" customWidth="1"/>
    <col min="5" max="16384" width="8.125" style="1"/>
  </cols>
  <sheetData>
    <row r="1" ht="27.6" customHeight="1" spans="1:1">
      <c r="A1" s="2" t="s">
        <v>348</v>
      </c>
    </row>
    <row r="2" ht="40.15" customHeight="1" spans="1:4">
      <c r="A2" s="3" t="s">
        <v>349</v>
      </c>
      <c r="B2" s="3"/>
      <c r="C2" s="3"/>
      <c r="D2" s="3"/>
    </row>
    <row r="3" ht="20.25" customHeight="1" spans="1:4">
      <c r="A3" s="4" t="s">
        <v>350</v>
      </c>
      <c r="B3" s="5"/>
      <c r="C3" s="5"/>
      <c r="D3" s="5"/>
    </row>
    <row r="4" ht="87.75" customHeight="1" spans="1:4">
      <c r="A4" s="4" t="s">
        <v>351</v>
      </c>
      <c r="B4" s="6" t="s">
        <v>352</v>
      </c>
      <c r="C4" s="6"/>
      <c r="D4" s="6"/>
    </row>
    <row r="5" ht="23.45" customHeight="1" spans="1:4">
      <c r="A5" s="4" t="s">
        <v>337</v>
      </c>
      <c r="B5" s="4" t="s">
        <v>338</v>
      </c>
      <c r="C5" s="4" t="s">
        <v>339</v>
      </c>
      <c r="D5" s="4" t="s">
        <v>340</v>
      </c>
    </row>
    <row r="6" ht="23.45" customHeight="1" spans="1:4">
      <c r="A6" s="4"/>
      <c r="B6" s="7" t="s">
        <v>341</v>
      </c>
      <c r="C6" s="8" t="s">
        <v>342</v>
      </c>
      <c r="D6" s="9"/>
    </row>
    <row r="7" ht="23.45" customHeight="1" spans="1:4">
      <c r="A7" s="4"/>
      <c r="B7" s="10"/>
      <c r="C7" s="8" t="s">
        <v>343</v>
      </c>
      <c r="D7" s="9"/>
    </row>
    <row r="8" ht="23.45" customHeight="1" spans="1:6">
      <c r="A8" s="4"/>
      <c r="B8" s="11"/>
      <c r="C8" s="8" t="s">
        <v>344</v>
      </c>
      <c r="D8" s="9"/>
      <c r="F8" s="12"/>
    </row>
    <row r="9" ht="23.45" customHeight="1" spans="1:4">
      <c r="A9" s="4"/>
      <c r="B9" s="7" t="s">
        <v>345</v>
      </c>
      <c r="C9" s="8" t="s">
        <v>342</v>
      </c>
      <c r="D9" s="9"/>
    </row>
    <row r="10" ht="23.45" customHeight="1" spans="1:4">
      <c r="A10" s="4"/>
      <c r="B10" s="10"/>
      <c r="C10" s="8" t="s">
        <v>343</v>
      </c>
      <c r="D10" s="9"/>
    </row>
    <row r="11" ht="23.45" customHeight="1" spans="1:4">
      <c r="A11" s="4"/>
      <c r="B11" s="11"/>
      <c r="C11" s="8" t="s">
        <v>344</v>
      </c>
      <c r="D11" s="9"/>
    </row>
    <row r="12" ht="23.45" customHeight="1" spans="1:4">
      <c r="A12" s="4"/>
      <c r="B12" s="9" t="s">
        <v>346</v>
      </c>
      <c r="C12" s="8" t="s">
        <v>342</v>
      </c>
      <c r="D12" s="9"/>
    </row>
    <row r="13" ht="23.45" customHeight="1" spans="1:4">
      <c r="A13" s="4"/>
      <c r="B13" s="9"/>
      <c r="C13" s="8" t="s">
        <v>343</v>
      </c>
      <c r="D13" s="9"/>
    </row>
    <row r="14" ht="23.45" customHeight="1" spans="1:4">
      <c r="A14" s="4"/>
      <c r="B14" s="9"/>
      <c r="C14" s="8" t="s">
        <v>344</v>
      </c>
      <c r="D14" s="9"/>
    </row>
    <row r="15" ht="22.15" customHeight="1" spans="1:4">
      <c r="A15" s="13" t="s">
        <v>347</v>
      </c>
      <c r="B15" s="13"/>
      <c r="C15" s="13"/>
      <c r="D15" s="13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8333333333333" right="0.708333333333333" top="0.747916666666667" bottom="0.747916666666667" header="0.314583333333333" footer="0.314583333333333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Windows10</cp:lastModifiedBy>
  <dcterms:created xsi:type="dcterms:W3CDTF">2008-01-10T09:59:00Z</dcterms:created>
  <cp:lastPrinted>2018-01-19T08:43:00Z</cp:lastPrinted>
  <dcterms:modified xsi:type="dcterms:W3CDTF">2019-08-01T19:46:39Z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