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21720" windowHeight="12930" tabRatio="1000" activeTab="7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B5" i="83"/>
  <c r="C5" i="99"/>
  <c r="C78" i="82"/>
  <c r="C48"/>
  <c r="C20"/>
  <c r="C5" s="1"/>
  <c r="C6"/>
</calcChain>
</file>

<file path=xl/sharedStrings.xml><?xml version="1.0" encoding="utf-8"?>
<sst xmlns="http://schemas.openxmlformats.org/spreadsheetml/2006/main" count="490" uniqueCount="340">
  <si>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</si>
  <si>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</si>
  <si>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</si>
  <si>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</si>
  <si>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</si>
  <si>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</si>
  <si>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</si>
  <si>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</si>
  <si>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</si>
  <si>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</si>
  <si>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</si>
  <si>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</si>
  <si>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</si>
  <si>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</si>
  <si>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</si>
  <si>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</si>
  <si>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</si>
  <si>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</si>
  <si>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</si>
  <si>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</si>
  <si>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</si>
  <si>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</si>
  <si>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</si>
  <si>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</si>
  <si>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</si>
  <si>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</si>
  <si>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</si>
  <si>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</si>
  <si>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</si>
  <si>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</si>
  <si>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</si>
  <si>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</si>
  <si>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</si>
  <si>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</si>
  <si>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</si>
  <si>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</si>
  <si>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</si>
  <si>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</si>
  <si>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</si>
  <si>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</si>
  <si>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</si>
  <si>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</si>
  <si>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</si>
  <si>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</si>
  <si>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</si>
  <si>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</si>
  <si>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</si>
  <si>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</si>
  <si>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</si>
  <si>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</si>
  <si>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</si>
  <si>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</si>
  <si>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</si>
  <si>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</si>
  <si>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</si>
  <si>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</si>
  <si>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</si>
  <si>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</si>
  <si>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</si>
  <si>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</si>
  <si>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</si>
  <si>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</si>
  <si>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</si>
  <si>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</si>
  <si>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</si>
  <si>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</si>
  <si>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</si>
  <si>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</si>
  <si>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</si>
  <si>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</si>
  <si>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</si>
  <si>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</si>
  <si>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</si>
  <si>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</si>
  <si>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</si>
  <si>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</si>
  <si>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</si>
  <si>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</si>
  <si>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</si>
  <si>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</si>
  <si>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</si>
  <si>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</si>
  <si>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</si>
  <si>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</si>
  <si>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</si>
  <si>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</si>
  <si>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</si>
  <si>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</si>
  <si>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</si>
  <si>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</si>
  <si>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</si>
  <si>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</si>
  <si>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</si>
  <si>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</si>
  <si>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</si>
  <si>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</si>
  <si>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</si>
  <si>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</si>
  <si>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</si>
  <si>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</si>
  <si>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</si>
  <si>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</si>
  <si>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</si>
  <si>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</si>
  <si>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</si>
  <si>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</si>
  <si>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</si>
  <si>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</si>
  <si>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</si>
  <si>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</si>
  <si>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</si>
  <si>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</si>
  <si>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</si>
  <si>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</si>
  <si>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</si>
  <si>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</si>
  <si>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</si>
  <si>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</si>
  <si>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</si>
  <si>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</si>
  <si>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</si>
  <si>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</si>
  <si>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</si>
  <si>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</si>
  <si>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</si>
  <si>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</si>
  <si>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</si>
  <si>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</si>
  <si>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</si>
  <si>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</si>
  <si>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</si>
  <si>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</si>
  <si>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</si>
  <si>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</si>
  <si>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</si>
  <si>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</si>
  <si>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</si>
  <si>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</si>
  <si>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</si>
  <si>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</si>
  <si>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</si>
  <si>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</si>
  <si>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</si>
  <si>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</si>
  <si>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</si>
  <si>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</si>
  <si>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</si>
  <si>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</si>
  <si>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</si>
  <si>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</si>
  <si>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</si>
  <si>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</si>
  <si>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</si>
  <si>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</si>
  <si>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</si>
  <si>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</si>
  <si>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</si>
  <si>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</si>
  <si>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</si>
  <si>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</si>
  <si>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</si>
  <si>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</si>
  <si>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</si>
  <si>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</si>
  <si>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</si>
  <si>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</si>
  <si>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</si>
  <si>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</si>
  <si>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</si>
  <si>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</si>
  <si>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</si>
  <si>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</si>
  <si>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</si>
  <si>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</si>
  <si>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</si>
  <si>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</si>
  <si>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</si>
  <si>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</si>
  <si>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</si>
  <si>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</si>
  <si>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</si>
  <si>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</si>
  <si>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</si>
  <si>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</si>
  <si>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</si>
  <si>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</si>
  <si>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</si>
  <si>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</si>
  <si>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</si>
  <si>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</si>
  <si>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</si>
  <si>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</si>
  <si>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</si>
  <si>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</si>
  <si>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</si>
  <si>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</si>
  <si>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</si>
  <si>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</si>
  <si>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</si>
  <si>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</si>
  <si>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</si>
  <si>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</si>
  <si>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</si>
  <si>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</si>
  <si>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</si>
  <si>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</si>
  <si>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</si>
  <si>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</si>
  <si>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</si>
  <si>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</si>
  <si>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</si>
  <si>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</si>
  <si>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</si>
  <si>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</si>
  <si>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</si>
  <si>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</si>
  <si>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</si>
  <si>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</si>
  <si>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</si>
  <si>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</si>
  <si>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</si>
  <si>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</si>
  <si>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</si>
  <si>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</si>
  <si>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</si>
  <si>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</si>
  <si>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</si>
  <si>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</si>
  <si>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</si>
  <si>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</si>
  <si>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</si>
  <si>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</si>
  <si>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</si>
  <si>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</si>
  <si>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</si>
  <si>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</si>
  <si>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</si>
  <si>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</si>
  <si>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</si>
  <si>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</si>
  <si>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</si>
  <si>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</si>
  <si>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</si>
  <si>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</si>
  <si>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</si>
  <si>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</si>
  <si>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</si>
  <si>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</si>
  <si>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</si>
  <si>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</si>
  <si>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</si>
  <si>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</si>
  <si>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</si>
  <si>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</si>
  <si>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</si>
  <si>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>（简要填写预算安排、主要工作任务等情况）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</si>
  <si>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</si>
  <si>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</si>
  <si>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</si>
  <si>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</si>
  <si>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</si>
  <si>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</si>
  <si>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</si>
  <si>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</si>
  <si>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</si>
  <si>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</si>
  <si>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</si>
  <si>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</si>
  <si>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</si>
  <si>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</si>
  <si>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</si>
  <si>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</si>
  <si>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</si>
  <si>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</si>
  <si>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</si>
  <si>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</si>
  <si>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</si>
  <si>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</si>
  <si>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</si>
  <si>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</si>
  <si>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</si>
  <si>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</si>
  <si>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</si>
  <si>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</si>
  <si>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</si>
  <si>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</si>
  <si>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</si>
  <si>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</si>
  <si>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</si>
  <si>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</si>
  <si>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</si>
  <si>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</si>
  <si>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</si>
  <si>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</si>
  <si>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</si>
  <si>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</si>
  <si>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</si>
  <si>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</si>
  <si>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</si>
  <si>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</si>
  <si>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</si>
  <si>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</si>
  <si>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</si>
  <si>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××年度部门业务费绩效目标表</t>
    <phoneticPr fontId="35" type="noConversion"/>
  </si>
  <si>
    <t>××年度专项资金绩效目标表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</si>
  <si>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</si>
  <si>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</si>
  <si>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</si>
  <si>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</si>
  <si>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</si>
  <si>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</si>
  <si>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</si>
  <si>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</si>
  <si>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</si>
  <si>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</si>
  <si>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</si>
  <si>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</si>
  <si>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2019年度收支预算总表</t>
    <phoneticPr fontId="35" type="noConversion"/>
  </si>
  <si>
    <t>2019年度收入预算总表</t>
    <phoneticPr fontId="35" type="noConversion"/>
  </si>
  <si>
    <t>803001</t>
    <phoneticPr fontId="75" type="noConversion"/>
  </si>
  <si>
    <t>803003</t>
    <phoneticPr fontId="75" type="noConversion"/>
  </si>
  <si>
    <t>澳前片区开发管理局</t>
    <phoneticPr fontId="75" type="noConversion"/>
  </si>
  <si>
    <t>澳前片区项目建设服务中心</t>
    <phoneticPr fontId="75" type="noConversion"/>
  </si>
  <si>
    <t>2019年度支出预算总表</t>
    <phoneticPr fontId="35" type="noConversion"/>
  </si>
  <si>
    <t>行政运行</t>
  </si>
  <si>
    <t>其他城乡社区公共设施支出</t>
  </si>
  <si>
    <t>一般行政管理事务</t>
    <phoneticPr fontId="75" type="noConversion"/>
  </si>
  <si>
    <t>2019年度财政拨款收支预算总表</t>
    <phoneticPr fontId="35" type="noConversion"/>
  </si>
  <si>
    <t>2019年度一般公共预算拨款支出预算表</t>
    <phoneticPr fontId="35" type="noConversion"/>
  </si>
  <si>
    <t>2019年度政府性基金拨款支出预算表</t>
    <phoneticPr fontId="35" type="noConversion"/>
  </si>
  <si>
    <t>本表无数据</t>
    <phoneticPr fontId="75" type="noConversion"/>
  </si>
  <si>
    <t>备注：本表无数据。本单位2019年度没有使用政府性基金预算拨款安排的支出。</t>
    <phoneticPr fontId="52" type="noConversion"/>
  </si>
  <si>
    <t>2019年度一般公共预算支出经济分类情况表</t>
    <phoneticPr fontId="75" type="noConversion"/>
  </si>
  <si>
    <t>2019年度一般公共预算基本支出经济分类情况表</t>
    <phoneticPr fontId="35" type="noConversion"/>
  </si>
  <si>
    <t>2019年度一般公共预算“三公”经费支出预算表</t>
    <phoneticPr fontId="35" type="noConversion"/>
  </si>
  <si>
    <t>2019年度部门专项资金管理清单目录</t>
    <phoneticPr fontId="35" type="noConversion"/>
  </si>
  <si>
    <t>本表无数据</t>
    <phoneticPr fontId="52" type="noConversion"/>
  </si>
  <si>
    <t>备注：本表无数据。本单位2019年度没有使用部门专项资金管理预算拨款安排的支出。</t>
    <phoneticPr fontId="52" type="noConversion"/>
  </si>
  <si>
    <t>机关服务</t>
    <phoneticPr fontId="75" type="noConversion"/>
  </si>
  <si>
    <t>机关服务</t>
    <phoneticPr fontId="75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</si>
</sst>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</numFmts>
  <fonts count="9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4"/>
      <name val="宋体"/>
      <family val="3"/>
      <charset val="134"/>
    </font>
    <font>
      <b/>
      <sz val="12"/>
      <color rgb="FF000000"/>
      <name val="楷体"/>
      <family val="3"/>
      <charset val="134"/>
    </font>
    <font>
      <sz val="14"/>
      <color rgb="FF000000"/>
      <name val="宋体"/>
      <family val="3"/>
      <charset val="134"/>
      <scheme val="minor"/>
    </font>
    <font>
      <b/>
      <sz val="14"/>
      <color rgb="FF000000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7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190" fontId="7" fillId="0" borderId="1" xfId="4972" applyNumberFormat="1" applyFont="1" applyFill="1" applyBorder="1" applyAlignment="1">
      <alignment vertical="center"/>
    </xf>
    <xf numFmtId="0" fontId="93" fillId="0" borderId="28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93" fillId="0" borderId="28" xfId="4979" applyFont="1" applyBorder="1" applyAlignment="1">
      <alignment horizontal="left" vertical="center"/>
    </xf>
    <xf numFmtId="0" fontId="93" fillId="0" borderId="28" xfId="4979" applyFont="1" applyBorder="1" applyAlignment="1">
      <alignment vertical="center"/>
    </xf>
    <xf numFmtId="0" fontId="7" fillId="0" borderId="1" xfId="4980" applyFont="1" applyBorder="1" applyAlignment="1">
      <alignment horizontal="center"/>
    </xf>
    <xf numFmtId="0" fontId="7" fillId="0" borderId="1" xfId="4979" applyNumberFormat="1" applyFont="1" applyFill="1" applyBorder="1" applyAlignment="1">
      <alignment horizontal="center" vertical="center"/>
    </xf>
    <xf numFmtId="0" fontId="7" fillId="0" borderId="1" xfId="4979" applyFont="1" applyBorder="1" applyAlignment="1">
      <alignment horizontal="center"/>
    </xf>
    <xf numFmtId="0" fontId="95" fillId="0" borderId="1" xfId="4979" applyFont="1" applyBorder="1" applyAlignment="1">
      <alignment vertical="center"/>
    </xf>
    <xf numFmtId="0" fontId="96" fillId="0" borderId="0" xfId="0" applyFont="1" applyAlignment="1">
      <alignment vertical="center"/>
    </xf>
    <xf numFmtId="0" fontId="94" fillId="0" borderId="0" xfId="0" applyFont="1" applyAlignment="1">
      <alignment vertical="center"/>
    </xf>
    <xf numFmtId="0" fontId="55" fillId="0" borderId="1" xfId="2842" applyFont="1" applyBorder="1" applyAlignment="1">
      <alignment vertical="center"/>
    </xf>
    <xf numFmtId="0" fontId="97" fillId="0" borderId="28" xfId="0" applyFont="1" applyBorder="1" applyAlignment="1">
      <alignment horizontal="center"/>
    </xf>
    <xf numFmtId="0" fontId="98" fillId="0" borderId="0" xfId="0" applyFont="1" applyAlignment="1">
      <alignment vertical="center"/>
    </xf>
    <xf numFmtId="0" fontId="93" fillId="0" borderId="29" xfId="0" applyNumberFormat="1" applyFont="1" applyFill="1" applyBorder="1" applyAlignment="1">
      <alignment horizontal="left" vertical="center" wrapText="1"/>
    </xf>
    <xf numFmtId="0" fontId="7" fillId="0" borderId="22" xfId="4979" applyFont="1" applyBorder="1" applyAlignment="1">
      <alignment horizontal="center"/>
    </xf>
    <xf numFmtId="0" fontId="7" fillId="0" borderId="22" xfId="4980" applyFont="1" applyBorder="1" applyAlignment="1">
      <alignment horizontal="center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D8" sqref="D8:D11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5"/>
      <c r="B1" s="125"/>
      <c r="C1" s="125"/>
      <c r="D1" s="125"/>
    </row>
    <row r="2" spans="1:4">
      <c r="A2" s="5" t="s">
        <v>130</v>
      </c>
      <c r="B2" s="2"/>
      <c r="C2" s="2"/>
      <c r="D2" s="2"/>
    </row>
    <row r="3" spans="1:4" ht="20.25">
      <c r="A3" s="123" t="s">
        <v>317</v>
      </c>
      <c r="B3" s="124"/>
      <c r="C3" s="124"/>
      <c r="D3" s="124"/>
    </row>
    <row r="4" spans="1:4">
      <c r="A4" s="7"/>
      <c r="B4" s="7"/>
      <c r="C4" s="7"/>
      <c r="D4" s="8" t="s">
        <v>0</v>
      </c>
    </row>
    <row r="5" spans="1:4" ht="20.100000000000001" customHeight="1">
      <c r="A5" s="34" t="s">
        <v>5</v>
      </c>
      <c r="B5" s="34"/>
      <c r="C5" s="34" t="s">
        <v>6</v>
      </c>
      <c r="D5" s="34"/>
    </row>
    <row r="6" spans="1:4" ht="20.100000000000001" customHeight="1">
      <c r="A6" s="35" t="s">
        <v>7</v>
      </c>
      <c r="B6" s="35" t="s">
        <v>291</v>
      </c>
      <c r="C6" s="35" t="s">
        <v>8</v>
      </c>
      <c r="D6" s="35" t="s">
        <v>291</v>
      </c>
    </row>
    <row r="7" spans="1:4" ht="20.100000000000001" customHeight="1">
      <c r="A7" s="36" t="s">
        <v>9</v>
      </c>
      <c r="B7" s="9">
        <v>1170.58</v>
      </c>
      <c r="C7" s="36" t="s">
        <v>10</v>
      </c>
      <c r="D7" s="104">
        <v>630.58000000000004</v>
      </c>
    </row>
    <row r="8" spans="1:4" ht="20.100000000000001" customHeight="1">
      <c r="A8" s="36" t="s">
        <v>14</v>
      </c>
      <c r="B8" s="9"/>
      <c r="C8" s="36" t="s">
        <v>285</v>
      </c>
      <c r="D8" s="9">
        <v>354.56</v>
      </c>
    </row>
    <row r="9" spans="1:4" ht="20.100000000000001" customHeight="1">
      <c r="A9" s="37" t="s">
        <v>280</v>
      </c>
      <c r="B9" s="9"/>
      <c r="C9" s="36" t="s">
        <v>286</v>
      </c>
      <c r="D9" s="9"/>
    </row>
    <row r="10" spans="1:4" ht="20.100000000000001" customHeight="1">
      <c r="A10" s="37" t="s">
        <v>16</v>
      </c>
      <c r="B10" s="9"/>
      <c r="C10" s="36" t="s">
        <v>287</v>
      </c>
      <c r="D10" s="9">
        <v>276.02</v>
      </c>
    </row>
    <row r="11" spans="1:4" ht="20.100000000000001" customHeight="1">
      <c r="A11" s="37" t="s">
        <v>17</v>
      </c>
      <c r="B11" s="9"/>
      <c r="C11" s="36" t="s">
        <v>15</v>
      </c>
      <c r="D11" s="9">
        <v>540</v>
      </c>
    </row>
    <row r="12" spans="1:4" ht="20.100000000000001" customHeight="1">
      <c r="A12" s="38" t="s">
        <v>283</v>
      </c>
      <c r="B12" s="9">
        <v>1170.58</v>
      </c>
      <c r="C12" s="38" t="s">
        <v>284</v>
      </c>
      <c r="D12" s="9">
        <v>1170.58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D8" sqref="D8"/>
    </sheetView>
  </sheetViews>
  <sheetFormatPr defaultRowHeight="14.25"/>
  <cols>
    <col min="1" max="1" width="10.25" customWidth="1"/>
    <col min="2" max="2" width="23.375" customWidth="1"/>
    <col min="3" max="3" width="10" style="63" customWidth="1"/>
    <col min="4" max="8" width="9.5" style="63" customWidth="1"/>
  </cols>
  <sheetData>
    <row r="1" spans="1:8">
      <c r="A1" s="11" t="s">
        <v>129</v>
      </c>
      <c r="B1" s="10"/>
      <c r="C1" s="69"/>
      <c r="D1" s="70"/>
      <c r="E1" s="70"/>
      <c r="F1" s="71"/>
      <c r="G1" s="72"/>
      <c r="H1" s="72"/>
    </row>
    <row r="2" spans="1:8" ht="29.1" customHeight="1">
      <c r="A2" s="126" t="s">
        <v>318</v>
      </c>
      <c r="B2" s="127"/>
      <c r="C2" s="127"/>
      <c r="D2" s="127"/>
      <c r="E2" s="127"/>
      <c r="F2" s="127"/>
      <c r="G2" s="127"/>
      <c r="H2" s="127"/>
    </row>
    <row r="3" spans="1:8" ht="25.5">
      <c r="A3" s="11"/>
      <c r="B3" s="11"/>
      <c r="C3" s="73"/>
      <c r="D3" s="74"/>
      <c r="E3" s="74"/>
      <c r="F3" s="75"/>
      <c r="G3" s="129" t="s">
        <v>288</v>
      </c>
      <c r="H3" s="129"/>
    </row>
    <row r="4" spans="1:8">
      <c r="A4" s="128" t="s">
        <v>18</v>
      </c>
      <c r="B4" s="128" t="s">
        <v>19</v>
      </c>
      <c r="C4" s="130" t="s">
        <v>31</v>
      </c>
      <c r="D4" s="131"/>
      <c r="E4" s="131"/>
      <c r="F4" s="131"/>
      <c r="G4" s="131"/>
      <c r="H4" s="132"/>
    </row>
    <row r="5" spans="1:8" ht="60" customHeight="1">
      <c r="A5" s="128"/>
      <c r="B5" s="128"/>
      <c r="C5" s="41" t="s">
        <v>20</v>
      </c>
      <c r="D5" s="41" t="s">
        <v>21</v>
      </c>
      <c r="E5" s="41" t="s">
        <v>32</v>
      </c>
      <c r="F5" s="41" t="s">
        <v>22</v>
      </c>
      <c r="G5" s="76" t="s">
        <v>23</v>
      </c>
      <c r="H5" s="41" t="s">
        <v>289</v>
      </c>
    </row>
    <row r="6" spans="1:8" ht="20.100000000000001" customHeight="1">
      <c r="A6" s="39" t="s">
        <v>24</v>
      </c>
      <c r="B6" s="39" t="s">
        <v>24</v>
      </c>
      <c r="C6" s="85">
        <v>1</v>
      </c>
      <c r="D6" s="39">
        <v>2</v>
      </c>
      <c r="E6" s="85">
        <v>3</v>
      </c>
      <c r="F6" s="85">
        <v>4</v>
      </c>
      <c r="G6" s="39">
        <v>5</v>
      </c>
      <c r="H6" s="85">
        <v>6</v>
      </c>
    </row>
    <row r="7" spans="1:8" ht="20.100000000000001" customHeight="1">
      <c r="A7" s="12" t="s">
        <v>319</v>
      </c>
      <c r="B7" s="12" t="s">
        <v>321</v>
      </c>
      <c r="C7" s="77">
        <v>1103.72</v>
      </c>
      <c r="D7" s="77">
        <v>1103.72</v>
      </c>
      <c r="E7" s="77"/>
      <c r="F7" s="77"/>
      <c r="G7" s="77"/>
      <c r="H7" s="77"/>
    </row>
    <row r="8" spans="1:8" ht="20.100000000000001" customHeight="1">
      <c r="A8" s="12" t="s">
        <v>320</v>
      </c>
      <c r="B8" s="12" t="s">
        <v>322</v>
      </c>
      <c r="C8" s="77">
        <v>66.86</v>
      </c>
      <c r="D8" s="77">
        <v>66.86</v>
      </c>
      <c r="E8" s="77"/>
      <c r="F8" s="77"/>
      <c r="G8" s="77"/>
      <c r="H8" s="77"/>
    </row>
    <row r="9" spans="1:8" ht="20.100000000000001" customHeight="1">
      <c r="A9" s="3"/>
      <c r="B9" s="3"/>
      <c r="C9" s="78"/>
      <c r="D9" s="78"/>
      <c r="E9" s="78"/>
      <c r="F9" s="78"/>
      <c r="G9" s="78"/>
      <c r="H9" s="78"/>
    </row>
    <row r="10" spans="1:8" ht="20.100000000000001" customHeight="1">
      <c r="A10" s="3"/>
      <c r="B10" s="3"/>
      <c r="C10" s="78"/>
      <c r="D10" s="78"/>
      <c r="E10" s="78"/>
      <c r="F10" s="78"/>
      <c r="G10" s="78"/>
      <c r="H10" s="78"/>
    </row>
    <row r="11" spans="1:8" ht="20.100000000000001" customHeight="1">
      <c r="A11" s="3"/>
      <c r="B11" s="3"/>
      <c r="C11" s="78"/>
      <c r="D11" s="78"/>
      <c r="E11" s="78"/>
      <c r="F11" s="78"/>
      <c r="G11" s="78"/>
      <c r="H11" s="78"/>
    </row>
    <row r="12" spans="1:8" ht="20.100000000000001" customHeight="1">
      <c r="A12" s="3"/>
      <c r="B12" s="3"/>
      <c r="C12" s="78"/>
      <c r="D12" s="78"/>
      <c r="E12" s="78"/>
      <c r="F12" s="78"/>
      <c r="G12" s="78"/>
      <c r="H12" s="78"/>
    </row>
    <row r="13" spans="1:8" ht="20.100000000000001" customHeight="1">
      <c r="A13" s="3"/>
      <c r="B13" s="3"/>
      <c r="C13" s="78"/>
      <c r="D13" s="78"/>
      <c r="E13" s="78"/>
      <c r="F13" s="78"/>
      <c r="G13" s="78"/>
      <c r="H13" s="78"/>
    </row>
    <row r="14" spans="1:8" ht="20.100000000000001" customHeight="1">
      <c r="A14" s="3"/>
      <c r="B14" s="3"/>
      <c r="C14" s="78"/>
      <c r="D14" s="78"/>
      <c r="E14" s="78"/>
      <c r="F14" s="78"/>
      <c r="G14" s="78"/>
      <c r="H14" s="78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workbookViewId="0">
      <selection activeCell="D13" sqref="D13"/>
    </sheetView>
  </sheetViews>
  <sheetFormatPr defaultRowHeight="14.25"/>
  <cols>
    <col min="1" max="1" width="9" customWidth="1"/>
    <col min="2" max="2" width="24.875" customWidth="1"/>
    <col min="3" max="3" width="9.125" customWidth="1"/>
    <col min="4" max="4" width="10.5" customWidth="1"/>
    <col min="5" max="5" width="10" customWidth="1"/>
    <col min="6" max="6" width="8.375" customWidth="1"/>
    <col min="7" max="7" width="7.5" customWidth="1"/>
    <col min="8" max="8" width="8.75" customWidth="1"/>
    <col min="9" max="9" width="7.5" customWidth="1"/>
    <col min="10" max="14" width="9.625" customWidth="1"/>
    <col min="15" max="15" width="9.125" customWidth="1"/>
  </cols>
  <sheetData>
    <row r="1" spans="1:15" ht="25.5">
      <c r="A1" s="13" t="s">
        <v>128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2"/>
      <c r="N1" s="2"/>
      <c r="O1" s="2"/>
    </row>
    <row r="2" spans="1:15" ht="20.25">
      <c r="A2" s="133" t="s">
        <v>323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40" t="s">
        <v>0</v>
      </c>
      <c r="O3" s="140"/>
    </row>
    <row r="4" spans="1:15" s="33" customFormat="1" ht="13.5">
      <c r="A4" s="134" t="s">
        <v>18</v>
      </c>
      <c r="B4" s="134" t="s">
        <v>19</v>
      </c>
      <c r="C4" s="134" t="s">
        <v>25</v>
      </c>
      <c r="D4" s="134" t="s">
        <v>26</v>
      </c>
      <c r="E4" s="134" t="s">
        <v>290</v>
      </c>
      <c r="F4" s="134" t="s">
        <v>27</v>
      </c>
      <c r="G4" s="134" t="s">
        <v>28</v>
      </c>
      <c r="H4" s="134" t="s">
        <v>29</v>
      </c>
      <c r="I4" s="134" t="s">
        <v>30</v>
      </c>
      <c r="J4" s="40" t="s">
        <v>31</v>
      </c>
      <c r="K4" s="40"/>
      <c r="L4" s="40"/>
      <c r="M4" s="40"/>
      <c r="N4" s="40"/>
      <c r="O4" s="40"/>
    </row>
    <row r="5" spans="1:15" s="33" customFormat="1" ht="43.15" customHeight="1">
      <c r="A5" s="135"/>
      <c r="B5" s="135"/>
      <c r="C5" s="135"/>
      <c r="D5" s="135"/>
      <c r="E5" s="135"/>
      <c r="F5" s="135"/>
      <c r="G5" s="135"/>
      <c r="H5" s="135"/>
      <c r="I5" s="135"/>
      <c r="J5" s="134" t="s">
        <v>290</v>
      </c>
      <c r="K5" s="134" t="s">
        <v>21</v>
      </c>
      <c r="L5" s="134" t="s">
        <v>32</v>
      </c>
      <c r="M5" s="134" t="s">
        <v>22</v>
      </c>
      <c r="N5" s="138" t="s">
        <v>23</v>
      </c>
      <c r="O5" s="134" t="s">
        <v>33</v>
      </c>
    </row>
    <row r="6" spans="1:15" s="33" customFormat="1" ht="13.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9"/>
      <c r="O6" s="136"/>
    </row>
    <row r="7" spans="1:15" s="33" customFormat="1" ht="20.100000000000001" customHeight="1">
      <c r="A7" s="42" t="s">
        <v>24</v>
      </c>
      <c r="B7" s="42" t="s">
        <v>24</v>
      </c>
      <c r="C7" s="42" t="s">
        <v>24</v>
      </c>
      <c r="D7" s="42" t="s">
        <v>24</v>
      </c>
      <c r="E7" s="42">
        <v>1</v>
      </c>
      <c r="F7" s="42">
        <v>2</v>
      </c>
      <c r="G7" s="42">
        <v>3</v>
      </c>
      <c r="H7" s="42">
        <v>4</v>
      </c>
      <c r="I7" s="42">
        <v>5</v>
      </c>
      <c r="J7" s="42">
        <v>6</v>
      </c>
      <c r="K7" s="42">
        <v>7</v>
      </c>
      <c r="L7" s="42">
        <v>8</v>
      </c>
      <c r="M7" s="42">
        <v>9</v>
      </c>
      <c r="N7" s="42">
        <v>10</v>
      </c>
      <c r="O7" s="42">
        <v>11</v>
      </c>
    </row>
    <row r="8" spans="1:15" s="33" customFormat="1" ht="20.100000000000001" customHeight="1">
      <c r="A8" s="12" t="s">
        <v>319</v>
      </c>
      <c r="B8" s="12" t="s">
        <v>321</v>
      </c>
      <c r="C8" s="105">
        <v>2120101</v>
      </c>
      <c r="D8" s="105" t="s">
        <v>324</v>
      </c>
      <c r="E8" s="106">
        <v>343.72</v>
      </c>
      <c r="F8" s="106">
        <v>290.45</v>
      </c>
      <c r="G8" s="106"/>
      <c r="H8" s="106">
        <v>53.27</v>
      </c>
      <c r="I8" s="106"/>
      <c r="J8" s="106">
        <v>343.72</v>
      </c>
      <c r="K8" s="106">
        <v>343.72</v>
      </c>
      <c r="L8" s="107"/>
      <c r="M8" s="17"/>
      <c r="N8" s="17"/>
      <c r="O8" s="17"/>
    </row>
    <row r="9" spans="1:15" s="33" customFormat="1" ht="30.75" customHeight="1">
      <c r="A9" s="12" t="s">
        <v>319</v>
      </c>
      <c r="B9" s="12" t="s">
        <v>321</v>
      </c>
      <c r="C9" s="16">
        <v>2120102</v>
      </c>
      <c r="D9" s="16" t="s">
        <v>326</v>
      </c>
      <c r="E9" s="108">
        <v>220</v>
      </c>
      <c r="F9" s="106"/>
      <c r="G9" s="106"/>
      <c r="H9" s="108">
        <v>220</v>
      </c>
      <c r="I9" s="106"/>
      <c r="J9" s="108">
        <v>220</v>
      </c>
      <c r="K9" s="108">
        <v>220</v>
      </c>
      <c r="L9" s="107"/>
      <c r="M9" s="17"/>
      <c r="N9" s="17"/>
      <c r="O9" s="17"/>
    </row>
    <row r="10" spans="1:15" ht="27.75" customHeight="1">
      <c r="A10" s="12" t="s">
        <v>319</v>
      </c>
      <c r="B10" s="12" t="s">
        <v>321</v>
      </c>
      <c r="C10" s="105">
        <v>2120303</v>
      </c>
      <c r="D10" s="105" t="s">
        <v>325</v>
      </c>
      <c r="E10" s="78">
        <v>540</v>
      </c>
      <c r="F10" s="78"/>
      <c r="G10" s="78"/>
      <c r="H10" s="78"/>
      <c r="I10" s="78">
        <v>540</v>
      </c>
      <c r="J10" s="78">
        <v>540</v>
      </c>
      <c r="K10" s="78">
        <v>540</v>
      </c>
      <c r="L10" s="78"/>
      <c r="M10" s="3"/>
      <c r="N10" s="3"/>
      <c r="O10" s="3"/>
    </row>
    <row r="11" spans="1:15" ht="20.100000000000001" customHeight="1">
      <c r="A11" s="12" t="s">
        <v>320</v>
      </c>
      <c r="B11" s="12" t="s">
        <v>322</v>
      </c>
      <c r="C11" s="105">
        <v>2120103</v>
      </c>
      <c r="D11" s="105" t="s">
        <v>339</v>
      </c>
      <c r="E11" s="78">
        <v>66.86</v>
      </c>
      <c r="F11" s="78">
        <v>64.11</v>
      </c>
      <c r="G11" s="78"/>
      <c r="H11" s="78">
        <v>2.75</v>
      </c>
      <c r="I11" s="78"/>
      <c r="J11" s="78">
        <v>66.86</v>
      </c>
      <c r="K11" s="78">
        <v>66.86</v>
      </c>
      <c r="L11" s="78"/>
      <c r="M11" s="3"/>
      <c r="N11" s="3"/>
      <c r="O11" s="3"/>
    </row>
    <row r="12" spans="1:15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900000000000006" customHeight="1">
      <c r="A19" s="137" t="s">
        <v>306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</row>
  </sheetData>
  <mergeCells count="18">
    <mergeCell ref="A19:O19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G12" sqref="G12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" t="s">
        <v>127</v>
      </c>
      <c r="B1" s="2"/>
      <c r="C1" s="2"/>
      <c r="D1" s="2"/>
    </row>
    <row r="2" spans="1:4" ht="20.25">
      <c r="A2" s="141" t="s">
        <v>327</v>
      </c>
      <c r="B2" s="142"/>
      <c r="C2" s="142"/>
      <c r="D2" s="142"/>
    </row>
    <row r="3" spans="1:4">
      <c r="A3" s="18"/>
      <c r="B3" s="18"/>
      <c r="C3" s="18"/>
      <c r="D3" s="47" t="s">
        <v>0</v>
      </c>
    </row>
    <row r="4" spans="1:4" s="33" customFormat="1" ht="20.100000000000001" customHeight="1">
      <c r="A4" s="43" t="s">
        <v>5</v>
      </c>
      <c r="B4" s="43"/>
      <c r="C4" s="43" t="s">
        <v>6</v>
      </c>
      <c r="D4" s="43"/>
    </row>
    <row r="5" spans="1:4" s="33" customFormat="1" ht="20.100000000000001" customHeight="1">
      <c r="A5" s="44" t="s">
        <v>7</v>
      </c>
      <c r="B5" s="44" t="s">
        <v>278</v>
      </c>
      <c r="C5" s="44" t="s">
        <v>8</v>
      </c>
      <c r="D5" s="44" t="s">
        <v>279</v>
      </c>
    </row>
    <row r="6" spans="1:4" s="33" customFormat="1" ht="20.100000000000001" customHeight="1">
      <c r="A6" s="45" t="s">
        <v>9</v>
      </c>
      <c r="B6" s="9">
        <v>1170.58</v>
      </c>
      <c r="C6" s="45" t="s">
        <v>10</v>
      </c>
      <c r="D6" s="104">
        <v>630.58000000000004</v>
      </c>
    </row>
    <row r="7" spans="1:4" s="33" customFormat="1" ht="20.100000000000001" customHeight="1">
      <c r="A7" s="45" t="s">
        <v>14</v>
      </c>
      <c r="B7" s="19"/>
      <c r="C7" s="45" t="s">
        <v>11</v>
      </c>
      <c r="D7" s="9">
        <v>354.56</v>
      </c>
    </row>
    <row r="8" spans="1:4" s="33" customFormat="1" ht="20.100000000000001" customHeight="1">
      <c r="A8" s="45"/>
      <c r="B8" s="19"/>
      <c r="C8" s="45" t="s">
        <v>12</v>
      </c>
      <c r="D8" s="9"/>
    </row>
    <row r="9" spans="1:4" s="33" customFormat="1" ht="20.100000000000001" customHeight="1">
      <c r="A9" s="45"/>
      <c r="B9" s="19"/>
      <c r="C9" s="45" t="s">
        <v>13</v>
      </c>
      <c r="D9" s="9">
        <v>276.02</v>
      </c>
    </row>
    <row r="10" spans="1:4" s="33" customFormat="1" ht="20.100000000000001" customHeight="1">
      <c r="A10" s="45"/>
      <c r="B10" s="19"/>
      <c r="C10" s="45" t="s">
        <v>15</v>
      </c>
      <c r="D10" s="9">
        <v>540</v>
      </c>
    </row>
    <row r="11" spans="1:4" s="33" customFormat="1" ht="20.100000000000001" customHeight="1">
      <c r="A11" s="45"/>
      <c r="B11" s="19"/>
      <c r="C11" s="45"/>
      <c r="D11" s="9"/>
    </row>
    <row r="12" spans="1:4" s="33" customFormat="1" ht="20.100000000000001" customHeight="1">
      <c r="A12" s="45"/>
      <c r="B12" s="19"/>
      <c r="C12" s="45"/>
      <c r="D12" s="19"/>
    </row>
    <row r="13" spans="1:4" s="33" customFormat="1" ht="20.100000000000001" customHeight="1">
      <c r="A13" s="46" t="s">
        <v>292</v>
      </c>
      <c r="B13" s="9">
        <v>1170.58</v>
      </c>
      <c r="C13" s="46" t="s">
        <v>293</v>
      </c>
      <c r="D13" s="9">
        <v>1170.58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selection activeCell="B9" sqref="B9"/>
    </sheetView>
  </sheetViews>
  <sheetFormatPr defaultRowHeight="14.25"/>
  <cols>
    <col min="1" max="1" width="18.875" customWidth="1"/>
    <col min="2" max="2" width="15.875" customWidth="1"/>
    <col min="3" max="3" width="12.5" customWidth="1"/>
    <col min="4" max="4" width="14.125" customWidth="1"/>
    <col min="5" max="5" width="15.875" customWidth="1"/>
  </cols>
  <sheetData>
    <row r="1" spans="1:5">
      <c r="A1" s="20" t="s">
        <v>309</v>
      </c>
      <c r="B1" s="20"/>
      <c r="C1" s="20"/>
      <c r="D1" s="21"/>
      <c r="E1" s="21"/>
    </row>
    <row r="2" spans="1:5" ht="20.25">
      <c r="A2" s="123" t="s">
        <v>328</v>
      </c>
      <c r="B2" s="123"/>
      <c r="C2" s="123"/>
      <c r="D2" s="123"/>
      <c r="E2" s="123"/>
    </row>
    <row r="3" spans="1:5">
      <c r="A3" s="22"/>
      <c r="B3" s="22"/>
      <c r="C3" s="22"/>
      <c r="D3" s="23"/>
      <c r="E3" s="96" t="s">
        <v>0</v>
      </c>
    </row>
    <row r="4" spans="1:5" s="33" customFormat="1" ht="20.100000000000001" customHeight="1">
      <c r="A4" s="145" t="s">
        <v>25</v>
      </c>
      <c r="B4" s="145" t="s">
        <v>26</v>
      </c>
      <c r="C4" s="145" t="s">
        <v>34</v>
      </c>
      <c r="D4" s="146" t="s">
        <v>35</v>
      </c>
      <c r="E4" s="146"/>
    </row>
    <row r="5" spans="1:5" s="33" customFormat="1" ht="20.100000000000001" customHeight="1">
      <c r="A5" s="145"/>
      <c r="B5" s="145"/>
      <c r="C5" s="145"/>
      <c r="D5" s="48" t="s">
        <v>36</v>
      </c>
      <c r="E5" s="49" t="s">
        <v>30</v>
      </c>
    </row>
    <row r="6" spans="1:5" s="33" customFormat="1" ht="20.100000000000001" customHeight="1">
      <c r="A6" s="50" t="s">
        <v>24</v>
      </c>
      <c r="B6" s="50" t="s">
        <v>24</v>
      </c>
      <c r="C6" s="50">
        <v>1</v>
      </c>
      <c r="D6" s="51">
        <v>2</v>
      </c>
      <c r="E6" s="51">
        <v>3</v>
      </c>
    </row>
    <row r="7" spans="1:5" s="33" customFormat="1" ht="20.100000000000001" customHeight="1">
      <c r="A7" s="109">
        <v>2120101</v>
      </c>
      <c r="B7" s="110" t="s">
        <v>324</v>
      </c>
      <c r="C7" s="50">
        <v>343.72</v>
      </c>
      <c r="D7" s="50">
        <v>343.72</v>
      </c>
      <c r="E7" s="111"/>
    </row>
    <row r="8" spans="1:5" s="33" customFormat="1" ht="27" customHeight="1">
      <c r="A8" s="16">
        <v>2120102</v>
      </c>
      <c r="B8" s="16" t="s">
        <v>326</v>
      </c>
      <c r="C8" s="112">
        <v>220</v>
      </c>
      <c r="D8" s="111">
        <v>220</v>
      </c>
      <c r="E8" s="111"/>
    </row>
    <row r="9" spans="1:5" s="33" customFormat="1" ht="27" customHeight="1">
      <c r="A9" s="16">
        <v>2120103</v>
      </c>
      <c r="B9" s="16" t="s">
        <v>338</v>
      </c>
      <c r="C9" s="111">
        <v>66.86</v>
      </c>
      <c r="D9" s="111">
        <v>66.86</v>
      </c>
      <c r="E9" s="111"/>
    </row>
    <row r="10" spans="1:5" s="33" customFormat="1" ht="33" customHeight="1">
      <c r="A10" s="120">
        <v>2120303</v>
      </c>
      <c r="B10" s="120" t="s">
        <v>325</v>
      </c>
      <c r="C10" s="121">
        <v>540</v>
      </c>
      <c r="D10" s="122"/>
      <c r="E10" s="122">
        <v>540</v>
      </c>
    </row>
    <row r="11" spans="1:5" s="33" customFormat="1" ht="20.100000000000001" customHeight="1">
      <c r="A11" s="57"/>
      <c r="B11" s="57"/>
      <c r="C11" s="113"/>
      <c r="D11" s="111"/>
      <c r="E11" s="111"/>
    </row>
    <row r="12" spans="1:5" s="33" customFormat="1" ht="20.100000000000001" customHeight="1">
      <c r="A12" s="57"/>
      <c r="B12" s="57"/>
      <c r="C12" s="57"/>
      <c r="D12" s="54"/>
      <c r="E12" s="54"/>
    </row>
    <row r="13" spans="1:5" s="33" customFormat="1" ht="20.100000000000001" customHeight="1">
      <c r="A13" s="57"/>
      <c r="B13" s="57"/>
      <c r="C13" s="57"/>
      <c r="D13" s="54"/>
      <c r="E13" s="54"/>
    </row>
    <row r="14" spans="1:5" s="33" customFormat="1" ht="20.100000000000001" customHeight="1">
      <c r="A14" s="57"/>
      <c r="B14" s="57"/>
      <c r="C14" s="57"/>
      <c r="D14" s="54"/>
      <c r="E14" s="54"/>
    </row>
    <row r="15" spans="1:5" s="33" customFormat="1" ht="20.100000000000001" customHeight="1">
      <c r="A15" s="54"/>
      <c r="B15" s="54"/>
      <c r="C15" s="54"/>
      <c r="D15" s="54"/>
      <c r="E15" s="54"/>
    </row>
    <row r="16" spans="1:5" s="33" customFormat="1" ht="20.100000000000001" customHeight="1">
      <c r="A16" s="54"/>
      <c r="B16" s="54"/>
      <c r="C16" s="54"/>
      <c r="D16" s="54"/>
      <c r="E16" s="54"/>
    </row>
    <row r="17" spans="1:5" s="33" customFormat="1" ht="20.100000000000001" customHeight="1">
      <c r="A17" s="54"/>
      <c r="B17" s="54"/>
      <c r="C17" s="54"/>
      <c r="D17" s="54"/>
      <c r="E17" s="54"/>
    </row>
    <row r="18" spans="1:5" s="33" customFormat="1" ht="20.100000000000001" customHeight="1">
      <c r="A18" s="54"/>
      <c r="B18" s="54"/>
      <c r="C18" s="54"/>
      <c r="D18" s="54"/>
      <c r="E18" s="54"/>
    </row>
    <row r="19" spans="1:5" s="33" customFormat="1" ht="20.100000000000001" customHeight="1">
      <c r="A19" s="54"/>
      <c r="B19" s="54"/>
      <c r="C19" s="54"/>
      <c r="D19" s="54"/>
      <c r="E19" s="54"/>
    </row>
    <row r="20" spans="1:5" s="33" customFormat="1" ht="20.100000000000001" customHeight="1">
      <c r="A20" s="54"/>
      <c r="B20" s="54"/>
      <c r="C20" s="54"/>
      <c r="D20" s="54"/>
      <c r="E20" s="54"/>
    </row>
    <row r="21" spans="1:5" s="33" customFormat="1" ht="20.100000000000001" customHeight="1">
      <c r="A21" s="54"/>
      <c r="B21" s="54"/>
      <c r="C21" s="54"/>
      <c r="D21" s="54"/>
      <c r="E21" s="54"/>
    </row>
    <row r="22" spans="1:5" s="33" customFormat="1" ht="20.100000000000001" customHeight="1">
      <c r="A22" s="54"/>
      <c r="B22" s="54"/>
      <c r="C22" s="54"/>
      <c r="D22" s="54"/>
      <c r="E22" s="54"/>
    </row>
    <row r="23" spans="1:5" s="33" customFormat="1" ht="16.5">
      <c r="A23" s="143" t="s">
        <v>305</v>
      </c>
      <c r="B23" s="143"/>
      <c r="C23" s="143"/>
      <c r="D23" s="143"/>
      <c r="E23" s="143"/>
    </row>
    <row r="24" spans="1:5" s="33" customFormat="1" ht="16.5">
      <c r="A24" s="144"/>
      <c r="B24" s="144"/>
      <c r="C24" s="144"/>
      <c r="D24" s="144"/>
      <c r="E24" s="144"/>
    </row>
  </sheetData>
  <mergeCells count="7">
    <mergeCell ref="A23:E23"/>
    <mergeCell ref="A24:E24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A2" sqref="A2:E2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0" t="s">
        <v>310</v>
      </c>
      <c r="B1" s="20"/>
      <c r="C1" s="20"/>
      <c r="D1" s="21"/>
      <c r="E1" s="21"/>
    </row>
    <row r="2" spans="1:5" ht="26.45" customHeight="1">
      <c r="A2" s="123" t="s">
        <v>329</v>
      </c>
      <c r="B2" s="123"/>
      <c r="C2" s="123"/>
      <c r="D2" s="123"/>
      <c r="E2" s="123"/>
    </row>
    <row r="3" spans="1:5">
      <c r="A3" s="22"/>
      <c r="B3" s="22"/>
      <c r="C3" s="22"/>
      <c r="D3" s="23"/>
      <c r="E3" s="86" t="s">
        <v>0</v>
      </c>
    </row>
    <row r="4" spans="1:5" s="33" customFormat="1" ht="20.100000000000001" customHeight="1">
      <c r="A4" s="145" t="s">
        <v>25</v>
      </c>
      <c r="B4" s="145" t="s">
        <v>26</v>
      </c>
      <c r="C4" s="145" t="s">
        <v>34</v>
      </c>
      <c r="D4" s="146" t="s">
        <v>35</v>
      </c>
      <c r="E4" s="146"/>
    </row>
    <row r="5" spans="1:5" s="33" customFormat="1" ht="20.100000000000001" customHeight="1">
      <c r="A5" s="145"/>
      <c r="B5" s="145"/>
      <c r="C5" s="145"/>
      <c r="D5" s="48" t="s">
        <v>36</v>
      </c>
      <c r="E5" s="49" t="s">
        <v>30</v>
      </c>
    </row>
    <row r="6" spans="1:5" s="33" customFormat="1" ht="20.100000000000001" customHeight="1">
      <c r="A6" s="50" t="s">
        <v>24</v>
      </c>
      <c r="B6" s="50" t="s">
        <v>24</v>
      </c>
      <c r="C6" s="50">
        <v>1</v>
      </c>
      <c r="D6" s="51">
        <v>2</v>
      </c>
      <c r="E6" s="51">
        <v>3</v>
      </c>
    </row>
    <row r="7" spans="1:5" s="33" customFormat="1" ht="20.100000000000001" customHeight="1">
      <c r="A7" s="52"/>
      <c r="B7" s="114" t="s">
        <v>330</v>
      </c>
      <c r="C7" s="53"/>
      <c r="D7" s="54"/>
      <c r="E7" s="54"/>
    </row>
    <row r="8" spans="1:5" s="33" customFormat="1" ht="20.100000000000001" customHeight="1">
      <c r="A8" s="55"/>
      <c r="B8" s="56"/>
      <c r="C8" s="56"/>
      <c r="D8" s="54"/>
      <c r="E8" s="54"/>
    </row>
    <row r="9" spans="1:5" s="33" customFormat="1" ht="20.100000000000001" customHeight="1">
      <c r="A9" s="57"/>
      <c r="B9" s="57"/>
      <c r="C9" s="57"/>
      <c r="D9" s="54"/>
      <c r="E9" s="54"/>
    </row>
    <row r="10" spans="1:5" s="33" customFormat="1" ht="20.100000000000001" customHeight="1">
      <c r="A10" s="57"/>
      <c r="B10" s="57"/>
      <c r="C10" s="57"/>
      <c r="D10" s="54"/>
      <c r="E10" s="54"/>
    </row>
    <row r="11" spans="1:5" s="33" customFormat="1" ht="20.100000000000001" customHeight="1">
      <c r="A11" s="57"/>
      <c r="B11" s="57"/>
      <c r="C11" s="57"/>
      <c r="D11" s="54"/>
      <c r="E11" s="54"/>
    </row>
    <row r="12" spans="1:5" s="33" customFormat="1" ht="20.100000000000001" customHeight="1">
      <c r="A12" s="57"/>
      <c r="B12" s="57"/>
      <c r="C12" s="57"/>
      <c r="D12" s="54"/>
      <c r="E12" s="54"/>
    </row>
    <row r="13" spans="1:5" s="33" customFormat="1" ht="20.100000000000001" customHeight="1">
      <c r="A13" s="57"/>
      <c r="B13" s="57"/>
      <c r="C13" s="57"/>
      <c r="D13" s="54"/>
      <c r="E13" s="54"/>
    </row>
    <row r="14" spans="1:5" s="33" customFormat="1" ht="20.100000000000001" customHeight="1">
      <c r="A14" s="54"/>
      <c r="B14" s="54"/>
      <c r="C14" s="54"/>
      <c r="D14" s="54"/>
      <c r="E14" s="54"/>
    </row>
    <row r="15" spans="1:5" s="33" customFormat="1" ht="20.100000000000001" customHeight="1">
      <c r="A15" s="54"/>
      <c r="B15" s="54"/>
      <c r="C15" s="54"/>
      <c r="D15" s="54"/>
      <c r="E15" s="54"/>
    </row>
    <row r="16" spans="1:5" s="33" customFormat="1" ht="20.100000000000001" customHeight="1">
      <c r="A16" s="54"/>
      <c r="B16" s="54"/>
      <c r="C16" s="54"/>
      <c r="D16" s="54"/>
      <c r="E16" s="54"/>
    </row>
    <row r="17" spans="1:5" s="33" customFormat="1" ht="20.100000000000001" customHeight="1">
      <c r="A17" s="54"/>
      <c r="B17" s="54"/>
      <c r="C17" s="54"/>
      <c r="D17" s="54"/>
      <c r="E17" s="54"/>
    </row>
    <row r="18" spans="1:5" s="33" customFormat="1" ht="20.100000000000001" customHeight="1">
      <c r="A18" s="54"/>
      <c r="B18" s="54"/>
      <c r="C18" s="54"/>
      <c r="D18" s="54"/>
      <c r="E18" s="54"/>
    </row>
    <row r="19" spans="1:5" s="33" customFormat="1" ht="20.100000000000001" customHeight="1">
      <c r="A19" s="54"/>
      <c r="B19" s="54"/>
      <c r="C19" s="54"/>
      <c r="D19" s="54"/>
      <c r="E19" s="54"/>
    </row>
    <row r="20" spans="1:5" s="33" customFormat="1" ht="20.100000000000001" customHeight="1">
      <c r="A20" s="54"/>
      <c r="B20" s="54"/>
      <c r="C20" s="54"/>
      <c r="D20" s="54"/>
      <c r="E20" s="54"/>
    </row>
    <row r="21" spans="1:5" s="33" customFormat="1" ht="20.100000000000001" customHeight="1">
      <c r="A21" s="54"/>
      <c r="B21" s="54"/>
      <c r="C21" s="54"/>
      <c r="D21" s="54"/>
      <c r="E21" s="54"/>
    </row>
    <row r="22" spans="1:5" s="33" customFormat="1" ht="18.600000000000001" customHeight="1">
      <c r="A22" s="147" t="s">
        <v>294</v>
      </c>
      <c r="B22" s="147"/>
      <c r="C22" s="147"/>
      <c r="D22" s="147"/>
      <c r="E22" s="58"/>
    </row>
    <row r="23" spans="1:5" s="33" customFormat="1" ht="18.600000000000001" customHeight="1">
      <c r="A23" s="148" t="s">
        <v>295</v>
      </c>
      <c r="B23" s="148"/>
      <c r="C23" s="148"/>
      <c r="D23" s="148"/>
      <c r="E23" s="58"/>
    </row>
    <row r="24" spans="1:5" s="33" customFormat="1" ht="18.600000000000001" customHeight="1">
      <c r="A24" s="115" t="s">
        <v>331</v>
      </c>
      <c r="B24" s="115"/>
      <c r="C24" s="115"/>
      <c r="D24" s="115"/>
      <c r="E24" s="116"/>
    </row>
  </sheetData>
  <mergeCells count="7"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A2" sqref="A2:C2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0" t="s">
        <v>311</v>
      </c>
      <c r="B1" s="29"/>
      <c r="C1" s="29"/>
    </row>
    <row r="2" spans="1:3" ht="37.15" customHeight="1">
      <c r="A2" s="149" t="s">
        <v>332</v>
      </c>
      <c r="B2" s="150"/>
      <c r="C2" s="150"/>
    </row>
    <row r="3" spans="1:3" s="60" customFormat="1" ht="18" customHeight="1">
      <c r="A3" s="64"/>
      <c r="B3" s="59"/>
      <c r="C3" s="65" t="s">
        <v>110</v>
      </c>
    </row>
    <row r="4" spans="1:3" ht="31.5" customHeight="1">
      <c r="A4" s="66" t="s">
        <v>297</v>
      </c>
      <c r="B4" s="67" t="s">
        <v>26</v>
      </c>
      <c r="C4" s="87" t="s">
        <v>296</v>
      </c>
    </row>
    <row r="5" spans="1:3" ht="20.100000000000001" customHeight="1">
      <c r="A5" s="151" t="s">
        <v>38</v>
      </c>
      <c r="B5" s="151" t="s">
        <v>37</v>
      </c>
      <c r="C5" s="68">
        <f>SUM(C6:C15)</f>
        <v>1170.58</v>
      </c>
    </row>
    <row r="6" spans="1:3" ht="20.100000000000001" customHeight="1">
      <c r="A6" s="79" t="s">
        <v>39</v>
      </c>
      <c r="B6" s="79" t="s">
        <v>40</v>
      </c>
      <c r="C6" s="80">
        <v>359.51</v>
      </c>
    </row>
    <row r="7" spans="1:3" ht="20.100000000000001" customHeight="1">
      <c r="A7" s="79" t="s">
        <v>47</v>
      </c>
      <c r="B7" s="79" t="s">
        <v>48</v>
      </c>
      <c r="C7" s="80">
        <v>195.07</v>
      </c>
    </row>
    <row r="8" spans="1:3" ht="20.100000000000001" customHeight="1">
      <c r="A8" s="79" t="s">
        <v>75</v>
      </c>
      <c r="B8" s="79" t="s">
        <v>76</v>
      </c>
      <c r="C8" s="80">
        <v>10</v>
      </c>
    </row>
    <row r="9" spans="1:3" ht="20.100000000000001" customHeight="1">
      <c r="A9" s="79" t="s">
        <v>104</v>
      </c>
      <c r="B9" s="79" t="s">
        <v>131</v>
      </c>
      <c r="C9" s="80" t="s">
        <v>37</v>
      </c>
    </row>
    <row r="10" spans="1:3" ht="20.100000000000001" customHeight="1">
      <c r="A10" s="79" t="s">
        <v>111</v>
      </c>
      <c r="B10" s="79" t="s">
        <v>132</v>
      </c>
      <c r="C10" s="80" t="s">
        <v>37</v>
      </c>
    </row>
    <row r="11" spans="1:3" ht="20.100000000000001" customHeight="1">
      <c r="A11" s="79" t="s">
        <v>88</v>
      </c>
      <c r="B11" s="79" t="s">
        <v>133</v>
      </c>
      <c r="C11" s="80">
        <v>606</v>
      </c>
    </row>
    <row r="12" spans="1:3" ht="20.100000000000001" customHeight="1">
      <c r="A12" s="79" t="s">
        <v>237</v>
      </c>
      <c r="B12" s="79" t="s">
        <v>134</v>
      </c>
      <c r="C12" s="80" t="s">
        <v>37</v>
      </c>
    </row>
    <row r="13" spans="1:3" ht="20.100000000000001" customHeight="1">
      <c r="A13" s="79" t="s">
        <v>241</v>
      </c>
      <c r="B13" s="79" t="s">
        <v>135</v>
      </c>
      <c r="C13" s="80" t="s">
        <v>37</v>
      </c>
    </row>
    <row r="14" spans="1:3" ht="20.100000000000001" customHeight="1">
      <c r="A14" s="79" t="s">
        <v>248</v>
      </c>
      <c r="B14" s="79" t="s">
        <v>136</v>
      </c>
      <c r="C14" s="81"/>
    </row>
    <row r="15" spans="1:3" ht="20.100000000000001" customHeight="1">
      <c r="A15" s="79" t="s">
        <v>106</v>
      </c>
      <c r="B15" s="79" t="s">
        <v>107</v>
      </c>
      <c r="C15" s="81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abSelected="1" topLeftCell="A100" workbookViewId="0">
      <selection activeCell="A47" sqref="A47:XFD47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4" t="s">
        <v>312</v>
      </c>
      <c r="B1" s="25"/>
      <c r="C1" s="2"/>
    </row>
    <row r="2" spans="1:3" ht="33.75" customHeight="1">
      <c r="A2" s="153" t="s">
        <v>333</v>
      </c>
      <c r="B2" s="153"/>
      <c r="C2" s="153"/>
    </row>
    <row r="3" spans="1:3" ht="21" customHeight="1">
      <c r="A3" s="26"/>
      <c r="B3" s="154" t="s">
        <v>0</v>
      </c>
      <c r="C3" s="154"/>
    </row>
    <row r="4" spans="1:3" ht="20.100000000000001" customHeight="1">
      <c r="A4" s="88" t="s">
        <v>298</v>
      </c>
      <c r="B4" s="89" t="s">
        <v>26</v>
      </c>
      <c r="C4" s="89" t="s">
        <v>299</v>
      </c>
    </row>
    <row r="5" spans="1:3" ht="20.100000000000001" customHeight="1">
      <c r="A5" s="152" t="s">
        <v>38</v>
      </c>
      <c r="B5" s="152" t="s">
        <v>37</v>
      </c>
      <c r="C5" s="90">
        <f>C6+C20+C48+C78</f>
        <v>1170.58</v>
      </c>
    </row>
    <row r="6" spans="1:3" s="6" customFormat="1" ht="20.100000000000001" customHeight="1">
      <c r="A6" s="91" t="s">
        <v>39</v>
      </c>
      <c r="B6" s="91" t="s">
        <v>40</v>
      </c>
      <c r="C6" s="90">
        <f>SUM(C7:C19)</f>
        <v>359.51</v>
      </c>
    </row>
    <row r="7" spans="1:3" ht="20.100000000000001" customHeight="1">
      <c r="A7" s="92" t="s">
        <v>41</v>
      </c>
      <c r="B7" s="92" t="s">
        <v>164</v>
      </c>
      <c r="C7" s="93">
        <v>55.81</v>
      </c>
    </row>
    <row r="8" spans="1:3" ht="20.100000000000001" customHeight="1">
      <c r="A8" s="92" t="s">
        <v>42</v>
      </c>
      <c r="B8" s="92" t="s">
        <v>165</v>
      </c>
      <c r="C8" s="93">
        <v>72.52</v>
      </c>
    </row>
    <row r="9" spans="1:3" ht="20.100000000000001" customHeight="1">
      <c r="A9" s="92" t="s">
        <v>43</v>
      </c>
      <c r="B9" s="92" t="s">
        <v>166</v>
      </c>
      <c r="C9" s="93">
        <v>58.51</v>
      </c>
    </row>
    <row r="10" spans="1:3" ht="20.100000000000001" customHeight="1">
      <c r="A10" s="92" t="s">
        <v>44</v>
      </c>
      <c r="B10" s="92" t="s">
        <v>167</v>
      </c>
      <c r="C10" s="93" t="s">
        <v>37</v>
      </c>
    </row>
    <row r="11" spans="1:3" ht="20.100000000000001" customHeight="1">
      <c r="A11" s="92" t="s">
        <v>45</v>
      </c>
      <c r="B11" s="92" t="s">
        <v>168</v>
      </c>
      <c r="C11" s="93">
        <v>5.71</v>
      </c>
    </row>
    <row r="12" spans="1:3" ht="20.100000000000001" customHeight="1">
      <c r="A12" s="92" t="s">
        <v>169</v>
      </c>
      <c r="B12" s="92" t="s">
        <v>170</v>
      </c>
      <c r="C12" s="93">
        <v>26.8</v>
      </c>
    </row>
    <row r="13" spans="1:3" ht="20.100000000000001" customHeight="1">
      <c r="A13" s="92" t="s">
        <v>171</v>
      </c>
      <c r="B13" s="92" t="s">
        <v>172</v>
      </c>
      <c r="C13" s="93"/>
    </row>
    <row r="14" spans="1:3" ht="20.100000000000001" customHeight="1">
      <c r="A14" s="92" t="s">
        <v>173</v>
      </c>
      <c r="B14" s="92" t="s">
        <v>174</v>
      </c>
      <c r="C14" s="93">
        <v>10.72</v>
      </c>
    </row>
    <row r="15" spans="1:3" ht="20.100000000000001" customHeight="1">
      <c r="A15" s="92" t="s">
        <v>175</v>
      </c>
      <c r="B15" s="92" t="s">
        <v>176</v>
      </c>
      <c r="C15" s="93">
        <v>9.3800000000000008</v>
      </c>
    </row>
    <row r="16" spans="1:3" ht="20.100000000000001" customHeight="1">
      <c r="A16" s="92" t="s">
        <v>177</v>
      </c>
      <c r="B16" s="92" t="s">
        <v>178</v>
      </c>
      <c r="C16" s="93">
        <v>1.1399999999999999</v>
      </c>
    </row>
    <row r="17" spans="1:3" ht="20.100000000000001" customHeight="1">
      <c r="A17" s="92" t="s">
        <v>179</v>
      </c>
      <c r="B17" s="92" t="s">
        <v>137</v>
      </c>
      <c r="C17" s="93">
        <v>28.58</v>
      </c>
    </row>
    <row r="18" spans="1:3" ht="20.100000000000001" customHeight="1">
      <c r="A18" s="92" t="s">
        <v>180</v>
      </c>
      <c r="B18" s="92" t="s">
        <v>181</v>
      </c>
      <c r="C18" s="93" t="s">
        <v>37</v>
      </c>
    </row>
    <row r="19" spans="1:3" ht="20.100000000000001" customHeight="1">
      <c r="A19" s="92" t="s">
        <v>46</v>
      </c>
      <c r="B19" s="92" t="s">
        <v>138</v>
      </c>
      <c r="C19" s="93">
        <v>90.34</v>
      </c>
    </row>
    <row r="20" spans="1:3" s="6" customFormat="1" ht="20.100000000000001" customHeight="1">
      <c r="A20" s="91" t="s">
        <v>47</v>
      </c>
      <c r="B20" s="91" t="s">
        <v>48</v>
      </c>
      <c r="C20" s="90">
        <f>SUM(C21:C47)</f>
        <v>195.07</v>
      </c>
    </row>
    <row r="21" spans="1:3" ht="20.100000000000001" customHeight="1">
      <c r="A21" s="92" t="s">
        <v>49</v>
      </c>
      <c r="B21" s="92" t="s">
        <v>182</v>
      </c>
      <c r="C21" s="93">
        <v>12.75</v>
      </c>
    </row>
    <row r="22" spans="1:3" ht="20.100000000000001" customHeight="1">
      <c r="A22" s="92" t="s">
        <v>50</v>
      </c>
      <c r="B22" s="92" t="s">
        <v>183</v>
      </c>
      <c r="C22" s="93">
        <v>10</v>
      </c>
    </row>
    <row r="23" spans="1:3" ht="20.100000000000001" customHeight="1">
      <c r="A23" s="92" t="s">
        <v>51</v>
      </c>
      <c r="B23" s="92" t="s">
        <v>184</v>
      </c>
      <c r="C23" s="93">
        <v>5</v>
      </c>
    </row>
    <row r="24" spans="1:3" ht="20.100000000000001" customHeight="1">
      <c r="A24" s="92" t="s">
        <v>281</v>
      </c>
      <c r="B24" s="94" t="s">
        <v>282</v>
      </c>
      <c r="C24" s="93">
        <v>0.8</v>
      </c>
    </row>
    <row r="25" spans="1:3" ht="20.100000000000001" customHeight="1">
      <c r="A25" s="92" t="s">
        <v>52</v>
      </c>
      <c r="B25" s="92" t="s">
        <v>185</v>
      </c>
      <c r="C25" s="93">
        <v>3</v>
      </c>
    </row>
    <row r="26" spans="1:3" ht="20.100000000000001" customHeight="1">
      <c r="A26" s="92" t="s">
        <v>53</v>
      </c>
      <c r="B26" s="92" t="s">
        <v>186</v>
      </c>
      <c r="C26" s="93">
        <v>7</v>
      </c>
    </row>
    <row r="27" spans="1:3" ht="20.100000000000001" customHeight="1">
      <c r="A27" s="92" t="s">
        <v>54</v>
      </c>
      <c r="B27" s="92" t="s">
        <v>187</v>
      </c>
      <c r="C27" s="93">
        <v>4</v>
      </c>
    </row>
    <row r="28" spans="1:3" ht="20.100000000000001" customHeight="1">
      <c r="A28" s="92" t="s">
        <v>55</v>
      </c>
      <c r="B28" s="92" t="s">
        <v>188</v>
      </c>
      <c r="C28" s="93"/>
    </row>
    <row r="29" spans="1:3" ht="20.100000000000001" customHeight="1">
      <c r="A29" s="92" t="s">
        <v>56</v>
      </c>
      <c r="B29" s="92" t="s">
        <v>189</v>
      </c>
      <c r="C29" s="93" t="s">
        <v>37</v>
      </c>
    </row>
    <row r="30" spans="1:3" ht="20.100000000000001" customHeight="1">
      <c r="A30" s="92" t="s">
        <v>57</v>
      </c>
      <c r="B30" s="92" t="s">
        <v>190</v>
      </c>
      <c r="C30" s="93">
        <v>5</v>
      </c>
    </row>
    <row r="31" spans="1:3" ht="20.100000000000001" customHeight="1">
      <c r="A31" s="92" t="s">
        <v>58</v>
      </c>
      <c r="B31" s="92" t="s">
        <v>143</v>
      </c>
      <c r="C31" s="93" t="s">
        <v>37</v>
      </c>
    </row>
    <row r="32" spans="1:3" ht="20.100000000000001" customHeight="1">
      <c r="A32" s="92" t="s">
        <v>59</v>
      </c>
      <c r="B32" s="92" t="s">
        <v>191</v>
      </c>
      <c r="C32" s="93">
        <v>30</v>
      </c>
    </row>
    <row r="33" spans="1:3" ht="20.100000000000001" customHeight="1">
      <c r="A33" s="92" t="s">
        <v>60</v>
      </c>
      <c r="B33" s="92" t="s">
        <v>192</v>
      </c>
      <c r="C33" s="93" t="s">
        <v>37</v>
      </c>
    </row>
    <row r="34" spans="1:3" ht="20.100000000000001" customHeight="1">
      <c r="A34" s="92" t="s">
        <v>61</v>
      </c>
      <c r="B34" s="92" t="s">
        <v>139</v>
      </c>
      <c r="C34" s="93" t="s">
        <v>37</v>
      </c>
    </row>
    <row r="35" spans="1:3" ht="20.100000000000001" customHeight="1">
      <c r="A35" s="92" t="s">
        <v>62</v>
      </c>
      <c r="B35" s="92" t="s">
        <v>140</v>
      </c>
      <c r="C35" s="93">
        <v>5</v>
      </c>
    </row>
    <row r="36" spans="1:3" ht="20.100000000000001" customHeight="1">
      <c r="A36" s="92" t="s">
        <v>63</v>
      </c>
      <c r="B36" s="92" t="s">
        <v>142</v>
      </c>
      <c r="C36" s="93" t="s">
        <v>37</v>
      </c>
    </row>
    <row r="37" spans="1:3" ht="20.100000000000001" customHeight="1">
      <c r="A37" s="92" t="s">
        <v>64</v>
      </c>
      <c r="B37" s="92" t="s">
        <v>193</v>
      </c>
      <c r="C37" s="93" t="s">
        <v>37</v>
      </c>
    </row>
    <row r="38" spans="1:3" ht="20.100000000000001" customHeight="1">
      <c r="A38" s="92" t="s">
        <v>65</v>
      </c>
      <c r="B38" s="92" t="s">
        <v>194</v>
      </c>
      <c r="C38" s="93" t="s">
        <v>37</v>
      </c>
    </row>
    <row r="39" spans="1:3" ht="20.100000000000001" customHeight="1">
      <c r="A39" s="92" t="s">
        <v>66</v>
      </c>
      <c r="B39" s="92" t="s">
        <v>195</v>
      </c>
      <c r="C39" s="93" t="s">
        <v>37</v>
      </c>
    </row>
    <row r="40" spans="1:3" ht="20.100000000000001" customHeight="1">
      <c r="A40" s="92" t="s">
        <v>67</v>
      </c>
      <c r="B40" s="92" t="s">
        <v>196</v>
      </c>
      <c r="C40" s="93">
        <v>10</v>
      </c>
    </row>
    <row r="41" spans="1:3" ht="20.100000000000001" customHeight="1">
      <c r="A41" s="92" t="s">
        <v>68</v>
      </c>
      <c r="B41" s="92" t="s">
        <v>141</v>
      </c>
      <c r="C41" s="93">
        <v>5</v>
      </c>
    </row>
    <row r="42" spans="1:3" ht="20.100000000000001" customHeight="1">
      <c r="A42" s="92" t="s">
        <v>69</v>
      </c>
      <c r="B42" s="92" t="s">
        <v>197</v>
      </c>
      <c r="C42" s="93">
        <v>14.42</v>
      </c>
    </row>
    <row r="43" spans="1:3" ht="20.100000000000001" customHeight="1">
      <c r="A43" s="92" t="s">
        <v>70</v>
      </c>
      <c r="B43" s="92" t="s">
        <v>198</v>
      </c>
      <c r="C43" s="93" t="s">
        <v>37</v>
      </c>
    </row>
    <row r="44" spans="1:3" ht="20.100000000000001" customHeight="1">
      <c r="A44" s="92" t="s">
        <v>71</v>
      </c>
      <c r="B44" s="92" t="s">
        <v>144</v>
      </c>
      <c r="C44" s="93">
        <v>3.8</v>
      </c>
    </row>
    <row r="45" spans="1:3" ht="20.100000000000001" customHeight="1">
      <c r="A45" s="92" t="s">
        <v>72</v>
      </c>
      <c r="B45" s="92" t="s">
        <v>199</v>
      </c>
      <c r="C45" s="93">
        <v>9.3000000000000007</v>
      </c>
    </row>
    <row r="46" spans="1:3" ht="20.100000000000001" customHeight="1">
      <c r="A46" s="92" t="s">
        <v>73</v>
      </c>
      <c r="B46" s="92" t="s">
        <v>200</v>
      </c>
      <c r="C46" s="93" t="s">
        <v>37</v>
      </c>
    </row>
    <row r="47" spans="1:3" ht="20.100000000000001" customHeight="1">
      <c r="A47" s="92" t="s">
        <v>74</v>
      </c>
      <c r="B47" s="92" t="s">
        <v>145</v>
      </c>
      <c r="C47" s="93">
        <v>70</v>
      </c>
    </row>
    <row r="48" spans="1:3" s="6" customFormat="1" ht="20.100000000000001" customHeight="1">
      <c r="A48" s="91" t="s">
        <v>75</v>
      </c>
      <c r="B48" s="91" t="s">
        <v>76</v>
      </c>
      <c r="C48" s="90">
        <f>SUM(C49:C59)</f>
        <v>10</v>
      </c>
    </row>
    <row r="49" spans="1:3" ht="20.100000000000001" customHeight="1">
      <c r="A49" s="92" t="s">
        <v>77</v>
      </c>
      <c r="B49" s="92" t="s">
        <v>201</v>
      </c>
      <c r="C49" s="93" t="s">
        <v>37</v>
      </c>
    </row>
    <row r="50" spans="1:3" ht="20.100000000000001" customHeight="1">
      <c r="A50" s="92" t="s">
        <v>78</v>
      </c>
      <c r="B50" s="92" t="s">
        <v>202</v>
      </c>
      <c r="C50" s="93" t="s">
        <v>37</v>
      </c>
    </row>
    <row r="51" spans="1:3" ht="20.100000000000001" customHeight="1">
      <c r="A51" s="92" t="s">
        <v>79</v>
      </c>
      <c r="B51" s="92" t="s">
        <v>203</v>
      </c>
      <c r="C51" s="93" t="s">
        <v>37</v>
      </c>
    </row>
    <row r="52" spans="1:3" ht="20.100000000000001" customHeight="1">
      <c r="A52" s="92" t="s">
        <v>80</v>
      </c>
      <c r="B52" s="92" t="s">
        <v>204</v>
      </c>
      <c r="C52" s="93" t="s">
        <v>37</v>
      </c>
    </row>
    <row r="53" spans="1:3" ht="20.100000000000001" customHeight="1">
      <c r="A53" s="92" t="s">
        <v>81</v>
      </c>
      <c r="B53" s="92" t="s">
        <v>205</v>
      </c>
      <c r="C53" s="93" t="s">
        <v>37</v>
      </c>
    </row>
    <row r="54" spans="1:3" ht="20.100000000000001" customHeight="1">
      <c r="A54" s="92" t="s">
        <v>82</v>
      </c>
      <c r="B54" s="92" t="s">
        <v>206</v>
      </c>
      <c r="C54" s="93" t="s">
        <v>37</v>
      </c>
    </row>
    <row r="55" spans="1:3" ht="20.100000000000001" customHeight="1">
      <c r="A55" s="92" t="s">
        <v>83</v>
      </c>
      <c r="B55" s="92" t="s">
        <v>207</v>
      </c>
      <c r="C55" s="93" t="s">
        <v>37</v>
      </c>
    </row>
    <row r="56" spans="1:3" ht="20.100000000000001" customHeight="1">
      <c r="A56" s="92" t="s">
        <v>84</v>
      </c>
      <c r="B56" s="92" t="s">
        <v>153</v>
      </c>
      <c r="C56" s="93" t="s">
        <v>37</v>
      </c>
    </row>
    <row r="57" spans="1:3" ht="20.100000000000001" customHeight="1">
      <c r="A57" s="92" t="s">
        <v>85</v>
      </c>
      <c r="B57" s="92" t="s">
        <v>208</v>
      </c>
      <c r="C57" s="93" t="s">
        <v>37</v>
      </c>
    </row>
    <row r="58" spans="1:3" ht="20.100000000000001" customHeight="1">
      <c r="A58" s="92" t="s">
        <v>86</v>
      </c>
      <c r="B58" s="92" t="s">
        <v>154</v>
      </c>
      <c r="C58" s="93" t="s">
        <v>37</v>
      </c>
    </row>
    <row r="59" spans="1:3" ht="20.100000000000001" customHeight="1">
      <c r="A59" s="92" t="s">
        <v>87</v>
      </c>
      <c r="B59" s="92" t="s">
        <v>209</v>
      </c>
      <c r="C59" s="93">
        <v>10</v>
      </c>
    </row>
    <row r="60" spans="1:3" s="6" customFormat="1" ht="20.100000000000001" customHeight="1">
      <c r="A60" s="91" t="s">
        <v>104</v>
      </c>
      <c r="B60" s="91" t="s">
        <v>131</v>
      </c>
      <c r="C60" s="90" t="s">
        <v>37</v>
      </c>
    </row>
    <row r="61" spans="1:3" ht="20.100000000000001" customHeight="1">
      <c r="A61" s="92" t="s">
        <v>105</v>
      </c>
      <c r="B61" s="92" t="s">
        <v>157</v>
      </c>
      <c r="C61" s="93" t="s">
        <v>37</v>
      </c>
    </row>
    <row r="62" spans="1:3" ht="20.100000000000001" customHeight="1">
      <c r="A62" s="92" t="s">
        <v>210</v>
      </c>
      <c r="B62" s="92" t="s">
        <v>158</v>
      </c>
      <c r="C62" s="93" t="s">
        <v>37</v>
      </c>
    </row>
    <row r="63" spans="1:3" ht="20.100000000000001" customHeight="1">
      <c r="A63" s="92" t="s">
        <v>211</v>
      </c>
      <c r="B63" s="92" t="s">
        <v>159</v>
      </c>
      <c r="C63" s="93" t="s">
        <v>37</v>
      </c>
    </row>
    <row r="64" spans="1:3" ht="20.100000000000001" customHeight="1">
      <c r="A64" s="92" t="s">
        <v>212</v>
      </c>
      <c r="B64" s="92" t="s">
        <v>160</v>
      </c>
      <c r="C64" s="93" t="s">
        <v>37</v>
      </c>
    </row>
    <row r="65" spans="1:3" s="6" customFormat="1" ht="20.100000000000001" customHeight="1">
      <c r="A65" s="91" t="s">
        <v>111</v>
      </c>
      <c r="B65" s="91" t="s">
        <v>132</v>
      </c>
      <c r="C65" s="90" t="s">
        <v>37</v>
      </c>
    </row>
    <row r="66" spans="1:3" ht="20.100000000000001" customHeight="1">
      <c r="A66" s="92" t="s">
        <v>213</v>
      </c>
      <c r="B66" s="92" t="s">
        <v>146</v>
      </c>
      <c r="C66" s="93" t="s">
        <v>37</v>
      </c>
    </row>
    <row r="67" spans="1:3" ht="20.100000000000001" customHeight="1">
      <c r="A67" s="92" t="s">
        <v>214</v>
      </c>
      <c r="B67" s="92" t="s">
        <v>215</v>
      </c>
      <c r="C67" s="93" t="s">
        <v>37</v>
      </c>
    </row>
    <row r="68" spans="1:3" ht="20.100000000000001" customHeight="1">
      <c r="A68" s="92" t="s">
        <v>216</v>
      </c>
      <c r="B68" s="92" t="s">
        <v>217</v>
      </c>
      <c r="C68" s="93" t="s">
        <v>37</v>
      </c>
    </row>
    <row r="69" spans="1:3" ht="20.100000000000001" customHeight="1">
      <c r="A69" s="92" t="s">
        <v>218</v>
      </c>
      <c r="B69" s="92" t="s">
        <v>147</v>
      </c>
      <c r="C69" s="93" t="s">
        <v>37</v>
      </c>
    </row>
    <row r="70" spans="1:3" ht="20.100000000000001" customHeight="1">
      <c r="A70" s="92" t="s">
        <v>219</v>
      </c>
      <c r="B70" s="92" t="s">
        <v>149</v>
      </c>
      <c r="C70" s="93" t="s">
        <v>37</v>
      </c>
    </row>
    <row r="71" spans="1:3" ht="20.100000000000001" customHeight="1">
      <c r="A71" s="92" t="s">
        <v>220</v>
      </c>
      <c r="B71" s="92" t="s">
        <v>221</v>
      </c>
      <c r="C71" s="93" t="s">
        <v>37</v>
      </c>
    </row>
    <row r="72" spans="1:3" ht="20.100000000000001" customHeight="1">
      <c r="A72" s="92" t="s">
        <v>222</v>
      </c>
      <c r="B72" s="92" t="s">
        <v>223</v>
      </c>
      <c r="C72" s="93" t="s">
        <v>37</v>
      </c>
    </row>
    <row r="73" spans="1:3" ht="20.100000000000001" customHeight="1">
      <c r="A73" s="92" t="s">
        <v>224</v>
      </c>
      <c r="B73" s="92" t="s">
        <v>148</v>
      </c>
      <c r="C73" s="93" t="s">
        <v>37</v>
      </c>
    </row>
    <row r="74" spans="1:3" ht="20.100000000000001" customHeight="1">
      <c r="A74" s="92" t="s">
        <v>225</v>
      </c>
      <c r="B74" s="92" t="s">
        <v>226</v>
      </c>
      <c r="C74" s="93" t="s">
        <v>37</v>
      </c>
    </row>
    <row r="75" spans="1:3" ht="20.100000000000001" customHeight="1">
      <c r="A75" s="92" t="s">
        <v>227</v>
      </c>
      <c r="B75" s="92" t="s">
        <v>228</v>
      </c>
      <c r="C75" s="93" t="s">
        <v>37</v>
      </c>
    </row>
    <row r="76" spans="1:3" ht="20.100000000000001" customHeight="1">
      <c r="A76" s="92" t="s">
        <v>229</v>
      </c>
      <c r="B76" s="92" t="s">
        <v>230</v>
      </c>
      <c r="C76" s="93" t="s">
        <v>37</v>
      </c>
    </row>
    <row r="77" spans="1:3" ht="20.100000000000001" customHeight="1">
      <c r="A77" s="92" t="s">
        <v>231</v>
      </c>
      <c r="B77" s="92" t="s">
        <v>232</v>
      </c>
      <c r="C77" s="93" t="s">
        <v>37</v>
      </c>
    </row>
    <row r="78" spans="1:3" s="6" customFormat="1" ht="20.100000000000001" customHeight="1">
      <c r="A78" s="91" t="s">
        <v>88</v>
      </c>
      <c r="B78" s="91" t="s">
        <v>133</v>
      </c>
      <c r="C78" s="90">
        <f>SUM(C79:C94)</f>
        <v>606</v>
      </c>
    </row>
    <row r="79" spans="1:3" ht="20.100000000000001" customHeight="1">
      <c r="A79" s="92" t="s">
        <v>90</v>
      </c>
      <c r="B79" s="92" t="s">
        <v>146</v>
      </c>
      <c r="C79" s="93" t="s">
        <v>37</v>
      </c>
    </row>
    <row r="80" spans="1:3" ht="20.100000000000001" customHeight="1">
      <c r="A80" s="92" t="s">
        <v>91</v>
      </c>
      <c r="B80" s="92" t="s">
        <v>215</v>
      </c>
      <c r="C80" s="93">
        <v>1</v>
      </c>
    </row>
    <row r="81" spans="1:3" ht="20.100000000000001" customHeight="1">
      <c r="A81" s="92" t="s">
        <v>92</v>
      </c>
      <c r="B81" s="92" t="s">
        <v>217</v>
      </c>
      <c r="C81" s="93">
        <v>1</v>
      </c>
    </row>
    <row r="82" spans="1:3" ht="20.100000000000001" customHeight="1">
      <c r="A82" s="92" t="s">
        <v>93</v>
      </c>
      <c r="B82" s="92" t="s">
        <v>147</v>
      </c>
      <c r="C82" s="4">
        <v>540</v>
      </c>
    </row>
    <row r="83" spans="1:3" ht="20.100000000000001" customHeight="1">
      <c r="A83" s="92" t="s">
        <v>94</v>
      </c>
      <c r="B83" s="92" t="s">
        <v>149</v>
      </c>
      <c r="C83" s="4"/>
    </row>
    <row r="84" spans="1:3" ht="20.100000000000001" customHeight="1">
      <c r="A84" s="92" t="s">
        <v>95</v>
      </c>
      <c r="B84" s="92" t="s">
        <v>221</v>
      </c>
      <c r="C84" s="4"/>
    </row>
    <row r="85" spans="1:3" ht="20.100000000000001" customHeight="1">
      <c r="A85" s="92" t="s">
        <v>96</v>
      </c>
      <c r="B85" s="92" t="s">
        <v>223</v>
      </c>
      <c r="C85" s="4"/>
    </row>
    <row r="86" spans="1:3" ht="20.100000000000001" customHeight="1">
      <c r="A86" s="92" t="s">
        <v>97</v>
      </c>
      <c r="B86" s="92" t="s">
        <v>308</v>
      </c>
      <c r="C86" s="4"/>
    </row>
    <row r="87" spans="1:3" ht="20.100000000000001" customHeight="1">
      <c r="A87" s="92" t="s">
        <v>98</v>
      </c>
      <c r="B87" s="92" t="s">
        <v>233</v>
      </c>
      <c r="C87" s="4"/>
    </row>
    <row r="88" spans="1:3" ht="20.100000000000001" customHeight="1">
      <c r="A88" s="92" t="s">
        <v>99</v>
      </c>
      <c r="B88" s="92" t="s">
        <v>234</v>
      </c>
      <c r="C88" s="4"/>
    </row>
    <row r="89" spans="1:3" ht="20.100000000000001" customHeight="1">
      <c r="A89" s="92" t="s">
        <v>100</v>
      </c>
      <c r="B89" s="94" t="s">
        <v>307</v>
      </c>
      <c r="C89" s="4"/>
    </row>
    <row r="90" spans="1:3" ht="20.100000000000001" customHeight="1">
      <c r="A90" s="92" t="s">
        <v>101</v>
      </c>
      <c r="B90" s="92" t="s">
        <v>148</v>
      </c>
      <c r="C90" s="4"/>
    </row>
    <row r="91" spans="1:3" ht="20.100000000000001" customHeight="1">
      <c r="A91" s="92" t="s">
        <v>102</v>
      </c>
      <c r="B91" s="92" t="s">
        <v>226</v>
      </c>
      <c r="C91" s="4"/>
    </row>
    <row r="92" spans="1:3" ht="20.100000000000001" customHeight="1">
      <c r="A92" s="92" t="s">
        <v>235</v>
      </c>
      <c r="B92" s="92" t="s">
        <v>228</v>
      </c>
      <c r="C92" s="4"/>
    </row>
    <row r="93" spans="1:3" ht="20.100000000000001" customHeight="1">
      <c r="A93" s="92" t="s">
        <v>236</v>
      </c>
      <c r="B93" s="92" t="s">
        <v>230</v>
      </c>
      <c r="C93" s="4"/>
    </row>
    <row r="94" spans="1:3" ht="20.100000000000001" customHeight="1">
      <c r="A94" s="92" t="s">
        <v>103</v>
      </c>
      <c r="B94" s="92" t="s">
        <v>89</v>
      </c>
      <c r="C94" s="4">
        <v>64</v>
      </c>
    </row>
    <row r="95" spans="1:3" s="6" customFormat="1" ht="20.100000000000001" customHeight="1">
      <c r="A95" s="91" t="s">
        <v>237</v>
      </c>
      <c r="B95" s="91" t="s">
        <v>134</v>
      </c>
      <c r="C95" s="95"/>
    </row>
    <row r="96" spans="1:3" ht="20.100000000000001" customHeight="1">
      <c r="A96" s="92" t="s">
        <v>238</v>
      </c>
      <c r="B96" s="92" t="s">
        <v>239</v>
      </c>
      <c r="C96" s="4"/>
    </row>
    <row r="97" spans="1:3" ht="20.100000000000001" customHeight="1">
      <c r="A97" s="92" t="s">
        <v>240</v>
      </c>
      <c r="B97" s="92" t="s">
        <v>152</v>
      </c>
      <c r="C97" s="4"/>
    </row>
    <row r="98" spans="1:3" s="6" customFormat="1" ht="20.100000000000001" customHeight="1">
      <c r="A98" s="91" t="s">
        <v>241</v>
      </c>
      <c r="B98" s="91" t="s">
        <v>135</v>
      </c>
      <c r="C98" s="95"/>
    </row>
    <row r="99" spans="1:3" ht="20.100000000000001" customHeight="1">
      <c r="A99" s="92" t="s">
        <v>242</v>
      </c>
      <c r="B99" s="92" t="s">
        <v>239</v>
      </c>
      <c r="C99" s="4"/>
    </row>
    <row r="100" spans="1:3" ht="20.100000000000001" customHeight="1">
      <c r="A100" s="92" t="s">
        <v>243</v>
      </c>
      <c r="B100" s="92" t="s">
        <v>244</v>
      </c>
      <c r="C100" s="4"/>
    </row>
    <row r="101" spans="1:3" ht="20.100000000000001" customHeight="1">
      <c r="A101" s="92" t="s">
        <v>245</v>
      </c>
      <c r="B101" s="92" t="s">
        <v>150</v>
      </c>
      <c r="C101" s="4"/>
    </row>
    <row r="102" spans="1:3" ht="20.100000000000001" customHeight="1">
      <c r="A102" s="92" t="s">
        <v>246</v>
      </c>
      <c r="B102" s="92" t="s">
        <v>151</v>
      </c>
      <c r="C102" s="4"/>
    </row>
    <row r="103" spans="1:3" ht="20.100000000000001" customHeight="1">
      <c r="A103" s="92" t="s">
        <v>247</v>
      </c>
      <c r="B103" s="92" t="s">
        <v>152</v>
      </c>
      <c r="C103" s="4"/>
    </row>
    <row r="104" spans="1:3" s="6" customFormat="1" ht="20.100000000000001" customHeight="1">
      <c r="A104" s="91" t="s">
        <v>248</v>
      </c>
      <c r="B104" s="91" t="s">
        <v>136</v>
      </c>
      <c r="C104" s="95"/>
    </row>
    <row r="105" spans="1:3" ht="20.100000000000001" customHeight="1">
      <c r="A105" s="92" t="s">
        <v>249</v>
      </c>
      <c r="B105" s="92" t="s">
        <v>155</v>
      </c>
      <c r="C105" s="4"/>
    </row>
    <row r="106" spans="1:3" ht="20.100000000000001" customHeight="1">
      <c r="A106" s="92" t="s">
        <v>250</v>
      </c>
      <c r="B106" s="92" t="s">
        <v>156</v>
      </c>
      <c r="C106" s="4"/>
    </row>
    <row r="107" spans="1:3" s="6" customFormat="1" ht="20.100000000000001" customHeight="1">
      <c r="A107" s="91" t="s">
        <v>106</v>
      </c>
      <c r="B107" s="91" t="s">
        <v>107</v>
      </c>
      <c r="C107" s="95"/>
    </row>
    <row r="108" spans="1:3" ht="20.100000000000001" customHeight="1">
      <c r="A108" s="92" t="s">
        <v>108</v>
      </c>
      <c r="B108" s="92" t="s">
        <v>161</v>
      </c>
      <c r="C108" s="4"/>
    </row>
    <row r="109" spans="1:3" ht="20.100000000000001" customHeight="1">
      <c r="A109" s="92" t="s">
        <v>251</v>
      </c>
      <c r="B109" s="92" t="s">
        <v>162</v>
      </c>
      <c r="C109" s="4"/>
    </row>
    <row r="110" spans="1:3" ht="20.100000000000001" customHeight="1">
      <c r="A110" s="92" t="s">
        <v>252</v>
      </c>
      <c r="B110" s="92" t="s">
        <v>163</v>
      </c>
      <c r="C110" s="4"/>
    </row>
    <row r="111" spans="1:3" ht="20.100000000000001" customHeight="1">
      <c r="A111" s="92" t="s">
        <v>253</v>
      </c>
      <c r="B111" s="92" t="s">
        <v>107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27" sqref="B27"/>
    </sheetView>
  </sheetViews>
  <sheetFormatPr defaultRowHeight="14.25"/>
  <cols>
    <col min="1" max="1" width="50.75" customWidth="1"/>
    <col min="2" max="2" width="29.75" customWidth="1"/>
  </cols>
  <sheetData>
    <row r="1" spans="1:2">
      <c r="A1" s="27" t="s">
        <v>313</v>
      </c>
      <c r="B1" s="28"/>
    </row>
    <row r="2" spans="1:2" ht="28.5" customHeight="1">
      <c r="A2" s="155" t="s">
        <v>334</v>
      </c>
      <c r="B2" s="155"/>
    </row>
    <row r="3" spans="1:2" ht="18" customHeight="1">
      <c r="A3" s="98"/>
      <c r="B3" s="97" t="s">
        <v>0</v>
      </c>
    </row>
    <row r="4" spans="1:2" ht="20.100000000000001" customHeight="1">
      <c r="A4" s="61" t="s">
        <v>1</v>
      </c>
      <c r="B4" s="61" t="s">
        <v>300</v>
      </c>
    </row>
    <row r="5" spans="1:2" ht="20.100000000000001" customHeight="1">
      <c r="A5" s="61" t="s">
        <v>2</v>
      </c>
      <c r="B5" s="117">
        <f>SUM(B6:B8)</f>
        <v>3.8</v>
      </c>
    </row>
    <row r="6" spans="1:2" ht="20.100000000000001" customHeight="1">
      <c r="A6" s="62" t="s">
        <v>3</v>
      </c>
      <c r="B6" s="62">
        <v>0</v>
      </c>
    </row>
    <row r="7" spans="1:2" ht="20.100000000000001" customHeight="1">
      <c r="A7" s="62" t="s">
        <v>4</v>
      </c>
      <c r="B7" s="62">
        <v>0</v>
      </c>
    </row>
    <row r="8" spans="1:2" ht="20.100000000000001" customHeight="1">
      <c r="A8" s="62" t="s">
        <v>125</v>
      </c>
      <c r="B8" s="62">
        <v>3.8</v>
      </c>
    </row>
    <row r="9" spans="1:2" ht="20.100000000000001" customHeight="1">
      <c r="A9" s="99" t="s">
        <v>126</v>
      </c>
      <c r="B9" s="62">
        <v>3.8</v>
      </c>
    </row>
    <row r="10" spans="1:2" ht="20.100000000000001" customHeight="1">
      <c r="A10" s="99" t="s">
        <v>109</v>
      </c>
      <c r="B10" s="62">
        <v>0</v>
      </c>
    </row>
    <row r="11" spans="1:2" ht="46.5" customHeight="1">
      <c r="A11" s="156" t="s">
        <v>301</v>
      </c>
      <c r="B11" s="156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"/>
  <sheetViews>
    <sheetView workbookViewId="0">
      <selection activeCell="E17" sqref="E17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314</v>
      </c>
    </row>
    <row r="2" spans="1:11" ht="26.25" customHeight="1">
      <c r="A2" s="159" t="s">
        <v>335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pans="1:11" ht="23.2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100" t="s">
        <v>112</v>
      </c>
    </row>
    <row r="4" spans="1:11" ht="20.100000000000001" customHeight="1">
      <c r="A4" s="160" t="s">
        <v>113</v>
      </c>
      <c r="B4" s="160" t="s">
        <v>114</v>
      </c>
      <c r="C4" s="160" t="s">
        <v>115</v>
      </c>
      <c r="D4" s="160" t="s">
        <v>116</v>
      </c>
      <c r="E4" s="160" t="s">
        <v>117</v>
      </c>
      <c r="F4" s="160" t="s">
        <v>118</v>
      </c>
      <c r="G4" s="160" t="s">
        <v>119</v>
      </c>
      <c r="H4" s="162" t="s">
        <v>120</v>
      </c>
      <c r="I4" s="162"/>
      <c r="J4" s="162"/>
      <c r="K4" s="160" t="s">
        <v>121</v>
      </c>
    </row>
    <row r="5" spans="1:11" ht="36.75" customHeight="1">
      <c r="A5" s="161"/>
      <c r="B5" s="161"/>
      <c r="C5" s="161"/>
      <c r="D5" s="161"/>
      <c r="E5" s="161"/>
      <c r="F5" s="161"/>
      <c r="G5" s="161"/>
      <c r="H5" s="32" t="s">
        <v>122</v>
      </c>
      <c r="I5" s="32" t="s">
        <v>123</v>
      </c>
      <c r="J5" s="32" t="s">
        <v>124</v>
      </c>
      <c r="K5" s="161"/>
    </row>
    <row r="6" spans="1:11" ht="20.100000000000001" customHeight="1">
      <c r="A6" s="118" t="s">
        <v>336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ht="20.100000000000001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11" ht="20.100000000000001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</row>
    <row r="9" spans="1:11" ht="20.100000000000001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1" ht="20.100000000000001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ht="20.100000000000001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1" ht="20.100000000000001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20.100000000000001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1" ht="184.15" customHeight="1">
      <c r="A14" s="157" t="s">
        <v>302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5" spans="1:11" ht="18.75">
      <c r="A15" s="119" t="s">
        <v>337</v>
      </c>
      <c r="B15" s="119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F4" sqref="F4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3" t="s">
        <v>315</v>
      </c>
      <c r="B1" s="84"/>
      <c r="C1" s="84"/>
      <c r="D1" s="84"/>
    </row>
    <row r="2" spans="1:4" ht="34.9" customHeight="1">
      <c r="A2" s="163" t="s">
        <v>303</v>
      </c>
      <c r="B2" s="163"/>
      <c r="C2" s="163"/>
      <c r="D2" s="163"/>
    </row>
    <row r="3" spans="1:4" ht="86.25" customHeight="1">
      <c r="A3" s="101" t="s">
        <v>254</v>
      </c>
      <c r="B3" s="164" t="s">
        <v>255</v>
      </c>
      <c r="C3" s="164"/>
      <c r="D3" s="164"/>
    </row>
    <row r="4" spans="1:4" ht="20.100000000000001" customHeight="1">
      <c r="A4" s="165" t="s">
        <v>256</v>
      </c>
      <c r="B4" s="101" t="s">
        <v>257</v>
      </c>
      <c r="C4" s="101" t="s">
        <v>258</v>
      </c>
      <c r="D4" s="101" t="s">
        <v>259</v>
      </c>
    </row>
    <row r="5" spans="1:4" ht="20.100000000000001" customHeight="1">
      <c r="A5" s="165"/>
      <c r="B5" s="166" t="s">
        <v>260</v>
      </c>
      <c r="C5" s="102" t="s">
        <v>261</v>
      </c>
      <c r="D5" s="103"/>
    </row>
    <row r="6" spans="1:4" ht="20.100000000000001" customHeight="1">
      <c r="A6" s="165"/>
      <c r="B6" s="167"/>
      <c r="C6" s="102" t="s">
        <v>262</v>
      </c>
      <c r="D6" s="103"/>
    </row>
    <row r="7" spans="1:4" ht="20.100000000000001" customHeight="1">
      <c r="A7" s="165"/>
      <c r="B7" s="168"/>
      <c r="C7" s="102" t="s">
        <v>263</v>
      </c>
      <c r="D7" s="103"/>
    </row>
    <row r="8" spans="1:4" ht="20.100000000000001" customHeight="1">
      <c r="A8" s="165"/>
      <c r="B8" s="166" t="s">
        <v>264</v>
      </c>
      <c r="C8" s="102" t="s">
        <v>261</v>
      </c>
      <c r="D8" s="103"/>
    </row>
    <row r="9" spans="1:4" ht="20.100000000000001" customHeight="1">
      <c r="A9" s="165"/>
      <c r="B9" s="167"/>
      <c r="C9" s="102" t="s">
        <v>262</v>
      </c>
      <c r="D9" s="103"/>
    </row>
    <row r="10" spans="1:4" ht="20.100000000000001" customHeight="1">
      <c r="A10" s="165"/>
      <c r="B10" s="168"/>
      <c r="C10" s="102" t="s">
        <v>265</v>
      </c>
      <c r="D10" s="103"/>
    </row>
    <row r="11" spans="1:4" ht="20.100000000000001" customHeight="1">
      <c r="A11" s="165"/>
      <c r="B11" s="169" t="s">
        <v>266</v>
      </c>
      <c r="C11" s="102" t="s">
        <v>261</v>
      </c>
      <c r="D11" s="103"/>
    </row>
    <row r="12" spans="1:4" ht="20.100000000000001" customHeight="1">
      <c r="A12" s="165"/>
      <c r="B12" s="169"/>
      <c r="C12" s="102" t="s">
        <v>262</v>
      </c>
      <c r="D12" s="103"/>
    </row>
    <row r="13" spans="1:4" ht="20.100000000000001" customHeight="1">
      <c r="A13" s="165"/>
      <c r="B13" s="169"/>
      <c r="C13" s="102" t="s">
        <v>265</v>
      </c>
      <c r="D13" s="103"/>
    </row>
    <row r="14" spans="1:4" ht="26.25" customHeight="1">
      <c r="A14" s="156" t="s">
        <v>267</v>
      </c>
      <c r="B14" s="156"/>
      <c r="C14" s="156"/>
      <c r="D14" s="156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F12" sqref="F12"/>
    </sheetView>
  </sheetViews>
  <sheetFormatPr defaultColWidth="8.125" defaultRowHeight="31.5" customHeight="1"/>
  <cols>
    <col min="1" max="1" width="14.375" style="84" customWidth="1"/>
    <col min="2" max="2" width="14.25" style="84" customWidth="1"/>
    <col min="3" max="3" width="29.875" style="84" customWidth="1"/>
    <col min="4" max="4" width="26.5" style="84" customWidth="1"/>
    <col min="5" max="16384" width="8.125" style="84"/>
  </cols>
  <sheetData>
    <row r="1" spans="1:6" ht="27.6" customHeight="1">
      <c r="A1" s="83" t="s">
        <v>316</v>
      </c>
    </row>
    <row r="2" spans="1:6" ht="40.15" customHeight="1">
      <c r="A2" s="163" t="s">
        <v>304</v>
      </c>
      <c r="B2" s="163"/>
      <c r="C2" s="163"/>
      <c r="D2" s="163"/>
    </row>
    <row r="3" spans="1:6" ht="20.25" customHeight="1">
      <c r="A3" s="101" t="s">
        <v>268</v>
      </c>
      <c r="B3" s="170"/>
      <c r="C3" s="170"/>
      <c r="D3" s="170"/>
    </row>
    <row r="4" spans="1:6" ht="87.75" customHeight="1">
      <c r="A4" s="101" t="s">
        <v>269</v>
      </c>
      <c r="B4" s="164" t="s">
        <v>270</v>
      </c>
      <c r="C4" s="164"/>
      <c r="D4" s="164"/>
    </row>
    <row r="5" spans="1:6" ht="23.45" customHeight="1">
      <c r="A5" s="165" t="s">
        <v>256</v>
      </c>
      <c r="B5" s="101" t="s">
        <v>271</v>
      </c>
      <c r="C5" s="101" t="s">
        <v>272</v>
      </c>
      <c r="D5" s="101" t="s">
        <v>273</v>
      </c>
    </row>
    <row r="6" spans="1:6" ht="23.45" customHeight="1">
      <c r="A6" s="165"/>
      <c r="B6" s="166" t="s">
        <v>260</v>
      </c>
      <c r="C6" s="102" t="s">
        <v>274</v>
      </c>
      <c r="D6" s="103"/>
    </row>
    <row r="7" spans="1:6" ht="23.45" customHeight="1">
      <c r="A7" s="165"/>
      <c r="B7" s="167"/>
      <c r="C7" s="102" t="s">
        <v>275</v>
      </c>
      <c r="D7" s="103"/>
    </row>
    <row r="8" spans="1:6" ht="23.45" customHeight="1">
      <c r="A8" s="165"/>
      <c r="B8" s="168"/>
      <c r="C8" s="102" t="s">
        <v>276</v>
      </c>
      <c r="D8" s="103"/>
      <c r="F8" s="82"/>
    </row>
    <row r="9" spans="1:6" ht="23.45" customHeight="1">
      <c r="A9" s="165"/>
      <c r="B9" s="166" t="s">
        <v>264</v>
      </c>
      <c r="C9" s="102" t="s">
        <v>274</v>
      </c>
      <c r="D9" s="103"/>
    </row>
    <row r="10" spans="1:6" ht="23.45" customHeight="1">
      <c r="A10" s="165"/>
      <c r="B10" s="167"/>
      <c r="C10" s="102" t="s">
        <v>275</v>
      </c>
      <c r="D10" s="103"/>
    </row>
    <row r="11" spans="1:6" ht="23.45" customHeight="1">
      <c r="A11" s="165"/>
      <c r="B11" s="168"/>
      <c r="C11" s="102" t="s">
        <v>265</v>
      </c>
      <c r="D11" s="103"/>
    </row>
    <row r="12" spans="1:6" ht="23.45" customHeight="1">
      <c r="A12" s="165"/>
      <c r="B12" s="169" t="s">
        <v>266</v>
      </c>
      <c r="C12" s="102" t="s">
        <v>274</v>
      </c>
      <c r="D12" s="103"/>
    </row>
    <row r="13" spans="1:6" ht="23.45" customHeight="1">
      <c r="A13" s="165"/>
      <c r="B13" s="169"/>
      <c r="C13" s="102" t="s">
        <v>275</v>
      </c>
      <c r="D13" s="103"/>
    </row>
    <row r="14" spans="1:6" ht="23.45" customHeight="1">
      <c r="A14" s="165"/>
      <c r="B14" s="169"/>
      <c r="C14" s="102" t="s">
        <v>265</v>
      </c>
      <c r="D14" s="103"/>
    </row>
    <row r="15" spans="1:6" ht="22.15" customHeight="1">
      <c r="A15" s="156" t="s">
        <v>277</v>
      </c>
      <c r="B15" s="156"/>
      <c r="C15" s="156"/>
      <c r="D15" s="156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2019-01-29T08:12:15Z</cp:lastPrinted>
  <dcterms:created xsi:type="dcterms:W3CDTF">2008-01-10T09:59:00Z</dcterms:created>
  <dcterms:modified xsi:type="dcterms:W3CDTF">2019-01-29T08:47:49Z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