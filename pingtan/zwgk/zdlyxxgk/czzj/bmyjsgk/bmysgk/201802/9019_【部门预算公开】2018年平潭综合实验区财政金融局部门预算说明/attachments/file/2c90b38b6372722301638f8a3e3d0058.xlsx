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05" windowWidth="21720" windowHeight="12960" tabRatio="1000" activeTab="3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calcMode="manual" fullPrecision="0"/>
</workbook>
</file>

<file path=xl/calcChain.xml><?xml version="1.0" encoding="utf-8"?>
<calcChain xmlns="http://schemas.openxmlformats.org/spreadsheetml/2006/main">
  <c r="C9" i="80"/>
  <c r="E26" i="78"/>
  <c r="J26" s="1"/>
  <c r="K26" s="1"/>
  <c r="J25"/>
  <c r="K25" s="1"/>
  <c r="J24"/>
  <c r="K24" s="1"/>
  <c r="J23"/>
  <c r="K23" s="1"/>
  <c r="E23"/>
  <c r="K22"/>
  <c r="J22"/>
  <c r="K21"/>
  <c r="J21"/>
  <c r="E20"/>
  <c r="J20" s="1"/>
  <c r="K20" s="1"/>
  <c r="J19"/>
  <c r="K19" s="1"/>
  <c r="E19"/>
  <c r="K18"/>
  <c r="J18"/>
  <c r="E17"/>
  <c r="J17" s="1"/>
  <c r="K17" s="1"/>
  <c r="J16"/>
  <c r="K16" s="1"/>
  <c r="E16"/>
  <c r="E15"/>
  <c r="J15" s="1"/>
  <c r="K15" s="1"/>
  <c r="J14"/>
  <c r="K14" s="1"/>
  <c r="J13"/>
  <c r="K13" s="1"/>
  <c r="J12"/>
  <c r="K12" s="1"/>
  <c r="E12"/>
  <c r="K11"/>
  <c r="J11"/>
  <c r="K10"/>
  <c r="J10"/>
  <c r="K9"/>
  <c r="J9"/>
  <c r="K8"/>
  <c r="J8"/>
</calcChain>
</file>

<file path=xl/sharedStrings.xml><?xml version="1.0" encoding="utf-8"?>
<sst xmlns="http://schemas.openxmlformats.org/spreadsheetml/2006/main" count="552" uniqueCount="361">
  <si>
    <t>单位：万元</t>
  </si>
  <si>
    <t>项目</t>
  </si>
  <si>
    <t>合计</t>
  </si>
  <si>
    <t>1、因公出国（境）费用</t>
  </si>
  <si>
    <t>2、公务接待费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</si>
  <si>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</si>
  <si>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</si>
  <si>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</si>
  <si>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</si>
  <si>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</si>
  <si>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</si>
  <si>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</si>
  <si>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对个人和家庭补助支出</t>
  </si>
  <si>
    <t xml:space="preserve">    公用支出</t>
  </si>
  <si>
    <t>二、基金预算财政拨款</t>
  </si>
  <si>
    <t>二、项目支出</t>
  </si>
  <si>
    <t>四、单位其他收入</t>
  </si>
  <si>
    <t>五、单位结余结转资金</t>
  </si>
  <si>
    <t>附表3-1</t>
    <phoneticPr fontId="35" type="noConversion"/>
  </si>
  <si>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</si>
  <si>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</si>
  <si>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</si>
  <si>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</si>
  <si>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</si>
  <si>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</si>
  <si>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</si>
  <si>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附表3-2</t>
    <phoneticPr fontId="35" type="noConversion"/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</si>
  <si>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</si>
  <si>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</si>
  <si>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</si>
  <si>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</si>
  <si>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</si>
  <si>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</si>
  <si>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</si>
  <si>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</si>
  <si>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</si>
  <si>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附表3-3</t>
    <phoneticPr fontId="35" type="noConversion"/>
  </si>
  <si>
    <t>附表3-4</t>
    <phoneticPr fontId="35" type="noConversion"/>
  </si>
  <si>
    <t>附表3-5</t>
    <phoneticPr fontId="35" type="noConversion"/>
  </si>
  <si>
    <t>合计</t>
    <phoneticPr fontId="35" type="noConversion"/>
  </si>
  <si>
    <t>其中：</t>
    <phoneticPr fontId="35" type="noConversion"/>
  </si>
  <si>
    <t>基本支出</t>
  </si>
  <si>
    <t>附表3-6</t>
    <phoneticPr fontId="35" type="noConversion"/>
  </si>
  <si>
    <t/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</si>
  <si>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</si>
  <si>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</si>
  <si>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</si>
  <si>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</si>
  <si>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</si>
  <si>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</si>
  <si>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</si>
  <si>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</si>
  <si>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</si>
  <si>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</si>
  <si>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</si>
  <si>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</si>
  <si>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</si>
  <si>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</si>
  <si>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</si>
  <si>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</si>
  <si>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</si>
  <si>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</si>
  <si>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</si>
  <si>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</si>
  <si>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</si>
  <si>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</si>
  <si>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</si>
  <si>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</si>
  <si>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</si>
  <si>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</si>
  <si>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</si>
  <si>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</si>
  <si>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</si>
  <si>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</si>
  <si>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</si>
  <si>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</si>
  <si>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</si>
  <si>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</si>
  <si>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</si>
  <si>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</si>
  <si>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</si>
  <si>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</si>
  <si>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</si>
  <si>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</si>
  <si>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</si>
  <si>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</si>
  <si>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</si>
  <si>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</si>
  <si>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</si>
  <si>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</si>
  <si>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</si>
  <si>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</si>
  <si>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</si>
  <si>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</si>
  <si>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</si>
  <si>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</si>
  <si>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</si>
  <si>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</si>
  <si>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</si>
  <si>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</si>
  <si>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</si>
  <si>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</si>
  <si>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</si>
  <si>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</si>
  <si>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</si>
  <si>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</si>
  <si>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</si>
  <si>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</si>
  <si>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</si>
  <si>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</si>
  <si>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</si>
  <si>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</si>
  <si>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</si>
  <si>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</si>
  <si>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</si>
  <si>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 xml:space="preserve">      （2）公务用车购置费</t>
    <phoneticPr fontId="35" type="noConversion"/>
  </si>
  <si>
    <t>单位：万元</t>
    <phoneticPr fontId="75" type="noConversion"/>
  </si>
  <si>
    <t>309</t>
  </si>
  <si>
    <t>单位：万元</t>
    <phoneticPr fontId="35" type="noConversion"/>
  </si>
  <si>
    <t>主管部门名称</t>
    <phoneticPr fontId="35" type="noConversion"/>
  </si>
  <si>
    <t>专项资金立项项目名称</t>
    <phoneticPr fontId="35" type="noConversion"/>
  </si>
  <si>
    <t>立项依据</t>
    <phoneticPr fontId="35" type="noConversion"/>
  </si>
  <si>
    <t>执行年限</t>
    <phoneticPr fontId="35" type="noConversion"/>
  </si>
  <si>
    <t>实施规划</t>
    <phoneticPr fontId="35" type="noConversion"/>
  </si>
  <si>
    <t>总体绩效目标</t>
    <phoneticPr fontId="35" type="noConversion"/>
  </si>
  <si>
    <t>支出级次</t>
    <phoneticPr fontId="35" type="noConversion"/>
  </si>
  <si>
    <t>资金拼盘</t>
    <phoneticPr fontId="35" type="noConversion"/>
  </si>
  <si>
    <t>资金分配办法及支出标准</t>
    <phoneticPr fontId="35" type="noConversion"/>
  </si>
  <si>
    <t>小计</t>
    <phoneticPr fontId="35" type="noConversion"/>
  </si>
  <si>
    <t>一般公共财政预算</t>
    <phoneticPr fontId="35" type="noConversion"/>
  </si>
  <si>
    <t>政府性基金预算</t>
    <phoneticPr fontId="35" type="noConversion"/>
  </si>
  <si>
    <t>3、公务用车购置及运行费</t>
    <phoneticPr fontId="75" type="noConversion"/>
  </si>
  <si>
    <t>其中：（1）公务用车运行费</t>
    <phoneticPr fontId="35" type="noConversion"/>
  </si>
  <si>
    <t>附表3-7</t>
    <phoneticPr fontId="75" type="noConversion"/>
  </si>
  <si>
    <t>附表3-9</t>
    <phoneticPr fontId="35" type="noConversion"/>
  </si>
  <si>
    <t>附表3-8</t>
    <phoneticPr fontId="35" type="noConversion"/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</si>
  <si>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</si>
  <si>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</si>
  <si>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</si>
  <si>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</si>
  <si>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</si>
  <si>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</si>
  <si>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</si>
  <si>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</si>
  <si>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</si>
  <si>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</si>
  <si>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</si>
  <si>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</si>
  <si>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</si>
  <si>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</si>
  <si>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</si>
  <si>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</si>
  <si>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</si>
  <si>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</si>
  <si>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</si>
  <si>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</si>
  <si>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</si>
  <si>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</si>
  <si>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</si>
  <si>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</si>
  <si>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</si>
  <si>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</si>
  <si>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</si>
  <si>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</si>
  <si>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</si>
  <si>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</si>
  <si>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</si>
  <si>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</si>
  <si>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</si>
  <si>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</si>
  <si>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</si>
  <si>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</si>
  <si>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</si>
  <si>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</si>
  <si>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</si>
  <si>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</si>
  <si>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</si>
  <si>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</si>
  <si>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</si>
  <si>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</si>
  <si>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</si>
  <si>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</si>
  <si>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</si>
  <si>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</si>
  <si>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</si>
  <si>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</si>
  <si>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</si>
  <si>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</si>
  <si>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</si>
  <si>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</si>
  <si>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</si>
  <si>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</si>
  <si>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</si>
  <si>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</si>
  <si>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</si>
  <si>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</si>
  <si>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</si>
  <si>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</si>
  <si>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</si>
  <si>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</si>
  <si>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</si>
  <si>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</si>
  <si>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</si>
  <si>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</si>
  <si>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</si>
  <si>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</si>
  <si>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</si>
  <si>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</si>
  <si>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</si>
  <si>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</si>
  <si>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</si>
  <si>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</si>
  <si>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</si>
  <si>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</si>
  <si>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</si>
  <si>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</si>
  <si>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</si>
  <si>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</si>
  <si>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</si>
  <si>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</si>
  <si>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</si>
  <si>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</si>
  <si>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</si>
  <si>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</si>
  <si>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</si>
  <si>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</si>
  <si>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</si>
  <si>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</si>
  <si>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</si>
  <si>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</si>
  <si>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</si>
  <si>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</si>
  <si>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</si>
  <si>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</si>
  <si>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</si>
  <si>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</si>
  <si>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</si>
  <si>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</si>
  <si>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安置补助</t>
  </si>
  <si>
    <t>地上附着物和青苗补偿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</si>
  <si>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</si>
  <si>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</si>
  <si>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</si>
  <si>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</si>
  <si>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</si>
  <si>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</si>
  <si>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</si>
  <si>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</si>
  <si>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</si>
  <si>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</si>
  <si>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</si>
  <si>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</si>
  <si>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</si>
  <si>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</si>
  <si>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</si>
  <si>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</si>
  <si>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</si>
  <si>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</si>
  <si>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</si>
  <si>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>总体目标</t>
    <phoneticPr fontId="35" type="noConversion"/>
  </si>
  <si>
    <t xml:space="preserve">绩效目标  </t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</si>
  <si>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</si>
  <si>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</si>
  <si>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</si>
  <si>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 xml:space="preserve">投入 </t>
  </si>
  <si>
    <t>目标2：</t>
    <phoneticPr fontId="63" type="noConversion"/>
  </si>
  <si>
    <t>……</t>
    <phoneticPr fontId="63" type="noConversion"/>
  </si>
  <si>
    <t>产出</t>
  </si>
  <si>
    <t>……</t>
  </si>
  <si>
    <t>效益</t>
  </si>
  <si>
    <t>备注：按部门预算批复的绩效目标表填写本表中的相应内容（按规定不宜公开部分除外）。</t>
    <phoneticPr fontId="63" type="noConversion"/>
  </si>
  <si>
    <t>附表3-10</t>
    <phoneticPr fontId="35" type="noConversion"/>
  </si>
  <si>
    <t>附表3-11</t>
    <phoneticPr fontId="35" type="noConversion"/>
  </si>
  <si>
    <t>预算数</t>
    <phoneticPr fontId="75" type="noConversion"/>
  </si>
  <si>
    <t>预算数</t>
    <phoneticPr fontId="75" type="noConversion"/>
  </si>
  <si>
    <t>三、财政专户拨款</t>
    <phoneticPr fontId="75" type="noConversion"/>
  </si>
  <si>
    <t>30204</t>
    <phoneticPr fontId="75" type="noConversion"/>
  </si>
  <si>
    <t>手续费</t>
    <phoneticPr fontId="75" type="noConversion"/>
  </si>
  <si>
    <t>收入合计</t>
    <phoneticPr fontId="75" type="noConversion"/>
  </si>
  <si>
    <t>支出合计</t>
    <phoneticPr fontId="75" type="noConversion"/>
  </si>
  <si>
    <t xml:space="preserve">     人员支出</t>
    <phoneticPr fontId="75" type="noConversion"/>
  </si>
  <si>
    <t xml:space="preserve">     对个人和家庭补助支出</t>
    <phoneticPr fontId="75" type="noConversion"/>
  </si>
  <si>
    <t xml:space="preserve">     公用支出</t>
    <phoneticPr fontId="75" type="noConversion"/>
  </si>
  <si>
    <t>单位：万元</t>
    <phoneticPr fontId="75" type="noConversion"/>
  </si>
  <si>
    <t>单位其它收入</t>
    <phoneticPr fontId="75" type="noConversion"/>
  </si>
  <si>
    <t>合计</t>
    <phoneticPr fontId="75" type="noConversion"/>
  </si>
  <si>
    <t>预算数</t>
    <phoneticPr fontId="75" type="noConversion"/>
  </si>
  <si>
    <t>收入合计</t>
    <phoneticPr fontId="75" type="noConversion"/>
  </si>
  <si>
    <t>支出合计</t>
    <phoneticPr fontId="75" type="noConversion"/>
  </si>
  <si>
    <t>备注：1.本表公开到政府支出功能分类项级科目。</t>
    <phoneticPr fontId="75" type="noConversion"/>
  </si>
  <si>
    <t xml:space="preserve">      2.没有数据的单位应当列出空表并说明。</t>
    <phoneticPr fontId="75" type="noConversion"/>
  </si>
  <si>
    <t>预算数</t>
    <phoneticPr fontId="35" type="noConversion"/>
  </si>
  <si>
    <t>科目编码</t>
    <phoneticPr fontId="35" type="noConversion"/>
  </si>
  <si>
    <t>科目_x000D_编码</t>
    <phoneticPr fontId="75" type="noConversion"/>
  </si>
  <si>
    <t>预算数</t>
    <phoneticPr fontId="75" type="noConversion"/>
  </si>
  <si>
    <t>预算数</t>
    <phoneticPr fontId="75" type="noConversion"/>
  </si>
  <si>
    <t>备注：本表不能留空，没有金额必须标零或写无，并备注说明“本单位无一般公共预算安排的三公经费支出”。</t>
    <phoneticPr fontId="75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</si>
  <si>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5" type="noConversion"/>
  </si>
  <si>
    <t>备注：本表公开到政府支出功能分类项级科目。</t>
    <phoneticPr fontId="75" type="noConversion"/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</si>
  <si>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75" type="noConversion"/>
  </si>
  <si>
    <t xml:space="preserve">
拆迁补偿
</t>
    <phoneticPr fontId="75" type="noConversion"/>
  </si>
  <si>
    <t>土地补偿</t>
    <phoneticPr fontId="75" type="noConversion"/>
  </si>
  <si>
    <t>2018年度收支预算总表</t>
    <phoneticPr fontId="35" type="noConversion"/>
  </si>
  <si>
    <t>2018年度收入预算总表</t>
    <phoneticPr fontId="35" type="noConversion"/>
  </si>
  <si>
    <t>601001</t>
    <phoneticPr fontId="35" type="noConversion"/>
  </si>
  <si>
    <t>平潭综合实验区财政金融局</t>
    <phoneticPr fontId="35" type="noConversion"/>
  </si>
  <si>
    <t>601003</t>
    <phoneticPr fontId="35" type="noConversion"/>
  </si>
  <si>
    <t>平潭综合实验区国库支付中心</t>
    <phoneticPr fontId="35" type="noConversion"/>
  </si>
  <si>
    <t>601004</t>
    <phoneticPr fontId="35" type="noConversion"/>
  </si>
  <si>
    <t>平潭综合实验区政府采购办公室</t>
    <phoneticPr fontId="35" type="noConversion"/>
  </si>
  <si>
    <t>601005</t>
    <phoneticPr fontId="35" type="noConversion"/>
  </si>
  <si>
    <t>平潭综合实验区财政投资评审中心</t>
    <phoneticPr fontId="35" type="noConversion"/>
  </si>
  <si>
    <t>601007</t>
    <phoneticPr fontId="35" type="noConversion"/>
  </si>
  <si>
    <t>平潭综合实验区乡镇财政管理办公室</t>
    <phoneticPr fontId="35" type="noConversion"/>
  </si>
  <si>
    <t>601010</t>
    <phoneticPr fontId="35" type="noConversion"/>
  </si>
  <si>
    <t>平潭综合实验区政府和社会资本合作（PPP）管理中心</t>
    <phoneticPr fontId="35" type="noConversion"/>
  </si>
  <si>
    <t>合计</t>
    <phoneticPr fontId="35" type="noConversion"/>
  </si>
  <si>
    <t>2018年度支出预算总表</t>
    <phoneticPr fontId="35" type="noConversion"/>
  </si>
  <si>
    <t>行政运行</t>
    <phoneticPr fontId="35" type="noConversion"/>
  </si>
  <si>
    <t>一般行政管理事务</t>
    <phoneticPr fontId="35" type="noConversion"/>
  </si>
  <si>
    <t>信息化建设</t>
    <phoneticPr fontId="35" type="noConversion"/>
  </si>
  <si>
    <t>住房公积金</t>
    <phoneticPr fontId="35" type="noConversion"/>
  </si>
  <si>
    <t>提租补贴</t>
    <phoneticPr fontId="35" type="noConversion"/>
  </si>
  <si>
    <t>财政国库业务</t>
    <phoneticPr fontId="35" type="noConversion"/>
  </si>
  <si>
    <t>事业运行</t>
    <phoneticPr fontId="35" type="noConversion"/>
  </si>
  <si>
    <t>机关服务</t>
    <phoneticPr fontId="35" type="noConversion"/>
  </si>
  <si>
    <t>平潭综合实验区投资评审中心</t>
    <phoneticPr fontId="35" type="noConversion"/>
  </si>
  <si>
    <t>平潭综合实验区政府和社会资本合作(PPP)管理中心</t>
    <phoneticPr fontId="35" type="noConversion"/>
  </si>
  <si>
    <t>2018年度财政拨款收支预算总表</t>
    <phoneticPr fontId="35" type="noConversion"/>
  </si>
  <si>
    <t>2018年度一般公共预算拨款支出预算表</t>
    <phoneticPr fontId="35" type="noConversion"/>
  </si>
  <si>
    <t>2010601</t>
    <phoneticPr fontId="35" type="noConversion"/>
  </si>
  <si>
    <t>2018年度政府性基金拨款支出预算表</t>
    <phoneticPr fontId="35" type="noConversion"/>
  </si>
  <si>
    <t>2018年度一般公共预算支出经济分类情况表</t>
    <phoneticPr fontId="75" type="noConversion"/>
  </si>
  <si>
    <t>2018年度一般公共预算“三公”经费支出预算表</t>
    <phoneticPr fontId="35" type="noConversion"/>
  </si>
  <si>
    <t>2018年度部门专项资金管理清单目录</t>
    <phoneticPr fontId="35" type="noConversion"/>
  </si>
  <si>
    <t>2018年度一般公共预算基本支出经济分类情况表</t>
    <phoneticPr fontId="35" type="noConversion"/>
  </si>
  <si>
    <t>2018年度部门业务费绩效目标表</t>
    <phoneticPr fontId="35" type="noConversion"/>
  </si>
  <si>
    <t>2018年度专项资金绩效目标表</t>
    <phoneticPr fontId="35" type="noConversion"/>
  </si>
  <si>
    <t>预算资金安排120万元，主要任务是政府网上公开信息系统建设和网上超市采购网建设。</t>
    <phoneticPr fontId="35" type="noConversion"/>
  </si>
  <si>
    <t>预算 投资120万元</t>
    <phoneticPr fontId="63" type="noConversion"/>
  </si>
  <si>
    <t>预算投资120万元</t>
    <phoneticPr fontId="35" type="noConversion"/>
  </si>
  <si>
    <t>目标1：政府采购网上公开信息系统建设</t>
    <phoneticPr fontId="63" type="noConversion"/>
  </si>
  <si>
    <t>目标2：政府采购网上公开信息系统建设</t>
    <phoneticPr fontId="63" type="noConversion"/>
  </si>
  <si>
    <t>目标3：政府采购网上公开信息系统建设</t>
    <phoneticPr fontId="35" type="noConversion"/>
  </si>
  <si>
    <t>目标1：采购人满意度</t>
    <phoneticPr fontId="63" type="noConversion"/>
  </si>
  <si>
    <t>目标2：供应商满意度</t>
    <phoneticPr fontId="63" type="noConversion"/>
  </si>
  <si>
    <t>采购单位数量50个</t>
    <phoneticPr fontId="35" type="noConversion"/>
  </si>
  <si>
    <t>供应商数量100个</t>
    <phoneticPr fontId="35" type="noConversion"/>
  </si>
  <si>
    <t>平台正常运行天数300天</t>
    <phoneticPr fontId="35" type="noConversion"/>
  </si>
  <si>
    <t>大于90%</t>
    <phoneticPr fontId="35" type="noConversion"/>
  </si>
  <si>
    <t>附表3-12</t>
    <phoneticPr fontId="35" type="noConversion"/>
  </si>
  <si>
    <t>立项项目名称</t>
    <phoneticPr fontId="35" type="noConversion"/>
  </si>
  <si>
    <t>概况</t>
    <phoneticPr fontId="35" type="noConversion"/>
  </si>
  <si>
    <t>（简要填写执行年限、预算安排、主要工作任务等情况）</t>
    <phoneticPr fontId="35" type="noConversion"/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</si>
  <si>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</si>
  <si>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</si>
  <si>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</si>
  <si>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</si>
  <si>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</si>
  <si>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</si>
  <si>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备注：按部门预算批复的绩效目标表填写本表中的相应内容（按规定不宜公开部分除外）。</t>
    <phoneticPr fontId="63" type="noConversion"/>
  </si>
</sst>
</file>

<file path=xl/styles.xml><?xml version="1.0" encoding="utf-8"?>
<styleSheet xmlns="http://schemas.openxmlformats.org/spreadsheetml/2006/main">
  <numFmts count="21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* #,##0.0;* \-#,##0.0;* &quot;&quot;??;@"/>
    <numFmt numFmtId="192" formatCode="#,##0.0"/>
    <numFmt numFmtId="193" formatCode="0.00_);\(0.00\)"/>
  </numFmts>
  <fonts count="94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8"/>
      <name val="方正小标宋_GBK"/>
      <family val="4"/>
      <charset val="134"/>
    </font>
    <font>
      <sz val="9"/>
      <name val="宋体"/>
      <family val="3"/>
      <charset val="134"/>
    </font>
    <font>
      <sz val="20"/>
      <name val="黑体"/>
      <family val="3"/>
      <charset val="134"/>
    </font>
    <font>
      <b/>
      <sz val="20"/>
      <color indexed="8"/>
      <name val="宋体"/>
      <family val="3"/>
      <charset val="134"/>
    </font>
    <font>
      <sz val="8"/>
      <name val="宋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color theme="1"/>
      <name val="方正小标宋_GBK"/>
      <family val="4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  <font>
      <b/>
      <sz val="11"/>
      <color indexed="64"/>
      <name val="宋体"/>
      <family val="3"/>
      <charset val="134"/>
    </font>
    <font>
      <sz val="10"/>
      <color indexed="64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family val="3"/>
      <charset val="134"/>
    </font>
    <font>
      <sz val="11"/>
      <color theme="1"/>
      <name val="宋体"/>
      <family val="3"/>
      <charset val="134"/>
    </font>
    <font>
      <sz val="16"/>
      <color rgb="FF000000"/>
      <name val="仿宋"/>
      <family val="3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992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6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70" fillId="0" borderId="0"/>
    <xf numFmtId="176" fontId="51" fillId="0" borderId="0" applyFont="0" applyFill="0" applyBorder="0" applyAlignment="0" applyProtection="0"/>
    <xf numFmtId="179" fontId="70" fillId="0" borderId="0"/>
    <xf numFmtId="0" fontId="71" fillId="0" borderId="0" applyProtection="0"/>
    <xf numFmtId="186" fontId="70" fillId="0" borderId="0"/>
    <xf numFmtId="2" fontId="71" fillId="0" borderId="0" applyProtection="0"/>
    <xf numFmtId="0" fontId="72" fillId="0" borderId="15" applyNumberFormat="0" applyAlignment="0" applyProtection="0">
      <alignment horizontal="left" vertical="center"/>
    </xf>
    <xf numFmtId="0" fontId="72" fillId="0" borderId="2">
      <alignment horizontal="left" vertical="center"/>
    </xf>
    <xf numFmtId="0" fontId="73" fillId="0" borderId="0" applyProtection="0"/>
    <xf numFmtId="0" fontId="72" fillId="0" borderId="0" applyProtection="0"/>
    <xf numFmtId="37" fontId="68" fillId="0" borderId="0"/>
    <xf numFmtId="0" fontId="71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9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</cellStyleXfs>
  <cellXfs count="171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4972" applyFont="1"/>
    <xf numFmtId="0" fontId="2" fillId="0" borderId="0" xfId="4972" applyFont="1" applyAlignment="1">
      <alignment horizontal="right" vertical="center"/>
    </xf>
    <xf numFmtId="190" fontId="7" fillId="0" borderId="1" xfId="4972" applyNumberFormat="1" applyFont="1" applyFill="1" applyBorder="1" applyAlignment="1">
      <alignment horizontal="right" vertical="center" wrapText="1"/>
    </xf>
    <xf numFmtId="190" fontId="7" fillId="0" borderId="1" xfId="4972" applyNumberFormat="1" applyFont="1" applyFill="1" applyBorder="1" applyAlignment="1">
      <alignment horizontal="right" vertical="center"/>
    </xf>
    <xf numFmtId="4" fontId="7" fillId="0" borderId="1" xfId="4972" applyNumberFormat="1" applyFont="1" applyFill="1" applyBorder="1" applyAlignment="1">
      <alignment horizontal="right" vertical="center" wrapText="1"/>
    </xf>
    <xf numFmtId="0" fontId="6" fillId="0" borderId="0" xfId="4974" applyFont="1"/>
    <xf numFmtId="0" fontId="2" fillId="0" borderId="0" xfId="4974" applyFont="1"/>
    <xf numFmtId="49" fontId="7" fillId="0" borderId="1" xfId="4974" applyNumberFormat="1" applyFont="1" applyFill="1" applyBorder="1" applyAlignment="1">
      <alignment horizontal="left" vertical="center" wrapText="1"/>
    </xf>
    <xf numFmtId="0" fontId="58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58" fillId="0" borderId="0" xfId="0" applyFont="1">
      <alignment vertical="center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190" fontId="5" fillId="0" borderId="1" xfId="0" applyNumberFormat="1" applyFont="1" applyFill="1" applyBorder="1" applyAlignment="1">
      <alignment horizontal="right" vertical="center" wrapText="1"/>
    </xf>
    <xf numFmtId="4" fontId="5" fillId="0" borderId="1" xfId="0" applyNumberFormat="1" applyFont="1" applyFill="1" applyBorder="1" applyAlignment="1">
      <alignment horizontal="right" vertical="center" wrapText="1"/>
    </xf>
    <xf numFmtId="0" fontId="2" fillId="0" borderId="0" xfId="4977" applyFont="1"/>
    <xf numFmtId="190" fontId="7" fillId="0" borderId="1" xfId="4977" applyNumberFormat="1" applyFont="1" applyFill="1" applyBorder="1" applyAlignment="1">
      <alignment horizontal="right" vertical="center" wrapText="1"/>
    </xf>
    <xf numFmtId="190" fontId="7" fillId="0" borderId="1" xfId="4977" applyNumberFormat="1" applyFont="1" applyFill="1" applyBorder="1" applyAlignment="1">
      <alignment horizontal="right" vertical="center"/>
    </xf>
    <xf numFmtId="4" fontId="7" fillId="0" borderId="1" xfId="4977" applyNumberFormat="1" applyFont="1" applyFill="1" applyBorder="1" applyAlignment="1">
      <alignment horizontal="right" vertical="center" wrapText="1"/>
    </xf>
    <xf numFmtId="0" fontId="2" fillId="0" borderId="0" xfId="2616" applyFont="1"/>
    <xf numFmtId="0" fontId="78" fillId="0" borderId="0" xfId="4978" applyFont="1" applyAlignment="1">
      <alignment vertical="center"/>
    </xf>
    <xf numFmtId="0" fontId="2" fillId="0" borderId="0" xfId="4978" quotePrefix="1" applyFont="1" applyBorder="1" applyAlignment="1">
      <alignment vertical="center"/>
    </xf>
    <xf numFmtId="0" fontId="2" fillId="0" borderId="0" xfId="4978" applyFont="1" applyBorder="1" applyAlignment="1">
      <alignment vertical="center"/>
    </xf>
    <xf numFmtId="0" fontId="2" fillId="0" borderId="0" xfId="2841" applyFont="1"/>
    <xf numFmtId="0" fontId="65" fillId="0" borderId="0" xfId="2841"/>
    <xf numFmtId="0" fontId="65" fillId="0" borderId="0" xfId="2841" applyAlignment="1">
      <alignment vertical="center"/>
    </xf>
    <xf numFmtId="0" fontId="2" fillId="0" borderId="0" xfId="2842" applyFont="1" applyAlignment="1">
      <alignment vertical="center"/>
    </xf>
    <xf numFmtId="0" fontId="65" fillId="0" borderId="0" xfId="2842"/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80" fillId="0" borderId="1" xfId="0" applyFont="1" applyBorder="1" applyAlignment="1"/>
    <xf numFmtId="0" fontId="8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4" fillId="0" borderId="1" xfId="4972" applyFont="1" applyBorder="1" applyAlignment="1">
      <alignment horizontal="centerContinuous" vertical="center"/>
    </xf>
    <xf numFmtId="0" fontId="64" fillId="0" borderId="1" xfId="4972" applyFont="1" applyBorder="1" applyAlignment="1">
      <alignment horizontal="center" vertical="center"/>
    </xf>
    <xf numFmtId="0" fontId="7" fillId="0" borderId="1" xfId="4972" applyFont="1" applyBorder="1" applyAlignment="1">
      <alignment vertical="center"/>
    </xf>
    <xf numFmtId="0" fontId="7" fillId="0" borderId="1" xfId="4973" applyFont="1" applyBorder="1" applyAlignment="1">
      <alignment vertical="center"/>
    </xf>
    <xf numFmtId="0" fontId="7" fillId="0" borderId="1" xfId="4972" applyFont="1" applyBorder="1" applyAlignment="1">
      <alignment horizontal="center" vertical="center"/>
    </xf>
    <xf numFmtId="0" fontId="7" fillId="0" borderId="1" xfId="4974" applyFont="1" applyBorder="1" applyAlignment="1">
      <alignment horizontal="center" vertical="center"/>
    </xf>
    <xf numFmtId="0" fontId="9" fillId="0" borderId="1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4" fillId="0" borderId="1" xfId="4977" applyFont="1" applyBorder="1" applyAlignment="1">
      <alignment horizontal="centerContinuous" vertical="center"/>
    </xf>
    <xf numFmtId="0" fontId="64" fillId="0" borderId="1" xfId="4977" applyFont="1" applyBorder="1" applyAlignment="1">
      <alignment horizontal="center" vertical="center"/>
    </xf>
    <xf numFmtId="0" fontId="7" fillId="0" borderId="1" xfId="4977" applyFont="1" applyBorder="1" applyAlignment="1">
      <alignment vertical="center"/>
    </xf>
    <xf numFmtId="0" fontId="7" fillId="0" borderId="1" xfId="4977" applyFont="1" applyBorder="1" applyAlignment="1">
      <alignment horizontal="center" vertical="center"/>
    </xf>
    <xf numFmtId="0" fontId="6" fillId="0" borderId="0" xfId="4977" applyFont="1" applyAlignment="1">
      <alignment horizontal="right" vertical="center"/>
    </xf>
    <xf numFmtId="0" fontId="64" fillId="0" borderId="1" xfId="4978" quotePrefix="1" applyFont="1" applyBorder="1" applyAlignment="1">
      <alignment horizontal="center" vertical="center"/>
    </xf>
    <xf numFmtId="0" fontId="64" fillId="0" borderId="1" xfId="4978" applyFont="1" applyBorder="1" applyAlignment="1">
      <alignment horizontal="center" vertical="center"/>
    </xf>
    <xf numFmtId="0" fontId="7" fillId="0" borderId="1" xfId="4979" applyFont="1" applyBorder="1" applyAlignment="1">
      <alignment horizontal="center" vertical="center"/>
    </xf>
    <xf numFmtId="0" fontId="7" fillId="0" borderId="1" xfId="2616" applyFont="1" applyBorder="1" applyAlignment="1">
      <alignment horizontal="center"/>
    </xf>
    <xf numFmtId="0" fontId="7" fillId="0" borderId="1" xfId="4979" applyFont="1" applyBorder="1" applyAlignment="1">
      <alignment horizontal="left" vertical="center"/>
    </xf>
    <xf numFmtId="0" fontId="7" fillId="0" borderId="1" xfId="4979" applyFont="1" applyBorder="1" applyAlignment="1">
      <alignment vertical="center"/>
    </xf>
    <xf numFmtId="0" fontId="7" fillId="0" borderId="1" xfId="4980" applyFont="1" applyBorder="1"/>
    <xf numFmtId="49" fontId="7" fillId="0" borderId="1" xfId="4979" applyNumberFormat="1" applyFont="1" applyFill="1" applyBorder="1" applyAlignment="1">
      <alignment horizontal="left" vertical="center"/>
    </xf>
    <xf numFmtId="192" fontId="7" fillId="0" borderId="1" xfId="4979" applyNumberFormat="1" applyFont="1" applyFill="1" applyBorder="1" applyAlignment="1">
      <alignment horizontal="left" vertical="center"/>
    </xf>
    <xf numFmtId="0" fontId="7" fillId="0" borderId="1" xfId="4979" applyFont="1" applyBorder="1"/>
    <xf numFmtId="0" fontId="7" fillId="0" borderId="0" xfId="0" applyFo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55" fillId="0" borderId="1" xfId="2842" applyFont="1" applyBorder="1" applyAlignment="1">
      <alignment horizontal="center" vertical="center"/>
    </xf>
    <xf numFmtId="0" fontId="54" fillId="0" borderId="1" xfId="2842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5" fillId="50" borderId="0" xfId="0" applyFont="1" applyFill="1" applyBorder="1" applyAlignment="1">
      <alignment horizontal="left" vertical="center"/>
    </xf>
    <xf numFmtId="0" fontId="85" fillId="50" borderId="0" xfId="0" applyFont="1" applyFill="1" applyBorder="1" applyAlignment="1">
      <alignment horizontal="right" vertical="center"/>
    </xf>
    <xf numFmtId="0" fontId="9" fillId="0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right" vertical="center"/>
    </xf>
    <xf numFmtId="49" fontId="6" fillId="0" borderId="0" xfId="4974" applyNumberFormat="1" applyFont="1" applyFill="1" applyAlignment="1" applyProtection="1">
      <alignment horizontal="center" vertical="center"/>
    </xf>
    <xf numFmtId="0" fontId="6" fillId="0" borderId="0" xfId="4974" applyFont="1" applyAlignment="1">
      <alignment horizontal="center" vertical="center" wrapText="1"/>
    </xf>
    <xf numFmtId="191" fontId="6" fillId="0" borderId="0" xfId="4974" applyNumberFormat="1" applyFont="1" applyAlignment="1">
      <alignment horizontal="center" vertical="center"/>
    </xf>
    <xf numFmtId="0" fontId="6" fillId="0" borderId="0" xfId="4974" applyFont="1" applyAlignment="1">
      <alignment horizontal="center" vertical="center"/>
    </xf>
    <xf numFmtId="49" fontId="76" fillId="0" borderId="0" xfId="4974" applyNumberFormat="1" applyFont="1" applyFill="1" applyAlignment="1" applyProtection="1">
      <alignment horizontal="center" vertical="center" wrapText="1"/>
    </xf>
    <xf numFmtId="0" fontId="2" fillId="0" borderId="0" xfId="4974" applyFont="1" applyAlignment="1">
      <alignment horizontal="center" vertical="center" wrapText="1"/>
    </xf>
    <xf numFmtId="191" fontId="2" fillId="0" borderId="0" xfId="4974" applyNumberFormat="1" applyFont="1" applyAlignment="1">
      <alignment horizontal="center" vertical="center"/>
    </xf>
    <xf numFmtId="0" fontId="64" fillId="0" borderId="1" xfId="4976" applyNumberFormat="1" applyFont="1" applyFill="1" applyBorder="1" applyAlignment="1" applyProtection="1">
      <alignment horizontal="center" vertical="center" wrapText="1"/>
    </xf>
    <xf numFmtId="4" fontId="7" fillId="0" borderId="1" xfId="497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7" fillId="0" borderId="27" xfId="4990" applyFont="1" applyBorder="1" applyAlignment="1">
      <alignment horizontal="left" vertical="center" wrapText="1"/>
    </xf>
    <xf numFmtId="0" fontId="53" fillId="0" borderId="27" xfId="0" applyFont="1" applyFill="1" applyBorder="1" applyAlignment="1">
      <alignment horizontal="right" vertical="center"/>
    </xf>
    <xf numFmtId="0" fontId="80" fillId="0" borderId="27" xfId="0" applyFont="1" applyBorder="1" applyAlignment="1">
      <alignment vertical="center"/>
    </xf>
    <xf numFmtId="0" fontId="8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4978" applyFont="1" applyBorder="1" applyAlignment="1">
      <alignment horizontal="right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 wrapText="1"/>
    </xf>
    <xf numFmtId="0" fontId="9" fillId="0" borderId="1" xfId="2555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right" vertical="center" shrinkToFit="1"/>
    </xf>
    <xf numFmtId="49" fontId="86" fillId="0" borderId="1" xfId="4989" applyNumberFormat="1" applyFont="1" applyBorder="1" applyAlignment="1">
      <alignment vertical="center"/>
    </xf>
    <xf numFmtId="49" fontId="67" fillId="0" borderId="1" xfId="4989" applyNumberFormat="1" applyFont="1" applyBorder="1" applyAlignment="1">
      <alignment vertical="center"/>
    </xf>
    <xf numFmtId="0" fontId="5" fillId="0" borderId="1" xfId="2555" applyFont="1" applyFill="1" applyBorder="1" applyAlignment="1">
      <alignment horizontal="right" vertical="center" shrinkToFit="1"/>
    </xf>
    <xf numFmtId="49" fontId="67" fillId="0" borderId="1" xfId="4989" applyNumberFormat="1" applyFont="1" applyBorder="1" applyAlignment="1">
      <alignment vertical="center" wrapText="1"/>
    </xf>
    <xf numFmtId="0" fontId="64" fillId="0" borderId="1" xfId="0" applyFont="1" applyBorder="1" applyAlignment="1">
      <alignment vertical="center"/>
    </xf>
    <xf numFmtId="0" fontId="7" fillId="0" borderId="0" xfId="4978" applyFont="1" applyBorder="1" applyAlignment="1">
      <alignment horizontal="right" vertical="center"/>
    </xf>
    <xf numFmtId="0" fontId="54" fillId="0" borderId="0" xfId="2842" applyFont="1" applyAlignment="1">
      <alignment horizontal="right" vertical="center"/>
    </xf>
    <xf numFmtId="0" fontId="79" fillId="0" borderId="0" xfId="2842" applyFont="1" applyBorder="1" applyAlignment="1">
      <alignment vertical="center"/>
    </xf>
    <xf numFmtId="0" fontId="54" fillId="0" borderId="1" xfId="2842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90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left" vertical="center" wrapText="1"/>
    </xf>
    <xf numFmtId="0" fontId="92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4" fontId="7" fillId="0" borderId="1" xfId="4974" applyNumberFormat="1" applyFont="1" applyFill="1" applyBorder="1" applyAlignment="1">
      <alignment horizontal="right" vertical="center" wrapText="1"/>
    </xf>
    <xf numFmtId="49" fontId="2" fillId="0" borderId="1" xfId="4979" applyNumberFormat="1" applyFont="1" applyFill="1" applyBorder="1" applyAlignment="1">
      <alignment horizontal="left" vertical="center"/>
    </xf>
    <xf numFmtId="0" fontId="2" fillId="0" borderId="1" xfId="4979" applyFont="1" applyBorder="1" applyAlignment="1">
      <alignment vertical="center"/>
    </xf>
    <xf numFmtId="0" fontId="93" fillId="0" borderId="1" xfId="0" applyFont="1" applyBorder="1">
      <alignment vertical="center"/>
    </xf>
    <xf numFmtId="193" fontId="2" fillId="0" borderId="1" xfId="4980" applyNumberFormat="1" applyFont="1" applyBorder="1"/>
    <xf numFmtId="0" fontId="2" fillId="0" borderId="1" xfId="4979" applyFont="1" applyBorder="1" applyAlignment="1">
      <alignment horizontal="left"/>
    </xf>
    <xf numFmtId="0" fontId="2" fillId="0" borderId="1" xfId="4979" applyFont="1" applyBorder="1"/>
    <xf numFmtId="0" fontId="2" fillId="0" borderId="1" xfId="4980" applyFont="1" applyBorder="1" applyAlignment="1">
      <alignment horizontal="left"/>
    </xf>
    <xf numFmtId="0" fontId="2" fillId="0" borderId="1" xfId="4980" applyFont="1" applyBorder="1"/>
    <xf numFmtId="0" fontId="90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3" fillId="0" borderId="0" xfId="4972" applyFont="1" applyAlignment="1">
      <alignment horizontal="center" vertical="center"/>
    </xf>
    <xf numFmtId="0" fontId="84" fillId="0" borderId="0" xfId="4972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83" fillId="0" borderId="0" xfId="4974" applyNumberFormat="1" applyFont="1" applyFill="1" applyAlignment="1" applyProtection="1">
      <alignment horizontal="center" vertical="center" wrapText="1"/>
    </xf>
    <xf numFmtId="49" fontId="84" fillId="0" borderId="0" xfId="4974" applyNumberFormat="1" applyFont="1" applyFill="1" applyAlignment="1" applyProtection="1">
      <alignment horizontal="center" vertical="center" wrapText="1"/>
    </xf>
    <xf numFmtId="0" fontId="64" fillId="0" borderId="1" xfId="4974" applyNumberFormat="1" applyFont="1" applyFill="1" applyBorder="1" applyAlignment="1" applyProtection="1">
      <alignment horizontal="center" vertical="center" wrapText="1"/>
    </xf>
    <xf numFmtId="0" fontId="7" fillId="0" borderId="23" xfId="4974" applyFont="1" applyBorder="1" applyAlignment="1">
      <alignment horizontal="right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74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7" fillId="0" borderId="25" xfId="0" applyFont="1" applyBorder="1" applyAlignment="1">
      <alignment horizontal="left" vertical="center" wrapText="1"/>
    </xf>
    <xf numFmtId="0" fontId="64" fillId="0" borderId="21" xfId="4976" applyNumberFormat="1" applyFont="1" applyFill="1" applyBorder="1" applyAlignment="1" applyProtection="1">
      <alignment horizontal="center" vertical="center" wrapText="1"/>
    </xf>
    <xf numFmtId="0" fontId="64" fillId="0" borderId="22" xfId="4976" applyNumberFormat="1" applyFont="1" applyFill="1" applyBorder="1" applyAlignment="1" applyProtection="1">
      <alignment horizontal="center" vertical="center" wrapText="1"/>
    </xf>
    <xf numFmtId="0" fontId="5" fillId="0" borderId="23" xfId="0" applyFont="1" applyBorder="1" applyAlignment="1">
      <alignment horizontal="right" vertical="center"/>
    </xf>
    <xf numFmtId="0" fontId="83" fillId="0" borderId="0" xfId="4977" applyFont="1" applyAlignment="1">
      <alignment horizontal="center" vertical="center"/>
    </xf>
    <xf numFmtId="0" fontId="84" fillId="0" borderId="0" xfId="4977" applyFont="1" applyAlignment="1">
      <alignment horizontal="center" vertical="center"/>
    </xf>
    <xf numFmtId="192" fontId="89" fillId="0" borderId="0" xfId="4981" applyNumberFormat="1" applyFont="1" applyFill="1" applyBorder="1" applyAlignment="1">
      <alignment horizontal="left"/>
    </xf>
    <xf numFmtId="0" fontId="89" fillId="0" borderId="0" xfId="4981" applyNumberFormat="1" applyFont="1" applyFill="1" applyBorder="1" applyAlignment="1" applyProtection="1">
      <alignment horizontal="left" wrapText="1"/>
    </xf>
    <xf numFmtId="0" fontId="64" fillId="0" borderId="1" xfId="4978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192" fontId="57" fillId="0" borderId="0" xfId="4981" applyNumberFormat="1" applyFont="1" applyFill="1" applyBorder="1" applyAlignment="1">
      <alignment horizontal="left"/>
    </xf>
    <xf numFmtId="0" fontId="57" fillId="0" borderId="0" xfId="4981" applyNumberFormat="1" applyFont="1" applyFill="1" applyBorder="1" applyAlignment="1" applyProtection="1">
      <alignment horizontal="left" wrapText="1"/>
    </xf>
    <xf numFmtId="0" fontId="83" fillId="50" borderId="0" xfId="0" applyFont="1" applyFill="1" applyBorder="1" applyAlignment="1">
      <alignment horizontal="center" vertical="center"/>
    </xf>
    <xf numFmtId="0" fontId="84" fillId="50" borderId="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/>
    </xf>
    <xf numFmtId="0" fontId="82" fillId="0" borderId="0" xfId="1527" applyFont="1" applyAlignment="1">
      <alignment horizontal="center" vertical="center"/>
    </xf>
    <xf numFmtId="0" fontId="7" fillId="0" borderId="0" xfId="4978" applyFont="1" applyBorder="1" applyAlignment="1">
      <alignment horizontal="right" vertical="center"/>
    </xf>
    <xf numFmtId="0" fontId="83" fillId="0" borderId="0" xfId="2842" applyFont="1" applyAlignment="1">
      <alignment horizontal="center" vertical="center"/>
    </xf>
    <xf numFmtId="0" fontId="89" fillId="0" borderId="25" xfId="0" applyFont="1" applyBorder="1" applyAlignment="1">
      <alignment horizontal="left" vertical="center" wrapText="1"/>
    </xf>
    <xf numFmtId="0" fontId="89" fillId="0" borderId="25" xfId="0" applyFont="1" applyBorder="1" applyAlignment="1">
      <alignment horizontal="left" vertical="top" wrapText="1"/>
    </xf>
    <xf numFmtId="0" fontId="89" fillId="0" borderId="25" xfId="0" applyFont="1" applyBorder="1" applyAlignment="1">
      <alignment horizontal="left" vertical="top"/>
    </xf>
    <xf numFmtId="0" fontId="83" fillId="0" borderId="0" xfId="0" applyFont="1" applyAlignment="1">
      <alignment horizontal="center" vertical="center"/>
    </xf>
    <xf numFmtId="0" fontId="81" fillId="0" borderId="21" xfId="0" applyFont="1" applyBorder="1" applyAlignment="1">
      <alignment horizontal="center" vertical="center" wrapText="1"/>
    </xf>
    <xf numFmtId="0" fontId="81" fillId="0" borderId="2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 vertical="center"/>
    </xf>
    <xf numFmtId="0" fontId="92" fillId="0" borderId="1" xfId="0" applyFont="1" applyBorder="1" applyAlignment="1">
      <alignment horizontal="justify" vertical="center" wrapText="1"/>
    </xf>
    <xf numFmtId="0" fontId="90" fillId="0" borderId="1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92" fillId="0" borderId="24" xfId="0" applyFont="1" applyBorder="1" applyAlignment="1">
      <alignment horizontal="center" vertical="center" wrapText="1"/>
    </xf>
    <xf numFmtId="0" fontId="92" fillId="0" borderId="22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top" wrapText="1"/>
    </xf>
  </cellXfs>
  <cellStyles count="4992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4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3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9"/>
    <cellStyle name="常规 45" xfId="2642"/>
    <cellStyle name="常规 45 2" xfId="4981"/>
    <cellStyle name="常规 46" xfId="2643"/>
    <cellStyle name="常规 47" xfId="2644"/>
    <cellStyle name="常规 48" xfId="2645"/>
    <cellStyle name="常规 48 2" xfId="4980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1 2" xfId="4982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79" xfId="4991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8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workbookViewId="0">
      <selection activeCell="A11" sqref="A11"/>
    </sheetView>
  </sheetViews>
  <sheetFormatPr defaultRowHeight="14.25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24"/>
      <c r="B1" s="124"/>
      <c r="C1" s="124"/>
      <c r="D1" s="124"/>
    </row>
    <row r="2" spans="1:4">
      <c r="A2" s="5" t="s">
        <v>18</v>
      </c>
      <c r="B2" s="2"/>
      <c r="C2" s="2"/>
      <c r="D2" s="2"/>
    </row>
    <row r="3" spans="1:4" ht="20.25">
      <c r="A3" s="122" t="s">
        <v>302</v>
      </c>
      <c r="B3" s="123"/>
      <c r="C3" s="123"/>
      <c r="D3" s="123"/>
    </row>
    <row r="4" spans="1:4">
      <c r="A4" s="7"/>
      <c r="B4" s="7"/>
      <c r="C4" s="7"/>
      <c r="D4" s="8" t="s">
        <v>0</v>
      </c>
    </row>
    <row r="5" spans="1:4" ht="20.100000000000001" customHeight="1">
      <c r="A5" s="40" t="s">
        <v>5</v>
      </c>
      <c r="B5" s="40"/>
      <c r="C5" s="40" t="s">
        <v>6</v>
      </c>
      <c r="D5" s="40"/>
    </row>
    <row r="6" spans="1:4" ht="20.100000000000001" customHeight="1">
      <c r="A6" s="41" t="s">
        <v>7</v>
      </c>
      <c r="B6" s="41" t="s">
        <v>286</v>
      </c>
      <c r="C6" s="41" t="s">
        <v>8</v>
      </c>
      <c r="D6" s="41" t="s">
        <v>286</v>
      </c>
    </row>
    <row r="7" spans="1:4" ht="20.100000000000001" customHeight="1">
      <c r="A7" s="42" t="s">
        <v>9</v>
      </c>
      <c r="B7" s="9">
        <v>2683.86</v>
      </c>
      <c r="C7" s="42" t="s">
        <v>10</v>
      </c>
      <c r="D7" s="10">
        <v>1877.86</v>
      </c>
    </row>
    <row r="8" spans="1:4" ht="20.100000000000001" customHeight="1">
      <c r="A8" s="42" t="s">
        <v>14</v>
      </c>
      <c r="B8" s="9"/>
      <c r="C8" s="42" t="s">
        <v>280</v>
      </c>
      <c r="D8" s="9">
        <v>1526.16</v>
      </c>
    </row>
    <row r="9" spans="1:4" ht="20.100000000000001" customHeight="1">
      <c r="A9" s="43" t="s">
        <v>275</v>
      </c>
      <c r="B9" s="9"/>
      <c r="C9" s="42" t="s">
        <v>281</v>
      </c>
      <c r="D9" s="9">
        <v>187.52</v>
      </c>
    </row>
    <row r="10" spans="1:4" ht="20.100000000000001" customHeight="1">
      <c r="A10" s="43" t="s">
        <v>16</v>
      </c>
      <c r="B10" s="9"/>
      <c r="C10" s="42" t="s">
        <v>282</v>
      </c>
      <c r="D10" s="9">
        <v>164.18</v>
      </c>
    </row>
    <row r="11" spans="1:4" ht="20.100000000000001" customHeight="1">
      <c r="A11" s="43" t="s">
        <v>17</v>
      </c>
      <c r="B11" s="9"/>
      <c r="C11" s="42" t="s">
        <v>15</v>
      </c>
      <c r="D11" s="9">
        <v>806</v>
      </c>
    </row>
    <row r="12" spans="1:4" ht="20.100000000000001" customHeight="1">
      <c r="A12" s="44" t="s">
        <v>278</v>
      </c>
      <c r="B12" s="11">
        <v>2683.86</v>
      </c>
      <c r="C12" s="44" t="s">
        <v>279</v>
      </c>
      <c r="D12" s="9">
        <v>2683.86</v>
      </c>
    </row>
  </sheetData>
  <mergeCells count="2">
    <mergeCell ref="A3:D3"/>
    <mergeCell ref="A1:D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workbookViewId="0">
      <selection activeCell="B25" sqref="B25"/>
    </sheetView>
  </sheetViews>
  <sheetFormatPr defaultRowHeight="14.25"/>
  <cols>
    <col min="1" max="1" width="10.25" customWidth="1"/>
    <col min="2" max="2" width="45.875" customWidth="1"/>
    <col min="3" max="3" width="10" style="69" customWidth="1"/>
    <col min="4" max="8" width="9.5" style="69" customWidth="1"/>
  </cols>
  <sheetData>
    <row r="1" spans="1:8">
      <c r="A1" s="13" t="s">
        <v>26</v>
      </c>
      <c r="B1" s="12"/>
      <c r="C1" s="75"/>
      <c r="D1" s="76"/>
      <c r="E1" s="76"/>
      <c r="F1" s="77"/>
      <c r="G1" s="78"/>
      <c r="H1" s="78"/>
    </row>
    <row r="2" spans="1:8" ht="29.1" customHeight="1">
      <c r="A2" s="125" t="s">
        <v>303</v>
      </c>
      <c r="B2" s="126"/>
      <c r="C2" s="126"/>
      <c r="D2" s="126"/>
      <c r="E2" s="126"/>
      <c r="F2" s="126"/>
      <c r="G2" s="126"/>
      <c r="H2" s="126"/>
    </row>
    <row r="3" spans="1:8" ht="25.5">
      <c r="A3" s="13"/>
      <c r="B3" s="13"/>
      <c r="C3" s="79"/>
      <c r="D3" s="80"/>
      <c r="E3" s="80"/>
      <c r="F3" s="81"/>
      <c r="G3" s="128" t="s">
        <v>283</v>
      </c>
      <c r="H3" s="128"/>
    </row>
    <row r="4" spans="1:8">
      <c r="A4" s="127" t="s">
        <v>19</v>
      </c>
      <c r="B4" s="127" t="s">
        <v>20</v>
      </c>
      <c r="C4" s="129" t="s">
        <v>33</v>
      </c>
      <c r="D4" s="130"/>
      <c r="E4" s="130"/>
      <c r="F4" s="130"/>
      <c r="G4" s="130"/>
      <c r="H4" s="131"/>
    </row>
    <row r="5" spans="1:8" ht="60" customHeight="1">
      <c r="A5" s="127"/>
      <c r="B5" s="127"/>
      <c r="C5" s="47" t="s">
        <v>21</v>
      </c>
      <c r="D5" s="47" t="s">
        <v>22</v>
      </c>
      <c r="E5" s="47" t="s">
        <v>34</v>
      </c>
      <c r="F5" s="47" t="s">
        <v>23</v>
      </c>
      <c r="G5" s="82" t="s">
        <v>24</v>
      </c>
      <c r="H5" s="47" t="s">
        <v>284</v>
      </c>
    </row>
    <row r="6" spans="1:8" ht="20.100000000000001" customHeight="1">
      <c r="A6" s="45" t="s">
        <v>25</v>
      </c>
      <c r="B6" s="45" t="s">
        <v>25</v>
      </c>
      <c r="C6" s="90">
        <v>1</v>
      </c>
      <c r="D6" s="45">
        <v>2</v>
      </c>
      <c r="E6" s="90">
        <v>3</v>
      </c>
      <c r="F6" s="90">
        <v>4</v>
      </c>
      <c r="G6" s="45">
        <v>5</v>
      </c>
      <c r="H6" s="90">
        <v>6</v>
      </c>
    </row>
    <row r="7" spans="1:8" ht="20.100000000000001" customHeight="1">
      <c r="A7" s="14" t="s">
        <v>304</v>
      </c>
      <c r="B7" s="14" t="s">
        <v>305</v>
      </c>
      <c r="C7" s="110">
        <v>1628.16</v>
      </c>
      <c r="D7" s="110">
        <v>1628.16</v>
      </c>
      <c r="E7" s="110"/>
      <c r="F7" s="110"/>
      <c r="G7" s="83"/>
      <c r="H7" s="83"/>
    </row>
    <row r="8" spans="1:8" ht="20.100000000000001" customHeight="1">
      <c r="A8" s="14" t="s">
        <v>306</v>
      </c>
      <c r="B8" s="14" t="s">
        <v>307</v>
      </c>
      <c r="C8" s="110">
        <v>464.87</v>
      </c>
      <c r="D8" s="110">
        <v>464.87</v>
      </c>
      <c r="E8" s="110"/>
      <c r="F8" s="110"/>
      <c r="G8" s="83"/>
      <c r="H8" s="83"/>
    </row>
    <row r="9" spans="1:8" ht="20.100000000000001" customHeight="1">
      <c r="A9" s="14" t="s">
        <v>308</v>
      </c>
      <c r="B9" s="14" t="s">
        <v>309</v>
      </c>
      <c r="C9" s="110">
        <v>155</v>
      </c>
      <c r="D9" s="110">
        <v>155</v>
      </c>
      <c r="E9" s="110"/>
      <c r="F9" s="110"/>
      <c r="G9" s="84"/>
      <c r="H9" s="84"/>
    </row>
    <row r="10" spans="1:8" ht="20.100000000000001" customHeight="1">
      <c r="A10" s="14" t="s">
        <v>310</v>
      </c>
      <c r="B10" s="14" t="s">
        <v>311</v>
      </c>
      <c r="C10" s="110">
        <v>162.66</v>
      </c>
      <c r="D10" s="110">
        <v>162.66</v>
      </c>
      <c r="E10" s="110"/>
      <c r="F10" s="110"/>
      <c r="G10" s="84"/>
      <c r="H10" s="84"/>
    </row>
    <row r="11" spans="1:8" ht="20.100000000000001" customHeight="1">
      <c r="A11" s="14" t="s">
        <v>312</v>
      </c>
      <c r="B11" s="14" t="s">
        <v>313</v>
      </c>
      <c r="C11" s="110">
        <v>214.67</v>
      </c>
      <c r="D11" s="110">
        <v>214.67</v>
      </c>
      <c r="E11" s="110"/>
      <c r="F11" s="110"/>
      <c r="G11" s="84"/>
      <c r="H11" s="84"/>
    </row>
    <row r="12" spans="1:8" ht="20.100000000000001" customHeight="1">
      <c r="A12" s="14" t="s">
        <v>314</v>
      </c>
      <c r="B12" s="14" t="s">
        <v>315</v>
      </c>
      <c r="C12" s="110">
        <v>58.4</v>
      </c>
      <c r="D12" s="110">
        <v>58.4</v>
      </c>
      <c r="E12" s="110"/>
      <c r="F12" s="110"/>
      <c r="G12" s="84"/>
      <c r="H12" s="84"/>
    </row>
    <row r="13" spans="1:8" ht="20.100000000000001" customHeight="1">
      <c r="A13" s="14"/>
      <c r="B13" s="14" t="s">
        <v>316</v>
      </c>
      <c r="C13" s="110">
        <v>2683.76</v>
      </c>
      <c r="D13" s="110">
        <v>2683.76</v>
      </c>
      <c r="E13" s="110"/>
      <c r="F13" s="110"/>
      <c r="G13" s="84"/>
      <c r="H13" s="84"/>
    </row>
    <row r="14" spans="1:8" ht="20.100000000000001" customHeight="1">
      <c r="A14" s="3"/>
      <c r="B14" s="3"/>
      <c r="C14" s="84"/>
      <c r="D14" s="84"/>
      <c r="E14" s="84"/>
      <c r="F14" s="84"/>
      <c r="G14" s="84"/>
      <c r="H14" s="84"/>
    </row>
  </sheetData>
  <mergeCells count="5">
    <mergeCell ref="A2:H2"/>
    <mergeCell ref="A4:A5"/>
    <mergeCell ref="B4:B5"/>
    <mergeCell ref="G3:H3"/>
    <mergeCell ref="C4:H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7"/>
  <sheetViews>
    <sheetView topLeftCell="C1" workbookViewId="0">
      <selection activeCell="L17" sqref="L17"/>
    </sheetView>
  </sheetViews>
  <sheetFormatPr defaultRowHeight="14.25"/>
  <cols>
    <col min="1" max="1" width="9" customWidth="1"/>
    <col min="2" max="2" width="43.5" customWidth="1"/>
    <col min="3" max="3" width="9.125" customWidth="1"/>
    <col min="4" max="4" width="10.5" customWidth="1"/>
    <col min="5" max="5" width="10.5" bestFit="1" customWidth="1"/>
    <col min="6" max="6" width="9.75" bestFit="1" customWidth="1"/>
    <col min="7" max="7" width="7.5" customWidth="1"/>
    <col min="8" max="9" width="9.75" bestFit="1" customWidth="1"/>
    <col min="10" max="14" width="9.625" customWidth="1"/>
    <col min="15" max="15" width="9.125" customWidth="1"/>
  </cols>
  <sheetData>
    <row r="1" spans="1:15" ht="25.5">
      <c r="A1" s="15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2"/>
      <c r="N1" s="2"/>
      <c r="O1" s="2"/>
    </row>
    <row r="2" spans="1:15" ht="20.25">
      <c r="A2" s="132" t="s">
        <v>317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</row>
    <row r="3" spans="1:1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39" t="s">
        <v>0</v>
      </c>
      <c r="O3" s="139"/>
    </row>
    <row r="4" spans="1:15" s="39" customFormat="1" ht="13.5">
      <c r="A4" s="133" t="s">
        <v>19</v>
      </c>
      <c r="B4" s="133" t="s">
        <v>20</v>
      </c>
      <c r="C4" s="133" t="s">
        <v>27</v>
      </c>
      <c r="D4" s="133" t="s">
        <v>28</v>
      </c>
      <c r="E4" s="133" t="s">
        <v>285</v>
      </c>
      <c r="F4" s="133" t="s">
        <v>29</v>
      </c>
      <c r="G4" s="133" t="s">
        <v>30</v>
      </c>
      <c r="H4" s="133" t="s">
        <v>31</v>
      </c>
      <c r="I4" s="133" t="s">
        <v>32</v>
      </c>
      <c r="J4" s="46" t="s">
        <v>33</v>
      </c>
      <c r="K4" s="46"/>
      <c r="L4" s="46"/>
      <c r="M4" s="46"/>
      <c r="N4" s="46"/>
      <c r="O4" s="46"/>
    </row>
    <row r="5" spans="1:15" s="39" customFormat="1" ht="43.15" customHeight="1">
      <c r="A5" s="134"/>
      <c r="B5" s="134"/>
      <c r="C5" s="134"/>
      <c r="D5" s="134"/>
      <c r="E5" s="134"/>
      <c r="F5" s="134"/>
      <c r="G5" s="134"/>
      <c r="H5" s="134"/>
      <c r="I5" s="134"/>
      <c r="J5" s="133" t="s">
        <v>285</v>
      </c>
      <c r="K5" s="133" t="s">
        <v>22</v>
      </c>
      <c r="L5" s="133" t="s">
        <v>34</v>
      </c>
      <c r="M5" s="133" t="s">
        <v>23</v>
      </c>
      <c r="N5" s="137" t="s">
        <v>24</v>
      </c>
      <c r="O5" s="133" t="s">
        <v>35</v>
      </c>
    </row>
    <row r="6" spans="1:15" s="39" customFormat="1" ht="13.5">
      <c r="A6" s="135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8"/>
      <c r="O6" s="135"/>
    </row>
    <row r="7" spans="1:15" s="39" customFormat="1" ht="20.100000000000001" customHeight="1">
      <c r="A7" s="48" t="s">
        <v>25</v>
      </c>
      <c r="B7" s="48" t="s">
        <v>25</v>
      </c>
      <c r="C7" s="48" t="s">
        <v>25</v>
      </c>
      <c r="D7" s="48" t="s">
        <v>25</v>
      </c>
      <c r="E7" s="48">
        <v>1</v>
      </c>
      <c r="F7" s="48">
        <v>2</v>
      </c>
      <c r="G7" s="48">
        <v>3</v>
      </c>
      <c r="H7" s="48">
        <v>4</v>
      </c>
      <c r="I7" s="48">
        <v>5</v>
      </c>
      <c r="J7" s="48">
        <v>6</v>
      </c>
      <c r="K7" s="48">
        <v>7</v>
      </c>
      <c r="L7" s="48">
        <v>8</v>
      </c>
      <c r="M7" s="48">
        <v>9</v>
      </c>
      <c r="N7" s="48">
        <v>10</v>
      </c>
      <c r="O7" s="48">
        <v>11</v>
      </c>
    </row>
    <row r="8" spans="1:15" s="39" customFormat="1" ht="20.100000000000001" customHeight="1">
      <c r="A8" s="18" t="s">
        <v>304</v>
      </c>
      <c r="B8" s="18" t="s">
        <v>305</v>
      </c>
      <c r="C8" s="19">
        <v>2010601</v>
      </c>
      <c r="D8" s="19" t="s">
        <v>318</v>
      </c>
      <c r="E8" s="20">
        <v>1044</v>
      </c>
      <c r="F8" s="20">
        <v>917.67</v>
      </c>
      <c r="G8" s="20"/>
      <c r="H8" s="20">
        <v>126.33</v>
      </c>
      <c r="I8" s="20">
        <v>0</v>
      </c>
      <c r="J8" s="20">
        <f t="shared" ref="J8:J26" si="0">E8</f>
        <v>1044</v>
      </c>
      <c r="K8" s="21">
        <f t="shared" ref="K8:K26" si="1">J8</f>
        <v>1044</v>
      </c>
      <c r="L8" s="21"/>
      <c r="M8" s="21"/>
      <c r="N8" s="21"/>
      <c r="O8" s="21"/>
    </row>
    <row r="9" spans="1:15" s="39" customFormat="1" ht="20.100000000000001" customHeight="1">
      <c r="A9" s="18" t="s">
        <v>304</v>
      </c>
      <c r="B9" s="18" t="s">
        <v>305</v>
      </c>
      <c r="C9" s="19">
        <v>2010602</v>
      </c>
      <c r="D9" s="19" t="s">
        <v>319</v>
      </c>
      <c r="E9" s="20">
        <v>325</v>
      </c>
      <c r="F9" s="20"/>
      <c r="G9" s="20"/>
      <c r="H9" s="20"/>
      <c r="I9" s="20">
        <v>325</v>
      </c>
      <c r="J9" s="20">
        <f t="shared" si="0"/>
        <v>325</v>
      </c>
      <c r="K9" s="21">
        <f t="shared" si="1"/>
        <v>325</v>
      </c>
      <c r="L9" s="21"/>
      <c r="M9" s="21"/>
      <c r="N9" s="21"/>
      <c r="O9" s="21"/>
    </row>
    <row r="10" spans="1:15" s="39" customFormat="1" ht="20.100000000000001" customHeight="1">
      <c r="A10" s="18" t="s">
        <v>304</v>
      </c>
      <c r="B10" s="18" t="s">
        <v>305</v>
      </c>
      <c r="C10" s="19">
        <v>2010607</v>
      </c>
      <c r="D10" s="19" t="s">
        <v>320</v>
      </c>
      <c r="E10" s="20">
        <v>140</v>
      </c>
      <c r="F10" s="20"/>
      <c r="G10" s="20"/>
      <c r="H10" s="20"/>
      <c r="I10" s="20">
        <v>140</v>
      </c>
      <c r="J10" s="20">
        <f t="shared" si="0"/>
        <v>140</v>
      </c>
      <c r="K10" s="21">
        <f t="shared" si="1"/>
        <v>140</v>
      </c>
      <c r="L10" s="21"/>
      <c r="M10" s="21"/>
      <c r="N10" s="21"/>
      <c r="O10" s="21"/>
    </row>
    <row r="11" spans="1:15" s="39" customFormat="1" ht="20.100000000000001" customHeight="1">
      <c r="A11" s="18" t="s">
        <v>304</v>
      </c>
      <c r="B11" s="18" t="s">
        <v>305</v>
      </c>
      <c r="C11" s="19">
        <v>2210201</v>
      </c>
      <c r="D11" s="19" t="s">
        <v>321</v>
      </c>
      <c r="E11" s="20">
        <v>96.96</v>
      </c>
      <c r="F11" s="20"/>
      <c r="G11" s="20">
        <v>96.96</v>
      </c>
      <c r="H11" s="20"/>
      <c r="I11" s="20"/>
      <c r="J11" s="20">
        <f t="shared" si="0"/>
        <v>96.96</v>
      </c>
      <c r="K11" s="21">
        <f t="shared" si="1"/>
        <v>96.96</v>
      </c>
      <c r="L11" s="21"/>
      <c r="M11" s="21"/>
      <c r="N11" s="21"/>
      <c r="O11" s="21"/>
    </row>
    <row r="12" spans="1:15" s="39" customFormat="1" ht="20.100000000000001" customHeight="1">
      <c r="A12" s="18" t="s">
        <v>304</v>
      </c>
      <c r="B12" s="18" t="s">
        <v>305</v>
      </c>
      <c r="C12" s="19">
        <v>2210202</v>
      </c>
      <c r="D12" s="19" t="s">
        <v>322</v>
      </c>
      <c r="E12" s="20">
        <f t="shared" ref="E12:E26" si="2">F12+G12+H12+I12</f>
        <v>22.2</v>
      </c>
      <c r="F12" s="20"/>
      <c r="G12" s="20">
        <v>22.2</v>
      </c>
      <c r="H12" s="20"/>
      <c r="I12" s="20"/>
      <c r="J12" s="20">
        <f t="shared" si="0"/>
        <v>22.2</v>
      </c>
      <c r="K12" s="21">
        <f t="shared" si="1"/>
        <v>22.2</v>
      </c>
      <c r="L12" s="21"/>
      <c r="M12" s="21"/>
      <c r="N12" s="21"/>
      <c r="O12" s="21"/>
    </row>
    <row r="13" spans="1:15" s="39" customFormat="1" ht="20.100000000000001" customHeight="1">
      <c r="A13" s="18" t="s">
        <v>306</v>
      </c>
      <c r="B13" s="18" t="s">
        <v>307</v>
      </c>
      <c r="C13" s="19">
        <v>2010605</v>
      </c>
      <c r="D13" s="19" t="s">
        <v>323</v>
      </c>
      <c r="E13" s="20">
        <v>42</v>
      </c>
      <c r="F13" s="20"/>
      <c r="G13" s="20"/>
      <c r="H13" s="20"/>
      <c r="I13" s="20">
        <v>42</v>
      </c>
      <c r="J13" s="20">
        <f t="shared" si="0"/>
        <v>42</v>
      </c>
      <c r="K13" s="21">
        <f t="shared" si="1"/>
        <v>42</v>
      </c>
      <c r="L13" s="21"/>
      <c r="M13" s="21"/>
      <c r="N13" s="21"/>
      <c r="O13" s="21"/>
    </row>
    <row r="14" spans="1:15" s="39" customFormat="1" ht="20.100000000000001" customHeight="1">
      <c r="A14" s="18" t="s">
        <v>306</v>
      </c>
      <c r="B14" s="18" t="s">
        <v>307</v>
      </c>
      <c r="C14" s="19">
        <v>2010650</v>
      </c>
      <c r="D14" s="19" t="s">
        <v>324</v>
      </c>
      <c r="E14" s="20">
        <v>386.14</v>
      </c>
      <c r="F14" s="20">
        <v>324.14</v>
      </c>
      <c r="G14" s="20"/>
      <c r="H14" s="20">
        <v>24</v>
      </c>
      <c r="I14" s="20">
        <v>38</v>
      </c>
      <c r="J14" s="20">
        <f t="shared" si="0"/>
        <v>386.14</v>
      </c>
      <c r="K14" s="21">
        <f t="shared" si="1"/>
        <v>386.14</v>
      </c>
      <c r="L14" s="21"/>
      <c r="M14" s="21"/>
      <c r="N14" s="21"/>
      <c r="O14" s="21"/>
    </row>
    <row r="15" spans="1:15" s="39" customFormat="1" ht="20.100000000000001" customHeight="1">
      <c r="A15" s="18" t="s">
        <v>306</v>
      </c>
      <c r="B15" s="18" t="s">
        <v>307</v>
      </c>
      <c r="C15" s="19">
        <v>2210201</v>
      </c>
      <c r="D15" s="19" t="s">
        <v>321</v>
      </c>
      <c r="E15" s="20">
        <f t="shared" si="2"/>
        <v>29.5</v>
      </c>
      <c r="F15" s="20"/>
      <c r="G15" s="20">
        <v>29.5</v>
      </c>
      <c r="H15" s="20"/>
      <c r="I15" s="20"/>
      <c r="J15" s="20">
        <f t="shared" si="0"/>
        <v>29.5</v>
      </c>
      <c r="K15" s="21">
        <f t="shared" si="1"/>
        <v>29.5</v>
      </c>
      <c r="L15" s="21"/>
      <c r="M15" s="21"/>
      <c r="N15" s="21"/>
      <c r="O15" s="21"/>
    </row>
    <row r="16" spans="1:15" s="39" customFormat="1" ht="20.100000000000001" customHeight="1">
      <c r="A16" s="18" t="s">
        <v>306</v>
      </c>
      <c r="B16" s="18" t="s">
        <v>307</v>
      </c>
      <c r="C16" s="19">
        <v>2210202</v>
      </c>
      <c r="D16" s="19" t="s">
        <v>322</v>
      </c>
      <c r="E16" s="20">
        <f t="shared" si="2"/>
        <v>7.23</v>
      </c>
      <c r="F16" s="20"/>
      <c r="G16" s="20">
        <v>7.23</v>
      </c>
      <c r="H16" s="20"/>
      <c r="I16" s="20"/>
      <c r="J16" s="20">
        <f t="shared" si="0"/>
        <v>7.23</v>
      </c>
      <c r="K16" s="21">
        <f t="shared" si="1"/>
        <v>7.23</v>
      </c>
      <c r="L16" s="21"/>
      <c r="M16" s="21"/>
      <c r="N16" s="21"/>
      <c r="O16" s="21"/>
    </row>
    <row r="17" spans="1:15" s="39" customFormat="1" ht="20.100000000000001" customHeight="1">
      <c r="A17" s="18" t="s">
        <v>308</v>
      </c>
      <c r="B17" s="18" t="s">
        <v>309</v>
      </c>
      <c r="C17" s="19">
        <v>2010603</v>
      </c>
      <c r="D17" s="19" t="s">
        <v>325</v>
      </c>
      <c r="E17" s="20">
        <f t="shared" si="2"/>
        <v>155</v>
      </c>
      <c r="F17" s="20"/>
      <c r="G17" s="20"/>
      <c r="H17" s="20"/>
      <c r="I17" s="20">
        <v>155</v>
      </c>
      <c r="J17" s="20">
        <f t="shared" si="0"/>
        <v>155</v>
      </c>
      <c r="K17" s="21">
        <f t="shared" si="1"/>
        <v>155</v>
      </c>
      <c r="L17" s="21"/>
      <c r="M17" s="21"/>
      <c r="N17" s="21"/>
      <c r="O17" s="21"/>
    </row>
    <row r="18" spans="1:15" s="39" customFormat="1" ht="20.100000000000001" customHeight="1">
      <c r="A18" s="18" t="s">
        <v>310</v>
      </c>
      <c r="B18" s="18" t="s">
        <v>326</v>
      </c>
      <c r="C18" s="19">
        <v>2010650</v>
      </c>
      <c r="D18" s="19" t="s">
        <v>324</v>
      </c>
      <c r="E18" s="20">
        <v>148.07</v>
      </c>
      <c r="F18" s="20">
        <v>118.47</v>
      </c>
      <c r="G18" s="20"/>
      <c r="H18" s="20">
        <v>5.6</v>
      </c>
      <c r="I18" s="20">
        <v>24</v>
      </c>
      <c r="J18" s="20">
        <f t="shared" si="0"/>
        <v>148.07</v>
      </c>
      <c r="K18" s="21">
        <f t="shared" si="1"/>
        <v>148.07</v>
      </c>
      <c r="L18" s="21"/>
      <c r="M18" s="21"/>
      <c r="N18" s="21"/>
      <c r="O18" s="21"/>
    </row>
    <row r="19" spans="1:15" s="39" customFormat="1" ht="20.100000000000001" customHeight="1">
      <c r="A19" s="18" t="s">
        <v>310</v>
      </c>
      <c r="B19" s="18" t="s">
        <v>326</v>
      </c>
      <c r="C19" s="19">
        <v>2210201</v>
      </c>
      <c r="D19" s="19" t="s">
        <v>321</v>
      </c>
      <c r="E19" s="20">
        <f t="shared" si="2"/>
        <v>11.55</v>
      </c>
      <c r="F19" s="20"/>
      <c r="G19" s="20">
        <v>11.55</v>
      </c>
      <c r="H19" s="20"/>
      <c r="I19" s="20"/>
      <c r="J19" s="20">
        <f t="shared" si="0"/>
        <v>11.55</v>
      </c>
      <c r="K19" s="21">
        <f t="shared" si="1"/>
        <v>11.55</v>
      </c>
      <c r="L19" s="21"/>
      <c r="M19" s="21"/>
      <c r="N19" s="21"/>
      <c r="O19" s="21"/>
    </row>
    <row r="20" spans="1:15" s="39" customFormat="1" ht="20.100000000000001" customHeight="1">
      <c r="A20" s="18" t="s">
        <v>310</v>
      </c>
      <c r="B20" s="18" t="s">
        <v>326</v>
      </c>
      <c r="C20" s="19">
        <v>2210202</v>
      </c>
      <c r="D20" s="19" t="s">
        <v>322</v>
      </c>
      <c r="E20" s="20">
        <f t="shared" si="2"/>
        <v>3.04</v>
      </c>
      <c r="F20" s="20"/>
      <c r="G20" s="20">
        <v>3.04</v>
      </c>
      <c r="H20" s="20"/>
      <c r="I20" s="20"/>
      <c r="J20" s="20">
        <f t="shared" si="0"/>
        <v>3.04</v>
      </c>
      <c r="K20" s="21">
        <f t="shared" si="1"/>
        <v>3.04</v>
      </c>
      <c r="L20" s="21"/>
      <c r="M20" s="21"/>
      <c r="N20" s="21"/>
      <c r="O20" s="21"/>
    </row>
    <row r="21" spans="1:15" s="39" customFormat="1" ht="20.100000000000001" customHeight="1">
      <c r="A21" s="18" t="s">
        <v>312</v>
      </c>
      <c r="B21" s="18" t="s">
        <v>313</v>
      </c>
      <c r="C21" s="19">
        <v>2010650</v>
      </c>
      <c r="D21" s="19" t="s">
        <v>324</v>
      </c>
      <c r="E21" s="20">
        <v>200.23</v>
      </c>
      <c r="F21" s="20">
        <v>136.72999999999999</v>
      </c>
      <c r="G21" s="20"/>
      <c r="H21" s="20">
        <v>5.6</v>
      </c>
      <c r="I21" s="20">
        <v>57</v>
      </c>
      <c r="J21" s="20">
        <f t="shared" si="0"/>
        <v>200.23</v>
      </c>
      <c r="K21" s="21">
        <f t="shared" si="1"/>
        <v>200.23</v>
      </c>
      <c r="L21" s="21"/>
      <c r="M21" s="21"/>
      <c r="N21" s="21"/>
      <c r="O21" s="21"/>
    </row>
    <row r="22" spans="1:15" s="39" customFormat="1" ht="20.100000000000001" customHeight="1">
      <c r="A22" s="18" t="s">
        <v>312</v>
      </c>
      <c r="B22" s="18" t="s">
        <v>313</v>
      </c>
      <c r="C22" s="19">
        <v>2210201</v>
      </c>
      <c r="D22" s="19" t="s">
        <v>321</v>
      </c>
      <c r="E22" s="20">
        <v>11.37</v>
      </c>
      <c r="F22" s="20"/>
      <c r="G22" s="20">
        <v>11.37</v>
      </c>
      <c r="H22" s="20"/>
      <c r="I22" s="20"/>
      <c r="J22" s="20">
        <f t="shared" si="0"/>
        <v>11.37</v>
      </c>
      <c r="K22" s="21">
        <f t="shared" si="1"/>
        <v>11.37</v>
      </c>
      <c r="L22" s="21"/>
      <c r="M22" s="21"/>
      <c r="N22" s="21"/>
      <c r="O22" s="21"/>
    </row>
    <row r="23" spans="1:15" s="39" customFormat="1" ht="20.100000000000001" customHeight="1">
      <c r="A23" s="18" t="s">
        <v>312</v>
      </c>
      <c r="B23" s="18" t="s">
        <v>313</v>
      </c>
      <c r="C23" s="19">
        <v>2210202</v>
      </c>
      <c r="D23" s="19" t="s">
        <v>322</v>
      </c>
      <c r="E23" s="20">
        <f t="shared" si="2"/>
        <v>3.07</v>
      </c>
      <c r="F23" s="20"/>
      <c r="G23" s="20">
        <v>3.07</v>
      </c>
      <c r="H23" s="20"/>
      <c r="I23" s="20"/>
      <c r="J23" s="20">
        <f t="shared" si="0"/>
        <v>3.07</v>
      </c>
      <c r="K23" s="21">
        <f t="shared" si="1"/>
        <v>3.07</v>
      </c>
      <c r="L23" s="21"/>
      <c r="M23" s="21"/>
      <c r="N23" s="21"/>
      <c r="O23" s="21"/>
    </row>
    <row r="24" spans="1:15" s="39" customFormat="1" ht="20.100000000000001" customHeight="1">
      <c r="A24" s="18" t="s">
        <v>314</v>
      </c>
      <c r="B24" s="18" t="s">
        <v>327</v>
      </c>
      <c r="C24" s="19">
        <v>2010650</v>
      </c>
      <c r="D24" s="19" t="s">
        <v>324</v>
      </c>
      <c r="E24" s="20">
        <v>55.8</v>
      </c>
      <c r="F24" s="20">
        <v>29.15</v>
      </c>
      <c r="G24" s="20"/>
      <c r="H24" s="20">
        <v>1.65</v>
      </c>
      <c r="I24" s="20">
        <v>25</v>
      </c>
      <c r="J24" s="20">
        <f t="shared" si="0"/>
        <v>55.8</v>
      </c>
      <c r="K24" s="21">
        <f t="shared" si="1"/>
        <v>55.8</v>
      </c>
      <c r="L24" s="21"/>
      <c r="M24" s="21"/>
      <c r="N24" s="21"/>
      <c r="O24" s="21"/>
    </row>
    <row r="25" spans="1:15" ht="20.100000000000001" customHeight="1">
      <c r="A25" s="18" t="s">
        <v>314</v>
      </c>
      <c r="B25" s="18" t="s">
        <v>327</v>
      </c>
      <c r="C25" s="19">
        <v>2210201</v>
      </c>
      <c r="D25" s="19" t="s">
        <v>321</v>
      </c>
      <c r="E25" s="20">
        <v>1.96</v>
      </c>
      <c r="F25" s="20"/>
      <c r="G25" s="20">
        <v>1.96</v>
      </c>
      <c r="H25" s="20"/>
      <c r="I25" s="20"/>
      <c r="J25" s="20">
        <f t="shared" si="0"/>
        <v>1.96</v>
      </c>
      <c r="K25" s="21">
        <f t="shared" si="1"/>
        <v>1.96</v>
      </c>
      <c r="L25" s="3"/>
      <c r="M25" s="3"/>
      <c r="N25" s="3"/>
      <c r="O25" s="3"/>
    </row>
    <row r="26" spans="1:15" ht="20.100000000000001" customHeight="1">
      <c r="A26" s="18" t="s">
        <v>314</v>
      </c>
      <c r="B26" s="18" t="s">
        <v>327</v>
      </c>
      <c r="C26" s="19">
        <v>2210202</v>
      </c>
      <c r="D26" s="19" t="s">
        <v>322</v>
      </c>
      <c r="E26" s="20">
        <f t="shared" si="2"/>
        <v>0.64</v>
      </c>
      <c r="F26" s="20"/>
      <c r="G26" s="20">
        <v>0.64</v>
      </c>
      <c r="H26" s="20"/>
      <c r="I26" s="20"/>
      <c r="J26" s="20">
        <f t="shared" si="0"/>
        <v>0.64</v>
      </c>
      <c r="K26" s="21">
        <f t="shared" si="1"/>
        <v>0.64</v>
      </c>
      <c r="L26" s="3"/>
      <c r="M26" s="3"/>
      <c r="N26" s="3"/>
      <c r="O26" s="3"/>
    </row>
    <row r="27" spans="1:15" ht="64.900000000000006" customHeight="1">
      <c r="A27" s="136" t="s">
        <v>299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</row>
  </sheetData>
  <mergeCells count="18">
    <mergeCell ref="A27:O27"/>
    <mergeCell ref="L5:L6"/>
    <mergeCell ref="N5:N6"/>
    <mergeCell ref="O5:O6"/>
    <mergeCell ref="N3:O3"/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  <mergeCell ref="K5:K6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6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tabSelected="1" workbookViewId="0">
      <selection activeCell="D18" sqref="D18"/>
    </sheetView>
  </sheetViews>
  <sheetFormatPr defaultRowHeight="14.25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2" t="s">
        <v>37</v>
      </c>
      <c r="B1" s="2"/>
      <c r="C1" s="2"/>
      <c r="D1" s="2"/>
    </row>
    <row r="2" spans="1:4" ht="20.25">
      <c r="A2" s="140" t="s">
        <v>328</v>
      </c>
      <c r="B2" s="141"/>
      <c r="C2" s="141"/>
      <c r="D2" s="141"/>
    </row>
    <row r="3" spans="1:4">
      <c r="A3" s="22"/>
      <c r="B3" s="22"/>
      <c r="C3" s="22"/>
      <c r="D3" s="53" t="s">
        <v>0</v>
      </c>
    </row>
    <row r="4" spans="1:4" s="39" customFormat="1" ht="20.100000000000001" customHeight="1">
      <c r="A4" s="49" t="s">
        <v>5</v>
      </c>
      <c r="B4" s="49"/>
      <c r="C4" s="49" t="s">
        <v>6</v>
      </c>
      <c r="D4" s="49"/>
    </row>
    <row r="5" spans="1:4" s="39" customFormat="1" ht="20.100000000000001" customHeight="1">
      <c r="A5" s="50" t="s">
        <v>7</v>
      </c>
      <c r="B5" s="50" t="s">
        <v>273</v>
      </c>
      <c r="C5" s="50" t="s">
        <v>8</v>
      </c>
      <c r="D5" s="50" t="s">
        <v>274</v>
      </c>
    </row>
    <row r="6" spans="1:4" s="39" customFormat="1" ht="20.100000000000001" customHeight="1">
      <c r="A6" s="51" t="s">
        <v>9</v>
      </c>
      <c r="B6" s="23">
        <v>2683.86</v>
      </c>
      <c r="C6" s="51" t="s">
        <v>10</v>
      </c>
      <c r="D6" s="24">
        <v>1877.86</v>
      </c>
    </row>
    <row r="7" spans="1:4" s="39" customFormat="1" ht="20.100000000000001" customHeight="1">
      <c r="A7" s="51" t="s">
        <v>14</v>
      </c>
      <c r="B7" s="23"/>
      <c r="C7" s="51" t="s">
        <v>11</v>
      </c>
      <c r="D7" s="23">
        <v>1526.16</v>
      </c>
    </row>
    <row r="8" spans="1:4" s="39" customFormat="1" ht="20.100000000000001" customHeight="1">
      <c r="A8" s="51"/>
      <c r="B8" s="23"/>
      <c r="C8" s="51" t="s">
        <v>12</v>
      </c>
      <c r="D8" s="23">
        <v>187.52</v>
      </c>
    </row>
    <row r="9" spans="1:4" s="39" customFormat="1" ht="20.100000000000001" customHeight="1">
      <c r="A9" s="51"/>
      <c r="B9" s="23"/>
      <c r="C9" s="51" t="s">
        <v>13</v>
      </c>
      <c r="D9" s="23">
        <v>164.18</v>
      </c>
    </row>
    <row r="10" spans="1:4" s="39" customFormat="1" ht="20.100000000000001" customHeight="1">
      <c r="A10" s="51"/>
      <c r="B10" s="23"/>
      <c r="C10" s="51" t="s">
        <v>15</v>
      </c>
      <c r="D10" s="25">
        <v>806</v>
      </c>
    </row>
    <row r="11" spans="1:4" s="39" customFormat="1" ht="20.100000000000001" customHeight="1">
      <c r="A11" s="51"/>
      <c r="B11" s="23"/>
      <c r="C11" s="51"/>
      <c r="D11" s="23"/>
    </row>
    <row r="12" spans="1:4" s="39" customFormat="1" ht="20.100000000000001" customHeight="1">
      <c r="A12" s="51"/>
      <c r="B12" s="23"/>
      <c r="C12" s="51"/>
      <c r="D12" s="23"/>
    </row>
    <row r="13" spans="1:4" s="39" customFormat="1" ht="20.100000000000001" customHeight="1">
      <c r="A13" s="52" t="s">
        <v>287</v>
      </c>
      <c r="B13" s="25">
        <v>2683.86</v>
      </c>
      <c r="C13" s="52" t="s">
        <v>288</v>
      </c>
      <c r="D13" s="23">
        <v>2683.86</v>
      </c>
    </row>
  </sheetData>
  <mergeCells count="1">
    <mergeCell ref="A2:D2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selection activeCell="D20" sqref="D20"/>
    </sheetView>
  </sheetViews>
  <sheetFormatPr defaultRowHeight="14.25"/>
  <cols>
    <col min="1" max="1" width="18.875" customWidth="1"/>
    <col min="2" max="2" width="14" customWidth="1"/>
    <col min="3" max="3" width="12.5" customWidth="1"/>
    <col min="4" max="4" width="14.125" customWidth="1"/>
    <col min="5" max="5" width="15.875" customWidth="1"/>
  </cols>
  <sheetData>
    <row r="1" spans="1:5">
      <c r="A1" s="26" t="s">
        <v>38</v>
      </c>
      <c r="B1" s="26"/>
      <c r="C1" s="26"/>
      <c r="D1" s="27"/>
      <c r="E1" s="27"/>
    </row>
    <row r="2" spans="1:5" ht="20.25">
      <c r="A2" s="122" t="s">
        <v>329</v>
      </c>
      <c r="B2" s="122"/>
      <c r="C2" s="122"/>
      <c r="D2" s="122"/>
      <c r="E2" s="122"/>
    </row>
    <row r="3" spans="1:5">
      <c r="A3" s="28"/>
      <c r="B3" s="28"/>
      <c r="C3" s="28"/>
      <c r="D3" s="29"/>
      <c r="E3" s="101" t="s">
        <v>0</v>
      </c>
    </row>
    <row r="4" spans="1:5" s="39" customFormat="1" ht="20.100000000000001" customHeight="1">
      <c r="A4" s="144" t="s">
        <v>27</v>
      </c>
      <c r="B4" s="144" t="s">
        <v>28</v>
      </c>
      <c r="C4" s="144" t="s">
        <v>39</v>
      </c>
      <c r="D4" s="145" t="s">
        <v>40</v>
      </c>
      <c r="E4" s="145"/>
    </row>
    <row r="5" spans="1:5" s="39" customFormat="1" ht="20.100000000000001" customHeight="1">
      <c r="A5" s="144"/>
      <c r="B5" s="144"/>
      <c r="C5" s="144"/>
      <c r="D5" s="54" t="s">
        <v>41</v>
      </c>
      <c r="E5" s="55" t="s">
        <v>32</v>
      </c>
    </row>
    <row r="6" spans="1:5" s="39" customFormat="1" ht="20.100000000000001" customHeight="1">
      <c r="A6" s="56" t="s">
        <v>25</v>
      </c>
      <c r="B6" s="56" t="s">
        <v>25</v>
      </c>
      <c r="C6" s="56">
        <v>1</v>
      </c>
      <c r="D6" s="57">
        <v>2</v>
      </c>
      <c r="E6" s="57">
        <v>3</v>
      </c>
    </row>
    <row r="7" spans="1:5" s="39" customFormat="1" ht="20.100000000000001" customHeight="1">
      <c r="A7" s="111" t="s">
        <v>330</v>
      </c>
      <c r="B7" s="112" t="s">
        <v>318</v>
      </c>
      <c r="C7" s="113">
        <v>1044</v>
      </c>
      <c r="D7" s="113">
        <v>1044</v>
      </c>
      <c r="E7" s="114">
        <v>0</v>
      </c>
    </row>
    <row r="8" spans="1:5" s="39" customFormat="1" ht="20.100000000000001" customHeight="1">
      <c r="A8" s="115">
        <v>2010602</v>
      </c>
      <c r="B8" s="116" t="s">
        <v>319</v>
      </c>
      <c r="C8" s="113">
        <v>325</v>
      </c>
      <c r="D8" s="114"/>
      <c r="E8" s="113">
        <v>325</v>
      </c>
    </row>
    <row r="9" spans="1:5" s="39" customFormat="1" ht="20.100000000000001" customHeight="1">
      <c r="A9" s="115">
        <v>2010603</v>
      </c>
      <c r="B9" s="116" t="s">
        <v>325</v>
      </c>
      <c r="C9" s="113">
        <f t="shared" ref="C9" si="0">D9+E9</f>
        <v>155</v>
      </c>
      <c r="D9" s="114"/>
      <c r="E9" s="113">
        <v>155</v>
      </c>
    </row>
    <row r="10" spans="1:5" s="39" customFormat="1" ht="20.100000000000001" customHeight="1">
      <c r="A10" s="115">
        <v>2010605</v>
      </c>
      <c r="B10" s="116" t="s">
        <v>323</v>
      </c>
      <c r="C10" s="113">
        <v>42</v>
      </c>
      <c r="D10" s="114"/>
      <c r="E10" s="113">
        <v>42</v>
      </c>
    </row>
    <row r="11" spans="1:5" s="39" customFormat="1" ht="20.100000000000001" customHeight="1">
      <c r="A11" s="115">
        <v>2010607</v>
      </c>
      <c r="B11" s="116" t="s">
        <v>320</v>
      </c>
      <c r="C11" s="113">
        <v>140</v>
      </c>
      <c r="D11" s="114"/>
      <c r="E11" s="113">
        <v>140</v>
      </c>
    </row>
    <row r="12" spans="1:5" s="39" customFormat="1" ht="20.100000000000001" customHeight="1">
      <c r="A12" s="115">
        <v>2010650</v>
      </c>
      <c r="B12" s="116" t="s">
        <v>324</v>
      </c>
      <c r="C12" s="113">
        <v>790.24</v>
      </c>
      <c r="D12" s="113">
        <v>646.24</v>
      </c>
      <c r="E12" s="113">
        <v>144</v>
      </c>
    </row>
    <row r="13" spans="1:5" s="39" customFormat="1" ht="20.100000000000001" customHeight="1">
      <c r="A13" s="117">
        <v>2210201</v>
      </c>
      <c r="B13" s="118" t="s">
        <v>321</v>
      </c>
      <c r="C13" s="113">
        <v>151.34</v>
      </c>
      <c r="D13" s="113">
        <v>151.34</v>
      </c>
      <c r="E13" s="114"/>
    </row>
    <row r="14" spans="1:5" s="39" customFormat="1" ht="20.100000000000001" customHeight="1">
      <c r="A14" s="117">
        <v>2210202</v>
      </c>
      <c r="B14" s="118" t="s">
        <v>322</v>
      </c>
      <c r="C14" s="113">
        <v>36.18</v>
      </c>
      <c r="D14" s="113">
        <v>36.18</v>
      </c>
      <c r="E14" s="114"/>
    </row>
    <row r="15" spans="1:5" s="39" customFormat="1" ht="20.100000000000001" customHeight="1">
      <c r="A15" s="117">
        <v>2010250</v>
      </c>
      <c r="B15" s="116" t="s">
        <v>324</v>
      </c>
      <c r="C15" s="113">
        <v>0.1</v>
      </c>
      <c r="D15" s="113">
        <v>0.1</v>
      </c>
      <c r="E15" s="114"/>
    </row>
    <row r="16" spans="1:5" s="39" customFormat="1" ht="20.100000000000001" customHeight="1">
      <c r="A16" s="60"/>
      <c r="B16" s="60"/>
      <c r="C16" s="60"/>
      <c r="D16" s="60"/>
      <c r="E16" s="60"/>
    </row>
    <row r="17" spans="1:5" s="39" customFormat="1" ht="20.100000000000001" customHeight="1">
      <c r="A17" s="60"/>
      <c r="B17" s="60"/>
      <c r="C17" s="60"/>
      <c r="D17" s="60"/>
      <c r="E17" s="60"/>
    </row>
    <row r="18" spans="1:5" s="39" customFormat="1" ht="20.100000000000001" customHeight="1">
      <c r="A18" s="60"/>
      <c r="B18" s="60"/>
      <c r="C18" s="60"/>
      <c r="D18" s="60"/>
      <c r="E18" s="60"/>
    </row>
    <row r="19" spans="1:5" s="39" customFormat="1" ht="20.100000000000001" customHeight="1">
      <c r="A19" s="60"/>
      <c r="B19" s="60"/>
      <c r="C19" s="60"/>
      <c r="D19" s="60"/>
      <c r="E19" s="60"/>
    </row>
    <row r="20" spans="1:5" s="39" customFormat="1" ht="20.100000000000001" customHeight="1">
      <c r="A20" s="60"/>
      <c r="B20" s="60"/>
      <c r="C20" s="60"/>
      <c r="D20" s="60"/>
      <c r="E20" s="60"/>
    </row>
    <row r="21" spans="1:5" s="39" customFormat="1" ht="20.100000000000001" customHeight="1">
      <c r="A21" s="60"/>
      <c r="B21" s="60"/>
      <c r="C21" s="60"/>
      <c r="D21" s="60"/>
      <c r="E21" s="60"/>
    </row>
    <row r="22" spans="1:5" s="39" customFormat="1" ht="16.5">
      <c r="A22" s="142" t="s">
        <v>298</v>
      </c>
      <c r="B22" s="142"/>
      <c r="C22" s="142"/>
      <c r="D22" s="142"/>
      <c r="E22" s="142"/>
    </row>
    <row r="23" spans="1:5" s="39" customFormat="1" ht="16.5">
      <c r="A23" s="143"/>
      <c r="B23" s="143"/>
      <c r="C23" s="143"/>
      <c r="D23" s="143"/>
      <c r="E23" s="143"/>
    </row>
  </sheetData>
  <mergeCells count="7">
    <mergeCell ref="A22:E22"/>
    <mergeCell ref="A23:E23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workbookViewId="0">
      <selection activeCell="B6" sqref="B6"/>
    </sheetView>
  </sheetViews>
  <sheetFormatPr defaultRowHeight="14.25"/>
  <cols>
    <col min="1" max="1" width="15.75" customWidth="1"/>
    <col min="2" max="2" width="23.625" customWidth="1"/>
    <col min="3" max="5" width="15.25" customWidth="1"/>
  </cols>
  <sheetData>
    <row r="1" spans="1:5" ht="24.6" customHeight="1">
      <c r="A1" s="26" t="s">
        <v>42</v>
      </c>
      <c r="B1" s="26"/>
      <c r="C1" s="26"/>
      <c r="D1" s="27"/>
      <c r="E1" s="27"/>
    </row>
    <row r="2" spans="1:5" ht="26.45" customHeight="1">
      <c r="A2" s="122" t="s">
        <v>331</v>
      </c>
      <c r="B2" s="122"/>
      <c r="C2" s="122"/>
      <c r="D2" s="122"/>
      <c r="E2" s="122"/>
    </row>
    <row r="3" spans="1:5">
      <c r="A3" s="28"/>
      <c r="B3" s="28"/>
      <c r="C3" s="28"/>
      <c r="D3" s="29"/>
      <c r="E3" s="91" t="s">
        <v>0</v>
      </c>
    </row>
    <row r="4" spans="1:5" s="39" customFormat="1" ht="20.100000000000001" customHeight="1">
      <c r="A4" s="144" t="s">
        <v>27</v>
      </c>
      <c r="B4" s="144" t="s">
        <v>28</v>
      </c>
      <c r="C4" s="144" t="s">
        <v>39</v>
      </c>
      <c r="D4" s="145" t="s">
        <v>40</v>
      </c>
      <c r="E4" s="145"/>
    </row>
    <row r="5" spans="1:5" s="39" customFormat="1" ht="20.100000000000001" customHeight="1">
      <c r="A5" s="144"/>
      <c r="B5" s="144"/>
      <c r="C5" s="144"/>
      <c r="D5" s="54" t="s">
        <v>41</v>
      </c>
      <c r="E5" s="55" t="s">
        <v>32</v>
      </c>
    </row>
    <row r="6" spans="1:5" s="39" customFormat="1" ht="20.100000000000001" customHeight="1">
      <c r="A6" s="56" t="s">
        <v>25</v>
      </c>
      <c r="B6" s="56" t="s">
        <v>25</v>
      </c>
      <c r="C6" s="56">
        <v>1</v>
      </c>
      <c r="D6" s="57">
        <v>2</v>
      </c>
      <c r="E6" s="57">
        <v>3</v>
      </c>
    </row>
    <row r="7" spans="1:5" s="39" customFormat="1" ht="20.100000000000001" customHeight="1">
      <c r="A7" s="58"/>
      <c r="B7" s="59"/>
      <c r="C7" s="59"/>
      <c r="D7" s="60"/>
      <c r="E7" s="60"/>
    </row>
    <row r="8" spans="1:5" s="39" customFormat="1" ht="20.100000000000001" customHeight="1">
      <c r="A8" s="61"/>
      <c r="B8" s="62"/>
      <c r="C8" s="62"/>
      <c r="D8" s="60"/>
      <c r="E8" s="60"/>
    </row>
    <row r="9" spans="1:5" s="39" customFormat="1" ht="20.100000000000001" customHeight="1">
      <c r="A9" s="63"/>
      <c r="B9" s="63"/>
      <c r="C9" s="63"/>
      <c r="D9" s="60"/>
      <c r="E9" s="60"/>
    </row>
    <row r="10" spans="1:5" s="39" customFormat="1" ht="20.100000000000001" customHeight="1">
      <c r="A10" s="63"/>
      <c r="B10" s="63"/>
      <c r="C10" s="63"/>
      <c r="D10" s="60"/>
      <c r="E10" s="60"/>
    </row>
    <row r="11" spans="1:5" s="39" customFormat="1" ht="20.100000000000001" customHeight="1">
      <c r="A11" s="63"/>
      <c r="B11" s="63"/>
      <c r="C11" s="63"/>
      <c r="D11" s="60"/>
      <c r="E11" s="60"/>
    </row>
    <row r="12" spans="1:5" s="39" customFormat="1" ht="20.100000000000001" customHeight="1">
      <c r="A12" s="63"/>
      <c r="B12" s="63"/>
      <c r="C12" s="63"/>
      <c r="D12" s="60"/>
      <c r="E12" s="60"/>
    </row>
    <row r="13" spans="1:5" s="39" customFormat="1" ht="20.100000000000001" customHeight="1">
      <c r="A13" s="63"/>
      <c r="B13" s="63"/>
      <c r="C13" s="63"/>
      <c r="D13" s="60"/>
      <c r="E13" s="60"/>
    </row>
    <row r="14" spans="1:5" s="39" customFormat="1" ht="20.100000000000001" customHeight="1">
      <c r="A14" s="60"/>
      <c r="B14" s="60"/>
      <c r="C14" s="60"/>
      <c r="D14" s="60"/>
      <c r="E14" s="60"/>
    </row>
    <row r="15" spans="1:5" s="39" customFormat="1" ht="20.100000000000001" customHeight="1">
      <c r="A15" s="60"/>
      <c r="B15" s="60"/>
      <c r="C15" s="60"/>
      <c r="D15" s="60"/>
      <c r="E15" s="60"/>
    </row>
    <row r="16" spans="1:5" s="39" customFormat="1" ht="20.100000000000001" customHeight="1">
      <c r="A16" s="60"/>
      <c r="B16" s="60"/>
      <c r="C16" s="60"/>
      <c r="D16" s="60"/>
      <c r="E16" s="60"/>
    </row>
    <row r="17" spans="1:5" s="39" customFormat="1" ht="20.100000000000001" customHeight="1">
      <c r="A17" s="60"/>
      <c r="B17" s="60"/>
      <c r="C17" s="60"/>
      <c r="D17" s="60"/>
      <c r="E17" s="60"/>
    </row>
    <row r="18" spans="1:5" s="39" customFormat="1" ht="20.100000000000001" customHeight="1">
      <c r="A18" s="60"/>
      <c r="B18" s="60"/>
      <c r="C18" s="60"/>
      <c r="D18" s="60"/>
      <c r="E18" s="60"/>
    </row>
    <row r="19" spans="1:5" s="39" customFormat="1" ht="20.100000000000001" customHeight="1">
      <c r="A19" s="60"/>
      <c r="B19" s="60"/>
      <c r="C19" s="60"/>
      <c r="D19" s="60"/>
      <c r="E19" s="60"/>
    </row>
    <row r="20" spans="1:5" s="39" customFormat="1" ht="20.100000000000001" customHeight="1">
      <c r="A20" s="60"/>
      <c r="B20" s="60"/>
      <c r="C20" s="60"/>
      <c r="D20" s="60"/>
      <c r="E20" s="60"/>
    </row>
    <row r="21" spans="1:5" s="39" customFormat="1" ht="20.100000000000001" customHeight="1">
      <c r="A21" s="60"/>
      <c r="B21" s="60"/>
      <c r="C21" s="60"/>
      <c r="D21" s="60"/>
      <c r="E21" s="60"/>
    </row>
    <row r="22" spans="1:5" s="39" customFormat="1" ht="18.600000000000001" customHeight="1">
      <c r="A22" s="147" t="s">
        <v>289</v>
      </c>
      <c r="B22" s="147"/>
      <c r="C22" s="147"/>
      <c r="D22" s="147"/>
      <c r="E22" s="64"/>
    </row>
    <row r="23" spans="1:5" s="39" customFormat="1" ht="18.600000000000001" customHeight="1">
      <c r="A23" s="148" t="s">
        <v>290</v>
      </c>
      <c r="B23" s="148"/>
      <c r="C23" s="148"/>
      <c r="D23" s="148"/>
      <c r="E23" s="64"/>
    </row>
    <row r="24" spans="1:5" s="39" customFormat="1" ht="18.600000000000001" customHeight="1">
      <c r="A24" s="146"/>
      <c r="B24" s="146"/>
      <c r="C24" s="146"/>
      <c r="D24" s="146"/>
    </row>
  </sheetData>
  <mergeCells count="8">
    <mergeCell ref="A24:D24"/>
    <mergeCell ref="A22:D22"/>
    <mergeCell ref="A23:D23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zoomScale="115" zoomScaleNormal="115" workbookViewId="0">
      <selection activeCell="B9" sqref="B9"/>
    </sheetView>
  </sheetViews>
  <sheetFormatPr defaultRowHeight="14.25"/>
  <cols>
    <col min="1" max="1" width="17.125" customWidth="1"/>
    <col min="2" max="2" width="36.25" customWidth="1"/>
    <col min="3" max="3" width="30.625" customWidth="1"/>
  </cols>
  <sheetData>
    <row r="1" spans="1:3" ht="23.45" customHeight="1">
      <c r="A1" s="36" t="s">
        <v>133</v>
      </c>
      <c r="B1" s="35"/>
      <c r="C1" s="35"/>
    </row>
    <row r="2" spans="1:3" ht="37.15" customHeight="1">
      <c r="A2" s="149" t="s">
        <v>332</v>
      </c>
      <c r="B2" s="150"/>
      <c r="C2" s="150"/>
    </row>
    <row r="3" spans="1:3" s="66" customFormat="1" ht="18" customHeight="1">
      <c r="A3" s="70"/>
      <c r="B3" s="65"/>
      <c r="C3" s="71" t="s">
        <v>116</v>
      </c>
    </row>
    <row r="4" spans="1:3" ht="31.5" customHeight="1">
      <c r="A4" s="72" t="s">
        <v>292</v>
      </c>
      <c r="B4" s="73" t="s">
        <v>28</v>
      </c>
      <c r="C4" s="92" t="s">
        <v>291</v>
      </c>
    </row>
    <row r="5" spans="1:3" ht="20.100000000000001" customHeight="1">
      <c r="A5" s="151" t="s">
        <v>44</v>
      </c>
      <c r="B5" s="151" t="s">
        <v>43</v>
      </c>
      <c r="C5" s="74">
        <v>2683.86</v>
      </c>
    </row>
    <row r="6" spans="1:3" ht="20.100000000000001" customHeight="1">
      <c r="A6" s="85" t="s">
        <v>45</v>
      </c>
      <c r="B6" s="85" t="s">
        <v>46</v>
      </c>
      <c r="C6" s="86">
        <v>1711.08</v>
      </c>
    </row>
    <row r="7" spans="1:3" ht="20.100000000000001" customHeight="1">
      <c r="A7" s="85" t="s">
        <v>53</v>
      </c>
      <c r="B7" s="85" t="s">
        <v>54</v>
      </c>
      <c r="C7" s="86">
        <v>600.28</v>
      </c>
    </row>
    <row r="8" spans="1:3" ht="20.100000000000001" customHeight="1">
      <c r="A8" s="85" t="s">
        <v>81</v>
      </c>
      <c r="B8" s="85" t="s">
        <v>82</v>
      </c>
      <c r="C8" s="86"/>
    </row>
    <row r="9" spans="1:3" ht="20.100000000000001" customHeight="1">
      <c r="A9" s="85" t="s">
        <v>110</v>
      </c>
      <c r="B9" s="85" t="s">
        <v>136</v>
      </c>
      <c r="C9" s="86" t="s">
        <v>43</v>
      </c>
    </row>
    <row r="10" spans="1:3" ht="20.100000000000001" customHeight="1">
      <c r="A10" s="85" t="s">
        <v>117</v>
      </c>
      <c r="B10" s="85" t="s">
        <v>137</v>
      </c>
      <c r="C10" s="86" t="s">
        <v>43</v>
      </c>
    </row>
    <row r="11" spans="1:3" ht="20.100000000000001" customHeight="1">
      <c r="A11" s="85" t="s">
        <v>94</v>
      </c>
      <c r="B11" s="85" t="s">
        <v>138</v>
      </c>
      <c r="C11" s="86">
        <v>372.5</v>
      </c>
    </row>
    <row r="12" spans="1:3" ht="20.100000000000001" customHeight="1">
      <c r="A12" s="85" t="s">
        <v>242</v>
      </c>
      <c r="B12" s="85" t="s">
        <v>139</v>
      </c>
      <c r="C12" s="86" t="s">
        <v>43</v>
      </c>
    </row>
    <row r="13" spans="1:3" ht="20.100000000000001" customHeight="1">
      <c r="A13" s="85" t="s">
        <v>246</v>
      </c>
      <c r="B13" s="85" t="s">
        <v>140</v>
      </c>
      <c r="C13" s="86" t="s">
        <v>43</v>
      </c>
    </row>
    <row r="14" spans="1:3" ht="20.100000000000001" customHeight="1">
      <c r="A14" s="85" t="s">
        <v>253</v>
      </c>
      <c r="B14" s="85" t="s">
        <v>141</v>
      </c>
      <c r="C14" s="87"/>
    </row>
    <row r="15" spans="1:3" ht="20.100000000000001" customHeight="1">
      <c r="A15" s="85" t="s">
        <v>112</v>
      </c>
      <c r="B15" s="85" t="s">
        <v>113</v>
      </c>
      <c r="C15" s="87"/>
    </row>
  </sheetData>
  <mergeCells count="2">
    <mergeCell ref="A2:C2"/>
    <mergeCell ref="A5:B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workbookViewId="0">
      <selection activeCell="A5" sqref="A5:B5"/>
    </sheetView>
  </sheetViews>
  <sheetFormatPr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30" t="s">
        <v>135</v>
      </c>
      <c r="B1" s="31"/>
      <c r="C1" s="2"/>
    </row>
    <row r="2" spans="1:3" ht="33.75" customHeight="1">
      <c r="A2" s="153" t="s">
        <v>335</v>
      </c>
      <c r="B2" s="153"/>
      <c r="C2" s="153"/>
    </row>
    <row r="3" spans="1:3" ht="21" customHeight="1">
      <c r="A3" s="32"/>
      <c r="B3" s="154" t="s">
        <v>0</v>
      </c>
      <c r="C3" s="154"/>
    </row>
    <row r="4" spans="1:3" ht="20.100000000000001" customHeight="1">
      <c r="A4" s="93" t="s">
        <v>293</v>
      </c>
      <c r="B4" s="94" t="s">
        <v>28</v>
      </c>
      <c r="C4" s="94" t="s">
        <v>294</v>
      </c>
    </row>
    <row r="5" spans="1:3" ht="20.100000000000001" customHeight="1">
      <c r="A5" s="152" t="s">
        <v>44</v>
      </c>
      <c r="B5" s="152" t="s">
        <v>43</v>
      </c>
      <c r="C5" s="95">
        <v>2683.86</v>
      </c>
    </row>
    <row r="6" spans="1:3" s="6" customFormat="1" ht="20.100000000000001" customHeight="1">
      <c r="A6" s="96" t="s">
        <v>45</v>
      </c>
      <c r="B6" s="96" t="s">
        <v>46</v>
      </c>
      <c r="C6" s="95">
        <v>1711.08</v>
      </c>
    </row>
    <row r="7" spans="1:3" ht="20.100000000000001" customHeight="1">
      <c r="A7" s="97" t="s">
        <v>47</v>
      </c>
      <c r="B7" s="97" t="s">
        <v>169</v>
      </c>
      <c r="C7" s="98">
        <v>338.55</v>
      </c>
    </row>
    <row r="8" spans="1:3" ht="20.100000000000001" customHeight="1">
      <c r="A8" s="97" t="s">
        <v>48</v>
      </c>
      <c r="B8" s="97" t="s">
        <v>170</v>
      </c>
      <c r="C8" s="98">
        <v>428.58</v>
      </c>
    </row>
    <row r="9" spans="1:3" ht="20.100000000000001" customHeight="1">
      <c r="A9" s="97" t="s">
        <v>49</v>
      </c>
      <c r="B9" s="97" t="s">
        <v>171</v>
      </c>
      <c r="C9" s="98">
        <v>505.4</v>
      </c>
    </row>
    <row r="10" spans="1:3" ht="20.100000000000001" customHeight="1">
      <c r="A10" s="97" t="s">
        <v>50</v>
      </c>
      <c r="B10" s="97" t="s">
        <v>172</v>
      </c>
      <c r="C10" s="98" t="s">
        <v>43</v>
      </c>
    </row>
    <row r="11" spans="1:3" ht="20.100000000000001" customHeight="1">
      <c r="A11" s="97" t="s">
        <v>51</v>
      </c>
      <c r="B11" s="97" t="s">
        <v>173</v>
      </c>
      <c r="C11" s="98">
        <v>23.53</v>
      </c>
    </row>
    <row r="12" spans="1:3" ht="20.100000000000001" customHeight="1">
      <c r="A12" s="97" t="s">
        <v>174</v>
      </c>
      <c r="B12" s="97" t="s">
        <v>175</v>
      </c>
      <c r="C12" s="98">
        <v>165.63</v>
      </c>
    </row>
    <row r="13" spans="1:3" ht="20.100000000000001" customHeight="1">
      <c r="A13" s="97" t="s">
        <v>176</v>
      </c>
      <c r="B13" s="97" t="s">
        <v>177</v>
      </c>
      <c r="C13" s="98" t="s">
        <v>43</v>
      </c>
    </row>
    <row r="14" spans="1:3" ht="20.100000000000001" customHeight="1">
      <c r="A14" s="97" t="s">
        <v>178</v>
      </c>
      <c r="B14" s="97" t="s">
        <v>179</v>
      </c>
      <c r="C14" s="98">
        <v>65.98</v>
      </c>
    </row>
    <row r="15" spans="1:3" ht="20.100000000000001" customHeight="1">
      <c r="A15" s="97" t="s">
        <v>180</v>
      </c>
      <c r="B15" s="97" t="s">
        <v>181</v>
      </c>
      <c r="C15" s="98" t="s">
        <v>43</v>
      </c>
    </row>
    <row r="16" spans="1:3" ht="20.100000000000001" customHeight="1">
      <c r="A16" s="97" t="s">
        <v>182</v>
      </c>
      <c r="B16" s="97" t="s">
        <v>183</v>
      </c>
      <c r="C16" s="98">
        <v>7.03</v>
      </c>
    </row>
    <row r="17" spans="1:3" ht="20.100000000000001" customHeight="1">
      <c r="A17" s="97" t="s">
        <v>184</v>
      </c>
      <c r="B17" s="97" t="s">
        <v>142</v>
      </c>
      <c r="C17" s="98">
        <v>149.38</v>
      </c>
    </row>
    <row r="18" spans="1:3" ht="20.100000000000001" customHeight="1">
      <c r="A18" s="97" t="s">
        <v>185</v>
      </c>
      <c r="B18" s="97" t="s">
        <v>186</v>
      </c>
      <c r="C18" s="98" t="s">
        <v>43</v>
      </c>
    </row>
    <row r="19" spans="1:3" ht="20.100000000000001" customHeight="1">
      <c r="A19" s="97" t="s">
        <v>52</v>
      </c>
      <c r="B19" s="97" t="s">
        <v>143</v>
      </c>
      <c r="C19" s="98">
        <v>27</v>
      </c>
    </row>
    <row r="20" spans="1:3" s="6" customFormat="1" ht="20.100000000000001" customHeight="1">
      <c r="A20" s="96" t="s">
        <v>53</v>
      </c>
      <c r="B20" s="96" t="s">
        <v>54</v>
      </c>
      <c r="C20" s="95">
        <v>600.28</v>
      </c>
    </row>
    <row r="21" spans="1:3" ht="20.100000000000001" customHeight="1">
      <c r="A21" s="97" t="s">
        <v>55</v>
      </c>
      <c r="B21" s="97" t="s">
        <v>187</v>
      </c>
      <c r="C21" s="98">
        <v>170.5</v>
      </c>
    </row>
    <row r="22" spans="1:3" ht="20.100000000000001" customHeight="1">
      <c r="A22" s="97" t="s">
        <v>56</v>
      </c>
      <c r="B22" s="97" t="s">
        <v>188</v>
      </c>
      <c r="C22" s="98">
        <v>20</v>
      </c>
    </row>
    <row r="23" spans="1:3" ht="20.100000000000001" customHeight="1">
      <c r="A23" s="97" t="s">
        <v>57</v>
      </c>
      <c r="B23" s="97" t="s">
        <v>189</v>
      </c>
      <c r="C23" s="98">
        <v>10</v>
      </c>
    </row>
    <row r="24" spans="1:3" ht="20.100000000000001" customHeight="1">
      <c r="A24" s="97" t="s">
        <v>276</v>
      </c>
      <c r="B24" s="99" t="s">
        <v>277</v>
      </c>
      <c r="C24" s="98">
        <v>5</v>
      </c>
    </row>
    <row r="25" spans="1:3" ht="20.100000000000001" customHeight="1">
      <c r="A25" s="97" t="s">
        <v>58</v>
      </c>
      <c r="B25" s="97" t="s">
        <v>190</v>
      </c>
      <c r="C25" s="98">
        <v>10</v>
      </c>
    </row>
    <row r="26" spans="1:3" ht="20.100000000000001" customHeight="1">
      <c r="A26" s="97" t="s">
        <v>59</v>
      </c>
      <c r="B26" s="97" t="s">
        <v>191</v>
      </c>
      <c r="C26" s="98">
        <v>20</v>
      </c>
    </row>
    <row r="27" spans="1:3" ht="20.100000000000001" customHeight="1">
      <c r="A27" s="97" t="s">
        <v>60</v>
      </c>
      <c r="B27" s="97" t="s">
        <v>192</v>
      </c>
      <c r="C27" s="98">
        <v>30</v>
      </c>
    </row>
    <row r="28" spans="1:3" ht="20.100000000000001" customHeight="1">
      <c r="A28" s="97" t="s">
        <v>61</v>
      </c>
      <c r="B28" s="97" t="s">
        <v>193</v>
      </c>
      <c r="C28" s="98" t="s">
        <v>43</v>
      </c>
    </row>
    <row r="29" spans="1:3" ht="20.100000000000001" customHeight="1">
      <c r="A29" s="97" t="s">
        <v>62</v>
      </c>
      <c r="B29" s="97" t="s">
        <v>194</v>
      </c>
      <c r="C29" s="98">
        <v>20</v>
      </c>
    </row>
    <row r="30" spans="1:3" ht="20.100000000000001" customHeight="1">
      <c r="A30" s="97" t="s">
        <v>63</v>
      </c>
      <c r="B30" s="97" t="s">
        <v>195</v>
      </c>
      <c r="C30" s="98">
        <v>50</v>
      </c>
    </row>
    <row r="31" spans="1:3" ht="20.100000000000001" customHeight="1">
      <c r="A31" s="97" t="s">
        <v>64</v>
      </c>
      <c r="B31" s="97" t="s">
        <v>148</v>
      </c>
      <c r="C31" s="98">
        <v>10</v>
      </c>
    </row>
    <row r="32" spans="1:3" ht="20.100000000000001" customHeight="1">
      <c r="A32" s="97" t="s">
        <v>65</v>
      </c>
      <c r="B32" s="97" t="s">
        <v>196</v>
      </c>
      <c r="C32" s="98">
        <v>17.28</v>
      </c>
    </row>
    <row r="33" spans="1:3" ht="20.100000000000001" customHeight="1">
      <c r="A33" s="97" t="s">
        <v>66</v>
      </c>
      <c r="B33" s="97" t="s">
        <v>197</v>
      </c>
      <c r="C33" s="98">
        <v>8</v>
      </c>
    </row>
    <row r="34" spans="1:3" ht="20.100000000000001" customHeight="1">
      <c r="A34" s="97" t="s">
        <v>67</v>
      </c>
      <c r="B34" s="97" t="s">
        <v>144</v>
      </c>
      <c r="C34" s="98">
        <v>10</v>
      </c>
    </row>
    <row r="35" spans="1:3" ht="20.100000000000001" customHeight="1">
      <c r="A35" s="97" t="s">
        <v>68</v>
      </c>
      <c r="B35" s="97" t="s">
        <v>145</v>
      </c>
      <c r="C35" s="98">
        <v>75</v>
      </c>
    </row>
    <row r="36" spans="1:3" ht="20.100000000000001" customHeight="1">
      <c r="A36" s="97" t="s">
        <v>69</v>
      </c>
      <c r="B36" s="97" t="s">
        <v>147</v>
      </c>
      <c r="C36" s="98">
        <v>22.5</v>
      </c>
    </row>
    <row r="37" spans="1:3" ht="20.100000000000001" customHeight="1">
      <c r="A37" s="97" t="s">
        <v>70</v>
      </c>
      <c r="B37" s="97" t="s">
        <v>198</v>
      </c>
      <c r="C37" s="98" t="s">
        <v>43</v>
      </c>
    </row>
    <row r="38" spans="1:3" ht="20.100000000000001" customHeight="1">
      <c r="A38" s="97" t="s">
        <v>71</v>
      </c>
      <c r="B38" s="97" t="s">
        <v>199</v>
      </c>
      <c r="C38" s="98" t="s">
        <v>43</v>
      </c>
    </row>
    <row r="39" spans="1:3" ht="20.100000000000001" customHeight="1">
      <c r="A39" s="97" t="s">
        <v>72</v>
      </c>
      <c r="B39" s="97" t="s">
        <v>200</v>
      </c>
      <c r="C39" s="98" t="s">
        <v>43</v>
      </c>
    </row>
    <row r="40" spans="1:3" ht="20.100000000000001" customHeight="1">
      <c r="A40" s="97" t="s">
        <v>73</v>
      </c>
      <c r="B40" s="97" t="s">
        <v>201</v>
      </c>
      <c r="C40" s="98">
        <v>8</v>
      </c>
    </row>
    <row r="41" spans="1:3" ht="20.100000000000001" customHeight="1">
      <c r="A41" s="97" t="s">
        <v>74</v>
      </c>
      <c r="B41" s="97" t="s">
        <v>146</v>
      </c>
      <c r="C41" s="98">
        <v>5</v>
      </c>
    </row>
    <row r="42" spans="1:3" ht="20.100000000000001" customHeight="1">
      <c r="A42" s="97" t="s">
        <v>75</v>
      </c>
      <c r="B42" s="97" t="s">
        <v>202</v>
      </c>
      <c r="C42" s="98">
        <v>17.600000000000001</v>
      </c>
    </row>
    <row r="43" spans="1:3" ht="20.100000000000001" customHeight="1">
      <c r="A43" s="97" t="s">
        <v>76</v>
      </c>
      <c r="B43" s="97" t="s">
        <v>203</v>
      </c>
      <c r="C43" s="98">
        <v>10</v>
      </c>
    </row>
    <row r="44" spans="1:3" ht="20.100000000000001" customHeight="1">
      <c r="A44" s="97" t="s">
        <v>77</v>
      </c>
      <c r="B44" s="97" t="s">
        <v>149</v>
      </c>
      <c r="C44" s="98">
        <v>11.4</v>
      </c>
    </row>
    <row r="45" spans="1:3" ht="20.100000000000001" customHeight="1">
      <c r="A45" s="97" t="s">
        <v>78</v>
      </c>
      <c r="B45" s="97" t="s">
        <v>204</v>
      </c>
      <c r="C45" s="98">
        <v>30</v>
      </c>
    </row>
    <row r="46" spans="1:3" ht="20.100000000000001" customHeight="1">
      <c r="A46" s="97" t="s">
        <v>79</v>
      </c>
      <c r="B46" s="97" t="s">
        <v>205</v>
      </c>
      <c r="C46" s="98" t="s">
        <v>43</v>
      </c>
    </row>
    <row r="47" spans="1:3" ht="20.100000000000001" customHeight="1">
      <c r="A47" s="97" t="s">
        <v>80</v>
      </c>
      <c r="B47" s="97" t="s">
        <v>150</v>
      </c>
      <c r="C47" s="98">
        <v>40</v>
      </c>
    </row>
    <row r="48" spans="1:3" s="6" customFormat="1" ht="20.100000000000001" customHeight="1">
      <c r="A48" s="96" t="s">
        <v>81</v>
      </c>
      <c r="B48" s="96" t="s">
        <v>82</v>
      </c>
      <c r="C48" s="95" t="s">
        <v>43</v>
      </c>
    </row>
    <row r="49" spans="1:3" ht="20.100000000000001" customHeight="1">
      <c r="A49" s="97" t="s">
        <v>83</v>
      </c>
      <c r="B49" s="97" t="s">
        <v>206</v>
      </c>
      <c r="C49" s="98" t="s">
        <v>43</v>
      </c>
    </row>
    <row r="50" spans="1:3" ht="20.100000000000001" customHeight="1">
      <c r="A50" s="97" t="s">
        <v>84</v>
      </c>
      <c r="B50" s="97" t="s">
        <v>207</v>
      </c>
      <c r="C50" s="98" t="s">
        <v>43</v>
      </c>
    </row>
    <row r="51" spans="1:3" ht="20.100000000000001" customHeight="1">
      <c r="A51" s="97" t="s">
        <v>85</v>
      </c>
      <c r="B51" s="97" t="s">
        <v>208</v>
      </c>
      <c r="C51" s="98" t="s">
        <v>43</v>
      </c>
    </row>
    <row r="52" spans="1:3" ht="20.100000000000001" customHeight="1">
      <c r="A52" s="97" t="s">
        <v>86</v>
      </c>
      <c r="B52" s="97" t="s">
        <v>209</v>
      </c>
      <c r="C52" s="98" t="s">
        <v>43</v>
      </c>
    </row>
    <row r="53" spans="1:3" ht="20.100000000000001" customHeight="1">
      <c r="A53" s="97" t="s">
        <v>87</v>
      </c>
      <c r="B53" s="97" t="s">
        <v>210</v>
      </c>
      <c r="C53" s="98" t="s">
        <v>43</v>
      </c>
    </row>
    <row r="54" spans="1:3" ht="20.100000000000001" customHeight="1">
      <c r="A54" s="97" t="s">
        <v>88</v>
      </c>
      <c r="B54" s="97" t="s">
        <v>211</v>
      </c>
      <c r="C54" s="98" t="s">
        <v>43</v>
      </c>
    </row>
    <row r="55" spans="1:3" ht="20.100000000000001" customHeight="1">
      <c r="A55" s="97" t="s">
        <v>89</v>
      </c>
      <c r="B55" s="97" t="s">
        <v>212</v>
      </c>
      <c r="C55" s="98" t="s">
        <v>43</v>
      </c>
    </row>
    <row r="56" spans="1:3" ht="20.100000000000001" customHeight="1">
      <c r="A56" s="97" t="s">
        <v>90</v>
      </c>
      <c r="B56" s="97" t="s">
        <v>158</v>
      </c>
      <c r="C56" s="98" t="s">
        <v>43</v>
      </c>
    </row>
    <row r="57" spans="1:3" ht="20.100000000000001" customHeight="1">
      <c r="A57" s="97" t="s">
        <v>91</v>
      </c>
      <c r="B57" s="97" t="s">
        <v>213</v>
      </c>
      <c r="C57" s="98" t="s">
        <v>43</v>
      </c>
    </row>
    <row r="58" spans="1:3" ht="20.100000000000001" customHeight="1">
      <c r="A58" s="97" t="s">
        <v>92</v>
      </c>
      <c r="B58" s="97" t="s">
        <v>159</v>
      </c>
      <c r="C58" s="98" t="s">
        <v>43</v>
      </c>
    </row>
    <row r="59" spans="1:3" ht="20.100000000000001" customHeight="1">
      <c r="A59" s="97" t="s">
        <v>93</v>
      </c>
      <c r="B59" s="97" t="s">
        <v>214</v>
      </c>
      <c r="C59" s="98" t="s">
        <v>43</v>
      </c>
    </row>
    <row r="60" spans="1:3" s="6" customFormat="1" ht="20.100000000000001" customHeight="1">
      <c r="A60" s="96" t="s">
        <v>110</v>
      </c>
      <c r="B60" s="96" t="s">
        <v>136</v>
      </c>
      <c r="C60" s="95" t="s">
        <v>43</v>
      </c>
    </row>
    <row r="61" spans="1:3" ht="20.100000000000001" customHeight="1">
      <c r="A61" s="97" t="s">
        <v>111</v>
      </c>
      <c r="B61" s="97" t="s">
        <v>162</v>
      </c>
      <c r="C61" s="98" t="s">
        <v>43</v>
      </c>
    </row>
    <row r="62" spans="1:3" ht="20.100000000000001" customHeight="1">
      <c r="A62" s="97" t="s">
        <v>215</v>
      </c>
      <c r="B62" s="97" t="s">
        <v>163</v>
      </c>
      <c r="C62" s="98" t="s">
        <v>43</v>
      </c>
    </row>
    <row r="63" spans="1:3" ht="20.100000000000001" customHeight="1">
      <c r="A63" s="97" t="s">
        <v>216</v>
      </c>
      <c r="B63" s="97" t="s">
        <v>164</v>
      </c>
      <c r="C63" s="98" t="s">
        <v>43</v>
      </c>
    </row>
    <row r="64" spans="1:3" ht="20.100000000000001" customHeight="1">
      <c r="A64" s="97" t="s">
        <v>217</v>
      </c>
      <c r="B64" s="97" t="s">
        <v>165</v>
      </c>
      <c r="C64" s="98" t="s">
        <v>43</v>
      </c>
    </row>
    <row r="65" spans="1:3" s="6" customFormat="1" ht="20.100000000000001" customHeight="1">
      <c r="A65" s="96" t="s">
        <v>117</v>
      </c>
      <c r="B65" s="96" t="s">
        <v>137</v>
      </c>
      <c r="C65" s="95" t="s">
        <v>43</v>
      </c>
    </row>
    <row r="66" spans="1:3" ht="20.100000000000001" customHeight="1">
      <c r="A66" s="97" t="s">
        <v>218</v>
      </c>
      <c r="B66" s="97" t="s">
        <v>151</v>
      </c>
      <c r="C66" s="98" t="s">
        <v>43</v>
      </c>
    </row>
    <row r="67" spans="1:3" ht="20.100000000000001" customHeight="1">
      <c r="A67" s="97" t="s">
        <v>219</v>
      </c>
      <c r="B67" s="97" t="s">
        <v>220</v>
      </c>
      <c r="C67" s="98" t="s">
        <v>43</v>
      </c>
    </row>
    <row r="68" spans="1:3" ht="20.100000000000001" customHeight="1">
      <c r="A68" s="97" t="s">
        <v>221</v>
      </c>
      <c r="B68" s="97" t="s">
        <v>222</v>
      </c>
      <c r="C68" s="98" t="s">
        <v>43</v>
      </c>
    </row>
    <row r="69" spans="1:3" ht="20.100000000000001" customHeight="1">
      <c r="A69" s="97" t="s">
        <v>223</v>
      </c>
      <c r="B69" s="97" t="s">
        <v>152</v>
      </c>
      <c r="C69" s="98" t="s">
        <v>43</v>
      </c>
    </row>
    <row r="70" spans="1:3" ht="20.100000000000001" customHeight="1">
      <c r="A70" s="97" t="s">
        <v>224</v>
      </c>
      <c r="B70" s="97" t="s">
        <v>154</v>
      </c>
      <c r="C70" s="98" t="s">
        <v>43</v>
      </c>
    </row>
    <row r="71" spans="1:3" ht="20.100000000000001" customHeight="1">
      <c r="A71" s="97" t="s">
        <v>225</v>
      </c>
      <c r="B71" s="97" t="s">
        <v>226</v>
      </c>
      <c r="C71" s="98" t="s">
        <v>43</v>
      </c>
    </row>
    <row r="72" spans="1:3" ht="20.100000000000001" customHeight="1">
      <c r="A72" s="97" t="s">
        <v>227</v>
      </c>
      <c r="B72" s="97" t="s">
        <v>228</v>
      </c>
      <c r="C72" s="98" t="s">
        <v>43</v>
      </c>
    </row>
    <row r="73" spans="1:3" ht="20.100000000000001" customHeight="1">
      <c r="A73" s="97" t="s">
        <v>229</v>
      </c>
      <c r="B73" s="97" t="s">
        <v>153</v>
      </c>
      <c r="C73" s="98" t="s">
        <v>43</v>
      </c>
    </row>
    <row r="74" spans="1:3" ht="20.100000000000001" customHeight="1">
      <c r="A74" s="97" t="s">
        <v>230</v>
      </c>
      <c r="B74" s="97" t="s">
        <v>231</v>
      </c>
      <c r="C74" s="98" t="s">
        <v>43</v>
      </c>
    </row>
    <row r="75" spans="1:3" ht="20.100000000000001" customHeight="1">
      <c r="A75" s="97" t="s">
        <v>232</v>
      </c>
      <c r="B75" s="97" t="s">
        <v>233</v>
      </c>
      <c r="C75" s="98" t="s">
        <v>43</v>
      </c>
    </row>
    <row r="76" spans="1:3" ht="20.100000000000001" customHeight="1">
      <c r="A76" s="97" t="s">
        <v>234</v>
      </c>
      <c r="B76" s="97" t="s">
        <v>235</v>
      </c>
      <c r="C76" s="98" t="s">
        <v>43</v>
      </c>
    </row>
    <row r="77" spans="1:3" ht="20.100000000000001" customHeight="1">
      <c r="A77" s="97" t="s">
        <v>236</v>
      </c>
      <c r="B77" s="97" t="s">
        <v>237</v>
      </c>
      <c r="C77" s="98" t="s">
        <v>43</v>
      </c>
    </row>
    <row r="78" spans="1:3" s="6" customFormat="1" ht="20.100000000000001" customHeight="1">
      <c r="A78" s="96" t="s">
        <v>94</v>
      </c>
      <c r="B78" s="96" t="s">
        <v>138</v>
      </c>
      <c r="C78" s="95">
        <v>372.5</v>
      </c>
    </row>
    <row r="79" spans="1:3" ht="20.100000000000001" customHeight="1">
      <c r="A79" s="97" t="s">
        <v>96</v>
      </c>
      <c r="B79" s="97" t="s">
        <v>151</v>
      </c>
      <c r="C79" s="98" t="s">
        <v>43</v>
      </c>
    </row>
    <row r="80" spans="1:3" ht="20.100000000000001" customHeight="1">
      <c r="A80" s="97" t="s">
        <v>97</v>
      </c>
      <c r="B80" s="97" t="s">
        <v>220</v>
      </c>
      <c r="C80" s="98" t="s">
        <v>43</v>
      </c>
    </row>
    <row r="81" spans="1:3" ht="20.100000000000001" customHeight="1">
      <c r="A81" s="97" t="s">
        <v>98</v>
      </c>
      <c r="B81" s="97" t="s">
        <v>222</v>
      </c>
      <c r="C81" s="98">
        <v>62.5</v>
      </c>
    </row>
    <row r="82" spans="1:3" ht="20.100000000000001" customHeight="1">
      <c r="A82" s="97" t="s">
        <v>99</v>
      </c>
      <c r="B82" s="97" t="s">
        <v>152</v>
      </c>
      <c r="C82" s="4"/>
    </row>
    <row r="83" spans="1:3" ht="20.100000000000001" customHeight="1">
      <c r="A83" s="97" t="s">
        <v>100</v>
      </c>
      <c r="B83" s="97" t="s">
        <v>154</v>
      </c>
      <c r="C83" s="4"/>
    </row>
    <row r="84" spans="1:3" ht="20.100000000000001" customHeight="1">
      <c r="A84" s="97" t="s">
        <v>101</v>
      </c>
      <c r="B84" s="97" t="s">
        <v>226</v>
      </c>
      <c r="C84" s="4">
        <v>310</v>
      </c>
    </row>
    <row r="85" spans="1:3" ht="20.100000000000001" customHeight="1">
      <c r="A85" s="97" t="s">
        <v>102</v>
      </c>
      <c r="B85" s="97" t="s">
        <v>228</v>
      </c>
      <c r="C85" s="4"/>
    </row>
    <row r="86" spans="1:3" ht="20.100000000000001" customHeight="1">
      <c r="A86" s="97" t="s">
        <v>103</v>
      </c>
      <c r="B86" s="97" t="s">
        <v>301</v>
      </c>
      <c r="C86" s="4"/>
    </row>
    <row r="87" spans="1:3" ht="20.100000000000001" customHeight="1">
      <c r="A87" s="97" t="s">
        <v>104</v>
      </c>
      <c r="B87" s="97" t="s">
        <v>238</v>
      </c>
      <c r="C87" s="4"/>
    </row>
    <row r="88" spans="1:3" ht="20.100000000000001" customHeight="1">
      <c r="A88" s="97" t="s">
        <v>105</v>
      </c>
      <c r="B88" s="97" t="s">
        <v>239</v>
      </c>
      <c r="C88" s="4"/>
    </row>
    <row r="89" spans="1:3" ht="20.100000000000001" customHeight="1">
      <c r="A89" s="97" t="s">
        <v>106</v>
      </c>
      <c r="B89" s="99" t="s">
        <v>300</v>
      </c>
      <c r="C89" s="4"/>
    </row>
    <row r="90" spans="1:3" ht="20.100000000000001" customHeight="1">
      <c r="A90" s="97" t="s">
        <v>107</v>
      </c>
      <c r="B90" s="97" t="s">
        <v>153</v>
      </c>
      <c r="C90" s="4"/>
    </row>
    <row r="91" spans="1:3" ht="20.100000000000001" customHeight="1">
      <c r="A91" s="97" t="s">
        <v>108</v>
      </c>
      <c r="B91" s="97" t="s">
        <v>231</v>
      </c>
      <c r="C91" s="4"/>
    </row>
    <row r="92" spans="1:3" ht="20.100000000000001" customHeight="1">
      <c r="A92" s="97" t="s">
        <v>240</v>
      </c>
      <c r="B92" s="97" t="s">
        <v>233</v>
      </c>
      <c r="C92" s="4"/>
    </row>
    <row r="93" spans="1:3" ht="20.100000000000001" customHeight="1">
      <c r="A93" s="97" t="s">
        <v>241</v>
      </c>
      <c r="B93" s="97" t="s">
        <v>235</v>
      </c>
      <c r="C93" s="4"/>
    </row>
    <row r="94" spans="1:3" ht="20.100000000000001" customHeight="1">
      <c r="A94" s="97" t="s">
        <v>109</v>
      </c>
      <c r="B94" s="97" t="s">
        <v>95</v>
      </c>
      <c r="C94" s="4"/>
    </row>
    <row r="95" spans="1:3" s="6" customFormat="1" ht="20.100000000000001" customHeight="1">
      <c r="A95" s="96" t="s">
        <v>242</v>
      </c>
      <c r="B95" s="96" t="s">
        <v>139</v>
      </c>
      <c r="C95" s="100"/>
    </row>
    <row r="96" spans="1:3" ht="20.100000000000001" customHeight="1">
      <c r="A96" s="97" t="s">
        <v>243</v>
      </c>
      <c r="B96" s="97" t="s">
        <v>244</v>
      </c>
      <c r="C96" s="4"/>
    </row>
    <row r="97" spans="1:3" ht="20.100000000000001" customHeight="1">
      <c r="A97" s="97" t="s">
        <v>245</v>
      </c>
      <c r="B97" s="97" t="s">
        <v>157</v>
      </c>
      <c r="C97" s="4"/>
    </row>
    <row r="98" spans="1:3" s="6" customFormat="1" ht="20.100000000000001" customHeight="1">
      <c r="A98" s="96" t="s">
        <v>246</v>
      </c>
      <c r="B98" s="96" t="s">
        <v>140</v>
      </c>
      <c r="C98" s="100"/>
    </row>
    <row r="99" spans="1:3" ht="20.100000000000001" customHeight="1">
      <c r="A99" s="97" t="s">
        <v>247</v>
      </c>
      <c r="B99" s="97" t="s">
        <v>244</v>
      </c>
      <c r="C99" s="4"/>
    </row>
    <row r="100" spans="1:3" ht="20.100000000000001" customHeight="1">
      <c r="A100" s="97" t="s">
        <v>248</v>
      </c>
      <c r="B100" s="97" t="s">
        <v>249</v>
      </c>
      <c r="C100" s="4"/>
    </row>
    <row r="101" spans="1:3" ht="20.100000000000001" customHeight="1">
      <c r="A101" s="97" t="s">
        <v>250</v>
      </c>
      <c r="B101" s="97" t="s">
        <v>155</v>
      </c>
      <c r="C101" s="4"/>
    </row>
    <row r="102" spans="1:3" ht="20.100000000000001" customHeight="1">
      <c r="A102" s="97" t="s">
        <v>251</v>
      </c>
      <c r="B102" s="97" t="s">
        <v>156</v>
      </c>
      <c r="C102" s="4"/>
    </row>
    <row r="103" spans="1:3" ht="20.100000000000001" customHeight="1">
      <c r="A103" s="97" t="s">
        <v>252</v>
      </c>
      <c r="B103" s="97" t="s">
        <v>157</v>
      </c>
      <c r="C103" s="4"/>
    </row>
    <row r="104" spans="1:3" s="6" customFormat="1" ht="20.100000000000001" customHeight="1">
      <c r="A104" s="96" t="s">
        <v>253</v>
      </c>
      <c r="B104" s="96" t="s">
        <v>141</v>
      </c>
      <c r="C104" s="100"/>
    </row>
    <row r="105" spans="1:3" ht="20.100000000000001" customHeight="1">
      <c r="A105" s="97" t="s">
        <v>254</v>
      </c>
      <c r="B105" s="97" t="s">
        <v>160</v>
      </c>
      <c r="C105" s="4"/>
    </row>
    <row r="106" spans="1:3" ht="20.100000000000001" customHeight="1">
      <c r="A106" s="97" t="s">
        <v>255</v>
      </c>
      <c r="B106" s="97" t="s">
        <v>161</v>
      </c>
      <c r="C106" s="4"/>
    </row>
    <row r="107" spans="1:3" s="6" customFormat="1" ht="20.100000000000001" customHeight="1">
      <c r="A107" s="96" t="s">
        <v>112</v>
      </c>
      <c r="B107" s="96" t="s">
        <v>113</v>
      </c>
      <c r="C107" s="100"/>
    </row>
    <row r="108" spans="1:3" ht="20.100000000000001" customHeight="1">
      <c r="A108" s="97" t="s">
        <v>114</v>
      </c>
      <c r="B108" s="97" t="s">
        <v>166</v>
      </c>
      <c r="C108" s="4"/>
    </row>
    <row r="109" spans="1:3" ht="20.100000000000001" customHeight="1">
      <c r="A109" s="97" t="s">
        <v>256</v>
      </c>
      <c r="B109" s="97" t="s">
        <v>167</v>
      </c>
      <c r="C109" s="4"/>
    </row>
    <row r="110" spans="1:3" ht="20.100000000000001" customHeight="1">
      <c r="A110" s="97" t="s">
        <v>257</v>
      </c>
      <c r="B110" s="97" t="s">
        <v>168</v>
      </c>
      <c r="C110" s="4"/>
    </row>
    <row r="111" spans="1:3" ht="20.100000000000001" customHeight="1">
      <c r="A111" s="97" t="s">
        <v>258</v>
      </c>
      <c r="B111" s="97" t="s">
        <v>113</v>
      </c>
      <c r="C111" s="4"/>
    </row>
  </sheetData>
  <mergeCells count="3">
    <mergeCell ref="A5:B5"/>
    <mergeCell ref="A2:C2"/>
    <mergeCell ref="B3:C3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A27" sqref="A27"/>
    </sheetView>
  </sheetViews>
  <sheetFormatPr defaultRowHeight="14.25"/>
  <cols>
    <col min="1" max="1" width="50.75" customWidth="1"/>
    <col min="2" max="2" width="29.75" customWidth="1"/>
  </cols>
  <sheetData>
    <row r="1" spans="1:2">
      <c r="A1" s="33" t="s">
        <v>134</v>
      </c>
      <c r="B1" s="34"/>
    </row>
    <row r="2" spans="1:2" ht="28.5" customHeight="1">
      <c r="A2" s="155" t="s">
        <v>333</v>
      </c>
      <c r="B2" s="155"/>
    </row>
    <row r="3" spans="1:2" ht="18" customHeight="1">
      <c r="A3" s="103"/>
      <c r="B3" s="102" t="s">
        <v>0</v>
      </c>
    </row>
    <row r="4" spans="1:2" ht="20.100000000000001" customHeight="1">
      <c r="A4" s="67" t="s">
        <v>1</v>
      </c>
      <c r="B4" s="67" t="s">
        <v>295</v>
      </c>
    </row>
    <row r="5" spans="1:2" ht="20.100000000000001" customHeight="1">
      <c r="A5" s="67" t="s">
        <v>2</v>
      </c>
      <c r="B5" s="68">
        <v>43.9</v>
      </c>
    </row>
    <row r="6" spans="1:2" ht="20.100000000000001" customHeight="1">
      <c r="A6" s="68" t="s">
        <v>3</v>
      </c>
      <c r="B6" s="68">
        <v>10</v>
      </c>
    </row>
    <row r="7" spans="1:2" ht="20.100000000000001" customHeight="1">
      <c r="A7" s="68" t="s">
        <v>4</v>
      </c>
      <c r="B7" s="68">
        <v>22.5</v>
      </c>
    </row>
    <row r="8" spans="1:2" ht="20.100000000000001" customHeight="1">
      <c r="A8" s="68" t="s">
        <v>131</v>
      </c>
      <c r="B8" s="68">
        <v>11.4</v>
      </c>
    </row>
    <row r="9" spans="1:2" ht="20.100000000000001" customHeight="1">
      <c r="A9" s="104" t="s">
        <v>132</v>
      </c>
      <c r="B9" s="68">
        <v>11.4</v>
      </c>
    </row>
    <row r="10" spans="1:2" ht="20.100000000000001" customHeight="1">
      <c r="A10" s="104" t="s">
        <v>115</v>
      </c>
      <c r="B10" s="68"/>
    </row>
    <row r="11" spans="1:2" ht="46.5" customHeight="1">
      <c r="A11" s="156" t="s">
        <v>296</v>
      </c>
      <c r="B11" s="156"/>
    </row>
  </sheetData>
  <mergeCells count="2">
    <mergeCell ref="A2:B2"/>
    <mergeCell ref="A11:B1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workbookViewId="0">
      <selection activeCell="G13" sqref="G13"/>
    </sheetView>
  </sheetViews>
  <sheetFormatPr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" t="s">
        <v>271</v>
      </c>
    </row>
    <row r="2" spans="1:11" ht="26.25" customHeight="1">
      <c r="A2" s="159" t="s">
        <v>334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</row>
    <row r="3" spans="1:11" ht="23.2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105" t="s">
        <v>118</v>
      </c>
    </row>
    <row r="4" spans="1:11" ht="20.100000000000001" customHeight="1">
      <c r="A4" s="160" t="s">
        <v>119</v>
      </c>
      <c r="B4" s="160" t="s">
        <v>120</v>
      </c>
      <c r="C4" s="160" t="s">
        <v>121</v>
      </c>
      <c r="D4" s="160" t="s">
        <v>122</v>
      </c>
      <c r="E4" s="160" t="s">
        <v>123</v>
      </c>
      <c r="F4" s="160" t="s">
        <v>124</v>
      </c>
      <c r="G4" s="160" t="s">
        <v>125</v>
      </c>
      <c r="H4" s="162" t="s">
        <v>126</v>
      </c>
      <c r="I4" s="162"/>
      <c r="J4" s="162"/>
      <c r="K4" s="160" t="s">
        <v>127</v>
      </c>
    </row>
    <row r="5" spans="1:11" ht="36.75" customHeight="1">
      <c r="A5" s="161"/>
      <c r="B5" s="161"/>
      <c r="C5" s="161"/>
      <c r="D5" s="161"/>
      <c r="E5" s="161"/>
      <c r="F5" s="161"/>
      <c r="G5" s="161"/>
      <c r="H5" s="38" t="s">
        <v>128</v>
      </c>
      <c r="I5" s="38" t="s">
        <v>129</v>
      </c>
      <c r="J5" s="38" t="s">
        <v>130</v>
      </c>
      <c r="K5" s="161"/>
    </row>
    <row r="6" spans="1:11" ht="20.100000000000001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</row>
    <row r="7" spans="1:11" ht="20.100000000000001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</row>
    <row r="8" spans="1:11" ht="20.100000000000001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11" ht="20.100000000000001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</row>
    <row r="10" spans="1:11" ht="20.100000000000001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</row>
    <row r="11" spans="1:11" ht="20.100000000000001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 spans="1:11" ht="20.100000000000001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</row>
    <row r="13" spans="1:11" ht="20.100000000000001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 spans="1:11" ht="184.15" customHeight="1">
      <c r="A14" s="157" t="s">
        <v>297</v>
      </c>
      <c r="B14" s="158"/>
      <c r="C14" s="158"/>
      <c r="D14" s="158"/>
      <c r="E14" s="158"/>
      <c r="F14" s="158"/>
      <c r="G14" s="158"/>
      <c r="H14" s="158"/>
      <c r="I14" s="158"/>
      <c r="J14" s="158"/>
      <c r="K14" s="158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workbookViewId="0">
      <selection activeCell="C11" sqref="C11"/>
    </sheetView>
  </sheetViews>
  <sheetFormatPr defaultRowHeight="14.25"/>
  <cols>
    <col min="1" max="1" width="11.125" customWidth="1"/>
    <col min="2" max="2" width="11.5" customWidth="1"/>
    <col min="3" max="3" width="35.25" customWidth="1"/>
    <col min="4" max="4" width="30.75" customWidth="1"/>
  </cols>
  <sheetData>
    <row r="1" spans="1:4" ht="25.15" customHeight="1">
      <c r="A1" s="88" t="s">
        <v>272</v>
      </c>
      <c r="B1" s="89"/>
      <c r="C1" s="89"/>
      <c r="D1" s="89"/>
    </row>
    <row r="2" spans="1:4" ht="34.9" customHeight="1">
      <c r="A2" s="163" t="s">
        <v>336</v>
      </c>
      <c r="B2" s="163"/>
      <c r="C2" s="163"/>
      <c r="D2" s="163"/>
    </row>
    <row r="3" spans="1:4" ht="86.25" customHeight="1">
      <c r="A3" s="106" t="s">
        <v>259</v>
      </c>
      <c r="B3" s="164" t="s">
        <v>338</v>
      </c>
      <c r="C3" s="164"/>
      <c r="D3" s="164"/>
    </row>
    <row r="4" spans="1:4" ht="20.100000000000001" customHeight="1">
      <c r="A4" s="165" t="s">
        <v>260</v>
      </c>
      <c r="B4" s="106" t="s">
        <v>261</v>
      </c>
      <c r="C4" s="106" t="s">
        <v>262</v>
      </c>
      <c r="D4" s="106" t="s">
        <v>263</v>
      </c>
    </row>
    <row r="5" spans="1:4" ht="20.100000000000001" customHeight="1">
      <c r="A5" s="165"/>
      <c r="B5" s="166" t="s">
        <v>264</v>
      </c>
      <c r="C5" s="107" t="s">
        <v>339</v>
      </c>
      <c r="D5" s="109" t="s">
        <v>340</v>
      </c>
    </row>
    <row r="6" spans="1:4" ht="20.100000000000001" customHeight="1">
      <c r="A6" s="165"/>
      <c r="B6" s="167"/>
      <c r="C6" s="107" t="s">
        <v>265</v>
      </c>
      <c r="D6" s="108"/>
    </row>
    <row r="7" spans="1:4" ht="20.100000000000001" customHeight="1">
      <c r="A7" s="165"/>
      <c r="B7" s="168"/>
      <c r="C7" s="107" t="s">
        <v>266</v>
      </c>
      <c r="D7" s="108"/>
    </row>
    <row r="8" spans="1:4" ht="20.100000000000001" customHeight="1">
      <c r="A8" s="165"/>
      <c r="B8" s="166" t="s">
        <v>267</v>
      </c>
      <c r="C8" s="107" t="s">
        <v>341</v>
      </c>
      <c r="D8" s="109" t="s">
        <v>346</v>
      </c>
    </row>
    <row r="9" spans="1:4" ht="20.100000000000001" customHeight="1">
      <c r="A9" s="165"/>
      <c r="B9" s="167"/>
      <c r="C9" s="107" t="s">
        <v>342</v>
      </c>
      <c r="D9" s="109" t="s">
        <v>347</v>
      </c>
    </row>
    <row r="10" spans="1:4" ht="20.100000000000001" customHeight="1">
      <c r="A10" s="165"/>
      <c r="B10" s="168"/>
      <c r="C10" s="107" t="s">
        <v>343</v>
      </c>
      <c r="D10" s="109" t="s">
        <v>348</v>
      </c>
    </row>
    <row r="11" spans="1:4" ht="20.100000000000001" customHeight="1">
      <c r="A11" s="165"/>
      <c r="B11" s="169" t="s">
        <v>269</v>
      </c>
      <c r="C11" s="107" t="s">
        <v>344</v>
      </c>
      <c r="D11" s="109" t="s">
        <v>349</v>
      </c>
    </row>
    <row r="12" spans="1:4" ht="20.100000000000001" customHeight="1">
      <c r="A12" s="165"/>
      <c r="B12" s="169"/>
      <c r="C12" s="107" t="s">
        <v>345</v>
      </c>
      <c r="D12" s="109" t="s">
        <v>349</v>
      </c>
    </row>
    <row r="13" spans="1:4" ht="20.100000000000001" customHeight="1">
      <c r="A13" s="165"/>
      <c r="B13" s="169"/>
      <c r="C13" s="107" t="s">
        <v>268</v>
      </c>
      <c r="D13" s="108"/>
    </row>
    <row r="14" spans="1:4" ht="26.25" customHeight="1">
      <c r="A14" s="156" t="s">
        <v>270</v>
      </c>
      <c r="B14" s="156"/>
      <c r="C14" s="156"/>
      <c r="D14" s="156"/>
    </row>
  </sheetData>
  <mergeCells count="7">
    <mergeCell ref="A14:D14"/>
    <mergeCell ref="A2:D2"/>
    <mergeCell ref="B3:D3"/>
    <mergeCell ref="A4:A13"/>
    <mergeCell ref="B5:B7"/>
    <mergeCell ref="B8:B10"/>
    <mergeCell ref="B11:B13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2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workbookViewId="0">
      <selection activeCell="H11" sqref="H11"/>
    </sheetView>
  </sheetViews>
  <sheetFormatPr defaultColWidth="8.125" defaultRowHeight="31.5" customHeight="1"/>
  <cols>
    <col min="1" max="1" width="14.375" style="89" customWidth="1"/>
    <col min="2" max="2" width="14.25" style="89" customWidth="1"/>
    <col min="3" max="3" width="29.875" style="89" customWidth="1"/>
    <col min="4" max="4" width="26.5" style="89" customWidth="1"/>
    <col min="5" max="16384" width="8.125" style="89"/>
  </cols>
  <sheetData>
    <row r="1" spans="1:6" ht="27.6" customHeight="1">
      <c r="A1" s="88" t="s">
        <v>350</v>
      </c>
    </row>
    <row r="2" spans="1:6" ht="40.15" customHeight="1">
      <c r="A2" s="163" t="s">
        <v>337</v>
      </c>
      <c r="B2" s="163"/>
      <c r="C2" s="163"/>
      <c r="D2" s="163"/>
    </row>
    <row r="3" spans="1:6" ht="20.25" customHeight="1">
      <c r="A3" s="119" t="s">
        <v>351</v>
      </c>
      <c r="B3" s="170"/>
      <c r="C3" s="170"/>
      <c r="D3" s="170"/>
    </row>
    <row r="4" spans="1:6" ht="87.75" customHeight="1">
      <c r="A4" s="119" t="s">
        <v>352</v>
      </c>
      <c r="B4" s="164" t="s">
        <v>353</v>
      </c>
      <c r="C4" s="164"/>
      <c r="D4" s="164"/>
    </row>
    <row r="5" spans="1:6" ht="23.45" customHeight="1">
      <c r="A5" s="165" t="s">
        <v>260</v>
      </c>
      <c r="B5" s="119" t="s">
        <v>354</v>
      </c>
      <c r="C5" s="119" t="s">
        <v>355</v>
      </c>
      <c r="D5" s="119" t="s">
        <v>356</v>
      </c>
    </row>
    <row r="6" spans="1:6" ht="23.45" customHeight="1">
      <c r="A6" s="165"/>
      <c r="B6" s="166" t="s">
        <v>264</v>
      </c>
      <c r="C6" s="107" t="s">
        <v>357</v>
      </c>
      <c r="D6" s="120"/>
    </row>
    <row r="7" spans="1:6" ht="23.45" customHeight="1">
      <c r="A7" s="165"/>
      <c r="B7" s="167"/>
      <c r="C7" s="107" t="s">
        <v>358</v>
      </c>
      <c r="D7" s="120"/>
    </row>
    <row r="8" spans="1:6" ht="23.45" customHeight="1">
      <c r="A8" s="165"/>
      <c r="B8" s="168"/>
      <c r="C8" s="107" t="s">
        <v>359</v>
      </c>
      <c r="D8" s="120"/>
      <c r="F8" s="121"/>
    </row>
    <row r="9" spans="1:6" ht="23.45" customHeight="1">
      <c r="A9" s="165"/>
      <c r="B9" s="166" t="s">
        <v>267</v>
      </c>
      <c r="C9" s="107" t="s">
        <v>357</v>
      </c>
      <c r="D9" s="120"/>
    </row>
    <row r="10" spans="1:6" ht="23.45" customHeight="1">
      <c r="A10" s="165"/>
      <c r="B10" s="167"/>
      <c r="C10" s="107" t="s">
        <v>358</v>
      </c>
      <c r="D10" s="120"/>
    </row>
    <row r="11" spans="1:6" ht="23.45" customHeight="1">
      <c r="A11" s="165"/>
      <c r="B11" s="168"/>
      <c r="C11" s="107" t="s">
        <v>268</v>
      </c>
      <c r="D11" s="120"/>
    </row>
    <row r="12" spans="1:6" ht="23.45" customHeight="1">
      <c r="A12" s="165"/>
      <c r="B12" s="169" t="s">
        <v>269</v>
      </c>
      <c r="C12" s="107" t="s">
        <v>357</v>
      </c>
      <c r="D12" s="120"/>
    </row>
    <row r="13" spans="1:6" ht="23.45" customHeight="1">
      <c r="A13" s="165"/>
      <c r="B13" s="169"/>
      <c r="C13" s="107" t="s">
        <v>358</v>
      </c>
      <c r="D13" s="120"/>
    </row>
    <row r="14" spans="1:6" ht="23.45" customHeight="1">
      <c r="A14" s="165"/>
      <c r="B14" s="169"/>
      <c r="C14" s="107" t="s">
        <v>268</v>
      </c>
      <c r="D14" s="120"/>
    </row>
    <row r="15" spans="1:6" ht="22.15" customHeight="1">
      <c r="A15" s="156" t="s">
        <v>360</v>
      </c>
      <c r="B15" s="156"/>
      <c r="C15" s="156"/>
      <c r="D15" s="156"/>
    </row>
  </sheetData>
  <mergeCells count="8">
    <mergeCell ref="A15:D15"/>
    <mergeCell ref="A2:D2"/>
    <mergeCell ref="B3:D3"/>
    <mergeCell ref="B4:D4"/>
    <mergeCell ref="A5:A14"/>
    <mergeCell ref="B6:B8"/>
    <mergeCell ref="B9:B11"/>
    <mergeCell ref="B12:B14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8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null</cp:lastModifiedBy>
  <cp:lastPrinted>2017-12-31T02:50:14Z</cp:lastPrinted>
  <dcterms:created xsi:type="dcterms:W3CDTF">2008-01-10T09:59:00Z</dcterms:created>
  <dcterms:modified xsi:type="dcterms:W3CDTF">2018-05-23T03:29:23Z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