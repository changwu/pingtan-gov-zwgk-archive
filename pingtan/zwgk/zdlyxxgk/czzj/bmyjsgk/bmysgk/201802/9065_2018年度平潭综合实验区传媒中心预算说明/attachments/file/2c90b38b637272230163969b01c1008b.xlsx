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75" windowWidth="21720" windowHeight="12990" tabRatio="1000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'附表3-8'!$A$8:$C$114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'附表3-5'!$1:$6</definedName>
    <definedName name="_xlnm.Print_Titles" localSheetId="5">'附表3-6'!$1:$6</definedName>
    <definedName name="_xlnm.Print_Titles" localSheetId="7">'附表3-8'!$1:$7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62913" fullPrecision="0"/>
</workbook>
</file>

<file path=xl/calcChain.xml><?xml version="1.0" encoding="utf-8"?>
<calcChain xmlns="http://schemas.openxmlformats.org/spreadsheetml/2006/main">
  <c r="C9" i="77" l="1"/>
  <c r="C8" i="77"/>
  <c r="C7" i="77"/>
  <c r="D9" i="77"/>
  <c r="D8" i="77"/>
  <c r="D7" i="77"/>
  <c r="C8" i="80"/>
  <c r="E8" i="80"/>
  <c r="D8" i="80"/>
  <c r="D15" i="79"/>
  <c r="B15" i="79"/>
  <c r="D21" i="76"/>
  <c r="B21" i="76"/>
  <c r="E12" i="78" l="1"/>
  <c r="K12" i="78" s="1"/>
  <c r="J12" i="78" s="1"/>
  <c r="E11" i="78"/>
  <c r="K11" i="78" s="1"/>
  <c r="J11" i="78" s="1"/>
  <c r="E10" i="78"/>
  <c r="K10" i="78" s="1"/>
  <c r="J10" i="78" s="1"/>
  <c r="E9" i="78"/>
  <c r="K9" i="78" s="1"/>
  <c r="J9" i="78" s="1"/>
  <c r="E8" i="78"/>
  <c r="K8" i="78" s="1"/>
  <c r="J8" i="78" l="1"/>
  <c r="C81" i="82"/>
  <c r="C8" i="82" s="1"/>
  <c r="C9" i="80"/>
  <c r="C10" i="80"/>
  <c r="C11" i="80"/>
  <c r="C12" i="80"/>
  <c r="C13" i="80"/>
  <c r="B5" i="83" l="1"/>
  <c r="B8" i="83"/>
  <c r="C6" i="99" l="1"/>
  <c r="C23" i="82"/>
  <c r="C9" i="82"/>
  <c r="C22" i="82"/>
  <c r="C12" i="82"/>
  <c r="C19" i="82"/>
</calcChain>
</file>

<file path=xl/sharedStrings.xml><?xml version="1.0" encoding="utf-8"?>
<sst xmlns="http://schemas.openxmlformats.org/spreadsheetml/2006/main" count="535" uniqueCount="352">
  <si>
    <t>收入总计</t>
  </si>
  <si>
    <t>单位：万元</t>
  </si>
  <si>
    <t>项目</t>
  </si>
  <si>
    <t>合计</t>
  </si>
  <si>
    <t>1、因公出国（境）费用</t>
  </si>
  <si>
    <t>2、公务接待费</t>
  </si>
  <si>
    <t>支出总计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</si>
  <si>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</si>
  <si>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</si>
  <si>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</si>
  <si>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</si>
  <si>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</si>
  <si>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</si>
  <si>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</si>
  <si>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</si>
  <si>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</si>
  <si>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    其中：离退休费</t>
  </si>
  <si>
    <t xml:space="preserve">    公用支出</t>
  </si>
  <si>
    <t>二、基金预算财政拨款</t>
  </si>
  <si>
    <t xml:space="preserve">    其中：离退休公务费</t>
  </si>
  <si>
    <t>二、项目支出</t>
  </si>
  <si>
    <t>三、财政专户拨款</t>
  </si>
  <si>
    <t>四、单位其他收入</t>
  </si>
  <si>
    <t>五、单位结余结转资金</t>
  </si>
  <si>
    <t>六、财政代管资金拨款</t>
  </si>
  <si>
    <t>附表3-1</t>
    <phoneticPr fontId="35" type="noConversion"/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</si>
  <si>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</si>
  <si>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</si>
  <si>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</si>
  <si>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</si>
  <si>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</si>
  <si>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</si>
  <si>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</si>
  <si>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附表3-2</t>
    <phoneticPr fontId="35" type="noConversion"/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</si>
  <si>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</si>
  <si>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</si>
  <si>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</si>
  <si>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</si>
  <si>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</si>
  <si>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</si>
  <si>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</si>
  <si>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</si>
  <si>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</si>
  <si>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附表3-3</t>
    <phoneticPr fontId="35" type="noConversion"/>
  </si>
  <si>
    <t>附表3-4</t>
    <phoneticPr fontId="35" type="noConversion"/>
  </si>
  <si>
    <t>附表3-5</t>
    <phoneticPr fontId="35" type="noConversion"/>
  </si>
  <si>
    <t>合计</t>
    <phoneticPr fontId="35" type="noConversion"/>
  </si>
  <si>
    <t>其中：</t>
    <phoneticPr fontId="35" type="noConversion"/>
  </si>
  <si>
    <t>基本支出</t>
  </si>
  <si>
    <t>注：1.本表反映部门本年度公共财政预算拨款支出情况。</t>
  </si>
  <si>
    <t xml:space="preserve">    2.本表列示到政府支出功能分类项级科目。</t>
  </si>
  <si>
    <t>注：1.本表反映部门本年度政府性基金财政拨款支出预算情况。</t>
  </si>
  <si>
    <t>附表3-6</t>
    <phoneticPr fontId="35" type="noConversion"/>
  </si>
  <si>
    <t>项    目</t>
  </si>
  <si>
    <t/>
  </si>
  <si>
    <t xml:space="preserve">合     计 </t>
  </si>
  <si>
    <t>经济分类科目_x000D_编码</t>
  </si>
  <si>
    <t>编码"</t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</si>
  <si>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</si>
  <si>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</si>
  <si>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</si>
  <si>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</si>
  <si>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</si>
  <si>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</si>
  <si>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</si>
  <si>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</si>
  <si>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</si>
  <si>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</si>
  <si>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</si>
  <si>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</si>
  <si>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</si>
  <si>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</si>
  <si>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</si>
  <si>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</si>
  <si>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</si>
  <si>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</si>
  <si>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</si>
  <si>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</si>
  <si>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</si>
  <si>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</si>
  <si>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</si>
  <si>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</si>
  <si>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</si>
  <si>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</si>
  <si>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</si>
  <si>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</si>
  <si>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</si>
  <si>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</si>
  <si>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</si>
  <si>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</si>
  <si>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</si>
  <si>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</si>
  <si>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</si>
  <si>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</si>
  <si>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</si>
  <si>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</si>
  <si>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</si>
  <si>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</si>
  <si>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</si>
  <si>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</si>
  <si>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</si>
  <si>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</si>
  <si>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</si>
  <si>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</si>
  <si>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</si>
  <si>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</si>
  <si>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</si>
  <si>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</si>
  <si>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</si>
  <si>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</si>
  <si>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</si>
  <si>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</si>
  <si>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</si>
  <si>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</si>
  <si>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</si>
  <si>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</si>
  <si>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</si>
  <si>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</si>
  <si>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</si>
  <si>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</si>
  <si>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</si>
  <si>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</si>
  <si>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</si>
  <si>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</si>
  <si>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</si>
  <si>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</si>
  <si>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</si>
  <si>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</si>
  <si>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</si>
  <si>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</si>
  <si>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>本年预算数</t>
  </si>
  <si>
    <t xml:space="preserve">      （2）公务用车购置费</t>
    <phoneticPr fontId="35" type="noConversion"/>
  </si>
  <si>
    <t>编制单位：</t>
    <phoneticPr fontId="75" type="noConversion"/>
  </si>
  <si>
    <t>单位：万元</t>
    <phoneticPr fontId="75" type="noConversion"/>
  </si>
  <si>
    <t>经济分类_x000D_
科目编码</t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</si>
  <si>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</si>
  <si>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</si>
  <si>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</si>
  <si>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</si>
  <si>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</si>
  <si>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</si>
  <si>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</si>
  <si>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</si>
  <si>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</si>
  <si>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</si>
  <si>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</si>
  <si>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</si>
  <si>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</si>
  <si>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</si>
  <si>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</si>
  <si>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</si>
  <si>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 xml:space="preserve">编报说明：
一、立项依据：指专项资金设立所依据的法律、法规、规章或者政府的规范性文件。按照“《标题》+（文号）：主要依据内容”的格式填报。有多个设立依据的，应按设立依据的级次，从高到低填列。
二、执行年限：专项资金未确定执行期限的，统一设定期限为3年。
三、总体绩效目标：描述专项资金在实施过程中（包括实施期、当年度）计划达到的产出和效果。主要采用定性描述。
四、实施规划：描述专项资金的主要内容和分阶段实施计划等内容。
五、支出级次：分为“部门发展性项目支出”和“对下转移支付支出”。同一专项资金项目包含多种分类的，需区别标识，例：部门发展性项目支出xxx万元、对下转移支付支出xxx万元。
六、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</si>
  <si>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附表3-7</t>
    <phoneticPr fontId="75" type="noConversion"/>
  </si>
  <si>
    <t>附表3-9</t>
    <phoneticPr fontId="35" type="noConversion"/>
  </si>
  <si>
    <t>附表3-8</t>
    <phoneticPr fontId="35" type="noConversion"/>
  </si>
  <si>
    <t xml:space="preserve">    3.没有数据的表格应当列出空表并说明。</t>
    <phoneticPr fontId="35" type="noConversion"/>
  </si>
  <si>
    <t>备注：本表不许留空，没有金额必须标零或写无。</t>
    <phoneticPr fontId="7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</si>
  <si>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</si>
  <si>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</si>
  <si>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</si>
  <si>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</si>
  <si>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</si>
  <si>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</si>
  <si>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</si>
  <si>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</si>
  <si>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</si>
  <si>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</si>
  <si>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</si>
  <si>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</si>
  <si>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</si>
  <si>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</si>
  <si>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</si>
  <si>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</si>
  <si>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</si>
  <si>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</si>
  <si>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</si>
  <si>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</si>
  <si>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</si>
  <si>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</si>
  <si>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</si>
  <si>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</si>
  <si>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</si>
  <si>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</si>
  <si>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</si>
  <si>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</si>
  <si>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</si>
  <si>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</si>
  <si>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</si>
  <si>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</si>
  <si>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</si>
  <si>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</si>
  <si>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</si>
  <si>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</si>
  <si>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</si>
  <si>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</si>
  <si>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</si>
  <si>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</si>
  <si>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</si>
  <si>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</si>
  <si>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</si>
  <si>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</si>
  <si>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</si>
  <si>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</si>
  <si>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</si>
  <si>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</si>
  <si>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</si>
  <si>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</si>
  <si>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</si>
  <si>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</si>
  <si>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</si>
  <si>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</si>
  <si>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手续费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</si>
  <si>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</si>
  <si>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</si>
  <si>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</si>
  <si>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</si>
  <si>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</si>
  <si>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</si>
  <si>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</si>
  <si>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</si>
  <si>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</si>
  <si>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</si>
  <si>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</si>
  <si>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</si>
  <si>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</si>
  <si>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</si>
  <si>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</si>
  <si>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</si>
  <si>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</si>
  <si>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</si>
  <si>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</si>
  <si>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</si>
  <si>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</si>
  <si>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</si>
  <si>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</si>
  <si>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</si>
  <si>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</si>
  <si>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</si>
  <si>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</si>
  <si>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</si>
  <si>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</si>
  <si>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</si>
  <si>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</si>
  <si>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</si>
  <si>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</si>
  <si>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</si>
  <si>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</si>
  <si>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</si>
  <si>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</si>
  <si>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</si>
  <si>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</si>
  <si>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</si>
  <si>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</si>
  <si>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</si>
  <si>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</si>
  <si>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</si>
  <si>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</si>
  <si>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</si>
  <si>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</si>
  <si>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</si>
  <si>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土地补偿</t>
  </si>
  <si>
    <t>安置补助</t>
  </si>
  <si>
    <t>地上附着物和青苗补偿</t>
  </si>
  <si>
    <t>拆迁补偿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</si>
  <si>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</si>
  <si>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</si>
  <si>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</si>
  <si>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</si>
  <si>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</si>
  <si>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</si>
  <si>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</si>
  <si>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</si>
  <si>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</si>
  <si>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</si>
  <si>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</si>
  <si>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</si>
  <si>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</si>
  <si>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</si>
  <si>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</si>
  <si>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</si>
  <si>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</si>
  <si>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</si>
  <si>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</si>
  <si>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 xml:space="preserve">绩效目标  </t>
  </si>
  <si>
    <t xml:space="preserve">投入 </t>
  </si>
  <si>
    <t>产出</t>
  </si>
  <si>
    <t>效益</t>
  </si>
  <si>
    <t>立项项目名称</t>
    <phoneticPr fontId="35" type="noConversion"/>
  </si>
  <si>
    <t>概况</t>
    <phoneticPr fontId="35" type="noConversion"/>
  </si>
  <si>
    <t>指标</t>
    <phoneticPr fontId="35" type="noConversion"/>
  </si>
  <si>
    <t>绩效内容</t>
    <phoneticPr fontId="62" type="noConversion"/>
  </si>
  <si>
    <t>全年绩效目标值</t>
    <phoneticPr fontId="35" type="noConversion"/>
  </si>
  <si>
    <t>备注：按部门预算批复的绩效目标表填写本表中的相应内容（按规定不宜公开部分除外）。</t>
    <phoneticPr fontId="62" type="noConversion"/>
  </si>
  <si>
    <t>附表3-10</t>
    <phoneticPr fontId="35" type="noConversion"/>
  </si>
  <si>
    <t>附表3-11</t>
    <phoneticPr fontId="35" type="noConversion"/>
  </si>
  <si>
    <t>预算数</t>
    <phoneticPr fontId="75" type="noConversion"/>
  </si>
  <si>
    <t>预算数</t>
    <phoneticPr fontId="75" type="noConversion"/>
  </si>
  <si>
    <t xml:space="preserve">    上级财政转移支付补助</t>
  </si>
  <si>
    <t xml:space="preserve">    上级财政转移支付补助（基金）</t>
  </si>
  <si>
    <t xml:space="preserve">    区级一般公共预算拨款</t>
  </si>
  <si>
    <t xml:space="preserve">    区级政府性基金列入一般公共预算</t>
  </si>
  <si>
    <t xml:space="preserve">    区级基金预算拨款</t>
  </si>
  <si>
    <t>单位：万元</t>
    <phoneticPr fontId="75" type="noConversion"/>
  </si>
  <si>
    <t>2018年预算</t>
    <phoneticPr fontId="75" type="noConversion"/>
  </si>
  <si>
    <t>2018年度收支预算总表</t>
    <phoneticPr fontId="35" type="noConversion"/>
  </si>
  <si>
    <t>2018年度收入预算总表</t>
    <phoneticPr fontId="35" type="noConversion"/>
  </si>
  <si>
    <t>2018年度支出预算总表</t>
    <phoneticPr fontId="35" type="noConversion"/>
  </si>
  <si>
    <t>2018年度财政拨款收支预算总表</t>
    <phoneticPr fontId="35" type="noConversion"/>
  </si>
  <si>
    <t>2018年度一般公共预算拨款支出预算表</t>
    <phoneticPr fontId="35" type="noConversion"/>
  </si>
  <si>
    <t>2018年度政府性基金拨款支出预算表</t>
    <phoneticPr fontId="35" type="noConversion"/>
  </si>
  <si>
    <t>2018年度一般公共预算支出经济分类情况表</t>
    <phoneticPr fontId="75" type="noConversion"/>
  </si>
  <si>
    <t>2018年度一般公共预算基本支出经济分类情况表</t>
    <phoneticPr fontId="35" type="noConversion"/>
  </si>
  <si>
    <t>2018年度一般公共预算“三公”经费支出预算表</t>
    <phoneticPr fontId="35" type="noConversion"/>
  </si>
  <si>
    <t>2018年度部门专项资金管理清单目录</t>
    <phoneticPr fontId="35" type="noConversion"/>
  </si>
  <si>
    <t>2018年度专项资金绩效目标表</t>
    <phoneticPr fontId="35" type="noConversion"/>
  </si>
  <si>
    <t>工程量</t>
  </si>
  <si>
    <t>栏目数量</t>
  </si>
  <si>
    <t>13000平米</t>
  </si>
  <si>
    <t>对办公环境、工作效率提高的促进程度</t>
  </si>
  <si>
    <t>2070499</t>
    <phoneticPr fontId="75" type="noConversion"/>
  </si>
  <si>
    <t>其他新闻出版广播影视支出</t>
    <phoneticPr fontId="75" type="noConversion"/>
  </si>
  <si>
    <t>住房公积金</t>
    <phoneticPr fontId="75" type="noConversion"/>
  </si>
  <si>
    <t>提租补贴</t>
    <phoneticPr fontId="75" type="noConversion"/>
  </si>
  <si>
    <t>电视</t>
    <phoneticPr fontId="75" type="noConversion"/>
  </si>
  <si>
    <t>出版发行</t>
    <phoneticPr fontId="75" type="noConversion"/>
  </si>
  <si>
    <t>社会影响力</t>
  </si>
  <si>
    <t>提升员工工作效率，服务社会发展能力</t>
    <phoneticPr fontId="35" type="noConversion"/>
  </si>
  <si>
    <t>附表3-12</t>
    <phoneticPr fontId="35" type="noConversion"/>
  </si>
  <si>
    <t>总体目标</t>
    <phoneticPr fontId="35" type="noConversion"/>
  </si>
  <si>
    <t>2018年度部门业务费绩效目标表</t>
    <phoneticPr fontId="35" type="noConversion"/>
  </si>
  <si>
    <t>平潭广播电视台</t>
  </si>
  <si>
    <t>平潭时报社</t>
  </si>
  <si>
    <t>平潭综合实验区传媒中心</t>
    <phoneticPr fontId="75" type="noConversion"/>
  </si>
  <si>
    <t>其他新闻出版广播影视支出</t>
    <phoneticPr fontId="75" type="noConversion"/>
  </si>
  <si>
    <t>住房公积金</t>
    <phoneticPr fontId="75" type="noConversion"/>
  </si>
  <si>
    <t>提租补贴</t>
    <phoneticPr fontId="75" type="noConversion"/>
  </si>
  <si>
    <t>电视</t>
    <phoneticPr fontId="75" type="noConversion"/>
  </si>
  <si>
    <t>出版发行</t>
    <phoneticPr fontId="75" type="noConversion"/>
  </si>
  <si>
    <t>平潭综合实验区传媒中心办公用房及高清改造装修项目、平潭广播电视台一次性补助、平潭时报社一次性补助</t>
    <phoneticPr fontId="35" type="noConversion"/>
  </si>
  <si>
    <t>区传媒中心办公用房新址装修、电视台设备高清改造4000万元；2018年平潭广播电视台日常运转经费1416万元；2018年平潭时报社日常运转经费571万元</t>
    <phoneticPr fontId="35" type="noConversion"/>
  </si>
  <si>
    <t>电视2个频道、广播1个频率</t>
    <phoneticPr fontId="35" type="noConversion"/>
  </si>
  <si>
    <t>目标1：办公用房新址装修</t>
    <phoneticPr fontId="35" type="noConversion"/>
  </si>
  <si>
    <t>目标2：设备购置</t>
    <phoneticPr fontId="35" type="noConversion"/>
  </si>
  <si>
    <t>2000万元</t>
    <phoneticPr fontId="35" type="noConversion"/>
  </si>
  <si>
    <t>目标3：投入资金</t>
    <phoneticPr fontId="35" type="noConversion"/>
  </si>
  <si>
    <t>电视台不超过1416万元；时报社不超过571万元</t>
    <phoneticPr fontId="35" type="noConversion"/>
  </si>
  <si>
    <t>工资发放情况</t>
    <phoneticPr fontId="35" type="noConversion"/>
  </si>
  <si>
    <t>按规定及时足额发放</t>
    <phoneticPr fontId="35" type="noConversion"/>
  </si>
  <si>
    <t>提升平潭认识度</t>
    <phoneticPr fontId="35" type="noConversion"/>
  </si>
  <si>
    <t>此表无数据</t>
    <phoneticPr fontId="75" type="noConversion"/>
  </si>
  <si>
    <t>此表无数据</t>
    <phoneticPr fontId="35" type="noConversion"/>
  </si>
  <si>
    <t>合计</t>
    <phoneticPr fontId="7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</si>
</sst>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0000"/>
    <numFmt numFmtId="192" formatCode="* #,##0.0;* \-#,##0.0;* &quot;&quot;??;@"/>
    <numFmt numFmtId="193" formatCode="#,##0.0"/>
    <numFmt numFmtId="194" formatCode="0.00_);\(0.00\)"/>
  </numFmts>
  <fonts count="94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2"/>
      <color theme="1"/>
      <name val="宋体"/>
      <family val="3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20"/>
      <color theme="1"/>
      <name val="方正小标宋简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991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</cellStyleXfs>
  <cellXfs count="17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190" fontId="7" fillId="0" borderId="1" xfId="4972" applyNumberFormat="1" applyFont="1" applyFill="1" applyBorder="1" applyAlignment="1">
      <alignment horizontal="right" vertical="center"/>
    </xf>
    <xf numFmtId="4" fontId="7" fillId="0" borderId="1" xfId="4972" applyNumberFormat="1" applyFont="1" applyFill="1" applyBorder="1" applyAlignment="1">
      <alignment horizontal="right" vertical="center" wrapText="1"/>
    </xf>
    <xf numFmtId="0" fontId="6" fillId="0" borderId="0" xfId="4974" applyFont="1"/>
    <xf numFmtId="0" fontId="2" fillId="0" borderId="0" xfId="4974" applyFont="1"/>
    <xf numFmtId="191" fontId="2" fillId="0" borderId="0" xfId="4974" applyNumberFormat="1" applyFont="1" applyFill="1" applyAlignment="1" applyProtection="1">
      <alignment horizontal="center" vertical="center"/>
    </xf>
    <xf numFmtId="0" fontId="57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7" fillId="0" borderId="0" xfId="0" applyFont="1">
      <alignment vertical="center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190" fontId="7" fillId="0" borderId="1" xfId="4977" applyNumberFormat="1" applyFont="1" applyFill="1" applyBorder="1" applyAlignment="1">
      <alignment horizontal="right" vertical="center"/>
    </xf>
    <xf numFmtId="4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3" fillId="0" borderId="1" xfId="4972" applyFont="1" applyBorder="1" applyAlignment="1">
      <alignment horizontal="centerContinuous" vertical="center"/>
    </xf>
    <xf numFmtId="0" fontId="63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0" xfId="0" applyFont="1" applyFill="1" applyAlignment="1">
      <alignment horizontal="right"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1" fillId="0" borderId="0" xfId="0" applyFont="1" applyAlignment="1">
      <alignment horizontal="right" vertical="center"/>
    </xf>
    <xf numFmtId="0" fontId="63" fillId="0" borderId="1" xfId="4977" applyFont="1" applyBorder="1" applyAlignment="1">
      <alignment horizontal="centerContinuous" vertical="center"/>
    </xf>
    <xf numFmtId="0" fontId="63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3" fillId="0" borderId="1" xfId="4978" quotePrefix="1" applyFont="1" applyBorder="1" applyAlignment="1">
      <alignment horizontal="center" vertical="center"/>
    </xf>
    <xf numFmtId="0" fontId="63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3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4978" applyFont="1" applyAlignment="1">
      <alignment vertical="center"/>
    </xf>
    <xf numFmtId="0" fontId="6" fillId="0" borderId="0" xfId="4978" applyFont="1" applyBorder="1" applyAlignment="1">
      <alignment horizontal="right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64" fillId="0" borderId="0" xfId="2842" applyFont="1" applyAlignment="1">
      <alignment horizontal="right"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9" fillId="0" borderId="30" xfId="2555" applyFont="1" applyFill="1" applyBorder="1" applyAlignment="1">
      <alignment horizontal="right" vertical="center" shrinkToFit="1"/>
    </xf>
    <xf numFmtId="49" fontId="67" fillId="0" borderId="30" xfId="4989" applyNumberFormat="1" applyFont="1" applyBorder="1"/>
    <xf numFmtId="0" fontId="5" fillId="0" borderId="30" xfId="2555" applyFont="1" applyFill="1" applyBorder="1" applyAlignment="1">
      <alignment horizontal="right" vertical="center" shrinkToFit="1"/>
    </xf>
    <xf numFmtId="0" fontId="7" fillId="0" borderId="30" xfId="0" applyFont="1" applyBorder="1" applyAlignment="1">
      <alignment vertical="center"/>
    </xf>
    <xf numFmtId="49" fontId="88" fillId="0" borderId="30" xfId="4989" applyNumberFormat="1" applyFont="1" applyBorder="1"/>
    <xf numFmtId="0" fontId="63" fillId="0" borderId="30" xfId="0" applyFont="1" applyBorder="1" applyAlignment="1">
      <alignment vertical="center"/>
    </xf>
    <xf numFmtId="0" fontId="87" fillId="50" borderId="0" xfId="0" applyFont="1" applyFill="1" applyBorder="1" applyAlignment="1">
      <alignment horizontal="left" vertical="center"/>
    </xf>
    <xf numFmtId="0" fontId="87" fillId="50" borderId="0" xfId="0" applyFont="1" applyFill="1" applyBorder="1" applyAlignment="1">
      <alignment horizontal="right" vertical="center"/>
    </xf>
    <xf numFmtId="0" fontId="9" fillId="0" borderId="30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right" vertical="center"/>
    </xf>
    <xf numFmtId="191" fontId="6" fillId="0" borderId="0" xfId="4974" applyNumberFormat="1" applyFont="1" applyFill="1" applyAlignment="1" applyProtection="1">
      <alignment horizontal="center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2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2" fontId="2" fillId="0" borderId="0" xfId="4974" applyNumberFormat="1" applyFont="1" applyAlignment="1">
      <alignment horizontal="center" vertical="center"/>
    </xf>
    <xf numFmtId="0" fontId="2" fillId="0" borderId="0" xfId="4974" applyFont="1" applyAlignment="1">
      <alignment horizontal="center" vertical="center"/>
    </xf>
    <xf numFmtId="0" fontId="63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9" fillId="0" borderId="30" xfId="4990" applyFont="1" applyBorder="1" applyAlignment="1">
      <alignment horizontal="left" vertical="center" wrapText="1"/>
    </xf>
    <xf numFmtId="0" fontId="53" fillId="0" borderId="30" xfId="0" applyFont="1" applyFill="1" applyBorder="1" applyAlignment="1">
      <alignment horizontal="right" vertical="center"/>
    </xf>
    <xf numFmtId="0" fontId="80" fillId="0" borderId="30" xfId="0" applyFont="1" applyBorder="1" applyAlignment="1">
      <alignment vertical="center"/>
    </xf>
    <xf numFmtId="0" fontId="9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4" fillId="0" borderId="1" xfId="0" applyFont="1" applyBorder="1" applyAlignment="1">
      <alignment horizontal="center" vertical="center" wrapText="1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84" fillId="0" borderId="1" xfId="0" applyFont="1" applyBorder="1" applyAlignment="1">
      <alignment horizontal="center" vertical="center" wrapText="1"/>
    </xf>
    <xf numFmtId="0" fontId="54" fillId="0" borderId="1" xfId="2842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57" fillId="0" borderId="1" xfId="0" applyFont="1" applyFill="1" applyBorder="1" applyAlignment="1">
      <alignment horizontal="left" vertical="center" wrapText="1"/>
    </xf>
    <xf numFmtId="0" fontId="7" fillId="0" borderId="1" xfId="4979" applyFont="1" applyFill="1" applyBorder="1" applyAlignment="1">
      <alignment vertical="center"/>
    </xf>
    <xf numFmtId="0" fontId="7" fillId="0" borderId="1" xfId="4980" applyFont="1" applyFill="1" applyBorder="1"/>
    <xf numFmtId="0" fontId="80" fillId="0" borderId="30" xfId="0" applyFont="1" applyFill="1" applyBorder="1" applyAlignment="1">
      <alignment vertical="center"/>
    </xf>
    <xf numFmtId="4" fontId="5" fillId="0" borderId="20" xfId="0" applyNumberFormat="1" applyFont="1" applyFill="1" applyBorder="1" applyAlignment="1">
      <alignment horizontal="right" vertical="center" wrapText="1"/>
    </xf>
    <xf numFmtId="194" fontId="93" fillId="0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vertical="center"/>
    </xf>
    <xf numFmtId="194" fontId="7" fillId="0" borderId="1" xfId="0" applyNumberFormat="1" applyFont="1" applyBorder="1" applyAlignment="1">
      <alignment vertical="center"/>
    </xf>
    <xf numFmtId="194" fontId="7" fillId="0" borderId="1" xfId="0" applyNumberFormat="1" applyFont="1" applyFill="1" applyBorder="1" applyAlignment="1">
      <alignment vertical="center"/>
    </xf>
    <xf numFmtId="0" fontId="93" fillId="0" borderId="1" xfId="0" applyNumberFormat="1" applyFont="1" applyFill="1" applyBorder="1" applyAlignment="1">
      <alignment horizontal="left" vertical="center" wrapText="1"/>
    </xf>
    <xf numFmtId="0" fontId="85" fillId="0" borderId="0" xfId="4972" applyFont="1" applyAlignment="1">
      <alignment horizontal="center" vertical="center"/>
    </xf>
    <xf numFmtId="0" fontId="86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5" fillId="0" borderId="0" xfId="4974" applyNumberFormat="1" applyFont="1" applyFill="1" applyAlignment="1" applyProtection="1">
      <alignment horizontal="center" vertical="center" wrapText="1"/>
    </xf>
    <xf numFmtId="49" fontId="86" fillId="0" borderId="0" xfId="4974" applyNumberFormat="1" applyFont="1" applyFill="1" applyAlignment="1" applyProtection="1">
      <alignment horizontal="center" vertical="center" wrapText="1"/>
    </xf>
    <xf numFmtId="0" fontId="63" fillId="0" borderId="1" xfId="4974" applyNumberFormat="1" applyFont="1" applyFill="1" applyBorder="1" applyAlignment="1" applyProtection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3" fillId="0" borderId="21" xfId="4976" applyNumberFormat="1" applyFont="1" applyFill="1" applyBorder="1" applyAlignment="1" applyProtection="1">
      <alignment horizontal="center" vertical="center" wrapText="1"/>
    </xf>
    <xf numFmtId="0" fontId="63" fillId="0" borderId="22" xfId="4976" applyNumberFormat="1" applyFont="1" applyFill="1" applyBorder="1" applyAlignment="1" applyProtection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85" fillId="0" borderId="0" xfId="4977" applyFont="1" applyAlignment="1">
      <alignment horizontal="center" vertical="center"/>
    </xf>
    <xf numFmtId="0" fontId="86" fillId="0" borderId="0" xfId="4977" applyFont="1" applyAlignment="1">
      <alignment horizontal="center" vertical="center"/>
    </xf>
    <xf numFmtId="193" fontId="7" fillId="0" borderId="0" xfId="4981" applyNumberFormat="1" applyFont="1" applyFill="1" applyBorder="1" applyAlignment="1">
      <alignment horizontal="left"/>
    </xf>
    <xf numFmtId="0" fontId="7" fillId="0" borderId="0" xfId="4981" applyNumberFormat="1" applyFont="1" applyFill="1" applyBorder="1" applyAlignment="1" applyProtection="1">
      <alignment horizontal="left" wrapText="1"/>
    </xf>
    <xf numFmtId="0" fontId="63" fillId="0" borderId="1" xfId="4978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5" fillId="50" borderId="0" xfId="0" applyFont="1" applyFill="1" applyBorder="1" applyAlignment="1">
      <alignment horizontal="center" vertical="center"/>
    </xf>
    <xf numFmtId="0" fontId="86" fillId="50" borderId="0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30" xfId="2555" applyFont="1" applyFill="1" applyBorder="1" applyAlignment="1">
      <alignment horizontal="center" vertical="center"/>
    </xf>
    <xf numFmtId="0" fontId="83" fillId="0" borderId="0" xfId="1527" applyFont="1" applyAlignment="1">
      <alignment horizontal="center" vertical="center"/>
    </xf>
    <xf numFmtId="0" fontId="6" fillId="0" borderId="24" xfId="4978" applyFont="1" applyBorder="1" applyAlignment="1">
      <alignment horizontal="right" vertical="center"/>
    </xf>
    <xf numFmtId="0" fontId="9" fillId="0" borderId="25" xfId="2555" applyFont="1" applyFill="1" applyBorder="1" applyAlignment="1">
      <alignment horizontal="center" vertical="center"/>
    </xf>
    <xf numFmtId="0" fontId="9" fillId="0" borderId="26" xfId="2555" applyFont="1" applyFill="1" applyBorder="1" applyAlignment="1">
      <alignment horizontal="center" vertical="center"/>
    </xf>
    <xf numFmtId="0" fontId="9" fillId="0" borderId="28" xfId="2555" applyFont="1" applyFill="1" applyBorder="1" applyAlignment="1">
      <alignment horizontal="center" vertical="center"/>
    </xf>
    <xf numFmtId="0" fontId="9" fillId="0" borderId="27" xfId="2555" applyFont="1" applyFill="1" applyBorder="1" applyAlignment="1">
      <alignment horizontal="center" vertical="center" wrapText="1"/>
    </xf>
    <xf numFmtId="0" fontId="85" fillId="0" borderId="0" xfId="2842" applyFont="1" applyAlignment="1">
      <alignment horizontal="center" vertical="center"/>
    </xf>
    <xf numFmtId="0" fontId="7" fillId="0" borderId="29" xfId="0" applyFont="1" applyBorder="1" applyAlignment="1">
      <alignment horizontal="left" vertical="top" wrapText="1"/>
    </xf>
    <xf numFmtId="0" fontId="7" fillId="0" borderId="29" xfId="0" applyFont="1" applyBorder="1" applyAlignment="1">
      <alignment horizontal="left" vertical="top"/>
    </xf>
    <xf numFmtId="0" fontId="85" fillId="0" borderId="0" xfId="0" applyFont="1" applyAlignment="1">
      <alignment horizontal="center"/>
    </xf>
    <xf numFmtId="0" fontId="82" fillId="0" borderId="21" xfId="0" applyFont="1" applyBorder="1" applyAlignment="1">
      <alignment horizontal="center" vertical="center" wrapText="1"/>
    </xf>
    <xf numFmtId="0" fontId="82" fillId="0" borderId="22" xfId="0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84" fillId="0" borderId="21" xfId="0" applyFont="1" applyBorder="1" applyAlignment="1">
      <alignment horizontal="center" vertical="center" wrapText="1"/>
    </xf>
    <xf numFmtId="0" fontId="84" fillId="0" borderId="22" xfId="0" applyFont="1" applyBorder="1" applyAlignment="1">
      <alignment horizontal="center" vertical="center" wrapText="1"/>
    </xf>
    <xf numFmtId="0" fontId="92" fillId="0" borderId="31" xfId="0" applyFont="1" applyBorder="1" applyAlignment="1">
      <alignment horizontal="center" vertical="center" wrapText="1"/>
    </xf>
    <xf numFmtId="0" fontId="92" fillId="0" borderId="29" xfId="0" applyFont="1" applyBorder="1" applyAlignment="1">
      <alignment horizontal="center" vertical="center" wrapText="1"/>
    </xf>
    <xf numFmtId="0" fontId="92" fillId="0" borderId="32" xfId="0" applyFont="1" applyBorder="1" applyAlignment="1">
      <alignment horizontal="center" vertical="center" wrapText="1"/>
    </xf>
    <xf numFmtId="0" fontId="92" fillId="0" borderId="33" xfId="0" applyFont="1" applyBorder="1" applyAlignment="1">
      <alignment horizontal="center" vertical="center" wrapText="1"/>
    </xf>
    <xf numFmtId="0" fontId="92" fillId="0" borderId="34" xfId="0" applyFont="1" applyBorder="1" applyAlignment="1">
      <alignment horizontal="center" vertical="center" wrapText="1"/>
    </xf>
    <xf numFmtId="0" fontId="92" fillId="0" borderId="35" xfId="0" applyFont="1" applyBorder="1" applyAlignment="1">
      <alignment horizontal="center" vertical="center" wrapText="1"/>
    </xf>
    <xf numFmtId="0" fontId="91" fillId="0" borderId="0" xfId="0" applyFont="1" applyAlignment="1">
      <alignment horizontal="center" vertical="top" wrapText="1"/>
    </xf>
    <xf numFmtId="0" fontId="84" fillId="0" borderId="23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0" fontId="84" fillId="0" borderId="1" xfId="0" applyFont="1" applyBorder="1" applyAlignment="1">
      <alignment horizontal="justify" vertical="center" wrapText="1"/>
    </xf>
    <xf numFmtId="0" fontId="7" fillId="0" borderId="1" xfId="2616" applyFont="1" applyBorder="1" applyAlignment="1">
      <alignment horizontal="right"/>
    </xf>
    <xf numFmtId="0" fontId="7" fillId="0" borderId="1" xfId="4979" applyFont="1" applyBorder="1" applyAlignment="1">
      <alignment horizontal="right" vertical="center"/>
    </xf>
    <xf numFmtId="4" fontId="93" fillId="0" borderId="1" xfId="0" applyNumberFormat="1" applyFont="1" applyFill="1" applyBorder="1" applyAlignment="1">
      <alignment horizontal="left" vertical="center" wrapText="1"/>
    </xf>
  </cellXfs>
  <cellStyles count="4991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tabSelected="1" workbookViewId="0">
      <selection activeCell="H13" sqref="H13"/>
    </sheetView>
  </sheetViews>
  <sheetFormatPr defaultRowHeight="14.25"/>
  <cols>
    <col min="1" max="1" width="37.375" customWidth="1"/>
    <col min="2" max="2" width="21.5" customWidth="1"/>
    <col min="3" max="3" width="28.375" customWidth="1"/>
    <col min="4" max="4" width="21" customWidth="1"/>
  </cols>
  <sheetData>
    <row r="1" spans="1:4">
      <c r="A1" s="118"/>
      <c r="B1" s="118"/>
      <c r="C1" s="118"/>
      <c r="D1" s="118"/>
    </row>
    <row r="2" spans="1:4">
      <c r="A2" s="4" t="s">
        <v>25</v>
      </c>
      <c r="B2" s="2"/>
      <c r="C2" s="2"/>
      <c r="D2" s="2"/>
    </row>
    <row r="3" spans="1:4" ht="20.25">
      <c r="A3" s="116" t="s">
        <v>304</v>
      </c>
      <c r="B3" s="117"/>
      <c r="C3" s="117"/>
      <c r="D3" s="117"/>
    </row>
    <row r="4" spans="1:4">
      <c r="A4" s="6"/>
      <c r="B4" s="6"/>
      <c r="C4" s="6"/>
      <c r="D4" s="7" t="s">
        <v>302</v>
      </c>
    </row>
    <row r="5" spans="1:4" ht="20.100000000000001" customHeight="1">
      <c r="A5" s="37" t="s">
        <v>7</v>
      </c>
      <c r="B5" s="37"/>
      <c r="C5" s="37" t="s">
        <v>8</v>
      </c>
      <c r="D5" s="37"/>
    </row>
    <row r="6" spans="1:4" ht="20.100000000000001" customHeight="1">
      <c r="A6" s="38" t="s">
        <v>9</v>
      </c>
      <c r="B6" s="38" t="s">
        <v>303</v>
      </c>
      <c r="C6" s="38" t="s">
        <v>10</v>
      </c>
      <c r="D6" s="38" t="s">
        <v>303</v>
      </c>
    </row>
    <row r="7" spans="1:4" ht="20.100000000000001" customHeight="1">
      <c r="A7" s="39" t="s">
        <v>11</v>
      </c>
      <c r="B7" s="8">
        <v>6233.88</v>
      </c>
      <c r="C7" s="39" t="s">
        <v>12</v>
      </c>
      <c r="D7" s="9">
        <v>126.88</v>
      </c>
    </row>
    <row r="8" spans="1:4" ht="20.100000000000001" customHeight="1">
      <c r="A8" s="39" t="s">
        <v>299</v>
      </c>
      <c r="B8" s="8"/>
      <c r="C8" s="39" t="s">
        <v>13</v>
      </c>
      <c r="D8" s="8">
        <v>110.37</v>
      </c>
    </row>
    <row r="9" spans="1:4" ht="20.100000000000001" customHeight="1">
      <c r="A9" s="39" t="s">
        <v>14</v>
      </c>
      <c r="B9" s="8"/>
      <c r="C9" s="39" t="s">
        <v>15</v>
      </c>
      <c r="D9" s="8"/>
    </row>
    <row r="10" spans="1:4" ht="20.100000000000001" customHeight="1">
      <c r="A10" s="39" t="s">
        <v>297</v>
      </c>
      <c r="B10" s="8"/>
      <c r="C10" s="39" t="s">
        <v>16</v>
      </c>
      <c r="D10" s="8"/>
    </row>
    <row r="11" spans="1:4" ht="20.100000000000001" customHeight="1">
      <c r="A11" s="39" t="s">
        <v>300</v>
      </c>
      <c r="B11" s="8"/>
      <c r="C11" s="39" t="s">
        <v>17</v>
      </c>
      <c r="D11" s="8">
        <v>16.510000000000002</v>
      </c>
    </row>
    <row r="12" spans="1:4" ht="20.100000000000001" customHeight="1">
      <c r="A12" s="39" t="s">
        <v>18</v>
      </c>
      <c r="B12" s="8"/>
      <c r="C12" s="39" t="s">
        <v>19</v>
      </c>
      <c r="D12" s="8"/>
    </row>
    <row r="13" spans="1:4" ht="20.100000000000001" customHeight="1">
      <c r="A13" s="39" t="s">
        <v>301</v>
      </c>
      <c r="B13" s="8"/>
      <c r="C13" s="39" t="s">
        <v>20</v>
      </c>
      <c r="D13" s="10">
        <v>6107</v>
      </c>
    </row>
    <row r="14" spans="1:4" ht="20.100000000000001" customHeight="1">
      <c r="A14" s="39" t="s">
        <v>298</v>
      </c>
      <c r="B14" s="8"/>
      <c r="C14" s="39"/>
      <c r="D14" s="8"/>
    </row>
    <row r="15" spans="1:4" ht="20.100000000000001" customHeight="1">
      <c r="A15" s="40" t="s">
        <v>21</v>
      </c>
      <c r="B15" s="8"/>
      <c r="C15" s="39"/>
      <c r="D15" s="8"/>
    </row>
    <row r="16" spans="1:4" ht="20.100000000000001" customHeight="1">
      <c r="A16" s="40" t="s">
        <v>22</v>
      </c>
      <c r="B16" s="8"/>
      <c r="C16" s="39"/>
      <c r="D16" s="8"/>
    </row>
    <row r="17" spans="1:4" ht="20.100000000000001" customHeight="1">
      <c r="A17" s="40" t="s">
        <v>23</v>
      </c>
      <c r="B17" s="10"/>
      <c r="C17" s="39"/>
      <c r="D17" s="8"/>
    </row>
    <row r="18" spans="1:4" ht="20.100000000000001" customHeight="1">
      <c r="A18" s="40" t="s">
        <v>24</v>
      </c>
      <c r="B18" s="10"/>
      <c r="C18" s="39"/>
      <c r="D18" s="8"/>
    </row>
    <row r="19" spans="1:4" ht="20.100000000000001" customHeight="1">
      <c r="A19" s="39"/>
      <c r="B19" s="41"/>
      <c r="C19" s="39"/>
      <c r="D19" s="8"/>
    </row>
    <row r="20" spans="1:4" ht="20.100000000000001" customHeight="1">
      <c r="A20" s="39"/>
      <c r="B20" s="8"/>
      <c r="C20" s="39"/>
      <c r="D20" s="8"/>
    </row>
    <row r="21" spans="1:4" ht="20.100000000000001" customHeight="1">
      <c r="A21" s="42" t="s">
        <v>0</v>
      </c>
      <c r="B21" s="10">
        <f>B7</f>
        <v>6233.88</v>
      </c>
      <c r="C21" s="42" t="s">
        <v>6</v>
      </c>
      <c r="D21" s="8">
        <f>D7+D13</f>
        <v>6233.88</v>
      </c>
    </row>
  </sheetData>
  <mergeCells count="2">
    <mergeCell ref="A3:D3"/>
    <mergeCell ref="A1:D1"/>
  </mergeCells>
  <phoneticPr fontId="75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>
      <selection activeCell="D16" sqref="D16"/>
    </sheetView>
  </sheetViews>
  <sheetFormatPr defaultRowHeight="14.25"/>
  <cols>
    <col min="1" max="2" width="13.625" customWidth="1"/>
    <col min="3" max="9" width="13.625" style="71" customWidth="1"/>
  </cols>
  <sheetData>
    <row r="1" spans="1:9">
      <c r="A1" s="12" t="s">
        <v>33</v>
      </c>
      <c r="B1" s="11"/>
      <c r="C1" s="83"/>
      <c r="D1" s="84"/>
      <c r="E1" s="85"/>
      <c r="F1" s="85"/>
      <c r="G1" s="86"/>
      <c r="H1" s="87"/>
      <c r="I1" s="87"/>
    </row>
    <row r="2" spans="1:9" ht="29.1" customHeight="1">
      <c r="A2" s="119" t="s">
        <v>305</v>
      </c>
      <c r="B2" s="120"/>
      <c r="C2" s="120"/>
      <c r="D2" s="120"/>
      <c r="E2" s="120"/>
      <c r="F2" s="120"/>
      <c r="G2" s="120"/>
      <c r="H2" s="120"/>
      <c r="I2" s="120"/>
    </row>
    <row r="3" spans="1:9" ht="25.5">
      <c r="A3" s="12"/>
      <c r="B3" s="12"/>
      <c r="C3" s="13"/>
      <c r="D3" s="88"/>
      <c r="E3" s="89"/>
      <c r="F3" s="89"/>
      <c r="G3" s="90"/>
      <c r="H3" s="91"/>
      <c r="I3" s="91" t="s">
        <v>302</v>
      </c>
    </row>
    <row r="4" spans="1:9">
      <c r="A4" s="121" t="s">
        <v>26</v>
      </c>
      <c r="B4" s="121" t="s">
        <v>27</v>
      </c>
      <c r="C4" s="121" t="s">
        <v>28</v>
      </c>
      <c r="D4" s="122" t="s">
        <v>40</v>
      </c>
      <c r="E4" s="123"/>
      <c r="F4" s="123"/>
      <c r="G4" s="123"/>
      <c r="H4" s="123"/>
      <c r="I4" s="124"/>
    </row>
    <row r="5" spans="1:9" ht="60" customHeight="1">
      <c r="A5" s="121"/>
      <c r="B5" s="121"/>
      <c r="C5" s="121"/>
      <c r="D5" s="45" t="s">
        <v>28</v>
      </c>
      <c r="E5" s="45" t="s">
        <v>29</v>
      </c>
      <c r="F5" s="45" t="s">
        <v>41</v>
      </c>
      <c r="G5" s="45" t="s">
        <v>30</v>
      </c>
      <c r="H5" s="92" t="s">
        <v>31</v>
      </c>
      <c r="I5" s="45" t="s">
        <v>42</v>
      </c>
    </row>
    <row r="6" spans="1:9">
      <c r="A6" s="43" t="s">
        <v>32</v>
      </c>
      <c r="B6" s="43" t="s">
        <v>32</v>
      </c>
      <c r="C6" s="43">
        <v>1</v>
      </c>
      <c r="D6" s="45">
        <v>2</v>
      </c>
      <c r="E6" s="43">
        <v>3</v>
      </c>
      <c r="F6" s="45">
        <v>4</v>
      </c>
      <c r="G6" s="43">
        <v>5</v>
      </c>
      <c r="H6" s="45">
        <v>6</v>
      </c>
      <c r="I6" s="43">
        <v>7</v>
      </c>
    </row>
    <row r="7" spans="1:9" ht="27">
      <c r="A7" s="115">
        <v>702001</v>
      </c>
      <c r="B7" s="115" t="s">
        <v>332</v>
      </c>
      <c r="C7" s="170">
        <f>D7</f>
        <v>4246.88</v>
      </c>
      <c r="D7" s="170">
        <f>E7</f>
        <v>4246.88</v>
      </c>
      <c r="E7" s="93">
        <v>4246.88</v>
      </c>
      <c r="F7" s="93"/>
      <c r="G7" s="93"/>
      <c r="H7" s="93"/>
      <c r="I7" s="93"/>
    </row>
    <row r="8" spans="1:9" ht="27">
      <c r="A8" s="115">
        <v>702002</v>
      </c>
      <c r="B8" s="115" t="s">
        <v>330</v>
      </c>
      <c r="C8" s="170">
        <f>D8</f>
        <v>1416</v>
      </c>
      <c r="D8" s="170">
        <f>E8</f>
        <v>1416</v>
      </c>
      <c r="E8" s="93">
        <v>1416</v>
      </c>
      <c r="F8" s="94"/>
      <c r="G8" s="94"/>
      <c r="H8" s="94"/>
      <c r="I8" s="94"/>
    </row>
    <row r="9" spans="1:9">
      <c r="A9" s="115">
        <v>702003</v>
      </c>
      <c r="B9" s="115" t="s">
        <v>331</v>
      </c>
      <c r="C9" s="170">
        <f>D9</f>
        <v>571</v>
      </c>
      <c r="D9" s="170">
        <f>E9</f>
        <v>571</v>
      </c>
      <c r="E9" s="93">
        <v>571</v>
      </c>
      <c r="F9" s="94"/>
      <c r="G9" s="94"/>
      <c r="H9" s="94"/>
      <c r="I9" s="94"/>
    </row>
  </sheetData>
  <mergeCells count="5">
    <mergeCell ref="A2:I2"/>
    <mergeCell ref="A4:A5"/>
    <mergeCell ref="B4:B5"/>
    <mergeCell ref="C4:C5"/>
    <mergeCell ref="D4:I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"/>
  <sheetViews>
    <sheetView workbookViewId="0">
      <selection activeCell="K11" sqref="K11"/>
    </sheetView>
  </sheetViews>
  <sheetFormatPr defaultRowHeight="14.25"/>
  <cols>
    <col min="1" max="1" width="9.625" customWidth="1"/>
    <col min="2" max="2" width="16" customWidth="1"/>
    <col min="3" max="3" width="9.625" customWidth="1"/>
    <col min="4" max="4" width="16.5" customWidth="1"/>
    <col min="5" max="15" width="9.625" customWidth="1"/>
  </cols>
  <sheetData>
    <row r="1" spans="1:15" ht="25.5">
      <c r="A1" s="14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2"/>
      <c r="N1" s="2"/>
      <c r="O1" s="2"/>
    </row>
    <row r="2" spans="1:15" ht="20.25">
      <c r="A2" s="129" t="s">
        <v>306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</row>
    <row r="3" spans="1: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47" t="s">
        <v>1</v>
      </c>
    </row>
    <row r="4" spans="1:15" s="36" customFormat="1" ht="13.5">
      <c r="A4" s="125" t="s">
        <v>26</v>
      </c>
      <c r="B4" s="125" t="s">
        <v>27</v>
      </c>
      <c r="C4" s="125" t="s">
        <v>34</v>
      </c>
      <c r="D4" s="125" t="s">
        <v>35</v>
      </c>
      <c r="E4" s="125" t="s">
        <v>28</v>
      </c>
      <c r="F4" s="125" t="s">
        <v>36</v>
      </c>
      <c r="G4" s="125" t="s">
        <v>37</v>
      </c>
      <c r="H4" s="125" t="s">
        <v>38</v>
      </c>
      <c r="I4" s="125" t="s">
        <v>39</v>
      </c>
      <c r="J4" s="44" t="s">
        <v>40</v>
      </c>
      <c r="K4" s="44"/>
      <c r="L4" s="44"/>
      <c r="M4" s="44"/>
      <c r="N4" s="44"/>
      <c r="O4" s="44"/>
    </row>
    <row r="5" spans="1:15" s="36" customFormat="1" ht="43.15" customHeight="1">
      <c r="A5" s="130"/>
      <c r="B5" s="130"/>
      <c r="C5" s="130"/>
      <c r="D5" s="130"/>
      <c r="E5" s="130"/>
      <c r="F5" s="130"/>
      <c r="G5" s="130"/>
      <c r="H5" s="130"/>
      <c r="I5" s="130"/>
      <c r="J5" s="125" t="s">
        <v>28</v>
      </c>
      <c r="K5" s="125" t="s">
        <v>29</v>
      </c>
      <c r="L5" s="125" t="s">
        <v>41</v>
      </c>
      <c r="M5" s="125" t="s">
        <v>30</v>
      </c>
      <c r="N5" s="127" t="s">
        <v>31</v>
      </c>
      <c r="O5" s="125" t="s">
        <v>42</v>
      </c>
    </row>
    <row r="6" spans="1:15" s="36" customFormat="1" ht="13.5">
      <c r="A6" s="126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8"/>
      <c r="O6" s="126"/>
    </row>
    <row r="7" spans="1:15" s="36" customFormat="1" ht="13.5">
      <c r="A7" s="46" t="s">
        <v>32</v>
      </c>
      <c r="B7" s="46" t="s">
        <v>32</v>
      </c>
      <c r="C7" s="46" t="s">
        <v>32</v>
      </c>
      <c r="D7" s="46" t="s">
        <v>32</v>
      </c>
      <c r="E7" s="46">
        <v>1</v>
      </c>
      <c r="F7" s="46">
        <v>2</v>
      </c>
      <c r="G7" s="46">
        <v>3</v>
      </c>
      <c r="H7" s="46">
        <v>4</v>
      </c>
      <c r="I7" s="46">
        <v>5</v>
      </c>
      <c r="J7" s="46">
        <v>6</v>
      </c>
      <c r="K7" s="46">
        <v>7</v>
      </c>
      <c r="L7" s="46">
        <v>13</v>
      </c>
      <c r="M7" s="46">
        <v>17</v>
      </c>
      <c r="N7" s="46">
        <v>18</v>
      </c>
      <c r="O7" s="46">
        <v>19</v>
      </c>
    </row>
    <row r="8" spans="1:15" s="36" customFormat="1" ht="27">
      <c r="A8" s="115">
        <v>702001</v>
      </c>
      <c r="B8" s="115" t="s">
        <v>332</v>
      </c>
      <c r="C8" s="115">
        <v>2070499</v>
      </c>
      <c r="D8" s="115" t="s">
        <v>333</v>
      </c>
      <c r="E8" s="17">
        <f>F8+G8+H8+I8</f>
        <v>4238.38</v>
      </c>
      <c r="F8" s="111">
        <v>101.87</v>
      </c>
      <c r="G8" s="17"/>
      <c r="H8" s="111">
        <v>16.510000000000002</v>
      </c>
      <c r="I8" s="111">
        <v>4120</v>
      </c>
      <c r="J8" s="17">
        <f>K8</f>
        <v>4238.38</v>
      </c>
      <c r="K8" s="111">
        <f>E8</f>
        <v>4238.38</v>
      </c>
      <c r="L8" s="18"/>
      <c r="M8" s="18"/>
      <c r="N8" s="18"/>
      <c r="O8" s="110"/>
    </row>
    <row r="9" spans="1:15" ht="27">
      <c r="A9" s="115">
        <v>702001</v>
      </c>
      <c r="B9" s="115" t="s">
        <v>332</v>
      </c>
      <c r="C9" s="115">
        <v>2210201</v>
      </c>
      <c r="D9" s="115" t="s">
        <v>334</v>
      </c>
      <c r="E9" s="17">
        <f>F9+G9+H9+I9</f>
        <v>6.41</v>
      </c>
      <c r="F9" s="111">
        <v>6.41</v>
      </c>
      <c r="G9" s="112"/>
      <c r="H9" s="111"/>
      <c r="I9" s="111"/>
      <c r="J9" s="113">
        <f>K9</f>
        <v>6.41</v>
      </c>
      <c r="K9" s="111">
        <f>E9</f>
        <v>6.41</v>
      </c>
      <c r="L9" s="3"/>
      <c r="M9" s="3"/>
      <c r="N9" s="3"/>
      <c r="O9" s="3"/>
    </row>
    <row r="10" spans="1:15" ht="27">
      <c r="A10" s="115">
        <v>702001</v>
      </c>
      <c r="B10" s="115" t="s">
        <v>332</v>
      </c>
      <c r="C10" s="115">
        <v>2210202</v>
      </c>
      <c r="D10" s="115" t="s">
        <v>335</v>
      </c>
      <c r="E10" s="17">
        <f>F10+G10+H10+I10</f>
        <v>2.09</v>
      </c>
      <c r="F10" s="111">
        <v>2.09</v>
      </c>
      <c r="G10" s="112"/>
      <c r="H10" s="111"/>
      <c r="I10" s="111"/>
      <c r="J10" s="113">
        <f>K10</f>
        <v>2.09</v>
      </c>
      <c r="K10" s="111">
        <f>E10</f>
        <v>2.09</v>
      </c>
      <c r="L10" s="3"/>
      <c r="M10" s="3"/>
      <c r="N10" s="3"/>
      <c r="O10" s="3"/>
    </row>
    <row r="11" spans="1:15">
      <c r="A11" s="115">
        <v>702002</v>
      </c>
      <c r="B11" s="115" t="s">
        <v>330</v>
      </c>
      <c r="C11" s="115">
        <v>2070405</v>
      </c>
      <c r="D11" s="115" t="s">
        <v>336</v>
      </c>
      <c r="E11" s="17">
        <f>F11+G11+H11+I11</f>
        <v>1416</v>
      </c>
      <c r="F11" s="112"/>
      <c r="G11" s="112"/>
      <c r="H11" s="112"/>
      <c r="I11" s="111">
        <v>1416</v>
      </c>
      <c r="J11" s="114">
        <f>K11</f>
        <v>1416</v>
      </c>
      <c r="K11" s="111">
        <f>E11</f>
        <v>1416</v>
      </c>
      <c r="L11" s="3"/>
      <c r="M11" s="3"/>
      <c r="N11" s="3"/>
      <c r="O11" s="3"/>
    </row>
    <row r="12" spans="1:15">
      <c r="A12" s="115">
        <v>702003</v>
      </c>
      <c r="B12" s="115" t="s">
        <v>331</v>
      </c>
      <c r="C12" s="115">
        <v>2070408</v>
      </c>
      <c r="D12" s="115" t="s">
        <v>337</v>
      </c>
      <c r="E12" s="17">
        <f>F12+G12+H12+I12</f>
        <v>571</v>
      </c>
      <c r="F12" s="112"/>
      <c r="G12" s="112"/>
      <c r="H12" s="112"/>
      <c r="I12" s="111">
        <v>571</v>
      </c>
      <c r="J12" s="114">
        <f>K12</f>
        <v>571</v>
      </c>
      <c r="K12" s="111">
        <f>E12</f>
        <v>571</v>
      </c>
      <c r="L12" s="3"/>
      <c r="M12" s="3"/>
      <c r="N12" s="3"/>
      <c r="O12" s="3"/>
    </row>
  </sheetData>
  <mergeCells count="16">
    <mergeCell ref="L5:L6"/>
    <mergeCell ref="N5:N6"/>
    <mergeCell ref="O5:O6"/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7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5"/>
  <sheetViews>
    <sheetView workbookViewId="0">
      <selection activeCell="C24" sqref="C24"/>
    </sheetView>
  </sheetViews>
  <sheetFormatPr defaultRowHeight="14.25"/>
  <cols>
    <col min="1" max="1" width="41.625" customWidth="1"/>
    <col min="2" max="2" width="21.625" customWidth="1"/>
    <col min="3" max="3" width="28.125" customWidth="1"/>
    <col min="4" max="4" width="32.125" customWidth="1"/>
  </cols>
  <sheetData>
    <row r="1" spans="1:4">
      <c r="A1" s="2" t="s">
        <v>44</v>
      </c>
      <c r="B1" s="2"/>
      <c r="C1" s="2"/>
      <c r="D1" s="2"/>
    </row>
    <row r="2" spans="1:4" ht="20.25">
      <c r="A2" s="131" t="s">
        <v>307</v>
      </c>
      <c r="B2" s="132"/>
      <c r="C2" s="132"/>
      <c r="D2" s="132"/>
    </row>
    <row r="3" spans="1:4">
      <c r="A3" s="19"/>
      <c r="B3" s="19"/>
      <c r="C3" s="19"/>
      <c r="D3" s="52" t="s">
        <v>1</v>
      </c>
    </row>
    <row r="4" spans="1:4" s="36" customFormat="1" ht="13.5">
      <c r="A4" s="48" t="s">
        <v>7</v>
      </c>
      <c r="B4" s="48"/>
      <c r="C4" s="48" t="s">
        <v>8</v>
      </c>
      <c r="D4" s="48"/>
    </row>
    <row r="5" spans="1:4" s="36" customFormat="1" ht="13.5">
      <c r="A5" s="49" t="s">
        <v>9</v>
      </c>
      <c r="B5" s="49" t="s">
        <v>295</v>
      </c>
      <c r="C5" s="49" t="s">
        <v>10</v>
      </c>
      <c r="D5" s="49" t="s">
        <v>296</v>
      </c>
    </row>
    <row r="6" spans="1:4" s="36" customFormat="1" ht="13.5">
      <c r="A6" s="50" t="s">
        <v>11</v>
      </c>
      <c r="B6" s="20">
        <v>6233.88</v>
      </c>
      <c r="C6" s="50" t="s">
        <v>12</v>
      </c>
      <c r="D6" s="21">
        <v>126.88</v>
      </c>
    </row>
    <row r="7" spans="1:4" s="36" customFormat="1" ht="13.5">
      <c r="A7" s="50" t="s">
        <v>299</v>
      </c>
      <c r="B7" s="20"/>
      <c r="C7" s="50" t="s">
        <v>13</v>
      </c>
      <c r="D7" s="20">
        <v>110.37</v>
      </c>
    </row>
    <row r="8" spans="1:4" s="36" customFormat="1" ht="13.5">
      <c r="A8" s="50" t="s">
        <v>14</v>
      </c>
      <c r="B8" s="20"/>
      <c r="C8" s="50" t="s">
        <v>15</v>
      </c>
      <c r="D8" s="20"/>
    </row>
    <row r="9" spans="1:4" s="36" customFormat="1" ht="13.5">
      <c r="A9" s="50" t="s">
        <v>297</v>
      </c>
      <c r="B9" s="20"/>
      <c r="C9" s="50" t="s">
        <v>16</v>
      </c>
      <c r="D9" s="20"/>
    </row>
    <row r="10" spans="1:4" s="36" customFormat="1" ht="13.5">
      <c r="A10" s="50" t="s">
        <v>300</v>
      </c>
      <c r="B10" s="20"/>
      <c r="C10" s="50" t="s">
        <v>17</v>
      </c>
      <c r="D10" s="20">
        <v>16.510000000000002</v>
      </c>
    </row>
    <row r="11" spans="1:4" s="36" customFormat="1" ht="13.5">
      <c r="A11" s="50" t="s">
        <v>18</v>
      </c>
      <c r="B11" s="20"/>
      <c r="C11" s="50" t="s">
        <v>19</v>
      </c>
      <c r="D11" s="20"/>
    </row>
    <row r="12" spans="1:4" s="36" customFormat="1" ht="13.5">
      <c r="A12" s="50" t="s">
        <v>301</v>
      </c>
      <c r="B12" s="20"/>
      <c r="C12" s="50" t="s">
        <v>20</v>
      </c>
      <c r="D12" s="22">
        <v>6107</v>
      </c>
    </row>
    <row r="13" spans="1:4" s="36" customFormat="1" ht="13.5">
      <c r="A13" s="50" t="s">
        <v>298</v>
      </c>
      <c r="B13" s="20"/>
      <c r="C13" s="50"/>
      <c r="D13" s="20"/>
    </row>
    <row r="14" spans="1:4" s="36" customFormat="1" ht="13.5">
      <c r="A14" s="50"/>
      <c r="B14" s="20"/>
      <c r="C14" s="50"/>
      <c r="D14" s="20"/>
    </row>
    <row r="15" spans="1:4" s="36" customFormat="1" ht="13.5">
      <c r="A15" s="51" t="s">
        <v>0</v>
      </c>
      <c r="B15" s="22">
        <f>B6</f>
        <v>6233.88</v>
      </c>
      <c r="C15" s="51" t="s">
        <v>6</v>
      </c>
      <c r="D15" s="20">
        <f>D6+D12</f>
        <v>6233.88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>
      <selection activeCell="C26" sqref="C26"/>
    </sheetView>
  </sheetViews>
  <sheetFormatPr defaultRowHeight="14.25"/>
  <cols>
    <col min="1" max="1" width="20.625" customWidth="1"/>
    <col min="2" max="2" width="25.5" bestFit="1" customWidth="1"/>
    <col min="3" max="5" width="20.625" customWidth="1"/>
  </cols>
  <sheetData>
    <row r="1" spans="1:5">
      <c r="A1" s="23" t="s">
        <v>45</v>
      </c>
      <c r="B1" s="23"/>
      <c r="C1" s="23"/>
      <c r="D1" s="24"/>
      <c r="E1" s="24"/>
    </row>
    <row r="2" spans="1:5" ht="20.25">
      <c r="A2" s="116" t="s">
        <v>308</v>
      </c>
      <c r="B2" s="116"/>
      <c r="C2" s="116"/>
      <c r="D2" s="116"/>
      <c r="E2" s="116"/>
    </row>
    <row r="3" spans="1:5">
      <c r="A3" s="25"/>
      <c r="B3" s="25"/>
      <c r="C3" s="25"/>
      <c r="D3" s="26"/>
      <c r="E3" s="26"/>
    </row>
    <row r="4" spans="1:5">
      <c r="A4" s="25"/>
      <c r="B4" s="25"/>
      <c r="C4" s="25"/>
      <c r="D4" s="26"/>
      <c r="E4" s="64" t="s">
        <v>1</v>
      </c>
    </row>
    <row r="5" spans="1:5" s="36" customFormat="1" ht="13.5">
      <c r="A5" s="135" t="s">
        <v>34</v>
      </c>
      <c r="B5" s="135" t="s">
        <v>35</v>
      </c>
      <c r="C5" s="135" t="s">
        <v>46</v>
      </c>
      <c r="D5" s="136" t="s">
        <v>47</v>
      </c>
      <c r="E5" s="136"/>
    </row>
    <row r="6" spans="1:5" s="36" customFormat="1" ht="13.5">
      <c r="A6" s="135"/>
      <c r="B6" s="135"/>
      <c r="C6" s="135"/>
      <c r="D6" s="53" t="s">
        <v>48</v>
      </c>
      <c r="E6" s="54" t="s">
        <v>39</v>
      </c>
    </row>
    <row r="7" spans="1:5" s="36" customFormat="1" ht="13.5">
      <c r="A7" s="55" t="s">
        <v>32</v>
      </c>
      <c r="B7" s="55" t="s">
        <v>32</v>
      </c>
      <c r="C7" s="55">
        <v>1</v>
      </c>
      <c r="D7" s="56">
        <v>2</v>
      </c>
      <c r="E7" s="56">
        <v>3</v>
      </c>
    </row>
    <row r="8" spans="1:5" s="36" customFormat="1" ht="13.5">
      <c r="A8" s="55"/>
      <c r="B8" s="55" t="s">
        <v>351</v>
      </c>
      <c r="C8" s="169">
        <f>D8+E8</f>
        <v>6233.88</v>
      </c>
      <c r="D8" s="168">
        <f>D9+D10+D11+D12+D13</f>
        <v>126.88</v>
      </c>
      <c r="E8" s="168">
        <f>E9+E10+E11+E12+E13</f>
        <v>6107</v>
      </c>
    </row>
    <row r="9" spans="1:5" s="36" customFormat="1" ht="13.5">
      <c r="A9" s="60" t="s">
        <v>319</v>
      </c>
      <c r="B9" s="61" t="s">
        <v>320</v>
      </c>
      <c r="C9" s="58">
        <f t="shared" ref="C9:C13" si="0">D9+E9</f>
        <v>4238.38</v>
      </c>
      <c r="D9" s="59">
        <v>118.38</v>
      </c>
      <c r="E9" s="59">
        <v>4120</v>
      </c>
    </row>
    <row r="10" spans="1:5" s="36" customFormat="1" ht="13.5">
      <c r="A10" s="60">
        <v>2210201</v>
      </c>
      <c r="B10" s="62" t="s">
        <v>321</v>
      </c>
      <c r="C10" s="58">
        <f t="shared" si="0"/>
        <v>6.41</v>
      </c>
      <c r="D10" s="59">
        <v>6.41</v>
      </c>
      <c r="E10" s="59"/>
    </row>
    <row r="11" spans="1:5" s="36" customFormat="1" ht="13.5">
      <c r="A11" s="60">
        <v>2210202</v>
      </c>
      <c r="B11" s="62" t="s">
        <v>322</v>
      </c>
      <c r="C11" s="58">
        <f t="shared" si="0"/>
        <v>2.09</v>
      </c>
      <c r="D11" s="59">
        <v>2.09</v>
      </c>
      <c r="E11" s="59"/>
    </row>
    <row r="12" spans="1:5" s="36" customFormat="1" ht="13.5">
      <c r="A12" s="60">
        <v>2070405</v>
      </c>
      <c r="B12" s="62" t="s">
        <v>323</v>
      </c>
      <c r="C12" s="58">
        <f t="shared" si="0"/>
        <v>1416</v>
      </c>
      <c r="D12" s="59"/>
      <c r="E12" s="59">
        <v>1416</v>
      </c>
    </row>
    <row r="13" spans="1:5" s="36" customFormat="1" ht="13.5">
      <c r="A13" s="60">
        <v>2070408</v>
      </c>
      <c r="B13" s="62" t="s">
        <v>324</v>
      </c>
      <c r="C13" s="58">
        <f t="shared" si="0"/>
        <v>571</v>
      </c>
      <c r="D13" s="59"/>
      <c r="E13" s="59">
        <v>571</v>
      </c>
    </row>
    <row r="14" spans="1:5" s="36" customFormat="1" ht="13.5">
      <c r="A14" s="62"/>
      <c r="B14" s="62"/>
      <c r="C14" s="62"/>
      <c r="D14" s="59"/>
      <c r="E14" s="59"/>
    </row>
    <row r="15" spans="1:5" s="36" customFormat="1" ht="13.5">
      <c r="A15" s="59"/>
      <c r="B15" s="59"/>
      <c r="C15" s="59"/>
      <c r="D15" s="59"/>
      <c r="E15" s="59"/>
    </row>
    <row r="16" spans="1:5" s="36" customFormat="1" ht="13.5">
      <c r="A16" s="59"/>
      <c r="B16" s="59"/>
      <c r="C16" s="59"/>
      <c r="D16" s="59"/>
      <c r="E16" s="59"/>
    </row>
    <row r="17" spans="1:5" s="36" customFormat="1" ht="13.5">
      <c r="A17" s="59"/>
      <c r="B17" s="59"/>
      <c r="C17" s="59"/>
      <c r="D17" s="59"/>
      <c r="E17" s="59"/>
    </row>
    <row r="18" spans="1:5" s="36" customFormat="1" ht="13.5">
      <c r="A18" s="59"/>
      <c r="B18" s="59"/>
      <c r="C18" s="59"/>
      <c r="D18" s="59"/>
      <c r="E18" s="59"/>
    </row>
    <row r="19" spans="1:5" s="36" customFormat="1" ht="13.5">
      <c r="A19" s="59"/>
      <c r="B19" s="59"/>
      <c r="C19" s="59"/>
      <c r="D19" s="59"/>
      <c r="E19" s="59"/>
    </row>
    <row r="20" spans="1:5" s="36" customFormat="1" ht="13.5">
      <c r="A20" s="59"/>
      <c r="B20" s="59"/>
      <c r="C20" s="59"/>
      <c r="D20" s="59"/>
      <c r="E20" s="59"/>
    </row>
    <row r="21" spans="1:5" s="36" customFormat="1" ht="13.5">
      <c r="A21" s="59"/>
      <c r="B21" s="59"/>
      <c r="C21" s="59"/>
      <c r="D21" s="59"/>
      <c r="E21" s="59"/>
    </row>
    <row r="22" spans="1:5" s="36" customFormat="1" ht="13.5">
      <c r="A22" s="59"/>
      <c r="B22" s="59"/>
      <c r="C22" s="59"/>
      <c r="D22" s="59"/>
      <c r="E22" s="59"/>
    </row>
    <row r="23" spans="1:5" s="36" customFormat="1" ht="13.5">
      <c r="A23" s="63"/>
      <c r="B23" s="63"/>
      <c r="C23" s="63"/>
      <c r="D23" s="63"/>
      <c r="E23" s="63"/>
    </row>
    <row r="24" spans="1:5" s="36" customFormat="1" ht="13.5">
      <c r="A24" s="133" t="s">
        <v>49</v>
      </c>
      <c r="B24" s="133"/>
      <c r="C24" s="133"/>
      <c r="D24" s="133"/>
      <c r="E24" s="133"/>
    </row>
    <row r="25" spans="1:5" s="36" customFormat="1" ht="13.5">
      <c r="A25" s="134" t="s">
        <v>50</v>
      </c>
      <c r="B25" s="134"/>
      <c r="C25" s="134"/>
      <c r="D25" s="134"/>
      <c r="E25" s="134"/>
    </row>
  </sheetData>
  <mergeCells count="7">
    <mergeCell ref="A24:E24"/>
    <mergeCell ref="A25:E25"/>
    <mergeCell ref="A2:E2"/>
    <mergeCell ref="A5:A6"/>
    <mergeCell ref="B5:B6"/>
    <mergeCell ref="C5:C6"/>
    <mergeCell ref="D5:E5"/>
  </mergeCells>
  <phoneticPr fontId="75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7"/>
  <sheetViews>
    <sheetView workbookViewId="0">
      <selection activeCell="A24" sqref="A24:D24"/>
    </sheetView>
  </sheetViews>
  <sheetFormatPr defaultRowHeight="14.25"/>
  <cols>
    <col min="1" max="5" width="20.625" customWidth="1"/>
  </cols>
  <sheetData>
    <row r="1" spans="1:5" ht="24.6" customHeight="1">
      <c r="A1" s="23" t="s">
        <v>52</v>
      </c>
      <c r="B1" s="23"/>
      <c r="C1" s="23"/>
      <c r="D1" s="24"/>
      <c r="E1" s="24"/>
    </row>
    <row r="2" spans="1:5" ht="26.45" customHeight="1">
      <c r="A2" s="116" t="s">
        <v>309</v>
      </c>
      <c r="B2" s="116"/>
      <c r="C2" s="116"/>
      <c r="D2" s="116"/>
      <c r="E2" s="116"/>
    </row>
    <row r="3" spans="1:5">
      <c r="A3" s="25"/>
      <c r="B3" s="25"/>
      <c r="C3" s="25"/>
      <c r="D3" s="26"/>
      <c r="E3" s="26"/>
    </row>
    <row r="4" spans="1:5">
      <c r="A4" s="25"/>
      <c r="B4" s="25"/>
      <c r="C4" s="25"/>
      <c r="D4" s="26"/>
      <c r="E4" s="64" t="s">
        <v>1</v>
      </c>
    </row>
    <row r="5" spans="1:5" s="36" customFormat="1" ht="13.5">
      <c r="A5" s="135" t="s">
        <v>34</v>
      </c>
      <c r="B5" s="135" t="s">
        <v>35</v>
      </c>
      <c r="C5" s="135" t="s">
        <v>46</v>
      </c>
      <c r="D5" s="136" t="s">
        <v>47</v>
      </c>
      <c r="E5" s="136"/>
    </row>
    <row r="6" spans="1:5" s="36" customFormat="1" ht="13.5">
      <c r="A6" s="135"/>
      <c r="B6" s="135"/>
      <c r="C6" s="135"/>
      <c r="D6" s="53" t="s">
        <v>48</v>
      </c>
      <c r="E6" s="54" t="s">
        <v>39</v>
      </c>
    </row>
    <row r="7" spans="1:5" s="36" customFormat="1" ht="13.5">
      <c r="A7" s="55" t="s">
        <v>32</v>
      </c>
      <c r="B7" s="55" t="s">
        <v>32</v>
      </c>
      <c r="C7" s="55">
        <v>1</v>
      </c>
      <c r="D7" s="56">
        <v>2</v>
      </c>
      <c r="E7" s="56">
        <v>3</v>
      </c>
    </row>
    <row r="8" spans="1:5" s="36" customFormat="1" ht="13.5">
      <c r="A8" s="57"/>
      <c r="B8" s="58"/>
      <c r="C8" s="107"/>
      <c r="D8" s="108"/>
      <c r="E8" s="108"/>
    </row>
    <row r="9" spans="1:5" s="36" customFormat="1" ht="13.5">
      <c r="A9" s="60"/>
      <c r="B9" s="61"/>
      <c r="C9" s="61"/>
      <c r="D9" s="59"/>
      <c r="E9" s="59"/>
    </row>
    <row r="10" spans="1:5" s="36" customFormat="1" ht="13.5">
      <c r="A10" s="62"/>
      <c r="B10" s="62"/>
      <c r="C10" s="62"/>
      <c r="D10" s="59"/>
      <c r="E10" s="59"/>
    </row>
    <row r="11" spans="1:5" s="36" customFormat="1" ht="13.5">
      <c r="A11" s="62"/>
      <c r="B11" s="62"/>
      <c r="C11" s="62"/>
      <c r="D11" s="59"/>
      <c r="E11" s="59"/>
    </row>
    <row r="12" spans="1:5" s="36" customFormat="1" ht="13.5">
      <c r="A12" s="62"/>
      <c r="B12" s="62"/>
      <c r="C12" s="62"/>
      <c r="D12" s="59"/>
      <c r="E12" s="59"/>
    </row>
    <row r="13" spans="1:5" s="36" customFormat="1" ht="13.5">
      <c r="A13" s="62"/>
      <c r="B13" s="62"/>
      <c r="C13" s="62"/>
      <c r="D13" s="59"/>
      <c r="E13" s="59"/>
    </row>
    <row r="14" spans="1:5" s="36" customFormat="1" ht="13.5">
      <c r="A14" s="62"/>
      <c r="B14" s="62"/>
      <c r="C14" s="62"/>
      <c r="D14" s="59"/>
      <c r="E14" s="59"/>
    </row>
    <row r="15" spans="1:5" s="36" customFormat="1" ht="13.5">
      <c r="A15" s="59"/>
      <c r="B15" s="59"/>
      <c r="C15" s="59"/>
      <c r="D15" s="59"/>
      <c r="E15" s="59"/>
    </row>
    <row r="16" spans="1:5" s="36" customFormat="1" ht="13.5">
      <c r="A16" s="59"/>
      <c r="B16" s="59"/>
      <c r="C16" s="59"/>
      <c r="D16" s="59"/>
      <c r="E16" s="59"/>
    </row>
    <row r="17" spans="1:5" s="36" customFormat="1" ht="13.5">
      <c r="A17" s="59"/>
      <c r="B17" s="59"/>
      <c r="C17" s="59"/>
      <c r="D17" s="59"/>
      <c r="E17" s="59"/>
    </row>
    <row r="18" spans="1:5" s="36" customFormat="1" ht="13.5">
      <c r="A18" s="59"/>
      <c r="B18" s="59"/>
      <c r="C18" s="59"/>
      <c r="D18" s="59"/>
      <c r="E18" s="59"/>
    </row>
    <row r="19" spans="1:5" s="36" customFormat="1" ht="13.5">
      <c r="A19" s="59"/>
      <c r="B19" s="59"/>
      <c r="C19" s="59"/>
      <c r="D19" s="59"/>
      <c r="E19" s="59"/>
    </row>
    <row r="20" spans="1:5" s="36" customFormat="1" ht="13.5">
      <c r="A20" s="59"/>
      <c r="B20" s="59"/>
      <c r="C20" s="59"/>
      <c r="D20" s="59"/>
      <c r="E20" s="59"/>
    </row>
    <row r="21" spans="1:5" s="36" customFormat="1" ht="13.5">
      <c r="A21" s="59"/>
      <c r="B21" s="59"/>
      <c r="C21" s="59"/>
      <c r="D21" s="59"/>
      <c r="E21" s="59"/>
    </row>
    <row r="22" spans="1:5" s="36" customFormat="1" ht="13.5">
      <c r="A22" s="59"/>
      <c r="B22" s="59"/>
      <c r="C22" s="59"/>
      <c r="D22" s="59"/>
      <c r="E22" s="59"/>
    </row>
    <row r="23" spans="1:5" s="36" customFormat="1" ht="13.5">
      <c r="A23" s="63"/>
      <c r="B23" s="63"/>
      <c r="C23" s="63"/>
      <c r="D23" s="63"/>
      <c r="E23" s="63"/>
    </row>
    <row r="24" spans="1:5" s="36" customFormat="1" ht="18.600000000000001" customHeight="1">
      <c r="A24" s="133" t="s">
        <v>51</v>
      </c>
      <c r="B24" s="133"/>
      <c r="C24" s="133"/>
      <c r="D24" s="133"/>
      <c r="E24" s="65"/>
    </row>
    <row r="25" spans="1:5" s="36" customFormat="1" ht="18.600000000000001" customHeight="1">
      <c r="A25" s="134" t="s">
        <v>50</v>
      </c>
      <c r="B25" s="134"/>
      <c r="C25" s="134"/>
      <c r="D25" s="134"/>
      <c r="E25" s="65"/>
    </row>
    <row r="26" spans="1:5" s="36" customFormat="1" ht="18.600000000000001" customHeight="1">
      <c r="A26" s="137" t="s">
        <v>155</v>
      </c>
      <c r="B26" s="137"/>
      <c r="C26" s="137"/>
      <c r="D26" s="137"/>
    </row>
    <row r="27" spans="1:5">
      <c r="A27" s="1" t="s">
        <v>349</v>
      </c>
    </row>
  </sheetData>
  <mergeCells count="8">
    <mergeCell ref="A26:D26"/>
    <mergeCell ref="A24:D24"/>
    <mergeCell ref="A25:D25"/>
    <mergeCell ref="A2:E2"/>
    <mergeCell ref="A5:A6"/>
    <mergeCell ref="B5:B6"/>
    <mergeCell ref="C5:C6"/>
    <mergeCell ref="D5:E5"/>
  </mergeCells>
  <phoneticPr fontId="75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>
      <selection activeCell="C14" sqref="C14"/>
    </sheetView>
  </sheetViews>
  <sheetFormatPr defaultRowHeight="14.25"/>
  <cols>
    <col min="1" max="1" width="11.25" customWidth="1"/>
    <col min="2" max="2" width="44.625" customWidth="1"/>
    <col min="3" max="3" width="45.125" customWidth="1"/>
  </cols>
  <sheetData>
    <row r="1" spans="1:3" ht="23.45" customHeight="1">
      <c r="A1" s="33" t="s">
        <v>152</v>
      </c>
      <c r="B1" s="32"/>
      <c r="C1" s="32"/>
    </row>
    <row r="2" spans="1:3" ht="37.15" customHeight="1">
      <c r="A2" s="138" t="s">
        <v>310</v>
      </c>
      <c r="B2" s="139"/>
      <c r="C2" s="139"/>
    </row>
    <row r="3" spans="1:3" s="67" customFormat="1" ht="18" customHeight="1">
      <c r="A3" s="78" t="s">
        <v>132</v>
      </c>
      <c r="B3" s="66"/>
      <c r="C3" s="79" t="s">
        <v>133</v>
      </c>
    </row>
    <row r="4" spans="1:3" ht="24" customHeight="1">
      <c r="A4" s="140" t="s">
        <v>53</v>
      </c>
      <c r="B4" s="140" t="s">
        <v>54</v>
      </c>
      <c r="C4" s="140" t="s">
        <v>55</v>
      </c>
    </row>
    <row r="5" spans="1:3" ht="31.9" customHeight="1">
      <c r="A5" s="80" t="s">
        <v>134</v>
      </c>
      <c r="B5" s="81" t="s">
        <v>35</v>
      </c>
      <c r="C5" s="140" t="s">
        <v>54</v>
      </c>
    </row>
    <row r="6" spans="1:3">
      <c r="A6" s="140" t="s">
        <v>58</v>
      </c>
      <c r="B6" s="140" t="s">
        <v>54</v>
      </c>
      <c r="C6" s="82">
        <f>SUM(C7:C16)</f>
        <v>6233.88</v>
      </c>
    </row>
    <row r="7" spans="1:3" ht="27.6" customHeight="1">
      <c r="A7" s="95" t="s">
        <v>59</v>
      </c>
      <c r="B7" s="95" t="s">
        <v>60</v>
      </c>
      <c r="C7" s="96">
        <v>110.37</v>
      </c>
    </row>
    <row r="8" spans="1:3" ht="27.6" customHeight="1">
      <c r="A8" s="95" t="s">
        <v>67</v>
      </c>
      <c r="B8" s="95" t="s">
        <v>68</v>
      </c>
      <c r="C8" s="96">
        <v>16.510000000000002</v>
      </c>
    </row>
    <row r="9" spans="1:3" ht="27.6" customHeight="1">
      <c r="A9" s="95" t="s">
        <v>96</v>
      </c>
      <c r="B9" s="95" t="s">
        <v>97</v>
      </c>
      <c r="C9" s="96"/>
    </row>
    <row r="10" spans="1:3" ht="27.6" customHeight="1">
      <c r="A10" s="95" t="s">
        <v>125</v>
      </c>
      <c r="B10" s="95" t="s">
        <v>157</v>
      </c>
      <c r="C10" s="96" t="s">
        <v>54</v>
      </c>
    </row>
    <row r="11" spans="1:3" ht="27.6" customHeight="1">
      <c r="A11" s="95" t="s">
        <v>135</v>
      </c>
      <c r="B11" s="95" t="s">
        <v>158</v>
      </c>
      <c r="C11" s="96" t="s">
        <v>54</v>
      </c>
    </row>
    <row r="12" spans="1:3" ht="27.6" customHeight="1">
      <c r="A12" s="95" t="s">
        <v>109</v>
      </c>
      <c r="B12" s="95" t="s">
        <v>159</v>
      </c>
      <c r="C12" s="96">
        <v>6107</v>
      </c>
    </row>
    <row r="13" spans="1:3" ht="27.6" customHeight="1">
      <c r="A13" s="95" t="s">
        <v>266</v>
      </c>
      <c r="B13" s="95" t="s">
        <v>160</v>
      </c>
      <c r="C13" s="96" t="s">
        <v>54</v>
      </c>
    </row>
    <row r="14" spans="1:3" ht="27.6" customHeight="1">
      <c r="A14" s="95" t="s">
        <v>270</v>
      </c>
      <c r="B14" s="95" t="s">
        <v>161</v>
      </c>
      <c r="C14" s="96" t="s">
        <v>54</v>
      </c>
    </row>
    <row r="15" spans="1:3" ht="27.6" customHeight="1">
      <c r="A15" s="95" t="s">
        <v>277</v>
      </c>
      <c r="B15" s="95" t="s">
        <v>162</v>
      </c>
      <c r="C15" s="97"/>
    </row>
    <row r="16" spans="1:3" ht="27.6" customHeight="1">
      <c r="A16" s="95" t="s">
        <v>127</v>
      </c>
      <c r="B16" s="95" t="s">
        <v>128</v>
      </c>
      <c r="C16" s="109"/>
    </row>
  </sheetData>
  <mergeCells count="4">
    <mergeCell ref="A2:C2"/>
    <mergeCell ref="A4:B4"/>
    <mergeCell ref="C4:C5"/>
    <mergeCell ref="A6:B6"/>
  </mergeCells>
  <phoneticPr fontId="35" type="noConversion"/>
  <pageMargins left="1.299212598425197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4"/>
  <sheetViews>
    <sheetView workbookViewId="0">
      <selection activeCell="D8" sqref="D8"/>
    </sheetView>
  </sheetViews>
  <sheetFormatPr defaultRowHeight="14.25"/>
  <cols>
    <col min="1" max="1" width="22.875" customWidth="1"/>
    <col min="2" max="2" width="55" customWidth="1"/>
    <col min="3" max="3" width="28.375" customWidth="1"/>
  </cols>
  <sheetData>
    <row r="1" spans="1:3" ht="25.9" customHeight="1">
      <c r="A1" s="27" t="s">
        <v>154</v>
      </c>
      <c r="B1" s="28"/>
      <c r="C1" s="2"/>
    </row>
    <row r="2" spans="1:3" ht="27.6" customHeight="1">
      <c r="A2" s="142" t="s">
        <v>311</v>
      </c>
      <c r="B2" s="142"/>
      <c r="C2" s="142"/>
    </row>
    <row r="3" spans="1:3" ht="15" thickBot="1">
      <c r="A3" s="29"/>
      <c r="B3" s="143" t="s">
        <v>1</v>
      </c>
      <c r="C3" s="143"/>
    </row>
    <row r="4" spans="1:3">
      <c r="A4" s="144" t="s">
        <v>53</v>
      </c>
      <c r="B4" s="145" t="s">
        <v>54</v>
      </c>
      <c r="C4" s="145" t="s">
        <v>55</v>
      </c>
    </row>
    <row r="5" spans="1:3">
      <c r="A5" s="147" t="s">
        <v>56</v>
      </c>
      <c r="B5" s="146" t="s">
        <v>35</v>
      </c>
      <c r="C5" s="146" t="s">
        <v>54</v>
      </c>
    </row>
    <row r="6" spans="1:3">
      <c r="A6" s="147" t="s">
        <v>57</v>
      </c>
      <c r="B6" s="146" t="s">
        <v>54</v>
      </c>
      <c r="C6" s="146" t="s">
        <v>54</v>
      </c>
    </row>
    <row r="7" spans="1:3">
      <c r="A7" s="147" t="s">
        <v>54</v>
      </c>
      <c r="B7" s="146" t="s">
        <v>54</v>
      </c>
      <c r="C7" s="146" t="s">
        <v>54</v>
      </c>
    </row>
    <row r="8" spans="1:3">
      <c r="A8" s="141" t="s">
        <v>58</v>
      </c>
      <c r="B8" s="141" t="s">
        <v>54</v>
      </c>
      <c r="C8" s="72">
        <f>C9+C23+C81</f>
        <v>126.88</v>
      </c>
    </row>
    <row r="9" spans="1:3" s="5" customFormat="1">
      <c r="A9" s="76" t="s">
        <v>59</v>
      </c>
      <c r="B9" s="76" t="s">
        <v>60</v>
      </c>
      <c r="C9" s="72">
        <f>SUM(C10:C22)</f>
        <v>110.37</v>
      </c>
    </row>
    <row r="10" spans="1:3">
      <c r="A10" s="73" t="s">
        <v>61</v>
      </c>
      <c r="B10" s="73" t="s">
        <v>190</v>
      </c>
      <c r="C10" s="74">
        <v>22.26</v>
      </c>
    </row>
    <row r="11" spans="1:3">
      <c r="A11" s="73" t="s">
        <v>62</v>
      </c>
      <c r="B11" s="73" t="s">
        <v>191</v>
      </c>
      <c r="C11" s="74">
        <v>19.89</v>
      </c>
    </row>
    <row r="12" spans="1:3">
      <c r="A12" s="73" t="s">
        <v>63</v>
      </c>
      <c r="B12" s="73" t="s">
        <v>192</v>
      </c>
      <c r="C12" s="74">
        <f>9.61+25.08</f>
        <v>34.69</v>
      </c>
    </row>
    <row r="13" spans="1:3">
      <c r="A13" s="73" t="s">
        <v>64</v>
      </c>
      <c r="B13" s="73" t="s">
        <v>193</v>
      </c>
      <c r="C13" s="74" t="s">
        <v>54</v>
      </c>
    </row>
    <row r="14" spans="1:3">
      <c r="A14" s="73" t="s">
        <v>65</v>
      </c>
      <c r="B14" s="73" t="s">
        <v>194</v>
      </c>
      <c r="C14" s="74">
        <v>9.61</v>
      </c>
    </row>
    <row r="15" spans="1:3">
      <c r="A15" s="73" t="s">
        <v>195</v>
      </c>
      <c r="B15" s="73" t="s">
        <v>196</v>
      </c>
      <c r="C15" s="74">
        <v>10.69</v>
      </c>
    </row>
    <row r="16" spans="1:3">
      <c r="A16" s="73" t="s">
        <v>197</v>
      </c>
      <c r="B16" s="73" t="s">
        <v>198</v>
      </c>
      <c r="C16" s="74" t="s">
        <v>54</v>
      </c>
    </row>
    <row r="17" spans="1:3">
      <c r="A17" s="73" t="s">
        <v>199</v>
      </c>
      <c r="B17" s="73" t="s">
        <v>200</v>
      </c>
      <c r="C17" s="74">
        <v>4.2699999999999996</v>
      </c>
    </row>
    <row r="18" spans="1:3">
      <c r="A18" s="73" t="s">
        <v>201</v>
      </c>
      <c r="B18" s="73" t="s">
        <v>202</v>
      </c>
      <c r="C18" s="74" t="s">
        <v>54</v>
      </c>
    </row>
    <row r="19" spans="1:3">
      <c r="A19" s="73" t="s">
        <v>203</v>
      </c>
      <c r="B19" s="73" t="s">
        <v>204</v>
      </c>
      <c r="C19" s="74">
        <f>0.27+0.19</f>
        <v>0.46</v>
      </c>
    </row>
    <row r="20" spans="1:3">
      <c r="A20" s="73" t="s">
        <v>205</v>
      </c>
      <c r="B20" s="73" t="s">
        <v>163</v>
      </c>
      <c r="C20" s="74">
        <v>6.41</v>
      </c>
    </row>
    <row r="21" spans="1:3">
      <c r="A21" s="73" t="s">
        <v>206</v>
      </c>
      <c r="B21" s="73" t="s">
        <v>207</v>
      </c>
      <c r="C21" s="74" t="s">
        <v>54</v>
      </c>
    </row>
    <row r="22" spans="1:3">
      <c r="A22" s="73" t="s">
        <v>66</v>
      </c>
      <c r="B22" s="73" t="s">
        <v>164</v>
      </c>
      <c r="C22" s="74">
        <f>2.09</f>
        <v>2.09</v>
      </c>
    </row>
    <row r="23" spans="1:3" s="5" customFormat="1">
      <c r="A23" s="76" t="s">
        <v>67</v>
      </c>
      <c r="B23" s="76" t="s">
        <v>68</v>
      </c>
      <c r="C23" s="72">
        <f>SUM(C24:C50)</f>
        <v>16.510000000000002</v>
      </c>
    </row>
    <row r="24" spans="1:3">
      <c r="A24" s="73" t="s">
        <v>69</v>
      </c>
      <c r="B24" s="73" t="s">
        <v>208</v>
      </c>
      <c r="C24" s="74">
        <v>11.55</v>
      </c>
    </row>
    <row r="25" spans="1:3">
      <c r="A25" s="73" t="s">
        <v>70</v>
      </c>
      <c r="B25" s="73" t="s">
        <v>209</v>
      </c>
      <c r="C25" s="74" t="s">
        <v>54</v>
      </c>
    </row>
    <row r="26" spans="1:3">
      <c r="A26" s="73" t="s">
        <v>71</v>
      </c>
      <c r="B26" s="73" t="s">
        <v>210</v>
      </c>
      <c r="C26" s="74" t="s">
        <v>54</v>
      </c>
    </row>
    <row r="27" spans="1:3">
      <c r="A27" s="73" t="s">
        <v>72</v>
      </c>
      <c r="B27" s="73" t="s">
        <v>211</v>
      </c>
      <c r="C27" s="74" t="s">
        <v>54</v>
      </c>
    </row>
    <row r="28" spans="1:3">
      <c r="A28" s="73" t="s">
        <v>73</v>
      </c>
      <c r="B28" s="73" t="s">
        <v>212</v>
      </c>
      <c r="C28" s="74" t="s">
        <v>54</v>
      </c>
    </row>
    <row r="29" spans="1:3">
      <c r="A29" s="73" t="s">
        <v>74</v>
      </c>
      <c r="B29" s="73" t="s">
        <v>213</v>
      </c>
      <c r="C29" s="74" t="s">
        <v>54</v>
      </c>
    </row>
    <row r="30" spans="1:3">
      <c r="A30" s="73" t="s">
        <v>75</v>
      </c>
      <c r="B30" s="73" t="s">
        <v>214</v>
      </c>
      <c r="C30" s="74" t="s">
        <v>54</v>
      </c>
    </row>
    <row r="31" spans="1:3">
      <c r="A31" s="73" t="s">
        <v>76</v>
      </c>
      <c r="B31" s="73" t="s">
        <v>215</v>
      </c>
      <c r="C31" s="74" t="s">
        <v>54</v>
      </c>
    </row>
    <row r="32" spans="1:3">
      <c r="A32" s="73" t="s">
        <v>77</v>
      </c>
      <c r="B32" s="73" t="s">
        <v>216</v>
      </c>
      <c r="C32" s="74" t="s">
        <v>54</v>
      </c>
    </row>
    <row r="33" spans="1:3">
      <c r="A33" s="73" t="s">
        <v>78</v>
      </c>
      <c r="B33" s="73" t="s">
        <v>217</v>
      </c>
      <c r="C33" s="74" t="s">
        <v>54</v>
      </c>
    </row>
    <row r="34" spans="1:3">
      <c r="A34" s="73" t="s">
        <v>79</v>
      </c>
      <c r="B34" s="73" t="s">
        <v>169</v>
      </c>
      <c r="C34" s="74" t="s">
        <v>54</v>
      </c>
    </row>
    <row r="35" spans="1:3">
      <c r="A35" s="73" t="s">
        <v>80</v>
      </c>
      <c r="B35" s="73" t="s">
        <v>218</v>
      </c>
      <c r="C35" s="74" t="s">
        <v>54</v>
      </c>
    </row>
    <row r="36" spans="1:3">
      <c r="A36" s="73" t="s">
        <v>81</v>
      </c>
      <c r="B36" s="73" t="s">
        <v>219</v>
      </c>
      <c r="C36" s="74" t="s">
        <v>54</v>
      </c>
    </row>
    <row r="37" spans="1:3">
      <c r="A37" s="73" t="s">
        <v>82</v>
      </c>
      <c r="B37" s="73" t="s">
        <v>165</v>
      </c>
      <c r="C37" s="74" t="s">
        <v>54</v>
      </c>
    </row>
    <row r="38" spans="1:3">
      <c r="A38" s="73" t="s">
        <v>83</v>
      </c>
      <c r="B38" s="73" t="s">
        <v>166</v>
      </c>
      <c r="C38" s="74" t="s">
        <v>54</v>
      </c>
    </row>
    <row r="39" spans="1:3">
      <c r="A39" s="73" t="s">
        <v>84</v>
      </c>
      <c r="B39" s="73" t="s">
        <v>168</v>
      </c>
      <c r="C39" s="74" t="s">
        <v>54</v>
      </c>
    </row>
    <row r="40" spans="1:3">
      <c r="A40" s="73" t="s">
        <v>85</v>
      </c>
      <c r="B40" s="73" t="s">
        <v>220</v>
      </c>
      <c r="C40" s="74" t="s">
        <v>54</v>
      </c>
    </row>
    <row r="41" spans="1:3">
      <c r="A41" s="73" t="s">
        <v>86</v>
      </c>
      <c r="B41" s="73" t="s">
        <v>221</v>
      </c>
      <c r="C41" s="74" t="s">
        <v>54</v>
      </c>
    </row>
    <row r="42" spans="1:3">
      <c r="A42" s="73" t="s">
        <v>87</v>
      </c>
      <c r="B42" s="73" t="s">
        <v>222</v>
      </c>
      <c r="C42" s="74" t="s">
        <v>54</v>
      </c>
    </row>
    <row r="43" spans="1:3">
      <c r="A43" s="73" t="s">
        <v>88</v>
      </c>
      <c r="B43" s="73" t="s">
        <v>223</v>
      </c>
      <c r="C43" s="74" t="s">
        <v>54</v>
      </c>
    </row>
    <row r="44" spans="1:3">
      <c r="A44" s="73" t="s">
        <v>89</v>
      </c>
      <c r="B44" s="73" t="s">
        <v>167</v>
      </c>
      <c r="C44" s="74" t="s">
        <v>54</v>
      </c>
    </row>
    <row r="45" spans="1:3">
      <c r="A45" s="73" t="s">
        <v>90</v>
      </c>
      <c r="B45" s="73" t="s">
        <v>224</v>
      </c>
      <c r="C45" s="74">
        <v>1.1599999999999999</v>
      </c>
    </row>
    <row r="46" spans="1:3">
      <c r="A46" s="73" t="s">
        <v>91</v>
      </c>
      <c r="B46" s="73" t="s">
        <v>225</v>
      </c>
      <c r="C46" s="74" t="s">
        <v>54</v>
      </c>
    </row>
    <row r="47" spans="1:3">
      <c r="A47" s="73" t="s">
        <v>92</v>
      </c>
      <c r="B47" s="73" t="s">
        <v>170</v>
      </c>
      <c r="C47" s="74">
        <v>3.8</v>
      </c>
    </row>
    <row r="48" spans="1:3">
      <c r="A48" s="73" t="s">
        <v>93</v>
      </c>
      <c r="B48" s="73" t="s">
        <v>226</v>
      </c>
      <c r="C48" s="74" t="s">
        <v>54</v>
      </c>
    </row>
    <row r="49" spans="1:3">
      <c r="A49" s="73" t="s">
        <v>94</v>
      </c>
      <c r="B49" s="73" t="s">
        <v>227</v>
      </c>
      <c r="C49" s="74" t="s">
        <v>54</v>
      </c>
    </row>
    <row r="50" spans="1:3">
      <c r="A50" s="73" t="s">
        <v>95</v>
      </c>
      <c r="B50" s="73" t="s">
        <v>171</v>
      </c>
      <c r="C50" s="74" t="s">
        <v>54</v>
      </c>
    </row>
    <row r="51" spans="1:3" s="5" customFormat="1">
      <c r="A51" s="76" t="s">
        <v>96</v>
      </c>
      <c r="B51" s="76" t="s">
        <v>97</v>
      </c>
      <c r="C51" s="72" t="s">
        <v>54</v>
      </c>
    </row>
    <row r="52" spans="1:3">
      <c r="A52" s="73" t="s">
        <v>98</v>
      </c>
      <c r="B52" s="73" t="s">
        <v>228</v>
      </c>
      <c r="C52" s="74" t="s">
        <v>54</v>
      </c>
    </row>
    <row r="53" spans="1:3">
      <c r="A53" s="73" t="s">
        <v>99</v>
      </c>
      <c r="B53" s="73" t="s">
        <v>229</v>
      </c>
      <c r="C53" s="74" t="s">
        <v>54</v>
      </c>
    </row>
    <row r="54" spans="1:3">
      <c r="A54" s="73" t="s">
        <v>100</v>
      </c>
      <c r="B54" s="73" t="s">
        <v>230</v>
      </c>
      <c r="C54" s="74" t="s">
        <v>54</v>
      </c>
    </row>
    <row r="55" spans="1:3">
      <c r="A55" s="73" t="s">
        <v>101</v>
      </c>
      <c r="B55" s="73" t="s">
        <v>231</v>
      </c>
      <c r="C55" s="74" t="s">
        <v>54</v>
      </c>
    </row>
    <row r="56" spans="1:3">
      <c r="A56" s="73" t="s">
        <v>102</v>
      </c>
      <c r="B56" s="73" t="s">
        <v>232</v>
      </c>
      <c r="C56" s="74" t="s">
        <v>54</v>
      </c>
    </row>
    <row r="57" spans="1:3">
      <c r="A57" s="73" t="s">
        <v>103</v>
      </c>
      <c r="B57" s="73" t="s">
        <v>233</v>
      </c>
      <c r="C57" s="74" t="s">
        <v>54</v>
      </c>
    </row>
    <row r="58" spans="1:3">
      <c r="A58" s="73" t="s">
        <v>104</v>
      </c>
      <c r="B58" s="73" t="s">
        <v>234</v>
      </c>
      <c r="C58" s="74" t="s">
        <v>54</v>
      </c>
    </row>
    <row r="59" spans="1:3">
      <c r="A59" s="73" t="s">
        <v>105</v>
      </c>
      <c r="B59" s="73" t="s">
        <v>179</v>
      </c>
      <c r="C59" s="74" t="s">
        <v>54</v>
      </c>
    </row>
    <row r="60" spans="1:3">
      <c r="A60" s="73" t="s">
        <v>106</v>
      </c>
      <c r="B60" s="73" t="s">
        <v>235</v>
      </c>
      <c r="C60" s="74" t="s">
        <v>54</v>
      </c>
    </row>
    <row r="61" spans="1:3">
      <c r="A61" s="73" t="s">
        <v>107</v>
      </c>
      <c r="B61" s="73" t="s">
        <v>180</v>
      </c>
      <c r="C61" s="74" t="s">
        <v>54</v>
      </c>
    </row>
    <row r="62" spans="1:3">
      <c r="A62" s="73" t="s">
        <v>108</v>
      </c>
      <c r="B62" s="73" t="s">
        <v>236</v>
      </c>
      <c r="C62" s="74" t="s">
        <v>54</v>
      </c>
    </row>
    <row r="63" spans="1:3" s="5" customFormat="1">
      <c r="A63" s="76" t="s">
        <v>125</v>
      </c>
      <c r="B63" s="76" t="s">
        <v>157</v>
      </c>
      <c r="C63" s="72" t="s">
        <v>54</v>
      </c>
    </row>
    <row r="64" spans="1:3">
      <c r="A64" s="73" t="s">
        <v>126</v>
      </c>
      <c r="B64" s="73" t="s">
        <v>183</v>
      </c>
      <c r="C64" s="74" t="s">
        <v>54</v>
      </c>
    </row>
    <row r="65" spans="1:3">
      <c r="A65" s="73" t="s">
        <v>237</v>
      </c>
      <c r="B65" s="73" t="s">
        <v>184</v>
      </c>
      <c r="C65" s="74" t="s">
        <v>54</v>
      </c>
    </row>
    <row r="66" spans="1:3">
      <c r="A66" s="73" t="s">
        <v>238</v>
      </c>
      <c r="B66" s="73" t="s">
        <v>185</v>
      </c>
      <c r="C66" s="74" t="s">
        <v>54</v>
      </c>
    </row>
    <row r="67" spans="1:3">
      <c r="A67" s="73" t="s">
        <v>239</v>
      </c>
      <c r="B67" s="73" t="s">
        <v>186</v>
      </c>
      <c r="C67" s="74" t="s">
        <v>54</v>
      </c>
    </row>
    <row r="68" spans="1:3" s="5" customFormat="1">
      <c r="A68" s="76" t="s">
        <v>135</v>
      </c>
      <c r="B68" s="76" t="s">
        <v>158</v>
      </c>
      <c r="C68" s="72"/>
    </row>
    <row r="69" spans="1:3">
      <c r="A69" s="73" t="s">
        <v>240</v>
      </c>
      <c r="B69" s="73" t="s">
        <v>172</v>
      </c>
      <c r="C69" s="74" t="s">
        <v>54</v>
      </c>
    </row>
    <row r="70" spans="1:3">
      <c r="A70" s="73" t="s">
        <v>241</v>
      </c>
      <c r="B70" s="73" t="s">
        <v>242</v>
      </c>
      <c r="C70" s="74" t="s">
        <v>54</v>
      </c>
    </row>
    <row r="71" spans="1:3">
      <c r="A71" s="73" t="s">
        <v>243</v>
      </c>
      <c r="B71" s="73" t="s">
        <v>244</v>
      </c>
      <c r="C71" s="74" t="s">
        <v>54</v>
      </c>
    </row>
    <row r="72" spans="1:3">
      <c r="A72" s="73" t="s">
        <v>245</v>
      </c>
      <c r="B72" s="73" t="s">
        <v>173</v>
      </c>
      <c r="C72" s="74" t="s">
        <v>54</v>
      </c>
    </row>
    <row r="73" spans="1:3">
      <c r="A73" s="73" t="s">
        <v>246</v>
      </c>
      <c r="B73" s="73" t="s">
        <v>175</v>
      </c>
      <c r="C73" s="74" t="s">
        <v>54</v>
      </c>
    </row>
    <row r="74" spans="1:3">
      <c r="A74" s="73" t="s">
        <v>247</v>
      </c>
      <c r="B74" s="73" t="s">
        <v>248</v>
      </c>
      <c r="C74" s="74" t="s">
        <v>54</v>
      </c>
    </row>
    <row r="75" spans="1:3">
      <c r="A75" s="73" t="s">
        <v>249</v>
      </c>
      <c r="B75" s="73" t="s">
        <v>250</v>
      </c>
      <c r="C75" s="74" t="s">
        <v>54</v>
      </c>
    </row>
    <row r="76" spans="1:3">
      <c r="A76" s="73" t="s">
        <v>251</v>
      </c>
      <c r="B76" s="73" t="s">
        <v>174</v>
      </c>
      <c r="C76" s="74" t="s">
        <v>54</v>
      </c>
    </row>
    <row r="77" spans="1:3">
      <c r="A77" s="73" t="s">
        <v>252</v>
      </c>
      <c r="B77" s="73" t="s">
        <v>253</v>
      </c>
      <c r="C77" s="74" t="s">
        <v>54</v>
      </c>
    </row>
    <row r="78" spans="1:3">
      <c r="A78" s="73" t="s">
        <v>254</v>
      </c>
      <c r="B78" s="73" t="s">
        <v>255</v>
      </c>
      <c r="C78" s="74" t="s">
        <v>54</v>
      </c>
    </row>
    <row r="79" spans="1:3">
      <c r="A79" s="73" t="s">
        <v>256</v>
      </c>
      <c r="B79" s="73" t="s">
        <v>257</v>
      </c>
      <c r="C79" s="74" t="s">
        <v>54</v>
      </c>
    </row>
    <row r="80" spans="1:3">
      <c r="A80" s="73" t="s">
        <v>258</v>
      </c>
      <c r="B80" s="73" t="s">
        <v>259</v>
      </c>
      <c r="C80" s="74"/>
    </row>
    <row r="81" spans="1:3" s="5" customFormat="1">
      <c r="A81" s="76" t="s">
        <v>109</v>
      </c>
      <c r="B81" s="76" t="s">
        <v>159</v>
      </c>
      <c r="C81" s="72">
        <f>SUM(C82:C97)</f>
        <v>0</v>
      </c>
    </row>
    <row r="82" spans="1:3">
      <c r="A82" s="73" t="s">
        <v>111</v>
      </c>
      <c r="B82" s="73" t="s">
        <v>172</v>
      </c>
      <c r="C82" s="74"/>
    </row>
    <row r="83" spans="1:3">
      <c r="A83" s="73" t="s">
        <v>112</v>
      </c>
      <c r="B83" s="73" t="s">
        <v>242</v>
      </c>
      <c r="C83" s="74" t="s">
        <v>54</v>
      </c>
    </row>
    <row r="84" spans="1:3">
      <c r="A84" s="73" t="s">
        <v>113</v>
      </c>
      <c r="B84" s="73" t="s">
        <v>244</v>
      </c>
      <c r="C84" s="74" t="s">
        <v>54</v>
      </c>
    </row>
    <row r="85" spans="1:3">
      <c r="A85" s="73" t="s">
        <v>114</v>
      </c>
      <c r="B85" s="73" t="s">
        <v>173</v>
      </c>
      <c r="C85" s="75"/>
    </row>
    <row r="86" spans="1:3">
      <c r="A86" s="73" t="s">
        <v>115</v>
      </c>
      <c r="B86" s="73" t="s">
        <v>175</v>
      </c>
      <c r="C86" s="75"/>
    </row>
    <row r="87" spans="1:3">
      <c r="A87" s="73" t="s">
        <v>116</v>
      </c>
      <c r="B87" s="73" t="s">
        <v>248</v>
      </c>
      <c r="C87" s="75"/>
    </row>
    <row r="88" spans="1:3">
      <c r="A88" s="73" t="s">
        <v>117</v>
      </c>
      <c r="B88" s="73" t="s">
        <v>250</v>
      </c>
      <c r="C88" s="75"/>
    </row>
    <row r="89" spans="1:3">
      <c r="A89" s="73" t="s">
        <v>118</v>
      </c>
      <c r="B89" s="73" t="s">
        <v>260</v>
      </c>
      <c r="C89" s="75"/>
    </row>
    <row r="90" spans="1:3">
      <c r="A90" s="73" t="s">
        <v>119</v>
      </c>
      <c r="B90" s="73" t="s">
        <v>261</v>
      </c>
      <c r="C90" s="75"/>
    </row>
    <row r="91" spans="1:3">
      <c r="A91" s="73" t="s">
        <v>120</v>
      </c>
      <c r="B91" s="73" t="s">
        <v>262</v>
      </c>
      <c r="C91" s="75"/>
    </row>
    <row r="92" spans="1:3">
      <c r="A92" s="73" t="s">
        <v>121</v>
      </c>
      <c r="B92" s="73" t="s">
        <v>263</v>
      </c>
      <c r="C92" s="75"/>
    </row>
    <row r="93" spans="1:3">
      <c r="A93" s="73" t="s">
        <v>122</v>
      </c>
      <c r="B93" s="73" t="s">
        <v>174</v>
      </c>
      <c r="C93" s="75"/>
    </row>
    <row r="94" spans="1:3">
      <c r="A94" s="73" t="s">
        <v>123</v>
      </c>
      <c r="B94" s="73" t="s">
        <v>253</v>
      </c>
      <c r="C94" s="75"/>
    </row>
    <row r="95" spans="1:3">
      <c r="A95" s="73" t="s">
        <v>264</v>
      </c>
      <c r="B95" s="73" t="s">
        <v>255</v>
      </c>
      <c r="C95" s="75"/>
    </row>
    <row r="96" spans="1:3">
      <c r="A96" s="73" t="s">
        <v>265</v>
      </c>
      <c r="B96" s="73" t="s">
        <v>257</v>
      </c>
      <c r="C96" s="75"/>
    </row>
    <row r="97" spans="1:3">
      <c r="A97" s="73" t="s">
        <v>124</v>
      </c>
      <c r="B97" s="73" t="s">
        <v>110</v>
      </c>
      <c r="C97" s="75"/>
    </row>
    <row r="98" spans="1:3" s="5" customFormat="1">
      <c r="A98" s="76" t="s">
        <v>266</v>
      </c>
      <c r="B98" s="76" t="s">
        <v>160</v>
      </c>
      <c r="C98" s="77"/>
    </row>
    <row r="99" spans="1:3">
      <c r="A99" s="73" t="s">
        <v>267</v>
      </c>
      <c r="B99" s="73" t="s">
        <v>268</v>
      </c>
      <c r="C99" s="75"/>
    </row>
    <row r="100" spans="1:3">
      <c r="A100" s="73" t="s">
        <v>269</v>
      </c>
      <c r="B100" s="73" t="s">
        <v>178</v>
      </c>
      <c r="C100" s="75"/>
    </row>
    <row r="101" spans="1:3" s="5" customFormat="1">
      <c r="A101" s="76" t="s">
        <v>270</v>
      </c>
      <c r="B101" s="76" t="s">
        <v>161</v>
      </c>
      <c r="C101" s="77"/>
    </row>
    <row r="102" spans="1:3">
      <c r="A102" s="73" t="s">
        <v>271</v>
      </c>
      <c r="B102" s="73" t="s">
        <v>268</v>
      </c>
      <c r="C102" s="75"/>
    </row>
    <row r="103" spans="1:3">
      <c r="A103" s="73" t="s">
        <v>272</v>
      </c>
      <c r="B103" s="73" t="s">
        <v>273</v>
      </c>
      <c r="C103" s="75"/>
    </row>
    <row r="104" spans="1:3">
      <c r="A104" s="73" t="s">
        <v>274</v>
      </c>
      <c r="B104" s="73" t="s">
        <v>176</v>
      </c>
      <c r="C104" s="75"/>
    </row>
    <row r="105" spans="1:3">
      <c r="A105" s="73" t="s">
        <v>275</v>
      </c>
      <c r="B105" s="73" t="s">
        <v>177</v>
      </c>
      <c r="C105" s="75"/>
    </row>
    <row r="106" spans="1:3">
      <c r="A106" s="73" t="s">
        <v>276</v>
      </c>
      <c r="B106" s="73" t="s">
        <v>178</v>
      </c>
      <c r="C106" s="75"/>
    </row>
    <row r="107" spans="1:3" s="5" customFormat="1">
      <c r="A107" s="76" t="s">
        <v>277</v>
      </c>
      <c r="B107" s="76" t="s">
        <v>162</v>
      </c>
      <c r="C107" s="77"/>
    </row>
    <row r="108" spans="1:3">
      <c r="A108" s="73" t="s">
        <v>278</v>
      </c>
      <c r="B108" s="73" t="s">
        <v>181</v>
      </c>
      <c r="C108" s="75"/>
    </row>
    <row r="109" spans="1:3">
      <c r="A109" s="73" t="s">
        <v>279</v>
      </c>
      <c r="B109" s="73" t="s">
        <v>182</v>
      </c>
      <c r="C109" s="75"/>
    </row>
    <row r="110" spans="1:3" s="5" customFormat="1">
      <c r="A110" s="76" t="s">
        <v>127</v>
      </c>
      <c r="B110" s="76" t="s">
        <v>128</v>
      </c>
      <c r="C110" s="77"/>
    </row>
    <row r="111" spans="1:3">
      <c r="A111" s="73" t="s">
        <v>129</v>
      </c>
      <c r="B111" s="73" t="s">
        <v>187</v>
      </c>
      <c r="C111" s="75"/>
    </row>
    <row r="112" spans="1:3">
      <c r="A112" s="73" t="s">
        <v>280</v>
      </c>
      <c r="B112" s="73" t="s">
        <v>188</v>
      </c>
      <c r="C112" s="75"/>
    </row>
    <row r="113" spans="1:3">
      <c r="A113" s="73" t="s">
        <v>281</v>
      </c>
      <c r="B113" s="73" t="s">
        <v>189</v>
      </c>
      <c r="C113" s="75"/>
    </row>
    <row r="114" spans="1:3">
      <c r="A114" s="73" t="s">
        <v>282</v>
      </c>
      <c r="B114" s="73" t="s">
        <v>128</v>
      </c>
      <c r="C114" s="75"/>
    </row>
  </sheetData>
  <mergeCells count="7">
    <mergeCell ref="A8:B8"/>
    <mergeCell ref="A2:C2"/>
    <mergeCell ref="B3:C3"/>
    <mergeCell ref="A4:B4"/>
    <mergeCell ref="C4:C7"/>
    <mergeCell ref="A5:A7"/>
    <mergeCell ref="B5:B7"/>
  </mergeCells>
  <phoneticPr fontId="7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selection activeCell="F9" sqref="F9"/>
    </sheetView>
  </sheetViews>
  <sheetFormatPr defaultRowHeight="14.25"/>
  <cols>
    <col min="1" max="1" width="48.125" customWidth="1"/>
    <col min="2" max="2" width="44.375" customWidth="1"/>
  </cols>
  <sheetData>
    <row r="1" spans="1:2">
      <c r="A1" s="30" t="s">
        <v>153</v>
      </c>
      <c r="B1" s="31"/>
    </row>
    <row r="2" spans="1:2" ht="20.25">
      <c r="A2" s="148" t="s">
        <v>312</v>
      </c>
      <c r="B2" s="148"/>
    </row>
    <row r="3" spans="1:2">
      <c r="A3" s="101"/>
      <c r="B3" s="68" t="s">
        <v>1</v>
      </c>
    </row>
    <row r="4" spans="1:2" ht="30" customHeight="1">
      <c r="A4" s="69" t="s">
        <v>2</v>
      </c>
      <c r="B4" s="69" t="s">
        <v>130</v>
      </c>
    </row>
    <row r="5" spans="1:2" ht="30" customHeight="1">
      <c r="A5" s="69" t="s">
        <v>3</v>
      </c>
      <c r="B5" s="104">
        <f>B6+B7+B8</f>
        <v>4.1900000000000004</v>
      </c>
    </row>
    <row r="6" spans="1:2" ht="30" customHeight="1">
      <c r="A6" s="70" t="s">
        <v>4</v>
      </c>
      <c r="B6" s="104">
        <v>0</v>
      </c>
    </row>
    <row r="7" spans="1:2" ht="30" customHeight="1">
      <c r="A7" s="70" t="s">
        <v>5</v>
      </c>
      <c r="B7" s="104">
        <v>0.39</v>
      </c>
    </row>
    <row r="8" spans="1:2" ht="30" customHeight="1">
      <c r="A8" s="70" t="s">
        <v>149</v>
      </c>
      <c r="B8" s="104">
        <f>B9+B10</f>
        <v>3.8</v>
      </c>
    </row>
    <row r="9" spans="1:2" ht="30" customHeight="1">
      <c r="A9" s="102" t="s">
        <v>150</v>
      </c>
      <c r="B9" s="104">
        <v>3.8</v>
      </c>
    </row>
    <row r="10" spans="1:2" ht="30" customHeight="1">
      <c r="A10" s="102" t="s">
        <v>131</v>
      </c>
      <c r="B10" s="104">
        <v>0</v>
      </c>
    </row>
    <row r="11" spans="1:2" ht="27" customHeight="1">
      <c r="A11" s="36" t="s">
        <v>156</v>
      </c>
      <c r="B11" s="36"/>
    </row>
  </sheetData>
  <mergeCells count="1">
    <mergeCell ref="A2:B2"/>
  </mergeCells>
  <phoneticPr fontId="75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B37" sqref="B37"/>
    </sheetView>
  </sheetViews>
  <sheetFormatPr defaultRowHeight="14.25"/>
  <cols>
    <col min="1" max="1" width="16.625" customWidth="1"/>
    <col min="2" max="2" width="24.25" customWidth="1"/>
    <col min="3" max="3" width="15.5" customWidth="1"/>
    <col min="4" max="4" width="16.25" customWidth="1"/>
    <col min="5" max="5" width="14.625" customWidth="1"/>
    <col min="6" max="6" width="16.625" customWidth="1"/>
    <col min="7" max="7" width="13.25" customWidth="1"/>
    <col min="8" max="8" width="10.125" customWidth="1"/>
    <col min="9" max="10" width="10" customWidth="1"/>
    <col min="11" max="11" width="14.875" customWidth="1"/>
  </cols>
  <sheetData>
    <row r="1" spans="1:11">
      <c r="A1" s="1" t="s">
        <v>293</v>
      </c>
    </row>
    <row r="2" spans="1:11" ht="26.25" customHeight="1">
      <c r="A2" s="151" t="s">
        <v>313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</row>
    <row r="3" spans="1:11">
      <c r="A3" s="32"/>
      <c r="B3" s="32"/>
      <c r="C3" s="32"/>
      <c r="D3" s="32"/>
      <c r="E3" s="32"/>
      <c r="F3" s="32"/>
      <c r="G3" s="32"/>
      <c r="H3" s="32"/>
      <c r="I3" s="32"/>
      <c r="J3" s="32"/>
      <c r="K3" s="66" t="s">
        <v>136</v>
      </c>
    </row>
    <row r="4" spans="1:11">
      <c r="A4" s="152" t="s">
        <v>137</v>
      </c>
      <c r="B4" s="152" t="s">
        <v>138</v>
      </c>
      <c r="C4" s="152" t="s">
        <v>139</v>
      </c>
      <c r="D4" s="152" t="s">
        <v>140</v>
      </c>
      <c r="E4" s="152" t="s">
        <v>141</v>
      </c>
      <c r="F4" s="152" t="s">
        <v>142</v>
      </c>
      <c r="G4" s="152" t="s">
        <v>143</v>
      </c>
      <c r="H4" s="154" t="s">
        <v>144</v>
      </c>
      <c r="I4" s="154"/>
      <c r="J4" s="154"/>
      <c r="K4" s="152" t="s">
        <v>145</v>
      </c>
    </row>
    <row r="5" spans="1:11" ht="27">
      <c r="A5" s="153"/>
      <c r="B5" s="153"/>
      <c r="C5" s="153"/>
      <c r="D5" s="153"/>
      <c r="E5" s="153"/>
      <c r="F5" s="153"/>
      <c r="G5" s="153"/>
      <c r="H5" s="35" t="s">
        <v>146</v>
      </c>
      <c r="I5" s="35" t="s">
        <v>147</v>
      </c>
      <c r="J5" s="35" t="s">
        <v>148</v>
      </c>
      <c r="K5" s="153"/>
    </row>
    <row r="6" spans="1:1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</row>
    <row r="7" spans="1:1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</row>
    <row r="8" spans="1:1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1:1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</row>
    <row r="10" spans="1:1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spans="1:1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spans="1:1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spans="1:1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1:1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1:1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ht="138" customHeight="1">
      <c r="A28" s="149" t="s">
        <v>151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</row>
    <row r="29" spans="1:11">
      <c r="A29" s="1" t="s">
        <v>350</v>
      </c>
    </row>
  </sheetData>
  <mergeCells count="11">
    <mergeCell ref="A28:K28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7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G10" sqref="G10"/>
    </sheetView>
  </sheetViews>
  <sheetFormatPr defaultColWidth="8.125" defaultRowHeight="31.5" customHeight="1"/>
  <cols>
    <col min="1" max="1" width="14.5" style="99" customWidth="1"/>
    <col min="2" max="2" width="14.25" style="99" customWidth="1"/>
    <col min="3" max="3" width="40.5" style="99" customWidth="1"/>
    <col min="4" max="4" width="35" style="99" customWidth="1"/>
    <col min="5" max="16384" width="8.125" style="99"/>
  </cols>
  <sheetData>
    <row r="1" spans="1:4" ht="27.6" customHeight="1">
      <c r="A1" s="98" t="s">
        <v>294</v>
      </c>
    </row>
    <row r="2" spans="1:4" ht="40.15" customHeight="1">
      <c r="A2" s="164" t="s">
        <v>329</v>
      </c>
      <c r="B2" s="164"/>
      <c r="C2" s="164"/>
      <c r="D2" s="164"/>
    </row>
    <row r="3" spans="1:4" ht="26.25" customHeight="1">
      <c r="A3" s="156" t="s">
        <v>328</v>
      </c>
      <c r="B3" s="158"/>
      <c r="C3" s="159"/>
      <c r="D3" s="160"/>
    </row>
    <row r="4" spans="1:4" ht="33" customHeight="1">
      <c r="A4" s="157"/>
      <c r="B4" s="161"/>
      <c r="C4" s="162"/>
      <c r="D4" s="163"/>
    </row>
    <row r="5" spans="1:4" ht="29.25" customHeight="1">
      <c r="A5" s="156" t="s">
        <v>283</v>
      </c>
      <c r="B5" s="103" t="s">
        <v>289</v>
      </c>
      <c r="C5" s="103" t="s">
        <v>290</v>
      </c>
      <c r="D5" s="103" t="s">
        <v>291</v>
      </c>
    </row>
    <row r="6" spans="1:4" ht="29.25" customHeight="1">
      <c r="A6" s="165"/>
      <c r="B6" s="156" t="s">
        <v>284</v>
      </c>
      <c r="C6" s="105"/>
      <c r="D6" s="106"/>
    </row>
    <row r="7" spans="1:4" ht="29.25" customHeight="1">
      <c r="A7" s="165"/>
      <c r="B7" s="165"/>
      <c r="C7" s="105"/>
      <c r="D7" s="106"/>
    </row>
    <row r="8" spans="1:4" ht="29.25" customHeight="1">
      <c r="A8" s="165"/>
      <c r="B8" s="157"/>
      <c r="C8" s="105"/>
      <c r="D8" s="106"/>
    </row>
    <row r="9" spans="1:4" ht="29.25" customHeight="1">
      <c r="A9" s="165"/>
      <c r="B9" s="156" t="s">
        <v>285</v>
      </c>
      <c r="C9" s="105"/>
      <c r="D9" s="106"/>
    </row>
    <row r="10" spans="1:4" ht="29.25" customHeight="1">
      <c r="A10" s="165"/>
      <c r="B10" s="165"/>
      <c r="C10" s="105"/>
      <c r="D10" s="106"/>
    </row>
    <row r="11" spans="1:4" ht="29.25" customHeight="1">
      <c r="A11" s="165"/>
      <c r="B11" s="157"/>
      <c r="C11" s="105"/>
      <c r="D11" s="106"/>
    </row>
    <row r="12" spans="1:4" ht="29.25" customHeight="1">
      <c r="A12" s="165"/>
      <c r="B12" s="156" t="s">
        <v>286</v>
      </c>
      <c r="C12" s="105"/>
      <c r="D12" s="106"/>
    </row>
    <row r="13" spans="1:4" ht="29.25" customHeight="1">
      <c r="A13" s="157"/>
      <c r="B13" s="157"/>
      <c r="C13" s="105"/>
      <c r="D13" s="106"/>
    </row>
    <row r="14" spans="1:4" ht="27" customHeight="1">
      <c r="A14" s="155" t="s">
        <v>292</v>
      </c>
      <c r="B14" s="155"/>
      <c r="C14" s="155"/>
      <c r="D14" s="155"/>
    </row>
  </sheetData>
  <mergeCells count="8">
    <mergeCell ref="A14:D14"/>
    <mergeCell ref="A3:A4"/>
    <mergeCell ref="B3:D4"/>
    <mergeCell ref="A2:D2"/>
    <mergeCell ref="A5:A13"/>
    <mergeCell ref="B6:B8"/>
    <mergeCell ref="B9:B11"/>
    <mergeCell ref="B12:B13"/>
  </mergeCells>
  <phoneticPr fontId="35" type="noConversion"/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10" sqref="C10"/>
    </sheetView>
  </sheetViews>
  <sheetFormatPr defaultColWidth="8.125" defaultRowHeight="31.5" customHeight="1"/>
  <cols>
    <col min="1" max="1" width="14.5" style="99" customWidth="1"/>
    <col min="2" max="2" width="14.25" style="99" customWidth="1"/>
    <col min="3" max="3" width="40.5" style="99" customWidth="1"/>
    <col min="4" max="4" width="35" style="99" customWidth="1"/>
    <col min="5" max="16384" width="8.125" style="99"/>
  </cols>
  <sheetData>
    <row r="1" spans="1:4" ht="27.6" customHeight="1">
      <c r="A1" s="98" t="s">
        <v>327</v>
      </c>
    </row>
    <row r="2" spans="1:4" ht="40.15" customHeight="1">
      <c r="A2" s="164" t="s">
        <v>314</v>
      </c>
      <c r="B2" s="164"/>
      <c r="C2" s="164"/>
      <c r="D2" s="164"/>
    </row>
    <row r="3" spans="1:4" ht="26.25" customHeight="1">
      <c r="A3" s="100" t="s">
        <v>287</v>
      </c>
      <c r="B3" s="166" t="s">
        <v>338</v>
      </c>
      <c r="C3" s="166"/>
      <c r="D3" s="166"/>
    </row>
    <row r="4" spans="1:4" ht="33" customHeight="1">
      <c r="A4" s="100" t="s">
        <v>288</v>
      </c>
      <c r="B4" s="167" t="s">
        <v>339</v>
      </c>
      <c r="C4" s="167"/>
      <c r="D4" s="167"/>
    </row>
    <row r="5" spans="1:4" ht="29.25" customHeight="1">
      <c r="A5" s="156" t="s">
        <v>283</v>
      </c>
      <c r="B5" s="100" t="s">
        <v>289</v>
      </c>
      <c r="C5" s="100" t="s">
        <v>290</v>
      </c>
      <c r="D5" s="103" t="s">
        <v>291</v>
      </c>
    </row>
    <row r="6" spans="1:4" ht="29.25" customHeight="1">
      <c r="A6" s="165"/>
      <c r="B6" s="156" t="s">
        <v>284</v>
      </c>
      <c r="C6" s="105" t="s">
        <v>341</v>
      </c>
      <c r="D6" s="106" t="s">
        <v>343</v>
      </c>
    </row>
    <row r="7" spans="1:4" ht="29.25" customHeight="1">
      <c r="A7" s="165"/>
      <c r="B7" s="165"/>
      <c r="C7" s="105" t="s">
        <v>342</v>
      </c>
      <c r="D7" s="106" t="s">
        <v>343</v>
      </c>
    </row>
    <row r="8" spans="1:4" ht="29.25" customHeight="1">
      <c r="A8" s="165"/>
      <c r="B8" s="157"/>
      <c r="C8" s="105" t="s">
        <v>344</v>
      </c>
      <c r="D8" s="106" t="s">
        <v>345</v>
      </c>
    </row>
    <row r="9" spans="1:4" ht="29.25" customHeight="1">
      <c r="A9" s="165"/>
      <c r="B9" s="156" t="s">
        <v>285</v>
      </c>
      <c r="C9" s="105" t="s">
        <v>315</v>
      </c>
      <c r="D9" s="106" t="s">
        <v>317</v>
      </c>
    </row>
    <row r="10" spans="1:4" ht="29.25" customHeight="1">
      <c r="A10" s="165"/>
      <c r="B10" s="165"/>
      <c r="C10" s="105" t="s">
        <v>316</v>
      </c>
      <c r="D10" s="106" t="s">
        <v>340</v>
      </c>
    </row>
    <row r="11" spans="1:4" ht="29.25" customHeight="1">
      <c r="A11" s="165"/>
      <c r="B11" s="157"/>
      <c r="C11" s="105" t="s">
        <v>346</v>
      </c>
      <c r="D11" s="106" t="s">
        <v>347</v>
      </c>
    </row>
    <row r="12" spans="1:4" ht="29.25" customHeight="1">
      <c r="A12" s="165"/>
      <c r="B12" s="156" t="s">
        <v>286</v>
      </c>
      <c r="C12" s="105" t="s">
        <v>318</v>
      </c>
      <c r="D12" s="106" t="s">
        <v>326</v>
      </c>
    </row>
    <row r="13" spans="1:4" ht="29.25" customHeight="1">
      <c r="A13" s="157"/>
      <c r="B13" s="157"/>
      <c r="C13" s="105" t="s">
        <v>325</v>
      </c>
      <c r="D13" s="106" t="s">
        <v>348</v>
      </c>
    </row>
    <row r="14" spans="1:4" ht="27" customHeight="1">
      <c r="A14" s="155" t="s">
        <v>292</v>
      </c>
      <c r="B14" s="155"/>
      <c r="C14" s="155"/>
      <c r="D14" s="155"/>
    </row>
  </sheetData>
  <mergeCells count="8">
    <mergeCell ref="A14:D14"/>
    <mergeCell ref="A2:D2"/>
    <mergeCell ref="B3:D3"/>
    <mergeCell ref="B4:D4"/>
    <mergeCell ref="A5:A13"/>
    <mergeCell ref="B6:B8"/>
    <mergeCell ref="B9:B11"/>
    <mergeCell ref="B12:B13"/>
  </mergeCells>
  <phoneticPr fontId="3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9</vt:i4>
      </vt:variant>
    </vt:vector>
  </HeadingPairs>
  <TitlesOfParts>
    <vt:vector size="21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2018-05-23T07:22:51Z</cp:lastPrinted>
  <dcterms:created xsi:type="dcterms:W3CDTF">2008-01-10T09:59:00Z</dcterms:created>
  <dcterms:modified xsi:type="dcterms:W3CDTF">2018-05-25T09:19:18Z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