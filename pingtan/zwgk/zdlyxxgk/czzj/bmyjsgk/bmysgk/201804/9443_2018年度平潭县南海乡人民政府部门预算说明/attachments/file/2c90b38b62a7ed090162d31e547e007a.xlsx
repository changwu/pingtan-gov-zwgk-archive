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695" windowHeight="13050" tabRatio="1000" activeTab="8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<sst xmlns="http://schemas.openxmlformats.org/spreadsheetml/2006/main" count="352">
  <si>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</si>
  <si>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</si>
  <si>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</si>
  <si>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</si>
  <si>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</si>
  <si>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</si>
  <si>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</si>
  <si>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</si>
  <si>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</si>
  <si>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</si>
  <si>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</si>
  <si>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</si>
  <si>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</si>
  <si>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</si>
  <si>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</si>
  <si>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</si>
  <si>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</si>
  <si>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</si>
  <si>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</si>
  <si>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</si>
  <si>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</si>
  <si>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</si>
  <si>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</si>
  <si>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</si>
  <si>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</si>
  <si>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</si>
  <si>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</si>
  <si>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</si>
  <si>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</si>
  <si>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</si>
  <si>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</si>
  <si>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</si>
  <si>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平潭县南海乡人民政府</t>
  </si>
  <si>
    <t>政府行政运行</t>
  </si>
  <si>
    <t>财政行政运行</t>
  </si>
  <si>
    <t>文化行政运行</t>
  </si>
  <si>
    <t>其他优抚支出</t>
  </si>
  <si>
    <t>计划生育机构</t>
  </si>
  <si>
    <t>农业行政运行</t>
  </si>
  <si>
    <t>对村民委员会和村党支部的补助</t>
  </si>
  <si>
    <t>住房公积金</t>
  </si>
  <si>
    <t>提租补贴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</si>
  <si>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</si>
  <si>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</si>
  <si>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</si>
  <si>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</si>
  <si>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</si>
  <si>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</si>
  <si>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</si>
  <si>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</si>
  <si>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</si>
  <si>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平潭县南海乡财政所</t>
  </si>
  <si>
    <t>在职人员基本工资（行政）</t>
  </si>
  <si>
    <t>在职人员年终一个月奖金及防暑降温费(行政)</t>
  </si>
  <si>
    <t>离退休人员公务费(行政)</t>
  </si>
  <si>
    <t>在职人员工伤保险(行政)</t>
  </si>
  <si>
    <t>在职人员养老保险(行政)</t>
  </si>
  <si>
    <t>公车改革补贴(行政)</t>
  </si>
  <si>
    <t>在职人员生育保险(行政)</t>
  </si>
  <si>
    <t>综合定额公用经费(行政)</t>
  </si>
  <si>
    <t>小岛运转经费补助(行政)</t>
  </si>
  <si>
    <t>工会经费(行政)</t>
  </si>
  <si>
    <t>在职人员医疗保险(行政)</t>
  </si>
  <si>
    <t>误餐及通讯补贴(行政)</t>
  </si>
  <si>
    <t>乡镇运转经费(行政)</t>
  </si>
  <si>
    <t>在职人员地方津补贴（行政）</t>
  </si>
  <si>
    <t>小岛交通补贴(行政)</t>
  </si>
  <si>
    <t>在职人员年终一个月奖金及防暑降温费[财政]</t>
  </si>
  <si>
    <t>在职人员地方津补贴（财政）</t>
  </si>
  <si>
    <t>在职人员基本工资（财政）</t>
  </si>
  <si>
    <t>财政所专项经费（财政）</t>
  </si>
  <si>
    <t>在职人员基础性绩效工资（文化）</t>
  </si>
  <si>
    <t>在职人员奖励性绩效（文化）</t>
  </si>
  <si>
    <t>在职人员地方津补贴（文化）</t>
  </si>
  <si>
    <t>在职人员基本工资（文化）</t>
  </si>
  <si>
    <t>越战退役人员补助</t>
  </si>
  <si>
    <t>在职人员地方津补贴（计生）</t>
  </si>
  <si>
    <t>在职人员奖励性绩效（计生）</t>
  </si>
  <si>
    <t>在职人员基本工资（计生）</t>
  </si>
  <si>
    <t>在职人员基础性绩效工资（计生）</t>
  </si>
  <si>
    <t>在职人员基本工资（农业）</t>
  </si>
  <si>
    <t>在职人员奖励性绩效（农业）</t>
  </si>
  <si>
    <t>在职人员地方津补贴（农业）</t>
  </si>
  <si>
    <t>在职人员基础性绩效工资（农业）</t>
  </si>
  <si>
    <t>村务监督委员会主任报酬补贴</t>
  </si>
  <si>
    <t>其他村干部报酬补贴</t>
  </si>
  <si>
    <t>原村居退岗养老金及离任村居主干生活补助</t>
  </si>
  <si>
    <t>村主干报酬补贴</t>
  </si>
  <si>
    <t>村级运转经费</t>
  </si>
  <si>
    <t>在职人员住房公积金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</si>
  <si>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</si>
  <si>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</si>
  <si>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</si>
  <si>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</si>
  <si>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</si>
  <si>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</si>
  <si>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</si>
  <si>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</si>
  <si>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</si>
  <si>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</si>
  <si>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</si>
  <si>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</si>
  <si>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</si>
  <si>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</si>
  <si>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</si>
  <si>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</si>
  <si>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</si>
  <si>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</si>
  <si>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</si>
  <si>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</si>
  <si>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</si>
  <si>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</si>
  <si>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</si>
  <si>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</si>
  <si>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</si>
  <si>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</si>
  <si>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</si>
  <si>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</si>
  <si>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</si>
  <si>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</si>
  <si>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</si>
  <si>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</si>
  <si>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</si>
  <si>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</si>
  <si>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</si>
  <si>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</si>
  <si>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</si>
  <si>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</si>
  <si>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</si>
  <si>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</si>
  <si>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</si>
  <si>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</si>
  <si>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</si>
  <si>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</si>
  <si>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</si>
  <si>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</si>
  <si>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</si>
  <si>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</si>
  <si>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</si>
  <si>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</si>
  <si>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</si>
  <si>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</si>
  <si>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</si>
  <si>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</si>
  <si>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</si>
  <si>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</si>
  <si>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</si>
  <si>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</si>
  <si>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</si>
  <si>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</si>
  <si>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</si>
  <si>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</si>
  <si>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</si>
  <si>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</si>
  <si>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</si>
  <si>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</si>
  <si>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</si>
  <si>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</si>
  <si>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</si>
  <si>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</si>
  <si>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</si>
  <si>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</si>
  <si>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</si>
  <si>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</si>
  <si>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</si>
  <si>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</si>
  <si>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</si>
  <si>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</si>
  <si>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</si>
  <si>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</si>
  <si>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</si>
  <si>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</si>
  <si>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</si>
  <si>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</si>
  <si>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</si>
  <si>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</si>
  <si>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</si>
  <si>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</si>
  <si>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</si>
  <si>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</si>
  <si>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</si>
  <si>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</si>
  <si>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</si>
  <si>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</si>
  <si>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</si>
  <si>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</si>
  <si>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</si>
  <si>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</si>
  <si>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</si>
  <si>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</si>
  <si>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</si>
  <si>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</si>
  <si>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</si>
  <si>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</si>
  <si>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</si>
  <si>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</si>
  <si>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</si>
  <si>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</si>
  <si>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</si>
  <si>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工会经费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</si>
  <si>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</si>
  <si>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</si>
  <si>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</si>
  <si>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</si>
  <si>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</si>
  <si>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</si>
  <si>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</si>
  <si>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</si>
  <si>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</si>
  <si>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</si>
  <si>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</si>
  <si>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</si>
  <si>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</si>
  <si>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</si>
  <si>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</si>
  <si>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</si>
  <si>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</si>
  <si>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</si>
  <si>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</si>
  <si>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</si>
  <si>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</si>
  <si>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</si>
  <si>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</si>
  <si>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</si>
  <si>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</si>
  <si>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</si>
  <si>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</si>
  <si>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</si>
  <si>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</si>
  <si>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</si>
  <si>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</si>
  <si>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</si>
  <si>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</si>
  <si>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</si>
  <si>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</si>
  <si>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</si>
  <si>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</si>
  <si>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</si>
  <si>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</si>
  <si>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</si>
  <si>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</si>
  <si>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</si>
  <si>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</si>
  <si>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</si>
  <si>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</si>
  <si>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</si>
  <si>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</si>
  <si>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</si>
  <si>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</si>
  <si>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</si>
  <si>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</si>
  <si>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</si>
  <si>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</si>
  <si>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</si>
  <si>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</si>
  <si>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</si>
  <si>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</si>
  <si>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</si>
  <si>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</si>
  <si>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</si>
  <si>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</si>
  <si>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</si>
  <si>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</si>
  <si>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</si>
  <si>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</si>
  <si>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</si>
  <si>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</si>
  <si>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</si>
  <si>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</si>
  <si>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</si>
  <si>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</si>
  <si>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</si>
  <si>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</si>
  <si>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</si>
  <si>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</si>
  <si>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</si>
  <si>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</si>
  <si>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</si>
  <si>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</si>
  <si>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</si>
  <si>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</si>
  <si>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</si>
  <si>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</si>
  <si>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</si>
  <si>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</si>
  <si>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</si>
  <si>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</si>
  <si>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</si>
  <si>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</si>
  <si>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</si>
  <si>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</si>
  <si>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</si>
  <si>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</si>
  <si>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</si>
  <si>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</si>
  <si>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</si>
  <si>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</si>
  <si>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</si>
  <si>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</si>
  <si>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</si>
  <si>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</si>
  <si>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</si>
  <si>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</si>
  <si>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</si>
  <si>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</si>
  <si>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</si>
  <si>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</si>
  <si>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</si>
  <si>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</si>
  <si>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</si>
  <si>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</si>
  <si>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</si>
  <si>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</si>
  <si>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</si>
  <si>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</si>
  <si>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</si>
  <si>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</si>
  <si>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</si>
  <si>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</si>
  <si>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</si>
  <si>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</si>
  <si>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</si>
  <si>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</si>
  <si>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</si>
  <si>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</si>
  <si>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</si>
  <si>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</si>
  <si>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</si>
  <si>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</si>
  <si>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</si>
  <si>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</si>
  <si>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</si>
  <si>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</si>
  <si>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</si>
  <si>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</si>
  <si>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</si>
  <si>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</si>
  <si>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</si>
  <si>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</si>
  <si>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</si>
  <si>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</si>
  <si>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</si>
  <si>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</si>
  <si>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</si>
  <si>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</si>
  <si>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</si>
  <si>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</si>
  <si>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</si>
  <si>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</si>
  <si>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</si>
  <si>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概况</t>
  </si>
  <si>
    <t>（简要填写执行年限、预算安排、主要工作任务等情况）</t>
  </si>
</sst>
</file>

<file path=xl/styles.xml><?xml version="1.0" encoding="utf-8"?>
<styleSheet xmlns="http://schemas.openxmlformats.org/spreadsheetml/2006/main">
  <numFmts count="22">
    <numFmt numFmtId="176" formatCode="#,##0;\(#,##0\)"/>
    <numFmt numFmtId="177" formatCode="_(&quot;$&quot;* #,##0.00_);_(&quot;$&quot;* \(#,##0.00\);_(&quot;$&quot;* &quot;-&quot;??_);_(@_)"/>
    <numFmt numFmtId="178" formatCode="_-\¥* #,##0_-;\-\¥* #,##0_-;_-\¥* &quot;-&quot;_-;_-@_-"/>
    <numFmt numFmtId="179" formatCode="_ \¥* #,##0.00_ ;_ \¥* \-#,##0.00_ ;_ \¥* &quot;-&quot;??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80" formatCode="#,##0;\-#,##0;&quot;-&quot;"/>
    <numFmt numFmtId="181" formatCode="0.0"/>
    <numFmt numFmtId="182" formatCode="#,##0.000_ "/>
    <numFmt numFmtId="183" formatCode="_-* #,##0.0000_-;\-* #,##0.0000_-;_-* &quot;-&quot;??_-;_-@_-"/>
    <numFmt numFmtId="184" formatCode="_-* #,##0.00_-;\-* #,##0.00_-;_-* &quot;-&quot;??_-;_-@_-"/>
    <numFmt numFmtId="185" formatCode="_-&quot;$&quot;* #,##0_-;\-&quot;$&quot;* #,##0_-;_-&quot;$&quot;* &quot;-&quot;_-;_-@_-"/>
    <numFmt numFmtId="186" formatCode="_(* #,##0.00_);_(* \(#,##0.00\);_(* &quot;-&quot;??_);_(@_)"/>
    <numFmt numFmtId="187" formatCode="\$#,##0.00;\(\$#,##0.00\)"/>
    <numFmt numFmtId="188" formatCode="\$#,##0;\(\$#,##0\)"/>
    <numFmt numFmtId="189" formatCode="_-* #,##0_-;\-* #,##0_-;_-* &quot;-&quot;_-;_-@_-"/>
    <numFmt numFmtId="190" formatCode="#,##0.0"/>
    <numFmt numFmtId="191" formatCode="#,##0.00_ "/>
    <numFmt numFmtId="192" formatCode="0.00_ "/>
    <numFmt numFmtId="193" formatCode="* #,##0.0;* \-#,##0.0;* &quot;&quot;??;@"/>
  </numFmts>
  <fonts count="74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10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sz val="16"/>
      <color indexed="8"/>
      <name val="方正小标宋_GBK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color rgb="FF00B0F0"/>
      <name val="宋体"/>
      <charset val="134"/>
    </font>
    <font>
      <sz val="20"/>
      <name val="黑体"/>
      <charset val="134"/>
    </font>
    <font>
      <sz val="11"/>
      <color indexed="42"/>
      <name val="宋体"/>
      <charset val="134"/>
    </font>
    <font>
      <sz val="11"/>
      <color indexed="62"/>
      <name val="宋体"/>
      <charset val="134"/>
    </font>
    <font>
      <sz val="11"/>
      <color indexed="9"/>
      <name val="宋体"/>
      <charset val="134"/>
    </font>
    <font>
      <sz val="11"/>
      <color theme="1"/>
      <name val="宋体"/>
      <charset val="134"/>
      <scheme val="minor"/>
    </font>
    <font>
      <b/>
      <sz val="21"/>
      <name val="楷体_GB2312"/>
      <charset val="134"/>
    </font>
    <font>
      <b/>
      <sz val="15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u/>
      <sz val="11"/>
      <color rgb="FF800080"/>
      <name val="宋体"/>
      <charset val="0"/>
      <scheme val="minor"/>
    </font>
    <font>
      <b/>
      <sz val="13"/>
      <color indexed="62"/>
      <name val="宋体"/>
      <charset val="134"/>
    </font>
    <font>
      <b/>
      <sz val="11"/>
      <color indexed="52"/>
      <name val="宋体"/>
      <charset val="134"/>
    </font>
    <font>
      <sz val="11"/>
      <color indexed="20"/>
      <name val="宋体"/>
      <charset val="134"/>
    </font>
    <font>
      <u/>
      <sz val="11"/>
      <color rgb="FF0000FF"/>
      <name val="宋体"/>
      <charset val="0"/>
      <scheme val="minor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b/>
      <sz val="18"/>
      <color indexed="62"/>
      <name val="宋体"/>
      <charset val="134"/>
    </font>
    <font>
      <b/>
      <sz val="18"/>
      <name val="Arial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sz val="10"/>
      <color indexed="8"/>
      <name val="Arial"/>
      <charset val="134"/>
    </font>
    <font>
      <sz val="12"/>
      <color indexed="20"/>
      <name val="宋体"/>
      <charset val="134"/>
    </font>
    <font>
      <sz val="11"/>
      <color indexed="60"/>
      <name val="宋体"/>
      <charset val="134"/>
    </font>
    <font>
      <sz val="12"/>
      <name val="Helv"/>
      <charset val="134"/>
    </font>
    <font>
      <b/>
      <sz val="11"/>
      <color indexed="42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u/>
      <sz val="12"/>
      <color indexed="36"/>
      <name val="宋体"/>
      <charset val="134"/>
    </font>
    <font>
      <u/>
      <sz val="12"/>
      <color indexed="12"/>
      <name val="宋体"/>
      <charset val="134"/>
    </font>
    <font>
      <b/>
      <sz val="15"/>
      <color indexed="62"/>
      <name val="宋体"/>
      <charset val="134"/>
    </font>
    <font>
      <b/>
      <sz val="13"/>
      <color indexed="54"/>
      <name val="宋体"/>
      <charset val="134"/>
    </font>
    <font>
      <b/>
      <sz val="12"/>
      <name val="Arial"/>
      <charset val="134"/>
    </font>
    <font>
      <sz val="10"/>
      <name val="Times New Roman"/>
      <charset val="134"/>
    </font>
    <font>
      <sz val="12"/>
      <name val="Arial"/>
      <charset val="134"/>
    </font>
    <font>
      <b/>
      <sz val="15"/>
      <color indexed="54"/>
      <name val="宋体"/>
      <charset val="134"/>
    </font>
    <font>
      <b/>
      <sz val="11"/>
      <color indexed="62"/>
      <name val="宋体"/>
      <charset val="134"/>
    </font>
    <font>
      <b/>
      <sz val="11"/>
      <color indexed="54"/>
      <name val="宋体"/>
      <charset val="134"/>
    </font>
    <font>
      <b/>
      <sz val="18"/>
      <color theme="3"/>
      <name val="宋体"/>
      <charset val="134"/>
      <scheme val="major"/>
    </font>
    <font>
      <sz val="7"/>
      <name val="Small Fonts"/>
      <charset val="134"/>
    </font>
    <font>
      <sz val="8"/>
      <name val="Times New Roman"/>
      <charset val="134"/>
    </font>
    <font>
      <sz val="12"/>
      <color indexed="17"/>
      <name val="宋体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4999">
    <xf numFmtId="0" fontId="0" fillId="0" borderId="0">
      <alignment vertical="center"/>
    </xf>
    <xf numFmtId="42" fontId="3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5" borderId="13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4" fontId="30" fillId="0" borderId="0" applyFont="0" applyFill="0" applyBorder="0" applyAlignment="0" applyProtection="0">
      <alignment vertical="center"/>
    </xf>
    <xf numFmtId="0" fontId="0" fillId="0" borderId="0"/>
    <xf numFmtId="0" fontId="24" fillId="0" borderId="0">
      <alignment vertical="center"/>
    </xf>
    <xf numFmtId="0" fontId="24" fillId="12" borderId="0" applyNumberFormat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/>
    <xf numFmtId="0" fontId="24" fillId="5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/>
    <xf numFmtId="0" fontId="24" fillId="12" borderId="0" applyNumberFormat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0" fillId="0" borderId="0" applyNumberForma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0" fillId="4" borderId="12" applyNumberFormat="0" applyFon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1" fillId="0" borderId="0">
      <alignment horizontal="centerContinuous"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/>
    <xf numFmtId="0" fontId="32" fillId="0" borderId="14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/>
    <xf numFmtId="0" fontId="33" fillId="0" borderId="15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9" fillId="16" borderId="0" applyNumberFormat="0" applyBorder="0" applyAlignment="0" applyProtection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8" borderId="16" applyNumberFormat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0" fillId="0" borderId="0"/>
    <xf numFmtId="0" fontId="46" fillId="20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50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51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4" fillId="10" borderId="0" applyNumberFormat="0" applyBorder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1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/>
    <xf numFmtId="0" fontId="24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8" borderId="0" applyNumberFormat="0" applyBorder="0" applyAlignment="0" applyProtection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9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24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7" fillId="1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3" fillId="20" borderId="18" applyNumberForma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8" fillId="5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9" fillId="1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0" borderId="0"/>
    <xf numFmtId="0" fontId="0" fillId="0" borderId="0"/>
    <xf numFmtId="0" fontId="0" fillId="0" borderId="0">
      <alignment vertical="center"/>
    </xf>
    <xf numFmtId="0" fontId="0" fillId="0" borderId="0"/>
    <xf numFmtId="0" fontId="30" fillId="0" borderId="0"/>
    <xf numFmtId="0" fontId="0" fillId="0" borderId="0">
      <alignment vertical="center"/>
    </xf>
    <xf numFmtId="0" fontId="53" fillId="20" borderId="18" applyNumberFormat="0" applyAlignment="0" applyProtection="0">
      <alignment vertical="center"/>
    </xf>
    <xf numFmtId="0" fontId="10" fillId="0" borderId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9" borderId="0" applyNumberFormat="0" applyBorder="0" applyAlignment="0" applyProtection="0">
      <alignment vertical="center"/>
    </xf>
    <xf numFmtId="0" fontId="55" fillId="0" borderId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4" fillId="0" borderId="0"/>
    <xf numFmtId="0" fontId="2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/>
    <xf numFmtId="0" fontId="2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24" fillId="24" borderId="0" applyNumberFormat="0" applyBorder="0" applyAlignment="0" applyProtection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/>
    <xf numFmtId="0" fontId="24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/>
    <xf numFmtId="0" fontId="24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38" fillId="13" borderId="13" applyNumberFormat="0" applyAlignment="0" applyProtection="0">
      <alignment vertical="center"/>
    </xf>
    <xf numFmtId="0" fontId="0" fillId="0" borderId="0"/>
    <xf numFmtId="0" fontId="29" fillId="12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6" fillId="20" borderId="18" applyNumberForma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4" fillId="2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4" fillId="13" borderId="0" applyNumberFormat="0" applyBorder="0" applyAlignment="0" applyProtection="0">
      <alignment vertical="center"/>
    </xf>
    <xf numFmtId="0" fontId="0" fillId="0" borderId="0"/>
    <xf numFmtId="0" fontId="16" fillId="0" borderId="0">
      <alignment vertical="center"/>
    </xf>
    <xf numFmtId="0" fontId="0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0" fillId="0" borderId="0"/>
    <xf numFmtId="0" fontId="16" fillId="0" borderId="0">
      <alignment vertical="center"/>
    </xf>
    <xf numFmtId="0" fontId="0" fillId="0" borderId="0">
      <alignment vertical="center"/>
    </xf>
    <xf numFmtId="0" fontId="16" fillId="0" borderId="0"/>
    <xf numFmtId="0" fontId="0" fillId="0" borderId="0"/>
    <xf numFmtId="0" fontId="29" fillId="21" borderId="0" applyNumberFormat="0" applyBorder="0" applyAlignment="0" applyProtection="0">
      <alignment vertical="center"/>
    </xf>
    <xf numFmtId="0" fontId="24" fillId="0" borderId="0"/>
    <xf numFmtId="0" fontId="0" fillId="0" borderId="0">
      <alignment vertical="center"/>
    </xf>
    <xf numFmtId="0" fontId="0" fillId="0" borderId="0"/>
    <xf numFmtId="0" fontId="29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1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6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/>
    <xf numFmtId="0" fontId="46" fillId="20" borderId="18" applyNumberFormat="0" applyAlignment="0" applyProtection="0">
      <alignment vertical="center"/>
    </xf>
    <xf numFmtId="0" fontId="16" fillId="0" borderId="0"/>
    <xf numFmtId="0" fontId="0" fillId="0" borderId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/>
    <xf numFmtId="0" fontId="46" fillId="20" borderId="18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/>
    <xf numFmtId="0" fontId="16" fillId="0" borderId="0"/>
    <xf numFmtId="0" fontId="0" fillId="0" borderId="0"/>
    <xf numFmtId="0" fontId="9" fillId="0" borderId="2">
      <alignment horizontal="distributed" vertical="center" wrapText="1"/>
    </xf>
    <xf numFmtId="0" fontId="0" fillId="0" borderId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6" fillId="0" borderId="0"/>
    <xf numFmtId="0" fontId="31" fillId="0" borderId="0">
      <alignment horizontal="centerContinuous" vertical="center"/>
    </xf>
    <xf numFmtId="0" fontId="0" fillId="0" borderId="0"/>
    <xf numFmtId="0" fontId="0" fillId="0" borderId="0">
      <alignment vertical="center"/>
    </xf>
    <xf numFmtId="0" fontId="4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4" borderId="12" applyNumberFormat="0" applyFont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0" fillId="0" borderId="0"/>
    <xf numFmtId="0" fontId="27" fillId="1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16" fillId="0" borderId="0"/>
    <xf numFmtId="0" fontId="0" fillId="0" borderId="0"/>
    <xf numFmtId="0" fontId="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30" fillId="0" borderId="0">
      <alignment vertical="center"/>
    </xf>
    <xf numFmtId="0" fontId="0" fillId="0" borderId="0"/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/>
    <xf numFmtId="0" fontId="0" fillId="0" borderId="0"/>
    <xf numFmtId="0" fontId="24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0" borderId="14" applyNumberFormat="0" applyFill="0" applyAlignment="0" applyProtection="0">
      <alignment vertical="center"/>
    </xf>
    <xf numFmtId="0" fontId="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9" fillId="12" borderId="0" applyNumberFormat="0" applyBorder="0" applyAlignment="0" applyProtection="0">
      <alignment vertical="center"/>
    </xf>
    <xf numFmtId="0" fontId="0" fillId="0" borderId="0"/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2" fillId="0" borderId="14" applyNumberFormat="0" applyFill="0" applyAlignment="0" applyProtection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43" fontId="24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4" fillId="2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4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24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4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9" fillId="1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4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4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53" fillId="20" borderId="18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1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53" fillId="20" borderId="18" applyNumberFormat="0" applyAlignment="0" applyProtection="0">
      <alignment vertical="center"/>
    </xf>
    <xf numFmtId="181" fontId="9" fillId="0" borderId="2">
      <alignment vertical="center"/>
      <protection locked="0"/>
    </xf>
    <xf numFmtId="0" fontId="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0" fillId="0" borderId="0"/>
    <xf numFmtId="0" fontId="0" fillId="0" borderId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30" fillId="0" borderId="0">
      <alignment vertical="center"/>
    </xf>
    <xf numFmtId="9" fontId="3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46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4" fillId="8" borderId="0" applyNumberFormat="0" applyBorder="0" applyAlignment="0" applyProtection="0">
      <alignment vertical="center"/>
    </xf>
    <xf numFmtId="0" fontId="10" fillId="0" borderId="0"/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8" fillId="8" borderId="13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>
      <alignment vertical="center"/>
    </xf>
    <xf numFmtId="0" fontId="63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53" fillId="20" borderId="18" applyNumberFormat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0" fillId="0" borderId="0"/>
    <xf numFmtId="0" fontId="29" fillId="2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0" fillId="0" borderId="0"/>
    <xf numFmtId="0" fontId="2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9" fillId="16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0" fillId="0" borderId="0"/>
    <xf numFmtId="9" fontId="24" fillId="0" borderId="0" applyFont="0" applyFill="0" applyBorder="0" applyAlignment="0" applyProtection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53" fillId="20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0" fillId="0" borderId="0"/>
    <xf numFmtId="0" fontId="29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34" fillId="9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38" fillId="13" borderId="13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7" fillId="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4" fillId="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13" borderId="16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2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/>
    <xf numFmtId="0" fontId="29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9" fillId="2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9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4" fillId="5" borderId="0" applyNumberFormat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4" fillId="0" borderId="0"/>
    <xf numFmtId="0" fontId="6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24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6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10" borderId="0" applyNumberFormat="0" applyBorder="0" applyAlignment="0" applyProtection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9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8" fillId="5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0" borderId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0" fillId="0" borderId="0"/>
    <xf numFmtId="0" fontId="29" fillId="3" borderId="0" applyNumberFormat="0" applyBorder="0" applyAlignment="0" applyProtection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/>
    <xf numFmtId="0" fontId="27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7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37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17" applyNumberFormat="0" applyFill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8" fillId="13" borderId="13" applyNumberFormat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10" fillId="0" borderId="0"/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0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/>
    <xf numFmtId="0" fontId="29" fillId="1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0" fillId="0" borderId="0"/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59" fillId="0" borderId="2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53" fillId="20" borderId="18" applyNumberFormat="0" applyAlignment="0" applyProtection="0">
      <alignment vertical="center"/>
    </xf>
    <xf numFmtId="181" fontId="9" fillId="0" borderId="2">
      <alignment vertical="center"/>
      <protection locked="0"/>
    </xf>
    <xf numFmtId="0" fontId="24" fillId="10" borderId="0" applyNumberFormat="0" applyBorder="0" applyAlignment="0" applyProtection="0">
      <alignment vertical="center"/>
    </xf>
    <xf numFmtId="0" fontId="30" fillId="0" borderId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27" fillId="1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27" fillId="1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/>
    <xf numFmtId="0" fontId="24" fillId="10" borderId="0" applyNumberFormat="0" applyBorder="0" applyAlignment="0" applyProtection="0">
      <alignment vertical="center"/>
    </xf>
    <xf numFmtId="0" fontId="0" fillId="0" borderId="0"/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24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/>
    <xf numFmtId="0" fontId="24" fillId="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0" fillId="0" borderId="0"/>
    <xf numFmtId="0" fontId="24" fillId="4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27" fillId="1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9" borderId="0" applyNumberFormat="0" applyBorder="0" applyAlignment="0" applyProtection="0">
      <alignment vertical="center"/>
    </xf>
    <xf numFmtId="0" fontId="54" fillId="0" borderId="0"/>
    <xf numFmtId="0" fontId="0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30" fillId="0" borderId="0"/>
    <xf numFmtId="0" fontId="2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9" borderId="0" applyNumberFormat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0" fillId="0" borderId="0"/>
    <xf numFmtId="0" fontId="44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0" fillId="0" borderId="0"/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30" fillId="0" borderId="0"/>
    <xf numFmtId="0" fontId="24" fillId="13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/>
    <xf numFmtId="0" fontId="24" fillId="7" borderId="0" applyNumberFormat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/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12" borderId="0" applyNumberFormat="0" applyBorder="0" applyAlignment="0" applyProtection="0">
      <alignment vertical="center"/>
    </xf>
    <xf numFmtId="0" fontId="0" fillId="0" borderId="0"/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11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0" borderId="0">
      <alignment vertical="center"/>
    </xf>
    <xf numFmtId="1" fontId="10" fillId="0" borderId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0" fillId="0" borderId="0"/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37" fontId="67" fillId="0" borderId="0">
      <alignment vertical="center"/>
    </xf>
    <xf numFmtId="0" fontId="24" fillId="5" borderId="0" applyNumberFormat="0" applyBorder="0" applyAlignment="0" applyProtection="0">
      <alignment vertical="center"/>
    </xf>
    <xf numFmtId="37" fontId="67" fillId="0" borderId="0"/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27" fillId="23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187" fontId="61" fillId="0" borderId="0">
      <alignment vertical="center"/>
    </xf>
    <xf numFmtId="0" fontId="38" fillId="13" borderId="13" applyNumberFormat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14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24" fillId="0" borderId="0"/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9" fillId="0" borderId="0"/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/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/>
    <xf numFmtId="0" fontId="32" fillId="0" borderId="14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0" fillId="0" borderId="0"/>
    <xf numFmtId="0" fontId="66" fillId="0" borderId="0" applyNumberForma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/>
    <xf numFmtId="0" fontId="24" fillId="12" borderId="0" applyNumberFormat="0" applyBorder="0" applyAlignment="0" applyProtection="0">
      <alignment vertical="center"/>
    </xf>
    <xf numFmtId="0" fontId="24" fillId="0" borderId="0"/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/>
    <xf numFmtId="0" fontId="24" fillId="12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0" fillId="0" borderId="0"/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0" fillId="0" borderId="0"/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0" fillId="0" borderId="0"/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1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2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/>
    <xf numFmtId="0" fontId="24" fillId="11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/>
    <xf numFmtId="0" fontId="30" fillId="0" borderId="0"/>
    <xf numFmtId="0" fontId="43" fillId="0" borderId="17" applyNumberFormat="0" applyFill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0" fillId="0" borderId="0"/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10" fillId="0" borderId="0"/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0" borderId="0"/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0" borderId="0"/>
    <xf numFmtId="0" fontId="24" fillId="11" borderId="0" applyNumberFormat="0" applyBorder="0" applyAlignment="0" applyProtection="0">
      <alignment vertical="center"/>
    </xf>
    <xf numFmtId="0" fontId="24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24" fillId="7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/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0" borderId="0"/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7" borderId="0" applyNumberFormat="0" applyBorder="0" applyAlignment="0" applyProtection="0">
      <alignment vertical="center"/>
    </xf>
    <xf numFmtId="0" fontId="45" fillId="0" borderId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/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7" borderId="0" applyNumberFormat="0" applyBorder="0" applyAlignment="0" applyProtection="0">
      <alignment vertical="center"/>
    </xf>
    <xf numFmtId="0" fontId="0" fillId="0" borderId="0"/>
    <xf numFmtId="0" fontId="24" fillId="7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0" borderId="0"/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0" fillId="0" borderId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/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/>
    <xf numFmtId="0" fontId="38" fillId="8" borderId="13" applyNumberFormat="0" applyAlignment="0" applyProtection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30" fillId="0" borderId="0"/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30" fillId="0" borderId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0" fillId="0" borderId="0"/>
    <xf numFmtId="0" fontId="24" fillId="5" borderId="0" applyNumberFormat="0" applyBorder="0" applyAlignment="0" applyProtection="0">
      <alignment vertical="center"/>
    </xf>
    <xf numFmtId="0" fontId="24" fillId="0" borderId="0"/>
    <xf numFmtId="0" fontId="24" fillId="17" borderId="0" applyNumberFormat="0" applyBorder="0" applyAlignment="0" applyProtection="0">
      <alignment vertical="center"/>
    </xf>
    <xf numFmtId="0" fontId="54" fillId="0" borderId="0"/>
    <xf numFmtId="0" fontId="24" fillId="5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30" fillId="0" borderId="0"/>
    <xf numFmtId="0" fontId="24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0" fillId="0" borderId="0"/>
    <xf numFmtId="0" fontId="24" fillId="17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3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30" fillId="0" borderId="0">
      <alignment vertical="center"/>
    </xf>
    <xf numFmtId="0" fontId="24" fillId="17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0" fontId="24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4" fillId="1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0" borderId="0"/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/>
    <xf numFmtId="0" fontId="24" fillId="1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/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0" fillId="0" borderId="0"/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4" fillId="2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4" fillId="0" borderId="0">
      <alignment vertical="center"/>
    </xf>
    <xf numFmtId="0" fontId="27" fillId="3" borderId="0" applyNumberFormat="0" applyBorder="0" applyAlignment="0" applyProtection="0">
      <alignment vertical="center"/>
    </xf>
    <xf numFmtId="180" fontId="49" fillId="0" borderId="0" applyFill="0" applyBorder="0" applyAlignment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4" fillId="0" borderId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6" borderId="0" applyNumberFormat="0" applyBorder="0" applyAlignment="0" applyProtection="0">
      <alignment vertical="center"/>
    </xf>
    <xf numFmtId="0" fontId="0" fillId="0" borderId="0"/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/>
    <xf numFmtId="0" fontId="33" fillId="0" borderId="15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176" fontId="61" fillId="0" borderId="0"/>
    <xf numFmtId="0" fontId="0" fillId="0" borderId="0">
      <alignment vertical="center"/>
    </xf>
    <xf numFmtId="0" fontId="27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2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0" fillId="0" borderId="0"/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27" fillId="23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27" fillId="23" borderId="0" applyNumberFormat="0" applyBorder="0" applyAlignment="0" applyProtection="0">
      <alignment vertical="center"/>
    </xf>
    <xf numFmtId="0" fontId="0" fillId="0" borderId="0"/>
    <xf numFmtId="0" fontId="27" fillId="2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29" fillId="11" borderId="0" applyNumberFormat="0" applyBorder="0" applyAlignment="0" applyProtection="0">
      <alignment vertical="center"/>
    </xf>
    <xf numFmtId="0" fontId="30" fillId="0" borderId="0"/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1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9" fillId="16" borderId="0" applyNumberFormat="0" applyBorder="0" applyAlignment="0" applyProtection="0">
      <alignment vertical="center"/>
    </xf>
    <xf numFmtId="0" fontId="0" fillId="0" borderId="0"/>
    <xf numFmtId="0" fontId="29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9" fillId="16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9" fillId="16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0" fillId="0" borderId="0"/>
    <xf numFmtId="0" fontId="29" fillId="1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29" fillId="16" borderId="0" applyNumberFormat="0" applyBorder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10" fillId="0" borderId="0"/>
    <xf numFmtId="0" fontId="10" fillId="0" borderId="0"/>
    <xf numFmtId="0" fontId="29" fillId="16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29" fillId="16" borderId="0" applyNumberFormat="0" applyBorder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55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55" fillId="0" borderId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2" fontId="62" fillId="0" borderId="0" applyProtection="0"/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9" fillId="2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/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60" fillId="0" borderId="23" applyNumberFormat="0" applyAlignment="0" applyProtection="0">
      <alignment horizontal="left"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0" fillId="0" borderId="0"/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9" fillId="25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0" fillId="0" borderId="0"/>
    <xf numFmtId="0" fontId="29" fillId="5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180" fontId="49" fillId="0" borderId="0" applyFill="0" applyBorder="0" applyAlignment="0">
      <alignment vertical="center"/>
    </xf>
    <xf numFmtId="0" fontId="24" fillId="0" borderId="0">
      <alignment vertical="center"/>
    </xf>
    <xf numFmtId="41" fontId="10" fillId="0" borderId="0" applyFont="0" applyFill="0" applyBorder="0" applyAlignment="0" applyProtection="0"/>
    <xf numFmtId="176" fontId="61" fillId="0" borderId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185" fontId="10" fillId="0" borderId="0" applyFont="0" applyFill="0" applyBorder="0" applyAlignment="0" applyProtection="0"/>
    <xf numFmtId="0" fontId="38" fillId="13" borderId="13" applyNumberFormat="0" applyAlignment="0" applyProtection="0">
      <alignment vertical="center"/>
    </xf>
    <xf numFmtId="187" fontId="61" fillId="0" borderId="0"/>
    <xf numFmtId="0" fontId="38" fillId="8" borderId="13" applyNumberFormat="0" applyAlignment="0" applyProtection="0">
      <alignment vertical="center"/>
    </xf>
    <xf numFmtId="0" fontId="62" fillId="0" borderId="0" applyProtection="0">
      <alignment vertical="center"/>
    </xf>
    <xf numFmtId="0" fontId="62" fillId="0" borderId="0" applyProtection="0"/>
    <xf numFmtId="179" fontId="0" fillId="0" borderId="0" applyFont="0" applyFill="0" applyBorder="0" applyAlignment="0" applyProtection="0"/>
    <xf numFmtId="188" fontId="61" fillId="0" borderId="0">
      <alignment vertical="center"/>
    </xf>
    <xf numFmtId="188" fontId="61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2" fontId="62" fillId="0" borderId="0" applyProtection="0">
      <alignment vertical="center"/>
    </xf>
    <xf numFmtId="0" fontId="60" fillId="0" borderId="23" applyNumberFormat="0" applyAlignment="0" applyProtection="0">
      <alignment horizontal="left" vertical="center"/>
    </xf>
    <xf numFmtId="0" fontId="27" fillId="3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0" fillId="0" borderId="10">
      <alignment horizontal="left" vertical="center"/>
    </xf>
    <xf numFmtId="0" fontId="60" fillId="0" borderId="10">
      <alignment horizontal="left" vertical="center"/>
    </xf>
    <xf numFmtId="0" fontId="45" fillId="0" borderId="0" applyProtection="0"/>
    <xf numFmtId="0" fontId="60" fillId="0" borderId="0" applyProtection="0">
      <alignment vertical="center"/>
    </xf>
    <xf numFmtId="0" fontId="60" fillId="0" borderId="0" applyProtection="0"/>
    <xf numFmtId="0" fontId="68" fillId="0" borderId="0">
      <alignment vertical="center"/>
    </xf>
    <xf numFmtId="0" fontId="0" fillId="0" borderId="0"/>
    <xf numFmtId="0" fontId="62" fillId="0" borderId="27" applyProtection="0">
      <alignment vertical="center"/>
    </xf>
    <xf numFmtId="0" fontId="9" fillId="0" borderId="2">
      <alignment horizontal="distributed" vertical="center" wrapText="1"/>
    </xf>
    <xf numFmtId="0" fontId="64" fillId="0" borderId="24" applyNumberFormat="0" applyFill="0" applyAlignment="0" applyProtection="0">
      <alignment vertical="center"/>
    </xf>
    <xf numFmtId="0" fontId="62" fillId="0" borderId="27" applyProtection="0"/>
    <xf numFmtId="0" fontId="53" fillId="20" borderId="18" applyNumberFormat="0" applyAlignment="0" applyProtection="0">
      <alignment vertical="center"/>
    </xf>
    <xf numFmtId="0" fontId="0" fillId="0" borderId="0"/>
    <xf numFmtId="0" fontId="24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0" fontId="39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81" fontId="9" fillId="0" borderId="2">
      <alignment vertical="center"/>
      <protection locked="0"/>
    </xf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24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0" fillId="0" borderId="0"/>
    <xf numFmtId="0" fontId="32" fillId="0" borderId="14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0" fillId="0" borderId="0"/>
    <xf numFmtId="0" fontId="32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69" fillId="9" borderId="0" applyNumberFormat="0" applyBorder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/>
    <xf numFmtId="0" fontId="32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/>
    <xf numFmtId="0" fontId="32" fillId="0" borderId="14" applyNumberFormat="0" applyFill="0" applyAlignment="0" applyProtection="0">
      <alignment vertical="center"/>
    </xf>
    <xf numFmtId="0" fontId="32" fillId="0" borderId="14" applyNumberFormat="0" applyFill="0" applyAlignment="0" applyProtection="0">
      <alignment vertical="center"/>
    </xf>
    <xf numFmtId="0" fontId="0" fillId="0" borderId="0"/>
    <xf numFmtId="0" fontId="0" fillId="0" borderId="0"/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58" fillId="0" borderId="21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43" fillId="0" borderId="17" applyNumberFormat="0" applyFill="0" applyAlignment="0" applyProtection="0">
      <alignment vertical="center"/>
    </xf>
    <xf numFmtId="0" fontId="43" fillId="0" borderId="17" applyNumberFormat="0" applyFill="0" applyAlignment="0" applyProtection="0">
      <alignment vertical="center"/>
    </xf>
    <xf numFmtId="0" fontId="0" fillId="0" borderId="0"/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7" fillId="0" borderId="17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34" fillId="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3" fillId="0" borderId="15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34" fillId="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3" fillId="0" borderId="15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182" fontId="0" fillId="0" borderId="0" applyFont="0" applyFill="0" applyBorder="0" applyAlignment="0" applyProtection="0">
      <alignment vertical="center"/>
    </xf>
    <xf numFmtId="0" fontId="33" fillId="0" borderId="15" applyNumberFormat="0" applyFill="0" applyAlignment="0" applyProtection="0">
      <alignment vertical="center"/>
    </xf>
    <xf numFmtId="0" fontId="0" fillId="0" borderId="0"/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4" fillId="0" borderId="24" applyNumberFormat="0" applyFill="0" applyAlignment="0" applyProtection="0">
      <alignment vertical="center"/>
    </xf>
    <xf numFmtId="0" fontId="65" fillId="0" borderId="26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/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41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39" fillId="10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0" fillId="0" borderId="0"/>
    <xf numFmtId="0" fontId="24" fillId="0" borderId="0"/>
    <xf numFmtId="0" fontId="30" fillId="0" borderId="0"/>
    <xf numFmtId="0" fontId="29" fillId="21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0" fillId="0" borderId="0"/>
    <xf numFmtId="179" fontId="0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179" fontId="0" fillId="0" borderId="0" applyFont="0" applyFill="0" applyBorder="0" applyAlignment="0" applyProtection="0"/>
    <xf numFmtId="0" fontId="30" fillId="0" borderId="0"/>
    <xf numFmtId="0" fontId="23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9" fillId="0" borderId="0"/>
    <xf numFmtId="0" fontId="42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0" fillId="0" borderId="0"/>
    <xf numFmtId="0" fontId="0" fillId="0" borderId="0"/>
    <xf numFmtId="0" fontId="24" fillId="0" borderId="0"/>
    <xf numFmtId="0" fontId="16" fillId="0" borderId="0">
      <alignment vertical="center"/>
    </xf>
    <xf numFmtId="0" fontId="16" fillId="0" borderId="0"/>
    <xf numFmtId="179" fontId="0" fillId="0" borderId="0" applyFont="0" applyFill="0" applyBorder="0" applyAlignment="0" applyProtection="0"/>
    <xf numFmtId="0" fontId="16" fillId="0" borderId="0"/>
    <xf numFmtId="0" fontId="24" fillId="0" borderId="0"/>
    <xf numFmtId="0" fontId="34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0" fillId="0" borderId="0"/>
    <xf numFmtId="0" fontId="53" fillId="20" borderId="18" applyNumberFormat="0" applyAlignment="0" applyProtection="0">
      <alignment vertical="center"/>
    </xf>
    <xf numFmtId="0" fontId="10" fillId="0" borderId="0"/>
    <xf numFmtId="0" fontId="1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0" fillId="0" borderId="0"/>
    <xf numFmtId="0" fontId="30" fillId="0" borderId="0"/>
    <xf numFmtId="0" fontId="0" fillId="0" borderId="0">
      <alignment vertical="center"/>
    </xf>
    <xf numFmtId="0" fontId="24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24" fillId="0" borderId="0">
      <alignment vertical="center"/>
    </xf>
    <xf numFmtId="0" fontId="30" fillId="0" borderId="0"/>
    <xf numFmtId="0" fontId="24" fillId="0" borderId="0">
      <alignment vertical="center"/>
    </xf>
    <xf numFmtId="0" fontId="3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8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5" fillId="8" borderId="16" applyNumberFormat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24" fillId="0" borderId="0"/>
    <xf numFmtId="0" fontId="0" fillId="0" borderId="0"/>
    <xf numFmtId="0" fontId="35" fillId="13" borderId="1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3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4" fillId="0" borderId="0"/>
    <xf numFmtId="0" fontId="0" fillId="0" borderId="0"/>
    <xf numFmtId="0" fontId="0" fillId="0" borderId="0">
      <alignment vertical="center"/>
    </xf>
    <xf numFmtId="0" fontId="35" fillId="8" borderId="1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3" fillId="20" borderId="18" applyNumberFormat="0" applyAlignment="0" applyProtection="0">
      <alignment vertical="center"/>
    </xf>
    <xf numFmtId="181" fontId="9" fillId="0" borderId="2">
      <alignment vertical="center"/>
      <protection locked="0"/>
    </xf>
    <xf numFmtId="0" fontId="24" fillId="0" borderId="0"/>
    <xf numFmtId="0" fontId="53" fillId="20" borderId="18" applyNumberFormat="0" applyAlignment="0" applyProtection="0">
      <alignment vertical="center"/>
    </xf>
    <xf numFmtId="0" fontId="0" fillId="0" borderId="0"/>
    <xf numFmtId="0" fontId="30" fillId="0" borderId="0"/>
    <xf numFmtId="0" fontId="0" fillId="0" borderId="0"/>
    <xf numFmtId="0" fontId="2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0" fillId="0" borderId="0"/>
    <xf numFmtId="179" fontId="0" fillId="0" borderId="0" applyFont="0" applyFill="0" applyBorder="0" applyAlignment="0" applyProtection="0"/>
    <xf numFmtId="0" fontId="30" fillId="0" borderId="0"/>
    <xf numFmtId="0" fontId="0" fillId="0" borderId="0">
      <alignment vertical="center"/>
    </xf>
    <xf numFmtId="0" fontId="0" fillId="0" borderId="0"/>
    <xf numFmtId="0" fontId="28" fillId="5" borderId="13" applyNumberFormat="0" applyAlignment="0" applyProtection="0">
      <alignment vertical="center"/>
    </xf>
    <xf numFmtId="0" fontId="0" fillId="0" borderId="0">
      <alignment vertical="center"/>
    </xf>
    <xf numFmtId="0" fontId="28" fillId="5" borderId="13" applyNumberFormat="0" applyAlignment="0" applyProtection="0">
      <alignment vertical="center"/>
    </xf>
    <xf numFmtId="0" fontId="3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3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24" fillId="0" borderId="0"/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30" fillId="0" borderId="0"/>
    <xf numFmtId="0" fontId="30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3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30" fillId="0" borderId="0">
      <alignment vertical="center"/>
    </xf>
    <xf numFmtId="0" fontId="34" fillId="9" borderId="0" applyNumberFormat="0" applyBorder="0" applyAlignment="0" applyProtection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0" fillId="0" borderId="0"/>
    <xf numFmtId="0" fontId="0" fillId="0" borderId="0">
      <alignment vertical="center"/>
    </xf>
    <xf numFmtId="0" fontId="54" fillId="0" borderId="0">
      <alignment vertical="center"/>
    </xf>
    <xf numFmtId="0" fontId="3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>
      <alignment vertical="center"/>
    </xf>
    <xf numFmtId="0" fontId="54" fillId="0" borderId="0">
      <alignment vertical="center"/>
    </xf>
    <xf numFmtId="0" fontId="0" fillId="0" borderId="0"/>
    <xf numFmtId="18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54" fillId="0" borderId="0">
      <alignment vertical="center"/>
    </xf>
    <xf numFmtId="0" fontId="0" fillId="0" borderId="0">
      <alignment vertical="center"/>
    </xf>
    <xf numFmtId="0" fontId="3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54" fillId="0" borderId="0"/>
    <xf numFmtId="0" fontId="0" fillId="0" borderId="0"/>
    <xf numFmtId="0" fontId="54" fillId="0" borderId="0"/>
    <xf numFmtId="0" fontId="0" fillId="0" borderId="0"/>
    <xf numFmtId="0" fontId="24" fillId="0" borderId="0">
      <alignment vertical="center"/>
    </xf>
    <xf numFmtId="0" fontId="5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6" fillId="20" borderId="18" applyNumberFormat="0" applyAlignment="0" applyProtection="0">
      <alignment vertical="center"/>
    </xf>
    <xf numFmtId="0" fontId="0" fillId="0" borderId="0"/>
    <xf numFmtId="0" fontId="29" fillId="3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4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0" fontId="24" fillId="0" borderId="0">
      <alignment vertical="center"/>
    </xf>
    <xf numFmtId="0" fontId="3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3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30" fillId="0" borderId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56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34" fillId="9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>
      <alignment vertical="center"/>
    </xf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48" fillId="0" borderId="1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/>
    <xf numFmtId="0" fontId="24" fillId="0" borderId="0"/>
    <xf numFmtId="0" fontId="0" fillId="0" borderId="0"/>
    <xf numFmtId="0" fontId="0" fillId="0" borderId="0"/>
    <xf numFmtId="0" fontId="38" fillId="8" borderId="13" applyNumberFormat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57" fillId="0" borderId="0" applyNumberFormat="0" applyFill="0" applyBorder="0" applyAlignment="0" applyProtection="0">
      <alignment vertical="top"/>
      <protection locked="0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0" fontId="56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38" fillId="13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8" fillId="5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8" fillId="5" borderId="13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38" fillId="13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8" borderId="13" applyNumberFormat="0" applyAlignment="0" applyProtection="0">
      <alignment vertical="center"/>
    </xf>
    <xf numFmtId="0" fontId="38" fillId="13" borderId="13" applyNumberFormat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53" fillId="20" borderId="18" applyNumberFormat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71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7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35" fillId="13" borderId="1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13" borderId="1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8" borderId="16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5" fillId="13" borderId="16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2" fillId="0" borderId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13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35" fillId="8" borderId="16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8" fillId="5" borderId="13" applyNumberFormat="0" applyAlignment="0" applyProtection="0">
      <alignment vertical="center"/>
    </xf>
    <xf numFmtId="0" fontId="28" fillId="5" borderId="13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73" fillId="0" borderId="0">
      <alignment vertical="center"/>
    </xf>
    <xf numFmtId="0" fontId="73" fillId="0" borderId="0"/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181" fontId="9" fillId="0" borderId="2">
      <alignment vertical="center"/>
      <protection locked="0"/>
    </xf>
    <xf numFmtId="0" fontId="10" fillId="0" borderId="0"/>
    <xf numFmtId="0" fontId="29" fillId="21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43" fontId="24" fillId="0" borderId="0" applyFont="0" applyFill="0" applyBorder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4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4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4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4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4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0" fillId="4" borderId="12" applyNumberFormat="0" applyFont="0" applyAlignment="0" applyProtection="0">
      <alignment vertical="center"/>
    </xf>
    <xf numFmtId="0" fontId="24" fillId="4" borderId="12" applyNumberFormat="0" applyFont="0" applyAlignment="0" applyProtection="0">
      <alignment vertical="center"/>
    </xf>
  </cellStyleXfs>
  <cellXfs count="156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59" applyFont="1" applyAlignment="1">
      <alignment vertical="center"/>
    </xf>
    <xf numFmtId="0" fontId="10" fillId="0" borderId="0" xfId="3859"/>
    <xf numFmtId="0" fontId="2" fillId="0" borderId="0" xfId="3859" applyFont="1" applyAlignment="1">
      <alignment horizontal="center" vertical="center"/>
    </xf>
    <xf numFmtId="0" fontId="11" fillId="0" borderId="0" xfId="3859" applyFont="1" applyBorder="1" applyAlignment="1">
      <alignment vertical="center"/>
    </xf>
    <xf numFmtId="0" fontId="12" fillId="0" borderId="0" xfId="3859" applyFont="1" applyAlignment="1">
      <alignment horizontal="right" vertical="center"/>
    </xf>
    <xf numFmtId="0" fontId="13" fillId="0" borderId="2" xfId="3859" applyFont="1" applyBorder="1" applyAlignment="1">
      <alignment horizontal="center" vertical="center"/>
    </xf>
    <xf numFmtId="0" fontId="12" fillId="0" borderId="2" xfId="3859" applyFont="1" applyBorder="1" applyAlignment="1">
      <alignment horizontal="center" vertical="center"/>
    </xf>
    <xf numFmtId="0" fontId="12" fillId="0" borderId="2" xfId="3859" applyFont="1" applyBorder="1" applyAlignment="1">
      <alignment vertical="center"/>
    </xf>
    <xf numFmtId="0" fontId="12" fillId="0" borderId="2" xfId="3859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298" applyFont="1"/>
    <xf numFmtId="0" fontId="10" fillId="0" borderId="0" xfId="3298" applyFont="1"/>
    <xf numFmtId="0" fontId="0" fillId="0" borderId="0" xfId="0" applyFont="1">
      <alignment vertical="center"/>
    </xf>
    <xf numFmtId="0" fontId="2" fillId="0" borderId="0" xfId="3469" applyFont="1" applyAlignment="1">
      <alignment horizontal="center" vertical="center"/>
    </xf>
    <xf numFmtId="0" fontId="10" fillId="0" borderId="0" xfId="3298" applyFont="1" applyAlignment="1">
      <alignment vertical="center"/>
    </xf>
    <xf numFmtId="0" fontId="9" fillId="0" borderId="0" xfId="2318" applyFont="1" applyBorder="1" applyAlignment="1">
      <alignment horizontal="right" vertical="center"/>
    </xf>
    <xf numFmtId="0" fontId="15" fillId="0" borderId="2" xfId="3431" applyFont="1" applyFill="1" applyBorder="1" applyAlignment="1">
      <alignment horizontal="center" vertical="center" wrapText="1"/>
    </xf>
    <xf numFmtId="0" fontId="15" fillId="0" borderId="2" xfId="3431" applyFont="1" applyFill="1" applyBorder="1" applyAlignment="1">
      <alignment horizontal="center" vertical="center"/>
    </xf>
    <xf numFmtId="0" fontId="15" fillId="0" borderId="2" xfId="3431" applyFont="1" applyFill="1" applyBorder="1" applyAlignment="1">
      <alignment horizontal="center" vertical="center" shrinkToFit="1"/>
    </xf>
    <xf numFmtId="49" fontId="15" fillId="0" borderId="2" xfId="2157" applyNumberFormat="1" applyFont="1" applyBorder="1" applyAlignment="1">
      <alignment vertical="center"/>
    </xf>
    <xf numFmtId="49" fontId="9" fillId="0" borderId="2" xfId="2157" applyNumberFormat="1" applyFont="1" applyBorder="1" applyAlignment="1">
      <alignment vertical="center"/>
    </xf>
    <xf numFmtId="0" fontId="9" fillId="0" borderId="2" xfId="3431" applyFont="1" applyFill="1" applyBorder="1" applyAlignment="1">
      <alignment horizontal="center" vertical="center" shrinkToFit="1"/>
    </xf>
    <xf numFmtId="49" fontId="9" fillId="0" borderId="2" xfId="2157" applyNumberFormat="1" applyFont="1" applyBorder="1" applyAlignment="1">
      <alignment vertical="center" wrapText="1"/>
    </xf>
    <xf numFmtId="0" fontId="9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0" fillId="0" borderId="0" xfId="0" applyFont="1" applyAlignment="1"/>
    <xf numFmtId="0" fontId="2" fillId="2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16" fillId="0" borderId="0" xfId="0" applyFont="1" applyAlignment="1">
      <alignment horizontal="right"/>
    </xf>
    <xf numFmtId="0" fontId="16" fillId="2" borderId="0" xfId="0" applyFont="1" applyFill="1" applyBorder="1" applyAlignment="1">
      <alignment horizontal="right" vertical="center"/>
    </xf>
    <xf numFmtId="0" fontId="15" fillId="0" borderId="7" xfId="0" applyFont="1" applyFill="1" applyBorder="1" applyAlignment="1">
      <alignment horizontal="center" vertical="center" wrapText="1"/>
    </xf>
    <xf numFmtId="0" fontId="15" fillId="0" borderId="7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7" fillId="0" borderId="7" xfId="2161" applyFont="1" applyBorder="1" applyAlignment="1">
      <alignment horizontal="left" vertical="center" wrapText="1"/>
    </xf>
    <xf numFmtId="0" fontId="12" fillId="0" borderId="7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3727" applyFont="1"/>
    <xf numFmtId="0" fontId="18" fillId="0" borderId="0" xfId="2318" applyFont="1" applyAlignment="1">
      <alignment vertical="center"/>
    </xf>
    <xf numFmtId="0" fontId="2" fillId="0" borderId="0" xfId="3492" applyFont="1" applyAlignment="1">
      <alignment horizontal="center" vertical="center"/>
    </xf>
    <xf numFmtId="0" fontId="0" fillId="0" borderId="0" xfId="2318" applyFont="1" applyBorder="1" applyAlignment="1">
      <alignment vertical="center"/>
    </xf>
    <xf numFmtId="0" fontId="15" fillId="0" borderId="2" xfId="2318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0" fontId="9" fillId="0" borderId="2" xfId="3727" applyFont="1" applyBorder="1" applyAlignment="1">
      <alignment horizontal="center"/>
    </xf>
    <xf numFmtId="0" fontId="9" fillId="0" borderId="2" xfId="1732" applyFont="1" applyBorder="1" applyAlignment="1">
      <alignment horizontal="left" vertical="center"/>
    </xf>
    <xf numFmtId="0" fontId="9" fillId="0" borderId="2" xfId="1732" applyFont="1" applyBorder="1" applyAlignment="1">
      <alignment vertical="center"/>
    </xf>
    <xf numFmtId="0" fontId="9" fillId="0" borderId="2" xfId="3804" applyFont="1" applyBorder="1"/>
    <xf numFmtId="49" fontId="9" fillId="0" borderId="2" xfId="1732" applyNumberFormat="1" applyFont="1" applyFill="1" applyBorder="1" applyAlignment="1">
      <alignment horizontal="left" vertical="center"/>
    </xf>
    <xf numFmtId="190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190" fontId="19" fillId="0" borderId="0" xfId="3798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19" fillId="0" borderId="0" xfId="3798" applyNumberFormat="1" applyFont="1" applyFill="1" applyBorder="1" applyAlignment="1" applyProtection="1">
      <alignment horizontal="left" wrapText="1"/>
    </xf>
    <xf numFmtId="0" fontId="19" fillId="0" borderId="0" xfId="0" applyFont="1" applyAlignment="1">
      <alignment horizontal="left" vertical="center"/>
    </xf>
    <xf numFmtId="0" fontId="9" fillId="0" borderId="2" xfId="3804" applyFont="1" applyBorder="1" applyAlignment="1">
      <alignment horizontal="center"/>
    </xf>
    <xf numFmtId="0" fontId="9" fillId="0" borderId="2" xfId="3804" applyFont="1" applyBorder="1" applyAlignment="1">
      <alignment horizontal="left"/>
    </xf>
    <xf numFmtId="190" fontId="6" fillId="0" borderId="0" xfId="3798" applyNumberFormat="1" applyFont="1" applyFill="1" applyBorder="1" applyAlignment="1">
      <alignment horizontal="left"/>
    </xf>
    <xf numFmtId="0" fontId="6" fillId="0" borderId="0" xfId="3798" applyNumberFormat="1" applyFont="1" applyFill="1" applyBorder="1" applyAlignment="1" applyProtection="1">
      <alignment horizontal="left" wrapText="1"/>
    </xf>
    <xf numFmtId="0" fontId="0" fillId="0" borderId="0" xfId="0">
      <alignment vertical="center"/>
    </xf>
    <xf numFmtId="0" fontId="2" fillId="0" borderId="0" xfId="3494" applyFont="1" applyAlignment="1">
      <alignment horizontal="center" vertical="center"/>
    </xf>
    <xf numFmtId="0" fontId="0" fillId="0" borderId="0" xfId="3494" applyFont="1"/>
    <xf numFmtId="0" fontId="16" fillId="0" borderId="0" xfId="3494" applyFont="1" applyAlignment="1">
      <alignment horizontal="right" vertical="center"/>
    </xf>
    <xf numFmtId="0" fontId="15" fillId="0" borderId="2" xfId="3494" applyFont="1" applyBorder="1" applyAlignment="1">
      <alignment horizontal="centerContinuous" vertical="center"/>
    </xf>
    <xf numFmtId="0" fontId="15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191" fontId="9" fillId="0" borderId="2" xfId="3494" applyNumberFormat="1" applyFont="1" applyFill="1" applyBorder="1" applyAlignment="1">
      <alignment horizontal="center" vertical="center" wrapText="1"/>
    </xf>
    <xf numFmtId="191" fontId="9" fillId="0" borderId="2" xfId="3494" applyNumberFormat="1" applyFont="1" applyFill="1" applyBorder="1" applyAlignment="1">
      <alignment horizontal="center" vertical="center"/>
    </xf>
    <xf numFmtId="4" fontId="9" fillId="0" borderId="2" xfId="3494" applyNumberFormat="1" applyFont="1" applyFill="1" applyBorder="1" applyAlignment="1">
      <alignment horizontal="center" vertical="center" wrapText="1"/>
    </xf>
    <xf numFmtId="0" fontId="9" fillId="0" borderId="2" xfId="3494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0" fillId="0" borderId="0" xfId="0" applyFont="1">
      <alignment vertical="center"/>
    </xf>
    <xf numFmtId="0" fontId="23" fillId="0" borderId="3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5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49" fontId="24" fillId="0" borderId="2" xfId="0" applyNumberFormat="1" applyFont="1" applyFill="1" applyBorder="1" applyAlignment="1">
      <alignment horizontal="left" vertical="center" wrapText="1"/>
    </xf>
    <xf numFmtId="0" fontId="24" fillId="0" borderId="2" xfId="0" applyNumberFormat="1" applyFont="1" applyFill="1" applyBorder="1" applyAlignment="1">
      <alignment horizontal="center" vertical="center" wrapText="1"/>
    </xf>
    <xf numFmtId="0" fontId="24" fillId="0" borderId="2" xfId="0" applyNumberFormat="1" applyFont="1" applyFill="1" applyBorder="1" applyAlignment="1">
      <alignment horizontal="left" vertical="center" wrapText="1"/>
    </xf>
    <xf numFmtId="192" fontId="24" fillId="0" borderId="2" xfId="0" applyNumberFormat="1" applyFont="1" applyFill="1" applyBorder="1" applyAlignment="1">
      <alignment horizontal="center" vertical="center" wrapText="1"/>
    </xf>
    <xf numFmtId="192" fontId="9" fillId="0" borderId="2" xfId="0" applyNumberFormat="1" applyFont="1" applyFill="1" applyBorder="1" applyAlignment="1">
      <alignment horizontal="center" vertical="center" wrapText="1"/>
    </xf>
    <xf numFmtId="192" fontId="0" fillId="0" borderId="2" xfId="0" applyNumberFormat="1" applyBorder="1" applyAlignment="1">
      <alignment horizontal="center" vertical="center"/>
    </xf>
    <xf numFmtId="191" fontId="24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24" fillId="0" borderId="1" xfId="0" applyFont="1" applyBorder="1" applyAlignment="1">
      <alignment horizontal="right" vertical="center"/>
    </xf>
    <xf numFmtId="0" fontId="23" fillId="0" borderId="2" xfId="0" applyFont="1" applyBorder="1" applyAlignment="1">
      <alignment horizontal="centerContinuous" vertical="center" wrapText="1"/>
    </xf>
    <xf numFmtId="0" fontId="15" fillId="0" borderId="3" xfId="3799" applyNumberFormat="1" applyFont="1" applyFill="1" applyBorder="1" applyAlignment="1" applyProtection="1">
      <alignment horizontal="center" vertical="center" wrapText="1"/>
    </xf>
    <xf numFmtId="0" fontId="15" fillId="0" borderId="5" xfId="3799" applyNumberFormat="1" applyFont="1" applyFill="1" applyBorder="1" applyAlignment="1" applyProtection="1">
      <alignment horizontal="center" vertical="center" wrapText="1"/>
    </xf>
    <xf numFmtId="191" fontId="24" fillId="0" borderId="2" xfId="0" applyNumberFormat="1" applyFont="1" applyFill="1" applyBorder="1" applyAlignment="1">
      <alignment horizontal="right" vertical="center" wrapText="1"/>
    </xf>
    <xf numFmtId="4" fontId="24" fillId="0" borderId="2" xfId="0" applyNumberFormat="1" applyFont="1" applyFill="1" applyBorder="1" applyAlignment="1">
      <alignment horizontal="right" vertical="center" wrapText="1"/>
    </xf>
    <xf numFmtId="191" fontId="25" fillId="0" borderId="2" xfId="0" applyNumberFormat="1" applyFont="1" applyFill="1" applyBorder="1" applyAlignment="1">
      <alignment horizontal="right" vertical="center" wrapText="1"/>
    </xf>
    <xf numFmtId="4" fontId="24" fillId="0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3488" applyFont="1"/>
    <xf numFmtId="0" fontId="16" fillId="0" borderId="0" xfId="3488" applyFont="1"/>
    <xf numFmtId="49" fontId="16" fillId="0" borderId="0" xfId="3488" applyNumberFormat="1" applyFont="1" applyFill="1" applyAlignment="1" applyProtection="1">
      <alignment horizontal="center" vertical="center"/>
    </xf>
    <xf numFmtId="0" fontId="16" fillId="0" borderId="0" xfId="3488" applyFont="1" applyAlignment="1">
      <alignment horizontal="center" vertical="center" wrapText="1"/>
    </xf>
    <xf numFmtId="193" fontId="16" fillId="0" borderId="0" xfId="3488" applyNumberFormat="1" applyFont="1" applyAlignment="1">
      <alignment horizontal="center" vertical="center"/>
    </xf>
    <xf numFmtId="0" fontId="16" fillId="0" borderId="0" xfId="3488" applyFont="1" applyAlignment="1">
      <alignment horizontal="center" vertical="center"/>
    </xf>
    <xf numFmtId="49" fontId="2" fillId="0" borderId="0" xfId="3488" applyNumberFormat="1" applyFont="1" applyFill="1" applyAlignment="1" applyProtection="1">
      <alignment horizontal="center" vertical="center" wrapText="1"/>
    </xf>
    <xf numFmtId="49" fontId="26" fillId="0" borderId="0" xfId="3488" applyNumberFormat="1" applyFont="1" applyFill="1" applyAlignment="1" applyProtection="1">
      <alignment horizontal="center" vertical="center" wrapText="1"/>
    </xf>
    <xf numFmtId="0" fontId="0" fillId="0" borderId="0" xfId="3488" applyFont="1" applyAlignment="1">
      <alignment horizontal="center" vertical="center" wrapText="1"/>
    </xf>
    <xf numFmtId="193" fontId="0" fillId="0" borderId="0" xfId="3488" applyNumberFormat="1" applyFont="1" applyAlignment="1">
      <alignment horizontal="center" vertical="center"/>
    </xf>
    <xf numFmtId="0" fontId="9" fillId="0" borderId="1" xfId="3488" applyFont="1" applyBorder="1" applyAlignment="1">
      <alignment horizontal="right" vertical="center"/>
    </xf>
    <xf numFmtId="0" fontId="15" fillId="0" borderId="2" xfId="3488" applyNumberFormat="1" applyFont="1" applyFill="1" applyBorder="1" applyAlignment="1" applyProtection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5" fillId="0" borderId="2" xfId="3799" applyNumberFormat="1" applyFont="1" applyFill="1" applyBorder="1" applyAlignment="1" applyProtection="1">
      <alignment horizontal="center" vertical="center" wrapText="1"/>
    </xf>
    <xf numFmtId="0" fontId="9" fillId="0" borderId="2" xfId="3488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49" fontId="9" fillId="0" borderId="2" xfId="3488" applyNumberFormat="1" applyFont="1" applyFill="1" applyBorder="1" applyAlignment="1">
      <alignment horizontal="left" vertical="center" wrapText="1"/>
    </xf>
    <xf numFmtId="4" fontId="9" fillId="0" borderId="2" xfId="3488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3492" applyFont="1"/>
    <xf numFmtId="0" fontId="0" fillId="0" borderId="0" xfId="3492" applyFont="1" applyAlignment="1">
      <alignment horizontal="right" vertical="center"/>
    </xf>
    <xf numFmtId="0" fontId="15" fillId="0" borderId="2" xfId="3492" applyFont="1" applyBorder="1" applyAlignment="1">
      <alignment horizontal="centerContinuous" vertical="center"/>
    </xf>
    <xf numFmtId="0" fontId="15" fillId="0" borderId="2" xfId="3492" applyFont="1" applyBorder="1" applyAlignment="1">
      <alignment horizontal="center" vertical="center"/>
    </xf>
    <xf numFmtId="0" fontId="9" fillId="0" borderId="2" xfId="3492" applyFont="1" applyBorder="1" applyAlignment="1">
      <alignment vertical="center"/>
    </xf>
    <xf numFmtId="191" fontId="9" fillId="0" borderId="2" xfId="3492" applyNumberFormat="1" applyFont="1" applyFill="1" applyBorder="1" applyAlignment="1">
      <alignment horizontal="center" vertical="center" wrapText="1"/>
    </xf>
    <xf numFmtId="191" fontId="9" fillId="0" borderId="2" xfId="3492" applyNumberFormat="1" applyFont="1" applyFill="1" applyBorder="1" applyAlignment="1">
      <alignment horizontal="center" vertical="center"/>
    </xf>
    <xf numFmtId="0" fontId="9" fillId="0" borderId="2" xfId="164" applyFont="1" applyBorder="1" applyAlignment="1">
      <alignment vertical="center"/>
    </xf>
    <xf numFmtId="0" fontId="9" fillId="0" borderId="2" xfId="3492" applyFont="1" applyBorder="1" applyAlignment="1">
      <alignment horizontal="center" vertical="center"/>
    </xf>
    <xf numFmtId="4" fontId="9" fillId="0" borderId="2" xfId="3492" applyNumberFormat="1" applyFont="1" applyFill="1" applyBorder="1" applyAlignment="1">
      <alignment horizontal="center" vertical="center" wrapText="1"/>
    </xf>
    <xf numFmtId="0" fontId="15" fillId="0" borderId="2" xfId="2318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20% - 强调文字颜色 3" xfId="2" builtinId="38"/>
    <cellStyle name="?鹎%U龡&amp;H齲_x0001_C铣_x0014__x0007__x0001__x0001_ 2 2 3 4_2015财政决算公开" xfId="3"/>
    <cellStyle name="常规 2 2 2 5 3 2" xfId="4"/>
    <cellStyle name="输入" xfId="5" builtinId="20"/>
    <cellStyle name="?鹎%U龡&amp;H齲_x0001_C铣_x0014__x0007__x0001__x0001_ 2 2 2 2 3_2015财政决算公开" xfId="6"/>
    <cellStyle name="常规 39" xfId="7"/>
    <cellStyle name="常规 44" xfId="8"/>
    <cellStyle name="货币" xfId="9" builtinId="4"/>
    <cellStyle name="常规 15 4 2" xfId="10"/>
    <cellStyle name="常规 3 4 3" xfId="11"/>
    <cellStyle name="40% - 强调文字颜色 2 2 3 2 2" xfId="12"/>
    <cellStyle name="千位分隔[0]" xfId="13" builtinId="6"/>
    <cellStyle name="60% - 强调文字颜色 1 3 5" xfId="14"/>
    <cellStyle name="?鹎%U龡&amp;H齲_x0001_C铣_x0014__x0007__x0001__x0001_ 2 2 3 2 2" xfId="15"/>
    <cellStyle name="?鹎%U龡&amp;H齲_x0001_C铣_x0014__x0007__x0001__x0001_ 3" xfId="16"/>
    <cellStyle name="?鹎%U龡&amp;H齲_x0001_C铣_x0014__x0007__x0001__x0001_ 3 3 3 2" xfId="17"/>
    <cellStyle name="常规 31 2" xfId="18"/>
    <cellStyle name="常规 26 2" xfId="19"/>
    <cellStyle name="40% - 强调文字颜色 3 3 3 2" xfId="20"/>
    <cellStyle name="40% - 强调文字颜色 3" xfId="21" builtinId="39"/>
    <cellStyle name="?鹎%U龡&amp;H齲_x0001_C铣_x0014__x0007__x0001__x0001_ 2 5 2 2" xfId="22"/>
    <cellStyle name="20% - 强调文字颜色 2 2 3_2015财政决算公开" xfId="23"/>
    <cellStyle name="差" xfId="24" builtinId="27"/>
    <cellStyle name="?鹎%U龡&amp;H齲_x0001_C铣_x0014__x0007__x0001__x0001_ 3 2 2 6_2015财政决算公开" xfId="25"/>
    <cellStyle name="40% - 强调文字颜色 2 5 2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?鹎%U龡&amp;H齲_x0001_C铣_x0014__x0007__x0001__x0001_ 2 3 3 4" xfId="36"/>
    <cellStyle name="已访问的超链接" xfId="37" builtinId="9"/>
    <cellStyle name="20% - 强调文字颜色 6 4 2 2" xfId="38"/>
    <cellStyle name="?鹎%U龡&amp;H齲_x0001_C铣_x0014__x0007__x0001__x0001_ 2 4 2 5 2" xfId="39"/>
    <cellStyle name="注释" xfId="40" builtinId="10"/>
    <cellStyle name="60% - 强调文字颜色 2 3" xfId="41"/>
    <cellStyle name="?鹎%U龡&amp;H齲_x0001_C铣_x0014__x0007__x0001__x0001_ 3 2 5_2015财政决算公开" xfId="42"/>
    <cellStyle name="?鹎%U龡&amp;H齲_x0001_C铣_x0014__x0007__x0001__x0001_ 3 2 2 3_2015财政决算公开" xfId="43"/>
    <cellStyle name="好 4 2 2 2" xfId="44"/>
    <cellStyle name="常规 12 2 2" xfId="45"/>
    <cellStyle name="?鹎%U龡&amp;H齲_x0001_C铣_x0014__x0007__x0001__x0001_ 2 3 5 2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60% - 强调文字颜色 2 3 5" xfId="51"/>
    <cellStyle name="?鹎%U龡&amp;H齲_x0001_C铣_x0014__x0007__x0001__x0001_ 2 2 4 2 2" xfId="52"/>
    <cellStyle name="警告文本" xfId="53" builtinId="11"/>
    <cellStyle name="常规 6 5" xfId="54"/>
    <cellStyle name="常规 4 4 3" xfId="55"/>
    <cellStyle name="常规 4 2 2 3" xfId="56"/>
    <cellStyle name="?鹎%U龡&amp;H齲_x0001_C铣_x0014__x0007__x0001__x0001_ 3 10" xfId="57"/>
    <cellStyle name="?鹎%U龡&amp;H齲_x0001_C铣_x0014__x0007__x0001__x0001_ 3 4 4 5" xfId="58"/>
    <cellStyle name="?鹎%U龡&amp;H齲_x0001_C铣_x0014__x0007__x0001__x0001_ 3 2 2 2 2 5" xfId="59"/>
    <cellStyle name="标题" xfId="60" builtinId="15"/>
    <cellStyle name="常规 13 2 3 2" xfId="61"/>
    <cellStyle name="?鹎%U龡&amp;H齲_x0001_C铣_x0014__x0007__x0001__x0001_ 2 4 5 3 2" xfId="62"/>
    <cellStyle name="解释性文本" xfId="63" builtinId="53"/>
    <cellStyle name="标题 1 5 2" xfId="64"/>
    <cellStyle name="?鹎%U龡&amp;H齲_x0001_C铣_x0014__x0007__x0001__x0001_ 2 3 6 5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?鹎%U龡&amp;H齲_x0001_C铣_x0014__x0007__x0001__x0001_ 3 2 4 5" xfId="75"/>
    <cellStyle name="40% - 强调文字颜色 6 3 3_2015财政决算公开" xfId="76"/>
    <cellStyle name="?鹎%U龡&amp;H齲_x0001_C铣_x0014__x0007__x0001__x0001_ 3 4 7" xfId="77"/>
    <cellStyle name="?鹎%U龡&amp;H齲_x0001_C铣_x0014__x0007__x0001__x0001_ 3 2 2 2 5" xfId="78"/>
    <cellStyle name="?鹎%U龡&amp;H齲_x0001_C铣_x0014__x0007__x0001__x0001_ 2 2 2 2 3 3" xfId="79"/>
    <cellStyle name="输出" xfId="80" builtinId="21"/>
    <cellStyle name="强调文字颜色 2 2 3 3 2" xfId="81"/>
    <cellStyle name="20% - 强调文字颜色 2 4 2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5 3" xfId="99"/>
    <cellStyle name="好" xfId="100" builtinId="26"/>
    <cellStyle name="差_F00DC810C49E00C2E0430A3413167AE0" xfId="101"/>
    <cellStyle name="差 2 3 2" xfId="102"/>
    <cellStyle name="?鹎%U龡&amp;H齲_x0001_C铣_x0014__x0007__x0001__x0001_ 2 4 2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常规 2 3 2 2 5" xfId="110"/>
    <cellStyle name="?鹎%U龡&amp;H齲_x0001_C铣_x0014__x0007__x0001__x0001_ 2 4 4 3 2" xfId="111"/>
    <cellStyle name="20% - 强调文字颜色 1" xfId="112" builtinId="30"/>
    <cellStyle name="百分比 3 5 2" xfId="113"/>
    <cellStyle name="?鹎%U龡&amp;H齲_x0001_C铣_x0014__x0007__x0001__x0001_ 2 4 9 2" xfId="114"/>
    <cellStyle name="40% - 强调文字颜色 1" xfId="115" builtinId="31"/>
    <cellStyle name="?鹎%U龡&amp;H齲_x0001_C铣_x0014__x0007__x0001__x0001_ 3 4 7 2" xfId="116"/>
    <cellStyle name="?鹎%U龡&amp;H齲_x0001_C铣_x0014__x0007__x0001__x0001_ 3 2 2 2 5 2" xfId="117"/>
    <cellStyle name="?鹎%U龡&amp;H齲_x0001_C铣_x0014__x0007__x0001__x0001_ 2 2 2 2 3 3 2" xfId="118"/>
    <cellStyle name="20% - 强调文字颜色 2" xfId="119" builtinId="34"/>
    <cellStyle name="输入 2 2 2 3" xfId="120"/>
    <cellStyle name="?鹎%U龡&amp;H齲_x0001_C铣_x0014__x0007__x0001__x0001_ 2" xfId="121"/>
    <cellStyle name="40% - 强调文字颜色 2" xfId="122" builtinId="35"/>
    <cellStyle name="?鹎%U龡&amp;H齲_x0001_C铣_x0014__x0007__x0001__x0001_ 2 3 2_2015财政决算公开" xfId="123"/>
    <cellStyle name="?鹎%U龡&amp;H齲_x0001_C铣_x0014__x0007__x0001__x0001_ 2 2 3 2 2 2" xfId="124"/>
    <cellStyle name="千位分隔 2 2 4 2" xfId="125"/>
    <cellStyle name="强调文字颜色 3" xfId="126" builtinId="37"/>
    <cellStyle name="常规 2 2 2 6" xfId="127"/>
    <cellStyle name="40% - 强调文字颜色 4 2 3 4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60% - 强调文字颜色 3 3 2 2 3" xfId="139"/>
    <cellStyle name="?鹎%U龡&amp;H齲_x0001_C铣_x0014__x0007__x0001__x0001_ 3 4 4 2 2" xfId="140"/>
    <cellStyle name="?鹎%U龡&amp;H齲_x0001_C铣_x0014__x0007__x0001__x0001_ 3 2 2 2 2 2 2" xfId="141"/>
    <cellStyle name="?鹎%U龡&amp;H齲_x0001_C铣_x0014__x0007__x0001__x0001_ 2 2 3 6 2" xfId="142"/>
    <cellStyle name="千位分隔 2 2 4 4" xfId="143"/>
    <cellStyle name="强调文字颜色 5" xfId="144" builtinId="45"/>
    <cellStyle name="常规 2 2 2 8" xfId="145"/>
    <cellStyle name="百分比 3 2 3 2" xfId="146"/>
    <cellStyle name="60% - 强调文字颜色 6 5 2" xfId="147"/>
    <cellStyle name="?鹎%U龡&amp;H齲_x0001_C铣_x0014__x0007__x0001__x0001_ 2 2 2 3 2 2" xfId="148"/>
    <cellStyle name="40% - 强调文字颜色 5" xfId="149" builtinId="47"/>
    <cellStyle name="40% - 强调文字颜色 6 6 3" xfId="150"/>
    <cellStyle name="常规 13 2 2 2" xfId="151"/>
    <cellStyle name="60% - 强调文字颜色 4 2 4 3" xfId="152"/>
    <cellStyle name="?鹎%U龡&amp;H齲_x0001_C铣_x0014__x0007__x0001__x0001_ 2 4 5 2 2" xfId="153"/>
    <cellStyle name="60% - 强调文字颜色 5" xfId="154" builtinId="48"/>
    <cellStyle name="适中 3 2 2 2 2" xfId="155"/>
    <cellStyle name="60% - 着色 6 2" xfId="156"/>
    <cellStyle name="20% - 强调文字颜色 1 2_2015财政决算公开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?鹎%U龡&amp;H齲_x0001_C铣_x0014__x0007__x0001__x0001_ 3 2 5 4 2" xfId="163"/>
    <cellStyle name="常规 48 3" xfId="164"/>
    <cellStyle name="?鹎%U龡&amp;H齲_x0001_C铣_x0014__x0007__x0001__x0001_ 3 2 2 3 4 2" xfId="165"/>
    <cellStyle name="常规 7 2 2 2 2" xfId="166"/>
    <cellStyle name="?鹎%U龡&amp;H齲_x0001_C铣_x0014__x0007__x0001__x0001_ 2 2 2 2 4 2 2" xfId="167"/>
    <cellStyle name="60% - 强调文字颜色 6" xfId="168" builtinId="52"/>
    <cellStyle name="?鹎%U龡&amp;H齲_x0001_C铣_x0014__x0007__x0001__x0001_ 3 2 3 5" xfId="169"/>
    <cellStyle name="20% - 强调文字颜色 4 3 2_2015财政决算公开" xfId="170"/>
    <cellStyle name="?鹎%U龡&amp;H齲_x0001_C铣_x0014__x0007__x0001__x0001_ 2 2 2 2 2 3" xfId="171"/>
    <cellStyle name="?鹎%U龡&amp;H齲_x0001_C铣_x0014__x0007__x0001__x0001_ 3 2 3 5 2" xfId="172"/>
    <cellStyle name="?鹎%U龡&amp;H齲_x0001_C铣_x0014__x0007__x0001__x0001_ 2 2 2 3_2015财政决算公开" xfId="173"/>
    <cellStyle name="?鹎%U龡&amp;H齲_x0001_C铣_x0014__x0007__x0001__x0001_ 3 3 7 2" xfId="174"/>
    <cellStyle name="?鹎%U龡&amp;H齲_x0001_C铣_x0014__x0007__x0001__x0001_ 2 2 2 2 2 3 2" xfId="175"/>
    <cellStyle name="链接单元格 3 2 3" xfId="176"/>
    <cellStyle name="货币 2 3 3 3" xfId="177"/>
    <cellStyle name="常规 11 5" xfId="178"/>
    <cellStyle name="?鹎%U龡&amp;H齲_x0001_C铣_x0014__x0007__x0001__x0001_ 2 2 8" xfId="179"/>
    <cellStyle name="标题 5 3 2_2015财政决算公开" xfId="180"/>
    <cellStyle name="?鹎%U龡&amp;H齲_x0001_C铣_x0014__x0007__x0001__x0001_ 2 2" xfId="181"/>
    <cellStyle name="20% - 强调文字颜色 2 6 2" xfId="182"/>
    <cellStyle name="?鹎%U龡&amp;H齲_x0001_C铣_x0014__x0007__x0001__x0001_ 3 2 2 5 2 2" xfId="183"/>
    <cellStyle name="20% - 强调文字颜色 2 2 2 2 2" xfId="184"/>
    <cellStyle name="20% - 强调文字颜色 1 9" xfId="185"/>
    <cellStyle name="?鹎%U龡&amp;H齲_x0001_C铣_x0014__x0007__x0001__x0001_ 3 2 2 4 5" xfId="186"/>
    <cellStyle name="?鹎%U龡&amp;H齲_x0001_C铣_x0014__x0007__x0001__x0001_ 2 4 2 3 3 2" xfId="187"/>
    <cellStyle name="常规 2 4 2 2 5" xfId="188"/>
    <cellStyle name="?鹎%U龡&amp;H齲_x0001_C铣_x0014__x0007__x0001__x0001_ 2 2 11 2" xfId="189"/>
    <cellStyle name="?鹎%U龡&amp;H齲_x0001_C铣_x0014__x0007__x0001__x0001_ 2 3 2 4 3" xfId="190"/>
    <cellStyle name="?鹎%U龡&amp;H齲_x0001_C铣_x0014__x0007__x0001__x0001_ 2 2 8 2" xfId="191"/>
    <cellStyle name="解释性文本 3 3" xfId="192"/>
    <cellStyle name="货币 2 3 3 3 2" xfId="193"/>
    <cellStyle name="?鹎%U龡&amp;H齲_x0001_C铣_x0014__x0007__x0001__x0001_ 2 2 2" xfId="194"/>
    <cellStyle name="?鹎%U龡&amp;H齲_x0001_C铣_x0014__x0007__x0001__x0001_ 2 3 2 4 3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2 2 2" xfId="199"/>
    <cellStyle name="?鹎%U龡&amp;H齲_x0001_C铣_x0014__x0007__x0001__x0001_" xfId="200"/>
    <cellStyle name="?鹎%U龡&amp;H齲_x0001_C铣_x0014__x0007__x0001__x0001_ 2 4 2 3 2" xfId="201"/>
    <cellStyle name="?鹎%U龡&amp;H齲_x0001_C铣_x0014__x0007__x0001__x0001_ 2 2 10" xfId="202"/>
    <cellStyle name="?鹎%U龡&amp;H齲_x0001_C铣_x0014__x0007__x0001__x0001_ 2 3 2 4 4" xfId="203"/>
    <cellStyle name="常规 5 5 2 2" xfId="204"/>
    <cellStyle name="?鹎%U龡&amp;H齲_x0001_C铣_x0014__x0007__x0001__x0001_ 3 3 3_2015财政决算公开" xfId="205"/>
    <cellStyle name="?鹎%U龡&amp;H齲_x0001_C铣_x0014__x0007__x0001__x0001_ 2 2 3" xfId="206"/>
    <cellStyle name="40% - 强调文字颜色 6 3 2 4" xfId="207"/>
    <cellStyle name="千位分隔 4 3 3 2" xfId="208"/>
    <cellStyle name="?鹎%U龡&amp;H齲_x0001_C铣_x0014__x0007__x0001__x0001_ 2 2 2 10" xfId="209"/>
    <cellStyle name="?鹎%U龡&amp;H齲_x0001_C铣_x0014__x0007__x0001__x0001_ 2 4 2 3 2 2" xfId="210"/>
    <cellStyle name="?鹎%U龡&amp;H齲_x0001_C铣_x0014__x0007__x0001__x0001_ 3 2 5 5" xfId="211"/>
    <cellStyle name="?鹎%U龡&amp;H齲_x0001_C铣_x0014__x0007__x0001__x0001_ 3 2 2 3 5" xfId="212"/>
    <cellStyle name="常规 7 2 2 3" xfId="213"/>
    <cellStyle name="40% - 强调文字颜色 2 5 2_2015财政决算公开" xfId="214"/>
    <cellStyle name="?鹎%U龡&amp;H齲_x0001_C铣_x0014__x0007__x0001__x0001_ 2 2 2 2 4 3" xfId="215"/>
    <cellStyle name="?鹎%U龡&amp;H齲_x0001_C铣_x0014__x0007__x0001__x0001_ 2 2 10 2" xfId="216"/>
    <cellStyle name="常规 2 2 2 2 3_2015财政决算公开" xfId="217"/>
    <cellStyle name="强调文字颜色 2 2 3 5" xfId="218"/>
    <cellStyle name="20% - 强调文字颜色 2 6" xfId="219"/>
    <cellStyle name="?鹎%U龡&amp;H齲_x0001_C铣_x0014__x0007__x0001__x0001_ 3 2 2 5 2" xfId="220"/>
    <cellStyle name="?鹎%U龡&amp;H齲_x0001_C铣_x0014__x0007__x0001__x0001_ 2 4 2 3 3" xfId="221"/>
    <cellStyle name="常规 2 4 2 3 2" xfId="222"/>
    <cellStyle name="?鹎%U龡&amp;H齲_x0001_C铣_x0014__x0007__x0001__x0001_ 2 2 2 2 4_2015财政决算公开" xfId="223"/>
    <cellStyle name="?鹎%U龡&amp;H齲_x0001_C铣_x0014__x0007__x0001__x0001_ 2 2 11" xfId="224"/>
    <cellStyle name="检查单元格 2 3 2 2" xfId="225"/>
    <cellStyle name="60% - 强调文字颜色 4 4 3 2" xfId="226"/>
    <cellStyle name="20% - 强调文字颜色 2 7" xfId="227"/>
    <cellStyle name="?鹎%U龡&amp;H齲_x0001_C铣_x0014__x0007__x0001__x0001_ 3 2 2 5 3" xfId="228"/>
    <cellStyle name="?鹎%U龡&amp;H齲_x0001_C铣_x0014__x0007__x0001__x0001_ 2 4 2 3 4" xfId="229"/>
    <cellStyle name="?鹎%U龡&amp;H齲_x0001_C铣_x0014__x0007__x0001__x0001_ 4 5_2015财政决算公开" xfId="230"/>
    <cellStyle name="?鹎%U龡&amp;H齲_x0001_C铣_x0014__x0007__x0001__x0001_ 2 2 12" xfId="231"/>
    <cellStyle name="?鹎%U龡&amp;H齲_x0001_C铣_x0014__x0007__x0001__x0001_ 2 2 2 2 2" xfId="232"/>
    <cellStyle name="?鹎%U龡&amp;H齲_x0001_C铣_x0014__x0007__x0001__x0001_ 3 2 3 4" xfId="233"/>
    <cellStyle name="?鹎%U龡&amp;H齲_x0001_C铣_x0014__x0007__x0001__x0001_ 2 2 2 2 2 2" xfId="234"/>
    <cellStyle name="?鹎%U龡&amp;H齲_x0001_C铣_x0014__x0007__x0001__x0001_ 4 6 4" xfId="235"/>
    <cellStyle name="?鹎%U龡&amp;H齲_x0001_C铣_x0014__x0007__x0001__x0001_ 3 2 3 4 2" xfId="236"/>
    <cellStyle name="百分比 2 4 3" xfId="237"/>
    <cellStyle name="?鹎%U龡&amp;H齲_x0001_C铣_x0014__x0007__x0001__x0001_ 2 2 2 2 2 2 2" xfId="238"/>
    <cellStyle name="?鹎%U龡&amp;H齲_x0001_C铣_x0014__x0007__x0001__x0001_ 3 2 3 6" xfId="239"/>
    <cellStyle name="?鹎%U龡&amp;H齲_x0001_C铣_x0014__x0007__x0001__x0001_ 4 4 4 2" xfId="240"/>
    <cellStyle name="?鹎%U龡&amp;H齲_x0001_C铣_x0014__x0007__x0001__x0001_ 2 2 2 2 2 4" xfId="241"/>
    <cellStyle name="?鹎%U龡&amp;H齲_x0001_C铣_x0014__x0007__x0001__x0001_ 3 2 3 2 2 2" xfId="242"/>
    <cellStyle name="常规 4 2 9" xfId="243"/>
    <cellStyle name="?鹎%U龡&amp;H齲_x0001_C铣_x0014__x0007__x0001__x0001_ 3 2 3 6 2" xfId="244"/>
    <cellStyle name="60% - 强调文字颜色 4 3 2 2 3" xfId="245"/>
    <cellStyle name="?鹎%U龡&amp;H齲_x0001_C铣_x0014__x0007__x0001__x0001_ 2 2 2 2 2 4 2" xfId="246"/>
    <cellStyle name="?鹎%U龡&amp;H齲_x0001_C铣_x0014__x0007__x0001__x0001_ 3 2 3 7" xfId="247"/>
    <cellStyle name="?鹎%U龡&amp;H齲_x0001_C铣_x0014__x0007__x0001__x0001_ 2 2 2 2 2 5" xfId="248"/>
    <cellStyle name="货币 2 7 2" xfId="249"/>
    <cellStyle name="?鹎%U龡&amp;H齲_x0001_C铣_x0014__x0007__x0001__x0001_ 2 2 3 2 3" xfId="250"/>
    <cellStyle name="?鹎%U龡&amp;H齲_x0001_C铣_x0014__x0007__x0001__x0001_ 2 2 2 2 2_2015财政决算公开" xfId="251"/>
    <cellStyle name="?鹎%U龡&amp;H齲_x0001_C铣_x0014__x0007__x0001__x0001_ 2 2 2 2 3" xfId="252"/>
    <cellStyle name="?鹎%U龡&amp;H齲_x0001_C铣_x0014__x0007__x0001__x0001_ 3 2 4 4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2 2 2 2 3 2" xfId="256"/>
    <cellStyle name="?鹎%U龡&amp;H齲_x0001_C铣_x0014__x0007__x0001__x0001_ 3 2 4 4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2 2 2 2 3 2 2" xfId="261"/>
    <cellStyle name="好_司法部2010年度中央部门决算（草案）报" xfId="262"/>
    <cellStyle name="?鹎%U龡&amp;H齲_x0001_C铣_x0014__x0007__x0001__x0001_ 2 2 2 2 3 4" xfId="263"/>
    <cellStyle name="?鹎%U龡&amp;H齲_x0001_C铣_x0014__x0007__x0001__x0001_ 3 2 3 2 3 2" xfId="264"/>
    <cellStyle name="?鹎%U龡&amp;H齲_x0001_C铣_x0014__x0007__x0001__x0001_ 3 4 8" xfId="265"/>
    <cellStyle name="?鹎%U龡&amp;H齲_x0001_C铣_x0014__x0007__x0001__x0001_ 3 2 2 2 6" xfId="266"/>
    <cellStyle name="常规 7 2 2" xfId="267"/>
    <cellStyle name="?鹎%U龡&amp;H齲_x0001_C铣_x0014__x0007__x0001__x0001_ 2 2 2 2 4" xfId="268"/>
    <cellStyle name="?鹎%U龡&amp;H齲_x0001_C铣_x0014__x0007__x0001__x0001_ 3 2 5 4" xfId="269"/>
    <cellStyle name="?鹎%U龡&amp;H齲_x0001_C铣_x0014__x0007__x0001__x0001_ 3 2 2 3 4" xfId="270"/>
    <cellStyle name="常规 7 2 2 2" xfId="271"/>
    <cellStyle name="?鹎%U龡&amp;H齲_x0001_C铣_x0014__x0007__x0001__x0001_ 2 2 2 2 4 2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输入 3 3 2" xfId="278"/>
    <cellStyle name="?鹎%U龡&amp;H齲_x0001_C铣_x0014__x0007__x0001__x0001_ 2 2 2 2 4 5" xfId="279"/>
    <cellStyle name="常规 7 2 3" xfId="280"/>
    <cellStyle name="?鹎%U龡&amp;H齲_x0001_C铣_x0014__x0007__x0001__x0001_ 2 2 2 2 5" xfId="281"/>
    <cellStyle name="常规 5 2 3 2 2" xfId="282"/>
    <cellStyle name="60% - 强调文字颜色 4 4 2 3" xfId="283"/>
    <cellStyle name="20% - 强调文字颜色 1 8" xfId="284"/>
    <cellStyle name="?鹎%U龡&amp;H齲_x0001_C铣_x0014__x0007__x0001__x0001_ 3 2 2 4 4" xfId="285"/>
    <cellStyle name="?鹎%U龡&amp;H齲_x0001_C铣_x0014__x0007__x0001__x0001_ 2 4 2 2 5" xfId="286"/>
    <cellStyle name="常规 7 2 3 2" xfId="287"/>
    <cellStyle name="?鹎%U龡&amp;H齲_x0001_C铣_x0014__x0007__x0001__x0001_ 2 2 2 2 5 2" xfId="288"/>
    <cellStyle name="常规 2 2 2 2 5" xfId="289"/>
    <cellStyle name="?鹎%U龡&amp;H齲_x0001_C铣_x0014__x0007__x0001__x0001_ 2 3 4 3 2" xfId="290"/>
    <cellStyle name="常规 7 2 4" xfId="291"/>
    <cellStyle name="?鹎%U龡&amp;H齲_x0001_C铣_x0014__x0007__x0001__x0001_ 2 2 2 2 6" xfId="292"/>
    <cellStyle name="检查单元格 2 3 2 3" xfId="293"/>
    <cellStyle name="样式 1" xfId="294"/>
    <cellStyle name="常规 5 2 3 3 2" xfId="295"/>
    <cellStyle name="20% - 强调文字颜色 2 8" xfId="296"/>
    <cellStyle name="?鹎%U龡&amp;H齲_x0001_C铣_x0014__x0007__x0001__x0001_ 3 2 2 5 4" xfId="297"/>
    <cellStyle name="?鹎%U龡&amp;H齲_x0001_C铣_x0014__x0007__x0001__x0001_ 2 2 2 2 6 2" xfId="298"/>
    <cellStyle name="常规 5 2 3 4" xfId="299"/>
    <cellStyle name="常规 13 4 2" xfId="300"/>
    <cellStyle name="?鹎%U龡&amp;H齲_x0001_C铣_x0014__x0007__x0001__x0001_ 2 4 7 2" xfId="301"/>
    <cellStyle name="常规 7 2 5" xfId="302"/>
    <cellStyle name="?鹎%U龡&amp;H齲_x0001_C铣_x0014__x0007__x0001__x0001_ 2 2 2 2 7" xfId="303"/>
    <cellStyle name="20% - 强调文字颜色 3 8" xfId="304"/>
    <cellStyle name="?鹎%U龡&amp;H齲_x0001_C铣_x0014__x0007__x0001__x0001_ 3 2 2 6 4" xfId="305"/>
    <cellStyle name="警告文本 2 3" xfId="306"/>
    <cellStyle name="20% - 强调文字颜色 1 4 2 2 2" xfId="307"/>
    <cellStyle name="?鹎%U龡&amp;H齲_x0001_C铣_x0014__x0007__x0001__x0001_ 2 4 2 4 5" xfId="308"/>
    <cellStyle name="常规 12 3_2015财政决算公开" xfId="309"/>
    <cellStyle name="?鹎%U龡&amp;H齲_x0001_C铣_x0014__x0007__x0001__x0001_ 2 2 2 2 7 2" xfId="310"/>
    <cellStyle name="?鹎%U龡&amp;H齲_x0001_C铣_x0014__x0007__x0001__x0001_ 2 3 6_2015财政决算公开" xfId="311"/>
    <cellStyle name="?鹎%U龡&amp;H齲_x0001_C铣_x0014__x0007__x0001__x0001_ 2 2 2 2 8" xfId="312"/>
    <cellStyle name="好 4 4" xfId="313"/>
    <cellStyle name="常规 14" xfId="314"/>
    <cellStyle name="?鹎%U龡&amp;H齲_x0001_C铣_x0014__x0007__x0001__x0001_ 2 2 2 6 4 2" xfId="315"/>
    <cellStyle name="20% - 强调文字颜色 3 3 3 3" xfId="316"/>
    <cellStyle name="?鹎%U龡&amp;H齲_x0001_C铣_x0014__x0007__x0001__x0001_ 2 2 2 2_2015财政决算公开" xfId="317"/>
    <cellStyle name="?鹎%U龡&amp;H齲_x0001_C铣_x0014__x0007__x0001__x0001_ 2 2 2 3" xfId="318"/>
    <cellStyle name="?鹎%U龡&amp;H齲_x0001_C铣_x0014__x0007__x0001__x0001_ 2 2 2 3 2" xfId="319"/>
    <cellStyle name="链接单元格 2 2 2 2" xfId="320"/>
    <cellStyle name="货币 2 2 3 2 2" xfId="321"/>
    <cellStyle name="常规 2 5 4" xfId="322"/>
    <cellStyle name="?鹎%U龡&amp;H齲_x0001_C铣_x0014__x0007__x0001__x0001_ 3 2 3 2_2015财政决算公开" xfId="323"/>
    <cellStyle name="?鹎%U龡&amp;H齲_x0001_C铣_x0014__x0007__x0001__x0001_ 2 2 2 3 3" xfId="324"/>
    <cellStyle name="?鹎%U龡&amp;H齲_x0001_C铣_x0014__x0007__x0001__x0001_ 3 2 3 2 4" xfId="325"/>
    <cellStyle name="?鹎%U龡&amp;H齲_x0001_C铣_x0014__x0007__x0001__x0001_ 2 2 2 3 3 2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?鹎%U龡&amp;H齲_x0001_C铣_x0014__x0007__x0001__x0001_ 3 2 3 3 4" xfId="330"/>
    <cellStyle name="常规 7 3 2 2" xfId="331"/>
    <cellStyle name="?鹎%U龡&amp;H齲_x0001_C铣_x0014__x0007__x0001__x0001_ 2 2 2 3 4 2" xfId="332"/>
    <cellStyle name="标题 4 2" xfId="333"/>
    <cellStyle name="?鹎%U龡&amp;H齲_x0001_C铣_x0014__x0007__x0001__x0001_ 2 3 2 3 2 2" xfId="334"/>
    <cellStyle name="常规 7 3 3" xfId="335"/>
    <cellStyle name="?鹎%U龡&amp;H齲_x0001_C铣_x0014__x0007__x0001__x0001_ 2 2 2 3 5" xfId="336"/>
    <cellStyle name="?鹎%U龡&amp;H齲_x0001_C铣_x0014__x0007__x0001__x0001_ 2 3 10" xfId="337"/>
    <cellStyle name="?鹎%U龡&amp;H齲_x0001_C铣_x0014__x0007__x0001__x0001_ 2 2 2 4" xfId="338"/>
    <cellStyle name="?鹎%U龡&amp;H齲_x0001_C铣_x0014__x0007__x0001__x0001_ 2 2 3 3_2015财政决算公开" xfId="339"/>
    <cellStyle name="常规 2 6 3" xfId="340"/>
    <cellStyle name="60% - 强调文字颜色 6 2_2015财政决算公开" xfId="341"/>
    <cellStyle name="?鹎%U龡&amp;H齲_x0001_C铣_x0014__x0007__x0001__x0001_ 2 2 2 4 2" xfId="342"/>
    <cellStyle name="60% - 强调文字颜色 5 3 2 2" xfId="343"/>
    <cellStyle name="?鹎%U龡&amp;H齲_x0001_C铣_x0014__x0007__x0001__x0001_ 2 2 2 8" xfId="344"/>
    <cellStyle name="?鹎%U龡&amp;H齲_x0001_C铣_x0014__x0007__x0001__x0001_ 2 2 2 4 2 2" xfId="345"/>
    <cellStyle name="?鹎%U龡&amp;H齲_x0001_C铣_x0014__x0007__x0001__x0001_ 2 2 2 4 3" xfId="346"/>
    <cellStyle name="40% - 强调文字颜色 5 3 2 3 2" xfId="347"/>
    <cellStyle name="?鹎%U龡&amp;H齲_x0001_C铣_x0014__x0007__x0001__x0001_ 3 4 4 4" xfId="348"/>
    <cellStyle name="?鹎%U龡&amp;H齲_x0001_C铣_x0014__x0007__x0001__x0001_ 3 2 2 2 2 4" xfId="349"/>
    <cellStyle name="?鹎%U龡&amp;H齲_x0001_C铣_x0014__x0007__x0001__x0001_ 2 2 3 8" xfId="350"/>
    <cellStyle name="检查单元格 3 2 2 2" xfId="351"/>
    <cellStyle name="60% - 强调文字颜色 5 3 3 2" xfId="352"/>
    <cellStyle name="?鹎%U龡&amp;H齲_x0001_C铣_x0014__x0007__x0001__x0001_ 2 2 2 4 3 2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3 4 5 4" xfId="357"/>
    <cellStyle name="?鹎%U龡&amp;H齲_x0001_C铣_x0014__x0007__x0001__x0001_ 3 2 2 2 3 4" xfId="358"/>
    <cellStyle name="?鹎%U龡&amp;H齲_x0001_C铣_x0014__x0007__x0001__x0001_ 2 2 2 4 4 2" xfId="359"/>
    <cellStyle name="标题 5 2" xfId="360"/>
    <cellStyle name="?鹎%U龡&amp;H齲_x0001_C铣_x0014__x0007__x0001__x0001_ 2 3 2 3 3 2" xfId="361"/>
    <cellStyle name="20% - 强调文字颜色 5 3 3_2015财政决算公开" xfId="362"/>
    <cellStyle name="?鹎%U龡&amp;H齲_x0001_C铣_x0014__x0007__x0001__x0001_ 2 2 7 2 2" xfId="363"/>
    <cellStyle name="解释性文本 2 3 2" xfId="364"/>
    <cellStyle name="检查单元格 3 2 4" xfId="365"/>
    <cellStyle name="60% - 强调文字颜色 5 3 5" xfId="366"/>
    <cellStyle name="常规 7 4 3" xfId="367"/>
    <cellStyle name="20% - 强调文字颜色 1 2 2 2 2" xfId="368"/>
    <cellStyle name="?鹎%U龡&amp;H齲_x0001_C铣_x0014__x0007__x0001__x0001_ 2 2 2 4 5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60% - 强调文字颜色 5 4 2 2" xfId="374"/>
    <cellStyle name="?鹎%U龡&amp;H齲_x0001_C铣_x0014__x0007__x0001__x0001_ 3 3 2 4 3" xfId="375"/>
    <cellStyle name="?鹎%U龡&amp;H齲_x0001_C铣_x0014__x0007__x0001__x0001_ 2 3 2 8" xfId="376"/>
    <cellStyle name="解释性文本 7" xfId="377"/>
    <cellStyle name="差 4" xfId="378"/>
    <cellStyle name="?鹎%U龡&amp;H齲_x0001_C铣_x0014__x0007__x0001__x0001_ 2 2 2 5 2 2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60% - 强调文字颜色 5 5 2 2" xfId="388"/>
    <cellStyle name="强调文字颜色 4 2 3 2 3" xfId="389"/>
    <cellStyle name="?鹎%U龡&amp;H齲_x0001_C铣_x0014__x0007__x0001__x0001_ 5 3" xfId="390"/>
    <cellStyle name="?鹎%U龡&amp;H齲_x0001_C铣_x0014__x0007__x0001__x0001_ 2 4 2 8" xfId="391"/>
    <cellStyle name="好 2 4" xfId="392"/>
    <cellStyle name="40% - 强调文字颜色 5 3" xfId="393"/>
    <cellStyle name="?鹎%U龡&amp;H齲_x0001_C铣_x0014__x0007__x0001__x0001_ 2 2 2 6 2 2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?鹎%U龡&amp;H齲_x0001_C铣_x0014__x0007__x0001__x0001_ 2 2 2 6 4" xfId="400"/>
    <cellStyle name="40% - 强调文字颜色 6 2 4 2 2" xfId="401"/>
    <cellStyle name="?鹎%U龡&amp;H齲_x0001_C铣_x0014__x0007__x0001__x0001_ 2 2 7 4 2" xfId="402"/>
    <cellStyle name="?鹎%U龡&amp;H齲_x0001_C铣_x0014__x0007__x0001__x0001_ 2 2 2 6 5" xfId="403"/>
    <cellStyle name="?鹎%U龡&amp;H齲_x0001_C铣_x0014__x0007__x0001__x0001_ 2 2 2 6_2015财政决算公开" xfId="404"/>
    <cellStyle name="?鹎%U龡&amp;H齲_x0001_C铣_x0014__x0007__x0001__x0001_ 3 2 5 2 2" xfId="405"/>
    <cellStyle name="?鹎%U龡&amp;H齲_x0001_C铣_x0014__x0007__x0001__x0001_ 3 2 2 3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20% - 强调文字颜色 1 3 2 2 2" xfId="415"/>
    <cellStyle name="?鹎%U龡&amp;H齲_x0001_C铣_x0014__x0007__x0001__x0001_ 2 3 2 4 5" xfId="416"/>
    <cellStyle name="?鹎%U龡&amp;H齲_x0001_C铣_x0014__x0007__x0001__x0001_ 2 2 4" xfId="417"/>
    <cellStyle name="?鹎%U龡&amp;H齲_x0001_C铣_x0014__x0007__x0001__x0001_ 2 2 2_2015财政决算公开" xfId="418"/>
    <cellStyle name="?鹎%U龡&amp;H齲_x0001_C铣_x0014__x0007__x0001__x0001_ 2 3 2 4 4 2" xfId="419"/>
    <cellStyle name="?鹎%U龡&amp;H齲_x0001_C铣_x0014__x0007__x0001__x0001_ 2 2 3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?鹎%U龡&amp;H齲_x0001_C铣_x0014__x0007__x0001__x0001_ 2 3 2" xfId="432"/>
    <cellStyle name="?鹎%U龡&amp;H齲_x0001_C铣_x0014__x0007__x0001__x0001_ 2 2 9 2" xfId="433"/>
    <cellStyle name="解释性文本 4 3" xfId="434"/>
    <cellStyle name="20% - 强调文字颜色 1 2 4 2" xfId="435"/>
    <cellStyle name="?鹎%U龡&amp;H齲_x0001_C铣_x0014__x0007__x0001__x0001_ 2 2 3 2_2015财政决算公开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4" xfId="439"/>
    <cellStyle name="?鹎%U龡&amp;H齲_x0001_C铣_x0014__x0007__x0001__x0001_ 2 2 3 3 2 2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60% - 强调文字颜色 2 5 3 2" xfId="445"/>
    <cellStyle name="60% - 强调文字颜色 6 2 4" xfId="446"/>
    <cellStyle name="?鹎%U龡&amp;H齲_x0001_C铣_x0014__x0007__x0001__x0001_ 3 4 5_2015财政决算公开" xfId="447"/>
    <cellStyle name="?鹎%U龡&amp;H齲_x0001_C铣_x0014__x0007__x0001__x0001_ 3 2 2 2 3_2015财政决算公开" xfId="448"/>
    <cellStyle name="常规 8 3 2" xfId="449"/>
    <cellStyle name="60% - 强调文字颜色 1 3 2 2 2 2" xfId="450"/>
    <cellStyle name="?鹎%U龡&amp;H齲_x0001_C铣_x0014__x0007__x0001__x0001_ 2 2 3 3 4" xfId="451"/>
    <cellStyle name="?鹎%U龡&amp;H齲_x0001_C铣_x0014__x0007__x0001__x0001_ 2 2 3 4" xfId="452"/>
    <cellStyle name="60% - 强调文字颜色 6 3 2 2" xfId="453"/>
    <cellStyle name="?鹎%U龡&amp;H齲_x0001_C铣_x0014__x0007__x0001__x0001_ 3 2 2 8" xfId="454"/>
    <cellStyle name="百分比 2 2 2 4" xfId="455"/>
    <cellStyle name="?鹎%U龡&amp;H齲_x0001_C铣_x0014__x0007__x0001__x0001_ 2 2 3 4 2 2" xfId="456"/>
    <cellStyle name="货币 2 9 2" xfId="457"/>
    <cellStyle name="?鹎%U龡&amp;H齲_x0001_C铣_x0014__x0007__x0001__x0001_ 2 2 3 4 3" xfId="458"/>
    <cellStyle name="?鹎%U龡&amp;H齲_x0001_C铣_x0014__x0007__x0001__x0001_ 3 2 3 8" xfId="459"/>
    <cellStyle name="检查单元格 4 2 2 2" xfId="460"/>
    <cellStyle name="60% - 强调文字颜色 6 3 3 2" xfId="461"/>
    <cellStyle name="?鹎%U龡&amp;H齲_x0001_C铣_x0014__x0007__x0001__x0001_ 2 2 3 4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3 2 2 2 8" xfId="466"/>
    <cellStyle name="?鹎%U龡&amp;H齲_x0001_C铣_x0014__x0007__x0001__x0001_ 2 2 3 4 4 2" xfId="467"/>
    <cellStyle name="?鹎%U龡&amp;H齲_x0001_C铣_x0014__x0007__x0001__x0001_ 2 2 3 5" xfId="468"/>
    <cellStyle name="40% - 强调文字颜色 5 2 3_2015财政决算公开" xfId="469"/>
    <cellStyle name="?鹎%U龡&amp;H齲_x0001_C铣_x0014__x0007__x0001__x0001_ 2 2 3 5 2" xfId="470"/>
    <cellStyle name="差 5 2 3" xfId="471"/>
    <cellStyle name="?鹎%U龡&amp;H齲_x0001_C铣_x0014__x0007__x0001__x0001_ 3 2 4 2 2" xfId="472"/>
    <cellStyle name="差 3 2 3 2" xfId="473"/>
    <cellStyle name="?鹎%U龡&amp;H齲_x0001_C铣_x0014__x0007__x0001__x0001_ 3 4 4 2" xfId="474"/>
    <cellStyle name="?鹎%U龡&amp;H齲_x0001_C铣_x0014__x0007__x0001__x0001_ 3 2 2 2 2 2" xfId="475"/>
    <cellStyle name="?鹎%U龡&amp;H齲_x0001_C铣_x0014__x0007__x0001__x0001_ 2 2 3 6" xfId="476"/>
    <cellStyle name="?鹎%U龡&amp;H齲_x0001_C铣_x0014__x0007__x0001__x0001_ 3 4 4 3" xfId="477"/>
    <cellStyle name="?鹎%U龡&amp;H齲_x0001_C铣_x0014__x0007__x0001__x0001_ 3 2 2 2 2 3" xfId="478"/>
    <cellStyle name="?鹎%U龡&amp;H齲_x0001_C铣_x0014__x0007__x0001__x0001_ 2 2 3 7" xfId="479"/>
    <cellStyle name="千位[0]_，" xfId="480"/>
    <cellStyle name="?鹎%U龡&amp;H齲_x0001_C铣_x0014__x0007__x0001__x0001_ 3 4 4 3 2" xfId="481"/>
    <cellStyle name="?鹎%U龡&amp;H齲_x0001_C铣_x0014__x0007__x0001__x0001_ 3 2 2 2 2 3 2" xfId="482"/>
    <cellStyle name="?鹎%U龡&amp;H齲_x0001_C铣_x0014__x0007__x0001__x0001_ 2 2 3 7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4 2 2_2015财政决算公开" xfId="488"/>
    <cellStyle name="?鹎%U龡&amp;H齲_x0001_C铣_x0014__x0007__x0001__x0001_ 2 2 4 4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?鹎%U龡&amp;H齲_x0001_C铣_x0014__x0007__x0001__x0001_ 3 4 6 5" xfId="493"/>
    <cellStyle name="?鹎%U龡&amp;H齲_x0001_C铣_x0014__x0007__x0001__x0001_ 3 2 2 2 4 5" xfId="494"/>
    <cellStyle name="20% - 强调文字颜色 4 6 2" xfId="495"/>
    <cellStyle name="?鹎%U龡&amp;H齲_x0001_C铣_x0014__x0007__x0001__x0001_ 2 2 4_2015财政决算公开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2 2 4 3" xfId="503"/>
    <cellStyle name="60% - 强调文字颜色 3 3 5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强调文字颜色 1 3 3 2 2" xfId="510"/>
    <cellStyle name="常规 11 2 4" xfId="511"/>
    <cellStyle name="?鹎%U龡&amp;H齲_x0001_C铣_x0014__x0007__x0001__x0001_ 2 2 5 4" xfId="512"/>
    <cellStyle name="?鹎%U龡&amp;H齲_x0001_C铣_x0014__x0007__x0001__x0001_ 2 2 5 4 2" xfId="513"/>
    <cellStyle name="60% - 强调文字颜色 2 3 2 2 3" xfId="514"/>
    <cellStyle name="40% - 强调文字颜色 5 6 3" xfId="515"/>
    <cellStyle name="?鹎%U龡&amp;H齲_x0001_C铣_x0014__x0007__x0001__x0001_ 2 4 4 2 2" xfId="516"/>
    <cellStyle name="常规 11 2 5" xfId="517"/>
    <cellStyle name="?鹎%U龡&amp;H齲_x0001_C铣_x0014__x0007__x0001__x0001_ 2 2 5 5" xfId="518"/>
    <cellStyle name="常规 13 2 4" xfId="519"/>
    <cellStyle name="?鹎%U龡&amp;H齲_x0001_C铣_x0014__x0007__x0001__x0001_ 2 4 5 4" xfId="520"/>
    <cellStyle name="?鹎%U龡&amp;H齲_x0001_C铣_x0014__x0007__x0001__x0001_ 2 2 5_2015财政决算公开" xfId="521"/>
    <cellStyle name="常规 11 3" xfId="522"/>
    <cellStyle name="?鹎%U龡&amp;H齲_x0001_C铣_x0014__x0007__x0001__x0001_ 3 4 9 2" xfId="523"/>
    <cellStyle name="?鹎%U龡&amp;H齲_x0001_C铣_x0014__x0007__x0001__x0001_ 2 2 6" xfId="524"/>
    <cellStyle name="?鹎%U龡&amp;H齲_x0001_C铣_x0014__x0007__x0001__x0001_ 3 2 2 2 7 2" xfId="525"/>
    <cellStyle name="?鹎%U龡&amp;H齲_x0001_C铣_x0014__x0007__x0001__x0001_ 2 3 2 2 3" xfId="526"/>
    <cellStyle name="常规 11 3 2" xfId="527"/>
    <cellStyle name="?鹎%U龡&amp;H齲_x0001_C铣_x0014__x0007__x0001__x0001_ 2 2 6 2" xfId="528"/>
    <cellStyle name="40% - 强调文字颜色 2 3 2 2 3" xfId="529"/>
    <cellStyle name="?鹎%U龡&amp;H齲_x0001_C铣_x0014__x0007__x0001__x0001_ 2 3 2 2 3 2" xfId="530"/>
    <cellStyle name="检查单元格 2 2 4" xfId="531"/>
    <cellStyle name="常规 11 3 2 2" xfId="532"/>
    <cellStyle name="常规 18" xfId="533"/>
    <cellStyle name="常规 23" xfId="534"/>
    <cellStyle name="60% - 强调文字颜色 4 3 5" xfId="535"/>
    <cellStyle name="?鹎%U龡&amp;H齲_x0001_C铣_x0014__x0007__x0001__x0001_ 2 2 6 2 2" xfId="536"/>
    <cellStyle name="?鹎%U龡&amp;H齲_x0001_C铣_x0014__x0007__x0001__x0001_ 2 3 2 2 4" xfId="537"/>
    <cellStyle name="常规 11 3 3" xfId="538"/>
    <cellStyle name="?鹎%U龡&amp;H齲_x0001_C铣_x0014__x0007__x0001__x0001_ 2 2 6 3" xfId="539"/>
    <cellStyle name="?鹎%U龡&amp;H齲_x0001_C铣_x0014__x0007__x0001__x0001_ 2 3 2 2 4 2" xfId="540"/>
    <cellStyle name="检查单元格 2 3 4" xfId="541"/>
    <cellStyle name="常规 68" xfId="542"/>
    <cellStyle name="常规 73" xfId="543"/>
    <cellStyle name="?鹎%U龡&amp;H齲_x0001_C铣_x0014__x0007__x0001__x0001_ 2 2 6 3 2" xfId="544"/>
    <cellStyle name="?鹎%U龡&amp;H齲_x0001_C铣_x0014__x0007__x0001__x0001_ 2 3 2 2 5" xfId="545"/>
    <cellStyle name="常规 11 3 4" xfId="546"/>
    <cellStyle name="?鹎%U龡&amp;H齲_x0001_C铣_x0014__x0007__x0001__x0001_ 2 2 6 4" xfId="547"/>
    <cellStyle name="表标题 2 2 2" xfId="548"/>
    <cellStyle name="?鹎%U龡&amp;H齲_x0001_C铣_x0014__x0007__x0001__x0001_ 2 2 6_2015财政决算公开" xfId="549"/>
    <cellStyle name="链接单元格 3 2 2" xfId="550"/>
    <cellStyle name="货币 2 3 3 2" xfId="551"/>
    <cellStyle name="常规 11 4" xfId="552"/>
    <cellStyle name="?鹎%U龡&amp;H齲_x0001_C铣_x0014__x0007__x0001__x0001_ 2 2 7" xfId="553"/>
    <cellStyle name="标题 5" xfId="554"/>
    <cellStyle name="?鹎%U龡&amp;H齲_x0001_C铣_x0014__x0007__x0001__x0001_ 2 3 2 3 3" xfId="555"/>
    <cellStyle name="链接单元格 3 2 2 2" xfId="556"/>
    <cellStyle name="?鹎%U龡&amp;H齲_x0001_C铣_x0014__x0007__x0001__x0001_ 2 2 7 2" xfId="557"/>
    <cellStyle name="解释性文本 2 3" xfId="558"/>
    <cellStyle name="货币 2 3 3 2 2" xfId="559"/>
    <cellStyle name="常规 11 4 2" xfId="560"/>
    <cellStyle name="标题 6" xfId="561"/>
    <cellStyle name="?鹎%U龡&amp;H齲_x0001_C铣_x0014__x0007__x0001__x0001_ 2 3 2 3 4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常规 2 2 2 2_2015财政决算公开" xfId="566"/>
    <cellStyle name="?鹎%U龡&amp;H齲_x0001_C铣_x0014__x0007__x0001__x0001_ 2 4 10" xfId="567"/>
    <cellStyle name="?鹎%U龡&amp;H齲_x0001_C铣_x0014__x0007__x0001__x0001_ 2 2 7 4" xfId="568"/>
    <cellStyle name="表标题 2 3 2" xfId="569"/>
    <cellStyle name="常规 2 3 2 3 5" xfId="570"/>
    <cellStyle name="注释 2 4 3" xfId="571"/>
    <cellStyle name="20% - 强调文字颜色 3 5_2015财政决算公开" xfId="572"/>
    <cellStyle name="?鹎%U龡&amp;H齲_x0001_C铣_x0014__x0007__x0001__x0001_ 2 4 4 4 2" xfId="573"/>
    <cellStyle name="?鹎%U龡&amp;H齲_x0001_C铣_x0014__x0007__x0001__x0001_ 2 2 7 5" xfId="574"/>
    <cellStyle name="解释性文本 3 2 2 2" xfId="575"/>
    <cellStyle name="60% - 强调文字颜色 6 2 5 2" xfId="576"/>
    <cellStyle name="?鹎%U龡&amp;H齲_x0001_C铣_x0014__x0007__x0001__x0001_ 2 2 7_2015财政决算公开" xfId="577"/>
    <cellStyle name="60% - 强调文字颜色 2 7 2" xfId="578"/>
    <cellStyle name="?鹎%U龡&amp;H齲_x0001_C铣_x0014__x0007__x0001__x0001_ 2 3" xfId="579"/>
    <cellStyle name="货币 2 3 3 4" xfId="580"/>
    <cellStyle name="常规 11 6" xfId="581"/>
    <cellStyle name="?鹎%U龡&amp;H齲_x0001_C铣_x0014__x0007__x0001__x0001_ 4 10" xfId="582"/>
    <cellStyle name="?鹎%U龡&amp;H齲_x0001_C铣_x0014__x0007__x0001__x0001_ 2 2 9" xfId="583"/>
    <cellStyle name="40% - 强调文字颜色 2 2_2015财政决算公开" xfId="584"/>
    <cellStyle name="?鹎%U龡&amp;H齲_x0001_C铣_x0014__x0007__x0001__x0001_ 3 2 3 3 3" xfId="585"/>
    <cellStyle name="货币 3 2 8" xfId="586"/>
    <cellStyle name="常规 28 3" xfId="587"/>
    <cellStyle name="常规 33 3" xfId="588"/>
    <cellStyle name="?鹎%U龡&amp;H齲_x0001_C铣_x0014__x0007__x0001__x0001_ 2 2_2015财政决算公开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?鹎%U龡&amp;H齲_x0001_C铣_x0014__x0007__x0001__x0001_ 2 3 2 3_2015财政决算公开" xfId="598"/>
    <cellStyle name="40% - 强调文字颜色 3 7 2" xfId="599"/>
    <cellStyle name="20% - 强调文字颜色 5 2 3 2 2" xfId="600"/>
    <cellStyle name="?鹎%U龡&amp;H齲_x0001_C铣_x0014__x0007__x0001__x0001_ 2 3 2 4" xfId="601"/>
    <cellStyle name="?鹎%U龡&amp;H齲_x0001_C铣_x0014__x0007__x0001__x0001_ 2 3 2 4 2" xfId="602"/>
    <cellStyle name="常规 8 3 3" xfId="603"/>
    <cellStyle name="?鹎%U龡&amp;H齲_x0001_C铣_x0014__x0007__x0001__x0001_ 2 3 4_2015财政决算公开" xfId="604"/>
    <cellStyle name="?鹎%U龡&amp;H齲_x0001_C铣_x0014__x0007__x0001__x0001_ 2 3 2 4 2 2" xfId="605"/>
    <cellStyle name="40% - 着色 4" xfId="606"/>
    <cellStyle name="?鹎%U龡&amp;H齲_x0001_C铣_x0014__x0007__x0001__x0001_ 3 4 4 4 2" xfId="607"/>
    <cellStyle name="?鹎%U龡&amp;H齲_x0001_C铣_x0014__x0007__x0001__x0001_ 3 2 2 2 2 4 2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货币 4 9" xfId="614"/>
    <cellStyle name="?鹎%U龡&amp;H齲_x0001_C铣_x0014__x0007__x0001__x0001_ 3 2 2 5_2015财政决算公开" xfId="615"/>
    <cellStyle name="?鹎%U龡&amp;H齲_x0001_C铣_x0014__x0007__x0001__x0001_ 3 3 2 4 2" xfId="616"/>
    <cellStyle name="?鹎%U龡&amp;H齲_x0001_C铣_x0014__x0007__x0001__x0001_ 2 3 2 7" xfId="617"/>
    <cellStyle name="?鹎%U龡&amp;H齲_x0001_C铣_x0014__x0007__x0001__x0001_ 3 3 2 4 2 2" xfId="618"/>
    <cellStyle name="?鹎%U龡&amp;H齲_x0001_C铣_x0014__x0007__x0001__x0001_ 2 3 2 7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标题 1 2 2" xfId="625"/>
    <cellStyle name="?鹎%U龡&amp;H齲_x0001_C铣_x0014__x0007__x0001__x0001_ 2 3 3 5" xfId="626"/>
    <cellStyle name="后继超级链接 3 2" xfId="627"/>
    <cellStyle name="?鹎%U龡&amp;H齲_x0001_C铣_x0014__x0007__x0001__x0001_ 3 2 5" xfId="628"/>
    <cellStyle name="?鹎%U龡&amp;H齲_x0001_C铣_x0014__x0007__x0001__x0001_ 3 2 2 3" xfId="629"/>
    <cellStyle name="?鹎%U龡&amp;H齲_x0001_C铣_x0014__x0007__x0001__x0001_ 2 3 3_2015财政决算公开" xfId="630"/>
    <cellStyle name="40% - 强调文字颜色 6 5_2015财政决算公开" xfId="631"/>
    <cellStyle name="?鹎%U龡&amp;H齲_x0001_C铣_x0014__x0007__x0001__x0001_ 2 3 4" xfId="632"/>
    <cellStyle name="?鹎%U龡&amp;H齲_x0001_C铣_x0014__x0007__x0001__x0001_ 2 3 4 2" xfId="633"/>
    <cellStyle name="?鹎%U龡&amp;H齲_x0001_C铣_x0014__x0007__x0001__x0001_ 2 3_2015财政决算公开" xfId="634"/>
    <cellStyle name="60% - 强调文字颜色 2 2 2 2 3" xfId="635"/>
    <cellStyle name="?鹎%U龡&amp;H齲_x0001_C铣_x0014__x0007__x0001__x0001_ 2 3 4 2 2" xfId="636"/>
    <cellStyle name="40% - 强调文字颜色 4 2 2 2_2015财政决算公开" xfId="637"/>
    <cellStyle name="?鹎%U龡&amp;H齲_x0001_C铣_x0014__x0007__x0001__x0001_ 2 3 4 3" xfId="638"/>
    <cellStyle name="?鹎%U龡&amp;H齲_x0001_C铣_x0014__x0007__x0001__x0001_ 2 3 4 4" xfId="639"/>
    <cellStyle name="常规 2 2 2 3 5" xfId="640"/>
    <cellStyle name="?鹎%U龡&amp;H齲_x0001_C铣_x0014__x0007__x0001__x0001_ 2 3 4 4 2" xfId="641"/>
    <cellStyle name="标题 1 3 2" xfId="642"/>
    <cellStyle name="?鹎%U龡&amp;H齲_x0001_C铣_x0014__x0007__x0001__x0001_ 2 3 4 5" xfId="643"/>
    <cellStyle name="好 4 2 2" xfId="644"/>
    <cellStyle name="常规 12 2" xfId="645"/>
    <cellStyle name="?鹎%U龡&amp;H齲_x0001_C铣_x0014__x0007__x0001__x0001_ 2 3 5" xfId="646"/>
    <cellStyle name="常规 12 2 2 2" xfId="647"/>
    <cellStyle name="60% - 强调文字颜色 2 2 3 2 3" xfId="648"/>
    <cellStyle name="60% - 强调文字颜色 3 2 4 3" xfId="649"/>
    <cellStyle name="?鹎%U龡&amp;H齲_x0001_C铣_x0014__x0007__x0001__x0001_ 2 3 5 2 2" xfId="650"/>
    <cellStyle name="常规 2 2 3 2 5" xfId="651"/>
    <cellStyle name="常规 12 2 3 2" xfId="652"/>
    <cellStyle name="千位分隔 2 2 8" xfId="653"/>
    <cellStyle name="?鹎%U龡&amp;H齲_x0001_C铣_x0014__x0007__x0001__x0001_ 2 3 5 3 2" xfId="654"/>
    <cellStyle name="常规 12 2_2015财政决算公开" xfId="655"/>
    <cellStyle name="20% - 强调文字颜色 5 6 3" xfId="656"/>
    <cellStyle name="60% - 强调文字颜色 1 5 2 2" xfId="657"/>
    <cellStyle name="?鹎%U龡&amp;H齲_x0001_C铣_x0014__x0007__x0001__x0001_ 2 3 5_2015财政决算公开" xfId="658"/>
    <cellStyle name="好 4 2 3" xfId="659"/>
    <cellStyle name="常规 12 3" xfId="660"/>
    <cellStyle name="?鹎%U龡&amp;H齲_x0001_C铣_x0014__x0007__x0001__x0001_ 2 3 6" xfId="661"/>
    <cellStyle name="常规 12 3 2" xfId="662"/>
    <cellStyle name="?鹎%U龡&amp;H齲_x0001_C铣_x0014__x0007__x0001__x0001_ 2 3 6 2" xfId="663"/>
    <cellStyle name="常规 12 3 2 2" xfId="664"/>
    <cellStyle name="?鹎%U龡&amp;H齲_x0001_C铣_x0014__x0007__x0001__x0001_ 2 3 6 2 2" xfId="665"/>
    <cellStyle name="常规 12 3 3" xfId="666"/>
    <cellStyle name="霓付_laroux" xfId="667"/>
    <cellStyle name="?鹎%U龡&amp;H齲_x0001_C铣_x0014__x0007__x0001__x0001_ 2 3 6 3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40% - 强调文字颜色 1 4 4" xfId="673"/>
    <cellStyle name="常规 13 2_2015财政决算公开" xfId="674"/>
    <cellStyle name="?鹎%U龡&amp;H齲_x0001_C铣_x0014__x0007__x0001__x0001_ 2 4 5_2015财政决算公开" xfId="675"/>
    <cellStyle name="?鹎%U龡&amp;H齲_x0001_C铣_x0014__x0007__x0001__x0001_ 2 3 6 4 2" xfId="676"/>
    <cellStyle name="链接单元格 3 3 2" xfId="677"/>
    <cellStyle name="货币 2 3 4 2" xfId="678"/>
    <cellStyle name="常规 12 4" xfId="679"/>
    <cellStyle name="?鹎%U龡&amp;H齲_x0001_C铣_x0014__x0007__x0001__x0001_ 2 3 7" xfId="680"/>
    <cellStyle name="货币 2 3 4 2 2" xfId="681"/>
    <cellStyle name="常规 12 4 2" xfId="682"/>
    <cellStyle name="?鹎%U龡&amp;H齲_x0001_C铣_x0014__x0007__x0001__x0001_ 2 3 7 2" xfId="683"/>
    <cellStyle name="?鹎%U龡&amp;H齲_x0001_C铣_x0014__x0007__x0001__x0001_ 3 3 3 2 2" xfId="684"/>
    <cellStyle name="?鹎%U龡&amp;H齲_x0001_C铣_x0014__x0007__x0001__x0001_ 3 2" xfId="685"/>
    <cellStyle name="货币 2 3 4 3" xfId="686"/>
    <cellStyle name="常规 12 5" xfId="687"/>
    <cellStyle name="?鹎%U龡&amp;H齲_x0001_C铣_x0014__x0007__x0001__x0001_ 2 3 8" xfId="688"/>
    <cellStyle name="?鹎%U龡&amp;H齲_x0001_C铣_x0014__x0007__x0001__x0001_ 3 2 2" xfId="689"/>
    <cellStyle name="货币 2 3 4 3 2" xfId="690"/>
    <cellStyle name="常规 12 5 2" xfId="691"/>
    <cellStyle name="?鹎%U龡&amp;H齲_x0001_C铣_x0014__x0007__x0001__x0001_ 2 3 8 2" xfId="692"/>
    <cellStyle name="货币 2 3 4 4" xfId="693"/>
    <cellStyle name="常规 12 6" xfId="694"/>
    <cellStyle name="?鹎%U龡&amp;H齲_x0001_C铣_x0014__x0007__x0001__x0001_ 2 3 9" xfId="695"/>
    <cellStyle name="货币 2 3 4 4 2" xfId="696"/>
    <cellStyle name="?鹎%U龡&amp;H齲_x0001_C铣_x0014__x0007__x0001__x0001_ 2 3 9 2" xfId="697"/>
    <cellStyle name="?鹎%U龡&amp;H齲_x0001_C铣_x0014__x0007__x0001__x0001_ 2 4 2" xfId="698"/>
    <cellStyle name="?鹎%U龡&amp;H齲_x0001_C铣_x0014__x0007__x0001__x0001_ 2 5 3 2" xfId="699"/>
    <cellStyle name="好 2" xfId="700"/>
    <cellStyle name="差 2 3 2 2" xfId="701"/>
    <cellStyle name="40% - 强调文字颜色 3 6 3" xfId="702"/>
    <cellStyle name="?鹎%U龡&amp;H齲_x0001_C铣_x0014__x0007__x0001__x0001_ 3 3 2 2_2015财政决算公开" xfId="703"/>
    <cellStyle name="?鹎%U龡&amp;H齲_x0001_C铣_x0014__x0007__x0001__x0001_ 2 4 2 2 2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20% - 强调文字颜色 1 6" xfId="708"/>
    <cellStyle name="?鹎%U龡&amp;H齲_x0001_C铣_x0014__x0007__x0001__x0001_ 3 6 4" xfId="709"/>
    <cellStyle name="?鹎%U龡&amp;H齲_x0001_C铣_x0014__x0007__x0001__x0001_ 3 2 2 4 2" xfId="710"/>
    <cellStyle name="?鹎%U龡&amp;H齲_x0001_C铣_x0014__x0007__x0001__x0001_ 2 4 2 2 3" xfId="711"/>
    <cellStyle name="?鹎%U龡&amp;H齲_x0001_C铣_x0014__x0007__x0001__x0001_ 3 2 6 2 2" xfId="712"/>
    <cellStyle name="20% - 强调文字颜色 1 6 2" xfId="713"/>
    <cellStyle name="?鹎%U龡&amp;H齲_x0001_C铣_x0014__x0007__x0001__x0001_ 3 2 2 4 2 2" xfId="714"/>
    <cellStyle name="?鹎%U龡&amp;H齲_x0001_C铣_x0014__x0007__x0001__x0001_ 2 4 2 2 3 2" xfId="715"/>
    <cellStyle name="?鹎%U龡&amp;H齲_x0001_C铣_x0014__x0007__x0001__x0001_ 3 2 6 3" xfId="716"/>
    <cellStyle name="60% - 强调文字颜色 4 4 2 2" xfId="717"/>
    <cellStyle name="20% - 强调文字颜色 1 7" xfId="718"/>
    <cellStyle name="?鹎%U龡&amp;H齲_x0001_C铣_x0014__x0007__x0001__x0001_ 3 2 2 4 3" xfId="719"/>
    <cellStyle name="货币 3 2 3 3 2" xfId="720"/>
    <cellStyle name="?鹎%U龡&amp;H齲_x0001_C铣_x0014__x0007__x0001__x0001_ 2 4 2 2 4" xfId="721"/>
    <cellStyle name="?鹎%U龡&amp;H齲_x0001_C铣_x0014__x0007__x0001__x0001_ 3 2 6 3 2" xfId="722"/>
    <cellStyle name="60% - 强调文字颜色 4 4 2 2 2" xfId="723"/>
    <cellStyle name="20% - 强调文字颜色 1 7 2" xfId="724"/>
    <cellStyle name="?鹎%U龡&amp;H齲_x0001_C铣_x0014__x0007__x0001__x0001_ 3 2 2 4 3 2" xfId="725"/>
    <cellStyle name="?鹎%U龡&amp;H齲_x0001_C铣_x0014__x0007__x0001__x0001_ 2 4 2 2 4 2" xfId="726"/>
    <cellStyle name="差 2 3 3" xfId="727"/>
    <cellStyle name="?鹎%U龡&amp;H齲_x0001_C铣_x0014__x0007__x0001__x0001_ 2 5 4" xfId="728"/>
    <cellStyle name="?鹎%U龡&amp;H齲_x0001_C铣_x0014__x0007__x0001__x0001_ 2 4 2 3" xfId="729"/>
    <cellStyle name="20% - 强调文字颜色 2 2 7" xfId="730"/>
    <cellStyle name="?鹎%U龡&amp;H齲_x0001_C铣_x0014__x0007__x0001__x0001_ 3 4 6 2 2" xfId="731"/>
    <cellStyle name="?鹎%U龡&amp;H齲_x0001_C铣_x0014__x0007__x0001__x0001_ 3 2 2 2 4 2 2" xfId="732"/>
    <cellStyle name="常规 2 4 2 8" xfId="733"/>
    <cellStyle name="?鹎%U龡&amp;H齲_x0001_C铣_x0014__x0007__x0001__x0001_ 2 4 2 3_2015财政决算公开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20% - 强调文字颜色 3 6" xfId="738"/>
    <cellStyle name="?鹎%U龡&amp;H齲_x0001_C铣_x0014__x0007__x0001__x0001_ 3 2 2 6 2" xfId="739"/>
    <cellStyle name="百分比 2 2 2 2 2" xfId="740"/>
    <cellStyle name="?鹎%U龡&amp;H齲_x0001_C铣_x0014__x0007__x0001__x0001_ 2 4 2 4 3" xfId="741"/>
    <cellStyle name="20% - 强调文字颜色 2 2 3 2 2" xfId="742"/>
    <cellStyle name="?鹎%U龡&amp;H齲_x0001_C铣_x0014__x0007__x0001__x0001_ 3 2 3 4 5" xfId="743"/>
    <cellStyle name="20% - 强调文字颜色 3 6 2" xfId="744"/>
    <cellStyle name="?鹎%U龡&amp;H齲_x0001_C铣_x0014__x0007__x0001__x0001_ 3 2 2 6 2 2" xfId="745"/>
    <cellStyle name="千位分隔 11" xfId="746"/>
    <cellStyle name="?鹎%U龡&amp;H齲_x0001_C铣_x0014__x0007__x0001__x0001_ 3 3 6 5" xfId="747"/>
    <cellStyle name="百分比 2 2 2 2 2 2" xfId="748"/>
    <cellStyle name="?鹎%U龡&amp;H齲_x0001_C铣_x0014__x0007__x0001__x0001_ 2 4 2 4 3 2" xfId="749"/>
    <cellStyle name="检查单元格 2 3 3 2" xfId="750"/>
    <cellStyle name="20% - 强调文字颜色 3 7" xfId="751"/>
    <cellStyle name="?鹎%U龡&amp;H齲_x0001_C铣_x0014__x0007__x0001__x0001_ 3 2 2 6 3" xfId="752"/>
    <cellStyle name="百分比 2 2 2 2 3" xfId="753"/>
    <cellStyle name="警告文本 2 2" xfId="754"/>
    <cellStyle name="常规 4 2 2 3 2 2" xfId="755"/>
    <cellStyle name="?鹎%U龡&amp;H齲_x0001_C铣_x0014__x0007__x0001__x0001_ 2 4 2 4 4" xfId="756"/>
    <cellStyle name="20% - 强调文字颜色 3 7 2" xfId="757"/>
    <cellStyle name="?鹎%U龡&amp;H齲_x0001_C铣_x0014__x0007__x0001__x0001_ 3 2 2 6 3 2" xfId="758"/>
    <cellStyle name="警告文本 2 2 2" xfId="759"/>
    <cellStyle name="汇总 2 2 3" xfId="760"/>
    <cellStyle name="?鹎%U龡&amp;H齲_x0001_C铣_x0014__x0007__x0001__x0001_ 2 4 2 4 4 2" xfId="761"/>
    <cellStyle name="?鹎%U龡&amp;H齲_x0001_C铣_x0014__x0007__x0001__x0001_ 3 4 2 5" xfId="762"/>
    <cellStyle name="?鹎%U龡&amp;H齲_x0001_C铣_x0014__x0007__x0001__x0001_ 2 4 2 4_2015财政决算公开" xfId="763"/>
    <cellStyle name="?鹎%U龡&amp;H齲_x0001_C铣_x0014__x0007__x0001__x0001_ 2 4 2 5" xfId="764"/>
    <cellStyle name="?鹎%U龡&amp;H齲_x0001_C铣_x0014__x0007__x0001__x0001_ 2 4 2 6 2" xfId="765"/>
    <cellStyle name="强调文字颜色 4 2 3 2 2" xfId="766"/>
    <cellStyle name="?鹎%U龡&amp;H齲_x0001_C铣_x0014__x0007__x0001__x0001_ 5 2" xfId="767"/>
    <cellStyle name="?鹎%U龡&amp;H齲_x0001_C铣_x0014__x0007__x0001__x0001_ 3 3 3 4 2" xfId="768"/>
    <cellStyle name="?鹎%U龡&amp;H齲_x0001_C铣_x0014__x0007__x0001__x0001_ 2 4 2 7" xfId="769"/>
    <cellStyle name="强调文字颜色 4 2 3 2 2 2" xfId="770"/>
    <cellStyle name="?鹎%U龡&amp;H齲_x0001_C铣_x0014__x0007__x0001__x0001_ 5 2 2" xfId="771"/>
    <cellStyle name="?鹎%U龡&amp;H齲_x0001_C铣_x0014__x0007__x0001__x0001_ 2 4 2 7 2" xfId="772"/>
    <cellStyle name="?鹎%U龡&amp;H齲_x0001_C铣_x0014__x0007__x0001__x0001_ 2 4 2_2015财政决算公开" xfId="773"/>
    <cellStyle name="解释性文本 5 2 2" xfId="774"/>
    <cellStyle name="差 2 2 2" xfId="775"/>
    <cellStyle name="?鹎%U龡&amp;H齲_x0001_C铣_x0014__x0007__x0001__x0001_ 2 4 3" xfId="776"/>
    <cellStyle name="差 2 2 2 2" xfId="777"/>
    <cellStyle name="?鹎%U龡&amp;H齲_x0001_C铣_x0014__x0007__x0001__x0001_ 2 4 3 2" xfId="778"/>
    <cellStyle name="差 2 2 2 2 2" xfId="779"/>
    <cellStyle name="40% - 强调文字颜色 4 6 3" xfId="780"/>
    <cellStyle name="?鹎%U龡&amp;H齲_x0001_C铣_x0014__x0007__x0001__x0001_ 2 4 3 2 2" xfId="781"/>
    <cellStyle name="差 2 2 2 3" xfId="782"/>
    <cellStyle name="?鹎%U龡&amp;H齲_x0001_C铣_x0014__x0007__x0001__x0001_ 2 4 3 3" xfId="783"/>
    <cellStyle name="?鹎%U龡&amp;H齲_x0001_C铣_x0014__x0007__x0001__x0001_ 2 4 3 3 2" xfId="784"/>
    <cellStyle name="40% - 强调文字颜色 5 2 2 2 2" xfId="785"/>
    <cellStyle name="?鹎%U龡&amp;H齲_x0001_C铣_x0014__x0007__x0001__x0001_ 2 4 3 4" xfId="786"/>
    <cellStyle name="40% - 强调文字颜色 5 2 2 2 2 2" xfId="787"/>
    <cellStyle name="?鹎%U龡&amp;H齲_x0001_C铣_x0014__x0007__x0001__x0001_ 2 4 3 4 2" xfId="788"/>
    <cellStyle name="标题 2 2 2" xfId="789"/>
    <cellStyle name="40% - 强调文字颜色 5 2 2 2 3" xfId="790"/>
    <cellStyle name="?鹎%U龡&amp;H齲_x0001_C铣_x0014__x0007__x0001__x0001_ 2 4 3 5" xfId="791"/>
    <cellStyle name="?鹎%U龡&amp;H齲_x0001_C铣_x0014__x0007__x0001__x0001_ 2 5" xfId="792"/>
    <cellStyle name="60% - 强调文字颜色 3 3 3 2 2" xfId="793"/>
    <cellStyle name="20% - 强调文字颜色 1 2 6" xfId="794"/>
    <cellStyle name="?鹎%U龡&amp;H齲_x0001_C铣_x0014__x0007__x0001__x0001_ 2 4 3_2015财政决算公开" xfId="795"/>
    <cellStyle name="差 2 2 3" xfId="796"/>
    <cellStyle name="?鹎%U龡&amp;H齲_x0001_C铣_x0014__x0007__x0001__x0001_ 2 4 4" xfId="797"/>
    <cellStyle name="差 2 2 3 2" xfId="798"/>
    <cellStyle name="?鹎%U龡&amp;H齲_x0001_C铣_x0014__x0007__x0001__x0001_ 2 4 4 2" xfId="799"/>
    <cellStyle name="?鹎%U龡&amp;H齲_x0001_C铣_x0014__x0007__x0001__x0001_ 3 4_2015财政决算公开" xfId="800"/>
    <cellStyle name="?鹎%U龡&amp;H齲_x0001_C铣_x0014__x0007__x0001__x0001_ 2 4 4 3" xfId="801"/>
    <cellStyle name="40% - 强调文字颜色 5 2 2 3 2" xfId="802"/>
    <cellStyle name="常规 2 2 2 5_2015财政决算公开" xfId="803"/>
    <cellStyle name="?鹎%U龡&amp;H齲_x0001_C铣_x0014__x0007__x0001__x0001_ 2 4 4 4" xfId="804"/>
    <cellStyle name="标题 2 3 2" xfId="805"/>
    <cellStyle name="?鹎%U龡&amp;H齲_x0001_C铣_x0014__x0007__x0001__x0001_ 2 4 4 5" xfId="806"/>
    <cellStyle name="?鹎%U龡&amp;H齲_x0001_C铣_x0014__x0007__x0001__x0001_ 2 4 4_2015财政决算公开" xfId="807"/>
    <cellStyle name="检查单元格 6" xfId="808"/>
    <cellStyle name="小数 4" xfId="809"/>
    <cellStyle name="常规 2 5 2 2" xfId="810"/>
    <cellStyle name="好 4 3 2" xfId="811"/>
    <cellStyle name="常规 13 2" xfId="812"/>
    <cellStyle name="差 2 2 4" xfId="813"/>
    <cellStyle name="?鹎%U龡&amp;H齲_x0001_C铣_x0014__x0007__x0001__x0001_ 2 4 5" xfId="814"/>
    <cellStyle name="常规 13 2 2" xfId="815"/>
    <cellStyle name="?鹎%U龡&amp;H齲_x0001_C铣_x0014__x0007__x0001__x0001_ 2 4 5 2" xfId="816"/>
    <cellStyle name="?鹎%U龡&amp;H齲_x0001_C铣_x0014__x0007__x0001__x0001_ 3 2 3 4_2015财政决算公开" xfId="817"/>
    <cellStyle name="常规 13 2 3" xfId="818"/>
    <cellStyle name="?鹎%U龡&amp;H齲_x0001_C铣_x0014__x0007__x0001__x0001_ 2 4 5 3" xfId="819"/>
    <cellStyle name="常规 13 3" xfId="820"/>
    <cellStyle name="?鹎%U龡&amp;H齲_x0001_C铣_x0014__x0007__x0001__x0001_ 2 4 6" xfId="821"/>
    <cellStyle name="常规 5 2 2 4" xfId="822"/>
    <cellStyle name="常规 13 3 2" xfId="823"/>
    <cellStyle name="?鹎%U龡&amp;H齲_x0001_C铣_x0014__x0007__x0001__x0001_ 2 4 6 2" xfId="824"/>
    <cellStyle name="常规 5 2 2 4 2" xfId="825"/>
    <cellStyle name="常规 13 3 2 2" xfId="826"/>
    <cellStyle name="常规 17 3" xfId="827"/>
    <cellStyle name="常规 22 3" xfId="828"/>
    <cellStyle name="?鹎%U龡&amp;H齲_x0001_C铣_x0014__x0007__x0001__x0001_ 2 4 6 2 2" xfId="829"/>
    <cellStyle name="常规 5 2 2 5" xfId="830"/>
    <cellStyle name="常规 13 3 3" xfId="831"/>
    <cellStyle name="?鹎%U龡&amp;H齲_x0001_C铣_x0014__x0007__x0001__x0001_ 2 4 6 3" xfId="832"/>
    <cellStyle name="标题 2 5 2" xfId="833"/>
    <cellStyle name="?鹎%U龡&amp;H齲_x0001_C铣_x0014__x0007__x0001__x0001_ 2 4 6 5" xfId="834"/>
    <cellStyle name="常规 5 2 2 5 2" xfId="835"/>
    <cellStyle name="百分比 5 7" xfId="836"/>
    <cellStyle name="常规 18 3" xfId="837"/>
    <cellStyle name="常规 23 3" xfId="838"/>
    <cellStyle name="?鹎%U龡&amp;H齲_x0001_C铣_x0014__x0007__x0001__x0001_ 2 4 6 3 2" xfId="839"/>
    <cellStyle name="常规 5 2 2 6" xfId="840"/>
    <cellStyle name="?鹎%U龡&amp;H齲_x0001_C铣_x0014__x0007__x0001__x0001_ 2 4 6 4" xfId="841"/>
    <cellStyle name="常规 19 3" xfId="842"/>
    <cellStyle name="常规 24 3" xfId="843"/>
    <cellStyle name="?鹎%U龡&amp;H齲_x0001_C铣_x0014__x0007__x0001__x0001_ 2 4 6 4 2" xfId="844"/>
    <cellStyle name="常规 13 3_2015财政决算公开" xfId="845"/>
    <cellStyle name="?鹎%U龡&amp;H齲_x0001_C铣_x0014__x0007__x0001__x0001_ 2 4 6_2015财政决算公开" xfId="846"/>
    <cellStyle name="货币 2 3 5 2" xfId="847"/>
    <cellStyle name="常规 13 4" xfId="848"/>
    <cellStyle name="?鹎%U龡&amp;H齲_x0001_C铣_x0014__x0007__x0001__x0001_ 2 4 7" xfId="849"/>
    <cellStyle name="检查单元格 2" xfId="850"/>
    <cellStyle name="常规 5 2 4 4" xfId="851"/>
    <cellStyle name="?鹎%U龡&amp;H齲_x0001_C铣_x0014__x0007__x0001__x0001_ 2 4 8 2" xfId="852"/>
    <cellStyle name="?鹎%U龡&amp;H齲_x0001_C铣_x0014__x0007__x0001__x0001_ 3 6_2015财政决算公开" xfId="853"/>
    <cellStyle name="?鹎%U龡&amp;H齲_x0001_C铣_x0014__x0007__x0001__x0001_ 2 4 9" xfId="854"/>
    <cellStyle name="货币 2 2 2 7 2" xfId="855"/>
    <cellStyle name="?鹎%U龡&amp;H齲_x0001_C铣_x0014__x0007__x0001__x0001_ 2 4_2015财政决算公开" xfId="856"/>
    <cellStyle name="?鹎%U龡&amp;H齲_x0001_C铣_x0014__x0007__x0001__x0001_ 2 5 2" xfId="857"/>
    <cellStyle name="货币 2 2 5 3" xfId="858"/>
    <cellStyle name="40% - 强调文字颜色 6 2 5" xfId="859"/>
    <cellStyle name="?鹎%U龡&amp;H齲_x0001_C铣_x0014__x0007__x0001__x0001_ 2 5_2015财政决算公开" xfId="860"/>
    <cellStyle name="20% - 强调文字颜色 1 2 7" xfId="861"/>
    <cellStyle name="?鹎%U龡&amp;H齲_x0001_C铣_x0014__x0007__x0001__x0001_ 3 4 5 2 2" xfId="862"/>
    <cellStyle name="?鹎%U龡&amp;H齲_x0001_C铣_x0014__x0007__x0001__x0001_ 3 2 2 2 3 2 2" xfId="863"/>
    <cellStyle name="?鹎%U龡&amp;H齲_x0001_C铣_x0014__x0007__x0001__x0001_ 2 6" xfId="864"/>
    <cellStyle name="百分比 2 3" xfId="865"/>
    <cellStyle name="?鹎%U龡&amp;H齲_x0001_C铣_x0014__x0007__x0001__x0001_ 2 6 2" xfId="866"/>
    <cellStyle name="常规 8 2 2 2 2" xfId="867"/>
    <cellStyle name="?鹎%U龡&amp;H齲_x0001_C铣_x0014__x0007__x0001__x0001_ 2 7" xfId="868"/>
    <cellStyle name="百分比 3 3" xfId="869"/>
    <cellStyle name="?鹎%U龡&amp;H齲_x0001_C铣_x0014__x0007__x0001__x0001_ 2 7 2" xfId="870"/>
    <cellStyle name="40% - 强调文字颜色 1 7 2" xfId="871"/>
    <cellStyle name="?鹎%U龡&amp;H齲_x0001_C铣_x0014__x0007__x0001__x0001_ 2 8" xfId="872"/>
    <cellStyle name="常规 2 4 9 2" xfId="873"/>
    <cellStyle name="?鹎%U龡&amp;H齲_x0001_C铣_x0014__x0007__x0001__x0001_ 3 2 10" xfId="874"/>
    <cellStyle name="标题 5 4 3" xfId="875"/>
    <cellStyle name="?鹎%U龡&amp;H齲_x0001_C铣_x0014__x0007__x0001__x0001_ 3 2 10 2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4 4_2015财政决算公开" xfId="881"/>
    <cellStyle name="计算 2 2 4" xfId="882"/>
    <cellStyle name="20% - 强调文字颜色 1 3 3 2 2" xfId="883"/>
    <cellStyle name="?鹎%U龡&amp;H齲_x0001_C铣_x0014__x0007__x0001__x0001_ 3 2 2 2 2_2015财政决算公开" xfId="884"/>
    <cellStyle name="?鹎%U龡&amp;H齲_x0001_C铣_x0014__x0007__x0001__x0001_ 3 2 2 2" xfId="885"/>
    <cellStyle name="警告文本 7" xfId="886"/>
    <cellStyle name="?鹎%U龡&amp;H齲_x0001_C铣_x0014__x0007__x0001__x0001_ 3 2 4 2" xfId="887"/>
    <cellStyle name="差 3 2 3" xfId="888"/>
    <cellStyle name="?鹎%U龡&amp;H齲_x0001_C铣_x0014__x0007__x0001__x0001_ 3 4 4" xfId="889"/>
    <cellStyle name="?鹎%U龡&amp;H齲_x0001_C铣_x0014__x0007__x0001__x0001_ 3 2 2 2 2" xfId="890"/>
    <cellStyle name="20% - 强调文字颜色 4 2 2 2 2 2" xfId="891"/>
    <cellStyle name="?鹎%U龡&amp;H齲_x0001_C铣_x0014__x0007__x0001__x0001_ 3 2 4 3" xfId="892"/>
    <cellStyle name="好 5 3 2" xfId="893"/>
    <cellStyle name="差 3 2 4" xfId="894"/>
    <cellStyle name="?鹎%U龡&amp;H齲_x0001_C铣_x0014__x0007__x0001__x0001_ 3 4 5" xfId="895"/>
    <cellStyle name="?鹎%U龡&amp;H齲_x0001_C铣_x0014__x0007__x0001__x0001_ 3 2 2 2 3" xfId="896"/>
    <cellStyle name="?鹎%U龡&amp;H齲_x0001_C铣_x0014__x0007__x0001__x0001_ 3 2 4 3 2" xfId="897"/>
    <cellStyle name="?鹎%U龡&amp;H齲_x0001_C铣_x0014__x0007__x0001__x0001_ 3 4 5 2" xfId="898"/>
    <cellStyle name="?鹎%U龡&amp;H齲_x0001_C铣_x0014__x0007__x0001__x0001_ 3 2 2 2 3 2" xfId="899"/>
    <cellStyle name="?鹎%U龡&amp;H齲_x0001_C铣_x0014__x0007__x0001__x0001_ 3 4 5 3" xfId="900"/>
    <cellStyle name="?鹎%U龡&amp;H齲_x0001_C铣_x0014__x0007__x0001__x0001_ 3 2 2 2 3 3" xfId="901"/>
    <cellStyle name="?鹎%U龡&amp;H齲_x0001_C铣_x0014__x0007__x0001__x0001_ 3 4 5 3 2" xfId="902"/>
    <cellStyle name="?鹎%U龡&amp;H齲_x0001_C铣_x0014__x0007__x0001__x0001_ 3 2 2 2 3 3 2" xfId="903"/>
    <cellStyle name="?鹎%U龡&amp;H齲_x0001_C铣_x0014__x0007__x0001__x0001_ 3 4 6 3" xfId="904"/>
    <cellStyle name="?鹎%U龡&amp;H齲_x0001_C铣_x0014__x0007__x0001__x0001_ 3 2 2 2 4 3" xfId="905"/>
    <cellStyle name="?鹎%U龡&amp;H齲_x0001_C铣_x0014__x0007__x0001__x0001_ 3 4 6 3 2" xfId="906"/>
    <cellStyle name="常规 45" xfId="907"/>
    <cellStyle name="常规 50" xfId="908"/>
    <cellStyle name="?鹎%U龡&amp;H齲_x0001_C铣_x0014__x0007__x0001__x0001_ 3 2 2 2 4 3 2" xfId="909"/>
    <cellStyle name="?鹎%U龡&amp;H齲_x0001_C铣_x0014__x0007__x0001__x0001_ 3 4 6 4" xfId="910"/>
    <cellStyle name="?鹎%U龡&amp;H齲_x0001_C铣_x0014__x0007__x0001__x0001_ 3 2 2 2 4 4" xfId="911"/>
    <cellStyle name="?鹎%U龡&amp;H齲_x0001_C铣_x0014__x0007__x0001__x0001_ 3 2 3 3_2015财政决算公开" xfId="912"/>
    <cellStyle name="?鹎%U龡&amp;H齲_x0001_C铣_x0014__x0007__x0001__x0001_ 3 4 6 4 2" xfId="913"/>
    <cellStyle name="?鹎%U龡&amp;H齲_x0001_C铣_x0014__x0007__x0001__x0001_ 3 2 2 2 4 4 2" xfId="914"/>
    <cellStyle name="?鹎%U龡&amp;H齲_x0001_C铣_x0014__x0007__x0001__x0001_ 3 4 6_2015财政决算公开" xfId="915"/>
    <cellStyle name="?鹎%U龡&amp;H齲_x0001_C铣_x0014__x0007__x0001__x0001_ 3 2 2 2 4_2015财政决算公开" xfId="916"/>
    <cellStyle name="常规 10 3" xfId="917"/>
    <cellStyle name="?鹎%U龡&amp;H齲_x0001_C铣_x0014__x0007__x0001__x0001_ 3 4 8 2" xfId="918"/>
    <cellStyle name="?鹎%U龡&amp;H齲_x0001_C铣_x0014__x0007__x0001__x0001_ 3 2 2 2 6 2" xfId="919"/>
    <cellStyle name="?鹎%U龡&amp;H齲_x0001_C铣_x0014__x0007__x0001__x0001_ 3 4 9" xfId="920"/>
    <cellStyle name="?鹎%U龡&amp;H齲_x0001_C铣_x0014__x0007__x0001__x0001_ 3 2 2 2 7" xfId="921"/>
    <cellStyle name="60% - 强调文字颜色 4 5 2 2" xfId="922"/>
    <cellStyle name="?鹎%U龡&amp;H齲_x0001_C铣_x0014__x0007__x0001__x0001_ 3 2 4_2015财政决算公开" xfId="923"/>
    <cellStyle name="?鹎%U龡&amp;H齲_x0001_C铣_x0014__x0007__x0001__x0001_ 4 6 5" xfId="924"/>
    <cellStyle name="?鹎%U龡&amp;H齲_x0001_C铣_x0014__x0007__x0001__x0001_ 3 2 3 4 3" xfId="925"/>
    <cellStyle name="?鹎%U龡&amp;H齲_x0001_C铣_x0014__x0007__x0001__x0001_ 3 3 6 3" xfId="926"/>
    <cellStyle name="?鹎%U龡&amp;H齲_x0001_C铣_x0014__x0007__x0001__x0001_ 3 2 2 2_2015财政决算公开" xfId="927"/>
    <cellStyle name="后继超级链接 3 2 2" xfId="928"/>
    <cellStyle name="?鹎%U龡&amp;H齲_x0001_C铣_x0014__x0007__x0001__x0001_ 3 2 5 2" xfId="929"/>
    <cellStyle name="差 3 3 3" xfId="930"/>
    <cellStyle name="?鹎%U龡&amp;H齲_x0001_C铣_x0014__x0007__x0001__x0001_ 3 2 2 3 2" xfId="931"/>
    <cellStyle name="?鹎%U龡&amp;H齲_x0001_C铣_x0014__x0007__x0001__x0001_ 3 2 5 3" xfId="932"/>
    <cellStyle name="?鹎%U龡&amp;H齲_x0001_C铣_x0014__x0007__x0001__x0001_ 3 2 2 3 3" xfId="933"/>
    <cellStyle name="后继超级链接 3 3" xfId="934"/>
    <cellStyle name="?鹎%U龡&amp;H齲_x0001_C铣_x0014__x0007__x0001__x0001_ 3 2 6" xfId="935"/>
    <cellStyle name="?鹎%U龡&amp;H齲_x0001_C铣_x0014__x0007__x0001__x0001_ 3 2 2 4" xfId="936"/>
    <cellStyle name="标题 1 8" xfId="937"/>
    <cellStyle name="?鹎%U龡&amp;H齲_x0001_C铣_x0014__x0007__x0001__x0001_ 3 2 2 4 4 2" xfId="938"/>
    <cellStyle name="?鹎%U龡&amp;H齲_x0001_C铣_x0014__x0007__x0001__x0001_ 3 2 2 4_2015财政决算公开" xfId="939"/>
    <cellStyle name="?鹎%U龡&amp;H齲_x0001_C铣_x0014__x0007__x0001__x0001_ 3 2 2 5" xfId="940"/>
    <cellStyle name="检查单元格 2 3 2 2 2" xfId="941"/>
    <cellStyle name="20% - 强调文字颜色 2 7 2" xfId="942"/>
    <cellStyle name="?鹎%U龡&amp;H齲_x0001_C铣_x0014__x0007__x0001__x0001_ 3 2 2 5 3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20% - 强调文字颜色 3 9" xfId="947"/>
    <cellStyle name="?鹎%U龡&amp;H齲_x0001_C铣_x0014__x0007__x0001__x0001_ 3 2 2 6 5" xfId="948"/>
    <cellStyle name="?鹎%U龡&amp;H齲_x0001_C铣_x0014__x0007__x0001__x0001_ 3 2 2 7" xfId="949"/>
    <cellStyle name="20% - 强调文字颜色 4 6" xfId="950"/>
    <cellStyle name="?鹎%U龡&amp;H齲_x0001_C铣_x0014__x0007__x0001__x0001_ 3 2 2 7 2" xfId="951"/>
    <cellStyle name="60% - 强调文字颜色 6 3 2 2 2" xfId="952"/>
    <cellStyle name="20% - 强调文字颜色 5 6" xfId="953"/>
    <cellStyle name="?鹎%U龡&amp;H齲_x0001_C铣_x0014__x0007__x0001__x0001_ 3 2 2 8 2" xfId="954"/>
    <cellStyle name="60% - 强调文字颜色 6 3 2 3" xfId="955"/>
    <cellStyle name="?鹎%U龡&amp;H齲_x0001_C铣_x0014__x0007__x0001__x0001_ 3 2 2 9" xfId="956"/>
    <cellStyle name="60% - 强调文字颜色 6 3 2 3 2" xfId="957"/>
    <cellStyle name="20% - 强调文字颜色 6 6" xfId="958"/>
    <cellStyle name="?鹎%U龡&amp;H齲_x0001_C铣_x0014__x0007__x0001__x0001_ 3 2 2 9 2" xfId="959"/>
    <cellStyle name="货币 4 2 2 4" xfId="960"/>
    <cellStyle name="?鹎%U龡&amp;H齲_x0001_C铣_x0014__x0007__x0001__x0001_ 3 2 2_2015财政决算公开" xfId="961"/>
    <cellStyle name="?鹎%U龡&amp;H齲_x0001_C铣_x0014__x0007__x0001__x0001_ 3 2 3" xfId="962"/>
    <cellStyle name="?鹎%U龡&amp;H齲_x0001_C铣_x0014__x0007__x0001__x0001_ 3 2 3 2" xfId="963"/>
    <cellStyle name="差 4 2 3" xfId="964"/>
    <cellStyle name="?鹎%U龡&amp;H齲_x0001_C铣_x0014__x0007__x0001__x0001_ 4 4 4" xfId="965"/>
    <cellStyle name="?鹎%U龡&amp;H齲_x0001_C铣_x0014__x0007__x0001__x0001_ 3 2 3 2 2" xfId="966"/>
    <cellStyle name="?鹎%U龡&amp;H齲_x0001_C铣_x0014__x0007__x0001__x0001_ 4 4 5" xfId="967"/>
    <cellStyle name="?鹎%U龡&amp;H齲_x0001_C铣_x0014__x0007__x0001__x0001_ 3 2 3 2 3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4 5 4" xfId="971"/>
    <cellStyle name="?鹎%U龡&amp;H齲_x0001_C铣_x0014__x0007__x0001__x0001_ 3 2 3 3 2" xfId="972"/>
    <cellStyle name="?鹎%U龡&amp;H齲_x0001_C铣_x0014__x0007__x0001__x0001_ 3 2 3 3 2 2" xfId="973"/>
    <cellStyle name="60% - 强调文字颜色 1 2 3" xfId="974"/>
    <cellStyle name="?鹎%U龡&amp;H齲_x0001_C铣_x0014__x0007__x0001__x0001_ 3 2 3 3 3 2" xfId="975"/>
    <cellStyle name="?鹎%U龡&amp;H齲_x0001_C铣_x0014__x0007__x0001__x0001_ 4 6 4 2" xfId="976"/>
    <cellStyle name="?鹎%U龡&amp;H齲_x0001_C铣_x0014__x0007__x0001__x0001_ 3 2 3 4 2 2" xfId="977"/>
    <cellStyle name="60% - 强调文字颜色 4 5 2 2 2" xfId="978"/>
    <cellStyle name="60% - 强调文字颜色 2 2 3" xfId="979"/>
    <cellStyle name="?鹎%U龡&amp;H齲_x0001_C铣_x0014__x0007__x0001__x0001_ 3 2 3 4 3 2" xfId="980"/>
    <cellStyle name="常规 5 2 4 2 2" xfId="981"/>
    <cellStyle name="60% - 强调文字颜色 4 5 2 3" xfId="982"/>
    <cellStyle name="?鹎%U龡&amp;H齲_x0001_C铣_x0014__x0007__x0001__x0001_ 3 2 3 4 4" xfId="983"/>
    <cellStyle name="60% - 强调文字颜色 2 3 3" xfId="984"/>
    <cellStyle name="?鹎%U龡&amp;H齲_x0001_C铣_x0014__x0007__x0001__x0001_ 3 2 3 4 4 2" xfId="985"/>
    <cellStyle name="百分比 5 2 2 3" xfId="986"/>
    <cellStyle name="?鹎%U龡&amp;H齲_x0001_C铣_x0014__x0007__x0001__x0001_ 3 2 3 7 2" xfId="987"/>
    <cellStyle name="好 3 5" xfId="988"/>
    <cellStyle name="60% - 强调文字颜色 4 2 2" xfId="989"/>
    <cellStyle name="?鹎%U龡&amp;H齲_x0001_C铣_x0014__x0007__x0001__x0001_ 3 2 3_2015财政决算公开" xfId="990"/>
    <cellStyle name="40% - 强调文字颜色 6 4" xfId="991"/>
    <cellStyle name="?鹎%U龡&amp;H齲_x0001_C铣_x0014__x0007__x0001__x0001_ 3 2 6 4" xfId="992"/>
    <cellStyle name="常规 3 2 3" xfId="993"/>
    <cellStyle name="?鹎%U龡&amp;H齲_x0001_C铣_x0014__x0007__x0001__x0001_ 3 2 6_2015财政决算公开" xfId="994"/>
    <cellStyle name="链接单元格 4 2 2" xfId="995"/>
    <cellStyle name="货币 2 4 3 2" xfId="996"/>
    <cellStyle name="?鹎%U龡&amp;H齲_x0001_C铣_x0014__x0007__x0001__x0001_ 3 2 7" xfId="997"/>
    <cellStyle name="?鹎%U龡&amp;H齲_x0001_C铣_x0014__x0007__x0001__x0001_ 3 2 7 2" xfId="998"/>
    <cellStyle name="常规 2 2 2 2 4 3" xfId="999"/>
    <cellStyle name="?鹎%U龡&amp;H齲_x0001_C铣_x0014__x0007__x0001__x0001_ 3 2 7 2 2" xfId="1000"/>
    <cellStyle name="货币 2 2 2 4 2 2" xfId="1001"/>
    <cellStyle name="20% - 强调文字颜色 6 2 3_2015财政决算公开" xfId="1002"/>
    <cellStyle name="?鹎%U龡&amp;H齲_x0001_C铣_x0014__x0007__x0001__x0001_ 3 2 7 3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检查单元格 2 7" xfId="1022"/>
    <cellStyle name="?鹎%U龡&amp;H齲_x0001_C铣_x0014__x0007__x0001__x0001_ 3 3 2 2 3 2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60% - 强调文字颜色 5 4 2 2 2" xfId="1035"/>
    <cellStyle name="?鹎%U龡&amp;H齲_x0001_C铣_x0014__x0007__x0001__x0001_ 3 3 2 4 3 2" xfId="1036"/>
    <cellStyle name="60% - 强调文字颜色 5 4 2 3" xfId="1037"/>
    <cellStyle name="?鹎%U龡&amp;H齲_x0001_C铣_x0014__x0007__x0001__x0001_ 3 3 2 4 4" xfId="1038"/>
    <cellStyle name="?鹎%U龡&amp;H齲_x0001_C铣_x0014__x0007__x0001__x0001_ 3 3 2 4 4 2" xfId="1039"/>
    <cellStyle name="20% - 强调文字颜色 2 3 2 2 2" xfId="1040"/>
    <cellStyle name="?鹎%U龡&amp;H齲_x0001_C铣_x0014__x0007__x0001__x0001_ 3 3 2 4 5" xfId="1041"/>
    <cellStyle name="60% - 强调文字颜色 3 2 2 2 3" xfId="1042"/>
    <cellStyle name="?鹎%U龡&amp;H齲_x0001_C铣_x0014__x0007__x0001__x0001_ 3 3 4 2 2" xfId="1043"/>
    <cellStyle name="?鹎%U龡&amp;H齲_x0001_C铣_x0014__x0007__x0001__x0001_ 3 3 2 4_2015财政决算公开" xfId="1044"/>
    <cellStyle name="?鹎%U龡&amp;H齲_x0001_C铣_x0014__x0007__x0001__x0001_ 3 3 2 5" xfId="1045"/>
    <cellStyle name="强调文字颜色 4 2 2 3 2" xfId="1046"/>
    <cellStyle name="标题 1 2 4" xfId="1047"/>
    <cellStyle name="?鹎%U龡&amp;H齲_x0001_C铣_x0014__x0007__x0001__x0001_ 4 2 3_2015财政决算公开" xfId="1048"/>
    <cellStyle name="?鹎%U龡&amp;H齲_x0001_C铣_x0014__x0007__x0001__x0001_ 3 3 2 5 2" xfId="1049"/>
    <cellStyle name="?鹎%U龡&amp;H齲_x0001_C铣_x0014__x0007__x0001__x0001_ 3 3 2 6" xfId="1050"/>
    <cellStyle name="标题 1 3 4" xfId="1051"/>
    <cellStyle name="?鹎%U龡&amp;H齲_x0001_C铣_x0014__x0007__x0001__x0001_ 3 3 2 6 2" xfId="1052"/>
    <cellStyle name="?鹎%U龡&amp;H齲_x0001_C铣_x0014__x0007__x0001__x0001_ 3 4 2 4 2" xfId="1053"/>
    <cellStyle name="?鹎%U龡&amp;H齲_x0001_C铣_x0014__x0007__x0001__x0001_ 3 3 2 7" xfId="1054"/>
    <cellStyle name="?鹎%U龡&amp;H齲_x0001_C铣_x0014__x0007__x0001__x0001_ 3 4 2 4 2 2" xfId="1055"/>
    <cellStyle name="?鹎%U龡&amp;H齲_x0001_C铣_x0014__x0007__x0001__x0001_ 3 3 2 7 2" xfId="1056"/>
    <cellStyle name="百分比 3 2 2 2 2" xfId="1057"/>
    <cellStyle name="60% - 强调文字颜色 6 4 2 2" xfId="1058"/>
    <cellStyle name="?鹎%U龡&amp;H齲_x0001_C铣_x0014__x0007__x0001__x0001_ 3 4 2 4 3" xfId="1059"/>
    <cellStyle name="?鹎%U龡&amp;H齲_x0001_C铣_x0014__x0007__x0001__x0001_ 3 3 2 8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4" xfId="1063"/>
    <cellStyle name="?鹎%U龡&amp;H齲_x0001_C铣_x0014__x0007__x0001__x0001_ 3 3 3 3" xfId="1064"/>
    <cellStyle name="?鹎%U龡&amp;H齲_x0001_C铣_x0014__x0007__x0001__x0001_ 4 2" xfId="1065"/>
    <cellStyle name="?鹎%U龡&amp;H齲_x0001_C铣_x0014__x0007__x0001__x0001_ 3 3 3 3 2" xfId="1066"/>
    <cellStyle name="强调文字颜色 4 2 3 2" xfId="1067"/>
    <cellStyle name="?鹎%U龡&amp;H齲_x0001_C铣_x0014__x0007__x0001__x0001_ 5" xfId="1068"/>
    <cellStyle name="?鹎%U龡&amp;H齲_x0001_C铣_x0014__x0007__x0001__x0001_ 3 3 3 4" xfId="1069"/>
    <cellStyle name="强调文字颜色 4 2 3 3" xfId="1070"/>
    <cellStyle name="?鹎%U龡&amp;H齲_x0001_C铣_x0014__x0007__x0001__x0001_ 6" xfId="1071"/>
    <cellStyle name="?鹎%U龡&amp;H齲_x0001_C铣_x0014__x0007__x0001__x0001_ 3 3 3 5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60% - 强调文字颜色 5 2 3" xfId="1080"/>
    <cellStyle name="?鹎%U龡&amp;H齲_x0001_C铣_x0014__x0007__x0001__x0001_ 3 3 4_2015财政决算公开" xfId="1081"/>
    <cellStyle name="常规 17_2015财政决算公开" xfId="1082"/>
    <cellStyle name="后继超级链接 4 2" xfId="1083"/>
    <cellStyle name="好 5 2 2" xfId="1084"/>
    <cellStyle name="标题 3 2 2 2 2" xfId="1085"/>
    <cellStyle name="?鹎%U龡&amp;H齲_x0001_C铣_x0014__x0007__x0001__x0001_ 3 3 5" xfId="1086"/>
    <cellStyle name="好 5 2 2 2" xfId="1087"/>
    <cellStyle name="?鹎%U龡&amp;H齲_x0001_C铣_x0014__x0007__x0001__x0001_ 3 3 5 2" xfId="1088"/>
    <cellStyle name="计算 6" xfId="1089"/>
    <cellStyle name="60% - 强调文字颜色 3 2 3 2 3" xfId="1090"/>
    <cellStyle name="20% - 着色 4" xfId="1091"/>
    <cellStyle name="?鹎%U龡&amp;H齲_x0001_C铣_x0014__x0007__x0001__x0001_ 3 3 5 2 2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好 5 2 3" xfId="1097"/>
    <cellStyle name="?鹎%U龡&amp;H齲_x0001_C铣_x0014__x0007__x0001__x0001_ 3 3 6" xfId="1098"/>
    <cellStyle name="?鹎%U龡&amp;H齲_x0001_C铣_x0014__x0007__x0001__x0001_ 3 3 6 2" xfId="1099"/>
    <cellStyle name="60% - 强调文字颜色 5 9" xfId="1100"/>
    <cellStyle name="?鹎%U龡&amp;H齲_x0001_C铣_x0014__x0007__x0001__x0001_ 3 3 6 2 2" xfId="1101"/>
    <cellStyle name="常规 12 2 2 2 3" xfId="1102"/>
    <cellStyle name="60% - 强调文字颜色 6 9" xfId="1103"/>
    <cellStyle name="?鹎%U龡&amp;H齲_x0001_C铣_x0014__x0007__x0001__x0001_ 3 3 6 3 2" xfId="1104"/>
    <cellStyle name="千位分隔 10" xfId="1105"/>
    <cellStyle name="?鹎%U龡&amp;H齲_x0001_C铣_x0014__x0007__x0001__x0001_ 3 3 6 4" xfId="1106"/>
    <cellStyle name="?鹎%U龡&amp;H齲_x0001_C铣_x0014__x0007__x0001__x0001_ 3 3 6 4 2" xfId="1107"/>
    <cellStyle name="常规 49" xfId="1108"/>
    <cellStyle name="常规 54" xfId="1109"/>
    <cellStyle name="40% - 强调文字颜色 4 4 2 2 2" xfId="1110"/>
    <cellStyle name="?鹎%U龡&amp;H齲_x0001_C铣_x0014__x0007__x0001__x0001_ 3 3 6_2015财政决算公开" xfId="1111"/>
    <cellStyle name="货币 2 4 4 2" xfId="1112"/>
    <cellStyle name="?鹎%U龡&amp;H齲_x0001_C铣_x0014__x0007__x0001__x0001_ 3 3 7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常规 2 2 2 4 3 2" xfId="1118"/>
    <cellStyle name="?鹎%U龡&amp;H齲_x0001_C铣_x0014__x0007__x0001__x0001_ 3 3_2015财政决算公开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40% - 强调文字颜色 1 4_2015财政决算公开" xfId="1123"/>
    <cellStyle name="?鹎%U龡&amp;H齲_x0001_C铣_x0014__x0007__x0001__x0001_ 3 4 2 2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货币 4 2 3 3 2" xfId="1130"/>
    <cellStyle name="?鹎%U龡&amp;H齲_x0001_C铣_x0014__x0007__x0001__x0001_ 3 4 2 2 4" xfId="1131"/>
    <cellStyle name="?鹎%U龡&amp;H齲_x0001_C铣_x0014__x0007__x0001__x0001_ 3 4 2 2 4 2" xfId="1132"/>
    <cellStyle name="?鹎%U龡&amp;H齲_x0001_C铣_x0014__x0007__x0001__x0001_ 3 4 2 2 5" xfId="1133"/>
    <cellStyle name="百分比 2 2" xfId="1134"/>
    <cellStyle name="?鹎%U龡&amp;H齲_x0001_C铣_x0014__x0007__x0001__x0001_ 3 4 2 2_2015财政决算公开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60% - 强调文字颜色 6 4 2 2 2" xfId="1145"/>
    <cellStyle name="?鹎%U龡&amp;H齲_x0001_C铣_x0014__x0007__x0001__x0001_ 3 4 2 4 3 2" xfId="1146"/>
    <cellStyle name="60% - 强调文字颜色 6 4 2 3" xfId="1147"/>
    <cellStyle name="?鹎%U龡&amp;H齲_x0001_C铣_x0014__x0007__x0001__x0001_ 3 4 2 4 4" xfId="1148"/>
    <cellStyle name="?鹎%U龡&amp;H齲_x0001_C铣_x0014__x0007__x0001__x0001_ 3 4 2 4 4 2" xfId="1149"/>
    <cellStyle name="20% - 强调文字颜色 2 4 2 2 2" xfId="1150"/>
    <cellStyle name="?鹎%U龡&amp;H齲_x0001_C铣_x0014__x0007__x0001__x0001_ 3 4 2 4 5" xfId="1151"/>
    <cellStyle name="常规 2 3 3 2" xfId="1152"/>
    <cellStyle name="?鹎%U龡&amp;H齲_x0001_C铣_x0014__x0007__x0001__x0001_ 3 4 2 4_2015财政决算公开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40% - 强调文字颜色 5 3 2 2 2 2" xfId="1157"/>
    <cellStyle name="?鹎%U龡&amp;H齲_x0001_C铣_x0014__x0007__x0001__x0001_ 3 4 3 4 2" xfId="1158"/>
    <cellStyle name="?鹎%U龡&amp;H齲_x0001_C铣_x0014__x0007__x0001__x0001_ 3 4 2 7" xfId="1159"/>
    <cellStyle name="?鹎%U龡&amp;H齲_x0001_C铣_x0014__x0007__x0001__x0001_ 3 4 2 7 2" xfId="1160"/>
    <cellStyle name="常规 2 2 2 8 2" xfId="1161"/>
    <cellStyle name="60% - 强调文字颜色 6 5 2 2" xfId="1162"/>
    <cellStyle name="?鹎%U龡&amp;H齲_x0001_C铣_x0014__x0007__x0001__x0001_ 3 4 2 8" xfId="1163"/>
    <cellStyle name="货币 2 2 2" xfId="1164"/>
    <cellStyle name="?鹎%U龡&amp;H齲_x0001_C铣_x0014__x0007__x0001__x0001_ 3 4 2_2015财政决算公开" xfId="1165"/>
    <cellStyle name="差 3 2 2" xfId="1166"/>
    <cellStyle name="?鹎%U龡&amp;H齲_x0001_C铣_x0014__x0007__x0001__x0001_ 3 4 3" xfId="1167"/>
    <cellStyle name="差 3 2 2 2" xfId="1168"/>
    <cellStyle name="?鹎%U龡&amp;H齲_x0001_C铣_x0014__x0007__x0001__x0001_ 3 4 3 2" xfId="1169"/>
    <cellStyle name="差 3 2 2 2 2" xfId="1170"/>
    <cellStyle name="?鹎%U龡&amp;H齲_x0001_C铣_x0014__x0007__x0001__x0001_ 3 4 3 2 2" xfId="1171"/>
    <cellStyle name="差 3 2 2 3" xfId="1172"/>
    <cellStyle name="?鹎%U龡&amp;H齲_x0001_C铣_x0014__x0007__x0001__x0001_ 3 4 3 3" xfId="1173"/>
    <cellStyle name="?鹎%U龡&amp;H齲_x0001_C铣_x0014__x0007__x0001__x0001_ 3 4 3 3 2" xfId="1174"/>
    <cellStyle name="40% - 强调文字颜色 5 3 2 2 2" xfId="1175"/>
    <cellStyle name="?鹎%U龡&amp;H齲_x0001_C铣_x0014__x0007__x0001__x0001_ 3 4 3 4" xfId="1176"/>
    <cellStyle name="40% - 强调文字颜色 5 3 2 2 3" xfId="1177"/>
    <cellStyle name="?鹎%U龡&amp;H齲_x0001_C铣_x0014__x0007__x0001__x0001_ 3 4 3 5" xfId="1178"/>
    <cellStyle name="货币 2 2 3 4" xfId="1179"/>
    <cellStyle name="?鹎%U龡&amp;H齲_x0001_C铣_x0014__x0007__x0001__x0001_ 3 4 3_2015财政决算公开" xfId="1180"/>
    <cellStyle name="?鹎%U龡&amp;H齲_x0001_C铣_x0014__x0007__x0001__x0001_ 3 5" xfId="1181"/>
    <cellStyle name="?鹎%U龡&amp;H齲_x0001_C铣_x0014__x0007__x0001__x0001_ 3 5 2" xfId="1182"/>
    <cellStyle name="货币 3" xfId="1183"/>
    <cellStyle name="?鹎%U龡&amp;H齲_x0001_C铣_x0014__x0007__x0001__x0001_ 3 5 2 2" xfId="1184"/>
    <cellStyle name="差 3 3 2" xfId="1185"/>
    <cellStyle name="?鹎%U龡&amp;H齲_x0001_C铣_x0014__x0007__x0001__x0001_ 3 5 3" xfId="1186"/>
    <cellStyle name="货币 3 4 2" xfId="1187"/>
    <cellStyle name="?鹎%U龡&amp;H齲_x0001_C铣_x0014__x0007__x0001__x0001_ 3 5_2015财政决算公开" xfId="1188"/>
    <cellStyle name="?鹎%U龡&amp;H齲_x0001_C铣_x0014__x0007__x0001__x0001_ 3 6" xfId="1189"/>
    <cellStyle name="强调文字颜色 2 2 2 3" xfId="1190"/>
    <cellStyle name="20% - 强调文字颜色 1 4" xfId="1191"/>
    <cellStyle name="?鹎%U龡&amp;H齲_x0001_C铣_x0014__x0007__x0001__x0001_ 3 6 2" xfId="1192"/>
    <cellStyle name="20% - 强调文字颜色 5 4_2015财政决算公开" xfId="1193"/>
    <cellStyle name="强调文字颜色 2 2 2 3 2" xfId="1194"/>
    <cellStyle name="20% - 强调文字颜色 1 4 2" xfId="1195"/>
    <cellStyle name="?鹎%U龡&amp;H齲_x0001_C铣_x0014__x0007__x0001__x0001_ 3 6 2 2" xfId="1196"/>
    <cellStyle name="差 3 4 2" xfId="1197"/>
    <cellStyle name="40% - 强调文字颜色 4 2 4_2015财政决算公开" xfId="1198"/>
    <cellStyle name="强调文字颜色 2 2 2 4" xfId="1199"/>
    <cellStyle name="20% - 强调文字颜色 1 5" xfId="1200"/>
    <cellStyle name="?鹎%U龡&amp;H齲_x0001_C铣_x0014__x0007__x0001__x0001_ 3 6 3" xfId="1201"/>
    <cellStyle name="20% - 强调文字颜色 1 5 2" xfId="1202"/>
    <cellStyle name="?鹎%U龡&amp;H齲_x0001_C铣_x0014__x0007__x0001__x0001_ 3 6 3 2" xfId="1203"/>
    <cellStyle name="?鹎%U龡&amp;H齲_x0001_C铣_x0014__x0007__x0001__x0001_ 3 7" xfId="1204"/>
    <cellStyle name="强调文字颜色 2 2 3 3" xfId="1205"/>
    <cellStyle name="20% - 强调文字颜色 2 4" xfId="1206"/>
    <cellStyle name="?鹎%U龡&amp;H齲_x0001_C铣_x0014__x0007__x0001__x0001_ 3 7 2" xfId="1207"/>
    <cellStyle name="?鹎%U龡&amp;H齲_x0001_C铣_x0014__x0007__x0001__x0001_ 3 8" xfId="1208"/>
    <cellStyle name="常规 3 2 7" xfId="1209"/>
    <cellStyle name="强调文字颜色 2 2 4 3" xfId="1210"/>
    <cellStyle name="20% - 强调文字颜色 3 4" xfId="1211"/>
    <cellStyle name="?鹎%U龡&amp;H齲_x0001_C铣_x0014__x0007__x0001__x0001_ 3 8 2" xfId="1212"/>
    <cellStyle name="?鹎%U龡&amp;H齲_x0001_C铣_x0014__x0007__x0001__x0001_ 3 9" xfId="1213"/>
    <cellStyle name="20% - 强调文字颜色 4 4" xfId="1214"/>
    <cellStyle name="?鹎%U龡&amp;H齲_x0001_C铣_x0014__x0007__x0001__x0001_ 3 9 2" xfId="1215"/>
    <cellStyle name="?鹎%U龡&amp;H齲_x0001_C铣_x0014__x0007__x0001__x0001_ 3_2015财政决算公开" xfId="1216"/>
    <cellStyle name="标题 4 4" xfId="1217"/>
    <cellStyle name="?鹎%U龡&amp;H齲_x0001_C铣_x0014__x0007__x0001__x0001_ 4 2 2" xfId="1218"/>
    <cellStyle name="标题 4 4 2" xfId="1219"/>
    <cellStyle name="?鹎%U龡&amp;H齲_x0001_C铣_x0014__x0007__x0001__x0001_ 4 2 2 2" xfId="1220"/>
    <cellStyle name="标题 4 4 2 2" xfId="1221"/>
    <cellStyle name="40% - 强调文字颜色 5 2 2 3" xfId="1222"/>
    <cellStyle name="?鹎%U龡&amp;H齲_x0001_C铣_x0014__x0007__x0001__x0001_ 4 2 2 2 2" xfId="1223"/>
    <cellStyle name="标题 4 4 3" xfId="1224"/>
    <cellStyle name="?鹎%U龡&amp;H齲_x0001_C铣_x0014__x0007__x0001__x0001_ 4 2 2 3" xfId="1225"/>
    <cellStyle name="常规 3 2 2 5" xfId="1226"/>
    <cellStyle name="40% - 强调文字颜色 5 2 3 3" xfId="1227"/>
    <cellStyle name="?鹎%U龡&amp;H齲_x0001_C铣_x0014__x0007__x0001__x0001_ 4 2 2 3 2" xfId="1228"/>
    <cellStyle name="?鹎%U龡&amp;H齲_x0001_C铣_x0014__x0007__x0001__x0001_ 4 2 2 4" xfId="1229"/>
    <cellStyle name="常规 3 2 3 5" xfId="1230"/>
    <cellStyle name="?鹎%U龡&amp;H齲_x0001_C铣_x0014__x0007__x0001__x0001_ 4 2 2 4 2" xfId="1231"/>
    <cellStyle name="?鹎%U龡&amp;H齲_x0001_C铣_x0014__x0007__x0001__x0001_ 4 2 2 5" xfId="1232"/>
    <cellStyle name="常规 3 2 4 5" xfId="1233"/>
    <cellStyle name="?鹎%U龡&amp;H齲_x0001_C铣_x0014__x0007__x0001__x0001_ 4 2 2 5 2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标题 4 5" xfId="1238"/>
    <cellStyle name="?鹎%U龡&amp;H齲_x0001_C铣_x0014__x0007__x0001__x0001_ 4 2 3" xfId="1239"/>
    <cellStyle name="标题 4 5 2" xfId="1240"/>
    <cellStyle name="?鹎%U龡&amp;H齲_x0001_C铣_x0014__x0007__x0001__x0001_ 4 2 3 2" xfId="1241"/>
    <cellStyle name="标题 4 5 2 2" xfId="1242"/>
    <cellStyle name="40% - 强调文字颜色 5 3 2 3" xfId="1243"/>
    <cellStyle name="?鹎%U龡&amp;H齲_x0001_C铣_x0014__x0007__x0001__x0001_ 4 2 3 2 2" xfId="1244"/>
    <cellStyle name="标题 4 5 3" xfId="1245"/>
    <cellStyle name="?鹎%U龡&amp;H齲_x0001_C铣_x0014__x0007__x0001__x0001_ 4 2 3 3" xfId="1246"/>
    <cellStyle name="40% - 强调文字颜色 5 3 3 3" xfId="1247"/>
    <cellStyle name="?鹎%U龡&amp;H齲_x0001_C铣_x0014__x0007__x0001__x0001_ 4 2 3 3 2" xfId="1248"/>
    <cellStyle name="?鹎%U龡&amp;H齲_x0001_C铣_x0014__x0007__x0001__x0001_ 4 2 3 4" xfId="1249"/>
    <cellStyle name="常规 4 2 2 2 5 2" xfId="1250"/>
    <cellStyle name="标题 4 6" xfId="1251"/>
    <cellStyle name="?鹎%U龡&amp;H齲_x0001_C铣_x0014__x0007__x0001__x0001_ 4 2 4" xfId="1252"/>
    <cellStyle name="标题 4 6 2" xfId="1253"/>
    <cellStyle name="?鹎%U龡&amp;H齲_x0001_C铣_x0014__x0007__x0001__x0001_ 4 2 4 2" xfId="1254"/>
    <cellStyle name="40% - 强调文字颜色 5 4 2 3" xfId="1255"/>
    <cellStyle name="?鹎%U龡&amp;H齲_x0001_C铣_x0014__x0007__x0001__x0001_ 4 2 4 2 2" xfId="1256"/>
    <cellStyle name="20% - 强调文字颜色 4 2 3 2 2 2" xfId="1257"/>
    <cellStyle name="?鹎%U龡&amp;H齲_x0001_C铣_x0014__x0007__x0001__x0001_ 4 2 4 3" xfId="1258"/>
    <cellStyle name="货币 2 2 2 8" xfId="1259"/>
    <cellStyle name="?鹎%U龡&amp;H齲_x0001_C铣_x0014__x0007__x0001__x0001_ 4 2 4 3 2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货币 2 3 6" xfId="1264"/>
    <cellStyle name="?鹎%U龡&amp;H齲_x0001_C铣_x0014__x0007__x0001__x0001_ 4 2 4_2015财政决算公开" xfId="1265"/>
    <cellStyle name="标题 4 7" xfId="1266"/>
    <cellStyle name="?鹎%U龡&amp;H齲_x0001_C铣_x0014__x0007__x0001__x0001_ 4 2 5" xfId="1267"/>
    <cellStyle name="?鹎%U龡&amp;H齲_x0001_C铣_x0014__x0007__x0001__x0001_ 4 2 5 2" xfId="1268"/>
    <cellStyle name="标题 4 8" xfId="1269"/>
    <cellStyle name="?鹎%U龡&amp;H齲_x0001_C铣_x0014__x0007__x0001__x0001_ 4 2 6" xfId="1270"/>
    <cellStyle name="?鹎%U龡&amp;H齲_x0001_C铣_x0014__x0007__x0001__x0001_ 4 2 6 2" xfId="1271"/>
    <cellStyle name="链接单元格 5 2 2" xfId="1272"/>
    <cellStyle name="货币 2 5 3 2" xfId="1273"/>
    <cellStyle name="?鹎%U龡&amp;H齲_x0001_C铣_x0014__x0007__x0001__x0001_ 4 2 7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标题 5 4" xfId="1279"/>
    <cellStyle name="?鹎%U龡&amp;H齲_x0001_C铣_x0014__x0007__x0001__x0001_ 4 3 2" xfId="1280"/>
    <cellStyle name="标题 5 4 2" xfId="1281"/>
    <cellStyle name="?鹎%U龡&amp;H齲_x0001_C铣_x0014__x0007__x0001__x0001_ 4 3 2 2" xfId="1282"/>
    <cellStyle name="标题 5 5" xfId="1283"/>
    <cellStyle name="?鹎%U龡&amp;H齲_x0001_C铣_x0014__x0007__x0001__x0001_ 4 3 3" xfId="1284"/>
    <cellStyle name="标题 5 5 2" xfId="1285"/>
    <cellStyle name="?鹎%U龡&amp;H齲_x0001_C铣_x0014__x0007__x0001__x0001_ 4 3 3 2" xfId="1286"/>
    <cellStyle name="标题 5 6" xfId="1287"/>
    <cellStyle name="?鹎%U龡&amp;H齲_x0001_C铣_x0014__x0007__x0001__x0001_ 4 3 4" xfId="1288"/>
    <cellStyle name="?鹎%U龡&amp;H齲_x0001_C铣_x0014__x0007__x0001__x0001_ 4 3 4 2" xfId="1289"/>
    <cellStyle name="好 6 2 2" xfId="1290"/>
    <cellStyle name="标题 5 7" xfId="1291"/>
    <cellStyle name="标题 3 2 3 2 2" xfId="1292"/>
    <cellStyle name="?鹎%U龡&amp;H齲_x0001_C铣_x0014__x0007__x0001__x0001_ 4 3 5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差 4 2 2" xfId="1300"/>
    <cellStyle name="?鹎%U龡&amp;H齲_x0001_C铣_x0014__x0007__x0001__x0001_ 4 4 3" xfId="1301"/>
    <cellStyle name="差 4 2 2 2" xfId="1302"/>
    <cellStyle name="?鹎%U龡&amp;H齲_x0001_C铣_x0014__x0007__x0001__x0001_ 4 4 3 2" xfId="1303"/>
    <cellStyle name="好 2 2 2 2" xfId="1304"/>
    <cellStyle name="?鹎%U龡&amp;H齲_x0001_C铣_x0014__x0007__x0001__x0001_ 4 4_2015财政决算公开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差 4 3 2" xfId="1309"/>
    <cellStyle name="?鹎%U龡&amp;H齲_x0001_C铣_x0014__x0007__x0001__x0001_ 4 5 3" xfId="1310"/>
    <cellStyle name="?鹎%U龡&amp;H齲_x0001_C铣_x0014__x0007__x0001__x0001_ 4 5 3 2" xfId="1311"/>
    <cellStyle name="?鹎%U龡&amp;H齲_x0001_C铣_x0014__x0007__x0001__x0001_ 4 6" xfId="1312"/>
    <cellStyle name="输入 3" xfId="1313"/>
    <cellStyle name="常规 2 9" xfId="1314"/>
    <cellStyle name="?鹎%U龡&amp;H齲_x0001_C铣_x0014__x0007__x0001__x0001_ 4 6 2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货币 4 4 3" xfId="1319"/>
    <cellStyle name="?鹎%U龡&amp;H齲_x0001_C铣_x0014__x0007__x0001__x0001_ 4 6_2015财政决算公开" xfId="1320"/>
    <cellStyle name="?鹎%U龡&amp;H齲_x0001_C铣_x0014__x0007__x0001__x0001_ 4 7" xfId="1321"/>
    <cellStyle name="常规 3 9" xfId="1322"/>
    <cellStyle name="?鹎%U龡&amp;H齲_x0001_C铣_x0014__x0007__x0001__x0001_ 4 7 2" xfId="1323"/>
    <cellStyle name="40% - 强调文字颜色 5 3 2_2015财政决算公开" xfId="1324"/>
    <cellStyle name="?鹎%U龡&amp;H齲_x0001_C铣_x0014__x0007__x0001__x0001_ 4 8" xfId="1325"/>
    <cellStyle name="常规 4 2 7" xfId="1326"/>
    <cellStyle name="?鹎%U龡&amp;H齲_x0001_C铣_x0014__x0007__x0001__x0001_ 4 8 2" xfId="1327"/>
    <cellStyle name="?鹎%U龡&amp;H齲_x0001_C铣_x0014__x0007__x0001__x0001_ 4 9" xfId="1328"/>
    <cellStyle name="千位分隔 4 2 3 3" xfId="1329"/>
    <cellStyle name="常规 5 9" xfId="1330"/>
    <cellStyle name="?鹎%U龡&amp;H齲_x0001_C铣_x0014__x0007__x0001__x0001_ 4 9 2" xfId="1331"/>
    <cellStyle name="?鹎%U龡&amp;H齲_x0001_C铣_x0014__x0007__x0001__x0001_ 4_2015财政决算公开" xfId="1332"/>
    <cellStyle name="60% - 强调文字颜色 5 5 2 2 2" xfId="1333"/>
    <cellStyle name="?鹎%U龡&amp;H齲_x0001_C铣_x0014__x0007__x0001__x0001_ 5 3 2" xfId="1334"/>
    <cellStyle name="60% - 强调文字颜色 5 5 2 3" xfId="1335"/>
    <cellStyle name="40% - 强调文字颜色 6 3 2 2 2 2" xfId="1336"/>
    <cellStyle name="?鹎%U龡&amp;H齲_x0001_C铣_x0014__x0007__x0001__x0001_ 5 4" xfId="1337"/>
    <cellStyle name="强调文字颜色 4 2 3 3 2" xfId="1338"/>
    <cellStyle name="?鹎%U龡&amp;H齲_x0001_C铣_x0014__x0007__x0001__x0001_ 6 2" xfId="1339"/>
    <cellStyle name="标题 2 2 4" xfId="1340"/>
    <cellStyle name="货币 3 6" xfId="1341"/>
    <cellStyle name="?鹎%U龡&amp;H齲_x0001_C铣_x0014__x0007__x0001__x0001_ 6 2 2" xfId="1342"/>
    <cellStyle name="标题 2 2 4 2" xfId="1343"/>
    <cellStyle name="?鹎%U龡&amp;H齲_x0001_C铣_x0014__x0007__x0001__x0001_ 6 3" xfId="1344"/>
    <cellStyle name="标题 2 2 5" xfId="1345"/>
    <cellStyle name="60% - 强调文字颜色 5 5 3 2" xfId="1346"/>
    <cellStyle name="货币 4 6" xfId="1347"/>
    <cellStyle name="?鹎%U龡&amp;H齲_x0001_C铣_x0014__x0007__x0001__x0001_ 6 3 2" xfId="1348"/>
    <cellStyle name="?鹎%U龡&amp;H齲_x0001_C铣_x0014__x0007__x0001__x0001_ 6 4" xfId="1349"/>
    <cellStyle name="?鹎%U龡&amp;H齲_x0001_C铣_x0014__x0007__x0001__x0001_ 6_2015财政决算公开" xfId="1350"/>
    <cellStyle name="计算 7" xfId="1351"/>
    <cellStyle name="20% - 着色 5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60% - 强调文字颜色 4 2 3 3 2" xfId="1359"/>
    <cellStyle name="40% - 强调文字颜色 6 5 3 2" xfId="1360"/>
    <cellStyle name="20% - 强调文字颜色 1 2 2 2 3" xfId="1361"/>
    <cellStyle name="20% - 强调文字颜色 1 2 2 3" xfId="1362"/>
    <cellStyle name="20% - 强调文字颜色 1 2 2 3 2" xfId="1363"/>
    <cellStyle name="20% - 强调文字颜色 1 2 2 4" xfId="1364"/>
    <cellStyle name="计算 4 4" xfId="1365"/>
    <cellStyle name="20% - 强调文字颜色 1 2 2_2015财政决算公开" xfId="1366"/>
    <cellStyle name="20% - 强调文字颜色 1 2 3" xfId="1367"/>
    <cellStyle name="20% - 强调文字颜色 1 2 3 2" xfId="1368"/>
    <cellStyle name="20% - 强调文字颜色 1 2 3 2 2 2" xfId="1369"/>
    <cellStyle name="常规 13 2 2 2 2" xfId="1370"/>
    <cellStyle name="20% - 强调文字颜色 1 2 3 2 3" xfId="1371"/>
    <cellStyle name="20% - 强调文字颜色 1 2 3 2_2015财政决算公开" xfId="1372"/>
    <cellStyle name="20% - 强调文字颜色 1 2 3 3" xfId="1373"/>
    <cellStyle name="20% - 强调文字颜色 1 2 3 3 2" xfId="1374"/>
    <cellStyle name="40% - 强调文字颜色 2 2 2_2015财政决算公开" xfId="1375"/>
    <cellStyle name="20% - 强调文字颜色 1 2 3 4" xfId="1376"/>
    <cellStyle name="20% - 强调文字颜色 1 2 3 5" xfId="1377"/>
    <cellStyle name="20% - 强调文字颜色 1 2 3_2015财政决算公开" xfId="1378"/>
    <cellStyle name="20% - 强调文字颜色 1 2 4" xfId="1379"/>
    <cellStyle name="40% - 强调文字颜色 1 5 3" xfId="1380"/>
    <cellStyle name="20% - 强调文字颜色 1 2 4 2 2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60% - 强调文字颜色 1 5 2 2 2" xfId="1399"/>
    <cellStyle name="20% - 强调文字颜色 1 3 2_2015财政决算公开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常规 2 2 2 2 2" xfId="1405"/>
    <cellStyle name="20% - 强调文字颜色 1 3 3_2015财政决算公开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百分比 4" xfId="1418"/>
    <cellStyle name="20% - 强调文字颜色 1 4_2015财政决算公开" xfId="1419"/>
    <cellStyle name="60% - 强调文字颜色 3 3" xfId="1420"/>
    <cellStyle name="20% - 强调文字颜色 1 5 2 2" xfId="1421"/>
    <cellStyle name="60% - 强调文字颜色 3 3 2" xfId="1422"/>
    <cellStyle name="20% - 强调文字颜色 1 5 2 2 2" xfId="1423"/>
    <cellStyle name="常规 2 4 2 6 2" xfId="1424"/>
    <cellStyle name="60% - 强调文字颜色 3 4" xfId="1425"/>
    <cellStyle name="20% - 强调文字颜色 1 5 2 3" xfId="1426"/>
    <cellStyle name="常规 2 3 2 3 3 2" xfId="1427"/>
    <cellStyle name="20% - 强调文字颜色 1 5 2_2015财政决算公开" xfId="1428"/>
    <cellStyle name="20% - 强调文字颜色 4 2 3 2_2015财政决算公开" xfId="1429"/>
    <cellStyle name="20% - 强调文字颜色 1 5 3" xfId="1430"/>
    <cellStyle name="60% - 强调文字颜色 4 3" xfId="1431"/>
    <cellStyle name="20% - 强调文字颜色 1 5 3 2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货币 4 2 4" xfId="1438"/>
    <cellStyle name="20% - 强调文字颜色 1 6_2015财政决算公开" xfId="1439"/>
    <cellStyle name="20% - 强调文字颜色 2 2" xfId="1440"/>
    <cellStyle name="40% - 强调文字颜色 3 2 7" xfId="1441"/>
    <cellStyle name="20% - 强调文字颜色 2 2 2" xfId="1442"/>
    <cellStyle name="20% - 强调文字颜色 2 2 2 2" xfId="1443"/>
    <cellStyle name="标题 2 8" xfId="1444"/>
    <cellStyle name="20% - 强调文字颜色 2 2 2 2 2 2" xfId="1445"/>
    <cellStyle name="60% - 强调文字颜色 5 2 3 3 2" xfId="1446"/>
    <cellStyle name="20% - 强调文字颜色 2 2 2 2 3" xfId="1447"/>
    <cellStyle name="20% - 强调文字颜色 2 2 2 2_2015财政决算公开" xfId="1448"/>
    <cellStyle name="20% - 强调文字颜色 2 2 2 3" xfId="1449"/>
    <cellStyle name="20% - 强调文字颜色 2 9" xfId="1450"/>
    <cellStyle name="20% - 强调文字颜色 2 2 2 3 2" xfId="1451"/>
    <cellStyle name="常规 2 2 2 2 5 2" xfId="1452"/>
    <cellStyle name="20% - 强调文字颜色 2 2 2 4" xfId="1453"/>
    <cellStyle name="检查单元格 6 2" xfId="1454"/>
    <cellStyle name="小数 4 2" xfId="1455"/>
    <cellStyle name="20% - 强调文字颜色 2 2 2_2015财政决算公开" xfId="1456"/>
    <cellStyle name="常规 2 5 2 2 2" xfId="1457"/>
    <cellStyle name="20% - 强调文字颜色 2 2 3" xfId="1458"/>
    <cellStyle name="20% - 强调文字颜色 2 2 3 2" xfId="1459"/>
    <cellStyle name="60% - 强调文字颜色 2 4 3" xfId="1460"/>
    <cellStyle name="20% - 强调文字颜色 2 2 3 2 2 2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常规 2 2 2 2 6 2" xfId="1466"/>
    <cellStyle name="20% - 强调文字颜色 2 2 3 4" xfId="1467"/>
    <cellStyle name="60% - 强调文字颜色 1 2 3 2 2 2" xfId="1468"/>
    <cellStyle name="20% - 强调文字颜色 2 2 4" xfId="1469"/>
    <cellStyle name="20% - 强调文字颜色 2 2 4 2" xfId="1470"/>
    <cellStyle name="20% - 强调文字颜色 2 2 4 2 2" xfId="1471"/>
    <cellStyle name="20% - 强调文字颜色 2 2 4 3" xfId="1472"/>
    <cellStyle name="40% - 强调文字颜色 3 3 2_2015财政决算公开" xfId="1473"/>
    <cellStyle name="20% - 强调文字颜色 2 2 4 4" xfId="1474"/>
    <cellStyle name="20% - 强调文字颜色 2 2 4_2015财政决算公开" xfId="1475"/>
    <cellStyle name="20% - 强调文字颜色 6 3 2 2 2 2" xfId="1476"/>
    <cellStyle name="20% - 强调文字颜色 2 2 5" xfId="1477"/>
    <cellStyle name="20% - 强调文字颜色 2 2 5 2" xfId="1478"/>
    <cellStyle name="20% - 强调文字颜色 2 2 6" xfId="1479"/>
    <cellStyle name="60% - 强调文字颜色 1 4 2 3" xfId="1480"/>
    <cellStyle name="20% - 强调文字颜色 2 2_2015财政决算公开" xfId="1481"/>
    <cellStyle name="20% - 强调文字颜色 4 3 2 3 2" xfId="1482"/>
    <cellStyle name="强调文字颜色 2 2 3 2" xfId="1483"/>
    <cellStyle name="20% - 强调文字颜色 2 3" xfId="1484"/>
    <cellStyle name="常规 35" xfId="1485"/>
    <cellStyle name="常规 40" xfId="1486"/>
    <cellStyle name="强调文字颜色 2 2 3 2 2" xfId="1487"/>
    <cellStyle name="20% - 强调文字颜色 2 3 2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常规 36" xfId="1498"/>
    <cellStyle name="常规 41" xfId="1499"/>
    <cellStyle name="强调文字颜色 2 2 3 2 3" xfId="1500"/>
    <cellStyle name="20% - 强调文字颜色 2 3 3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常规 37" xfId="1506"/>
    <cellStyle name="常规 42" xfId="1507"/>
    <cellStyle name="20% - 强调文字颜色 2 3 4" xfId="1508"/>
    <cellStyle name="40% - 强调文字颜色 1 2 6" xfId="1509"/>
    <cellStyle name="20% - 强调文字颜色 2 3 4 2" xfId="1510"/>
    <cellStyle name="常规 38" xfId="1511"/>
    <cellStyle name="常规 43" xfId="1512"/>
    <cellStyle name="20% - 强调文字颜色 2 3 5" xfId="1513"/>
    <cellStyle name="常规 2 4 2 2 4 2" xfId="1514"/>
    <cellStyle name="20% - 强调文字颜色 2 3_2015财政决算公开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6 5_2015财政决算公开" xfId="1519"/>
    <cellStyle name="20% - 强调文字颜色 2 4 3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6 6 3" xfId="1530"/>
    <cellStyle name="60% - 强调文字颜色 1 6 2 2" xfId="1531"/>
    <cellStyle name="20% - 强调文字颜色 2 5 2_2015财政决算公开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常规 3 2 5" xfId="1541"/>
    <cellStyle name="20% - 强调文字颜色 3 2" xfId="1542"/>
    <cellStyle name="常规 3 2 5 2" xfId="1543"/>
    <cellStyle name="40% - 强调文字颜色 4 2 7" xfId="1544"/>
    <cellStyle name="20% - 强调文字颜色 3 2 2" xfId="1545"/>
    <cellStyle name="常规 2 2 6 4" xfId="1546"/>
    <cellStyle name="百分比 4 2 4" xfId="1547"/>
    <cellStyle name="20% - 强调文字颜色 3 2 2 2" xfId="1548"/>
    <cellStyle name="20% - 强调文字颜色 3 2 2 2 2" xfId="1549"/>
    <cellStyle name="20% - 强调文字颜色 3 2 2 2 2 2" xfId="1550"/>
    <cellStyle name="60% - 强调文字颜色 6 2 3 3 2" xfId="1551"/>
    <cellStyle name="20% - 强调文字颜色 3 2 2 2 3" xfId="1552"/>
    <cellStyle name="常规 51 2" xfId="1553"/>
    <cellStyle name="20% - 强调文字颜色 3 2 2 2_2015财政决算公开" xfId="1554"/>
    <cellStyle name="20% - 强调文字颜色 3 2 2 3" xfId="1555"/>
    <cellStyle name="20% - 强调文字颜色 3 2 2 3 2" xfId="1556"/>
    <cellStyle name="常规 12 2 3 2 2" xfId="1557"/>
    <cellStyle name="20% - 强调文字颜色 3 2 2 4" xfId="1558"/>
    <cellStyle name="20% - 强调文字颜色 3 2 2_2015财政决算公开" xfId="1559"/>
    <cellStyle name="20% - 强调文字颜色 3 2 3" xfId="1560"/>
    <cellStyle name="汇总 5" xfId="1561"/>
    <cellStyle name="常规 2 2 7 4" xfId="1562"/>
    <cellStyle name="20% - 强调文字颜色 3 2 3 2" xfId="1563"/>
    <cellStyle name="汇总 5 2" xfId="1564"/>
    <cellStyle name="常规 2 2 7 4 2" xfId="1565"/>
    <cellStyle name="20% - 强调文字颜色 3 2 3 2 2" xfId="1566"/>
    <cellStyle name="汇总 5 2 2" xfId="1567"/>
    <cellStyle name="20% - 强调文字颜色 3 2 3 2 2 2" xfId="1568"/>
    <cellStyle name="汇总 5 3" xfId="1569"/>
    <cellStyle name="20% - 强调文字颜色 3 2 3 2 3" xfId="1570"/>
    <cellStyle name="常规 5 4" xfId="1571"/>
    <cellStyle name="常规 4 3 2" xfId="1572"/>
    <cellStyle name="20% - 强调文字颜色 3 2 3 2_2015财政决算公开" xfId="1573"/>
    <cellStyle name="汇总 6" xfId="1574"/>
    <cellStyle name="常规 2 2 7 5" xfId="1575"/>
    <cellStyle name="20% - 强调文字颜色 3 2 3 3" xfId="1576"/>
    <cellStyle name="汇总 6 2" xfId="1577"/>
    <cellStyle name="常规 10 2 3" xfId="1578"/>
    <cellStyle name="20% - 强调文字颜色 3 2 3 3 2" xfId="1579"/>
    <cellStyle name="汇总 7" xfId="1580"/>
    <cellStyle name="20% - 强调文字颜色 6 2 2_2015财政决算公开" xfId="1581"/>
    <cellStyle name="20% - 强调文字颜色 3 2 3 4" xfId="1582"/>
    <cellStyle name="汇总 2 2 2 2" xfId="1583"/>
    <cellStyle name="20% - 强调文字颜色 3 2 3 5" xfId="1584"/>
    <cellStyle name="解释性文本 6 2" xfId="1585"/>
    <cellStyle name="差 3 2" xfId="1586"/>
    <cellStyle name="20% - 强调文字颜色 3 2 3_2015财政决算公开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常规 3 2 6" xfId="1599"/>
    <cellStyle name="强调文字颜色 2 2 4 2" xfId="1600"/>
    <cellStyle name="20% - 强调文字颜色 3 3" xfId="1601"/>
    <cellStyle name="常规 3 2 6 2" xfId="1602"/>
    <cellStyle name="强调文字颜色 2 2 4 2 2" xfId="1603"/>
    <cellStyle name="20% - 强调文字颜色 3 3 2" xfId="1604"/>
    <cellStyle name="常规 2 3 6 4" xfId="1605"/>
    <cellStyle name="百分比 5 2 4" xfId="1606"/>
    <cellStyle name="20% - 强调文字颜色 3 3 2 2" xfId="1607"/>
    <cellStyle name="常规 2 3 6 4 2" xfId="1608"/>
    <cellStyle name="20% - 强调文字颜色 3 3 2 2 2" xfId="1609"/>
    <cellStyle name="20% - 强调文字颜色 3 3 2 2 2 2" xfId="1610"/>
    <cellStyle name="20% - 强调文字颜色 3 3 2 2 3" xfId="1611"/>
    <cellStyle name="20% - 强调文字颜色 3 3 2 2_2015财政决算公开" xfId="1612"/>
    <cellStyle name="常规 2 3 6 5" xfId="1613"/>
    <cellStyle name="20% - 强调文字颜色 3 3 2 3" xfId="1614"/>
    <cellStyle name="20% - 强调文字颜色 3 3 2 3 2" xfId="1615"/>
    <cellStyle name="20% - 强调文字颜色 3 3 2 4" xfId="1616"/>
    <cellStyle name="常规 3 2 2" xfId="1617"/>
    <cellStyle name="20% - 强调文字颜色 3 3 2_2015财政决算公开" xfId="1618"/>
    <cellStyle name="20% - 强调文字颜色 3 3 3" xfId="1619"/>
    <cellStyle name="20% - 强调文字颜色 3 3 3 2" xfId="1620"/>
    <cellStyle name="20% - 强调文字颜色 3 3 3 2 2" xfId="1621"/>
    <cellStyle name="差 3 3 2 2" xfId="1622"/>
    <cellStyle name="20% - 强调文字颜色 3 3 3_2015财政决算公开" xfId="1623"/>
    <cellStyle name="20% - 强调文字颜色 4 2 2 2" xfId="1624"/>
    <cellStyle name="20% - 强调文字颜色 3 3 4" xfId="1625"/>
    <cellStyle name="20% - 强调文字颜色 4 2 2 2 2" xfId="1626"/>
    <cellStyle name="20% - 强调文字颜色 3 3 4 2" xfId="1627"/>
    <cellStyle name="20% - 强调文字颜色 4 2 2 3" xfId="1628"/>
    <cellStyle name="20% - 强调文字颜色 3 3 5" xfId="1629"/>
    <cellStyle name="20% - 强调文字颜色 3 3_2015财政决算公开" xfId="1630"/>
    <cellStyle name="20% - 强调文字颜色 3 4 2" xfId="1631"/>
    <cellStyle name="常规 2 4 6 4" xfId="1632"/>
    <cellStyle name="百分比 6 2 4" xfId="1633"/>
    <cellStyle name="20% - 强调文字颜色 3 4 2 2" xfId="1634"/>
    <cellStyle name="常规 2 4 6 4 2" xfId="1635"/>
    <cellStyle name="20% - 强调文字颜色 3 4 2 2 2" xfId="1636"/>
    <cellStyle name="常规 2 5 2" xfId="1637"/>
    <cellStyle name="常规 2 4 6 5" xfId="1638"/>
    <cellStyle name="20% - 强调文字颜色 3 4 2 3" xfId="1639"/>
    <cellStyle name="常规 48" xfId="1640"/>
    <cellStyle name="常规 53" xfId="1641"/>
    <cellStyle name="20% - 强调文字颜色 3 4 2_2015财政决算公开" xfId="1642"/>
    <cellStyle name="20% - 强调文字颜色 3 4 3" xfId="1643"/>
    <cellStyle name="20% - 强调文字颜色 3 4 3 2" xfId="1644"/>
    <cellStyle name="20% - 强调文字颜色 4 2 3 2" xfId="1645"/>
    <cellStyle name="20% - 强调文字颜色 3 4 4" xfId="1646"/>
    <cellStyle name="20% - 强调文字颜色 3 4_2015财政决算公开" xfId="1647"/>
    <cellStyle name="常规 3 2 8" xfId="1648"/>
    <cellStyle name="20% - 强调文字颜色 3 5" xfId="1649"/>
    <cellStyle name="常规 3 2 8 2" xfId="1650"/>
    <cellStyle name="20% - 强调文字颜色 3 5 2" xfId="1651"/>
    <cellStyle name="百分比 7 2 4" xfId="1652"/>
    <cellStyle name="20% - 强调文字颜色 3 5 2 2" xfId="1653"/>
    <cellStyle name="警告文本 3 2 3" xfId="1654"/>
    <cellStyle name="20% - 强调文字颜色 3 5 2 2 2" xfId="1655"/>
    <cellStyle name="常规 3 5 2" xfId="1656"/>
    <cellStyle name="20% - 强调文字颜色 3 5 2 3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4 2 4 2" xfId="1661"/>
    <cellStyle name="20% - 强调文字颜色 3 5 4" xfId="1662"/>
    <cellStyle name="常规 7 3" xfId="1663"/>
    <cellStyle name="20% - 强调文字颜色 3 6 2 2" xfId="1664"/>
    <cellStyle name="20% - 强调文字颜色 3 6 3" xfId="1665"/>
    <cellStyle name="60% - 强调文字颜色 1 3 2 2" xfId="1666"/>
    <cellStyle name="20% - 强调文字颜色 3 6_2015财政决算公开" xfId="1667"/>
    <cellStyle name="好 3 2 2 3" xfId="1668"/>
    <cellStyle name="常规 3 3 5" xfId="1669"/>
    <cellStyle name="标题 5 3 2 2" xfId="1670"/>
    <cellStyle name="20% - 强调文字颜色 4 2" xfId="1671"/>
    <cellStyle name="标题 5 3 2 2 2" xfId="1672"/>
    <cellStyle name="20% - 强调文字颜色 4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常规 2 7 2" xfId="1681"/>
    <cellStyle name="20% - 强调文字颜色 4 2 3 2 3" xfId="1682"/>
    <cellStyle name="20% - 强调文字颜色 4 2 3 3" xfId="1683"/>
    <cellStyle name="20% - 强调文字颜色 4 2 3 3 2" xfId="1684"/>
    <cellStyle name="20% - 强调文字颜色 4 2 3 4" xfId="1685"/>
    <cellStyle name="汇总 3 2 2 2" xfId="1686"/>
    <cellStyle name="20% - 强调文字颜色 4 2 3 5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好 6 2" xfId="1693"/>
    <cellStyle name="标题 3 2 3 2" xfId="1694"/>
    <cellStyle name="20% - 强调文字颜色 4 2 4_2015财政决算公开" xfId="1695"/>
    <cellStyle name="20% - 强调文字颜色 4 2 5" xfId="1696"/>
    <cellStyle name="60% - 强调文字颜色 1 3 2 3" xfId="1697"/>
    <cellStyle name="20% - 强调文字颜色 4 2 5 2" xfId="1698"/>
    <cellStyle name="20% - 强调文字颜色 4 2 6" xfId="1699"/>
    <cellStyle name="常规 10 3 2" xfId="1700"/>
    <cellStyle name="20% - 强调文字颜色 4 2 7" xfId="1701"/>
    <cellStyle name="40% - 强调文字颜色 4 5 3 2" xfId="1702"/>
    <cellStyle name="检查单元格 8" xfId="1703"/>
    <cellStyle name="常规 2 5 2 4" xfId="1704"/>
    <cellStyle name="20% - 强调文字颜色 4 2_2015财政决算公开" xfId="1705"/>
    <cellStyle name="标题 5 3 2 3" xfId="1706"/>
    <cellStyle name="强调文字颜色 2 2 5 2" xfId="1707"/>
    <cellStyle name="20% - 强调文字颜色 4 3" xfId="1708"/>
    <cellStyle name="20% - 强调文字颜色 4 3 2" xfId="1709"/>
    <cellStyle name="20% - 强调文字颜色 4 3 4" xfId="1710"/>
    <cellStyle name="20% - 强调文字颜色 4 3 2 2" xfId="1711"/>
    <cellStyle name="20% - 强调文字颜色 4 5 4" xfId="1712"/>
    <cellStyle name="20% - 强调文字颜色 4 3 4 2" xfId="1713"/>
    <cellStyle name="20% - 强调文字颜色 4 3 2 2 2" xfId="1714"/>
    <cellStyle name="20% - 强调文字颜色 6 5 4" xfId="1715"/>
    <cellStyle name="20% - 强调文字颜色 4 3 2 2 2 2" xfId="1716"/>
    <cellStyle name="20% - 强调文字颜色 4 3 2 2 3" xfId="1717"/>
    <cellStyle name="20% - 强调文字颜色 4 3 2 2_2015财政决算公开" xfId="1718"/>
    <cellStyle name="20% - 强调文字颜色 4 3 5" xfId="1719"/>
    <cellStyle name="20% - 强调文字颜色 4 3 2 3" xfId="1720"/>
    <cellStyle name="20% - 强调文字颜色 4 3 2 4" xfId="1721"/>
    <cellStyle name="20% - 强调文字颜色 4 3 3" xfId="1722"/>
    <cellStyle name="20% - 强调文字颜色 4 4 4" xfId="1723"/>
    <cellStyle name="20% - 强调文字颜色 4 3 3 2" xfId="1724"/>
    <cellStyle name="20% - 强调文字颜色 5 5 4" xfId="1725"/>
    <cellStyle name="20% - 强调文字颜色 4 3 3 2 2" xfId="1726"/>
    <cellStyle name="20% - 强调文字颜色 4 3 3 3" xfId="1727"/>
    <cellStyle name="好 2 4 2" xfId="1728"/>
    <cellStyle name="40% - 强调文字颜色 5 3 2" xfId="1729"/>
    <cellStyle name="20% - 强调文字颜色 4 3 3_2015财政决算公开" xfId="1730"/>
    <cellStyle name="货币 2" xfId="1731"/>
    <cellStyle name="常规 44 2" xfId="1732"/>
    <cellStyle name="20% - 强调文字颜色 4 3_2015财政决算公开" xfId="1733"/>
    <cellStyle name="20% - 强调文字颜色 4 4 2" xfId="1734"/>
    <cellStyle name="20% - 强调文字颜色 5 3 4" xfId="1735"/>
    <cellStyle name="20% - 强调文字颜色 4 4 2 2" xfId="1736"/>
    <cellStyle name="20% - 强调文字颜色 5 3 4 2" xfId="1737"/>
    <cellStyle name="20% - 强调文字颜色 4 4 2 2 2" xfId="1738"/>
    <cellStyle name="20% - 强调文字颜色 5 3 5" xfId="1739"/>
    <cellStyle name="20% - 强调文字颜色 4 4 2 3" xfId="1740"/>
    <cellStyle name="20% - 强调文字颜色 4 4 2_2015财政决算公开" xfId="1741"/>
    <cellStyle name="20% - 强调文字颜色 4 4 3" xfId="1742"/>
    <cellStyle name="20% - 强调文字颜色 5 4 4" xfId="1743"/>
    <cellStyle name="20% - 强调文字颜色 4 4 3 2" xfId="1744"/>
    <cellStyle name="20% - 强调文字颜色 4 4_2015财政决算公开" xfId="1745"/>
    <cellStyle name="常规 2 3 5 2 2" xfId="1746"/>
    <cellStyle name="20% - 强调文字颜色 4 5" xfId="1747"/>
    <cellStyle name="标题 5 2 2 2 2 2" xfId="1748"/>
    <cellStyle name="20% - 强调文字颜色 4 5 2" xfId="1749"/>
    <cellStyle name="20% - 强调文字颜色 6 3 4" xfId="1750"/>
    <cellStyle name="20% - 强调文字颜色 4 5 2 2" xfId="1751"/>
    <cellStyle name="20% - 强调文字颜色 6 3 4 2" xfId="1752"/>
    <cellStyle name="20% - 强调文字颜色 4 5 2 2 2" xfId="1753"/>
    <cellStyle name="20% - 强调文字颜色 4 5 2_2015财政决算公开" xfId="1754"/>
    <cellStyle name="20% - 强调文字颜色 4 5 3" xfId="1755"/>
    <cellStyle name="20% - 强调文字颜色 6 4 4" xfId="1756"/>
    <cellStyle name="20% - 强调文字颜色 4 5 3 2" xfId="1757"/>
    <cellStyle name="货币 3 4 3 2" xfId="1758"/>
    <cellStyle name="20% - 强调文字颜色 4 5_2015财政决算公开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常规 3 4 5" xfId="1768"/>
    <cellStyle name="标题 5 3 3 2" xfId="1769"/>
    <cellStyle name="20% - 强调文字颜色 5 2" xfId="1770"/>
    <cellStyle name="40% - 强调文字颜色 6 2 7" xfId="1771"/>
    <cellStyle name="20% - 强调文字颜色 5 2 2" xfId="1772"/>
    <cellStyle name="40% - 强调文字颜色 2 7" xfId="1773"/>
    <cellStyle name="常规 4 2 6 4" xfId="1774"/>
    <cellStyle name="20% - 强调文字颜色 5 2 2 2" xfId="1775"/>
    <cellStyle name="40% - 强调文字颜色 1 2 3 5" xfId="1776"/>
    <cellStyle name="40% - 强调文字颜色 2 7 2" xfId="1777"/>
    <cellStyle name="常规 4 2 6 4 2" xfId="1778"/>
    <cellStyle name="20% - 强调文字颜色 5 2 2 2 2" xfId="1779"/>
    <cellStyle name="20% - 强调文字颜色 5 2 2 2 3" xfId="1780"/>
    <cellStyle name="20% - 强调文字颜色 5 2 2 2_2015财政决算公开" xfId="1781"/>
    <cellStyle name="货币 5 2 2" xfId="1782"/>
    <cellStyle name="40% - 强调文字颜色 2 8" xfId="1783"/>
    <cellStyle name="常规 4 2 6 5" xfId="1784"/>
    <cellStyle name="20% - 强调文字颜色 5 2 2 3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40% - 强调文字颜色 3 7" xfId="1791"/>
    <cellStyle name="20% - 强调文字颜色 5 2 3 2" xfId="1792"/>
    <cellStyle name="货币 5 3 2" xfId="1793"/>
    <cellStyle name="40% - 强调文字颜色 3 8" xfId="1794"/>
    <cellStyle name="20% - 强调文字颜色 5 2 3 3" xfId="1795"/>
    <cellStyle name="20% - 强调文字颜色 5 2 3_2015财政决算公开" xfId="1796"/>
    <cellStyle name="20% - 强调文字颜色 5 2 4" xfId="1797"/>
    <cellStyle name="40% - 强调文字颜色 4 7" xfId="1798"/>
    <cellStyle name="20% - 强调文字颜色 5 2 4 2" xfId="1799"/>
    <cellStyle name="20% - 强调文字颜色 5 2 5" xfId="1800"/>
    <cellStyle name="20% - 强调文字颜色 5 2_2015财政决算公开" xfId="1801"/>
    <cellStyle name="20% - 强调文字颜色 5 3" xfId="1802"/>
    <cellStyle name="货币 2 2 6 5" xfId="1803"/>
    <cellStyle name="20% - 强调文字颜色 5 3 2" xfId="1804"/>
    <cellStyle name="20% - 强调文字颜色 5 3 2 2" xfId="1805"/>
    <cellStyle name="20% - 强调文字颜色 5 3 2 2 2" xfId="1806"/>
    <cellStyle name="常规 3 7 3" xfId="1807"/>
    <cellStyle name="20% - 强调文字颜色 5 3 2 2 2 2" xfId="1808"/>
    <cellStyle name="20% - 强调文字颜色 5 3 2 2 3" xfId="1809"/>
    <cellStyle name="60% - 强调文字颜色 1 9" xfId="1810"/>
    <cellStyle name="20% - 强调文字颜色 5 3 2 2_2015财政决算公开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常规 3 4" xfId="1820"/>
    <cellStyle name="Percent_laroux" xfId="1821"/>
    <cellStyle name="20% - 强调文字颜色 5 3_2015财政决算公开" xfId="1822"/>
    <cellStyle name="20% - 强调文字颜色 5 4" xfId="1823"/>
    <cellStyle name="20% - 强调文字颜色 5 4 2" xfId="1824"/>
    <cellStyle name="20% - 强调文字颜色 5 4 2 2" xfId="1825"/>
    <cellStyle name="40% - 强调文字颜色 3 2 3 5" xfId="1826"/>
    <cellStyle name="20% - 强调文字颜色 5 4 2 2 2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常规 2 3 5 3 2" xfId="1832"/>
    <cellStyle name="20% - 强调文字颜色 5 5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60% - 强调文字颜色 6 3 2 2 2 2" xfId="1842"/>
    <cellStyle name="20% - 强调文字颜色 5 6 2" xfId="1843"/>
    <cellStyle name="表标题 5" xfId="1844"/>
    <cellStyle name="20% - 强调文字颜色 5 6 2 2" xfId="1845"/>
    <cellStyle name="20% - 强调文字颜色 5 6_2015财政决算公开" xfId="1846"/>
    <cellStyle name="60% - 强调文字颜色 6 3 2 2 3" xfId="1847"/>
    <cellStyle name="20% - 强调文字颜色 5 7" xfId="1848"/>
    <cellStyle name="20% - 强调文字颜色 5 7 2" xfId="1849"/>
    <cellStyle name="20% - 强调文字颜色 6 2 2 2_2015财政决算公开" xfId="1850"/>
    <cellStyle name="20% - 强调文字颜色 5 8" xfId="1851"/>
    <cellStyle name="常规 3 5 5" xfId="1852"/>
    <cellStyle name="20% - 强调文字颜色 6 2" xfId="1853"/>
    <cellStyle name="20% - 强调文字颜色 6 2 2" xfId="1854"/>
    <cellStyle name="20% - 强调文字颜色 6 2 2 2 2" xfId="1855"/>
    <cellStyle name="常规 2 2 9" xfId="1856"/>
    <cellStyle name="20% - 强调文字颜色 6 2 2 2 2 2" xfId="1857"/>
    <cellStyle name="百分比 4 5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常规 14 7" xfId="1871"/>
    <cellStyle name="20% - 强调文字颜色 6 3 2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汇总 2 3 2 2" xfId="1887"/>
    <cellStyle name="货币 2 2 2 3 2" xfId="1888"/>
    <cellStyle name="20% - 强调文字颜色 6 3 3_2015财政决算公开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60% - 着色 4 2" xfId="1894"/>
    <cellStyle name="20% - 强调文字颜色 6 4 2 3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40% - 强调文字颜色 1 3 2 3" xfId="1905"/>
    <cellStyle name="20% - 强调文字颜色 6 5 2_2015财政决算公开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计算 3" xfId="1917"/>
    <cellStyle name="20% - 着色 1" xfId="1918"/>
    <cellStyle name="计算 3 2" xfId="1919"/>
    <cellStyle name="标题 2 2_2015财政决算公开" xfId="1920"/>
    <cellStyle name="20% - 着色 1 2" xfId="1921"/>
    <cellStyle name="计算 4" xfId="1922"/>
    <cellStyle name="20% - 着色 2" xfId="1923"/>
    <cellStyle name="计算 4 2" xfId="1924"/>
    <cellStyle name="20% - 着色 2 2" xfId="1925"/>
    <cellStyle name="计算 5" xfId="1926"/>
    <cellStyle name="超级链接 4 2" xfId="1927"/>
    <cellStyle name="60% - 强调文字颜色 3 2 3 2 2" xfId="1928"/>
    <cellStyle name="20% - 着色 3" xfId="1929"/>
    <cellStyle name="计算 5 2" xfId="1930"/>
    <cellStyle name="60% - 强调文字颜色 3 2 3 2 2 2" xfId="1931"/>
    <cellStyle name="20% - 着色 3 2" xfId="1932"/>
    <cellStyle name="计算 6 2" xfId="1933"/>
    <cellStyle name="20% - 着色 4 2" xfId="1934"/>
    <cellStyle name="Currency1" xfId="1935"/>
    <cellStyle name="计算 7 2" xfId="1936"/>
    <cellStyle name="20% - 着色 5 2" xfId="1937"/>
    <cellStyle name="计算 8" xfId="1938"/>
    <cellStyle name="20% - 着色 6" xfId="1939"/>
    <cellStyle name="20% - 着色 6 2" xfId="1940"/>
    <cellStyle name="40% - 强调文字颜色 1 2" xfId="1941"/>
    <cellStyle name="货币 3 6 3" xfId="1942"/>
    <cellStyle name="60% - 强调文字颜色 2 2 7" xfId="1943"/>
    <cellStyle name="40% - 强调文字颜色 1 2 2" xfId="1944"/>
    <cellStyle name="货币 3 6 3 2" xfId="1945"/>
    <cellStyle name="40% - 强调文字颜色 1 2 2 2" xfId="1946"/>
    <cellStyle name="汇总 2 4" xfId="1947"/>
    <cellStyle name="40% - 强调文字颜色 1 2 2 2 2" xfId="1948"/>
    <cellStyle name="链接单元格 2 2 3" xfId="1949"/>
    <cellStyle name="汇总 2 4 2" xfId="1950"/>
    <cellStyle name="货币 2 2 3 3" xfId="1951"/>
    <cellStyle name="40% - 强调文字颜色 1 2 2 2 2 2" xfId="1952"/>
    <cellStyle name="汇总 2 5" xfId="1953"/>
    <cellStyle name="40% - 强调文字颜色 1 2 2 2 3" xfId="1954"/>
    <cellStyle name="标题 4 2 3 4" xfId="1955"/>
    <cellStyle name="40% - 强调文字颜色 1 2 2 2_2015财政决算公开" xfId="1956"/>
    <cellStyle name="40% - 强调文字颜色 1 2 2 3" xfId="1957"/>
    <cellStyle name="汇总 3 4" xfId="1958"/>
    <cellStyle name="40% - 强调文字颜色 1 2 2 3 2" xfId="1959"/>
    <cellStyle name="40% - 强调文字颜色 1 2 2 4" xfId="1960"/>
    <cellStyle name="40% - 强调文字颜色 1 2 2_2015财政决算公开" xfId="1961"/>
    <cellStyle name="货币 3 6 4" xfId="1962"/>
    <cellStyle name="40% - 强调文字颜色 1 2 3" xfId="1963"/>
    <cellStyle name="货币 3 6 4 2" xfId="1964"/>
    <cellStyle name="40% - 强调文字颜色 1 2 3 2" xfId="1965"/>
    <cellStyle name="40% - 强调文字颜色 1 2 3 2 2" xfId="1966"/>
    <cellStyle name="货币 3 2 3 3" xfId="1967"/>
    <cellStyle name="40% - 强调文字颜色 1 2 3 2 2 2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货币 3 6 5" xfId="1974"/>
    <cellStyle name="40% - 强调文字颜色 1 2 4" xfId="1975"/>
    <cellStyle name="40% - 强调文字颜色 1 2 4 2" xfId="1976"/>
    <cellStyle name="40% - 强调文字颜色 1 2 4 2 2" xfId="1977"/>
    <cellStyle name="40% - 强调文字颜色 1 2 4 3" xfId="1978"/>
    <cellStyle name="标题 1 2" xfId="1979"/>
    <cellStyle name="40% - 强调文字颜色 1 2 4 4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常规 9 2" xfId="1987"/>
    <cellStyle name="40% - 强调文字颜色 1 3" xfId="1988"/>
    <cellStyle name="常规 9 2 2" xfId="1989"/>
    <cellStyle name="40% - 强调文字颜色 1 3 2" xfId="1990"/>
    <cellStyle name="常规 9 2 2 2" xfId="1991"/>
    <cellStyle name="40% - 强调文字颜色 1 3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常规 9 2 3" xfId="2000"/>
    <cellStyle name="40% - 强调文字颜色 1 3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40% - 强调文字颜色 1 3 4 2" xfId="2007"/>
    <cellStyle name="计算 9" xfId="2008"/>
    <cellStyle name="常规 10 2_2015财政决算公开" xfId="2009"/>
    <cellStyle name="40% - 强调文字颜色 1 3 5" xfId="2010"/>
    <cellStyle name="常规 2 4 2 5" xfId="2011"/>
    <cellStyle name="40% - 强调文字颜色 1 3_2015财政决算公开" xfId="2012"/>
    <cellStyle name="常规 9 3" xfId="2013"/>
    <cellStyle name="60% - 强调文字颜色 1 3 2 3 2" xfId="2014"/>
    <cellStyle name="40% - 强调文字颜色 1 4" xfId="2015"/>
    <cellStyle name="常规 9 3 2" xfId="2016"/>
    <cellStyle name="40% - 强调文字颜色 1 4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6 2 4_2015财政决算公开" xfId="2024"/>
    <cellStyle name="常规 9 4" xfId="2025"/>
    <cellStyle name="40% - 强调文字颜色 1 5" xfId="2026"/>
    <cellStyle name="常规 4 2 5 2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常规 3 4 2" xfId="2033"/>
    <cellStyle name="40% - 强调文字颜色 1 5 2_2015财政决算公开" xfId="2034"/>
    <cellStyle name="40% - 强调文字颜色 1 5 3 2" xfId="2035"/>
    <cellStyle name="40% - 强调文字颜色 1 5 4" xfId="2036"/>
    <cellStyle name="解释性文本 5 3" xfId="2037"/>
    <cellStyle name="40% - 强调文字颜色 1 5_2015财政决算公开" xfId="2038"/>
    <cellStyle name="差 2 3" xfId="2039"/>
    <cellStyle name="常规 9 5" xfId="2040"/>
    <cellStyle name="40% - 强调文字颜色 1 6" xfId="2041"/>
    <cellStyle name="常规 4 2 5 3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货币 4 6 3" xfId="2052"/>
    <cellStyle name="60% - 强调文字颜色 2 2 3 5" xfId="2053"/>
    <cellStyle name="60% - 强调文字颜色 3 2 7" xfId="2054"/>
    <cellStyle name="40% - 强调文字颜色 2 2 2" xfId="2055"/>
    <cellStyle name="货币 4 6 3 2" xfId="2056"/>
    <cellStyle name="常规 2 2 3 4 4" xfId="2057"/>
    <cellStyle name="常规 18_2015财政决算公开" xfId="2058"/>
    <cellStyle name="40% - 强调文字颜色 2 2 2 2" xfId="2059"/>
    <cellStyle name="常规 2 4 3" xfId="2060"/>
    <cellStyle name="常规 2 2 3 4 4 2" xfId="2061"/>
    <cellStyle name="40% - 强调文字颜色 2 2 2 2 2" xfId="2062"/>
    <cellStyle name="常规 2 4 3 2" xfId="2063"/>
    <cellStyle name="40% - 强调文字颜色 2 2 2 2 2 2" xfId="2064"/>
    <cellStyle name="常规 2 4 4" xfId="2065"/>
    <cellStyle name="40% - 强调文字颜色 2 2 2 2 3" xfId="2066"/>
    <cellStyle name="40% - 强调文字颜色 2 2 2 2_2015财政决算公开" xfId="2067"/>
    <cellStyle name="常规 2 2 3 4 5" xfId="2068"/>
    <cellStyle name="标题 1 4 2 2" xfId="2069"/>
    <cellStyle name="40% - 强调文字颜色 2 2 2 3" xfId="2070"/>
    <cellStyle name="常规 2 5 3" xfId="2071"/>
    <cellStyle name="40% - 强调文字颜色 2 2 2 3 2" xfId="2072"/>
    <cellStyle name="计算 4 3 2" xfId="2073"/>
    <cellStyle name="40% - 强调文字颜色 2 2 2 4" xfId="2074"/>
    <cellStyle name="货币 4 6 4" xfId="2075"/>
    <cellStyle name="40% - 强调文字颜色 2 2 3" xfId="2076"/>
    <cellStyle name="货币 4 6 4 2" xfId="2077"/>
    <cellStyle name="40% - 强调文字颜色 2 2 3 2" xfId="2078"/>
    <cellStyle name="40% - 强调文字颜色 2 2 3 3" xfId="2079"/>
    <cellStyle name="常规 2 5 5" xfId="2080"/>
    <cellStyle name="标题 5 2 4 2" xfId="2081"/>
    <cellStyle name="40% - 强调文字颜色 2 2 3_2015财政决算公开" xfId="2082"/>
    <cellStyle name="货币 4 6 5" xfId="2083"/>
    <cellStyle name="40% - 强调文字颜色 2 2 4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60% - 强调文字颜色 2 3 3 3" xfId="2091"/>
    <cellStyle name="60% - 强调文字颜色 4 2 5" xfId="2092"/>
    <cellStyle name="40% - 强调文字颜色 6 7" xfId="2093"/>
    <cellStyle name="40% - 强调文字颜色 2 3 2 2 2 2" xfId="2094"/>
    <cellStyle name="汇总 4" xfId="2095"/>
    <cellStyle name="常规 2 2 7 3" xfId="2096"/>
    <cellStyle name="百分比 4 3 3" xfId="2097"/>
    <cellStyle name="40% - 强调文字颜色 2 3 2 2_2015财政决算公开" xfId="2098"/>
    <cellStyle name="40% - 强调文字颜色 2 3 2 3" xfId="2099"/>
    <cellStyle name="解释性文本 2" xfId="2100"/>
    <cellStyle name="标题 1 5 2 2" xfId="2101"/>
    <cellStyle name="40% - 强调文字颜色 2 3 2 3 2" xfId="2102"/>
    <cellStyle name="解释性文本 2 2" xfId="2103"/>
    <cellStyle name="40% - 强调文字颜色 2 3 2 4" xfId="2104"/>
    <cellStyle name="解释性文本 3" xfId="2105"/>
    <cellStyle name="计算 5 3 2" xfId="2106"/>
    <cellStyle name="检查单元格 3 4" xfId="2107"/>
    <cellStyle name="40% - 强调文字颜色 2 3 2_2015财政决算公开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_2015财政决算公开" xfId="2116"/>
    <cellStyle name="40% - 强调文字颜色 2 3 4 2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3 3 2 2_2015财政决算公开" xfId="2122"/>
    <cellStyle name="40% - 强调文字颜色 2 4 2 2 2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常规 2 4 10" xfId="2135"/>
    <cellStyle name="40% - 强调文字颜色 2 5 2 3" xfId="2136"/>
    <cellStyle name="40% - 强调文字颜色 2 5 3" xfId="2137"/>
    <cellStyle name="40% - 强调文字颜色 2 5 3 2" xfId="2138"/>
    <cellStyle name="40% - 强调文字颜色 2 5 4" xfId="2139"/>
    <cellStyle name="货币 4" xfId="2140"/>
    <cellStyle name="40% - 强调文字颜色 2 5_2015财政决算公开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常规 26 2 2" xfId="2150"/>
    <cellStyle name="40% - 强调文字颜色 3 3 3 2 2" xfId="2151"/>
    <cellStyle name="40% - 强调文字颜色 3 2" xfId="2152"/>
    <cellStyle name="60% - 强调文字颜色 4 2 7" xfId="2153"/>
    <cellStyle name="40% - 强调文字颜色 6 9" xfId="2154"/>
    <cellStyle name="40% - 强调文字颜色 3 2 2" xfId="2155"/>
    <cellStyle name="40% - 强调文字颜色 3 2 2 2" xfId="2156"/>
    <cellStyle name="常规 77" xfId="2157"/>
    <cellStyle name="40% - 强调文字颜色 3 4 4" xfId="2158"/>
    <cellStyle name="40% - 强调文字颜色 3 2 2 2 2" xfId="2159"/>
    <cellStyle name="40% - 强调文字颜色 3 2 2 2 2 2" xfId="2160"/>
    <cellStyle name="常规 78" xfId="2161"/>
    <cellStyle name="40% - 强调文字颜色 3 2 2 2 3" xfId="2162"/>
    <cellStyle name="40% - 强调文字颜色 3 2 2 2_2015财政决算公开" xfId="2163"/>
    <cellStyle name="常规 29 3" xfId="2164"/>
    <cellStyle name="标题 2 4 2 2" xfId="2165"/>
    <cellStyle name="40% - 强调文字颜色 3 2 2 3" xfId="2166"/>
    <cellStyle name="40% - 强调文字颜色 3 5 4" xfId="2167"/>
    <cellStyle name="40% - 强调文字颜色 3 2 2 3 2" xfId="2168"/>
    <cellStyle name="40% - 强调文字颜色 3 2 2 4" xfId="2169"/>
    <cellStyle name="货币 2 3 2 3 2" xfId="2170"/>
    <cellStyle name="40% - 强调文字颜色 3 2 2_2015财政决算公开" xfId="2171"/>
    <cellStyle name="40% - 强调文字颜色 3 2 3" xfId="2172"/>
    <cellStyle name="货币 2 2 10" xfId="2173"/>
    <cellStyle name="40% - 强调文字颜色 3 2 3 2" xfId="2174"/>
    <cellStyle name="40% - 强调文字颜色 4 4 4" xfId="2175"/>
    <cellStyle name="40% - 强调文字颜色 3 2 3 2 2" xfId="2176"/>
    <cellStyle name="常规 2 4 3 4" xfId="2177"/>
    <cellStyle name="40% - 强调文字颜色 3 2 3 2 2 2" xfId="2178"/>
    <cellStyle name="40% - 强调文字颜色 3 2 3 2 3" xfId="2179"/>
    <cellStyle name="40% - 强调文字颜色 3 2 3 2_2015财政决算公开" xfId="2180"/>
    <cellStyle name="百分比 6 2 2 2 2" xfId="2181"/>
    <cellStyle name="40% - 强调文字颜色 3 2 3 3" xfId="2182"/>
    <cellStyle name="常规 2 2 2_2015财政决算公开" xfId="2183"/>
    <cellStyle name="40% - 强调文字颜色 4 5 4" xfId="2184"/>
    <cellStyle name="40% - 强调文字颜色 3 2 3 3 2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5 4 4" xfId="2190"/>
    <cellStyle name="40% - 强调文字颜色 3 2 4 2 2" xfId="2191"/>
    <cellStyle name="40% - 强调文字颜色 3 2 4 3" xfId="2192"/>
    <cellStyle name="常规 2 2 2 2 2 2" xfId="2193"/>
    <cellStyle name="40% - 强调文字颜色 3 2 4 4" xfId="2194"/>
    <cellStyle name="货币 3 2 4 3 2" xfId="2195"/>
    <cellStyle name="40% - 强调文字颜色 3 2 4_2015财政决算公开" xfId="2196"/>
    <cellStyle name="40% - 强调文字颜色 3 2 5" xfId="2197"/>
    <cellStyle name="货币 2 2 7" xfId="2198"/>
    <cellStyle name="40% - 强调文字颜色 3 2 5 2" xfId="2199"/>
    <cellStyle name="40% - 强调文字颜色 3 2 6" xfId="2200"/>
    <cellStyle name="40% - 强调文字颜色 3 2_2015财政决算公开" xfId="2201"/>
    <cellStyle name="40% - 强调文字颜色 3 3" xfId="2202"/>
    <cellStyle name="常规 25" xfId="2203"/>
    <cellStyle name="常规 30" xfId="2204"/>
    <cellStyle name="40% - 强调文字颜色 3 3 2" xfId="2205"/>
    <cellStyle name="常规 25 2" xfId="2206"/>
    <cellStyle name="常规 30 2" xfId="2207"/>
    <cellStyle name="40% - 强调文字颜色 3 3 2 2" xfId="2208"/>
    <cellStyle name="常规 25 2 2" xfId="2209"/>
    <cellStyle name="40% - 强调文字颜色 3 3 2 2 2" xfId="2210"/>
    <cellStyle name="40% - 强调文字颜色 5 5 2_2015财政决算公开" xfId="2211"/>
    <cellStyle name="40% - 强调文字颜色 3 3 2 2 2 2" xfId="2212"/>
    <cellStyle name="40% - 强调文字颜色 3 3 2 2 3" xfId="2213"/>
    <cellStyle name="常规 25 3" xfId="2214"/>
    <cellStyle name="常规 30 3" xfId="2215"/>
    <cellStyle name="标题 2 5 2 2" xfId="2216"/>
    <cellStyle name="40% - 强调文字颜色 3 3 2 3" xfId="2217"/>
    <cellStyle name="40% - 强调文字颜色 3 3 2 3 2" xfId="2218"/>
    <cellStyle name="40% - 强调文字颜色 3 3 2 4" xfId="2219"/>
    <cellStyle name="常规 26" xfId="2220"/>
    <cellStyle name="常规 31" xfId="2221"/>
    <cellStyle name="40% - 强调文字颜色 3 3 3" xfId="2222"/>
    <cellStyle name="解释性文本 3 4" xfId="2223"/>
    <cellStyle name="40% - 强调文字颜色 3 3 3_2015财政决算公开" xfId="2224"/>
    <cellStyle name="常规 27" xfId="2225"/>
    <cellStyle name="常规 32" xfId="2226"/>
    <cellStyle name="40% - 强调文字颜色 3 3 4" xfId="2227"/>
    <cellStyle name="常规 27 2" xfId="2228"/>
    <cellStyle name="常规 32 2" xfId="2229"/>
    <cellStyle name="40% - 强调文字颜色 3 3 4 2" xfId="2230"/>
    <cellStyle name="常规 28" xfId="2231"/>
    <cellStyle name="常规 33" xfId="2232"/>
    <cellStyle name="40% - 强调文字颜色 3 3 5" xfId="2233"/>
    <cellStyle name="40% - 强调文字颜色 3 3_2015财政决算公开" xfId="2234"/>
    <cellStyle name="40% - 强调文字颜色 3 4" xfId="2235"/>
    <cellStyle name="常规 75" xfId="2236"/>
    <cellStyle name="40% - 强调文字颜色 3 4 2" xfId="2237"/>
    <cellStyle name="40% - 强调文字颜色 3 4 2_2015财政决算公开" xfId="2238"/>
    <cellStyle name="常规 76" xfId="2239"/>
    <cellStyle name="40% - 强调文字颜色 3 4 3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检查单元格 5 2" xfId="2248"/>
    <cellStyle name="40% - 强调文字颜色 3 5 2 3" xfId="2249"/>
    <cellStyle name="40% - 强调文字颜色 3 5 2_2015财政决算公开" xfId="2250"/>
    <cellStyle name="40% - 强调文字颜色 3 5 3" xfId="2251"/>
    <cellStyle name="常规 8_报 预算   行政政法处(1)" xfId="2252"/>
    <cellStyle name="40% - 强调文字颜色 3 5 3 2" xfId="2253"/>
    <cellStyle name="常规 3 6" xfId="2254"/>
    <cellStyle name="Comma [0]" xfId="2255"/>
    <cellStyle name="40% - 强调文字颜色 3 5_2015财政决算公开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60% - 强调文字颜色 5 2 7" xfId="2262"/>
    <cellStyle name="40% - 强调文字颜色 4 2 2" xfId="2263"/>
    <cellStyle name="40% - 强调文字颜色 4 2 2 2" xfId="2264"/>
    <cellStyle name="好_出版署2010年度中央部门决算草案" xfId="2265"/>
    <cellStyle name="40% - 强调文字颜色 5 5_2015财政决算公开" xfId="2266"/>
    <cellStyle name="40% - 强调文字颜色 4 2 2 2 2" xfId="2267"/>
    <cellStyle name="常规 10" xfId="2268"/>
    <cellStyle name="40% - 强调文字颜色 4 2 2 2 2 2" xfId="2269"/>
    <cellStyle name="后继超级链接" xfId="2270"/>
    <cellStyle name="40% - 强调文字颜色 4 2 2 2 3" xfId="2271"/>
    <cellStyle name="标题 3 4 2 2" xfId="2272"/>
    <cellStyle name="40% - 强调文字颜色 4 2 2 3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常规 2 2 2 4 2" xfId="2278"/>
    <cellStyle name="40% - 强调文字颜色 4 2 3 2 2" xfId="2279"/>
    <cellStyle name="常规 2 2 2 4 2 2" xfId="2280"/>
    <cellStyle name="40% - 强调文字颜色 4 2 3 2 2 2" xfId="2281"/>
    <cellStyle name="常规 2 2 2 4 3" xfId="2282"/>
    <cellStyle name="40% - 强调文字颜色 6 6_2015财政决算公开" xfId="2283"/>
    <cellStyle name="40% - 强调文字颜色 4 2 3 2 3" xfId="2284"/>
    <cellStyle name="强调文字颜色 1 3 3" xfId="2285"/>
    <cellStyle name="常规 2 2 2 4_2015财政决算公开" xfId="2286"/>
    <cellStyle name="40% - 强调文字颜色 4 2 3 2_2015财政决算公开" xfId="2287"/>
    <cellStyle name="常规 2 2 2 5 2" xfId="2288"/>
    <cellStyle name="40% - 强调文字颜色 4 2 3 3 2" xfId="2289"/>
    <cellStyle name="40% - 强调文字颜色 4 2 3_2015财政决算公开" xfId="2290"/>
    <cellStyle name="40% - 强调文字颜色 4 2 4" xfId="2291"/>
    <cellStyle name="常规 2 2 3 4" xfId="2292"/>
    <cellStyle name="40% - 强调文字颜色 4 2 4 2" xfId="2293"/>
    <cellStyle name="常规 2 2 3 4 2" xfId="2294"/>
    <cellStyle name="40% - 强调文字颜色 4 2 4 2 2" xfId="2295"/>
    <cellStyle name="常规 2 2 3 5" xfId="2296"/>
    <cellStyle name="40% - 强调文字颜色 4 2 4 3" xfId="2297"/>
    <cellStyle name="常规 2 2 3 6" xfId="2298"/>
    <cellStyle name="常规 2 2 3 2 2 2" xfId="2299"/>
    <cellStyle name="40% - 强调文字颜色 4 2 4 4" xfId="2300"/>
    <cellStyle name="40% - 强调文字颜色 4 2 5" xfId="2301"/>
    <cellStyle name="常规 2 2 4 4" xfId="2302"/>
    <cellStyle name="40% - 强调文字颜色 4 2 5 2" xfId="2303"/>
    <cellStyle name="60% - 强调文字颜色 1 2 2 3 2" xfId="2304"/>
    <cellStyle name="40% - 强调文字颜色 4 2 6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标题 3 5 2 2" xfId="2314"/>
    <cellStyle name="40% - 强调文字颜色 4 3 2 3" xfId="2315"/>
    <cellStyle name="40% - 强调文字颜色 4 3 2 3 2" xfId="2316"/>
    <cellStyle name="货币 2 3" xfId="2317"/>
    <cellStyle name="常规_04-分类改革-预算表 2" xfId="2318"/>
    <cellStyle name="40% - 强调文字颜色 4 3 2 4" xfId="2319"/>
    <cellStyle name="40% - 强调文字颜色 4 3 2_2015财政决算公开" xfId="2320"/>
    <cellStyle name="40% - 强调文字颜色 4 3 3" xfId="2321"/>
    <cellStyle name="常规 2 3 2 4" xfId="2322"/>
    <cellStyle name="40% - 强调文字颜色 4 3 3 2" xfId="2323"/>
    <cellStyle name="常规 2 3 2 4 2" xfId="2324"/>
    <cellStyle name="40% - 强调文字颜色 4 3 3 2 2" xfId="2325"/>
    <cellStyle name="常规 2 3 2 5" xfId="2326"/>
    <cellStyle name="40% - 强调文字颜色 4 3 3 3" xfId="2327"/>
    <cellStyle name="货币 4 2 2 3" xfId="2328"/>
    <cellStyle name="40% - 强调文字颜色 4 3 3_2015财政决算公开" xfId="2329"/>
    <cellStyle name="40% - 强调文字颜色 4 3 4" xfId="2330"/>
    <cellStyle name="常规 2 3 3 4" xfId="2331"/>
    <cellStyle name="40% - 强调文字颜色 4 3 4 2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常规 2 4 2 4" xfId="2342"/>
    <cellStyle name="40% - 强调文字颜色 4 4 3 2" xfId="2343"/>
    <cellStyle name="HEADING1" xfId="2344"/>
    <cellStyle name="40% - 强调文字颜色 4 4_2015财政决算公开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货币 4 2 8" xfId="2350"/>
    <cellStyle name="40% - 强调文字颜色 4 5 2 2 2" xfId="2351"/>
    <cellStyle name="常规 12 2 2_2015财政决算公开" xfId="2352"/>
    <cellStyle name="40% - 强调文字颜色 4 5 2 3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常规 2 3" xfId="2358"/>
    <cellStyle name="40% - 强调文字颜色 4 6 2 2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好 2 3" xfId="2364"/>
    <cellStyle name="40% - 强调文字颜色 5 2" xfId="2365"/>
    <cellStyle name="好 2 3 2" xfId="2366"/>
    <cellStyle name="60% - 强调文字颜色 6 2 7" xfId="2367"/>
    <cellStyle name="40% - 强调文字颜色 5 2 2" xfId="2368"/>
    <cellStyle name="好 2 3 2 2" xfId="2369"/>
    <cellStyle name="40% - 强调文字颜色 5 2 2 2" xfId="2370"/>
    <cellStyle name="链接单元格 3 2" xfId="2371"/>
    <cellStyle name="货币 2 3 3" xfId="2372"/>
    <cellStyle name="40% - 强调文字颜色 5 2 2 2_2015财政决算公开" xfId="2373"/>
    <cellStyle name="40% - 强调文字颜色 5 2 2 4" xfId="2374"/>
    <cellStyle name="常规 2 2 2 2 2 4" xfId="2375"/>
    <cellStyle name="百分比 2 2 4 2" xfId="2376"/>
    <cellStyle name="40% - 强调文字颜色 5 2 2_2015财政决算公开" xfId="2377"/>
    <cellStyle name="好 2 3 3" xfId="2378"/>
    <cellStyle name="40% - 强调文字颜色 5 2 3" xfId="2379"/>
    <cellStyle name="常规 3 2 2 4" xfId="2380"/>
    <cellStyle name="40% - 强调文字颜色 5 2 3 2" xfId="2381"/>
    <cellStyle name="常规 3 2 2 4 2" xfId="2382"/>
    <cellStyle name="好 4" xfId="2383"/>
    <cellStyle name="40% - 强调文字颜色 5 2 3 2 2" xfId="2384"/>
    <cellStyle name="40% - 强调文字颜色 5 2 4" xfId="2385"/>
    <cellStyle name="常规 3 2 3 4" xfId="2386"/>
    <cellStyle name="40% - 强调文字颜色 5 2 4 2" xfId="2387"/>
    <cellStyle name="40% - 强调文字颜色 5 2 5" xfId="2388"/>
    <cellStyle name="货币 2 3 2 5" xfId="2389"/>
    <cellStyle name="常规 3 5 2 2" xfId="2390"/>
    <cellStyle name="40% - 强调文字颜色 5 2_2015财政决算公开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常规 18 2 2" xfId="2402"/>
    <cellStyle name="常规 23 2 2" xfId="2403"/>
    <cellStyle name="40% - 强调文字颜色 5 3_2015财政决算公开" xfId="2404"/>
    <cellStyle name="好 2 5" xfId="2405"/>
    <cellStyle name="40% - 强调文字颜色 5 4" xfId="2406"/>
    <cellStyle name="40% - 强调文字颜色 5 4 2" xfId="2407"/>
    <cellStyle name="40% - 强调文字颜色 5 4 2 2" xfId="2408"/>
    <cellStyle name="40% - 强调文字颜色 5 4 2 2 2" xfId="2409"/>
    <cellStyle name="链接单元格 5" xfId="2410"/>
    <cellStyle name="40% - 强调文字颜色 5 4 2_2015财政决算公开" xfId="2411"/>
    <cellStyle name="40% - 强调文字颜色 5 4 3" xfId="2412"/>
    <cellStyle name="货币 2 2 2 7" xfId="2413"/>
    <cellStyle name="40% - 强调文字颜色 5 4 3 2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60% - 强调文字颜色 2 3 2 2" xfId="2425"/>
    <cellStyle name="40% - 强调文字颜色 5 6" xfId="2426"/>
    <cellStyle name="60% - 强调文字颜色 2 3 2 2 2" xfId="2427"/>
    <cellStyle name="40% - 强调文字颜色 5 6 2" xfId="2428"/>
    <cellStyle name="60% - 强调文字颜色 2 3 2 2 2 2" xfId="2429"/>
    <cellStyle name="40% - 强调文字颜色 5 6 2 2" xfId="2430"/>
    <cellStyle name="40% - 强调文字颜色 5 6_2015财政决算公开" xfId="2431"/>
    <cellStyle name="60% - 强调文字颜色 2 3 2 3" xfId="2432"/>
    <cellStyle name="40% - 强调文字颜色 5 7" xfId="2433"/>
    <cellStyle name="常规 2 3 2 2 4" xfId="2434"/>
    <cellStyle name="60% - 强调文字颜色 2 3 2 3 2" xfId="2435"/>
    <cellStyle name="40% - 强调文字颜色 5 7 2" xfId="2436"/>
    <cellStyle name="60% - 强调文字颜色 2 3 2 4" xfId="2437"/>
    <cellStyle name="40% - 强调文字颜色 5 8" xfId="2438"/>
    <cellStyle name="好 3 3" xfId="2439"/>
    <cellStyle name="40% - 强调文字颜色 6 2" xfId="2440"/>
    <cellStyle name="好 3 3 2" xfId="2441"/>
    <cellStyle name="40% - 强调文字颜色 6 2 2" xfId="2442"/>
    <cellStyle name="好 3 3 2 2" xfId="2443"/>
    <cellStyle name="常规 5 6" xfId="2444"/>
    <cellStyle name="40% - 强调文字颜色 6 2 2 2" xfId="2445"/>
    <cellStyle name="常规 4 3 4" xfId="2446"/>
    <cellStyle name="常规 5 6 2" xfId="2447"/>
    <cellStyle name="40% - 强调文字颜色 6 2 2 2 2" xfId="2448"/>
    <cellStyle name="常规 4 3 4 2" xfId="2449"/>
    <cellStyle name="计算 2 2 3" xfId="2450"/>
    <cellStyle name="常规 5 6 2 2" xfId="2451"/>
    <cellStyle name="40% - 强调文字颜色 6 2 2 2 2 2" xfId="2452"/>
    <cellStyle name="常规 5 6 3" xfId="2453"/>
    <cellStyle name="40% - 强调文字颜色 6 2 2 2 3" xfId="2454"/>
    <cellStyle name="强调文字颜色 5 5 2" xfId="2455"/>
    <cellStyle name="40% - 强调文字颜色 6 2 2 2_2015财政决算公开" xfId="2456"/>
    <cellStyle name="常规 5 7" xfId="2457"/>
    <cellStyle name="40% - 强调文字颜色 6 2 2 3" xfId="2458"/>
    <cellStyle name="常规 4 3 5" xfId="2459"/>
    <cellStyle name="标题 5 4 2 2" xfId="2460"/>
    <cellStyle name="常规 5 7 2" xfId="2461"/>
    <cellStyle name="40% - 强调文字颜色 6 2 2 3 2" xfId="2462"/>
    <cellStyle name="千位分隔 4 2 3 2" xfId="2463"/>
    <cellStyle name="常规 5 8" xfId="2464"/>
    <cellStyle name="40% - 强调文字颜色 6 2 2 4" xfId="2465"/>
    <cellStyle name="常规 4 3 6" xfId="2466"/>
    <cellStyle name="40% - 强调文字颜色 6 2 2_2015财政决算公开" xfId="2467"/>
    <cellStyle name="好 3 3 3" xfId="2468"/>
    <cellStyle name="40% - 强调文字颜色 6 2 3" xfId="2469"/>
    <cellStyle name="常规 6 6" xfId="2470"/>
    <cellStyle name="常规 4 2 2 4" xfId="2471"/>
    <cellStyle name="40% - 强调文字颜色 6 2 3 2" xfId="2472"/>
    <cellStyle name="货币 3 2 4 5" xfId="2473"/>
    <cellStyle name="常规 4 2 2 4 2" xfId="2474"/>
    <cellStyle name="40% - 强调文字颜色 6 2 3 2 2" xfId="2475"/>
    <cellStyle name="常规 4 2 2 4 2 2" xfId="2476"/>
    <cellStyle name="40% - 强调文字颜色 6 2 3 2 2 2" xfId="2477"/>
    <cellStyle name="常规 4 2 2 4 3" xfId="2478"/>
    <cellStyle name="40% - 强调文字颜色 6 2 3 2 3" xfId="2479"/>
    <cellStyle name="货币 3 2 5" xfId="2480"/>
    <cellStyle name="40% - 强调文字颜色 6 2 3 2_2015财政决算公开" xfId="2481"/>
    <cellStyle name="常规 4 2 2 5" xfId="2482"/>
    <cellStyle name="40% - 强调文字颜色 6 2 3 3" xfId="2483"/>
    <cellStyle name="常规 4 2 2 5 2" xfId="2484"/>
    <cellStyle name="40% - 强调文字颜色 6 2 3 3 2" xfId="2485"/>
    <cellStyle name="常规 4 2 2 6" xfId="2486"/>
    <cellStyle name="40% - 强调文字颜色 6 2 3 4" xfId="2487"/>
    <cellStyle name="常规 4 2 2 7" xfId="2488"/>
    <cellStyle name="40% - 强调文字颜色 6 2 3 5" xfId="2489"/>
    <cellStyle name="40% - 强调文字颜色 6 2 3_2015财政决算公开" xfId="2490"/>
    <cellStyle name="货币 2 2 5 2" xfId="2491"/>
    <cellStyle name="40% - 强调文字颜色 6 2 4" xfId="2492"/>
    <cellStyle name="常规 4 2 3 4" xfId="2493"/>
    <cellStyle name="货币 2 2 5 2 2" xfId="2494"/>
    <cellStyle name="常规 7 6" xfId="2495"/>
    <cellStyle name="40% - 强调文字颜色 6 2 4 2" xfId="2496"/>
    <cellStyle name="常规 4 2 3 5" xfId="2497"/>
    <cellStyle name="40% - 强调文字颜色 6 2 4 3" xfId="2498"/>
    <cellStyle name="常规 4 2 3 6" xfId="2499"/>
    <cellStyle name="40% - 强调文字颜色 6 2 4 4" xfId="2500"/>
    <cellStyle name="常规 4 2 4 4" xfId="2501"/>
    <cellStyle name="货币 2 2 5 3 2" xfId="2502"/>
    <cellStyle name="常规 8 6" xfId="2503"/>
    <cellStyle name="40% - 强调文字颜色 6 2 5 2" xfId="2504"/>
    <cellStyle name="货币 2 2 5 4" xfId="2505"/>
    <cellStyle name="常规 10 2 2 2 2" xfId="2506"/>
    <cellStyle name="40% - 强调文字颜色 6 2 6" xfId="2507"/>
    <cellStyle name="40% - 强调文字颜色 6 2_2015财政决算公开" xfId="2508"/>
    <cellStyle name="好 3 4 2" xfId="2509"/>
    <cellStyle name="40% - 强调文字颜色 6 3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警告文本 3 4" xfId="2516"/>
    <cellStyle name="40% - 强调文字颜色 6 3 2 2_2015财政决算公开" xfId="2517"/>
    <cellStyle name="40% - 强调文字颜色 6 3 2 3" xfId="2518"/>
    <cellStyle name="常规 5 3 5" xfId="2519"/>
    <cellStyle name="40% - 强调文字颜色 6 3 2 3 2" xfId="2520"/>
    <cellStyle name="60% - 强调文字颜色 6 7 2" xfId="2521"/>
    <cellStyle name="40% - 强调文字颜色 6 3 2_2015财政决算公开" xfId="2522"/>
    <cellStyle name="40% - 强调文字颜色 6 3 3" xfId="2523"/>
    <cellStyle name="40% - 强调文字颜色 6 3 3 2" xfId="2524"/>
    <cellStyle name="常规 5 4 4" xfId="2525"/>
    <cellStyle name="货币 4 2 4 5" xfId="2526"/>
    <cellStyle name="40% - 强调文字颜色 6 3 3 2 2" xfId="2527"/>
    <cellStyle name="常规 5 4 4 2" xfId="2528"/>
    <cellStyle name="40% - 强调文字颜色 6 3 3 3" xfId="2529"/>
    <cellStyle name="常规 5 4 5" xfId="2530"/>
    <cellStyle name="货币 2 2 6 2" xfId="2531"/>
    <cellStyle name="40% - 强调文字颜色 6 3 4" xfId="2532"/>
    <cellStyle name="货币 2 2 6 2 2" xfId="2533"/>
    <cellStyle name="40% - 强调文字颜色 6 3 4 2" xfId="2534"/>
    <cellStyle name="常规 5 5 4" xfId="2535"/>
    <cellStyle name="货币 2 2 6 3" xfId="2536"/>
    <cellStyle name="40% - 强调文字颜色 6 3 5" xfId="2537"/>
    <cellStyle name="Currency_1995" xfId="2538"/>
    <cellStyle name="40% - 强调文字颜色 6 3_2015财政决算公开" xfId="2539"/>
    <cellStyle name="60% - 强调文字颜色 4 2 2 2" xfId="2540"/>
    <cellStyle name="40% - 强调文字颜色 6 4 2" xfId="2541"/>
    <cellStyle name="40% - 强调文字颜色 6 4 2 2" xfId="2542"/>
    <cellStyle name="常规 6 3 4" xfId="2543"/>
    <cellStyle name="60% - 强调文字颜色 4 2 2 2 2" xfId="2544"/>
    <cellStyle name="60% - 强调文字颜色 4 2 2 2 2 2" xfId="2545"/>
    <cellStyle name="40% - 强调文字颜色 6 4 2 2 2" xfId="2546"/>
    <cellStyle name="60% - 强调文字颜色 4 2 2 2 3" xfId="2547"/>
    <cellStyle name="40% - 强调文字颜色 6 4 2 3" xfId="2548"/>
    <cellStyle name="强调文字颜色 5 7" xfId="2549"/>
    <cellStyle name="常规 4_征收计划表8" xfId="2550"/>
    <cellStyle name="40% - 强调文字颜色 6 4 2_2015财政决算公开" xfId="2551"/>
    <cellStyle name="60% - 强调文字颜色 4 2 2 3" xfId="2552"/>
    <cellStyle name="40% - 强调文字颜色 6 4 3" xfId="2553"/>
    <cellStyle name="常规 4 2 2 2 4" xfId="2554"/>
    <cellStyle name="60% - 强调文字颜色 4 2 2 3 2" xfId="2555"/>
    <cellStyle name="40% - 强调文字颜色 6 4 3 2" xfId="2556"/>
    <cellStyle name="货币 2 2 7 2" xfId="2557"/>
    <cellStyle name="60% - 强调文字颜色 4 2 2 4" xfId="2558"/>
    <cellStyle name="40% - 强调文字颜色 6 4 4" xfId="2559"/>
    <cellStyle name="40% - 强调文字颜色 6 4_2015财政决算公开" xfId="2560"/>
    <cellStyle name="60% - 强调文字颜色 4 2 3" xfId="2561"/>
    <cellStyle name="40% - 强调文字颜色 6 5" xfId="2562"/>
    <cellStyle name="60% - 强调文字颜色 4 2 3 2" xfId="2563"/>
    <cellStyle name="40% - 强调文字颜色 6 5 2" xfId="2564"/>
    <cellStyle name="40% - 强调文字颜色 6 5 2 2" xfId="2565"/>
    <cellStyle name="常规 7 3 4" xfId="2566"/>
    <cellStyle name="60% - 强调文字颜色 4 2 3 2 2" xfId="2567"/>
    <cellStyle name="60% - 强调文字颜色 4 2 3 2 2 2" xfId="2568"/>
    <cellStyle name="40% - 强调文字颜色 6 5 2 2 2" xfId="2569"/>
    <cellStyle name="60% - 强调文字颜色 4 2 3 2 3" xfId="2570"/>
    <cellStyle name="40% - 强调文字颜色 6 5 2 3" xfId="2571"/>
    <cellStyle name="40% - 强调文字颜色 6 5 2_2015财政决算公开" xfId="2572"/>
    <cellStyle name="60% - 强调文字颜色 4 2 3 3" xfId="2573"/>
    <cellStyle name="40% - 强调文字颜色 6 5 3" xfId="2574"/>
    <cellStyle name="货币 2 2 8 2" xfId="2575"/>
    <cellStyle name="60% - 强调文字颜色 4 2 3 4" xfId="2576"/>
    <cellStyle name="40% - 强调文字颜色 6 5 4" xfId="2577"/>
    <cellStyle name="60% - 强调文字颜色 2 3 3 2" xfId="2578"/>
    <cellStyle name="60% - 强调文字颜色 4 2 4" xfId="2579"/>
    <cellStyle name="40% - 强调文字颜色 6 6" xfId="2580"/>
    <cellStyle name="60% - 强调文字颜色 2 3 3 2 2" xfId="2581"/>
    <cellStyle name="60% - 强调文字颜色 4 2 4 2" xfId="2582"/>
    <cellStyle name="40% - 强调文字颜色 6 6 2" xfId="2583"/>
    <cellStyle name="40% - 强调文字颜色 6 6 2 2" xfId="2584"/>
    <cellStyle name="常规 8 3 4" xfId="2585"/>
    <cellStyle name="60% - 强调文字颜色 4 2 4 2 2" xfId="2586"/>
    <cellStyle name="60% - 强调文字颜色 4 2 5 2" xfId="2587"/>
    <cellStyle name="40% - 强调文字颜色 6 7 2" xfId="2588"/>
    <cellStyle name="60% - 强调文字颜色 4 2 6" xfId="2589"/>
    <cellStyle name="40% - 强调文字颜色 6 8" xfId="2590"/>
    <cellStyle name="货币 5" xfId="2591"/>
    <cellStyle name="40% - 着色 1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60% - 强调文字颜色 6 6 2 2" xfId="2598"/>
    <cellStyle name="40% - 着色 5" xfId="2599"/>
    <cellStyle name="40% - 着色 6" xfId="2600"/>
    <cellStyle name="常规 2 2 2 2 4_2015财政决算公开" xfId="2601"/>
    <cellStyle name="常规 6 3 3" xfId="2602"/>
    <cellStyle name="40% - 着色 6 2" xfId="2603"/>
    <cellStyle name="60% - 强调文字颜色 1 2" xfId="2604"/>
    <cellStyle name="60% - 强调文字颜色 1 2 2" xfId="2605"/>
    <cellStyle name="60% - 强调文字颜色 1 2 2 2 2" xfId="2606"/>
    <cellStyle name="60% - 强调文字颜色 5 6" xfId="2607"/>
    <cellStyle name="60% - 强调文字颜色 1 2 2 2 2 2" xfId="2608"/>
    <cellStyle name="常规 3 2 4 2" xfId="2609"/>
    <cellStyle name="60% - 强调文字颜色 1 2 2 2 3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好 3 2 2 2 2" xfId="2615"/>
    <cellStyle name="60% - 强调文字颜色 1 2 3 2 3" xfId="2616"/>
    <cellStyle name="60% - 强调文字颜色 1 2 3 3" xfId="2617"/>
    <cellStyle name="60% - 强调文字颜色 1 2 3 3 2" xfId="2618"/>
    <cellStyle name="60% - 强调文字颜色 1 2 3 4" xfId="2619"/>
    <cellStyle name="标题 5 2_2015财政决算公开" xfId="2620"/>
    <cellStyle name="60% - 强调文字颜色 1 2 3 5" xfId="2621"/>
    <cellStyle name="60% - 强调文字颜色 1 2 4" xfId="2622"/>
    <cellStyle name="60% - 强调文字颜色 1 2 4 2" xfId="2623"/>
    <cellStyle name="货币 2 2 4 4" xfId="2624"/>
    <cellStyle name="60% - 强调文字颜色 1 2 4 2 2" xfId="2625"/>
    <cellStyle name="常规 10 2 2 2" xfId="2626"/>
    <cellStyle name="60% - 强调文字颜色 1 2 4 3" xfId="2627"/>
    <cellStyle name="Calc Currency (0) 2" xfId="2628"/>
    <cellStyle name="60% - 强调文字颜色 1 2 5" xfId="2629"/>
    <cellStyle name="60% - 强调文字颜色 1 2 5 2" xfId="2630"/>
    <cellStyle name="货币 2 6 2" xfId="2631"/>
    <cellStyle name="标题 2 2 3 2 2" xfId="2632"/>
    <cellStyle name="60% - 强调文字颜色 1 2 6" xfId="2633"/>
    <cellStyle name="链接单元格 6 2" xfId="2634"/>
    <cellStyle name="货币 2 6 3" xfId="2635"/>
    <cellStyle name="60% - 强调文字颜色 1 2 7" xfId="2636"/>
    <cellStyle name="60% - 强调文字颜色 1 2_2015财政决算公开" xfId="2637"/>
    <cellStyle name="60% - 强调文字颜色 1 3" xfId="2638"/>
    <cellStyle name="60% - 强调文字颜色 1 3 2" xfId="2639"/>
    <cellStyle name="常规 8 3" xfId="2640"/>
    <cellStyle name="60% - 强调文字颜色 1 3 2 2 2" xfId="2641"/>
    <cellStyle name="常规 8 4" xfId="2642"/>
    <cellStyle name="常规 4 6 2" xfId="2643"/>
    <cellStyle name="常规 4 2 4 2" xfId="2644"/>
    <cellStyle name="60% - 强调文字颜色 1 3 2 2 3" xfId="2645"/>
    <cellStyle name="60% - 强调文字颜色 1 3 2 4" xfId="2646"/>
    <cellStyle name="60% - 强调文字颜色 1 3 3" xfId="2647"/>
    <cellStyle name="60% - 强调文字颜色 1 3 3 2" xfId="2648"/>
    <cellStyle name="常规 2_2012-2013年“三公”经费预决算情况汇总表样" xfId="2649"/>
    <cellStyle name="60% - 强调文字颜色 1 3 3 2 2" xfId="2650"/>
    <cellStyle name="60% - 强调文字颜色 1 3 3 3" xfId="2651"/>
    <cellStyle name="60% - 强调文字颜色 1 3 4" xfId="2652"/>
    <cellStyle name="60% - 强调文字颜色 1 3 4 2" xfId="2653"/>
    <cellStyle name="常规 2 4 2 4 2" xfId="2654"/>
    <cellStyle name="60% - 强调文字颜色 1 4" xfId="2655"/>
    <cellStyle name="常规 2 4 2 4 2 2" xfId="2656"/>
    <cellStyle name="60% - 强调文字颜色 1 4 2" xfId="2657"/>
    <cellStyle name="60% - 强调文字颜色 1 4 2 2 2" xfId="2658"/>
    <cellStyle name="货币 2 10 2" xfId="2659"/>
    <cellStyle name="60% - 强调文字颜色 1 4 3" xfId="2660"/>
    <cellStyle name="60% - 强调文字颜色 1 4 3 2" xfId="2661"/>
    <cellStyle name="60% - 强调文字颜色 1 4 4" xfId="2662"/>
    <cellStyle name="常规 2 4 2 4 3" xfId="2663"/>
    <cellStyle name="60% - 强调文字颜色 1 5" xfId="2664"/>
    <cellStyle name="常规 2 4 2 4 3 2" xfId="2665"/>
    <cellStyle name="60% - 强调文字颜色 1 5 2" xfId="2666"/>
    <cellStyle name="60% - 强调文字颜色 1 5 2 3" xfId="2667"/>
    <cellStyle name="60% - 强调文字颜色 1 5 3" xfId="2668"/>
    <cellStyle name="60% - 强调文字颜色 1 5 3 2" xfId="2669"/>
    <cellStyle name="货币 3 4 2 2" xfId="2670"/>
    <cellStyle name="60% - 强调文字颜色 1 5 4" xfId="2671"/>
    <cellStyle name="常规 2 4 2 4 4" xfId="2672"/>
    <cellStyle name="60% - 强调文字颜色 1 6" xfId="2673"/>
    <cellStyle name="常规 2 4 2 4 4 2" xfId="2674"/>
    <cellStyle name="60% - 强调文字颜色 1 6 2" xfId="2675"/>
    <cellStyle name="60% - 强调文字颜色 1 6 3" xfId="2676"/>
    <cellStyle name="常规 2 4 2 4 5" xfId="2677"/>
    <cellStyle name="标题 3 3 2 2" xfId="2678"/>
    <cellStyle name="60% - 强调文字颜色 1 7" xfId="2679"/>
    <cellStyle name="标题 3 3 2 2 2" xfId="2680"/>
    <cellStyle name="60% - 强调文字颜色 1 7 2" xfId="2681"/>
    <cellStyle name="标题 3 3 2 3" xfId="2682"/>
    <cellStyle name="60% - 强调文字颜色 1 8" xfId="2683"/>
    <cellStyle name="60% - 强调文字颜色 2 2" xfId="2684"/>
    <cellStyle name="60% - 强调文字颜色 2 2 2" xfId="2685"/>
    <cellStyle name="差 7" xfId="2686"/>
    <cellStyle name="60% - 强调文字颜色 2 2 2 2" xfId="2687"/>
    <cellStyle name="差 7 2" xfId="2688"/>
    <cellStyle name="60% - 强调文字颜色 2 2 2 2 2" xfId="2689"/>
    <cellStyle name="60% - 强调文字颜色 2 2 2 2 2 2" xfId="2690"/>
    <cellStyle name="差 8" xfId="2691"/>
    <cellStyle name="60% - 强调文字颜色 2 2 2 3" xfId="2692"/>
    <cellStyle name="常规 2 2 2 2 4" xfId="2693"/>
    <cellStyle name="60% - 强调文字颜色 2 2 2 3 2" xfId="2694"/>
    <cellStyle name="货币 4 5 2" xfId="2695"/>
    <cellStyle name="60% - 强调文字颜色 2 2 2 4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5 8" xfId="2701"/>
    <cellStyle name="60% - 强调文字颜色 2 2 3 2 2 2" xfId="2702"/>
    <cellStyle name="60% - 强调文字颜色 3 2 4 2 2" xfId="2703"/>
    <cellStyle name="60% - 强调文字颜色 2 2 3 3" xfId="2704"/>
    <cellStyle name="60% - 强调文字颜色 3 2 5" xfId="2705"/>
    <cellStyle name="comma zerodec 2" xfId="2706"/>
    <cellStyle name="常规 2 2 3 2 4" xfId="2707"/>
    <cellStyle name="60% - 强调文字颜色 2 2 3 3 2" xfId="2708"/>
    <cellStyle name="60% - 强调文字颜色 3 2 5 2" xfId="2709"/>
    <cellStyle name="货币 4 6 2" xfId="2710"/>
    <cellStyle name="60% - 强调文字颜色 2 2 3 4" xfId="2711"/>
    <cellStyle name="60% - 强调文字颜色 3 2 6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货币 3 6 2" xfId="2721"/>
    <cellStyle name="60% - 强调文字颜色 2 2 6" xfId="2722"/>
    <cellStyle name="货币 2 2 2 4 5" xfId="2723"/>
    <cellStyle name="60% - 强调文字颜色 2 2_2015财政决算公开" xfId="2724"/>
    <cellStyle name="60% - 强调文字颜色 2 3 2" xfId="2725"/>
    <cellStyle name="60% - 强调文字颜色 2 3 4" xfId="2726"/>
    <cellStyle name="检查单元格 2 2 3" xfId="2727"/>
    <cellStyle name="常规 17" xfId="2728"/>
    <cellStyle name="常规 22" xfId="2729"/>
    <cellStyle name="60% - 强调文字颜色 2 3 4 2" xfId="2730"/>
    <cellStyle name="60% - 强调文字颜色 4 3 4" xfId="2731"/>
    <cellStyle name="常规 2 4 2 5 2" xfId="2732"/>
    <cellStyle name="60% - 强调文字颜色 2 4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检查单元格 5 4" xfId="2743"/>
    <cellStyle name="60% - 强调文字颜色 2 5 2 2 2" xfId="2744"/>
    <cellStyle name="60% - 强调文字颜色 2 5 2 3" xfId="2745"/>
    <cellStyle name="60% - 强调文字颜色 2 5 3" xfId="2746"/>
    <cellStyle name="货币 3 5 2 2" xfId="2747"/>
    <cellStyle name="60% - 强调文字颜色 2 5 4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标题 3 3 3 2" xfId="2753"/>
    <cellStyle name="60% - 强调文字颜色 2 7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超级链接 4" xfId="2766"/>
    <cellStyle name="60% - 强调文字颜色 3 2 3 2" xfId="2767"/>
    <cellStyle name="超级链接 5" xfId="2768"/>
    <cellStyle name="60% - 强调文字颜色 3 2 3 3" xfId="2769"/>
    <cellStyle name="常规 13_2015财政决算公开" xfId="2770"/>
    <cellStyle name="60% - 强调文字颜色 3 2 3 3 2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链接单元格 2" xfId="2789"/>
    <cellStyle name="60% - 强调文字颜色 3 4 2 3" xfId="2790"/>
    <cellStyle name="60% - 强调文字颜色 3 4 3" xfId="2791"/>
    <cellStyle name="60% - 强调文字颜色 3 4 3 2" xfId="2792"/>
    <cellStyle name="标题 1 2 3 2 2" xfId="2793"/>
    <cellStyle name="60% - 强调文字颜色 3 5" xfId="2794"/>
    <cellStyle name="60% - 强调文字颜色 3 5 2" xfId="2795"/>
    <cellStyle name="60% - 强调文字颜色 3 5 2 2" xfId="2796"/>
    <cellStyle name="超级链接" xfId="2797"/>
    <cellStyle name="60% - 强调文字颜色 3 5 2 2 2" xfId="2798"/>
    <cellStyle name="常规 2 3 10" xfId="2799"/>
    <cellStyle name="60% - 强调文字颜色 3 5 2 3" xfId="2800"/>
    <cellStyle name="60% - 强调文字颜色 3 5 3" xfId="2801"/>
    <cellStyle name="60% - 强调文字颜色 3 5 3 2" xfId="2802"/>
    <cellStyle name="货币 3 6 2 2" xfId="2803"/>
    <cellStyle name="60% - 强调文字颜色 3 5 4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常规 15" xfId="2817"/>
    <cellStyle name="常规 20" xfId="2818"/>
    <cellStyle name="60% - 强调文字颜色 4 3 2" xfId="2819"/>
    <cellStyle name="百分比 2 6" xfId="2820"/>
    <cellStyle name="常规 15 2" xfId="2821"/>
    <cellStyle name="常规 20 2" xfId="2822"/>
    <cellStyle name="60% - 强调文字颜色 4 3 2 2" xfId="2823"/>
    <cellStyle name="常规 15 2 2" xfId="2824"/>
    <cellStyle name="常规 20 2 2" xfId="2825"/>
    <cellStyle name="60% - 强调文字颜色 4 3 2 2 2" xfId="2826"/>
    <cellStyle name="60% - 强调文字颜色 4 3 2 2 2 2" xfId="2827"/>
    <cellStyle name="60% - 强调文字颜色 6 2 4 3" xfId="2828"/>
    <cellStyle name="常规 5 2 2 2 2" xfId="2829"/>
    <cellStyle name="常规 15 3" xfId="2830"/>
    <cellStyle name="常规 20 3" xfId="2831"/>
    <cellStyle name="60% - 强调文字颜色 4 3 2 3" xfId="2832"/>
    <cellStyle name="常规 15 3 2" xfId="2833"/>
    <cellStyle name="60% - 强调文字颜色 4 3 2 3 2" xfId="2834"/>
    <cellStyle name="货币 2 3 7 2" xfId="2835"/>
    <cellStyle name="常规 15 4" xfId="2836"/>
    <cellStyle name="60% - 强调文字颜色 4 3 2 4" xfId="2837"/>
    <cellStyle name="检查单元格 2 2 2" xfId="2838"/>
    <cellStyle name="常规 16" xfId="2839"/>
    <cellStyle name="常规 21" xfId="2840"/>
    <cellStyle name="60% - 强调文字颜色 4 3 3" xfId="2841"/>
    <cellStyle name="检查单元格 2 2 2 2" xfId="2842"/>
    <cellStyle name="百分比 3 6" xfId="2843"/>
    <cellStyle name="常规 16 2" xfId="2844"/>
    <cellStyle name="常规 21 2" xfId="2845"/>
    <cellStyle name="60% - 强调文字颜色 4 3 3 2" xfId="2846"/>
    <cellStyle name="检查单元格 2 2 2 2 2" xfId="2847"/>
    <cellStyle name="标题 8" xfId="2848"/>
    <cellStyle name="常规 16 2 2" xfId="2849"/>
    <cellStyle name="常规 21 2 2" xfId="2850"/>
    <cellStyle name="60% - 强调文字颜色 4 3 3 2 2" xfId="2851"/>
    <cellStyle name="检查单元格 2 2 2 3" xfId="2852"/>
    <cellStyle name="常规 5 2 2 3 2" xfId="2853"/>
    <cellStyle name="常规 16 3" xfId="2854"/>
    <cellStyle name="常规 21 3" xfId="2855"/>
    <cellStyle name="60% - 强调文字颜色 4 3 3 3" xfId="2856"/>
    <cellStyle name="检查单元格 2 2 3 2" xfId="2857"/>
    <cellStyle name="常规 17 2" xfId="2858"/>
    <cellStyle name="常规 22 2" xfId="2859"/>
    <cellStyle name="60% - 强调文字颜色 4 3 4 2" xfId="2860"/>
    <cellStyle name="常规 2 4 2 7 2" xfId="2861"/>
    <cellStyle name="60% - 强调文字颜色 4 4" xfId="2862"/>
    <cellStyle name="常规 65" xfId="2863"/>
    <cellStyle name="常规 70" xfId="2864"/>
    <cellStyle name="60% - 强调文字颜色 4 4 2" xfId="2865"/>
    <cellStyle name="检查单元格 2 3 2" xfId="2866"/>
    <cellStyle name="常规 66" xfId="2867"/>
    <cellStyle name="常规 71" xfId="2868"/>
    <cellStyle name="60% - 强调文字颜色 4 4 3" xfId="2869"/>
    <cellStyle name="差_全国友协2010年度中央部门决算（草案）" xfId="2870"/>
    <cellStyle name="检查单元格 2 3 3" xfId="2871"/>
    <cellStyle name="常规 67" xfId="2872"/>
    <cellStyle name="常规 72" xfId="2873"/>
    <cellStyle name="60% - 强调文字颜色 4 4 4" xfId="2874"/>
    <cellStyle name="计算 2 4 2 2" xfId="2875"/>
    <cellStyle name="60% - 强调文字颜色 4 5" xfId="2876"/>
    <cellStyle name="60% - 强调文字颜色 4 5 2" xfId="2877"/>
    <cellStyle name="检查单元格 2 4 2" xfId="2878"/>
    <cellStyle name="60% - 强调文字颜色 4 5 3" xfId="2879"/>
    <cellStyle name="检查单元格 2 4 2 2" xfId="2880"/>
    <cellStyle name="60% - 强调文字颜色 4 5 3 2" xfId="2881"/>
    <cellStyle name="检查单元格 2 4 3" xfId="2882"/>
    <cellStyle name="60% - 强调文字颜色 4 5 4" xfId="2883"/>
    <cellStyle name="60% - 强调文字颜色 4 6" xfId="2884"/>
    <cellStyle name="超级链接 2 4" xfId="2885"/>
    <cellStyle name="60% - 强调文字颜色 4 6 2" xfId="2886"/>
    <cellStyle name="60% - 强调文字颜色 4 6 2 2" xfId="2887"/>
    <cellStyle name="检查单元格 2 5 2" xfId="2888"/>
    <cellStyle name="60% - 强调文字颜色 4 6 3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常规 14 5" xfId="2897"/>
    <cellStyle name="60% - 强调文字颜色 5 2 2 2 2" xfId="2898"/>
    <cellStyle name="60% - 强调文字颜色 5 2 2 2 2 2" xfId="2899"/>
    <cellStyle name="常规 14 6" xfId="2900"/>
    <cellStyle name="60% - 强调文字颜色 5 2 2 2 3" xfId="2901"/>
    <cellStyle name="60% - 强调文字颜色 5 2 2 3" xfId="2902"/>
    <cellStyle name="常规 15 5" xfId="2903"/>
    <cellStyle name="60% - 强调文字颜色 5 2 2 3 2" xfId="2904"/>
    <cellStyle name="货币 3 2 7 2" xfId="2905"/>
    <cellStyle name="常规 28 2 2" xfId="2906"/>
    <cellStyle name="Fixed 2" xfId="2907"/>
    <cellStyle name="60% - 强调文字颜色 5 2 2 4" xfId="2908"/>
    <cellStyle name="60% - 强调文字颜色 5 2 3 2" xfId="2909"/>
    <cellStyle name="60% - 强调文字颜色 5 2 3 2 2" xfId="2910"/>
    <cellStyle name="后继超级链接 2 3" xfId="2911"/>
    <cellStyle name="60% - 强调文字颜色 5 2 3 2 2 2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货币 2 11" xfId="2917"/>
    <cellStyle name="60% - 强调文字颜色 5 2 4 2 2" xfId="2918"/>
    <cellStyle name="60% - 强调文字颜色 5 2 4 3" xfId="2919"/>
    <cellStyle name="解释性文本 2 2 2" xfId="2920"/>
    <cellStyle name="60% - 强调文字颜色 5 2 5" xfId="2921"/>
    <cellStyle name="解释性文本 2 2 2 2" xfId="2922"/>
    <cellStyle name="60% - 强调文字颜色 5 2 5 2" xfId="2923"/>
    <cellStyle name="解释性文本 2 2 3" xfId="2924"/>
    <cellStyle name="60% - 强调文字颜色 5 2 6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常规 29 2 2" xfId="2931"/>
    <cellStyle name="60% - 强调文字颜色 5 3 2 4" xfId="2932"/>
    <cellStyle name="检查单元格 3 2 2" xfId="2933"/>
    <cellStyle name="60% - 强调文字颜色 5 3 3" xfId="2934"/>
    <cellStyle name="检查单元格 3 2 2 2 2" xfId="2935"/>
    <cellStyle name="60% - 强调文字颜色 5 3 3 2 2" xfId="2936"/>
    <cellStyle name="检查单元格 3 2 2 3" xfId="2937"/>
    <cellStyle name="60% - 强调文字颜色 5 3 3 3" xfId="2938"/>
    <cellStyle name="检查单元格 3 2 3" xfId="2939"/>
    <cellStyle name="60% - 强调文字颜色 5 3 4" xfId="2940"/>
    <cellStyle name="检查单元格 3 2 3 2" xfId="2941"/>
    <cellStyle name="60% - 强调文字颜色 5 3 4 2" xfId="2942"/>
    <cellStyle name="60% - 强调文字颜色 5 4" xfId="2943"/>
    <cellStyle name="60% - 强调文字颜色 5 4 2" xfId="2944"/>
    <cellStyle name="检查单元格 3 3 2" xfId="2945"/>
    <cellStyle name="60% - 强调文字颜色 5 4 3" xfId="2946"/>
    <cellStyle name="检查单元格 3 3 2 2" xfId="2947"/>
    <cellStyle name="标题 1 2 5" xfId="2948"/>
    <cellStyle name="60% - 强调文字颜色 5 4 3 2" xfId="2949"/>
    <cellStyle name="检查单元格 3 3 3" xfId="2950"/>
    <cellStyle name="60% - 强调文字颜色 5 4 4" xfId="2951"/>
    <cellStyle name="60% - 强调文字颜色 5 5" xfId="2952"/>
    <cellStyle name="60% - 强调文字颜色 5 5 2" xfId="2953"/>
    <cellStyle name="检查单元格 3 4 2" xfId="2954"/>
    <cellStyle name="60% - 强调文字颜色 5 5 3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货币 4 2 7 2" xfId="2970"/>
    <cellStyle name="60% - 强调文字颜色 6 2 2 4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汇总 4 3" xfId="2982"/>
    <cellStyle name="60% - 强调文字颜色 6 2 4 2 2" xfId="2983"/>
    <cellStyle name="解释性文本 3 2 2" xfId="2984"/>
    <cellStyle name="60% - 强调文字颜色 6 2 5" xfId="2985"/>
    <cellStyle name="解释性文本 3 2 3" xfId="2986"/>
    <cellStyle name="60% - 强调文字颜色 6 2 6" xfId="2987"/>
    <cellStyle name="60% - 强调文字颜色 6 3" xfId="2988"/>
    <cellStyle name="60% - 强调文字颜色 6 3 2" xfId="2989"/>
    <cellStyle name="60% - 强调文字颜色 6 3 2 4" xfId="2990"/>
    <cellStyle name="检查单元格 4 2 2" xfId="2991"/>
    <cellStyle name="60% - 强调文字颜色 6 3 3" xfId="2992"/>
    <cellStyle name="常规 4 2 2 9" xfId="2993"/>
    <cellStyle name="60% - 强调文字颜色 6 3 3 2 2" xfId="2994"/>
    <cellStyle name="60% - 强调文字颜色 6 3 3 3" xfId="2995"/>
    <cellStyle name="检查单元格 4 2 3" xfId="2996"/>
    <cellStyle name="60% - 强调文字颜色 6 3 4" xfId="2997"/>
    <cellStyle name="60% - 强调文字颜色 6 3 4 2" xfId="2998"/>
    <cellStyle name="解释性文本 3 3 2" xfId="2999"/>
    <cellStyle name="60% - 强调文字颜色 6 3 5" xfId="3000"/>
    <cellStyle name="百分比 3 2 2" xfId="3001"/>
    <cellStyle name="60% - 强调文字颜色 6 4" xfId="3002"/>
    <cellStyle name="百分比 3 2 2 2" xfId="3003"/>
    <cellStyle name="60% - 强调文字颜色 6 4 2" xfId="3004"/>
    <cellStyle name="检查单元格 4 3 2" xfId="3005"/>
    <cellStyle name="百分比 3 2 2 3" xfId="3006"/>
    <cellStyle name="60% - 强调文字颜色 6 4 3" xfId="3007"/>
    <cellStyle name="60% - 强调文字颜色 6 4 3 2" xfId="3008"/>
    <cellStyle name="60% - 强调文字颜色 6 4 4" xfId="3009"/>
    <cellStyle name="百分比 3 2 3" xfId="3010"/>
    <cellStyle name="60% - 强调文字颜色 6 5" xfId="3011"/>
    <cellStyle name="Header1" xfId="3012"/>
    <cellStyle name="60% - 强调文字颜色 6 5 2 2 2" xfId="3013"/>
    <cellStyle name="60% - 强调文字颜色 6 5 2 3" xfId="3014"/>
    <cellStyle name="60% - 强调文字颜色 6 5 3 2" xfId="3015"/>
    <cellStyle name="60% - 强调文字颜色 6 5 4" xfId="3016"/>
    <cellStyle name="常规 3 2 4 2 2" xfId="3017"/>
    <cellStyle name="百分比 3 2 4" xfId="3018"/>
    <cellStyle name="60% - 强调文字颜色 6 6" xfId="3019"/>
    <cellStyle name="常规 2 2 3 8" xfId="3020"/>
    <cellStyle name="60% - 强调文字颜色 6 6 2" xfId="3021"/>
    <cellStyle name="60% - 强调文字颜色 6 6 3" xfId="3022"/>
    <cellStyle name="60% - 强调文字颜色 6 7" xfId="3023"/>
    <cellStyle name="常规 12 2 2 2 2" xfId="3024"/>
    <cellStyle name="60% - 强调文字颜色 6 8" xfId="3025"/>
    <cellStyle name="60% - 着色 1" xfId="3026"/>
    <cellStyle name="60% - 着色 1 2" xfId="3027"/>
    <cellStyle name="60% - 着色 2" xfId="3028"/>
    <cellStyle name="常规 2 2 11" xfId="3029"/>
    <cellStyle name="60% - 着色 2 2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常规 3 6 2" xfId="3038"/>
    <cellStyle name="Comma [0] 2" xfId="3039"/>
    <cellStyle name="comma zerodec" xfId="3040"/>
    <cellStyle name="常规 2 2" xfId="3041"/>
    <cellStyle name="Comma_1995" xfId="3042"/>
    <cellStyle name="Currency [0]" xfId="3043"/>
    <cellStyle name="Currency [0] 2" xfId="3044"/>
    <cellStyle name="计算 6 2 2" xfId="3045"/>
    <cellStyle name="Currency1 2" xfId="3046"/>
    <cellStyle name="计算 5 2 3" xfId="3047"/>
    <cellStyle name="Date" xfId="3048"/>
    <cellStyle name="Date 2" xfId="3049"/>
    <cellStyle name="货币 3 2 4 4 2" xfId="3050"/>
    <cellStyle name="Dollar (zero dec)" xfId="3051"/>
    <cellStyle name="Dollar (zero dec) 2" xfId="3052"/>
    <cellStyle name="货币 3 2 7" xfId="3053"/>
    <cellStyle name="常规 28 2" xfId="3054"/>
    <cellStyle name="常规 33 2" xfId="3055"/>
    <cellStyle name="Fixed" xfId="3056"/>
    <cellStyle name="Header1 2" xfId="3057"/>
    <cellStyle name="强调文字颜色 5 2 3" xfId="3058"/>
    <cellStyle name="标题 5 2 3_2015财政决算公开" xfId="3059"/>
    <cellStyle name="Header2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表标题 3" xfId="3068"/>
    <cellStyle name="标题 3 2_2015财政决算公开" xfId="3069"/>
    <cellStyle name="Total 2" xfId="3070"/>
    <cellStyle name="检查单元格 6 3" xfId="3071"/>
    <cellStyle name="常规 2 5 2 2 3" xfId="3072"/>
    <cellStyle name="常规 10 3_2015财政决算公开" xfId="3073"/>
    <cellStyle name="百分比 2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常规 3 2 3 2 2" xfId="3083"/>
    <cellStyle name="百分比 2 2 4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常规 3 2 3 3 2" xfId="3092"/>
    <cellStyle name="百分比 2 3 4" xfId="3093"/>
    <cellStyle name="差 2 4 2" xfId="3094"/>
    <cellStyle name="百分比 2 4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常规 2 4 2 9" xfId="3101"/>
    <cellStyle name="百分比 3 2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常规 2 2 6" xfId="3109"/>
    <cellStyle name="百分比 4 2" xfId="3110"/>
    <cellStyle name="常规 2 2 6 2" xfId="3111"/>
    <cellStyle name="百分比 4 2 2" xfId="3112"/>
    <cellStyle name="千位分隔 3 2 3 4" xfId="3113"/>
    <cellStyle name="常规 2 2 6 2 2" xfId="3114"/>
    <cellStyle name="百分比 4 2 2 2" xfId="3115"/>
    <cellStyle name="百分比 4 2 2 2 2" xfId="3116"/>
    <cellStyle name="小数" xfId="3117"/>
    <cellStyle name="百分比 4 2 2 3" xfId="3118"/>
    <cellStyle name="常规 2 2 6 3" xfId="3119"/>
    <cellStyle name="百分比 4 2 3" xfId="3120"/>
    <cellStyle name="千位分隔 3 2 4 4" xfId="3121"/>
    <cellStyle name="常规 2 2 6 3 2" xfId="3122"/>
    <cellStyle name="百分比 4 2 3 2" xfId="3123"/>
    <cellStyle name="常规 2 2 7" xfId="3124"/>
    <cellStyle name="百分比 4 3" xfId="3125"/>
    <cellStyle name="汇总 3" xfId="3126"/>
    <cellStyle name="常规 2 2 7 2" xfId="3127"/>
    <cellStyle name="百分比 4 3 2" xfId="3128"/>
    <cellStyle name="汇总 3 2" xfId="3129"/>
    <cellStyle name="常规 2 2 7 2 2" xfId="3130"/>
    <cellStyle name="百分比 4 3 2 2" xfId="3131"/>
    <cellStyle name="常规 2 2 8" xfId="3132"/>
    <cellStyle name="百分比 4 4" xfId="3133"/>
    <cellStyle name="常规 2 2 8 2" xfId="3134"/>
    <cellStyle name="百分比 4 4 2" xfId="3135"/>
    <cellStyle name="百分比 5" xfId="3136"/>
    <cellStyle name="强调文字颜色 1 2 3 2 2" xfId="3137"/>
    <cellStyle name="常规 2 3 6" xfId="3138"/>
    <cellStyle name="标题 5 2 2 3" xfId="3139"/>
    <cellStyle name="百分比 5 2" xfId="3140"/>
    <cellStyle name="强调文字颜色 1 2 3 2 2 2" xfId="3141"/>
    <cellStyle name="常规 2 3 6 2" xfId="3142"/>
    <cellStyle name="标题 5 2 2 3 2" xfId="3143"/>
    <cellStyle name="百分比 5 2 2" xfId="3144"/>
    <cellStyle name="千位分隔 4 2 3 4" xfId="3145"/>
    <cellStyle name="常规 2 3 6 2 2" xfId="3146"/>
    <cellStyle name="百分比 5 2 2 2" xfId="3147"/>
    <cellStyle name="百分比 5 2 2 2 2" xfId="3148"/>
    <cellStyle name="常规 2 3 6 3" xfId="3149"/>
    <cellStyle name="百分比 5 2 3" xfId="3150"/>
    <cellStyle name="常规 4 2 2 8" xfId="3151"/>
    <cellStyle name="千位分隔 4 2 4 4" xfId="3152"/>
    <cellStyle name="常规 2 3 6 3 2" xfId="3153"/>
    <cellStyle name="百分比 5 2 3 2" xfId="3154"/>
    <cellStyle name="强调文字颜色 1 2 3 2 3" xfId="3155"/>
    <cellStyle name="常规 2 3 7" xfId="3156"/>
    <cellStyle name="标题 5 2 2 4" xfId="3157"/>
    <cellStyle name="百分比 5 3" xfId="3158"/>
    <cellStyle name="常规 2 3 7 2" xfId="3159"/>
    <cellStyle name="百分比 5 3 2" xfId="3160"/>
    <cellStyle name="百分比 5 3 2 2" xfId="3161"/>
    <cellStyle name="百分比 5 3 3" xfId="3162"/>
    <cellStyle name="常规 2 3 8" xfId="3163"/>
    <cellStyle name="常规 2 3 4 2 2" xfId="3164"/>
    <cellStyle name="标题 5 2 2 5" xfId="3165"/>
    <cellStyle name="百分比 5 4" xfId="3166"/>
    <cellStyle name="常规 2 3 8 2" xfId="3167"/>
    <cellStyle name="百分比 5 4 2" xfId="3168"/>
    <cellStyle name="常规 2 3 9" xfId="3169"/>
    <cellStyle name="百分比 5 5" xfId="3170"/>
    <cellStyle name="常规 2 3 9 2" xfId="3171"/>
    <cellStyle name="百分比 5 5 2" xfId="3172"/>
    <cellStyle name="百分比 5 6" xfId="3173"/>
    <cellStyle name="常规 18 2" xfId="3174"/>
    <cellStyle name="常规 23 2" xfId="3175"/>
    <cellStyle name="百分比 6" xfId="3176"/>
    <cellStyle name="强调文字颜色 1 2 3 3 2" xfId="3177"/>
    <cellStyle name="常规 2 4 6" xfId="3178"/>
    <cellStyle name="标题 5 2 3 3" xfId="3179"/>
    <cellStyle name="百分比 6 2" xfId="3180"/>
    <cellStyle name="常规 2 4 6 2" xfId="3181"/>
    <cellStyle name="百分比 6 2 2" xfId="3182"/>
    <cellStyle name="标题 2 4 3" xfId="3183"/>
    <cellStyle name="常规 2 4 6 2 2" xfId="3184"/>
    <cellStyle name="百分比 6 2 2 2" xfId="3185"/>
    <cellStyle name="百分比 6 2 2 3" xfId="3186"/>
    <cellStyle name="常规 2 4 6 3" xfId="3187"/>
    <cellStyle name="百分比 6 2 3" xfId="3188"/>
    <cellStyle name="标题 2 5 3" xfId="3189"/>
    <cellStyle name="常规 2 4 6 3 2" xfId="3190"/>
    <cellStyle name="百分比 6 2 3 2" xfId="3191"/>
    <cellStyle name="常规 2 4 7" xfId="3192"/>
    <cellStyle name="标题 5 2 3 4" xfId="3193"/>
    <cellStyle name="百分比 6 3" xfId="3194"/>
    <cellStyle name="常规 2 4 7 2" xfId="3195"/>
    <cellStyle name="百分比 6 3 2" xfId="3196"/>
    <cellStyle name="标题 3 4 3" xfId="3197"/>
    <cellStyle name="百分比 6 3 2 2" xfId="3198"/>
    <cellStyle name="百分比 6 3 3" xfId="3199"/>
    <cellStyle name="常规 2 4 8" xfId="3200"/>
    <cellStyle name="常规 2 3 4 3 2" xfId="3201"/>
    <cellStyle name="百分比 6 4" xfId="3202"/>
    <cellStyle name="常规 2 4 8 2" xfId="3203"/>
    <cellStyle name="百分比 6 4 2" xfId="3204"/>
    <cellStyle name="常规 2 4 9" xfId="3205"/>
    <cellStyle name="百分比 6 5" xfId="3206"/>
    <cellStyle name="百分比 7" xfId="3207"/>
    <cellStyle name="常规 2 5 6" xfId="3208"/>
    <cellStyle name="百分比 7 2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常规 2 3 4 4 2" xfId="3220"/>
    <cellStyle name="百分比 7 4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计算 2 3 2" xfId="3227"/>
    <cellStyle name="标题 1 2 2 3" xfId="3228"/>
    <cellStyle name="标题 1 2 3" xfId="3229"/>
    <cellStyle name="标题 1 2 3 2" xfId="3230"/>
    <cellStyle name="计算 2 4 2" xfId="3231"/>
    <cellStyle name="标题 1 2 3 3" xfId="3232"/>
    <cellStyle name="计算 2 4 3" xfId="3233"/>
    <cellStyle name="常规 5 6 4 2" xfId="3234"/>
    <cellStyle name="标题 1 2 3 4" xfId="3235"/>
    <cellStyle name="标题 1 2 4 2" xfId="3236"/>
    <cellStyle name="常规 2 2 2 4 5" xfId="3237"/>
    <cellStyle name="标题 1 3 2 2" xfId="3238"/>
    <cellStyle name="标题 1 3 2 2 2" xfId="3239"/>
    <cellStyle name="计算 3 3 2" xfId="3240"/>
    <cellStyle name="标题 1 3 2 3" xfId="3241"/>
    <cellStyle name="标题 1 3 3" xfId="3242"/>
    <cellStyle name="标题 1 3 3 2" xfId="3243"/>
    <cellStyle name="好_F00DC810C49E00C2E0430A3413167AE0" xfId="3244"/>
    <cellStyle name="标题 1 4" xfId="3245"/>
    <cellStyle name="常规 12 2 5" xfId="3246"/>
    <cellStyle name="标题 1 4 2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常规 4 2 2 2 2 2" xfId="3253"/>
    <cellStyle name="标题 1 6" xfId="3254"/>
    <cellStyle name="标题 1 6 2" xfId="3255"/>
    <cellStyle name="标题 1 7" xfId="3256"/>
    <cellStyle name="标题 10" xfId="3257"/>
    <cellStyle name="标题 2 2" xfId="3258"/>
    <cellStyle name="标题 2 2 2 2" xfId="3259"/>
    <cellStyle name="差_5.中央部门决算（草案)-1" xfId="3260"/>
    <cellStyle name="标题 2 2 2 2 2" xfId="3261"/>
    <cellStyle name="标题 2 2 2 3" xfId="3262"/>
    <cellStyle name="标题 2 2 3" xfId="3263"/>
    <cellStyle name="货币 2 6" xfId="3264"/>
    <cellStyle name="标题 2 2 3 2" xfId="3265"/>
    <cellStyle name="货币 2 7" xfId="3266"/>
    <cellStyle name="标题 2 2 3 3" xfId="3267"/>
    <cellStyle name="货币 2 8" xfId="3268"/>
    <cellStyle name="常规 4 2 2 4 4 2" xfId="3269"/>
    <cellStyle name="标题 2 2 3 4" xfId="3270"/>
    <cellStyle name="标题 2 3" xfId="3271"/>
    <cellStyle name="常规 2 3 2 4 5" xfId="3272"/>
    <cellStyle name="标题 2 3 2 2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常规 13 2 5" xfId="3280"/>
    <cellStyle name="标题 2 4 2" xfId="3281"/>
    <cellStyle name="标题 2 5" xfId="3282"/>
    <cellStyle name="常规 4 2 2 2 3 2" xfId="3283"/>
    <cellStyle name="标题 2 6" xfId="3284"/>
    <cellStyle name="标题 2 6 2" xfId="3285"/>
    <cellStyle name="标题 2 7" xfId="3286"/>
    <cellStyle name="标题 3 2" xfId="3287"/>
    <cellStyle name="好 5" xfId="3288"/>
    <cellStyle name="标题 3 2 2" xfId="3289"/>
    <cellStyle name="后继超级链接 4" xfId="3290"/>
    <cellStyle name="好 5 2" xfId="3291"/>
    <cellStyle name="常规 57" xfId="3292"/>
    <cellStyle name="常规 62" xfId="3293"/>
    <cellStyle name="标题 3 2 2 2" xfId="3294"/>
    <cellStyle name="后继超级链接 5" xfId="3295"/>
    <cellStyle name="好 5 3" xfId="3296"/>
    <cellStyle name="常规 58" xfId="3297"/>
    <cellStyle name="常规 63" xfId="3298"/>
    <cellStyle name="标题 3 2 2 3" xfId="3299"/>
    <cellStyle name="好 6" xfId="3300"/>
    <cellStyle name="标题 3 2 3" xfId="3301"/>
    <cellStyle name="好 6 3" xfId="3302"/>
    <cellStyle name="标题 3 2 3 3" xfId="3303"/>
    <cellStyle name="标题 3 2 3 4" xfId="3304"/>
    <cellStyle name="好 7" xfId="3305"/>
    <cellStyle name="标题 3 2 4" xfId="3306"/>
    <cellStyle name="好 7 2" xfId="3307"/>
    <cellStyle name="标题 3 2 4 2" xfId="3308"/>
    <cellStyle name="好 8" xfId="3309"/>
    <cellStyle name="标题 3 2 5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烹拳_laroux" xfId="3319"/>
    <cellStyle name="标题 3 5 3" xfId="3320"/>
    <cellStyle name="常规 4 2 2 2 4 2" xfId="3321"/>
    <cellStyle name="标题 3 6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好 2 2 2 3" xfId="3340"/>
    <cellStyle name="标题 4 3 2 2" xfId="3341"/>
    <cellStyle name="常规 4 2 6" xfId="3342"/>
    <cellStyle name="标题 4 3 2 2 2" xfId="3343"/>
    <cellStyle name="标题 4 3 2 3" xfId="3344"/>
    <cellStyle name="标题 4 3 3" xfId="3345"/>
    <cellStyle name="标题 4 3 3 2" xfId="3346"/>
    <cellStyle name="常规 2 2_2015财政决算公开" xfId="3347"/>
    <cellStyle name="标题 4 3 4" xfId="3348"/>
    <cellStyle name="标题 5 2 2" xfId="3349"/>
    <cellStyle name="常规 2 3 5" xfId="3350"/>
    <cellStyle name="标题 5 2 2 2" xfId="3351"/>
    <cellStyle name="常规 2 3 5 2" xfId="3352"/>
    <cellStyle name="标题 5 2 2 2 2" xfId="3353"/>
    <cellStyle name="常规 2 3 5 3" xfId="3354"/>
    <cellStyle name="标题 5 2 2 2 3" xfId="3355"/>
    <cellStyle name="标题 5 2 2 2_2015财政决算公开" xfId="3356"/>
    <cellStyle name="常规 2 3 3 4 2" xfId="3357"/>
    <cellStyle name="标题 5 2 2_2015财政决算公开" xfId="3358"/>
    <cellStyle name="标题 5 2 3" xfId="3359"/>
    <cellStyle name="常规 2 4 5" xfId="3360"/>
    <cellStyle name="标题 5 2 3 2" xfId="3361"/>
    <cellStyle name="常规 2 4 5 2" xfId="3362"/>
    <cellStyle name="标题 5 2 3 2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链接单元格 6" xfId="3369"/>
    <cellStyle name="标题 5 3_2015财政决算公开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超级链接 2 2 2 2" xfId="3376"/>
    <cellStyle name="表标题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解释性文本 5" xfId="3388"/>
    <cellStyle name="差 2" xfId="3389"/>
    <cellStyle name="解释性文本 5 2" xfId="3390"/>
    <cellStyle name="差 2 2" xfId="3391"/>
    <cellStyle name="差 2 4" xfId="3392"/>
    <cellStyle name="差 2 5" xfId="3393"/>
    <cellStyle name="差 2_2015财政决算公开" xfId="3394"/>
    <cellStyle name="解释性文本 6" xfId="3395"/>
    <cellStyle name="差 3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货币 2 3 2 2" xfId="3425"/>
    <cellStyle name="常规 10 4" xfId="3426"/>
    <cellStyle name="货币 2 3 2 2 2" xfId="3427"/>
    <cellStyle name="常规 10 4 2" xfId="3428"/>
    <cellStyle name="汇总 3 3 2" xfId="3429"/>
    <cellStyle name="货币 2 3 2 3" xfId="3430"/>
    <cellStyle name="常规 10 5" xfId="3431"/>
    <cellStyle name="警告文本 3 3 2" xfId="3432"/>
    <cellStyle name="货币 2 3 2 4" xfId="3433"/>
    <cellStyle name="常规 10 6" xfId="3434"/>
    <cellStyle name="常规 2 4 2 2 3 2" xfId="3435"/>
    <cellStyle name="常规 10_2015财政决算公开" xfId="3436"/>
    <cellStyle name="常规 11" xfId="3437"/>
    <cellStyle name="常规 11 2 2 2 2" xfId="3438"/>
    <cellStyle name="货币 4 7 2" xfId="3439"/>
    <cellStyle name="常规 11 2 2 3" xfId="3440"/>
    <cellStyle name="常规 11_报 预算   行政政法处(1)" xfId="3441"/>
    <cellStyle name="好 4 2" xfId="3442"/>
    <cellStyle name="常规 12" xfId="3443"/>
    <cellStyle name="常规 12 2 2 2 2 2" xfId="3444"/>
    <cellStyle name="检查单元格 2 3 5" xfId="3445"/>
    <cellStyle name="常规 69" xfId="3446"/>
    <cellStyle name="常规 74" xfId="3447"/>
    <cellStyle name="常规 12 2 2 2_2015财政决算公开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2 3 2 3 3" xfId="3458"/>
    <cellStyle name="常规 12 4_2015财政决算公开" xfId="3459"/>
    <cellStyle name="货币 2 3 4 5" xfId="3460"/>
    <cellStyle name="常规 12 7" xfId="3461"/>
    <cellStyle name="常规 12_2015财政决算公开" xfId="3462"/>
    <cellStyle name="好 4 3" xfId="3463"/>
    <cellStyle name="常规 13" xfId="3464"/>
    <cellStyle name="货币 2 2 9 2" xfId="3465"/>
    <cellStyle name="常规 13 2 2 3" xfId="3466"/>
    <cellStyle name="常规 2 2 2 2 3 2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货币 2 3 6 2" xfId="3473"/>
    <cellStyle name="常规 14 4" xfId="3474"/>
    <cellStyle name="常规 14 4 2" xfId="3475"/>
    <cellStyle name="常规 14_2015财政决算公开" xfId="3476"/>
    <cellStyle name="常规 2 3 2 2 5 2" xfId="3477"/>
    <cellStyle name="常规 15_2015财政决算公开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3_收入总表2 2" xfId="3488"/>
    <cellStyle name="常规 19_2015财政决算公开" xfId="3489"/>
    <cellStyle name="常规 2" xfId="3490"/>
    <cellStyle name="货币 4 2 4 3 2" xfId="3491"/>
    <cellStyle name="常规 2 10" xfId="3492"/>
    <cellStyle name="常规 2 2 2 6 3" xfId="3493"/>
    <cellStyle name="常规 2 11" xfId="3494"/>
    <cellStyle name="常规 2 2 2 6 4" xfId="3495"/>
    <cellStyle name="常规 2 2 10" xfId="3496"/>
    <cellStyle name="常规 2 4 3 5" xfId="3497"/>
    <cellStyle name="输出 2 3 4" xfId="3498"/>
    <cellStyle name="常规 2 2 2" xfId="3499"/>
    <cellStyle name="常规 2 2 2 10" xfId="3500"/>
    <cellStyle name="常规 2 4 3 5 2" xfId="3501"/>
    <cellStyle name="常规 2 2 2 2" xfId="3502"/>
    <cellStyle name="常规 2 2 2 2 2 2 2" xfId="3503"/>
    <cellStyle name="常规 2 2 2 2 2 3" xfId="3504"/>
    <cellStyle name="常规 2 3 2 2 6" xfId="3505"/>
    <cellStyle name="常规 2 2 2 2 2 3 2" xfId="3506"/>
    <cellStyle name="常规 2 2 2 2 2 4 2" xfId="3507"/>
    <cellStyle name="常规 2 2 2 2 2 5" xfId="3508"/>
    <cellStyle name="常规 2 2 2 2 2_2015财政决算公开" xfId="3509"/>
    <cellStyle name="常规 2 2 2 2 3" xfId="3510"/>
    <cellStyle name="货币 2 2 9" xfId="3511"/>
    <cellStyle name="常规 2 2 2 2 3 2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货币 4 5 2 2" xfId="3530"/>
    <cellStyle name="常规 2 2 2 3 4" xfId="3531"/>
    <cellStyle name="常规 2 2 2 3 4 2" xfId="3532"/>
    <cellStyle name="常规 2 2 2 3_2015财政决算公开" xfId="3533"/>
    <cellStyle name="货币 4 5 3 2" xfId="3534"/>
    <cellStyle name="常规 2 2 2 4 4" xfId="3535"/>
    <cellStyle name="常规 2 2 2 4 4 2" xfId="3536"/>
    <cellStyle name="输出 3 2 2 3" xfId="3537"/>
    <cellStyle name="常规 2 2 2 5 2 2" xfId="3538"/>
    <cellStyle name="货币 4 2 4 2 2" xfId="3539"/>
    <cellStyle name="常规 2 2 2 5 3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常规 2 4 3 6" xfId="3551"/>
    <cellStyle name="常规 2 2 3 4 2 2" xfId="3552"/>
    <cellStyle name="输出 2 3 5" xfId="3553"/>
    <cellStyle name="常规 2 2 3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3 3 6" xfId="3562"/>
    <cellStyle name="常规 2 2 3 3 2 2" xfId="3563"/>
    <cellStyle name="常规 2 2 3 3 3" xfId="3564"/>
    <cellStyle name="常规 2 3 4 6" xfId="3565"/>
    <cellStyle name="常规 2 2 3 3 3 2" xfId="3566"/>
    <cellStyle name="货币 4 6 2 2" xfId="3567"/>
    <cellStyle name="常规 2 2 3 3 4" xfId="3568"/>
    <cellStyle name="常规 2 2 3 4 3" xfId="3569"/>
    <cellStyle name="常规 2 4 4 6" xfId="3570"/>
    <cellStyle name="常规 2 3 3" xfId="3571"/>
    <cellStyle name="常规 2 2 3 4 3 2" xfId="3572"/>
    <cellStyle name="常规 2 2 3 5 2" xfId="3573"/>
    <cellStyle name="常规 2 2 3 6 2" xfId="3574"/>
    <cellStyle name="常规 2 2 3 7" xfId="3575"/>
    <cellStyle name="常规 2 4 3 7" xfId="3576"/>
    <cellStyle name="常规 2 2 4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汇总 4 2" xfId="3592"/>
    <cellStyle name="常规 2 2 7 3 2" xfId="3593"/>
    <cellStyle name="常规 2 2 9 2" xfId="3594"/>
    <cellStyle name="常规 2 3 11" xfId="3595"/>
    <cellStyle name="常规 2 4 4 5" xfId="3596"/>
    <cellStyle name="常规 2 3 2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输出 2 2 2 2 2" xfId="3645"/>
    <cellStyle name="常规 7 2 3 3" xfId="3646"/>
    <cellStyle name="常规 2 4 2 3 2 2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检查单元格 7" xfId="3665"/>
    <cellStyle name="小数 5" xfId="3666"/>
    <cellStyle name="常规 2 5 2 3" xfId="3667"/>
    <cellStyle name="检查单元格 9" xfId="3668"/>
    <cellStyle name="常规 2 5 2 5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货币 2 2 3 3 2" xfId="3677"/>
    <cellStyle name="常规 2 6 4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好 3 2 2 2" xfId="3709"/>
    <cellStyle name="常规 3 3 4" xfId="3710"/>
    <cellStyle name="汇总 2 3 4" xfId="3711"/>
    <cellStyle name="货币 2 2 2 5" xfId="3712"/>
    <cellStyle name="常规 3 4 2 2" xfId="3713"/>
    <cellStyle name="货币 2 2 3 5" xfId="3714"/>
    <cellStyle name="常规 3 4 3 2" xfId="3715"/>
    <cellStyle name="好 3 2 3 2" xfId="3716"/>
    <cellStyle name="常规 3 4 4" xfId="3717"/>
    <cellStyle name="常规 3 5" xfId="3718"/>
    <cellStyle name="常规 3 5 3" xfId="3719"/>
    <cellStyle name="常规 3 5 3 2" xfId="3720"/>
    <cellStyle name="货币 2 2 4 2 2" xfId="3721"/>
    <cellStyle name="常规 3 5 4" xfId="3722"/>
    <cellStyle name="常规 3 6 2 2" xfId="3723"/>
    <cellStyle name="常规 3 6 3" xfId="3724"/>
    <cellStyle name="常规 3 6 3 2" xfId="3725"/>
    <cellStyle name="货币 2 2 4 3 2" xfId="3726"/>
    <cellStyle name="常规 3 6 4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货币 2 2 4 4 2" xfId="3733"/>
    <cellStyle name="常规 3 7 4" xfId="3734"/>
    <cellStyle name="好 2 2 2 2 2" xfId="3735"/>
    <cellStyle name="常规 3 8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4" xfId="3744"/>
    <cellStyle name="常规 4 2 2" xfId="3745"/>
    <cellStyle name="常规 6 4" xfId="3746"/>
    <cellStyle name="常规 4 4 2" xfId="3747"/>
    <cellStyle name="常规 4 2 2 2" xfId="3748"/>
    <cellStyle name="货币 3 2 2 5" xfId="3749"/>
    <cellStyle name="常规 6 4 2" xfId="3750"/>
    <cellStyle name="常规 4 2 2 2 2" xfId="3751"/>
    <cellStyle name="常规 6 4 3" xfId="3752"/>
    <cellStyle name="常规 4 2 2 2 3" xfId="3753"/>
    <cellStyle name="常规 4 2 2 2 5" xfId="3754"/>
    <cellStyle name="常规 4 2 2 2 6" xfId="3755"/>
    <cellStyle name="霓付 [0]_laroux" xfId="3756"/>
    <cellStyle name="警告文本 2" xfId="3757"/>
    <cellStyle name="常规 4 2 2 3 2" xfId="3758"/>
    <cellStyle name="警告文本 3" xfId="3759"/>
    <cellStyle name="常规 4 2 2 3 3" xfId="3760"/>
    <cellStyle name="警告文本 3 2" xfId="3761"/>
    <cellStyle name="常规 4 2 2 3 3 2" xfId="3762"/>
    <cellStyle name="警告文本 4" xfId="3763"/>
    <cellStyle name="常规 4 2 2 3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5" xfId="3770"/>
    <cellStyle name="常规 4 2 3" xfId="3771"/>
    <cellStyle name="常规 7 4" xfId="3772"/>
    <cellStyle name="常规 4 5 2" xfId="3773"/>
    <cellStyle name="常规 4 2 3 2" xfId="3774"/>
    <cellStyle name="常规 7 5" xfId="3775"/>
    <cellStyle name="常规 4 5 3" xfId="3776"/>
    <cellStyle name="常规 4 2 3 3" xfId="3777"/>
    <cellStyle name="常规 4 6" xfId="3778"/>
    <cellStyle name="常规 4 2 4" xfId="3779"/>
    <cellStyle name="常规 8 5" xfId="3780"/>
    <cellStyle name="常规 4 6 3" xfId="3781"/>
    <cellStyle name="常规 4 2 4 3" xfId="3782"/>
    <cellStyle name="常规 4 2 4 3 2" xfId="3783"/>
    <cellStyle name="常规 4 2 4 4 2" xfId="3784"/>
    <cellStyle name="常规 4 2 4 5" xfId="3785"/>
    <cellStyle name="常规 4 7" xfId="3786"/>
    <cellStyle name="常规 4 2 5" xfId="3787"/>
    <cellStyle name="常规 4 2 8" xfId="3788"/>
    <cellStyle name="常规 4 3" xfId="3789"/>
    <cellStyle name="常规 5 4 2" xfId="3790"/>
    <cellStyle name="常规 4 3 2 2" xfId="3791"/>
    <cellStyle name="常规 5 4 3" xfId="3792"/>
    <cellStyle name="常规 4 3 2 3" xfId="3793"/>
    <cellStyle name="常规 5 5" xfId="3794"/>
    <cellStyle name="常规 4 3 3" xfId="3795"/>
    <cellStyle name="常规 5 5 2" xfId="3796"/>
    <cellStyle name="常规 4 3 3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检查单元格 2 2" xfId="3820"/>
    <cellStyle name="常规 5 2 4 4 2" xfId="3821"/>
    <cellStyle name="强调文字颜色 5 3 2 3 2" xfId="3822"/>
    <cellStyle name="检查单元格 3" xfId="3823"/>
    <cellStyle name="常规 5 2 4 5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货币 4 2 2 5" xfId="3837"/>
    <cellStyle name="常规 5 4 2 2" xfId="3838"/>
    <cellStyle name="常规 5 4 3 2" xfId="3839"/>
    <cellStyle name="常规 5 4 6" xfId="3840"/>
    <cellStyle name="常规 5 5 3" xfId="3841"/>
    <cellStyle name="常规 5 5 3 2" xfId="3842"/>
    <cellStyle name="货币 2 2 6 3 2" xfId="3843"/>
    <cellStyle name="常规 5 6 4" xfId="3844"/>
    <cellStyle name="常规 5 6 5" xfId="3845"/>
    <cellStyle name="好_全国友协2010年度中央部门决算（草案）" xfId="3846"/>
    <cellStyle name="千位分隔 4 2 3 2 2" xfId="3847"/>
    <cellStyle name="常规 5 8 2" xfId="3848"/>
    <cellStyle name="千位分隔 4 2 3 3 2" xfId="3849"/>
    <cellStyle name="常规 5 9 2" xfId="3850"/>
    <cellStyle name="后继超级链接 2" xfId="3851"/>
    <cellStyle name="常规 55" xfId="3852"/>
    <cellStyle name="常规 60" xfId="3853"/>
    <cellStyle name="后继超级链接 3" xfId="3854"/>
    <cellStyle name="常规 56" xfId="3855"/>
    <cellStyle name="常规 61" xfId="3856"/>
    <cellStyle name="好 5 4" xfId="3857"/>
    <cellStyle name="常规 59" xfId="3858"/>
    <cellStyle name="常规 6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链接单元格 7" xfId="3879"/>
    <cellStyle name="常规 8 2" xfId="3880"/>
    <cellStyle name="常规 8 2 2 3" xfId="3881"/>
    <cellStyle name="货币 2 7 4 2" xfId="3882"/>
    <cellStyle name="常规 8 2 3 2" xfId="3883"/>
    <cellStyle name="货币 2 7 5" xfId="3884"/>
    <cellStyle name="常规 8 2 4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链接单元格 2 3 2" xfId="3909"/>
    <cellStyle name="货币 2 2 4 2" xfId="3910"/>
    <cellStyle name="好 3 2 4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警告文本 2 3 2" xfId="3926"/>
    <cellStyle name="汇总 2 3 3" xfId="3927"/>
    <cellStyle name="货币 2 2 2 4" xfId="3928"/>
    <cellStyle name="汇总 3 2 2" xfId="3929"/>
    <cellStyle name="警告文本 3 2 2" xfId="3930"/>
    <cellStyle name="汇总 3 2 3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链接单元格 2 2" xfId="3955"/>
    <cellStyle name="货币 2 2 3" xfId="3956"/>
    <cellStyle name="链接单元格 2 2 2" xfId="3957"/>
    <cellStyle name="货币 2 2 3 2" xfId="3958"/>
    <cellStyle name="货币 2 2 3 4 2" xfId="3959"/>
    <cellStyle name="链接单元格 2 3" xfId="3960"/>
    <cellStyle name="货币 2 2 4" xfId="3961"/>
    <cellStyle name="货币 2 2 4 3" xfId="3962"/>
    <cellStyle name="货币 2 2 4 5" xfId="3963"/>
    <cellStyle name="链接单元格 2 4" xfId="3964"/>
    <cellStyle name="货币 2 2 5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链接单元格 3 3" xfId="3972"/>
    <cellStyle name="货币 2 3 4" xfId="3973"/>
    <cellStyle name="链接单元格 3 4" xfId="3974"/>
    <cellStyle name="货币 2 3 5" xfId="3975"/>
    <cellStyle name="货币 2 3 7" xfId="3976"/>
    <cellStyle name="货币 2 3 8" xfId="3977"/>
    <cellStyle name="货币 2 4" xfId="3978"/>
    <cellStyle name="货币 2 4 2" xfId="3979"/>
    <cellStyle name="链接单元格 4 2" xfId="3980"/>
    <cellStyle name="货币 2 4 3" xfId="3981"/>
    <cellStyle name="链接单元格 4 3" xfId="3982"/>
    <cellStyle name="货币 2 4 4" xfId="3983"/>
    <cellStyle name="货币 2 4 5" xfId="3984"/>
    <cellStyle name="货币 2 5" xfId="3985"/>
    <cellStyle name="货币 2 5 2" xfId="3986"/>
    <cellStyle name="货币 2 5 2 2" xfId="3987"/>
    <cellStyle name="链接单元格 5 2" xfId="3988"/>
    <cellStyle name="货币 2 5 3" xfId="3989"/>
    <cellStyle name="链接单元格 5 3" xfId="3990"/>
    <cellStyle name="货币 2 5 4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计算 2 3 2 2 2" xfId="3997"/>
    <cellStyle name="货币 2 9" xfId="3998"/>
    <cellStyle name="检查单元格 4 3" xfId="3999"/>
    <cellStyle name="货币 3 10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 3 3 2" xfId="4092"/>
    <cellStyle name="计算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强调文字颜色 3 2" xfId="4190"/>
    <cellStyle name="千位分隔 2 2 4 2 2" xfId="4191"/>
    <cellStyle name="强调文字颜色 4 2" xfId="4192"/>
    <cellStyle name="千位分隔 2 2 4 3 2" xfId="4193"/>
    <cellStyle name="强调文字颜色 5 2" xfId="4194"/>
    <cellStyle name="千位分隔 2 2 4 4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强调文字颜色 3 2 5" xfId="4239"/>
    <cellStyle name="千位分隔 3 2 2 2" xfId="4240"/>
    <cellStyle name="强调文字颜色 3 2 5 2" xfId="4241"/>
    <cellStyle name="千位分隔 3 2 2 2 2" xfId="4242"/>
    <cellStyle name="强调文字颜色 3 2 6" xfId="4243"/>
    <cellStyle name="千位分隔 3 2 2 3" xfId="4244"/>
    <cellStyle name="千位分隔 3 2 2 3 2" xfId="4245"/>
    <cellStyle name="强调文字颜色 3 2 7" xfId="4246"/>
    <cellStyle name="千位分隔 3 2 2 4" xfId="4247"/>
    <cellStyle name="千位分隔 3 2 2 4 2" xfId="4248"/>
    <cellStyle name="千位分隔 3 2 2 5" xfId="4249"/>
    <cellStyle name="千位分隔 3 2 3" xfId="4250"/>
    <cellStyle name="强调文字颜色 3 3 5" xfId="4251"/>
    <cellStyle name="千位分隔 3 2 3 2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强调文字颜色 4 2 5" xfId="4271"/>
    <cellStyle name="千位分隔 3 3 2 2" xfId="4272"/>
    <cellStyle name="千位分隔 3 3 3" xfId="4273"/>
    <cellStyle name="强调文字颜色 4 3 5" xfId="4274"/>
    <cellStyle name="千位分隔 3 3 3 2" xfId="4275"/>
    <cellStyle name="千位分隔 3 3 4" xfId="4276"/>
    <cellStyle name="千位分隔 3 3 4 2" xfId="4277"/>
    <cellStyle name="千位分隔 3 3 5" xfId="4278"/>
    <cellStyle name="千位分隔 3 4" xfId="4279"/>
    <cellStyle name="输出 6" xfId="4280"/>
    <cellStyle name="千位分隔 3 4 2" xfId="4281"/>
    <cellStyle name="输出 6 2" xfId="4282"/>
    <cellStyle name="强调文字颜色 5 2 5" xfId="4283"/>
    <cellStyle name="千位分隔 3 4 2 2" xfId="4284"/>
    <cellStyle name="输出 7" xfId="4285"/>
    <cellStyle name="千位分隔 3 4 3" xfId="4286"/>
    <cellStyle name="输出 7 2" xfId="4287"/>
    <cellStyle name="强调文字颜色 5 3 5" xfId="4288"/>
    <cellStyle name="千位分隔 3 4 3 2" xfId="4289"/>
    <cellStyle name="输出 8" xfId="4290"/>
    <cellStyle name="千位分隔 3 4 4" xfId="4291"/>
    <cellStyle name="千位分隔 3 4 4 2" xfId="4292"/>
    <cellStyle name="输出 9" xfId="4293"/>
    <cellStyle name="千位分隔 3 4 5" xfId="4294"/>
    <cellStyle name="千位分隔 3 5" xfId="4295"/>
    <cellStyle name="千位分隔 3 5 2" xfId="4296"/>
    <cellStyle name="强调文字颜色 6 2 5" xfId="4297"/>
    <cellStyle name="千位分隔 3 5 2 2" xfId="4298"/>
    <cellStyle name="千位分隔 3 5 3" xfId="4299"/>
    <cellStyle name="强调文字颜色 6 3 5" xfId="4300"/>
    <cellStyle name="千位分隔 3 5 3 2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注释 2 2 2 4" xfId="4307"/>
    <cellStyle name="千位分隔 3 6 3 2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适中 6" xfId="4334"/>
    <cellStyle name="千位分隔 4 2 4 3 2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输出 6 2 2" xfId="4638"/>
    <cellStyle name="强调文字颜色 5 2 5 2" xfId="4639"/>
    <cellStyle name="输出 6 3" xfId="4640"/>
    <cellStyle name="强调文字颜色 5 2 6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6 3" xfId="4883"/>
    <cellStyle name="输入 5 2 2" xfId="4884"/>
    <cellStyle name="输入 5 2 2 2" xfId="4885"/>
    <cellStyle name="输入 5 2 3" xfId="4886"/>
    <cellStyle name="输入 5 3" xfId="4887"/>
    <cellStyle name="注释 4" xfId="4888"/>
    <cellStyle name="输入 5 3 2" xfId="4889"/>
    <cellStyle name="输入 5 4" xfId="4890"/>
    <cellStyle name="输入 6" xfId="4891"/>
    <cellStyle name="输入 6 2" xfId="4892"/>
    <cellStyle name="输入 6 2 2" xfId="4893"/>
    <cellStyle name="输入 7" xfId="4894"/>
    <cellStyle name="注释 3" xfId="4895"/>
    <cellStyle name="输入 7 2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A35" sqref="A35"/>
    </sheetView>
  </sheetViews>
  <sheetFormatPr defaultColWidth="9" defaultRowHeight="14.25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45"/>
      <c r="B1" s="145"/>
      <c r="C1" s="145"/>
      <c r="D1" s="145"/>
    </row>
    <row r="2" spans="1:4">
      <c r="A2" s="36" t="s">
        <v>0</v>
      </c>
      <c r="B2" s="84"/>
      <c r="C2" s="84"/>
      <c r="D2" s="84"/>
    </row>
    <row r="3" ht="20.25" spans="1:4">
      <c r="A3" s="65" t="s">
        <v>1</v>
      </c>
      <c r="B3" s="65"/>
      <c r="C3" s="65"/>
      <c r="D3" s="65"/>
    </row>
    <row r="4" spans="1:4">
      <c r="A4" s="146"/>
      <c r="B4" s="146"/>
      <c r="C4" s="146"/>
      <c r="D4" s="147" t="s">
        <v>2</v>
      </c>
    </row>
    <row r="5" ht="20.1" customHeight="1" spans="1:4">
      <c r="A5" s="148" t="s">
        <v>3</v>
      </c>
      <c r="B5" s="148"/>
      <c r="C5" s="148" t="s">
        <v>4</v>
      </c>
      <c r="D5" s="148"/>
    </row>
    <row r="6" ht="20.1" customHeight="1" spans="1:4">
      <c r="A6" s="149" t="s">
        <v>5</v>
      </c>
      <c r="B6" s="149" t="s">
        <v>6</v>
      </c>
      <c r="C6" s="149" t="s">
        <v>7</v>
      </c>
      <c r="D6" s="149" t="s">
        <v>6</v>
      </c>
    </row>
    <row r="7" ht="20.1" customHeight="1" spans="1:4">
      <c r="A7" s="150" t="s">
        <v>8</v>
      </c>
      <c r="B7" s="151">
        <v>717.03</v>
      </c>
      <c r="C7" s="150" t="s">
        <v>9</v>
      </c>
      <c r="D7" s="152">
        <f>D8+D9+D10</f>
        <v>633.69</v>
      </c>
    </row>
    <row r="8" ht="20.1" customHeight="1" spans="1:4">
      <c r="A8" s="150" t="s">
        <v>10</v>
      </c>
      <c r="B8" s="151"/>
      <c r="C8" s="150" t="s">
        <v>11</v>
      </c>
      <c r="D8" s="151">
        <v>451.82</v>
      </c>
    </row>
    <row r="9" ht="20.1" customHeight="1" spans="1:4">
      <c r="A9" s="153" t="s">
        <v>12</v>
      </c>
      <c r="B9" s="151"/>
      <c r="C9" s="150" t="s">
        <v>13</v>
      </c>
      <c r="D9" s="151">
        <v>110.28</v>
      </c>
    </row>
    <row r="10" ht="20.1" customHeight="1" spans="1:4">
      <c r="A10" s="153" t="s">
        <v>14</v>
      </c>
      <c r="B10" s="151"/>
      <c r="C10" s="150" t="s">
        <v>15</v>
      </c>
      <c r="D10" s="151">
        <v>71.59</v>
      </c>
    </row>
    <row r="11" ht="20.1" customHeight="1" spans="1:4">
      <c r="A11" s="153" t="s">
        <v>16</v>
      </c>
      <c r="B11" s="151"/>
      <c r="C11" s="150" t="s">
        <v>17</v>
      </c>
      <c r="D11" s="151">
        <v>83.34</v>
      </c>
    </row>
    <row r="12" ht="20.1" customHeight="1" spans="1:4">
      <c r="A12" s="154" t="s">
        <v>18</v>
      </c>
      <c r="B12" s="155">
        <f>B7</f>
        <v>717.03</v>
      </c>
      <c r="C12" s="154" t="s">
        <v>19</v>
      </c>
      <c r="D12" s="151">
        <f>D7+D11</f>
        <v>717.03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6"/>
  <sheetViews>
    <sheetView workbookViewId="0">
      <selection activeCell="C9" sqref="C9"/>
    </sheetView>
  </sheetViews>
  <sheetFormatPr defaultColWidth="9" defaultRowHeight="14.25" outlineLevelCol="7"/>
  <cols>
    <col min="1" max="1" width="10.25" customWidth="1"/>
    <col min="2" max="2" width="31.25" customWidth="1"/>
    <col min="3" max="3" width="10" style="119" customWidth="1"/>
    <col min="4" max="8" width="9.5" style="119" customWidth="1"/>
  </cols>
  <sheetData>
    <row r="1" spans="1:8">
      <c r="A1" s="120" t="s">
        <v>20</v>
      </c>
      <c r="B1" s="121"/>
      <c r="C1" s="122"/>
      <c r="D1" s="123"/>
      <c r="E1" s="123"/>
      <c r="F1" s="124"/>
      <c r="G1" s="125"/>
      <c r="H1" s="125"/>
    </row>
    <row r="2" ht="29.1" customHeight="1" spans="1:8">
      <c r="A2" s="126" t="s">
        <v>21</v>
      </c>
      <c r="B2" s="126"/>
      <c r="C2" s="126"/>
      <c r="D2" s="126"/>
      <c r="E2" s="126"/>
      <c r="F2" s="126"/>
      <c r="G2" s="126"/>
      <c r="H2" s="126"/>
    </row>
    <row r="3" ht="25.5" spans="1:8">
      <c r="A3" s="120"/>
      <c r="B3" s="120"/>
      <c r="C3" s="127"/>
      <c r="D3" s="128"/>
      <c r="E3" s="128"/>
      <c r="F3" s="129"/>
      <c r="G3" s="130" t="s">
        <v>2</v>
      </c>
      <c r="H3" s="130"/>
    </row>
    <row r="4" spans="1:8">
      <c r="A4" s="131" t="s">
        <v>22</v>
      </c>
      <c r="B4" s="131" t="s">
        <v>23</v>
      </c>
      <c r="C4" s="132" t="s">
        <v>24</v>
      </c>
      <c r="D4" s="133"/>
      <c r="E4" s="133"/>
      <c r="F4" s="133"/>
      <c r="G4" s="133"/>
      <c r="H4" s="134"/>
    </row>
    <row r="5" ht="60" customHeight="1" spans="1:8">
      <c r="A5" s="131"/>
      <c r="B5" s="131"/>
      <c r="C5" s="135" t="s">
        <v>25</v>
      </c>
      <c r="D5" s="135" t="s">
        <v>26</v>
      </c>
      <c r="E5" s="135" t="s">
        <v>27</v>
      </c>
      <c r="F5" s="135" t="s">
        <v>28</v>
      </c>
      <c r="G5" s="136" t="s">
        <v>29</v>
      </c>
      <c r="H5" s="135" t="s">
        <v>30</v>
      </c>
    </row>
    <row r="6" ht="20.1" customHeight="1" spans="1:8">
      <c r="A6" s="137" t="s">
        <v>31</v>
      </c>
      <c r="B6" s="137" t="s">
        <v>31</v>
      </c>
      <c r="C6" s="138">
        <v>1</v>
      </c>
      <c r="D6" s="137">
        <v>2</v>
      </c>
      <c r="E6" s="138">
        <v>3</v>
      </c>
      <c r="F6" s="138">
        <v>4</v>
      </c>
      <c r="G6" s="137">
        <v>5</v>
      </c>
      <c r="H6" s="138">
        <v>6</v>
      </c>
    </row>
    <row r="7" ht="20.1" customHeight="1" spans="1:8">
      <c r="A7" s="139">
        <v>3075</v>
      </c>
      <c r="B7" s="139" t="s">
        <v>32</v>
      </c>
      <c r="C7" s="140">
        <v>717.03</v>
      </c>
      <c r="D7" s="140"/>
      <c r="E7" s="140"/>
      <c r="F7" s="140"/>
      <c r="G7" s="140"/>
      <c r="H7" s="140"/>
    </row>
    <row r="8" ht="20.1" customHeight="1" spans="1:8">
      <c r="A8" s="139">
        <v>2010301</v>
      </c>
      <c r="B8" s="139" t="s">
        <v>33</v>
      </c>
      <c r="C8" s="140">
        <v>452.94</v>
      </c>
      <c r="D8" s="140"/>
      <c r="E8" s="140"/>
      <c r="F8" s="140"/>
      <c r="G8" s="140"/>
      <c r="H8" s="140"/>
    </row>
    <row r="9" ht="20.1" customHeight="1" spans="1:8">
      <c r="A9" s="141">
        <v>2010601</v>
      </c>
      <c r="B9" s="141" t="s">
        <v>34</v>
      </c>
      <c r="C9" s="142">
        <v>11.82</v>
      </c>
      <c r="D9" s="142"/>
      <c r="E9" s="142"/>
      <c r="F9" s="142"/>
      <c r="G9" s="142"/>
      <c r="H9" s="142"/>
    </row>
    <row r="10" ht="20.1" customHeight="1" spans="1:8">
      <c r="A10" s="141">
        <v>2070101</v>
      </c>
      <c r="B10" s="141" t="s">
        <v>35</v>
      </c>
      <c r="C10" s="142">
        <v>9.6</v>
      </c>
      <c r="D10" s="142"/>
      <c r="E10" s="142"/>
      <c r="F10" s="142"/>
      <c r="G10" s="142"/>
      <c r="H10" s="142"/>
    </row>
    <row r="11" ht="20.1" customHeight="1" spans="1:8">
      <c r="A11" s="141">
        <v>2080899</v>
      </c>
      <c r="B11" s="141" t="s">
        <v>36</v>
      </c>
      <c r="C11" s="142">
        <v>1.2</v>
      </c>
      <c r="D11" s="142"/>
      <c r="E11" s="142"/>
      <c r="F11" s="142"/>
      <c r="G11" s="142"/>
      <c r="H11" s="142"/>
    </row>
    <row r="12" ht="20.1" customHeight="1" spans="1:8">
      <c r="A12" s="141">
        <v>2100716</v>
      </c>
      <c r="B12" s="141" t="s">
        <v>37</v>
      </c>
      <c r="C12" s="142">
        <v>16.96</v>
      </c>
      <c r="D12" s="142"/>
      <c r="E12" s="142"/>
      <c r="F12" s="142"/>
      <c r="G12" s="142"/>
      <c r="H12" s="142"/>
    </row>
    <row r="13" ht="20.1" customHeight="1" spans="1:8">
      <c r="A13" s="141">
        <v>2130101</v>
      </c>
      <c r="B13" s="141" t="s">
        <v>38</v>
      </c>
      <c r="C13" s="142">
        <v>23.56</v>
      </c>
      <c r="D13" s="142"/>
      <c r="E13" s="142"/>
      <c r="F13" s="142"/>
      <c r="G13" s="142"/>
      <c r="H13" s="142"/>
    </row>
    <row r="14" ht="20.1" customHeight="1" spans="1:8">
      <c r="A14" s="141">
        <v>2130705</v>
      </c>
      <c r="B14" s="141" t="s">
        <v>39</v>
      </c>
      <c r="C14" s="142">
        <v>152.08</v>
      </c>
      <c r="D14" s="142"/>
      <c r="E14" s="142"/>
      <c r="F14" s="142"/>
      <c r="G14" s="142"/>
      <c r="H14" s="142"/>
    </row>
    <row r="15" ht="20.1" customHeight="1" spans="1:8">
      <c r="A15" s="141">
        <v>2210201</v>
      </c>
      <c r="B15" s="141" t="s">
        <v>40</v>
      </c>
      <c r="C15" s="142">
        <v>39.46</v>
      </c>
      <c r="D15" s="142"/>
      <c r="E15" s="142"/>
      <c r="F15" s="142"/>
      <c r="G15" s="142"/>
      <c r="H15" s="142"/>
    </row>
    <row r="16" ht="23" customHeight="1" spans="1:8">
      <c r="A16" s="143">
        <v>2210202</v>
      </c>
      <c r="B16" s="143" t="s">
        <v>41</v>
      </c>
      <c r="C16" s="144">
        <v>9.41</v>
      </c>
      <c r="D16" s="144"/>
      <c r="E16" s="144"/>
      <c r="F16" s="144"/>
      <c r="G16" s="144"/>
      <c r="H16" s="144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82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51"/>
  <sheetViews>
    <sheetView workbookViewId="0">
      <selection activeCell="E9" sqref="E9"/>
    </sheetView>
  </sheetViews>
  <sheetFormatPr defaultColWidth="9" defaultRowHeight="14.25"/>
  <cols>
    <col min="1" max="1" width="8.25" customWidth="1"/>
    <col min="2" max="2" width="19.375" customWidth="1"/>
    <col min="3" max="3" width="9.125" customWidth="1"/>
    <col min="4" max="4" width="42" customWidth="1"/>
    <col min="5" max="5" width="12.75" customWidth="1"/>
    <col min="6" max="6" width="8.875" customWidth="1"/>
    <col min="7" max="7" width="13.75" customWidth="1"/>
    <col min="8" max="9" width="8.875" customWidth="1"/>
    <col min="10" max="10" width="18.25" customWidth="1"/>
    <col min="11" max="14" width="9.625" customWidth="1"/>
    <col min="15" max="15" width="9.125" customWidth="1"/>
  </cols>
  <sheetData>
    <row r="1" ht="25.5" spans="1:15">
      <c r="A1" s="95" t="s">
        <v>42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84"/>
      <c r="N1" s="84"/>
      <c r="O1" s="84"/>
    </row>
    <row r="2" ht="20.25" spans="1:15">
      <c r="A2" s="97" t="s">
        <v>43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</row>
    <row r="3" spans="1:1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111" t="s">
        <v>2</v>
      </c>
      <c r="O3" s="111"/>
    </row>
    <row r="4" s="62" customFormat="1" ht="13.5" spans="1:15">
      <c r="A4" s="99" t="s">
        <v>22</v>
      </c>
      <c r="B4" s="99" t="s">
        <v>23</v>
      </c>
      <c r="C4" s="99" t="s">
        <v>44</v>
      </c>
      <c r="D4" s="99" t="s">
        <v>45</v>
      </c>
      <c r="E4" s="99" t="s">
        <v>46</v>
      </c>
      <c r="F4" s="99" t="s">
        <v>47</v>
      </c>
      <c r="G4" s="99" t="s">
        <v>48</v>
      </c>
      <c r="H4" s="99" t="s">
        <v>49</v>
      </c>
      <c r="I4" s="99" t="s">
        <v>50</v>
      </c>
      <c r="J4" s="112" t="s">
        <v>24</v>
      </c>
      <c r="K4" s="112"/>
      <c r="L4" s="112"/>
      <c r="M4" s="112"/>
      <c r="N4" s="112"/>
      <c r="O4" s="112"/>
    </row>
    <row r="5" s="62" customFormat="1" ht="43.15" customHeight="1" spans="1:15">
      <c r="A5" s="100"/>
      <c r="B5" s="100"/>
      <c r="C5" s="100"/>
      <c r="D5" s="100"/>
      <c r="E5" s="100"/>
      <c r="F5" s="100"/>
      <c r="G5" s="100"/>
      <c r="H5" s="100"/>
      <c r="I5" s="100"/>
      <c r="J5" s="99" t="s">
        <v>46</v>
      </c>
      <c r="K5" s="99" t="s">
        <v>26</v>
      </c>
      <c r="L5" s="99" t="s">
        <v>27</v>
      </c>
      <c r="M5" s="99" t="s">
        <v>28</v>
      </c>
      <c r="N5" s="113" t="s">
        <v>29</v>
      </c>
      <c r="O5" s="99" t="s">
        <v>30</v>
      </c>
    </row>
    <row r="6" s="62" customFormat="1" ht="13.5" spans="1:15">
      <c r="A6" s="101"/>
      <c r="B6" s="101"/>
      <c r="C6" s="101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14"/>
      <c r="O6" s="101"/>
    </row>
    <row r="7" s="62" customFormat="1" ht="20.1" customHeight="1" spans="1:15">
      <c r="A7" s="102" t="s">
        <v>31</v>
      </c>
      <c r="B7" s="102" t="s">
        <v>31</v>
      </c>
      <c r="C7" s="102" t="s">
        <v>31</v>
      </c>
      <c r="D7" s="102" t="s">
        <v>31</v>
      </c>
      <c r="E7" s="102">
        <v>1</v>
      </c>
      <c r="F7" s="102">
        <v>2</v>
      </c>
      <c r="G7" s="102">
        <v>3</v>
      </c>
      <c r="H7" s="102">
        <v>4</v>
      </c>
      <c r="I7" s="102">
        <v>5</v>
      </c>
      <c r="J7" s="102">
        <v>6</v>
      </c>
      <c r="K7" s="102">
        <v>7</v>
      </c>
      <c r="L7" s="102">
        <v>8</v>
      </c>
      <c r="M7" s="102">
        <v>9</v>
      </c>
      <c r="N7" s="102">
        <v>10</v>
      </c>
      <c r="O7" s="102">
        <v>11</v>
      </c>
    </row>
    <row r="8" s="62" customFormat="1" ht="20.1" customHeight="1" spans="1:15">
      <c r="A8" s="103">
        <v>3075</v>
      </c>
      <c r="B8" s="103" t="s">
        <v>51</v>
      </c>
      <c r="C8" s="104">
        <v>3075</v>
      </c>
      <c r="D8" s="105" t="s">
        <v>32</v>
      </c>
      <c r="E8" s="106">
        <v>717.03</v>
      </c>
      <c r="F8" s="106">
        <v>451.82</v>
      </c>
      <c r="G8" s="106">
        <v>110.28</v>
      </c>
      <c r="H8" s="106">
        <v>71.59</v>
      </c>
      <c r="I8" s="106">
        <v>83.34</v>
      </c>
      <c r="J8" s="115"/>
      <c r="K8" s="116"/>
      <c r="L8" s="116"/>
      <c r="M8" s="116"/>
      <c r="N8" s="116"/>
      <c r="O8" s="116"/>
    </row>
    <row r="9" s="62" customFormat="1" ht="20.1" customHeight="1" spans="1:15">
      <c r="A9" s="103"/>
      <c r="B9" s="103"/>
      <c r="C9" s="104">
        <v>2010301</v>
      </c>
      <c r="D9" s="105" t="s">
        <v>52</v>
      </c>
      <c r="E9" s="107">
        <v>65.17</v>
      </c>
      <c r="F9" s="106">
        <v>65.17</v>
      </c>
      <c r="G9" s="106">
        <v>0</v>
      </c>
      <c r="H9" s="106">
        <v>0</v>
      </c>
      <c r="I9" s="106">
        <v>0</v>
      </c>
      <c r="J9" s="115"/>
      <c r="K9" s="116"/>
      <c r="L9" s="116"/>
      <c r="M9" s="116"/>
      <c r="N9" s="116"/>
      <c r="O9" s="116"/>
    </row>
    <row r="10" s="62" customFormat="1" ht="24" customHeight="1" spans="1:15">
      <c r="A10" s="103"/>
      <c r="B10" s="103"/>
      <c r="C10" s="104">
        <v>2010301</v>
      </c>
      <c r="D10" s="105" t="s">
        <v>53</v>
      </c>
      <c r="E10" s="107">
        <v>126.45</v>
      </c>
      <c r="F10" s="106">
        <v>126.45</v>
      </c>
      <c r="G10" s="106">
        <v>0</v>
      </c>
      <c r="H10" s="106">
        <v>0</v>
      </c>
      <c r="I10" s="106">
        <v>0</v>
      </c>
      <c r="J10" s="115"/>
      <c r="K10" s="116"/>
      <c r="L10" s="116"/>
      <c r="M10" s="116"/>
      <c r="N10" s="116"/>
      <c r="O10" s="116"/>
    </row>
    <row r="11" s="62" customFormat="1" ht="20.1" customHeight="1" spans="1:15">
      <c r="A11" s="103"/>
      <c r="B11" s="103"/>
      <c r="C11" s="104">
        <v>2010301</v>
      </c>
      <c r="D11" s="105" t="s">
        <v>54</v>
      </c>
      <c r="E11" s="107">
        <v>7</v>
      </c>
      <c r="F11" s="106">
        <v>0</v>
      </c>
      <c r="G11" s="106">
        <v>0</v>
      </c>
      <c r="H11" s="106">
        <v>7</v>
      </c>
      <c r="I11" s="106">
        <v>0</v>
      </c>
      <c r="J11" s="115"/>
      <c r="K11" s="116"/>
      <c r="L11" s="116"/>
      <c r="M11" s="116"/>
      <c r="N11" s="116"/>
      <c r="O11" s="116"/>
    </row>
    <row r="12" s="62" customFormat="1" ht="20.1" customHeight="1" spans="1:15">
      <c r="A12" s="103"/>
      <c r="B12" s="103"/>
      <c r="C12" s="104">
        <v>2010301</v>
      </c>
      <c r="D12" s="105" t="s">
        <v>55</v>
      </c>
      <c r="E12" s="107">
        <v>1.09</v>
      </c>
      <c r="F12" s="106">
        <v>1.09</v>
      </c>
      <c r="G12" s="106">
        <v>0</v>
      </c>
      <c r="H12" s="106">
        <v>0</v>
      </c>
      <c r="I12" s="106">
        <v>0</v>
      </c>
      <c r="J12" s="115"/>
      <c r="K12" s="116"/>
      <c r="L12" s="116"/>
      <c r="M12" s="116"/>
      <c r="N12" s="116"/>
      <c r="O12" s="116"/>
    </row>
    <row r="13" s="62" customFormat="1" ht="20.1" customHeight="1" spans="1:15">
      <c r="A13" s="103"/>
      <c r="B13" s="103"/>
      <c r="C13" s="104">
        <v>2010301</v>
      </c>
      <c r="D13" s="105" t="s">
        <v>56</v>
      </c>
      <c r="E13" s="107">
        <v>42.64</v>
      </c>
      <c r="F13" s="106">
        <v>42.64</v>
      </c>
      <c r="G13" s="106">
        <v>0</v>
      </c>
      <c r="H13" s="106">
        <v>0</v>
      </c>
      <c r="I13" s="106">
        <v>0</v>
      </c>
      <c r="J13" s="115"/>
      <c r="K13" s="116"/>
      <c r="L13" s="116"/>
      <c r="M13" s="116"/>
      <c r="N13" s="116"/>
      <c r="O13" s="116"/>
    </row>
    <row r="14" s="62" customFormat="1" ht="20.1" customHeight="1" spans="1:15">
      <c r="A14" s="103"/>
      <c r="B14" s="103"/>
      <c r="C14" s="104">
        <v>2010301</v>
      </c>
      <c r="D14" s="105" t="s">
        <v>57</v>
      </c>
      <c r="E14" s="107">
        <v>12.39</v>
      </c>
      <c r="F14" s="106">
        <v>0</v>
      </c>
      <c r="G14" s="106">
        <v>0</v>
      </c>
      <c r="H14" s="106">
        <v>12.39</v>
      </c>
      <c r="I14" s="106">
        <v>0</v>
      </c>
      <c r="J14" s="115"/>
      <c r="K14" s="116"/>
      <c r="L14" s="116"/>
      <c r="M14" s="116"/>
      <c r="N14" s="116"/>
      <c r="O14" s="116"/>
    </row>
    <row r="15" s="62" customFormat="1" ht="20.1" customHeight="1" spans="1:15">
      <c r="A15" s="103"/>
      <c r="B15" s="103"/>
      <c r="C15" s="104">
        <v>2010301</v>
      </c>
      <c r="D15" s="105" t="s">
        <v>58</v>
      </c>
      <c r="E15" s="107">
        <v>0.77</v>
      </c>
      <c r="F15" s="106">
        <v>0.77</v>
      </c>
      <c r="G15" s="106">
        <v>0</v>
      </c>
      <c r="H15" s="106">
        <v>0</v>
      </c>
      <c r="I15" s="106">
        <v>0</v>
      </c>
      <c r="J15" s="115"/>
      <c r="K15" s="116"/>
      <c r="L15" s="116"/>
      <c r="M15" s="116"/>
      <c r="N15" s="116"/>
      <c r="O15" s="116"/>
    </row>
    <row r="16" s="62" customFormat="1" ht="20.1" customHeight="1" spans="1:15">
      <c r="A16" s="103"/>
      <c r="B16" s="103"/>
      <c r="C16" s="104">
        <v>2010301</v>
      </c>
      <c r="D16" s="105" t="s">
        <v>59</v>
      </c>
      <c r="E16" s="107">
        <v>21.97</v>
      </c>
      <c r="F16" s="106">
        <v>0</v>
      </c>
      <c r="G16" s="106">
        <v>0</v>
      </c>
      <c r="H16" s="106">
        <v>21.97</v>
      </c>
      <c r="I16" s="106">
        <v>0</v>
      </c>
      <c r="J16" s="115"/>
      <c r="K16" s="116"/>
      <c r="L16" s="116"/>
      <c r="M16" s="116"/>
      <c r="N16" s="116"/>
      <c r="O16" s="116"/>
    </row>
    <row r="17" s="62" customFormat="1" ht="20.1" customHeight="1" spans="1:15">
      <c r="A17" s="103"/>
      <c r="B17" s="103"/>
      <c r="C17" s="104">
        <v>2010301</v>
      </c>
      <c r="D17" s="105" t="s">
        <v>60</v>
      </c>
      <c r="E17" s="107">
        <v>30</v>
      </c>
      <c r="F17" s="106">
        <v>0</v>
      </c>
      <c r="G17" s="106">
        <v>0</v>
      </c>
      <c r="H17" s="106">
        <v>0</v>
      </c>
      <c r="I17" s="106">
        <v>30</v>
      </c>
      <c r="J17" s="115"/>
      <c r="K17" s="116"/>
      <c r="L17" s="116"/>
      <c r="M17" s="116"/>
      <c r="N17" s="116"/>
      <c r="O17" s="116"/>
    </row>
    <row r="18" s="62" customFormat="1" ht="20.1" customHeight="1" spans="1:15">
      <c r="A18" s="103"/>
      <c r="B18" s="103"/>
      <c r="C18" s="104">
        <v>2010301</v>
      </c>
      <c r="D18" s="105" t="s">
        <v>61</v>
      </c>
      <c r="E18" s="107">
        <v>5.75</v>
      </c>
      <c r="F18" s="106">
        <v>0</v>
      </c>
      <c r="G18" s="106">
        <v>0</v>
      </c>
      <c r="H18" s="106">
        <v>5.75</v>
      </c>
      <c r="I18" s="106">
        <v>0</v>
      </c>
      <c r="J18" s="115"/>
      <c r="K18" s="116"/>
      <c r="L18" s="116"/>
      <c r="M18" s="116"/>
      <c r="N18" s="116"/>
      <c r="O18" s="116"/>
    </row>
    <row r="19" s="62" customFormat="1" ht="20.1" customHeight="1" spans="1:15">
      <c r="A19" s="103"/>
      <c r="B19" s="103"/>
      <c r="C19" s="104">
        <v>2010301</v>
      </c>
      <c r="D19" s="105" t="s">
        <v>62</v>
      </c>
      <c r="E19" s="107">
        <v>17.07</v>
      </c>
      <c r="F19" s="106">
        <v>17.07</v>
      </c>
      <c r="G19" s="106">
        <v>0</v>
      </c>
      <c r="H19" s="106">
        <v>0</v>
      </c>
      <c r="I19" s="106">
        <v>0</v>
      </c>
      <c r="J19" s="115"/>
      <c r="K19" s="116"/>
      <c r="L19" s="116"/>
      <c r="M19" s="116"/>
      <c r="N19" s="116"/>
      <c r="O19" s="116"/>
    </row>
    <row r="20" s="62" customFormat="1" ht="20.1" customHeight="1" spans="1:15">
      <c r="A20" s="103"/>
      <c r="B20" s="103"/>
      <c r="C20" s="104">
        <v>2010301</v>
      </c>
      <c r="D20" s="105" t="s">
        <v>63</v>
      </c>
      <c r="E20" s="107">
        <v>9</v>
      </c>
      <c r="F20" s="106">
        <v>0</v>
      </c>
      <c r="G20" s="106">
        <v>0</v>
      </c>
      <c r="H20" s="106">
        <v>9</v>
      </c>
      <c r="I20" s="106">
        <v>0</v>
      </c>
      <c r="J20" s="115"/>
      <c r="K20" s="116"/>
      <c r="L20" s="116"/>
      <c r="M20" s="116"/>
      <c r="N20" s="116"/>
      <c r="O20" s="116"/>
    </row>
    <row r="21" s="62" customFormat="1" ht="20.1" customHeight="1" spans="1:15">
      <c r="A21" s="103"/>
      <c r="B21" s="103"/>
      <c r="C21" s="104">
        <v>2010301</v>
      </c>
      <c r="D21" s="105" t="s">
        <v>64</v>
      </c>
      <c r="E21" s="107">
        <v>7.34</v>
      </c>
      <c r="F21" s="106">
        <v>0</v>
      </c>
      <c r="G21" s="106">
        <v>0</v>
      </c>
      <c r="H21" s="106">
        <v>0</v>
      </c>
      <c r="I21" s="106">
        <v>7.34</v>
      </c>
      <c r="J21" s="115"/>
      <c r="K21" s="116"/>
      <c r="L21" s="116"/>
      <c r="M21" s="116"/>
      <c r="N21" s="116"/>
      <c r="O21" s="116"/>
    </row>
    <row r="22" s="62" customFormat="1" ht="20.1" customHeight="1" spans="1:15">
      <c r="A22" s="103"/>
      <c r="B22" s="103"/>
      <c r="C22" s="104">
        <v>2010301</v>
      </c>
      <c r="D22" s="105" t="s">
        <v>65</v>
      </c>
      <c r="E22" s="107">
        <v>90.82</v>
      </c>
      <c r="F22" s="106">
        <v>90.82</v>
      </c>
      <c r="G22" s="106">
        <v>0</v>
      </c>
      <c r="H22" s="106">
        <v>0</v>
      </c>
      <c r="I22" s="106">
        <v>0</v>
      </c>
      <c r="J22" s="117"/>
      <c r="K22" s="116"/>
      <c r="L22" s="116"/>
      <c r="M22" s="116"/>
      <c r="N22" s="116"/>
      <c r="O22" s="116"/>
    </row>
    <row r="23" s="62" customFormat="1" ht="20.1" customHeight="1" spans="1:15">
      <c r="A23" s="103"/>
      <c r="B23" s="103"/>
      <c r="C23" s="104">
        <v>2010301</v>
      </c>
      <c r="D23" s="105" t="s">
        <v>66</v>
      </c>
      <c r="E23" s="107">
        <v>15.48</v>
      </c>
      <c r="F23" s="106">
        <v>0</v>
      </c>
      <c r="G23" s="106">
        <v>0</v>
      </c>
      <c r="H23" s="106">
        <v>15.48</v>
      </c>
      <c r="I23" s="106">
        <v>0</v>
      </c>
      <c r="J23" s="115"/>
      <c r="K23" s="116"/>
      <c r="L23" s="116"/>
      <c r="M23" s="116"/>
      <c r="N23" s="116"/>
      <c r="O23" s="116"/>
    </row>
    <row r="24" s="62" customFormat="1" ht="20.1" customHeight="1" spans="1:15">
      <c r="A24" s="103"/>
      <c r="B24" s="103"/>
      <c r="C24" s="104">
        <v>2010601</v>
      </c>
      <c r="D24" s="105" t="s">
        <v>67</v>
      </c>
      <c r="E24" s="107">
        <v>1.69</v>
      </c>
      <c r="F24" s="106">
        <v>1.69</v>
      </c>
      <c r="G24" s="106">
        <v>0</v>
      </c>
      <c r="H24" s="106">
        <v>0</v>
      </c>
      <c r="I24" s="106">
        <v>0</v>
      </c>
      <c r="J24" s="115"/>
      <c r="K24" s="116"/>
      <c r="L24" s="116"/>
      <c r="M24" s="116"/>
      <c r="N24" s="116"/>
      <c r="O24" s="116"/>
    </row>
    <row r="25" s="62" customFormat="1" ht="20.1" customHeight="1" spans="1:15">
      <c r="A25" s="103"/>
      <c r="B25" s="103"/>
      <c r="C25" s="104">
        <v>2010601</v>
      </c>
      <c r="D25" s="105" t="s">
        <v>68</v>
      </c>
      <c r="E25" s="107">
        <v>3.95</v>
      </c>
      <c r="F25" s="106">
        <v>3.95</v>
      </c>
      <c r="G25" s="106">
        <v>0</v>
      </c>
      <c r="H25" s="106">
        <v>0</v>
      </c>
      <c r="I25" s="106">
        <v>0</v>
      </c>
      <c r="J25" s="115"/>
      <c r="K25" s="116"/>
      <c r="L25" s="116"/>
      <c r="M25" s="116"/>
      <c r="N25" s="116"/>
      <c r="O25" s="116"/>
    </row>
    <row r="26" s="62" customFormat="1" ht="20.1" customHeight="1" spans="1:15">
      <c r="A26" s="103"/>
      <c r="B26" s="103"/>
      <c r="C26" s="104">
        <v>2010601</v>
      </c>
      <c r="D26" s="105" t="s">
        <v>69</v>
      </c>
      <c r="E26" s="107">
        <v>3.18</v>
      </c>
      <c r="F26" s="106">
        <v>3.18</v>
      </c>
      <c r="G26" s="106">
        <v>0</v>
      </c>
      <c r="H26" s="106">
        <v>0</v>
      </c>
      <c r="I26" s="106">
        <v>0</v>
      </c>
      <c r="J26" s="115"/>
      <c r="K26" s="116"/>
      <c r="L26" s="116"/>
      <c r="M26" s="116"/>
      <c r="N26" s="116"/>
      <c r="O26" s="116"/>
    </row>
    <row r="27" s="62" customFormat="1" ht="20.1" customHeight="1" spans="1:15">
      <c r="A27" s="103"/>
      <c r="B27" s="103"/>
      <c r="C27" s="104">
        <v>2010601</v>
      </c>
      <c r="D27" s="105" t="s">
        <v>70</v>
      </c>
      <c r="E27" s="107">
        <v>3</v>
      </c>
      <c r="F27" s="106">
        <v>0</v>
      </c>
      <c r="G27" s="106">
        <v>0</v>
      </c>
      <c r="H27" s="106">
        <v>0</v>
      </c>
      <c r="I27" s="106">
        <v>3</v>
      </c>
      <c r="J27" s="115"/>
      <c r="K27" s="116"/>
      <c r="L27" s="116"/>
      <c r="M27" s="116"/>
      <c r="N27" s="116"/>
      <c r="O27" s="116"/>
    </row>
    <row r="28" s="62" customFormat="1" ht="20.1" customHeight="1" spans="1:15">
      <c r="A28" s="103"/>
      <c r="B28" s="103"/>
      <c r="C28" s="104">
        <v>2070101</v>
      </c>
      <c r="D28" s="105" t="s">
        <v>71</v>
      </c>
      <c r="E28" s="107">
        <v>1.18</v>
      </c>
      <c r="F28" s="106">
        <v>1.18</v>
      </c>
      <c r="G28" s="106">
        <v>0</v>
      </c>
      <c r="H28" s="106">
        <v>0</v>
      </c>
      <c r="I28" s="106">
        <v>0</v>
      </c>
      <c r="J28" s="110"/>
      <c r="K28" s="116"/>
      <c r="L28" s="116"/>
      <c r="M28" s="116"/>
      <c r="N28" s="116"/>
      <c r="O28" s="116"/>
    </row>
    <row r="29" s="62" customFormat="1" ht="20.1" customHeight="1" spans="1:15">
      <c r="A29" s="103"/>
      <c r="B29" s="103"/>
      <c r="C29" s="104">
        <v>2070101</v>
      </c>
      <c r="D29" s="105" t="s">
        <v>72</v>
      </c>
      <c r="E29" s="107">
        <v>1.83</v>
      </c>
      <c r="F29" s="106">
        <v>1.83</v>
      </c>
      <c r="G29" s="106">
        <v>0</v>
      </c>
      <c r="H29" s="106">
        <v>0</v>
      </c>
      <c r="I29" s="106">
        <v>0</v>
      </c>
      <c r="J29" s="110"/>
      <c r="K29" s="116"/>
      <c r="L29" s="116"/>
      <c r="M29" s="116"/>
      <c r="N29" s="116"/>
      <c r="O29" s="116"/>
    </row>
    <row r="30" s="62" customFormat="1" ht="20.1" customHeight="1" spans="1:15">
      <c r="A30" s="103"/>
      <c r="B30" s="103"/>
      <c r="C30" s="104">
        <v>2070101</v>
      </c>
      <c r="D30" s="105" t="s">
        <v>73</v>
      </c>
      <c r="E30" s="107">
        <v>3.08</v>
      </c>
      <c r="F30" s="106">
        <v>3.08</v>
      </c>
      <c r="G30" s="106">
        <v>0</v>
      </c>
      <c r="H30" s="106">
        <v>0</v>
      </c>
      <c r="I30" s="106">
        <v>0</v>
      </c>
      <c r="J30" s="110"/>
      <c r="K30" s="116"/>
      <c r="L30" s="116"/>
      <c r="M30" s="116"/>
      <c r="N30" s="116"/>
      <c r="O30" s="116"/>
    </row>
    <row r="31" s="62" customFormat="1" ht="20.1" customHeight="1" spans="1:15">
      <c r="A31" s="103"/>
      <c r="B31" s="103"/>
      <c r="C31" s="104">
        <v>2070101</v>
      </c>
      <c r="D31" s="105" t="s">
        <v>74</v>
      </c>
      <c r="E31" s="107">
        <v>3.51</v>
      </c>
      <c r="F31" s="106">
        <v>3.51</v>
      </c>
      <c r="G31" s="106">
        <v>0</v>
      </c>
      <c r="H31" s="106">
        <v>0</v>
      </c>
      <c r="I31" s="106">
        <v>0</v>
      </c>
      <c r="J31" s="110"/>
      <c r="K31" s="116"/>
      <c r="L31" s="116"/>
      <c r="M31" s="116"/>
      <c r="N31" s="116"/>
      <c r="O31" s="116"/>
    </row>
    <row r="32" s="62" customFormat="1" ht="20.1" customHeight="1" spans="1:15">
      <c r="A32" s="103"/>
      <c r="B32" s="103"/>
      <c r="C32" s="104">
        <v>2080899</v>
      </c>
      <c r="D32" s="105" t="s">
        <v>75</v>
      </c>
      <c r="E32" s="107">
        <v>1.2</v>
      </c>
      <c r="F32" s="106">
        <v>0</v>
      </c>
      <c r="G32" s="106">
        <v>1.2</v>
      </c>
      <c r="H32" s="106">
        <v>0</v>
      </c>
      <c r="I32" s="106">
        <v>0</v>
      </c>
      <c r="J32" s="110"/>
      <c r="K32" s="116"/>
      <c r="L32" s="116"/>
      <c r="M32" s="116"/>
      <c r="N32" s="116"/>
      <c r="O32" s="116"/>
    </row>
    <row r="33" s="62" customFormat="1" ht="20.1" customHeight="1" spans="1:15">
      <c r="A33" s="103"/>
      <c r="B33" s="103"/>
      <c r="C33" s="104">
        <v>2100716</v>
      </c>
      <c r="D33" s="105" t="s">
        <v>76</v>
      </c>
      <c r="E33" s="107">
        <v>5.74</v>
      </c>
      <c r="F33" s="106">
        <v>5.74</v>
      </c>
      <c r="G33" s="106">
        <v>0</v>
      </c>
      <c r="H33" s="106">
        <v>0</v>
      </c>
      <c r="I33" s="106">
        <v>0</v>
      </c>
      <c r="J33" s="110"/>
      <c r="K33" s="116"/>
      <c r="L33" s="116"/>
      <c r="M33" s="116"/>
      <c r="N33" s="116"/>
      <c r="O33" s="116"/>
    </row>
    <row r="34" s="62" customFormat="1" ht="20.1" customHeight="1" spans="1:15">
      <c r="A34" s="103"/>
      <c r="B34" s="103"/>
      <c r="C34" s="104">
        <v>2100716</v>
      </c>
      <c r="D34" s="105" t="s">
        <v>77</v>
      </c>
      <c r="E34" s="107">
        <v>3.23</v>
      </c>
      <c r="F34" s="106">
        <v>3.23</v>
      </c>
      <c r="G34" s="106">
        <v>0</v>
      </c>
      <c r="H34" s="106">
        <v>0</v>
      </c>
      <c r="I34" s="106">
        <v>0</v>
      </c>
      <c r="J34" s="110"/>
      <c r="K34" s="116"/>
      <c r="L34" s="116"/>
      <c r="M34" s="116"/>
      <c r="N34" s="116"/>
      <c r="O34" s="116"/>
    </row>
    <row r="35" s="62" customFormat="1" ht="20.1" customHeight="1" spans="1:15">
      <c r="A35" s="103"/>
      <c r="B35" s="103"/>
      <c r="C35" s="104">
        <v>2100716</v>
      </c>
      <c r="D35" s="105" t="s">
        <v>78</v>
      </c>
      <c r="E35" s="107">
        <v>5.96</v>
      </c>
      <c r="F35" s="106">
        <v>5.96</v>
      </c>
      <c r="G35" s="106">
        <v>0</v>
      </c>
      <c r="H35" s="106">
        <v>0</v>
      </c>
      <c r="I35" s="106">
        <v>0</v>
      </c>
      <c r="J35" s="110"/>
      <c r="K35" s="116"/>
      <c r="L35" s="116"/>
      <c r="M35" s="116"/>
      <c r="N35" s="116"/>
      <c r="O35" s="116"/>
    </row>
    <row r="36" s="62" customFormat="1" ht="20.1" customHeight="1" spans="1:15">
      <c r="A36" s="103"/>
      <c r="B36" s="103"/>
      <c r="C36" s="104">
        <v>2100716</v>
      </c>
      <c r="D36" s="105" t="s">
        <v>79</v>
      </c>
      <c r="E36" s="107">
        <v>2.03</v>
      </c>
      <c r="F36" s="106">
        <v>2.03</v>
      </c>
      <c r="G36" s="106">
        <v>0</v>
      </c>
      <c r="H36" s="106">
        <v>0</v>
      </c>
      <c r="I36" s="106">
        <v>0</v>
      </c>
      <c r="J36" s="110"/>
      <c r="K36" s="116"/>
      <c r="L36" s="116"/>
      <c r="M36" s="116"/>
      <c r="N36" s="116"/>
      <c r="O36" s="116"/>
    </row>
    <row r="37" s="62" customFormat="1" ht="20.1" customHeight="1" spans="1:15">
      <c r="A37" s="103"/>
      <c r="B37" s="103"/>
      <c r="C37" s="104">
        <v>2130101</v>
      </c>
      <c r="D37" s="105" t="s">
        <v>80</v>
      </c>
      <c r="E37" s="107">
        <v>8.13</v>
      </c>
      <c r="F37" s="106">
        <v>8.13</v>
      </c>
      <c r="G37" s="106">
        <v>0</v>
      </c>
      <c r="H37" s="106">
        <v>0</v>
      </c>
      <c r="I37" s="106">
        <v>0</v>
      </c>
      <c r="J37" s="110"/>
      <c r="K37" s="116"/>
      <c r="L37" s="116"/>
      <c r="M37" s="116"/>
      <c r="N37" s="116"/>
      <c r="O37" s="116"/>
    </row>
    <row r="38" s="62" customFormat="1" ht="20.1" customHeight="1" spans="1:15">
      <c r="A38" s="103"/>
      <c r="B38" s="103"/>
      <c r="C38" s="104">
        <v>2130101</v>
      </c>
      <c r="D38" s="105" t="s">
        <v>81</v>
      </c>
      <c r="E38" s="107">
        <v>4.48</v>
      </c>
      <c r="F38" s="106">
        <v>4.48</v>
      </c>
      <c r="G38" s="106">
        <v>0</v>
      </c>
      <c r="H38" s="106">
        <v>0</v>
      </c>
      <c r="I38" s="106">
        <v>0</v>
      </c>
      <c r="J38" s="110"/>
      <c r="K38" s="116"/>
      <c r="L38" s="116"/>
      <c r="M38" s="116"/>
      <c r="N38" s="116"/>
      <c r="O38" s="116"/>
    </row>
    <row r="39" s="62" customFormat="1" ht="20.1" customHeight="1" spans="1:15">
      <c r="A39" s="103"/>
      <c r="B39" s="103"/>
      <c r="C39" s="104">
        <v>2130101</v>
      </c>
      <c r="D39" s="105" t="s">
        <v>82</v>
      </c>
      <c r="E39" s="107">
        <v>8.02</v>
      </c>
      <c r="F39" s="106">
        <v>8.02</v>
      </c>
      <c r="G39" s="106">
        <v>0</v>
      </c>
      <c r="H39" s="106">
        <v>0</v>
      </c>
      <c r="I39" s="106">
        <v>0</v>
      </c>
      <c r="J39" s="110"/>
      <c r="K39" s="116"/>
      <c r="L39" s="116"/>
      <c r="M39" s="116"/>
      <c r="N39" s="116"/>
      <c r="O39" s="116"/>
    </row>
    <row r="40" s="62" customFormat="1" ht="20.1" customHeight="1" spans="1:15">
      <c r="A40" s="103"/>
      <c r="B40" s="103"/>
      <c r="C40" s="104">
        <v>2130101</v>
      </c>
      <c r="D40" s="105" t="s">
        <v>83</v>
      </c>
      <c r="E40" s="107">
        <v>2.93</v>
      </c>
      <c r="F40" s="106">
        <v>2.93</v>
      </c>
      <c r="G40" s="106">
        <v>0</v>
      </c>
      <c r="H40" s="106">
        <v>0</v>
      </c>
      <c r="I40" s="106">
        <v>0</v>
      </c>
      <c r="J40" s="110"/>
      <c r="K40" s="118"/>
      <c r="L40" s="116"/>
      <c r="M40" s="116"/>
      <c r="N40" s="116"/>
      <c r="O40" s="116"/>
    </row>
    <row r="41" s="62" customFormat="1" ht="20.1" customHeight="1" spans="1:15">
      <c r="A41" s="103"/>
      <c r="B41" s="103"/>
      <c r="C41" s="104">
        <v>2130705</v>
      </c>
      <c r="D41" s="105" t="s">
        <v>84</v>
      </c>
      <c r="E41" s="107">
        <v>8.77</v>
      </c>
      <c r="F41" s="106">
        <v>0</v>
      </c>
      <c r="G41" s="106">
        <v>8.77</v>
      </c>
      <c r="H41" s="106">
        <v>0</v>
      </c>
      <c r="I41" s="106">
        <v>0</v>
      </c>
      <c r="J41" s="110"/>
      <c r="K41" s="116"/>
      <c r="L41" s="116"/>
      <c r="M41" s="116"/>
      <c r="N41" s="116"/>
      <c r="O41" s="116"/>
    </row>
    <row r="42" s="62" customFormat="1" ht="20.1" customHeight="1" spans="1:15">
      <c r="A42" s="103"/>
      <c r="B42" s="103"/>
      <c r="C42" s="104">
        <v>2130705</v>
      </c>
      <c r="D42" s="105" t="s">
        <v>85</v>
      </c>
      <c r="E42" s="107">
        <v>40.09</v>
      </c>
      <c r="F42" s="106">
        <v>0</v>
      </c>
      <c r="G42" s="106">
        <v>40.09</v>
      </c>
      <c r="H42" s="106">
        <v>0</v>
      </c>
      <c r="I42" s="106">
        <v>0</v>
      </c>
      <c r="J42" s="110"/>
      <c r="K42" s="116"/>
      <c r="L42" s="116"/>
      <c r="M42" s="116"/>
      <c r="N42" s="116"/>
      <c r="O42" s="116"/>
    </row>
    <row r="43" s="62" customFormat="1" ht="20.1" customHeight="1" spans="1:15">
      <c r="A43" s="103"/>
      <c r="B43" s="103"/>
      <c r="C43" s="104">
        <v>2130705</v>
      </c>
      <c r="D43" s="105" t="s">
        <v>86</v>
      </c>
      <c r="E43" s="107">
        <v>32.44</v>
      </c>
      <c r="F43" s="106">
        <v>0</v>
      </c>
      <c r="G43" s="106">
        <v>32.44</v>
      </c>
      <c r="H43" s="106">
        <v>0</v>
      </c>
      <c r="I43" s="106">
        <v>0</v>
      </c>
      <c r="J43" s="110"/>
      <c r="K43" s="116"/>
      <c r="L43" s="116"/>
      <c r="M43" s="116"/>
      <c r="N43" s="116"/>
      <c r="O43" s="116"/>
    </row>
    <row r="44" ht="20.1" customHeight="1" spans="1:15">
      <c r="A44" s="103"/>
      <c r="B44" s="103"/>
      <c r="C44" s="104">
        <v>2130705</v>
      </c>
      <c r="D44" s="105" t="s">
        <v>87</v>
      </c>
      <c r="E44" s="107">
        <v>27.78</v>
      </c>
      <c r="F44" s="108">
        <v>0</v>
      </c>
      <c r="G44" s="108">
        <v>27.78</v>
      </c>
      <c r="H44" s="108">
        <v>0</v>
      </c>
      <c r="I44" s="108">
        <v>0</v>
      </c>
      <c r="J44" s="110"/>
      <c r="K44" s="110"/>
      <c r="L44" s="110"/>
      <c r="M44" s="110"/>
      <c r="N44" s="110"/>
      <c r="O44" s="110"/>
    </row>
    <row r="45" ht="20.1" customHeight="1" spans="1:15">
      <c r="A45" s="103"/>
      <c r="B45" s="103"/>
      <c r="C45" s="104">
        <v>2130705</v>
      </c>
      <c r="D45" s="105" t="s">
        <v>88</v>
      </c>
      <c r="E45" s="107">
        <v>43</v>
      </c>
      <c r="F45" s="108">
        <v>0</v>
      </c>
      <c r="G45" s="108">
        <v>0</v>
      </c>
      <c r="H45" s="108">
        <v>0</v>
      </c>
      <c r="I45" s="108">
        <v>43</v>
      </c>
      <c r="J45" s="110"/>
      <c r="K45" s="110"/>
      <c r="L45" s="110"/>
      <c r="M45" s="110"/>
      <c r="N45" s="110"/>
      <c r="O45" s="110"/>
    </row>
    <row r="46" ht="20.1" customHeight="1" spans="1:15">
      <c r="A46" s="103"/>
      <c r="B46" s="103"/>
      <c r="C46" s="104">
        <v>2210201</v>
      </c>
      <c r="D46" s="105" t="s">
        <v>89</v>
      </c>
      <c r="E46" s="107">
        <v>39.46</v>
      </c>
      <c r="F46" s="108">
        <v>39.46</v>
      </c>
      <c r="G46" s="108">
        <v>0</v>
      </c>
      <c r="H46" s="108">
        <v>0</v>
      </c>
      <c r="I46" s="108">
        <v>0</v>
      </c>
      <c r="J46" s="110"/>
      <c r="K46" s="110"/>
      <c r="L46" s="110"/>
      <c r="M46" s="110"/>
      <c r="N46" s="110"/>
      <c r="O46" s="110"/>
    </row>
    <row r="47" ht="20.1" customHeight="1" spans="1:15">
      <c r="A47" s="103"/>
      <c r="B47" s="103"/>
      <c r="C47" s="104">
        <v>2210202</v>
      </c>
      <c r="D47" s="105" t="s">
        <v>41</v>
      </c>
      <c r="E47" s="107">
        <v>9.41</v>
      </c>
      <c r="F47" s="108">
        <v>9.41</v>
      </c>
      <c r="G47" s="108">
        <v>0</v>
      </c>
      <c r="H47" s="108">
        <v>0</v>
      </c>
      <c r="I47" s="108">
        <v>0</v>
      </c>
      <c r="J47" s="110"/>
      <c r="K47" s="110"/>
      <c r="L47" s="110"/>
      <c r="M47" s="110"/>
      <c r="N47" s="110"/>
      <c r="O47" s="110"/>
    </row>
    <row r="48" ht="20.1" customHeight="1" spans="1:15">
      <c r="A48" s="103"/>
      <c r="B48" s="103"/>
      <c r="C48" s="104"/>
      <c r="D48" s="105"/>
      <c r="E48" s="109"/>
      <c r="F48" s="110"/>
      <c r="G48" s="110"/>
      <c r="H48" s="110"/>
      <c r="I48" s="110"/>
      <c r="J48" s="110"/>
      <c r="K48" s="110"/>
      <c r="L48" s="110"/>
      <c r="M48" s="110"/>
      <c r="N48" s="110"/>
      <c r="O48" s="110"/>
    </row>
    <row r="49" ht="20.1" customHeight="1" spans="1:15">
      <c r="A49" s="103"/>
      <c r="B49" s="103"/>
      <c r="C49" s="104"/>
      <c r="D49" s="105"/>
      <c r="E49" s="109"/>
      <c r="F49" s="110"/>
      <c r="G49" s="110"/>
      <c r="H49" s="110"/>
      <c r="I49" s="110"/>
      <c r="J49" s="110"/>
      <c r="K49" s="110"/>
      <c r="L49" s="110"/>
      <c r="M49" s="110"/>
      <c r="N49" s="110"/>
      <c r="O49" s="110"/>
    </row>
    <row r="50" ht="20.1" customHeight="1" spans="1:15">
      <c r="A50" s="103"/>
      <c r="B50" s="103"/>
      <c r="C50" s="104"/>
      <c r="D50" s="105"/>
      <c r="E50" s="109"/>
      <c r="F50" s="110"/>
      <c r="G50" s="110"/>
      <c r="H50" s="110"/>
      <c r="I50" s="110"/>
      <c r="J50" s="110"/>
      <c r="K50" s="110"/>
      <c r="L50" s="110"/>
      <c r="M50" s="110"/>
      <c r="N50" s="110"/>
      <c r="O50" s="110"/>
    </row>
    <row r="51" ht="20.1" customHeight="1" spans="1:15">
      <c r="A51" s="103"/>
      <c r="B51" s="103"/>
      <c r="C51" s="104"/>
      <c r="D51" s="105"/>
      <c r="E51" s="109"/>
      <c r="F51" s="110"/>
      <c r="G51" s="110"/>
      <c r="H51" s="110"/>
      <c r="I51" s="110"/>
      <c r="J51" s="110"/>
      <c r="K51" s="110"/>
      <c r="L51" s="110"/>
      <c r="M51" s="110"/>
      <c r="N51" s="110"/>
      <c r="O51" s="110"/>
    </row>
  </sheetData>
  <mergeCells count="17">
    <mergeCell ref="A2:O2"/>
    <mergeCell ref="N3:O3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72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D12" sqref="D12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84" t="s">
        <v>90</v>
      </c>
      <c r="B1" s="84"/>
      <c r="C1" s="84"/>
      <c r="D1" s="84"/>
    </row>
    <row r="2" ht="20.25" spans="1:4">
      <c r="A2" s="85" t="s">
        <v>91</v>
      </c>
      <c r="B2" s="85"/>
      <c r="C2" s="85"/>
      <c r="D2" s="85"/>
    </row>
    <row r="3" spans="1:4">
      <c r="A3" s="86"/>
      <c r="B3" s="86"/>
      <c r="C3" s="86"/>
      <c r="D3" s="87" t="s">
        <v>2</v>
      </c>
    </row>
    <row r="4" s="62" customFormat="1" ht="20.1" customHeight="1" spans="1:4">
      <c r="A4" s="88" t="s">
        <v>3</v>
      </c>
      <c r="B4" s="88"/>
      <c r="C4" s="88" t="s">
        <v>4</v>
      </c>
      <c r="D4" s="88"/>
    </row>
    <row r="5" s="62" customFormat="1" ht="20.1" customHeight="1" spans="1:4">
      <c r="A5" s="89" t="s">
        <v>5</v>
      </c>
      <c r="B5" s="89" t="s">
        <v>6</v>
      </c>
      <c r="C5" s="89" t="s">
        <v>7</v>
      </c>
      <c r="D5" s="89" t="s">
        <v>6</v>
      </c>
    </row>
    <row r="6" s="62" customFormat="1" ht="20.1" customHeight="1" spans="1:4">
      <c r="A6" s="90" t="s">
        <v>8</v>
      </c>
      <c r="B6" s="91">
        <v>717.03</v>
      </c>
      <c r="C6" s="90" t="s">
        <v>9</v>
      </c>
      <c r="D6" s="92">
        <f>D7+D8+D9</f>
        <v>633.69</v>
      </c>
    </row>
    <row r="7" s="62" customFormat="1" ht="20.1" customHeight="1" spans="1:4">
      <c r="A7" s="90" t="s">
        <v>10</v>
      </c>
      <c r="B7" s="91"/>
      <c r="C7" s="90" t="s">
        <v>92</v>
      </c>
      <c r="D7" s="91">
        <v>451.82</v>
      </c>
    </row>
    <row r="8" s="62" customFormat="1" ht="20.1" customHeight="1" spans="1:4">
      <c r="A8" s="90"/>
      <c r="B8" s="91"/>
      <c r="C8" s="90" t="s">
        <v>93</v>
      </c>
      <c r="D8" s="91">
        <v>110.28</v>
      </c>
    </row>
    <row r="9" s="62" customFormat="1" ht="20.1" customHeight="1" spans="1:4">
      <c r="A9" s="90"/>
      <c r="B9" s="91"/>
      <c r="C9" s="90" t="s">
        <v>94</v>
      </c>
      <c r="D9" s="91">
        <v>71.59</v>
      </c>
    </row>
    <row r="10" s="62" customFormat="1" ht="20.1" customHeight="1" spans="1:4">
      <c r="A10" s="90"/>
      <c r="B10" s="91"/>
      <c r="C10" s="90" t="s">
        <v>17</v>
      </c>
      <c r="D10" s="93">
        <v>83.34</v>
      </c>
    </row>
    <row r="11" s="62" customFormat="1" ht="20.1" customHeight="1" spans="1:4">
      <c r="A11" s="90"/>
      <c r="B11" s="91"/>
      <c r="C11" s="90"/>
      <c r="D11" s="91"/>
    </row>
    <row r="12" s="62" customFormat="1" ht="20.1" customHeight="1" spans="1:4">
      <c r="A12" s="90"/>
      <c r="B12" s="91"/>
      <c r="C12" s="90"/>
      <c r="D12" s="91"/>
    </row>
    <row r="13" s="62" customFormat="1" ht="20.1" customHeight="1" spans="1:4">
      <c r="A13" s="94" t="s">
        <v>18</v>
      </c>
      <c r="B13" s="93">
        <f>B6</f>
        <v>717.03</v>
      </c>
      <c r="C13" s="94" t="s">
        <v>19</v>
      </c>
      <c r="D13" s="91">
        <f>D6+D10</f>
        <v>717.03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7"/>
  <sheetViews>
    <sheetView workbookViewId="0">
      <selection activeCell="E10" sqref="E10"/>
    </sheetView>
  </sheetViews>
  <sheetFormatPr defaultColWidth="9" defaultRowHeight="14.25" outlineLevelCol="4"/>
  <cols>
    <col min="1" max="1" width="14.0833333333333" customWidth="1"/>
    <col min="2" max="2" width="39.125" customWidth="1"/>
    <col min="3" max="3" width="12.5" customWidth="1"/>
    <col min="4" max="4" width="14.125" customWidth="1"/>
    <col min="5" max="5" width="15.875" customWidth="1"/>
  </cols>
  <sheetData>
    <row r="1" spans="1:5">
      <c r="A1" s="63" t="s">
        <v>95</v>
      </c>
      <c r="B1" s="63"/>
      <c r="C1" s="63"/>
      <c r="D1" s="64"/>
      <c r="E1" s="64"/>
    </row>
    <row r="2" ht="20.25" spans="1:5">
      <c r="A2" s="65" t="s">
        <v>96</v>
      </c>
      <c r="B2" s="65"/>
      <c r="C2" s="65"/>
      <c r="D2" s="65"/>
      <c r="E2" s="65"/>
    </row>
    <row r="3" spans="1:5">
      <c r="A3" s="66"/>
      <c r="B3" s="66"/>
      <c r="C3" s="66"/>
      <c r="D3" s="66"/>
      <c r="E3" s="39" t="s">
        <v>2</v>
      </c>
    </row>
    <row r="4" s="62" customFormat="1" ht="20.1" customHeight="1" spans="1:5">
      <c r="A4" s="67" t="s">
        <v>44</v>
      </c>
      <c r="B4" s="67" t="s">
        <v>45</v>
      </c>
      <c r="C4" s="67" t="s">
        <v>46</v>
      </c>
      <c r="D4" s="48" t="s">
        <v>97</v>
      </c>
      <c r="E4" s="48"/>
    </row>
    <row r="5" s="62" customFormat="1" ht="20.1" customHeight="1" spans="1:5">
      <c r="A5" s="67"/>
      <c r="B5" s="67"/>
      <c r="C5" s="67"/>
      <c r="D5" s="156" t="s">
        <v>98</v>
      </c>
      <c r="E5" s="67" t="s">
        <v>50</v>
      </c>
    </row>
    <row r="6" s="62" customFormat="1" ht="20.1" customHeight="1" spans="1:5">
      <c r="A6" s="68" t="s">
        <v>31</v>
      </c>
      <c r="B6" s="68" t="s">
        <v>31</v>
      </c>
      <c r="C6" s="68">
        <v>1</v>
      </c>
      <c r="D6" s="69">
        <v>2</v>
      </c>
      <c r="E6" s="69">
        <v>3</v>
      </c>
    </row>
    <row r="7" s="62" customFormat="1" ht="20.1" customHeight="1" spans="1:5">
      <c r="A7" s="70">
        <v>3075</v>
      </c>
      <c r="B7" s="70" t="s">
        <v>32</v>
      </c>
      <c r="C7" s="68">
        <v>717.03</v>
      </c>
      <c r="D7" s="80">
        <v>633.69</v>
      </c>
      <c r="E7" s="80">
        <v>83.34</v>
      </c>
    </row>
    <row r="8" s="62" customFormat="1" ht="20.1" customHeight="1" spans="1:5">
      <c r="A8" s="70">
        <v>2010301</v>
      </c>
      <c r="B8" s="70" t="s">
        <v>52</v>
      </c>
      <c r="C8" s="68">
        <v>65.17</v>
      </c>
      <c r="D8" s="80">
        <v>65.17</v>
      </c>
      <c r="E8" s="80">
        <v>0</v>
      </c>
    </row>
    <row r="9" s="62" customFormat="1" ht="20.1" customHeight="1" spans="1:5">
      <c r="A9" s="70">
        <v>2010301</v>
      </c>
      <c r="B9" s="70" t="s">
        <v>53</v>
      </c>
      <c r="C9" s="68">
        <v>126.45</v>
      </c>
      <c r="D9" s="80">
        <v>126.45</v>
      </c>
      <c r="E9" s="80">
        <v>0</v>
      </c>
    </row>
    <row r="10" s="62" customFormat="1" ht="20.1" customHeight="1" spans="1:5">
      <c r="A10" s="70">
        <v>2010301</v>
      </c>
      <c r="B10" s="70" t="s">
        <v>54</v>
      </c>
      <c r="C10" s="68">
        <v>7</v>
      </c>
      <c r="D10" s="80">
        <v>7</v>
      </c>
      <c r="E10" s="80">
        <v>0</v>
      </c>
    </row>
    <row r="11" s="62" customFormat="1" ht="20.1" customHeight="1" spans="1:5">
      <c r="A11" s="70">
        <v>2010301</v>
      </c>
      <c r="B11" s="70" t="s">
        <v>55</v>
      </c>
      <c r="C11" s="68">
        <v>1.09</v>
      </c>
      <c r="D11" s="80">
        <v>1.09</v>
      </c>
      <c r="E11" s="80">
        <v>0</v>
      </c>
    </row>
    <row r="12" s="62" customFormat="1" ht="20.1" customHeight="1" spans="1:5">
      <c r="A12" s="70">
        <v>2010301</v>
      </c>
      <c r="B12" s="70" t="s">
        <v>56</v>
      </c>
      <c r="C12" s="68">
        <v>42.64</v>
      </c>
      <c r="D12" s="80">
        <v>42.64</v>
      </c>
      <c r="E12" s="80">
        <v>0</v>
      </c>
    </row>
    <row r="13" s="62" customFormat="1" ht="20.1" customHeight="1" spans="1:5">
      <c r="A13" s="70">
        <v>2010301</v>
      </c>
      <c r="B13" s="70" t="s">
        <v>57</v>
      </c>
      <c r="C13" s="68">
        <v>12.39</v>
      </c>
      <c r="D13" s="80">
        <v>12.39</v>
      </c>
      <c r="E13" s="80">
        <v>0</v>
      </c>
    </row>
    <row r="14" s="62" customFormat="1" ht="20.1" customHeight="1" spans="1:5">
      <c r="A14" s="70">
        <v>2010301</v>
      </c>
      <c r="B14" s="70" t="s">
        <v>58</v>
      </c>
      <c r="C14" s="68">
        <v>0.77</v>
      </c>
      <c r="D14" s="80">
        <v>0.77</v>
      </c>
      <c r="E14" s="80">
        <v>0</v>
      </c>
    </row>
    <row r="15" s="62" customFormat="1" ht="20.1" customHeight="1" spans="1:5">
      <c r="A15" s="70">
        <v>2010301</v>
      </c>
      <c r="B15" s="70" t="s">
        <v>59</v>
      </c>
      <c r="C15" s="68">
        <v>21.97</v>
      </c>
      <c r="D15" s="80">
        <v>21.97</v>
      </c>
      <c r="E15" s="80">
        <v>0</v>
      </c>
    </row>
    <row r="16" s="62" customFormat="1" ht="20.1" customHeight="1" spans="1:5">
      <c r="A16" s="70">
        <v>2010301</v>
      </c>
      <c r="B16" s="70" t="s">
        <v>60</v>
      </c>
      <c r="C16" s="68">
        <v>30</v>
      </c>
      <c r="D16" s="80">
        <v>0</v>
      </c>
      <c r="E16" s="80">
        <v>30</v>
      </c>
    </row>
    <row r="17" s="62" customFormat="1" ht="20.1" customHeight="1" spans="1:5">
      <c r="A17" s="70">
        <v>2010301</v>
      </c>
      <c r="B17" s="70" t="s">
        <v>61</v>
      </c>
      <c r="C17" s="68">
        <v>5.75</v>
      </c>
      <c r="D17" s="80">
        <v>5.75</v>
      </c>
      <c r="E17" s="80">
        <v>0</v>
      </c>
    </row>
    <row r="18" s="62" customFormat="1" ht="20.1" customHeight="1" spans="1:5">
      <c r="A18" s="70">
        <v>2010301</v>
      </c>
      <c r="B18" s="70" t="s">
        <v>62</v>
      </c>
      <c r="C18" s="68">
        <v>17.07</v>
      </c>
      <c r="D18" s="80">
        <v>17.07</v>
      </c>
      <c r="E18" s="80">
        <v>0</v>
      </c>
    </row>
    <row r="19" s="62" customFormat="1" ht="20.1" customHeight="1" spans="1:5">
      <c r="A19" s="70">
        <v>2010301</v>
      </c>
      <c r="B19" s="70" t="s">
        <v>63</v>
      </c>
      <c r="C19" s="68">
        <v>9</v>
      </c>
      <c r="D19" s="80">
        <v>9</v>
      </c>
      <c r="E19" s="80">
        <v>0</v>
      </c>
    </row>
    <row r="20" s="62" customFormat="1" ht="20.1" customHeight="1" spans="1:5">
      <c r="A20" s="70">
        <v>2010301</v>
      </c>
      <c r="B20" s="70" t="s">
        <v>64</v>
      </c>
      <c r="C20" s="68">
        <v>7.34</v>
      </c>
      <c r="D20" s="80">
        <v>0</v>
      </c>
      <c r="E20" s="80">
        <v>7.34</v>
      </c>
    </row>
    <row r="21" s="62" customFormat="1" ht="20.1" customHeight="1" spans="1:5">
      <c r="A21" s="70">
        <v>2010301</v>
      </c>
      <c r="B21" s="70" t="s">
        <v>65</v>
      </c>
      <c r="C21" s="68">
        <v>90.82</v>
      </c>
      <c r="D21" s="80">
        <v>90.82</v>
      </c>
      <c r="E21" s="80">
        <v>0</v>
      </c>
    </row>
    <row r="22" s="62" customFormat="1" ht="20.1" customHeight="1" spans="1:5">
      <c r="A22" s="70">
        <v>2010301</v>
      </c>
      <c r="B22" s="70" t="s">
        <v>66</v>
      </c>
      <c r="C22" s="68">
        <v>15.48</v>
      </c>
      <c r="D22" s="80">
        <v>15.48</v>
      </c>
      <c r="E22" s="80">
        <v>0</v>
      </c>
    </row>
    <row r="23" s="62" customFormat="1" ht="20.1" customHeight="1" spans="1:5">
      <c r="A23" s="70">
        <v>2010601</v>
      </c>
      <c r="B23" s="70" t="s">
        <v>67</v>
      </c>
      <c r="C23" s="68">
        <v>1.69</v>
      </c>
      <c r="D23" s="80">
        <v>1.69</v>
      </c>
      <c r="E23" s="80">
        <v>0</v>
      </c>
    </row>
    <row r="24" s="62" customFormat="1" ht="20.1" customHeight="1" spans="1:5">
      <c r="A24" s="70">
        <v>2010601</v>
      </c>
      <c r="B24" s="70" t="s">
        <v>68</v>
      </c>
      <c r="C24" s="68">
        <v>3.95</v>
      </c>
      <c r="D24" s="80">
        <v>3.95</v>
      </c>
      <c r="E24" s="80">
        <v>0</v>
      </c>
    </row>
    <row r="25" s="62" customFormat="1" ht="20.1" customHeight="1" spans="1:5">
      <c r="A25" s="70">
        <v>2010601</v>
      </c>
      <c r="B25" s="70" t="s">
        <v>69</v>
      </c>
      <c r="C25" s="68">
        <v>3.18</v>
      </c>
      <c r="D25" s="80">
        <v>3.18</v>
      </c>
      <c r="E25" s="80">
        <v>0</v>
      </c>
    </row>
    <row r="26" s="62" customFormat="1" ht="20.1" customHeight="1" spans="1:5">
      <c r="A26" s="70">
        <v>2010601</v>
      </c>
      <c r="B26" s="70" t="s">
        <v>70</v>
      </c>
      <c r="C26" s="68">
        <v>3</v>
      </c>
      <c r="D26" s="80">
        <v>0</v>
      </c>
      <c r="E26" s="80">
        <v>3</v>
      </c>
    </row>
    <row r="27" s="62" customFormat="1" ht="20.1" customHeight="1" spans="1:5">
      <c r="A27" s="70">
        <v>2070101</v>
      </c>
      <c r="B27" s="70" t="s">
        <v>71</v>
      </c>
      <c r="C27" s="68">
        <v>1.18</v>
      </c>
      <c r="D27" s="80">
        <v>1.18</v>
      </c>
      <c r="E27" s="80">
        <v>0</v>
      </c>
    </row>
    <row r="28" s="62" customFormat="1" ht="20.1" customHeight="1" spans="1:5">
      <c r="A28" s="70">
        <v>2070101</v>
      </c>
      <c r="B28" s="70" t="s">
        <v>72</v>
      </c>
      <c r="C28" s="68">
        <v>1.83</v>
      </c>
      <c r="D28" s="80">
        <v>1.83</v>
      </c>
      <c r="E28" s="80">
        <v>0</v>
      </c>
    </row>
    <row r="29" s="62" customFormat="1" ht="20.1" customHeight="1" spans="1:5">
      <c r="A29" s="70">
        <v>2070101</v>
      </c>
      <c r="B29" s="70" t="s">
        <v>73</v>
      </c>
      <c r="C29" s="68">
        <v>3.08</v>
      </c>
      <c r="D29" s="80">
        <v>3.08</v>
      </c>
      <c r="E29" s="80">
        <v>0</v>
      </c>
    </row>
    <row r="30" s="62" customFormat="1" ht="20.1" customHeight="1" spans="1:5">
      <c r="A30" s="70">
        <v>2070101</v>
      </c>
      <c r="B30" s="70" t="s">
        <v>74</v>
      </c>
      <c r="C30" s="68">
        <v>3.51</v>
      </c>
      <c r="D30" s="80">
        <v>3.51</v>
      </c>
      <c r="E30" s="80">
        <v>0</v>
      </c>
    </row>
    <row r="31" s="62" customFormat="1" ht="20.1" customHeight="1" spans="1:5">
      <c r="A31" s="70">
        <v>2080899</v>
      </c>
      <c r="B31" s="70" t="s">
        <v>75</v>
      </c>
      <c r="C31" s="68">
        <v>1.2</v>
      </c>
      <c r="D31" s="80">
        <v>1.2</v>
      </c>
      <c r="E31" s="80">
        <v>0</v>
      </c>
    </row>
    <row r="32" s="62" customFormat="1" ht="20.1" customHeight="1" spans="1:5">
      <c r="A32" s="70">
        <v>2100716</v>
      </c>
      <c r="B32" s="70" t="s">
        <v>76</v>
      </c>
      <c r="C32" s="68">
        <v>5.74</v>
      </c>
      <c r="D32" s="80">
        <v>5.74</v>
      </c>
      <c r="E32" s="80">
        <v>0</v>
      </c>
    </row>
    <row r="33" s="62" customFormat="1" ht="20.1" customHeight="1" spans="1:5">
      <c r="A33" s="70">
        <v>2100716</v>
      </c>
      <c r="B33" s="70" t="s">
        <v>77</v>
      </c>
      <c r="C33" s="68">
        <v>3.23</v>
      </c>
      <c r="D33" s="80">
        <v>3.23</v>
      </c>
      <c r="E33" s="80">
        <v>0</v>
      </c>
    </row>
    <row r="34" s="62" customFormat="1" ht="20.1" customHeight="1" spans="1:5">
      <c r="A34" s="70">
        <v>2100716</v>
      </c>
      <c r="B34" s="70" t="s">
        <v>78</v>
      </c>
      <c r="C34" s="68">
        <v>5.96</v>
      </c>
      <c r="D34" s="80">
        <v>5.96</v>
      </c>
      <c r="E34" s="80">
        <v>0</v>
      </c>
    </row>
    <row r="35" s="62" customFormat="1" ht="20.1" customHeight="1" spans="1:5">
      <c r="A35" s="70">
        <v>2100716</v>
      </c>
      <c r="B35" s="70" t="s">
        <v>79</v>
      </c>
      <c r="C35" s="68">
        <v>2.03</v>
      </c>
      <c r="D35" s="80">
        <v>2.03</v>
      </c>
      <c r="E35" s="80">
        <v>0</v>
      </c>
    </row>
    <row r="36" s="62" customFormat="1" ht="20.1" customHeight="1" spans="1:5">
      <c r="A36" s="70">
        <v>2130101</v>
      </c>
      <c r="B36" s="70" t="s">
        <v>80</v>
      </c>
      <c r="C36" s="68">
        <v>8.13</v>
      </c>
      <c r="D36" s="80">
        <v>8.13</v>
      </c>
      <c r="E36" s="80">
        <v>0</v>
      </c>
    </row>
    <row r="37" s="62" customFormat="1" ht="20.1" customHeight="1" spans="1:5">
      <c r="A37" s="70">
        <v>2130101</v>
      </c>
      <c r="B37" s="70" t="s">
        <v>81</v>
      </c>
      <c r="C37" s="68">
        <v>4.48</v>
      </c>
      <c r="D37" s="80">
        <v>4.48</v>
      </c>
      <c r="E37" s="80">
        <v>0</v>
      </c>
    </row>
    <row r="38" s="62" customFormat="1" ht="20.1" customHeight="1" spans="1:5">
      <c r="A38" s="70">
        <v>2130101</v>
      </c>
      <c r="B38" s="70" t="s">
        <v>82</v>
      </c>
      <c r="C38" s="68">
        <v>8.02</v>
      </c>
      <c r="D38" s="80">
        <v>8.02</v>
      </c>
      <c r="E38" s="80">
        <v>0</v>
      </c>
    </row>
    <row r="39" s="62" customFormat="1" ht="20.1" customHeight="1" spans="1:5">
      <c r="A39" s="70">
        <v>2130101</v>
      </c>
      <c r="B39" s="70" t="s">
        <v>83</v>
      </c>
      <c r="C39" s="68">
        <v>2.93</v>
      </c>
      <c r="D39" s="80">
        <v>2.93</v>
      </c>
      <c r="E39" s="80">
        <v>0</v>
      </c>
    </row>
    <row r="40" s="62" customFormat="1" ht="20.1" customHeight="1" spans="1:5">
      <c r="A40" s="70">
        <v>2130705</v>
      </c>
      <c r="B40" s="70" t="s">
        <v>84</v>
      </c>
      <c r="C40" s="68">
        <v>8.77</v>
      </c>
      <c r="D40" s="80">
        <v>8.77</v>
      </c>
      <c r="E40" s="80">
        <v>0</v>
      </c>
    </row>
    <row r="41" s="62" customFormat="1" ht="20.1" customHeight="1" spans="1:5">
      <c r="A41" s="70">
        <v>2130705</v>
      </c>
      <c r="B41" s="70" t="s">
        <v>85</v>
      </c>
      <c r="C41" s="68">
        <v>40.09</v>
      </c>
      <c r="D41" s="80">
        <v>40.09</v>
      </c>
      <c r="E41" s="80">
        <v>0</v>
      </c>
    </row>
    <row r="42" s="62" customFormat="1" ht="20.1" customHeight="1" spans="1:5">
      <c r="A42" s="70">
        <v>2130705</v>
      </c>
      <c r="B42" s="70" t="s">
        <v>86</v>
      </c>
      <c r="C42" s="68">
        <v>32.44</v>
      </c>
      <c r="D42" s="80">
        <v>32.44</v>
      </c>
      <c r="E42" s="80">
        <v>0</v>
      </c>
    </row>
    <row r="43" s="62" customFormat="1" ht="20.1" customHeight="1" spans="1:5">
      <c r="A43" s="70">
        <v>2130705</v>
      </c>
      <c r="B43" s="70" t="s">
        <v>87</v>
      </c>
      <c r="C43" s="68">
        <v>27.78</v>
      </c>
      <c r="D43" s="80">
        <v>27.78</v>
      </c>
      <c r="E43" s="80">
        <v>0</v>
      </c>
    </row>
    <row r="44" s="62" customFormat="1" ht="20.1" customHeight="1" spans="1:5">
      <c r="A44" s="70">
        <v>2130705</v>
      </c>
      <c r="B44" s="70" t="s">
        <v>88</v>
      </c>
      <c r="C44" s="68">
        <v>43</v>
      </c>
      <c r="D44" s="80">
        <v>0</v>
      </c>
      <c r="E44" s="80">
        <v>43</v>
      </c>
    </row>
    <row r="45" s="62" customFormat="1" ht="20.1" customHeight="1" spans="1:5">
      <c r="A45" s="70">
        <v>2210201</v>
      </c>
      <c r="B45" s="70" t="s">
        <v>89</v>
      </c>
      <c r="C45" s="68">
        <v>39.46</v>
      </c>
      <c r="D45" s="80">
        <v>39.46</v>
      </c>
      <c r="E45" s="80">
        <v>0</v>
      </c>
    </row>
    <row r="46" s="62" customFormat="1" ht="20.1" customHeight="1" spans="1:5">
      <c r="A46" s="70">
        <v>2210202</v>
      </c>
      <c r="B46" s="70" t="s">
        <v>41</v>
      </c>
      <c r="C46" s="68">
        <v>9.41</v>
      </c>
      <c r="D46" s="80">
        <v>9.41</v>
      </c>
      <c r="E46" s="80">
        <v>0</v>
      </c>
    </row>
    <row r="47" s="62" customFormat="1" ht="20.1" customHeight="1" spans="1:5">
      <c r="A47" s="70"/>
      <c r="B47" s="70"/>
      <c r="C47" s="68"/>
      <c r="D47" s="80"/>
      <c r="E47" s="80"/>
    </row>
    <row r="48" s="62" customFormat="1" ht="20.1" customHeight="1" spans="1:5">
      <c r="A48" s="70"/>
      <c r="B48" s="70"/>
      <c r="C48" s="68"/>
      <c r="D48" s="80"/>
      <c r="E48" s="80"/>
    </row>
    <row r="49" s="62" customFormat="1" ht="20.1" customHeight="1" spans="1:5">
      <c r="A49" s="81"/>
      <c r="B49" s="81"/>
      <c r="C49" s="80"/>
      <c r="D49" s="80"/>
      <c r="E49" s="80"/>
    </row>
    <row r="50" s="62" customFormat="1" ht="20.1" customHeight="1" spans="1:5">
      <c r="A50" s="81"/>
      <c r="B50" s="81"/>
      <c r="C50" s="80"/>
      <c r="D50" s="80"/>
      <c r="E50" s="80"/>
    </row>
    <row r="51" s="62" customFormat="1" ht="20.1" customHeight="1" spans="1:5">
      <c r="A51" s="81"/>
      <c r="B51" s="81"/>
      <c r="C51" s="80"/>
      <c r="D51" s="80"/>
      <c r="E51" s="80"/>
    </row>
    <row r="52" s="62" customFormat="1" ht="20.1" customHeight="1" spans="1:5">
      <c r="A52" s="72"/>
      <c r="B52" s="72"/>
      <c r="C52" s="72"/>
      <c r="D52" s="72"/>
      <c r="E52" s="72"/>
    </row>
    <row r="53" s="62" customFormat="1" ht="20.1" customHeight="1" spans="1:5">
      <c r="A53" s="72"/>
      <c r="B53" s="72"/>
      <c r="C53" s="72"/>
      <c r="D53" s="72"/>
      <c r="E53" s="72"/>
    </row>
    <row r="54" s="62" customFormat="1" ht="20.1" customHeight="1" spans="1:5">
      <c r="A54" s="72"/>
      <c r="B54" s="72"/>
      <c r="C54" s="72"/>
      <c r="D54" s="72"/>
      <c r="E54" s="72"/>
    </row>
    <row r="55" s="62" customFormat="1" ht="20.1" customHeight="1" spans="1:5">
      <c r="A55" s="72"/>
      <c r="B55" s="72"/>
      <c r="C55" s="72"/>
      <c r="D55" s="72"/>
      <c r="E55" s="72"/>
    </row>
    <row r="56" s="62" customFormat="1" ht="16.5" spans="1:5">
      <c r="A56" s="82" t="s">
        <v>99</v>
      </c>
      <c r="B56" s="82"/>
      <c r="C56" s="82"/>
      <c r="D56" s="82"/>
      <c r="E56" s="82"/>
    </row>
    <row r="57" s="62" customFormat="1" ht="16.5" spans="1:5">
      <c r="A57" s="83"/>
      <c r="B57" s="83"/>
      <c r="C57" s="83"/>
      <c r="D57" s="83"/>
      <c r="E57" s="83"/>
    </row>
  </sheetData>
  <mergeCells count="7">
    <mergeCell ref="A2:E2"/>
    <mergeCell ref="D4:E4"/>
    <mergeCell ref="A56:E56"/>
    <mergeCell ref="A57:E57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B12" sqref="B12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63" t="s">
        <v>100</v>
      </c>
      <c r="B1" s="63"/>
      <c r="C1" s="63"/>
      <c r="D1" s="64"/>
      <c r="E1" s="64"/>
    </row>
    <row r="2" ht="26.45" customHeight="1" spans="1:5">
      <c r="A2" s="65" t="s">
        <v>101</v>
      </c>
      <c r="B2" s="65"/>
      <c r="C2" s="65"/>
      <c r="D2" s="65"/>
      <c r="E2" s="65"/>
    </row>
    <row r="3" spans="1:5">
      <c r="A3" s="66"/>
      <c r="B3" s="66"/>
      <c r="C3" s="66"/>
      <c r="D3" s="66"/>
      <c r="E3" s="39" t="s">
        <v>2</v>
      </c>
    </row>
    <row r="4" s="62" customFormat="1" ht="20.1" customHeight="1" spans="1:5">
      <c r="A4" s="67" t="s">
        <v>44</v>
      </c>
      <c r="B4" s="67" t="s">
        <v>45</v>
      </c>
      <c r="C4" s="67" t="s">
        <v>46</v>
      </c>
      <c r="D4" s="48" t="s">
        <v>97</v>
      </c>
      <c r="E4" s="48"/>
    </row>
    <row r="5" s="62" customFormat="1" ht="20.1" customHeight="1" spans="1:5">
      <c r="A5" s="67"/>
      <c r="B5" s="67"/>
      <c r="C5" s="67"/>
      <c r="D5" s="156" t="s">
        <v>98</v>
      </c>
      <c r="E5" s="67" t="s">
        <v>50</v>
      </c>
    </row>
    <row r="6" s="62" customFormat="1" ht="20.1" customHeight="1" spans="1:5">
      <c r="A6" s="68" t="s">
        <v>31</v>
      </c>
      <c r="B6" s="68" t="s">
        <v>31</v>
      </c>
      <c r="C6" s="68">
        <v>1</v>
      </c>
      <c r="D6" s="69">
        <v>2</v>
      </c>
      <c r="E6" s="69">
        <v>3</v>
      </c>
    </row>
    <row r="7" s="62" customFormat="1" ht="20.1" customHeight="1" spans="1:5">
      <c r="A7" s="70"/>
      <c r="B7" s="71"/>
      <c r="C7" s="71"/>
      <c r="D7" s="72"/>
      <c r="E7" s="72"/>
    </row>
    <row r="8" s="62" customFormat="1" ht="20.1" customHeight="1" spans="1:5">
      <c r="A8" s="73"/>
      <c r="B8" s="74"/>
      <c r="C8" s="74"/>
      <c r="D8" s="72"/>
      <c r="E8" s="72"/>
    </row>
    <row r="9" s="62" customFormat="1" ht="20.1" customHeight="1" spans="1:5">
      <c r="A9" s="75"/>
      <c r="B9" s="75"/>
      <c r="C9" s="75"/>
      <c r="D9" s="72"/>
      <c r="E9" s="72"/>
    </row>
    <row r="10" s="62" customFormat="1" ht="20.1" customHeight="1" spans="1:5">
      <c r="A10" s="75"/>
      <c r="B10" s="75"/>
      <c r="C10" s="75"/>
      <c r="D10" s="72"/>
      <c r="E10" s="72"/>
    </row>
    <row r="11" s="62" customFormat="1" ht="20.1" customHeight="1" spans="1:5">
      <c r="A11" s="75"/>
      <c r="B11" s="75"/>
      <c r="C11" s="75"/>
      <c r="D11" s="72"/>
      <c r="E11" s="72"/>
    </row>
    <row r="12" s="62" customFormat="1" ht="20.1" customHeight="1" spans="1:5">
      <c r="A12" s="75"/>
      <c r="B12" s="75"/>
      <c r="C12" s="75"/>
      <c r="D12" s="72"/>
      <c r="E12" s="72"/>
    </row>
    <row r="13" s="62" customFormat="1" ht="20.1" customHeight="1" spans="1:5">
      <c r="A13" s="75"/>
      <c r="B13" s="75"/>
      <c r="C13" s="75"/>
      <c r="D13" s="72"/>
      <c r="E13" s="72"/>
    </row>
    <row r="14" s="62" customFormat="1" ht="20.1" customHeight="1" spans="1:5">
      <c r="A14" s="72"/>
      <c r="B14" s="72"/>
      <c r="C14" s="72"/>
      <c r="D14" s="72"/>
      <c r="E14" s="72"/>
    </row>
    <row r="15" s="62" customFormat="1" ht="20.1" customHeight="1" spans="1:5">
      <c r="A15" s="72"/>
      <c r="B15" s="72"/>
      <c r="C15" s="72"/>
      <c r="D15" s="72"/>
      <c r="E15" s="72"/>
    </row>
    <row r="16" s="62" customFormat="1" ht="20.1" customHeight="1" spans="1:5">
      <c r="A16" s="72"/>
      <c r="B16" s="72"/>
      <c r="C16" s="72"/>
      <c r="D16" s="72"/>
      <c r="E16" s="72"/>
    </row>
    <row r="17" s="62" customFormat="1" ht="20.1" customHeight="1" spans="1:5">
      <c r="A17" s="72"/>
      <c r="B17" s="72"/>
      <c r="C17" s="72"/>
      <c r="D17" s="72"/>
      <c r="E17" s="72"/>
    </row>
    <row r="18" s="62" customFormat="1" ht="20.1" customHeight="1" spans="1:5">
      <c r="A18" s="72"/>
      <c r="B18" s="72"/>
      <c r="C18" s="72"/>
      <c r="D18" s="72"/>
      <c r="E18" s="72"/>
    </row>
    <row r="19" s="62" customFormat="1" ht="20.1" customHeight="1" spans="1:5">
      <c r="A19" s="72"/>
      <c r="B19" s="72"/>
      <c r="C19" s="72"/>
      <c r="D19" s="72"/>
      <c r="E19" s="72"/>
    </row>
    <row r="20" s="62" customFormat="1" ht="20.1" customHeight="1" spans="1:5">
      <c r="A20" s="72"/>
      <c r="B20" s="72"/>
      <c r="C20" s="72"/>
      <c r="D20" s="72"/>
      <c r="E20" s="72"/>
    </row>
    <row r="21" s="62" customFormat="1" ht="20.1" customHeight="1" spans="1:5">
      <c r="A21" s="72"/>
      <c r="B21" s="72"/>
      <c r="C21" s="72"/>
      <c r="D21" s="72"/>
      <c r="E21" s="72"/>
    </row>
    <row r="22" s="62" customFormat="1" ht="18.6" customHeight="1" spans="1:5">
      <c r="A22" s="76" t="s">
        <v>102</v>
      </c>
      <c r="B22" s="76"/>
      <c r="C22" s="76"/>
      <c r="D22" s="76"/>
      <c r="E22" s="77"/>
    </row>
    <row r="23" s="62" customFormat="1" ht="18.6" customHeight="1" spans="1:5">
      <c r="A23" s="78" t="s">
        <v>103</v>
      </c>
      <c r="B23" s="78"/>
      <c r="C23" s="78"/>
      <c r="D23" s="78"/>
      <c r="E23" s="77"/>
    </row>
    <row r="24" s="62" customFormat="1" ht="18.6" customHeight="1" spans="1:4">
      <c r="A24" s="79"/>
      <c r="B24" s="79"/>
      <c r="C24" s="79"/>
      <c r="D24" s="79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6"/>
  <sheetViews>
    <sheetView zoomScale="115" zoomScaleNormal="115" workbookViewId="0">
      <selection activeCell="C5" sqref="C5"/>
    </sheetView>
  </sheetViews>
  <sheetFormatPr defaultColWidth="9" defaultRowHeight="14.25" outlineLevelCol="2"/>
  <cols>
    <col min="1" max="1" width="17.125" style="14" customWidth="1"/>
    <col min="2" max="2" width="36.25" style="14" customWidth="1"/>
    <col min="3" max="3" width="30.625" style="14" customWidth="1"/>
    <col min="4" max="16384" width="9" style="14"/>
  </cols>
  <sheetData>
    <row r="1" ht="23.45" customHeight="1" spans="1:3">
      <c r="A1" s="50" t="s">
        <v>104</v>
      </c>
      <c r="B1" s="51"/>
      <c r="C1" s="51"/>
    </row>
    <row r="2" ht="37.15" customHeight="1" spans="1:3">
      <c r="A2" s="52" t="s">
        <v>105</v>
      </c>
      <c r="B2" s="52"/>
      <c r="C2" s="52"/>
    </row>
    <row r="3" s="49" customFormat="1" ht="18" customHeight="1" spans="1:3">
      <c r="A3" s="53"/>
      <c r="B3" s="54"/>
      <c r="C3" s="55" t="s">
        <v>2</v>
      </c>
    </row>
    <row r="4" ht="31.5" customHeight="1" spans="1:3">
      <c r="A4" s="56" t="s">
        <v>44</v>
      </c>
      <c r="B4" s="57" t="s">
        <v>45</v>
      </c>
      <c r="C4" s="58" t="s">
        <v>6</v>
      </c>
    </row>
    <row r="5" ht="20.1" customHeight="1" spans="1:3">
      <c r="A5" s="57" t="s">
        <v>106</v>
      </c>
      <c r="B5" s="57" t="s">
        <v>107</v>
      </c>
      <c r="C5" s="57">
        <f>SUM(C6:C15)</f>
        <v>793.98</v>
      </c>
    </row>
    <row r="6" ht="20.1" customHeight="1" spans="1:3">
      <c r="A6" s="59" t="s">
        <v>108</v>
      </c>
      <c r="B6" s="59" t="s">
        <v>109</v>
      </c>
      <c r="C6" s="60">
        <v>521.55</v>
      </c>
    </row>
    <row r="7" ht="20.1" customHeight="1" spans="1:3">
      <c r="A7" s="59" t="s">
        <v>110</v>
      </c>
      <c r="B7" s="59" t="s">
        <v>111</v>
      </c>
      <c r="C7" s="60">
        <v>84.95</v>
      </c>
    </row>
    <row r="8" ht="20.1" customHeight="1" spans="1:3">
      <c r="A8" s="59" t="s">
        <v>112</v>
      </c>
      <c r="B8" s="59" t="s">
        <v>113</v>
      </c>
      <c r="C8" s="60">
        <v>119.48</v>
      </c>
    </row>
    <row r="9" ht="20.1" customHeight="1" spans="1:3">
      <c r="A9" s="59" t="s">
        <v>114</v>
      </c>
      <c r="B9" s="59" t="s">
        <v>115</v>
      </c>
      <c r="C9" s="60">
        <v>0</v>
      </c>
    </row>
    <row r="10" ht="20.1" customHeight="1" spans="1:3">
      <c r="A10" s="59" t="s">
        <v>116</v>
      </c>
      <c r="B10" s="59" t="s">
        <v>117</v>
      </c>
      <c r="C10" s="60">
        <v>62</v>
      </c>
    </row>
    <row r="11" ht="20.1" customHeight="1" spans="1:3">
      <c r="A11" s="59" t="s">
        <v>118</v>
      </c>
      <c r="B11" s="59" t="s">
        <v>119</v>
      </c>
      <c r="C11" s="60">
        <v>6</v>
      </c>
    </row>
    <row r="12" ht="20.1" customHeight="1" spans="1:3">
      <c r="A12" s="59" t="s">
        <v>120</v>
      </c>
      <c r="B12" s="59" t="s">
        <v>121</v>
      </c>
      <c r="C12" s="60">
        <v>0</v>
      </c>
    </row>
    <row r="13" ht="20.1" customHeight="1" spans="1:3">
      <c r="A13" s="59" t="s">
        <v>122</v>
      </c>
      <c r="B13" s="59" t="s">
        <v>123</v>
      </c>
      <c r="C13" s="60">
        <v>0</v>
      </c>
    </row>
    <row r="14" ht="20.1" customHeight="1" spans="1:3">
      <c r="A14" s="59" t="s">
        <v>124</v>
      </c>
      <c r="B14" s="59" t="s">
        <v>125</v>
      </c>
      <c r="C14" s="60">
        <v>0</v>
      </c>
    </row>
    <row r="15" ht="20.1" customHeight="1" spans="1:3">
      <c r="A15" s="59" t="s">
        <v>126</v>
      </c>
      <c r="B15" s="59" t="s">
        <v>127</v>
      </c>
      <c r="C15" s="60">
        <v>0</v>
      </c>
    </row>
    <row r="16" spans="3:3">
      <c r="C16" s="61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workbookViewId="0">
      <selection activeCell="C10" sqref="C10:C11"/>
    </sheetView>
  </sheetViews>
  <sheetFormatPr defaultColWidth="9" defaultRowHeight="14.25" outlineLevelCol="2"/>
  <cols>
    <col min="1" max="1" width="17.625" style="14" customWidth="1"/>
    <col min="2" max="2" width="37.125" style="14" customWidth="1"/>
    <col min="3" max="3" width="27.25" style="14" customWidth="1"/>
    <col min="4" max="16384" width="9" style="14"/>
  </cols>
  <sheetData>
    <row r="1" ht="25.9" customHeight="1" spans="1:3">
      <c r="A1" s="34" t="s">
        <v>128</v>
      </c>
      <c r="B1" s="35"/>
      <c r="C1" s="36"/>
    </row>
    <row r="2" ht="33.75" customHeight="1" spans="1:3">
      <c r="A2" s="37" t="s">
        <v>129</v>
      </c>
      <c r="B2" s="37"/>
      <c r="C2" s="37"/>
    </row>
    <row r="3" ht="21" customHeight="1" spans="1:3">
      <c r="A3" s="38"/>
      <c r="B3" s="39" t="s">
        <v>2</v>
      </c>
      <c r="C3" s="39"/>
    </row>
    <row r="4" ht="20.1" customHeight="1" spans="1:3">
      <c r="A4" s="40" t="s">
        <v>130</v>
      </c>
      <c r="B4" s="41" t="s">
        <v>45</v>
      </c>
      <c r="C4" s="41" t="s">
        <v>6</v>
      </c>
    </row>
    <row r="5" ht="20.1" customHeight="1" spans="1:3">
      <c r="A5" s="41" t="s">
        <v>106</v>
      </c>
      <c r="B5" s="41" t="s">
        <v>107</v>
      </c>
      <c r="C5" s="42">
        <f>C6+C20+C48+C60+C65+C78+C95+C98+C104+C107</f>
        <v>793.98</v>
      </c>
    </row>
    <row r="6" s="33" customFormat="1" ht="20.1" customHeight="1" spans="1:3">
      <c r="A6" s="43" t="s">
        <v>108</v>
      </c>
      <c r="B6" s="43" t="s">
        <v>109</v>
      </c>
      <c r="C6" s="42">
        <f>SUM(C7:C19)</f>
        <v>521.55</v>
      </c>
    </row>
    <row r="7" ht="20.1" customHeight="1" spans="1:3">
      <c r="A7" s="44" t="s">
        <v>131</v>
      </c>
      <c r="B7" s="44" t="s">
        <v>132</v>
      </c>
      <c r="C7" s="45">
        <v>85.95</v>
      </c>
    </row>
    <row r="8" ht="20.1" customHeight="1" spans="1:3">
      <c r="A8" s="44" t="s">
        <v>133</v>
      </c>
      <c r="B8" s="44" t="s">
        <v>134</v>
      </c>
      <c r="C8" s="45">
        <f>111.61+9.41</f>
        <v>121.02</v>
      </c>
    </row>
    <row r="9" ht="20.1" customHeight="1" spans="1:3">
      <c r="A9" s="44" t="s">
        <v>135</v>
      </c>
      <c r="B9" s="44" t="s">
        <v>136</v>
      </c>
      <c r="C9" s="45">
        <v>128.14</v>
      </c>
    </row>
    <row r="10" ht="20.1" customHeight="1" spans="1:3">
      <c r="A10" s="44" t="s">
        <v>137</v>
      </c>
      <c r="B10" s="44" t="s">
        <v>138</v>
      </c>
      <c r="C10" s="45">
        <v>9</v>
      </c>
    </row>
    <row r="11" ht="20.1" customHeight="1" spans="1:3">
      <c r="A11" s="44" t="s">
        <v>139</v>
      </c>
      <c r="B11" s="44" t="s">
        <v>140</v>
      </c>
      <c r="C11" s="45">
        <v>15.68</v>
      </c>
    </row>
    <row r="12" ht="20.1" customHeight="1" spans="1:3">
      <c r="A12" s="44" t="s">
        <v>141</v>
      </c>
      <c r="B12" s="44" t="s">
        <v>142</v>
      </c>
      <c r="C12" s="45">
        <v>42.64</v>
      </c>
    </row>
    <row r="13" ht="20.1" customHeight="1" spans="1:3">
      <c r="A13" s="44" t="s">
        <v>143</v>
      </c>
      <c r="B13" s="44" t="s">
        <v>144</v>
      </c>
      <c r="C13" s="45" t="s">
        <v>107</v>
      </c>
    </row>
    <row r="14" ht="20.1" customHeight="1" spans="1:3">
      <c r="A14" s="44" t="s">
        <v>145</v>
      </c>
      <c r="B14" s="44" t="s">
        <v>146</v>
      </c>
      <c r="C14" s="45">
        <v>17.07</v>
      </c>
    </row>
    <row r="15" ht="20.1" customHeight="1" spans="1:3">
      <c r="A15" s="44" t="s">
        <v>147</v>
      </c>
      <c r="B15" s="44" t="s">
        <v>148</v>
      </c>
      <c r="C15" s="45" t="s">
        <v>107</v>
      </c>
    </row>
    <row r="16" ht="20.1" customHeight="1" spans="1:3">
      <c r="A16" s="44" t="s">
        <v>149</v>
      </c>
      <c r="B16" s="44" t="s">
        <v>150</v>
      </c>
      <c r="C16" s="45" t="s">
        <v>107</v>
      </c>
    </row>
    <row r="17" ht="20.1" customHeight="1" spans="1:3">
      <c r="A17" s="44" t="s">
        <v>151</v>
      </c>
      <c r="B17" s="44" t="s">
        <v>40</v>
      </c>
      <c r="C17" s="45">
        <v>39.46</v>
      </c>
    </row>
    <row r="18" ht="20.1" customHeight="1" spans="1:3">
      <c r="A18" s="44" t="s">
        <v>152</v>
      </c>
      <c r="B18" s="44" t="s">
        <v>153</v>
      </c>
      <c r="C18" s="45" t="s">
        <v>107</v>
      </c>
    </row>
    <row r="19" ht="20.1" customHeight="1" spans="1:3">
      <c r="A19" s="44" t="s">
        <v>154</v>
      </c>
      <c r="B19" s="44" t="s">
        <v>155</v>
      </c>
      <c r="C19" s="45">
        <f>33.62+28.97</f>
        <v>62.59</v>
      </c>
    </row>
    <row r="20" s="33" customFormat="1" ht="20.1" customHeight="1" spans="1:3">
      <c r="A20" s="43" t="s">
        <v>110</v>
      </c>
      <c r="B20" s="43" t="s">
        <v>111</v>
      </c>
      <c r="C20" s="42">
        <f>SUM(C21:C47)</f>
        <v>84.95</v>
      </c>
    </row>
    <row r="21" ht="20.1" customHeight="1" spans="1:3">
      <c r="A21" s="44" t="s">
        <v>156</v>
      </c>
      <c r="B21" s="44" t="s">
        <v>157</v>
      </c>
      <c r="C21" s="45">
        <v>3</v>
      </c>
    </row>
    <row r="22" ht="20.1" customHeight="1" spans="1:3">
      <c r="A22" s="44" t="s">
        <v>158</v>
      </c>
      <c r="B22" s="44" t="s">
        <v>159</v>
      </c>
      <c r="C22" s="45">
        <v>2</v>
      </c>
    </row>
    <row r="23" ht="20.1" customHeight="1" spans="1:3">
      <c r="A23" s="44" t="s">
        <v>160</v>
      </c>
      <c r="B23" s="44" t="s">
        <v>161</v>
      </c>
      <c r="C23" s="45">
        <v>3</v>
      </c>
    </row>
    <row r="24" ht="20.1" customHeight="1" spans="1:3">
      <c r="A24" s="44" t="s">
        <v>162</v>
      </c>
      <c r="B24" s="46" t="s">
        <v>163</v>
      </c>
      <c r="C24" s="45">
        <v>1.2</v>
      </c>
    </row>
    <row r="25" ht="20.1" customHeight="1" spans="1:3">
      <c r="A25" s="44" t="s">
        <v>164</v>
      </c>
      <c r="B25" s="44" t="s">
        <v>165</v>
      </c>
      <c r="C25" s="45" t="s">
        <v>107</v>
      </c>
    </row>
    <row r="26" ht="20.1" customHeight="1" spans="1:3">
      <c r="A26" s="44" t="s">
        <v>166</v>
      </c>
      <c r="B26" s="44" t="s">
        <v>167</v>
      </c>
      <c r="C26" s="45">
        <v>6.5</v>
      </c>
    </row>
    <row r="27" ht="20.1" customHeight="1" spans="1:3">
      <c r="A27" s="44" t="s">
        <v>168</v>
      </c>
      <c r="B27" s="44" t="s">
        <v>169</v>
      </c>
      <c r="C27" s="45">
        <v>6.5</v>
      </c>
    </row>
    <row r="28" ht="20.1" customHeight="1" spans="1:3">
      <c r="A28" s="44" t="s">
        <v>170</v>
      </c>
      <c r="B28" s="44" t="s">
        <v>171</v>
      </c>
      <c r="C28" s="45" t="s">
        <v>107</v>
      </c>
    </row>
    <row r="29" ht="20.1" customHeight="1" spans="1:3">
      <c r="A29" s="44" t="s">
        <v>172</v>
      </c>
      <c r="B29" s="44" t="s">
        <v>173</v>
      </c>
      <c r="C29" s="45" t="s">
        <v>107</v>
      </c>
    </row>
    <row r="30" ht="20.1" customHeight="1" spans="1:3">
      <c r="A30" s="44" t="s">
        <v>174</v>
      </c>
      <c r="B30" s="44" t="s">
        <v>175</v>
      </c>
      <c r="C30" s="45">
        <v>18</v>
      </c>
    </row>
    <row r="31" ht="20.1" customHeight="1" spans="1:3">
      <c r="A31" s="44" t="s">
        <v>176</v>
      </c>
      <c r="B31" s="44" t="s">
        <v>177</v>
      </c>
      <c r="C31" s="45" t="s">
        <v>107</v>
      </c>
    </row>
    <row r="32" ht="20.1" customHeight="1" spans="1:3">
      <c r="A32" s="44" t="s">
        <v>178</v>
      </c>
      <c r="B32" s="44" t="s">
        <v>179</v>
      </c>
      <c r="C32" s="45">
        <v>5</v>
      </c>
    </row>
    <row r="33" ht="20.1" customHeight="1" spans="1:3">
      <c r="A33" s="44" t="s">
        <v>180</v>
      </c>
      <c r="B33" s="44" t="s">
        <v>181</v>
      </c>
      <c r="C33" s="45" t="s">
        <v>107</v>
      </c>
    </row>
    <row r="34" ht="20.1" customHeight="1" spans="1:3">
      <c r="A34" s="44" t="s">
        <v>182</v>
      </c>
      <c r="B34" s="44" t="s">
        <v>183</v>
      </c>
      <c r="C34" s="45">
        <v>1</v>
      </c>
    </row>
    <row r="35" ht="20.1" customHeight="1" spans="1:3">
      <c r="A35" s="44" t="s">
        <v>184</v>
      </c>
      <c r="B35" s="44" t="s">
        <v>185</v>
      </c>
      <c r="C35" s="45">
        <v>1</v>
      </c>
    </row>
    <row r="36" ht="20.1" customHeight="1" spans="1:3">
      <c r="A36" s="44" t="s">
        <v>186</v>
      </c>
      <c r="B36" s="44" t="s">
        <v>187</v>
      </c>
      <c r="C36" s="45">
        <v>2</v>
      </c>
    </row>
    <row r="37" ht="20.1" customHeight="1" spans="1:3">
      <c r="A37" s="44" t="s">
        <v>188</v>
      </c>
      <c r="B37" s="44" t="s">
        <v>189</v>
      </c>
      <c r="C37" s="45" t="s">
        <v>107</v>
      </c>
    </row>
    <row r="38" ht="20.1" customHeight="1" spans="1:3">
      <c r="A38" s="44" t="s">
        <v>190</v>
      </c>
      <c r="B38" s="44" t="s">
        <v>191</v>
      </c>
      <c r="C38" s="45" t="s">
        <v>107</v>
      </c>
    </row>
    <row r="39" ht="20.1" customHeight="1" spans="1:3">
      <c r="A39" s="44" t="s">
        <v>192</v>
      </c>
      <c r="B39" s="44" t="s">
        <v>193</v>
      </c>
      <c r="C39" s="45" t="s">
        <v>107</v>
      </c>
    </row>
    <row r="40" ht="20.1" customHeight="1" spans="1:3">
      <c r="A40" s="44" t="s">
        <v>194</v>
      </c>
      <c r="B40" s="44" t="s">
        <v>195</v>
      </c>
      <c r="C40" s="45">
        <v>4</v>
      </c>
    </row>
    <row r="41" ht="20.1" customHeight="1" spans="1:3">
      <c r="A41" s="44" t="s">
        <v>196</v>
      </c>
      <c r="B41" s="44" t="s">
        <v>197</v>
      </c>
      <c r="C41" s="45">
        <v>7.5</v>
      </c>
    </row>
    <row r="42" ht="20.1" customHeight="1" spans="1:3">
      <c r="A42" s="44" t="s">
        <v>198</v>
      </c>
      <c r="B42" s="44" t="s">
        <v>199</v>
      </c>
      <c r="C42" s="45">
        <v>5.75</v>
      </c>
    </row>
    <row r="43" ht="20.1" customHeight="1" spans="1:3">
      <c r="A43" s="44" t="s">
        <v>200</v>
      </c>
      <c r="B43" s="44" t="s">
        <v>201</v>
      </c>
      <c r="C43" s="45" t="s">
        <v>107</v>
      </c>
    </row>
    <row r="44" ht="20.1" customHeight="1" spans="1:3">
      <c r="A44" s="44" t="s">
        <v>202</v>
      </c>
      <c r="B44" s="44" t="s">
        <v>203</v>
      </c>
      <c r="C44" s="45">
        <v>1.5</v>
      </c>
    </row>
    <row r="45" ht="20.1" customHeight="1" spans="1:3">
      <c r="A45" s="44" t="s">
        <v>204</v>
      </c>
      <c r="B45" s="44" t="s">
        <v>205</v>
      </c>
      <c r="C45" s="45">
        <v>14</v>
      </c>
    </row>
    <row r="46" ht="20.1" customHeight="1" spans="1:3">
      <c r="A46" s="44" t="s">
        <v>206</v>
      </c>
      <c r="B46" s="44" t="s">
        <v>207</v>
      </c>
      <c r="C46" s="45" t="s">
        <v>107</v>
      </c>
    </row>
    <row r="47" ht="20.1" customHeight="1" spans="1:3">
      <c r="A47" s="44" t="s">
        <v>208</v>
      </c>
      <c r="B47" s="44" t="s">
        <v>209</v>
      </c>
      <c r="C47" s="45">
        <v>3</v>
      </c>
    </row>
    <row r="48" s="33" customFormat="1" ht="20.1" customHeight="1" spans="1:3">
      <c r="A48" s="43" t="s">
        <v>112</v>
      </c>
      <c r="B48" s="43" t="s">
        <v>113</v>
      </c>
      <c r="C48" s="42">
        <f>SUM(C49:C59)</f>
        <v>119.48</v>
      </c>
    </row>
    <row r="49" ht="20.1" customHeight="1" spans="1:3">
      <c r="A49" s="44" t="s">
        <v>210</v>
      </c>
      <c r="B49" s="44" t="s">
        <v>211</v>
      </c>
      <c r="C49" s="45" t="s">
        <v>107</v>
      </c>
    </row>
    <row r="50" ht="20.1" customHeight="1" spans="1:3">
      <c r="A50" s="44" t="s">
        <v>212</v>
      </c>
      <c r="B50" s="44" t="s">
        <v>213</v>
      </c>
      <c r="C50" s="45">
        <v>7</v>
      </c>
    </row>
    <row r="51" ht="20.1" customHeight="1" spans="1:3">
      <c r="A51" s="44" t="s">
        <v>214</v>
      </c>
      <c r="B51" s="44" t="s">
        <v>215</v>
      </c>
      <c r="C51" s="45">
        <v>1.2</v>
      </c>
    </row>
    <row r="52" ht="20.1" customHeight="1" spans="1:3">
      <c r="A52" s="44" t="s">
        <v>216</v>
      </c>
      <c r="B52" s="44" t="s">
        <v>217</v>
      </c>
      <c r="C52" s="45" t="s">
        <v>107</v>
      </c>
    </row>
    <row r="53" ht="20.1" customHeight="1" spans="1:3">
      <c r="A53" s="44" t="s">
        <v>218</v>
      </c>
      <c r="B53" s="44" t="s">
        <v>219</v>
      </c>
      <c r="C53" s="45">
        <v>1</v>
      </c>
    </row>
    <row r="54" ht="20.1" customHeight="1" spans="1:3">
      <c r="A54" s="44" t="s">
        <v>220</v>
      </c>
      <c r="B54" s="44" t="s">
        <v>221</v>
      </c>
      <c r="C54" s="45" t="s">
        <v>107</v>
      </c>
    </row>
    <row r="55" ht="20.1" customHeight="1" spans="1:3">
      <c r="A55" s="44" t="s">
        <v>222</v>
      </c>
      <c r="B55" s="44" t="s">
        <v>223</v>
      </c>
      <c r="C55" s="45" t="s">
        <v>107</v>
      </c>
    </row>
    <row r="56" ht="20.1" customHeight="1" spans="1:3">
      <c r="A56" s="44" t="s">
        <v>224</v>
      </c>
      <c r="B56" s="44" t="s">
        <v>225</v>
      </c>
      <c r="C56" s="45" t="s">
        <v>107</v>
      </c>
    </row>
    <row r="57" ht="20.1" customHeight="1" spans="1:3">
      <c r="A57" s="44" t="s">
        <v>226</v>
      </c>
      <c r="B57" s="44" t="s">
        <v>227</v>
      </c>
      <c r="C57" s="45" t="s">
        <v>107</v>
      </c>
    </row>
    <row r="58" ht="20.1" customHeight="1" spans="1:3">
      <c r="A58" s="44" t="s">
        <v>228</v>
      </c>
      <c r="B58" s="44" t="s">
        <v>229</v>
      </c>
      <c r="C58" s="45" t="s">
        <v>107</v>
      </c>
    </row>
    <row r="59" ht="20.1" customHeight="1" spans="1:3">
      <c r="A59" s="44" t="s">
        <v>230</v>
      </c>
      <c r="B59" s="44" t="s">
        <v>231</v>
      </c>
      <c r="C59" s="45">
        <v>110.28</v>
      </c>
    </row>
    <row r="60" s="33" customFormat="1" ht="20.1" customHeight="1" spans="1:3">
      <c r="A60" s="43" t="s">
        <v>114</v>
      </c>
      <c r="B60" s="43" t="s">
        <v>115</v>
      </c>
      <c r="C60" s="42">
        <f>SUM(C61:C64)</f>
        <v>0</v>
      </c>
    </row>
    <row r="61" ht="20.1" customHeight="1" spans="1:3">
      <c r="A61" s="44" t="s">
        <v>232</v>
      </c>
      <c r="B61" s="44" t="s">
        <v>233</v>
      </c>
      <c r="C61" s="45" t="s">
        <v>107</v>
      </c>
    </row>
    <row r="62" ht="20.1" customHeight="1" spans="1:3">
      <c r="A62" s="44" t="s">
        <v>234</v>
      </c>
      <c r="B62" s="44" t="s">
        <v>235</v>
      </c>
      <c r="C62" s="45" t="s">
        <v>107</v>
      </c>
    </row>
    <row r="63" ht="20.1" customHeight="1" spans="1:3">
      <c r="A63" s="44" t="s">
        <v>236</v>
      </c>
      <c r="B63" s="44" t="s">
        <v>237</v>
      </c>
      <c r="C63" s="45" t="s">
        <v>107</v>
      </c>
    </row>
    <row r="64" ht="20.1" customHeight="1" spans="1:3">
      <c r="A64" s="44" t="s">
        <v>238</v>
      </c>
      <c r="B64" s="44" t="s">
        <v>239</v>
      </c>
      <c r="C64" s="45" t="s">
        <v>107</v>
      </c>
    </row>
    <row r="65" s="33" customFormat="1" ht="20.1" customHeight="1" spans="1:3">
      <c r="A65" s="43" t="s">
        <v>116</v>
      </c>
      <c r="B65" s="43" t="s">
        <v>117</v>
      </c>
      <c r="C65" s="42">
        <f>SUM(C66:C77)</f>
        <v>62</v>
      </c>
    </row>
    <row r="66" ht="20.1" customHeight="1" spans="1:3">
      <c r="A66" s="44" t="s">
        <v>240</v>
      </c>
      <c r="B66" s="44" t="s">
        <v>241</v>
      </c>
      <c r="C66" s="45" t="s">
        <v>107</v>
      </c>
    </row>
    <row r="67" ht="20.1" customHeight="1" spans="1:3">
      <c r="A67" s="44" t="s">
        <v>242</v>
      </c>
      <c r="B67" s="44" t="s">
        <v>243</v>
      </c>
      <c r="C67" s="45"/>
    </row>
    <row r="68" ht="20.1" customHeight="1" spans="1:3">
      <c r="A68" s="44" t="s">
        <v>244</v>
      </c>
      <c r="B68" s="44" t="s">
        <v>245</v>
      </c>
      <c r="C68" s="45" t="s">
        <v>107</v>
      </c>
    </row>
    <row r="69" ht="20.1" customHeight="1" spans="1:3">
      <c r="A69" s="44" t="s">
        <v>246</v>
      </c>
      <c r="B69" s="44" t="s">
        <v>247</v>
      </c>
      <c r="C69" s="45">
        <v>12</v>
      </c>
    </row>
    <row r="70" ht="20.1" customHeight="1" spans="1:3">
      <c r="A70" s="44" t="s">
        <v>248</v>
      </c>
      <c r="B70" s="44" t="s">
        <v>249</v>
      </c>
      <c r="C70" s="45">
        <v>50</v>
      </c>
    </row>
    <row r="71" ht="20.1" customHeight="1" spans="1:3">
      <c r="A71" s="44" t="s">
        <v>250</v>
      </c>
      <c r="B71" s="44" t="s">
        <v>251</v>
      </c>
      <c r="C71" s="45" t="s">
        <v>107</v>
      </c>
    </row>
    <row r="72" ht="20.1" customHeight="1" spans="1:3">
      <c r="A72" s="44" t="s">
        <v>252</v>
      </c>
      <c r="B72" s="44" t="s">
        <v>253</v>
      </c>
      <c r="C72" s="45" t="s">
        <v>107</v>
      </c>
    </row>
    <row r="73" ht="20.1" customHeight="1" spans="1:3">
      <c r="A73" s="44" t="s">
        <v>254</v>
      </c>
      <c r="B73" s="44" t="s">
        <v>255</v>
      </c>
      <c r="C73" s="45" t="s">
        <v>107</v>
      </c>
    </row>
    <row r="74" ht="20.1" customHeight="1" spans="1:3">
      <c r="A74" s="44" t="s">
        <v>256</v>
      </c>
      <c r="B74" s="44" t="s">
        <v>257</v>
      </c>
      <c r="C74" s="45" t="s">
        <v>107</v>
      </c>
    </row>
    <row r="75" ht="20.1" customHeight="1" spans="1:3">
      <c r="A75" s="44" t="s">
        <v>258</v>
      </c>
      <c r="B75" s="44" t="s">
        <v>259</v>
      </c>
      <c r="C75" s="45" t="s">
        <v>107</v>
      </c>
    </row>
    <row r="76" ht="20.1" customHeight="1" spans="1:3">
      <c r="A76" s="44" t="s">
        <v>260</v>
      </c>
      <c r="B76" s="44" t="s">
        <v>261</v>
      </c>
      <c r="C76" s="45" t="s">
        <v>107</v>
      </c>
    </row>
    <row r="77" ht="20.1" customHeight="1" spans="1:3">
      <c r="A77" s="44" t="s">
        <v>262</v>
      </c>
      <c r="B77" s="44" t="s">
        <v>263</v>
      </c>
      <c r="C77" s="45" t="s">
        <v>107</v>
      </c>
    </row>
    <row r="78" s="33" customFormat="1" ht="20.1" customHeight="1" spans="1:3">
      <c r="A78" s="43" t="s">
        <v>118</v>
      </c>
      <c r="B78" s="43" t="s">
        <v>119</v>
      </c>
      <c r="C78" s="42">
        <f>SUM(C79:C94)</f>
        <v>6</v>
      </c>
    </row>
    <row r="79" ht="20.1" customHeight="1" spans="1:3">
      <c r="A79" s="44" t="s">
        <v>264</v>
      </c>
      <c r="B79" s="44" t="s">
        <v>241</v>
      </c>
      <c r="C79" s="45" t="s">
        <v>107</v>
      </c>
    </row>
    <row r="80" ht="20.1" customHeight="1" spans="1:3">
      <c r="A80" s="44" t="s">
        <v>265</v>
      </c>
      <c r="B80" s="44" t="s">
        <v>243</v>
      </c>
      <c r="C80" s="45">
        <v>6</v>
      </c>
    </row>
    <row r="81" ht="20.1" customHeight="1" spans="1:3">
      <c r="A81" s="44" t="s">
        <v>266</v>
      </c>
      <c r="B81" s="44" t="s">
        <v>245</v>
      </c>
      <c r="C81" s="45" t="s">
        <v>107</v>
      </c>
    </row>
    <row r="82" ht="20.1" customHeight="1" spans="1:3">
      <c r="A82" s="44" t="s">
        <v>267</v>
      </c>
      <c r="B82" s="44" t="s">
        <v>247</v>
      </c>
      <c r="C82" s="47"/>
    </row>
    <row r="83" ht="20.1" customHeight="1" spans="1:3">
      <c r="A83" s="44" t="s">
        <v>268</v>
      </c>
      <c r="B83" s="44" t="s">
        <v>249</v>
      </c>
      <c r="C83" s="47"/>
    </row>
    <row r="84" ht="20.1" customHeight="1" spans="1:3">
      <c r="A84" s="44" t="s">
        <v>269</v>
      </c>
      <c r="B84" s="44" t="s">
        <v>251</v>
      </c>
      <c r="C84" s="47"/>
    </row>
    <row r="85" ht="20.1" customHeight="1" spans="1:3">
      <c r="A85" s="44" t="s">
        <v>270</v>
      </c>
      <c r="B85" s="44" t="s">
        <v>253</v>
      </c>
      <c r="C85" s="47"/>
    </row>
    <row r="86" ht="20.1" customHeight="1" spans="1:3">
      <c r="A86" s="44" t="s">
        <v>271</v>
      </c>
      <c r="B86" s="44" t="s">
        <v>272</v>
      </c>
      <c r="C86" s="47"/>
    </row>
    <row r="87" ht="20.1" customHeight="1" spans="1:3">
      <c r="A87" s="44" t="s">
        <v>273</v>
      </c>
      <c r="B87" s="44" t="s">
        <v>274</v>
      </c>
      <c r="C87" s="47"/>
    </row>
    <row r="88" ht="20.1" customHeight="1" spans="1:3">
      <c r="A88" s="44" t="s">
        <v>275</v>
      </c>
      <c r="B88" s="44" t="s">
        <v>276</v>
      </c>
      <c r="C88" s="47"/>
    </row>
    <row r="89" ht="20.1" customHeight="1" spans="1:3">
      <c r="A89" s="44" t="s">
        <v>277</v>
      </c>
      <c r="B89" s="46" t="s">
        <v>278</v>
      </c>
      <c r="C89" s="47"/>
    </row>
    <row r="90" ht="20.1" customHeight="1" spans="1:3">
      <c r="A90" s="44" t="s">
        <v>279</v>
      </c>
      <c r="B90" s="44" t="s">
        <v>255</v>
      </c>
      <c r="C90" s="47"/>
    </row>
    <row r="91" ht="20.1" customHeight="1" spans="1:3">
      <c r="A91" s="44" t="s">
        <v>280</v>
      </c>
      <c r="B91" s="44" t="s">
        <v>257</v>
      </c>
      <c r="C91" s="47"/>
    </row>
    <row r="92" ht="20.1" customHeight="1" spans="1:3">
      <c r="A92" s="44" t="s">
        <v>281</v>
      </c>
      <c r="B92" s="44" t="s">
        <v>259</v>
      </c>
      <c r="C92" s="47"/>
    </row>
    <row r="93" ht="20.1" customHeight="1" spans="1:3">
      <c r="A93" s="44" t="s">
        <v>282</v>
      </c>
      <c r="B93" s="44" t="s">
        <v>261</v>
      </c>
      <c r="C93" s="47"/>
    </row>
    <row r="94" ht="20.1" customHeight="1" spans="1:3">
      <c r="A94" s="44" t="s">
        <v>283</v>
      </c>
      <c r="B94" s="44" t="s">
        <v>284</v>
      </c>
      <c r="C94" s="47"/>
    </row>
    <row r="95" s="33" customFormat="1" ht="20.1" customHeight="1" spans="1:3">
      <c r="A95" s="43" t="s">
        <v>120</v>
      </c>
      <c r="B95" s="43" t="s">
        <v>121</v>
      </c>
      <c r="C95" s="48">
        <f>SUM(C96:C97)</f>
        <v>0</v>
      </c>
    </row>
    <row r="96" ht="20.1" customHeight="1" spans="1:3">
      <c r="A96" s="44" t="s">
        <v>285</v>
      </c>
      <c r="B96" s="44" t="s">
        <v>286</v>
      </c>
      <c r="C96" s="47"/>
    </row>
    <row r="97" ht="20.1" customHeight="1" spans="1:3">
      <c r="A97" s="44" t="s">
        <v>287</v>
      </c>
      <c r="B97" s="44" t="s">
        <v>288</v>
      </c>
      <c r="C97" s="47"/>
    </row>
    <row r="98" s="33" customFormat="1" ht="20.1" customHeight="1" spans="1:3">
      <c r="A98" s="43" t="s">
        <v>122</v>
      </c>
      <c r="B98" s="43" t="s">
        <v>123</v>
      </c>
      <c r="C98" s="48">
        <f>SUM(C99:C103)</f>
        <v>0</v>
      </c>
    </row>
    <row r="99" ht="20.1" customHeight="1" spans="1:3">
      <c r="A99" s="44" t="s">
        <v>289</v>
      </c>
      <c r="B99" s="44" t="s">
        <v>286</v>
      </c>
      <c r="C99" s="47"/>
    </row>
    <row r="100" ht="20.1" customHeight="1" spans="1:3">
      <c r="A100" s="44" t="s">
        <v>290</v>
      </c>
      <c r="B100" s="44" t="s">
        <v>291</v>
      </c>
      <c r="C100" s="47"/>
    </row>
    <row r="101" ht="20.1" customHeight="1" spans="1:3">
      <c r="A101" s="44" t="s">
        <v>292</v>
      </c>
      <c r="B101" s="44" t="s">
        <v>293</v>
      </c>
      <c r="C101" s="47"/>
    </row>
    <row r="102" ht="20.1" customHeight="1" spans="1:3">
      <c r="A102" s="44" t="s">
        <v>294</v>
      </c>
      <c r="B102" s="44" t="s">
        <v>295</v>
      </c>
      <c r="C102" s="47"/>
    </row>
    <row r="103" ht="20.1" customHeight="1" spans="1:3">
      <c r="A103" s="44" t="s">
        <v>296</v>
      </c>
      <c r="B103" s="44" t="s">
        <v>288</v>
      </c>
      <c r="C103" s="47"/>
    </row>
    <row r="104" s="33" customFormat="1" ht="20.1" customHeight="1" spans="1:3">
      <c r="A104" s="43" t="s">
        <v>124</v>
      </c>
      <c r="B104" s="43" t="s">
        <v>125</v>
      </c>
      <c r="C104" s="48">
        <f>SUM(C105:C106)</f>
        <v>0</v>
      </c>
    </row>
    <row r="105" ht="20.1" customHeight="1" spans="1:3">
      <c r="A105" s="44" t="s">
        <v>297</v>
      </c>
      <c r="B105" s="44" t="s">
        <v>298</v>
      </c>
      <c r="C105" s="47"/>
    </row>
    <row r="106" ht="20.1" customHeight="1" spans="1:3">
      <c r="A106" s="44" t="s">
        <v>299</v>
      </c>
      <c r="B106" s="44" t="s">
        <v>300</v>
      </c>
      <c r="C106" s="47"/>
    </row>
    <row r="107" s="33" customFormat="1" ht="20.1" customHeight="1" spans="1:3">
      <c r="A107" s="43" t="s">
        <v>126</v>
      </c>
      <c r="B107" s="43" t="s">
        <v>127</v>
      </c>
      <c r="C107" s="48">
        <f>SUM(C108:C111)</f>
        <v>0</v>
      </c>
    </row>
    <row r="108" ht="20.1" customHeight="1" spans="1:3">
      <c r="A108" s="44" t="s">
        <v>301</v>
      </c>
      <c r="B108" s="44" t="s">
        <v>302</v>
      </c>
      <c r="C108" s="47"/>
    </row>
    <row r="109" ht="20.1" customHeight="1" spans="1:3">
      <c r="A109" s="44" t="s">
        <v>303</v>
      </c>
      <c r="B109" s="44" t="s">
        <v>304</v>
      </c>
      <c r="C109" s="47"/>
    </row>
    <row r="110" ht="20.1" customHeight="1" spans="1:3">
      <c r="A110" s="44" t="s">
        <v>305</v>
      </c>
      <c r="B110" s="44" t="s">
        <v>306</v>
      </c>
      <c r="C110" s="47"/>
    </row>
    <row r="111" ht="20.1" customHeight="1" spans="1:3">
      <c r="A111" s="44" t="s">
        <v>307</v>
      </c>
      <c r="B111" s="44" t="s">
        <v>127</v>
      </c>
      <c r="C111" s="47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B19" sqref="B19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24" t="s">
        <v>308</v>
      </c>
      <c r="B1" s="25"/>
    </row>
    <row r="2" ht="28.5" customHeight="1" spans="1:2">
      <c r="A2" s="26" t="s">
        <v>309</v>
      </c>
      <c r="B2" s="26"/>
    </row>
    <row r="3" ht="18" customHeight="1" spans="1:2">
      <c r="A3" s="27"/>
      <c r="B3" s="28" t="s">
        <v>2</v>
      </c>
    </row>
    <row r="4" ht="20.1" customHeight="1" spans="1:2">
      <c r="A4" s="29" t="s">
        <v>310</v>
      </c>
      <c r="B4" s="29" t="s">
        <v>6</v>
      </c>
    </row>
    <row r="5" ht="20.1" customHeight="1" spans="1:2">
      <c r="A5" s="29" t="s">
        <v>46</v>
      </c>
      <c r="B5" s="30">
        <v>2</v>
      </c>
    </row>
    <row r="6" ht="20.1" customHeight="1" spans="1:2">
      <c r="A6" s="31" t="s">
        <v>311</v>
      </c>
      <c r="B6" s="30">
        <v>0</v>
      </c>
    </row>
    <row r="7" ht="20.1" customHeight="1" spans="1:2">
      <c r="A7" s="31" t="s">
        <v>312</v>
      </c>
      <c r="B7" s="30">
        <v>2</v>
      </c>
    </row>
    <row r="8" ht="20.1" customHeight="1" spans="1:2">
      <c r="A8" s="31" t="s">
        <v>313</v>
      </c>
      <c r="B8" s="30">
        <v>0</v>
      </c>
    </row>
    <row r="9" ht="20.1" customHeight="1" spans="1:2">
      <c r="A9" s="32" t="s">
        <v>314</v>
      </c>
      <c r="B9" s="30">
        <v>0</v>
      </c>
    </row>
    <row r="10" ht="20.1" customHeight="1" spans="1:2">
      <c r="A10" s="32" t="s">
        <v>315</v>
      </c>
      <c r="B10" s="30">
        <v>0</v>
      </c>
    </row>
    <row r="11" ht="46.5" customHeight="1" spans="1:2">
      <c r="A11" s="13" t="s">
        <v>316</v>
      </c>
      <c r="B11" s="13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workbookViewId="0">
      <selection activeCell="E3" sqref="E3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4" t="s">
        <v>317</v>
      </c>
    </row>
    <row r="2" ht="26.25" customHeight="1" spans="1:11">
      <c r="A2" s="15" t="s">
        <v>318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3.25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3" t="s">
        <v>2</v>
      </c>
    </row>
    <row r="4" ht="20.1" customHeight="1" spans="1:11">
      <c r="A4" s="17" t="s">
        <v>319</v>
      </c>
      <c r="B4" s="17" t="s">
        <v>320</v>
      </c>
      <c r="C4" s="17" t="s">
        <v>321</v>
      </c>
      <c r="D4" s="17" t="s">
        <v>322</v>
      </c>
      <c r="E4" s="17" t="s">
        <v>323</v>
      </c>
      <c r="F4" s="17" t="s">
        <v>324</v>
      </c>
      <c r="G4" s="17" t="s">
        <v>325</v>
      </c>
      <c r="H4" s="18" t="s">
        <v>326</v>
      </c>
      <c r="I4" s="18"/>
      <c r="J4" s="18"/>
      <c r="K4" s="17" t="s">
        <v>327</v>
      </c>
    </row>
    <row r="5" ht="36.75" customHeight="1" spans="1:11">
      <c r="A5" s="19"/>
      <c r="B5" s="19"/>
      <c r="C5" s="19"/>
      <c r="D5" s="19"/>
      <c r="E5" s="19"/>
      <c r="F5" s="19"/>
      <c r="G5" s="19"/>
      <c r="H5" s="18" t="s">
        <v>328</v>
      </c>
      <c r="I5" s="18" t="s">
        <v>329</v>
      </c>
      <c r="J5" s="18" t="s">
        <v>330</v>
      </c>
      <c r="K5" s="19"/>
    </row>
    <row r="6" ht="20.1" customHeight="1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ht="20.1" customHeight="1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20.1" customHeight="1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20.1" customHeight="1" spans="1:1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20.1" customHeight="1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0.1" customHeight="1" spans="1: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20.1" customHeight="1" spans="1:1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20.1" customHeight="1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84.15" customHeight="1" spans="1:11">
      <c r="A14" s="21" t="s">
        <v>331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4"/>
  <sheetViews>
    <sheetView workbookViewId="0">
      <selection activeCell="B3" sqref="B3:D3"/>
    </sheetView>
  </sheetViews>
  <sheetFormatPr defaultColWidth="9" defaultRowHeight="14.25" outlineLevelCol="3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2" t="s">
        <v>332</v>
      </c>
      <c r="B1" s="1"/>
      <c r="C1" s="1"/>
      <c r="D1" s="1"/>
    </row>
    <row r="2" ht="34.9" customHeight="1" spans="1:4">
      <c r="A2" s="3" t="s">
        <v>333</v>
      </c>
      <c r="B2" s="3"/>
      <c r="C2" s="3"/>
      <c r="D2" s="3"/>
    </row>
    <row r="3" ht="86.25" customHeight="1" spans="1:4">
      <c r="A3" s="4" t="s">
        <v>334</v>
      </c>
      <c r="B3" s="6" t="s">
        <v>335</v>
      </c>
      <c r="C3" s="6"/>
      <c r="D3" s="6"/>
    </row>
    <row r="4" ht="20.1" customHeight="1" spans="1:4">
      <c r="A4" s="4" t="s">
        <v>336</v>
      </c>
      <c r="B4" s="4" t="s">
        <v>337</v>
      </c>
      <c r="C4" s="4" t="s">
        <v>338</v>
      </c>
      <c r="D4" s="4" t="s">
        <v>339</v>
      </c>
    </row>
    <row r="5" ht="20.1" customHeight="1" spans="1:4">
      <c r="A5" s="4"/>
      <c r="B5" s="7" t="s">
        <v>340</v>
      </c>
      <c r="C5" s="8" t="s">
        <v>341</v>
      </c>
      <c r="D5" s="9"/>
    </row>
    <row r="6" ht="20.1" customHeight="1" spans="1:4">
      <c r="A6" s="4"/>
      <c r="B6" s="10"/>
      <c r="C6" s="8" t="s">
        <v>342</v>
      </c>
      <c r="D6" s="9"/>
    </row>
    <row r="7" ht="20.1" customHeight="1" spans="1:4">
      <c r="A7" s="4"/>
      <c r="B7" s="11"/>
      <c r="C7" s="8" t="s">
        <v>343</v>
      </c>
      <c r="D7" s="9"/>
    </row>
    <row r="8" ht="20.1" customHeight="1" spans="1:4">
      <c r="A8" s="4"/>
      <c r="B8" s="7" t="s">
        <v>344</v>
      </c>
      <c r="C8" s="8" t="s">
        <v>341</v>
      </c>
      <c r="D8" s="9"/>
    </row>
    <row r="9" ht="20.1" customHeight="1" spans="1:4">
      <c r="A9" s="4"/>
      <c r="B9" s="10"/>
      <c r="C9" s="8" t="s">
        <v>342</v>
      </c>
      <c r="D9" s="9"/>
    </row>
    <row r="10" ht="20.1" customHeight="1" spans="1:4">
      <c r="A10" s="4"/>
      <c r="B10" s="11"/>
      <c r="C10" s="8" t="s">
        <v>343</v>
      </c>
      <c r="D10" s="9"/>
    </row>
    <row r="11" ht="20.1" customHeight="1" spans="1:4">
      <c r="A11" s="4"/>
      <c r="B11" s="9" t="s">
        <v>345</v>
      </c>
      <c r="C11" s="8" t="s">
        <v>341</v>
      </c>
      <c r="D11" s="9"/>
    </row>
    <row r="12" ht="20.1" customHeight="1" spans="1:4">
      <c r="A12" s="4"/>
      <c r="B12" s="9"/>
      <c r="C12" s="8" t="s">
        <v>342</v>
      </c>
      <c r="D12" s="9"/>
    </row>
    <row r="13" ht="20.1" customHeight="1" spans="1:4">
      <c r="A13" s="4"/>
      <c r="B13" s="9"/>
      <c r="C13" s="8" t="s">
        <v>343</v>
      </c>
      <c r="D13" s="9"/>
    </row>
    <row r="14" ht="26.25" customHeight="1" spans="1:4">
      <c r="A14" s="13" t="s">
        <v>346</v>
      </c>
      <c r="B14" s="13"/>
      <c r="C14" s="13"/>
      <c r="D14" s="13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selection activeCell="B4" sqref="B4:D4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347</v>
      </c>
    </row>
    <row r="2" ht="40.15" customHeight="1" spans="1:4">
      <c r="A2" s="3" t="s">
        <v>348</v>
      </c>
      <c r="B2" s="3"/>
      <c r="C2" s="3"/>
      <c r="D2" s="3"/>
    </row>
    <row r="3" ht="20.25" customHeight="1" spans="1:4">
      <c r="A3" s="4" t="s">
        <v>349</v>
      </c>
      <c r="B3" s="5"/>
      <c r="C3" s="5"/>
      <c r="D3" s="5"/>
    </row>
    <row r="4" ht="87.75" customHeight="1" spans="1:4">
      <c r="A4" s="4" t="s">
        <v>350</v>
      </c>
      <c r="B4" s="6" t="s">
        <v>351</v>
      </c>
      <c r="C4" s="6"/>
      <c r="D4" s="6"/>
    </row>
    <row r="5" ht="23.45" customHeight="1" spans="1:4">
      <c r="A5" s="4" t="s">
        <v>336</v>
      </c>
      <c r="B5" s="4" t="s">
        <v>337</v>
      </c>
      <c r="C5" s="4" t="s">
        <v>338</v>
      </c>
      <c r="D5" s="4" t="s">
        <v>339</v>
      </c>
    </row>
    <row r="6" ht="23.45" customHeight="1" spans="1:4">
      <c r="A6" s="4"/>
      <c r="B6" s="7" t="s">
        <v>340</v>
      </c>
      <c r="C6" s="8" t="s">
        <v>341</v>
      </c>
      <c r="D6" s="9"/>
    </row>
    <row r="7" ht="23.45" customHeight="1" spans="1:4">
      <c r="A7" s="4"/>
      <c r="B7" s="10"/>
      <c r="C7" s="8" t="s">
        <v>342</v>
      </c>
      <c r="D7" s="9"/>
    </row>
    <row r="8" ht="23.45" customHeight="1" spans="1:6">
      <c r="A8" s="4"/>
      <c r="B8" s="11"/>
      <c r="C8" s="8" t="s">
        <v>343</v>
      </c>
      <c r="D8" s="9"/>
      <c r="F8" s="12"/>
    </row>
    <row r="9" ht="23.45" customHeight="1" spans="1:4">
      <c r="A9" s="4"/>
      <c r="B9" s="7" t="s">
        <v>344</v>
      </c>
      <c r="C9" s="8" t="s">
        <v>341</v>
      </c>
      <c r="D9" s="9"/>
    </row>
    <row r="10" ht="23.45" customHeight="1" spans="1:4">
      <c r="A10" s="4"/>
      <c r="B10" s="10"/>
      <c r="C10" s="8" t="s">
        <v>342</v>
      </c>
      <c r="D10" s="9"/>
    </row>
    <row r="11" ht="23.45" customHeight="1" spans="1:4">
      <c r="A11" s="4"/>
      <c r="B11" s="11"/>
      <c r="C11" s="8" t="s">
        <v>343</v>
      </c>
      <c r="D11" s="9"/>
    </row>
    <row r="12" ht="23.45" customHeight="1" spans="1:4">
      <c r="A12" s="4"/>
      <c r="B12" s="9" t="s">
        <v>345</v>
      </c>
      <c r="C12" s="8" t="s">
        <v>341</v>
      </c>
      <c r="D12" s="9"/>
    </row>
    <row r="13" ht="23.45" customHeight="1" spans="1:4">
      <c r="A13" s="4"/>
      <c r="B13" s="9"/>
      <c r="C13" s="8" t="s">
        <v>342</v>
      </c>
      <c r="D13" s="9"/>
    </row>
    <row r="14" ht="23.45" customHeight="1" spans="1:4">
      <c r="A14" s="4"/>
      <c r="B14" s="9"/>
      <c r="C14" s="8" t="s">
        <v>343</v>
      </c>
      <c r="D14" s="9"/>
    </row>
    <row r="15" ht="22.15" customHeight="1" spans="1:4">
      <c r="A15" s="13" t="s">
        <v>346</v>
      </c>
      <c r="B15" s="13"/>
      <c r="C15" s="13"/>
      <c r="D15" s="1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一如既往的binggou</cp:lastModifiedBy>
  <dcterms:created xsi:type="dcterms:W3CDTF">2008-01-10T09:59:00Z</dcterms:created>
  <cp:lastPrinted>2018-01-09T07:45:00Z</cp:lastPrinted>
  <dcterms:modified xsi:type="dcterms:W3CDTF">2018-04-17T09:26:37Z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2052-10.1.0.6929</vt:lpwstr>
  </property>
</Properties>
</file>