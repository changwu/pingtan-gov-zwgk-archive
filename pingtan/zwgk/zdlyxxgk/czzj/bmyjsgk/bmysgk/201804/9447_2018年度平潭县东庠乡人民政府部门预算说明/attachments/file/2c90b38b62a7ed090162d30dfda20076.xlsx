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895" windowHeight="10350" tabRatio="100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<sst xmlns="http://schemas.openxmlformats.org/spreadsheetml/2006/main" count="344">
  <si>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</si>
  <si>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</si>
  <si>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</si>
  <si>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</si>
  <si>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</si>
  <si>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</si>
  <si>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</si>
  <si>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</si>
  <si>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</si>
  <si>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</si>
  <si>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</si>
  <si>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</si>
  <si>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</si>
  <si>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</si>
  <si>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</si>
  <si>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</si>
  <si>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</si>
  <si>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</si>
  <si>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</si>
  <si>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</si>
  <si>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</si>
  <si>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</si>
  <si>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</si>
  <si>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</si>
  <si>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</si>
  <si>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</si>
  <si>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</si>
  <si>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</si>
  <si>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</si>
  <si>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</si>
  <si>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</si>
  <si>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</si>
  <si>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东庠乡政府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</si>
  <si>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</si>
  <si>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</si>
  <si>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</si>
  <si>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</si>
  <si>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</si>
  <si>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</si>
  <si>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</si>
  <si>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</si>
  <si>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</si>
  <si>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小岛运转经费补助</t>
  </si>
  <si>
    <t>小岛交通补贴</t>
  </si>
  <si>
    <t>在职人员工伤保险（行政）</t>
  </si>
  <si>
    <t>在职人员医疗保险（行政）</t>
  </si>
  <si>
    <t>在职人员养老保险（行政）</t>
  </si>
  <si>
    <t>误餐及通讯补贴</t>
  </si>
  <si>
    <t>公车改革补贴</t>
  </si>
  <si>
    <t>工会经费</t>
  </si>
  <si>
    <t>在职人员生育保险（行政）</t>
  </si>
  <si>
    <t>在职人员基本工资（行政）</t>
  </si>
  <si>
    <t>离退休人员公务费</t>
  </si>
  <si>
    <t>综合定额公用经费</t>
  </si>
  <si>
    <t>乡镇运转经费</t>
  </si>
  <si>
    <t>在职人员地方津补贴（含行业性津贴）（行政）</t>
  </si>
  <si>
    <t>在职人员年终一个月奖金及防暑降温费(行政参公单位及未实施绩效工资改革的事业单位)（行政）</t>
  </si>
  <si>
    <t>在职人员地方津补贴（含行业性津贴）（财政）</t>
  </si>
  <si>
    <t>财政所专项经费</t>
  </si>
  <si>
    <t>在职人员年终一个月奖金及防暑降温费(行政参公单位及未实施绩效工资改革的事业单位)（财政）</t>
  </si>
  <si>
    <t>在职人员基本工资（财政）</t>
  </si>
  <si>
    <t>在职人员基本工资（文化）</t>
  </si>
  <si>
    <t>在职人员基础性绩效工资（文化）</t>
  </si>
  <si>
    <t>在职人员地方津补贴（含行业性津贴）（文化）</t>
  </si>
  <si>
    <t>在职人员奖励性绩效（事业单位一次性奖金）（文化）</t>
  </si>
  <si>
    <t>越战退役人员补助</t>
  </si>
  <si>
    <t>在职人员奖励性绩效（事业单位一次性奖金）（计生）</t>
  </si>
  <si>
    <t>在职人员基本工资（计生）</t>
  </si>
  <si>
    <t>在职人员基础性绩效工资（计生）</t>
  </si>
  <si>
    <t>在职人员地方津补贴（含行业性津贴）（计生）</t>
  </si>
  <si>
    <t>在职人员奖励性绩效（事业单位一次性奖金）（农业）</t>
  </si>
  <si>
    <t>在职人员基础性绩效工资（农业）</t>
  </si>
  <si>
    <t>在职人员地方津补贴（含行业性津贴）（农业）</t>
  </si>
  <si>
    <t>在职人员基本工资（农业）</t>
  </si>
  <si>
    <t>村级运转经费</t>
  </si>
  <si>
    <t>其他村干部报酬补贴</t>
  </si>
  <si>
    <t>村主干报酬补贴</t>
  </si>
  <si>
    <t>原村居退岗养老金及离任村居主干生活补助</t>
  </si>
  <si>
    <t>村务监督委员会主任报酬补贴</t>
  </si>
  <si>
    <t>在职人员住房公积金</t>
  </si>
  <si>
    <t>提租补贴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</si>
  <si>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</si>
  <si>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</si>
  <si>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</si>
  <si>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</si>
  <si>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</si>
  <si>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</si>
  <si>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</si>
  <si>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</si>
  <si>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</si>
  <si>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</si>
  <si>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备注：本表公开到政府支出功能分类项级科目。</t>
  </si>
  <si>
    <t>附表3-6</t>
  </si>
  <si>
    <t>2018年度政府性基金拨款支出预算表</t>
  </si>
  <si>
    <t>备注：1.本表公开到政府支出功能分类项级科目。</t>
  </si>
  <si>
    <t xml:space="preserve">      2.没有数据的单位应当列出空表并说明。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</si>
  <si>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</si>
  <si>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</si>
  <si>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</si>
  <si>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</si>
  <si>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</si>
  <si>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</si>
  <si>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</si>
  <si>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</si>
  <si>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</si>
  <si>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</si>
  <si>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</si>
  <si>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</si>
  <si>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</si>
  <si>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</si>
  <si>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</si>
  <si>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</si>
  <si>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</si>
  <si>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</si>
  <si>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</si>
  <si>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</si>
  <si>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</si>
  <si>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</si>
  <si>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</si>
  <si>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</si>
  <si>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</si>
  <si>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</si>
  <si>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</si>
  <si>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</si>
  <si>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</si>
  <si>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</si>
  <si>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</si>
  <si>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</si>
  <si>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</si>
  <si>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</si>
  <si>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</si>
  <si>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</si>
  <si>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</si>
  <si>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</si>
  <si>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</si>
  <si>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</si>
  <si>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</si>
  <si>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</si>
  <si>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</si>
  <si>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</si>
  <si>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</si>
  <si>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</si>
  <si>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</si>
  <si>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</si>
  <si>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</si>
  <si>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</si>
  <si>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</si>
  <si>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</si>
  <si>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</si>
  <si>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</si>
  <si>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</si>
  <si>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</si>
  <si>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</si>
  <si>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</si>
  <si>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</si>
  <si>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</si>
  <si>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</si>
  <si>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</si>
  <si>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</si>
  <si>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</si>
  <si>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</si>
  <si>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</si>
  <si>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</si>
  <si>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</si>
  <si>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</si>
  <si>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</si>
  <si>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</si>
  <si>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</si>
  <si>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</si>
  <si>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</si>
  <si>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</si>
  <si>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</si>
  <si>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</si>
  <si>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</si>
  <si>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</si>
  <si>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</si>
  <si>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</si>
  <si>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</si>
  <si>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</si>
  <si>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</si>
  <si>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</si>
  <si>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</si>
  <si>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</si>
  <si>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</si>
  <si>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</si>
  <si>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</si>
  <si>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</si>
  <si>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</si>
  <si>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</si>
  <si>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</si>
  <si>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</si>
  <si>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</si>
  <si>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</si>
  <si>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</si>
  <si>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</si>
  <si>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</si>
  <si>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</si>
  <si>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</si>
  <si>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</si>
  <si>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</si>
  <si>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</si>
  <si>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</si>
  <si>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</si>
  <si>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</si>
  <si>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</si>
  <si>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</si>
  <si>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</si>
  <si>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</si>
  <si>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</si>
  <si>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</si>
  <si>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</si>
  <si>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</si>
  <si>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</si>
  <si>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</si>
  <si>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</si>
  <si>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</si>
  <si>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</si>
  <si>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</si>
  <si>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</si>
  <si>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</si>
  <si>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</si>
  <si>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</si>
  <si>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</si>
  <si>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</si>
  <si>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</si>
  <si>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</si>
  <si>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</si>
  <si>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</si>
  <si>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</si>
  <si>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</si>
  <si>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</si>
  <si>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</si>
  <si>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</si>
  <si>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</si>
  <si>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</si>
  <si>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</si>
  <si>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</si>
  <si>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</si>
  <si>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</si>
  <si>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</si>
  <si>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</si>
  <si>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</si>
  <si>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</si>
  <si>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</si>
  <si>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</si>
  <si>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</si>
  <si>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</si>
  <si>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</si>
  <si>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</si>
  <si>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</si>
  <si>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</si>
  <si>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</si>
  <si>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</si>
  <si>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</si>
  <si>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</si>
  <si>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</si>
  <si>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</si>
  <si>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</si>
  <si>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</si>
  <si>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</si>
  <si>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</si>
  <si>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</si>
  <si>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</si>
  <si>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</si>
  <si>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</si>
  <si>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</si>
  <si>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</si>
  <si>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</si>
  <si>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</si>
  <si>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</si>
  <si>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</si>
  <si>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</si>
  <si>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</si>
  <si>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</si>
  <si>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</si>
  <si>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</si>
  <si>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</si>
  <si>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</si>
  <si>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</si>
  <si>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</si>
  <si>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</si>
  <si>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</si>
  <si>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</si>
  <si>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</si>
  <si>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</si>
  <si>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</si>
  <si>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</si>
  <si>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</si>
  <si>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</si>
  <si>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</si>
  <si>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</si>
  <si>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</si>
  <si>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</si>
  <si>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</si>
  <si>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</si>
  <si>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</si>
  <si>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</si>
  <si>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</si>
  <si>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</si>
  <si>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</si>
  <si>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</si>
  <si>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</si>
  <si>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</si>
  <si>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</si>
  <si>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</si>
  <si>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</si>
  <si>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</si>
  <si>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</si>
  <si>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</si>
  <si>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</si>
  <si>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</si>
  <si>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</si>
  <si>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</si>
  <si>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</si>
  <si>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</si>
  <si>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</si>
  <si>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</si>
  <si>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</si>
  <si>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</si>
  <si>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</si>
  <si>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</si>
  <si>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</si>
  <si>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</si>
  <si>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</si>
  <si>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</si>
  <si>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</si>
  <si>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</si>
  <si>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</si>
  <si>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</si>
  <si>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</si>
  <si>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</si>
  <si>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</si>
  <si>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</si>
  <si>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</si>
  <si>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</si>
  <si>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</si>
  <si>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</si>
  <si>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</si>
  <si>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</si>
  <si>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</si>
  <si>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</si>
  <si>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</si>
  <si>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概况</t>
  </si>
  <si>
    <t>（简要填写执行年限、预算安排、主要工作任务等情况）</t>
  </si>
</sst>
</file>

<file path=xl/styles.xml><?xml version="1.0" encoding="utf-8"?>
<styleSheet xmlns="http://schemas.openxmlformats.org/spreadsheetml/2006/main">
  <numFmts count="22">
    <numFmt numFmtId="43" formatCode="_ * #,##0.00_ ;_ * \-#,##0.00_ ;_ * &quot;-&quot;??_ ;_ @_ "/>
    <numFmt numFmtId="41" formatCode="_ * #,##0_ ;_ * \-#,##0_ ;_ * &quot;-&quot;_ ;_ @_ "/>
    <numFmt numFmtId="176" formatCode="_-\¥* #,##0_-;\-\¥* #,##0_-;_-\¥* &quot;-&quot;_-;_-@_-"/>
    <numFmt numFmtId="177" formatCode="_ \¥* #,##0.00_ ;_ \¥* \-#,##0.00_ ;_ \¥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8" formatCode="_-* #,##0.0000_-;\-* #,##0.0000_-;_-* &quot;-&quot;??_-;_-@_-"/>
    <numFmt numFmtId="179" formatCode="_-* #,##0.00_-;\-* #,##0.00_-;_-* &quot;-&quot;??_-;_-@_-"/>
    <numFmt numFmtId="180" formatCode="0.0"/>
    <numFmt numFmtId="181" formatCode="\$#,##0.00;\(\$#,##0.00\)"/>
    <numFmt numFmtId="182" formatCode="_(&quot;$&quot;* #,##0.00_);_(&quot;$&quot;* \(#,##0.00\);_(&quot;$&quot;* &quot;-&quot;??_);_(@_)"/>
    <numFmt numFmtId="183" formatCode="#,##0;\-#,##0;&quot;-&quot;"/>
    <numFmt numFmtId="184" formatCode="* #,##0.0;* \-#,##0.0;* &quot;&quot;??;@"/>
    <numFmt numFmtId="185" formatCode="#,##0;\(#,##0\)"/>
    <numFmt numFmtId="186" formatCode="_(* #,##0.00_);_(* \(#,##0.00\);_(* &quot;-&quot;??_);_(@_)"/>
    <numFmt numFmtId="187" formatCode="_-&quot;$&quot;* #,##0_-;\-&quot;$&quot;* #,##0_-;_-&quot;$&quot;* &quot;-&quot;_-;_-@_-"/>
    <numFmt numFmtId="188" formatCode="\$#,##0;\(\$#,##0\)"/>
    <numFmt numFmtId="189" formatCode="#,##0.000_ "/>
    <numFmt numFmtId="190" formatCode="_-* #,##0_-;\-* #,##0_-;_-* &quot;-&quot;_-;_-@_-"/>
    <numFmt numFmtId="191" formatCode="#,##0.0"/>
    <numFmt numFmtId="192" formatCode="0.00_);\(0.00\)"/>
    <numFmt numFmtId="193" formatCode="#,##0.00_ "/>
  </numFmts>
  <fonts count="77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8"/>
      <color theme="1"/>
      <name val="宋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b/>
      <sz val="18"/>
      <color indexed="62"/>
      <name val="宋体"/>
      <charset val="134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i/>
      <sz val="11"/>
      <color indexed="23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sz val="11"/>
      <color indexed="17"/>
      <name val="宋体"/>
      <charset val="134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2"/>
      <color indexed="20"/>
      <name val="宋体"/>
      <charset val="134"/>
    </font>
    <font>
      <sz val="11"/>
      <color indexed="42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b/>
      <sz val="12"/>
      <name val="Arial"/>
      <charset val="134"/>
    </font>
    <font>
      <b/>
      <sz val="18"/>
      <name val="Arial"/>
      <charset val="134"/>
    </font>
    <font>
      <sz val="8"/>
      <name val="Times New Roman"/>
      <charset val="134"/>
    </font>
    <font>
      <b/>
      <sz val="13"/>
      <color indexed="62"/>
      <name val="宋体"/>
      <charset val="134"/>
    </font>
    <font>
      <u/>
      <sz val="12"/>
      <color indexed="36"/>
      <name val="宋体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9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12"/>
      <name val="Arial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3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16" borderId="1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33" fillId="0" borderId="0" applyFont="0" applyFill="0" applyBorder="0" applyAlignment="0" applyProtection="0">
      <alignment vertical="center"/>
    </xf>
    <xf numFmtId="0" fontId="0" fillId="0" borderId="0"/>
    <xf numFmtId="0" fontId="18" fillId="0" borderId="0">
      <alignment vertical="center"/>
    </xf>
    <xf numFmtId="0" fontId="18" fillId="12" borderId="0" applyNumberFormat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0" fillId="6" borderId="13" applyNumberFormat="0" applyFon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9" fillId="0" borderId="0">
      <alignment horizontal="centerContinuous" vertical="center"/>
    </xf>
    <xf numFmtId="0" fontId="0" fillId="0" borderId="0"/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0" fillId="0" borderId="0"/>
    <xf numFmtId="0" fontId="49" fillId="0" borderId="16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42" fillId="0" borderId="18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4" borderId="19" applyNumberFormat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0" fillId="0" borderId="0"/>
    <xf numFmtId="0" fontId="45" fillId="20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5" borderId="0" applyNumberFormat="0" applyBorder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1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4" borderId="0" applyNumberFormat="0" applyBorder="0" applyAlignment="0" applyProtection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1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3" fillId="0" borderId="0"/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7" fillId="2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4" fillId="20" borderId="15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8" fillId="16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33" fillId="0" borderId="0"/>
    <xf numFmtId="0" fontId="0" fillId="0" borderId="0">
      <alignment vertical="center"/>
    </xf>
    <xf numFmtId="0" fontId="54" fillId="20" borderId="15" applyNumberFormat="0" applyAlignment="0" applyProtection="0">
      <alignment vertical="center"/>
    </xf>
    <xf numFmtId="0" fontId="10" fillId="0" borderId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1" fillId="18" borderId="0" applyNumberFormat="0" applyBorder="0" applyAlignment="0" applyProtection="0">
      <alignment vertical="center"/>
    </xf>
    <xf numFmtId="0" fontId="55" fillId="0" borderId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33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0" borderId="0"/>
    <xf numFmtId="0" fontId="4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5" fillId="20" borderId="15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30" fillId="21" borderId="12" applyNumberFormat="0" applyAlignment="0" applyProtection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5" fillId="20" borderId="15" applyNumberFormat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0" fillId="0" borderId="0"/>
    <xf numFmtId="0" fontId="33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21" borderId="0" applyNumberFormat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34" fillId="10" borderId="0" applyNumberFormat="0" applyBorder="0" applyAlignment="0" applyProtection="0">
      <alignment vertical="center"/>
    </xf>
    <xf numFmtId="0" fontId="18" fillId="0" borderId="0"/>
    <xf numFmtId="0" fontId="0" fillId="0" borderId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45" fillId="20" borderId="15" applyNumberFormat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0" borderId="0"/>
    <xf numFmtId="0" fontId="0" fillId="0" borderId="0">
      <alignment vertical="center"/>
    </xf>
    <xf numFmtId="0" fontId="0" fillId="0" borderId="0"/>
    <xf numFmtId="0" fontId="45" fillId="20" borderId="15" applyNumberFormat="0" applyAlignment="0" applyProtection="0">
      <alignment vertical="center"/>
    </xf>
    <xf numFmtId="0" fontId="10" fillId="0" borderId="0"/>
    <xf numFmtId="0" fontId="1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9" fillId="0" borderId="2">
      <alignment horizontal="distributed" vertical="center" wrapText="1"/>
    </xf>
    <xf numFmtId="0" fontId="0" fillId="0" borderId="0"/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0" borderId="0"/>
    <xf numFmtId="0" fontId="39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0" borderId="2">
      <alignment horizontal="distributed" vertical="center" wrapText="1"/>
    </xf>
    <xf numFmtId="0" fontId="0" fillId="0" borderId="0"/>
    <xf numFmtId="0" fontId="0" fillId="6" borderId="13" applyNumberFormat="0" applyFon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0" fillId="0" borderId="0"/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33" fillId="0" borderId="0">
      <alignment vertical="center"/>
    </xf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9" fillId="0" borderId="16" applyNumberFormat="0" applyFill="0" applyAlignment="0" applyProtection="0">
      <alignment vertical="center"/>
    </xf>
    <xf numFmtId="0" fontId="0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9" fillId="0" borderId="16" applyNumberFormat="0" applyFill="0" applyAlignment="0" applyProtection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9" fillId="0" borderId="2">
      <alignment horizontal="distributed" vertical="center" wrapText="1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18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54" fillId="20" borderId="15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7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7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52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1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2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0" fontId="54" fillId="20" borderId="15" applyNumberFormat="0" applyAlignment="0" applyProtection="0">
      <alignment vertical="center"/>
    </xf>
    <xf numFmtId="180" fontId="9" fillId="0" borderId="2">
      <alignment vertical="center"/>
      <protection locked="0"/>
    </xf>
    <xf numFmtId="0" fontId="0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/>
    <xf numFmtId="0" fontId="0" fillId="0" borderId="0">
      <alignment vertical="center"/>
    </xf>
    <xf numFmtId="0" fontId="52" fillId="0" borderId="17" applyNumberFormat="0" applyFill="0" applyAlignment="0" applyProtection="0">
      <alignment vertical="center"/>
    </xf>
    <xf numFmtId="0" fontId="0" fillId="0" borderId="0"/>
    <xf numFmtId="0" fontId="33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3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45" fillId="20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1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0" fillId="0" borderId="0"/>
    <xf numFmtId="0" fontId="0" fillId="0" borderId="0"/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4" borderId="12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64" fillId="0" borderId="23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4" fillId="20" borderId="15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34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34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7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4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4" fillId="20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34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9" fillId="0" borderId="1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7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47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41" fillId="18" borderId="0" applyNumberFormat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21" borderId="12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7" fillId="1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3" fillId="21" borderId="19" applyNumberFormat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5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0" fillId="0" borderId="0"/>
    <xf numFmtId="0" fontId="34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4" fillId="13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7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7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16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6" fillId="0" borderId="0"/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21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8" fillId="16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34" fillId="19" borderId="0" applyNumberFormat="0" applyBorder="0" applyAlignment="0" applyProtection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47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60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60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60" fillId="0" borderId="17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0" fillId="21" borderId="12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34" fillId="1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67" fillId="0" borderId="24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54" fillId="20" borderId="15" applyNumberFormat="0" applyAlignment="0" applyProtection="0">
      <alignment vertical="center"/>
    </xf>
    <xf numFmtId="180" fontId="9" fillId="0" borderId="2">
      <alignment vertical="center"/>
      <protection locked="0"/>
    </xf>
    <xf numFmtId="0" fontId="18" fillId="5" borderId="0" applyNumberFormat="0" applyBorder="0" applyAlignment="0" applyProtection="0">
      <alignment vertical="center"/>
    </xf>
    <xf numFmtId="0" fontId="33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  <xf numFmtId="0" fontId="47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  <xf numFmtId="0" fontId="47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8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47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66" fillId="0" borderId="0"/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3" fillId="0" borderId="0"/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3" fillId="0" borderId="0"/>
    <xf numFmtId="0" fontId="32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3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3" fillId="0" borderId="0"/>
    <xf numFmtId="0" fontId="18" fillId="21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3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0" borderId="0">
      <alignment vertical="center"/>
    </xf>
    <xf numFmtId="1" fontId="1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9" fillId="0" borderId="2">
      <alignment horizontal="distributed" vertical="center" wrapText="1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3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37" fontId="68" fillId="0" borderId="0">
      <alignment vertical="center"/>
    </xf>
    <xf numFmtId="0" fontId="18" fillId="16" borderId="0" applyNumberFormat="0" applyBorder="0" applyAlignment="0" applyProtection="0">
      <alignment vertical="center"/>
    </xf>
    <xf numFmtId="37" fontId="68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60" fillId="0" borderId="17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47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81" fontId="70" fillId="0" borderId="0">
      <alignment vertical="center"/>
    </xf>
    <xf numFmtId="0" fontId="30" fillId="21" borderId="12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18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71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49" fillId="0" borderId="16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3" fillId="0" borderId="0"/>
    <xf numFmtId="0" fontId="56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18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0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0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52" fillId="0" borderId="17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33" fillId="0" borderId="0"/>
    <xf numFmtId="0" fontId="52" fillId="0" borderId="17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0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0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0" borderId="0"/>
    <xf numFmtId="0" fontId="18" fillId="14" borderId="0" applyNumberFormat="0" applyBorder="0" applyAlignment="0" applyProtection="0">
      <alignment vertical="center"/>
    </xf>
    <xf numFmtId="0" fontId="18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18" fillId="9" borderId="0" applyNumberFormat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3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30" fillId="4" borderId="12" applyNumberFormat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33" fillId="0" borderId="0"/>
    <xf numFmtId="0" fontId="32" fillId="0" borderId="0" applyNumberFormat="0" applyFill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33" fillId="0" borderId="0"/>
    <xf numFmtId="0" fontId="18" fillId="16" borderId="0" applyNumberFormat="0" applyBorder="0" applyAlignment="0" applyProtection="0">
      <alignment vertical="center"/>
    </xf>
    <xf numFmtId="0" fontId="18" fillId="0" borderId="0"/>
    <xf numFmtId="0" fontId="18" fillId="22" borderId="0" applyNumberFormat="0" applyBorder="0" applyAlignment="0" applyProtection="0">
      <alignment vertical="center"/>
    </xf>
    <xf numFmtId="0" fontId="66" fillId="0" borderId="0"/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33" fillId="0" borderId="0"/>
    <xf numFmtId="0" fontId="18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3" fillId="0" borderId="0"/>
    <xf numFmtId="0" fontId="18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33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3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18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0" borderId="0"/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0" fillId="0" borderId="0"/>
    <xf numFmtId="0" fontId="18" fillId="2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4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4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/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8" fillId="0" borderId="0">
      <alignment vertical="center"/>
    </xf>
    <xf numFmtId="0" fontId="47" fillId="19" borderId="0" applyNumberFormat="0" applyBorder="0" applyAlignment="0" applyProtection="0">
      <alignment vertical="center"/>
    </xf>
    <xf numFmtId="183" fontId="71" fillId="0" borderId="0" applyFill="0" applyBorder="0" applyAlignment="0"/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0" fillId="0" borderId="17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8" fillId="0" borderId="0"/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19" borderId="0" applyNumberFormat="0" applyBorder="0" applyAlignment="0" applyProtection="0">
      <alignment vertical="center"/>
    </xf>
    <xf numFmtId="0" fontId="0" fillId="0" borderId="0"/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0" fillId="0" borderId="0"/>
    <xf numFmtId="0" fontId="42" fillId="0" borderId="18" applyNumberFormat="0" applyFill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185" fontId="70" fillId="0" borderId="0"/>
    <xf numFmtId="0" fontId="0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7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0" fillId="0" borderId="0"/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4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47" fillId="1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47" fillId="15" borderId="0" applyNumberFormat="0" applyBorder="0" applyAlignment="0" applyProtection="0">
      <alignment vertical="center"/>
    </xf>
    <xf numFmtId="0" fontId="0" fillId="0" borderId="0"/>
    <xf numFmtId="0" fontId="47" fillId="1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34" fillId="14" borderId="0" applyNumberFormat="0" applyBorder="0" applyAlignment="0" applyProtection="0">
      <alignment vertical="center"/>
    </xf>
    <xf numFmtId="0" fontId="33" fillId="0" borderId="0"/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4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4" fillId="11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4" fillId="11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0" fillId="0" borderId="0"/>
    <xf numFmtId="0" fontId="34" fillId="1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4" fillId="11" borderId="0" applyNumberFormat="0" applyBorder="0" applyAlignment="0" applyProtection="0">
      <alignment vertical="center"/>
    </xf>
    <xf numFmtId="0" fontId="54" fillId="20" borderId="15" applyNumberFormat="0" applyAlignment="0" applyProtection="0">
      <alignment vertical="center"/>
    </xf>
    <xf numFmtId="0" fontId="10" fillId="0" borderId="0"/>
    <xf numFmtId="0" fontId="10" fillId="0" borderId="0"/>
    <xf numFmtId="0" fontId="34" fillId="11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54" fillId="20" borderId="15" applyNumberFormat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34" fillId="11" borderId="0" applyNumberFormat="0" applyBorder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54" fillId="20" borderId="15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54" fillId="20" borderId="15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54" fillId="20" borderId="15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54" fillId="20" borderId="15" applyNumberFormat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5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5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/>
    <xf numFmtId="2" fontId="72" fillId="0" borderId="0" applyProtection="0"/>
    <xf numFmtId="0" fontId="34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4" fillId="13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0" fillId="0" borderId="0"/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57" fillId="0" borderId="22" applyNumberFormat="0" applyAlignment="0" applyProtection="0">
      <alignment horizontal="left"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0" fillId="0" borderId="0"/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/>
    <xf numFmtId="0" fontId="34" fillId="16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183" fontId="71" fillId="0" borderId="0" applyFill="0" applyBorder="0" applyAlignment="0">
      <alignment vertical="center"/>
    </xf>
    <xf numFmtId="0" fontId="18" fillId="0" borderId="0">
      <alignment vertical="center"/>
    </xf>
    <xf numFmtId="41" fontId="10" fillId="0" borderId="0" applyFont="0" applyFill="0" applyBorder="0" applyAlignment="0" applyProtection="0"/>
    <xf numFmtId="185" fontId="70" fillId="0" borderId="0">
      <alignment vertical="center"/>
    </xf>
    <xf numFmtId="0" fontId="0" fillId="0" borderId="0">
      <alignment vertical="center"/>
    </xf>
    <xf numFmtId="186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10" fillId="0" borderId="0" applyFont="0" applyFill="0" applyBorder="0" applyAlignment="0" applyProtection="0"/>
    <xf numFmtId="0" fontId="30" fillId="21" borderId="12" applyNumberFormat="0" applyAlignment="0" applyProtection="0">
      <alignment vertical="center"/>
    </xf>
    <xf numFmtId="181" fontId="70" fillId="0" borderId="0"/>
    <xf numFmtId="0" fontId="30" fillId="4" borderId="12" applyNumberFormat="0" applyAlignment="0" applyProtection="0">
      <alignment vertical="center"/>
    </xf>
    <xf numFmtId="0" fontId="72" fillId="0" borderId="0" applyProtection="0">
      <alignment vertical="center"/>
    </xf>
    <xf numFmtId="0" fontId="72" fillId="0" borderId="0" applyProtection="0"/>
    <xf numFmtId="177" fontId="0" fillId="0" borderId="0" applyFont="0" applyFill="0" applyBorder="0" applyAlignment="0" applyProtection="0"/>
    <xf numFmtId="188" fontId="70" fillId="0" borderId="0">
      <alignment vertical="center"/>
    </xf>
    <xf numFmtId="188" fontId="7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72" fillId="0" borderId="0" applyProtection="0">
      <alignment vertical="center"/>
    </xf>
    <xf numFmtId="0" fontId="57" fillId="0" borderId="22" applyNumberFormat="0" applyAlignment="0" applyProtection="0">
      <alignment horizontal="left" vertical="center"/>
    </xf>
    <xf numFmtId="0" fontId="47" fillId="1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7" fillId="0" borderId="10">
      <alignment horizontal="left" vertical="center"/>
    </xf>
    <xf numFmtId="0" fontId="57" fillId="0" borderId="10">
      <alignment horizontal="left" vertical="center"/>
    </xf>
    <xf numFmtId="0" fontId="58" fillId="0" borderId="0" applyProtection="0"/>
    <xf numFmtId="0" fontId="57" fillId="0" borderId="0" applyProtection="0">
      <alignment vertical="center"/>
    </xf>
    <xf numFmtId="0" fontId="57" fillId="0" borderId="0" applyProtection="0"/>
    <xf numFmtId="0" fontId="59" fillId="0" borderId="0">
      <alignment vertical="center"/>
    </xf>
    <xf numFmtId="0" fontId="0" fillId="0" borderId="0"/>
    <xf numFmtId="0" fontId="72" fillId="0" borderId="26" applyProtection="0">
      <alignment vertical="center"/>
    </xf>
    <xf numFmtId="0" fontId="9" fillId="0" borderId="2">
      <alignment horizontal="distributed" vertical="center" wrapText="1"/>
    </xf>
    <xf numFmtId="0" fontId="50" fillId="0" borderId="21" applyNumberFormat="0" applyFill="0" applyAlignment="0" applyProtection="0">
      <alignment vertical="center"/>
    </xf>
    <xf numFmtId="0" fontId="72" fillId="0" borderId="26" applyProtection="0"/>
    <xf numFmtId="0" fontId="54" fillId="20" borderId="15" applyNumberFormat="0" applyAlignment="0" applyProtection="0">
      <alignment vertical="center"/>
    </xf>
    <xf numFmtId="0" fontId="0" fillId="0" borderId="0"/>
    <xf numFmtId="0" fontId="18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31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0" fontId="9" fillId="0" borderId="2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0" fillId="0" borderId="0"/>
    <xf numFmtId="0" fontId="49" fillId="0" borderId="16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0" fillId="0" borderId="0"/>
    <xf numFmtId="0" fontId="49" fillId="0" borderId="16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0" fillId="0" borderId="0"/>
    <xf numFmtId="0" fontId="49" fillId="0" borderId="16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0" fillId="0" borderId="0"/>
    <xf numFmtId="0" fontId="49" fillId="0" borderId="16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60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0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0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0" fillId="0" borderId="0"/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0" fillId="0" borderId="0"/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0" fillId="0" borderId="0"/>
    <xf numFmtId="0" fontId="60" fillId="0" borderId="17" applyNumberFormat="0" applyFill="0" applyAlignment="0" applyProtection="0">
      <alignment vertical="center"/>
    </xf>
    <xf numFmtId="0" fontId="60" fillId="0" borderId="17" applyNumberFormat="0" applyFill="0" applyAlignment="0" applyProtection="0">
      <alignment vertical="center"/>
    </xf>
    <xf numFmtId="0" fontId="60" fillId="0" borderId="17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41" fillId="1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42" fillId="0" borderId="18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41" fillId="1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42" fillId="0" borderId="18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0" fillId="0" borderId="0"/>
    <xf numFmtId="0" fontId="50" fillId="0" borderId="21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35" fillId="0" borderId="0" applyNumberForma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/>
    <xf numFmtId="0" fontId="18" fillId="0" borderId="0"/>
    <xf numFmtId="0" fontId="33" fillId="0" borderId="0"/>
    <xf numFmtId="0" fontId="34" fillId="10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177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7" fontId="0" fillId="0" borderId="0" applyFont="0" applyFill="0" applyBorder="0" applyAlignment="0" applyProtection="0"/>
    <xf numFmtId="0" fontId="33" fillId="0" borderId="0"/>
    <xf numFmtId="0" fontId="1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1" fillId="0" borderId="0"/>
    <xf numFmtId="0" fontId="43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3" fillId="0" borderId="0"/>
    <xf numFmtId="0" fontId="0" fillId="0" borderId="0"/>
    <xf numFmtId="0" fontId="18" fillId="0" borderId="0"/>
    <xf numFmtId="0" fontId="19" fillId="0" borderId="0">
      <alignment vertical="center"/>
    </xf>
    <xf numFmtId="0" fontId="19" fillId="0" borderId="0"/>
    <xf numFmtId="177" fontId="0" fillId="0" borderId="0" applyFont="0" applyFill="0" applyBorder="0" applyAlignment="0" applyProtection="0"/>
    <xf numFmtId="0" fontId="19" fillId="0" borderId="0"/>
    <xf numFmtId="0" fontId="18" fillId="0" borderId="0"/>
    <xf numFmtId="0" fontId="41" fillId="18" borderId="0" applyNumberFormat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54" fillId="20" borderId="15" applyNumberFormat="0" applyAlignment="0" applyProtection="0">
      <alignment vertical="center"/>
    </xf>
    <xf numFmtId="0" fontId="10" fillId="0" borderId="0"/>
    <xf numFmtId="0" fontId="1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3" fillId="0" borderId="0"/>
    <xf numFmtId="0" fontId="33" fillId="0" borderId="0"/>
    <xf numFmtId="0" fontId="0" fillId="0" borderId="0">
      <alignment vertical="center"/>
    </xf>
    <xf numFmtId="0" fontId="18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33" fillId="0" borderId="0"/>
    <xf numFmtId="0" fontId="18" fillId="0" borderId="0">
      <alignment vertical="center"/>
    </xf>
    <xf numFmtId="0" fontId="33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4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3" fillId="4" borderId="19" applyNumberFormat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18" fillId="0" borderId="0"/>
    <xf numFmtId="0" fontId="0" fillId="0" borderId="0"/>
    <xf numFmtId="0" fontId="53" fillId="21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6" fillId="0" borderId="2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3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53" fillId="4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4" fillId="20" borderId="15" applyNumberFormat="0" applyAlignment="0" applyProtection="0">
      <alignment vertical="center"/>
    </xf>
    <xf numFmtId="180" fontId="9" fillId="0" borderId="2">
      <alignment vertical="center"/>
      <protection locked="0"/>
    </xf>
    <xf numFmtId="0" fontId="18" fillId="0" borderId="0"/>
    <xf numFmtId="0" fontId="54" fillId="20" borderId="15" applyNumberFormat="0" applyAlignment="0" applyProtection="0">
      <alignment vertical="center"/>
    </xf>
    <xf numFmtId="0" fontId="0" fillId="0" borderId="0"/>
    <xf numFmtId="0" fontId="33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177" fontId="0" fillId="0" borderId="0" applyFont="0" applyFill="0" applyBorder="0" applyAlignment="0" applyProtection="0"/>
    <xf numFmtId="0" fontId="33" fillId="0" borderId="0"/>
    <xf numFmtId="0" fontId="0" fillId="0" borderId="0">
      <alignment vertical="center"/>
    </xf>
    <xf numFmtId="0" fontId="0" fillId="0" borderId="0"/>
    <xf numFmtId="0" fontId="38" fillId="16" borderId="12" applyNumberFormat="0" applyAlignment="0" applyProtection="0">
      <alignment vertical="center"/>
    </xf>
    <xf numFmtId="0" fontId="0" fillId="0" borderId="0">
      <alignment vertical="center"/>
    </xf>
    <xf numFmtId="0" fontId="38" fillId="16" borderId="12" applyNumberFormat="0" applyAlignment="0" applyProtection="0">
      <alignment vertical="center"/>
    </xf>
    <xf numFmtId="0" fontId="33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177" fontId="0" fillId="0" borderId="0" applyFont="0" applyFill="0" applyBorder="0" applyAlignment="0" applyProtection="0"/>
    <xf numFmtId="0" fontId="33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177" fontId="0" fillId="0" borderId="0" applyFont="0" applyFill="0" applyBorder="0" applyAlignment="0" applyProtection="0"/>
    <xf numFmtId="0" fontId="33" fillId="0" borderId="0"/>
    <xf numFmtId="0" fontId="33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77" fontId="0" fillId="0" borderId="0" applyFont="0" applyFill="0" applyBorder="0" applyAlignment="0" applyProtection="0"/>
    <xf numFmtId="0" fontId="33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/>
    <xf numFmtId="0" fontId="0" fillId="0" borderId="0">
      <alignment vertical="center"/>
    </xf>
    <xf numFmtId="0" fontId="66" fillId="0" borderId="0">
      <alignment vertical="center"/>
    </xf>
    <xf numFmtId="0" fontId="33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66" fillId="0" borderId="0">
      <alignment vertical="center"/>
    </xf>
    <xf numFmtId="0" fontId="0" fillId="0" borderId="0"/>
    <xf numFmtId="190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6" fillId="0" borderId="0">
      <alignment vertical="center"/>
    </xf>
    <xf numFmtId="0" fontId="0" fillId="0" borderId="0">
      <alignment vertical="center"/>
    </xf>
    <xf numFmtId="0" fontId="33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6" fillId="0" borderId="0"/>
    <xf numFmtId="0" fontId="0" fillId="0" borderId="0"/>
    <xf numFmtId="0" fontId="66" fillId="0" borderId="0"/>
    <xf numFmtId="0" fontId="0" fillId="0" borderId="0"/>
    <xf numFmtId="0" fontId="18" fillId="0" borderId="0">
      <alignment vertical="center"/>
    </xf>
    <xf numFmtId="0" fontId="6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5" fillId="20" borderId="15" applyNumberFormat="0" applyAlignment="0" applyProtection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33" fillId="0" borderId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41" fillId="1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0"/>
    <xf numFmtId="0" fontId="0" fillId="0" borderId="0">
      <alignment vertical="center"/>
    </xf>
    <xf numFmtId="0" fontId="44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30" fillId="4" borderId="12" applyNumberFormat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177" fontId="0" fillId="0" borderId="0" applyFont="0" applyFill="0" applyBorder="0" applyAlignment="0" applyProtection="0"/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30" fillId="21" borderId="1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38" fillId="16" borderId="1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38" fillId="16" borderId="1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0" fillId="21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54" fillId="20" borderId="15" applyNumberFormat="0" applyAlignment="0" applyProtection="0">
      <alignment vertical="center"/>
    </xf>
    <xf numFmtId="0" fontId="54" fillId="20" borderId="15" applyNumberFormat="0" applyAlignment="0" applyProtection="0">
      <alignment vertical="center"/>
    </xf>
    <xf numFmtId="0" fontId="54" fillId="20" borderId="15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45" fillId="20" borderId="1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5" fillId="20" borderId="15" applyNumberFormat="0" applyAlignment="0" applyProtection="0">
      <alignment vertical="center"/>
    </xf>
    <xf numFmtId="0" fontId="54" fillId="20" borderId="15" applyNumberFormat="0" applyAlignment="0" applyProtection="0">
      <alignment vertical="center"/>
    </xf>
    <xf numFmtId="0" fontId="54" fillId="20" borderId="15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74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7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3" fillId="21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3" fillId="21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3" fillId="4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3" fillId="21" borderId="19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38" fillId="16" borderId="12" applyNumberFormat="0" applyAlignment="0" applyProtection="0">
      <alignment vertical="center"/>
    </xf>
    <xf numFmtId="0" fontId="38" fillId="16" borderId="12" applyNumberFormat="0" applyAlignment="0" applyProtection="0">
      <alignment vertical="center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0" fontId="76" fillId="0" borderId="0">
      <alignment vertical="center"/>
    </xf>
    <xf numFmtId="0" fontId="76" fillId="0" borderId="0"/>
    <xf numFmtId="180" fontId="9" fillId="0" borderId="2">
      <alignment vertical="center"/>
      <protection locked="0"/>
    </xf>
    <xf numFmtId="180" fontId="9" fillId="0" borderId="2">
      <alignment vertical="center"/>
      <protection locked="0"/>
    </xf>
    <xf numFmtId="180" fontId="9" fillId="0" borderId="2">
      <alignment vertical="center"/>
      <protection locked="0"/>
    </xf>
    <xf numFmtId="180" fontId="9" fillId="0" borderId="2">
      <alignment vertical="center"/>
      <protection locked="0"/>
    </xf>
    <xf numFmtId="180" fontId="9" fillId="0" borderId="2">
      <alignment vertical="center"/>
      <protection locked="0"/>
    </xf>
    <xf numFmtId="180" fontId="9" fillId="0" borderId="2">
      <alignment vertical="center"/>
      <protection locked="0"/>
    </xf>
    <xf numFmtId="180" fontId="9" fillId="0" borderId="2">
      <alignment vertical="center"/>
      <protection locked="0"/>
    </xf>
    <xf numFmtId="180" fontId="9" fillId="0" borderId="2">
      <alignment vertical="center"/>
      <protection locked="0"/>
    </xf>
    <xf numFmtId="180" fontId="9" fillId="0" borderId="2">
      <alignment vertical="center"/>
      <protection locked="0"/>
    </xf>
    <xf numFmtId="180" fontId="9" fillId="0" borderId="2">
      <alignment vertical="center"/>
      <protection locked="0"/>
    </xf>
    <xf numFmtId="180" fontId="9" fillId="0" borderId="2">
      <alignment vertical="center"/>
      <protection locked="0"/>
    </xf>
    <xf numFmtId="180" fontId="9" fillId="0" borderId="2">
      <alignment vertical="center"/>
      <protection locked="0"/>
    </xf>
    <xf numFmtId="0" fontId="10" fillId="0" borderId="0"/>
    <xf numFmtId="0" fontId="34" fillId="10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8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8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8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8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8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8" fillId="6" borderId="13" applyNumberFormat="0" applyFont="0" applyAlignment="0" applyProtection="0">
      <alignment vertical="center"/>
    </xf>
  </cellStyleXfs>
  <cellXfs count="15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9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10" fillId="0" borderId="0" xfId="3859"/>
    <xf numFmtId="0" fontId="2" fillId="0" borderId="0" xfId="3859" applyFont="1" applyAlignment="1">
      <alignment horizontal="center" vertical="center"/>
    </xf>
    <xf numFmtId="0" fontId="11" fillId="0" borderId="0" xfId="3859" applyFont="1" applyBorder="1" applyAlignment="1">
      <alignment vertical="center"/>
    </xf>
    <xf numFmtId="0" fontId="12" fillId="0" borderId="0" xfId="3859" applyFont="1" applyAlignment="1">
      <alignment horizontal="right" vertical="center"/>
    </xf>
    <xf numFmtId="0" fontId="13" fillId="0" borderId="2" xfId="3859" applyFont="1" applyBorder="1" applyAlignment="1">
      <alignment horizontal="center" vertical="center"/>
    </xf>
    <xf numFmtId="0" fontId="12" fillId="0" borderId="2" xfId="3859" applyFont="1" applyBorder="1" applyAlignment="1">
      <alignment vertical="center"/>
    </xf>
    <xf numFmtId="0" fontId="12" fillId="0" borderId="2" xfId="3859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0" fillId="0" borderId="0" xfId="3298" applyFont="1"/>
    <xf numFmtId="0" fontId="10" fillId="0" borderId="0" xfId="3298"/>
    <xf numFmtId="0" fontId="0" fillId="0" borderId="0" xfId="0">
      <alignment vertical="center"/>
    </xf>
    <xf numFmtId="0" fontId="15" fillId="0" borderId="0" xfId="3469" applyFont="1" applyAlignment="1">
      <alignment horizontal="center" vertical="center"/>
    </xf>
    <xf numFmtId="0" fontId="10" fillId="0" borderId="0" xfId="3298" applyAlignment="1">
      <alignment vertical="center"/>
    </xf>
    <xf numFmtId="0" fontId="9" fillId="0" borderId="0" xfId="2318" applyFont="1" applyBorder="1" applyAlignment="1">
      <alignment horizontal="right" vertical="center"/>
    </xf>
    <xf numFmtId="0" fontId="16" fillId="0" borderId="2" xfId="3431" applyFont="1" applyFill="1" applyBorder="1" applyAlignment="1">
      <alignment horizontal="center" vertical="center" wrapText="1"/>
    </xf>
    <xf numFmtId="0" fontId="16" fillId="0" borderId="2" xfId="3431" applyFont="1" applyFill="1" applyBorder="1" applyAlignment="1">
      <alignment horizontal="center" vertical="center"/>
    </xf>
    <xf numFmtId="0" fontId="16" fillId="0" borderId="2" xfId="3431" applyFont="1" applyFill="1" applyBorder="1" applyAlignment="1">
      <alignment horizontal="right" vertical="center" shrinkToFit="1"/>
    </xf>
    <xf numFmtId="49" fontId="17" fillId="0" borderId="2" xfId="2157" applyNumberFormat="1" applyFont="1" applyBorder="1" applyAlignment="1">
      <alignment vertical="center"/>
    </xf>
    <xf numFmtId="49" fontId="9" fillId="0" borderId="2" xfId="2157" applyNumberFormat="1" applyFont="1" applyBorder="1" applyAlignment="1">
      <alignment vertical="center"/>
    </xf>
    <xf numFmtId="0" fontId="18" fillId="0" borderId="2" xfId="3431" applyFont="1" applyFill="1" applyBorder="1" applyAlignment="1">
      <alignment horizontal="right" vertical="center" shrinkToFit="1"/>
    </xf>
    <xf numFmtId="49" fontId="9" fillId="0" borderId="2" xfId="2157" applyNumberFormat="1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0" fontId="19" fillId="0" borderId="0" xfId="0" applyFont="1" applyAlignment="1">
      <alignment horizontal="right"/>
    </xf>
    <xf numFmtId="0" fontId="20" fillId="2" borderId="0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right" vertical="center"/>
    </xf>
    <xf numFmtId="0" fontId="21" fillId="0" borderId="7" xfId="2161" applyFont="1" applyBorder="1" applyAlignment="1">
      <alignment horizontal="left" vertical="center" wrapText="1"/>
    </xf>
    <xf numFmtId="0" fontId="22" fillId="0" borderId="7" xfId="0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3727" applyFont="1"/>
    <xf numFmtId="0" fontId="23" fillId="0" borderId="0" xfId="2318" applyFont="1" applyAlignment="1">
      <alignment vertical="center"/>
    </xf>
    <xf numFmtId="0" fontId="2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17" fillId="0" borderId="2" xfId="2318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9" fillId="0" borderId="2" xfId="1732" applyFont="1" applyBorder="1" applyAlignment="1">
      <alignment horizontal="center" vertical="center"/>
    </xf>
    <xf numFmtId="0" fontId="9" fillId="0" borderId="2" xfId="3727" applyFont="1" applyBorder="1" applyAlignment="1">
      <alignment horizontal="center"/>
    </xf>
    <xf numFmtId="0" fontId="9" fillId="0" borderId="2" xfId="1732" applyFont="1" applyBorder="1" applyAlignment="1">
      <alignment horizontal="left" vertical="center"/>
    </xf>
    <xf numFmtId="0" fontId="9" fillId="0" borderId="2" xfId="1732" applyFont="1" applyBorder="1" applyAlignment="1">
      <alignment vertical="center"/>
    </xf>
    <xf numFmtId="0" fontId="9" fillId="0" borderId="2" xfId="3804" applyFont="1" applyBorder="1"/>
    <xf numFmtId="49" fontId="9" fillId="0" borderId="2" xfId="1732" applyNumberFormat="1" applyFont="1" applyFill="1" applyBorder="1" applyAlignment="1">
      <alignment horizontal="left" vertical="center"/>
    </xf>
    <xf numFmtId="191" fontId="9" fillId="0" borderId="2" xfId="1732" applyNumberFormat="1" applyFont="1" applyFill="1" applyBorder="1" applyAlignment="1">
      <alignment horizontal="left" vertical="center"/>
    </xf>
    <xf numFmtId="0" fontId="9" fillId="0" borderId="2" xfId="1732" applyFont="1" applyBorder="1"/>
    <xf numFmtId="191" fontId="24" fillId="0" borderId="0" xfId="3798" applyNumberFormat="1" applyFont="1" applyFill="1" applyBorder="1" applyAlignment="1">
      <alignment horizontal="left"/>
    </xf>
    <xf numFmtId="0" fontId="9" fillId="0" borderId="0" xfId="0" applyFont="1">
      <alignment vertical="center"/>
    </xf>
    <xf numFmtId="0" fontId="24" fillId="0" borderId="0" xfId="3798" applyNumberFormat="1" applyFont="1" applyFill="1" applyBorder="1" applyAlignment="1" applyProtection="1">
      <alignment horizontal="left" wrapText="1"/>
    </xf>
    <xf numFmtId="0" fontId="24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3727" applyFont="1" applyAlignment="1">
      <alignment horizontal="center"/>
    </xf>
    <xf numFmtId="0" fontId="23" fillId="0" borderId="0" xfId="2318" applyFont="1" applyAlignment="1">
      <alignment horizontal="center" vertical="center"/>
    </xf>
    <xf numFmtId="0" fontId="0" fillId="0" borderId="0" xfId="2318" applyFont="1" applyBorder="1" applyAlignment="1">
      <alignment horizontal="center" vertical="center"/>
    </xf>
    <xf numFmtId="0" fontId="9" fillId="0" borderId="0" xfId="2318" applyFont="1" applyBorder="1" applyAlignment="1">
      <alignment horizontal="center" vertical="center"/>
    </xf>
    <xf numFmtId="0" fontId="25" fillId="0" borderId="2" xfId="0" applyNumberFormat="1" applyFont="1" applyFill="1" applyBorder="1" applyAlignment="1">
      <alignment horizontal="center" vertical="center" wrapText="1"/>
    </xf>
    <xf numFmtId="49" fontId="25" fillId="0" borderId="2" xfId="0" applyNumberFormat="1" applyFont="1" applyFill="1" applyBorder="1" applyAlignment="1">
      <alignment horizontal="center" vertical="center" wrapText="1"/>
    </xf>
    <xf numFmtId="4" fontId="25" fillId="0" borderId="2" xfId="0" applyNumberFormat="1" applyFont="1" applyFill="1" applyBorder="1" applyAlignment="1">
      <alignment horizontal="center" vertical="center" wrapText="1"/>
    </xf>
    <xf numFmtId="0" fontId="9" fillId="0" borderId="2" xfId="3804" applyFont="1" applyBorder="1" applyAlignment="1">
      <alignment horizontal="center"/>
    </xf>
    <xf numFmtId="192" fontId="25" fillId="0" borderId="2" xfId="0" applyNumberFormat="1" applyFont="1" applyFill="1" applyBorder="1" applyAlignment="1">
      <alignment horizontal="center" vertical="center" wrapText="1"/>
    </xf>
    <xf numFmtId="191" fontId="6" fillId="0" borderId="0" xfId="3798" applyNumberFormat="1" applyFont="1" applyFill="1" applyBorder="1" applyAlignment="1">
      <alignment horizontal="center"/>
    </xf>
    <xf numFmtId="0" fontId="6" fillId="0" borderId="0" xfId="3798" applyNumberFormat="1" applyFont="1" applyFill="1" applyBorder="1" applyAlignment="1" applyProtection="1">
      <alignment horizontal="center" wrapText="1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19" fillId="0" borderId="0" xfId="3494" applyFont="1" applyAlignment="1">
      <alignment horizontal="right" vertical="center"/>
    </xf>
    <xf numFmtId="0" fontId="17" fillId="0" borderId="2" xfId="3494" applyFont="1" applyBorder="1" applyAlignment="1">
      <alignment horizontal="centerContinuous" vertical="center"/>
    </xf>
    <xf numFmtId="0" fontId="17" fillId="0" borderId="2" xfId="3494" applyFont="1" applyBorder="1" applyAlignment="1">
      <alignment horizontal="center" vertical="center"/>
    </xf>
    <xf numFmtId="0" fontId="9" fillId="0" borderId="2" xfId="3494" applyFont="1" applyBorder="1" applyAlignment="1">
      <alignment vertical="center"/>
    </xf>
    <xf numFmtId="193" fontId="9" fillId="0" borderId="2" xfId="3492" applyNumberFormat="1" applyFont="1" applyFill="1" applyBorder="1" applyAlignment="1">
      <alignment horizontal="right" vertical="center" wrapText="1"/>
    </xf>
    <xf numFmtId="193" fontId="9" fillId="0" borderId="2" xfId="3494" applyNumberFormat="1" applyFont="1" applyFill="1" applyBorder="1" applyAlignment="1">
      <alignment horizontal="right" vertical="center"/>
    </xf>
    <xf numFmtId="193" fontId="9" fillId="0" borderId="2" xfId="3494" applyNumberFormat="1" applyFont="1" applyFill="1" applyBorder="1" applyAlignment="1">
      <alignment horizontal="right" vertical="center" wrapText="1"/>
    </xf>
    <xf numFmtId="0" fontId="9" fillId="0" borderId="2" xfId="3494" applyFont="1" applyBorder="1" applyAlignment="1">
      <alignment horizontal="center" vertical="center"/>
    </xf>
    <xf numFmtId="4" fontId="9" fillId="0" borderId="2" xfId="3494" applyNumberFormat="1" applyFont="1" applyFill="1" applyBorder="1" applyAlignment="1">
      <alignment horizontal="right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3" xfId="3799" applyNumberFormat="1" applyFont="1" applyFill="1" applyBorder="1" applyAlignment="1" applyProtection="1">
      <alignment horizontal="center" vertical="center" wrapText="1"/>
    </xf>
    <xf numFmtId="0" fontId="17" fillId="0" borderId="5" xfId="3799" applyNumberFormat="1" applyFont="1" applyFill="1" applyBorder="1" applyAlignment="1" applyProtection="1">
      <alignment horizontal="center" vertical="center" wrapText="1"/>
    </xf>
    <xf numFmtId="4" fontId="18" fillId="0" borderId="2" xfId="0" applyNumberFormat="1" applyFont="1" applyFill="1" applyBorder="1" applyAlignment="1">
      <alignment horizontal="center" vertical="center" wrapText="1"/>
    </xf>
    <xf numFmtId="0" fontId="0" fillId="0" borderId="0" xfId="3488" applyFont="1"/>
    <xf numFmtId="0" fontId="19" fillId="0" borderId="0" xfId="3488" applyFont="1"/>
    <xf numFmtId="49" fontId="19" fillId="0" borderId="0" xfId="3488" applyNumberFormat="1" applyFont="1" applyFill="1" applyAlignment="1" applyProtection="1">
      <alignment horizontal="center" vertical="center"/>
    </xf>
    <xf numFmtId="0" fontId="19" fillId="0" borderId="0" xfId="3488" applyFont="1" applyAlignment="1">
      <alignment horizontal="center" vertical="center" wrapText="1"/>
    </xf>
    <xf numFmtId="184" fontId="19" fillId="0" borderId="0" xfId="3488" applyNumberFormat="1" applyFont="1" applyAlignment="1">
      <alignment horizontal="center" vertical="center"/>
    </xf>
    <xf numFmtId="0" fontId="19" fillId="0" borderId="0" xfId="3488" applyFont="1" applyAlignment="1">
      <alignment horizontal="center" vertical="center"/>
    </xf>
    <xf numFmtId="49" fontId="2" fillId="0" borderId="0" xfId="3488" applyNumberFormat="1" applyFont="1" applyFill="1" applyAlignment="1" applyProtection="1">
      <alignment horizontal="center" vertical="center" wrapText="1"/>
    </xf>
    <xf numFmtId="49" fontId="29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84" fontId="0" fillId="0" borderId="0" xfId="3488" applyNumberFormat="1" applyFont="1" applyAlignment="1">
      <alignment horizontal="center" vertical="center"/>
    </xf>
    <xf numFmtId="0" fontId="9" fillId="0" borderId="1" xfId="3488" applyFont="1" applyBorder="1" applyAlignment="1">
      <alignment horizontal="right" vertical="center"/>
    </xf>
    <xf numFmtId="0" fontId="17" fillId="0" borderId="2" xfId="3488" applyNumberFormat="1" applyFont="1" applyFill="1" applyBorder="1" applyAlignment="1" applyProtection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7" fillId="0" borderId="2" xfId="3799" applyNumberFormat="1" applyFont="1" applyFill="1" applyBorder="1" applyAlignment="1" applyProtection="1">
      <alignment horizontal="center" vertical="center" wrapText="1"/>
    </xf>
    <xf numFmtId="0" fontId="9" fillId="0" borderId="2" xfId="3488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49" fontId="9" fillId="0" borderId="2" xfId="3488" applyNumberFormat="1" applyFont="1" applyFill="1" applyBorder="1" applyAlignment="1">
      <alignment horizontal="left" vertical="center" wrapText="1"/>
    </xf>
    <xf numFmtId="4" fontId="9" fillId="0" borderId="2" xfId="3488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17" fillId="0" borderId="2" xfId="3492" applyFont="1" applyBorder="1" applyAlignment="1">
      <alignment horizontal="centerContinuous" vertical="center"/>
    </xf>
    <xf numFmtId="0" fontId="17" fillId="0" borderId="2" xfId="3492" applyFont="1" applyBorder="1" applyAlignment="1">
      <alignment horizontal="center" vertical="center"/>
    </xf>
    <xf numFmtId="0" fontId="9" fillId="0" borderId="2" xfId="3492" applyFont="1" applyBorder="1" applyAlignment="1">
      <alignment vertical="center"/>
    </xf>
    <xf numFmtId="193" fontId="9" fillId="0" borderId="2" xfId="3492" applyNumberFormat="1" applyFont="1" applyFill="1" applyBorder="1" applyAlignment="1">
      <alignment horizontal="right" vertical="center"/>
    </xf>
    <xf numFmtId="0" fontId="9" fillId="0" borderId="2" xfId="164" applyFont="1" applyBorder="1" applyAlignment="1">
      <alignment vertical="center"/>
    </xf>
    <xf numFmtId="0" fontId="9" fillId="0" borderId="2" xfId="3492" applyFont="1" applyBorder="1" applyAlignment="1">
      <alignment horizontal="center" vertical="center"/>
    </xf>
    <xf numFmtId="4" fontId="9" fillId="0" borderId="2" xfId="3492" applyNumberFormat="1" applyFont="1" applyFill="1" applyBorder="1" applyAlignment="1">
      <alignment horizontal="right" vertical="center" wrapText="1"/>
    </xf>
    <xf numFmtId="0" fontId="17" fillId="0" borderId="2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D8" sqref="D8:D11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42"/>
      <c r="B1" s="142"/>
      <c r="C1" s="142"/>
      <c r="D1" s="142"/>
    </row>
    <row r="2" spans="1:4">
      <c r="A2" s="143" t="s">
        <v>0</v>
      </c>
      <c r="B2" s="35"/>
      <c r="C2" s="35"/>
      <c r="D2" s="35"/>
    </row>
    <row r="3" ht="20.25" spans="1:4">
      <c r="A3" s="64" t="s">
        <v>1</v>
      </c>
      <c r="B3" s="64"/>
      <c r="C3" s="64"/>
      <c r="D3" s="64"/>
    </row>
    <row r="4" spans="1:4">
      <c r="A4" s="144"/>
      <c r="B4" s="144"/>
      <c r="C4" s="144"/>
      <c r="D4" s="145" t="s">
        <v>2</v>
      </c>
    </row>
    <row r="5" ht="20.1" customHeight="1" spans="1:4">
      <c r="A5" s="146" t="s">
        <v>3</v>
      </c>
      <c r="B5" s="146"/>
      <c r="C5" s="146" t="s">
        <v>4</v>
      </c>
      <c r="D5" s="146"/>
    </row>
    <row r="6" ht="20.1" customHeight="1" spans="1:4">
      <c r="A6" s="147" t="s">
        <v>5</v>
      </c>
      <c r="B6" s="147" t="s">
        <v>6</v>
      </c>
      <c r="C6" s="147" t="s">
        <v>7</v>
      </c>
      <c r="D6" s="147" t="s">
        <v>6</v>
      </c>
    </row>
    <row r="7" ht="20.1" customHeight="1" spans="1:4">
      <c r="A7" s="148" t="s">
        <v>8</v>
      </c>
      <c r="B7" s="99">
        <v>701.05</v>
      </c>
      <c r="C7" s="148" t="s">
        <v>9</v>
      </c>
      <c r="D7" s="149">
        <f>SUM(D10,D9,D8)</f>
        <v>612.18</v>
      </c>
    </row>
    <row r="8" ht="20.1" customHeight="1" spans="1:4">
      <c r="A8" s="148" t="s">
        <v>10</v>
      </c>
      <c r="B8" s="99"/>
      <c r="C8" s="148" t="s">
        <v>11</v>
      </c>
      <c r="D8" s="99">
        <v>432.95</v>
      </c>
    </row>
    <row r="9" ht="20.1" customHeight="1" spans="1:4">
      <c r="A9" s="150" t="s">
        <v>12</v>
      </c>
      <c r="B9" s="99"/>
      <c r="C9" s="148" t="s">
        <v>13</v>
      </c>
      <c r="D9" s="99">
        <v>115.28</v>
      </c>
    </row>
    <row r="10" ht="20.1" customHeight="1" spans="1:4">
      <c r="A10" s="150" t="s">
        <v>14</v>
      </c>
      <c r="B10" s="99"/>
      <c r="C10" s="148" t="s">
        <v>15</v>
      </c>
      <c r="D10" s="99">
        <v>63.95</v>
      </c>
    </row>
    <row r="11" ht="20.1" customHeight="1" spans="1:4">
      <c r="A11" s="150" t="s">
        <v>16</v>
      </c>
      <c r="B11" s="99"/>
      <c r="C11" s="148" t="s">
        <v>17</v>
      </c>
      <c r="D11" s="99">
        <v>88.87</v>
      </c>
    </row>
    <row r="12" ht="20.1" customHeight="1" spans="1:4">
      <c r="A12" s="151" t="s">
        <v>18</v>
      </c>
      <c r="B12" s="152">
        <f>SUM(B7:B11)</f>
        <v>701.05</v>
      </c>
      <c r="C12" s="151" t="s">
        <v>19</v>
      </c>
      <c r="D12" s="99">
        <f>SUM(D7,D11)</f>
        <v>701.05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B7" sqref="B7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81" customWidth="1"/>
    <col min="4" max="8" width="9.5" style="81" customWidth="1"/>
  </cols>
  <sheetData>
    <row r="1" spans="1:8">
      <c r="A1" s="121" t="s">
        <v>20</v>
      </c>
      <c r="B1" s="122"/>
      <c r="C1" s="123"/>
      <c r="D1" s="124"/>
      <c r="E1" s="124"/>
      <c r="F1" s="125"/>
      <c r="G1" s="126"/>
      <c r="H1" s="126"/>
    </row>
    <row r="2" ht="29.1" customHeight="1" spans="1:8">
      <c r="A2" s="127" t="s">
        <v>21</v>
      </c>
      <c r="B2" s="127"/>
      <c r="C2" s="127"/>
      <c r="D2" s="127"/>
      <c r="E2" s="127"/>
      <c r="F2" s="127"/>
      <c r="G2" s="127"/>
      <c r="H2" s="127"/>
    </row>
    <row r="3" ht="25.5" spans="1:8">
      <c r="A3" s="121"/>
      <c r="B3" s="121"/>
      <c r="C3" s="128"/>
      <c r="D3" s="129"/>
      <c r="E3" s="129"/>
      <c r="F3" s="130"/>
      <c r="G3" s="131" t="s">
        <v>2</v>
      </c>
      <c r="H3" s="131"/>
    </row>
    <row r="4" spans="1:8">
      <c r="A4" s="132" t="s">
        <v>22</v>
      </c>
      <c r="B4" s="132" t="s">
        <v>23</v>
      </c>
      <c r="C4" s="133" t="s">
        <v>24</v>
      </c>
      <c r="D4" s="134"/>
      <c r="E4" s="134"/>
      <c r="F4" s="134"/>
      <c r="G4" s="134"/>
      <c r="H4" s="135"/>
    </row>
    <row r="5" ht="60" customHeight="1" spans="1:8">
      <c r="A5" s="132"/>
      <c r="B5" s="132"/>
      <c r="C5" s="117" t="s">
        <v>25</v>
      </c>
      <c r="D5" s="117" t="s">
        <v>26</v>
      </c>
      <c r="E5" s="117" t="s">
        <v>27</v>
      </c>
      <c r="F5" s="117" t="s">
        <v>28</v>
      </c>
      <c r="G5" s="136" t="s">
        <v>29</v>
      </c>
      <c r="H5" s="117" t="s">
        <v>30</v>
      </c>
    </row>
    <row r="6" ht="20.1" customHeight="1" spans="1:8">
      <c r="A6" s="137" t="s">
        <v>31</v>
      </c>
      <c r="B6" s="137" t="s">
        <v>31</v>
      </c>
      <c r="C6" s="138">
        <v>1</v>
      </c>
      <c r="D6" s="137">
        <v>2</v>
      </c>
      <c r="E6" s="138">
        <v>3</v>
      </c>
      <c r="F6" s="138">
        <v>4</v>
      </c>
      <c r="G6" s="137">
        <v>5</v>
      </c>
      <c r="H6" s="138">
        <v>6</v>
      </c>
    </row>
    <row r="7" ht="20.1" customHeight="1" spans="1:8">
      <c r="A7" s="139"/>
      <c r="B7" s="139" t="s">
        <v>32</v>
      </c>
      <c r="C7" s="140">
        <f>SUM(D7:E7,F7,H7,G7)</f>
        <v>701.05</v>
      </c>
      <c r="D7" s="140">
        <v>701.05</v>
      </c>
      <c r="E7" s="140"/>
      <c r="F7" s="140"/>
      <c r="G7" s="140"/>
      <c r="H7" s="140"/>
    </row>
    <row r="8" ht="20.1" customHeight="1" spans="1:8">
      <c r="A8" s="139"/>
      <c r="B8" s="139"/>
      <c r="C8" s="140"/>
      <c r="D8" s="140"/>
      <c r="E8" s="140"/>
      <c r="F8" s="140"/>
      <c r="G8" s="140"/>
      <c r="H8" s="140"/>
    </row>
    <row r="9" ht="20.1" customHeight="1" spans="1:8">
      <c r="A9" s="141"/>
      <c r="B9" s="141"/>
      <c r="C9" s="113"/>
      <c r="D9" s="113"/>
      <c r="E9" s="113"/>
      <c r="F9" s="113"/>
      <c r="G9" s="113"/>
      <c r="H9" s="113"/>
    </row>
    <row r="10" ht="20.1" customHeight="1" spans="1:8">
      <c r="A10" s="141"/>
      <c r="B10" s="141"/>
      <c r="C10" s="113"/>
      <c r="D10" s="113"/>
      <c r="E10" s="113"/>
      <c r="F10" s="113"/>
      <c r="G10" s="113"/>
      <c r="H10" s="113"/>
    </row>
    <row r="11" ht="20.1" customHeight="1" spans="1:8">
      <c r="A11" s="141"/>
      <c r="B11" s="141"/>
      <c r="C11" s="113"/>
      <c r="D11" s="113"/>
      <c r="E11" s="113"/>
      <c r="F11" s="113"/>
      <c r="G11" s="113"/>
      <c r="H11" s="113"/>
    </row>
    <row r="12" ht="20.1" customHeight="1" spans="1:8">
      <c r="A12" s="141"/>
      <c r="B12" s="141"/>
      <c r="C12" s="113"/>
      <c r="D12" s="113"/>
      <c r="E12" s="113"/>
      <c r="F12" s="113"/>
      <c r="G12" s="113"/>
      <c r="H12" s="113"/>
    </row>
    <row r="13" ht="20.1" customHeight="1" spans="1:8">
      <c r="A13" s="141"/>
      <c r="B13" s="141"/>
      <c r="C13" s="113"/>
      <c r="D13" s="113"/>
      <c r="E13" s="113"/>
      <c r="F13" s="113"/>
      <c r="G13" s="113"/>
      <c r="H13" s="113"/>
    </row>
    <row r="14" ht="20.1" customHeight="1" spans="1:8">
      <c r="A14" s="141"/>
      <c r="B14" s="141"/>
      <c r="C14" s="113"/>
      <c r="D14" s="113"/>
      <c r="E14" s="113"/>
      <c r="F14" s="113"/>
      <c r="G14" s="113"/>
      <c r="H14" s="113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47"/>
  <sheetViews>
    <sheetView workbookViewId="0">
      <selection activeCell="A47" sqref="$A47:$XFD68"/>
    </sheetView>
  </sheetViews>
  <sheetFormatPr defaultColWidth="9" defaultRowHeight="14.25"/>
  <cols>
    <col min="1" max="1" width="9" style="81" customWidth="1"/>
    <col min="2" max="2" width="12.75" style="81" customWidth="1"/>
    <col min="3" max="3" width="9.125" style="81" customWidth="1"/>
    <col min="4" max="4" width="10.5" style="81" customWidth="1"/>
    <col min="5" max="5" width="5.5" style="81" customWidth="1"/>
    <col min="6" max="9" width="7.5" style="81" customWidth="1"/>
    <col min="10" max="14" width="9.625" style="81" customWidth="1"/>
    <col min="15" max="15" width="9.125" style="81" customWidth="1"/>
    <col min="16" max="16384" width="9" style="81"/>
  </cols>
  <sheetData>
    <row r="1" ht="25.5" spans="1:15">
      <c r="A1" s="104" t="s">
        <v>33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15"/>
      <c r="N1" s="115"/>
      <c r="O1" s="115"/>
    </row>
    <row r="2" ht="20.25" spans="1:15">
      <c r="A2" s="106" t="s">
        <v>34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16" t="s">
        <v>2</v>
      </c>
      <c r="O3" s="116"/>
    </row>
    <row r="4" s="80" customFormat="1" ht="13.5" spans="1:15">
      <c r="A4" s="108" t="s">
        <v>22</v>
      </c>
      <c r="B4" s="108" t="s">
        <v>23</v>
      </c>
      <c r="C4" s="108" t="s">
        <v>35</v>
      </c>
      <c r="D4" s="108" t="s">
        <v>36</v>
      </c>
      <c r="E4" s="108" t="s">
        <v>37</v>
      </c>
      <c r="F4" s="108" t="s">
        <v>38</v>
      </c>
      <c r="G4" s="108" t="s">
        <v>39</v>
      </c>
      <c r="H4" s="108" t="s">
        <v>40</v>
      </c>
      <c r="I4" s="108" t="s">
        <v>41</v>
      </c>
      <c r="J4" s="117" t="s">
        <v>24</v>
      </c>
      <c r="K4" s="117"/>
      <c r="L4" s="117"/>
      <c r="M4" s="117"/>
      <c r="N4" s="117"/>
      <c r="O4" s="117"/>
    </row>
    <row r="5" s="80" customFormat="1" ht="43.15" customHeight="1" spans="1:15">
      <c r="A5" s="109"/>
      <c r="B5" s="109"/>
      <c r="C5" s="109"/>
      <c r="D5" s="109"/>
      <c r="E5" s="109"/>
      <c r="F5" s="109"/>
      <c r="G5" s="109"/>
      <c r="H5" s="109"/>
      <c r="I5" s="109"/>
      <c r="J5" s="108" t="s">
        <v>37</v>
      </c>
      <c r="K5" s="108" t="s">
        <v>26</v>
      </c>
      <c r="L5" s="108" t="s">
        <v>27</v>
      </c>
      <c r="M5" s="108" t="s">
        <v>28</v>
      </c>
      <c r="N5" s="118" t="s">
        <v>29</v>
      </c>
      <c r="O5" s="108" t="s">
        <v>30</v>
      </c>
    </row>
    <row r="6" s="80" customFormat="1" ht="13.5" spans="1:15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9"/>
      <c r="O6" s="110"/>
    </row>
    <row r="7" s="80" customFormat="1" ht="20.1" customHeight="1" spans="1:15">
      <c r="A7" s="111" t="s">
        <v>31</v>
      </c>
      <c r="B7" s="111" t="s">
        <v>31</v>
      </c>
      <c r="C7" s="111" t="s">
        <v>31</v>
      </c>
      <c r="D7" s="111" t="s">
        <v>31</v>
      </c>
      <c r="E7" s="111">
        <v>1</v>
      </c>
      <c r="F7" s="111">
        <v>2</v>
      </c>
      <c r="G7" s="111">
        <v>3</v>
      </c>
      <c r="H7" s="111">
        <v>4</v>
      </c>
      <c r="I7" s="111">
        <v>5</v>
      </c>
      <c r="J7" s="111">
        <v>6</v>
      </c>
      <c r="K7" s="111">
        <v>7</v>
      </c>
      <c r="L7" s="111">
        <v>8</v>
      </c>
      <c r="M7" s="111">
        <v>9</v>
      </c>
      <c r="N7" s="111">
        <v>10</v>
      </c>
      <c r="O7" s="111">
        <v>11</v>
      </c>
    </row>
    <row r="8" s="80" customFormat="1" ht="20.1" customHeight="1" spans="1:15">
      <c r="A8" s="112"/>
      <c r="B8" s="112"/>
      <c r="C8" s="86">
        <v>2010301</v>
      </c>
      <c r="D8" s="87" t="s">
        <v>42</v>
      </c>
      <c r="E8" s="88">
        <v>30</v>
      </c>
      <c r="F8" s="90"/>
      <c r="G8" s="90"/>
      <c r="H8" s="90"/>
      <c r="I8" s="90">
        <v>30</v>
      </c>
      <c r="J8" s="88">
        <v>30</v>
      </c>
      <c r="K8" s="88">
        <v>30</v>
      </c>
      <c r="L8" s="120"/>
      <c r="M8" s="120"/>
      <c r="N8" s="120"/>
      <c r="O8" s="120"/>
    </row>
    <row r="9" s="80" customFormat="1" ht="20.1" customHeight="1" spans="1:15">
      <c r="A9" s="112"/>
      <c r="B9" s="112"/>
      <c r="C9" s="86">
        <v>2010301</v>
      </c>
      <c r="D9" s="87" t="s">
        <v>43</v>
      </c>
      <c r="E9" s="88">
        <v>14.88</v>
      </c>
      <c r="F9" s="90"/>
      <c r="G9" s="90"/>
      <c r="H9" s="90">
        <v>14.88</v>
      </c>
      <c r="I9" s="90"/>
      <c r="J9" s="88">
        <v>14.88</v>
      </c>
      <c r="K9" s="88">
        <v>14.88</v>
      </c>
      <c r="L9" s="120"/>
      <c r="M9" s="120"/>
      <c r="N9" s="120"/>
      <c r="O9" s="120"/>
    </row>
    <row r="10" ht="20.1" customHeight="1" spans="1:15">
      <c r="A10" s="113"/>
      <c r="B10" s="113"/>
      <c r="C10" s="86">
        <v>2010301</v>
      </c>
      <c r="D10" s="87" t="s">
        <v>44</v>
      </c>
      <c r="E10" s="88">
        <v>0.99</v>
      </c>
      <c r="F10" s="90"/>
      <c r="G10" s="90"/>
      <c r="H10" s="90"/>
      <c r="I10" s="90"/>
      <c r="J10" s="88">
        <v>0.99</v>
      </c>
      <c r="K10" s="88">
        <v>0.99</v>
      </c>
      <c r="L10" s="113"/>
      <c r="M10" s="113"/>
      <c r="N10" s="113"/>
      <c r="O10" s="113"/>
    </row>
    <row r="11" ht="20.1" customHeight="1" spans="1:15">
      <c r="A11" s="113"/>
      <c r="B11" s="113"/>
      <c r="C11" s="86">
        <v>2010301</v>
      </c>
      <c r="D11" s="87" t="s">
        <v>45</v>
      </c>
      <c r="E11" s="88">
        <v>15.95</v>
      </c>
      <c r="F11" s="90"/>
      <c r="G11" s="90"/>
      <c r="H11" s="90"/>
      <c r="I11" s="90"/>
      <c r="J11" s="88">
        <v>15.95</v>
      </c>
      <c r="K11" s="88">
        <v>15.95</v>
      </c>
      <c r="L11" s="113"/>
      <c r="M11" s="113"/>
      <c r="N11" s="113"/>
      <c r="O11" s="113"/>
    </row>
    <row r="12" ht="20.1" customHeight="1" spans="1:15">
      <c r="A12" s="113"/>
      <c r="B12" s="113"/>
      <c r="C12" s="86">
        <v>2010301</v>
      </c>
      <c r="D12" s="87" t="s">
        <v>46</v>
      </c>
      <c r="E12" s="88">
        <v>39.87</v>
      </c>
      <c r="F12" s="90"/>
      <c r="G12" s="90"/>
      <c r="H12" s="90"/>
      <c r="I12" s="90"/>
      <c r="J12" s="88">
        <v>39.87</v>
      </c>
      <c r="K12" s="88">
        <v>39.87</v>
      </c>
      <c r="L12" s="113"/>
      <c r="M12" s="113"/>
      <c r="N12" s="113"/>
      <c r="O12" s="113"/>
    </row>
    <row r="13" ht="20.1" customHeight="1" spans="1:15">
      <c r="A13" s="113"/>
      <c r="B13" s="113"/>
      <c r="C13" s="86">
        <v>2010301</v>
      </c>
      <c r="D13" s="87" t="s">
        <v>47</v>
      </c>
      <c r="E13" s="88">
        <v>8.01</v>
      </c>
      <c r="F13" s="90"/>
      <c r="G13" s="90"/>
      <c r="H13" s="90">
        <v>8.01</v>
      </c>
      <c r="I13" s="90"/>
      <c r="J13" s="88">
        <v>8.01</v>
      </c>
      <c r="K13" s="88">
        <v>8.01</v>
      </c>
      <c r="L13" s="113"/>
      <c r="M13" s="113"/>
      <c r="N13" s="113"/>
      <c r="O13" s="113"/>
    </row>
    <row r="14" ht="20.1" customHeight="1" spans="1:15">
      <c r="A14" s="113"/>
      <c r="B14" s="113"/>
      <c r="C14" s="86">
        <v>2010301</v>
      </c>
      <c r="D14" s="87" t="s">
        <v>48</v>
      </c>
      <c r="E14" s="88">
        <v>11.18</v>
      </c>
      <c r="F14" s="90"/>
      <c r="G14" s="90"/>
      <c r="H14" s="90">
        <v>11.18</v>
      </c>
      <c r="I14" s="90"/>
      <c r="J14" s="88">
        <v>11.18</v>
      </c>
      <c r="K14" s="88">
        <v>11.18</v>
      </c>
      <c r="L14" s="113"/>
      <c r="M14" s="113"/>
      <c r="N14" s="113"/>
      <c r="O14" s="113"/>
    </row>
    <row r="15" ht="20.1" customHeight="1" spans="1:15">
      <c r="A15" s="113"/>
      <c r="B15" s="113"/>
      <c r="C15" s="86">
        <v>2010301</v>
      </c>
      <c r="D15" s="87" t="s">
        <v>49</v>
      </c>
      <c r="E15" s="88">
        <v>5.26</v>
      </c>
      <c r="F15" s="90"/>
      <c r="G15" s="90"/>
      <c r="H15" s="90">
        <v>5.26</v>
      </c>
      <c r="I15" s="90"/>
      <c r="J15" s="88">
        <v>5.26</v>
      </c>
      <c r="K15" s="88">
        <v>5.26</v>
      </c>
      <c r="L15" s="113"/>
      <c r="M15" s="113"/>
      <c r="N15" s="113"/>
      <c r="O15" s="113"/>
    </row>
    <row r="16" ht="20.1" customHeight="1" spans="1:15">
      <c r="A16" s="113"/>
      <c r="B16" s="113"/>
      <c r="C16" s="86">
        <v>2010301</v>
      </c>
      <c r="D16" s="87" t="s">
        <v>50</v>
      </c>
      <c r="E16" s="88">
        <v>0.69</v>
      </c>
      <c r="F16" s="90"/>
      <c r="G16" s="90"/>
      <c r="H16" s="90"/>
      <c r="I16" s="90"/>
      <c r="J16" s="88">
        <v>0.69</v>
      </c>
      <c r="K16" s="88">
        <v>0.69</v>
      </c>
      <c r="L16" s="113"/>
      <c r="M16" s="113"/>
      <c r="N16" s="113"/>
      <c r="O16" s="113"/>
    </row>
    <row r="17" ht="20.1" customHeight="1" spans="1:15">
      <c r="A17" s="113"/>
      <c r="B17" s="113"/>
      <c r="C17" s="86">
        <v>2010301</v>
      </c>
      <c r="D17" s="87" t="s">
        <v>51</v>
      </c>
      <c r="E17" s="88">
        <v>50.32</v>
      </c>
      <c r="F17" s="90">
        <v>50.32</v>
      </c>
      <c r="G17" s="90"/>
      <c r="H17" s="90"/>
      <c r="I17" s="90"/>
      <c r="J17" s="88">
        <v>50.32</v>
      </c>
      <c r="K17" s="88">
        <v>50.32</v>
      </c>
      <c r="L17" s="113"/>
      <c r="M17" s="113"/>
      <c r="N17" s="113"/>
      <c r="O17" s="113"/>
    </row>
    <row r="18" ht="20.1" customHeight="1" spans="1:15">
      <c r="A18" s="113"/>
      <c r="B18" s="113"/>
      <c r="C18" s="86">
        <v>2010301</v>
      </c>
      <c r="D18" s="87" t="s">
        <v>52</v>
      </c>
      <c r="E18" s="88">
        <v>0.7</v>
      </c>
      <c r="F18" s="90"/>
      <c r="G18" s="90"/>
      <c r="H18" s="90">
        <v>0.7</v>
      </c>
      <c r="I18" s="90"/>
      <c r="J18" s="88">
        <v>0.7</v>
      </c>
      <c r="K18" s="88">
        <v>0.7</v>
      </c>
      <c r="L18" s="113"/>
      <c r="M18" s="113"/>
      <c r="N18" s="113"/>
      <c r="O18" s="113"/>
    </row>
    <row r="19" ht="20.1" customHeight="1" spans="1:15">
      <c r="A19" s="113"/>
      <c r="B19" s="113"/>
      <c r="C19" s="86">
        <v>2010301</v>
      </c>
      <c r="D19" s="87" t="s">
        <v>53</v>
      </c>
      <c r="E19" s="88">
        <v>23.92</v>
      </c>
      <c r="F19" s="90"/>
      <c r="G19" s="90"/>
      <c r="H19" s="90">
        <v>23.92</v>
      </c>
      <c r="I19" s="90"/>
      <c r="J19" s="88">
        <v>23.92</v>
      </c>
      <c r="K19" s="88">
        <v>23.92</v>
      </c>
      <c r="L19" s="113"/>
      <c r="M19" s="113"/>
      <c r="N19" s="113"/>
      <c r="O19" s="113"/>
    </row>
    <row r="20" ht="20.1" customHeight="1" spans="1:15">
      <c r="A20" s="113"/>
      <c r="B20" s="113"/>
      <c r="C20" s="86">
        <v>2010301</v>
      </c>
      <c r="D20" s="87" t="s">
        <v>54</v>
      </c>
      <c r="E20" s="88">
        <v>7.87</v>
      </c>
      <c r="F20" s="90"/>
      <c r="G20" s="90"/>
      <c r="H20" s="90"/>
      <c r="I20" s="90">
        <v>7.87</v>
      </c>
      <c r="J20" s="88">
        <v>7.87</v>
      </c>
      <c r="K20" s="88">
        <v>7.87</v>
      </c>
      <c r="L20" s="113"/>
      <c r="M20" s="113"/>
      <c r="N20" s="113"/>
      <c r="O20" s="113"/>
    </row>
    <row r="21" ht="20.1" customHeight="1" spans="1:15">
      <c r="A21" s="113"/>
      <c r="B21" s="113"/>
      <c r="C21" s="86">
        <v>2010301</v>
      </c>
      <c r="D21" s="87" t="s">
        <v>55</v>
      </c>
      <c r="E21" s="88">
        <v>74.64</v>
      </c>
      <c r="F21" s="90">
        <v>74.64</v>
      </c>
      <c r="G21" s="90"/>
      <c r="H21" s="90"/>
      <c r="I21" s="90"/>
      <c r="J21" s="88">
        <v>74.64</v>
      </c>
      <c r="K21" s="88">
        <v>74.64</v>
      </c>
      <c r="L21" s="113"/>
      <c r="M21" s="113"/>
      <c r="N21" s="113"/>
      <c r="O21" s="113"/>
    </row>
    <row r="22" ht="20.1" customHeight="1" spans="1:15">
      <c r="A22" s="113"/>
      <c r="B22" s="113"/>
      <c r="C22" s="86">
        <v>2010301</v>
      </c>
      <c r="D22" s="87" t="s">
        <v>56</v>
      </c>
      <c r="E22" s="88">
        <v>122.05</v>
      </c>
      <c r="F22" s="90">
        <v>122.05</v>
      </c>
      <c r="G22" s="90"/>
      <c r="H22" s="90"/>
      <c r="I22" s="90"/>
      <c r="J22" s="88">
        <v>122.05</v>
      </c>
      <c r="K22" s="88">
        <v>122.05</v>
      </c>
      <c r="L22" s="113"/>
      <c r="M22" s="113"/>
      <c r="N22" s="113"/>
      <c r="O22" s="113"/>
    </row>
    <row r="23" ht="20.1" customHeight="1" spans="1:15">
      <c r="A23" s="113"/>
      <c r="B23" s="113"/>
      <c r="C23" s="86">
        <v>2010601</v>
      </c>
      <c r="D23" s="87" t="s">
        <v>57</v>
      </c>
      <c r="E23" s="88">
        <v>7.73</v>
      </c>
      <c r="F23" s="90">
        <v>7.73</v>
      </c>
      <c r="G23" s="90"/>
      <c r="H23" s="90"/>
      <c r="I23" s="90"/>
      <c r="J23" s="88">
        <v>7.73</v>
      </c>
      <c r="K23" s="88">
        <v>7.73</v>
      </c>
      <c r="L23" s="113"/>
      <c r="M23" s="113"/>
      <c r="N23" s="113"/>
      <c r="O23" s="113"/>
    </row>
    <row r="24" ht="20.1" customHeight="1" spans="1:15">
      <c r="A24" s="113"/>
      <c r="B24" s="113"/>
      <c r="C24" s="86">
        <v>2010601</v>
      </c>
      <c r="D24" s="87" t="s">
        <v>58</v>
      </c>
      <c r="E24" s="88">
        <v>3</v>
      </c>
      <c r="F24" s="90"/>
      <c r="G24" s="90"/>
      <c r="H24" s="90"/>
      <c r="I24" s="90">
        <v>3</v>
      </c>
      <c r="J24" s="88">
        <v>3</v>
      </c>
      <c r="K24" s="88">
        <v>3</v>
      </c>
      <c r="L24" s="113"/>
      <c r="M24" s="113"/>
      <c r="N24" s="113"/>
      <c r="O24" s="113"/>
    </row>
    <row r="25" ht="20.1" customHeight="1" spans="1:15">
      <c r="A25" s="113"/>
      <c r="B25" s="113"/>
      <c r="C25" s="86">
        <v>2010601</v>
      </c>
      <c r="D25" s="87" t="s">
        <v>59</v>
      </c>
      <c r="E25" s="88">
        <v>3.18</v>
      </c>
      <c r="F25" s="90">
        <v>3.18</v>
      </c>
      <c r="G25" s="90"/>
      <c r="H25" s="90"/>
      <c r="I25" s="90"/>
      <c r="J25" s="88">
        <v>3.18</v>
      </c>
      <c r="K25" s="88">
        <v>3.18</v>
      </c>
      <c r="L25" s="113"/>
      <c r="M25" s="113"/>
      <c r="N25" s="113"/>
      <c r="O25" s="113"/>
    </row>
    <row r="26" ht="20.1" customHeight="1" spans="1:15">
      <c r="A26" s="113"/>
      <c r="B26" s="113"/>
      <c r="C26" s="86">
        <v>2010601</v>
      </c>
      <c r="D26" s="87" t="s">
        <v>60</v>
      </c>
      <c r="E26" s="88">
        <v>5.69</v>
      </c>
      <c r="F26" s="90">
        <v>5.69</v>
      </c>
      <c r="G26" s="90"/>
      <c r="H26" s="90"/>
      <c r="I26" s="90"/>
      <c r="J26" s="88">
        <v>5.69</v>
      </c>
      <c r="K26" s="88">
        <v>5.69</v>
      </c>
      <c r="L26" s="113"/>
      <c r="M26" s="113"/>
      <c r="N26" s="113"/>
      <c r="O26" s="113"/>
    </row>
    <row r="27" ht="20.1" customHeight="1" spans="1:15">
      <c r="A27" s="113"/>
      <c r="B27" s="113"/>
      <c r="C27" s="86">
        <v>2070101</v>
      </c>
      <c r="D27" s="87" t="s">
        <v>61</v>
      </c>
      <c r="E27" s="88">
        <v>4.5</v>
      </c>
      <c r="F27" s="90">
        <v>4.5</v>
      </c>
      <c r="G27" s="90"/>
      <c r="H27" s="90"/>
      <c r="I27" s="90"/>
      <c r="J27" s="88">
        <v>4.5</v>
      </c>
      <c r="K27" s="88">
        <v>4.5</v>
      </c>
      <c r="L27" s="113"/>
      <c r="M27" s="113"/>
      <c r="N27" s="113"/>
      <c r="O27" s="113"/>
    </row>
    <row r="28" ht="20.1" customHeight="1" spans="1:15">
      <c r="A28" s="113"/>
      <c r="B28" s="113"/>
      <c r="C28" s="86">
        <v>2070101</v>
      </c>
      <c r="D28" s="87" t="s">
        <v>62</v>
      </c>
      <c r="E28" s="88">
        <v>1.11</v>
      </c>
      <c r="F28" s="90">
        <v>1.11</v>
      </c>
      <c r="G28" s="90"/>
      <c r="H28" s="90"/>
      <c r="I28" s="90"/>
      <c r="J28" s="88">
        <v>1.11</v>
      </c>
      <c r="K28" s="88">
        <v>1.11</v>
      </c>
      <c r="L28" s="113"/>
      <c r="M28" s="113"/>
      <c r="N28" s="113"/>
      <c r="O28" s="113"/>
    </row>
    <row r="29" ht="20.1" customHeight="1" spans="1:15">
      <c r="A29" s="113"/>
      <c r="B29" s="113"/>
      <c r="C29" s="86">
        <v>2070101</v>
      </c>
      <c r="D29" s="87" t="s">
        <v>63</v>
      </c>
      <c r="E29" s="88">
        <v>2.68</v>
      </c>
      <c r="F29" s="90">
        <v>2.68</v>
      </c>
      <c r="G29" s="90"/>
      <c r="H29" s="90"/>
      <c r="I29" s="90"/>
      <c r="J29" s="88">
        <v>2.68</v>
      </c>
      <c r="K29" s="88">
        <v>2.68</v>
      </c>
      <c r="L29" s="113"/>
      <c r="M29" s="113"/>
      <c r="N29" s="113"/>
      <c r="O29" s="113"/>
    </row>
    <row r="30" ht="20.1" customHeight="1" spans="1:15">
      <c r="A30" s="113"/>
      <c r="B30" s="113"/>
      <c r="C30" s="86">
        <v>2070101</v>
      </c>
      <c r="D30" s="87" t="s">
        <v>64</v>
      </c>
      <c r="E30" s="88">
        <v>1.95</v>
      </c>
      <c r="F30" s="90">
        <v>1.95</v>
      </c>
      <c r="G30" s="90"/>
      <c r="H30" s="90"/>
      <c r="I30" s="90"/>
      <c r="J30" s="88">
        <v>1.95</v>
      </c>
      <c r="K30" s="88">
        <v>1.95</v>
      </c>
      <c r="L30" s="113"/>
      <c r="M30" s="113"/>
      <c r="N30" s="113"/>
      <c r="O30" s="113"/>
    </row>
    <row r="31" ht="20.1" customHeight="1" spans="1:15">
      <c r="A31" s="113"/>
      <c r="B31" s="113"/>
      <c r="C31" s="86">
        <v>2080899</v>
      </c>
      <c r="D31" s="87" t="s">
        <v>65</v>
      </c>
      <c r="E31" s="88">
        <v>2.4</v>
      </c>
      <c r="F31" s="90"/>
      <c r="G31" s="90">
        <v>2.4</v>
      </c>
      <c r="H31" s="90"/>
      <c r="I31" s="90"/>
      <c r="J31" s="88">
        <v>2.4</v>
      </c>
      <c r="K31" s="88">
        <v>2.4</v>
      </c>
      <c r="L31" s="113"/>
      <c r="M31" s="113"/>
      <c r="N31" s="113"/>
      <c r="O31" s="113"/>
    </row>
    <row r="32" ht="20.1" customHeight="1" spans="1:15">
      <c r="A32" s="113"/>
      <c r="B32" s="113"/>
      <c r="C32" s="86">
        <v>2100716</v>
      </c>
      <c r="D32" s="87" t="s">
        <v>66</v>
      </c>
      <c r="E32" s="88">
        <v>1.43</v>
      </c>
      <c r="F32" s="90">
        <v>1.43</v>
      </c>
      <c r="G32" s="90"/>
      <c r="H32" s="90"/>
      <c r="I32" s="90"/>
      <c r="J32" s="88">
        <v>1.43</v>
      </c>
      <c r="K32" s="88">
        <v>1.43</v>
      </c>
      <c r="L32" s="113"/>
      <c r="M32" s="113"/>
      <c r="N32" s="113"/>
      <c r="O32" s="113"/>
    </row>
    <row r="33" ht="20.1" customHeight="1" spans="1:15">
      <c r="A33" s="113"/>
      <c r="B33" s="113"/>
      <c r="C33" s="86">
        <v>2100716</v>
      </c>
      <c r="D33" s="87" t="s">
        <v>67</v>
      </c>
      <c r="E33" s="88">
        <v>2.31</v>
      </c>
      <c r="F33" s="90">
        <v>2.31</v>
      </c>
      <c r="G33" s="90"/>
      <c r="H33" s="90"/>
      <c r="I33" s="90"/>
      <c r="J33" s="88">
        <v>2.31</v>
      </c>
      <c r="K33" s="88">
        <v>2.31</v>
      </c>
      <c r="L33" s="113"/>
      <c r="M33" s="113"/>
      <c r="N33" s="113"/>
      <c r="O33" s="113"/>
    </row>
    <row r="34" ht="20.1" customHeight="1" spans="1:15">
      <c r="A34" s="113"/>
      <c r="B34" s="113"/>
      <c r="C34" s="86">
        <v>2100716</v>
      </c>
      <c r="D34" s="87" t="s">
        <v>68</v>
      </c>
      <c r="E34" s="88">
        <v>1.11</v>
      </c>
      <c r="F34" s="90">
        <v>1.11</v>
      </c>
      <c r="G34" s="90"/>
      <c r="H34" s="90"/>
      <c r="I34" s="90"/>
      <c r="J34" s="88">
        <v>1.11</v>
      </c>
      <c r="K34" s="88">
        <v>1.11</v>
      </c>
      <c r="L34" s="113"/>
      <c r="M34" s="113"/>
      <c r="N34" s="113"/>
      <c r="O34" s="113"/>
    </row>
    <row r="35" ht="20.1" customHeight="1" spans="1:15">
      <c r="A35" s="113"/>
      <c r="B35" s="113"/>
      <c r="C35" s="86">
        <v>2100716</v>
      </c>
      <c r="D35" s="87" t="s">
        <v>69</v>
      </c>
      <c r="E35" s="88">
        <v>2.68</v>
      </c>
      <c r="F35" s="90">
        <v>2.68</v>
      </c>
      <c r="G35" s="90"/>
      <c r="H35" s="90"/>
      <c r="I35" s="90"/>
      <c r="J35" s="88">
        <v>2.68</v>
      </c>
      <c r="K35" s="88">
        <v>2.68</v>
      </c>
      <c r="L35" s="113"/>
      <c r="M35" s="113"/>
      <c r="N35" s="113"/>
      <c r="O35" s="113"/>
    </row>
    <row r="36" ht="20.1" customHeight="1" spans="1:15">
      <c r="A36" s="113"/>
      <c r="B36" s="113"/>
      <c r="C36" s="86">
        <v>2130101</v>
      </c>
      <c r="D36" s="87" t="s">
        <v>70</v>
      </c>
      <c r="E36" s="88">
        <v>9.05</v>
      </c>
      <c r="F36" s="90">
        <v>9.05</v>
      </c>
      <c r="G36" s="90"/>
      <c r="H36" s="90"/>
      <c r="I36" s="90"/>
      <c r="J36" s="88">
        <v>9.05</v>
      </c>
      <c r="K36" s="88">
        <v>9.05</v>
      </c>
      <c r="L36" s="113"/>
      <c r="M36" s="113"/>
      <c r="N36" s="113"/>
      <c r="O36" s="113"/>
    </row>
    <row r="37" ht="20.1" customHeight="1" spans="1:15">
      <c r="A37" s="113"/>
      <c r="B37" s="113"/>
      <c r="C37" s="86">
        <v>2130101</v>
      </c>
      <c r="D37" s="87" t="s">
        <v>71</v>
      </c>
      <c r="E37" s="88">
        <v>6</v>
      </c>
      <c r="F37" s="90">
        <v>6</v>
      </c>
      <c r="G37" s="90"/>
      <c r="H37" s="90"/>
      <c r="I37" s="90"/>
      <c r="J37" s="88">
        <v>6</v>
      </c>
      <c r="K37" s="88">
        <v>6</v>
      </c>
      <c r="L37" s="113"/>
      <c r="M37" s="113"/>
      <c r="N37" s="113"/>
      <c r="O37" s="113"/>
    </row>
    <row r="38" ht="20.1" customHeight="1" spans="1:15">
      <c r="A38" s="113"/>
      <c r="B38" s="113"/>
      <c r="C38" s="86">
        <v>2130101</v>
      </c>
      <c r="D38" s="87" t="s">
        <v>72</v>
      </c>
      <c r="E38" s="88">
        <v>14.75</v>
      </c>
      <c r="F38" s="90">
        <v>14.75</v>
      </c>
      <c r="G38" s="90"/>
      <c r="H38" s="90"/>
      <c r="I38" s="90"/>
      <c r="J38" s="88">
        <v>14.75</v>
      </c>
      <c r="K38" s="88">
        <v>14.75</v>
      </c>
      <c r="L38" s="113"/>
      <c r="M38" s="113"/>
      <c r="N38" s="113"/>
      <c r="O38" s="113"/>
    </row>
    <row r="39" ht="20.1" customHeight="1" spans="1:15">
      <c r="A39" s="113"/>
      <c r="B39" s="113"/>
      <c r="C39" s="86">
        <v>2130101</v>
      </c>
      <c r="D39" s="87" t="s">
        <v>73</v>
      </c>
      <c r="E39" s="88">
        <v>17.43</v>
      </c>
      <c r="F39" s="90">
        <v>17.43</v>
      </c>
      <c r="G39" s="90"/>
      <c r="H39" s="90"/>
      <c r="I39" s="90"/>
      <c r="J39" s="88">
        <v>17.43</v>
      </c>
      <c r="K39" s="88">
        <v>17.43</v>
      </c>
      <c r="L39" s="113"/>
      <c r="M39" s="113"/>
      <c r="N39" s="113"/>
      <c r="O39" s="113"/>
    </row>
    <row r="40" ht="20.1" customHeight="1" spans="1:15">
      <c r="A40" s="113"/>
      <c r="B40" s="113"/>
      <c r="C40" s="86">
        <v>2130705</v>
      </c>
      <c r="D40" s="87" t="s">
        <v>74</v>
      </c>
      <c r="E40" s="88">
        <v>48</v>
      </c>
      <c r="F40" s="90"/>
      <c r="G40" s="90"/>
      <c r="H40" s="90"/>
      <c r="I40" s="90">
        <v>48</v>
      </c>
      <c r="J40" s="88">
        <v>48</v>
      </c>
      <c r="K40" s="88">
        <v>48</v>
      </c>
      <c r="L40" s="113"/>
      <c r="M40" s="113"/>
      <c r="N40" s="113"/>
      <c r="O40" s="113"/>
    </row>
    <row r="41" ht="20.1" customHeight="1" spans="1:15">
      <c r="A41" s="113"/>
      <c r="B41" s="113"/>
      <c r="C41" s="86">
        <v>2130705</v>
      </c>
      <c r="D41" s="87" t="s">
        <v>75</v>
      </c>
      <c r="E41" s="88">
        <v>46.36</v>
      </c>
      <c r="F41" s="90"/>
      <c r="G41" s="90">
        <v>46.36</v>
      </c>
      <c r="H41" s="90"/>
      <c r="I41" s="90"/>
      <c r="J41" s="88">
        <v>46.36</v>
      </c>
      <c r="K41" s="88">
        <v>46.36</v>
      </c>
      <c r="L41" s="113"/>
      <c r="M41" s="113"/>
      <c r="N41" s="113"/>
      <c r="O41" s="113"/>
    </row>
    <row r="42" ht="20.1" customHeight="1" spans="1:15">
      <c r="A42" s="113"/>
      <c r="B42" s="113"/>
      <c r="C42" s="86">
        <v>2130705</v>
      </c>
      <c r="D42" s="87" t="s">
        <v>76</v>
      </c>
      <c r="E42" s="88">
        <v>31.95</v>
      </c>
      <c r="F42" s="90"/>
      <c r="G42" s="90">
        <v>31.95</v>
      </c>
      <c r="H42" s="90"/>
      <c r="I42" s="90"/>
      <c r="J42" s="88">
        <v>31.95</v>
      </c>
      <c r="K42" s="88">
        <v>31.95</v>
      </c>
      <c r="L42" s="113"/>
      <c r="M42" s="113"/>
      <c r="N42" s="113"/>
      <c r="O42" s="113"/>
    </row>
    <row r="43" ht="20.1" customHeight="1" spans="1:15">
      <c r="A43" s="113"/>
      <c r="B43" s="113"/>
      <c r="C43" s="86">
        <v>2130705</v>
      </c>
      <c r="D43" s="87" t="s">
        <v>77</v>
      </c>
      <c r="E43" s="88">
        <v>24.54</v>
      </c>
      <c r="F43" s="90"/>
      <c r="G43" s="90">
        <v>24.54</v>
      </c>
      <c r="H43" s="90"/>
      <c r="I43" s="90"/>
      <c r="J43" s="88">
        <v>24.54</v>
      </c>
      <c r="K43" s="88">
        <v>24.54</v>
      </c>
      <c r="L43" s="113"/>
      <c r="M43" s="113"/>
      <c r="N43" s="113"/>
      <c r="O43" s="113"/>
    </row>
    <row r="44" ht="20.1" customHeight="1" spans="1:15">
      <c r="A44" s="113"/>
      <c r="B44" s="113"/>
      <c r="C44" s="86">
        <v>2130705</v>
      </c>
      <c r="D44" s="87" t="s">
        <v>78</v>
      </c>
      <c r="E44" s="88">
        <v>10.03</v>
      </c>
      <c r="F44" s="90"/>
      <c r="G44" s="90">
        <v>10.03</v>
      </c>
      <c r="H44" s="90"/>
      <c r="I44" s="90"/>
      <c r="J44" s="88">
        <v>10.03</v>
      </c>
      <c r="K44" s="88">
        <v>10.03</v>
      </c>
      <c r="L44" s="113"/>
      <c r="M44" s="113"/>
      <c r="N44" s="113"/>
      <c r="O44" s="113"/>
    </row>
    <row r="45" ht="20.1" customHeight="1" spans="1:15">
      <c r="A45" s="113"/>
      <c r="B45" s="113"/>
      <c r="C45" s="86">
        <v>2210201</v>
      </c>
      <c r="D45" s="87" t="s">
        <v>79</v>
      </c>
      <c r="E45" s="88">
        <v>38.16</v>
      </c>
      <c r="F45" s="90"/>
      <c r="G45" s="90"/>
      <c r="H45" s="90"/>
      <c r="I45" s="90"/>
      <c r="J45" s="88">
        <v>38.16</v>
      </c>
      <c r="K45" s="88">
        <v>38.16</v>
      </c>
      <c r="L45" s="113"/>
      <c r="M45" s="113"/>
      <c r="N45" s="113"/>
      <c r="O45" s="113"/>
    </row>
    <row r="46" ht="20.1" customHeight="1" spans="1:15">
      <c r="A46" s="113"/>
      <c r="B46" s="113"/>
      <c r="C46" s="86">
        <v>2210202</v>
      </c>
      <c r="D46" s="87" t="s">
        <v>80</v>
      </c>
      <c r="E46" s="88">
        <v>8.68</v>
      </c>
      <c r="F46" s="90"/>
      <c r="G46" s="90"/>
      <c r="H46" s="90"/>
      <c r="I46" s="90"/>
      <c r="J46" s="88">
        <v>8.68</v>
      </c>
      <c r="K46" s="88">
        <v>8.68</v>
      </c>
      <c r="L46" s="113"/>
      <c r="M46" s="113"/>
      <c r="N46" s="113"/>
      <c r="O46" s="113"/>
    </row>
    <row r="47" ht="64.9" customHeight="1" spans="1:15">
      <c r="A47" s="114" t="s">
        <v>81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</row>
  </sheetData>
  <mergeCells count="18">
    <mergeCell ref="A2:O2"/>
    <mergeCell ref="N3:O3"/>
    <mergeCell ref="A47:O47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D14" sqref="D14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35" t="s">
        <v>82</v>
      </c>
      <c r="B1" s="35"/>
      <c r="C1" s="35"/>
      <c r="D1" s="35"/>
    </row>
    <row r="2" ht="20.25" spans="1:4">
      <c r="A2" s="93" t="s">
        <v>83</v>
      </c>
      <c r="B2" s="93"/>
      <c r="C2" s="93"/>
      <c r="D2" s="93"/>
    </row>
    <row r="3" spans="1:4">
      <c r="A3" s="94"/>
      <c r="B3" s="94"/>
      <c r="C3" s="94"/>
      <c r="D3" s="95" t="s">
        <v>2</v>
      </c>
    </row>
    <row r="4" s="61" customFormat="1" ht="20.1" customHeight="1" spans="1:4">
      <c r="A4" s="96" t="s">
        <v>3</v>
      </c>
      <c r="B4" s="96"/>
      <c r="C4" s="96" t="s">
        <v>4</v>
      </c>
      <c r="D4" s="96"/>
    </row>
    <row r="5" s="61" customFormat="1" ht="20.1" customHeight="1" spans="1:4">
      <c r="A5" s="97" t="s">
        <v>5</v>
      </c>
      <c r="B5" s="97" t="s">
        <v>6</v>
      </c>
      <c r="C5" s="97" t="s">
        <v>7</v>
      </c>
      <c r="D5" s="97" t="s">
        <v>6</v>
      </c>
    </row>
    <row r="6" s="61" customFormat="1" ht="20.1" customHeight="1" spans="1:4">
      <c r="A6" s="98" t="s">
        <v>8</v>
      </c>
      <c r="B6" s="99">
        <v>701.05</v>
      </c>
      <c r="C6" s="98" t="s">
        <v>9</v>
      </c>
      <c r="D6" s="100">
        <f>SUM(D7:D9)</f>
        <v>612.18</v>
      </c>
    </row>
    <row r="7" s="61" customFormat="1" ht="20.1" customHeight="1" spans="1:4">
      <c r="A7" s="98" t="s">
        <v>10</v>
      </c>
      <c r="B7" s="101"/>
      <c r="C7" s="98" t="s">
        <v>84</v>
      </c>
      <c r="D7" s="99">
        <v>432.95</v>
      </c>
    </row>
    <row r="8" s="61" customFormat="1" ht="20.1" customHeight="1" spans="1:4">
      <c r="A8" s="98"/>
      <c r="B8" s="101"/>
      <c r="C8" s="98" t="s">
        <v>85</v>
      </c>
      <c r="D8" s="99">
        <v>115.28</v>
      </c>
    </row>
    <row r="9" s="61" customFormat="1" ht="20.1" customHeight="1" spans="1:4">
      <c r="A9" s="98"/>
      <c r="B9" s="101"/>
      <c r="C9" s="98" t="s">
        <v>86</v>
      </c>
      <c r="D9" s="99">
        <v>63.95</v>
      </c>
    </row>
    <row r="10" s="61" customFormat="1" ht="20.1" customHeight="1" spans="1:4">
      <c r="A10" s="98"/>
      <c r="B10" s="101"/>
      <c r="C10" s="98" t="s">
        <v>17</v>
      </c>
      <c r="D10" s="99">
        <v>88.87</v>
      </c>
    </row>
    <row r="11" s="61" customFormat="1" ht="20.1" customHeight="1" spans="1:4">
      <c r="A11" s="98"/>
      <c r="B11" s="101"/>
      <c r="C11" s="98"/>
      <c r="D11" s="101"/>
    </row>
    <row r="12" s="61" customFormat="1" ht="20.1" customHeight="1" spans="1:4">
      <c r="A12" s="98"/>
      <c r="B12" s="101"/>
      <c r="C12" s="98"/>
      <c r="D12" s="101"/>
    </row>
    <row r="13" s="61" customFormat="1" ht="20.1" customHeight="1" spans="1:4">
      <c r="A13" s="102" t="s">
        <v>18</v>
      </c>
      <c r="B13" s="103">
        <f>SUM(B6:B12)</f>
        <v>701.05</v>
      </c>
      <c r="C13" s="102" t="s">
        <v>19</v>
      </c>
      <c r="D13" s="101">
        <f>SUM(D6,D10)</f>
        <v>701.05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workbookViewId="0">
      <selection activeCell="E8" sqref="E8"/>
    </sheetView>
  </sheetViews>
  <sheetFormatPr defaultColWidth="9" defaultRowHeight="14.25" outlineLevelCol="4"/>
  <cols>
    <col min="1" max="1" width="18.875" style="81" customWidth="1"/>
    <col min="2" max="2" width="14" style="81" customWidth="1"/>
    <col min="3" max="3" width="12.5" style="81" customWidth="1"/>
    <col min="4" max="4" width="14.125" style="81" customWidth="1"/>
    <col min="5" max="5" width="15.875" style="81" customWidth="1"/>
    <col min="6" max="16384" width="9" style="81"/>
  </cols>
  <sheetData>
    <row r="1" spans="1:5">
      <c r="A1" s="82" t="s">
        <v>87</v>
      </c>
      <c r="B1" s="82"/>
      <c r="C1" s="82"/>
      <c r="D1" s="83"/>
      <c r="E1" s="83"/>
    </row>
    <row r="2" ht="20.25" spans="1:5">
      <c r="A2" s="64" t="s">
        <v>88</v>
      </c>
      <c r="B2" s="64"/>
      <c r="C2" s="64"/>
      <c r="D2" s="64"/>
      <c r="E2" s="64"/>
    </row>
    <row r="3" spans="1:5">
      <c r="A3" s="84"/>
      <c r="B3" s="84"/>
      <c r="C3" s="84"/>
      <c r="D3" s="84"/>
      <c r="E3" s="85" t="s">
        <v>2</v>
      </c>
    </row>
    <row r="4" s="80" customFormat="1" ht="20.1" customHeight="1" spans="1:5">
      <c r="A4" s="66" t="s">
        <v>35</v>
      </c>
      <c r="B4" s="66" t="s">
        <v>36</v>
      </c>
      <c r="C4" s="66" t="s">
        <v>37</v>
      </c>
      <c r="D4" s="67" t="s">
        <v>89</v>
      </c>
      <c r="E4" s="67"/>
    </row>
    <row r="5" s="80" customFormat="1" ht="20.1" customHeight="1" spans="1:5">
      <c r="A5" s="66"/>
      <c r="B5" s="66"/>
      <c r="C5" s="66"/>
      <c r="D5" s="153" t="s">
        <v>90</v>
      </c>
      <c r="E5" s="66" t="s">
        <v>41</v>
      </c>
    </row>
    <row r="6" s="80" customFormat="1" ht="20.1" customHeight="1" spans="1:5">
      <c r="A6" s="68" t="s">
        <v>31</v>
      </c>
      <c r="B6" s="68" t="s">
        <v>31</v>
      </c>
      <c r="C6" s="68">
        <v>1</v>
      </c>
      <c r="D6" s="69">
        <v>2</v>
      </c>
      <c r="E6" s="69">
        <v>3</v>
      </c>
    </row>
    <row r="7" s="80" customFormat="1" ht="20.1" customHeight="1" spans="1:5">
      <c r="A7" s="86">
        <v>2010301</v>
      </c>
      <c r="B7" s="87" t="s">
        <v>42</v>
      </c>
      <c r="C7" s="88">
        <v>30</v>
      </c>
      <c r="D7" s="89"/>
      <c r="E7" s="90">
        <v>30</v>
      </c>
    </row>
    <row r="8" s="80" customFormat="1" ht="20.1" customHeight="1" spans="1:5">
      <c r="A8" s="86">
        <v>2010301</v>
      </c>
      <c r="B8" s="87" t="s">
        <v>43</v>
      </c>
      <c r="C8" s="88">
        <v>14.88</v>
      </c>
      <c r="D8" s="88">
        <v>14.88</v>
      </c>
      <c r="E8" s="90"/>
    </row>
    <row r="9" s="80" customFormat="1" ht="20.1" customHeight="1" spans="1:5">
      <c r="A9" s="86">
        <v>2010301</v>
      </c>
      <c r="B9" s="87" t="s">
        <v>44</v>
      </c>
      <c r="C9" s="88">
        <v>0.99</v>
      </c>
      <c r="D9" s="88">
        <v>0.99</v>
      </c>
      <c r="E9" s="90"/>
    </row>
    <row r="10" s="80" customFormat="1" ht="20.1" customHeight="1" spans="1:5">
      <c r="A10" s="86">
        <v>2010301</v>
      </c>
      <c r="B10" s="87" t="s">
        <v>45</v>
      </c>
      <c r="C10" s="88">
        <v>15.95</v>
      </c>
      <c r="D10" s="88">
        <v>15.95</v>
      </c>
      <c r="E10" s="90"/>
    </row>
    <row r="11" s="80" customFormat="1" ht="20.1" customHeight="1" spans="1:5">
      <c r="A11" s="86">
        <v>2010301</v>
      </c>
      <c r="B11" s="87" t="s">
        <v>46</v>
      </c>
      <c r="C11" s="88">
        <v>39.87</v>
      </c>
      <c r="D11" s="88">
        <v>39.87</v>
      </c>
      <c r="E11" s="90"/>
    </row>
    <row r="12" s="80" customFormat="1" ht="20.1" customHeight="1" spans="1:5">
      <c r="A12" s="86">
        <v>2010301</v>
      </c>
      <c r="B12" s="87" t="s">
        <v>47</v>
      </c>
      <c r="C12" s="88">
        <v>8.01</v>
      </c>
      <c r="D12" s="88">
        <v>8.01</v>
      </c>
      <c r="E12" s="90"/>
    </row>
    <row r="13" s="80" customFormat="1" ht="20.1" customHeight="1" spans="1:5">
      <c r="A13" s="86">
        <v>2010301</v>
      </c>
      <c r="B13" s="87" t="s">
        <v>48</v>
      </c>
      <c r="C13" s="88">
        <v>11.18</v>
      </c>
      <c r="D13" s="88">
        <v>11.18</v>
      </c>
      <c r="E13" s="90"/>
    </row>
    <row r="14" s="80" customFormat="1" ht="20.1" customHeight="1" spans="1:5">
      <c r="A14" s="86">
        <v>2010301</v>
      </c>
      <c r="B14" s="87" t="s">
        <v>49</v>
      </c>
      <c r="C14" s="88">
        <v>5.26</v>
      </c>
      <c r="D14" s="88">
        <v>5.26</v>
      </c>
      <c r="E14" s="90"/>
    </row>
    <row r="15" s="80" customFormat="1" ht="20.1" customHeight="1" spans="1:5">
      <c r="A15" s="86">
        <v>2010301</v>
      </c>
      <c r="B15" s="87" t="s">
        <v>50</v>
      </c>
      <c r="C15" s="88">
        <v>0.69</v>
      </c>
      <c r="D15" s="88">
        <v>0.69</v>
      </c>
      <c r="E15" s="90"/>
    </row>
    <row r="16" s="80" customFormat="1" ht="20.1" customHeight="1" spans="1:5">
      <c r="A16" s="86">
        <v>2010301</v>
      </c>
      <c r="B16" s="87" t="s">
        <v>51</v>
      </c>
      <c r="C16" s="88">
        <v>50.32</v>
      </c>
      <c r="D16" s="88">
        <v>50.32</v>
      </c>
      <c r="E16" s="90"/>
    </row>
    <row r="17" s="80" customFormat="1" ht="20.1" customHeight="1" spans="1:5">
      <c r="A17" s="86">
        <v>2010301</v>
      </c>
      <c r="B17" s="87" t="s">
        <v>52</v>
      </c>
      <c r="C17" s="88">
        <v>0.7</v>
      </c>
      <c r="D17" s="88">
        <v>0.7</v>
      </c>
      <c r="E17" s="90"/>
    </row>
    <row r="18" s="80" customFormat="1" ht="20.1" customHeight="1" spans="1:5">
      <c r="A18" s="86">
        <v>2010301</v>
      </c>
      <c r="B18" s="87" t="s">
        <v>53</v>
      </c>
      <c r="C18" s="88">
        <v>23.92</v>
      </c>
      <c r="D18" s="88">
        <v>23.92</v>
      </c>
      <c r="E18" s="90"/>
    </row>
    <row r="19" s="80" customFormat="1" ht="20.1" customHeight="1" spans="1:5">
      <c r="A19" s="86">
        <v>2010301</v>
      </c>
      <c r="B19" s="87" t="s">
        <v>54</v>
      </c>
      <c r="C19" s="88">
        <v>7.87</v>
      </c>
      <c r="D19" s="89"/>
      <c r="E19" s="90">
        <v>7.87</v>
      </c>
    </row>
    <row r="20" s="80" customFormat="1" ht="20.1" customHeight="1" spans="1:5">
      <c r="A20" s="86">
        <v>2010301</v>
      </c>
      <c r="B20" s="87" t="s">
        <v>55</v>
      </c>
      <c r="C20" s="88">
        <v>74.64</v>
      </c>
      <c r="D20" s="88">
        <v>74.64</v>
      </c>
      <c r="E20" s="90"/>
    </row>
    <row r="21" s="80" customFormat="1" ht="20.1" customHeight="1" spans="1:5">
      <c r="A21" s="86">
        <v>2010301</v>
      </c>
      <c r="B21" s="87" t="s">
        <v>56</v>
      </c>
      <c r="C21" s="88">
        <v>122.05</v>
      </c>
      <c r="D21" s="88">
        <v>122.05</v>
      </c>
      <c r="E21" s="90"/>
    </row>
    <row r="22" s="80" customFormat="1" ht="20.1" customHeight="1" spans="1:5">
      <c r="A22" s="86">
        <v>2010601</v>
      </c>
      <c r="B22" s="87" t="s">
        <v>57</v>
      </c>
      <c r="C22" s="88">
        <v>7.73</v>
      </c>
      <c r="D22" s="88">
        <v>7.73</v>
      </c>
      <c r="E22" s="90"/>
    </row>
    <row r="23" s="80" customFormat="1" ht="20.1" customHeight="1" spans="1:5">
      <c r="A23" s="86">
        <v>2010601</v>
      </c>
      <c r="B23" s="87" t="s">
        <v>58</v>
      </c>
      <c r="C23" s="88">
        <v>3</v>
      </c>
      <c r="D23" s="89"/>
      <c r="E23" s="90">
        <v>3</v>
      </c>
    </row>
    <row r="24" s="80" customFormat="1" ht="20.1" customHeight="1" spans="1:5">
      <c r="A24" s="86">
        <v>2010601</v>
      </c>
      <c r="B24" s="87" t="s">
        <v>59</v>
      </c>
      <c r="C24" s="88">
        <v>3.18</v>
      </c>
      <c r="D24" s="88">
        <v>3.18</v>
      </c>
      <c r="E24" s="90"/>
    </row>
    <row r="25" s="80" customFormat="1" ht="20.1" customHeight="1" spans="1:5">
      <c r="A25" s="86">
        <v>2010601</v>
      </c>
      <c r="B25" s="87" t="s">
        <v>60</v>
      </c>
      <c r="C25" s="88">
        <v>5.69</v>
      </c>
      <c r="D25" s="88">
        <v>5.69</v>
      </c>
      <c r="E25" s="90"/>
    </row>
    <row r="26" s="80" customFormat="1" ht="20.1" customHeight="1" spans="1:5">
      <c r="A26" s="86">
        <v>2070101</v>
      </c>
      <c r="B26" s="87" t="s">
        <v>61</v>
      </c>
      <c r="C26" s="88">
        <v>4.5</v>
      </c>
      <c r="D26" s="88">
        <v>4.5</v>
      </c>
      <c r="E26" s="90"/>
    </row>
    <row r="27" s="80" customFormat="1" ht="20.1" customHeight="1" spans="1:5">
      <c r="A27" s="86">
        <v>2070101</v>
      </c>
      <c r="B27" s="87" t="s">
        <v>62</v>
      </c>
      <c r="C27" s="88">
        <v>1.11</v>
      </c>
      <c r="D27" s="88">
        <v>1.11</v>
      </c>
      <c r="E27" s="90"/>
    </row>
    <row r="28" s="80" customFormat="1" ht="20.1" customHeight="1" spans="1:5">
      <c r="A28" s="86">
        <v>2070101</v>
      </c>
      <c r="B28" s="87" t="s">
        <v>63</v>
      </c>
      <c r="C28" s="88">
        <v>2.68</v>
      </c>
      <c r="D28" s="88">
        <v>2.68</v>
      </c>
      <c r="E28" s="90"/>
    </row>
    <row r="29" s="80" customFormat="1" ht="20.1" customHeight="1" spans="1:5">
      <c r="A29" s="86">
        <v>2070101</v>
      </c>
      <c r="B29" s="87" t="s">
        <v>64</v>
      </c>
      <c r="C29" s="88">
        <v>1.95</v>
      </c>
      <c r="D29" s="88">
        <v>1.95</v>
      </c>
      <c r="E29" s="90"/>
    </row>
    <row r="30" s="80" customFormat="1" ht="20.1" customHeight="1" spans="1:5">
      <c r="A30" s="86">
        <v>2080899</v>
      </c>
      <c r="B30" s="87" t="s">
        <v>65</v>
      </c>
      <c r="C30" s="88">
        <v>2.4</v>
      </c>
      <c r="D30" s="88">
        <v>2.4</v>
      </c>
      <c r="E30" s="90"/>
    </row>
    <row r="31" s="80" customFormat="1" ht="20.1" customHeight="1" spans="1:5">
      <c r="A31" s="86">
        <v>2100716</v>
      </c>
      <c r="B31" s="87" t="s">
        <v>66</v>
      </c>
      <c r="C31" s="88">
        <v>1.43</v>
      </c>
      <c r="D31" s="88">
        <v>1.43</v>
      </c>
      <c r="E31" s="90"/>
    </row>
    <row r="32" s="80" customFormat="1" ht="20.1" customHeight="1" spans="1:5">
      <c r="A32" s="86">
        <v>2100716</v>
      </c>
      <c r="B32" s="87" t="s">
        <v>67</v>
      </c>
      <c r="C32" s="88">
        <v>2.31</v>
      </c>
      <c r="D32" s="88">
        <v>2.31</v>
      </c>
      <c r="E32" s="90"/>
    </row>
    <row r="33" s="80" customFormat="1" ht="20.1" customHeight="1" spans="1:5">
      <c r="A33" s="86">
        <v>2100716</v>
      </c>
      <c r="B33" s="87" t="s">
        <v>68</v>
      </c>
      <c r="C33" s="88">
        <v>1.11</v>
      </c>
      <c r="D33" s="88">
        <v>1.11</v>
      </c>
      <c r="E33" s="90"/>
    </row>
    <row r="34" s="80" customFormat="1" ht="20.1" customHeight="1" spans="1:5">
      <c r="A34" s="86">
        <v>2100716</v>
      </c>
      <c r="B34" s="87" t="s">
        <v>69</v>
      </c>
      <c r="C34" s="88">
        <v>2.68</v>
      </c>
      <c r="D34" s="88">
        <v>2.68</v>
      </c>
      <c r="E34" s="90"/>
    </row>
    <row r="35" s="80" customFormat="1" ht="20.1" customHeight="1" spans="1:5">
      <c r="A35" s="86">
        <v>2130101</v>
      </c>
      <c r="B35" s="87" t="s">
        <v>70</v>
      </c>
      <c r="C35" s="88">
        <v>9.05</v>
      </c>
      <c r="D35" s="88">
        <v>9.05</v>
      </c>
      <c r="E35" s="90"/>
    </row>
    <row r="36" s="80" customFormat="1" ht="20.1" customHeight="1" spans="1:5">
      <c r="A36" s="86">
        <v>2130101</v>
      </c>
      <c r="B36" s="87" t="s">
        <v>71</v>
      </c>
      <c r="C36" s="88">
        <v>6</v>
      </c>
      <c r="D36" s="88">
        <v>6</v>
      </c>
      <c r="E36" s="90"/>
    </row>
    <row r="37" s="80" customFormat="1" ht="20.1" customHeight="1" spans="1:5">
      <c r="A37" s="86">
        <v>2130101</v>
      </c>
      <c r="B37" s="87" t="s">
        <v>72</v>
      </c>
      <c r="C37" s="88">
        <v>14.75</v>
      </c>
      <c r="D37" s="88">
        <v>14.75</v>
      </c>
      <c r="E37" s="90"/>
    </row>
    <row r="38" s="80" customFormat="1" ht="20.1" customHeight="1" spans="1:5">
      <c r="A38" s="86">
        <v>2130101</v>
      </c>
      <c r="B38" s="87" t="s">
        <v>73</v>
      </c>
      <c r="C38" s="88">
        <v>17.43</v>
      </c>
      <c r="D38" s="88">
        <v>17.43</v>
      </c>
      <c r="E38" s="90"/>
    </row>
    <row r="39" s="80" customFormat="1" ht="20.1" customHeight="1" spans="1:5">
      <c r="A39" s="86">
        <v>2130705</v>
      </c>
      <c r="B39" s="87" t="s">
        <v>74</v>
      </c>
      <c r="C39" s="88">
        <v>48</v>
      </c>
      <c r="D39" s="89"/>
      <c r="E39" s="90">
        <v>48</v>
      </c>
    </row>
    <row r="40" s="80" customFormat="1" ht="20.1" customHeight="1" spans="1:5">
      <c r="A40" s="86">
        <v>2130705</v>
      </c>
      <c r="B40" s="87" t="s">
        <v>75</v>
      </c>
      <c r="C40" s="88">
        <v>46.36</v>
      </c>
      <c r="D40" s="88">
        <v>46.36</v>
      </c>
      <c r="E40" s="90"/>
    </row>
    <row r="41" s="80" customFormat="1" ht="20.1" customHeight="1" spans="1:5">
      <c r="A41" s="86">
        <v>2130705</v>
      </c>
      <c r="B41" s="87" t="s">
        <v>76</v>
      </c>
      <c r="C41" s="88">
        <v>31.95</v>
      </c>
      <c r="D41" s="88">
        <v>31.95</v>
      </c>
      <c r="E41" s="90"/>
    </row>
    <row r="42" s="80" customFormat="1" ht="20.1" customHeight="1" spans="1:5">
      <c r="A42" s="86">
        <v>2130705</v>
      </c>
      <c r="B42" s="87" t="s">
        <v>77</v>
      </c>
      <c r="C42" s="88">
        <v>24.54</v>
      </c>
      <c r="D42" s="88">
        <v>24.54</v>
      </c>
      <c r="E42" s="90"/>
    </row>
    <row r="43" s="80" customFormat="1" ht="20.1" customHeight="1" spans="1:5">
      <c r="A43" s="86">
        <v>2130705</v>
      </c>
      <c r="B43" s="87" t="s">
        <v>78</v>
      </c>
      <c r="C43" s="88">
        <v>10.03</v>
      </c>
      <c r="D43" s="88">
        <v>10.03</v>
      </c>
      <c r="E43" s="90"/>
    </row>
    <row r="44" s="80" customFormat="1" ht="20.1" customHeight="1" spans="1:5">
      <c r="A44" s="86">
        <v>2210201</v>
      </c>
      <c r="B44" s="87" t="s">
        <v>79</v>
      </c>
      <c r="C44" s="88">
        <v>38.16</v>
      </c>
      <c r="D44" s="88">
        <v>38.16</v>
      </c>
      <c r="E44" s="90"/>
    </row>
    <row r="45" s="80" customFormat="1" ht="20.1" customHeight="1" spans="1:5">
      <c r="A45" s="86">
        <v>2210202</v>
      </c>
      <c r="B45" s="87" t="s">
        <v>80</v>
      </c>
      <c r="C45" s="88">
        <v>8.68</v>
      </c>
      <c r="D45" s="88">
        <v>8.68</v>
      </c>
      <c r="E45" s="90"/>
    </row>
    <row r="46" s="80" customFormat="1" ht="16.5" spans="1:5">
      <c r="A46" s="91" t="s">
        <v>91</v>
      </c>
      <c r="B46" s="91"/>
      <c r="C46" s="91"/>
      <c r="D46" s="91"/>
      <c r="E46" s="91"/>
    </row>
    <row r="47" s="80" customFormat="1" ht="16.5" spans="1:5">
      <c r="A47" s="92"/>
      <c r="B47" s="92"/>
      <c r="C47" s="92"/>
      <c r="D47" s="92"/>
      <c r="E47" s="92"/>
    </row>
  </sheetData>
  <mergeCells count="7">
    <mergeCell ref="A2:E2"/>
    <mergeCell ref="D4:E4"/>
    <mergeCell ref="A46:E46"/>
    <mergeCell ref="A47:E47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A2" sqref="A2:E2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62" t="s">
        <v>92</v>
      </c>
      <c r="B1" s="62"/>
      <c r="C1" s="62"/>
      <c r="D1" s="63"/>
      <c r="E1" s="63"/>
    </row>
    <row r="2" ht="26.45" customHeight="1" spans="1:5">
      <c r="A2" s="64" t="s">
        <v>93</v>
      </c>
      <c r="B2" s="64"/>
      <c r="C2" s="64"/>
      <c r="D2" s="64"/>
      <c r="E2" s="64"/>
    </row>
    <row r="3" spans="1:5">
      <c r="A3" s="65"/>
      <c r="B3" s="65"/>
      <c r="C3" s="65"/>
      <c r="D3" s="65"/>
      <c r="E3" s="38" t="s">
        <v>2</v>
      </c>
    </row>
    <row r="4" s="61" customFormat="1" ht="20.1" customHeight="1" spans="1:5">
      <c r="A4" s="66" t="s">
        <v>35</v>
      </c>
      <c r="B4" s="66" t="s">
        <v>36</v>
      </c>
      <c r="C4" s="66" t="s">
        <v>37</v>
      </c>
      <c r="D4" s="67" t="s">
        <v>89</v>
      </c>
      <c r="E4" s="67"/>
    </row>
    <row r="5" s="61" customFormat="1" ht="20.1" customHeight="1" spans="1:5">
      <c r="A5" s="66"/>
      <c r="B5" s="66"/>
      <c r="C5" s="66"/>
      <c r="D5" s="153" t="s">
        <v>90</v>
      </c>
      <c r="E5" s="66" t="s">
        <v>41</v>
      </c>
    </row>
    <row r="6" s="61" customFormat="1" ht="20.1" customHeight="1" spans="1:5">
      <c r="A6" s="68" t="s">
        <v>31</v>
      </c>
      <c r="B6" s="68" t="s">
        <v>31</v>
      </c>
      <c r="C6" s="68">
        <v>1</v>
      </c>
      <c r="D6" s="69">
        <v>2</v>
      </c>
      <c r="E6" s="69">
        <v>3</v>
      </c>
    </row>
    <row r="7" s="61" customFormat="1" ht="20.1" customHeight="1" spans="1:5">
      <c r="A7" s="70"/>
      <c r="B7" s="71"/>
      <c r="C7" s="71"/>
      <c r="D7" s="72"/>
      <c r="E7" s="72"/>
    </row>
    <row r="8" s="61" customFormat="1" ht="20.1" customHeight="1" spans="1:5">
      <c r="A8" s="73"/>
      <c r="B8" s="74"/>
      <c r="C8" s="74"/>
      <c r="D8" s="72"/>
      <c r="E8" s="72"/>
    </row>
    <row r="9" s="61" customFormat="1" ht="20.1" customHeight="1" spans="1:5">
      <c r="A9" s="75"/>
      <c r="B9" s="75"/>
      <c r="C9" s="75"/>
      <c r="D9" s="72"/>
      <c r="E9" s="72"/>
    </row>
    <row r="10" s="61" customFormat="1" ht="20.1" customHeight="1" spans="1:5">
      <c r="A10" s="75"/>
      <c r="B10" s="75"/>
      <c r="C10" s="75"/>
      <c r="D10" s="72"/>
      <c r="E10" s="72"/>
    </row>
    <row r="11" s="61" customFormat="1" ht="20.1" customHeight="1" spans="1:5">
      <c r="A11" s="75"/>
      <c r="B11" s="75"/>
      <c r="C11" s="75"/>
      <c r="D11" s="72"/>
      <c r="E11" s="72"/>
    </row>
    <row r="12" s="61" customFormat="1" ht="20.1" customHeight="1" spans="1:5">
      <c r="A12" s="75"/>
      <c r="B12" s="75"/>
      <c r="C12" s="75"/>
      <c r="D12" s="72"/>
      <c r="E12" s="72"/>
    </row>
    <row r="13" s="61" customFormat="1" ht="20.1" customHeight="1" spans="1:5">
      <c r="A13" s="75"/>
      <c r="B13" s="75"/>
      <c r="C13" s="75"/>
      <c r="D13" s="72"/>
      <c r="E13" s="72"/>
    </row>
    <row r="14" s="61" customFormat="1" ht="20.1" customHeight="1" spans="1:5">
      <c r="A14" s="72"/>
      <c r="B14" s="72"/>
      <c r="C14" s="72"/>
      <c r="D14" s="72"/>
      <c r="E14" s="72"/>
    </row>
    <row r="15" s="61" customFormat="1" ht="20.1" customHeight="1" spans="1:5">
      <c r="A15" s="72"/>
      <c r="B15" s="72"/>
      <c r="C15" s="72"/>
      <c r="D15" s="72"/>
      <c r="E15" s="72"/>
    </row>
    <row r="16" s="61" customFormat="1" ht="20.1" customHeight="1" spans="1:5">
      <c r="A16" s="72"/>
      <c r="B16" s="72"/>
      <c r="C16" s="72"/>
      <c r="D16" s="72"/>
      <c r="E16" s="72"/>
    </row>
    <row r="17" s="61" customFormat="1" ht="20.1" customHeight="1" spans="1:5">
      <c r="A17" s="72"/>
      <c r="B17" s="72"/>
      <c r="C17" s="72"/>
      <c r="D17" s="72"/>
      <c r="E17" s="72"/>
    </row>
    <row r="18" s="61" customFormat="1" ht="20.1" customHeight="1" spans="1:5">
      <c r="A18" s="72"/>
      <c r="B18" s="72"/>
      <c r="C18" s="72"/>
      <c r="D18" s="72"/>
      <c r="E18" s="72"/>
    </row>
    <row r="19" s="61" customFormat="1" ht="20.1" customHeight="1" spans="1:5">
      <c r="A19" s="72"/>
      <c r="B19" s="72"/>
      <c r="C19" s="72"/>
      <c r="D19" s="72"/>
      <c r="E19" s="72"/>
    </row>
    <row r="20" s="61" customFormat="1" ht="20.1" customHeight="1" spans="1:5">
      <c r="A20" s="72"/>
      <c r="B20" s="72"/>
      <c r="C20" s="72"/>
      <c r="D20" s="72"/>
      <c r="E20" s="72"/>
    </row>
    <row r="21" s="61" customFormat="1" ht="20.1" customHeight="1" spans="1:5">
      <c r="A21" s="72"/>
      <c r="B21" s="72"/>
      <c r="C21" s="72"/>
      <c r="D21" s="72"/>
      <c r="E21" s="72"/>
    </row>
    <row r="22" s="61" customFormat="1" ht="18.6" customHeight="1" spans="1:5">
      <c r="A22" s="76" t="s">
        <v>94</v>
      </c>
      <c r="B22" s="76"/>
      <c r="C22" s="76"/>
      <c r="D22" s="76"/>
      <c r="E22" s="77"/>
    </row>
    <row r="23" s="61" customFormat="1" ht="18.6" customHeight="1" spans="1:5">
      <c r="A23" s="78" t="s">
        <v>95</v>
      </c>
      <c r="B23" s="78"/>
      <c r="C23" s="78"/>
      <c r="D23" s="78"/>
      <c r="E23" s="77"/>
    </row>
    <row r="24" s="61" customFormat="1" ht="18.6" customHeight="1" spans="1:4">
      <c r="A24" s="79"/>
      <c r="B24" s="79"/>
      <c r="C24" s="79"/>
      <c r="D24" s="79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D7" sqref="D7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49" t="s">
        <v>96</v>
      </c>
      <c r="B1" s="16"/>
      <c r="C1" s="16"/>
    </row>
    <row r="2" ht="37.15" customHeight="1" spans="1:3">
      <c r="A2" s="50" t="s">
        <v>97</v>
      </c>
      <c r="B2" s="50"/>
      <c r="C2" s="50"/>
    </row>
    <row r="3" s="48" customFormat="1" ht="18" customHeight="1" spans="1:3">
      <c r="A3" s="51"/>
      <c r="B3" s="52"/>
      <c r="C3" s="53" t="s">
        <v>2</v>
      </c>
    </row>
    <row r="4" ht="31.5" customHeight="1" spans="1:3">
      <c r="A4" s="54" t="s">
        <v>35</v>
      </c>
      <c r="B4" s="55" t="s">
        <v>36</v>
      </c>
      <c r="C4" s="56" t="s">
        <v>6</v>
      </c>
    </row>
    <row r="5" ht="20.1" customHeight="1" spans="1:3">
      <c r="A5" s="55" t="s">
        <v>98</v>
      </c>
      <c r="B5" s="55" t="s">
        <v>99</v>
      </c>
      <c r="C5" s="57">
        <f>SUM(C6:C15)</f>
        <v>701.05</v>
      </c>
    </row>
    <row r="6" ht="20.1" customHeight="1" spans="1:3">
      <c r="A6" s="58" t="s">
        <v>100</v>
      </c>
      <c r="B6" s="58" t="s">
        <v>101</v>
      </c>
      <c r="C6" s="59">
        <v>432.95</v>
      </c>
    </row>
    <row r="7" ht="20.1" customHeight="1" spans="1:3">
      <c r="A7" s="58" t="s">
        <v>102</v>
      </c>
      <c r="B7" s="58" t="s">
        <v>103</v>
      </c>
      <c r="C7" s="59">
        <v>152.82</v>
      </c>
    </row>
    <row r="8" ht="20.1" customHeight="1" spans="1:3">
      <c r="A8" s="58" t="s">
        <v>104</v>
      </c>
      <c r="B8" s="58" t="s">
        <v>105</v>
      </c>
      <c r="C8" s="59">
        <v>115.28</v>
      </c>
    </row>
    <row r="9" ht="20.1" customHeight="1" spans="1:3">
      <c r="A9" s="58" t="s">
        <v>106</v>
      </c>
      <c r="B9" s="58" t="s">
        <v>107</v>
      </c>
      <c r="C9" s="59" t="s">
        <v>99</v>
      </c>
    </row>
    <row r="10" ht="20.1" customHeight="1" spans="1:3">
      <c r="A10" s="58" t="s">
        <v>108</v>
      </c>
      <c r="B10" s="58" t="s">
        <v>109</v>
      </c>
      <c r="C10" s="59" t="s">
        <v>99</v>
      </c>
    </row>
    <row r="11" ht="20.1" customHeight="1" spans="1:3">
      <c r="A11" s="58" t="s">
        <v>110</v>
      </c>
      <c r="B11" s="58" t="s">
        <v>111</v>
      </c>
      <c r="C11" s="59" t="s">
        <v>99</v>
      </c>
    </row>
    <row r="12" ht="20.1" customHeight="1" spans="1:3">
      <c r="A12" s="58" t="s">
        <v>112</v>
      </c>
      <c r="B12" s="58" t="s">
        <v>113</v>
      </c>
      <c r="C12" s="59" t="s">
        <v>99</v>
      </c>
    </row>
    <row r="13" ht="20.1" customHeight="1" spans="1:3">
      <c r="A13" s="58" t="s">
        <v>114</v>
      </c>
      <c r="B13" s="58" t="s">
        <v>115</v>
      </c>
      <c r="C13" s="59" t="s">
        <v>99</v>
      </c>
    </row>
    <row r="14" ht="20.1" customHeight="1" spans="1:3">
      <c r="A14" s="58" t="s">
        <v>116</v>
      </c>
      <c r="B14" s="58" t="s">
        <v>117</v>
      </c>
      <c r="C14" s="60"/>
    </row>
    <row r="15" ht="20.1" customHeight="1" spans="1:3">
      <c r="A15" s="58" t="s">
        <v>118</v>
      </c>
      <c r="B15" s="58" t="s">
        <v>119</v>
      </c>
      <c r="C15" s="60"/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opLeftCell="A7" workbookViewId="0">
      <selection activeCell="C6" sqref="C6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33" t="s">
        <v>120</v>
      </c>
      <c r="B1" s="34"/>
      <c r="C1" s="35"/>
    </row>
    <row r="2" ht="33.75" customHeight="1" spans="1:3">
      <c r="A2" s="36" t="s">
        <v>121</v>
      </c>
      <c r="B2" s="36"/>
      <c r="C2" s="36"/>
    </row>
    <row r="3" ht="21" customHeight="1" spans="1:3">
      <c r="A3" s="37"/>
      <c r="B3" s="38" t="s">
        <v>2</v>
      </c>
      <c r="C3" s="38"/>
    </row>
    <row r="4" ht="20.1" customHeight="1" spans="1:3">
      <c r="A4" s="39" t="s">
        <v>122</v>
      </c>
      <c r="B4" s="40" t="s">
        <v>36</v>
      </c>
      <c r="C4" s="40" t="s">
        <v>6</v>
      </c>
    </row>
    <row r="5" ht="20.1" customHeight="1" spans="1:3">
      <c r="A5" s="40" t="s">
        <v>98</v>
      </c>
      <c r="B5" s="40" t="s">
        <v>99</v>
      </c>
      <c r="C5" s="41">
        <f>SUM(C6,C20,C48,C60,C65,C78,C95,C98,C104,C107)</f>
        <v>701.05</v>
      </c>
    </row>
    <row r="6" s="32" customFormat="1" ht="20.1" customHeight="1" spans="1:3">
      <c r="A6" s="42" t="s">
        <v>100</v>
      </c>
      <c r="B6" s="42" t="s">
        <v>101</v>
      </c>
      <c r="C6" s="41">
        <f>SUM(C7:C19)</f>
        <v>432.95</v>
      </c>
    </row>
    <row r="7" ht="20.1" customHeight="1" spans="1:3">
      <c r="A7" s="43" t="s">
        <v>123</v>
      </c>
      <c r="B7" s="43" t="s">
        <v>124</v>
      </c>
      <c r="C7" s="44">
        <v>80.25</v>
      </c>
    </row>
    <row r="8" ht="20.1" customHeight="1" spans="1:3">
      <c r="A8" s="43" t="s">
        <v>125</v>
      </c>
      <c r="B8" s="43" t="s">
        <v>126</v>
      </c>
      <c r="C8" s="44">
        <v>102.48</v>
      </c>
    </row>
    <row r="9" ht="20.1" customHeight="1" spans="1:3">
      <c r="A9" s="43" t="s">
        <v>127</v>
      </c>
      <c r="B9" s="43" t="s">
        <v>128</v>
      </c>
      <c r="C9" s="44">
        <v>63.06</v>
      </c>
    </row>
    <row r="10" ht="20.1" customHeight="1" spans="1:3">
      <c r="A10" s="43" t="s">
        <v>129</v>
      </c>
      <c r="B10" s="43" t="s">
        <v>130</v>
      </c>
      <c r="C10" s="44">
        <v>16</v>
      </c>
    </row>
    <row r="11" ht="20.1" customHeight="1" spans="1:3">
      <c r="A11" s="43" t="s">
        <v>131</v>
      </c>
      <c r="B11" s="43" t="s">
        <v>132</v>
      </c>
      <c r="C11" s="44">
        <v>8.22</v>
      </c>
    </row>
    <row r="12" ht="20.1" customHeight="1" spans="1:3">
      <c r="A12" s="43" t="s">
        <v>133</v>
      </c>
      <c r="B12" s="43" t="s">
        <v>134</v>
      </c>
      <c r="C12" s="44">
        <v>39.87</v>
      </c>
    </row>
    <row r="13" ht="20.1" customHeight="1" spans="1:3">
      <c r="A13" s="43" t="s">
        <v>135</v>
      </c>
      <c r="B13" s="43" t="s">
        <v>136</v>
      </c>
      <c r="C13" s="44">
        <v>0</v>
      </c>
    </row>
    <row r="14" ht="20.1" customHeight="1" spans="1:3">
      <c r="A14" s="43" t="s">
        <v>137</v>
      </c>
      <c r="B14" s="43" t="s">
        <v>138</v>
      </c>
      <c r="C14" s="44">
        <v>15.95</v>
      </c>
    </row>
    <row r="15" ht="20.1" customHeight="1" spans="1:3">
      <c r="A15" s="43" t="s">
        <v>139</v>
      </c>
      <c r="B15" s="43" t="s">
        <v>140</v>
      </c>
      <c r="C15" s="44" t="s">
        <v>99</v>
      </c>
    </row>
    <row r="16" ht="20.1" customHeight="1" spans="1:3">
      <c r="A16" s="43" t="s">
        <v>141</v>
      </c>
      <c r="B16" s="43" t="s">
        <v>142</v>
      </c>
      <c r="C16" s="44">
        <v>1.68</v>
      </c>
    </row>
    <row r="17" ht="20.1" customHeight="1" spans="1:3">
      <c r="A17" s="43" t="s">
        <v>143</v>
      </c>
      <c r="B17" s="43" t="s">
        <v>144</v>
      </c>
      <c r="C17" s="44">
        <v>38.16</v>
      </c>
    </row>
    <row r="18" ht="20.1" customHeight="1" spans="1:3">
      <c r="A18" s="43" t="s">
        <v>145</v>
      </c>
      <c r="B18" s="43" t="s">
        <v>146</v>
      </c>
      <c r="C18" s="44" t="s">
        <v>99</v>
      </c>
    </row>
    <row r="19" ht="20.1" customHeight="1" spans="1:3">
      <c r="A19" s="43" t="s">
        <v>147</v>
      </c>
      <c r="B19" s="43" t="s">
        <v>148</v>
      </c>
      <c r="C19" s="44">
        <v>67.28</v>
      </c>
    </row>
    <row r="20" s="32" customFormat="1" ht="20.1" customHeight="1" spans="1:3">
      <c r="A20" s="42" t="s">
        <v>102</v>
      </c>
      <c r="B20" s="42" t="s">
        <v>103</v>
      </c>
      <c r="C20" s="41">
        <f>SUM(C21:C47)</f>
        <v>152.82</v>
      </c>
    </row>
    <row r="21" ht="20.1" customHeight="1" spans="1:3">
      <c r="A21" s="43" t="s">
        <v>149</v>
      </c>
      <c r="B21" s="43" t="s">
        <v>150</v>
      </c>
      <c r="C21" s="44">
        <v>24.62</v>
      </c>
    </row>
    <row r="22" ht="20.1" customHeight="1" spans="1:3">
      <c r="A22" s="43" t="s">
        <v>151</v>
      </c>
      <c r="B22" s="43" t="s">
        <v>152</v>
      </c>
      <c r="C22" s="44"/>
    </row>
    <row r="23" ht="20.1" customHeight="1" spans="1:3">
      <c r="A23" s="43" t="s">
        <v>153</v>
      </c>
      <c r="B23" s="43" t="s">
        <v>154</v>
      </c>
      <c r="C23" s="44" t="s">
        <v>99</v>
      </c>
    </row>
    <row r="24" ht="20.1" customHeight="1" spans="1:3">
      <c r="A24" s="43" t="s">
        <v>155</v>
      </c>
      <c r="B24" s="45" t="s">
        <v>156</v>
      </c>
      <c r="C24" s="44" t="s">
        <v>99</v>
      </c>
    </row>
    <row r="25" ht="20.1" customHeight="1" spans="1:3">
      <c r="A25" s="43" t="s">
        <v>157</v>
      </c>
      <c r="B25" s="43" t="s">
        <v>158</v>
      </c>
      <c r="C25" s="44" t="s">
        <v>99</v>
      </c>
    </row>
    <row r="26" ht="20.1" customHeight="1" spans="1:3">
      <c r="A26" s="43" t="s">
        <v>159</v>
      </c>
      <c r="B26" s="43" t="s">
        <v>160</v>
      </c>
      <c r="C26" s="44" t="s">
        <v>99</v>
      </c>
    </row>
    <row r="27" ht="20.1" customHeight="1" spans="1:3">
      <c r="A27" s="43" t="s">
        <v>161</v>
      </c>
      <c r="B27" s="43" t="s">
        <v>162</v>
      </c>
      <c r="C27" s="44" t="s">
        <v>99</v>
      </c>
    </row>
    <row r="28" ht="20.1" customHeight="1" spans="1:3">
      <c r="A28" s="43" t="s">
        <v>163</v>
      </c>
      <c r="B28" s="43" t="s">
        <v>164</v>
      </c>
      <c r="C28" s="44" t="s">
        <v>99</v>
      </c>
    </row>
    <row r="29" ht="20.1" customHeight="1" spans="1:3">
      <c r="A29" s="43" t="s">
        <v>165</v>
      </c>
      <c r="B29" s="43" t="s">
        <v>166</v>
      </c>
      <c r="C29" s="44" t="s">
        <v>99</v>
      </c>
    </row>
    <row r="30" ht="20.1" customHeight="1" spans="1:3">
      <c r="A30" s="43" t="s">
        <v>167</v>
      </c>
      <c r="B30" s="43" t="s">
        <v>168</v>
      </c>
      <c r="C30" s="44">
        <v>26.06</v>
      </c>
    </row>
    <row r="31" ht="20.1" customHeight="1" spans="1:3">
      <c r="A31" s="43" t="s">
        <v>169</v>
      </c>
      <c r="B31" s="43" t="s">
        <v>170</v>
      </c>
      <c r="C31" s="44">
        <v>0</v>
      </c>
    </row>
    <row r="32" ht="20.1" customHeight="1" spans="1:3">
      <c r="A32" s="43" t="s">
        <v>171</v>
      </c>
      <c r="B32" s="43" t="s">
        <v>172</v>
      </c>
      <c r="C32" s="44"/>
    </row>
    <row r="33" ht="20.1" customHeight="1" spans="1:3">
      <c r="A33" s="43" t="s">
        <v>173</v>
      </c>
      <c r="B33" s="43" t="s">
        <v>174</v>
      </c>
      <c r="C33" s="44" t="s">
        <v>99</v>
      </c>
    </row>
    <row r="34" ht="20.1" customHeight="1" spans="1:3">
      <c r="A34" s="43" t="s">
        <v>175</v>
      </c>
      <c r="B34" s="43" t="s">
        <v>176</v>
      </c>
      <c r="C34" s="44"/>
    </row>
    <row r="35" ht="20.1" customHeight="1" spans="1:3">
      <c r="A35" s="43" t="s">
        <v>177</v>
      </c>
      <c r="B35" s="43" t="s">
        <v>178</v>
      </c>
      <c r="C35" s="44"/>
    </row>
    <row r="36" ht="20.1" customHeight="1" spans="1:3">
      <c r="A36" s="43" t="s">
        <v>179</v>
      </c>
      <c r="B36" s="43" t="s">
        <v>180</v>
      </c>
      <c r="C36" s="44">
        <v>1.5</v>
      </c>
    </row>
    <row r="37" ht="20.1" customHeight="1" spans="1:3">
      <c r="A37" s="43" t="s">
        <v>181</v>
      </c>
      <c r="B37" s="43" t="s">
        <v>182</v>
      </c>
      <c r="C37" s="44" t="s">
        <v>99</v>
      </c>
    </row>
    <row r="38" ht="20.1" customHeight="1" spans="1:3">
      <c r="A38" s="43" t="s">
        <v>183</v>
      </c>
      <c r="B38" s="43" t="s">
        <v>184</v>
      </c>
      <c r="C38" s="44" t="s">
        <v>99</v>
      </c>
    </row>
    <row r="39" ht="20.1" customHeight="1" spans="1:3">
      <c r="A39" s="43" t="s">
        <v>185</v>
      </c>
      <c r="B39" s="43" t="s">
        <v>186</v>
      </c>
      <c r="C39" s="44" t="s">
        <v>99</v>
      </c>
    </row>
    <row r="40" ht="20.1" customHeight="1" spans="1:3">
      <c r="A40" s="43" t="s">
        <v>187</v>
      </c>
      <c r="B40" s="43" t="s">
        <v>188</v>
      </c>
      <c r="C40" s="44" t="s">
        <v>99</v>
      </c>
    </row>
    <row r="41" ht="20.1" customHeight="1" spans="1:3">
      <c r="A41" s="43" t="s">
        <v>189</v>
      </c>
      <c r="B41" s="43" t="s">
        <v>190</v>
      </c>
      <c r="C41" s="44" t="s">
        <v>99</v>
      </c>
    </row>
    <row r="42" ht="20.1" customHeight="1" spans="1:3">
      <c r="A42" s="43" t="s">
        <v>191</v>
      </c>
      <c r="B42" s="43" t="s">
        <v>49</v>
      </c>
      <c r="C42" s="44">
        <v>5.26</v>
      </c>
    </row>
    <row r="43" ht="20.1" customHeight="1" spans="1:3">
      <c r="A43" s="43" t="s">
        <v>192</v>
      </c>
      <c r="B43" s="43" t="s">
        <v>193</v>
      </c>
      <c r="C43" s="44" t="s">
        <v>99</v>
      </c>
    </row>
    <row r="44" ht="20.1" customHeight="1" spans="1:3">
      <c r="A44" s="43" t="s">
        <v>194</v>
      </c>
      <c r="B44" s="43" t="s">
        <v>195</v>
      </c>
      <c r="C44" s="44">
        <v>3</v>
      </c>
    </row>
    <row r="45" ht="20.1" customHeight="1" spans="1:3">
      <c r="A45" s="43" t="s">
        <v>196</v>
      </c>
      <c r="B45" s="43" t="s">
        <v>197</v>
      </c>
      <c r="C45" s="44"/>
    </row>
    <row r="46" ht="20.1" customHeight="1" spans="1:3">
      <c r="A46" s="43" t="s">
        <v>198</v>
      </c>
      <c r="B46" s="43" t="s">
        <v>199</v>
      </c>
      <c r="C46" s="44" t="s">
        <v>99</v>
      </c>
    </row>
    <row r="47" ht="20.1" customHeight="1" spans="1:3">
      <c r="A47" s="43" t="s">
        <v>200</v>
      </c>
      <c r="B47" s="43" t="s">
        <v>201</v>
      </c>
      <c r="C47" s="44">
        <v>92.38</v>
      </c>
    </row>
    <row r="48" s="32" customFormat="1" ht="20.1" customHeight="1" spans="1:3">
      <c r="A48" s="42" t="s">
        <v>104</v>
      </c>
      <c r="B48" s="42" t="s">
        <v>105</v>
      </c>
      <c r="C48" s="41">
        <f>SUM(C49:C59)</f>
        <v>115.28</v>
      </c>
    </row>
    <row r="49" ht="20.1" customHeight="1" spans="1:3">
      <c r="A49" s="43" t="s">
        <v>202</v>
      </c>
      <c r="B49" s="43" t="s">
        <v>203</v>
      </c>
      <c r="C49" s="44" t="s">
        <v>99</v>
      </c>
    </row>
    <row r="50" ht="20.1" customHeight="1" spans="1:3">
      <c r="A50" s="43" t="s">
        <v>204</v>
      </c>
      <c r="B50" s="43" t="s">
        <v>205</v>
      </c>
      <c r="C50" s="44" t="s">
        <v>99</v>
      </c>
    </row>
    <row r="51" ht="20.1" customHeight="1" spans="1:3">
      <c r="A51" s="43" t="s">
        <v>206</v>
      </c>
      <c r="B51" s="43" t="s">
        <v>207</v>
      </c>
      <c r="C51" s="44" t="s">
        <v>99</v>
      </c>
    </row>
    <row r="52" ht="20.1" customHeight="1" spans="1:3">
      <c r="A52" s="43" t="s">
        <v>208</v>
      </c>
      <c r="B52" s="43" t="s">
        <v>209</v>
      </c>
      <c r="C52" s="44" t="s">
        <v>99</v>
      </c>
    </row>
    <row r="53" ht="20.1" customHeight="1" spans="1:3">
      <c r="A53" s="43" t="s">
        <v>210</v>
      </c>
      <c r="B53" s="43" t="s">
        <v>211</v>
      </c>
      <c r="C53" s="44"/>
    </row>
    <row r="54" ht="20.1" customHeight="1" spans="1:3">
      <c r="A54" s="43" t="s">
        <v>212</v>
      </c>
      <c r="B54" s="43" t="s">
        <v>213</v>
      </c>
      <c r="C54" s="44" t="s">
        <v>99</v>
      </c>
    </row>
    <row r="55" ht="20.1" customHeight="1" spans="1:3">
      <c r="A55" s="43" t="s">
        <v>214</v>
      </c>
      <c r="B55" s="43" t="s">
        <v>215</v>
      </c>
      <c r="C55" s="44" t="s">
        <v>99</v>
      </c>
    </row>
    <row r="56" ht="20.1" customHeight="1" spans="1:3">
      <c r="A56" s="43" t="s">
        <v>216</v>
      </c>
      <c r="B56" s="43" t="s">
        <v>217</v>
      </c>
      <c r="C56" s="44" t="s">
        <v>99</v>
      </c>
    </row>
    <row r="57" ht="20.1" customHeight="1" spans="1:3">
      <c r="A57" s="43" t="s">
        <v>218</v>
      </c>
      <c r="B57" s="43" t="s">
        <v>219</v>
      </c>
      <c r="C57" s="44" t="s">
        <v>99</v>
      </c>
    </row>
    <row r="58" ht="20.1" customHeight="1" spans="1:3">
      <c r="A58" s="43" t="s">
        <v>220</v>
      </c>
      <c r="B58" s="43" t="s">
        <v>221</v>
      </c>
      <c r="C58" s="44" t="s">
        <v>99</v>
      </c>
    </row>
    <row r="59" ht="20.1" customHeight="1" spans="1:3">
      <c r="A59" s="43" t="s">
        <v>222</v>
      </c>
      <c r="B59" s="43" t="s">
        <v>223</v>
      </c>
      <c r="C59" s="44">
        <v>115.28</v>
      </c>
    </row>
    <row r="60" s="32" customFormat="1" ht="20.1" customHeight="1" spans="1:3">
      <c r="A60" s="42" t="s">
        <v>106</v>
      </c>
      <c r="B60" s="42" t="s">
        <v>107</v>
      </c>
      <c r="C60" s="41">
        <f>SUM(C61:C64)</f>
        <v>0</v>
      </c>
    </row>
    <row r="61" ht="20.1" customHeight="1" spans="1:3">
      <c r="A61" s="43" t="s">
        <v>224</v>
      </c>
      <c r="B61" s="43" t="s">
        <v>225</v>
      </c>
      <c r="C61" s="44" t="s">
        <v>99</v>
      </c>
    </row>
    <row r="62" ht="20.1" customHeight="1" spans="1:3">
      <c r="A62" s="43" t="s">
        <v>226</v>
      </c>
      <c r="B62" s="43" t="s">
        <v>227</v>
      </c>
      <c r="C62" s="44" t="s">
        <v>99</v>
      </c>
    </row>
    <row r="63" ht="20.1" customHeight="1" spans="1:3">
      <c r="A63" s="43" t="s">
        <v>228</v>
      </c>
      <c r="B63" s="43" t="s">
        <v>229</v>
      </c>
      <c r="C63" s="44" t="s">
        <v>99</v>
      </c>
    </row>
    <row r="64" ht="20.1" customHeight="1" spans="1:3">
      <c r="A64" s="43" t="s">
        <v>230</v>
      </c>
      <c r="B64" s="43" t="s">
        <v>231</v>
      </c>
      <c r="C64" s="44" t="s">
        <v>99</v>
      </c>
    </row>
    <row r="65" s="32" customFormat="1" ht="20.1" customHeight="1" spans="1:3">
      <c r="A65" s="42" t="s">
        <v>108</v>
      </c>
      <c r="B65" s="42" t="s">
        <v>109</v>
      </c>
      <c r="C65" s="41">
        <f>SUM(C66:C77)</f>
        <v>0</v>
      </c>
    </row>
    <row r="66" ht="20.1" customHeight="1" spans="1:3">
      <c r="A66" s="43" t="s">
        <v>232</v>
      </c>
      <c r="B66" s="43" t="s">
        <v>233</v>
      </c>
      <c r="C66" s="44" t="s">
        <v>99</v>
      </c>
    </row>
    <row r="67" ht="20.1" customHeight="1" spans="1:3">
      <c r="A67" s="43" t="s">
        <v>234</v>
      </c>
      <c r="B67" s="43" t="s">
        <v>235</v>
      </c>
      <c r="C67" s="44" t="s">
        <v>99</v>
      </c>
    </row>
    <row r="68" ht="20.1" customHeight="1" spans="1:3">
      <c r="A68" s="43" t="s">
        <v>236</v>
      </c>
      <c r="B68" s="43" t="s">
        <v>237</v>
      </c>
      <c r="C68" s="44" t="s">
        <v>99</v>
      </c>
    </row>
    <row r="69" ht="20.1" customHeight="1" spans="1:3">
      <c r="A69" s="43" t="s">
        <v>238</v>
      </c>
      <c r="B69" s="43" t="s">
        <v>239</v>
      </c>
      <c r="C69" s="44" t="s">
        <v>99</v>
      </c>
    </row>
    <row r="70" ht="20.1" customHeight="1" spans="1:3">
      <c r="A70" s="43" t="s">
        <v>240</v>
      </c>
      <c r="B70" s="43" t="s">
        <v>241</v>
      </c>
      <c r="C70" s="44" t="s">
        <v>99</v>
      </c>
    </row>
    <row r="71" ht="20.1" customHeight="1" spans="1:3">
      <c r="A71" s="43" t="s">
        <v>242</v>
      </c>
      <c r="B71" s="43" t="s">
        <v>243</v>
      </c>
      <c r="C71" s="44" t="s">
        <v>99</v>
      </c>
    </row>
    <row r="72" ht="20.1" customHeight="1" spans="1:3">
      <c r="A72" s="43" t="s">
        <v>244</v>
      </c>
      <c r="B72" s="43" t="s">
        <v>245</v>
      </c>
      <c r="C72" s="44" t="s">
        <v>99</v>
      </c>
    </row>
    <row r="73" ht="20.1" customHeight="1" spans="1:3">
      <c r="A73" s="43" t="s">
        <v>246</v>
      </c>
      <c r="B73" s="43" t="s">
        <v>247</v>
      </c>
      <c r="C73" s="44" t="s">
        <v>99</v>
      </c>
    </row>
    <row r="74" ht="20.1" customHeight="1" spans="1:3">
      <c r="A74" s="43" t="s">
        <v>248</v>
      </c>
      <c r="B74" s="43" t="s">
        <v>249</v>
      </c>
      <c r="C74" s="44" t="s">
        <v>99</v>
      </c>
    </row>
    <row r="75" ht="20.1" customHeight="1" spans="1:3">
      <c r="A75" s="43" t="s">
        <v>250</v>
      </c>
      <c r="B75" s="43" t="s">
        <v>251</v>
      </c>
      <c r="C75" s="44" t="s">
        <v>99</v>
      </c>
    </row>
    <row r="76" ht="20.1" customHeight="1" spans="1:3">
      <c r="A76" s="43" t="s">
        <v>252</v>
      </c>
      <c r="B76" s="43" t="s">
        <v>253</v>
      </c>
      <c r="C76" s="44" t="s">
        <v>99</v>
      </c>
    </row>
    <row r="77" ht="20.1" customHeight="1" spans="1:3">
      <c r="A77" s="43" t="s">
        <v>254</v>
      </c>
      <c r="B77" s="43" t="s">
        <v>255</v>
      </c>
      <c r="C77" s="44" t="s">
        <v>99</v>
      </c>
    </row>
    <row r="78" s="32" customFormat="1" ht="20.1" customHeight="1" spans="1:3">
      <c r="A78" s="42" t="s">
        <v>110</v>
      </c>
      <c r="B78" s="42" t="s">
        <v>111</v>
      </c>
      <c r="C78" s="41">
        <f>SUM(C79:C94)</f>
        <v>0</v>
      </c>
    </row>
    <row r="79" ht="20.1" customHeight="1" spans="1:3">
      <c r="A79" s="43" t="s">
        <v>256</v>
      </c>
      <c r="B79" s="43" t="s">
        <v>233</v>
      </c>
      <c r="C79" s="44" t="s">
        <v>99</v>
      </c>
    </row>
    <row r="80" ht="20.1" customHeight="1" spans="1:3">
      <c r="A80" s="43" t="s">
        <v>257</v>
      </c>
      <c r="B80" s="43" t="s">
        <v>235</v>
      </c>
      <c r="C80" s="44" t="s">
        <v>99</v>
      </c>
    </row>
    <row r="81" ht="20.1" customHeight="1" spans="1:3">
      <c r="A81" s="43" t="s">
        <v>258</v>
      </c>
      <c r="B81" s="43" t="s">
        <v>237</v>
      </c>
      <c r="C81" s="44" t="s">
        <v>99</v>
      </c>
    </row>
    <row r="82" ht="20.1" customHeight="1" spans="1:3">
      <c r="A82" s="43" t="s">
        <v>259</v>
      </c>
      <c r="B82" s="43" t="s">
        <v>239</v>
      </c>
      <c r="C82" s="46"/>
    </row>
    <row r="83" ht="20.1" customHeight="1" spans="1:3">
      <c r="A83" s="43" t="s">
        <v>260</v>
      </c>
      <c r="B83" s="43" t="s">
        <v>241</v>
      </c>
      <c r="C83" s="46"/>
    </row>
    <row r="84" ht="20.1" customHeight="1" spans="1:3">
      <c r="A84" s="43" t="s">
        <v>261</v>
      </c>
      <c r="B84" s="43" t="s">
        <v>243</v>
      </c>
      <c r="C84" s="46"/>
    </row>
    <row r="85" ht="20.1" customHeight="1" spans="1:3">
      <c r="A85" s="43" t="s">
        <v>262</v>
      </c>
      <c r="B85" s="43" t="s">
        <v>245</v>
      </c>
      <c r="C85" s="46"/>
    </row>
    <row r="86" ht="20.1" customHeight="1" spans="1:3">
      <c r="A86" s="43" t="s">
        <v>263</v>
      </c>
      <c r="B86" s="43" t="s">
        <v>264</v>
      </c>
      <c r="C86" s="46"/>
    </row>
    <row r="87" ht="20.1" customHeight="1" spans="1:3">
      <c r="A87" s="43" t="s">
        <v>265</v>
      </c>
      <c r="B87" s="43" t="s">
        <v>266</v>
      </c>
      <c r="C87" s="46"/>
    </row>
    <row r="88" ht="20.1" customHeight="1" spans="1:3">
      <c r="A88" s="43" t="s">
        <v>267</v>
      </c>
      <c r="B88" s="43" t="s">
        <v>268</v>
      </c>
      <c r="C88" s="46"/>
    </row>
    <row r="89" ht="20.1" customHeight="1" spans="1:3">
      <c r="A89" s="43" t="s">
        <v>269</v>
      </c>
      <c r="B89" s="45" t="s">
        <v>270</v>
      </c>
      <c r="C89" s="46"/>
    </row>
    <row r="90" ht="20.1" customHeight="1" spans="1:3">
      <c r="A90" s="43" t="s">
        <v>271</v>
      </c>
      <c r="B90" s="43" t="s">
        <v>247</v>
      </c>
      <c r="C90" s="46"/>
    </row>
    <row r="91" ht="20.1" customHeight="1" spans="1:3">
      <c r="A91" s="43" t="s">
        <v>272</v>
      </c>
      <c r="B91" s="43" t="s">
        <v>249</v>
      </c>
      <c r="C91" s="46"/>
    </row>
    <row r="92" ht="20.1" customHeight="1" spans="1:3">
      <c r="A92" s="43" t="s">
        <v>273</v>
      </c>
      <c r="B92" s="43" t="s">
        <v>251</v>
      </c>
      <c r="C92" s="46"/>
    </row>
    <row r="93" ht="20.1" customHeight="1" spans="1:3">
      <c r="A93" s="43" t="s">
        <v>274</v>
      </c>
      <c r="B93" s="43" t="s">
        <v>253</v>
      </c>
      <c r="C93" s="46"/>
    </row>
    <row r="94" ht="20.1" customHeight="1" spans="1:3">
      <c r="A94" s="43" t="s">
        <v>275</v>
      </c>
      <c r="B94" s="43" t="s">
        <v>276</v>
      </c>
      <c r="C94" s="46"/>
    </row>
    <row r="95" s="32" customFormat="1" ht="20.1" customHeight="1" spans="1:3">
      <c r="A95" s="42" t="s">
        <v>112</v>
      </c>
      <c r="B95" s="42" t="s">
        <v>113</v>
      </c>
      <c r="C95" s="47">
        <f>SUM(C96:C103)</f>
        <v>0</v>
      </c>
    </row>
    <row r="96" ht="20.1" customHeight="1" spans="1:3">
      <c r="A96" s="43" t="s">
        <v>277</v>
      </c>
      <c r="B96" s="43" t="s">
        <v>278</v>
      </c>
      <c r="C96" s="46"/>
    </row>
    <row r="97" ht="20.1" customHeight="1" spans="1:3">
      <c r="A97" s="43" t="s">
        <v>279</v>
      </c>
      <c r="B97" s="43" t="s">
        <v>280</v>
      </c>
      <c r="C97" s="46"/>
    </row>
    <row r="98" s="32" customFormat="1" ht="20.1" customHeight="1" spans="1:3">
      <c r="A98" s="42" t="s">
        <v>114</v>
      </c>
      <c r="B98" s="42" t="s">
        <v>115</v>
      </c>
      <c r="C98" s="47">
        <f>SUM(C99:C103)</f>
        <v>0</v>
      </c>
    </row>
    <row r="99" ht="20.1" customHeight="1" spans="1:3">
      <c r="A99" s="43" t="s">
        <v>281</v>
      </c>
      <c r="B99" s="43" t="s">
        <v>278</v>
      </c>
      <c r="C99" s="46"/>
    </row>
    <row r="100" ht="20.1" customHeight="1" spans="1:3">
      <c r="A100" s="43" t="s">
        <v>282</v>
      </c>
      <c r="B100" s="43" t="s">
        <v>283</v>
      </c>
      <c r="C100" s="46"/>
    </row>
    <row r="101" ht="20.1" customHeight="1" spans="1:3">
      <c r="A101" s="43" t="s">
        <v>284</v>
      </c>
      <c r="B101" s="43" t="s">
        <v>285</v>
      </c>
      <c r="C101" s="46"/>
    </row>
    <row r="102" ht="20.1" customHeight="1" spans="1:3">
      <c r="A102" s="43" t="s">
        <v>286</v>
      </c>
      <c r="B102" s="43" t="s">
        <v>287</v>
      </c>
      <c r="C102" s="46"/>
    </row>
    <row r="103" ht="20.1" customHeight="1" spans="1:3">
      <c r="A103" s="43" t="s">
        <v>288</v>
      </c>
      <c r="B103" s="43" t="s">
        <v>280</v>
      </c>
      <c r="C103" s="46"/>
    </row>
    <row r="104" s="32" customFormat="1" ht="20.1" customHeight="1" spans="1:3">
      <c r="A104" s="42" t="s">
        <v>116</v>
      </c>
      <c r="B104" s="42" t="s">
        <v>117</v>
      </c>
      <c r="C104" s="47">
        <f>SUM(C105:C106)</f>
        <v>0</v>
      </c>
    </row>
    <row r="105" ht="20.1" customHeight="1" spans="1:3">
      <c r="A105" s="43" t="s">
        <v>289</v>
      </c>
      <c r="B105" s="43" t="s">
        <v>290</v>
      </c>
      <c r="C105" s="46"/>
    </row>
    <row r="106" ht="20.1" customHeight="1" spans="1:3">
      <c r="A106" s="43" t="s">
        <v>291</v>
      </c>
      <c r="B106" s="43" t="s">
        <v>292</v>
      </c>
      <c r="C106" s="46"/>
    </row>
    <row r="107" s="32" customFormat="1" ht="20.1" customHeight="1" spans="1:3">
      <c r="A107" s="42" t="s">
        <v>118</v>
      </c>
      <c r="B107" s="42" t="s">
        <v>119</v>
      </c>
      <c r="C107" s="47">
        <f>SUM(C108:C111)</f>
        <v>0</v>
      </c>
    </row>
    <row r="108" ht="20.1" customHeight="1" spans="1:3">
      <c r="A108" s="43" t="s">
        <v>293</v>
      </c>
      <c r="B108" s="43" t="s">
        <v>294</v>
      </c>
      <c r="C108" s="46"/>
    </row>
    <row r="109" ht="20.1" customHeight="1" spans="1:3">
      <c r="A109" s="43" t="s">
        <v>295</v>
      </c>
      <c r="B109" s="43" t="s">
        <v>296</v>
      </c>
      <c r="C109" s="46"/>
    </row>
    <row r="110" ht="20.1" customHeight="1" spans="1:3">
      <c r="A110" s="43" t="s">
        <v>297</v>
      </c>
      <c r="B110" s="43" t="s">
        <v>298</v>
      </c>
      <c r="C110" s="46"/>
    </row>
    <row r="111" ht="20.1" customHeight="1" spans="1:3">
      <c r="A111" s="43" t="s">
        <v>299</v>
      </c>
      <c r="B111" s="43" t="s">
        <v>119</v>
      </c>
      <c r="C111" s="46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F9" sqref="F9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24" t="s">
        <v>300</v>
      </c>
      <c r="B1" s="25"/>
    </row>
    <row r="2" ht="28.5" customHeight="1" spans="1:2">
      <c r="A2" s="26" t="s">
        <v>301</v>
      </c>
      <c r="B2" s="26"/>
    </row>
    <row r="3" ht="18" customHeight="1" spans="1:2">
      <c r="A3" s="27"/>
      <c r="B3" s="28" t="s">
        <v>2</v>
      </c>
    </row>
    <row r="4" ht="20.1" customHeight="1" spans="1:2">
      <c r="A4" s="29" t="s">
        <v>302</v>
      </c>
      <c r="B4" s="29" t="s">
        <v>6</v>
      </c>
    </row>
    <row r="5" ht="20.1" customHeight="1" spans="1:2">
      <c r="A5" s="29" t="s">
        <v>37</v>
      </c>
      <c r="B5" s="30">
        <f>SUM(B6:B8)</f>
        <v>4.5</v>
      </c>
    </row>
    <row r="6" ht="20.1" customHeight="1" spans="1:2">
      <c r="A6" s="30" t="s">
        <v>303</v>
      </c>
      <c r="B6" s="30">
        <v>0</v>
      </c>
    </row>
    <row r="7" ht="20.1" customHeight="1" spans="1:2">
      <c r="A7" s="30" t="s">
        <v>304</v>
      </c>
      <c r="B7" s="30">
        <v>1.5</v>
      </c>
    </row>
    <row r="8" ht="20.1" customHeight="1" spans="1:2">
      <c r="A8" s="30" t="s">
        <v>305</v>
      </c>
      <c r="B8" s="30">
        <v>3</v>
      </c>
    </row>
    <row r="9" ht="20.1" customHeight="1" spans="1:2">
      <c r="A9" s="31" t="s">
        <v>306</v>
      </c>
      <c r="B9" s="30">
        <v>3</v>
      </c>
    </row>
    <row r="10" ht="20.1" customHeight="1" spans="1:2">
      <c r="A10" s="31" t="s">
        <v>307</v>
      </c>
      <c r="B10" s="30">
        <v>0</v>
      </c>
    </row>
    <row r="11" ht="46.5" customHeight="1" spans="1:2">
      <c r="A11" s="13" t="s">
        <v>308</v>
      </c>
      <c r="B11" s="13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A2" sqref="A2:K2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4" t="s">
        <v>309</v>
      </c>
    </row>
    <row r="2" ht="26.25" customHeight="1" spans="1:11">
      <c r="A2" s="15" t="s">
        <v>310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23.25" customHeight="1" spans="1:11">
      <c r="A3" s="16"/>
      <c r="B3" s="16"/>
      <c r="C3" s="16"/>
      <c r="D3" s="16"/>
      <c r="E3" s="16"/>
      <c r="F3" s="16"/>
      <c r="G3" s="16"/>
      <c r="H3" s="16"/>
      <c r="I3" s="16"/>
      <c r="J3" s="16"/>
      <c r="K3" s="23" t="s">
        <v>2</v>
      </c>
    </row>
    <row r="4" ht="20.1" customHeight="1" spans="1:11">
      <c r="A4" s="17" t="s">
        <v>311</v>
      </c>
      <c r="B4" s="17" t="s">
        <v>312</v>
      </c>
      <c r="C4" s="17" t="s">
        <v>313</v>
      </c>
      <c r="D4" s="17" t="s">
        <v>314</v>
      </c>
      <c r="E4" s="17" t="s">
        <v>315</v>
      </c>
      <c r="F4" s="17" t="s">
        <v>316</v>
      </c>
      <c r="G4" s="17" t="s">
        <v>317</v>
      </c>
      <c r="H4" s="18" t="s">
        <v>318</v>
      </c>
      <c r="I4" s="18"/>
      <c r="J4" s="18"/>
      <c r="K4" s="17" t="s">
        <v>319</v>
      </c>
    </row>
    <row r="5" ht="36.75" customHeight="1" spans="1:11">
      <c r="A5" s="19"/>
      <c r="B5" s="19"/>
      <c r="C5" s="19"/>
      <c r="D5" s="19"/>
      <c r="E5" s="19"/>
      <c r="F5" s="19"/>
      <c r="G5" s="19"/>
      <c r="H5" s="18" t="s">
        <v>320</v>
      </c>
      <c r="I5" s="18" t="s">
        <v>321</v>
      </c>
      <c r="J5" s="18" t="s">
        <v>322</v>
      </c>
      <c r="K5" s="19"/>
    </row>
    <row r="6" ht="20.1" customHeight="1" spans="1:1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ht="20.1" customHeight="1" spans="1:1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ht="20.1" customHeight="1" spans="1:1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ht="20.1" customHeight="1" spans="1:1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ht="20.1" customHeight="1" spans="1:1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ht="20.1" customHeight="1" spans="1: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ht="20.1" customHeight="1" spans="1:1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ht="20.1" customHeight="1" spans="1:1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ht="184.15" customHeight="1" spans="1:11">
      <c r="A14" s="21" t="s">
        <v>323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4"/>
  <sheetViews>
    <sheetView workbookViewId="0">
      <selection activeCell="A2" sqref="A2:D2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" t="s">
        <v>324</v>
      </c>
      <c r="B1" s="1"/>
      <c r="C1" s="1"/>
      <c r="D1" s="1"/>
    </row>
    <row r="2" ht="34.9" customHeight="1" spans="1:4">
      <c r="A2" s="3" t="s">
        <v>325</v>
      </c>
      <c r="B2" s="3"/>
      <c r="C2" s="3"/>
      <c r="D2" s="3"/>
    </row>
    <row r="3" ht="86.25" customHeight="1" spans="1:4">
      <c r="A3" s="4" t="s">
        <v>326</v>
      </c>
      <c r="B3" s="6" t="s">
        <v>327</v>
      </c>
      <c r="C3" s="6"/>
      <c r="D3" s="6"/>
    </row>
    <row r="4" ht="20.1" customHeight="1" spans="1:4">
      <c r="A4" s="4" t="s">
        <v>328</v>
      </c>
      <c r="B4" s="4" t="s">
        <v>329</v>
      </c>
      <c r="C4" s="4" t="s">
        <v>330</v>
      </c>
      <c r="D4" s="4" t="s">
        <v>331</v>
      </c>
    </row>
    <row r="5" ht="20.1" customHeight="1" spans="1:4">
      <c r="A5" s="4"/>
      <c r="B5" s="7" t="s">
        <v>332</v>
      </c>
      <c r="C5" s="8" t="s">
        <v>333</v>
      </c>
      <c r="D5" s="9"/>
    </row>
    <row r="6" ht="20.1" customHeight="1" spans="1:4">
      <c r="A6" s="4"/>
      <c r="B6" s="10"/>
      <c r="C6" s="8" t="s">
        <v>334</v>
      </c>
      <c r="D6" s="9"/>
    </row>
    <row r="7" ht="20.1" customHeight="1" spans="1:4">
      <c r="A7" s="4"/>
      <c r="B7" s="11"/>
      <c r="C7" s="8" t="s">
        <v>335</v>
      </c>
      <c r="D7" s="9"/>
    </row>
    <row r="8" ht="20.1" customHeight="1" spans="1:4">
      <c r="A8" s="4"/>
      <c r="B8" s="7" t="s">
        <v>336</v>
      </c>
      <c r="C8" s="8" t="s">
        <v>333</v>
      </c>
      <c r="D8" s="9"/>
    </row>
    <row r="9" ht="20.1" customHeight="1" spans="1:4">
      <c r="A9" s="4"/>
      <c r="B9" s="10"/>
      <c r="C9" s="8" t="s">
        <v>334</v>
      </c>
      <c r="D9" s="9"/>
    </row>
    <row r="10" ht="20.1" customHeight="1" spans="1:4">
      <c r="A10" s="4"/>
      <c r="B10" s="11"/>
      <c r="C10" s="8" t="s">
        <v>335</v>
      </c>
      <c r="D10" s="9"/>
    </row>
    <row r="11" ht="20.1" customHeight="1" spans="1:4">
      <c r="A11" s="4"/>
      <c r="B11" s="9" t="s">
        <v>337</v>
      </c>
      <c r="C11" s="8" t="s">
        <v>333</v>
      </c>
      <c r="D11" s="9"/>
    </row>
    <row r="12" ht="20.1" customHeight="1" spans="1:4">
      <c r="A12" s="4"/>
      <c r="B12" s="9"/>
      <c r="C12" s="8" t="s">
        <v>334</v>
      </c>
      <c r="D12" s="9"/>
    </row>
    <row r="13" ht="20.1" customHeight="1" spans="1:4">
      <c r="A13" s="4"/>
      <c r="B13" s="9"/>
      <c r="C13" s="8" t="s">
        <v>335</v>
      </c>
      <c r="D13" s="9"/>
    </row>
    <row r="14" ht="26.25" customHeight="1" spans="1:4">
      <c r="A14" s="13" t="s">
        <v>338</v>
      </c>
      <c r="B14" s="13"/>
      <c r="C14" s="13"/>
      <c r="D14" s="13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tabSelected="1" workbookViewId="0">
      <selection activeCell="A2" sqref="A2:D2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27.6" customHeight="1" spans="1:1">
      <c r="A1" s="2" t="s">
        <v>339</v>
      </c>
    </row>
    <row r="2" ht="40.15" customHeight="1" spans="1:4">
      <c r="A2" s="3" t="s">
        <v>340</v>
      </c>
      <c r="B2" s="3"/>
      <c r="C2" s="3"/>
      <c r="D2" s="3"/>
    </row>
    <row r="3" ht="20.25" customHeight="1" spans="1:4">
      <c r="A3" s="4" t="s">
        <v>341</v>
      </c>
      <c r="B3" s="5"/>
      <c r="C3" s="5"/>
      <c r="D3" s="5"/>
    </row>
    <row r="4" ht="87.75" customHeight="1" spans="1:4">
      <c r="A4" s="4" t="s">
        <v>342</v>
      </c>
      <c r="B4" s="6" t="s">
        <v>343</v>
      </c>
      <c r="C4" s="6"/>
      <c r="D4" s="6"/>
    </row>
    <row r="5" ht="23.45" customHeight="1" spans="1:4">
      <c r="A5" s="4" t="s">
        <v>328</v>
      </c>
      <c r="B5" s="4" t="s">
        <v>329</v>
      </c>
      <c r="C5" s="4" t="s">
        <v>330</v>
      </c>
      <c r="D5" s="4" t="s">
        <v>331</v>
      </c>
    </row>
    <row r="6" ht="23.45" customHeight="1" spans="1:4">
      <c r="A6" s="4"/>
      <c r="B6" s="7" t="s">
        <v>332</v>
      </c>
      <c r="C6" s="8" t="s">
        <v>333</v>
      </c>
      <c r="D6" s="9"/>
    </row>
    <row r="7" ht="23.45" customHeight="1" spans="1:4">
      <c r="A7" s="4"/>
      <c r="B7" s="10"/>
      <c r="C7" s="8" t="s">
        <v>334</v>
      </c>
      <c r="D7" s="9"/>
    </row>
    <row r="8" ht="23.45" customHeight="1" spans="1:6">
      <c r="A8" s="4"/>
      <c r="B8" s="11"/>
      <c r="C8" s="8" t="s">
        <v>335</v>
      </c>
      <c r="D8" s="9"/>
      <c r="F8" s="12"/>
    </row>
    <row r="9" ht="23.45" customHeight="1" spans="1:4">
      <c r="A9" s="4"/>
      <c r="B9" s="7" t="s">
        <v>336</v>
      </c>
      <c r="C9" s="8" t="s">
        <v>333</v>
      </c>
      <c r="D9" s="9"/>
    </row>
    <row r="10" ht="23.45" customHeight="1" spans="1:4">
      <c r="A10" s="4"/>
      <c r="B10" s="10"/>
      <c r="C10" s="8" t="s">
        <v>334</v>
      </c>
      <c r="D10" s="9"/>
    </row>
    <row r="11" ht="23.45" customHeight="1" spans="1:4">
      <c r="A11" s="4"/>
      <c r="B11" s="11"/>
      <c r="C11" s="8" t="s">
        <v>335</v>
      </c>
      <c r="D11" s="9"/>
    </row>
    <row r="12" ht="23.45" customHeight="1" spans="1:4">
      <c r="A12" s="4"/>
      <c r="B12" s="9" t="s">
        <v>337</v>
      </c>
      <c r="C12" s="8" t="s">
        <v>333</v>
      </c>
      <c r="D12" s="9"/>
    </row>
    <row r="13" ht="23.45" customHeight="1" spans="1:4">
      <c r="A13" s="4"/>
      <c r="B13" s="9"/>
      <c r="C13" s="8" t="s">
        <v>334</v>
      </c>
      <c r="D13" s="9"/>
    </row>
    <row r="14" ht="23.45" customHeight="1" spans="1:4">
      <c r="A14" s="4"/>
      <c r="B14" s="9"/>
      <c r="C14" s="8" t="s">
        <v>335</v>
      </c>
      <c r="D14" s="9"/>
    </row>
    <row r="15" ht="22.15" customHeight="1" spans="1:4">
      <c r="A15" s="13" t="s">
        <v>338</v>
      </c>
      <c r="B15" s="13"/>
      <c r="C15" s="13"/>
      <c r="D15" s="13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dcterms:created xsi:type="dcterms:W3CDTF">2008-01-10T09:59:00Z</dcterms:created>
  <cp:lastPrinted>2018-01-09T07:45:00Z</cp:lastPrinted>
  <dcterms:modified xsi:type="dcterms:W3CDTF">2018-04-17T10:02:03Z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