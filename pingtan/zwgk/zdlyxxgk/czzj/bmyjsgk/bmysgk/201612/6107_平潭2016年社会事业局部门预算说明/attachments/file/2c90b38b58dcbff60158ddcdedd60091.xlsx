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'公共财政预算总表（按类别）'!$A$1:$N$57</definedName>
    <definedName name="_xlnm.Print_Titles" localSheetId="0">'公共财政预算总表（按类别）'!$1:$6</definedName>
  </definedNames>
  <calcPr calcId="125725"/>
</workbook>
</file>

<file path=xl/calcChain.xml><?xml version="1.0" encoding="utf-8"?>
<calcChain xmlns="http://schemas.openxmlformats.org/spreadsheetml/2006/main">
  <c r="F7" i="1"/>
  <c r="G7"/>
  <c r="H7"/>
  <c r="J7"/>
  <c r="K7"/>
  <c r="L7"/>
  <c r="I53"/>
  <c r="I54"/>
  <c r="I55"/>
  <c r="E53"/>
  <c r="E54"/>
  <c r="E55"/>
  <c r="I50"/>
  <c r="I51"/>
  <c r="I52"/>
  <c r="I56"/>
  <c r="I57"/>
  <c r="E50"/>
  <c r="E51"/>
  <c r="D51" s="1"/>
  <c r="E52"/>
  <c r="I43"/>
  <c r="I44"/>
  <c r="I45"/>
  <c r="I46"/>
  <c r="I47"/>
  <c r="I48"/>
  <c r="I49"/>
  <c r="E28"/>
  <c r="E29"/>
  <c r="E30"/>
  <c r="E31"/>
  <c r="E32"/>
  <c r="E33"/>
  <c r="E34"/>
  <c r="E35"/>
  <c r="E36"/>
  <c r="E37"/>
  <c r="E38"/>
  <c r="E39"/>
  <c r="E40"/>
  <c r="E41"/>
  <c r="E42"/>
  <c r="E43"/>
  <c r="D43" s="1"/>
  <c r="E44"/>
  <c r="D44" s="1"/>
  <c r="E45"/>
  <c r="D45" s="1"/>
  <c r="E46"/>
  <c r="D46" s="1"/>
  <c r="E47"/>
  <c r="D47" s="1"/>
  <c r="E48"/>
  <c r="D48" s="1"/>
  <c r="E49"/>
  <c r="E56"/>
  <c r="D56" s="1"/>
  <c r="E57"/>
  <c r="D57" s="1"/>
  <c r="D49"/>
  <c r="I41"/>
  <c r="I40"/>
  <c r="D40" s="1"/>
  <c r="I39"/>
  <c r="I38"/>
  <c r="D38" s="1"/>
  <c r="I37"/>
  <c r="I36"/>
  <c r="D36" s="1"/>
  <c r="I35"/>
  <c r="I34"/>
  <c r="D34" s="1"/>
  <c r="I33"/>
  <c r="I32"/>
  <c r="D32" s="1"/>
  <c r="I31"/>
  <c r="I17"/>
  <c r="I18"/>
  <c r="I19"/>
  <c r="I20"/>
  <c r="I21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I9"/>
  <c r="I10"/>
  <c r="I11"/>
  <c r="I12"/>
  <c r="I13"/>
  <c r="I14"/>
  <c r="I15"/>
  <c r="I16"/>
  <c r="I22"/>
  <c r="I23"/>
  <c r="D23" s="1"/>
  <c r="I24"/>
  <c r="I25"/>
  <c r="D25" s="1"/>
  <c r="I26"/>
  <c r="D26" s="1"/>
  <c r="I27"/>
  <c r="D27" s="1"/>
  <c r="I28"/>
  <c r="D28" s="1"/>
  <c r="I29"/>
  <c r="I30"/>
  <c r="D30" s="1"/>
  <c r="I42"/>
  <c r="D42" s="1"/>
  <c r="I8"/>
  <c r="I7" s="1"/>
  <c r="E8"/>
  <c r="E7" l="1"/>
  <c r="D52"/>
  <c r="D50"/>
  <c r="D53"/>
  <c r="D55"/>
  <c r="D54"/>
  <c r="D29"/>
  <c r="D31"/>
  <c r="D33"/>
  <c r="D35"/>
  <c r="D37"/>
  <c r="D14"/>
  <c r="D10"/>
  <c r="D15"/>
  <c r="D13"/>
  <c r="D11"/>
  <c r="D9"/>
  <c r="D21"/>
  <c r="D19"/>
  <c r="D17"/>
  <c r="D39"/>
  <c r="D41"/>
  <c r="D16"/>
  <c r="D12"/>
  <c r="D24"/>
  <c r="D22"/>
  <c r="D20"/>
  <c r="D18"/>
  <c r="D8"/>
  <c r="D7" l="1"/>
</calcChain>
</file>

<file path=xl/sharedStrings.xml><?xml version="1.0" encoding="utf-8"?>
<sst xmlns="http://schemas.openxmlformats.org/spreadsheetml/2006/main" count="123" uniqueCount="71">
  <si>
    <t>部门发展</t>
  </si>
  <si>
    <t>社会发展</t>
  </si>
  <si>
    <t>合计</t>
  </si>
  <si>
    <t xml:space="preserve">      [2210201]住房公积金</t>
  </si>
  <si>
    <t xml:space="preserve">      [2210202]提租补贴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</si>
  <si>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</si>
  <si>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</si>
  <si>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</si>
  <si>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</si>
  <si>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</si>
  <si>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</si>
  <si>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</si>
  <si>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</si>
  <si>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</si>
  <si>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</si>
  <si>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</si>
  <si>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</si>
  <si>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</si>
  <si>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</si>
  <si>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</si>
  <si>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2016年部门预算支出预算总表</t>
    <phoneticPr fontId="0" type="noConversion"/>
  </si>
  <si>
    <t>平潭综合实验区社会事业局本级</t>
    <phoneticPr fontId="0" type="noConversion"/>
  </si>
  <si>
    <t xml:space="preserve">      [2050204]高中教育</t>
    <phoneticPr fontId="0" type="noConversion"/>
  </si>
  <si>
    <t xml:space="preserve">      [2050305]高等职业教育</t>
  </si>
  <si>
    <t xml:space="preserve">      [2060101]行政运行</t>
  </si>
  <si>
    <t xml:space="preserve">      [2060102]一般行政管理事务</t>
    <phoneticPr fontId="0" type="noConversion"/>
  </si>
  <si>
    <t xml:space="preserve">      [2070101]行政运行</t>
  </si>
  <si>
    <t xml:space="preserve">      [2070107]艺术表演团体</t>
  </si>
  <si>
    <t xml:space="preserve">      [2070205]博物馆</t>
  </si>
  <si>
    <t xml:space="preserve">      [2070206]历史名城与古迹</t>
  </si>
  <si>
    <t xml:space="preserve">      [2070301]行政运行</t>
  </si>
  <si>
    <t xml:space="preserve">      [2070305]体育竞赛</t>
  </si>
  <si>
    <t xml:space="preserve">      [2010301]行政运行</t>
    <phoneticPr fontId="0" type="noConversion"/>
  </si>
  <si>
    <t xml:space="preserve">      [2010302]一般行政管理事务</t>
    <phoneticPr fontId="0" type="noConversion"/>
  </si>
  <si>
    <t xml:space="preserve">      [2050202]小学教育</t>
    <phoneticPr fontId="0" type="noConversion"/>
  </si>
  <si>
    <t xml:space="preserve">      [2070307]体育场馆</t>
  </si>
  <si>
    <t xml:space="preserve">      [2070308]群众体育</t>
  </si>
  <si>
    <t xml:space="preserve">      [2070499]其他新闻出版广播影视支出</t>
  </si>
  <si>
    <t xml:space="preserve">      [2080101]行政运行</t>
  </si>
  <si>
    <t xml:space="preserve">      [2080112]劳动人事争议调节仲裁</t>
  </si>
  <si>
    <t xml:space="preserve">      [2080199]其他人力资源和社会保障管理事务支出</t>
  </si>
  <si>
    <t xml:space="preserve">      [2080201]行政运行</t>
  </si>
  <si>
    <t xml:space="preserve">      [2080204]拥军优属</t>
  </si>
  <si>
    <t xml:space="preserve">      [2080207]行政区划和地名管理</t>
  </si>
  <si>
    <t xml:space="preserve">      [2080801]死亡抚恤</t>
  </si>
  <si>
    <t xml:space="preserve">      [2080802]伤残抚恤</t>
  </si>
  <si>
    <t xml:space="preserve">      [2080803]在乡复员、退伍军人生活补助</t>
  </si>
  <si>
    <t xml:space="preserve">      [2080805]义务兵优待</t>
  </si>
  <si>
    <t xml:space="preserve">      [2080806]农村籍退役士兵老年生活补助</t>
  </si>
  <si>
    <t xml:space="preserve">      [2080899]其他优抚支出</t>
    <phoneticPr fontId="0" type="noConversion"/>
  </si>
  <si>
    <t xml:space="preserve">      [2080901]退役士兵安置</t>
  </si>
  <si>
    <t xml:space="preserve">      [2080999]其他退役安置支出</t>
  </si>
  <si>
    <t xml:space="preserve">      [2081001]儿童福利</t>
  </si>
  <si>
    <t xml:space="preserve">      [2081004]殡葬</t>
  </si>
  <si>
    <t xml:space="preserve">      [2081099]其他社会福利支出</t>
  </si>
  <si>
    <t xml:space="preserve">      [2081199]其他残疾人事业支出</t>
  </si>
  <si>
    <t xml:space="preserve">      [2081502]地方自然灾害生活补助</t>
  </si>
  <si>
    <t xml:space="preserve">      [2081901]城市最低生活保障金支出</t>
  </si>
  <si>
    <t xml:space="preserve">      [2081902]农村最低生活保障金支出</t>
  </si>
  <si>
    <t xml:space="preserve">      [2082001]临时救助支出</t>
    <phoneticPr fontId="0" type="noConversion"/>
  </si>
  <si>
    <t xml:space="preserve">      [2082002]流浪乞讨人员救助支出</t>
  </si>
  <si>
    <t xml:space="preserve">      [2082102]农村五保供养支出</t>
  </si>
  <si>
    <t xml:space="preserve">      [2082502]其他农村生活救助</t>
  </si>
  <si>
    <t xml:space="preserve">      [2089901]其他社会保障和就业支出</t>
  </si>
  <si>
    <t xml:space="preserve">      [2100504]优抚对象医疗补助</t>
  </si>
  <si>
    <t xml:space="preserve">      [2100506]新型农村合作医疗</t>
  </si>
  <si>
    <t xml:space="preserve">      [2100508]城镇居民基本医疗保险</t>
  </si>
  <si>
    <t xml:space="preserve">      [2100509]城乡医疗救助</t>
  </si>
  <si>
    <t xml:space="preserve">      [2120801]征地和拆迁补偿支出</t>
  </si>
  <si>
    <t xml:space="preserve">      [2120803]城市建设支出</t>
  </si>
  <si>
    <t>平潭综合实验区社会事业局本级</t>
    <phoneticPr fontId="0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</si>
</sst>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" fontId="0" fillId="0" borderId="6" xfId="0" applyNumberFormat="1" applyFill="1" applyBorder="1" applyAlignment="1">
      <alignment horizontal="right" vertical="center" wrapText="1"/>
    </xf>
    <xf numFmtId="49" fontId="4" fillId="0" borderId="8" xfId="1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center" wrapText="1"/>
    </xf>
    <xf numFmtId="4" fontId="0" fillId="0" borderId="3" xfId="0" applyNumberFormat="1" applyFill="1" applyBorder="1" applyAlignment="1">
      <alignment horizontal="righ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176" fontId="4" fillId="0" borderId="1" xfId="1" applyNumberFormat="1" applyFont="1" applyFill="1" applyBorder="1" applyAlignment="1">
      <alignment horizontal="right" vertical="center"/>
    </xf>
    <xf numFmtId="49" fontId="4" fillId="0" borderId="7" xfId="1" applyNumberFormat="1" applyFont="1" applyFill="1" applyBorder="1" applyAlignment="1">
      <alignment horizontal="left" vertical="center" wrapText="1"/>
    </xf>
    <xf numFmtId="176" fontId="4" fillId="0" borderId="1" xfId="1" applyNumberFormat="1" applyFont="1" applyFill="1" applyBorder="1" applyAlignment="1">
      <alignment horizontal="right" vertical="center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4" fillId="0" borderId="7" xfId="1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5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showGridLines="0" showZeros="0" tabSelected="1" topLeftCell="A16" workbookViewId="0">
      <selection activeCell="C25" sqref="C25"/>
    </sheetView>
  </sheetViews>
  <sheetFormatPr defaultRowHeight="11.25"/>
  <cols>
    <col min="1" max="1" width="12.6640625" customWidth="1"/>
    <col min="2" max="2" width="15.1640625" customWidth="1"/>
    <col min="3" max="3" width="39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1" width="11.1640625" customWidth="1"/>
    <col min="12" max="12" width="13.83203125" customWidth="1"/>
    <col min="13" max="13" width="9" customWidth="1"/>
    <col min="14" max="14" width="11.1640625" customWidth="1"/>
  </cols>
  <sheetData>
    <row r="1" spans="1:14" ht="11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47.25" customHeight="1">
      <c r="A2" s="7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2" t="s">
        <v>5</v>
      </c>
    </row>
    <row r="4" spans="1:14" ht="20.25" customHeight="1">
      <c r="A4" s="63" t="s">
        <v>6</v>
      </c>
      <c r="B4" s="63" t="s">
        <v>7</v>
      </c>
      <c r="C4" s="63" t="s">
        <v>8</v>
      </c>
      <c r="D4" s="63" t="s">
        <v>9</v>
      </c>
      <c r="E4" s="65" t="s">
        <v>10</v>
      </c>
      <c r="F4" s="66"/>
      <c r="G4" s="66"/>
      <c r="H4" s="67"/>
      <c r="I4" s="68" t="s">
        <v>11</v>
      </c>
      <c r="J4" s="68"/>
      <c r="K4" s="68"/>
      <c r="L4" s="68"/>
      <c r="M4" s="63" t="s">
        <v>12</v>
      </c>
      <c r="N4" s="63" t="s">
        <v>13</v>
      </c>
    </row>
    <row r="5" spans="1:14" ht="44.25" customHeight="1">
      <c r="A5" s="64"/>
      <c r="B5" s="64"/>
      <c r="C5" s="64"/>
      <c r="D5" s="64"/>
      <c r="E5" s="9" t="s">
        <v>14</v>
      </c>
      <c r="F5" s="9" t="s">
        <v>15</v>
      </c>
      <c r="G5" s="9" t="s">
        <v>16</v>
      </c>
      <c r="H5" s="9" t="s">
        <v>17</v>
      </c>
      <c r="I5" s="10" t="s">
        <v>14</v>
      </c>
      <c r="J5" s="11" t="s">
        <v>18</v>
      </c>
      <c r="K5" s="10" t="s">
        <v>0</v>
      </c>
      <c r="L5" s="10" t="s">
        <v>1</v>
      </c>
      <c r="M5" s="64"/>
      <c r="N5" s="64"/>
    </row>
    <row r="6" spans="1:14" ht="16.5" customHeight="1">
      <c r="A6" s="8" t="s">
        <v>19</v>
      </c>
      <c r="B6" s="8" t="s">
        <v>19</v>
      </c>
      <c r="C6" s="8" t="s">
        <v>19</v>
      </c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</row>
    <row r="7" spans="1:14" s="62" customFormat="1" ht="42" customHeight="1">
      <c r="A7" s="35" t="s">
        <v>70</v>
      </c>
      <c r="B7" s="60" t="s">
        <v>2</v>
      </c>
      <c r="C7" s="60"/>
      <c r="D7" s="61">
        <f>SUM(D8:D57)</f>
        <v>53550.27</v>
      </c>
      <c r="E7" s="61">
        <f t="shared" ref="E7:L7" si="0">SUM(E8:E57)</f>
        <v>831.27</v>
      </c>
      <c r="F7" s="61">
        <f t="shared" si="0"/>
        <v>671.42</v>
      </c>
      <c r="G7" s="61">
        <f t="shared" si="0"/>
        <v>82.7</v>
      </c>
      <c r="H7" s="61">
        <f t="shared" si="0"/>
        <v>77.149999999999991</v>
      </c>
      <c r="I7" s="61">
        <f t="shared" si="0"/>
        <v>52718.999999999985</v>
      </c>
      <c r="J7" s="61">
        <f t="shared" si="0"/>
        <v>717.6</v>
      </c>
      <c r="K7" s="61">
        <f t="shared" si="0"/>
        <v>9001.4</v>
      </c>
      <c r="L7" s="61">
        <f t="shared" si="0"/>
        <v>43000</v>
      </c>
      <c r="M7" s="61">
        <v>0</v>
      </c>
      <c r="N7" s="61">
        <v>0</v>
      </c>
    </row>
    <row r="8" spans="1:14" ht="42" customHeight="1">
      <c r="A8" s="1">
        <v>2010301</v>
      </c>
      <c r="B8" s="1" t="s">
        <v>21</v>
      </c>
      <c r="C8" s="21" t="s">
        <v>32</v>
      </c>
      <c r="D8" s="3">
        <f>E8+I8</f>
        <v>1067.77</v>
      </c>
      <c r="E8" s="3">
        <f>F8+G8+H8</f>
        <v>746.77</v>
      </c>
      <c r="F8" s="3">
        <v>671.42</v>
      </c>
      <c r="G8" s="3"/>
      <c r="H8" s="3">
        <v>75.349999999999994</v>
      </c>
      <c r="I8" s="3">
        <f>J8+K8+L8</f>
        <v>321</v>
      </c>
      <c r="J8" s="3">
        <v>321</v>
      </c>
      <c r="K8" s="3"/>
      <c r="L8" s="3">
        <v>0</v>
      </c>
      <c r="M8" s="3">
        <v>0</v>
      </c>
      <c r="N8" s="3">
        <v>0</v>
      </c>
    </row>
    <row r="9" spans="1:14" ht="42" customHeight="1">
      <c r="A9" s="1">
        <v>2010302</v>
      </c>
      <c r="B9" s="1" t="s">
        <v>21</v>
      </c>
      <c r="C9" s="21" t="s">
        <v>33</v>
      </c>
      <c r="D9" s="3">
        <f t="shared" ref="D9:D57" si="1">E9+I9</f>
        <v>25</v>
      </c>
      <c r="E9" s="3">
        <f t="shared" ref="E9:E57" si="2">F9+G9+H9</f>
        <v>0</v>
      </c>
      <c r="F9" s="3"/>
      <c r="G9" s="3"/>
      <c r="H9" s="3"/>
      <c r="I9" s="3">
        <f t="shared" ref="I9:I57" si="3">J9+K9+L9</f>
        <v>25</v>
      </c>
      <c r="J9" s="3">
        <v>25</v>
      </c>
      <c r="K9" s="3"/>
      <c r="L9" s="3">
        <v>0</v>
      </c>
      <c r="M9" s="3">
        <v>0</v>
      </c>
      <c r="N9" s="3">
        <v>0</v>
      </c>
    </row>
    <row r="10" spans="1:14" s="5" customFormat="1" ht="42" customHeight="1">
      <c r="A10" s="1">
        <v>2050202</v>
      </c>
      <c r="B10" s="1" t="s">
        <v>21</v>
      </c>
      <c r="C10" s="13" t="s">
        <v>34</v>
      </c>
      <c r="D10" s="3">
        <f t="shared" si="1"/>
        <v>15000</v>
      </c>
      <c r="E10" s="3">
        <f t="shared" si="2"/>
        <v>0</v>
      </c>
      <c r="F10" s="3"/>
      <c r="G10" s="3"/>
      <c r="H10" s="3"/>
      <c r="I10" s="3">
        <f t="shared" si="3"/>
        <v>15000</v>
      </c>
      <c r="J10" s="3"/>
      <c r="K10" s="3"/>
      <c r="L10" s="3">
        <v>15000</v>
      </c>
      <c r="M10" s="3"/>
      <c r="N10" s="3"/>
    </row>
    <row r="11" spans="1:14" s="5" customFormat="1" ht="42" customHeight="1">
      <c r="A11" s="1">
        <v>2050204</v>
      </c>
      <c r="B11" s="1" t="s">
        <v>21</v>
      </c>
      <c r="C11" s="13" t="s">
        <v>22</v>
      </c>
      <c r="D11" s="3">
        <f t="shared" si="1"/>
        <v>10000</v>
      </c>
      <c r="E11" s="3">
        <f t="shared" si="2"/>
        <v>0</v>
      </c>
      <c r="F11" s="3"/>
      <c r="G11" s="3"/>
      <c r="H11" s="3"/>
      <c r="I11" s="3">
        <f t="shared" si="3"/>
        <v>10000</v>
      </c>
      <c r="J11" s="3"/>
      <c r="K11" s="3"/>
      <c r="L11" s="3">
        <v>10000</v>
      </c>
      <c r="M11" s="3"/>
      <c r="N11" s="3"/>
    </row>
    <row r="12" spans="1:14" s="5" customFormat="1" ht="42" customHeight="1">
      <c r="A12" s="1">
        <v>2050305</v>
      </c>
      <c r="B12" s="1" t="s">
        <v>21</v>
      </c>
      <c r="C12" s="14" t="s">
        <v>23</v>
      </c>
      <c r="D12" s="3">
        <f t="shared" si="1"/>
        <v>5000</v>
      </c>
      <c r="E12" s="3">
        <f t="shared" si="2"/>
        <v>0</v>
      </c>
      <c r="F12" s="3"/>
      <c r="G12" s="3"/>
      <c r="H12" s="3"/>
      <c r="I12" s="3">
        <f t="shared" si="3"/>
        <v>5000</v>
      </c>
      <c r="J12" s="3"/>
      <c r="K12" s="3"/>
      <c r="L12" s="3">
        <v>5000</v>
      </c>
      <c r="M12" s="3"/>
      <c r="N12" s="3"/>
    </row>
    <row r="13" spans="1:14" s="5" customFormat="1" ht="42" customHeight="1">
      <c r="A13" s="1">
        <v>2060101</v>
      </c>
      <c r="B13" s="1" t="s">
        <v>21</v>
      </c>
      <c r="C13" s="15" t="s">
        <v>24</v>
      </c>
      <c r="D13" s="3">
        <f t="shared" si="1"/>
        <v>10</v>
      </c>
      <c r="E13" s="3">
        <f t="shared" si="2"/>
        <v>0</v>
      </c>
      <c r="F13" s="3"/>
      <c r="G13" s="3"/>
      <c r="H13" s="3"/>
      <c r="I13" s="3">
        <f t="shared" si="3"/>
        <v>10</v>
      </c>
      <c r="J13" s="3">
        <v>10</v>
      </c>
      <c r="K13" s="3"/>
      <c r="L13" s="3"/>
      <c r="M13" s="3"/>
      <c r="N13" s="3"/>
    </row>
    <row r="14" spans="1:14" s="5" customFormat="1" ht="42" customHeight="1">
      <c r="A14" s="1">
        <v>2060102</v>
      </c>
      <c r="B14" s="1" t="s">
        <v>21</v>
      </c>
      <c r="C14" s="13" t="s">
        <v>25</v>
      </c>
      <c r="D14" s="3">
        <f t="shared" si="1"/>
        <v>50</v>
      </c>
      <c r="E14" s="3">
        <f t="shared" si="2"/>
        <v>0</v>
      </c>
      <c r="F14" s="3"/>
      <c r="G14" s="3"/>
      <c r="H14" s="3"/>
      <c r="I14" s="3">
        <f t="shared" si="3"/>
        <v>50</v>
      </c>
      <c r="J14" s="3">
        <v>50</v>
      </c>
      <c r="K14" s="3"/>
      <c r="L14" s="3"/>
      <c r="M14" s="3"/>
      <c r="N14" s="3"/>
    </row>
    <row r="15" spans="1:14" s="5" customFormat="1" ht="42" customHeight="1">
      <c r="A15" s="1">
        <v>2070101</v>
      </c>
      <c r="B15" s="1" t="s">
        <v>21</v>
      </c>
      <c r="C15" s="16" t="s">
        <v>26</v>
      </c>
      <c r="D15" s="3">
        <f t="shared" si="1"/>
        <v>30</v>
      </c>
      <c r="E15" s="3">
        <f t="shared" si="2"/>
        <v>0</v>
      </c>
      <c r="F15" s="3"/>
      <c r="G15" s="3"/>
      <c r="H15" s="3"/>
      <c r="I15" s="3">
        <f t="shared" si="3"/>
        <v>30</v>
      </c>
      <c r="J15" s="3">
        <v>30</v>
      </c>
      <c r="K15" s="3"/>
      <c r="L15" s="3"/>
      <c r="M15" s="3"/>
      <c r="N15" s="3"/>
    </row>
    <row r="16" spans="1:14" s="5" customFormat="1" ht="42" customHeight="1">
      <c r="A16" s="1">
        <v>2070107</v>
      </c>
      <c r="B16" s="1" t="s">
        <v>21</v>
      </c>
      <c r="C16" s="17" t="s">
        <v>27</v>
      </c>
      <c r="D16" s="3">
        <f t="shared" si="1"/>
        <v>150</v>
      </c>
      <c r="E16" s="3">
        <f t="shared" si="2"/>
        <v>0</v>
      </c>
      <c r="F16" s="3"/>
      <c r="G16" s="3"/>
      <c r="H16" s="3"/>
      <c r="I16" s="3">
        <f t="shared" si="3"/>
        <v>150</v>
      </c>
      <c r="J16" s="3"/>
      <c r="K16" s="3">
        <v>150</v>
      </c>
      <c r="L16" s="3"/>
      <c r="M16" s="3"/>
      <c r="N16" s="3"/>
    </row>
    <row r="17" spans="1:14" s="5" customFormat="1" ht="42" customHeight="1">
      <c r="A17" s="1">
        <v>2070205</v>
      </c>
      <c r="B17" s="1" t="s">
        <v>21</v>
      </c>
      <c r="C17" s="18" t="s">
        <v>28</v>
      </c>
      <c r="D17" s="3">
        <f t="shared" si="1"/>
        <v>10</v>
      </c>
      <c r="E17" s="3">
        <f t="shared" si="2"/>
        <v>0</v>
      </c>
      <c r="F17" s="3"/>
      <c r="G17" s="3"/>
      <c r="H17" s="3"/>
      <c r="I17" s="3">
        <f t="shared" si="3"/>
        <v>10</v>
      </c>
      <c r="J17" s="3">
        <v>10</v>
      </c>
      <c r="K17" s="3"/>
      <c r="L17" s="3"/>
      <c r="M17" s="3"/>
      <c r="N17" s="3"/>
    </row>
    <row r="18" spans="1:14" s="5" customFormat="1" ht="42" customHeight="1">
      <c r="A18" s="1">
        <v>2070206</v>
      </c>
      <c r="B18" s="1" t="s">
        <v>21</v>
      </c>
      <c r="C18" s="19" t="s">
        <v>29</v>
      </c>
      <c r="D18" s="3">
        <f t="shared" si="1"/>
        <v>7</v>
      </c>
      <c r="E18" s="3">
        <f t="shared" si="2"/>
        <v>0</v>
      </c>
      <c r="F18" s="3"/>
      <c r="G18" s="3"/>
      <c r="H18" s="3"/>
      <c r="I18" s="3">
        <f t="shared" si="3"/>
        <v>7</v>
      </c>
      <c r="J18" s="3">
        <v>7</v>
      </c>
      <c r="K18" s="3"/>
      <c r="L18" s="3"/>
      <c r="M18" s="3"/>
      <c r="N18" s="3"/>
    </row>
    <row r="19" spans="1:14" s="5" customFormat="1" ht="42" customHeight="1">
      <c r="A19" s="1">
        <v>2070301</v>
      </c>
      <c r="B19" s="1" t="s">
        <v>21</v>
      </c>
      <c r="C19" s="20" t="s">
        <v>30</v>
      </c>
      <c r="D19" s="3">
        <f t="shared" si="1"/>
        <v>10</v>
      </c>
      <c r="E19" s="3">
        <f t="shared" si="2"/>
        <v>0</v>
      </c>
      <c r="F19" s="3"/>
      <c r="G19" s="3"/>
      <c r="H19" s="3"/>
      <c r="I19" s="3">
        <f t="shared" si="3"/>
        <v>10</v>
      </c>
      <c r="J19" s="3">
        <v>10</v>
      </c>
      <c r="K19" s="3"/>
      <c r="L19" s="3"/>
      <c r="M19" s="3"/>
      <c r="N19" s="3"/>
    </row>
    <row r="20" spans="1:14" s="5" customFormat="1" ht="42" customHeight="1">
      <c r="A20" s="1">
        <v>2070305</v>
      </c>
      <c r="B20" s="1" t="s">
        <v>21</v>
      </c>
      <c r="C20" s="21" t="s">
        <v>31</v>
      </c>
      <c r="D20" s="3">
        <f t="shared" si="1"/>
        <v>500</v>
      </c>
      <c r="E20" s="3">
        <f t="shared" si="2"/>
        <v>0</v>
      </c>
      <c r="F20" s="3"/>
      <c r="G20" s="3"/>
      <c r="H20" s="3"/>
      <c r="I20" s="3">
        <f t="shared" si="3"/>
        <v>500</v>
      </c>
      <c r="J20" s="3"/>
      <c r="K20" s="3">
        <v>500</v>
      </c>
      <c r="L20" s="3"/>
      <c r="M20" s="3"/>
      <c r="N20" s="3"/>
    </row>
    <row r="21" spans="1:14" s="5" customFormat="1" ht="42" customHeight="1">
      <c r="A21" s="1">
        <v>2070307</v>
      </c>
      <c r="B21" s="1" t="s">
        <v>21</v>
      </c>
      <c r="C21" s="22" t="s">
        <v>35</v>
      </c>
      <c r="D21" s="3">
        <f t="shared" si="1"/>
        <v>15</v>
      </c>
      <c r="E21" s="3">
        <f t="shared" si="2"/>
        <v>0</v>
      </c>
      <c r="F21" s="3"/>
      <c r="G21" s="3"/>
      <c r="H21" s="3"/>
      <c r="I21" s="3">
        <f t="shared" si="3"/>
        <v>15</v>
      </c>
      <c r="J21" s="3">
        <v>15</v>
      </c>
      <c r="K21" s="3"/>
      <c r="L21" s="3"/>
      <c r="M21" s="3"/>
      <c r="N21" s="3"/>
    </row>
    <row r="22" spans="1:14" s="5" customFormat="1" ht="42" customHeight="1">
      <c r="A22" s="1">
        <v>2070308</v>
      </c>
      <c r="B22" s="1" t="s">
        <v>21</v>
      </c>
      <c r="C22" s="23" t="s">
        <v>36</v>
      </c>
      <c r="D22" s="3">
        <f t="shared" si="1"/>
        <v>145</v>
      </c>
      <c r="E22" s="3">
        <f t="shared" si="2"/>
        <v>0</v>
      </c>
      <c r="F22" s="3"/>
      <c r="G22" s="3"/>
      <c r="H22" s="3"/>
      <c r="I22" s="3">
        <f t="shared" si="3"/>
        <v>145</v>
      </c>
      <c r="J22" s="3">
        <v>145</v>
      </c>
      <c r="K22" s="3"/>
      <c r="L22" s="3"/>
      <c r="M22" s="3"/>
      <c r="N22" s="3"/>
    </row>
    <row r="23" spans="1:14" s="5" customFormat="1" ht="42" customHeight="1">
      <c r="A23" s="1">
        <v>2070499</v>
      </c>
      <c r="B23" s="1" t="s">
        <v>21</v>
      </c>
      <c r="C23" s="24" t="s">
        <v>37</v>
      </c>
      <c r="D23" s="3">
        <f t="shared" si="1"/>
        <v>10</v>
      </c>
      <c r="E23" s="3">
        <f t="shared" si="2"/>
        <v>0</v>
      </c>
      <c r="F23" s="3"/>
      <c r="G23" s="3"/>
      <c r="H23" s="3"/>
      <c r="I23" s="3">
        <f t="shared" si="3"/>
        <v>10</v>
      </c>
      <c r="J23" s="3">
        <v>5</v>
      </c>
      <c r="K23" s="3">
        <v>5</v>
      </c>
      <c r="L23" s="3"/>
      <c r="M23" s="3"/>
      <c r="N23" s="3"/>
    </row>
    <row r="24" spans="1:14" s="5" customFormat="1" ht="42" customHeight="1">
      <c r="A24" s="1">
        <v>2080101</v>
      </c>
      <c r="B24" s="1" t="s">
        <v>21</v>
      </c>
      <c r="C24" s="25" t="s">
        <v>38</v>
      </c>
      <c r="D24" s="3">
        <f t="shared" si="1"/>
        <v>15</v>
      </c>
      <c r="E24" s="3">
        <f t="shared" si="2"/>
        <v>0</v>
      </c>
      <c r="F24" s="3"/>
      <c r="G24" s="3"/>
      <c r="H24" s="3"/>
      <c r="I24" s="3">
        <f t="shared" si="3"/>
        <v>15</v>
      </c>
      <c r="J24" s="3">
        <v>15</v>
      </c>
      <c r="K24" s="3"/>
      <c r="L24" s="3"/>
      <c r="M24" s="3"/>
      <c r="N24" s="3"/>
    </row>
    <row r="25" spans="1:14" s="5" customFormat="1" ht="42" customHeight="1">
      <c r="A25" s="1">
        <v>2080112</v>
      </c>
      <c r="B25" s="1" t="s">
        <v>21</v>
      </c>
      <c r="C25" s="26" t="s">
        <v>39</v>
      </c>
      <c r="D25" s="3">
        <f t="shared" si="1"/>
        <v>23</v>
      </c>
      <c r="E25" s="3">
        <f t="shared" si="2"/>
        <v>0</v>
      </c>
      <c r="F25" s="3"/>
      <c r="G25" s="3"/>
      <c r="H25" s="3"/>
      <c r="I25" s="3">
        <f t="shared" si="3"/>
        <v>23</v>
      </c>
      <c r="J25" s="3">
        <v>23</v>
      </c>
      <c r="K25" s="3"/>
      <c r="L25" s="3"/>
      <c r="M25" s="3"/>
      <c r="N25" s="3"/>
    </row>
    <row r="26" spans="1:14" s="5" customFormat="1" ht="42" customHeight="1">
      <c r="A26" s="1">
        <v>2080199</v>
      </c>
      <c r="B26" s="1" t="s">
        <v>21</v>
      </c>
      <c r="C26" s="27" t="s">
        <v>40</v>
      </c>
      <c r="D26" s="3">
        <f t="shared" si="1"/>
        <v>24.6</v>
      </c>
      <c r="E26" s="3">
        <f t="shared" si="2"/>
        <v>0</v>
      </c>
      <c r="F26" s="3"/>
      <c r="G26" s="3"/>
      <c r="H26" s="3"/>
      <c r="I26" s="3">
        <f t="shared" si="3"/>
        <v>24.6</v>
      </c>
      <c r="J26" s="3">
        <v>24.6</v>
      </c>
      <c r="K26" s="3"/>
      <c r="L26" s="3"/>
      <c r="M26" s="3"/>
      <c r="N26" s="3"/>
    </row>
    <row r="27" spans="1:14" s="5" customFormat="1" ht="42" customHeight="1">
      <c r="A27" s="1">
        <v>2080201</v>
      </c>
      <c r="B27" s="1" t="s">
        <v>21</v>
      </c>
      <c r="C27" s="28" t="s">
        <v>41</v>
      </c>
      <c r="D27" s="3">
        <f t="shared" si="1"/>
        <v>8.8000000000000007</v>
      </c>
      <c r="E27" s="3">
        <f t="shared" si="2"/>
        <v>1.8</v>
      </c>
      <c r="F27" s="3"/>
      <c r="G27" s="3"/>
      <c r="H27" s="3">
        <v>1.8</v>
      </c>
      <c r="I27" s="3">
        <f t="shared" si="3"/>
        <v>7</v>
      </c>
      <c r="J27" s="3">
        <v>7</v>
      </c>
      <c r="K27" s="3"/>
      <c r="L27" s="3"/>
      <c r="M27" s="3"/>
      <c r="N27" s="3"/>
    </row>
    <row r="28" spans="1:14" s="5" customFormat="1" ht="42" customHeight="1">
      <c r="A28" s="1">
        <v>2080204</v>
      </c>
      <c r="B28" s="1" t="s">
        <v>21</v>
      </c>
      <c r="C28" s="29" t="s">
        <v>42</v>
      </c>
      <c r="D28" s="3">
        <f t="shared" si="1"/>
        <v>200</v>
      </c>
      <c r="E28" s="3">
        <f t="shared" si="2"/>
        <v>0</v>
      </c>
      <c r="F28" s="3"/>
      <c r="G28" s="3"/>
      <c r="H28" s="3"/>
      <c r="I28" s="3">
        <f t="shared" si="3"/>
        <v>200</v>
      </c>
      <c r="J28" s="3"/>
      <c r="K28" s="3">
        <v>200</v>
      </c>
      <c r="L28" s="3"/>
      <c r="M28" s="3"/>
      <c r="N28" s="3"/>
    </row>
    <row r="29" spans="1:14" s="5" customFormat="1" ht="42" customHeight="1">
      <c r="A29" s="1">
        <v>2080207</v>
      </c>
      <c r="B29" s="1" t="s">
        <v>21</v>
      </c>
      <c r="C29" s="30" t="s">
        <v>43</v>
      </c>
      <c r="D29" s="3">
        <f t="shared" si="1"/>
        <v>70</v>
      </c>
      <c r="E29" s="3">
        <f t="shared" si="2"/>
        <v>0</v>
      </c>
      <c r="F29" s="3"/>
      <c r="G29" s="3"/>
      <c r="H29" s="3"/>
      <c r="I29" s="3">
        <f t="shared" si="3"/>
        <v>70</v>
      </c>
      <c r="J29" s="3">
        <v>20</v>
      </c>
      <c r="K29" s="3">
        <v>50</v>
      </c>
      <c r="L29" s="3"/>
      <c r="M29" s="3"/>
      <c r="N29" s="3"/>
    </row>
    <row r="30" spans="1:14" s="5" customFormat="1" ht="42" customHeight="1">
      <c r="A30" s="33">
        <v>2080801</v>
      </c>
      <c r="B30" s="33" t="s">
        <v>21</v>
      </c>
      <c r="C30" s="32" t="s">
        <v>44</v>
      </c>
      <c r="D30" s="34">
        <f t="shared" si="1"/>
        <v>28.68</v>
      </c>
      <c r="E30" s="3">
        <f t="shared" si="2"/>
        <v>0</v>
      </c>
      <c r="F30" s="3"/>
      <c r="G30" s="3"/>
      <c r="H30" s="3"/>
      <c r="I30" s="3">
        <f t="shared" si="3"/>
        <v>28.68</v>
      </c>
      <c r="J30" s="3"/>
      <c r="K30" s="3">
        <v>28.68</v>
      </c>
      <c r="L30" s="3"/>
      <c r="M30" s="3"/>
      <c r="N30" s="3"/>
    </row>
    <row r="31" spans="1:14" s="5" customFormat="1" ht="42" customHeight="1">
      <c r="A31" s="1">
        <v>2080802</v>
      </c>
      <c r="B31" s="33" t="s">
        <v>21</v>
      </c>
      <c r="C31" s="36" t="s">
        <v>45</v>
      </c>
      <c r="D31" s="3">
        <f t="shared" si="1"/>
        <v>109.7</v>
      </c>
      <c r="E31" s="3">
        <f t="shared" si="2"/>
        <v>0</v>
      </c>
      <c r="F31" s="3"/>
      <c r="G31" s="3"/>
      <c r="H31" s="3"/>
      <c r="I31" s="3">
        <f t="shared" si="3"/>
        <v>109.7</v>
      </c>
      <c r="J31" s="3"/>
      <c r="K31" s="3">
        <v>109.7</v>
      </c>
      <c r="L31" s="3"/>
      <c r="M31" s="3"/>
      <c r="N31" s="3"/>
    </row>
    <row r="32" spans="1:14" s="5" customFormat="1" ht="42" customHeight="1">
      <c r="A32" s="1">
        <v>2080803</v>
      </c>
      <c r="B32" s="33" t="s">
        <v>21</v>
      </c>
      <c r="C32" s="37" t="s">
        <v>46</v>
      </c>
      <c r="D32" s="3">
        <f t="shared" si="1"/>
        <v>123.12</v>
      </c>
      <c r="E32" s="3">
        <f t="shared" si="2"/>
        <v>0</v>
      </c>
      <c r="F32" s="3"/>
      <c r="G32" s="3"/>
      <c r="H32" s="3"/>
      <c r="I32" s="3">
        <f t="shared" si="3"/>
        <v>123.12</v>
      </c>
      <c r="J32" s="3"/>
      <c r="K32" s="3">
        <v>123.12</v>
      </c>
      <c r="L32" s="3"/>
      <c r="M32" s="3"/>
      <c r="N32" s="3"/>
    </row>
    <row r="33" spans="1:14" s="5" customFormat="1" ht="42" customHeight="1">
      <c r="A33" s="1">
        <v>2080805</v>
      </c>
      <c r="B33" s="33" t="s">
        <v>21</v>
      </c>
      <c r="C33" s="38" t="s">
        <v>47</v>
      </c>
      <c r="D33" s="3">
        <f t="shared" si="1"/>
        <v>516.92999999999995</v>
      </c>
      <c r="E33" s="3">
        <f t="shared" si="2"/>
        <v>0</v>
      </c>
      <c r="F33" s="3"/>
      <c r="G33" s="3"/>
      <c r="H33" s="3"/>
      <c r="I33" s="3">
        <f t="shared" si="3"/>
        <v>516.92999999999995</v>
      </c>
      <c r="J33" s="3"/>
      <c r="K33" s="3">
        <v>516.92999999999995</v>
      </c>
      <c r="L33" s="3"/>
      <c r="M33" s="3"/>
      <c r="N33" s="3"/>
    </row>
    <row r="34" spans="1:14" s="5" customFormat="1" ht="42" customHeight="1">
      <c r="A34" s="1">
        <v>2080806</v>
      </c>
      <c r="B34" s="33" t="s">
        <v>21</v>
      </c>
      <c r="C34" s="39" t="s">
        <v>48</v>
      </c>
      <c r="D34" s="3">
        <f t="shared" si="1"/>
        <v>27</v>
      </c>
      <c r="E34" s="3">
        <f t="shared" si="2"/>
        <v>0</v>
      </c>
      <c r="F34" s="3"/>
      <c r="G34" s="3"/>
      <c r="H34" s="3"/>
      <c r="I34" s="3">
        <f t="shared" si="3"/>
        <v>27</v>
      </c>
      <c r="J34" s="3"/>
      <c r="K34" s="3">
        <v>27</v>
      </c>
      <c r="L34" s="3"/>
      <c r="M34" s="3"/>
      <c r="N34" s="3"/>
    </row>
    <row r="35" spans="1:14" s="5" customFormat="1" ht="42" customHeight="1">
      <c r="A35" s="1">
        <v>2080899</v>
      </c>
      <c r="B35" s="33" t="s">
        <v>21</v>
      </c>
      <c r="C35" s="13" t="s">
        <v>49</v>
      </c>
      <c r="D35" s="3">
        <f t="shared" si="1"/>
        <v>142.84</v>
      </c>
      <c r="E35" s="3">
        <f t="shared" si="2"/>
        <v>0</v>
      </c>
      <c r="F35" s="3"/>
      <c r="G35" s="3"/>
      <c r="H35" s="3"/>
      <c r="I35" s="3">
        <f t="shared" si="3"/>
        <v>142.84</v>
      </c>
      <c r="J35" s="3"/>
      <c r="K35" s="3">
        <v>142.84</v>
      </c>
      <c r="L35" s="3"/>
      <c r="M35" s="3"/>
      <c r="N35" s="3"/>
    </row>
    <row r="36" spans="1:14" s="5" customFormat="1" ht="42" customHeight="1">
      <c r="A36" s="1">
        <v>2080901</v>
      </c>
      <c r="B36" s="33" t="s">
        <v>21</v>
      </c>
      <c r="C36" s="40" t="s">
        <v>50</v>
      </c>
      <c r="D36" s="31">
        <f t="shared" si="1"/>
        <v>380</v>
      </c>
      <c r="E36" s="3">
        <f t="shared" si="2"/>
        <v>0</v>
      </c>
      <c r="F36" s="3"/>
      <c r="G36" s="3"/>
      <c r="H36" s="3"/>
      <c r="I36" s="3">
        <f t="shared" si="3"/>
        <v>380</v>
      </c>
      <c r="J36" s="3"/>
      <c r="K36" s="3">
        <v>380</v>
      </c>
      <c r="L36" s="3"/>
      <c r="M36" s="3"/>
      <c r="N36" s="3"/>
    </row>
    <row r="37" spans="1:14" s="5" customFormat="1" ht="42" customHeight="1">
      <c r="A37" s="1">
        <v>2080999</v>
      </c>
      <c r="B37" s="33" t="s">
        <v>21</v>
      </c>
      <c r="C37" s="41" t="s">
        <v>51</v>
      </c>
      <c r="D37" s="31">
        <f t="shared" si="1"/>
        <v>15</v>
      </c>
      <c r="E37" s="3">
        <f t="shared" si="2"/>
        <v>0</v>
      </c>
      <c r="F37" s="3"/>
      <c r="G37" s="3"/>
      <c r="H37" s="3"/>
      <c r="I37" s="3">
        <f t="shared" si="3"/>
        <v>15</v>
      </c>
      <c r="J37" s="3"/>
      <c r="K37" s="3">
        <v>15</v>
      </c>
      <c r="L37" s="3"/>
      <c r="M37" s="3"/>
      <c r="N37" s="3"/>
    </row>
    <row r="38" spans="1:14" s="5" customFormat="1" ht="42" customHeight="1">
      <c r="A38" s="1">
        <v>2081011</v>
      </c>
      <c r="B38" s="33" t="s">
        <v>21</v>
      </c>
      <c r="C38" s="42" t="s">
        <v>52</v>
      </c>
      <c r="D38" s="31">
        <f t="shared" si="1"/>
        <v>9.08</v>
      </c>
      <c r="E38" s="3">
        <f t="shared" si="2"/>
        <v>0</v>
      </c>
      <c r="F38" s="3"/>
      <c r="G38" s="3"/>
      <c r="H38" s="3"/>
      <c r="I38" s="3">
        <f t="shared" si="3"/>
        <v>9.08</v>
      </c>
      <c r="J38" s="3"/>
      <c r="K38" s="3">
        <v>9.08</v>
      </c>
      <c r="L38" s="3"/>
      <c r="M38" s="3"/>
      <c r="N38" s="3"/>
    </row>
    <row r="39" spans="1:14" s="5" customFormat="1" ht="42" customHeight="1">
      <c r="A39" s="1">
        <v>2081004</v>
      </c>
      <c r="B39" s="33" t="s">
        <v>21</v>
      </c>
      <c r="C39" s="43" t="s">
        <v>53</v>
      </c>
      <c r="D39" s="31">
        <f t="shared" si="1"/>
        <v>495</v>
      </c>
      <c r="E39" s="3">
        <f t="shared" si="2"/>
        <v>0</v>
      </c>
      <c r="F39" s="3"/>
      <c r="G39" s="3"/>
      <c r="H39" s="3"/>
      <c r="I39" s="3">
        <f t="shared" si="3"/>
        <v>495</v>
      </c>
      <c r="J39" s="3"/>
      <c r="K39" s="3">
        <v>495</v>
      </c>
      <c r="L39" s="3"/>
      <c r="M39" s="3"/>
      <c r="N39" s="3"/>
    </row>
    <row r="40" spans="1:14" s="5" customFormat="1" ht="42" customHeight="1">
      <c r="A40" s="1">
        <v>2081099</v>
      </c>
      <c r="B40" s="33" t="s">
        <v>21</v>
      </c>
      <c r="C40" s="44" t="s">
        <v>54</v>
      </c>
      <c r="D40" s="31">
        <f t="shared" si="1"/>
        <v>10</v>
      </c>
      <c r="E40" s="3">
        <f t="shared" si="2"/>
        <v>0</v>
      </c>
      <c r="F40" s="3"/>
      <c r="G40" s="3"/>
      <c r="H40" s="3"/>
      <c r="I40" s="3">
        <f t="shared" si="3"/>
        <v>10</v>
      </c>
      <c r="J40" s="3"/>
      <c r="K40" s="3">
        <v>10</v>
      </c>
      <c r="L40" s="3"/>
      <c r="M40" s="3"/>
      <c r="N40" s="3"/>
    </row>
    <row r="41" spans="1:14" s="5" customFormat="1" ht="42" customHeight="1">
      <c r="A41" s="1">
        <v>2081199</v>
      </c>
      <c r="B41" s="33" t="s">
        <v>21</v>
      </c>
      <c r="C41" s="45" t="s">
        <v>55</v>
      </c>
      <c r="D41" s="31">
        <f t="shared" si="1"/>
        <v>39.04</v>
      </c>
      <c r="E41" s="3">
        <f t="shared" si="2"/>
        <v>0</v>
      </c>
      <c r="F41" s="3"/>
      <c r="G41" s="3"/>
      <c r="H41" s="3"/>
      <c r="I41" s="3">
        <f t="shared" si="3"/>
        <v>39.04</v>
      </c>
      <c r="J41" s="3"/>
      <c r="K41" s="3">
        <v>39.04</v>
      </c>
      <c r="L41" s="3"/>
      <c r="M41" s="3"/>
      <c r="N41" s="3"/>
    </row>
    <row r="42" spans="1:14" s="5" customFormat="1" ht="42" customHeight="1">
      <c r="A42" s="1">
        <v>2081502</v>
      </c>
      <c r="B42" s="33" t="s">
        <v>21</v>
      </c>
      <c r="C42" s="32" t="s">
        <v>56</v>
      </c>
      <c r="D42" s="31">
        <f t="shared" si="1"/>
        <v>200</v>
      </c>
      <c r="E42" s="3">
        <f t="shared" si="2"/>
        <v>0</v>
      </c>
      <c r="F42" s="3"/>
      <c r="G42" s="3"/>
      <c r="H42" s="3"/>
      <c r="I42" s="3">
        <f t="shared" si="3"/>
        <v>200</v>
      </c>
      <c r="J42" s="3"/>
      <c r="K42" s="3">
        <v>200</v>
      </c>
      <c r="L42" s="3"/>
      <c r="M42" s="3"/>
      <c r="N42" s="3"/>
    </row>
    <row r="43" spans="1:14" s="5" customFormat="1" ht="42" customHeight="1">
      <c r="A43" s="1">
        <v>2081901</v>
      </c>
      <c r="B43" s="33" t="s">
        <v>21</v>
      </c>
      <c r="C43" s="46" t="s">
        <v>57</v>
      </c>
      <c r="D43" s="31">
        <f t="shared" si="1"/>
        <v>377.35</v>
      </c>
      <c r="E43" s="3">
        <f t="shared" si="2"/>
        <v>0</v>
      </c>
      <c r="F43" s="3"/>
      <c r="G43" s="3"/>
      <c r="H43" s="3"/>
      <c r="I43" s="3">
        <f t="shared" si="3"/>
        <v>377.35</v>
      </c>
      <c r="J43" s="3"/>
      <c r="K43" s="47">
        <v>377.35</v>
      </c>
      <c r="L43" s="3"/>
      <c r="M43" s="3"/>
      <c r="N43" s="3"/>
    </row>
    <row r="44" spans="1:14" s="5" customFormat="1" ht="42" customHeight="1">
      <c r="A44" s="1">
        <v>2081902</v>
      </c>
      <c r="B44" s="33" t="s">
        <v>21</v>
      </c>
      <c r="C44" s="48" t="s">
        <v>58</v>
      </c>
      <c r="D44" s="31">
        <f t="shared" si="1"/>
        <v>2209.34</v>
      </c>
      <c r="E44" s="3">
        <f t="shared" si="2"/>
        <v>0</v>
      </c>
      <c r="F44" s="3"/>
      <c r="G44" s="3"/>
      <c r="H44" s="3"/>
      <c r="I44" s="3">
        <f t="shared" si="3"/>
        <v>2209.34</v>
      </c>
      <c r="J44" s="3"/>
      <c r="K44" s="49">
        <v>2209.34</v>
      </c>
      <c r="L44" s="3"/>
      <c r="M44" s="3"/>
      <c r="N44" s="3"/>
    </row>
    <row r="45" spans="1:14" s="5" customFormat="1" ht="42" customHeight="1">
      <c r="A45" s="1">
        <v>2082001</v>
      </c>
      <c r="B45" s="33" t="s">
        <v>21</v>
      </c>
      <c r="C45" s="13" t="s">
        <v>59</v>
      </c>
      <c r="D45" s="31">
        <f t="shared" si="1"/>
        <v>120</v>
      </c>
      <c r="E45" s="3">
        <f t="shared" si="2"/>
        <v>0</v>
      </c>
      <c r="F45" s="3"/>
      <c r="G45" s="3"/>
      <c r="H45" s="3"/>
      <c r="I45" s="3">
        <f t="shared" si="3"/>
        <v>120</v>
      </c>
      <c r="J45" s="3"/>
      <c r="K45" s="3">
        <v>120</v>
      </c>
      <c r="L45" s="3"/>
      <c r="M45" s="3"/>
      <c r="N45" s="3"/>
    </row>
    <row r="46" spans="1:14" s="5" customFormat="1" ht="42" customHeight="1">
      <c r="A46" s="1">
        <v>2082002</v>
      </c>
      <c r="B46" s="33" t="s">
        <v>21</v>
      </c>
      <c r="C46" s="50" t="s">
        <v>60</v>
      </c>
      <c r="D46" s="31">
        <f t="shared" si="1"/>
        <v>20</v>
      </c>
      <c r="E46" s="3">
        <f t="shared" si="2"/>
        <v>0</v>
      </c>
      <c r="F46" s="3"/>
      <c r="G46" s="3"/>
      <c r="H46" s="3"/>
      <c r="I46" s="3">
        <f t="shared" si="3"/>
        <v>20</v>
      </c>
      <c r="J46" s="3"/>
      <c r="K46" s="3">
        <v>20</v>
      </c>
      <c r="L46" s="3"/>
      <c r="M46" s="3"/>
      <c r="N46" s="3"/>
    </row>
    <row r="47" spans="1:14" s="5" customFormat="1" ht="42" customHeight="1">
      <c r="A47" s="1">
        <v>2082102</v>
      </c>
      <c r="B47" s="33" t="s">
        <v>21</v>
      </c>
      <c r="C47" s="51" t="s">
        <v>61</v>
      </c>
      <c r="D47" s="31">
        <f t="shared" si="1"/>
        <v>1712.85</v>
      </c>
      <c r="E47" s="3">
        <f t="shared" si="2"/>
        <v>0</v>
      </c>
      <c r="F47" s="3"/>
      <c r="G47" s="3"/>
      <c r="H47" s="3"/>
      <c r="I47" s="3">
        <f t="shared" si="3"/>
        <v>1712.85</v>
      </c>
      <c r="J47" s="3"/>
      <c r="K47" s="3">
        <v>1712.85</v>
      </c>
      <c r="L47" s="3"/>
      <c r="M47" s="3"/>
      <c r="N47" s="3"/>
    </row>
    <row r="48" spans="1:14" s="5" customFormat="1" ht="42" customHeight="1">
      <c r="A48" s="1">
        <v>2082502</v>
      </c>
      <c r="B48" s="33" t="s">
        <v>21</v>
      </c>
      <c r="C48" s="52" t="s">
        <v>62</v>
      </c>
      <c r="D48" s="31">
        <f t="shared" si="1"/>
        <v>119.28</v>
      </c>
      <c r="E48" s="3">
        <f t="shared" si="2"/>
        <v>0</v>
      </c>
      <c r="F48" s="3"/>
      <c r="G48" s="3"/>
      <c r="H48" s="3"/>
      <c r="I48" s="3">
        <f t="shared" si="3"/>
        <v>119.28</v>
      </c>
      <c r="J48" s="3"/>
      <c r="K48" s="3">
        <v>119.28</v>
      </c>
      <c r="L48" s="3"/>
      <c r="M48" s="3"/>
      <c r="N48" s="3"/>
    </row>
    <row r="49" spans="1:14" s="5" customFormat="1" ht="42" customHeight="1">
      <c r="A49" s="1">
        <v>2089901</v>
      </c>
      <c r="B49" s="33" t="s">
        <v>21</v>
      </c>
      <c r="C49" s="53" t="s">
        <v>63</v>
      </c>
      <c r="D49" s="31">
        <f t="shared" si="1"/>
        <v>592.88</v>
      </c>
      <c r="E49" s="3">
        <f t="shared" si="2"/>
        <v>0</v>
      </c>
      <c r="F49" s="3"/>
      <c r="G49" s="3"/>
      <c r="H49" s="3"/>
      <c r="I49" s="3">
        <f t="shared" si="3"/>
        <v>592.88</v>
      </c>
      <c r="J49" s="3"/>
      <c r="K49" s="3">
        <v>592.88</v>
      </c>
      <c r="L49" s="3"/>
      <c r="M49" s="3"/>
      <c r="N49" s="3"/>
    </row>
    <row r="50" spans="1:14" s="5" customFormat="1" ht="42" customHeight="1">
      <c r="A50" s="1">
        <v>2100504</v>
      </c>
      <c r="B50" s="33" t="s">
        <v>21</v>
      </c>
      <c r="C50" s="54" t="s">
        <v>64</v>
      </c>
      <c r="D50" s="31">
        <f t="shared" si="1"/>
        <v>6.92</v>
      </c>
      <c r="E50" s="3">
        <f t="shared" si="2"/>
        <v>0</v>
      </c>
      <c r="F50" s="3"/>
      <c r="G50" s="3"/>
      <c r="H50" s="3"/>
      <c r="I50" s="3">
        <f t="shared" si="3"/>
        <v>6.92</v>
      </c>
      <c r="J50" s="3"/>
      <c r="K50" s="3">
        <v>6.92</v>
      </c>
      <c r="L50" s="3"/>
      <c r="M50" s="3"/>
      <c r="N50" s="3"/>
    </row>
    <row r="51" spans="1:14" s="5" customFormat="1" ht="42" customHeight="1">
      <c r="A51" s="1">
        <v>2100506</v>
      </c>
      <c r="B51" s="33" t="s">
        <v>21</v>
      </c>
      <c r="C51" s="55" t="s">
        <v>65</v>
      </c>
      <c r="D51" s="31">
        <f t="shared" si="1"/>
        <v>229.5</v>
      </c>
      <c r="E51" s="3">
        <f t="shared" si="2"/>
        <v>0</v>
      </c>
      <c r="F51" s="3"/>
      <c r="G51" s="3"/>
      <c r="H51" s="3"/>
      <c r="I51" s="3">
        <f t="shared" si="3"/>
        <v>229.5</v>
      </c>
      <c r="J51" s="3"/>
      <c r="K51" s="3">
        <v>229.5</v>
      </c>
      <c r="L51" s="3"/>
      <c r="M51" s="3"/>
      <c r="N51" s="3"/>
    </row>
    <row r="52" spans="1:14" s="5" customFormat="1" ht="42" customHeight="1">
      <c r="A52" s="1">
        <v>2100508</v>
      </c>
      <c r="B52" s="33" t="s">
        <v>21</v>
      </c>
      <c r="C52" s="56" t="s">
        <v>66</v>
      </c>
      <c r="D52" s="31">
        <f t="shared" si="1"/>
        <v>27.89</v>
      </c>
      <c r="E52" s="3">
        <f t="shared" si="2"/>
        <v>0</v>
      </c>
      <c r="F52" s="3"/>
      <c r="G52" s="3"/>
      <c r="H52" s="3"/>
      <c r="I52" s="3">
        <f t="shared" si="3"/>
        <v>27.89</v>
      </c>
      <c r="J52" s="3"/>
      <c r="K52" s="3">
        <v>27.89</v>
      </c>
      <c r="L52" s="3"/>
      <c r="M52" s="3"/>
      <c r="N52" s="3"/>
    </row>
    <row r="53" spans="1:14" s="5" customFormat="1" ht="42" customHeight="1">
      <c r="A53" s="1">
        <v>2100509</v>
      </c>
      <c r="B53" s="33" t="s">
        <v>21</v>
      </c>
      <c r="C53" s="57" t="s">
        <v>67</v>
      </c>
      <c r="D53" s="31">
        <f t="shared" si="1"/>
        <v>584</v>
      </c>
      <c r="E53" s="3">
        <f t="shared" si="2"/>
        <v>0</v>
      </c>
      <c r="F53" s="3"/>
      <c r="G53" s="3"/>
      <c r="H53" s="3"/>
      <c r="I53" s="3">
        <f t="shared" si="3"/>
        <v>584</v>
      </c>
      <c r="J53" s="3"/>
      <c r="K53" s="3">
        <v>584</v>
      </c>
      <c r="L53" s="3"/>
      <c r="M53" s="3"/>
      <c r="N53" s="3"/>
    </row>
    <row r="54" spans="1:14" s="5" customFormat="1" ht="42" customHeight="1">
      <c r="A54" s="1">
        <v>2120801</v>
      </c>
      <c r="B54" s="33" t="s">
        <v>21</v>
      </c>
      <c r="C54" s="58" t="s">
        <v>68</v>
      </c>
      <c r="D54" s="31">
        <f t="shared" si="1"/>
        <v>10000</v>
      </c>
      <c r="E54" s="3">
        <f t="shared" si="2"/>
        <v>0</v>
      </c>
      <c r="F54" s="3"/>
      <c r="G54" s="3"/>
      <c r="H54" s="3"/>
      <c r="I54" s="3">
        <f t="shared" si="3"/>
        <v>10000</v>
      </c>
      <c r="J54" s="3"/>
      <c r="K54" s="3"/>
      <c r="L54" s="3">
        <v>10000</v>
      </c>
      <c r="M54" s="3"/>
      <c r="N54" s="3"/>
    </row>
    <row r="55" spans="1:14" s="5" customFormat="1" ht="42" customHeight="1">
      <c r="A55" s="1">
        <v>2120803</v>
      </c>
      <c r="B55" s="33" t="s">
        <v>21</v>
      </c>
      <c r="C55" s="59" t="s">
        <v>69</v>
      </c>
      <c r="D55" s="31">
        <f t="shared" si="1"/>
        <v>3000</v>
      </c>
      <c r="E55" s="3">
        <f t="shared" si="2"/>
        <v>0</v>
      </c>
      <c r="F55" s="3"/>
      <c r="G55" s="3"/>
      <c r="H55" s="3"/>
      <c r="I55" s="3">
        <f t="shared" si="3"/>
        <v>3000</v>
      </c>
      <c r="J55" s="3"/>
      <c r="K55" s="3"/>
      <c r="L55" s="3">
        <v>3000</v>
      </c>
      <c r="M55" s="3"/>
      <c r="N55" s="3"/>
    </row>
    <row r="56" spans="1:14" ht="42" customHeight="1">
      <c r="A56" s="1">
        <v>2210201</v>
      </c>
      <c r="B56" s="33" t="s">
        <v>21</v>
      </c>
      <c r="C56" s="2" t="s">
        <v>3</v>
      </c>
      <c r="D56" s="31">
        <f t="shared" si="1"/>
        <v>63.26</v>
      </c>
      <c r="E56" s="3">
        <f t="shared" si="2"/>
        <v>63.26</v>
      </c>
      <c r="F56" s="3">
        <v>0</v>
      </c>
      <c r="G56" s="3">
        <v>63.26</v>
      </c>
      <c r="H56" s="3">
        <v>0</v>
      </c>
      <c r="I56" s="3">
        <f t="shared" si="3"/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ht="42" customHeight="1">
      <c r="A57" s="1">
        <v>2210202</v>
      </c>
      <c r="B57" s="1" t="s">
        <v>21</v>
      </c>
      <c r="C57" s="2" t="s">
        <v>4</v>
      </c>
      <c r="D57" s="31">
        <f t="shared" si="1"/>
        <v>19.440000000000001</v>
      </c>
      <c r="E57" s="3">
        <f t="shared" si="2"/>
        <v>19.440000000000001</v>
      </c>
      <c r="F57" s="3"/>
      <c r="G57" s="3">
        <v>19.440000000000001</v>
      </c>
      <c r="H57" s="3">
        <v>0</v>
      </c>
      <c r="I57" s="3">
        <f t="shared" si="3"/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 ht="42" customHeight="1"/>
    <row r="59" spans="1:14" ht="42" customHeight="1"/>
    <row r="60" spans="1:14" ht="42" customHeight="1"/>
    <row r="61" spans="1:14" ht="42" customHeight="1"/>
    <row r="62" spans="1:14" ht="42" customHeight="1"/>
    <row r="63" spans="1:14" ht="42" customHeight="1"/>
    <row r="64" spans="1:14" ht="42" customHeight="1"/>
    <row r="65" ht="42" customHeight="1"/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67" right="0.19" top="0.3" bottom="0.7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Administrator</cp:lastModifiedBy>
  <cp:lastPrinted>2016-03-11T01:33:14Z</cp:lastPrinted>
  <dcterms:created xsi:type="dcterms:W3CDTF">2013-11-06T04:02:09Z</dcterms:created>
  <dcterms:modified xsi:type="dcterms:W3CDTF">2016-03-11T01:33:20Z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