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'公共财政预算总表（按类别）'!$A$1:$N$12</definedName>
    <definedName name="_xlnm.Print_Titles" localSheetId="0">'公共财政预算总表（按类别）'!$1:$6</definedName>
  </definedNames>
  <calcPr calcId="125725"/>
</workbook>
</file>

<file path=xl/calcChain.xml><?xml version="1.0" encoding="utf-8"?>
<calcChain xmlns="http://schemas.openxmlformats.org/spreadsheetml/2006/main">
  <c r="F7" i="1"/>
  <c r="G7"/>
  <c r="H7"/>
  <c r="I7"/>
  <c r="J7"/>
  <c r="K7"/>
  <c r="L7"/>
  <c r="M7"/>
  <c r="N7"/>
  <c r="E21"/>
  <c r="D21" s="1"/>
  <c r="I23"/>
  <c r="I24"/>
  <c r="I25"/>
  <c r="I26"/>
  <c r="I27"/>
  <c r="I28"/>
  <c r="I29"/>
  <c r="I22"/>
  <c r="E9"/>
  <c r="E10"/>
  <c r="D10" s="1"/>
  <c r="E11"/>
  <c r="D11" s="1"/>
  <c r="E12"/>
  <c r="D12" s="1"/>
  <c r="E13"/>
  <c r="D13" s="1"/>
  <c r="E14"/>
  <c r="D14" s="1"/>
  <c r="E15"/>
  <c r="D15" s="1"/>
  <c r="E16"/>
  <c r="D16" s="1"/>
  <c r="E17"/>
  <c r="D17" s="1"/>
  <c r="E18"/>
  <c r="D18" s="1"/>
  <c r="E19"/>
  <c r="D19" s="1"/>
  <c r="E20"/>
  <c r="D20" s="1"/>
  <c r="E23"/>
  <c r="D23" s="1"/>
  <c r="E24"/>
  <c r="D24" s="1"/>
  <c r="E25"/>
  <c r="D25" s="1"/>
  <c r="E26"/>
  <c r="D26" s="1"/>
  <c r="E27"/>
  <c r="D27" s="1"/>
  <c r="E28"/>
  <c r="D28" s="1"/>
  <c r="E29"/>
  <c r="D29" s="1"/>
  <c r="E8"/>
  <c r="D8" s="1"/>
  <c r="D22" l="1"/>
  <c r="E7"/>
  <c r="D9"/>
  <c r="D7" s="1"/>
</calcChain>
</file>

<file path=xl/sharedStrings.xml><?xml version="1.0" encoding="utf-8"?>
<sst xmlns="http://schemas.openxmlformats.org/spreadsheetml/2006/main" count="67" uniqueCount="48">
  <si>
    <t>部门发展</t>
  </si>
  <si>
    <t>社会发展</t>
  </si>
  <si>
    <t>合计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</si>
  <si>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</si>
  <si>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</si>
  <si>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</si>
  <si>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</si>
  <si>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</si>
  <si>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</si>
  <si>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</si>
  <si>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</si>
  <si>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</si>
  <si>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</si>
  <si>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</si>
  <si>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</si>
  <si>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</si>
  <si>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</si>
  <si>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</si>
  <si>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2016年支出预算总表</t>
    <phoneticPr fontId="0" type="noConversion"/>
  </si>
  <si>
    <t>在职人员年金</t>
  </si>
  <si>
    <t>在职人员基本工资</t>
  </si>
  <si>
    <t>在职人员地方津补贴(含行业性津贴)</t>
  </si>
  <si>
    <t>在职人员工伤保险</t>
  </si>
  <si>
    <t>在职人员年终一个月奖金及防暑降温费(行政参公单位及未实施绩效工资改革的事业单位)</t>
  </si>
  <si>
    <t>在职人员医疗保险</t>
  </si>
  <si>
    <t>在职人员改革性补贴（提租补贴）</t>
  </si>
  <si>
    <t>在职人员养老保险</t>
  </si>
  <si>
    <t>在职人员生育保险</t>
  </si>
  <si>
    <t>其他人员支出</t>
  </si>
  <si>
    <t>财政信息平台一体化项目</t>
  </si>
  <si>
    <t>全区会计档案等规范化建设与管理</t>
  </si>
  <si>
    <t>[2010604]预算改革业务</t>
  </si>
  <si>
    <t>[2010601]行政运行</t>
  </si>
  <si>
    <t>[2210202]提租补贴</t>
  </si>
  <si>
    <t>[2010602]行政运行</t>
  </si>
  <si>
    <t>[2210201]住房公积金</t>
  </si>
  <si>
    <t>在职人员住房公积金</t>
    <phoneticPr fontId="0" type="noConversion"/>
  </si>
  <si>
    <t>综合定额公用经费</t>
    <phoneticPr fontId="0" type="noConversion"/>
  </si>
  <si>
    <t>公务用车运行费</t>
  </si>
  <si>
    <t>局机关党委工作经费</t>
  </si>
  <si>
    <t>财政绩效管理工作经费</t>
  </si>
  <si>
    <t>会计证办证费</t>
  </si>
  <si>
    <t>行政事业单位资产登记等费用</t>
  </si>
  <si>
    <t>票据管理中心</t>
  </si>
  <si>
    <t>专项业务经费(出国境经费10万元）</t>
  </si>
  <si>
    <t>误餐及通讯补贴</t>
  </si>
  <si>
    <t>[2010603]行政运行</t>
  </si>
  <si>
    <t>单位：区财政金融局本级</t>
    <phoneticPr fontId="0" type="noConversion"/>
  </si>
</sst>
</file>

<file path=xl/styles.xml><?xml version="1.0" encoding="utf-8"?>
<styleSheet xmlns="http://schemas.openxmlformats.org/spreadsheetml/2006/main">
  <numFmts count="1">
    <numFmt numFmtId="176" formatCode="###,###,###,##0.00"/>
  </numFmts>
  <fonts count="3"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0" fillId="0" borderId="1" xfId="0" applyBorder="1">
      <alignment vertical="center"/>
    </xf>
    <xf numFmtId="49" fontId="0" fillId="2" borderId="1" xfId="0" applyNumberFormat="1" applyFont="1" applyFill="1" applyBorder="1" applyAlignment="1">
      <alignment horizontal="justify" vertical="center"/>
    </xf>
    <xf numFmtId="176" fontId="0" fillId="2" borderId="1" xfId="0" applyNumberFormat="1" applyFont="1" applyFill="1" applyBorder="1" applyAlignment="1">
      <alignment horizontal="right" vertical="center"/>
    </xf>
    <xf numFmtId="49" fontId="0" fillId="2" borderId="1" xfId="0" applyNumberFormat="1" applyFill="1" applyBorder="1" applyAlignment="1">
      <alignment horizontal="justify" vertical="center"/>
    </xf>
    <xf numFmtId="0" fontId="0" fillId="0" borderId="0" xfId="0" applyBorder="1">
      <alignment vertical="center"/>
    </xf>
    <xf numFmtId="4" fontId="0" fillId="0" borderId="0" xfId="0" applyNumberFormat="1" applyFill="1" applyBorder="1" applyAlignment="1">
      <alignment horizontal="right" vertical="center" wrapText="1"/>
    </xf>
    <xf numFmtId="0" fontId="0" fillId="0" borderId="0" xfId="0" applyFill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showGridLines="0" showZeros="0" tabSelected="1" workbookViewId="0">
      <selection activeCell="F7" sqref="F7"/>
    </sheetView>
  </sheetViews>
  <sheetFormatPr defaultRowHeight="11.25"/>
  <cols>
    <col min="1" max="1" width="12.6640625" customWidth="1"/>
    <col min="2" max="2" width="15.1640625" customWidth="1"/>
    <col min="3" max="3" width="39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2" width="11.1640625" customWidth="1"/>
    <col min="13" max="13" width="9" customWidth="1"/>
    <col min="14" max="14" width="11.1640625" customWidth="1"/>
  </cols>
  <sheetData>
    <row r="1" spans="1:16" ht="11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6" ht="47.25" customHeight="1">
      <c r="A2" s="8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6" ht="17.25" customHeight="1">
      <c r="A3" s="6" t="s">
        <v>47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3" t="s">
        <v>3</v>
      </c>
    </row>
    <row r="4" spans="1:16" ht="20.25" customHeight="1">
      <c r="A4" s="21" t="s">
        <v>4</v>
      </c>
      <c r="B4" s="21" t="s">
        <v>5</v>
      </c>
      <c r="C4" s="21" t="s">
        <v>6</v>
      </c>
      <c r="D4" s="21" t="s">
        <v>7</v>
      </c>
      <c r="E4" s="23" t="s">
        <v>8</v>
      </c>
      <c r="F4" s="24"/>
      <c r="G4" s="24"/>
      <c r="H4" s="25"/>
      <c r="I4" s="26" t="s">
        <v>9</v>
      </c>
      <c r="J4" s="26"/>
      <c r="K4" s="26"/>
      <c r="L4" s="26"/>
      <c r="M4" s="21" t="s">
        <v>10</v>
      </c>
      <c r="N4" s="21" t="s">
        <v>11</v>
      </c>
    </row>
    <row r="5" spans="1:16" ht="44.25" customHeight="1">
      <c r="A5" s="22"/>
      <c r="B5" s="22"/>
      <c r="C5" s="22"/>
      <c r="D5" s="22"/>
      <c r="E5" s="10" t="s">
        <v>12</v>
      </c>
      <c r="F5" s="10" t="s">
        <v>13</v>
      </c>
      <c r="G5" s="10" t="s">
        <v>14</v>
      </c>
      <c r="H5" s="10" t="s">
        <v>15</v>
      </c>
      <c r="I5" s="11" t="s">
        <v>12</v>
      </c>
      <c r="J5" s="12" t="s">
        <v>16</v>
      </c>
      <c r="K5" s="11" t="s">
        <v>0</v>
      </c>
      <c r="L5" s="11" t="s">
        <v>1</v>
      </c>
      <c r="M5" s="22"/>
      <c r="N5" s="22"/>
    </row>
    <row r="6" spans="1:16" ht="16.5" customHeight="1">
      <c r="A6" s="9" t="s">
        <v>17</v>
      </c>
      <c r="B6" s="9" t="s">
        <v>17</v>
      </c>
      <c r="C6" s="9" t="s">
        <v>17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18"/>
      <c r="P6" s="18"/>
    </row>
    <row r="7" spans="1:16" s="1" customFormat="1" ht="24.95" customHeight="1">
      <c r="A7" s="2"/>
      <c r="B7" s="3" t="s">
        <v>2</v>
      </c>
      <c r="C7" s="3"/>
      <c r="D7" s="4">
        <f>SUM(D8:D29)</f>
        <v>1115.47</v>
      </c>
      <c r="E7" s="4">
        <f>SUM(E8:E29)</f>
        <v>805.47</v>
      </c>
      <c r="F7" s="4">
        <f t="shared" ref="F7:N7" si="0">SUM(F8:F29)</f>
        <v>678.45</v>
      </c>
      <c r="G7" s="4">
        <f t="shared" si="0"/>
        <v>75.97</v>
      </c>
      <c r="H7" s="4">
        <f t="shared" si="0"/>
        <v>51.05</v>
      </c>
      <c r="I7" s="4">
        <f t="shared" si="0"/>
        <v>310</v>
      </c>
      <c r="J7" s="4">
        <f t="shared" si="0"/>
        <v>200</v>
      </c>
      <c r="K7" s="4">
        <f t="shared" si="0"/>
        <v>110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19"/>
      <c r="P7" s="20"/>
    </row>
    <row r="8" spans="1:16" ht="24.95" customHeight="1">
      <c r="A8" s="15" t="s">
        <v>32</v>
      </c>
      <c r="B8" s="3"/>
      <c r="C8" s="15" t="s">
        <v>19</v>
      </c>
      <c r="D8" s="4">
        <f>E8+I8</f>
        <v>28.06</v>
      </c>
      <c r="E8" s="4">
        <f>SUM(F8:H8)</f>
        <v>28.06</v>
      </c>
      <c r="F8" s="16">
        <v>28.06</v>
      </c>
      <c r="G8" s="4"/>
      <c r="H8" s="4"/>
      <c r="I8" s="4"/>
      <c r="J8" s="4"/>
      <c r="K8" s="4"/>
      <c r="L8" s="4"/>
      <c r="M8" s="4">
        <v>0</v>
      </c>
      <c r="N8" s="4">
        <v>0</v>
      </c>
      <c r="O8" s="18"/>
      <c r="P8" s="18"/>
    </row>
    <row r="9" spans="1:16" ht="24.95" customHeight="1">
      <c r="A9" s="15" t="s">
        <v>32</v>
      </c>
      <c r="B9" s="3"/>
      <c r="C9" s="15" t="s">
        <v>20</v>
      </c>
      <c r="D9" s="4">
        <f t="shared" ref="D9:D21" si="1">E9+I9</f>
        <v>175.2</v>
      </c>
      <c r="E9" s="4">
        <f t="shared" ref="E9:E21" si="2">SUM(F9:H9)</f>
        <v>175.2</v>
      </c>
      <c r="F9" s="16">
        <v>175.2</v>
      </c>
      <c r="G9" s="4"/>
      <c r="H9" s="4"/>
      <c r="I9" s="4"/>
      <c r="J9" s="4">
        <v>0</v>
      </c>
      <c r="K9" s="4"/>
      <c r="L9" s="4"/>
      <c r="M9" s="4">
        <v>0</v>
      </c>
      <c r="N9" s="4">
        <v>0</v>
      </c>
      <c r="O9" s="19"/>
      <c r="P9" s="18"/>
    </row>
    <row r="10" spans="1:16" ht="24.95" customHeight="1">
      <c r="A10" s="15" t="s">
        <v>32</v>
      </c>
      <c r="B10" s="3"/>
      <c r="C10" s="15" t="s">
        <v>21</v>
      </c>
      <c r="D10" s="4">
        <f>E10+I10</f>
        <v>276.55</v>
      </c>
      <c r="E10" s="4">
        <f t="shared" si="2"/>
        <v>276.55</v>
      </c>
      <c r="F10" s="16">
        <v>276.55</v>
      </c>
      <c r="G10" s="4"/>
      <c r="H10" s="4"/>
      <c r="I10" s="4"/>
      <c r="J10" s="4"/>
      <c r="K10" s="4"/>
      <c r="L10" s="4"/>
      <c r="M10" s="4">
        <v>0</v>
      </c>
      <c r="N10" s="4">
        <v>0</v>
      </c>
      <c r="O10" s="18"/>
      <c r="P10" s="18"/>
    </row>
    <row r="11" spans="1:16" ht="24.95" customHeight="1">
      <c r="A11" s="15" t="s">
        <v>32</v>
      </c>
      <c r="B11" s="3"/>
      <c r="C11" s="15" t="s">
        <v>22</v>
      </c>
      <c r="D11" s="4">
        <f t="shared" si="1"/>
        <v>1.75</v>
      </c>
      <c r="E11" s="4">
        <f t="shared" si="2"/>
        <v>1.75</v>
      </c>
      <c r="F11" s="16">
        <v>1.75</v>
      </c>
      <c r="G11" s="4"/>
      <c r="H11" s="4"/>
      <c r="I11" s="4"/>
      <c r="J11" s="4"/>
      <c r="K11" s="4"/>
      <c r="L11" s="4"/>
      <c r="M11" s="4">
        <v>0</v>
      </c>
      <c r="N11" s="4">
        <v>0</v>
      </c>
      <c r="O11" s="19"/>
      <c r="P11" s="18"/>
    </row>
    <row r="12" spans="1:16" ht="24.95" customHeight="1">
      <c r="A12" s="15" t="s">
        <v>32</v>
      </c>
      <c r="B12" s="3"/>
      <c r="C12" s="15" t="s">
        <v>23</v>
      </c>
      <c r="D12" s="4">
        <f t="shared" si="1"/>
        <v>29.48</v>
      </c>
      <c r="E12" s="4">
        <f t="shared" si="2"/>
        <v>29.48</v>
      </c>
      <c r="F12" s="16">
        <v>29.48</v>
      </c>
      <c r="G12" s="4"/>
      <c r="H12" s="4"/>
      <c r="I12" s="4"/>
      <c r="J12" s="4"/>
      <c r="K12" s="4"/>
      <c r="L12" s="4"/>
      <c r="M12" s="4">
        <v>0</v>
      </c>
      <c r="N12" s="4">
        <v>0</v>
      </c>
      <c r="O12" s="18"/>
      <c r="P12" s="18"/>
    </row>
    <row r="13" spans="1:16" ht="42" customHeight="1">
      <c r="A13" s="15" t="s">
        <v>32</v>
      </c>
      <c r="B13" s="14"/>
      <c r="C13" s="15" t="s">
        <v>24</v>
      </c>
      <c r="D13" s="4">
        <f t="shared" si="1"/>
        <v>28.06</v>
      </c>
      <c r="E13" s="4">
        <f t="shared" si="2"/>
        <v>28.06</v>
      </c>
      <c r="F13" s="16">
        <v>28.06</v>
      </c>
      <c r="G13" s="14"/>
      <c r="H13" s="14"/>
      <c r="I13" s="14"/>
      <c r="J13" s="14"/>
      <c r="K13" s="14"/>
      <c r="L13" s="14"/>
      <c r="M13" s="14"/>
      <c r="N13" s="14"/>
      <c r="O13" s="19"/>
      <c r="P13" s="18"/>
    </row>
    <row r="14" spans="1:16" ht="42" customHeight="1">
      <c r="A14" s="15" t="s">
        <v>33</v>
      </c>
      <c r="B14" s="14"/>
      <c r="C14" s="15" t="s">
        <v>25</v>
      </c>
      <c r="D14" s="4">
        <f t="shared" si="1"/>
        <v>22.57</v>
      </c>
      <c r="E14" s="4">
        <f t="shared" si="2"/>
        <v>22.57</v>
      </c>
      <c r="F14" s="16">
        <v>22.57</v>
      </c>
      <c r="G14" s="14"/>
      <c r="H14" s="14"/>
      <c r="I14" s="14"/>
      <c r="J14" s="14"/>
      <c r="K14" s="14"/>
      <c r="L14" s="14"/>
      <c r="M14" s="14"/>
      <c r="N14" s="14"/>
      <c r="O14" s="18"/>
      <c r="P14" s="18"/>
    </row>
    <row r="15" spans="1:16" ht="42" customHeight="1">
      <c r="A15" s="15" t="s">
        <v>32</v>
      </c>
      <c r="B15" s="14"/>
      <c r="C15" s="15" t="s">
        <v>26</v>
      </c>
      <c r="D15" s="4">
        <f t="shared" si="1"/>
        <v>70.150000000000006</v>
      </c>
      <c r="E15" s="4">
        <f t="shared" si="2"/>
        <v>70.150000000000006</v>
      </c>
      <c r="F15" s="16">
        <v>70.150000000000006</v>
      </c>
      <c r="G15" s="14"/>
      <c r="H15" s="14"/>
      <c r="I15" s="14"/>
      <c r="J15" s="14"/>
      <c r="K15" s="14"/>
      <c r="L15" s="14"/>
      <c r="M15" s="14"/>
      <c r="N15" s="14"/>
      <c r="O15" s="19"/>
      <c r="P15" s="18"/>
    </row>
    <row r="16" spans="1:16" ht="42" customHeight="1">
      <c r="A16" s="15" t="s">
        <v>32</v>
      </c>
      <c r="B16" s="14"/>
      <c r="C16" s="15" t="s">
        <v>27</v>
      </c>
      <c r="D16" s="4">
        <f t="shared" si="1"/>
        <v>1.23</v>
      </c>
      <c r="E16" s="4">
        <f t="shared" si="2"/>
        <v>1.23</v>
      </c>
      <c r="F16" s="16">
        <v>1.23</v>
      </c>
      <c r="G16" s="14"/>
      <c r="H16" s="14"/>
      <c r="I16" s="14"/>
      <c r="J16" s="14"/>
      <c r="K16" s="14"/>
      <c r="L16" s="14"/>
      <c r="M16" s="14"/>
      <c r="N16" s="14"/>
      <c r="O16" s="18"/>
      <c r="P16" s="18"/>
    </row>
    <row r="17" spans="1:16" ht="42" customHeight="1">
      <c r="A17" s="15" t="s">
        <v>34</v>
      </c>
      <c r="B17" s="14"/>
      <c r="C17" s="15" t="s">
        <v>28</v>
      </c>
      <c r="D17" s="4">
        <f t="shared" si="1"/>
        <v>21</v>
      </c>
      <c r="E17" s="4">
        <f t="shared" si="2"/>
        <v>21</v>
      </c>
      <c r="F17" s="16">
        <v>21</v>
      </c>
      <c r="G17" s="14"/>
      <c r="H17" s="14"/>
      <c r="I17" s="14"/>
      <c r="J17" s="14"/>
      <c r="K17" s="14"/>
      <c r="L17" s="14"/>
      <c r="M17" s="14"/>
      <c r="N17" s="14"/>
      <c r="O17" s="19"/>
      <c r="P17" s="18"/>
    </row>
    <row r="18" spans="1:16" s="6" customFormat="1" ht="42" customHeight="1">
      <c r="A18" s="15" t="s">
        <v>35</v>
      </c>
      <c r="B18" s="14"/>
      <c r="C18" s="17" t="s">
        <v>36</v>
      </c>
      <c r="D18" s="4">
        <f t="shared" si="1"/>
        <v>75.97</v>
      </c>
      <c r="E18" s="4">
        <f t="shared" si="2"/>
        <v>75.97</v>
      </c>
      <c r="F18" s="16"/>
      <c r="G18" s="14">
        <v>75.97</v>
      </c>
      <c r="H18" s="14"/>
      <c r="I18" s="14"/>
      <c r="J18" s="14"/>
      <c r="K18" s="14"/>
      <c r="L18" s="14"/>
      <c r="M18" s="14"/>
      <c r="N18" s="14"/>
      <c r="O18" s="18"/>
      <c r="P18" s="18"/>
    </row>
    <row r="19" spans="1:16" s="6" customFormat="1" ht="42" customHeight="1">
      <c r="A19" s="15" t="s">
        <v>32</v>
      </c>
      <c r="B19" s="14"/>
      <c r="C19" s="17" t="s">
        <v>38</v>
      </c>
      <c r="D19" s="4">
        <f t="shared" si="1"/>
        <v>11.4</v>
      </c>
      <c r="E19" s="4">
        <f t="shared" si="2"/>
        <v>11.4</v>
      </c>
      <c r="F19" s="16"/>
      <c r="G19" s="14"/>
      <c r="H19" s="14">
        <v>11.4</v>
      </c>
      <c r="I19" s="14"/>
      <c r="J19" s="14"/>
      <c r="K19" s="14"/>
      <c r="L19" s="14"/>
      <c r="M19" s="14"/>
      <c r="N19" s="14"/>
      <c r="O19" s="19"/>
      <c r="P19" s="18"/>
    </row>
    <row r="20" spans="1:16" s="6" customFormat="1" ht="42" customHeight="1">
      <c r="A20" s="15" t="s">
        <v>34</v>
      </c>
      <c r="B20" s="14"/>
      <c r="C20" s="17" t="s">
        <v>37</v>
      </c>
      <c r="D20" s="4">
        <f t="shared" si="1"/>
        <v>39.65</v>
      </c>
      <c r="E20" s="4">
        <f t="shared" si="2"/>
        <v>39.65</v>
      </c>
      <c r="F20" s="16"/>
      <c r="G20" s="14"/>
      <c r="H20" s="14">
        <v>39.65</v>
      </c>
      <c r="I20" s="14"/>
      <c r="J20" s="14"/>
      <c r="K20" s="14"/>
      <c r="L20" s="14"/>
      <c r="M20" s="14"/>
      <c r="N20" s="14"/>
      <c r="O20" s="18"/>
      <c r="P20" s="18"/>
    </row>
    <row r="21" spans="1:16" ht="42" customHeight="1">
      <c r="A21" s="15" t="s">
        <v>46</v>
      </c>
      <c r="B21" s="14"/>
      <c r="C21" s="15" t="s">
        <v>45</v>
      </c>
      <c r="D21" s="4">
        <f t="shared" si="1"/>
        <v>24.4</v>
      </c>
      <c r="E21" s="4">
        <f t="shared" si="2"/>
        <v>24.4</v>
      </c>
      <c r="F21" s="14">
        <v>24.4</v>
      </c>
      <c r="G21" s="14"/>
      <c r="H21" s="14"/>
      <c r="I21" s="14"/>
      <c r="J21" s="14"/>
      <c r="K21" s="14"/>
      <c r="L21" s="14"/>
      <c r="M21" s="14"/>
      <c r="N21" s="14"/>
      <c r="O21" s="19"/>
      <c r="P21" s="18"/>
    </row>
    <row r="22" spans="1:16" ht="42" customHeight="1">
      <c r="A22" s="15" t="s">
        <v>31</v>
      </c>
      <c r="B22" s="14"/>
      <c r="C22" s="15" t="s">
        <v>29</v>
      </c>
      <c r="D22" s="4">
        <f t="shared" ref="D22:D29" si="3">E22+I22</f>
        <v>80</v>
      </c>
      <c r="E22" s="4"/>
      <c r="F22" s="14"/>
      <c r="G22" s="14"/>
      <c r="H22" s="14"/>
      <c r="I22" s="14">
        <f>SUM(J22:N22)</f>
        <v>80</v>
      </c>
      <c r="J22" s="14"/>
      <c r="K22" s="14">
        <v>80</v>
      </c>
      <c r="L22" s="14"/>
      <c r="M22" s="14"/>
      <c r="N22" s="14"/>
      <c r="O22" s="18"/>
      <c r="P22" s="18"/>
    </row>
    <row r="23" spans="1:16" ht="42" customHeight="1">
      <c r="A23" s="15" t="s">
        <v>32</v>
      </c>
      <c r="B23" s="14"/>
      <c r="C23" s="15" t="s">
        <v>30</v>
      </c>
      <c r="D23" s="4">
        <f t="shared" si="3"/>
        <v>30</v>
      </c>
      <c r="E23" s="4">
        <f t="shared" ref="E23:E29" si="4">SUM(F23:H23)</f>
        <v>0</v>
      </c>
      <c r="F23" s="14"/>
      <c r="G23" s="14"/>
      <c r="H23" s="14"/>
      <c r="I23" s="14">
        <f t="shared" ref="I23:I29" si="5">SUM(J23:N23)</f>
        <v>30</v>
      </c>
      <c r="J23" s="14"/>
      <c r="K23" s="14">
        <v>30</v>
      </c>
      <c r="L23" s="14">
        <v>0</v>
      </c>
      <c r="M23" s="14"/>
      <c r="N23" s="14"/>
      <c r="O23" s="19"/>
      <c r="P23" s="18"/>
    </row>
    <row r="24" spans="1:16" ht="22.5">
      <c r="A24" s="15" t="s">
        <v>32</v>
      </c>
      <c r="B24" s="14"/>
      <c r="C24" s="15" t="s">
        <v>39</v>
      </c>
      <c r="D24" s="4">
        <f t="shared" si="3"/>
        <v>10</v>
      </c>
      <c r="E24" s="4">
        <f t="shared" si="4"/>
        <v>0</v>
      </c>
      <c r="F24" s="14"/>
      <c r="G24" s="14"/>
      <c r="H24" s="14"/>
      <c r="I24" s="14">
        <f t="shared" si="5"/>
        <v>10</v>
      </c>
      <c r="J24" s="16">
        <v>10</v>
      </c>
      <c r="K24" s="14"/>
      <c r="L24" s="14"/>
      <c r="M24" s="14"/>
      <c r="N24" s="14"/>
      <c r="O24" s="18"/>
      <c r="P24" s="18"/>
    </row>
    <row r="25" spans="1:16" ht="22.5">
      <c r="A25" s="15" t="s">
        <v>32</v>
      </c>
      <c r="B25" s="14"/>
      <c r="C25" s="15" t="s">
        <v>40</v>
      </c>
      <c r="D25" s="4">
        <f t="shared" si="3"/>
        <v>10</v>
      </c>
      <c r="E25" s="4">
        <f t="shared" si="4"/>
        <v>0</v>
      </c>
      <c r="F25" s="14"/>
      <c r="G25" s="14"/>
      <c r="H25" s="14"/>
      <c r="I25" s="14">
        <f t="shared" si="5"/>
        <v>10</v>
      </c>
      <c r="J25" s="16">
        <v>10</v>
      </c>
      <c r="K25" s="14"/>
      <c r="L25" s="14"/>
      <c r="M25" s="14"/>
      <c r="N25" s="14"/>
      <c r="O25" s="19"/>
      <c r="P25" s="18"/>
    </row>
    <row r="26" spans="1:16" ht="22.5">
      <c r="A26" s="15" t="s">
        <v>32</v>
      </c>
      <c r="B26" s="14"/>
      <c r="C26" s="15" t="s">
        <v>41</v>
      </c>
      <c r="D26" s="4">
        <f t="shared" si="3"/>
        <v>5</v>
      </c>
      <c r="E26" s="4">
        <f t="shared" si="4"/>
        <v>0</v>
      </c>
      <c r="F26" s="14"/>
      <c r="G26" s="14"/>
      <c r="H26" s="14"/>
      <c r="I26" s="14">
        <f t="shared" si="5"/>
        <v>5</v>
      </c>
      <c r="J26" s="16">
        <v>5</v>
      </c>
      <c r="K26" s="14"/>
      <c r="L26" s="14"/>
      <c r="M26" s="14"/>
      <c r="N26" s="14"/>
      <c r="O26" s="18"/>
      <c r="P26" s="18"/>
    </row>
    <row r="27" spans="1:16" ht="22.5">
      <c r="A27" s="15" t="s">
        <v>32</v>
      </c>
      <c r="B27" s="14"/>
      <c r="C27" s="15" t="s">
        <v>42</v>
      </c>
      <c r="D27" s="4">
        <f t="shared" si="3"/>
        <v>10</v>
      </c>
      <c r="E27" s="4">
        <f t="shared" si="4"/>
        <v>0</v>
      </c>
      <c r="F27" s="14"/>
      <c r="G27" s="14"/>
      <c r="H27" s="14"/>
      <c r="I27" s="14">
        <f t="shared" si="5"/>
        <v>10</v>
      </c>
      <c r="J27" s="16">
        <v>10</v>
      </c>
      <c r="K27" s="14"/>
      <c r="L27" s="14"/>
      <c r="M27" s="14"/>
      <c r="N27" s="14"/>
      <c r="O27" s="19"/>
      <c r="P27" s="18"/>
    </row>
    <row r="28" spans="1:16" ht="22.5">
      <c r="A28" s="15" t="s">
        <v>32</v>
      </c>
      <c r="B28" s="14"/>
      <c r="C28" s="15" t="s">
        <v>43</v>
      </c>
      <c r="D28" s="4">
        <f t="shared" si="3"/>
        <v>15</v>
      </c>
      <c r="E28" s="4">
        <f t="shared" si="4"/>
        <v>0</v>
      </c>
      <c r="F28" s="14"/>
      <c r="G28" s="14"/>
      <c r="H28" s="14"/>
      <c r="I28" s="14">
        <f t="shared" si="5"/>
        <v>15</v>
      </c>
      <c r="J28" s="16">
        <v>15</v>
      </c>
      <c r="K28" s="14"/>
      <c r="L28" s="14"/>
      <c r="M28" s="14"/>
      <c r="N28" s="14"/>
      <c r="O28" s="18"/>
      <c r="P28" s="18"/>
    </row>
    <row r="29" spans="1:16" ht="22.5">
      <c r="A29" s="15" t="s">
        <v>32</v>
      </c>
      <c r="B29" s="14"/>
      <c r="C29" s="15" t="s">
        <v>44</v>
      </c>
      <c r="D29" s="4">
        <f t="shared" si="3"/>
        <v>150</v>
      </c>
      <c r="E29" s="4">
        <f t="shared" si="4"/>
        <v>0</v>
      </c>
      <c r="F29" s="14"/>
      <c r="G29" s="14"/>
      <c r="H29" s="14"/>
      <c r="I29" s="14">
        <f t="shared" si="5"/>
        <v>150</v>
      </c>
      <c r="J29" s="16">
        <v>150</v>
      </c>
      <c r="K29" s="14"/>
      <c r="L29" s="14"/>
      <c r="M29" s="14"/>
      <c r="N29" s="14"/>
      <c r="O29" s="18"/>
      <c r="P29" s="18"/>
    </row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Administrator</cp:lastModifiedBy>
  <cp:lastPrinted>2014-12-01T08:02:38Z</cp:lastPrinted>
  <dcterms:created xsi:type="dcterms:W3CDTF">2013-11-06T04:02:09Z</dcterms:created>
  <dcterms:modified xsi:type="dcterms:W3CDTF">2016-12-07T10:39:48Z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