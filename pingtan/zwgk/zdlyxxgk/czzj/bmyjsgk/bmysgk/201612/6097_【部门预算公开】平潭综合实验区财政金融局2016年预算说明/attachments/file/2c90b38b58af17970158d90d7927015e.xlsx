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" windowWidth="15480" windowHeight="10125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25725"/>
  <fileRecoveryPr autoRecover="0"/>
</workbook>
</file>

<file path=xl/calcChain.xml><?xml version="1.0" encoding="utf-8"?>
<calcChain xmlns="http://schemas.openxmlformats.org/spreadsheetml/2006/main">
  <c r="B20" i="93"/>
  <c r="F8"/>
  <c r="F20"/>
  <c r="F6"/>
  <c r="D9"/>
  <c r="D6"/>
  <c r="D20" s="1"/>
  <c r="D10"/>
</calcChain>
</file>

<file path=xl/sharedStrings.xml><?xml version="1.0" encoding="utf-8"?>
<sst xmlns="http://schemas.openxmlformats.org/spreadsheetml/2006/main" count="47" uniqueCount="42">
  <si>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</si>
  <si>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</si>
  <si>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</si>
  <si>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</si>
  <si>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</si>
  <si>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</si>
  <si>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</si>
  <si>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二、商品和服务支出</t>
    <phoneticPr fontId="2" type="noConversion"/>
  </si>
  <si>
    <t>三、对个人和家庭的补助</t>
    <phoneticPr fontId="2" type="noConversion"/>
  </si>
  <si>
    <t>二、基金预算财政拨款</t>
    <phoneticPr fontId="2" type="noConversion"/>
  </si>
  <si>
    <t>四、对企事业单位的补贴</t>
    <phoneticPr fontId="2" type="noConversion"/>
  </si>
  <si>
    <t>二、项目支出</t>
    <phoneticPr fontId="2" type="noConversion"/>
  </si>
  <si>
    <t>五、转移支付</t>
    <phoneticPr fontId="2" type="noConversion"/>
  </si>
  <si>
    <t>三、对附属单位补助支出</t>
    <phoneticPr fontId="2" type="noConversion"/>
  </si>
  <si>
    <t>本年收入合计</t>
    <phoneticPr fontId="2" type="noConversion"/>
  </si>
  <si>
    <t>本年支出合计</t>
    <phoneticPr fontId="2" type="noConversion"/>
  </si>
  <si>
    <t>四、上缴上级支出</t>
    <phoneticPr fontId="2" type="noConversion"/>
  </si>
  <si>
    <t xml:space="preserve">    对个人和家庭的补助</t>
    <phoneticPr fontId="2" type="noConversion"/>
  </si>
  <si>
    <t xml:space="preserve">    公用支出</t>
    <phoneticPr fontId="2" type="noConversion"/>
  </si>
  <si>
    <t>六、债务利息支出</t>
    <phoneticPr fontId="2" type="noConversion"/>
  </si>
  <si>
    <t>七、基本建设支出</t>
    <phoneticPr fontId="2" type="noConversion"/>
  </si>
  <si>
    <t>八、其他资本性支出</t>
    <phoneticPr fontId="2" type="noConversion"/>
  </si>
  <si>
    <t>九、其他支出</t>
    <phoneticPr fontId="2" type="noConversion"/>
  </si>
  <si>
    <t>　　区级公共财政预算拨款　</t>
    <phoneticPr fontId="2" type="noConversion"/>
  </si>
  <si>
    <t>　　办案费补助返还</t>
    <phoneticPr fontId="2" type="noConversion"/>
  </si>
  <si>
    <t xml:space="preserve">    公共财政预算拨款补助</t>
    <phoneticPr fontId="2" type="noConversion"/>
  </si>
  <si>
    <t>　　行政事业性收费及专项收入</t>
    <phoneticPr fontId="2" type="noConversion"/>
  </si>
  <si>
    <t xml:space="preserve">    区级基金预算拨款</t>
    <phoneticPr fontId="2" type="noConversion"/>
  </si>
  <si>
    <t xml:space="preserve">    财政转移支付补助</t>
    <phoneticPr fontId="2" type="noConversion"/>
  </si>
  <si>
    <t xml:space="preserve">    财政转移支付补助（基金）</t>
    <phoneticPr fontId="2" type="noConversion"/>
  </si>
  <si>
    <t>三、财政代管资金</t>
    <phoneticPr fontId="2" type="noConversion"/>
  </si>
  <si>
    <t>四、财政专户</t>
    <phoneticPr fontId="2" type="noConversion"/>
  </si>
  <si>
    <t>五、单位结余、结转资金</t>
    <phoneticPr fontId="2" type="noConversion"/>
  </si>
  <si>
    <t>六、单位其他收入</t>
    <phoneticPr fontId="2" type="noConversion"/>
  </si>
  <si>
    <t>七、上级补助收入</t>
    <phoneticPr fontId="2" type="noConversion"/>
  </si>
  <si>
    <t xml:space="preserve">    人员支出</t>
    <phoneticPr fontId="2" type="noConversion"/>
  </si>
  <si>
    <t xml:space="preserve">    专项业务费</t>
    <phoneticPr fontId="2" type="noConversion"/>
  </si>
  <si>
    <t xml:space="preserve">    部门发展专项</t>
    <phoneticPr fontId="2" type="noConversion"/>
  </si>
  <si>
    <t xml:space="preserve">    社会发展专项</t>
    <phoneticPr fontId="2" type="noConversion"/>
  </si>
  <si>
    <t>2016年预算</t>
    <phoneticPr fontId="2" type="noConversion"/>
  </si>
  <si>
    <t>2016年收支预算总表</t>
    <phoneticPr fontId="2" type="noConversion"/>
  </si>
  <si>
    <t>单位：区财政金融局本级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</si>
</sst>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#,##0.00_ "/>
    <numFmt numFmtId="177" formatCode="#,##0.0000000000000_ "/>
  </numFmts>
  <fonts count="35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5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2" fillId="0" borderId="0">
      <alignment vertical="center"/>
    </xf>
    <xf numFmtId="0" fontId="29" fillId="0" borderId="0">
      <alignment vertical="center"/>
    </xf>
    <xf numFmtId="0" fontId="24" fillId="0" borderId="0">
      <alignment vertical="center"/>
    </xf>
    <xf numFmtId="0" fontId="3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2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5" fillId="0" borderId="0">
      <alignment vertical="center"/>
    </xf>
    <xf numFmtId="0" fontId="28" fillId="0" borderId="0"/>
    <xf numFmtId="0" fontId="30" fillId="0" borderId="0"/>
    <xf numFmtId="0" fontId="26" fillId="0" borderId="0">
      <alignment vertical="center"/>
    </xf>
    <xf numFmtId="0" fontId="1" fillId="0" borderId="0"/>
    <xf numFmtId="0" fontId="30" fillId="0" borderId="0"/>
    <xf numFmtId="0" fontId="2" fillId="0" borderId="0">
      <alignment vertical="center"/>
    </xf>
    <xf numFmtId="0" fontId="1" fillId="0" borderId="0"/>
    <xf numFmtId="0" fontId="30" fillId="0" borderId="0"/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" fillId="23" borderId="9" applyNumberFormat="0" applyFont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43" applyFill="1">
      <alignment vertical="center"/>
    </xf>
    <xf numFmtId="0" fontId="2" fillId="0" borderId="0" xfId="43">
      <alignment vertical="center"/>
    </xf>
    <xf numFmtId="0" fontId="2" fillId="0" borderId="0" xfId="43" applyFont="1" applyAlignment="1">
      <alignment horizontal="right" vertical="center"/>
    </xf>
    <xf numFmtId="0" fontId="20" fillId="0" borderId="0" xfId="43" applyFont="1" applyAlignment="1">
      <alignment horizontal="centerContinuous" vertical="center"/>
    </xf>
    <xf numFmtId="176" fontId="21" fillId="0" borderId="10" xfId="43" applyNumberFormat="1" applyFont="1" applyFill="1" applyBorder="1" applyAlignment="1">
      <alignment horizontal="right" vertical="center" wrapText="1"/>
    </xf>
    <xf numFmtId="0" fontId="33" fillId="0" borderId="10" xfId="43" applyFont="1" applyBorder="1" applyAlignment="1">
      <alignment horizontal="centerContinuous" vertical="center"/>
    </xf>
    <xf numFmtId="0" fontId="33" fillId="0" borderId="10" xfId="43" applyFont="1" applyBorder="1" applyAlignment="1">
      <alignment horizontal="center" vertical="center"/>
    </xf>
    <xf numFmtId="49" fontId="2" fillId="0" borderId="0" xfId="43" applyNumberFormat="1" applyFont="1" applyFill="1">
      <alignment vertical="center"/>
    </xf>
    <xf numFmtId="0" fontId="2" fillId="0" borderId="0" xfId="43" applyFont="1" applyFill="1">
      <alignment vertical="center"/>
    </xf>
    <xf numFmtId="0" fontId="2" fillId="0" borderId="0" xfId="43" applyFont="1" applyFill="1" applyAlignment="1">
      <alignment horizontal="right" vertical="center"/>
    </xf>
    <xf numFmtId="0" fontId="32" fillId="0" borderId="10" xfId="43" applyFont="1" applyFill="1" applyBorder="1">
      <alignment vertical="center"/>
    </xf>
    <xf numFmtId="4" fontId="21" fillId="0" borderId="10" xfId="43" applyNumberFormat="1" applyFont="1" applyFill="1" applyBorder="1" applyAlignment="1">
      <alignment horizontal="right" vertical="center" wrapText="1"/>
    </xf>
    <xf numFmtId="0" fontId="21" fillId="0" borderId="10" xfId="43" applyFont="1" applyFill="1" applyBorder="1" applyAlignment="1">
      <alignment horizontal="left" vertical="center"/>
    </xf>
    <xf numFmtId="0" fontId="21" fillId="0" borderId="10" xfId="43" applyFont="1" applyFill="1" applyBorder="1">
      <alignment vertical="center"/>
    </xf>
    <xf numFmtId="0" fontId="2" fillId="0" borderId="10" xfId="43" applyFill="1" applyBorder="1" applyAlignment="1">
      <alignment horizontal="left" vertical="center"/>
    </xf>
    <xf numFmtId="4" fontId="2" fillId="0" borderId="0" xfId="43" applyNumberFormat="1" applyFill="1">
      <alignment vertical="center"/>
    </xf>
    <xf numFmtId="4" fontId="2" fillId="0" borderId="10" xfId="43" applyNumberFormat="1" applyFill="1" applyBorder="1">
      <alignment vertical="center"/>
    </xf>
    <xf numFmtId="0" fontId="21" fillId="0" borderId="10" xfId="43" applyFont="1" applyFill="1" applyBorder="1" applyAlignment="1">
      <alignment horizontal="right" vertical="center" wrapText="1"/>
    </xf>
    <xf numFmtId="0" fontId="33" fillId="0" borderId="10" xfId="43" applyFont="1" applyFill="1" applyBorder="1" applyAlignment="1">
      <alignment horizontal="center" vertical="center"/>
    </xf>
    <xf numFmtId="177" fontId="2" fillId="0" borderId="0" xfId="43" applyNumberFormat="1" applyFill="1">
      <alignment vertical="center"/>
    </xf>
  </cellXfs>
  <cellStyles count="82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差_在职人员支出12" xfId="25"/>
    <cellStyle name="常规" xfId="0" builtinId="0"/>
    <cellStyle name="常规 2" xfId="26"/>
    <cellStyle name="常规 2 2" xfId="27"/>
    <cellStyle name="常规 2 2 2" xfId="28"/>
    <cellStyle name="常规 2 3" xfId="29"/>
    <cellStyle name="常规 2 3 2" xfId="30"/>
    <cellStyle name="常规 2 4" xfId="31"/>
    <cellStyle name="常规 2 4 2" xfId="32"/>
    <cellStyle name="常规 2 5" xfId="33"/>
    <cellStyle name="常规 2 5 2" xfId="34"/>
    <cellStyle name="常规 2 6" xfId="35"/>
    <cellStyle name="常规 2 6 2" xfId="36"/>
    <cellStyle name="常规 2 7" xfId="37"/>
    <cellStyle name="常规 3" xfId="38"/>
    <cellStyle name="常规 3 2" xfId="39"/>
    <cellStyle name="常规 3 3" xfId="40"/>
    <cellStyle name="常规 3 4" xfId="41"/>
    <cellStyle name="常规 3 5" xfId="42"/>
    <cellStyle name="常规 4" xfId="43"/>
    <cellStyle name="常规 4 2" xfId="44"/>
    <cellStyle name="常规 4 2 2" xfId="45"/>
    <cellStyle name="常规 4 3" xfId="46"/>
    <cellStyle name="常规 4 3 2" xfId="47"/>
    <cellStyle name="常规 4 4" xfId="48"/>
    <cellStyle name="常规 4 4 2" xfId="49"/>
    <cellStyle name="常规 4 5" xfId="50"/>
    <cellStyle name="常规 5" xfId="51"/>
    <cellStyle name="常规 5 2" xfId="52"/>
    <cellStyle name="常规 5 2 2" xfId="53"/>
    <cellStyle name="常规 6" xfId="54"/>
    <cellStyle name="常规 6 2" xfId="55"/>
    <cellStyle name="常规 6 2 2" xfId="56"/>
    <cellStyle name="常规 7" xfId="57"/>
    <cellStyle name="常规 7 2" xfId="58"/>
    <cellStyle name="常规 7 2 2" xfId="59"/>
    <cellStyle name="常规 8" xfId="60"/>
    <cellStyle name="常规 8 2" xfId="61"/>
    <cellStyle name="常规 9" xfId="62"/>
    <cellStyle name="常规 9 2" xfId="63"/>
    <cellStyle name="好" xfId="64" builtinId="26" customBuiltin="1"/>
    <cellStyle name="好_在职人员支出12" xfId="65"/>
    <cellStyle name="汇总" xfId="66" builtinId="25" customBuiltin="1"/>
    <cellStyle name="计算" xfId="67" builtinId="22" customBuiltin="1"/>
    <cellStyle name="检查单元格" xfId="68" builtinId="23" customBuiltin="1"/>
    <cellStyle name="解释性文本" xfId="69" builtinId="53" customBuiltin="1"/>
    <cellStyle name="警告文本" xfId="70" builtinId="11" customBuiltin="1"/>
    <cellStyle name="链接单元格" xfId="71" builtinId="24" customBuiltin="1"/>
    <cellStyle name="强调文字颜色 1" xfId="72" builtinId="29" customBuiltin="1"/>
    <cellStyle name="强调文字颜色 2" xfId="73" builtinId="33" customBuiltin="1"/>
    <cellStyle name="强调文字颜色 3" xfId="74" builtinId="37" customBuiltin="1"/>
    <cellStyle name="强调文字颜色 4" xfId="75" builtinId="41" customBuiltin="1"/>
    <cellStyle name="强调文字颜色 5" xfId="76" builtinId="45" customBuiltin="1"/>
    <cellStyle name="强调文字颜色 6" xfId="77" builtinId="49" customBuiltin="1"/>
    <cellStyle name="适中" xfId="78" builtinId="28" customBuiltin="1"/>
    <cellStyle name="输出" xfId="79" builtinId="21" customBuiltin="1"/>
    <cellStyle name="输入" xfId="80" builtinId="20" customBuiltin="1"/>
    <cellStyle name="注释" xfId="81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1"/>
  <sheetViews>
    <sheetView showGridLines="0" showZeros="0" tabSelected="1" zoomScaleNormal="100" workbookViewId="0">
      <selection activeCell="B21" sqref="B21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7" width="9" style="2"/>
    <col min="8" max="8" width="14.75" style="2" bestFit="1" customWidth="1"/>
    <col min="9" max="16384" width="9" style="2"/>
  </cols>
  <sheetData>
    <row r="1" spans="1:6" ht="18.75" customHeight="1">
      <c r="A1" s="1"/>
      <c r="F1" s="3"/>
    </row>
    <row r="2" spans="1:6" ht="26.25" customHeight="1">
      <c r="A2" s="4" t="s">
        <v>40</v>
      </c>
      <c r="B2" s="4"/>
      <c r="C2" s="4"/>
      <c r="D2" s="4"/>
      <c r="E2" s="4"/>
      <c r="F2" s="4"/>
    </row>
    <row r="3" spans="1:6" s="1" customFormat="1" ht="18.95" customHeight="1">
      <c r="A3" s="8" t="s">
        <v>41</v>
      </c>
      <c r="B3" s="9"/>
      <c r="C3" s="9"/>
      <c r="D3" s="9"/>
      <c r="E3" s="9"/>
      <c r="F3" s="10" t="s">
        <v>0</v>
      </c>
    </row>
    <row r="4" spans="1:6" ht="18.95" customHeight="1">
      <c r="A4" s="6" t="s">
        <v>1</v>
      </c>
      <c r="B4" s="6"/>
      <c r="C4" s="6" t="s">
        <v>2</v>
      </c>
      <c r="D4" s="6"/>
      <c r="E4" s="6"/>
      <c r="F4" s="6"/>
    </row>
    <row r="5" spans="1:6" ht="18.95" customHeight="1">
      <c r="A5" s="7" t="s">
        <v>3</v>
      </c>
      <c r="B5" s="7" t="s">
        <v>39</v>
      </c>
      <c r="C5" s="7" t="s">
        <v>3</v>
      </c>
      <c r="D5" s="7" t="s">
        <v>39</v>
      </c>
      <c r="E5" s="7" t="s">
        <v>3</v>
      </c>
      <c r="F5" s="7" t="s">
        <v>39</v>
      </c>
    </row>
    <row r="6" spans="1:6" s="1" customFormat="1" ht="20.100000000000001" customHeight="1">
      <c r="A6" s="11" t="s">
        <v>4</v>
      </c>
      <c r="B6" s="12">
        <v>1115.47</v>
      </c>
      <c r="C6" s="11" t="s">
        <v>5</v>
      </c>
      <c r="D6" s="12">
        <f>D7+D8+D9</f>
        <v>805.46999999999991</v>
      </c>
      <c r="E6" s="11" t="s">
        <v>6</v>
      </c>
      <c r="F6" s="12">
        <f>481.23+21</f>
        <v>502.23</v>
      </c>
    </row>
    <row r="7" spans="1:6" s="1" customFormat="1" ht="20.100000000000001" customHeight="1">
      <c r="A7" s="13" t="s">
        <v>23</v>
      </c>
      <c r="B7" s="12"/>
      <c r="C7" s="14" t="s">
        <v>35</v>
      </c>
      <c r="D7" s="12">
        <v>655.88</v>
      </c>
      <c r="E7" s="11" t="s">
        <v>7</v>
      </c>
      <c r="F7" s="12">
        <v>165.05</v>
      </c>
    </row>
    <row r="8" spans="1:6" s="1" customFormat="1" ht="20.100000000000001" customHeight="1">
      <c r="A8" s="13" t="s">
        <v>25</v>
      </c>
      <c r="B8" s="12">
        <v>1115.47</v>
      </c>
      <c r="C8" s="14" t="s">
        <v>17</v>
      </c>
      <c r="D8" s="12">
        <v>98.54</v>
      </c>
      <c r="E8" s="11" t="s">
        <v>8</v>
      </c>
      <c r="F8" s="12">
        <f>98.54+39.64</f>
        <v>138.18</v>
      </c>
    </row>
    <row r="9" spans="1:6" s="1" customFormat="1" ht="20.100000000000001" customHeight="1">
      <c r="A9" s="15" t="s">
        <v>24</v>
      </c>
      <c r="B9" s="16">
        <v>0</v>
      </c>
      <c r="C9" s="14" t="s">
        <v>18</v>
      </c>
      <c r="D9" s="12">
        <f>39.65+11.4</f>
        <v>51.05</v>
      </c>
      <c r="E9" s="11" t="s">
        <v>10</v>
      </c>
      <c r="F9" s="12">
        <v>0</v>
      </c>
    </row>
    <row r="10" spans="1:6" s="1" customFormat="1" ht="20.100000000000001" customHeight="1">
      <c r="A10" s="14" t="s">
        <v>26</v>
      </c>
      <c r="B10" s="12">
        <v>0</v>
      </c>
      <c r="C10" s="11" t="s">
        <v>11</v>
      </c>
      <c r="D10" s="12">
        <f>D11+D12+D13</f>
        <v>310</v>
      </c>
      <c r="E10" s="11" t="s">
        <v>12</v>
      </c>
      <c r="F10" s="12">
        <v>0</v>
      </c>
    </row>
    <row r="11" spans="1:6" s="1" customFormat="1" ht="20.100000000000001" customHeight="1">
      <c r="A11" s="14" t="s">
        <v>28</v>
      </c>
      <c r="B11" s="12">
        <v>0</v>
      </c>
      <c r="C11" s="14" t="s">
        <v>36</v>
      </c>
      <c r="D11" s="12">
        <v>200</v>
      </c>
      <c r="E11" s="11" t="s">
        <v>19</v>
      </c>
      <c r="F11" s="17">
        <v>0</v>
      </c>
    </row>
    <row r="12" spans="1:6" s="1" customFormat="1" ht="20.100000000000001" customHeight="1">
      <c r="A12" s="11" t="s">
        <v>9</v>
      </c>
      <c r="B12" s="12">
        <v>0</v>
      </c>
      <c r="C12" s="14" t="s">
        <v>37</v>
      </c>
      <c r="D12" s="12">
        <v>110</v>
      </c>
      <c r="E12" s="11" t="s">
        <v>20</v>
      </c>
      <c r="F12" s="12">
        <v>0</v>
      </c>
    </row>
    <row r="13" spans="1:6" s="1" customFormat="1" ht="20.100000000000001" customHeight="1">
      <c r="A13" s="14" t="s">
        <v>27</v>
      </c>
      <c r="B13" s="12">
        <v>0</v>
      </c>
      <c r="C13" s="14" t="s">
        <v>38</v>
      </c>
      <c r="D13" s="12">
        <v>0</v>
      </c>
      <c r="E13" s="11" t="s">
        <v>21</v>
      </c>
      <c r="F13" s="12">
        <v>310</v>
      </c>
    </row>
    <row r="14" spans="1:6" s="1" customFormat="1" ht="20.100000000000001" customHeight="1">
      <c r="A14" s="14" t="s">
        <v>29</v>
      </c>
      <c r="B14" s="12">
        <v>0</v>
      </c>
      <c r="C14" s="14"/>
      <c r="D14" s="18"/>
      <c r="E14" s="11" t="s">
        <v>22</v>
      </c>
      <c r="F14" s="12">
        <v>0</v>
      </c>
    </row>
    <row r="15" spans="1:6" s="1" customFormat="1" ht="20.100000000000001" customHeight="1">
      <c r="A15" s="11" t="s">
        <v>30</v>
      </c>
      <c r="B15" s="12">
        <v>0</v>
      </c>
      <c r="C15" s="14"/>
      <c r="D15" s="18"/>
      <c r="F15" s="5"/>
    </row>
    <row r="16" spans="1:6" s="1" customFormat="1" ht="20.100000000000001" customHeight="1">
      <c r="A16" s="11" t="s">
        <v>31</v>
      </c>
      <c r="B16" s="16">
        <v>0</v>
      </c>
      <c r="C16" s="14"/>
      <c r="D16" s="18"/>
      <c r="E16" s="14"/>
      <c r="F16" s="5"/>
    </row>
    <row r="17" spans="1:8" s="1" customFormat="1" ht="20.100000000000001" customHeight="1">
      <c r="A17" s="11" t="s">
        <v>32</v>
      </c>
      <c r="B17" s="12">
        <v>52</v>
      </c>
      <c r="C17" s="11" t="s">
        <v>13</v>
      </c>
      <c r="D17" s="12">
        <v>0</v>
      </c>
      <c r="F17" s="5"/>
    </row>
    <row r="18" spans="1:8" s="1" customFormat="1" ht="20.100000000000001" customHeight="1">
      <c r="A18" s="11" t="s">
        <v>33</v>
      </c>
      <c r="B18" s="12">
        <v>0</v>
      </c>
      <c r="C18" s="11" t="s">
        <v>16</v>
      </c>
      <c r="D18" s="12">
        <v>0</v>
      </c>
      <c r="E18" s="14"/>
      <c r="F18" s="18"/>
      <c r="H18" s="20"/>
    </row>
    <row r="19" spans="1:8" s="1" customFormat="1" ht="20.100000000000001" customHeight="1">
      <c r="A19" s="11" t="s">
        <v>34</v>
      </c>
      <c r="B19" s="12">
        <v>0</v>
      </c>
      <c r="C19" s="14"/>
      <c r="D19" s="18"/>
      <c r="E19" s="14"/>
      <c r="F19" s="18"/>
    </row>
    <row r="20" spans="1:8" s="1" customFormat="1" ht="20.100000000000001" customHeight="1">
      <c r="A20" s="19" t="s">
        <v>14</v>
      </c>
      <c r="B20" s="12">
        <f>SUM(B8:B19)</f>
        <v>1167.47</v>
      </c>
      <c r="C20" s="19" t="s">
        <v>15</v>
      </c>
      <c r="D20" s="12">
        <f>D6+D10</f>
        <v>1115.4699999999998</v>
      </c>
      <c r="E20" s="19" t="s">
        <v>15</v>
      </c>
      <c r="F20" s="12">
        <f>SUM(F6:F19)</f>
        <v>1115.46</v>
      </c>
    </row>
    <row r="21" spans="1:8" ht="20.100000000000001" customHeight="1"/>
  </sheetData>
  <sheetProtection formatCells="0" formatColumns="0" formatRows="0"/>
  <phoneticPr fontId="2" type="noConversion"/>
  <printOptions horizontalCentered="1"/>
  <pageMargins left="0.98425196850393704" right="0.74803149606299213" top="0.98425196850393704" bottom="0.98425196850393704" header="0.51181102362204722" footer="0.51181102362204722"/>
  <pageSetup paperSize="9" scale="98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cp:lastPrinted>2016-12-07T10:40:50Z</cp:lastPrinted>
  <dcterms:created xsi:type="dcterms:W3CDTF">2013-11-14T06:13:45Z</dcterms:created>
  <dcterms:modified xsi:type="dcterms:W3CDTF">2016-12-07T10:54:09Z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</Properties>
</file>