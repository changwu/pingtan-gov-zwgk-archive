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2"/>
  </bookViews>
  <sheets>
    <sheet name="2016年度财政拨款收支总表" sheetId="1" r:id="rId1"/>
    <sheet name="2016年度一般公共预算支出表" sheetId="3" r:id="rId2"/>
    <sheet name="2016年度一般公共预算基本支出表" sheetId="4" r:id="rId3"/>
  </sheets>
  <calcPr calcId="124519"/>
</workbook>
</file>

<file path=xl/calcChain.xml><?xml version="1.0" encoding="utf-8"?>
<calcChain xmlns="http://schemas.openxmlformats.org/spreadsheetml/2006/main">
  <c r="E17" i="4"/>
  <c r="D17" s="1"/>
  <c r="E16"/>
  <c r="D16" s="1"/>
  <c r="E15"/>
  <c r="D15" s="1"/>
  <c r="E14"/>
  <c r="D14" s="1"/>
  <c r="E13"/>
  <c r="D13" s="1"/>
  <c r="E12"/>
  <c r="D12" s="1"/>
  <c r="E11"/>
  <c r="E7" s="1"/>
  <c r="I10"/>
  <c r="D10" s="1"/>
  <c r="I9"/>
  <c r="D9" s="1"/>
  <c r="I8"/>
  <c r="D8" s="1"/>
  <c r="L7"/>
  <c r="K7"/>
  <c r="J7"/>
  <c r="H7"/>
  <c r="G7"/>
  <c r="F7"/>
  <c r="E17" i="3"/>
  <c r="D17"/>
  <c r="E16"/>
  <c r="D16" s="1"/>
  <c r="E15"/>
  <c r="D15"/>
  <c r="E14"/>
  <c r="D14" s="1"/>
  <c r="E13"/>
  <c r="D13"/>
  <c r="E12"/>
  <c r="D12" s="1"/>
  <c r="E11"/>
  <c r="E7" s="1"/>
  <c r="I10"/>
  <c r="D10" s="1"/>
  <c r="I9"/>
  <c r="D9" s="1"/>
  <c r="I8"/>
  <c r="D8" s="1"/>
  <c r="L7"/>
  <c r="K7"/>
  <c r="J7"/>
  <c r="H7"/>
  <c r="G7"/>
  <c r="F7"/>
  <c r="D7" i="4" l="1"/>
  <c r="D11"/>
  <c r="I7"/>
  <c r="D7" i="3"/>
  <c r="D11"/>
  <c r="I7"/>
</calcChain>
</file>

<file path=xl/sharedStrings.xml><?xml version="1.0" encoding="utf-8"?>
<sst xmlns="http://schemas.openxmlformats.org/spreadsheetml/2006/main" count="113" uniqueCount="72">
  <si>
    <t>单位：平潭综合实验区岚城片区开发管理局</t>
    <phoneticPr fontId="2" type="noConversion"/>
  </si>
  <si>
    <t>单位：万元</t>
  </si>
  <si>
    <t>收入</t>
  </si>
  <si>
    <t>支出</t>
  </si>
  <si>
    <t>项目</t>
  </si>
  <si>
    <t>2016年预算</t>
  </si>
  <si>
    <t>一、公共财政预算拨款</t>
  </si>
  <si>
    <t>一、基本支出</t>
  </si>
  <si>
    <t>一、工资福利支出</t>
  </si>
  <si>
    <t>　　区级公共财政预算拨款　</t>
  </si>
  <si>
    <t xml:space="preserve">    人员支出</t>
  </si>
  <si>
    <t>二、商品和服务支出</t>
  </si>
  <si>
    <t xml:space="preserve">    公共财政预算拨款补助</t>
  </si>
  <si>
    <t xml:space="preserve">    对个人和家庭的补助</t>
  </si>
  <si>
    <t>三、对个人和家庭的补助</t>
  </si>
  <si>
    <t>　　办案费补助返还</t>
  </si>
  <si>
    <t xml:space="preserve">    公用支出</t>
  </si>
  <si>
    <t>四、对企事业单位的补贴</t>
  </si>
  <si>
    <t>　　行政事业性收费及专项收入</t>
  </si>
  <si>
    <t>二、项目支出</t>
  </si>
  <si>
    <t>五、转移支付</t>
  </si>
  <si>
    <t xml:space="preserve">    财政转移支付补助</t>
  </si>
  <si>
    <t xml:space="preserve">    专项业务费</t>
  </si>
  <si>
    <t>六、债务利息支出</t>
  </si>
  <si>
    <t>二、基金预算财政拨款</t>
  </si>
  <si>
    <t xml:space="preserve">    部门发展专项</t>
  </si>
  <si>
    <t>七、基本建设支出</t>
  </si>
  <si>
    <t xml:space="preserve">    区级基金预算拨款</t>
  </si>
  <si>
    <t xml:space="preserve">    社会发展专项</t>
  </si>
  <si>
    <t>八、其他资本性支出</t>
  </si>
  <si>
    <t xml:space="preserve">    财政转移支付补助（基金）</t>
  </si>
  <si>
    <t>九、其他支出</t>
  </si>
  <si>
    <t>三、财政代管资金</t>
  </si>
  <si>
    <t>四、财政专户</t>
  </si>
  <si>
    <t>五、单位结余、结转资金</t>
  </si>
  <si>
    <t>三、对附属单位补助支出</t>
  </si>
  <si>
    <t>六、单位其他收入</t>
  </si>
  <si>
    <t>四、上缴上级支出</t>
  </si>
  <si>
    <t>七、上级补助收入</t>
  </si>
  <si>
    <t>本年收入合计</t>
  </si>
  <si>
    <t>本年支出合计</t>
  </si>
  <si>
    <t xml:space="preserve">          2016年度财政拨款收支总表</t>
    <phoneticPr fontId="1" type="noConversion"/>
  </si>
  <si>
    <t>单位：平潭综合实验区岚城片区开发管理局</t>
    <phoneticPr fontId="2" type="noConversion"/>
  </si>
  <si>
    <t>总计</t>
  </si>
  <si>
    <t>小计</t>
  </si>
  <si>
    <t>科目编码</t>
  </si>
  <si>
    <t>单位名称</t>
  </si>
  <si>
    <t>科目名称</t>
  </si>
  <si>
    <t>基本支出</t>
  </si>
  <si>
    <t>项目支出</t>
  </si>
  <si>
    <t>上缴上级支出</t>
  </si>
  <si>
    <t>对附属单位补助支出</t>
  </si>
  <si>
    <t>人员支出</t>
  </si>
  <si>
    <t>对个人和家庭的补助支出</t>
  </si>
  <si>
    <t>公用支出</t>
  </si>
  <si>
    <t>专项业务费</t>
  </si>
  <si>
    <t>部门发展</t>
  </si>
  <si>
    <t>社会发展</t>
  </si>
  <si>
    <t>*</t>
  </si>
  <si>
    <t>合计</t>
  </si>
  <si>
    <t>岚城片区工会经费</t>
  </si>
  <si>
    <t>专项业务经费（含出国境经费10万元）</t>
  </si>
  <si>
    <t>302电台迁移工程</t>
  </si>
  <si>
    <t>在职人员工资、地方津补贴、年终一次性奖金、养老、工伤、生育、医疗、年金；事业人员工资及绩效</t>
    <phoneticPr fontId="2" type="noConversion"/>
  </si>
  <si>
    <t>其他人员支出（临聘人员工资）</t>
    <phoneticPr fontId="2" type="noConversion"/>
  </si>
  <si>
    <t xml:space="preserve">  综合定额公用经费</t>
  </si>
  <si>
    <t xml:space="preserve">  公务用车运行费</t>
  </si>
  <si>
    <t xml:space="preserve">  误餐及通讯补贴</t>
  </si>
  <si>
    <t xml:space="preserve">  在职人员住房公积金</t>
    <phoneticPr fontId="2" type="noConversion"/>
  </si>
  <si>
    <t xml:space="preserve">  在职人员改革性补贴（提租补贴）</t>
  </si>
  <si>
    <t>2016年度一般公共预算支出表</t>
    <phoneticPr fontId="1" type="noConversion"/>
  </si>
  <si>
    <t>2016年一般公共预算基本支出表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</si>
</sst>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#,##0.00_ "/>
    <numFmt numFmtId="177" formatCode="_ * #,##0.00_ ;_ * \-#,##0.00_ ;_ * &quot;-&quot;??_ ;_ @_ 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20"/>
      <name val="宋体"/>
      <family val="3"/>
      <charset val="134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b/>
      <sz val="9"/>
      <name val="宋体"/>
      <family val="3"/>
      <charset val="134"/>
    </font>
    <font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1" applyFill="1">
      <alignment vertical="center"/>
    </xf>
    <xf numFmtId="0" fontId="2" fillId="0" borderId="0" xfId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Continuous" vertical="center"/>
    </xf>
    <xf numFmtId="49" fontId="2" fillId="0" borderId="0" xfId="1" applyNumberFormat="1" applyFont="1" applyFill="1">
      <alignment vertical="center"/>
    </xf>
    <xf numFmtId="0" fontId="2" fillId="0" borderId="0" xfId="1" applyFont="1" applyFill="1">
      <alignment vertical="center"/>
    </xf>
    <xf numFmtId="0" fontId="2" fillId="0" borderId="0" xfId="1" applyFont="1" applyFill="1" applyAlignment="1">
      <alignment horizontal="right" vertical="center"/>
    </xf>
    <xf numFmtId="0" fontId="4" fillId="0" borderId="1" xfId="1" applyFont="1" applyBorder="1" applyAlignment="1">
      <alignment horizontal="centerContinuous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Fill="1" applyBorder="1">
      <alignment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Fill="1" applyBorder="1">
      <alignment vertical="center"/>
    </xf>
    <xf numFmtId="0" fontId="2" fillId="0" borderId="1" xfId="1" applyFill="1" applyBorder="1" applyAlignment="1">
      <alignment horizontal="left" vertical="center"/>
    </xf>
    <xf numFmtId="4" fontId="2" fillId="0" borderId="0" xfId="1" applyNumberFormat="1" applyFill="1">
      <alignment vertical="center"/>
    </xf>
    <xf numFmtId="4" fontId="2" fillId="0" borderId="1" xfId="1" applyNumberFormat="1" applyFill="1" applyBorder="1">
      <alignment vertical="center"/>
    </xf>
    <xf numFmtId="4" fontId="7" fillId="0" borderId="1" xfId="1" applyNumberFormat="1" applyFont="1" applyFill="1" applyBorder="1" applyAlignment="1">
      <alignment horizontal="right" vertical="center" wrapText="1"/>
    </xf>
    <xf numFmtId="0" fontId="6" fillId="0" borderId="1" xfId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 wrapText="1"/>
    </xf>
    <xf numFmtId="0" fontId="4" fillId="0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NumberForma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/>
    </xf>
    <xf numFmtId="177" fontId="0" fillId="2" borderId="1" xfId="0" applyNumberFormat="1" applyFill="1" applyBorder="1" applyAlignment="1">
      <alignment horizontal="right" vertical="center" wrapText="1"/>
    </xf>
    <xf numFmtId="177" fontId="9" fillId="2" borderId="1" xfId="0" applyNumberFormat="1" applyFont="1" applyFill="1" applyBorder="1" applyAlignment="1">
      <alignment horizontal="right" vertical="center" wrapText="1"/>
    </xf>
    <xf numFmtId="4" fontId="0" fillId="2" borderId="1" xfId="0" applyNumberForma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ill="1" applyBorder="1" applyAlignment="1">
      <alignment horizontal="righ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177" fontId="9" fillId="0" borderId="1" xfId="0" applyNumberFormat="1" applyFont="1" applyFill="1" applyBorder="1" applyAlignment="1">
      <alignment horizontal="right" vertical="center" wrapText="1"/>
    </xf>
    <xf numFmtId="4" fontId="9" fillId="0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49" fontId="9" fillId="0" borderId="7" xfId="0" applyNumberFormat="1" applyFont="1" applyFill="1" applyBorder="1" applyAlignment="1">
      <alignment horizontal="left" vertical="center" wrapText="1"/>
    </xf>
    <xf numFmtId="0" fontId="0" fillId="0" borderId="0" xfId="0" applyNumberFormat="1" applyFill="1" applyAlignment="1">
      <alignment horizontal="left" vertical="center" wrapText="1"/>
    </xf>
    <xf numFmtId="49" fontId="0" fillId="0" borderId="0" xfId="0" applyNumberFormat="1" applyFill="1" applyAlignment="1">
      <alignment horizontal="left" vertical="center" wrapText="1"/>
    </xf>
    <xf numFmtId="4" fontId="0" fillId="0" borderId="0" xfId="0" applyNumberFormat="1" applyFill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B2" sqref="B2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6.75" customHeight="1">
      <c r="A1" s="1"/>
      <c r="F1" s="3"/>
    </row>
    <row r="2" spans="1:6" ht="21" customHeight="1">
      <c r="A2" s="4"/>
      <c r="B2" s="4" t="s">
        <v>41</v>
      </c>
      <c r="C2" s="21"/>
      <c r="D2" s="21"/>
      <c r="E2" s="21"/>
      <c r="F2" s="4"/>
    </row>
    <row r="3" spans="1:6" s="1" customFormat="1" ht="18.95" customHeight="1">
      <c r="A3" s="5" t="s">
        <v>0</v>
      </c>
      <c r="B3" s="6"/>
      <c r="C3" s="6"/>
      <c r="D3" s="6"/>
      <c r="E3" s="6"/>
      <c r="F3" s="7" t="s">
        <v>1</v>
      </c>
    </row>
    <row r="4" spans="1:6" ht="18.95" customHeight="1">
      <c r="A4" s="8" t="s">
        <v>2</v>
      </c>
      <c r="B4" s="8"/>
      <c r="C4" s="8" t="s">
        <v>3</v>
      </c>
      <c r="D4" s="8"/>
      <c r="E4" s="8"/>
      <c r="F4" s="8"/>
    </row>
    <row r="5" spans="1:6" ht="18.95" customHeight="1">
      <c r="A5" s="9" t="s">
        <v>4</v>
      </c>
      <c r="B5" s="9" t="s">
        <v>5</v>
      </c>
      <c r="C5" s="9" t="s">
        <v>4</v>
      </c>
      <c r="D5" s="9" t="s">
        <v>5</v>
      </c>
      <c r="E5" s="9" t="s">
        <v>4</v>
      </c>
      <c r="F5" s="9" t="s">
        <v>5</v>
      </c>
    </row>
    <row r="6" spans="1:6" s="1" customFormat="1" ht="24.95" customHeight="1">
      <c r="A6" s="10" t="s">
        <v>6</v>
      </c>
      <c r="B6" s="11">
        <v>7618.63</v>
      </c>
      <c r="C6" s="10" t="s">
        <v>7</v>
      </c>
      <c r="D6" s="11">
        <v>301.93</v>
      </c>
      <c r="E6" s="10" t="s">
        <v>8</v>
      </c>
      <c r="F6" s="11">
        <v>230.47</v>
      </c>
    </row>
    <row r="7" spans="1:6" s="1" customFormat="1" ht="24.95" customHeight="1">
      <c r="A7" s="12" t="s">
        <v>9</v>
      </c>
      <c r="B7" s="11">
        <v>7618.63</v>
      </c>
      <c r="C7" s="13" t="s">
        <v>10</v>
      </c>
      <c r="D7" s="11">
        <v>230.47</v>
      </c>
      <c r="E7" s="10" t="s">
        <v>11</v>
      </c>
      <c r="F7" s="11">
        <v>361.7</v>
      </c>
    </row>
    <row r="8" spans="1:6" s="1" customFormat="1" ht="24.95" customHeight="1">
      <c r="A8" s="12" t="s">
        <v>12</v>
      </c>
      <c r="B8" s="11"/>
      <c r="C8" s="13" t="s">
        <v>13</v>
      </c>
      <c r="D8" s="11">
        <v>26.46</v>
      </c>
      <c r="E8" s="10" t="s">
        <v>14</v>
      </c>
      <c r="F8" s="11">
        <v>26.46</v>
      </c>
    </row>
    <row r="9" spans="1:6" s="1" customFormat="1" ht="24.95" customHeight="1">
      <c r="A9" s="14" t="s">
        <v>15</v>
      </c>
      <c r="B9" s="15"/>
      <c r="C9" s="13" t="s">
        <v>16</v>
      </c>
      <c r="D9" s="11">
        <v>45</v>
      </c>
      <c r="E9" s="10" t="s">
        <v>17</v>
      </c>
      <c r="F9" s="11"/>
    </row>
    <row r="10" spans="1:6" s="1" customFormat="1" ht="24.95" customHeight="1">
      <c r="A10" s="13" t="s">
        <v>18</v>
      </c>
      <c r="B10" s="11"/>
      <c r="C10" s="10" t="s">
        <v>19</v>
      </c>
      <c r="D10" s="11">
        <v>7316.7</v>
      </c>
      <c r="E10" s="10" t="s">
        <v>20</v>
      </c>
      <c r="F10" s="11"/>
    </row>
    <row r="11" spans="1:6" s="1" customFormat="1" ht="24.95" customHeight="1">
      <c r="A11" s="13" t="s">
        <v>21</v>
      </c>
      <c r="B11" s="11"/>
      <c r="C11" s="13" t="s">
        <v>22</v>
      </c>
      <c r="D11" s="11">
        <v>316.7</v>
      </c>
      <c r="E11" s="10" t="s">
        <v>23</v>
      </c>
      <c r="F11" s="16"/>
    </row>
    <row r="12" spans="1:6" s="1" customFormat="1" ht="24.95" customHeight="1">
      <c r="A12" s="10" t="s">
        <v>24</v>
      </c>
      <c r="B12" s="17"/>
      <c r="C12" s="13" t="s">
        <v>25</v>
      </c>
      <c r="D12" s="11"/>
      <c r="E12" s="10" t="s">
        <v>26</v>
      </c>
      <c r="F12" s="11">
        <v>7000</v>
      </c>
    </row>
    <row r="13" spans="1:6" s="1" customFormat="1" ht="24.95" customHeight="1">
      <c r="A13" s="13" t="s">
        <v>27</v>
      </c>
      <c r="B13" s="11"/>
      <c r="C13" s="13" t="s">
        <v>28</v>
      </c>
      <c r="D13" s="11">
        <v>7000</v>
      </c>
      <c r="E13" s="10" t="s">
        <v>29</v>
      </c>
      <c r="F13" s="11"/>
    </row>
    <row r="14" spans="1:6" s="1" customFormat="1" ht="24.95" customHeight="1">
      <c r="A14" s="13" t="s">
        <v>30</v>
      </c>
      <c r="B14" s="11"/>
      <c r="C14" s="13"/>
      <c r="D14" s="18"/>
      <c r="E14" s="10" t="s">
        <v>31</v>
      </c>
      <c r="F14" s="11"/>
    </row>
    <row r="15" spans="1:6" s="1" customFormat="1" ht="24.95" customHeight="1">
      <c r="A15" s="10" t="s">
        <v>32</v>
      </c>
      <c r="B15" s="11"/>
      <c r="C15" s="13"/>
      <c r="D15" s="18"/>
      <c r="F15" s="19"/>
    </row>
    <row r="16" spans="1:6" s="1" customFormat="1" ht="24.95" customHeight="1">
      <c r="A16" s="10" t="s">
        <v>33</v>
      </c>
      <c r="B16" s="15"/>
      <c r="C16" s="13"/>
      <c r="D16" s="18"/>
      <c r="E16" s="13"/>
      <c r="F16" s="19"/>
    </row>
    <row r="17" spans="1:6" s="1" customFormat="1" ht="24.95" customHeight="1">
      <c r="A17" s="10" t="s">
        <v>34</v>
      </c>
      <c r="B17" s="11"/>
      <c r="C17" s="10" t="s">
        <v>35</v>
      </c>
      <c r="D17" s="11"/>
      <c r="F17" s="19"/>
    </row>
    <row r="18" spans="1:6" s="1" customFormat="1" ht="24.95" customHeight="1">
      <c r="A18" s="10" t="s">
        <v>36</v>
      </c>
      <c r="B18" s="11"/>
      <c r="C18" s="10" t="s">
        <v>37</v>
      </c>
      <c r="D18" s="11"/>
      <c r="E18" s="13"/>
      <c r="F18" s="18"/>
    </row>
    <row r="19" spans="1:6" s="1" customFormat="1" ht="24.95" customHeight="1">
      <c r="A19" s="10" t="s">
        <v>38</v>
      </c>
      <c r="B19" s="11"/>
      <c r="C19" s="13"/>
      <c r="D19" s="18"/>
      <c r="E19" s="13"/>
      <c r="F19" s="18"/>
    </row>
    <row r="20" spans="1:6" s="1" customFormat="1" ht="24.95" customHeight="1">
      <c r="A20" s="20" t="s">
        <v>39</v>
      </c>
      <c r="B20" s="11">
        <v>7618.63</v>
      </c>
      <c r="C20" s="20" t="s">
        <v>40</v>
      </c>
      <c r="D20" s="11">
        <v>7618.63</v>
      </c>
      <c r="E20" s="20" t="s">
        <v>40</v>
      </c>
      <c r="F20" s="11">
        <v>7618.63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selection activeCell="A2" sqref="A2:XFD2"/>
    </sheetView>
  </sheetViews>
  <sheetFormatPr defaultColWidth="9" defaultRowHeight="13.5"/>
  <cols>
    <col min="1" max="1" width="9.5" customWidth="1"/>
    <col min="2" max="2" width="11.375" customWidth="1"/>
    <col min="3" max="3" width="29.5" customWidth="1"/>
    <col min="4" max="4" width="10.625" customWidth="1"/>
    <col min="5" max="5" width="9.125" customWidth="1"/>
    <col min="6" max="7" width="8.375" customWidth="1"/>
    <col min="8" max="8" width="8.5" customWidth="1"/>
    <col min="9" max="9" width="10.125" customWidth="1"/>
    <col min="10" max="10" width="9.125" customWidth="1"/>
    <col min="11" max="11" width="8.375" customWidth="1"/>
    <col min="12" max="12" width="9.75" customWidth="1"/>
    <col min="13" max="13" width="6.75" customWidth="1"/>
    <col min="14" max="14" width="8.375" customWidth="1"/>
  </cols>
  <sheetData>
    <row r="1" spans="1:14" ht="11.25" customHeight="1"/>
    <row r="2" spans="1:14" ht="47.25" customHeight="1">
      <c r="A2" s="22" t="s">
        <v>70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7.25" customHeight="1">
      <c r="A3" t="s">
        <v>42</v>
      </c>
      <c r="N3" s="24" t="s">
        <v>1</v>
      </c>
    </row>
    <row r="4" spans="1:14" ht="20.25" customHeight="1">
      <c r="A4" s="47" t="s">
        <v>45</v>
      </c>
      <c r="B4" s="47" t="s">
        <v>46</v>
      </c>
      <c r="C4" s="47" t="s">
        <v>47</v>
      </c>
      <c r="D4" s="47" t="s">
        <v>43</v>
      </c>
      <c r="E4" s="49" t="s">
        <v>48</v>
      </c>
      <c r="F4" s="50"/>
      <c r="G4" s="50"/>
      <c r="H4" s="51"/>
      <c r="I4" s="52" t="s">
        <v>49</v>
      </c>
      <c r="J4" s="52"/>
      <c r="K4" s="52"/>
      <c r="L4" s="52"/>
      <c r="M4" s="47" t="s">
        <v>50</v>
      </c>
      <c r="N4" s="47" t="s">
        <v>51</v>
      </c>
    </row>
    <row r="5" spans="1:14" ht="44.25" customHeight="1">
      <c r="A5" s="48"/>
      <c r="B5" s="48"/>
      <c r="C5" s="48"/>
      <c r="D5" s="48"/>
      <c r="E5" s="25" t="s">
        <v>44</v>
      </c>
      <c r="F5" s="25" t="s">
        <v>52</v>
      </c>
      <c r="G5" s="25" t="s">
        <v>53</v>
      </c>
      <c r="H5" s="25" t="s">
        <v>54</v>
      </c>
      <c r="I5" s="26" t="s">
        <v>44</v>
      </c>
      <c r="J5" s="27" t="s">
        <v>55</v>
      </c>
      <c r="K5" s="26" t="s">
        <v>56</v>
      </c>
      <c r="L5" s="26" t="s">
        <v>57</v>
      </c>
      <c r="M5" s="48"/>
      <c r="N5" s="48"/>
    </row>
    <row r="6" spans="1:14" ht="16.5" customHeight="1">
      <c r="A6" s="28" t="s">
        <v>58</v>
      </c>
      <c r="B6" s="28" t="s">
        <v>58</v>
      </c>
      <c r="C6" s="28" t="s">
        <v>58</v>
      </c>
      <c r="D6" s="28">
        <v>1</v>
      </c>
      <c r="E6" s="28">
        <v>2</v>
      </c>
      <c r="F6" s="28">
        <v>3</v>
      </c>
      <c r="G6" s="28">
        <v>4</v>
      </c>
      <c r="H6" s="28">
        <v>5</v>
      </c>
      <c r="I6" s="28">
        <v>6</v>
      </c>
      <c r="J6" s="28">
        <v>7</v>
      </c>
      <c r="K6" s="28">
        <v>8</v>
      </c>
      <c r="L6" s="28">
        <v>9</v>
      </c>
      <c r="M6" s="28">
        <v>10</v>
      </c>
      <c r="N6" s="28">
        <v>11</v>
      </c>
    </row>
    <row r="7" spans="1:14" s="34" customFormat="1" ht="27.75" customHeight="1">
      <c r="A7" s="29"/>
      <c r="B7" s="30" t="s">
        <v>59</v>
      </c>
      <c r="C7" s="30"/>
      <c r="D7" s="31">
        <f>E7+I7</f>
        <v>7618.63</v>
      </c>
      <c r="E7" s="32">
        <f>SUM(E8:E17)</f>
        <v>301.93</v>
      </c>
      <c r="F7" s="32">
        <f t="shared" ref="F7:L7" si="0">SUM(F8:F17)</f>
        <v>230.47</v>
      </c>
      <c r="G7" s="32">
        <f t="shared" si="0"/>
        <v>26.459999999999997</v>
      </c>
      <c r="H7" s="32">
        <f t="shared" si="0"/>
        <v>45</v>
      </c>
      <c r="I7" s="32">
        <f t="shared" si="0"/>
        <v>7316.7</v>
      </c>
      <c r="J7" s="32">
        <f t="shared" si="0"/>
        <v>316.7</v>
      </c>
      <c r="K7" s="32">
        <f t="shared" si="0"/>
        <v>0</v>
      </c>
      <c r="L7" s="32">
        <f t="shared" si="0"/>
        <v>7000</v>
      </c>
      <c r="M7" s="33"/>
      <c r="N7" s="33"/>
    </row>
    <row r="8" spans="1:14" ht="42" customHeight="1">
      <c r="A8" s="35">
        <v>2120199</v>
      </c>
      <c r="B8" s="36"/>
      <c r="C8" s="37" t="s">
        <v>60</v>
      </c>
      <c r="D8" s="38">
        <f t="shared" ref="D8:D17" si="1">E8+I8</f>
        <v>16.7</v>
      </c>
      <c r="E8" s="39"/>
      <c r="F8" s="39"/>
      <c r="G8" s="39"/>
      <c r="H8" s="39"/>
      <c r="I8" s="38">
        <f>SUM(J8:L8)</f>
        <v>16.7</v>
      </c>
      <c r="J8" s="39">
        <v>16.7</v>
      </c>
      <c r="K8" s="39"/>
      <c r="L8" s="39"/>
      <c r="M8" s="39"/>
      <c r="N8" s="39"/>
    </row>
    <row r="9" spans="1:14" ht="42" customHeight="1">
      <c r="A9" s="35">
        <v>2120101</v>
      </c>
      <c r="B9" s="36"/>
      <c r="C9" s="37" t="s">
        <v>61</v>
      </c>
      <c r="D9" s="38">
        <f t="shared" si="1"/>
        <v>300</v>
      </c>
      <c r="E9" s="39"/>
      <c r="F9" s="39"/>
      <c r="G9" s="39"/>
      <c r="H9" s="39"/>
      <c r="I9" s="38">
        <f>SUM(J9:L9)</f>
        <v>300</v>
      </c>
      <c r="J9" s="39">
        <v>300</v>
      </c>
      <c r="K9" s="39"/>
      <c r="L9" s="39"/>
      <c r="M9" s="39"/>
      <c r="N9" s="39"/>
    </row>
    <row r="10" spans="1:14" ht="42" customHeight="1">
      <c r="A10" s="35">
        <v>2120399</v>
      </c>
      <c r="B10" s="36"/>
      <c r="C10" s="37" t="s">
        <v>62</v>
      </c>
      <c r="D10" s="38">
        <f t="shared" si="1"/>
        <v>7000</v>
      </c>
      <c r="E10" s="39"/>
      <c r="F10" s="39"/>
      <c r="G10" s="39"/>
      <c r="H10" s="39"/>
      <c r="I10" s="40">
        <f>SUM(J10:L10)</f>
        <v>7000</v>
      </c>
      <c r="J10" s="39"/>
      <c r="K10" s="39"/>
      <c r="L10" s="41">
        <v>7000</v>
      </c>
      <c r="M10" s="39"/>
      <c r="N10" s="39"/>
    </row>
    <row r="11" spans="1:14" ht="42" customHeight="1">
      <c r="A11" s="35">
        <v>2120101</v>
      </c>
      <c r="B11" s="36"/>
      <c r="C11" s="36" t="s">
        <v>63</v>
      </c>
      <c r="D11" s="38">
        <f t="shared" si="1"/>
        <v>195.47</v>
      </c>
      <c r="E11" s="38">
        <f t="shared" ref="E11:E17" si="2">SUM(F11:H11)</f>
        <v>195.47</v>
      </c>
      <c r="F11" s="39">
        <v>195.47</v>
      </c>
      <c r="G11" s="39"/>
      <c r="H11" s="39"/>
      <c r="I11" s="39"/>
      <c r="J11" s="39"/>
      <c r="K11" s="39"/>
      <c r="L11" s="39"/>
      <c r="M11" s="39"/>
      <c r="N11" s="39"/>
    </row>
    <row r="12" spans="1:14" ht="42" customHeight="1">
      <c r="A12" s="42">
        <v>2120199</v>
      </c>
      <c r="B12" s="36"/>
      <c r="C12" s="36" t="s">
        <v>64</v>
      </c>
      <c r="D12" s="38">
        <f t="shared" si="1"/>
        <v>35</v>
      </c>
      <c r="E12" s="38">
        <f t="shared" si="2"/>
        <v>35</v>
      </c>
      <c r="F12" s="39">
        <v>35</v>
      </c>
      <c r="G12" s="39"/>
      <c r="H12" s="39"/>
      <c r="I12" s="39"/>
      <c r="J12" s="39"/>
      <c r="K12" s="39"/>
      <c r="L12" s="39"/>
      <c r="M12" s="39"/>
      <c r="N12" s="39"/>
    </row>
    <row r="13" spans="1:14" ht="42" customHeight="1">
      <c r="A13" s="42">
        <v>2120101</v>
      </c>
      <c r="B13" s="36"/>
      <c r="C13" s="43" t="s">
        <v>65</v>
      </c>
      <c r="D13" s="38">
        <f t="shared" si="1"/>
        <v>15.6</v>
      </c>
      <c r="E13" s="38">
        <f t="shared" si="2"/>
        <v>15.6</v>
      </c>
      <c r="F13" s="39"/>
      <c r="G13" s="39"/>
      <c r="H13" s="39">
        <v>15.6</v>
      </c>
      <c r="I13" s="39"/>
      <c r="J13" s="39"/>
      <c r="K13" s="39"/>
      <c r="L13" s="39"/>
      <c r="M13" s="39"/>
      <c r="N13" s="39"/>
    </row>
    <row r="14" spans="1:14" ht="42" customHeight="1">
      <c r="A14" s="42">
        <v>2120101</v>
      </c>
      <c r="B14" s="36"/>
      <c r="C14" s="43" t="s">
        <v>66</v>
      </c>
      <c r="D14" s="38">
        <f t="shared" si="1"/>
        <v>22.8</v>
      </c>
      <c r="E14" s="38">
        <f t="shared" si="2"/>
        <v>22.8</v>
      </c>
      <c r="F14" s="39"/>
      <c r="G14" s="39"/>
      <c r="H14" s="39">
        <v>22.8</v>
      </c>
      <c r="I14" s="39"/>
      <c r="J14" s="39"/>
      <c r="K14" s="39"/>
      <c r="L14" s="39"/>
      <c r="M14" s="39"/>
      <c r="N14" s="39"/>
    </row>
    <row r="15" spans="1:14" ht="42" customHeight="1">
      <c r="A15" s="42">
        <v>2120101</v>
      </c>
      <c r="B15" s="36"/>
      <c r="C15" s="43" t="s">
        <v>67</v>
      </c>
      <c r="D15" s="38">
        <f t="shared" si="1"/>
        <v>6.6</v>
      </c>
      <c r="E15" s="38">
        <f t="shared" si="2"/>
        <v>6.6</v>
      </c>
      <c r="F15" s="39"/>
      <c r="G15" s="39"/>
      <c r="H15" s="39">
        <v>6.6</v>
      </c>
      <c r="I15" s="39"/>
      <c r="J15" s="39"/>
      <c r="K15" s="39"/>
      <c r="L15" s="39"/>
      <c r="M15" s="39"/>
      <c r="N15" s="39"/>
    </row>
    <row r="16" spans="1:14" ht="42" customHeight="1">
      <c r="A16" s="42">
        <v>2210201</v>
      </c>
      <c r="B16" s="36"/>
      <c r="C16" s="43" t="s">
        <v>68</v>
      </c>
      <c r="D16" s="38">
        <f t="shared" si="1"/>
        <v>20.65</v>
      </c>
      <c r="E16" s="38">
        <f t="shared" si="2"/>
        <v>20.65</v>
      </c>
      <c r="F16" s="39"/>
      <c r="G16" s="39">
        <v>20.65</v>
      </c>
      <c r="H16" s="39"/>
      <c r="I16" s="39"/>
      <c r="J16" s="39"/>
      <c r="K16" s="39"/>
      <c r="L16" s="39"/>
      <c r="M16" s="39"/>
      <c r="N16" s="39"/>
    </row>
    <row r="17" spans="1:14" ht="42" customHeight="1">
      <c r="A17" s="35">
        <v>2210202</v>
      </c>
      <c r="B17" s="36"/>
      <c r="C17" s="43" t="s">
        <v>69</v>
      </c>
      <c r="D17" s="38">
        <f t="shared" si="1"/>
        <v>5.81</v>
      </c>
      <c r="E17" s="38">
        <f t="shared" si="2"/>
        <v>5.81</v>
      </c>
      <c r="F17" s="39"/>
      <c r="G17" s="39">
        <v>5.81</v>
      </c>
      <c r="H17" s="39"/>
      <c r="I17" s="39"/>
      <c r="J17" s="39"/>
      <c r="K17" s="39"/>
      <c r="L17" s="39"/>
      <c r="M17" s="39"/>
      <c r="N17" s="39"/>
    </row>
    <row r="18" spans="1:14" ht="42" customHeight="1">
      <c r="A18" s="44"/>
      <c r="B18" s="45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ht="42" customHeight="1"/>
    <row r="20" spans="1:14" ht="42" customHeight="1"/>
    <row r="21" spans="1:14" ht="42" customHeight="1"/>
    <row r="22" spans="1:14" ht="42" customHeight="1"/>
    <row r="23" spans="1:14" ht="42" customHeight="1"/>
    <row r="24" spans="1:14" ht="42" customHeight="1"/>
    <row r="25" spans="1:14" ht="42" customHeight="1"/>
    <row r="26" spans="1:14" ht="42" customHeight="1"/>
  </sheetData>
  <mergeCells count="8">
    <mergeCell ref="M4:M5"/>
    <mergeCell ref="N4:N5"/>
    <mergeCell ref="A4:A5"/>
    <mergeCell ref="B4:B5"/>
    <mergeCell ref="C4:C5"/>
    <mergeCell ref="D4:D5"/>
    <mergeCell ref="E4:H4"/>
    <mergeCell ref="I4:L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>
      <selection activeCell="A2" sqref="A2:XFD2"/>
    </sheetView>
  </sheetViews>
  <sheetFormatPr defaultColWidth="9" defaultRowHeight="13.5"/>
  <cols>
    <col min="1" max="1" width="9.5" customWidth="1"/>
    <col min="2" max="2" width="11.375" customWidth="1"/>
    <col min="3" max="3" width="29.5" customWidth="1"/>
    <col min="4" max="4" width="10.625" customWidth="1"/>
    <col min="5" max="5" width="9.125" customWidth="1"/>
    <col min="6" max="7" width="8.375" customWidth="1"/>
    <col min="8" max="8" width="8.5" customWidth="1"/>
    <col min="9" max="9" width="10.125" customWidth="1"/>
    <col min="10" max="10" width="9.125" customWidth="1"/>
    <col min="11" max="11" width="8.375" customWidth="1"/>
    <col min="12" max="12" width="9.75" customWidth="1"/>
    <col min="13" max="13" width="6.75" customWidth="1"/>
    <col min="14" max="14" width="8.375" customWidth="1"/>
  </cols>
  <sheetData>
    <row r="1" spans="1:14" ht="11.25" customHeight="1"/>
    <row r="2" spans="1:14" ht="47.25" customHeight="1">
      <c r="A2" s="22" t="s">
        <v>71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7.25" customHeight="1">
      <c r="A3" t="s">
        <v>0</v>
      </c>
      <c r="N3" s="24" t="s">
        <v>1</v>
      </c>
    </row>
    <row r="4" spans="1:14" ht="20.25" customHeight="1">
      <c r="A4" s="47" t="s">
        <v>45</v>
      </c>
      <c r="B4" s="47" t="s">
        <v>46</v>
      </c>
      <c r="C4" s="47" t="s">
        <v>47</v>
      </c>
      <c r="D4" s="47" t="s">
        <v>43</v>
      </c>
      <c r="E4" s="49" t="s">
        <v>48</v>
      </c>
      <c r="F4" s="50"/>
      <c r="G4" s="50"/>
      <c r="H4" s="51"/>
      <c r="I4" s="52" t="s">
        <v>49</v>
      </c>
      <c r="J4" s="52"/>
      <c r="K4" s="52"/>
      <c r="L4" s="52"/>
      <c r="M4" s="47" t="s">
        <v>50</v>
      </c>
      <c r="N4" s="47" t="s">
        <v>51</v>
      </c>
    </row>
    <row r="5" spans="1:14" ht="44.25" customHeight="1">
      <c r="A5" s="48"/>
      <c r="B5" s="48"/>
      <c r="C5" s="48"/>
      <c r="D5" s="48"/>
      <c r="E5" s="25" t="s">
        <v>44</v>
      </c>
      <c r="F5" s="25" t="s">
        <v>52</v>
      </c>
      <c r="G5" s="25" t="s">
        <v>53</v>
      </c>
      <c r="H5" s="25" t="s">
        <v>54</v>
      </c>
      <c r="I5" s="26" t="s">
        <v>44</v>
      </c>
      <c r="J5" s="27" t="s">
        <v>55</v>
      </c>
      <c r="K5" s="26" t="s">
        <v>56</v>
      </c>
      <c r="L5" s="26" t="s">
        <v>57</v>
      </c>
      <c r="M5" s="48"/>
      <c r="N5" s="48"/>
    </row>
    <row r="6" spans="1:14" ht="16.5" customHeight="1">
      <c r="A6" s="28" t="s">
        <v>58</v>
      </c>
      <c r="B6" s="28" t="s">
        <v>58</v>
      </c>
      <c r="C6" s="28" t="s">
        <v>58</v>
      </c>
      <c r="D6" s="28">
        <v>1</v>
      </c>
      <c r="E6" s="28">
        <v>2</v>
      </c>
      <c r="F6" s="28">
        <v>3</v>
      </c>
      <c r="G6" s="28">
        <v>4</v>
      </c>
      <c r="H6" s="28">
        <v>5</v>
      </c>
      <c r="I6" s="28">
        <v>6</v>
      </c>
      <c r="J6" s="28">
        <v>7</v>
      </c>
      <c r="K6" s="28">
        <v>8</v>
      </c>
      <c r="L6" s="28">
        <v>9</v>
      </c>
      <c r="M6" s="28">
        <v>10</v>
      </c>
      <c r="N6" s="28">
        <v>11</v>
      </c>
    </row>
    <row r="7" spans="1:14" s="34" customFormat="1" ht="27.75" customHeight="1">
      <c r="A7" s="29"/>
      <c r="B7" s="30" t="s">
        <v>59</v>
      </c>
      <c r="C7" s="30"/>
      <c r="D7" s="31">
        <f>E7+I7</f>
        <v>7618.63</v>
      </c>
      <c r="E7" s="32">
        <f>SUM(E8:E17)</f>
        <v>301.93</v>
      </c>
      <c r="F7" s="32">
        <f t="shared" ref="F7:L7" si="0">SUM(F8:F17)</f>
        <v>230.47</v>
      </c>
      <c r="G7" s="32">
        <f t="shared" si="0"/>
        <v>26.459999999999997</v>
      </c>
      <c r="H7" s="32">
        <f t="shared" si="0"/>
        <v>45</v>
      </c>
      <c r="I7" s="32">
        <f t="shared" si="0"/>
        <v>7316.7</v>
      </c>
      <c r="J7" s="32">
        <f t="shared" si="0"/>
        <v>316.7</v>
      </c>
      <c r="K7" s="32">
        <f t="shared" si="0"/>
        <v>0</v>
      </c>
      <c r="L7" s="32">
        <f t="shared" si="0"/>
        <v>7000</v>
      </c>
      <c r="M7" s="33"/>
      <c r="N7" s="33"/>
    </row>
    <row r="8" spans="1:14" ht="42" customHeight="1">
      <c r="A8" s="35">
        <v>2120199</v>
      </c>
      <c r="B8" s="36"/>
      <c r="C8" s="37" t="s">
        <v>60</v>
      </c>
      <c r="D8" s="38">
        <f t="shared" ref="D8:D17" si="1">E8+I8</f>
        <v>16.7</v>
      </c>
      <c r="E8" s="39"/>
      <c r="F8" s="39"/>
      <c r="G8" s="39"/>
      <c r="H8" s="39"/>
      <c r="I8" s="38">
        <f>SUM(J8:L8)</f>
        <v>16.7</v>
      </c>
      <c r="J8" s="39">
        <v>16.7</v>
      </c>
      <c r="K8" s="39"/>
      <c r="L8" s="39"/>
      <c r="M8" s="39"/>
      <c r="N8" s="39"/>
    </row>
    <row r="9" spans="1:14" ht="42" customHeight="1">
      <c r="A9" s="35">
        <v>2120101</v>
      </c>
      <c r="B9" s="36"/>
      <c r="C9" s="37" t="s">
        <v>61</v>
      </c>
      <c r="D9" s="38">
        <f t="shared" si="1"/>
        <v>300</v>
      </c>
      <c r="E9" s="39"/>
      <c r="F9" s="39"/>
      <c r="G9" s="39"/>
      <c r="H9" s="39"/>
      <c r="I9" s="38">
        <f>SUM(J9:L9)</f>
        <v>300</v>
      </c>
      <c r="J9" s="39">
        <v>300</v>
      </c>
      <c r="K9" s="39"/>
      <c r="L9" s="39"/>
      <c r="M9" s="39"/>
      <c r="N9" s="39"/>
    </row>
    <row r="10" spans="1:14" ht="42" customHeight="1">
      <c r="A10" s="35">
        <v>2120399</v>
      </c>
      <c r="B10" s="36"/>
      <c r="C10" s="37" t="s">
        <v>62</v>
      </c>
      <c r="D10" s="38">
        <f t="shared" si="1"/>
        <v>7000</v>
      </c>
      <c r="E10" s="39"/>
      <c r="F10" s="39"/>
      <c r="G10" s="39"/>
      <c r="H10" s="39"/>
      <c r="I10" s="40">
        <f>SUM(J10:L10)</f>
        <v>7000</v>
      </c>
      <c r="J10" s="39"/>
      <c r="K10" s="39"/>
      <c r="L10" s="41">
        <v>7000</v>
      </c>
      <c r="M10" s="39"/>
      <c r="N10" s="39"/>
    </row>
    <row r="11" spans="1:14" ht="42" customHeight="1">
      <c r="A11" s="35">
        <v>2120101</v>
      </c>
      <c r="B11" s="36"/>
      <c r="C11" s="36" t="s">
        <v>63</v>
      </c>
      <c r="D11" s="38">
        <f t="shared" si="1"/>
        <v>195.47</v>
      </c>
      <c r="E11" s="38">
        <f t="shared" ref="E11:E17" si="2">SUM(F11:H11)</f>
        <v>195.47</v>
      </c>
      <c r="F11" s="39">
        <v>195.47</v>
      </c>
      <c r="G11" s="39"/>
      <c r="H11" s="39"/>
      <c r="I11" s="39"/>
      <c r="J11" s="39"/>
      <c r="K11" s="39"/>
      <c r="L11" s="39"/>
      <c r="M11" s="39"/>
      <c r="N11" s="39"/>
    </row>
    <row r="12" spans="1:14" ht="42" customHeight="1">
      <c r="A12" s="42">
        <v>2120199</v>
      </c>
      <c r="B12" s="36"/>
      <c r="C12" s="36" t="s">
        <v>64</v>
      </c>
      <c r="D12" s="38">
        <f t="shared" si="1"/>
        <v>35</v>
      </c>
      <c r="E12" s="38">
        <f t="shared" si="2"/>
        <v>35</v>
      </c>
      <c r="F12" s="39">
        <v>35</v>
      </c>
      <c r="G12" s="39"/>
      <c r="H12" s="39"/>
      <c r="I12" s="39"/>
      <c r="J12" s="39"/>
      <c r="K12" s="39"/>
      <c r="L12" s="39"/>
      <c r="M12" s="39"/>
      <c r="N12" s="39"/>
    </row>
    <row r="13" spans="1:14" ht="42" customHeight="1">
      <c r="A13" s="42">
        <v>2120101</v>
      </c>
      <c r="B13" s="36"/>
      <c r="C13" s="43" t="s">
        <v>65</v>
      </c>
      <c r="D13" s="38">
        <f t="shared" si="1"/>
        <v>15.6</v>
      </c>
      <c r="E13" s="38">
        <f t="shared" si="2"/>
        <v>15.6</v>
      </c>
      <c r="F13" s="39"/>
      <c r="G13" s="39"/>
      <c r="H13" s="39">
        <v>15.6</v>
      </c>
      <c r="I13" s="39"/>
      <c r="J13" s="39"/>
      <c r="K13" s="39"/>
      <c r="L13" s="39"/>
      <c r="M13" s="39"/>
      <c r="N13" s="39"/>
    </row>
    <row r="14" spans="1:14" ht="42" customHeight="1">
      <c r="A14" s="42">
        <v>2120101</v>
      </c>
      <c r="B14" s="36"/>
      <c r="C14" s="43" t="s">
        <v>66</v>
      </c>
      <c r="D14" s="38">
        <f t="shared" si="1"/>
        <v>22.8</v>
      </c>
      <c r="E14" s="38">
        <f t="shared" si="2"/>
        <v>22.8</v>
      </c>
      <c r="F14" s="39"/>
      <c r="G14" s="39"/>
      <c r="H14" s="39">
        <v>22.8</v>
      </c>
      <c r="I14" s="39"/>
      <c r="J14" s="39"/>
      <c r="K14" s="39"/>
      <c r="L14" s="39"/>
      <c r="M14" s="39"/>
      <c r="N14" s="39"/>
    </row>
    <row r="15" spans="1:14" ht="42" customHeight="1">
      <c r="A15" s="42">
        <v>2120101</v>
      </c>
      <c r="B15" s="36"/>
      <c r="C15" s="43" t="s">
        <v>67</v>
      </c>
      <c r="D15" s="38">
        <f t="shared" si="1"/>
        <v>6.6</v>
      </c>
      <c r="E15" s="38">
        <f t="shared" si="2"/>
        <v>6.6</v>
      </c>
      <c r="F15" s="39"/>
      <c r="G15" s="39"/>
      <c r="H15" s="39">
        <v>6.6</v>
      </c>
      <c r="I15" s="39"/>
      <c r="J15" s="39"/>
      <c r="K15" s="39"/>
      <c r="L15" s="39"/>
      <c r="M15" s="39"/>
      <c r="N15" s="39"/>
    </row>
    <row r="16" spans="1:14" ht="42" customHeight="1">
      <c r="A16" s="42">
        <v>2210201</v>
      </c>
      <c r="B16" s="36"/>
      <c r="C16" s="43" t="s">
        <v>68</v>
      </c>
      <c r="D16" s="38">
        <f t="shared" si="1"/>
        <v>20.65</v>
      </c>
      <c r="E16" s="38">
        <f t="shared" si="2"/>
        <v>20.65</v>
      </c>
      <c r="F16" s="39"/>
      <c r="G16" s="39">
        <v>20.65</v>
      </c>
      <c r="H16" s="39"/>
      <c r="I16" s="39"/>
      <c r="J16" s="39"/>
      <c r="K16" s="39"/>
      <c r="L16" s="39"/>
      <c r="M16" s="39"/>
      <c r="N16" s="39"/>
    </row>
    <row r="17" spans="1:14" ht="42" customHeight="1">
      <c r="A17" s="35">
        <v>2210202</v>
      </c>
      <c r="B17" s="36"/>
      <c r="C17" s="43" t="s">
        <v>69</v>
      </c>
      <c r="D17" s="38">
        <f t="shared" si="1"/>
        <v>5.81</v>
      </c>
      <c r="E17" s="38">
        <f t="shared" si="2"/>
        <v>5.81</v>
      </c>
      <c r="F17" s="39"/>
      <c r="G17" s="39">
        <v>5.81</v>
      </c>
      <c r="H17" s="39"/>
      <c r="I17" s="39"/>
      <c r="J17" s="39"/>
      <c r="K17" s="39"/>
      <c r="L17" s="39"/>
      <c r="M17" s="39"/>
      <c r="N17" s="39"/>
    </row>
    <row r="18" spans="1:14" ht="42" customHeight="1">
      <c r="A18" s="44"/>
      <c r="B18" s="45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ht="42" customHeight="1"/>
    <row r="20" spans="1:14" ht="42" customHeight="1"/>
    <row r="21" spans="1:14" ht="42" customHeight="1"/>
    <row r="22" spans="1:14" ht="42" customHeight="1"/>
    <row r="23" spans="1:14" ht="42" customHeight="1"/>
    <row r="24" spans="1:14" ht="42" customHeight="1"/>
    <row r="25" spans="1:14" ht="42" customHeight="1"/>
    <row r="26" spans="1:14" ht="42" customHeight="1"/>
  </sheetData>
  <mergeCells count="8">
    <mergeCell ref="M4:M5"/>
    <mergeCell ref="N4:N5"/>
    <mergeCell ref="A4:A5"/>
    <mergeCell ref="B4:B5"/>
    <mergeCell ref="C4:C5"/>
    <mergeCell ref="D4:D5"/>
    <mergeCell ref="E4:H4"/>
    <mergeCell ref="I4:L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2016年度财政拨款收支总表</vt:lpstr>
      <vt:lpstr>2016年度一般公共预算支出表</vt:lpstr>
      <vt:lpstr>2016年度一般公共预算基本支出表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2016-12-15T07:44:32Z</dcterms:modified>
</cp:coreProperties>
</file>