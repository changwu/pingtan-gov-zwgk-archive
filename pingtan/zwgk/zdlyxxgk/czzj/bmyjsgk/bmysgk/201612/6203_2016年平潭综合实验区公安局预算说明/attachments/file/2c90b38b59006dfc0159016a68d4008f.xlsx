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14210"/>
  <fileRecoveryPr autoRecover="0"/>
</workbook>
</file>

<file path=xl/calcChain.xml><?xml version="1.0" encoding="utf-8"?>
<calcChain xmlns="http://schemas.openxmlformats.org/spreadsheetml/2006/main">
  <c r="F20" i="93"/>
  <c r="D20"/>
  <c r="D10"/>
  <c r="D6"/>
  <c r="B20"/>
</calcChain>
</file>

<file path=xl/sharedStrings.xml><?xml version="1.0" encoding="utf-8"?>
<sst xmlns="http://schemas.openxmlformats.org/spreadsheetml/2006/main" count="47" uniqueCount="42">
  <si>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</si>
  <si>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</si>
  <si>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</si>
  <si>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</si>
  <si>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</si>
  <si>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</si>
  <si>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</si>
  <si>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</si>
  <si>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</si>
  <si>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二、基金预算财政拨款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</si>
  <si>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</si>
  <si>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</si>
  <si>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</si>
  <si>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</si>
  <si>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</si>
  <si>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</si>
  <si>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</si>
  <si>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</si>
  <si>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</si>
  <si>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</si>
  <si>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</si>
  <si>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</si>
  <si>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</si>
  <si>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</si>
  <si>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</si>
  <si>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</si>
  <si>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</si>
  <si>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区级基金预算拨款</t>
    <phoneticPr fontId="2" type="noConversion"/>
  </si>
  <si>
    <t xml:space="preserve">    财政转移支付补助</t>
    <phoneticPr fontId="2" type="noConversion"/>
  </si>
  <si>
    <t xml:space="preserve">    财政转移支付补助（基金）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</si>
  <si>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</si>
  <si>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</si>
  <si>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</si>
  <si>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</si>
  <si>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</si>
  <si>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</si>
  <si>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</si>
  <si>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</si>
  <si>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</si>
  <si>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</si>
  <si>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单位：</t>
    <phoneticPr fontId="2" type="noConversion"/>
  </si>
  <si>
    <t>2016年部门收支总表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</si>
</sst>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showGridLines="0" showZeros="0" tabSelected="1" zoomScaleNormal="100" workbookViewId="0">
      <selection activeCell="C12" sqref="C12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41</v>
      </c>
      <c r="B2" s="4"/>
      <c r="C2" s="4"/>
      <c r="D2" s="4"/>
      <c r="E2" s="4"/>
      <c r="F2" s="4"/>
    </row>
    <row r="3" spans="1:6" s="1" customFormat="1" ht="18.95" customHeight="1">
      <c r="A3" s="8" t="s">
        <v>40</v>
      </c>
      <c r="B3" s="9"/>
      <c r="C3" s="9"/>
      <c r="D3" s="9"/>
      <c r="E3" s="9"/>
      <c r="F3" s="10" t="s">
        <v>0</v>
      </c>
    </row>
    <row r="4" spans="1:6" ht="18.95" customHeight="1">
      <c r="A4" s="6" t="s">
        <v>1</v>
      </c>
      <c r="B4" s="6"/>
      <c r="C4" s="6" t="s">
        <v>2</v>
      </c>
      <c r="D4" s="6"/>
      <c r="E4" s="6"/>
      <c r="F4" s="6"/>
    </row>
    <row r="5" spans="1:6" ht="18.95" customHeight="1">
      <c r="A5" s="7" t="s">
        <v>3</v>
      </c>
      <c r="B5" s="7" t="s">
        <v>39</v>
      </c>
      <c r="C5" s="7" t="s">
        <v>3</v>
      </c>
      <c r="D5" s="7" t="s">
        <v>39</v>
      </c>
      <c r="E5" s="7" t="s">
        <v>3</v>
      </c>
      <c r="F5" s="7" t="s">
        <v>39</v>
      </c>
    </row>
    <row r="6" spans="1:6" s="1" customFormat="1" ht="20.100000000000001" customHeight="1">
      <c r="A6" s="11" t="s">
        <v>4</v>
      </c>
      <c r="B6" s="12"/>
      <c r="C6" s="11" t="s">
        <v>5</v>
      </c>
      <c r="D6" s="12">
        <f>SUM(D7:D9)</f>
        <v>7253.98</v>
      </c>
      <c r="E6" s="11" t="s">
        <v>6</v>
      </c>
      <c r="F6" s="12">
        <v>5824.98</v>
      </c>
    </row>
    <row r="7" spans="1:6" s="1" customFormat="1" ht="20.100000000000001" customHeight="1">
      <c r="A7" s="13" t="s">
        <v>23</v>
      </c>
      <c r="B7" s="12">
        <v>23320.62</v>
      </c>
      <c r="C7" s="14" t="s">
        <v>35</v>
      </c>
      <c r="D7" s="12">
        <v>5824.98</v>
      </c>
      <c r="E7" s="11" t="s">
        <v>7</v>
      </c>
      <c r="F7" s="12">
        <v>4495.6400000000003</v>
      </c>
    </row>
    <row r="8" spans="1:6" s="1" customFormat="1" ht="20.100000000000001" customHeight="1">
      <c r="A8" s="13" t="s">
        <v>25</v>
      </c>
      <c r="B8" s="12"/>
      <c r="C8" s="14" t="s">
        <v>17</v>
      </c>
      <c r="D8" s="12"/>
      <c r="E8" s="11" t="s">
        <v>8</v>
      </c>
      <c r="F8" s="12"/>
    </row>
    <row r="9" spans="1:6" s="1" customFormat="1" ht="20.100000000000001" customHeight="1">
      <c r="A9" s="15" t="s">
        <v>24</v>
      </c>
      <c r="B9" s="16">
        <v>0</v>
      </c>
      <c r="C9" s="14" t="s">
        <v>18</v>
      </c>
      <c r="D9" s="12">
        <v>1429</v>
      </c>
      <c r="E9" s="11" t="s">
        <v>10</v>
      </c>
      <c r="F9" s="12">
        <v>0</v>
      </c>
    </row>
    <row r="10" spans="1:6" s="1" customFormat="1" ht="20.100000000000001" customHeight="1">
      <c r="A10" s="14" t="s">
        <v>26</v>
      </c>
      <c r="B10" s="12">
        <v>0</v>
      </c>
      <c r="C10" s="11" t="s">
        <v>11</v>
      </c>
      <c r="D10" s="12">
        <f>SUM(D11:D13)</f>
        <v>16066.64</v>
      </c>
      <c r="E10" s="11" t="s">
        <v>12</v>
      </c>
      <c r="F10" s="12">
        <v>0</v>
      </c>
    </row>
    <row r="11" spans="1:6" s="1" customFormat="1" ht="20.100000000000001" customHeight="1">
      <c r="A11" s="14" t="s">
        <v>28</v>
      </c>
      <c r="B11" s="12">
        <v>0</v>
      </c>
      <c r="C11" s="14" t="s">
        <v>36</v>
      </c>
      <c r="D11" s="12">
        <v>886.64</v>
      </c>
      <c r="E11" s="11" t="s">
        <v>19</v>
      </c>
      <c r="F11" s="17">
        <v>0</v>
      </c>
    </row>
    <row r="12" spans="1:6" s="1" customFormat="1" ht="20.100000000000001" customHeight="1">
      <c r="A12" s="11" t="s">
        <v>9</v>
      </c>
      <c r="B12" s="12">
        <v>0</v>
      </c>
      <c r="C12" s="14" t="s">
        <v>37</v>
      </c>
      <c r="D12" s="12">
        <v>2180</v>
      </c>
      <c r="E12" s="11" t="s">
        <v>20</v>
      </c>
      <c r="F12" s="12">
        <v>13000</v>
      </c>
    </row>
    <row r="13" spans="1:6" s="1" customFormat="1" ht="20.100000000000001" customHeight="1">
      <c r="A13" s="14" t="s">
        <v>27</v>
      </c>
      <c r="B13" s="12">
        <v>0</v>
      </c>
      <c r="C13" s="14" t="s">
        <v>38</v>
      </c>
      <c r="D13" s="12">
        <v>13000</v>
      </c>
      <c r="E13" s="11" t="s">
        <v>21</v>
      </c>
      <c r="F13" s="12">
        <v>0</v>
      </c>
    </row>
    <row r="14" spans="1:6" s="1" customFormat="1" ht="20.100000000000001" customHeight="1">
      <c r="A14" s="14" t="s">
        <v>29</v>
      </c>
      <c r="B14" s="12">
        <v>0</v>
      </c>
      <c r="C14" s="14"/>
      <c r="D14" s="18"/>
      <c r="E14" s="11" t="s">
        <v>22</v>
      </c>
      <c r="F14" s="12">
        <v>0</v>
      </c>
    </row>
    <row r="15" spans="1:6" s="1" customFormat="1" ht="20.100000000000001" customHeight="1">
      <c r="A15" s="11" t="s">
        <v>30</v>
      </c>
      <c r="B15" s="12">
        <v>0</v>
      </c>
      <c r="C15" s="14"/>
      <c r="D15" s="18"/>
      <c r="F15" s="5"/>
    </row>
    <row r="16" spans="1:6" s="1" customFormat="1" ht="20.100000000000001" customHeight="1">
      <c r="A16" s="11" t="s">
        <v>31</v>
      </c>
      <c r="B16" s="16">
        <v>0</v>
      </c>
      <c r="C16" s="14"/>
      <c r="D16" s="18"/>
      <c r="E16" s="14"/>
      <c r="F16" s="5"/>
    </row>
    <row r="17" spans="1:6" s="1" customFormat="1" ht="20.100000000000001" customHeight="1">
      <c r="A17" s="11" t="s">
        <v>32</v>
      </c>
      <c r="B17" s="12">
        <v>0</v>
      </c>
      <c r="C17" s="11" t="s">
        <v>13</v>
      </c>
      <c r="D17" s="12">
        <v>0</v>
      </c>
      <c r="F17" s="5"/>
    </row>
    <row r="18" spans="1:6" s="1" customFormat="1" ht="20.100000000000001" customHeight="1">
      <c r="A18" s="11" t="s">
        <v>33</v>
      </c>
      <c r="B18" s="12">
        <v>0</v>
      </c>
      <c r="C18" s="11" t="s">
        <v>16</v>
      </c>
      <c r="D18" s="12">
        <v>0</v>
      </c>
      <c r="E18" s="14"/>
      <c r="F18" s="18"/>
    </row>
    <row r="19" spans="1:6" s="1" customFormat="1" ht="20.100000000000001" customHeight="1">
      <c r="A19" s="11" t="s">
        <v>34</v>
      </c>
      <c r="B19" s="12">
        <v>0</v>
      </c>
      <c r="C19" s="14"/>
      <c r="D19" s="18"/>
      <c r="E19" s="14"/>
      <c r="F19" s="18"/>
    </row>
    <row r="20" spans="1:6" s="1" customFormat="1" ht="20.100000000000001" customHeight="1">
      <c r="A20" s="19" t="s">
        <v>14</v>
      </c>
      <c r="B20" s="12">
        <f>B7+B12+B15+B16+B17+B18+B19</f>
        <v>23320.62</v>
      </c>
      <c r="C20" s="19" t="s">
        <v>15</v>
      </c>
      <c r="D20" s="12">
        <f>D6+D10+D17+D18</f>
        <v>23320.62</v>
      </c>
      <c r="E20" s="19" t="s">
        <v>15</v>
      </c>
      <c r="F20" s="12">
        <f>SUM(F6:F14)</f>
        <v>23320.62</v>
      </c>
    </row>
    <row r="21" spans="1:6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2016-12-15T04:53:28Z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