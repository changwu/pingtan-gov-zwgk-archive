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9" i="1"/>
  <c r="G29"/>
  <c r="H29"/>
  <c r="I29"/>
  <c r="J29"/>
  <c r="K29"/>
  <c r="E29"/>
  <c r="J28"/>
  <c r="K28" s="1"/>
  <c r="E28"/>
  <c r="E27"/>
  <c r="J27" s="1"/>
  <c r="K27" s="1"/>
  <c r="J26"/>
  <c r="K26" s="1"/>
  <c r="E26"/>
  <c r="E25"/>
  <c r="J25" s="1"/>
  <c r="K25" s="1"/>
  <c r="J24"/>
  <c r="K24" s="1"/>
  <c r="E24"/>
  <c r="E23"/>
  <c r="J23" s="1"/>
  <c r="K23" s="1"/>
  <c r="J22"/>
  <c r="K22" s="1"/>
  <c r="E22"/>
  <c r="E21"/>
  <c r="J21" s="1"/>
  <c r="K21" s="1"/>
  <c r="J20"/>
  <c r="K20" s="1"/>
  <c r="E20"/>
  <c r="E19"/>
  <c r="J19" s="1"/>
  <c r="K19" s="1"/>
  <c r="J18"/>
  <c r="K18" s="1"/>
  <c r="E18"/>
  <c r="E17"/>
  <c r="J17" s="1"/>
  <c r="K17" s="1"/>
  <c r="J16"/>
  <c r="K16" s="1"/>
  <c r="E16"/>
  <c r="E15"/>
  <c r="J15" s="1"/>
  <c r="K15" s="1"/>
  <c r="J14"/>
  <c r="K14" s="1"/>
  <c r="E14"/>
  <c r="E13"/>
  <c r="J13" s="1"/>
  <c r="K13" s="1"/>
  <c r="J12"/>
  <c r="K12" s="1"/>
  <c r="E12"/>
  <c r="E11"/>
  <c r="J11" s="1"/>
  <c r="K11" s="1"/>
  <c r="J10"/>
  <c r="K10" s="1"/>
  <c r="E10"/>
  <c r="E9"/>
  <c r="J9" s="1"/>
  <c r="K9" s="1"/>
  <c r="J8"/>
  <c r="K8" s="1"/>
  <c r="E8"/>
</calcChain>
</file>

<file path=xl/sharedStrings.xml><?xml version="1.0" encoding="utf-8"?>
<sst xmlns="http://schemas.openxmlformats.org/spreadsheetml/2006/main" count="98" uniqueCount="51">
  <si>
    <t>附表3-3</t>
    <phoneticPr fontId="3" type="noConversion"/>
  </si>
  <si>
    <t>2017年年度支出预算总表</t>
    <phoneticPr fontId="3" type="noConversion"/>
  </si>
  <si>
    <t>单位：万元</t>
  </si>
  <si>
    <t>单位编码</t>
  </si>
  <si>
    <t>单位名称</t>
  </si>
  <si>
    <t>科目编码</t>
  </si>
  <si>
    <t>科目名称</t>
  </si>
  <si>
    <t>总计</t>
  </si>
  <si>
    <t>人员支出</t>
  </si>
  <si>
    <t>对个人和家庭的补助支出</t>
  </si>
  <si>
    <t>公用支出</t>
  </si>
  <si>
    <t>项目支出</t>
  </si>
  <si>
    <t>资金来源</t>
  </si>
  <si>
    <t>一般公共预算拨款</t>
  </si>
  <si>
    <t>基金预算拨款</t>
  </si>
  <si>
    <t>财政代管资金拨款</t>
  </si>
  <si>
    <t>财政专户拨款</t>
  </si>
  <si>
    <t>单位结余结转资金</t>
  </si>
  <si>
    <t>单位其它收入</t>
  </si>
  <si>
    <t>一般公共预算拨款小计</t>
  </si>
  <si>
    <t>其中：工成本性支出</t>
  </si>
  <si>
    <t>成品油价格和税费改革税收返还</t>
  </si>
  <si>
    <t>基金预算拨款小计</t>
  </si>
  <si>
    <t>**</t>
  </si>
  <si>
    <t>601001</t>
    <phoneticPr fontId="3" type="noConversion"/>
  </si>
  <si>
    <t>平潭综合实验区财政金融局</t>
    <phoneticPr fontId="3" type="noConversion"/>
  </si>
  <si>
    <t>行政运行</t>
    <phoneticPr fontId="3" type="noConversion"/>
  </si>
  <si>
    <t>一般行政管理事务</t>
    <phoneticPr fontId="3" type="noConversion"/>
  </si>
  <si>
    <t>信息化建设</t>
    <phoneticPr fontId="3" type="noConversion"/>
  </si>
  <si>
    <t>住房公积金</t>
    <phoneticPr fontId="3" type="noConversion"/>
  </si>
  <si>
    <t>提租补贴</t>
    <phoneticPr fontId="3" type="noConversion"/>
  </si>
  <si>
    <t>601003</t>
    <phoneticPr fontId="3" type="noConversion"/>
  </si>
  <si>
    <t>平潭综合实验区国库支付中心</t>
    <phoneticPr fontId="3" type="noConversion"/>
  </si>
  <si>
    <t>财政国库业务</t>
    <phoneticPr fontId="3" type="noConversion"/>
  </si>
  <si>
    <t>事业运行</t>
    <phoneticPr fontId="3" type="noConversion"/>
  </si>
  <si>
    <t>601004</t>
    <phoneticPr fontId="3" type="noConversion"/>
  </si>
  <si>
    <t>平潭综合实验区政府采购办公室</t>
    <phoneticPr fontId="3" type="noConversion"/>
  </si>
  <si>
    <t>机关服务</t>
    <phoneticPr fontId="3" type="noConversion"/>
  </si>
  <si>
    <t>601005</t>
    <phoneticPr fontId="3" type="noConversion"/>
  </si>
  <si>
    <t>平潭综合实验区投资评审中心</t>
    <phoneticPr fontId="3" type="noConversion"/>
  </si>
  <si>
    <t>601007</t>
    <phoneticPr fontId="3" type="noConversion"/>
  </si>
  <si>
    <t>平潭综合实验区乡镇财政管理办公室</t>
    <phoneticPr fontId="3" type="noConversion"/>
  </si>
  <si>
    <t>601010</t>
    <phoneticPr fontId="3" type="noConversion"/>
  </si>
  <si>
    <t>平潭综合实验区政府和社会资本合作(PPP)管理中心</t>
    <phoneticPr fontId="3" type="noConversion"/>
  </si>
  <si>
    <t>单位：平潭综合实验区财政局（汇总）</t>
    <phoneticPr fontId="1" type="noConversion"/>
  </si>
  <si>
    <t>合计</t>
    <phoneticPr fontId="1" type="noConversion"/>
  </si>
  <si>
    <t>区级一般公共预算拨款</t>
    <phoneticPr fontId="1" type="noConversion"/>
  </si>
  <si>
    <t>省级财政转移支付补助</t>
    <phoneticPr fontId="1" type="noConversion"/>
  </si>
  <si>
    <t>区级政府性基金列入一般公共预算</t>
    <phoneticPr fontId="1" type="noConversion"/>
  </si>
  <si>
    <t>区级基金预算拨款</t>
    <phoneticPr fontId="1" type="noConversion"/>
  </si>
  <si>
    <t>省级财政转移支付补助（基金）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</si>
</sst>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20"/>
      <color indexed="8"/>
      <name val="方正小标宋_GBK"/>
      <family val="4"/>
      <charset val="134"/>
    </font>
    <font>
      <b/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21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left" vertical="center" wrapText="1"/>
    </xf>
    <xf numFmtId="176" fontId="9" fillId="0" borderId="2" xfId="0" applyNumberFormat="1" applyFont="1" applyFill="1" applyBorder="1" applyAlignment="1">
      <alignment horizontal="right" vertical="center" wrapText="1"/>
    </xf>
    <xf numFmtId="4" fontId="9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1" xfId="1" applyNumberFormat="1" applyFont="1" applyFill="1" applyBorder="1" applyAlignment="1" applyProtection="1">
      <alignment horizontal="center" vertical="center" wrapText="1"/>
    </xf>
    <xf numFmtId="0" fontId="8" fillId="0" borderId="4" xfId="1" applyNumberFormat="1" applyFont="1" applyFill="1" applyBorder="1" applyAlignment="1" applyProtection="1">
      <alignment horizontal="center" vertical="center" wrapText="1"/>
    </xf>
  </cellXfs>
  <cellStyles count="2">
    <cellStyle name="常规" xfId="0" builtinId="0"/>
    <cellStyle name="常规 50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tabSelected="1" topLeftCell="C10" workbookViewId="0">
      <selection activeCell="S6" sqref="S6"/>
    </sheetView>
  </sheetViews>
  <sheetFormatPr defaultRowHeight="13.5"/>
  <cols>
    <col min="1" max="1" width="6.875" style="3" customWidth="1"/>
    <col min="2" max="2" width="25" style="3" customWidth="1"/>
    <col min="3" max="3" width="8.25" style="3" customWidth="1"/>
    <col min="4" max="4" width="12.375" style="3" customWidth="1"/>
    <col min="5" max="6" width="10.375" style="3" customWidth="1"/>
    <col min="7" max="8" width="8.375" style="3" customWidth="1"/>
    <col min="9" max="9" width="8.25" style="3" customWidth="1"/>
    <col min="10" max="10" width="9.875" style="3" customWidth="1"/>
    <col min="11" max="11" width="10" style="3" customWidth="1"/>
    <col min="12" max="12" width="6.375" style="3" customWidth="1"/>
    <col min="13" max="13" width="6" style="3" customWidth="1"/>
    <col min="14" max="14" width="7.5" style="3" customWidth="1"/>
    <col min="15" max="15" width="7.25" style="3" customWidth="1"/>
    <col min="16" max="16" width="5.875" style="3" customWidth="1"/>
    <col min="17" max="17" width="5.5" style="3" customWidth="1"/>
    <col min="18" max="18" width="5.375" style="3" customWidth="1"/>
    <col min="19" max="19" width="7.625" style="3" customWidth="1"/>
    <col min="20" max="20" width="5.25" style="3" customWidth="1"/>
    <col min="21" max="21" width="5.125" style="3" customWidth="1"/>
    <col min="22" max="22" width="3.375" style="3" customWidth="1"/>
    <col min="23" max="23" width="3.625" style="3" customWidth="1"/>
    <col min="24" max="16384" width="9" style="3"/>
  </cols>
  <sheetData>
    <row r="1" spans="1:23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/>
      <c r="S1"/>
      <c r="T1"/>
      <c r="U1"/>
      <c r="V1"/>
      <c r="W1"/>
    </row>
    <row r="2" spans="1:23" ht="26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26.25" customHeight="1">
      <c r="A3" s="4"/>
      <c r="B3" s="4"/>
      <c r="C3" s="4" t="s">
        <v>44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 t="s">
        <v>2</v>
      </c>
    </row>
    <row r="4" spans="1:23" ht="26.25" customHeight="1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6" t="s">
        <v>12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26.25" customHeight="1">
      <c r="A5" s="17"/>
      <c r="B5" s="17"/>
      <c r="C5" s="17"/>
      <c r="D5" s="17"/>
      <c r="E5" s="17"/>
      <c r="F5" s="17"/>
      <c r="G5" s="17"/>
      <c r="H5" s="17"/>
      <c r="I5" s="17"/>
      <c r="J5" s="16" t="s">
        <v>7</v>
      </c>
      <c r="K5" s="6" t="s">
        <v>13</v>
      </c>
      <c r="L5" s="6"/>
      <c r="M5" s="6"/>
      <c r="N5" s="6"/>
      <c r="O5" s="6"/>
      <c r="P5" s="6"/>
      <c r="Q5" s="6" t="s">
        <v>14</v>
      </c>
      <c r="R5" s="6"/>
      <c r="S5" s="6"/>
      <c r="T5" s="16" t="s">
        <v>15</v>
      </c>
      <c r="U5" s="16" t="s">
        <v>16</v>
      </c>
      <c r="V5" s="19" t="s">
        <v>17</v>
      </c>
      <c r="W5" s="16" t="s">
        <v>18</v>
      </c>
    </row>
    <row r="6" spans="1:23" ht="71.25">
      <c r="A6" s="18"/>
      <c r="B6" s="18"/>
      <c r="C6" s="18"/>
      <c r="D6" s="18"/>
      <c r="E6" s="18"/>
      <c r="F6" s="18"/>
      <c r="G6" s="18"/>
      <c r="H6" s="18"/>
      <c r="I6" s="18"/>
      <c r="J6" s="18"/>
      <c r="K6" s="7" t="s">
        <v>19</v>
      </c>
      <c r="L6" s="7" t="s">
        <v>46</v>
      </c>
      <c r="M6" s="7" t="s">
        <v>20</v>
      </c>
      <c r="N6" s="7" t="s">
        <v>48</v>
      </c>
      <c r="O6" s="7" t="s">
        <v>21</v>
      </c>
      <c r="P6" s="7" t="s">
        <v>47</v>
      </c>
      <c r="Q6" s="7" t="s">
        <v>22</v>
      </c>
      <c r="R6" s="7" t="s">
        <v>49</v>
      </c>
      <c r="S6" s="7" t="s">
        <v>50</v>
      </c>
      <c r="T6" s="18"/>
      <c r="U6" s="18"/>
      <c r="V6" s="20"/>
      <c r="W6" s="18"/>
    </row>
    <row r="7" spans="1:23" ht="14.25">
      <c r="A7" s="8" t="s">
        <v>23</v>
      </c>
      <c r="B7" s="8" t="s">
        <v>23</v>
      </c>
      <c r="C7" s="8" t="s">
        <v>23</v>
      </c>
      <c r="D7" s="8" t="s">
        <v>23</v>
      </c>
      <c r="E7" s="8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8">
        <v>18</v>
      </c>
      <c r="W7" s="8">
        <v>19</v>
      </c>
    </row>
    <row r="8" spans="1:23">
      <c r="A8" s="9" t="s">
        <v>24</v>
      </c>
      <c r="B8" s="9" t="s">
        <v>25</v>
      </c>
      <c r="C8" s="10">
        <v>2010501</v>
      </c>
      <c r="D8" s="10" t="s">
        <v>26</v>
      </c>
      <c r="E8" s="11">
        <f>F8+G8+H8+I8</f>
        <v>178.59</v>
      </c>
      <c r="F8" s="11">
        <v>168.59</v>
      </c>
      <c r="G8" s="11"/>
      <c r="H8" s="11"/>
      <c r="I8" s="11">
        <v>10</v>
      </c>
      <c r="J8" s="11">
        <f>E8</f>
        <v>178.59</v>
      </c>
      <c r="K8" s="12">
        <f>J8</f>
        <v>178.59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>
      <c r="A9" s="9" t="s">
        <v>24</v>
      </c>
      <c r="B9" s="9" t="s">
        <v>25</v>
      </c>
      <c r="C9" s="10">
        <v>2010601</v>
      </c>
      <c r="D9" s="10" t="s">
        <v>26</v>
      </c>
      <c r="E9" s="11">
        <f>F9+G9+H9+I9</f>
        <v>840.33</v>
      </c>
      <c r="F9" s="11">
        <v>562.82000000000005</v>
      </c>
      <c r="G9" s="11"/>
      <c r="H9" s="11">
        <v>57.51</v>
      </c>
      <c r="I9" s="11">
        <v>220</v>
      </c>
      <c r="J9" s="11">
        <f t="shared" ref="J9:J28" si="0">E9</f>
        <v>840.33</v>
      </c>
      <c r="K9" s="12">
        <f t="shared" ref="K9:K28" si="1">J9</f>
        <v>840.33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27">
      <c r="A10" s="9" t="s">
        <v>24</v>
      </c>
      <c r="B10" s="9" t="s">
        <v>25</v>
      </c>
      <c r="C10" s="10">
        <v>2010602</v>
      </c>
      <c r="D10" s="10" t="s">
        <v>27</v>
      </c>
      <c r="E10" s="11">
        <f t="shared" ref="E10:E28" si="2">F10+G10+H10+I10</f>
        <v>30</v>
      </c>
      <c r="F10" s="11"/>
      <c r="G10" s="11"/>
      <c r="H10" s="11"/>
      <c r="I10" s="11">
        <v>30</v>
      </c>
      <c r="J10" s="11">
        <f t="shared" si="0"/>
        <v>30</v>
      </c>
      <c r="K10" s="12">
        <f t="shared" si="1"/>
        <v>30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>
      <c r="A11" s="9" t="s">
        <v>24</v>
      </c>
      <c r="B11" s="9" t="s">
        <v>25</v>
      </c>
      <c r="C11" s="10">
        <v>2010607</v>
      </c>
      <c r="D11" s="10" t="s">
        <v>28</v>
      </c>
      <c r="E11" s="11">
        <f t="shared" si="2"/>
        <v>107</v>
      </c>
      <c r="F11" s="11"/>
      <c r="G11" s="11"/>
      <c r="H11" s="11"/>
      <c r="I11" s="11">
        <v>107</v>
      </c>
      <c r="J11" s="11">
        <f t="shared" si="0"/>
        <v>107</v>
      </c>
      <c r="K11" s="12">
        <f t="shared" si="1"/>
        <v>107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>
      <c r="A12" s="9" t="s">
        <v>24</v>
      </c>
      <c r="B12" s="9" t="s">
        <v>25</v>
      </c>
      <c r="C12" s="10">
        <v>2011301</v>
      </c>
      <c r="D12" s="10" t="s">
        <v>26</v>
      </c>
      <c r="E12" s="11">
        <f t="shared" si="2"/>
        <v>47.53</v>
      </c>
      <c r="F12" s="11"/>
      <c r="G12" s="11"/>
      <c r="H12" s="11">
        <v>47.53</v>
      </c>
      <c r="I12" s="11"/>
      <c r="J12" s="11">
        <f t="shared" si="0"/>
        <v>47.53</v>
      </c>
      <c r="K12" s="12">
        <f t="shared" si="1"/>
        <v>47.53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>
      <c r="A13" s="9" t="s">
        <v>24</v>
      </c>
      <c r="B13" s="9" t="s">
        <v>25</v>
      </c>
      <c r="C13" s="10">
        <v>2210201</v>
      </c>
      <c r="D13" s="10" t="s">
        <v>29</v>
      </c>
      <c r="E13" s="11">
        <f t="shared" si="2"/>
        <v>53.99</v>
      </c>
      <c r="F13" s="11"/>
      <c r="G13" s="11">
        <v>53.99</v>
      </c>
      <c r="H13" s="11"/>
      <c r="I13" s="11"/>
      <c r="J13" s="11">
        <f t="shared" si="0"/>
        <v>53.99</v>
      </c>
      <c r="K13" s="12">
        <f t="shared" si="1"/>
        <v>53.99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>
      <c r="A14" s="9" t="s">
        <v>24</v>
      </c>
      <c r="B14" s="9" t="s">
        <v>25</v>
      </c>
      <c r="C14" s="10">
        <v>2210202</v>
      </c>
      <c r="D14" s="10" t="s">
        <v>30</v>
      </c>
      <c r="E14" s="11">
        <f t="shared" si="2"/>
        <v>21.42</v>
      </c>
      <c r="F14" s="11"/>
      <c r="G14" s="11">
        <v>21.42</v>
      </c>
      <c r="H14" s="11"/>
      <c r="I14" s="11"/>
      <c r="J14" s="11">
        <f t="shared" si="0"/>
        <v>21.42</v>
      </c>
      <c r="K14" s="12">
        <f t="shared" si="1"/>
        <v>21.42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>
      <c r="A15" s="9" t="s">
        <v>31</v>
      </c>
      <c r="B15" s="9" t="s">
        <v>32</v>
      </c>
      <c r="C15" s="10">
        <v>2010605</v>
      </c>
      <c r="D15" s="10" t="s">
        <v>33</v>
      </c>
      <c r="E15" s="11">
        <f t="shared" si="2"/>
        <v>80</v>
      </c>
      <c r="F15" s="11"/>
      <c r="G15" s="11"/>
      <c r="H15" s="11"/>
      <c r="I15" s="11">
        <v>80</v>
      </c>
      <c r="J15" s="11">
        <f t="shared" si="0"/>
        <v>80</v>
      </c>
      <c r="K15" s="12">
        <f t="shared" si="1"/>
        <v>80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>
      <c r="A16" s="9" t="s">
        <v>31</v>
      </c>
      <c r="B16" s="9" t="s">
        <v>32</v>
      </c>
      <c r="C16" s="10">
        <v>2010650</v>
      </c>
      <c r="D16" s="10" t="s">
        <v>34</v>
      </c>
      <c r="E16" s="11">
        <f t="shared" si="2"/>
        <v>304.3</v>
      </c>
      <c r="F16" s="11">
        <v>280.3</v>
      </c>
      <c r="G16" s="11"/>
      <c r="H16" s="11">
        <v>24</v>
      </c>
      <c r="I16" s="11"/>
      <c r="J16" s="11">
        <f t="shared" si="0"/>
        <v>304.3</v>
      </c>
      <c r="K16" s="12">
        <f t="shared" si="1"/>
        <v>304.3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>
      <c r="A17" s="9" t="s">
        <v>31</v>
      </c>
      <c r="B17" s="9" t="s">
        <v>32</v>
      </c>
      <c r="C17" s="10">
        <v>2210201</v>
      </c>
      <c r="D17" s="10" t="s">
        <v>29</v>
      </c>
      <c r="E17" s="11">
        <f t="shared" si="2"/>
        <v>26.22</v>
      </c>
      <c r="F17" s="11"/>
      <c r="G17" s="11">
        <v>26.22</v>
      </c>
      <c r="H17" s="11"/>
      <c r="I17" s="11"/>
      <c r="J17" s="11">
        <f t="shared" si="0"/>
        <v>26.22</v>
      </c>
      <c r="K17" s="12">
        <f t="shared" si="1"/>
        <v>26.22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>
      <c r="A18" s="9" t="s">
        <v>31</v>
      </c>
      <c r="B18" s="9" t="s">
        <v>32</v>
      </c>
      <c r="C18" s="10">
        <v>2210202</v>
      </c>
      <c r="D18" s="10" t="s">
        <v>30</v>
      </c>
      <c r="E18" s="11">
        <f t="shared" si="2"/>
        <v>6.9</v>
      </c>
      <c r="F18" s="11"/>
      <c r="G18" s="11">
        <v>6.9</v>
      </c>
      <c r="H18" s="11"/>
      <c r="I18" s="11"/>
      <c r="J18" s="11">
        <f t="shared" si="0"/>
        <v>6.9</v>
      </c>
      <c r="K18" s="12">
        <f t="shared" si="1"/>
        <v>6.9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27">
      <c r="A19" s="9" t="s">
        <v>35</v>
      </c>
      <c r="B19" s="9" t="s">
        <v>36</v>
      </c>
      <c r="C19" s="10">
        <v>2010603</v>
      </c>
      <c r="D19" s="10" t="s">
        <v>37</v>
      </c>
      <c r="E19" s="11">
        <f t="shared" si="2"/>
        <v>155</v>
      </c>
      <c r="F19" s="11"/>
      <c r="G19" s="11"/>
      <c r="H19" s="11"/>
      <c r="I19" s="11">
        <v>155</v>
      </c>
      <c r="J19" s="11">
        <f t="shared" si="0"/>
        <v>155</v>
      </c>
      <c r="K19" s="12">
        <f t="shared" si="1"/>
        <v>155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>
      <c r="A20" s="9" t="s">
        <v>38</v>
      </c>
      <c r="B20" s="9" t="s">
        <v>39</v>
      </c>
      <c r="C20" s="10">
        <v>2010650</v>
      </c>
      <c r="D20" s="10" t="s">
        <v>34</v>
      </c>
      <c r="E20" s="11">
        <f t="shared" si="2"/>
        <v>407.59000000000003</v>
      </c>
      <c r="F20" s="11">
        <v>78.09</v>
      </c>
      <c r="G20" s="11"/>
      <c r="H20" s="11">
        <v>5.5</v>
      </c>
      <c r="I20" s="11">
        <v>324</v>
      </c>
      <c r="J20" s="11">
        <f t="shared" si="0"/>
        <v>407.59000000000003</v>
      </c>
      <c r="K20" s="12">
        <f t="shared" si="1"/>
        <v>407.59000000000003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>
      <c r="A21" s="9" t="s">
        <v>38</v>
      </c>
      <c r="B21" s="9" t="s">
        <v>39</v>
      </c>
      <c r="C21" s="10">
        <v>2210201</v>
      </c>
      <c r="D21" s="10" t="s">
        <v>29</v>
      </c>
      <c r="E21" s="11">
        <f t="shared" si="2"/>
        <v>5.61</v>
      </c>
      <c r="F21" s="11"/>
      <c r="G21" s="11">
        <v>5.61</v>
      </c>
      <c r="H21" s="11"/>
      <c r="I21" s="11"/>
      <c r="J21" s="11">
        <f t="shared" si="0"/>
        <v>5.61</v>
      </c>
      <c r="K21" s="12">
        <f t="shared" si="1"/>
        <v>5.61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>
      <c r="A22" s="9" t="s">
        <v>38</v>
      </c>
      <c r="B22" s="9" t="s">
        <v>39</v>
      </c>
      <c r="C22" s="10">
        <v>2210202</v>
      </c>
      <c r="D22" s="10" t="s">
        <v>30</v>
      </c>
      <c r="E22" s="11">
        <f t="shared" si="2"/>
        <v>2.21</v>
      </c>
      <c r="F22" s="11"/>
      <c r="G22" s="11">
        <v>2.21</v>
      </c>
      <c r="H22" s="11"/>
      <c r="I22" s="11"/>
      <c r="J22" s="11">
        <f t="shared" si="0"/>
        <v>2.21</v>
      </c>
      <c r="K22" s="12">
        <f t="shared" si="1"/>
        <v>2.21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27">
      <c r="A23" s="9" t="s">
        <v>40</v>
      </c>
      <c r="B23" s="9" t="s">
        <v>41</v>
      </c>
      <c r="C23" s="10">
        <v>2010650</v>
      </c>
      <c r="D23" s="10" t="s">
        <v>34</v>
      </c>
      <c r="E23" s="11">
        <f t="shared" si="2"/>
        <v>152.01</v>
      </c>
      <c r="F23" s="11">
        <v>103.51</v>
      </c>
      <c r="G23" s="11"/>
      <c r="H23" s="11">
        <v>6.5</v>
      </c>
      <c r="I23" s="11">
        <v>42</v>
      </c>
      <c r="J23" s="11">
        <f t="shared" si="0"/>
        <v>152.01</v>
      </c>
      <c r="K23" s="12">
        <f t="shared" si="1"/>
        <v>152.01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27">
      <c r="A24" s="9" t="s">
        <v>40</v>
      </c>
      <c r="B24" s="9" t="s">
        <v>41</v>
      </c>
      <c r="C24" s="10">
        <v>2210201</v>
      </c>
      <c r="D24" s="10" t="s">
        <v>29</v>
      </c>
      <c r="E24" s="11">
        <f t="shared" si="2"/>
        <v>15</v>
      </c>
      <c r="F24" s="11"/>
      <c r="G24" s="11">
        <v>15</v>
      </c>
      <c r="H24" s="11"/>
      <c r="I24" s="11"/>
      <c r="J24" s="11">
        <f t="shared" si="0"/>
        <v>15</v>
      </c>
      <c r="K24" s="12">
        <f t="shared" si="1"/>
        <v>15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27">
      <c r="A25" s="9" t="s">
        <v>40</v>
      </c>
      <c r="B25" s="9" t="s">
        <v>41</v>
      </c>
      <c r="C25" s="10">
        <v>2210202</v>
      </c>
      <c r="D25" s="10" t="s">
        <v>30</v>
      </c>
      <c r="E25" s="11">
        <f t="shared" si="2"/>
        <v>2.93</v>
      </c>
      <c r="F25" s="11"/>
      <c r="G25" s="11">
        <v>2.93</v>
      </c>
      <c r="H25" s="11"/>
      <c r="I25" s="11"/>
      <c r="J25" s="11">
        <f t="shared" si="0"/>
        <v>2.93</v>
      </c>
      <c r="K25" s="12">
        <f t="shared" si="1"/>
        <v>2.93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27">
      <c r="A26" s="9" t="s">
        <v>42</v>
      </c>
      <c r="B26" s="9" t="s">
        <v>43</v>
      </c>
      <c r="C26" s="10">
        <v>2010650</v>
      </c>
      <c r="D26" s="10" t="s">
        <v>34</v>
      </c>
      <c r="E26" s="11">
        <f t="shared" si="2"/>
        <v>40.42</v>
      </c>
      <c r="F26" s="11">
        <v>14.32</v>
      </c>
      <c r="G26" s="11"/>
      <c r="H26" s="11">
        <v>1.1000000000000001</v>
      </c>
      <c r="I26" s="11">
        <v>25</v>
      </c>
      <c r="J26" s="11">
        <f t="shared" si="0"/>
        <v>40.42</v>
      </c>
      <c r="K26" s="12">
        <f t="shared" si="1"/>
        <v>40.42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27">
      <c r="A27" s="9" t="s">
        <v>42</v>
      </c>
      <c r="B27" s="9" t="s">
        <v>43</v>
      </c>
      <c r="C27" s="10">
        <v>2210201</v>
      </c>
      <c r="D27" s="10" t="s">
        <v>29</v>
      </c>
      <c r="E27" s="11">
        <f t="shared" si="2"/>
        <v>0.95</v>
      </c>
      <c r="F27" s="11"/>
      <c r="G27" s="11">
        <v>0.95</v>
      </c>
      <c r="H27" s="11"/>
      <c r="I27" s="11"/>
      <c r="J27" s="11">
        <f t="shared" si="0"/>
        <v>0.95</v>
      </c>
      <c r="K27" s="12">
        <f t="shared" si="1"/>
        <v>0.95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27">
      <c r="A28" s="9" t="s">
        <v>42</v>
      </c>
      <c r="B28" s="9" t="s">
        <v>43</v>
      </c>
      <c r="C28" s="10">
        <v>2210202</v>
      </c>
      <c r="D28" s="10" t="s">
        <v>30</v>
      </c>
      <c r="E28" s="11">
        <f t="shared" si="2"/>
        <v>0.38</v>
      </c>
      <c r="F28" s="11"/>
      <c r="G28" s="11">
        <v>0.38</v>
      </c>
      <c r="H28" s="11"/>
      <c r="I28" s="11"/>
      <c r="J28" s="11">
        <f t="shared" si="0"/>
        <v>0.38</v>
      </c>
      <c r="K28" s="12">
        <f t="shared" si="1"/>
        <v>0.38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>
      <c r="C29" s="13"/>
      <c r="D29" s="13" t="s">
        <v>45</v>
      </c>
      <c r="E29" s="14">
        <f>SUM(E8:E28)</f>
        <v>2478.3800000000006</v>
      </c>
      <c r="F29" s="14">
        <f t="shared" ref="F29:K29" si="3">SUM(F8:F28)</f>
        <v>1207.6299999999999</v>
      </c>
      <c r="G29" s="14">
        <f t="shared" si="3"/>
        <v>135.60999999999999</v>
      </c>
      <c r="H29" s="14">
        <f t="shared" si="3"/>
        <v>142.13999999999999</v>
      </c>
      <c r="I29" s="14">
        <f t="shared" si="3"/>
        <v>993</v>
      </c>
      <c r="J29" s="14">
        <f t="shared" si="3"/>
        <v>2478.3800000000006</v>
      </c>
      <c r="K29" s="14">
        <f t="shared" si="3"/>
        <v>2478.3800000000006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</sheetData>
  <mergeCells count="15">
    <mergeCell ref="A2:W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T5:T6"/>
    <mergeCell ref="U5:U6"/>
    <mergeCell ref="V5:V6"/>
    <mergeCell ref="W5:W6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7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2017-09-05T03:35:26Z</dcterms:modified>
</cp:coreProperties>
</file>