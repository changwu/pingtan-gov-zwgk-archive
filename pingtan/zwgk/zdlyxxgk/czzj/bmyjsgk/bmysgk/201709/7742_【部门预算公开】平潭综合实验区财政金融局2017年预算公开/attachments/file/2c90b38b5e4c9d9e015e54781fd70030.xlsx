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3" i="1"/>
  <c r="D12"/>
  <c r="C12" s="1"/>
  <c r="D11"/>
  <c r="C11" s="1"/>
  <c r="D10"/>
  <c r="C10" s="1"/>
  <c r="D9"/>
  <c r="C9" s="1"/>
  <c r="D8"/>
  <c r="C8" s="1"/>
  <c r="D7"/>
  <c r="C7" s="1"/>
  <c r="C13" l="1"/>
  <c r="D13"/>
</calcChain>
</file>

<file path=xl/sharedStrings.xml><?xml version="1.0" encoding="utf-8"?>
<sst xmlns="http://schemas.openxmlformats.org/spreadsheetml/2006/main" count="36" uniqueCount="34">
  <si>
    <t>附表3-2</t>
    <phoneticPr fontId="3" type="noConversion"/>
  </si>
  <si>
    <t>2017年年度收入预算总表</t>
    <phoneticPr fontId="3" type="noConversion"/>
  </si>
  <si>
    <t>单位：平潭综合实验区财政金融局（汇总）</t>
    <phoneticPr fontId="3" type="noConversion"/>
  </si>
  <si>
    <t>单位：万元</t>
  </si>
  <si>
    <t>单位编码</t>
  </si>
  <si>
    <t>单位名称</t>
  </si>
  <si>
    <t>总计</t>
  </si>
  <si>
    <t>一般公共预算拨款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</si>
  <si>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</si>
  <si>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</si>
  <si>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</si>
  <si>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</si>
  <si>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</si>
  <si>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</si>
  <si>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成品油价格和税费改革税收返还</t>
  </si>
  <si>
    <t>**</t>
  </si>
  <si>
    <t>601001</t>
    <phoneticPr fontId="3" type="noConversion"/>
  </si>
  <si>
    <t>平潭综合实验区财政金融局</t>
    <phoneticPr fontId="3" type="noConversion"/>
  </si>
  <si>
    <t>601003</t>
    <phoneticPr fontId="3" type="noConversion"/>
  </si>
  <si>
    <t>平潭综合实验区国库支付中心</t>
    <phoneticPr fontId="3" type="noConversion"/>
  </si>
  <si>
    <t>601004</t>
    <phoneticPr fontId="3" type="noConversion"/>
  </si>
  <si>
    <t>平潭综合实验区政府采购办公室</t>
    <phoneticPr fontId="3" type="noConversion"/>
  </si>
  <si>
    <t>601005</t>
    <phoneticPr fontId="3" type="noConversion"/>
  </si>
  <si>
    <t>平潭综合实验区财政投资评审中心</t>
    <phoneticPr fontId="3" type="noConversion"/>
  </si>
  <si>
    <t>601007</t>
    <phoneticPr fontId="3" type="noConversion"/>
  </si>
  <si>
    <t>平潭综合实验区乡镇财政管理办公室</t>
    <phoneticPr fontId="3" type="noConversion"/>
  </si>
  <si>
    <t>601010</t>
    <phoneticPr fontId="3" type="noConversion"/>
  </si>
  <si>
    <t>平潭综合实验区政府和社会资本合作（PPP）管理中心</t>
    <phoneticPr fontId="3" type="noConversion"/>
  </si>
  <si>
    <t>合计</t>
    <phoneticPr fontId="3" type="noConversion"/>
  </si>
  <si>
    <t>区级一般公共预算拨款</t>
    <phoneticPr fontId="1" type="noConversion"/>
  </si>
  <si>
    <t>区级政府性基金列入一般公共预算</t>
    <phoneticPr fontId="1" type="noConversion"/>
  </si>
  <si>
    <t>省级财政转移支付补助</t>
    <phoneticPr fontId="1" type="noConversion"/>
  </si>
  <si>
    <t>区级基金预算拨款</t>
    <phoneticPr fontId="1" type="noConversion"/>
  </si>
  <si>
    <t>省级财政转移支付补助(基金)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</si>
</sst>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0000"/>
    <numFmt numFmtId="177" formatCode="* #,##0.0;* \-#,##0.0;* &quot;&quot;??;@"/>
    <numFmt numFmtId="178" formatCode="#,##0.00_ 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20"/>
      <name val="方正小标宋_GBK"/>
      <family val="4"/>
      <charset val="134"/>
    </font>
    <font>
      <sz val="20"/>
      <name val="黑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30">
    <xf numFmtId="0" fontId="0" fillId="0" borderId="0" xfId="0">
      <alignment vertical="center"/>
    </xf>
    <xf numFmtId="0" fontId="2" fillId="0" borderId="0" xfId="1" applyFont="1"/>
    <xf numFmtId="0" fontId="4" fillId="0" borderId="0" xfId="1" applyFont="1"/>
    <xf numFmtId="176" fontId="4" fillId="0" borderId="0" xfId="1" applyNumberFormat="1" applyFont="1" applyFill="1" applyAlignment="1" applyProtection="1">
      <alignment vertical="center"/>
    </xf>
    <xf numFmtId="49" fontId="4" fillId="0" borderId="0" xfId="1" applyNumberFormat="1" applyFont="1" applyFill="1" applyAlignment="1" applyProtection="1">
      <alignment vertical="center"/>
    </xf>
    <xf numFmtId="0" fontId="4" fillId="0" borderId="0" xfId="1" applyFont="1" applyAlignment="1">
      <alignment vertical="center" wrapText="1"/>
    </xf>
    <xf numFmtId="177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176" fontId="2" fillId="0" borderId="0" xfId="1" applyNumberFormat="1" applyFont="1" applyFill="1" applyAlignment="1" applyProtection="1">
      <alignment horizontal="center" vertical="center"/>
    </xf>
    <xf numFmtId="49" fontId="6" fillId="0" borderId="0" xfId="1" applyNumberFormat="1" applyFont="1" applyFill="1" applyAlignment="1" applyProtection="1">
      <alignment horizontal="centerContinuous" vertical="center" wrapText="1"/>
    </xf>
    <xf numFmtId="0" fontId="2" fillId="0" borderId="0" xfId="1" applyFont="1" applyAlignment="1">
      <alignment vertical="center" wrapText="1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7" fillId="0" borderId="2" xfId="1" applyNumberFormat="1" applyFont="1" applyFill="1" applyBorder="1" applyAlignment="1" applyProtection="1">
      <alignment horizontal="centerContinuous" vertical="center" wrapText="1"/>
    </xf>
    <xf numFmtId="0" fontId="7" fillId="0" borderId="3" xfId="1" applyNumberFormat="1" applyFont="1" applyFill="1" applyBorder="1" applyAlignment="1" applyProtection="1">
      <alignment horizontal="centerContinuous" vertical="center" wrapText="1"/>
    </xf>
    <xf numFmtId="0" fontId="7" fillId="0" borderId="4" xfId="1" applyNumberFormat="1" applyFont="1" applyFill="1" applyBorder="1" applyAlignment="1" applyProtection="1">
      <alignment horizontal="centerContinuous" vertical="center" wrapText="1"/>
    </xf>
    <xf numFmtId="0" fontId="7" fillId="0" borderId="5" xfId="1" applyNumberFormat="1" applyFont="1" applyFill="1" applyBorder="1" applyAlignment="1" applyProtection="1">
      <alignment horizontal="centerContinuous" vertical="center" wrapText="1"/>
    </xf>
    <xf numFmtId="0" fontId="7" fillId="0" borderId="2" xfId="1" applyNumberFormat="1" applyFont="1" applyFill="1" applyBorder="1" applyAlignment="1" applyProtection="1">
      <alignment horizontal="center" vertical="center" wrapText="1"/>
    </xf>
    <xf numFmtId="49" fontId="7" fillId="0" borderId="2" xfId="1" applyNumberFormat="1" applyFont="1" applyFill="1" applyBorder="1" applyAlignment="1" applyProtection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left" vertical="center" wrapText="1"/>
    </xf>
    <xf numFmtId="4" fontId="8" fillId="0" borderId="2" xfId="1" applyNumberFormat="1" applyFont="1" applyFill="1" applyBorder="1" applyAlignment="1">
      <alignment horizontal="right" vertical="center" wrapText="1"/>
    </xf>
    <xf numFmtId="178" fontId="8" fillId="0" borderId="2" xfId="1" applyNumberFormat="1" applyFont="1" applyFill="1" applyBorder="1" applyAlignment="1">
      <alignment horizontal="right" vertical="center" wrapText="1"/>
    </xf>
    <xf numFmtId="0" fontId="7" fillId="0" borderId="2" xfId="1" applyNumberFormat="1" applyFont="1" applyFill="1" applyBorder="1" applyAlignment="1" applyProtection="1">
      <alignment horizontal="center" vertical="center" wrapText="1"/>
    </xf>
    <xf numFmtId="49" fontId="5" fillId="0" borderId="0" xfId="1" applyNumberFormat="1" applyFont="1" applyFill="1" applyAlignment="1" applyProtection="1">
      <alignment horizontal="center" vertical="center" wrapText="1"/>
    </xf>
    <xf numFmtId="0" fontId="2" fillId="0" borderId="1" xfId="1" applyFont="1" applyBorder="1" applyAlignment="1">
      <alignment horizontal="right" vertical="center"/>
    </xf>
    <xf numFmtId="0" fontId="7" fillId="0" borderId="2" xfId="1" applyNumberFormat="1" applyFont="1" applyFill="1" applyBorder="1" applyAlignment="1" applyProtection="1">
      <alignment horizontal="center" vertical="center" wrapText="1"/>
    </xf>
    <xf numFmtId="0" fontId="7" fillId="0" borderId="6" xfId="2" applyNumberFormat="1" applyFont="1" applyFill="1" applyBorder="1" applyAlignment="1" applyProtection="1">
      <alignment horizontal="center" vertical="center" wrapText="1"/>
    </xf>
    <xf numFmtId="0" fontId="7" fillId="0" borderId="7" xfId="2" applyNumberFormat="1" applyFont="1" applyFill="1" applyBorder="1" applyAlignment="1" applyProtection="1">
      <alignment horizontal="center" vertical="center" wrapText="1"/>
    </xf>
  </cellXfs>
  <cellStyles count="3">
    <cellStyle name="常规" xfId="0" builtinId="0"/>
    <cellStyle name="常规 3_收入总表2 2" xfId="1"/>
    <cellStyle name="常规 49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selection activeCell="K5" sqref="K5"/>
    </sheetView>
  </sheetViews>
  <sheetFormatPr defaultRowHeight="13.5"/>
  <cols>
    <col min="1" max="1" width="9.5" style="8" customWidth="1"/>
    <col min="2" max="2" width="14.5" style="8" customWidth="1"/>
    <col min="3" max="5" width="9.5" style="8" bestFit="1" customWidth="1"/>
    <col min="6" max="8" width="9" style="8"/>
    <col min="9" max="9" width="7" style="8" customWidth="1"/>
    <col min="10" max="11" width="9" style="8"/>
    <col min="12" max="12" width="8" style="8" customWidth="1"/>
    <col min="13" max="13" width="7.125" style="8" customWidth="1"/>
    <col min="14" max="14" width="6.875" style="8" customWidth="1"/>
    <col min="15" max="15" width="6.75" style="8" customWidth="1"/>
    <col min="16" max="16384" width="9" style="8"/>
  </cols>
  <sheetData>
    <row r="1" spans="1:15" ht="14.25">
      <c r="A1" s="1" t="s">
        <v>0</v>
      </c>
      <c r="B1" s="2"/>
      <c r="C1" s="3"/>
      <c r="D1" s="4"/>
      <c r="E1" s="5"/>
      <c r="F1" s="5"/>
      <c r="G1" s="6"/>
      <c r="H1" s="7"/>
      <c r="I1" s="7"/>
      <c r="J1" s="7"/>
      <c r="K1" s="7"/>
      <c r="L1" s="7"/>
      <c r="M1" s="7"/>
      <c r="N1" s="7"/>
      <c r="O1" s="7"/>
    </row>
    <row r="2" spans="1:15" ht="29.1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5.5">
      <c r="A3" s="1" t="s">
        <v>2</v>
      </c>
      <c r="B3" s="1"/>
      <c r="C3" s="9"/>
      <c r="D3" s="10"/>
      <c r="E3" s="11"/>
      <c r="F3" s="11"/>
      <c r="G3" s="12"/>
      <c r="H3" s="13"/>
      <c r="I3" s="13"/>
      <c r="J3" s="13"/>
      <c r="K3" s="13"/>
      <c r="L3" s="13"/>
      <c r="M3" s="13"/>
      <c r="N3" s="26" t="s">
        <v>3</v>
      </c>
      <c r="O3" s="26"/>
    </row>
    <row r="4" spans="1:15" ht="14.25">
      <c r="A4" s="27" t="s">
        <v>4</v>
      </c>
      <c r="B4" s="27" t="s">
        <v>5</v>
      </c>
      <c r="C4" s="27" t="s">
        <v>6</v>
      </c>
      <c r="D4" s="14" t="s">
        <v>7</v>
      </c>
      <c r="E4" s="15"/>
      <c r="F4" s="16"/>
      <c r="G4" s="16"/>
      <c r="H4" s="17"/>
      <c r="I4" s="14" t="s">
        <v>8</v>
      </c>
      <c r="J4" s="14"/>
      <c r="K4" s="14"/>
      <c r="L4" s="27" t="s">
        <v>9</v>
      </c>
      <c r="M4" s="27" t="s">
        <v>10</v>
      </c>
      <c r="N4" s="28" t="s">
        <v>11</v>
      </c>
      <c r="O4" s="27" t="s">
        <v>12</v>
      </c>
    </row>
    <row r="5" spans="1:15" ht="71.25">
      <c r="A5" s="27"/>
      <c r="B5" s="27"/>
      <c r="C5" s="27"/>
      <c r="D5" s="18" t="s">
        <v>13</v>
      </c>
      <c r="E5" s="19" t="s">
        <v>29</v>
      </c>
      <c r="F5" s="19" t="s">
        <v>30</v>
      </c>
      <c r="G5" s="19" t="s">
        <v>14</v>
      </c>
      <c r="H5" s="19" t="s">
        <v>31</v>
      </c>
      <c r="I5" s="18" t="s">
        <v>13</v>
      </c>
      <c r="J5" s="24" t="s">
        <v>32</v>
      </c>
      <c r="K5" s="19" t="s">
        <v>33</v>
      </c>
      <c r="L5" s="27"/>
      <c r="M5" s="27"/>
      <c r="N5" s="29"/>
      <c r="O5" s="27"/>
    </row>
    <row r="6" spans="1:15" ht="14.25">
      <c r="A6" s="20" t="s">
        <v>15</v>
      </c>
      <c r="B6" s="20" t="s">
        <v>15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</row>
    <row r="7" spans="1:15" ht="27">
      <c r="A7" s="21" t="s">
        <v>16</v>
      </c>
      <c r="B7" s="21" t="s">
        <v>17</v>
      </c>
      <c r="C7" s="22">
        <f>D7+I7+L7+M7+N7+O7</f>
        <v>1278.8599999999999</v>
      </c>
      <c r="D7" s="22">
        <f>E7+F7+G7+H7</f>
        <v>1278.8599999999999</v>
      </c>
      <c r="E7" s="22">
        <v>1278.8599999999999</v>
      </c>
      <c r="F7" s="22"/>
      <c r="G7" s="22"/>
      <c r="H7" s="22"/>
      <c r="I7" s="22"/>
      <c r="J7" s="22"/>
      <c r="K7" s="22"/>
      <c r="L7" s="23"/>
      <c r="M7" s="23"/>
      <c r="N7" s="22"/>
      <c r="O7" s="23"/>
    </row>
    <row r="8" spans="1:15" ht="27">
      <c r="A8" s="21" t="s">
        <v>18</v>
      </c>
      <c r="B8" s="21" t="s">
        <v>19</v>
      </c>
      <c r="C8" s="22">
        <f t="shared" ref="C8:C12" si="0">D8+I8+L8+M8+N8+O8</f>
        <v>417.42</v>
      </c>
      <c r="D8" s="22">
        <f t="shared" ref="D8:D12" si="1">E8+F8+G8+H8</f>
        <v>417.42</v>
      </c>
      <c r="E8" s="22">
        <v>417.42</v>
      </c>
      <c r="F8" s="22"/>
      <c r="G8" s="22"/>
      <c r="H8" s="22"/>
      <c r="I8" s="22"/>
      <c r="J8" s="22"/>
      <c r="K8" s="22"/>
      <c r="L8" s="23"/>
      <c r="M8" s="23"/>
      <c r="N8" s="22"/>
      <c r="O8" s="23"/>
    </row>
    <row r="9" spans="1:15" ht="27">
      <c r="A9" s="21" t="s">
        <v>20</v>
      </c>
      <c r="B9" s="21" t="s">
        <v>21</v>
      </c>
      <c r="C9" s="22">
        <f t="shared" si="0"/>
        <v>155</v>
      </c>
      <c r="D9" s="22">
        <f t="shared" si="1"/>
        <v>155</v>
      </c>
      <c r="E9" s="22">
        <v>155</v>
      </c>
      <c r="F9" s="22"/>
      <c r="G9" s="22"/>
      <c r="H9" s="22"/>
      <c r="I9" s="22"/>
      <c r="J9" s="22"/>
      <c r="K9" s="22"/>
      <c r="L9" s="23"/>
      <c r="M9" s="23"/>
      <c r="N9" s="22"/>
      <c r="O9" s="23"/>
    </row>
    <row r="10" spans="1:15" ht="40.5">
      <c r="A10" s="21" t="s">
        <v>22</v>
      </c>
      <c r="B10" s="21" t="s">
        <v>23</v>
      </c>
      <c r="C10" s="22">
        <f t="shared" si="0"/>
        <v>415.41</v>
      </c>
      <c r="D10" s="22">
        <f t="shared" si="1"/>
        <v>415.41</v>
      </c>
      <c r="E10" s="22">
        <v>415.41</v>
      </c>
      <c r="F10" s="22"/>
      <c r="G10" s="22"/>
      <c r="H10" s="22"/>
      <c r="I10" s="22"/>
      <c r="J10" s="22"/>
      <c r="K10" s="22"/>
      <c r="L10" s="23"/>
      <c r="M10" s="23"/>
      <c r="N10" s="22"/>
      <c r="O10" s="23"/>
    </row>
    <row r="11" spans="1:15" ht="40.5">
      <c r="A11" s="21" t="s">
        <v>24</v>
      </c>
      <c r="B11" s="21" t="s">
        <v>25</v>
      </c>
      <c r="C11" s="22">
        <f t="shared" si="0"/>
        <v>169.94</v>
      </c>
      <c r="D11" s="22">
        <f t="shared" si="1"/>
        <v>169.94</v>
      </c>
      <c r="E11" s="22">
        <v>169.94</v>
      </c>
      <c r="F11" s="22"/>
      <c r="G11" s="22"/>
      <c r="H11" s="22"/>
      <c r="I11" s="22"/>
      <c r="J11" s="22"/>
      <c r="K11" s="22"/>
      <c r="L11" s="23"/>
      <c r="M11" s="23"/>
      <c r="N11" s="22"/>
      <c r="O11" s="23"/>
    </row>
    <row r="12" spans="1:15" ht="54">
      <c r="A12" s="21" t="s">
        <v>26</v>
      </c>
      <c r="B12" s="21" t="s">
        <v>27</v>
      </c>
      <c r="C12" s="22">
        <f t="shared" si="0"/>
        <v>41.75</v>
      </c>
      <c r="D12" s="22">
        <f t="shared" si="1"/>
        <v>41.75</v>
      </c>
      <c r="E12" s="22">
        <v>41.75</v>
      </c>
      <c r="F12" s="22"/>
      <c r="G12" s="22"/>
      <c r="H12" s="22"/>
      <c r="I12" s="22"/>
      <c r="J12" s="22"/>
      <c r="K12" s="22"/>
      <c r="L12" s="23"/>
      <c r="M12" s="23"/>
      <c r="N12" s="22"/>
      <c r="O12" s="23"/>
    </row>
    <row r="13" spans="1:15">
      <c r="A13" s="21"/>
      <c r="B13" s="21" t="s">
        <v>28</v>
      </c>
      <c r="C13" s="22">
        <f t="shared" ref="C13:D13" si="2">SUM(C7:C12)</f>
        <v>2478.38</v>
      </c>
      <c r="D13" s="22">
        <f t="shared" si="2"/>
        <v>2478.38</v>
      </c>
      <c r="E13" s="22">
        <f>SUM(E7:E12)</f>
        <v>2478.38</v>
      </c>
      <c r="F13" s="22"/>
      <c r="G13" s="22"/>
      <c r="H13" s="22"/>
      <c r="I13" s="22"/>
      <c r="J13" s="22"/>
      <c r="K13" s="22"/>
      <c r="L13" s="23"/>
      <c r="M13" s="23"/>
      <c r="N13" s="22"/>
      <c r="O13" s="23"/>
    </row>
  </sheetData>
  <mergeCells count="9">
    <mergeCell ref="A2:O2"/>
    <mergeCell ref="N3:O3"/>
    <mergeCell ref="A4:A5"/>
    <mergeCell ref="B4:B5"/>
    <mergeCell ref="C4:C5"/>
    <mergeCell ref="L4:L5"/>
    <mergeCell ref="M4:M5"/>
    <mergeCell ref="N4:N5"/>
    <mergeCell ref="O4:O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2017-09-05T03:38:02Z</dcterms:modified>
</cp:coreProperties>
</file>