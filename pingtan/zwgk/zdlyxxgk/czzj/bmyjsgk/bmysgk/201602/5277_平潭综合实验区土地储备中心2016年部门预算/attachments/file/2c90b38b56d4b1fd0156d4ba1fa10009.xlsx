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0" yWindow="90" windowWidth="19200" windowHeight="11640" activeTab="9"/>
  </bookViews>
  <sheets>
    <sheet name="封面" sheetId="1" r:id="rId1"/>
    <sheet name="收支预算" sheetId="2" r:id="rId2"/>
    <sheet name="收入预算" sheetId="3" r:id="rId3"/>
    <sheet name="支出预算" sheetId="4" r:id="rId4"/>
    <sheet name="人员经费" sheetId="5" r:id="rId5"/>
    <sheet name="公用经费" sheetId="6" r:id="rId6"/>
    <sheet name="对个人和家庭补助" sheetId="7" r:id="rId7"/>
    <sheet name="项目支出" sheetId="8" r:id="rId8"/>
    <sheet name="政府采购" sheetId="9" r:id="rId9"/>
    <sheet name="三公经费" sheetId="10" r:id="rId10"/>
    <sheet name="Sheet1" sheetId="11" r:id="rId11"/>
  </sheets>
  <calcPr calcId="124519"/>
</workbook>
</file>

<file path=xl/calcChain.xml><?xml version="1.0" encoding="utf-8"?>
<calcChain xmlns="http://schemas.openxmlformats.org/spreadsheetml/2006/main">
  <c r="F7" i="4"/>
  <c r="E7" s="1"/>
  <c r="L7"/>
  <c r="H7"/>
  <c r="L31"/>
  <c r="J28"/>
  <c r="J7" s="1"/>
  <c r="I7" s="1"/>
  <c r="H24"/>
  <c r="G22"/>
  <c r="G7" s="1"/>
  <c r="F9"/>
  <c r="D20" i="2"/>
  <c r="C14" i="8"/>
  <c r="C8"/>
  <c r="C7"/>
  <c r="C9" i="6"/>
  <c r="C9" i="5"/>
  <c r="D10" i="2"/>
  <c r="D6"/>
  <c r="D7" i="4" l="1"/>
</calcChain>
</file>

<file path=xl/sharedStrings.xml><?xml version="1.0" encoding="utf-8"?>
<sst xmlns="http://schemas.openxmlformats.org/spreadsheetml/2006/main" count="265" uniqueCount="180">
  <si>
    <t>平潭2016部门预算批复表</t>
    <phoneticPr fontId="2" type="noConversion"/>
  </si>
  <si>
    <t>2016年收支预算总表</t>
    <phoneticPr fontId="5" type="noConversion"/>
  </si>
  <si>
    <t>单位：</t>
    <phoneticPr fontId="5" type="noConversion"/>
  </si>
  <si>
    <t>单位：万元</t>
    <phoneticPr fontId="5" type="noConversion"/>
  </si>
  <si>
    <t>收入</t>
    <phoneticPr fontId="5" type="noConversion"/>
  </si>
  <si>
    <t>支出</t>
    <phoneticPr fontId="5" type="noConversion"/>
  </si>
  <si>
    <t>项目</t>
    <phoneticPr fontId="5" type="noConversion"/>
  </si>
  <si>
    <t>2016年预算</t>
    <phoneticPr fontId="5" type="noConversion"/>
  </si>
  <si>
    <t>一、公共财政预算拨款</t>
    <phoneticPr fontId="5" type="noConversion"/>
  </si>
  <si>
    <t>一、基本支出</t>
    <phoneticPr fontId="5" type="noConversion"/>
  </si>
  <si>
    <t>一、工资福利支出</t>
    <phoneticPr fontId="5" type="noConversion"/>
  </si>
  <si>
    <t>　　区级公共财政预算拨款　</t>
    <phoneticPr fontId="5" type="noConversion"/>
  </si>
  <si>
    <t xml:space="preserve">    人员支出</t>
    <phoneticPr fontId="5" type="noConversion"/>
  </si>
  <si>
    <t>二、商品和服务支出</t>
    <phoneticPr fontId="5" type="noConversion"/>
  </si>
  <si>
    <t xml:space="preserve">    公共财政预算拨款补助</t>
    <phoneticPr fontId="5" type="noConversion"/>
  </si>
  <si>
    <t xml:space="preserve">    对个人和家庭的补助</t>
    <phoneticPr fontId="5" type="noConversion"/>
  </si>
  <si>
    <t>三、对个人和家庭的补助</t>
    <phoneticPr fontId="5" type="noConversion"/>
  </si>
  <si>
    <t>　　办案费补助返还</t>
    <phoneticPr fontId="5" type="noConversion"/>
  </si>
  <si>
    <t xml:space="preserve">    公用支出</t>
    <phoneticPr fontId="5" type="noConversion"/>
  </si>
  <si>
    <t>四、对企事业单位的补贴</t>
    <phoneticPr fontId="5" type="noConversion"/>
  </si>
  <si>
    <t>　　行政事业性收费及专项收入</t>
    <phoneticPr fontId="5" type="noConversion"/>
  </si>
  <si>
    <t>二、项目支出</t>
    <phoneticPr fontId="5" type="noConversion"/>
  </si>
  <si>
    <t>五、转移支付</t>
    <phoneticPr fontId="5" type="noConversion"/>
  </si>
  <si>
    <t xml:space="preserve">    财政转移支付补助</t>
    <phoneticPr fontId="5" type="noConversion"/>
  </si>
  <si>
    <t xml:space="preserve">    专项业务费</t>
    <phoneticPr fontId="5" type="noConversion"/>
  </si>
  <si>
    <t>六、债务利息支出</t>
    <phoneticPr fontId="5" type="noConversion"/>
  </si>
  <si>
    <t>二、基金预算财政拨款</t>
    <phoneticPr fontId="5" type="noConversion"/>
  </si>
  <si>
    <t xml:space="preserve">    部门发展专项</t>
    <phoneticPr fontId="5" type="noConversion"/>
  </si>
  <si>
    <t>七、基本建设支出</t>
    <phoneticPr fontId="5" type="noConversion"/>
  </si>
  <si>
    <t xml:space="preserve">    区级基金预算拨款</t>
    <phoneticPr fontId="5" type="noConversion"/>
  </si>
  <si>
    <t xml:space="preserve">    社会发展专项</t>
    <phoneticPr fontId="5" type="noConversion"/>
  </si>
  <si>
    <t>八、其他资本性支出</t>
    <phoneticPr fontId="5" type="noConversion"/>
  </si>
  <si>
    <t xml:space="preserve">    财政转移支付补助（基金）</t>
    <phoneticPr fontId="5" type="noConversion"/>
  </si>
  <si>
    <t>九、其他支出</t>
    <phoneticPr fontId="5" type="noConversion"/>
  </si>
  <si>
    <t>三、财政代管资金</t>
    <phoneticPr fontId="5" type="noConversion"/>
  </si>
  <si>
    <t>四、财政专户</t>
    <phoneticPr fontId="5" type="noConversion"/>
  </si>
  <si>
    <t>五、单位结余、结转资金</t>
    <phoneticPr fontId="5" type="noConversion"/>
  </si>
  <si>
    <t>三、对附属单位补助支出</t>
    <phoneticPr fontId="5" type="noConversion"/>
  </si>
  <si>
    <t>六、单位其他收入</t>
    <phoneticPr fontId="5" type="noConversion"/>
  </si>
  <si>
    <t>四、上缴上级支出</t>
    <phoneticPr fontId="5" type="noConversion"/>
  </si>
  <si>
    <t>七、上级补助收入</t>
    <phoneticPr fontId="5" type="noConversion"/>
  </si>
  <si>
    <t>本年收入合计</t>
    <phoneticPr fontId="5" type="noConversion"/>
  </si>
  <si>
    <t>本年支出合计</t>
    <phoneticPr fontId="5" type="noConversion"/>
  </si>
  <si>
    <t>2016年收入预算总表</t>
    <phoneticPr fontId="2" type="noConversion"/>
  </si>
  <si>
    <t>单位：</t>
  </si>
  <si>
    <t>单位：万元</t>
    <phoneticPr fontId="2" type="noConversion"/>
  </si>
  <si>
    <t>总计</t>
    <phoneticPr fontId="2" type="noConversion"/>
  </si>
  <si>
    <t>公共财政预算拨款</t>
    <phoneticPr fontId="2" type="noConversion"/>
  </si>
  <si>
    <t>基金预算财政拨款</t>
    <phoneticPr fontId="2" type="noConversion"/>
  </si>
  <si>
    <t>财政代管资金拨款</t>
    <phoneticPr fontId="2" type="noConversion"/>
  </si>
  <si>
    <t>财政专户拨款</t>
    <phoneticPr fontId="2" type="noConversion"/>
  </si>
  <si>
    <t>单位结余结转资金</t>
    <phoneticPr fontId="2" type="noConversion"/>
  </si>
  <si>
    <t>单位其他收入</t>
    <phoneticPr fontId="2" type="noConversion"/>
  </si>
  <si>
    <t>小计</t>
    <phoneticPr fontId="2" type="noConversion"/>
  </si>
  <si>
    <t>财政转移支付补助</t>
    <phoneticPr fontId="2" type="noConversion"/>
  </si>
  <si>
    <t>基金预算拨款</t>
    <phoneticPr fontId="2" type="noConversion"/>
  </si>
  <si>
    <t>财政转移支付补助（基金）</t>
    <phoneticPr fontId="2" type="noConversion"/>
  </si>
  <si>
    <t>2016年支出预算总表</t>
    <phoneticPr fontId="5" type="noConversion"/>
  </si>
  <si>
    <t>单位：万元</t>
  </si>
  <si>
    <t>科目编码</t>
  </si>
  <si>
    <t>单位名称</t>
  </si>
  <si>
    <t>科目名称</t>
  </si>
  <si>
    <t>总计</t>
  </si>
  <si>
    <t>基本支出</t>
  </si>
  <si>
    <t>项目支出</t>
  </si>
  <si>
    <t>上缴上级支出</t>
  </si>
  <si>
    <t>对附属单位补助支出</t>
  </si>
  <si>
    <t>小计</t>
  </si>
  <si>
    <t>人员支出</t>
  </si>
  <si>
    <t>对个人和家庭的补助支出</t>
  </si>
  <si>
    <t>公用支出</t>
  </si>
  <si>
    <t>专项业务费</t>
  </si>
  <si>
    <t>部门发展</t>
  </si>
  <si>
    <t>社会发展</t>
  </si>
  <si>
    <t>*</t>
  </si>
  <si>
    <t>合计</t>
  </si>
  <si>
    <t>2016年人员经费预算表</t>
    <phoneticPr fontId="5" type="noConversion"/>
  </si>
  <si>
    <t>预算代码</t>
  </si>
  <si>
    <t>人员经费及对个人和家庭的补助</t>
  </si>
  <si>
    <t>基金预算支出</t>
  </si>
  <si>
    <t>经营服务性支出及代管资金</t>
  </si>
  <si>
    <t>单位结余和结转资金</t>
  </si>
  <si>
    <t>备注</t>
  </si>
  <si>
    <t>人员经费</t>
  </si>
  <si>
    <t>学生助学金</t>
  </si>
  <si>
    <t>其他对个人和家庭补助支出</t>
  </si>
  <si>
    <t xml:space="preserve">在职人员工资及福利费 </t>
  </si>
  <si>
    <t>离退休 人员经费</t>
  </si>
  <si>
    <t>住房公积金</t>
  </si>
  <si>
    <t>提租补贴</t>
  </si>
  <si>
    <t>在职人员年金</t>
  </si>
  <si>
    <t>养老保险</t>
  </si>
  <si>
    <t>医保社保生育工伤</t>
  </si>
  <si>
    <t>临时人员工资和其他人员支出</t>
  </si>
  <si>
    <t>**</t>
  </si>
  <si>
    <t>2016年公用经费预算表</t>
    <phoneticPr fontId="5" type="noConversion"/>
  </si>
  <si>
    <t>公用经费</t>
  </si>
  <si>
    <t>定额公用经费</t>
  </si>
  <si>
    <t>其他公用支出</t>
  </si>
  <si>
    <t>车辆经费</t>
  </si>
  <si>
    <t>生均公用经费</t>
  </si>
  <si>
    <t>误餐及通讯补贴</t>
  </si>
  <si>
    <t>小岛交通补贴</t>
  </si>
  <si>
    <t>公车改革补贴</t>
  </si>
  <si>
    <t>2016年对个人和家庭补助支出预算表</t>
    <phoneticPr fontId="5" type="noConversion"/>
  </si>
  <si>
    <t>预算单位/功能科目</t>
  </si>
  <si>
    <t>项目名称</t>
  </si>
  <si>
    <t>部门发展专项</t>
  </si>
  <si>
    <t>社会发展性项目支出</t>
  </si>
  <si>
    <t>2016年项目支出预算表</t>
    <phoneticPr fontId="5" type="noConversion"/>
  </si>
  <si>
    <t>2016年政府采购（含购买服务）及资产购置预算表</t>
    <phoneticPr fontId="2" type="noConversion"/>
  </si>
  <si>
    <t>单位：</t>
    <phoneticPr fontId="2" type="noConversion"/>
  </si>
  <si>
    <t>是否属于政府采购预算编制范围</t>
    <phoneticPr fontId="2" type="noConversion"/>
  </si>
  <si>
    <t>是否属于资产购置预算编制范围</t>
    <phoneticPr fontId="2" type="noConversion"/>
  </si>
  <si>
    <t>项目</t>
    <phoneticPr fontId="2" type="noConversion"/>
  </si>
  <si>
    <t>采购组织形式</t>
    <phoneticPr fontId="2" type="noConversion"/>
  </si>
  <si>
    <t>专门面向中小企业（含监狱企业）</t>
    <phoneticPr fontId="2" type="noConversion"/>
  </si>
  <si>
    <t>数量</t>
    <phoneticPr fontId="2" type="noConversion"/>
  </si>
  <si>
    <t>计量单位</t>
    <phoneticPr fontId="2" type="noConversion"/>
  </si>
  <si>
    <t>单位</t>
    <phoneticPr fontId="2" type="noConversion"/>
  </si>
  <si>
    <t>资金来源</t>
    <phoneticPr fontId="2" type="noConversion"/>
  </si>
  <si>
    <t>采购项目</t>
    <phoneticPr fontId="2" type="noConversion"/>
  </si>
  <si>
    <t>品目名称</t>
    <phoneticPr fontId="2" type="noConversion"/>
  </si>
  <si>
    <t>资产类别</t>
    <phoneticPr fontId="2" type="noConversion"/>
  </si>
  <si>
    <t>资产名称</t>
    <phoneticPr fontId="2" type="noConversion"/>
  </si>
  <si>
    <t>需求时间</t>
    <phoneticPr fontId="2" type="noConversion"/>
  </si>
  <si>
    <t>购置理由</t>
    <phoneticPr fontId="2" type="noConversion"/>
  </si>
  <si>
    <t>通用类</t>
    <phoneticPr fontId="2" type="noConversion"/>
  </si>
  <si>
    <t>非通用类</t>
    <phoneticPr fontId="2" type="noConversion"/>
  </si>
  <si>
    <t>公共财政预算拨款小计</t>
    <phoneticPr fontId="2" type="noConversion"/>
  </si>
  <si>
    <t>预算拨款补助</t>
    <phoneticPr fontId="2" type="noConversion"/>
  </si>
  <si>
    <t>办案费补助</t>
    <phoneticPr fontId="2" type="noConversion"/>
  </si>
  <si>
    <t>**</t>
    <phoneticPr fontId="2" type="noConversion"/>
  </si>
  <si>
    <t/>
  </si>
  <si>
    <t>2016年“三公经费”支出预算表</t>
    <phoneticPr fontId="5" type="noConversion"/>
  </si>
  <si>
    <t>单位：</t>
    <phoneticPr fontId="5" type="noConversion"/>
  </si>
  <si>
    <t>项目</t>
  </si>
  <si>
    <t>本年预算数</t>
  </si>
  <si>
    <t>1、因公出国（境）费用</t>
  </si>
  <si>
    <t>2、公务接待费</t>
  </si>
  <si>
    <t>3、公务用车费</t>
  </si>
  <si>
    <t>其中：（1）公务用车运行维护费</t>
    <phoneticPr fontId="5" type="noConversion"/>
  </si>
  <si>
    <t xml:space="preserve">      （2）公务用车购置费</t>
    <phoneticPr fontId="5" type="noConversion"/>
  </si>
  <si>
    <t>附件一</t>
    <phoneticPr fontId="1" type="noConversion"/>
  </si>
  <si>
    <t xml:space="preserve">        单位名称：平潭综合实验区土地储备中心</t>
    <phoneticPr fontId="2" type="noConversion"/>
  </si>
  <si>
    <t xml:space="preserve">        批复日期： 2016年2月18日     </t>
    <phoneticPr fontId="2" type="noConversion"/>
  </si>
  <si>
    <t>平潭综合实验区土地储备中心</t>
    <phoneticPr fontId="1" type="noConversion"/>
  </si>
  <si>
    <t>401004</t>
    <phoneticPr fontId="1" type="noConversion"/>
  </si>
  <si>
    <t>401004</t>
    <phoneticPr fontId="1" type="noConversion"/>
  </si>
  <si>
    <t>平潭综合实验区土地储备中心</t>
    <phoneticPr fontId="1" type="noConversion"/>
  </si>
  <si>
    <t>合计：</t>
    <phoneticPr fontId="1" type="noConversion"/>
  </si>
  <si>
    <t>单位：平潭综合实验区土地储备中心</t>
    <phoneticPr fontId="5" type="noConversion"/>
  </si>
  <si>
    <t>（1）人员支出</t>
    <phoneticPr fontId="5" type="noConversion"/>
  </si>
  <si>
    <t>在职人员基本工资</t>
    <phoneticPr fontId="5" type="noConversion"/>
  </si>
  <si>
    <t>在职人员地方津补贴</t>
    <phoneticPr fontId="5" type="noConversion"/>
  </si>
  <si>
    <t>在职人员改革性补贴（提租补贴）</t>
    <phoneticPr fontId="5" type="noConversion"/>
  </si>
  <si>
    <t>在职人员基础性绩效工资</t>
    <phoneticPr fontId="5" type="noConversion"/>
  </si>
  <si>
    <t>在职人员年终一次性奖金（行政参公单位）</t>
    <phoneticPr fontId="5" type="noConversion"/>
  </si>
  <si>
    <t>在职人员防暑降温费</t>
    <phoneticPr fontId="5" type="noConversion"/>
  </si>
  <si>
    <t>在职人员医疗保险</t>
    <phoneticPr fontId="5" type="noConversion"/>
  </si>
  <si>
    <t>在职人员工伤保险</t>
    <phoneticPr fontId="5" type="noConversion"/>
  </si>
  <si>
    <t>在职人员生育保险</t>
    <phoneticPr fontId="5" type="noConversion"/>
  </si>
  <si>
    <t>在职人员养老保险</t>
    <phoneticPr fontId="5" type="noConversion"/>
  </si>
  <si>
    <t>在职人员年金</t>
    <phoneticPr fontId="5" type="noConversion"/>
  </si>
  <si>
    <t>其他人员支出</t>
    <phoneticPr fontId="5" type="noConversion"/>
  </si>
  <si>
    <t>（2）对个人和家庭的补助支出</t>
    <phoneticPr fontId="5" type="noConversion"/>
  </si>
  <si>
    <t>在职人员住房公积金</t>
    <phoneticPr fontId="5" type="noConversion"/>
  </si>
  <si>
    <t>（3）公用支出</t>
    <phoneticPr fontId="5" type="noConversion"/>
  </si>
  <si>
    <r>
      <t>综合定额公用经费</t>
    </r>
    <r>
      <rPr>
        <sz val="10"/>
        <rFont val="Times New Roman"/>
        <family val="1"/>
      </rPr>
      <t/>
    </r>
    <phoneticPr fontId="5" type="noConversion"/>
  </si>
  <si>
    <r>
      <t>2.</t>
    </r>
    <r>
      <rPr>
        <sz val="9"/>
        <rFont val="宋体"/>
        <charset val="134"/>
      </rPr>
      <t>项目支出</t>
    </r>
    <phoneticPr fontId="5" type="noConversion"/>
  </si>
  <si>
    <t xml:space="preserve">    （1）专项业务费</t>
    <phoneticPr fontId="5" type="noConversion"/>
  </si>
  <si>
    <t xml:space="preserve">     购置费</t>
    <phoneticPr fontId="5" type="noConversion"/>
  </si>
  <si>
    <t xml:space="preserve">    （2）社会发展专项</t>
    <phoneticPr fontId="5" type="noConversion"/>
  </si>
  <si>
    <t>公务用车运行费</t>
    <phoneticPr fontId="1" type="noConversion"/>
  </si>
  <si>
    <t>专项业务费</t>
    <phoneticPr fontId="5" type="noConversion"/>
  </si>
  <si>
    <t>竹屿、中原、平洋片区土地收储整理</t>
    <phoneticPr fontId="5" type="noConversion"/>
  </si>
  <si>
    <t>岚城片区（一期）土地收储整理</t>
    <phoneticPr fontId="5" type="noConversion"/>
  </si>
  <si>
    <t>金井湾片区土地收储整理</t>
    <phoneticPr fontId="5" type="noConversion"/>
  </si>
  <si>
    <t>全区土地收储（含留用地货币补偿款）</t>
    <phoneticPr fontId="5" type="noConversion"/>
  </si>
  <si>
    <t>1.基本支出支出</t>
    <phoneticPr fontId="1" type="noConversion"/>
  </si>
</sst>
</file>

<file path=xl/styles.xml><?xml version="1.0" encoding="utf-8"?>
<styleSheet xmlns="http://schemas.openxmlformats.org/spreadsheetml/2006/main">
  <numFmts count="4">
    <numFmt numFmtId="176" formatCode="#,##0.00_ "/>
    <numFmt numFmtId="177" formatCode="0.00;[Red]0.00"/>
    <numFmt numFmtId="178" formatCode="* #,##0.0;* \-#,##0.0;* &quot;&quot;??;@"/>
    <numFmt numFmtId="179" formatCode="#,##0.0_ "/>
  </numFmts>
  <fonts count="28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9"/>
      <name val="宋体"/>
      <family val="3"/>
      <charset val="134"/>
    </font>
    <font>
      <b/>
      <sz val="36"/>
      <name val="宋体"/>
      <family val="3"/>
      <charset val="134"/>
    </font>
    <font>
      <sz val="20"/>
      <name val="宋体"/>
      <family val="3"/>
      <charset val="134"/>
    </font>
    <font>
      <sz val="9"/>
      <name val="宋体"/>
      <charset val="134"/>
    </font>
    <font>
      <b/>
      <sz val="20"/>
      <name val="宋体"/>
      <charset val="134"/>
    </font>
    <font>
      <b/>
      <sz val="11"/>
      <name val="宋体"/>
      <charset val="134"/>
    </font>
    <font>
      <b/>
      <sz val="10"/>
      <name val="宋体"/>
      <charset val="134"/>
    </font>
    <font>
      <sz val="10"/>
      <name val="宋体"/>
      <charset val="134"/>
    </font>
    <font>
      <b/>
      <sz val="20"/>
      <name val="宋体"/>
      <family val="3"/>
      <charset val="134"/>
    </font>
    <font>
      <b/>
      <sz val="9"/>
      <name val="宋体"/>
      <charset val="134"/>
    </font>
    <font>
      <b/>
      <sz val="20"/>
      <color indexed="8"/>
      <name val="宋体"/>
      <charset val="134"/>
    </font>
    <font>
      <sz val="11"/>
      <color theme="1"/>
      <name val="宋体"/>
      <family val="3"/>
      <charset val="134"/>
    </font>
    <font>
      <b/>
      <sz val="12"/>
      <color indexed="8"/>
      <name val="宋体"/>
      <family val="3"/>
      <charset val="134"/>
    </font>
    <font>
      <b/>
      <sz val="18"/>
      <color indexed="8"/>
      <name val="宋体"/>
      <family val="3"/>
      <charset val="134"/>
    </font>
    <font>
      <sz val="10"/>
      <color theme="1"/>
      <name val="宋体"/>
      <family val="3"/>
      <charset val="134"/>
    </font>
    <font>
      <b/>
      <sz val="10"/>
      <color indexed="8"/>
      <name val="宋体"/>
      <family val="3"/>
      <charset val="134"/>
    </font>
    <font>
      <sz val="12"/>
      <color indexed="8"/>
      <name val="宋体"/>
      <family val="3"/>
      <charset val="134"/>
    </font>
    <font>
      <sz val="12"/>
      <name val="宋体"/>
      <charset val="134"/>
    </font>
    <font>
      <sz val="16"/>
      <name val="方正小标宋简体"/>
      <charset val="134"/>
    </font>
    <font>
      <sz val="12"/>
      <name val="宋体"/>
      <charset val="134"/>
      <scheme val="minor"/>
    </font>
    <font>
      <sz val="12"/>
      <name val="楷体_GB2312"/>
      <family val="3"/>
      <charset val="134"/>
    </font>
    <font>
      <b/>
      <sz val="12"/>
      <name val="宋体"/>
      <family val="3"/>
      <charset val="134"/>
      <scheme val="minor"/>
    </font>
    <font>
      <sz val="12"/>
      <name val="华文中宋"/>
      <family val="3"/>
      <charset val="134"/>
    </font>
    <font>
      <sz val="14"/>
      <name val="宋体"/>
      <family val="3"/>
      <charset val="134"/>
    </font>
    <font>
      <sz val="10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/>
      <diagonal/>
    </border>
    <border>
      <left style="thin">
        <color indexed="0"/>
      </left>
      <right/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0"/>
      </left>
      <right/>
      <top style="thin">
        <color indexed="64"/>
      </top>
      <bottom style="thin">
        <color indexed="0"/>
      </bottom>
      <diagonal/>
    </border>
    <border>
      <left/>
      <right/>
      <top style="thin">
        <color indexed="64"/>
      </top>
      <bottom style="thin">
        <color indexed="0"/>
      </bottom>
      <diagonal/>
    </border>
    <border>
      <left/>
      <right style="thin">
        <color indexed="64"/>
      </right>
      <top style="thin">
        <color indexed="64"/>
      </top>
      <bottom style="thin">
        <color indexed="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/>
      <right style="thin">
        <color indexed="64"/>
      </right>
      <top/>
      <bottom style="thin">
        <color indexed="0"/>
      </bottom>
      <diagonal/>
    </border>
    <border>
      <left style="thin">
        <color indexed="64"/>
      </left>
      <right style="thin">
        <color indexed="64"/>
      </right>
      <top/>
      <bottom style="thin">
        <color indexed="0"/>
      </bottom>
      <diagonal/>
    </border>
    <border>
      <left style="thin">
        <color indexed="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0"/>
      </left>
      <right style="thin">
        <color indexed="64"/>
      </right>
      <top/>
      <bottom style="thin">
        <color indexed="0"/>
      </bottom>
      <diagonal/>
    </border>
    <border>
      <left style="thin">
        <color indexed="64"/>
      </left>
      <right/>
      <top/>
      <bottom style="thin">
        <color indexed="0"/>
      </bottom>
      <diagonal/>
    </border>
    <border>
      <left style="thin">
        <color indexed="0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0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6">
    <xf numFmtId="0" fontId="0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9" fillId="0" borderId="0"/>
  </cellStyleXfs>
  <cellXfs count="185">
    <xf numFmtId="0" fontId="0" fillId="0" borderId="0" xfId="0">
      <alignment vertical="center"/>
    </xf>
    <xf numFmtId="0" fontId="2" fillId="0" borderId="0" xfId="1" applyAlignment="1">
      <alignment horizontal="center" vertical="center"/>
    </xf>
    <xf numFmtId="0" fontId="2" fillId="0" borderId="0" xfId="1">
      <alignment vertical="center"/>
    </xf>
    <xf numFmtId="0" fontId="3" fillId="0" borderId="0" xfId="1" applyFont="1" applyAlignment="1">
      <alignment horizontal="center" vertical="center"/>
    </xf>
    <xf numFmtId="0" fontId="4" fillId="0" borderId="0" xfId="1" applyFont="1" applyAlignment="1">
      <alignment vertical="center"/>
    </xf>
    <xf numFmtId="0" fontId="2" fillId="0" borderId="0" xfId="1" applyFill="1" applyAlignment="1">
      <alignment horizontal="center" vertical="center"/>
    </xf>
    <xf numFmtId="0" fontId="2" fillId="0" borderId="0" xfId="1" applyFill="1">
      <alignment vertical="center"/>
    </xf>
    <xf numFmtId="0" fontId="5" fillId="0" borderId="0" xfId="2" applyFill="1">
      <alignment vertical="center"/>
    </xf>
    <xf numFmtId="0" fontId="5" fillId="0" borderId="0" xfId="2">
      <alignment vertical="center"/>
    </xf>
    <xf numFmtId="0" fontId="5" fillId="0" borderId="0" xfId="2" applyFont="1" applyAlignment="1">
      <alignment horizontal="right" vertical="center"/>
    </xf>
    <xf numFmtId="0" fontId="6" fillId="0" borderId="0" xfId="2" applyFont="1" applyAlignment="1">
      <alignment horizontal="centerContinuous" vertical="center"/>
    </xf>
    <xf numFmtId="49" fontId="5" fillId="0" borderId="0" xfId="2" applyNumberFormat="1" applyFont="1" applyFill="1">
      <alignment vertical="center"/>
    </xf>
    <xf numFmtId="0" fontId="5" fillId="0" borderId="0" xfId="2" applyFont="1" applyFill="1">
      <alignment vertical="center"/>
    </xf>
    <xf numFmtId="0" fontId="5" fillId="0" borderId="0" xfId="2" applyFont="1" applyFill="1" applyAlignment="1">
      <alignment horizontal="right" vertical="center"/>
    </xf>
    <xf numFmtId="0" fontId="7" fillId="0" borderId="1" xfId="2" applyFont="1" applyBorder="1" applyAlignment="1">
      <alignment horizontal="centerContinuous" vertical="center"/>
    </xf>
    <xf numFmtId="0" fontId="7" fillId="0" borderId="1" xfId="2" applyFont="1" applyBorder="1" applyAlignment="1">
      <alignment horizontal="center" vertical="center"/>
    </xf>
    <xf numFmtId="0" fontId="8" fillId="0" borderId="1" xfId="2" applyFont="1" applyFill="1" applyBorder="1">
      <alignment vertical="center"/>
    </xf>
    <xf numFmtId="4" fontId="9" fillId="0" borderId="1" xfId="2" applyNumberFormat="1" applyFont="1" applyFill="1" applyBorder="1" applyAlignment="1">
      <alignment horizontal="right" vertical="center" wrapText="1"/>
    </xf>
    <xf numFmtId="0" fontId="9" fillId="0" borderId="1" xfId="2" applyFont="1" applyFill="1" applyBorder="1" applyAlignment="1">
      <alignment horizontal="left" vertical="center"/>
    </xf>
    <xf numFmtId="0" fontId="9" fillId="0" borderId="1" xfId="2" applyFont="1" applyFill="1" applyBorder="1">
      <alignment vertical="center"/>
    </xf>
    <xf numFmtId="0" fontId="5" fillId="0" borderId="1" xfId="2" applyFill="1" applyBorder="1" applyAlignment="1">
      <alignment horizontal="left" vertical="center"/>
    </xf>
    <xf numFmtId="4" fontId="5" fillId="0" borderId="0" xfId="2" applyNumberFormat="1" applyFill="1">
      <alignment vertical="center"/>
    </xf>
    <xf numFmtId="4" fontId="5" fillId="0" borderId="1" xfId="2" applyNumberFormat="1" applyFill="1" applyBorder="1">
      <alignment vertical="center"/>
    </xf>
    <xf numFmtId="0" fontId="9" fillId="0" borderId="1" xfId="2" applyFont="1" applyFill="1" applyBorder="1" applyAlignment="1">
      <alignment horizontal="right" vertical="center" wrapText="1"/>
    </xf>
    <xf numFmtId="176" fontId="9" fillId="0" borderId="1" xfId="2" applyNumberFormat="1" applyFont="1" applyFill="1" applyBorder="1" applyAlignment="1">
      <alignment horizontal="right" vertical="center" wrapText="1"/>
    </xf>
    <xf numFmtId="0" fontId="7" fillId="0" borderId="1" xfId="2" applyFont="1" applyFill="1" applyBorder="1" applyAlignment="1">
      <alignment horizontal="center" vertical="center"/>
    </xf>
    <xf numFmtId="0" fontId="2" fillId="0" borderId="0" xfId="3">
      <alignment vertical="center"/>
    </xf>
    <xf numFmtId="0" fontId="2" fillId="0" borderId="0" xfId="3" applyAlignment="1">
      <alignment horizontal="right" vertical="center"/>
    </xf>
    <xf numFmtId="0" fontId="2" fillId="0" borderId="1" xfId="3" applyBorder="1" applyAlignment="1">
      <alignment horizontal="centerContinuous" vertical="center" wrapText="1"/>
    </xf>
    <xf numFmtId="0" fontId="2" fillId="0" borderId="1" xfId="3" applyBorder="1" applyAlignment="1">
      <alignment vertical="center" wrapText="1"/>
    </xf>
    <xf numFmtId="0" fontId="2" fillId="0" borderId="1" xfId="3" applyBorder="1" applyAlignment="1">
      <alignment horizontal="center" vertical="center"/>
    </xf>
    <xf numFmtId="4" fontId="2" fillId="0" borderId="1" xfId="3" applyNumberFormat="1" applyFill="1" applyBorder="1" applyAlignment="1">
      <alignment horizontal="center" vertical="center" wrapText="1"/>
    </xf>
    <xf numFmtId="0" fontId="2" fillId="0" borderId="0" xfId="3" applyFill="1">
      <alignment vertical="center"/>
    </xf>
    <xf numFmtId="0" fontId="6" fillId="0" borderId="0" xfId="0" applyFont="1" applyAlignment="1">
      <alignment horizontal="centerContinuous" vertical="center"/>
    </xf>
    <xf numFmtId="0" fontId="0" fillId="0" borderId="0" xfId="0" applyAlignment="1">
      <alignment horizontal="centerContinuous" vertical="center"/>
    </xf>
    <xf numFmtId="0" fontId="2" fillId="0" borderId="0" xfId="0" applyFont="1" applyAlignment="1">
      <alignment horizontal="right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3" xfId="0" applyFont="1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NumberFormat="1" applyFill="1" applyBorder="1" applyAlignment="1">
      <alignment horizontal="left" vertical="center" wrapText="1"/>
    </xf>
    <xf numFmtId="4" fontId="0" fillId="0" borderId="1" xfId="0" applyNumberFormat="1" applyFill="1" applyBorder="1" applyAlignment="1">
      <alignment horizontal="right" vertical="center" wrapText="1"/>
    </xf>
    <xf numFmtId="0" fontId="0" fillId="0" borderId="0" xfId="0" applyFill="1">
      <alignment vertical="center"/>
    </xf>
    <xf numFmtId="0" fontId="0" fillId="0" borderId="0" xfId="0" applyAlignment="1">
      <alignment vertical="center" wrapText="1"/>
    </xf>
    <xf numFmtId="0" fontId="13" fillId="0" borderId="7" xfId="0" applyFont="1" applyBorder="1" applyAlignment="1">
      <alignment horizontal="left" vertical="center" wrapText="1"/>
    </xf>
    <xf numFmtId="0" fontId="0" fillId="0" borderId="7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49" fontId="0" fillId="0" borderId="17" xfId="0" applyNumberFormat="1" applyFill="1" applyBorder="1" applyAlignment="1">
      <alignment horizontal="left" vertical="center" wrapText="1"/>
    </xf>
    <xf numFmtId="177" fontId="0" fillId="0" borderId="17" xfId="0" applyNumberFormat="1" applyFill="1" applyBorder="1" applyAlignment="1">
      <alignment horizontal="right" vertical="center" wrapText="1"/>
    </xf>
    <xf numFmtId="4" fontId="0" fillId="0" borderId="17" xfId="0" applyNumberFormat="1" applyFill="1" applyBorder="1" applyAlignment="1">
      <alignment horizontal="right" vertical="center" wrapText="1"/>
    </xf>
    <xf numFmtId="177" fontId="0" fillId="0" borderId="1" xfId="0" applyNumberFormat="1" applyFill="1" applyBorder="1" applyAlignment="1">
      <alignment horizontal="right" vertical="center" wrapText="1"/>
    </xf>
    <xf numFmtId="49" fontId="0" fillId="0" borderId="1" xfId="0" applyNumberFormat="1" applyFill="1" applyBorder="1" applyAlignment="1">
      <alignment horizontal="right" vertical="center" wrapText="1"/>
    </xf>
    <xf numFmtId="0" fontId="0" fillId="0" borderId="0" xfId="0" applyFill="1" applyAlignment="1">
      <alignment vertical="center" wrapText="1"/>
    </xf>
    <xf numFmtId="0" fontId="16" fillId="0" borderId="7" xfId="0" applyFont="1" applyBorder="1" applyAlignment="1">
      <alignment vertical="center" wrapText="1"/>
    </xf>
    <xf numFmtId="0" fontId="17" fillId="0" borderId="0" xfId="0" applyFont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0" fontId="16" fillId="0" borderId="3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49" fontId="16" fillId="0" borderId="17" xfId="0" applyNumberFormat="1" applyFont="1" applyFill="1" applyBorder="1" applyAlignment="1">
      <alignment horizontal="left" vertical="center" wrapText="1"/>
    </xf>
    <xf numFmtId="4" fontId="16" fillId="0" borderId="1" xfId="0" applyNumberFormat="1" applyFont="1" applyFill="1" applyBorder="1" applyAlignment="1">
      <alignment horizontal="right" vertical="center" wrapText="1"/>
    </xf>
    <xf numFmtId="177" fontId="16" fillId="0" borderId="1" xfId="0" applyNumberFormat="1" applyFont="1" applyFill="1" applyBorder="1" applyAlignment="1">
      <alignment horizontal="right" vertical="center" wrapText="1"/>
    </xf>
    <xf numFmtId="49" fontId="16" fillId="0" borderId="1" xfId="0" applyNumberFormat="1" applyFont="1" applyFill="1" applyBorder="1" applyAlignment="1">
      <alignment horizontal="right" vertical="center" wrapText="1"/>
    </xf>
    <xf numFmtId="0" fontId="16" fillId="0" borderId="0" xfId="0" applyFont="1" applyAlignment="1">
      <alignment vertical="center" wrapText="1"/>
    </xf>
    <xf numFmtId="0" fontId="18" fillId="0" borderId="0" xfId="0" applyFont="1" applyAlignment="1">
      <alignment horizontal="left" vertical="center"/>
    </xf>
    <xf numFmtId="0" fontId="12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49" fontId="0" fillId="0" borderId="17" xfId="0" applyNumberFormat="1" applyFont="1" applyFill="1" applyBorder="1" applyAlignment="1">
      <alignment horizontal="left" vertical="center" wrapText="1"/>
    </xf>
    <xf numFmtId="177" fontId="0" fillId="0" borderId="1" xfId="0" applyNumberFormat="1" applyFill="1" applyBorder="1" applyAlignment="1">
      <alignment horizontal="right" vertical="center"/>
    </xf>
    <xf numFmtId="4" fontId="0" fillId="0" borderId="1" xfId="0" applyNumberFormat="1" applyFill="1" applyBorder="1" applyAlignment="1">
      <alignment horizontal="right" vertical="center"/>
    </xf>
    <xf numFmtId="49" fontId="0" fillId="0" borderId="1" xfId="0" applyNumberFormat="1" applyFill="1" applyBorder="1" applyAlignment="1">
      <alignment horizontal="right" vertical="center"/>
    </xf>
    <xf numFmtId="0" fontId="2" fillId="0" borderId="0" xfId="4">
      <alignment vertical="center"/>
    </xf>
    <xf numFmtId="0" fontId="2" fillId="0" borderId="0" xfId="4" applyAlignment="1">
      <alignment horizontal="right" vertical="center"/>
    </xf>
    <xf numFmtId="0" fontId="2" fillId="0" borderId="1" xfId="4" applyBorder="1" applyAlignment="1">
      <alignment horizontal="centerContinuous" vertical="center" wrapText="1"/>
    </xf>
    <xf numFmtId="0" fontId="2" fillId="0" borderId="1" xfId="4" applyBorder="1" applyAlignment="1">
      <alignment horizontal="centerContinuous" vertical="center"/>
    </xf>
    <xf numFmtId="0" fontId="2" fillId="0" borderId="1" xfId="4" applyBorder="1">
      <alignment vertical="center"/>
    </xf>
    <xf numFmtId="0" fontId="2" fillId="0" borderId="1" xfId="4" applyBorder="1" applyAlignment="1">
      <alignment horizontal="center" vertical="center"/>
    </xf>
    <xf numFmtId="49" fontId="2" fillId="0" borderId="1" xfId="4" applyNumberFormat="1" applyFill="1" applyBorder="1">
      <alignment vertical="center"/>
    </xf>
    <xf numFmtId="49" fontId="2" fillId="0" borderId="1" xfId="4" applyNumberFormat="1" applyFill="1" applyBorder="1" applyAlignment="1">
      <alignment horizontal="left" vertical="center" wrapText="1"/>
    </xf>
    <xf numFmtId="4" fontId="2" fillId="0" borderId="1" xfId="4" applyNumberFormat="1" applyFill="1" applyBorder="1" applyAlignment="1">
      <alignment horizontal="center" vertical="center" wrapText="1"/>
    </xf>
    <xf numFmtId="4" fontId="2" fillId="0" borderId="1" xfId="4" applyNumberFormat="1" applyFill="1" applyBorder="1" applyAlignment="1">
      <alignment horizontal="right" vertical="center" wrapText="1"/>
    </xf>
    <xf numFmtId="49" fontId="2" fillId="0" borderId="1" xfId="4" applyNumberFormat="1" applyFill="1" applyBorder="1" applyAlignment="1">
      <alignment horizontal="right" vertical="center" wrapText="1"/>
    </xf>
    <xf numFmtId="0" fontId="2" fillId="0" borderId="0" xfId="4" applyFill="1">
      <alignment vertical="center"/>
    </xf>
    <xf numFmtId="0" fontId="19" fillId="0" borderId="0" xfId="5" applyFont="1" applyAlignment="1">
      <alignment vertical="center"/>
    </xf>
    <xf numFmtId="0" fontId="19" fillId="0" borderId="0" xfId="5" applyAlignment="1">
      <alignment horizontal="center"/>
    </xf>
    <xf numFmtId="0" fontId="19" fillId="0" borderId="0" xfId="5"/>
    <xf numFmtId="0" fontId="19" fillId="0" borderId="0" xfId="5" applyFont="1" applyAlignment="1"/>
    <xf numFmtId="0" fontId="19" fillId="0" borderId="0" xfId="5" applyFont="1"/>
    <xf numFmtId="0" fontId="22" fillId="0" borderId="0" xfId="5" applyFont="1"/>
    <xf numFmtId="0" fontId="21" fillId="0" borderId="1" xfId="5" applyFont="1" applyBorder="1" applyAlignment="1">
      <alignment horizontal="center" vertical="center"/>
    </xf>
    <xf numFmtId="0" fontId="21" fillId="0" borderId="1" xfId="5" applyFont="1" applyBorder="1" applyAlignment="1">
      <alignment vertical="center"/>
    </xf>
    <xf numFmtId="0" fontId="24" fillId="0" borderId="0" xfId="5" applyFont="1"/>
    <xf numFmtId="0" fontId="21" fillId="0" borderId="0" xfId="5" applyFont="1" applyAlignment="1">
      <alignment horizontal="right" vertical="center"/>
    </xf>
    <xf numFmtId="0" fontId="21" fillId="0" borderId="0" xfId="5" applyFont="1" applyBorder="1" applyAlignment="1">
      <alignment vertical="center"/>
    </xf>
    <xf numFmtId="0" fontId="23" fillId="0" borderId="1" xfId="5" applyFont="1" applyBorder="1" applyAlignment="1">
      <alignment horizontal="center" vertical="center"/>
    </xf>
    <xf numFmtId="0" fontId="21" fillId="0" borderId="1" xfId="5" applyFont="1" applyBorder="1" applyAlignment="1">
      <alignment horizontal="left" vertical="center" wrapText="1"/>
    </xf>
    <xf numFmtId="0" fontId="4" fillId="0" borderId="0" xfId="1" applyFont="1" applyAlignment="1">
      <alignment horizontal="left" vertical="center"/>
    </xf>
    <xf numFmtId="49" fontId="4" fillId="0" borderId="0" xfId="1" applyNumberFormat="1" applyFont="1" applyFill="1" applyAlignment="1">
      <alignment horizontal="left" vertical="center"/>
    </xf>
    <xf numFmtId="0" fontId="2" fillId="0" borderId="0" xfId="1" applyAlignment="1">
      <alignment horizontal="left" vertical="center"/>
    </xf>
    <xf numFmtId="0" fontId="25" fillId="0" borderId="0" xfId="1" applyFont="1">
      <alignment vertical="center"/>
    </xf>
    <xf numFmtId="0" fontId="10" fillId="0" borderId="0" xfId="3" applyFont="1" applyAlignment="1">
      <alignment horizontal="center" vertical="center"/>
    </xf>
    <xf numFmtId="0" fontId="2" fillId="0" borderId="2" xfId="3" applyBorder="1" applyAlignment="1">
      <alignment horizontal="center" vertical="center"/>
    </xf>
    <xf numFmtId="0" fontId="2" fillId="0" borderId="3" xfId="3" applyBorder="1" applyAlignment="1">
      <alignment horizontal="center" vertical="center"/>
    </xf>
    <xf numFmtId="0" fontId="2" fillId="0" borderId="2" xfId="3" applyBorder="1" applyAlignment="1">
      <alignment horizontal="center" vertical="center" wrapText="1"/>
    </xf>
    <xf numFmtId="0" fontId="2" fillId="0" borderId="3" xfId="3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 wrapText="1"/>
    </xf>
    <xf numFmtId="0" fontId="11" fillId="0" borderId="6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4" fillId="0" borderId="7" xfId="0" applyFont="1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16" fillId="0" borderId="8" xfId="0" applyFont="1" applyBorder="1" applyAlignment="1">
      <alignment horizontal="center" vertical="center" wrapText="1"/>
    </xf>
    <xf numFmtId="0" fontId="16" fillId="0" borderId="21" xfId="0" applyFont="1" applyBorder="1" applyAlignment="1">
      <alignment horizontal="center" vertical="center" wrapText="1"/>
    </xf>
    <xf numFmtId="0" fontId="16" fillId="0" borderId="23" xfId="0" applyFont="1" applyBorder="1" applyAlignment="1">
      <alignment horizontal="center" vertical="center" wrapText="1"/>
    </xf>
    <xf numFmtId="0" fontId="16" fillId="0" borderId="22" xfId="0" applyFont="1" applyBorder="1" applyAlignment="1">
      <alignment horizontal="center" vertical="center" wrapText="1"/>
    </xf>
    <xf numFmtId="0" fontId="16" fillId="0" borderId="24" xfId="0" applyFont="1" applyBorder="1" applyAlignment="1">
      <alignment horizontal="center" vertical="center" wrapText="1"/>
    </xf>
    <xf numFmtId="0" fontId="16" fillId="0" borderId="20" xfId="0" applyFont="1" applyBorder="1" applyAlignment="1">
      <alignment horizontal="center" vertical="center" wrapText="1"/>
    </xf>
    <xf numFmtId="0" fontId="16" fillId="0" borderId="6" xfId="0" applyFont="1" applyBorder="1" applyAlignment="1">
      <alignment horizontal="center" vertical="center" wrapText="1"/>
    </xf>
    <xf numFmtId="0" fontId="16" fillId="0" borderId="2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3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0" fontId="18" fillId="0" borderId="7" xfId="0" applyFont="1" applyBorder="1" applyAlignment="1">
      <alignment horizontal="center" vertical="center"/>
    </xf>
    <xf numFmtId="0" fontId="12" fillId="0" borderId="7" xfId="0" applyFont="1" applyBorder="1" applyAlignment="1">
      <alignment horizontal="center" vertical="center"/>
    </xf>
    <xf numFmtId="0" fontId="0" fillId="0" borderId="8" xfId="0" applyFont="1" applyBorder="1" applyAlignment="1">
      <alignment horizontal="center" vertical="center" wrapText="1"/>
    </xf>
    <xf numFmtId="0" fontId="0" fillId="0" borderId="25" xfId="0" applyFont="1" applyBorder="1" applyAlignment="1">
      <alignment horizontal="center" vertical="center" wrapText="1"/>
    </xf>
    <xf numFmtId="0" fontId="0" fillId="0" borderId="26" xfId="0" applyFont="1" applyBorder="1" applyAlignment="1">
      <alignment horizontal="center" vertical="center" wrapText="1"/>
    </xf>
    <xf numFmtId="0" fontId="0" fillId="0" borderId="14" xfId="0" applyFont="1" applyBorder="1" applyAlignment="1">
      <alignment horizontal="center" vertical="center" wrapText="1"/>
    </xf>
    <xf numFmtId="0" fontId="0" fillId="0" borderId="27" xfId="0" applyFont="1" applyBorder="1" applyAlignment="1">
      <alignment horizontal="center" vertical="center" wrapText="1"/>
    </xf>
    <xf numFmtId="0" fontId="0" fillId="0" borderId="7" xfId="0" applyFont="1" applyBorder="1" applyAlignment="1">
      <alignment horizontal="center" vertical="center" wrapText="1"/>
    </xf>
    <xf numFmtId="0" fontId="0" fillId="0" borderId="28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0" fillId="0" borderId="0" xfId="4" applyFont="1" applyAlignment="1">
      <alignment horizontal="center" vertical="center"/>
    </xf>
    <xf numFmtId="0" fontId="2" fillId="0" borderId="7" xfId="4" applyBorder="1" applyAlignment="1">
      <alignment horizontal="left" vertical="center"/>
    </xf>
    <xf numFmtId="0" fontId="2" fillId="0" borderId="2" xfId="4" applyBorder="1" applyAlignment="1">
      <alignment vertical="center" wrapText="1"/>
    </xf>
    <xf numFmtId="0" fontId="2" fillId="0" borderId="15" xfId="4" applyBorder="1" applyAlignment="1">
      <alignment vertical="center" wrapText="1"/>
    </xf>
    <xf numFmtId="0" fontId="2" fillId="0" borderId="3" xfId="4" applyBorder="1" applyAlignment="1">
      <alignment vertical="center" wrapText="1"/>
    </xf>
    <xf numFmtId="0" fontId="2" fillId="0" borderId="1" xfId="4" applyBorder="1" applyAlignment="1">
      <alignment horizontal="center" vertical="center" wrapText="1"/>
    </xf>
    <xf numFmtId="0" fontId="2" fillId="0" borderId="2" xfId="4" applyBorder="1" applyAlignment="1">
      <alignment horizontal="center" vertical="center" wrapText="1"/>
    </xf>
    <xf numFmtId="0" fontId="2" fillId="0" borderId="15" xfId="4" applyBorder="1" applyAlignment="1">
      <alignment horizontal="center" vertical="center" wrapText="1"/>
    </xf>
    <xf numFmtId="0" fontId="2" fillId="0" borderId="3" xfId="4" applyBorder="1" applyAlignment="1">
      <alignment horizontal="center" vertical="center" wrapText="1"/>
    </xf>
    <xf numFmtId="0" fontId="2" fillId="0" borderId="4" xfId="4" applyBorder="1" applyAlignment="1">
      <alignment horizontal="center" vertical="center" wrapText="1"/>
    </xf>
    <xf numFmtId="0" fontId="2" fillId="0" borderId="5" xfId="4" applyBorder="1" applyAlignment="1">
      <alignment horizontal="center" vertical="center" wrapText="1"/>
    </xf>
    <xf numFmtId="0" fontId="2" fillId="0" borderId="6" xfId="4" applyBorder="1" applyAlignment="1">
      <alignment horizontal="center" vertical="center" wrapText="1"/>
    </xf>
    <xf numFmtId="0" fontId="20" fillId="0" borderId="0" xfId="5" applyFont="1" applyAlignment="1">
      <alignment horizontal="center" vertical="center"/>
    </xf>
    <xf numFmtId="0" fontId="0" fillId="0" borderId="7" xfId="0" applyBorder="1" applyAlignment="1">
      <alignment horizontal="left" vertical="center"/>
    </xf>
    <xf numFmtId="49" fontId="0" fillId="0" borderId="1" xfId="0" applyNumberFormat="1" applyFill="1" applyBorder="1" applyAlignment="1">
      <alignment horizontal="center" vertical="center" wrapText="1"/>
    </xf>
    <xf numFmtId="49" fontId="5" fillId="0" borderId="1" xfId="0" applyNumberFormat="1" applyFont="1" applyFill="1" applyBorder="1" applyAlignment="1" applyProtection="1">
      <alignment horizontal="left" vertical="center"/>
    </xf>
    <xf numFmtId="49" fontId="5" fillId="0" borderId="1" xfId="0" applyNumberFormat="1" applyFont="1" applyFill="1" applyBorder="1" applyAlignment="1" applyProtection="1">
      <alignment vertical="center"/>
    </xf>
    <xf numFmtId="178" fontId="5" fillId="0" borderId="1" xfId="0" applyNumberFormat="1" applyFont="1" applyFill="1" applyBorder="1" applyAlignment="1">
      <alignment horizontal="left" vertical="center" indent="1"/>
    </xf>
    <xf numFmtId="0" fontId="5" fillId="0" borderId="1" xfId="0" applyFont="1" applyFill="1" applyBorder="1" applyAlignment="1">
      <alignment horizontal="left" vertical="center" wrapText="1" indent="1"/>
    </xf>
    <xf numFmtId="178" fontId="5" fillId="0" borderId="1" xfId="0" applyNumberFormat="1" applyFont="1" applyFill="1" applyBorder="1" applyAlignment="1">
      <alignment vertical="center"/>
    </xf>
    <xf numFmtId="49" fontId="27" fillId="0" borderId="1" xfId="0" applyNumberFormat="1" applyFont="1" applyFill="1" applyBorder="1" applyAlignment="1" applyProtection="1">
      <alignment horizontal="left" vertical="center"/>
    </xf>
    <xf numFmtId="49" fontId="5" fillId="0" borderId="1" xfId="0" applyNumberFormat="1" applyFont="1" applyFill="1" applyBorder="1" applyAlignment="1" applyProtection="1">
      <alignment horizontal="center" vertical="center" wrapText="1"/>
    </xf>
    <xf numFmtId="49" fontId="5" fillId="0" borderId="1" xfId="0" applyNumberFormat="1" applyFont="1" applyFill="1" applyBorder="1" applyAlignment="1" applyProtection="1">
      <alignment horizontal="center" vertical="center"/>
    </xf>
    <xf numFmtId="4" fontId="0" fillId="0" borderId="6" xfId="0" applyNumberFormat="1" applyFill="1" applyBorder="1" applyAlignment="1">
      <alignment horizontal="right" vertical="center" wrapText="1"/>
    </xf>
    <xf numFmtId="0" fontId="0" fillId="0" borderId="1" xfId="0" applyBorder="1">
      <alignment vertical="center"/>
    </xf>
    <xf numFmtId="4" fontId="0" fillId="0" borderId="1" xfId="0" applyNumberFormat="1" applyBorder="1">
      <alignment vertical="center"/>
    </xf>
    <xf numFmtId="4" fontId="0" fillId="0" borderId="1" xfId="0" applyNumberFormat="1" applyBorder="1" applyAlignment="1">
      <alignment horizontal="center" vertical="center"/>
    </xf>
    <xf numFmtId="179" fontId="0" fillId="0" borderId="1" xfId="0" applyNumberForma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</cellXfs>
  <cellStyles count="6">
    <cellStyle name="常规" xfId="0" builtinId="0"/>
    <cellStyle name="常规 4" xfId="2"/>
    <cellStyle name="常规 64" xfId="5"/>
    <cellStyle name="常规_06288AE0BF90009CE0530A34131A2B7F" xfId="1"/>
    <cellStyle name="常规_06288AE0BF99009CE0530A34131A2B7F" xfId="3"/>
    <cellStyle name="常规_06288AE0BFA2009CE0530A34131A2B7F" xfId="4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23"/>
  <sheetViews>
    <sheetView workbookViewId="0">
      <selection activeCell="B7" sqref="B7"/>
    </sheetView>
  </sheetViews>
  <sheetFormatPr defaultColWidth="7" defaultRowHeight="11.25"/>
  <cols>
    <col min="1" max="1" width="10.25" style="2" customWidth="1"/>
    <col min="2" max="2" width="116.875" style="1" customWidth="1"/>
    <col min="3" max="16384" width="7" style="2"/>
  </cols>
  <sheetData>
    <row r="1" spans="1:2" ht="35.25" customHeight="1">
      <c r="A1" s="102" t="s">
        <v>143</v>
      </c>
    </row>
    <row r="2" spans="1:2" ht="44.25" customHeight="1">
      <c r="B2" s="3" t="s">
        <v>0</v>
      </c>
    </row>
    <row r="3" spans="1:2" ht="44.25" customHeight="1">
      <c r="B3" s="3"/>
    </row>
    <row r="4" spans="1:2" ht="74.25" customHeight="1">
      <c r="B4" s="100" t="s">
        <v>144</v>
      </c>
    </row>
    <row r="5" spans="1:2" ht="34.5" customHeight="1">
      <c r="B5" s="101"/>
    </row>
    <row r="6" spans="1:2" ht="90.75" customHeight="1">
      <c r="B6" s="99" t="s">
        <v>145</v>
      </c>
    </row>
    <row r="7" spans="1:2" ht="85.5" customHeight="1">
      <c r="B7" s="4"/>
    </row>
    <row r="8" spans="1:2" ht="11.25" customHeight="1"/>
    <row r="9" spans="1:2" ht="11.25" customHeight="1"/>
    <row r="10" spans="1:2" s="6" customFormat="1" ht="11.25" customHeight="1">
      <c r="B10" s="5"/>
    </row>
    <row r="11" spans="1:2" ht="11.25" customHeight="1">
      <c r="B11" s="5"/>
    </row>
    <row r="12" spans="1:2" ht="11.25" customHeight="1">
      <c r="B12" s="5"/>
    </row>
    <row r="13" spans="1:2" ht="11.25" customHeight="1">
      <c r="B13" s="5"/>
    </row>
    <row r="14" spans="1:2" ht="11.25" customHeight="1">
      <c r="B14" s="5"/>
    </row>
    <row r="15" spans="1:2" ht="11.25" customHeight="1">
      <c r="B15" s="5"/>
    </row>
    <row r="16" spans="1:2" ht="11.25" customHeight="1">
      <c r="B16" s="5"/>
    </row>
    <row r="17" spans="2:2" ht="11.25" customHeight="1">
      <c r="B17" s="5"/>
    </row>
    <row r="18" spans="2:2" ht="11.25" customHeight="1">
      <c r="B18" s="5"/>
    </row>
    <row r="19" spans="2:2" ht="11.25" customHeight="1">
      <c r="B19" s="5"/>
    </row>
    <row r="20" spans="2:2" ht="11.25" customHeight="1">
      <c r="B20" s="5"/>
    </row>
    <row r="21" spans="2:2" ht="11.25" customHeight="1">
      <c r="B21" s="5"/>
    </row>
    <row r="22" spans="2:2" ht="11.25" customHeight="1">
      <c r="B22" s="5"/>
    </row>
    <row r="23" spans="2:2" ht="11.25" customHeight="1">
      <c r="B23" s="5"/>
    </row>
  </sheetData>
  <phoneticPr fontId="1" type="noConversion"/>
  <pageMargins left="0.70866141732283472" right="0.70866141732283472" top="0.74803149606299213" bottom="0.74803149606299213" header="0.31496062992125984" footer="0.31496062992125984"/>
  <pageSetup paperSize="9" orientation="landscape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0"/>
  <sheetViews>
    <sheetView workbookViewId="0">
      <selection activeCell="F7" sqref="F7"/>
    </sheetView>
  </sheetViews>
  <sheetFormatPr defaultRowHeight="11.25"/>
  <cols>
    <col min="1" max="1" width="32.75" style="8" customWidth="1"/>
    <col min="2" max="2" width="16.5" style="8" customWidth="1"/>
    <col min="3" max="3" width="19.25" style="8" customWidth="1"/>
    <col min="4" max="4" width="14.125" style="8" customWidth="1"/>
    <col min="5" max="5" width="21.5" style="8" customWidth="1"/>
    <col min="6" max="6" width="17.25" style="8" customWidth="1"/>
    <col min="7" max="16384" width="9" style="8"/>
  </cols>
  <sheetData>
    <row r="1" spans="1:6" ht="6.75" customHeight="1">
      <c r="A1" s="7"/>
      <c r="F1" s="9"/>
    </row>
    <row r="2" spans="1:6" ht="21" customHeight="1">
      <c r="A2" s="10" t="s">
        <v>1</v>
      </c>
      <c r="B2" s="10"/>
      <c r="C2" s="10"/>
      <c r="D2" s="10"/>
      <c r="E2" s="10"/>
      <c r="F2" s="10"/>
    </row>
    <row r="3" spans="1:6" s="7" customFormat="1" ht="18.95" customHeight="1">
      <c r="A3" s="11" t="s">
        <v>2</v>
      </c>
      <c r="B3" s="12"/>
      <c r="C3" s="12"/>
      <c r="D3" s="12"/>
      <c r="E3" s="12"/>
      <c r="F3" s="13" t="s">
        <v>3</v>
      </c>
    </row>
    <row r="4" spans="1:6" ht="18.95" customHeight="1">
      <c r="A4" s="14" t="s">
        <v>4</v>
      </c>
      <c r="B4" s="14"/>
      <c r="C4" s="14" t="s">
        <v>5</v>
      </c>
      <c r="D4" s="14"/>
      <c r="E4" s="14"/>
      <c r="F4" s="14"/>
    </row>
    <row r="5" spans="1:6" ht="18.95" customHeight="1">
      <c r="A5" s="15" t="s">
        <v>6</v>
      </c>
      <c r="B5" s="15" t="s">
        <v>7</v>
      </c>
      <c r="C5" s="15" t="s">
        <v>6</v>
      </c>
      <c r="D5" s="15" t="s">
        <v>7</v>
      </c>
      <c r="E5" s="15" t="s">
        <v>6</v>
      </c>
      <c r="F5" s="15" t="s">
        <v>7</v>
      </c>
    </row>
    <row r="6" spans="1:6" s="7" customFormat="1" ht="24.95" customHeight="1">
      <c r="A6" s="16" t="s">
        <v>8</v>
      </c>
      <c r="B6" s="17">
        <v>0</v>
      </c>
      <c r="C6" s="16" t="s">
        <v>9</v>
      </c>
      <c r="D6" s="17">
        <f>SUM(D7:D9)</f>
        <v>68.400000000000006</v>
      </c>
      <c r="E6" s="16" t="s">
        <v>10</v>
      </c>
      <c r="F6" s="17"/>
    </row>
    <row r="7" spans="1:6" s="7" customFormat="1" ht="24.95" customHeight="1">
      <c r="A7" s="18" t="s">
        <v>11</v>
      </c>
      <c r="B7" s="17"/>
      <c r="C7" s="19" t="s">
        <v>12</v>
      </c>
      <c r="D7" s="17">
        <v>57.5</v>
      </c>
      <c r="E7" s="16" t="s">
        <v>13</v>
      </c>
      <c r="F7" s="17"/>
    </row>
    <row r="8" spans="1:6" s="7" customFormat="1" ht="24.95" customHeight="1">
      <c r="A8" s="18" t="s">
        <v>14</v>
      </c>
      <c r="B8" s="17"/>
      <c r="C8" s="19" t="s">
        <v>15</v>
      </c>
      <c r="D8" s="17">
        <v>0</v>
      </c>
      <c r="E8" s="16" t="s">
        <v>16</v>
      </c>
      <c r="F8" s="17"/>
    </row>
    <row r="9" spans="1:6" s="7" customFormat="1" ht="24.95" customHeight="1">
      <c r="A9" s="20" t="s">
        <v>17</v>
      </c>
      <c r="B9" s="21"/>
      <c r="C9" s="19" t="s">
        <v>18</v>
      </c>
      <c r="D9" s="17">
        <v>10.9</v>
      </c>
      <c r="E9" s="16" t="s">
        <v>19</v>
      </c>
      <c r="F9" s="17"/>
    </row>
    <row r="10" spans="1:6" s="7" customFormat="1" ht="24.95" customHeight="1">
      <c r="A10" s="19" t="s">
        <v>20</v>
      </c>
      <c r="B10" s="17"/>
      <c r="C10" s="16" t="s">
        <v>21</v>
      </c>
      <c r="D10" s="17">
        <f>SUM(D11:D13)</f>
        <v>155051.5</v>
      </c>
      <c r="E10" s="16" t="s">
        <v>22</v>
      </c>
      <c r="F10" s="17"/>
    </row>
    <row r="11" spans="1:6" s="7" customFormat="1" ht="24.95" customHeight="1">
      <c r="A11" s="19" t="s">
        <v>23</v>
      </c>
      <c r="B11" s="17"/>
      <c r="C11" s="19" t="s">
        <v>24</v>
      </c>
      <c r="D11" s="17">
        <v>51.5</v>
      </c>
      <c r="E11" s="16" t="s">
        <v>25</v>
      </c>
      <c r="F11" s="22"/>
    </row>
    <row r="12" spans="1:6" s="7" customFormat="1" ht="24.95" customHeight="1">
      <c r="A12" s="16" t="s">
        <v>26</v>
      </c>
      <c r="B12" s="17">
        <v>0</v>
      </c>
      <c r="C12" s="19" t="s">
        <v>27</v>
      </c>
      <c r="D12" s="17">
        <v>0</v>
      </c>
      <c r="E12" s="16" t="s">
        <v>28</v>
      </c>
      <c r="F12" s="17"/>
    </row>
    <row r="13" spans="1:6" s="7" customFormat="1" ht="24.95" customHeight="1">
      <c r="A13" s="19" t="s">
        <v>29</v>
      </c>
      <c r="B13" s="17"/>
      <c r="C13" s="19" t="s">
        <v>30</v>
      </c>
      <c r="D13" s="17">
        <v>155000</v>
      </c>
      <c r="E13" s="16" t="s">
        <v>31</v>
      </c>
      <c r="F13" s="17"/>
    </row>
    <row r="14" spans="1:6" s="7" customFormat="1" ht="24.95" customHeight="1">
      <c r="A14" s="19" t="s">
        <v>32</v>
      </c>
      <c r="B14" s="17"/>
      <c r="C14" s="19"/>
      <c r="D14" s="23"/>
      <c r="E14" s="16" t="s">
        <v>33</v>
      </c>
      <c r="F14" s="17"/>
    </row>
    <row r="15" spans="1:6" s="7" customFormat="1" ht="24.95" customHeight="1">
      <c r="A15" s="16" t="s">
        <v>34</v>
      </c>
      <c r="B15" s="17">
        <v>0</v>
      </c>
      <c r="C15" s="19"/>
      <c r="D15" s="23"/>
      <c r="F15" s="24"/>
    </row>
    <row r="16" spans="1:6" s="7" customFormat="1" ht="24.95" customHeight="1">
      <c r="A16" s="16" t="s">
        <v>35</v>
      </c>
      <c r="B16" s="21">
        <v>0</v>
      </c>
      <c r="C16" s="19"/>
      <c r="D16" s="23"/>
      <c r="E16" s="19"/>
      <c r="F16" s="24"/>
    </row>
    <row r="17" spans="1:6" s="7" customFormat="1" ht="24.95" customHeight="1">
      <c r="A17" s="16" t="s">
        <v>36</v>
      </c>
      <c r="B17" s="17">
        <v>0</v>
      </c>
      <c r="C17" s="16" t="s">
        <v>37</v>
      </c>
      <c r="D17" s="17">
        <v>0</v>
      </c>
      <c r="F17" s="24"/>
    </row>
    <row r="18" spans="1:6" s="7" customFormat="1" ht="24.95" customHeight="1">
      <c r="A18" s="16" t="s">
        <v>38</v>
      </c>
      <c r="B18" s="17">
        <v>0</v>
      </c>
      <c r="C18" s="16" t="s">
        <v>39</v>
      </c>
      <c r="D18" s="17">
        <v>0</v>
      </c>
      <c r="E18" s="19"/>
      <c r="F18" s="23"/>
    </row>
    <row r="19" spans="1:6" s="7" customFormat="1" ht="24.95" customHeight="1">
      <c r="A19" s="16" t="s">
        <v>40</v>
      </c>
      <c r="B19" s="17">
        <v>0</v>
      </c>
      <c r="C19" s="19"/>
      <c r="D19" s="23"/>
      <c r="E19" s="19"/>
      <c r="F19" s="23"/>
    </row>
    <row r="20" spans="1:6" s="7" customFormat="1" ht="24.95" customHeight="1">
      <c r="A20" s="25" t="s">
        <v>41</v>
      </c>
      <c r="B20" s="17">
        <v>0</v>
      </c>
      <c r="C20" s="25" t="s">
        <v>42</v>
      </c>
      <c r="D20" s="17">
        <f>D6+D10+D17+D18</f>
        <v>155119.9</v>
      </c>
      <c r="E20" s="25" t="s">
        <v>42</v>
      </c>
      <c r="F20" s="17"/>
    </row>
  </sheetData>
  <phoneticPr fontId="1" type="noConversion"/>
  <pageMargins left="1.1023622047244095" right="0.70866141732283472" top="0.74803149606299213" bottom="0.74803149606299213" header="0.31496062992125984" footer="0.31496062992125984"/>
  <pageSetup paperSize="9" orientation="landscape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K7"/>
  <sheetViews>
    <sheetView workbookViewId="0">
      <selection activeCell="C7" sqref="C7"/>
    </sheetView>
  </sheetViews>
  <sheetFormatPr defaultColWidth="7" defaultRowHeight="11.25"/>
  <cols>
    <col min="1" max="3" width="13.375" style="26" customWidth="1"/>
    <col min="4" max="4" width="9.375" style="26" customWidth="1"/>
    <col min="5" max="5" width="9.875" style="26" customWidth="1"/>
    <col min="6" max="6" width="12" style="26" customWidth="1"/>
    <col min="7" max="7" width="10" style="26" customWidth="1"/>
    <col min="8" max="8" width="9.75" style="26" customWidth="1"/>
    <col min="9" max="9" width="7.625" style="26" customWidth="1"/>
    <col min="10" max="10" width="9.5" style="26" customWidth="1"/>
    <col min="11" max="11" width="13.375" style="26" customWidth="1"/>
    <col min="12" max="16384" width="7" style="26"/>
  </cols>
  <sheetData>
    <row r="1" spans="1:11" ht="23.25" customHeight="1"/>
    <row r="2" spans="1:11" ht="54" customHeight="1">
      <c r="A2" s="103" t="s">
        <v>43</v>
      </c>
      <c r="B2" s="103"/>
      <c r="C2" s="103"/>
      <c r="D2" s="103"/>
      <c r="E2" s="103"/>
      <c r="F2" s="103"/>
      <c r="G2" s="103"/>
      <c r="H2" s="103"/>
      <c r="I2" s="103"/>
      <c r="J2" s="103"/>
      <c r="K2" s="103"/>
    </row>
    <row r="3" spans="1:11" ht="24" customHeight="1">
      <c r="A3" s="26" t="s">
        <v>44</v>
      </c>
      <c r="K3" s="27" t="s">
        <v>45</v>
      </c>
    </row>
    <row r="4" spans="1:11" ht="28.5" customHeight="1">
      <c r="A4" s="104" t="s">
        <v>46</v>
      </c>
      <c r="B4" s="28" t="s">
        <v>47</v>
      </c>
      <c r="C4" s="28"/>
      <c r="D4" s="28"/>
      <c r="E4" s="28" t="s">
        <v>48</v>
      </c>
      <c r="F4" s="28"/>
      <c r="G4" s="28"/>
      <c r="H4" s="106" t="s">
        <v>49</v>
      </c>
      <c r="I4" s="106" t="s">
        <v>50</v>
      </c>
      <c r="J4" s="106" t="s">
        <v>51</v>
      </c>
      <c r="K4" s="106" t="s">
        <v>52</v>
      </c>
    </row>
    <row r="5" spans="1:11" ht="30" customHeight="1">
      <c r="A5" s="105"/>
      <c r="B5" s="28" t="s">
        <v>53</v>
      </c>
      <c r="C5" s="28" t="s">
        <v>47</v>
      </c>
      <c r="D5" s="28" t="s">
        <v>54</v>
      </c>
      <c r="E5" s="28" t="s">
        <v>53</v>
      </c>
      <c r="F5" s="28" t="s">
        <v>55</v>
      </c>
      <c r="G5" s="29" t="s">
        <v>56</v>
      </c>
      <c r="H5" s="107"/>
      <c r="I5" s="107"/>
      <c r="J5" s="107"/>
      <c r="K5" s="107"/>
    </row>
    <row r="6" spans="1:11" ht="30" customHeight="1">
      <c r="A6" s="30">
        <v>1</v>
      </c>
      <c r="B6" s="30">
        <v>2</v>
      </c>
      <c r="C6" s="30">
        <v>3</v>
      </c>
      <c r="D6" s="30">
        <v>4</v>
      </c>
      <c r="E6" s="30">
        <v>5</v>
      </c>
      <c r="F6" s="30">
        <v>6</v>
      </c>
      <c r="G6" s="30">
        <v>7</v>
      </c>
      <c r="H6" s="30">
        <v>8</v>
      </c>
      <c r="I6" s="30">
        <v>9</v>
      </c>
      <c r="J6" s="30">
        <v>10</v>
      </c>
      <c r="K6" s="30">
        <v>11</v>
      </c>
    </row>
    <row r="7" spans="1:11" s="32" customFormat="1" ht="34.5" customHeight="1">
      <c r="A7" s="31"/>
      <c r="B7" s="31"/>
      <c r="C7" s="31"/>
      <c r="D7" s="31"/>
      <c r="E7" s="31"/>
      <c r="F7" s="31"/>
      <c r="G7" s="31"/>
      <c r="H7" s="31"/>
      <c r="I7" s="31"/>
      <c r="J7" s="31"/>
      <c r="K7" s="31"/>
    </row>
  </sheetData>
  <mergeCells count="6">
    <mergeCell ref="A2:K2"/>
    <mergeCell ref="A4:A5"/>
    <mergeCell ref="H4:H5"/>
    <mergeCell ref="I4:I5"/>
    <mergeCell ref="J4:J5"/>
    <mergeCell ref="K4:K5"/>
  </mergeCells>
  <phoneticPr fontId="1" type="noConversion"/>
  <pageMargins left="1.1023622047244095" right="0.70866141732283472" top="0.74803149606299213" bottom="0.74803149606299213" header="0.31496062992125984" footer="0.31496062992125984"/>
  <pageSetup paperSize="9" orientation="landscape" horizontalDpi="200" verticalDpi="200"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N35"/>
  <sheetViews>
    <sheetView workbookViewId="0">
      <selection activeCell="B13" sqref="B13"/>
    </sheetView>
  </sheetViews>
  <sheetFormatPr defaultRowHeight="13.5"/>
  <cols>
    <col min="1" max="1" width="6.125" customWidth="1"/>
    <col min="2" max="2" width="14.875" customWidth="1"/>
    <col min="3" max="3" width="35.125" customWidth="1"/>
    <col min="4" max="4" width="13" customWidth="1"/>
    <col min="5" max="5" width="9.125" customWidth="1"/>
    <col min="6" max="7" width="8.375" customWidth="1"/>
    <col min="8" max="8" width="8.5" customWidth="1"/>
    <col min="9" max="9" width="10.875" customWidth="1"/>
    <col min="10" max="10" width="9.125" customWidth="1"/>
    <col min="11" max="12" width="8.375" customWidth="1"/>
    <col min="13" max="13" width="6.75" customWidth="1"/>
    <col min="14" max="14" width="8.375" customWidth="1"/>
  </cols>
  <sheetData>
    <row r="1" spans="1:14" ht="11.25" customHeight="1"/>
    <row r="2" spans="1:14" ht="47.25" customHeight="1">
      <c r="A2" s="33" t="s">
        <v>57</v>
      </c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</row>
    <row r="3" spans="1:14" ht="17.25" customHeight="1">
      <c r="A3" s="168" t="s">
        <v>151</v>
      </c>
      <c r="B3" s="168"/>
      <c r="C3" s="168"/>
      <c r="D3" s="168"/>
      <c r="N3" s="35" t="s">
        <v>58</v>
      </c>
    </row>
    <row r="4" spans="1:14" ht="20.25" customHeight="1">
      <c r="A4" s="108" t="s">
        <v>59</v>
      </c>
      <c r="B4" s="108" t="s">
        <v>60</v>
      </c>
      <c r="C4" s="108" t="s">
        <v>61</v>
      </c>
      <c r="D4" s="108" t="s">
        <v>62</v>
      </c>
      <c r="E4" s="110" t="s">
        <v>63</v>
      </c>
      <c r="F4" s="111"/>
      <c r="G4" s="111"/>
      <c r="H4" s="112"/>
      <c r="I4" s="113" t="s">
        <v>64</v>
      </c>
      <c r="J4" s="113"/>
      <c r="K4" s="113"/>
      <c r="L4" s="113"/>
      <c r="M4" s="108" t="s">
        <v>65</v>
      </c>
      <c r="N4" s="108" t="s">
        <v>66</v>
      </c>
    </row>
    <row r="5" spans="1:14" ht="44.25" customHeight="1">
      <c r="A5" s="109"/>
      <c r="B5" s="109"/>
      <c r="C5" s="109"/>
      <c r="D5" s="109"/>
      <c r="E5" s="36" t="s">
        <v>67</v>
      </c>
      <c r="F5" s="36" t="s">
        <v>68</v>
      </c>
      <c r="G5" s="36" t="s">
        <v>69</v>
      </c>
      <c r="H5" s="36" t="s">
        <v>70</v>
      </c>
      <c r="I5" s="37" t="s">
        <v>67</v>
      </c>
      <c r="J5" s="38" t="s">
        <v>71</v>
      </c>
      <c r="K5" s="37" t="s">
        <v>72</v>
      </c>
      <c r="L5" s="37" t="s">
        <v>73</v>
      </c>
      <c r="M5" s="109"/>
      <c r="N5" s="109"/>
    </row>
    <row r="6" spans="1:14" ht="16.5" customHeight="1">
      <c r="A6" s="39" t="s">
        <v>74</v>
      </c>
      <c r="B6" s="39" t="s">
        <v>74</v>
      </c>
      <c r="C6" s="39" t="s">
        <v>74</v>
      </c>
      <c r="D6" s="39">
        <v>1</v>
      </c>
      <c r="E6" s="39">
        <v>2</v>
      </c>
      <c r="F6" s="39">
        <v>3</v>
      </c>
      <c r="G6" s="39">
        <v>4</v>
      </c>
      <c r="H6" s="39">
        <v>5</v>
      </c>
      <c r="I6" s="39">
        <v>6</v>
      </c>
      <c r="J6" s="39">
        <v>7</v>
      </c>
      <c r="K6" s="39">
        <v>8</v>
      </c>
      <c r="L6" s="39">
        <v>9</v>
      </c>
      <c r="M6" s="39">
        <v>10</v>
      </c>
      <c r="N6" s="39">
        <v>11</v>
      </c>
    </row>
    <row r="7" spans="1:14" ht="16.5" customHeight="1">
      <c r="A7" s="39"/>
      <c r="B7" s="39"/>
      <c r="C7" s="39"/>
      <c r="D7" s="182">
        <f>E7+I7</f>
        <v>155119.9</v>
      </c>
      <c r="E7" s="181">
        <f>SUM(F7:H7)</f>
        <v>68.400000000000006</v>
      </c>
      <c r="F7" s="181">
        <f>SUM(F9)</f>
        <v>53.4</v>
      </c>
      <c r="G7" s="181">
        <f>SUM(G22)</f>
        <v>4.0999999999999996</v>
      </c>
      <c r="H7" s="181">
        <f>SUM(H24)</f>
        <v>10.899999999999999</v>
      </c>
      <c r="I7" s="39">
        <f>SUM(J7:L7)</f>
        <v>155051.5</v>
      </c>
      <c r="J7" s="39">
        <f>SUM(J28)</f>
        <v>51.5</v>
      </c>
      <c r="K7" s="39"/>
      <c r="L7" s="39">
        <f>SUM(L31)</f>
        <v>155000</v>
      </c>
      <c r="M7" s="39"/>
      <c r="N7" s="39"/>
    </row>
    <row r="8" spans="1:14" ht="31.5" customHeight="1">
      <c r="A8" s="39"/>
      <c r="B8" s="39"/>
      <c r="C8" s="184" t="s">
        <v>179</v>
      </c>
      <c r="D8" s="182"/>
      <c r="E8" s="181"/>
      <c r="F8" s="181"/>
      <c r="G8" s="181"/>
      <c r="H8" s="181"/>
      <c r="I8" s="39"/>
      <c r="J8" s="39"/>
      <c r="K8" s="39"/>
      <c r="L8" s="39"/>
      <c r="M8" s="39"/>
      <c r="N8" s="183"/>
    </row>
    <row r="9" spans="1:14" ht="31.5" customHeight="1">
      <c r="A9" s="40"/>
      <c r="B9" s="169"/>
      <c r="C9" s="171" t="s">
        <v>152</v>
      </c>
      <c r="D9" s="41"/>
      <c r="E9" s="41"/>
      <c r="F9" s="41">
        <f>SUM(F10:F21)</f>
        <v>53.4</v>
      </c>
      <c r="G9" s="41"/>
      <c r="H9" s="41"/>
      <c r="I9" s="41"/>
      <c r="J9" s="41"/>
      <c r="K9" s="41"/>
      <c r="L9" s="41"/>
      <c r="M9" s="41"/>
      <c r="N9" s="178"/>
    </row>
    <row r="10" spans="1:14" ht="31.5" customHeight="1">
      <c r="A10" s="40"/>
      <c r="B10" s="169"/>
      <c r="C10" s="172" t="s">
        <v>153</v>
      </c>
      <c r="D10" s="41"/>
      <c r="E10" s="41"/>
      <c r="F10" s="41">
        <v>11.01</v>
      </c>
      <c r="G10" s="41"/>
      <c r="H10" s="41"/>
      <c r="I10" s="41"/>
      <c r="J10" s="41"/>
      <c r="K10" s="41"/>
      <c r="L10" s="41"/>
      <c r="M10" s="41"/>
      <c r="N10" s="178"/>
    </row>
    <row r="11" spans="1:14" ht="31.5" customHeight="1">
      <c r="A11" s="40"/>
      <c r="B11" s="169"/>
      <c r="C11" s="173" t="s">
        <v>154</v>
      </c>
      <c r="D11" s="41"/>
      <c r="E11" s="41"/>
      <c r="F11" s="41">
        <v>13.27</v>
      </c>
      <c r="G11" s="41"/>
      <c r="H11" s="41"/>
      <c r="I11" s="41"/>
      <c r="J11" s="41"/>
      <c r="K11" s="41"/>
      <c r="L11" s="41"/>
      <c r="M11" s="41"/>
      <c r="N11" s="178"/>
    </row>
    <row r="12" spans="1:14" ht="31.5" customHeight="1">
      <c r="A12" s="40"/>
      <c r="B12" s="169"/>
      <c r="C12" s="173" t="s">
        <v>155</v>
      </c>
      <c r="D12" s="41"/>
      <c r="E12" s="41"/>
      <c r="F12" s="41">
        <v>1.22</v>
      </c>
      <c r="G12" s="41"/>
      <c r="H12" s="41"/>
      <c r="I12" s="41"/>
      <c r="J12" s="41"/>
      <c r="K12" s="41"/>
      <c r="L12" s="41"/>
      <c r="M12" s="41"/>
      <c r="N12" s="178"/>
    </row>
    <row r="13" spans="1:14" ht="31.5" customHeight="1">
      <c r="A13" s="179"/>
      <c r="B13" s="179"/>
      <c r="C13" s="173" t="s">
        <v>156</v>
      </c>
      <c r="D13" s="179"/>
      <c r="E13" s="179"/>
      <c r="F13" s="41">
        <v>6.01</v>
      </c>
      <c r="G13" s="179"/>
      <c r="H13" s="179"/>
      <c r="I13" s="179"/>
      <c r="J13" s="179"/>
      <c r="K13" s="179"/>
      <c r="L13" s="179"/>
      <c r="M13" s="179"/>
      <c r="N13" s="179"/>
    </row>
    <row r="14" spans="1:14" ht="31.5" customHeight="1">
      <c r="A14" s="179"/>
      <c r="B14" s="179"/>
      <c r="C14" s="172" t="s">
        <v>157</v>
      </c>
      <c r="D14" s="179"/>
      <c r="E14" s="179"/>
      <c r="F14" s="41">
        <v>2.8</v>
      </c>
      <c r="G14" s="179"/>
      <c r="H14" s="179"/>
      <c r="I14" s="179"/>
      <c r="J14" s="179"/>
      <c r="K14" s="179"/>
      <c r="L14" s="179"/>
      <c r="M14" s="179"/>
      <c r="N14" s="179"/>
    </row>
    <row r="15" spans="1:14" ht="31.5" customHeight="1">
      <c r="A15" s="179"/>
      <c r="B15" s="179"/>
      <c r="C15" s="172" t="s">
        <v>158</v>
      </c>
      <c r="D15" s="179"/>
      <c r="E15" s="179"/>
      <c r="F15" s="41">
        <v>0.04</v>
      </c>
      <c r="G15" s="179"/>
      <c r="H15" s="179"/>
      <c r="I15" s="179"/>
      <c r="J15" s="179"/>
      <c r="K15" s="179"/>
      <c r="L15" s="179"/>
      <c r="M15" s="179"/>
      <c r="N15" s="179"/>
    </row>
    <row r="16" spans="1:14" ht="31.5" customHeight="1">
      <c r="A16" s="179"/>
      <c r="B16" s="179"/>
      <c r="C16" s="172" t="s">
        <v>159</v>
      </c>
      <c r="D16" s="179"/>
      <c r="E16" s="179"/>
      <c r="F16" s="41">
        <v>2.6</v>
      </c>
      <c r="G16" s="179"/>
      <c r="H16" s="179"/>
      <c r="I16" s="179"/>
      <c r="J16" s="179"/>
      <c r="K16" s="179"/>
      <c r="L16" s="179"/>
      <c r="M16" s="179"/>
      <c r="N16" s="179"/>
    </row>
    <row r="17" spans="1:14" ht="31.5" customHeight="1">
      <c r="A17" s="179"/>
      <c r="B17" s="179"/>
      <c r="C17" s="172" t="s">
        <v>160</v>
      </c>
      <c r="D17" s="179"/>
      <c r="E17" s="179"/>
      <c r="F17" s="41">
        <v>0.17</v>
      </c>
      <c r="G17" s="179"/>
      <c r="H17" s="179"/>
      <c r="I17" s="179"/>
      <c r="J17" s="179"/>
      <c r="K17" s="179"/>
      <c r="L17" s="179"/>
      <c r="M17" s="179"/>
      <c r="N17" s="179"/>
    </row>
    <row r="18" spans="1:14" ht="31.5" customHeight="1">
      <c r="A18" s="179"/>
      <c r="B18" s="179"/>
      <c r="C18" s="172" t="s">
        <v>161</v>
      </c>
      <c r="D18" s="179"/>
      <c r="E18" s="179"/>
      <c r="F18" s="41">
        <v>0.18</v>
      </c>
      <c r="G18" s="179"/>
      <c r="H18" s="179"/>
      <c r="I18" s="179"/>
      <c r="J18" s="179"/>
      <c r="K18" s="179"/>
      <c r="L18" s="179"/>
      <c r="M18" s="179"/>
      <c r="N18" s="179"/>
    </row>
    <row r="19" spans="1:14" ht="31.5" customHeight="1">
      <c r="A19" s="179"/>
      <c r="B19" s="179"/>
      <c r="C19" s="172" t="s">
        <v>162</v>
      </c>
      <c r="D19" s="179"/>
      <c r="E19" s="179"/>
      <c r="F19" s="41">
        <v>6.5</v>
      </c>
      <c r="G19" s="179"/>
      <c r="H19" s="179"/>
      <c r="I19" s="179"/>
      <c r="J19" s="179"/>
      <c r="K19" s="179"/>
      <c r="L19" s="179"/>
      <c r="M19" s="179"/>
      <c r="N19" s="179"/>
    </row>
    <row r="20" spans="1:14" ht="31.5" customHeight="1">
      <c r="A20" s="179"/>
      <c r="B20" s="179"/>
      <c r="C20" s="172" t="s">
        <v>163</v>
      </c>
      <c r="D20" s="179"/>
      <c r="E20" s="179"/>
      <c r="F20" s="179">
        <v>2.6</v>
      </c>
      <c r="G20" s="179"/>
      <c r="H20" s="179"/>
      <c r="I20" s="179"/>
      <c r="J20" s="179"/>
      <c r="K20" s="179"/>
      <c r="L20" s="179"/>
      <c r="M20" s="179"/>
      <c r="N20" s="179"/>
    </row>
    <row r="21" spans="1:14" ht="31.5" customHeight="1">
      <c r="A21" s="179"/>
      <c r="B21" s="179"/>
      <c r="C21" s="172" t="s">
        <v>164</v>
      </c>
      <c r="D21" s="179"/>
      <c r="E21" s="179"/>
      <c r="F21" s="41">
        <v>7</v>
      </c>
      <c r="G21" s="179"/>
      <c r="H21" s="179"/>
      <c r="I21" s="179"/>
      <c r="J21" s="179"/>
      <c r="K21" s="179"/>
      <c r="L21" s="179"/>
      <c r="M21" s="179"/>
      <c r="N21" s="179"/>
    </row>
    <row r="22" spans="1:14" ht="31.5" customHeight="1">
      <c r="A22" s="179"/>
      <c r="B22" s="179"/>
      <c r="C22" s="171" t="s">
        <v>165</v>
      </c>
      <c r="D22" s="179"/>
      <c r="E22" s="179"/>
      <c r="F22" s="179"/>
      <c r="G22" s="180">
        <f>SUM(G23)</f>
        <v>4.0999999999999996</v>
      </c>
      <c r="H22" s="179"/>
      <c r="I22" s="179"/>
      <c r="J22" s="179"/>
      <c r="K22" s="179"/>
      <c r="L22" s="179"/>
      <c r="M22" s="179"/>
      <c r="N22" s="179"/>
    </row>
    <row r="23" spans="1:14" ht="31.5" customHeight="1">
      <c r="A23" s="179"/>
      <c r="B23" s="179"/>
      <c r="C23" s="172" t="s">
        <v>166</v>
      </c>
      <c r="D23" s="179"/>
      <c r="E23" s="179"/>
      <c r="F23" s="179"/>
      <c r="G23" s="41">
        <v>4.0999999999999996</v>
      </c>
      <c r="H23" s="179"/>
      <c r="I23" s="179"/>
      <c r="J23" s="179"/>
      <c r="K23" s="179"/>
      <c r="L23" s="179"/>
      <c r="M23" s="179"/>
      <c r="N23" s="179"/>
    </row>
    <row r="24" spans="1:14" ht="31.5" customHeight="1">
      <c r="A24" s="179"/>
      <c r="B24" s="179"/>
      <c r="C24" s="171" t="s">
        <v>167</v>
      </c>
      <c r="D24" s="179"/>
      <c r="E24" s="179"/>
      <c r="F24" s="179"/>
      <c r="G24" s="179"/>
      <c r="H24" s="180">
        <f>SUM(H25:H26)</f>
        <v>10.899999999999999</v>
      </c>
      <c r="I24" s="179"/>
      <c r="J24" s="179"/>
      <c r="K24" s="179"/>
      <c r="L24" s="179"/>
      <c r="M24" s="179"/>
      <c r="N24" s="179"/>
    </row>
    <row r="25" spans="1:14" ht="31.5" customHeight="1">
      <c r="A25" s="179"/>
      <c r="B25" s="179"/>
      <c r="C25" s="172" t="s">
        <v>168</v>
      </c>
      <c r="D25" s="179"/>
      <c r="E25" s="179"/>
      <c r="F25" s="179"/>
      <c r="G25" s="179"/>
      <c r="H25" s="41">
        <v>3.3</v>
      </c>
      <c r="I25" s="179"/>
      <c r="J25" s="179"/>
      <c r="K25" s="179"/>
      <c r="L25" s="179"/>
      <c r="M25" s="179"/>
      <c r="N25" s="179"/>
    </row>
    <row r="26" spans="1:14" ht="31.5" customHeight="1">
      <c r="A26" s="179"/>
      <c r="B26" s="179"/>
      <c r="C26" s="172" t="s">
        <v>173</v>
      </c>
      <c r="D26" s="179"/>
      <c r="E26" s="179"/>
      <c r="F26" s="179"/>
      <c r="G26" s="179"/>
      <c r="H26" s="41">
        <v>7.6</v>
      </c>
      <c r="I26" s="179"/>
      <c r="J26" s="179"/>
      <c r="K26" s="179"/>
      <c r="L26" s="179"/>
      <c r="M26" s="179"/>
      <c r="N26" s="179"/>
    </row>
    <row r="27" spans="1:14" ht="31.5" customHeight="1">
      <c r="A27" s="179"/>
      <c r="B27" s="179"/>
      <c r="C27" s="175" t="s">
        <v>169</v>
      </c>
      <c r="D27" s="179"/>
      <c r="E27" s="179"/>
      <c r="F27" s="179"/>
      <c r="G27" s="179"/>
      <c r="H27" s="179"/>
      <c r="I27" s="179"/>
      <c r="J27" s="179"/>
      <c r="K27" s="179"/>
      <c r="L27" s="179"/>
      <c r="M27" s="179"/>
      <c r="N27" s="179"/>
    </row>
    <row r="28" spans="1:14" ht="31.5" customHeight="1">
      <c r="A28" s="179"/>
      <c r="B28" s="179"/>
      <c r="C28" s="170" t="s">
        <v>170</v>
      </c>
      <c r="D28" s="179"/>
      <c r="E28" s="179"/>
      <c r="F28" s="179"/>
      <c r="G28" s="179"/>
      <c r="H28" s="179"/>
      <c r="I28" s="179"/>
      <c r="J28" s="179">
        <f>SUM(J29:J30)</f>
        <v>51.5</v>
      </c>
      <c r="K28" s="179"/>
      <c r="L28" s="179"/>
      <c r="M28" s="179"/>
      <c r="N28" s="179"/>
    </row>
    <row r="29" spans="1:14" ht="31.5" customHeight="1">
      <c r="A29" s="179"/>
      <c r="B29" s="179"/>
      <c r="C29" s="174" t="s">
        <v>171</v>
      </c>
      <c r="D29" s="179"/>
      <c r="E29" s="179"/>
      <c r="F29" s="179"/>
      <c r="G29" s="179"/>
      <c r="H29" s="179"/>
      <c r="I29" s="179"/>
      <c r="J29" s="179">
        <v>6.5</v>
      </c>
      <c r="K29" s="179"/>
      <c r="L29" s="179"/>
      <c r="M29" s="179"/>
      <c r="N29" s="179"/>
    </row>
    <row r="30" spans="1:14" ht="31.5" customHeight="1">
      <c r="A30" s="179"/>
      <c r="B30" s="179"/>
      <c r="C30" s="172" t="s">
        <v>174</v>
      </c>
      <c r="D30" s="179"/>
      <c r="E30" s="179"/>
      <c r="F30" s="179"/>
      <c r="G30" s="179"/>
      <c r="H30" s="179"/>
      <c r="I30" s="179"/>
      <c r="J30" s="179">
        <v>45</v>
      </c>
      <c r="K30" s="179"/>
      <c r="L30" s="179"/>
      <c r="M30" s="179"/>
      <c r="N30" s="179"/>
    </row>
    <row r="31" spans="1:14" ht="31.5" customHeight="1">
      <c r="A31" s="179"/>
      <c r="B31" s="179"/>
      <c r="C31" s="170" t="s">
        <v>172</v>
      </c>
      <c r="D31" s="179"/>
      <c r="E31" s="179"/>
      <c r="F31" s="179"/>
      <c r="G31" s="179"/>
      <c r="H31" s="179"/>
      <c r="I31" s="179"/>
      <c r="J31" s="179"/>
      <c r="K31" s="179"/>
      <c r="L31" s="179">
        <f>SUM(L32:L35)</f>
        <v>155000</v>
      </c>
      <c r="M31" s="179"/>
      <c r="N31" s="179"/>
    </row>
    <row r="32" spans="1:14" ht="31.5" customHeight="1">
      <c r="A32" s="179"/>
      <c r="B32" s="179"/>
      <c r="C32" s="176" t="s">
        <v>177</v>
      </c>
      <c r="D32" s="179"/>
      <c r="E32" s="179"/>
      <c r="F32" s="179"/>
      <c r="G32" s="179"/>
      <c r="H32" s="179"/>
      <c r="I32" s="179"/>
      <c r="J32" s="179"/>
      <c r="K32" s="179"/>
      <c r="L32" s="179">
        <v>20000</v>
      </c>
      <c r="M32" s="179"/>
      <c r="N32" s="179"/>
    </row>
    <row r="33" spans="1:14" ht="31.5" customHeight="1">
      <c r="A33" s="179"/>
      <c r="B33" s="179"/>
      <c r="C33" s="176" t="s">
        <v>175</v>
      </c>
      <c r="D33" s="179"/>
      <c r="E33" s="179"/>
      <c r="F33" s="179"/>
      <c r="G33" s="179"/>
      <c r="H33" s="179"/>
      <c r="I33" s="179"/>
      <c r="J33" s="179"/>
      <c r="K33" s="179"/>
      <c r="L33" s="179">
        <v>30000</v>
      </c>
      <c r="M33" s="179"/>
      <c r="N33" s="179"/>
    </row>
    <row r="34" spans="1:14" ht="31.5" customHeight="1">
      <c r="A34" s="179"/>
      <c r="B34" s="179"/>
      <c r="C34" s="176" t="s">
        <v>176</v>
      </c>
      <c r="D34" s="179"/>
      <c r="E34" s="179"/>
      <c r="F34" s="179"/>
      <c r="G34" s="179"/>
      <c r="H34" s="179"/>
      <c r="I34" s="179"/>
      <c r="J34" s="179"/>
      <c r="K34" s="179"/>
      <c r="L34" s="179">
        <v>15000</v>
      </c>
      <c r="M34" s="179"/>
      <c r="N34" s="179"/>
    </row>
    <row r="35" spans="1:14" ht="31.5" customHeight="1">
      <c r="A35" s="179"/>
      <c r="B35" s="179"/>
      <c r="C35" s="177" t="s">
        <v>178</v>
      </c>
      <c r="D35" s="179"/>
      <c r="E35" s="179"/>
      <c r="F35" s="179"/>
      <c r="G35" s="179"/>
      <c r="H35" s="179"/>
      <c r="I35" s="179"/>
      <c r="J35" s="179"/>
      <c r="K35" s="179"/>
      <c r="L35" s="179">
        <v>90000</v>
      </c>
      <c r="M35" s="179"/>
      <c r="N35" s="179"/>
    </row>
  </sheetData>
  <mergeCells count="9">
    <mergeCell ref="A3:D3"/>
    <mergeCell ref="M4:M5"/>
    <mergeCell ref="N4:N5"/>
    <mergeCell ref="A4:A5"/>
    <mergeCell ref="B4:B5"/>
    <mergeCell ref="C4:C5"/>
    <mergeCell ref="D4:D5"/>
    <mergeCell ref="E4:H4"/>
    <mergeCell ref="I4:L4"/>
  </mergeCells>
  <phoneticPr fontId="1" type="noConversion"/>
  <pageMargins left="0.70866141732283472" right="0.70866141732283472" top="0.74803149606299213" bottom="0.74803149606299213" header="0.31496062992125984" footer="0.31496062992125984"/>
  <pageSetup paperSize="9" scale="91" orientation="landscape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>
  <sheetPr>
    <pageSetUpPr fitToPage="1"/>
  </sheetPr>
  <dimension ref="A3:Q17"/>
  <sheetViews>
    <sheetView workbookViewId="0">
      <selection activeCell="I9" sqref="I9"/>
    </sheetView>
  </sheetViews>
  <sheetFormatPr defaultRowHeight="13.5"/>
  <cols>
    <col min="1" max="1" width="23.875" style="43" customWidth="1"/>
    <col min="2" max="2" width="27" style="43" customWidth="1"/>
    <col min="3" max="5" width="9" style="43"/>
    <col min="6" max="7" width="10.125" style="43" customWidth="1"/>
    <col min="8" max="8" width="7.875" style="43" customWidth="1"/>
    <col min="9" max="9" width="10.125" style="43" customWidth="1"/>
    <col min="10" max="11" width="9" style="43"/>
    <col min="12" max="12" width="6.875" style="43" customWidth="1"/>
    <col min="13" max="13" width="9" style="43"/>
    <col min="14" max="14" width="7.125" style="43" customWidth="1"/>
    <col min="15" max="15" width="9" style="43"/>
    <col min="16" max="16" width="7.625" style="43" customWidth="1"/>
    <col min="17" max="17" width="7.5" style="43" customWidth="1"/>
    <col min="18" max="16384" width="9" style="43"/>
  </cols>
  <sheetData>
    <row r="3" spans="1:17" ht="25.5">
      <c r="A3" s="118" t="s">
        <v>76</v>
      </c>
      <c r="B3" s="118"/>
      <c r="C3" s="118"/>
      <c r="D3" s="118"/>
      <c r="E3" s="118"/>
      <c r="F3" s="118"/>
      <c r="G3" s="118"/>
      <c r="H3" s="118"/>
      <c r="I3" s="118"/>
      <c r="J3" s="118"/>
      <c r="K3" s="118"/>
      <c r="L3" s="118"/>
      <c r="M3" s="118"/>
      <c r="N3" s="118"/>
      <c r="O3" s="118"/>
      <c r="P3" s="118"/>
      <c r="Q3" s="118"/>
    </row>
    <row r="4" spans="1:17" ht="25.5">
      <c r="A4" s="44" t="s">
        <v>2</v>
      </c>
      <c r="B4" s="45"/>
      <c r="C4" s="45"/>
      <c r="D4" s="45"/>
      <c r="E4" s="45"/>
      <c r="F4" s="46"/>
      <c r="G4" s="46"/>
      <c r="H4" s="46"/>
      <c r="I4" s="46"/>
      <c r="J4" s="46"/>
      <c r="K4" s="46"/>
      <c r="L4" s="46"/>
      <c r="M4" s="46"/>
      <c r="N4" s="119" t="s">
        <v>3</v>
      </c>
      <c r="O4" s="119"/>
      <c r="P4" s="46"/>
      <c r="Q4" s="46"/>
    </row>
    <row r="5" spans="1:17">
      <c r="A5" s="120" t="s">
        <v>77</v>
      </c>
      <c r="B5" s="120" t="s">
        <v>60</v>
      </c>
      <c r="C5" s="123" t="s">
        <v>78</v>
      </c>
      <c r="D5" s="124"/>
      <c r="E5" s="124"/>
      <c r="F5" s="124"/>
      <c r="G5" s="124"/>
      <c r="H5" s="124"/>
      <c r="I5" s="124"/>
      <c r="J5" s="124"/>
      <c r="K5" s="124"/>
      <c r="L5" s="124"/>
      <c r="M5" s="125"/>
      <c r="N5" s="116" t="s">
        <v>79</v>
      </c>
      <c r="O5" s="116" t="s">
        <v>80</v>
      </c>
      <c r="P5" s="116" t="s">
        <v>81</v>
      </c>
      <c r="Q5" s="116" t="s">
        <v>82</v>
      </c>
    </row>
    <row r="6" spans="1:17">
      <c r="A6" s="121"/>
      <c r="B6" s="121"/>
      <c r="C6" s="128" t="s">
        <v>83</v>
      </c>
      <c r="D6" s="129"/>
      <c r="E6" s="129"/>
      <c r="F6" s="129"/>
      <c r="G6" s="129"/>
      <c r="H6" s="129"/>
      <c r="I6" s="129"/>
      <c r="J6" s="129"/>
      <c r="K6" s="130"/>
      <c r="L6" s="114" t="s">
        <v>84</v>
      </c>
      <c r="M6" s="116" t="s">
        <v>85</v>
      </c>
      <c r="N6" s="126"/>
      <c r="O6" s="126"/>
      <c r="P6" s="126"/>
      <c r="Q6" s="126"/>
    </row>
    <row r="7" spans="1:17" ht="54">
      <c r="A7" s="122"/>
      <c r="B7" s="122"/>
      <c r="C7" s="47" t="s">
        <v>75</v>
      </c>
      <c r="D7" s="47" t="s">
        <v>86</v>
      </c>
      <c r="E7" s="47" t="s">
        <v>87</v>
      </c>
      <c r="F7" s="47" t="s">
        <v>88</v>
      </c>
      <c r="G7" s="47" t="s">
        <v>89</v>
      </c>
      <c r="H7" s="47" t="s">
        <v>90</v>
      </c>
      <c r="I7" s="47" t="s">
        <v>91</v>
      </c>
      <c r="J7" s="47" t="s">
        <v>92</v>
      </c>
      <c r="K7" s="47" t="s">
        <v>93</v>
      </c>
      <c r="L7" s="115"/>
      <c r="M7" s="117"/>
      <c r="N7" s="127"/>
      <c r="O7" s="127"/>
      <c r="P7" s="127"/>
      <c r="Q7" s="127"/>
    </row>
    <row r="8" spans="1:17" s="48" customFormat="1">
      <c r="A8" s="47" t="s">
        <v>94</v>
      </c>
      <c r="B8" s="47" t="s">
        <v>94</v>
      </c>
      <c r="C8" s="47">
        <v>3</v>
      </c>
      <c r="D8" s="47">
        <v>4</v>
      </c>
      <c r="E8" s="47">
        <v>5</v>
      </c>
      <c r="F8" s="47">
        <v>6</v>
      </c>
      <c r="G8" s="47">
        <v>7</v>
      </c>
      <c r="H8" s="47">
        <v>8</v>
      </c>
      <c r="I8" s="47">
        <v>9</v>
      </c>
      <c r="J8" s="47">
        <v>10</v>
      </c>
      <c r="K8" s="47">
        <v>11</v>
      </c>
      <c r="L8" s="47">
        <v>12</v>
      </c>
      <c r="M8" s="47">
        <v>13</v>
      </c>
      <c r="N8" s="47">
        <v>14</v>
      </c>
      <c r="O8" s="47">
        <v>15</v>
      </c>
      <c r="P8" s="47">
        <v>16</v>
      </c>
      <c r="Q8" s="47">
        <v>17</v>
      </c>
    </row>
    <row r="9" spans="1:17" s="54" customFormat="1">
      <c r="A9" s="49" t="s">
        <v>147</v>
      </c>
      <c r="B9" s="49" t="s">
        <v>146</v>
      </c>
      <c r="C9" s="50">
        <f>SUM(D9:Q9)</f>
        <v>57.500000000000007</v>
      </c>
      <c r="D9" s="50">
        <v>33.130000000000003</v>
      </c>
      <c r="E9" s="50">
        <v>0</v>
      </c>
      <c r="F9" s="51">
        <v>4.0999999999999996</v>
      </c>
      <c r="G9" s="51">
        <v>1.22</v>
      </c>
      <c r="H9" s="51">
        <v>2.6</v>
      </c>
      <c r="I9" s="51">
        <v>6.5</v>
      </c>
      <c r="J9" s="50">
        <v>2.95</v>
      </c>
      <c r="K9" s="51">
        <v>7</v>
      </c>
      <c r="L9" s="41">
        <v>0</v>
      </c>
      <c r="M9" s="41">
        <v>0</v>
      </c>
      <c r="N9" s="52">
        <v>0</v>
      </c>
      <c r="O9" s="52">
        <v>0</v>
      </c>
      <c r="P9" s="52">
        <v>0</v>
      </c>
      <c r="Q9" s="53"/>
    </row>
    <row r="10" spans="1:17">
      <c r="A10" s="49"/>
      <c r="B10" s="49"/>
      <c r="C10" s="50"/>
      <c r="D10" s="50"/>
      <c r="E10" s="50"/>
      <c r="F10" s="51"/>
      <c r="G10" s="51"/>
      <c r="H10" s="51"/>
      <c r="I10" s="51"/>
      <c r="J10" s="50"/>
      <c r="K10" s="51"/>
      <c r="L10" s="41"/>
      <c r="M10" s="41"/>
      <c r="N10" s="52"/>
      <c r="O10" s="52"/>
      <c r="P10" s="52"/>
      <c r="Q10" s="53"/>
    </row>
    <row r="11" spans="1:17">
      <c r="A11" s="49"/>
      <c r="B11" s="49"/>
      <c r="C11" s="50"/>
      <c r="D11" s="50"/>
      <c r="E11" s="50"/>
      <c r="F11" s="51"/>
      <c r="G11" s="51"/>
      <c r="H11" s="51"/>
      <c r="I11" s="51"/>
      <c r="J11" s="50"/>
      <c r="K11" s="51"/>
      <c r="L11" s="41"/>
      <c r="M11" s="41"/>
      <c r="N11" s="52"/>
      <c r="O11" s="52"/>
      <c r="P11" s="52"/>
      <c r="Q11" s="53"/>
    </row>
    <row r="12" spans="1:17">
      <c r="A12" s="49"/>
      <c r="B12" s="49"/>
      <c r="C12" s="50"/>
      <c r="D12" s="50"/>
      <c r="E12" s="50"/>
      <c r="F12" s="51"/>
      <c r="G12" s="51"/>
      <c r="H12" s="51"/>
      <c r="I12" s="51"/>
      <c r="J12" s="50"/>
      <c r="K12" s="51"/>
      <c r="L12" s="41"/>
      <c r="M12" s="41"/>
      <c r="N12" s="52"/>
      <c r="O12" s="52"/>
      <c r="P12" s="52"/>
      <c r="Q12" s="53"/>
    </row>
    <row r="13" spans="1:17">
      <c r="A13" s="49"/>
      <c r="B13" s="49"/>
      <c r="C13" s="50"/>
      <c r="D13" s="50"/>
      <c r="E13" s="50"/>
      <c r="F13" s="51"/>
      <c r="G13" s="51"/>
      <c r="H13" s="51"/>
      <c r="I13" s="51"/>
      <c r="J13" s="50"/>
      <c r="K13" s="51"/>
      <c r="L13" s="41"/>
      <c r="M13" s="41"/>
      <c r="N13" s="52"/>
      <c r="O13" s="52"/>
      <c r="P13" s="52"/>
      <c r="Q13" s="53"/>
    </row>
    <row r="14" spans="1:17">
      <c r="A14" s="49"/>
      <c r="B14" s="49"/>
      <c r="C14" s="50"/>
      <c r="D14" s="50"/>
      <c r="E14" s="50"/>
      <c r="F14" s="51"/>
      <c r="G14" s="51"/>
      <c r="H14" s="51"/>
      <c r="I14" s="51"/>
      <c r="J14" s="50"/>
      <c r="K14" s="51"/>
      <c r="L14" s="41"/>
      <c r="M14" s="41"/>
      <c r="N14" s="52"/>
      <c r="O14" s="52"/>
      <c r="P14" s="52"/>
      <c r="Q14" s="53"/>
    </row>
    <row r="15" spans="1:17">
      <c r="A15" s="49"/>
      <c r="B15" s="49"/>
      <c r="C15" s="50"/>
      <c r="D15" s="50"/>
      <c r="E15" s="50"/>
      <c r="F15" s="51"/>
      <c r="G15" s="51"/>
      <c r="H15" s="51"/>
      <c r="I15" s="51"/>
      <c r="J15" s="50"/>
      <c r="K15" s="51"/>
      <c r="L15" s="41"/>
      <c r="M15" s="41"/>
      <c r="N15" s="52"/>
      <c r="O15" s="52"/>
      <c r="P15" s="52"/>
      <c r="Q15" s="53"/>
    </row>
    <row r="16" spans="1:17">
      <c r="A16" s="49"/>
      <c r="B16" s="49"/>
      <c r="C16" s="50"/>
      <c r="D16" s="50"/>
      <c r="E16" s="50"/>
      <c r="F16" s="51"/>
      <c r="G16" s="51"/>
      <c r="H16" s="51"/>
      <c r="I16" s="51"/>
      <c r="J16" s="50"/>
      <c r="K16" s="51"/>
      <c r="L16" s="41"/>
      <c r="M16" s="41"/>
      <c r="N16" s="52"/>
      <c r="O16" s="52"/>
      <c r="P16" s="52"/>
      <c r="Q16" s="53"/>
    </row>
    <row r="17" spans="1:17">
      <c r="A17" s="49"/>
      <c r="B17" s="49"/>
      <c r="C17" s="50"/>
      <c r="D17" s="50"/>
      <c r="E17" s="50"/>
      <c r="F17" s="51"/>
      <c r="G17" s="51"/>
      <c r="H17" s="51"/>
      <c r="I17" s="51"/>
      <c r="J17" s="50"/>
      <c r="K17" s="51"/>
      <c r="L17" s="41"/>
      <c r="M17" s="41"/>
      <c r="N17" s="52"/>
      <c r="O17" s="52"/>
      <c r="P17" s="52"/>
      <c r="Q17" s="53"/>
    </row>
  </sheetData>
  <mergeCells count="12">
    <mergeCell ref="L6:L7"/>
    <mergeCell ref="M6:M7"/>
    <mergeCell ref="A3:Q3"/>
    <mergeCell ref="N4:O4"/>
    <mergeCell ref="A5:A7"/>
    <mergeCell ref="B5:B7"/>
    <mergeCell ref="C5:M5"/>
    <mergeCell ref="N5:N7"/>
    <mergeCell ref="O5:O7"/>
    <mergeCell ref="P5:P7"/>
    <mergeCell ref="Q5:Q7"/>
    <mergeCell ref="C6:K6"/>
  </mergeCells>
  <phoneticPr fontId="1" type="noConversion"/>
  <pageMargins left="0.70866141732283472" right="0.70866141732283472" top="0.74803149606299213" bottom="0.74803149606299213" header="0.31496062992125984" footer="0.31496062992125984"/>
  <pageSetup paperSize="9" scale="73" orientation="landscape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>
  <sheetPr>
    <pageSetUpPr fitToPage="1"/>
  </sheetPr>
  <dimension ref="A3:N17"/>
  <sheetViews>
    <sheetView workbookViewId="0">
      <selection activeCell="D11" sqref="D11"/>
    </sheetView>
  </sheetViews>
  <sheetFormatPr defaultColWidth="25.5" defaultRowHeight="13.5"/>
  <cols>
    <col min="1" max="1" width="24.875" style="64" customWidth="1"/>
    <col min="2" max="2" width="22.125" style="64" customWidth="1"/>
    <col min="3" max="4" width="11.375" style="64" customWidth="1"/>
    <col min="5" max="5" width="8.125" style="64" customWidth="1"/>
    <col min="6" max="6" width="11.375" style="64" customWidth="1"/>
    <col min="7" max="7" width="8.125" style="64" customWidth="1"/>
    <col min="8" max="8" width="11.375" style="64" customWidth="1"/>
    <col min="9" max="9" width="7.5" style="64" customWidth="1"/>
    <col min="10" max="10" width="7.75" style="64" customWidth="1"/>
    <col min="11" max="11" width="10.375" style="64" customWidth="1"/>
    <col min="12" max="13" width="11.375" style="64" customWidth="1"/>
    <col min="14" max="14" width="8" style="64" customWidth="1"/>
    <col min="15" max="16384" width="25.5" style="43"/>
  </cols>
  <sheetData>
    <row r="3" spans="1:14" ht="22.5" customHeight="1">
      <c r="A3" s="131" t="s">
        <v>95</v>
      </c>
      <c r="B3" s="131"/>
      <c r="C3" s="131"/>
      <c r="D3" s="131"/>
      <c r="E3" s="131"/>
      <c r="F3" s="131"/>
      <c r="G3" s="131"/>
      <c r="H3" s="131"/>
      <c r="I3" s="131"/>
      <c r="J3" s="131"/>
      <c r="K3" s="131"/>
      <c r="L3" s="131"/>
      <c r="M3" s="131"/>
      <c r="N3" s="131"/>
    </row>
    <row r="4" spans="1:14" ht="27.75" customHeight="1">
      <c r="A4" s="55" t="s">
        <v>2</v>
      </c>
      <c r="B4" s="55"/>
      <c r="C4" s="56"/>
      <c r="D4" s="56"/>
      <c r="E4" s="56"/>
      <c r="F4" s="56"/>
      <c r="G4" s="56"/>
      <c r="H4" s="56"/>
      <c r="I4" s="56"/>
      <c r="J4" s="56"/>
      <c r="K4" s="56"/>
      <c r="L4" s="56"/>
      <c r="M4" s="56" t="s">
        <v>58</v>
      </c>
      <c r="N4" s="56"/>
    </row>
    <row r="5" spans="1:14">
      <c r="A5" s="132" t="s">
        <v>77</v>
      </c>
      <c r="B5" s="132" t="s">
        <v>60</v>
      </c>
      <c r="C5" s="137" t="s">
        <v>96</v>
      </c>
      <c r="D5" s="138"/>
      <c r="E5" s="138"/>
      <c r="F5" s="138"/>
      <c r="G5" s="138"/>
      <c r="H5" s="138"/>
      <c r="I5" s="138"/>
      <c r="J5" s="138"/>
      <c r="K5" s="139" t="s">
        <v>79</v>
      </c>
      <c r="L5" s="139" t="s">
        <v>80</v>
      </c>
      <c r="M5" s="139" t="s">
        <v>81</v>
      </c>
      <c r="N5" s="139" t="s">
        <v>82</v>
      </c>
    </row>
    <row r="6" spans="1:14">
      <c r="A6" s="133"/>
      <c r="B6" s="135"/>
      <c r="C6" s="137"/>
      <c r="D6" s="138"/>
      <c r="E6" s="138"/>
      <c r="F6" s="138"/>
      <c r="G6" s="138"/>
      <c r="H6" s="138"/>
      <c r="I6" s="138"/>
      <c r="J6" s="138"/>
      <c r="K6" s="140"/>
      <c r="L6" s="140"/>
      <c r="M6" s="140"/>
      <c r="N6" s="140"/>
    </row>
    <row r="7" spans="1:14" ht="24">
      <c r="A7" s="134"/>
      <c r="B7" s="136"/>
      <c r="C7" s="57" t="s">
        <v>75</v>
      </c>
      <c r="D7" s="57" t="s">
        <v>97</v>
      </c>
      <c r="E7" s="57" t="s">
        <v>98</v>
      </c>
      <c r="F7" s="57" t="s">
        <v>99</v>
      </c>
      <c r="G7" s="57" t="s">
        <v>100</v>
      </c>
      <c r="H7" s="58" t="s">
        <v>101</v>
      </c>
      <c r="I7" s="58" t="s">
        <v>102</v>
      </c>
      <c r="J7" s="58" t="s">
        <v>103</v>
      </c>
      <c r="K7" s="141"/>
      <c r="L7" s="141"/>
      <c r="M7" s="141"/>
      <c r="N7" s="141"/>
    </row>
    <row r="8" spans="1:14" s="48" customFormat="1">
      <c r="A8" s="59" t="s">
        <v>94</v>
      </c>
      <c r="B8" s="59" t="s">
        <v>94</v>
      </c>
      <c r="C8" s="59">
        <v>11</v>
      </c>
      <c r="D8" s="59">
        <v>12</v>
      </c>
      <c r="E8" s="59">
        <v>13</v>
      </c>
      <c r="F8" s="59">
        <v>14</v>
      </c>
      <c r="G8" s="59">
        <v>15</v>
      </c>
      <c r="H8" s="59">
        <v>16</v>
      </c>
      <c r="I8" s="59">
        <v>17</v>
      </c>
      <c r="J8" s="59">
        <v>18</v>
      </c>
      <c r="K8" s="59">
        <v>19</v>
      </c>
      <c r="L8" s="59">
        <v>20</v>
      </c>
      <c r="M8" s="59">
        <v>21</v>
      </c>
      <c r="N8" s="59">
        <v>22</v>
      </c>
    </row>
    <row r="9" spans="1:14" s="54" customFormat="1">
      <c r="A9" s="60" t="s">
        <v>148</v>
      </c>
      <c r="B9" s="60" t="s">
        <v>149</v>
      </c>
      <c r="C9" s="61">
        <f>SUM(D9:N9)</f>
        <v>310353.3</v>
      </c>
      <c r="D9" s="61">
        <v>3.3</v>
      </c>
      <c r="E9" s="61">
        <v>42.4</v>
      </c>
      <c r="F9" s="61">
        <v>7.6</v>
      </c>
      <c r="G9" s="61"/>
      <c r="H9" s="61"/>
      <c r="I9" s="61"/>
      <c r="J9" s="61"/>
      <c r="K9" s="61">
        <v>310300</v>
      </c>
      <c r="L9" s="62"/>
      <c r="M9" s="62"/>
      <c r="N9" s="63"/>
    </row>
    <row r="10" spans="1:14">
      <c r="A10" s="60"/>
      <c r="B10" s="60"/>
      <c r="C10" s="61"/>
      <c r="D10" s="61"/>
      <c r="E10" s="61"/>
      <c r="F10" s="61"/>
      <c r="G10" s="61"/>
      <c r="H10" s="61"/>
      <c r="I10" s="61"/>
      <c r="J10" s="61"/>
      <c r="K10" s="61"/>
      <c r="L10" s="62"/>
      <c r="M10" s="62"/>
      <c r="N10" s="63"/>
    </row>
    <row r="11" spans="1:14">
      <c r="A11" s="60"/>
      <c r="B11" s="60"/>
      <c r="C11" s="61"/>
      <c r="D11" s="61"/>
      <c r="E11" s="61"/>
      <c r="F11" s="61"/>
      <c r="G11" s="61"/>
      <c r="H11" s="61"/>
      <c r="I11" s="61"/>
      <c r="J11" s="61"/>
      <c r="K11" s="61"/>
      <c r="L11" s="62"/>
      <c r="M11" s="62"/>
      <c r="N11" s="63"/>
    </row>
    <row r="12" spans="1:14">
      <c r="A12" s="60"/>
      <c r="B12" s="60"/>
      <c r="C12" s="61"/>
      <c r="D12" s="61"/>
      <c r="E12" s="61"/>
      <c r="F12" s="61"/>
      <c r="G12" s="61"/>
      <c r="H12" s="61"/>
      <c r="I12" s="61"/>
      <c r="J12" s="61"/>
      <c r="K12" s="61"/>
      <c r="L12" s="62"/>
      <c r="M12" s="62"/>
      <c r="N12" s="63"/>
    </row>
    <row r="13" spans="1:14">
      <c r="A13" s="60"/>
      <c r="B13" s="60"/>
      <c r="C13" s="61"/>
      <c r="D13" s="61"/>
      <c r="E13" s="61"/>
      <c r="F13" s="61"/>
      <c r="G13" s="61"/>
      <c r="H13" s="61"/>
      <c r="I13" s="61"/>
      <c r="J13" s="61"/>
      <c r="K13" s="61"/>
      <c r="L13" s="62"/>
      <c r="M13" s="62"/>
      <c r="N13" s="63"/>
    </row>
    <row r="14" spans="1:14">
      <c r="A14" s="60"/>
      <c r="B14" s="60"/>
      <c r="C14" s="61"/>
      <c r="D14" s="61"/>
      <c r="E14" s="61"/>
      <c r="F14" s="61"/>
      <c r="G14" s="61"/>
      <c r="H14" s="61"/>
      <c r="I14" s="61"/>
      <c r="J14" s="61"/>
      <c r="K14" s="61"/>
      <c r="L14" s="62"/>
      <c r="M14" s="62"/>
      <c r="N14" s="63"/>
    </row>
    <row r="15" spans="1:14">
      <c r="A15" s="60"/>
      <c r="B15" s="60"/>
      <c r="C15" s="61"/>
      <c r="D15" s="61"/>
      <c r="E15" s="61"/>
      <c r="F15" s="61"/>
      <c r="G15" s="61"/>
      <c r="H15" s="61"/>
      <c r="I15" s="61"/>
      <c r="J15" s="61"/>
      <c r="K15" s="61"/>
      <c r="L15" s="62"/>
      <c r="M15" s="62"/>
      <c r="N15" s="63"/>
    </row>
    <row r="16" spans="1:14">
      <c r="A16" s="60"/>
      <c r="B16" s="60"/>
      <c r="C16" s="61"/>
      <c r="D16" s="61"/>
      <c r="E16" s="61"/>
      <c r="F16" s="61"/>
      <c r="G16" s="61"/>
      <c r="H16" s="61"/>
      <c r="I16" s="61"/>
      <c r="J16" s="61"/>
      <c r="K16" s="61"/>
      <c r="L16" s="62"/>
      <c r="M16" s="62"/>
      <c r="N16" s="63"/>
    </row>
    <row r="17" spans="1:14">
      <c r="A17" s="60"/>
      <c r="B17" s="60"/>
      <c r="C17" s="61"/>
      <c r="D17" s="61"/>
      <c r="E17" s="61"/>
      <c r="F17" s="61"/>
      <c r="G17" s="61"/>
      <c r="H17" s="61"/>
      <c r="I17" s="61"/>
      <c r="J17" s="61"/>
      <c r="K17" s="61"/>
      <c r="L17" s="62"/>
      <c r="M17" s="62"/>
      <c r="N17" s="63"/>
    </row>
  </sheetData>
  <mergeCells count="8">
    <mergeCell ref="A3:N3"/>
    <mergeCell ref="A5:A7"/>
    <mergeCell ref="B5:B7"/>
    <mergeCell ref="C5:J6"/>
    <mergeCell ref="K5:K7"/>
    <mergeCell ref="L5:L7"/>
    <mergeCell ref="M5:M7"/>
    <mergeCell ref="N5:N7"/>
  </mergeCells>
  <phoneticPr fontId="1" type="noConversion"/>
  <pageMargins left="0.70866141732283472" right="0.70866141732283472" top="0.74803149606299213" bottom="0.74803149606299213" header="0.31496062992125984" footer="0.31496062992125984"/>
  <pageSetup paperSize="9" scale="81" orientation="landscape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J7"/>
  <sheetViews>
    <sheetView workbookViewId="0">
      <selection activeCell="C9" sqref="C9"/>
    </sheetView>
  </sheetViews>
  <sheetFormatPr defaultRowHeight="13.5"/>
  <cols>
    <col min="1" max="1" width="36" customWidth="1"/>
    <col min="2" max="2" width="35.75" customWidth="1"/>
    <col min="3" max="3" width="15.25" customWidth="1"/>
    <col min="4" max="4" width="10.25" customWidth="1"/>
    <col min="5" max="5" width="12.625" customWidth="1"/>
    <col min="6" max="6" width="12.125" customWidth="1"/>
    <col min="7" max="7" width="5.125" customWidth="1"/>
    <col min="8" max="8" width="6.25" customWidth="1"/>
    <col min="9" max="9" width="5.375" customWidth="1"/>
    <col min="10" max="10" width="10" customWidth="1"/>
  </cols>
  <sheetData>
    <row r="1" spans="1:10" ht="78" customHeight="1">
      <c r="A1" s="142" t="s">
        <v>104</v>
      </c>
      <c r="B1" s="142"/>
      <c r="C1" s="142"/>
      <c r="D1" s="142"/>
      <c r="E1" s="142"/>
      <c r="F1" s="142"/>
      <c r="G1" s="142"/>
      <c r="H1" s="142"/>
      <c r="I1" s="142"/>
      <c r="J1" s="142"/>
    </row>
    <row r="2" spans="1:10" ht="33" customHeight="1">
      <c r="A2" s="65" t="s">
        <v>44</v>
      </c>
      <c r="B2" s="66"/>
      <c r="C2" s="66"/>
      <c r="D2" s="66"/>
      <c r="E2" s="66"/>
      <c r="F2" s="66"/>
      <c r="G2" s="143" t="s">
        <v>3</v>
      </c>
      <c r="H2" s="144"/>
      <c r="I2" s="144"/>
      <c r="J2" s="144"/>
    </row>
    <row r="3" spans="1:10" ht="21" customHeight="1">
      <c r="A3" s="145" t="s">
        <v>105</v>
      </c>
      <c r="B3" s="145" t="s">
        <v>106</v>
      </c>
      <c r="C3" s="146" t="s">
        <v>64</v>
      </c>
      <c r="D3" s="147"/>
      <c r="E3" s="147"/>
      <c r="F3" s="148"/>
      <c r="G3" s="116" t="s">
        <v>79</v>
      </c>
      <c r="H3" s="116" t="s">
        <v>80</v>
      </c>
      <c r="I3" s="116" t="s">
        <v>81</v>
      </c>
      <c r="J3" s="152" t="s">
        <v>82</v>
      </c>
    </row>
    <row r="4" spans="1:10" ht="24" customHeight="1">
      <c r="A4" s="121"/>
      <c r="B4" s="121"/>
      <c r="C4" s="149"/>
      <c r="D4" s="150"/>
      <c r="E4" s="150"/>
      <c r="F4" s="151"/>
      <c r="G4" s="126"/>
      <c r="H4" s="126"/>
      <c r="I4" s="126"/>
      <c r="J4" s="153"/>
    </row>
    <row r="5" spans="1:10" ht="63" customHeight="1">
      <c r="A5" s="122"/>
      <c r="B5" s="122"/>
      <c r="C5" s="67" t="s">
        <v>75</v>
      </c>
      <c r="D5" s="67" t="s">
        <v>71</v>
      </c>
      <c r="E5" s="67" t="s">
        <v>107</v>
      </c>
      <c r="F5" s="67" t="s">
        <v>108</v>
      </c>
      <c r="G5" s="127"/>
      <c r="H5" s="127"/>
      <c r="I5" s="127"/>
      <c r="J5" s="154"/>
    </row>
    <row r="6" spans="1:10" s="69" customFormat="1" ht="24.75" customHeight="1">
      <c r="A6" s="68" t="s">
        <v>94</v>
      </c>
      <c r="B6" s="68" t="s">
        <v>94</v>
      </c>
      <c r="C6" s="68">
        <v>1</v>
      </c>
      <c r="D6" s="68">
        <v>2</v>
      </c>
      <c r="E6" s="68">
        <v>3</v>
      </c>
      <c r="F6" s="68">
        <v>4</v>
      </c>
      <c r="G6" s="68">
        <v>5</v>
      </c>
      <c r="H6" s="68">
        <v>6</v>
      </c>
      <c r="I6" s="68">
        <v>7</v>
      </c>
      <c r="J6" s="68">
        <v>8</v>
      </c>
    </row>
    <row r="7" spans="1:10" s="42" customFormat="1" ht="30" customHeight="1">
      <c r="A7" s="70"/>
      <c r="B7" s="49"/>
      <c r="C7" s="71"/>
      <c r="D7" s="72"/>
      <c r="E7" s="72"/>
      <c r="F7" s="72"/>
      <c r="G7" s="71"/>
      <c r="H7" s="71"/>
      <c r="I7" s="71"/>
      <c r="J7" s="73"/>
    </row>
  </sheetData>
  <mergeCells count="9">
    <mergeCell ref="A1:J1"/>
    <mergeCell ref="G2:J2"/>
    <mergeCell ref="A3:A5"/>
    <mergeCell ref="B3:B5"/>
    <mergeCell ref="C3:F4"/>
    <mergeCell ref="G3:G5"/>
    <mergeCell ref="H3:H5"/>
    <mergeCell ref="I3:I5"/>
    <mergeCell ref="J3:J5"/>
  </mergeCells>
  <phoneticPr fontId="1" type="noConversion"/>
  <pageMargins left="0.70866141732283472" right="0.70866141732283472" top="0.74803149606299213" bottom="0.74803149606299213" header="0.31496062992125984" footer="0.31496062992125984"/>
  <pageSetup paperSize="9" scale="89" orientation="landscape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J16"/>
  <sheetViews>
    <sheetView workbookViewId="0">
      <selection activeCell="C11" sqref="C11"/>
    </sheetView>
  </sheetViews>
  <sheetFormatPr defaultRowHeight="13.5"/>
  <cols>
    <col min="1" max="1" width="36" customWidth="1"/>
    <col min="2" max="2" width="35.75" customWidth="1"/>
    <col min="3" max="3" width="15.25" customWidth="1"/>
    <col min="4" max="4" width="10.25" customWidth="1"/>
    <col min="5" max="5" width="12.625" customWidth="1"/>
    <col min="6" max="6" width="12.125" customWidth="1"/>
    <col min="7" max="7" width="5.125" customWidth="1"/>
    <col min="8" max="8" width="6.25" customWidth="1"/>
    <col min="9" max="9" width="5.375" customWidth="1"/>
    <col min="10" max="10" width="10" customWidth="1"/>
  </cols>
  <sheetData>
    <row r="1" spans="1:10" ht="66" customHeight="1">
      <c r="A1" s="142" t="s">
        <v>109</v>
      </c>
      <c r="B1" s="142"/>
      <c r="C1" s="142"/>
      <c r="D1" s="142"/>
      <c r="E1" s="142"/>
      <c r="F1" s="142"/>
      <c r="G1" s="142"/>
      <c r="H1" s="142"/>
      <c r="I1" s="142"/>
      <c r="J1" s="142"/>
    </row>
    <row r="2" spans="1:10" ht="30" customHeight="1">
      <c r="A2" s="65" t="s">
        <v>2</v>
      </c>
      <c r="B2" s="66"/>
      <c r="C2" s="66"/>
      <c r="D2" s="66"/>
      <c r="E2" s="66"/>
      <c r="F2" s="143" t="s">
        <v>3</v>
      </c>
      <c r="G2" s="143"/>
      <c r="H2" s="143"/>
      <c r="I2" s="66"/>
      <c r="J2" s="66"/>
    </row>
    <row r="3" spans="1:10" ht="21" customHeight="1">
      <c r="A3" s="145" t="s">
        <v>105</v>
      </c>
      <c r="B3" s="145" t="s">
        <v>106</v>
      </c>
      <c r="C3" s="146" t="s">
        <v>64</v>
      </c>
      <c r="D3" s="147"/>
      <c r="E3" s="147"/>
      <c r="F3" s="148"/>
      <c r="G3" s="116" t="s">
        <v>79</v>
      </c>
      <c r="H3" s="116" t="s">
        <v>80</v>
      </c>
      <c r="I3" s="116" t="s">
        <v>81</v>
      </c>
      <c r="J3" s="152" t="s">
        <v>82</v>
      </c>
    </row>
    <row r="4" spans="1:10" ht="12" customHeight="1">
      <c r="A4" s="121"/>
      <c r="B4" s="121"/>
      <c r="C4" s="149"/>
      <c r="D4" s="150"/>
      <c r="E4" s="150"/>
      <c r="F4" s="151"/>
      <c r="G4" s="126"/>
      <c r="H4" s="126"/>
      <c r="I4" s="126"/>
      <c r="J4" s="153"/>
    </row>
    <row r="5" spans="1:10" ht="38.25" customHeight="1">
      <c r="A5" s="122"/>
      <c r="B5" s="122"/>
      <c r="C5" s="67" t="s">
        <v>75</v>
      </c>
      <c r="D5" s="67" t="s">
        <v>71</v>
      </c>
      <c r="E5" s="67" t="s">
        <v>107</v>
      </c>
      <c r="F5" s="67" t="s">
        <v>108</v>
      </c>
      <c r="G5" s="127"/>
      <c r="H5" s="127"/>
      <c r="I5" s="127"/>
      <c r="J5" s="154"/>
    </row>
    <row r="6" spans="1:10" s="69" customFormat="1" ht="13.5" customHeight="1">
      <c r="A6" s="68" t="s">
        <v>94</v>
      </c>
      <c r="B6" s="68" t="s">
        <v>94</v>
      </c>
      <c r="C6" s="68">
        <v>1</v>
      </c>
      <c r="D6" s="68">
        <v>2</v>
      </c>
      <c r="E6" s="68">
        <v>3</v>
      </c>
      <c r="F6" s="68">
        <v>4</v>
      </c>
      <c r="G6" s="68">
        <v>5</v>
      </c>
      <c r="H6" s="68">
        <v>6</v>
      </c>
      <c r="I6" s="68">
        <v>7</v>
      </c>
      <c r="J6" s="68">
        <v>8</v>
      </c>
    </row>
    <row r="7" spans="1:10" s="42" customFormat="1" ht="30" customHeight="1">
      <c r="A7" s="49" t="s">
        <v>147</v>
      </c>
      <c r="B7" s="49" t="s">
        <v>149</v>
      </c>
      <c r="C7" s="71">
        <f>SUM(D7:J7)</f>
        <v>50</v>
      </c>
      <c r="D7" s="72">
        <v>50</v>
      </c>
      <c r="E7" s="72"/>
      <c r="F7" s="72"/>
      <c r="G7" s="71"/>
      <c r="H7" s="71"/>
      <c r="I7" s="71"/>
      <c r="J7" s="73"/>
    </row>
    <row r="8" spans="1:10" ht="30" customHeight="1">
      <c r="A8" s="49" t="s">
        <v>147</v>
      </c>
      <c r="B8" s="49" t="s">
        <v>149</v>
      </c>
      <c r="C8" s="71">
        <f>SUM(D8:J8)</f>
        <v>310300</v>
      </c>
      <c r="D8" s="72"/>
      <c r="E8" s="72"/>
      <c r="F8" s="72">
        <v>310300</v>
      </c>
      <c r="G8" s="71"/>
      <c r="H8" s="71"/>
      <c r="I8" s="71"/>
      <c r="J8" s="73"/>
    </row>
    <row r="9" spans="1:10" ht="30" customHeight="1">
      <c r="A9" s="70"/>
      <c r="B9" s="49"/>
      <c r="C9" s="71"/>
      <c r="D9" s="72"/>
      <c r="E9" s="72"/>
      <c r="F9" s="72"/>
      <c r="G9" s="71"/>
      <c r="H9" s="71"/>
      <c r="I9" s="71"/>
      <c r="J9" s="73"/>
    </row>
    <row r="10" spans="1:10" ht="30" customHeight="1">
      <c r="A10" s="70"/>
      <c r="B10" s="49"/>
      <c r="C10" s="71"/>
      <c r="D10" s="72"/>
      <c r="E10" s="72"/>
      <c r="F10" s="72"/>
      <c r="G10" s="71"/>
      <c r="H10" s="71"/>
      <c r="I10" s="71"/>
      <c r="J10" s="73"/>
    </row>
    <row r="11" spans="1:10" ht="30" customHeight="1">
      <c r="A11" s="70"/>
      <c r="B11" s="49"/>
      <c r="C11" s="71"/>
      <c r="D11" s="72"/>
      <c r="E11" s="72"/>
      <c r="F11" s="72"/>
      <c r="G11" s="71"/>
      <c r="H11" s="71"/>
      <c r="I11" s="71"/>
      <c r="J11" s="73"/>
    </row>
    <row r="12" spans="1:10" ht="30" customHeight="1">
      <c r="A12" s="70"/>
      <c r="B12" s="49"/>
      <c r="C12" s="71"/>
      <c r="D12" s="72"/>
      <c r="E12" s="72"/>
      <c r="F12" s="72"/>
      <c r="G12" s="71"/>
      <c r="H12" s="71"/>
      <c r="I12" s="71"/>
      <c r="J12" s="73"/>
    </row>
    <row r="13" spans="1:10" ht="30" customHeight="1">
      <c r="A13" s="70"/>
      <c r="B13" s="49"/>
      <c r="C13" s="71"/>
      <c r="D13" s="72"/>
      <c r="E13" s="72"/>
      <c r="F13" s="72"/>
      <c r="G13" s="71"/>
      <c r="H13" s="71"/>
      <c r="I13" s="71"/>
      <c r="J13" s="73"/>
    </row>
    <row r="14" spans="1:10" ht="30" customHeight="1">
      <c r="A14" s="70"/>
      <c r="B14" s="49" t="s">
        <v>150</v>
      </c>
      <c r="C14" s="71">
        <f>SUM(C7:C13)</f>
        <v>310350</v>
      </c>
      <c r="D14" s="72"/>
      <c r="E14" s="72"/>
      <c r="F14" s="72"/>
      <c r="G14" s="71"/>
      <c r="H14" s="71"/>
      <c r="I14" s="71"/>
      <c r="J14" s="73"/>
    </row>
    <row r="15" spans="1:10" ht="30" customHeight="1"/>
    <row r="16" spans="1:10" ht="30" customHeight="1"/>
  </sheetData>
  <mergeCells count="9">
    <mergeCell ref="A1:J1"/>
    <mergeCell ref="F2:H2"/>
    <mergeCell ref="A3:A5"/>
    <mergeCell ref="B3:B5"/>
    <mergeCell ref="C3:F4"/>
    <mergeCell ref="G3:G5"/>
    <mergeCell ref="H3:H5"/>
    <mergeCell ref="I3:I5"/>
    <mergeCell ref="J3:J5"/>
  </mergeCells>
  <phoneticPr fontId="1" type="noConversion"/>
  <pageMargins left="0.70866141732283472" right="0.70866141732283472" top="0.74803149606299213" bottom="0.74803149606299213" header="0.31496062992125984" footer="0.31496062992125984"/>
  <pageSetup paperSize="9" scale="89" orientation="landscape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W9"/>
  <sheetViews>
    <sheetView topLeftCell="C1" workbookViewId="0">
      <selection activeCell="M9" sqref="M9"/>
    </sheetView>
  </sheetViews>
  <sheetFormatPr defaultColWidth="7" defaultRowHeight="11.25"/>
  <cols>
    <col min="1" max="23" width="8.125" style="74" customWidth="1"/>
    <col min="24" max="16384" width="7" style="74"/>
  </cols>
  <sheetData>
    <row r="1" spans="1:23" ht="27" customHeight="1">
      <c r="W1" s="75"/>
    </row>
    <row r="2" spans="1:23" ht="50.25" customHeight="1">
      <c r="A2" s="155" t="s">
        <v>110</v>
      </c>
      <c r="B2" s="155"/>
      <c r="C2" s="155"/>
      <c r="D2" s="155"/>
      <c r="E2" s="155"/>
      <c r="F2" s="155"/>
      <c r="G2" s="155"/>
      <c r="H2" s="155"/>
      <c r="I2" s="155"/>
      <c r="J2" s="155"/>
      <c r="K2" s="155"/>
      <c r="L2" s="155"/>
      <c r="M2" s="155"/>
      <c r="N2" s="155"/>
      <c r="O2" s="155"/>
      <c r="P2" s="155"/>
      <c r="Q2" s="155"/>
      <c r="R2" s="155"/>
      <c r="S2" s="155"/>
      <c r="T2" s="155"/>
      <c r="U2" s="155"/>
      <c r="V2" s="155"/>
      <c r="W2" s="155"/>
    </row>
    <row r="3" spans="1:23" ht="18" customHeight="1">
      <c r="A3" s="156" t="s">
        <v>111</v>
      </c>
      <c r="B3" s="156"/>
      <c r="C3" s="156"/>
      <c r="D3" s="156"/>
      <c r="V3" s="75"/>
      <c r="W3" s="75" t="s">
        <v>45</v>
      </c>
    </row>
    <row r="4" spans="1:23" ht="33.75" customHeight="1">
      <c r="A4" s="157" t="s">
        <v>112</v>
      </c>
      <c r="B4" s="157" t="s">
        <v>113</v>
      </c>
      <c r="C4" s="160" t="s">
        <v>114</v>
      </c>
      <c r="D4" s="160"/>
      <c r="E4" s="160"/>
      <c r="F4" s="160"/>
      <c r="G4" s="160"/>
      <c r="H4" s="161" t="s">
        <v>115</v>
      </c>
      <c r="I4" s="161" t="s">
        <v>116</v>
      </c>
      <c r="J4" s="161" t="s">
        <v>117</v>
      </c>
      <c r="K4" s="161" t="s">
        <v>118</v>
      </c>
      <c r="L4" s="161" t="s">
        <v>119</v>
      </c>
      <c r="M4" s="76" t="s">
        <v>120</v>
      </c>
      <c r="N4" s="76"/>
      <c r="O4" s="76"/>
      <c r="P4" s="76"/>
      <c r="Q4" s="76"/>
      <c r="R4" s="76"/>
      <c r="S4" s="76"/>
      <c r="T4" s="76"/>
      <c r="U4" s="76"/>
      <c r="V4" s="76"/>
      <c r="W4" s="77"/>
    </row>
    <row r="5" spans="1:23" ht="20.25" customHeight="1">
      <c r="A5" s="158"/>
      <c r="B5" s="158"/>
      <c r="C5" s="160" t="s">
        <v>121</v>
      </c>
      <c r="D5" s="160" t="s">
        <v>122</v>
      </c>
      <c r="E5" s="160" t="s">
        <v>123</v>
      </c>
      <c r="F5" s="160" t="s">
        <v>124</v>
      </c>
      <c r="G5" s="160"/>
      <c r="H5" s="162"/>
      <c r="I5" s="162"/>
      <c r="J5" s="162"/>
      <c r="K5" s="162"/>
      <c r="L5" s="162"/>
      <c r="M5" s="160" t="s">
        <v>46</v>
      </c>
      <c r="N5" s="164" t="s">
        <v>47</v>
      </c>
      <c r="O5" s="165"/>
      <c r="P5" s="166"/>
      <c r="Q5" s="161" t="s">
        <v>55</v>
      </c>
      <c r="R5" s="160" t="s">
        <v>49</v>
      </c>
      <c r="S5" s="160" t="s">
        <v>50</v>
      </c>
      <c r="T5" s="160" t="s">
        <v>51</v>
      </c>
      <c r="U5" s="160" t="s">
        <v>52</v>
      </c>
      <c r="V5" s="160" t="s">
        <v>125</v>
      </c>
      <c r="W5" s="161" t="s">
        <v>126</v>
      </c>
    </row>
    <row r="6" spans="1:23" ht="24.75" customHeight="1">
      <c r="A6" s="158"/>
      <c r="B6" s="158"/>
      <c r="C6" s="160"/>
      <c r="D6" s="160"/>
      <c r="E6" s="160"/>
      <c r="F6" s="160" t="s">
        <v>127</v>
      </c>
      <c r="G6" s="160" t="s">
        <v>128</v>
      </c>
      <c r="H6" s="162"/>
      <c r="I6" s="162"/>
      <c r="J6" s="162"/>
      <c r="K6" s="162"/>
      <c r="L6" s="162"/>
      <c r="M6" s="160"/>
      <c r="N6" s="160" t="s">
        <v>129</v>
      </c>
      <c r="O6" s="161" t="s">
        <v>130</v>
      </c>
      <c r="P6" s="161" t="s">
        <v>131</v>
      </c>
      <c r="Q6" s="162"/>
      <c r="R6" s="160"/>
      <c r="S6" s="160"/>
      <c r="T6" s="160"/>
      <c r="U6" s="160"/>
      <c r="V6" s="160"/>
      <c r="W6" s="162"/>
    </row>
    <row r="7" spans="1:23" ht="28.5" customHeight="1">
      <c r="A7" s="159"/>
      <c r="B7" s="159"/>
      <c r="C7" s="160"/>
      <c r="D7" s="160"/>
      <c r="E7" s="160"/>
      <c r="F7" s="160"/>
      <c r="G7" s="160"/>
      <c r="H7" s="163"/>
      <c r="I7" s="163"/>
      <c r="J7" s="163"/>
      <c r="K7" s="163"/>
      <c r="L7" s="163"/>
      <c r="M7" s="160"/>
      <c r="N7" s="160"/>
      <c r="O7" s="163"/>
      <c r="P7" s="163"/>
      <c r="Q7" s="163"/>
      <c r="R7" s="160"/>
      <c r="S7" s="160"/>
      <c r="T7" s="160"/>
      <c r="U7" s="160"/>
      <c r="V7" s="160"/>
      <c r="W7" s="163"/>
    </row>
    <row r="8" spans="1:23" ht="18" customHeight="1">
      <c r="A8" s="78" t="s">
        <v>132</v>
      </c>
      <c r="B8" s="78" t="s">
        <v>132</v>
      </c>
      <c r="C8" s="78" t="s">
        <v>132</v>
      </c>
      <c r="D8" s="78" t="s">
        <v>132</v>
      </c>
      <c r="E8" s="78" t="s">
        <v>132</v>
      </c>
      <c r="F8" s="78" t="s">
        <v>132</v>
      </c>
      <c r="G8" s="78" t="s">
        <v>132</v>
      </c>
      <c r="H8" s="78" t="s">
        <v>132</v>
      </c>
      <c r="I8" s="78" t="s">
        <v>132</v>
      </c>
      <c r="J8" s="78" t="s">
        <v>132</v>
      </c>
      <c r="K8" s="78" t="s">
        <v>132</v>
      </c>
      <c r="L8" s="78" t="s">
        <v>132</v>
      </c>
      <c r="M8" s="79">
        <v>1</v>
      </c>
      <c r="N8" s="79">
        <v>2</v>
      </c>
      <c r="O8" s="79">
        <v>3</v>
      </c>
      <c r="P8" s="79">
        <v>4</v>
      </c>
      <c r="Q8" s="79">
        <v>5</v>
      </c>
      <c r="R8" s="79">
        <v>6</v>
      </c>
      <c r="S8" s="79">
        <v>7</v>
      </c>
      <c r="T8" s="79">
        <v>8</v>
      </c>
      <c r="U8" s="79">
        <v>9</v>
      </c>
      <c r="V8" s="79">
        <v>10</v>
      </c>
      <c r="W8" s="79">
        <v>11</v>
      </c>
    </row>
    <row r="9" spans="1:23" s="85" customFormat="1" ht="45.75" customHeight="1">
      <c r="A9" s="80"/>
      <c r="B9" s="80"/>
      <c r="C9" s="81"/>
      <c r="D9" s="81"/>
      <c r="E9" s="81" t="s">
        <v>133</v>
      </c>
      <c r="F9" s="81" t="s">
        <v>133</v>
      </c>
      <c r="G9" s="81" t="s">
        <v>133</v>
      </c>
      <c r="H9" s="81" t="s">
        <v>133</v>
      </c>
      <c r="I9" s="81" t="s">
        <v>133</v>
      </c>
      <c r="J9" s="81"/>
      <c r="K9" s="81" t="s">
        <v>133</v>
      </c>
      <c r="L9" s="81" t="s">
        <v>133</v>
      </c>
      <c r="M9" s="82" t="s">
        <v>62</v>
      </c>
      <c r="N9" s="83"/>
      <c r="O9" s="83"/>
      <c r="P9" s="83"/>
      <c r="Q9" s="83"/>
      <c r="R9" s="83"/>
      <c r="S9" s="83"/>
      <c r="T9" s="83"/>
      <c r="U9" s="83"/>
      <c r="V9" s="84" t="s">
        <v>133</v>
      </c>
      <c r="W9" s="84" t="s">
        <v>133</v>
      </c>
    </row>
  </sheetData>
  <mergeCells count="28">
    <mergeCell ref="V5:V7"/>
    <mergeCell ref="N5:P5"/>
    <mergeCell ref="Q5:Q7"/>
    <mergeCell ref="R5:R7"/>
    <mergeCell ref="S5:S7"/>
    <mergeCell ref="T5:T7"/>
    <mergeCell ref="U5:U7"/>
    <mergeCell ref="F6:F7"/>
    <mergeCell ref="G6:G7"/>
    <mergeCell ref="N6:N7"/>
    <mergeCell ref="O6:O7"/>
    <mergeCell ref="P6:P7"/>
    <mergeCell ref="A2:W2"/>
    <mergeCell ref="A3:D3"/>
    <mergeCell ref="A4:A7"/>
    <mergeCell ref="B4:B7"/>
    <mergeCell ref="C4:G4"/>
    <mergeCell ref="H4:H7"/>
    <mergeCell ref="I4:I7"/>
    <mergeCell ref="J4:J7"/>
    <mergeCell ref="K4:K7"/>
    <mergeCell ref="L4:L7"/>
    <mergeCell ref="C5:C7"/>
    <mergeCell ref="D5:D7"/>
    <mergeCell ref="E5:E7"/>
    <mergeCell ref="F5:G5"/>
    <mergeCell ref="M5:M7"/>
    <mergeCell ref="W5:W7"/>
  </mergeCells>
  <phoneticPr fontId="1" type="noConversion"/>
  <pageMargins left="0.70866141732283472" right="0.70866141732283472" top="0.74803149606299213" bottom="0.74803149606299213" header="0.31496062992125984" footer="0.31496062992125984"/>
  <pageSetup paperSize="9" scale="71" orientation="landscape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10"/>
  <sheetViews>
    <sheetView tabSelected="1" workbookViewId="0">
      <selection activeCell="B10" sqref="B10"/>
    </sheetView>
  </sheetViews>
  <sheetFormatPr defaultRowHeight="13.5"/>
  <cols>
    <col min="1" max="1" width="66.625" customWidth="1"/>
    <col min="2" max="2" width="66.625" style="69" customWidth="1"/>
  </cols>
  <sheetData>
    <row r="1" spans="1:6" ht="30" customHeight="1">
      <c r="A1" s="86"/>
      <c r="B1" s="87"/>
      <c r="C1" s="88"/>
      <c r="D1" s="88"/>
      <c r="E1" s="88"/>
      <c r="F1" s="88"/>
    </row>
    <row r="2" spans="1:6" ht="30" customHeight="1">
      <c r="A2" s="167" t="s">
        <v>134</v>
      </c>
      <c r="B2" s="167"/>
      <c r="C2" s="89"/>
      <c r="D2" s="90"/>
      <c r="E2" s="90"/>
      <c r="F2" s="90"/>
    </row>
    <row r="3" spans="1:6" ht="30" customHeight="1">
      <c r="A3" s="96" t="s">
        <v>135</v>
      </c>
      <c r="B3" s="95" t="s">
        <v>58</v>
      </c>
      <c r="C3" s="91"/>
      <c r="D3" s="91"/>
      <c r="E3" s="91"/>
      <c r="F3" s="91"/>
    </row>
    <row r="4" spans="1:6" ht="30" customHeight="1">
      <c r="A4" s="97" t="s">
        <v>136</v>
      </c>
      <c r="B4" s="97" t="s">
        <v>137</v>
      </c>
      <c r="C4" s="88"/>
      <c r="D4" s="88"/>
      <c r="E4" s="88"/>
      <c r="F4" s="88"/>
    </row>
    <row r="5" spans="1:6" ht="30" customHeight="1">
      <c r="A5" s="92" t="s">
        <v>75</v>
      </c>
      <c r="B5" s="92"/>
      <c r="C5" s="88"/>
      <c r="D5" s="88"/>
      <c r="E5" s="88"/>
      <c r="F5" s="88"/>
    </row>
    <row r="6" spans="1:6" ht="30" customHeight="1">
      <c r="A6" s="93" t="s">
        <v>138</v>
      </c>
      <c r="B6" s="92"/>
      <c r="C6" s="88"/>
      <c r="D6" s="88"/>
      <c r="E6" s="88"/>
      <c r="F6" s="94"/>
    </row>
    <row r="7" spans="1:6" ht="30" customHeight="1">
      <c r="A7" s="93" t="s">
        <v>139</v>
      </c>
      <c r="B7" s="92"/>
      <c r="C7" s="88"/>
      <c r="D7" s="88"/>
      <c r="E7" s="88"/>
      <c r="F7" s="88"/>
    </row>
    <row r="8" spans="1:6" ht="30" customHeight="1">
      <c r="A8" s="93" t="s">
        <v>140</v>
      </c>
      <c r="B8" s="92"/>
      <c r="C8" s="88"/>
      <c r="D8" s="88"/>
      <c r="E8" s="88"/>
      <c r="F8" s="88"/>
    </row>
    <row r="9" spans="1:6" ht="30" customHeight="1">
      <c r="A9" s="98" t="s">
        <v>141</v>
      </c>
      <c r="B9" s="92"/>
      <c r="C9" s="88"/>
      <c r="D9" s="88"/>
      <c r="E9" s="88"/>
      <c r="F9" s="88"/>
    </row>
    <row r="10" spans="1:6" ht="30" customHeight="1">
      <c r="A10" s="98" t="s">
        <v>142</v>
      </c>
      <c r="B10" s="92"/>
      <c r="C10" s="88"/>
      <c r="D10" s="88"/>
      <c r="E10" s="88"/>
      <c r="F10" s="88"/>
    </row>
  </sheetData>
  <mergeCells count="1">
    <mergeCell ref="A2:B2"/>
  </mergeCells>
  <phoneticPr fontId="1" type="noConversion"/>
  <pageMargins left="0.70866141732283472" right="0.70866141732283472" top="0.74803149606299213" bottom="0.74803149606299213" header="0.31496062992125984" footer="0.31496062992125984"/>
  <pageSetup paperSize="9" orientation="landscape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封面</vt:lpstr>
      <vt:lpstr>收支预算</vt:lpstr>
      <vt:lpstr>收入预算</vt:lpstr>
      <vt:lpstr>支出预算</vt:lpstr>
      <vt:lpstr>人员经费</vt:lpstr>
      <vt:lpstr>公用经费</vt:lpstr>
      <vt:lpstr>对个人和家庭补助</vt:lpstr>
      <vt:lpstr>项目支出</vt:lpstr>
      <vt:lpstr>政府采购</vt:lpstr>
      <vt:lpstr>三公经费</vt:lpstr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2016-05-25T03:02:26Z</dcterms:modified>
</cp:coreProperties>
</file>