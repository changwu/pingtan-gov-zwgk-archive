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495" windowHeight="10575" tabRatio="792" firstSheet="3" activeTab="3"/>
  </bookViews>
  <sheets>
    <sheet name="网信办-专项业务费" sheetId="1" state="hidden" r:id="rId1"/>
    <sheet name="互联网中心-专项业务费" sheetId="2" state="hidden" r:id="rId2"/>
    <sheet name="未成中心-专项业务费" sheetId="3" state="hidden" r:id="rId3"/>
    <sheet name="传媒中心(办公用房及电视台高清改造项目）" sheetId="4" r:id="rId4"/>
    <sheet name="传媒中心(融媒体中心建设）" sheetId="5" r:id="rId5"/>
    <sheet name="问政平潭专项经费" sheetId="6" r:id="rId6"/>
    <sheet name="电视台一次性补助" sheetId="7" r:id="rId7"/>
    <sheet name="时报社一次性补助" sheetId="8" r:id="rId8"/>
  </sheets>
  <calcPr calcId="144525"/>
</workbook>
</file>

<file path=xl/sharedStrings.xml><?xml version="1.0" encoding="utf-8"?>
<sst xmlns="http://schemas.openxmlformats.org/spreadsheetml/2006/main" count="260">
  <si>
    <t>附件8</t>
  </si>
  <si>
    <t>2018年财政支出项目绩效自评表</t>
  </si>
  <si>
    <r>
      <rPr>
        <sz val="12"/>
        <rFont val="宋体"/>
        <charset val="134"/>
      </rPr>
      <t>（</t>
    </r>
    <r>
      <rPr>
        <sz val="12"/>
        <rFont val="Times New Roman"/>
        <charset val="0"/>
      </rPr>
      <t xml:space="preserve">  2018  </t>
    </r>
    <r>
      <rPr>
        <sz val="12"/>
        <rFont val="宋体"/>
        <charset val="134"/>
      </rPr>
      <t>年度）</t>
    </r>
  </si>
  <si>
    <t>项目名称</t>
  </si>
  <si>
    <t>专项业务费</t>
  </si>
  <si>
    <t>主管部门及部门预算编码</t>
  </si>
  <si>
    <t xml:space="preserve">财政资金安排和使用情况 </t>
  </si>
  <si>
    <t>资金结构
（万元）</t>
  </si>
  <si>
    <t>财政支出项目预算安排、支出情况</t>
  </si>
  <si>
    <t>项目单位实际支出情况（汇总全区项目单位情况）</t>
  </si>
  <si>
    <t>年初部门预算安排金额（含历年结余结转）①</t>
  </si>
  <si>
    <t>年中调整金额
②</t>
  </si>
  <si>
    <t>年度拨付金额③</t>
  </si>
  <si>
    <t>本年度结余金额④=①+②-③</t>
  </si>
  <si>
    <t>实际到位金额
⑤</t>
  </si>
  <si>
    <t>实际支出金额
⑥</t>
  </si>
  <si>
    <t>本年度结余金额⑦</t>
  </si>
  <si>
    <t>结余率（%）
⑧=⑦/⑤</t>
  </si>
  <si>
    <t>财政资金小计</t>
  </si>
  <si>
    <r>
      <rPr>
        <sz val="9"/>
        <rFont val="宋体"/>
        <charset val="134"/>
      </rPr>
      <t xml:space="preserve"> </t>
    </r>
    <r>
      <rPr>
        <sz val="9"/>
        <rFont val="宋体"/>
        <charset val="134"/>
      </rPr>
      <t xml:space="preserve">   </t>
    </r>
    <r>
      <rPr>
        <sz val="9"/>
        <rFont val="宋体"/>
        <charset val="134"/>
      </rPr>
      <t>①</t>
    </r>
    <r>
      <rPr>
        <sz val="9"/>
        <rFont val="宋体"/>
        <charset val="134"/>
      </rPr>
      <t>中央财政资金</t>
    </r>
  </si>
  <si>
    <r>
      <rPr>
        <sz val="9"/>
        <rFont val="宋体"/>
        <charset val="134"/>
      </rPr>
      <t xml:space="preserve">    </t>
    </r>
    <r>
      <rPr>
        <sz val="9"/>
        <rFont val="宋体"/>
        <charset val="134"/>
      </rPr>
      <t>②</t>
    </r>
    <r>
      <rPr>
        <sz val="9"/>
        <rFont val="宋体"/>
        <charset val="134"/>
      </rPr>
      <t>省级财政资金</t>
    </r>
  </si>
  <si>
    <r>
      <rPr>
        <sz val="9"/>
        <rFont val="宋体"/>
        <charset val="134"/>
      </rPr>
      <t xml:space="preserve"> </t>
    </r>
    <r>
      <rPr>
        <sz val="9"/>
        <rFont val="宋体"/>
        <charset val="134"/>
      </rPr>
      <t xml:space="preserve">   </t>
    </r>
    <r>
      <rPr>
        <sz val="9"/>
        <rFont val="宋体"/>
        <charset val="134"/>
      </rPr>
      <t>③</t>
    </r>
    <r>
      <rPr>
        <sz val="9"/>
        <rFont val="宋体"/>
        <charset val="134"/>
      </rPr>
      <t>地方财政资金</t>
    </r>
  </si>
  <si>
    <t>其他资金小计</t>
  </si>
  <si>
    <r>
      <rPr>
        <sz val="9"/>
        <rFont val="宋体"/>
        <charset val="134"/>
      </rPr>
      <t xml:space="preserve"> </t>
    </r>
    <r>
      <rPr>
        <sz val="9"/>
        <rFont val="宋体"/>
        <charset val="134"/>
      </rPr>
      <t xml:space="preserve">   </t>
    </r>
    <r>
      <rPr>
        <sz val="9"/>
        <rFont val="宋体"/>
        <charset val="134"/>
      </rPr>
      <t>①……</t>
    </r>
  </si>
  <si>
    <t>合　计</t>
  </si>
  <si>
    <t>年度
总体
目标
完成
情况</t>
  </si>
  <si>
    <t>预期目标</t>
  </si>
  <si>
    <t>绩效目标实际完成情况</t>
  </si>
  <si>
    <t>年度
绩效
目标
完成
情况</t>
  </si>
  <si>
    <t>一级指标</t>
  </si>
  <si>
    <t>二级指标</t>
  </si>
  <si>
    <t>三级指标</t>
  </si>
  <si>
    <t>指标解释</t>
  </si>
  <si>
    <t>评分标准</t>
  </si>
  <si>
    <t>绩效目标值</t>
  </si>
  <si>
    <t>实际完成值</t>
  </si>
  <si>
    <t>指标分值</t>
  </si>
  <si>
    <t>自评得分</t>
  </si>
  <si>
    <r>
      <rPr>
        <sz val="12"/>
        <rFont val="宋体"/>
        <charset val="134"/>
      </rPr>
      <t>产</t>
    </r>
    <r>
      <rPr>
        <sz val="12"/>
        <rFont val="宋体"/>
        <charset val="134"/>
      </rPr>
      <t xml:space="preserve">
</t>
    </r>
    <r>
      <rPr>
        <sz val="12"/>
        <rFont val="宋体"/>
        <charset val="134"/>
      </rPr>
      <t>出</t>
    </r>
    <r>
      <rPr>
        <sz val="12"/>
        <rFont val="宋体"/>
        <charset val="134"/>
      </rPr>
      <t xml:space="preserve">
</t>
    </r>
    <r>
      <rPr>
        <sz val="12"/>
        <rFont val="宋体"/>
        <charset val="134"/>
      </rPr>
      <t>指</t>
    </r>
    <r>
      <rPr>
        <sz val="12"/>
        <rFont val="宋体"/>
        <charset val="134"/>
      </rPr>
      <t xml:space="preserve">
</t>
    </r>
    <r>
      <rPr>
        <sz val="12"/>
        <rFont val="宋体"/>
        <charset val="134"/>
      </rPr>
      <t>标</t>
    </r>
    <r>
      <rPr>
        <sz val="12"/>
        <rFont val="宋体"/>
        <charset val="134"/>
      </rPr>
      <t xml:space="preserve">
</t>
    </r>
    <r>
      <rPr>
        <sz val="12"/>
        <rFont val="宋体"/>
        <charset val="134"/>
      </rPr>
      <t>（</t>
    </r>
    <r>
      <rPr>
        <sz val="12"/>
        <rFont val="宋体"/>
        <charset val="134"/>
      </rPr>
      <t>50</t>
    </r>
    <r>
      <rPr>
        <sz val="12"/>
        <rFont val="宋体"/>
        <charset val="134"/>
      </rPr>
      <t>分</t>
    </r>
    <r>
      <rPr>
        <sz val="12"/>
        <rFont val="宋体"/>
        <charset val="134"/>
      </rPr>
      <t>）</t>
    </r>
  </si>
  <si>
    <t>数量指标</t>
  </si>
  <si>
    <t>机构保障</t>
  </si>
  <si>
    <t>网信办机构保障</t>
  </si>
  <si>
    <t>①是否保障机构日常运行。②日常运行得满分，反正不得分。</t>
  </si>
  <si>
    <t>1个</t>
  </si>
  <si>
    <t>质量指标</t>
  </si>
  <si>
    <t>细化项目目标完成情况</t>
  </si>
  <si>
    <t>≧90%</t>
  </si>
  <si>
    <t>资金使用合规性</t>
  </si>
  <si>
    <t>政府采购、购买服务执行情况</t>
  </si>
  <si>
    <t>政府采购预算</t>
  </si>
  <si>
    <t>时效指标</t>
  </si>
  <si>
    <t>资金使用时间</t>
  </si>
  <si>
    <t>2018年</t>
  </si>
  <si>
    <t>成本指标</t>
  </si>
  <si>
    <t>投入资金</t>
  </si>
  <si>
    <r>
      <rPr>
        <sz val="12"/>
        <rFont val="SimSun"/>
        <charset val="134"/>
      </rPr>
      <t>≦</t>
    </r>
    <r>
      <rPr>
        <sz val="12"/>
        <rFont val="宋体"/>
        <charset val="134"/>
      </rPr>
      <t>19万</t>
    </r>
  </si>
  <si>
    <t>19万</t>
  </si>
  <si>
    <t>效
益
指
标
（40分）</t>
  </si>
  <si>
    <t>经济效益
指标</t>
  </si>
  <si>
    <t>社会效益
指标</t>
  </si>
  <si>
    <t>互联网信息内容管理</t>
  </si>
  <si>
    <t>加强互联网信息内容管理，提高网络安全性</t>
  </si>
  <si>
    <t>生态效益
指标</t>
  </si>
  <si>
    <t>可持续影响
指标</t>
  </si>
  <si>
    <t>满意度
指标
（10分）</t>
  </si>
  <si>
    <t>服务对象
满意度指标</t>
  </si>
  <si>
    <t>服务对象满意度情况</t>
  </si>
  <si>
    <t>≧95%</t>
  </si>
  <si>
    <t>合计</t>
  </si>
  <si>
    <t>自评得分等次</t>
  </si>
  <si>
    <t>业务费细化率</t>
  </si>
  <si>
    <t>业务费细化</t>
  </si>
  <si>
    <t>保障人数</t>
  </si>
  <si>
    <t>保障部门人数</t>
  </si>
  <si>
    <t>人员经费总增长率</t>
  </si>
  <si>
    <t>≦29.6%</t>
  </si>
  <si>
    <t>≦290977</t>
  </si>
  <si>
    <t>网络文化建设</t>
  </si>
  <si>
    <t>提高网络文化的建设和管理</t>
  </si>
  <si>
    <t>保障区未成年人思想道德建设中心办公正常运行，提升工作效率，改善工作质量。</t>
  </si>
  <si>
    <t>90%以上</t>
  </si>
  <si>
    <t>保障对象情况（范围、项目数、人数等）</t>
  </si>
  <si>
    <t>5人</t>
  </si>
  <si>
    <t>≧744767.96</t>
  </si>
  <si>
    <t>开展未成年相关活动</t>
  </si>
  <si>
    <t>开展未成年相关活动，提高未成年的安全教育</t>
  </si>
  <si>
    <t>附件3-1</t>
  </si>
  <si>
    <t>2019年财政支出项目绩效自评表</t>
  </si>
  <si>
    <r>
      <rPr>
        <sz val="12"/>
        <rFont val="宋体"/>
        <charset val="134"/>
      </rPr>
      <t>（</t>
    </r>
    <r>
      <rPr>
        <sz val="12"/>
        <rFont val="Times New Roman"/>
        <charset val="0"/>
      </rPr>
      <t xml:space="preserve">  2019  </t>
    </r>
    <r>
      <rPr>
        <sz val="12"/>
        <rFont val="宋体"/>
        <charset val="134"/>
      </rPr>
      <t>年度）</t>
    </r>
  </si>
  <si>
    <t>区传媒中心办公用房及电视台高清改造项目</t>
  </si>
  <si>
    <t>完成区传媒中心整体搬迁工作；完成区传媒中心高清改造设备验收并具备高清播出条件。</t>
  </si>
  <si>
    <t>1.区传媒中心已于2019年9月份完成整体搬迁工作
2.区传媒中心高清改造设备已全部通过专家验收，并实现安全播出。同时已报告国家广电总局，申请高清播出许可。</t>
  </si>
  <si>
    <t>产
出
指
标
（50分）</t>
  </si>
  <si>
    <t>设备包通过验收数量</t>
  </si>
  <si>
    <t>共计9个高清改造设备项目包通过验收的数量</t>
  </si>
  <si>
    <t>1.是否全部9个项目包通过验收
2.如有1个项目包未能通过验收，则不得分</t>
  </si>
  <si>
    <t>9个</t>
  </si>
  <si>
    <t>电视频道高清播出数量</t>
  </si>
  <si>
    <t>共计2个电视频道具备高清播出条件</t>
  </si>
  <si>
    <t>1.是否2个电视频道均具备高清播出条件
2.如有1个电视频道具备不高清播出条件，则不得分</t>
  </si>
  <si>
    <t>2个</t>
  </si>
  <si>
    <t>安全播出</t>
  </si>
  <si>
    <t>无出现安播事故</t>
  </si>
  <si>
    <t>1.全年国庆、元旦等重大节日不出现播出事故
2.出现安全播出事故则不得分</t>
  </si>
  <si>
    <t>2019年</t>
  </si>
  <si>
    <t>具备高清播出的时间点</t>
  </si>
  <si>
    <t>1.全省9地市中，完成高清改造，具备高清播出条件的时间上要排名前5
2.全省9地市中，最后完成高清高清，则不得分</t>
  </si>
  <si>
    <t>前5</t>
  </si>
  <si>
    <t>成本控制情况</t>
  </si>
  <si>
    <t>1.项目增补控制在5%以内
2.项目增补超过10%，则不得分</t>
  </si>
  <si>
    <t>5%以内</t>
  </si>
  <si>
    <t>满足高清播出条件</t>
  </si>
  <si>
    <t>1.获得省局认可，具备申请高清播出条件
2.获得广电网络认可，具备申请高清播出条件</t>
  </si>
  <si>
    <t>2019年内</t>
  </si>
  <si>
    <t>为后期国家有关4K或8K要求打下坚实基础</t>
  </si>
  <si>
    <t>1.完成高清制播
2.制定4K或8K改造计划</t>
  </si>
  <si>
    <t>画面情况</t>
  </si>
  <si>
    <t xml:space="preserve">1.画面要呈现高清画质
2.节目包装效果跟高清画质相匹配
</t>
  </si>
  <si>
    <t>所有外购节目均为高清制式</t>
  </si>
  <si>
    <t>节目内容</t>
  </si>
  <si>
    <t>1.节目内容健康向上
2.观众未提出整改或者改进意见</t>
  </si>
  <si>
    <t>全年无整改或改进意见</t>
  </si>
  <si>
    <t>有观众提出开办平潭方言类节目</t>
  </si>
  <si>
    <t>优秀</t>
  </si>
  <si>
    <t>附件3-2</t>
  </si>
  <si>
    <t>融媒体中心建设</t>
  </si>
  <si>
    <t>按照打造成省内领先的移动化、数字化、智能化、平台化新型主流城市媒体和融媒体品牌。使之成为拥有广泛传播力、引导力、影响力、公信力的两岸同胞共同家园前沿媒体的目标，重点推进融媒体新平台、新流程、新机制、新架构建设。其中新平台包括指挥中心枢纽建设、手机APP建设、大数据引入、对接省级平台等，主要为硬件投入、软件开发以及服务费用等。已经采购的凡闻大数据平台项目预算40万，手机客户端项目预算20万，省级平台接入服务费用预算为每年20万，新媒体设备采购预计150万。现在正在处于推进实施的分期付款阶段。其他配套新媒体建设费用也正在随着融媒体建设而逐步使用。</t>
  </si>
  <si>
    <t>根据年度推进计划，现融媒体中心已经挂牌，正在全面深化融合。一是指挥平台已经基本搭建，引入了凡闻大数据平台，可实现大数据搜索；二是手机App正在全面推进，正在进行调试；三是已经与福建省广电网络公司签约，实现与省级平台打通；四是互联网中心正在推进新媒体设备采购，正在推进中。五是在新媒体平台呈现的作品中，达到20万+直播产品（两岸农渔产品交易会直播）1个，20万+微信内容（公铁大桥贯通）1个， 3万+内容3个，2万+内容3个，1万+内容5个。非代运维公众号粉丝总数从2018年10月份的58000人增长到74000人。六是融媒体中心已经推进融媒体新架构、新机制、新流程的实施，已经初步实现预期目标。</t>
  </si>
  <si>
    <t>平台建设数量</t>
  </si>
  <si>
    <t>建设融媒体平台的数量</t>
  </si>
  <si>
    <t>①2019年前启动实施指定平台搭建，否则不得分</t>
  </si>
  <si>
    <t>2019年完成3个平台的招投标启动搭建工作</t>
  </si>
  <si>
    <t>已经完成3个平台的协议签订工作</t>
  </si>
  <si>
    <t>平台内容产出数量</t>
  </si>
  <si>
    <t>各平台融媒体内容产出量</t>
  </si>
  <si>
    <t>①报纸完成年度版面；电视完成频道播出时长；新媒体曝光量达到要求      ②大于等于目标值得满分，小于目标值5%的扣2分，小于目标值10%以上的不得分。</t>
  </si>
  <si>
    <t>报纸完成全年印刷；电视完成频道安全播出；新媒体曝光量达到1亿次</t>
  </si>
  <si>
    <t>报纸实现全年出版；电视2个频道安全播出；新媒体全平台生产，实现曝光量1亿次</t>
  </si>
  <si>
    <t>融媒体平台正常运行率</t>
  </si>
  <si>
    <t>平台正常运转、使用情况</t>
  </si>
  <si>
    <t>①正常运转得满分，否则不得分</t>
  </si>
  <si>
    <t>①平台全部正常运转</t>
  </si>
  <si>
    <t>指挥平台和各媒体均正常运转</t>
  </si>
  <si>
    <t>资金使用情况</t>
  </si>
  <si>
    <t>项目实施与计划时间差异情况</t>
  </si>
  <si>
    <t>①是否按时支付资金</t>
  </si>
  <si>
    <t>按时按进度支付款项</t>
  </si>
  <si>
    <t>已经按合同约定支付前期款项</t>
  </si>
  <si>
    <t>资金落实</t>
  </si>
  <si>
    <t xml:space="preserve">成本控制率
</t>
  </si>
  <si>
    <t xml:space="preserve">①项目增补控制在5%以内
②项目增补超过10%，则不得分" 
</t>
  </si>
  <si>
    <t>受众群体覆盖率</t>
  </si>
  <si>
    <t>融媒体传播覆盖情况</t>
  </si>
  <si>
    <t>①传播度是否达到目标值，各平台是否发挥有效信息发布和舆情引导作用。   ②大于等于目标值得满分，小于目标值5%的扣2分，小于目标值10%以上的不得分。</t>
  </si>
  <si>
    <t>实现全年度信息发布，完成辟谣及舆情搜集10个以上</t>
  </si>
  <si>
    <t>实现全年度信息全媒体发布，舆情及辟谣等信息超过20个</t>
  </si>
  <si>
    <t>引导性</t>
  </si>
  <si>
    <t>以正确的舆论引导全球社会群体</t>
  </si>
  <si>
    <t>①在各平台撰写、发布、更新的新闻内容是否以正确的舆论引导社会群体。                              ②以正确的舆论引导社会受众群体的得满分，反之不得分。</t>
  </si>
  <si>
    <t>是</t>
  </si>
  <si>
    <t>服务质量及态度</t>
  </si>
  <si>
    <t>新闻内容的完整率</t>
  </si>
  <si>
    <t>①在各平台撰写、发布、更新的新闻内容是否完整、正确及合规。             ②内容完整、正确及合规得满分，反之不得分。</t>
  </si>
  <si>
    <t>服务效率</t>
  </si>
  <si>
    <t>接收讯息的时效性</t>
  </si>
  <si>
    <t>①在各平台撰写、发布、更新的新闻是否为全区第一时间推出。            ②当天新闻在各大平台第一时间报道的得满分，反之不得分。</t>
  </si>
  <si>
    <t>附件3-3</t>
  </si>
  <si>
    <t>问政平潭专项经费</t>
  </si>
  <si>
    <t>《问政平潭》完成6期节目
《问政平潭之有事您说完成18期节目</t>
  </si>
  <si>
    <t xml:space="preserve">《问政平潭》完成6期节目
《问政平潭之有事您说完成21期节目
</t>
  </si>
  <si>
    <t>电视问政期数</t>
  </si>
  <si>
    <t>电视问政6期</t>
  </si>
  <si>
    <t>是否完成既定任务</t>
  </si>
  <si>
    <t>电视6期</t>
  </si>
  <si>
    <t>广播问政期数</t>
  </si>
  <si>
    <t>广播问政18期</t>
  </si>
  <si>
    <t>广播18期</t>
  </si>
  <si>
    <t>广播21期</t>
  </si>
  <si>
    <t>问政节目问题解决率</t>
  </si>
  <si>
    <t>问政诉求解决率达到70%以上</t>
  </si>
  <si>
    <t>是否严格根据相关法律法规和制度的规定合规使用</t>
  </si>
  <si>
    <t>先期投入300万元</t>
  </si>
  <si>
    <t>300万元</t>
  </si>
  <si>
    <t>34.52万元</t>
  </si>
  <si>
    <t>部门转变作风
群众有所反映</t>
  </si>
  <si>
    <t>部门通过问政节目作风有所改变，群众通过问政节目可以反映诉求。</t>
  </si>
  <si>
    <t>是否有成效</t>
  </si>
  <si>
    <t>所有单位重视整改，群众诉求得到回应</t>
  </si>
  <si>
    <t>群众持续关注</t>
  </si>
  <si>
    <t>群众通过各种渠道参与，诉求反馈不停。</t>
  </si>
  <si>
    <t>群众持续通过电话、微信、现场持续反馈诉求</t>
  </si>
  <si>
    <t>群众满意</t>
  </si>
  <si>
    <t>获得群众的认可和好评</t>
  </si>
  <si>
    <t>群众是否满意</t>
  </si>
  <si>
    <t>百姓对问政节目的评价客观正面，好评度高</t>
  </si>
  <si>
    <t>附件3-4</t>
  </si>
  <si>
    <r>
      <rPr>
        <sz val="16"/>
        <rFont val="宋体"/>
        <charset val="134"/>
      </rPr>
      <t>（</t>
    </r>
    <r>
      <rPr>
        <sz val="16"/>
        <rFont val="Times New Roman"/>
        <charset val="0"/>
      </rPr>
      <t xml:space="preserve">  2019  </t>
    </r>
    <r>
      <rPr>
        <sz val="16"/>
        <rFont val="宋体"/>
        <charset val="134"/>
      </rPr>
      <t>年度）</t>
    </r>
  </si>
  <si>
    <t>平潭广播电视台一次性补助</t>
  </si>
  <si>
    <t xml:space="preserve">    ①中央财政资金</t>
  </si>
  <si>
    <t xml:space="preserve">    ②省级财政资金</t>
  </si>
  <si>
    <t xml:space="preserve">    ③地方财政资金</t>
  </si>
  <si>
    <t xml:space="preserve">    ①……</t>
  </si>
  <si>
    <t>把我区中心工作传递好、全区经济社会发展大局展示好、人民群众的心声反映好为追求，坚持对内鼓劲，对外塑造形象，狠抓队伍建设，做好内部管理</t>
  </si>
  <si>
    <t>共播出电视新闻消息、专题类等电视稿件4800余条、民生新闻2200余条；《走读平潭》共播出48期；《凡人小事》共播出48期；《养生有道》共播出48期节目。在主题宣传上，围绕壮丽70周年、我和我的祖国、习总书记来岚5周年、八大工程、平潭海鲜名菜，共推出60期专题节目。广播节目在上宣外宣工作中，通过央广、福建新闻广播、左海之声等上宣、外宣渠道对外发送消息74条。</t>
  </si>
  <si>
    <t>新闻消息、专题类等电视稿件数量</t>
  </si>
  <si>
    <t>做好新闻舆论宣传</t>
  </si>
  <si>
    <t>1.新闻电视新闻消息、专题类等电视稿件不得少于4500条，否则不得分</t>
  </si>
  <si>
    <t>民生新闻稿件2200余条</t>
  </si>
  <si>
    <t>做好民生宣传</t>
  </si>
  <si>
    <t>1.民生新闻稿件不得少于2000条，否则不得分</t>
  </si>
  <si>
    <t>福建新闻奖</t>
  </si>
  <si>
    <t>1.获得福建新闻奖三等奖1件及以上则满分</t>
  </si>
  <si>
    <t>福建新闻奖二等奖3个</t>
  </si>
  <si>
    <t>我台有一等奖1件。二等奖3个，三等奖2个</t>
  </si>
  <si>
    <t>节目改版时间</t>
  </si>
  <si>
    <t>完成平潭广播电视台所有节目的改版升级</t>
  </si>
  <si>
    <t>1.在9月1日前全面实现我台所有节目（栏目）的升级改造，否则不得分</t>
  </si>
  <si>
    <t>9月1日前</t>
  </si>
  <si>
    <t>人员成本</t>
  </si>
  <si>
    <t>人员工资等成本</t>
  </si>
  <si>
    <t>1.是否按规定及时足额发放                      2.是否严格根据相关法律法规和制度的规定合规使用</t>
  </si>
  <si>
    <t>便民服务</t>
  </si>
  <si>
    <t>建立的政府与百姓沟通的桥梁上设立政务专家库，让它更好地服务百姓，使服务达到日常化、便民化的效果。</t>
  </si>
  <si>
    <t>1.在10月15日前，广播全面改版，重点打造政务、服务类的两档节目即《问政平潭》的配套节目《有事您说》和法制类节目《法在身边》，否则不得分</t>
  </si>
  <si>
    <t>10月15日前</t>
  </si>
  <si>
    <t>省内外媒体的交流与合作</t>
  </si>
  <si>
    <t>利用现有合作加强与央视福建记者站、央视新闻中心、新华社福建分社开展平潭选题策划、节目合作。</t>
  </si>
  <si>
    <t>1.配合央视直播1次，否则不得分。</t>
  </si>
  <si>
    <t>配合央视直播1次</t>
  </si>
  <si>
    <t>完成大桥合拢新闻直播</t>
  </si>
  <si>
    <t>新春走基层</t>
  </si>
  <si>
    <t>1.安排记者分组开展新春走基层报道，下工地、走乡镇、进社区，营造浓浓的节日氛围，否则不得分</t>
  </si>
  <si>
    <t>开展新春走基层报道</t>
  </si>
  <si>
    <t>在该系列报道中，新闻部获先进集体、一个作品获优秀作品奖</t>
  </si>
  <si>
    <t>问政项目为民解忧情况</t>
  </si>
  <si>
    <t>1.保证群众所反映的问题都要如实上报，为民解忧，否则不得分</t>
  </si>
  <si>
    <t>切实解决群众反映问题</t>
  </si>
  <si>
    <t>对市民提出“环岛东路至澳前北路车辆逆行的问题”，“敖东镇桥锦头村出现水污染导致鱼苗死亡调查”，“中楼乡牧场因项目施工致排水不畅被淹”，“渔船在禁渔期铺网捕鱼等一系列问题”进行跟进，使得这些问题得以解决</t>
  </si>
  <si>
    <t>附件3-5</t>
  </si>
  <si>
    <t>平潭时报社一次性补助</t>
  </si>
  <si>
    <t>平潭时报社紧紧围绕实验区党工委管委会中心工作以及实验区传媒中心攻坚行动安排，做好导向管理、新闻创优、主题宣传、重大事件、日常新闻等各项宣传工作。</t>
  </si>
  <si>
    <t>2019年元旦起，平潭时报社与厦门航空合作，每天有1500份《平潭时报》跟随厦门航空在长乐机场发出的各趟航班，飞向蓝天，飞往世界各地，向全世界发出平潭声音。精心策划一批大型主题报道“壮丽70年 奋斗新时代”庆祝新中国成立70周年等主题报道、策划相关海鲜名菜专题报道。继续“开展扫黑除恶专项斗争 保障人民安居乐业”专栏，共刊发57篇本地相关新闻、26则公益广告，做好省“两会”、平潭“两会”、“我们的节日”、“新春走基层”等系列主题报道系列主题报道，全年共出刊355余期报纸。</t>
  </si>
  <si>
    <t>领取工资人数</t>
  </si>
  <si>
    <t>①是否按实际人数发放工资</t>
  </si>
  <si>
    <t>60人</t>
  </si>
  <si>
    <t>55人</t>
  </si>
  <si>
    <t>本地相关新闻篇数、公益广告条数</t>
  </si>
  <si>
    <t>①本地相关新闻篇数不少于57篇，公益广告不少于26则</t>
  </si>
  <si>
    <t>本地相关新闻篇数57篇，公益广告26则</t>
  </si>
  <si>
    <t>工资发放情况</t>
  </si>
  <si>
    <t>①是否按规定及时足额发放                  ②是否严格根据相关法律法规和制度的规定合规使用</t>
  </si>
  <si>
    <t>①项目实际实施月份是否晚于计划月份</t>
  </si>
  <si>
    <t>按序时进度支出</t>
  </si>
  <si>
    <t>成本控制率</t>
  </si>
  <si>
    <t>①成本控制率A=截至年末累计支出数/项目概算或当年预算数。②A≦100%得满分；100%﹤A≦105%时，得分为此项指标满分值-100×（A-100%）</t>
  </si>
  <si>
    <t>社会影响力</t>
  </si>
  <si>
    <t>①突出宣传主题性，正面开展舆论引导
②凸显专题正能量，坚持弘扬时代新风
③是否瞄准大众关注点，深度策划民生报道
④拓展传播新路径，推进多媒融合发展</t>
  </si>
  <si>
    <t>提升平潭认知度</t>
  </si>
  <si>
    <t>①员工是否满意</t>
  </si>
  <si>
    <t>95%以上</t>
  </si>
</sst>
</file>

<file path=xl/styles.xml><?xml version="1.0" encoding="utf-8"?>
<styleSheet xmlns="http://schemas.openxmlformats.org/spreadsheetml/2006/main">
  <numFmts count="5">
    <numFmt numFmtId="43" formatCode="_ * #,##0.00_ ;_ * \-#,##0.00_ ;_ * &quot;-&quot;??_ ;_ @_ "/>
    <numFmt numFmtId="176" formatCode="_ * #,##0_ ;_ * \-#,##0_ ;_ * &quot;-&quot;??_ ;_ @_ "/>
    <numFmt numFmtId="41" formatCode="_ * #,##0_ ;_ * \-#,##0_ ;_ * &quot;-&quot;_ ;_ @_ "/>
    <numFmt numFmtId="44" formatCode="_ &quot;￥&quot;* #,##0.00_ ;_ &quot;￥&quot;* \-#,##0.00_ ;_ &quot;￥&quot;* &quot;-&quot;??_ ;_ @_ "/>
    <numFmt numFmtId="42" formatCode="_ &quot;￥&quot;* #,##0_ ;_ &quot;￥&quot;* \-#,##0_ ;_ &quot;￥&quot;* &quot;-&quot;_ ;_ @_ "/>
  </numFmts>
  <fonts count="37">
    <font>
      <sz val="11"/>
      <color indexed="8"/>
      <name val="宋体"/>
      <charset val="134"/>
    </font>
    <font>
      <sz val="10"/>
      <name val="宋体"/>
      <charset val="134"/>
    </font>
    <font>
      <sz val="16"/>
      <name val="黑体"/>
      <charset val="134"/>
    </font>
    <font>
      <sz val="12"/>
      <name val="黑体"/>
      <charset val="134"/>
    </font>
    <font>
      <b/>
      <sz val="18"/>
      <name val="宋体"/>
      <charset val="134"/>
    </font>
    <font>
      <sz val="12"/>
      <name val="宋体"/>
      <charset val="134"/>
    </font>
    <font>
      <sz val="11"/>
      <name val="宋体"/>
      <charset val="134"/>
    </font>
    <font>
      <sz val="9"/>
      <name val="宋体"/>
      <charset val="134"/>
    </font>
    <font>
      <sz val="12"/>
      <name val="SimSun"/>
      <charset val="134"/>
    </font>
    <font>
      <b/>
      <sz val="16"/>
      <name val="宋体"/>
      <charset val="134"/>
    </font>
    <font>
      <sz val="16"/>
      <name val="宋体"/>
      <charset val="134"/>
    </font>
    <font>
      <sz val="10"/>
      <name val="SimSun"/>
      <charset val="134"/>
    </font>
    <font>
      <sz val="10"/>
      <color indexed="8"/>
      <name val="宋体"/>
      <charset val="134"/>
    </font>
    <font>
      <sz val="11"/>
      <color theme="1"/>
      <name val="宋体"/>
      <charset val="134"/>
      <scheme val="minor"/>
    </font>
    <font>
      <sz val="11"/>
      <name val="SimSun"/>
      <charset val="134"/>
    </font>
    <font>
      <sz val="12"/>
      <color indexed="8"/>
      <name val="宋体"/>
      <charset val="134"/>
    </font>
    <font>
      <sz val="11"/>
      <color theme="0"/>
      <name val="宋体"/>
      <charset val="134"/>
      <scheme val="minor"/>
    </font>
    <font>
      <b/>
      <sz val="15"/>
      <color theme="3"/>
      <name val="宋体"/>
      <charset val="134"/>
      <scheme val="minor"/>
    </font>
    <font>
      <sz val="11"/>
      <color rgb="FF9C0006"/>
      <name val="宋体"/>
      <charset val="134"/>
      <scheme val="minor"/>
    </font>
    <font>
      <sz val="11"/>
      <color rgb="FF006100"/>
      <name val="宋体"/>
      <charset val="134"/>
      <scheme val="minor"/>
    </font>
    <font>
      <b/>
      <sz val="13"/>
      <color theme="3"/>
      <name val="宋体"/>
      <charset val="134"/>
      <scheme val="minor"/>
    </font>
    <font>
      <i/>
      <sz val="11"/>
      <color rgb="FF7F7F7F"/>
      <name val="宋体"/>
      <charset val="134"/>
      <scheme val="minor"/>
    </font>
    <font>
      <sz val="11"/>
      <color rgb="FF9C6500"/>
      <name val="宋体"/>
      <charset val="134"/>
      <scheme val="minor"/>
    </font>
    <font>
      <sz val="11"/>
      <color rgb="FFFA7D00"/>
      <name val="宋体"/>
      <charset val="134"/>
      <scheme val="minor"/>
    </font>
    <font>
      <b/>
      <sz val="11"/>
      <color rgb="FFFA7D00"/>
      <name val="宋体"/>
      <charset val="134"/>
      <scheme val="minor"/>
    </font>
    <font>
      <sz val="11"/>
      <color rgb="FF3F3F76"/>
      <name val="宋体"/>
      <charset val="134"/>
      <scheme val="minor"/>
    </font>
    <font>
      <u/>
      <sz val="11"/>
      <color rgb="FF0000FF"/>
      <name val="宋体"/>
      <charset val="134"/>
      <scheme val="minor"/>
    </font>
    <font>
      <b/>
      <sz val="11"/>
      <color theme="1"/>
      <name val="宋体"/>
      <charset val="134"/>
      <scheme val="minor"/>
    </font>
    <font>
      <b/>
      <sz val="11"/>
      <color rgb="FFFFFFFF"/>
      <name val="宋体"/>
      <charset val="134"/>
      <scheme val="minor"/>
    </font>
    <font>
      <b/>
      <sz val="11"/>
      <color rgb="FF3F3F3F"/>
      <name val="宋体"/>
      <charset val="134"/>
      <scheme val="minor"/>
    </font>
    <font>
      <sz val="11"/>
      <color indexed="8"/>
      <name val="宋体"/>
      <charset val="134"/>
      <scheme val="minor"/>
    </font>
    <font>
      <u/>
      <sz val="11"/>
      <color rgb="FF800080"/>
      <name val="宋体"/>
      <charset val="134"/>
      <scheme val="minor"/>
    </font>
    <font>
      <b/>
      <sz val="18"/>
      <color theme="3"/>
      <name val="宋体"/>
      <charset val="134"/>
      <scheme val="minor"/>
    </font>
    <font>
      <b/>
      <sz val="11"/>
      <color theme="3"/>
      <name val="宋体"/>
      <charset val="134"/>
      <scheme val="minor"/>
    </font>
    <font>
      <sz val="11"/>
      <color rgb="FFFF0000"/>
      <name val="宋体"/>
      <charset val="134"/>
      <scheme val="minor"/>
    </font>
    <font>
      <sz val="12"/>
      <name val="Times New Roman"/>
      <charset val="0"/>
    </font>
    <font>
      <sz val="16"/>
      <name val="Times New Roman"/>
      <charset val="0"/>
    </font>
  </fonts>
  <fills count="33">
    <fill>
      <patternFill patternType="none"/>
    </fill>
    <fill>
      <patternFill patternType="gray125"/>
    </fill>
    <fill>
      <patternFill patternType="solid">
        <fgColor theme="9" tint="0.39997558519241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rgb="FFFFC7CE"/>
        <bgColor indexed="64"/>
      </patternFill>
    </fill>
    <fill>
      <patternFill patternType="solid">
        <fgColor theme="7"/>
        <bgColor indexed="64"/>
      </patternFill>
    </fill>
    <fill>
      <patternFill patternType="solid">
        <fgColor rgb="FFC6EFCE"/>
        <bgColor indexed="64"/>
      </patternFill>
    </fill>
    <fill>
      <patternFill patternType="solid">
        <fgColor theme="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theme="8" tint="0.599993896298105"/>
        <bgColor indexed="64"/>
      </patternFill>
    </fill>
    <fill>
      <patternFill patternType="solid">
        <fgColor theme="4"/>
        <bgColor indexed="64"/>
      </patternFill>
    </fill>
    <fill>
      <patternFill patternType="solid">
        <fgColor rgb="FFA5A5A5"/>
        <bgColor indexed="64"/>
      </patternFill>
    </fill>
    <fill>
      <patternFill patternType="solid">
        <fgColor rgb="FFFFFFCC"/>
        <bgColor indexed="64"/>
      </patternFill>
    </fill>
    <fill>
      <patternFill patternType="solid">
        <fgColor theme="8"/>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4" tint="0.59999389629810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55">
    <xf numFmtId="0" fontId="0" fillId="0" borderId="0" applyProtection="0">
      <alignment vertical="center"/>
    </xf>
    <xf numFmtId="42" fontId="0" fillId="0" borderId="0" applyFont="0" applyFill="0" applyBorder="0" applyAlignment="0" applyProtection="0"/>
    <xf numFmtId="0" fontId="13" fillId="14" borderId="0" applyNumberFormat="0" applyBorder="0" applyAlignment="0" applyProtection="0">
      <alignment vertical="center"/>
    </xf>
    <xf numFmtId="0" fontId="25" fillId="20" borderId="14" applyNumberFormat="0" applyAlignment="0" applyProtection="0">
      <alignment vertical="center"/>
    </xf>
    <xf numFmtId="44" fontId="0" fillId="0" borderId="0" applyFont="0" applyFill="0" applyBorder="0" applyAlignment="0" applyProtection="0"/>
    <xf numFmtId="41" fontId="0" fillId="0" borderId="0" applyFont="0" applyFill="0" applyBorder="0" applyAlignment="0" applyProtection="0"/>
    <xf numFmtId="0" fontId="13" fillId="15" borderId="0" applyNumberFormat="0" applyBorder="0" applyAlignment="0" applyProtection="0">
      <alignment vertical="center"/>
    </xf>
    <xf numFmtId="0" fontId="18" fillId="8" borderId="0" applyNumberFormat="0" applyBorder="0" applyAlignment="0" applyProtection="0">
      <alignment vertical="center"/>
    </xf>
    <xf numFmtId="43" fontId="0" fillId="0" borderId="0" applyFont="0" applyFill="0" applyBorder="0" applyAlignment="0" applyProtection="0"/>
    <xf numFmtId="0" fontId="16" fillId="13" borderId="0" applyNumberFormat="0" applyBorder="0" applyAlignment="0" applyProtection="0">
      <alignment vertical="center"/>
    </xf>
    <xf numFmtId="0" fontId="26" fillId="0" borderId="0" applyNumberFormat="0" applyFill="0" applyBorder="0" applyAlignment="0" applyProtection="0">
      <alignment vertical="center"/>
    </xf>
    <xf numFmtId="9" fontId="0" fillId="0" borderId="0" applyFont="0" applyFill="0" applyBorder="0" applyAlignment="0" applyProtection="0"/>
    <xf numFmtId="0" fontId="31" fillId="0" borderId="0" applyNumberFormat="0" applyFill="0" applyBorder="0" applyAlignment="0" applyProtection="0">
      <alignment vertical="center"/>
    </xf>
    <xf numFmtId="9" fontId="0" fillId="0" borderId="0" applyFont="0" applyFill="0" applyBorder="0" applyAlignment="0" applyProtection="0"/>
    <xf numFmtId="0" fontId="30" fillId="24" borderId="18" applyNumberFormat="0" applyFont="0" applyAlignment="0" applyProtection="0">
      <alignment vertical="center"/>
    </xf>
    <xf numFmtId="0" fontId="16" fillId="30" borderId="0" applyNumberFormat="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0" borderId="12" applyNumberFormat="0" applyFill="0" applyAlignment="0" applyProtection="0">
      <alignment vertical="center"/>
    </xf>
    <xf numFmtId="0" fontId="20" fillId="0" borderId="12" applyNumberFormat="0" applyFill="0" applyAlignment="0" applyProtection="0">
      <alignment vertical="center"/>
    </xf>
    <xf numFmtId="0" fontId="16" fillId="4" borderId="0" applyNumberFormat="0" applyBorder="0" applyAlignment="0" applyProtection="0">
      <alignment vertical="center"/>
    </xf>
    <xf numFmtId="0" fontId="33" fillId="0" borderId="19" applyNumberFormat="0" applyFill="0" applyAlignment="0" applyProtection="0">
      <alignment vertical="center"/>
    </xf>
    <xf numFmtId="0" fontId="16" fillId="29" borderId="0" applyNumberFormat="0" applyBorder="0" applyAlignment="0" applyProtection="0">
      <alignment vertical="center"/>
    </xf>
    <xf numFmtId="0" fontId="29" fillId="19" borderId="17" applyNumberFormat="0" applyAlignment="0" applyProtection="0">
      <alignment vertical="center"/>
    </xf>
    <xf numFmtId="0" fontId="24" fillId="19" borderId="14" applyNumberFormat="0" applyAlignment="0" applyProtection="0">
      <alignment vertical="center"/>
    </xf>
    <xf numFmtId="0" fontId="28" fillId="23" borderId="16" applyNumberFormat="0" applyAlignment="0" applyProtection="0">
      <alignment vertical="center"/>
    </xf>
    <xf numFmtId="0" fontId="13" fillId="12" borderId="0" applyNumberFormat="0" applyBorder="0" applyAlignment="0" applyProtection="0">
      <alignment vertical="center"/>
    </xf>
    <xf numFmtId="0" fontId="16" fillId="11" borderId="0" applyNumberFormat="0" applyBorder="0" applyAlignment="0" applyProtection="0">
      <alignment vertical="center"/>
    </xf>
    <xf numFmtId="0" fontId="23" fillId="0" borderId="13" applyNumberFormat="0" applyFill="0" applyAlignment="0" applyProtection="0">
      <alignment vertical="center"/>
    </xf>
    <xf numFmtId="0" fontId="27" fillId="0" borderId="15" applyNumberFormat="0" applyFill="0" applyAlignment="0" applyProtection="0">
      <alignment vertical="center"/>
    </xf>
    <xf numFmtId="0" fontId="19" fillId="10" borderId="0" applyNumberFormat="0" applyBorder="0" applyAlignment="0" applyProtection="0">
      <alignment vertical="center"/>
    </xf>
    <xf numFmtId="0" fontId="22" fillId="18" borderId="0" applyNumberFormat="0" applyBorder="0" applyAlignment="0" applyProtection="0">
      <alignment vertical="center"/>
    </xf>
    <xf numFmtId="0" fontId="13" fillId="28" borderId="0" applyNumberFormat="0" applyBorder="0" applyAlignment="0" applyProtection="0">
      <alignment vertical="center"/>
    </xf>
    <xf numFmtId="0" fontId="16" fillId="22" borderId="0" applyNumberFormat="0" applyBorder="0" applyAlignment="0" applyProtection="0">
      <alignment vertical="center"/>
    </xf>
    <xf numFmtId="0" fontId="13" fillId="3" borderId="0" applyNumberFormat="0" applyBorder="0" applyAlignment="0" applyProtection="0">
      <alignment vertical="center"/>
    </xf>
    <xf numFmtId="0" fontId="13" fillId="32" borderId="0" applyNumberFormat="0" applyBorder="0" applyAlignment="0" applyProtection="0">
      <alignment vertical="center"/>
    </xf>
    <xf numFmtId="0" fontId="13" fillId="17" borderId="0" applyNumberFormat="0" applyBorder="0" applyAlignment="0" applyProtection="0">
      <alignment vertical="center"/>
    </xf>
    <xf numFmtId="0" fontId="13" fillId="27" borderId="0" applyNumberFormat="0" applyBorder="0" applyAlignment="0" applyProtection="0">
      <alignment vertical="center"/>
    </xf>
    <xf numFmtId="0" fontId="16" fillId="31" borderId="0" applyNumberFormat="0" applyBorder="0" applyAlignment="0" applyProtection="0">
      <alignment vertical="center"/>
    </xf>
    <xf numFmtId="0" fontId="16" fillId="9" borderId="0" applyNumberFormat="0" applyBorder="0" applyAlignment="0" applyProtection="0">
      <alignment vertical="center"/>
    </xf>
    <xf numFmtId="0" fontId="13" fillId="16" borderId="0" applyNumberFormat="0" applyBorder="0" applyAlignment="0" applyProtection="0">
      <alignment vertical="center"/>
    </xf>
    <xf numFmtId="0" fontId="13" fillId="26" borderId="0" applyNumberFormat="0" applyBorder="0" applyAlignment="0" applyProtection="0">
      <alignment vertical="center"/>
    </xf>
    <xf numFmtId="0" fontId="16" fillId="25" borderId="0" applyNumberFormat="0" applyBorder="0" applyAlignment="0" applyProtection="0">
      <alignment vertical="center"/>
    </xf>
    <xf numFmtId="0" fontId="13" fillId="21" borderId="0" applyNumberFormat="0" applyBorder="0" applyAlignment="0" applyProtection="0">
      <alignment vertical="center"/>
    </xf>
    <xf numFmtId="0" fontId="16" fillId="7" borderId="0" applyNumberFormat="0" applyBorder="0" applyAlignment="0" applyProtection="0">
      <alignment vertical="center"/>
    </xf>
    <xf numFmtId="0" fontId="16" fillId="6" borderId="0" applyNumberFormat="0" applyBorder="0" applyAlignment="0" applyProtection="0">
      <alignment vertical="center"/>
    </xf>
    <xf numFmtId="0" fontId="13" fillId="5" borderId="0" applyNumberFormat="0" applyBorder="0" applyAlignment="0" applyProtection="0">
      <alignment vertical="center"/>
    </xf>
    <xf numFmtId="0" fontId="16" fillId="2" borderId="0" applyNumberFormat="0" applyBorder="0" applyAlignment="0" applyProtection="0">
      <alignment vertical="center"/>
    </xf>
    <xf numFmtId="9" fontId="30" fillId="0" borderId="0" applyFont="0" applyFill="0" applyBorder="0" applyAlignment="0" applyProtection="0">
      <alignment vertical="center"/>
    </xf>
    <xf numFmtId="0" fontId="0" fillId="0" borderId="0" applyProtection="0">
      <alignment vertical="center"/>
    </xf>
    <xf numFmtId="0" fontId="13" fillId="0" borderId="0">
      <alignment vertical="center"/>
    </xf>
    <xf numFmtId="43" fontId="0" fillId="0" borderId="0" applyFont="0" applyFill="0" applyBorder="0" applyAlignment="0" applyProtection="0"/>
    <xf numFmtId="43" fontId="30" fillId="0" borderId="0" applyFont="0" applyFill="0" applyBorder="0" applyAlignment="0" applyProtection="0">
      <alignment vertical="center"/>
    </xf>
  </cellStyleXfs>
  <cellXfs count="206">
    <xf numFmtId="0" fontId="0" fillId="0" borderId="0" xfId="0" applyProtection="1">
      <alignment vertical="center"/>
    </xf>
    <xf numFmtId="0" fontId="1" fillId="0" borderId="0" xfId="0" applyFont="1" applyFill="1" applyProtection="1">
      <alignment vertical="center"/>
    </xf>
    <xf numFmtId="0" fontId="1" fillId="0" borderId="0" xfId="0" applyFont="1" applyFill="1" applyAlignment="1" applyProtection="1">
      <alignment horizontal="center"/>
    </xf>
    <xf numFmtId="0" fontId="2" fillId="0" borderId="0" xfId="0" applyFont="1" applyFill="1" applyAlignment="1" applyProtection="1">
      <alignment horizontal="left" vertical="center"/>
    </xf>
    <xf numFmtId="0" fontId="3" fillId="0" borderId="0" xfId="0" applyFont="1" applyFill="1" applyAlignment="1" applyProtection="1">
      <alignment vertical="center" wrapText="1"/>
    </xf>
    <xf numFmtId="0" fontId="4" fillId="0" borderId="0" xfId="0" applyFont="1" applyFill="1" applyAlignment="1" applyProtection="1">
      <alignment horizontal="center" vertical="center" wrapText="1"/>
    </xf>
    <xf numFmtId="0" fontId="5" fillId="0" borderId="0" xfId="0" applyFont="1" applyFill="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xf>
    <xf numFmtId="0" fontId="5" fillId="0" borderId="3"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6" fillId="0" borderId="5" xfId="0" applyFont="1" applyFill="1" applyBorder="1" applyAlignment="1" applyProtection="1">
      <alignment horizontal="center" vertical="center" wrapText="1"/>
    </xf>
    <xf numFmtId="0" fontId="6" fillId="0" borderId="6" xfId="0" applyFont="1" applyFill="1" applyBorder="1" applyAlignment="1" applyProtection="1">
      <alignment horizontal="center" vertical="center" wrapText="1"/>
    </xf>
    <xf numFmtId="0" fontId="6" fillId="0" borderId="2" xfId="0" applyFont="1" applyFill="1" applyBorder="1" applyAlignment="1" applyProtection="1">
      <alignment horizontal="center" vertical="center"/>
    </xf>
    <xf numFmtId="0" fontId="6" fillId="0"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6" fillId="0" borderId="2" xfId="0" applyFont="1" applyFill="1" applyBorder="1" applyAlignment="1" applyProtection="1">
      <alignment horizontal="center" vertical="center" wrapText="1"/>
    </xf>
    <xf numFmtId="0" fontId="6" fillId="0" borderId="7" xfId="0" applyFont="1" applyFill="1" applyBorder="1" applyAlignment="1" applyProtection="1">
      <alignment horizontal="center" vertical="center" wrapText="1"/>
    </xf>
    <xf numFmtId="0" fontId="6" fillId="0" borderId="8" xfId="0" applyFont="1" applyFill="1" applyBorder="1" applyAlignment="1" applyProtection="1">
      <alignment horizontal="center" vertical="center" wrapText="1"/>
    </xf>
    <xf numFmtId="0" fontId="1" fillId="0" borderId="4"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1" fillId="0" borderId="1" xfId="0" applyFont="1" applyFill="1" applyBorder="1" applyAlignment="1" applyProtection="1">
      <alignment horizontal="left" vertical="center" wrapText="1"/>
    </xf>
    <xf numFmtId="43" fontId="1" fillId="0" borderId="1" xfId="8" applyNumberFormat="1"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43" fontId="1" fillId="0" borderId="1" xfId="8"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xf>
    <xf numFmtId="0" fontId="6" fillId="0" borderId="1" xfId="0" applyFont="1" applyFill="1" applyBorder="1" applyAlignment="1" applyProtection="1">
      <alignment horizontal="center" vertical="center" wrapText="1"/>
    </xf>
    <xf numFmtId="43" fontId="1" fillId="0" borderId="1" xfId="8" applyFont="1" applyFill="1" applyBorder="1" applyAlignment="1" applyProtection="1">
      <alignment horizontal="center" vertical="center"/>
    </xf>
    <xf numFmtId="0" fontId="5" fillId="0" borderId="2" xfId="0" applyFont="1" applyFill="1" applyBorder="1" applyAlignment="1" applyProtection="1">
      <alignment horizontal="left" vertical="top" wrapText="1"/>
    </xf>
    <xf numFmtId="0" fontId="5" fillId="0" borderId="3" xfId="0" applyFont="1" applyFill="1" applyBorder="1" applyAlignment="1" applyProtection="1">
      <alignment horizontal="left" vertical="top" wrapText="1"/>
    </xf>
    <xf numFmtId="0" fontId="5" fillId="0" borderId="4" xfId="0" applyFont="1" applyFill="1" applyBorder="1" applyAlignment="1" applyProtection="1">
      <alignment horizontal="left" vertical="top" wrapText="1"/>
    </xf>
    <xf numFmtId="0" fontId="5" fillId="0" borderId="1" xfId="0" applyFont="1" applyFill="1" applyBorder="1" applyAlignment="1" applyProtection="1">
      <alignment horizontal="left" vertical="top" wrapText="1"/>
    </xf>
    <xf numFmtId="0" fontId="5" fillId="0" borderId="9"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5" fillId="0" borderId="1" xfId="0" applyFont="1" applyFill="1" applyBorder="1" applyAlignment="1" applyProtection="1">
      <alignment vertical="center" wrapText="1"/>
    </xf>
    <xf numFmtId="0" fontId="5" fillId="0" borderId="2" xfId="0" applyFont="1" applyFill="1" applyBorder="1" applyAlignment="1" applyProtection="1">
      <alignment horizontal="left" vertical="center" wrapText="1"/>
    </xf>
    <xf numFmtId="0" fontId="5" fillId="0" borderId="4" xfId="0" applyFont="1" applyFill="1" applyBorder="1" applyAlignment="1" applyProtection="1">
      <alignment horizontal="left" vertical="center" wrapText="1"/>
    </xf>
    <xf numFmtId="0" fontId="5" fillId="0" borderId="11" xfId="0" applyFont="1" applyFill="1" applyBorder="1" applyAlignment="1" applyProtection="1">
      <alignment horizontal="center" vertical="center" wrapText="1"/>
    </xf>
    <xf numFmtId="0" fontId="5" fillId="0" borderId="1" xfId="0" applyFont="1" applyBorder="1" applyAlignment="1" applyProtection="1">
      <alignment vertical="center" wrapText="1"/>
    </xf>
    <xf numFmtId="0" fontId="5" fillId="0" borderId="2" xfId="0" applyFont="1" applyBorder="1" applyAlignment="1" applyProtection="1">
      <alignment horizontal="center" vertical="center" wrapText="1"/>
    </xf>
    <xf numFmtId="0" fontId="5" fillId="0" borderId="4" xfId="0" applyFont="1" applyBorder="1" applyAlignment="1" applyProtection="1">
      <alignment horizontal="center" vertical="center" wrapText="1"/>
    </xf>
    <xf numFmtId="9" fontId="8" fillId="0" borderId="1" xfId="11" applyFont="1" applyBorder="1" applyAlignment="1" applyProtection="1">
      <alignment horizontal="center" vertical="center" wrapText="1"/>
    </xf>
    <xf numFmtId="9" fontId="0" fillId="0" borderId="2" xfId="0" applyNumberFormat="1" applyFill="1" applyBorder="1" applyAlignment="1" applyProtection="1">
      <alignment horizontal="left" vertical="center" wrapText="1"/>
    </xf>
    <xf numFmtId="9" fontId="0" fillId="0" borderId="4" xfId="0" applyNumberFormat="1" applyFont="1" applyFill="1" applyBorder="1" applyAlignment="1" applyProtection="1">
      <alignment horizontal="left" vertical="center" wrapText="1"/>
    </xf>
    <xf numFmtId="9" fontId="0" fillId="0" borderId="2" xfId="0" applyNumberFormat="1" applyFill="1" applyBorder="1" applyAlignment="1" applyProtection="1">
      <alignment horizontal="center" vertical="center" wrapText="1"/>
    </xf>
    <xf numFmtId="0" fontId="6" fillId="0" borderId="3" xfId="0" applyFont="1" applyFill="1" applyBorder="1" applyAlignment="1" applyProtection="1">
      <alignment horizontal="center" vertical="center" wrapText="1"/>
    </xf>
    <xf numFmtId="0" fontId="6" fillId="0" borderId="4" xfId="0" applyFont="1" applyFill="1" applyBorder="1" applyAlignment="1" applyProtection="1">
      <alignment horizontal="center" vertical="center" wrapText="1"/>
    </xf>
    <xf numFmtId="10" fontId="6" fillId="0" borderId="1" xfId="11" applyNumberFormat="1" applyFont="1" applyFill="1" applyBorder="1" applyAlignment="1" applyProtection="1">
      <alignment horizontal="center" vertical="center" wrapText="1"/>
    </xf>
    <xf numFmtId="10" fontId="1" fillId="0" borderId="1" xfId="11" applyNumberFormat="1" applyFont="1" applyFill="1" applyBorder="1" applyAlignment="1" applyProtection="1">
      <alignment horizontal="center" vertical="center"/>
    </xf>
    <xf numFmtId="0" fontId="5" fillId="0" borderId="1" xfId="0" applyFont="1" applyFill="1" applyBorder="1" applyAlignment="1" applyProtection="1">
      <alignment horizontal="right" vertical="center" wrapText="1"/>
    </xf>
    <xf numFmtId="9" fontId="0" fillId="0" borderId="1" xfId="0" applyNumberFormat="1" applyFont="1" applyFill="1" applyBorder="1" applyAlignment="1" applyProtection="1">
      <alignment horizontal="center" vertical="center" wrapText="1"/>
    </xf>
    <xf numFmtId="0" fontId="2" fillId="0" borderId="0" xfId="0" applyFont="1" applyAlignment="1" applyProtection="1">
      <alignment horizontal="left" vertical="center"/>
    </xf>
    <xf numFmtId="0" fontId="3" fillId="0" borderId="0" xfId="0" applyFont="1" applyAlignment="1" applyProtection="1">
      <alignment vertical="center" wrapText="1"/>
    </xf>
    <xf numFmtId="0" fontId="9" fillId="0" borderId="0" xfId="0" applyFont="1" applyAlignment="1" applyProtection="1">
      <alignment horizontal="center" vertical="center" wrapText="1"/>
    </xf>
    <xf numFmtId="0" fontId="10" fillId="0" borderId="0" xfId="0" applyFont="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3"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1" fillId="0" borderId="5" xfId="0" applyFont="1" applyBorder="1" applyAlignment="1" applyProtection="1">
      <alignment horizontal="center" vertical="center" wrapText="1"/>
    </xf>
    <xf numFmtId="0" fontId="1" fillId="0" borderId="6" xfId="0" applyFont="1" applyBorder="1" applyAlignment="1" applyProtection="1">
      <alignment horizontal="center" vertical="center" wrapText="1"/>
    </xf>
    <xf numFmtId="0" fontId="1" fillId="0" borderId="2"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4" xfId="0" applyFont="1" applyBorder="1" applyAlignment="1" applyProtection="1">
      <alignment horizontal="center" vertical="center"/>
    </xf>
    <xf numFmtId="0" fontId="1" fillId="0" borderId="7" xfId="0" applyFont="1" applyBorder="1" applyAlignment="1" applyProtection="1">
      <alignment horizontal="center" vertical="center" wrapText="1"/>
    </xf>
    <xf numFmtId="0" fontId="1" fillId="0" borderId="8" xfId="0" applyFont="1" applyBorder="1" applyAlignment="1" applyProtection="1">
      <alignment horizontal="center" vertical="center" wrapText="1"/>
    </xf>
    <xf numFmtId="0" fontId="1" fillId="0" borderId="0" xfId="0" applyFont="1" applyAlignment="1" applyProtection="1">
      <alignment horizontal="center" vertical="center" wrapText="1"/>
    </xf>
    <xf numFmtId="0" fontId="1" fillId="0" borderId="1" xfId="0" applyFont="1" applyBorder="1" applyAlignment="1" applyProtection="1">
      <alignment horizontal="left" vertical="center" wrapText="1"/>
    </xf>
    <xf numFmtId="43" fontId="1" fillId="0" borderId="1" xfId="8" applyNumberFormat="1" applyFont="1" applyBorder="1" applyAlignment="1" applyProtection="1">
      <alignment horizontal="center" vertical="center"/>
    </xf>
    <xf numFmtId="0" fontId="1" fillId="0" borderId="1" xfId="0" applyFont="1" applyBorder="1" applyAlignment="1" applyProtection="1">
      <alignment horizontal="center" vertical="center"/>
    </xf>
    <xf numFmtId="43" fontId="1" fillId="0" borderId="1" xfId="8" applyFont="1" applyBorder="1" applyAlignment="1" applyProtection="1">
      <alignment horizontal="center" vertical="center" wrapText="1"/>
    </xf>
    <xf numFmtId="0" fontId="1" fillId="0" borderId="2" xfId="0" applyFont="1" applyFill="1" applyBorder="1" applyAlignment="1" applyProtection="1">
      <alignment horizontal="left" vertical="top" wrapText="1"/>
    </xf>
    <xf numFmtId="0" fontId="1" fillId="0" borderId="3" xfId="0" applyFont="1" applyFill="1" applyBorder="1" applyAlignment="1" applyProtection="1">
      <alignment horizontal="left" vertical="top" wrapText="1"/>
    </xf>
    <xf numFmtId="0" fontId="1" fillId="0" borderId="4" xfId="0" applyFont="1" applyFill="1" applyBorder="1" applyAlignment="1" applyProtection="1">
      <alignment horizontal="left" vertical="top" wrapText="1"/>
    </xf>
    <xf numFmtId="0" fontId="1" fillId="0" borderId="1" xfId="0" applyFont="1" applyFill="1" applyBorder="1" applyAlignment="1" applyProtection="1">
      <alignment horizontal="left" vertical="top" wrapText="1"/>
    </xf>
    <xf numFmtId="0" fontId="1" fillId="0" borderId="9" xfId="0" applyFont="1" applyBorder="1" applyAlignment="1" applyProtection="1">
      <alignment horizontal="center" vertical="center" wrapText="1"/>
    </xf>
    <xf numFmtId="0" fontId="1" fillId="0" borderId="10" xfId="0" applyFont="1" applyBorder="1" applyAlignment="1" applyProtection="1">
      <alignment horizontal="center" vertical="center" wrapText="1"/>
    </xf>
    <xf numFmtId="0" fontId="1" fillId="0" borderId="1" xfId="0" applyFont="1" applyFill="1" applyBorder="1" applyAlignment="1" applyProtection="1">
      <alignment vertical="center" wrapText="1"/>
    </xf>
    <xf numFmtId="0" fontId="1" fillId="0" borderId="2" xfId="0" applyFont="1" applyFill="1" applyBorder="1" applyAlignment="1" applyProtection="1">
      <alignment horizontal="left" vertical="center" wrapText="1"/>
    </xf>
    <xf numFmtId="0" fontId="1" fillId="0" borderId="4" xfId="0" applyFont="1" applyFill="1" applyBorder="1" applyAlignment="1" applyProtection="1">
      <alignment horizontal="left" vertical="center" wrapText="1"/>
    </xf>
    <xf numFmtId="0" fontId="11" fillId="0" borderId="1" xfId="0" applyFont="1" applyFill="1" applyBorder="1" applyAlignment="1" applyProtection="1">
      <alignment horizontal="center" vertical="center" wrapText="1"/>
    </xf>
    <xf numFmtId="0" fontId="1" fillId="0" borderId="10" xfId="0" applyFont="1" applyBorder="1" applyAlignment="1" applyProtection="1">
      <alignment horizontal="left" vertical="center" wrapText="1"/>
    </xf>
    <xf numFmtId="0" fontId="1" fillId="0" borderId="9" xfId="0" applyFont="1" applyBorder="1" applyAlignment="1" applyProtection="1">
      <alignment horizontal="right" vertical="center" wrapText="1"/>
    </xf>
    <xf numFmtId="9" fontId="1" fillId="0" borderId="1" xfId="11" applyFont="1" applyFill="1" applyBorder="1" applyAlignment="1" applyProtection="1">
      <alignment horizontal="left" vertical="center" wrapText="1"/>
    </xf>
    <xf numFmtId="9" fontId="12" fillId="0" borderId="2" xfId="0" applyNumberFormat="1" applyFont="1" applyFill="1" applyBorder="1" applyAlignment="1" applyProtection="1">
      <alignment horizontal="left" vertical="center" wrapText="1"/>
    </xf>
    <xf numFmtId="9" fontId="12" fillId="0" borderId="4" xfId="0" applyNumberFormat="1" applyFont="1" applyFill="1" applyBorder="1" applyAlignment="1" applyProtection="1">
      <alignment horizontal="left" vertical="center" wrapText="1"/>
    </xf>
    <xf numFmtId="0" fontId="1" fillId="0" borderId="0" xfId="0" applyFont="1" applyProtection="1">
      <alignment vertical="center"/>
    </xf>
    <xf numFmtId="10" fontId="1" fillId="0" borderId="1" xfId="11" applyNumberFormat="1" applyFont="1" applyBorder="1" applyAlignment="1" applyProtection="1">
      <alignment horizontal="center" vertical="center" wrapText="1"/>
    </xf>
    <xf numFmtId="9" fontId="12" fillId="0" borderId="1" xfId="0" applyNumberFormat="1" applyFont="1" applyFill="1" applyBorder="1" applyAlignment="1" applyProtection="1">
      <alignment vertical="center" wrapText="1"/>
    </xf>
    <xf numFmtId="0" fontId="1" fillId="0" borderId="0" xfId="0" applyFont="1" applyAlignment="1" applyProtection="1">
      <alignment horizontal="center"/>
    </xf>
    <xf numFmtId="0" fontId="5" fillId="0" borderId="0" xfId="0" applyFont="1" applyAlignment="1" applyProtection="1">
      <alignment vertical="center" wrapText="1"/>
    </xf>
    <xf numFmtId="0" fontId="2" fillId="0" borderId="0" xfId="52" applyFont="1" applyFill="1" applyAlignment="1" applyProtection="1">
      <alignment horizontal="left" vertical="center"/>
    </xf>
    <xf numFmtId="0" fontId="3" fillId="0" borderId="0" xfId="52" applyFont="1" applyFill="1" applyBorder="1" applyAlignment="1" applyProtection="1">
      <alignment vertical="center" wrapText="1"/>
    </xf>
    <xf numFmtId="0" fontId="13" fillId="0" borderId="0" xfId="52">
      <alignment vertical="center"/>
    </xf>
    <xf numFmtId="0" fontId="4" fillId="0" borderId="0" xfId="52" applyFont="1" applyFill="1" applyBorder="1" applyAlignment="1" applyProtection="1">
      <alignment horizontal="center" vertical="center" wrapText="1"/>
    </xf>
    <xf numFmtId="0" fontId="5" fillId="0" borderId="0" xfId="52" applyFont="1" applyFill="1" applyBorder="1" applyAlignment="1" applyProtection="1">
      <alignment horizontal="center" vertical="center" wrapText="1"/>
    </xf>
    <xf numFmtId="0" fontId="5" fillId="0" borderId="1" xfId="52" applyFont="1" applyFill="1" applyBorder="1" applyAlignment="1" applyProtection="1">
      <alignment horizontal="center" vertical="center" wrapText="1"/>
    </xf>
    <xf numFmtId="0" fontId="5" fillId="0" borderId="2" xfId="52" applyFont="1" applyFill="1" applyBorder="1" applyAlignment="1" applyProtection="1">
      <alignment horizontal="center" vertical="center" wrapText="1"/>
    </xf>
    <xf numFmtId="0" fontId="5" fillId="0" borderId="3" xfId="52" applyFont="1" applyFill="1" applyBorder="1" applyAlignment="1" applyProtection="1">
      <alignment horizontal="center" vertical="center" wrapText="1"/>
    </xf>
    <xf numFmtId="0" fontId="5" fillId="0" borderId="4" xfId="52" applyFont="1" applyFill="1" applyBorder="1" applyAlignment="1" applyProtection="1">
      <alignment horizontal="center" vertical="center" wrapText="1"/>
    </xf>
    <xf numFmtId="0" fontId="6" fillId="0" borderId="5" xfId="52" applyFont="1" applyFill="1" applyBorder="1" applyAlignment="1" applyProtection="1">
      <alignment horizontal="center" vertical="center" wrapText="1"/>
    </xf>
    <xf numFmtId="0" fontId="6" fillId="0" borderId="6" xfId="52" applyFont="1" applyFill="1" applyBorder="1" applyAlignment="1" applyProtection="1">
      <alignment horizontal="center" vertical="center" wrapText="1"/>
    </xf>
    <xf numFmtId="0" fontId="6" fillId="0" borderId="2" xfId="52" applyFont="1" applyFill="1" applyBorder="1" applyAlignment="1" applyProtection="1">
      <alignment horizontal="center" vertical="center"/>
    </xf>
    <xf numFmtId="0" fontId="6" fillId="0" borderId="3" xfId="52" applyFont="1" applyFill="1" applyBorder="1" applyAlignment="1" applyProtection="1">
      <alignment horizontal="center" vertical="center"/>
    </xf>
    <xf numFmtId="0" fontId="6" fillId="0" borderId="4" xfId="52" applyFont="1" applyFill="1" applyBorder="1" applyAlignment="1" applyProtection="1">
      <alignment horizontal="center" vertical="center"/>
    </xf>
    <xf numFmtId="0" fontId="6" fillId="0" borderId="2" xfId="52" applyFont="1" applyFill="1" applyBorder="1" applyAlignment="1" applyProtection="1">
      <alignment horizontal="center" vertical="center" wrapText="1"/>
    </xf>
    <xf numFmtId="0" fontId="6" fillId="0" borderId="7" xfId="52" applyFont="1" applyFill="1" applyBorder="1" applyAlignment="1" applyProtection="1">
      <alignment horizontal="center" vertical="center" wrapText="1"/>
    </xf>
    <xf numFmtId="0" fontId="6" fillId="0" borderId="8" xfId="52" applyFont="1" applyFill="1" applyBorder="1" applyAlignment="1" applyProtection="1">
      <alignment horizontal="center" vertical="center" wrapText="1"/>
    </xf>
    <xf numFmtId="0" fontId="1" fillId="0" borderId="4" xfId="52" applyFont="1" applyFill="1" applyBorder="1" applyAlignment="1" applyProtection="1">
      <alignment horizontal="center" vertical="center" wrapText="1"/>
    </xf>
    <xf numFmtId="0" fontId="1" fillId="0" borderId="1" xfId="52" applyFont="1" applyFill="1" applyBorder="1" applyAlignment="1" applyProtection="1">
      <alignment horizontal="center" vertical="center" wrapText="1"/>
    </xf>
    <xf numFmtId="0" fontId="1" fillId="0" borderId="0" xfId="52" applyFont="1" applyFill="1" applyBorder="1" applyAlignment="1" applyProtection="1">
      <alignment horizontal="center" vertical="center" wrapText="1"/>
    </xf>
    <xf numFmtId="0" fontId="1" fillId="0" borderId="1" xfId="52" applyFont="1" applyFill="1" applyBorder="1" applyAlignment="1" applyProtection="1">
      <alignment horizontal="left" vertical="center" wrapText="1"/>
    </xf>
    <xf numFmtId="43" fontId="1" fillId="0" borderId="1" xfId="54" applyNumberFormat="1" applyFont="1" applyFill="1" applyBorder="1" applyAlignment="1" applyProtection="1">
      <alignment horizontal="center" vertical="center"/>
    </xf>
    <xf numFmtId="0" fontId="1" fillId="0" borderId="1" xfId="52" applyFont="1" applyFill="1" applyBorder="1" applyAlignment="1" applyProtection="1">
      <alignment horizontal="center" vertical="center"/>
    </xf>
    <xf numFmtId="43" fontId="6" fillId="0" borderId="1" xfId="54" applyFont="1" applyFill="1" applyBorder="1" applyAlignment="1" applyProtection="1">
      <alignment horizontal="center" vertical="center" wrapText="1"/>
    </xf>
    <xf numFmtId="43" fontId="1" fillId="0" borderId="1" xfId="54" applyFont="1" applyFill="1" applyBorder="1" applyAlignment="1" applyProtection="1">
      <alignment horizontal="center" vertical="center" wrapText="1"/>
    </xf>
    <xf numFmtId="0" fontId="7" fillId="0" borderId="1" xfId="52" applyFont="1" applyFill="1" applyBorder="1" applyAlignment="1" applyProtection="1">
      <alignment horizontal="left" vertical="center" wrapText="1"/>
    </xf>
    <xf numFmtId="0" fontId="6" fillId="0" borderId="1" xfId="52" applyFont="1" applyFill="1" applyBorder="1" applyAlignment="1" applyProtection="1">
      <alignment horizontal="center" vertical="center" wrapText="1"/>
    </xf>
    <xf numFmtId="0" fontId="5" fillId="0" borderId="2" xfId="52" applyFont="1" applyFill="1" applyBorder="1" applyAlignment="1" applyProtection="1">
      <alignment horizontal="left" vertical="top" wrapText="1"/>
    </xf>
    <xf numFmtId="0" fontId="5" fillId="0" borderId="3" xfId="52" applyFont="1" applyFill="1" applyBorder="1" applyAlignment="1" applyProtection="1">
      <alignment horizontal="left" vertical="top" wrapText="1"/>
    </xf>
    <xf numFmtId="0" fontId="5" fillId="0" borderId="4" xfId="52" applyFont="1" applyFill="1" applyBorder="1" applyAlignment="1" applyProtection="1">
      <alignment horizontal="left" vertical="top" wrapText="1"/>
    </xf>
    <xf numFmtId="0" fontId="5" fillId="0" borderId="1" xfId="52" applyFont="1" applyFill="1" applyBorder="1" applyAlignment="1" applyProtection="1">
      <alignment horizontal="left" vertical="top" wrapText="1"/>
    </xf>
    <xf numFmtId="0" fontId="5" fillId="0" borderId="9" xfId="52" applyFont="1" applyFill="1" applyBorder="1" applyAlignment="1" applyProtection="1">
      <alignment horizontal="center" vertical="center" wrapText="1"/>
    </xf>
    <xf numFmtId="0" fontId="5" fillId="0" borderId="10" xfId="52" applyFont="1" applyFill="1" applyBorder="1" applyAlignment="1" applyProtection="1">
      <alignment horizontal="center" vertical="center" wrapText="1"/>
    </xf>
    <xf numFmtId="0" fontId="5" fillId="0" borderId="1" xfId="52" applyFont="1" applyFill="1" applyBorder="1" applyAlignment="1" applyProtection="1">
      <alignment vertical="center" wrapText="1"/>
    </xf>
    <xf numFmtId="9" fontId="5" fillId="0" borderId="2" xfId="52" applyNumberFormat="1" applyFont="1" applyFill="1" applyBorder="1" applyAlignment="1" applyProtection="1">
      <alignment horizontal="left" vertical="center" wrapText="1"/>
    </xf>
    <xf numFmtId="9" fontId="5" fillId="0" borderId="4" xfId="52" applyNumberFormat="1" applyFont="1" applyFill="1" applyBorder="1" applyAlignment="1" applyProtection="1">
      <alignment horizontal="left" vertical="center" wrapText="1"/>
    </xf>
    <xf numFmtId="0" fontId="14" fillId="0" borderId="1" xfId="52" applyFont="1" applyFill="1" applyBorder="1" applyAlignment="1" applyProtection="1">
      <alignment horizontal="center" vertical="center" wrapText="1"/>
    </xf>
    <xf numFmtId="9" fontId="5" fillId="0" borderId="1" xfId="52" applyNumberFormat="1" applyFont="1" applyFill="1" applyBorder="1" applyAlignment="1" applyProtection="1">
      <alignment horizontal="left" vertical="center" wrapText="1"/>
    </xf>
    <xf numFmtId="0" fontId="5" fillId="0" borderId="4" xfId="52" applyFont="1" applyFill="1" applyBorder="1" applyAlignment="1" applyProtection="1">
      <alignment horizontal="left" vertical="center" wrapText="1"/>
    </xf>
    <xf numFmtId="9" fontId="5" fillId="0" borderId="1" xfId="50" applyFont="1" applyBorder="1" applyAlignment="1" applyProtection="1">
      <alignment horizontal="center" vertical="center" wrapText="1"/>
    </xf>
    <xf numFmtId="9" fontId="5" fillId="0" borderId="1" xfId="52" applyNumberFormat="1" applyFont="1" applyFill="1" applyBorder="1" applyAlignment="1" applyProtection="1">
      <alignment horizontal="center" vertical="center" wrapText="1"/>
    </xf>
    <xf numFmtId="0" fontId="5" fillId="0" borderId="1" xfId="52" applyFont="1" applyFill="1" applyBorder="1" applyAlignment="1" applyProtection="1">
      <alignment horizontal="left" vertical="center" wrapText="1"/>
    </xf>
    <xf numFmtId="0" fontId="8" fillId="0" borderId="1" xfId="52" applyFont="1" applyFill="1" applyBorder="1" applyAlignment="1" applyProtection="1">
      <alignment horizontal="center" vertical="center" wrapText="1"/>
    </xf>
    <xf numFmtId="0" fontId="5" fillId="0" borderId="2" xfId="52" applyFont="1" applyFill="1" applyBorder="1" applyAlignment="1" applyProtection="1">
      <alignment horizontal="left" vertical="center" wrapText="1"/>
    </xf>
    <xf numFmtId="0" fontId="5" fillId="0" borderId="1" xfId="51" applyFont="1" applyBorder="1" applyAlignment="1" applyProtection="1">
      <alignment vertical="center" wrapText="1"/>
    </xf>
    <xf numFmtId="9" fontId="15" fillId="0" borderId="2" xfId="51" applyNumberFormat="1" applyFont="1" applyFill="1" applyBorder="1" applyAlignment="1" applyProtection="1">
      <alignment horizontal="left" vertical="center" wrapText="1"/>
    </xf>
    <xf numFmtId="9" fontId="15" fillId="0" borderId="4" xfId="51" applyNumberFormat="1" applyFont="1" applyFill="1" applyBorder="1" applyAlignment="1" applyProtection="1">
      <alignment horizontal="left" vertical="center" wrapText="1"/>
    </xf>
    <xf numFmtId="9" fontId="0" fillId="0" borderId="1" xfId="51" applyNumberFormat="1" applyFont="1" applyFill="1" applyBorder="1" applyAlignment="1" applyProtection="1">
      <alignment horizontal="center" vertical="center" wrapText="1"/>
    </xf>
    <xf numFmtId="0" fontId="6" fillId="0" borderId="3" xfId="52" applyFont="1" applyFill="1" applyBorder="1" applyAlignment="1" applyProtection="1">
      <alignment horizontal="center" vertical="center" wrapText="1"/>
    </xf>
    <xf numFmtId="0" fontId="6" fillId="0" borderId="4" xfId="52" applyFont="1" applyFill="1" applyBorder="1" applyAlignment="1" applyProtection="1">
      <alignment horizontal="center" vertical="center" wrapText="1"/>
    </xf>
    <xf numFmtId="0" fontId="1" fillId="0" borderId="0" xfId="52" applyFont="1" applyFill="1" applyBorder="1" applyAlignment="1" applyProtection="1">
      <alignment vertical="center"/>
    </xf>
    <xf numFmtId="43" fontId="1" fillId="0" borderId="1" xfId="52" applyNumberFormat="1" applyFont="1" applyFill="1" applyBorder="1" applyAlignment="1" applyProtection="1">
      <alignment horizontal="center" vertical="center"/>
    </xf>
    <xf numFmtId="9" fontId="1" fillId="0" borderId="1" xfId="11" applyFont="1" applyFill="1" applyBorder="1" applyAlignment="1" applyProtection="1">
      <alignment horizontal="center" vertical="center"/>
    </xf>
    <xf numFmtId="0" fontId="5" fillId="0" borderId="1" xfId="52" applyFont="1" applyFill="1" applyBorder="1" applyAlignment="1" applyProtection="1">
      <alignment horizontal="right" vertical="center" wrapText="1"/>
    </xf>
    <xf numFmtId="0" fontId="5" fillId="0" borderId="1" xfId="51" applyFont="1" applyBorder="1" applyAlignment="1" applyProtection="1">
      <alignment horizontal="right" vertical="center" wrapText="1"/>
    </xf>
    <xf numFmtId="43" fontId="1" fillId="0" borderId="1" xfId="54" applyFont="1" applyFill="1" applyBorder="1" applyAlignment="1" applyProtection="1">
      <alignment horizontal="center" vertical="center"/>
    </xf>
    <xf numFmtId="9" fontId="0" fillId="0" borderId="2" xfId="51" applyNumberFormat="1" applyFont="1" applyFill="1" applyBorder="1" applyAlignment="1" applyProtection="1">
      <alignment horizontal="center" vertical="center" wrapText="1"/>
    </xf>
    <xf numFmtId="0" fontId="5" fillId="0" borderId="2" xfId="51" applyFont="1" applyBorder="1" applyAlignment="1" applyProtection="1">
      <alignment horizontal="left" vertical="center" wrapText="1"/>
    </xf>
    <xf numFmtId="0" fontId="5" fillId="0" borderId="4" xfId="51" applyFont="1" applyBorder="1" applyAlignment="1" applyProtection="1">
      <alignment horizontal="left" vertical="center" wrapText="1"/>
    </xf>
    <xf numFmtId="0" fontId="5" fillId="0" borderId="1" xfId="51" applyFont="1" applyBorder="1" applyAlignment="1" applyProtection="1">
      <alignment horizontal="center" vertical="center" wrapText="1"/>
    </xf>
    <xf numFmtId="10" fontId="6" fillId="0" borderId="1" xfId="50" applyNumberFormat="1" applyFont="1" applyFill="1" applyBorder="1" applyAlignment="1" applyProtection="1">
      <alignment horizontal="center" vertical="center" wrapText="1"/>
    </xf>
    <xf numFmtId="10" fontId="1" fillId="0" borderId="1" xfId="50" applyNumberFormat="1" applyFont="1" applyFill="1" applyBorder="1" applyAlignment="1" applyProtection="1">
      <alignment horizontal="center" vertical="center"/>
    </xf>
    <xf numFmtId="0" fontId="4" fillId="0" borderId="0" xfId="0" applyFont="1" applyAlignment="1" applyProtection="1">
      <alignment horizontal="center" vertical="center" wrapText="1"/>
    </xf>
    <xf numFmtId="0" fontId="5" fillId="0" borderId="0" xfId="0" applyFont="1" applyAlignment="1" applyProtection="1">
      <alignment horizontal="center" vertical="center" wrapText="1"/>
    </xf>
    <xf numFmtId="0" fontId="5" fillId="0" borderId="1"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0" fontId="6" fillId="0" borderId="5" xfId="0" applyFont="1" applyBorder="1" applyAlignment="1" applyProtection="1">
      <alignment horizontal="center" vertical="center" wrapText="1"/>
    </xf>
    <xf numFmtId="0" fontId="6" fillId="0" borderId="6" xfId="0" applyFont="1" applyBorder="1" applyAlignment="1" applyProtection="1">
      <alignment horizontal="center" vertical="center" wrapText="1"/>
    </xf>
    <xf numFmtId="0" fontId="6" fillId="0" borderId="2" xfId="0" applyFont="1" applyBorder="1" applyAlignment="1" applyProtection="1">
      <alignment horizontal="center" vertical="center"/>
    </xf>
    <xf numFmtId="0" fontId="6" fillId="0" borderId="3" xfId="0" applyFont="1" applyBorder="1" applyAlignment="1" applyProtection="1">
      <alignment horizontal="center" vertical="center"/>
    </xf>
    <xf numFmtId="0" fontId="6" fillId="0" borderId="4" xfId="0" applyFont="1" applyBorder="1" applyAlignment="1" applyProtection="1">
      <alignment horizontal="center" vertical="center"/>
    </xf>
    <xf numFmtId="0" fontId="6" fillId="0" borderId="2" xfId="0" applyFont="1" applyBorder="1" applyAlignment="1" applyProtection="1">
      <alignment horizontal="center" vertical="center" wrapText="1"/>
    </xf>
    <xf numFmtId="0" fontId="6" fillId="0" borderId="7" xfId="0" applyFont="1" applyBorder="1" applyAlignment="1" applyProtection="1">
      <alignment horizontal="center" vertical="center" wrapText="1"/>
    </xf>
    <xf numFmtId="0" fontId="6" fillId="0" borderId="8" xfId="0" applyFont="1" applyBorder="1" applyAlignment="1" applyProtection="1">
      <alignment horizontal="center" vertical="center" wrapText="1"/>
    </xf>
    <xf numFmtId="43" fontId="6" fillId="0" borderId="1" xfId="8" applyFont="1" applyBorder="1" applyAlignment="1" applyProtection="1">
      <alignment horizontal="center" vertical="center" wrapText="1"/>
    </xf>
    <xf numFmtId="0" fontId="7" fillId="0" borderId="1" xfId="0" applyFont="1" applyBorder="1" applyAlignment="1" applyProtection="1">
      <alignment horizontal="left" vertical="center" wrapText="1"/>
    </xf>
    <xf numFmtId="0" fontId="6" fillId="0" borderId="1" xfId="0" applyFont="1" applyBorder="1" applyAlignment="1" applyProtection="1">
      <alignment horizontal="center" vertical="center" wrapText="1"/>
    </xf>
    <xf numFmtId="43" fontId="1" fillId="0" borderId="1" xfId="8" applyFont="1" applyBorder="1" applyAlignment="1" applyProtection="1">
      <alignment horizontal="center" vertical="center"/>
    </xf>
    <xf numFmtId="0" fontId="6" fillId="0" borderId="9"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10" xfId="0" applyFont="1" applyBorder="1" applyAlignment="1" applyProtection="1">
      <alignment horizontal="center" vertical="center" wrapText="1"/>
    </xf>
    <xf numFmtId="0" fontId="6" fillId="0" borderId="1" xfId="0" applyFont="1" applyFill="1" applyBorder="1" applyAlignment="1" applyProtection="1">
      <alignment vertical="center" wrapText="1"/>
    </xf>
    <xf numFmtId="0" fontId="6" fillId="0" borderId="2" xfId="0" applyFont="1" applyFill="1" applyBorder="1" applyAlignment="1" applyProtection="1">
      <alignment horizontal="left" vertical="center" wrapText="1"/>
    </xf>
    <xf numFmtId="0" fontId="6" fillId="0" borderId="4" xfId="0" applyFont="1" applyFill="1" applyBorder="1" applyAlignment="1" applyProtection="1">
      <alignment horizontal="left" vertical="center" wrapText="1"/>
    </xf>
    <xf numFmtId="0" fontId="14" fillId="0" borderId="1" xfId="0" applyFont="1" applyFill="1" applyBorder="1" applyAlignment="1" applyProtection="1">
      <alignment horizontal="center" vertical="center" wrapText="1"/>
    </xf>
    <xf numFmtId="9" fontId="6" fillId="0" borderId="1" xfId="11" applyFont="1" applyFill="1" applyBorder="1" applyAlignment="1" applyProtection="1">
      <alignment horizontal="center" vertical="center" wrapText="1"/>
    </xf>
    <xf numFmtId="9" fontId="0" fillId="0" borderId="2" xfId="0" applyNumberFormat="1" applyFont="1" applyFill="1" applyBorder="1" applyAlignment="1" applyProtection="1">
      <alignment horizontal="left" vertical="center" wrapText="1"/>
    </xf>
    <xf numFmtId="9" fontId="0" fillId="0" borderId="2" xfId="0" applyNumberFormat="1" applyFont="1" applyFill="1" applyBorder="1" applyAlignment="1" applyProtection="1">
      <alignment horizontal="center" vertical="center" wrapText="1"/>
    </xf>
    <xf numFmtId="0" fontId="6" fillId="0" borderId="3" xfId="0" applyFont="1" applyBorder="1" applyAlignment="1" applyProtection="1">
      <alignment horizontal="center" vertical="center" wrapText="1"/>
    </xf>
    <xf numFmtId="43" fontId="1" fillId="0" borderId="1" xfId="0" applyNumberFormat="1" applyFont="1" applyBorder="1" applyAlignment="1" applyProtection="1">
      <alignment horizontal="center" vertical="center"/>
    </xf>
    <xf numFmtId="10" fontId="6" fillId="0" borderId="1" xfId="11" applyNumberFormat="1" applyFont="1" applyBorder="1" applyAlignment="1" applyProtection="1">
      <alignment horizontal="center" vertical="center" wrapText="1"/>
    </xf>
    <xf numFmtId="10" fontId="1" fillId="0" borderId="1" xfId="11" applyNumberFormat="1" applyFont="1" applyBorder="1" applyAlignment="1" applyProtection="1">
      <alignment horizontal="center" vertical="center"/>
    </xf>
    <xf numFmtId="0" fontId="6" fillId="0" borderId="1" xfId="0" applyFont="1" applyFill="1" applyBorder="1" applyAlignment="1" applyProtection="1">
      <alignment horizontal="right" vertical="center" wrapText="1"/>
    </xf>
    <xf numFmtId="0" fontId="6" fillId="0" borderId="1" xfId="0" applyFont="1" applyBorder="1" applyAlignment="1" applyProtection="1">
      <alignment horizontal="right" vertical="center" wrapText="1"/>
    </xf>
    <xf numFmtId="0" fontId="2" fillId="0" borderId="0" xfId="0" applyFont="1" applyProtection="1">
      <alignment vertical="center"/>
    </xf>
    <xf numFmtId="43" fontId="6" fillId="0" borderId="1" xfId="8" applyNumberFormat="1" applyFont="1" applyBorder="1" applyAlignment="1" applyProtection="1">
      <alignment horizontal="center" vertical="center" wrapText="1"/>
    </xf>
    <xf numFmtId="43" fontId="1" fillId="0" borderId="1" xfId="8" applyNumberFormat="1" applyFont="1" applyBorder="1" applyAlignment="1" applyProtection="1">
      <alignment horizontal="center" vertical="center" wrapText="1"/>
    </xf>
    <xf numFmtId="0" fontId="5" fillId="0" borderId="2" xfId="0" applyFont="1" applyBorder="1" applyAlignment="1" applyProtection="1">
      <alignment horizontal="left" vertical="top" wrapText="1"/>
    </xf>
    <xf numFmtId="0" fontId="5" fillId="0" borderId="3" xfId="0" applyFont="1" applyBorder="1" applyAlignment="1" applyProtection="1">
      <alignment horizontal="left" vertical="top" wrapText="1"/>
    </xf>
    <xf numFmtId="0" fontId="5" fillId="0" borderId="4" xfId="0" applyFont="1" applyBorder="1" applyAlignment="1" applyProtection="1">
      <alignment horizontal="left" vertical="top" wrapText="1"/>
    </xf>
    <xf numFmtId="0" fontId="5" fillId="0" borderId="1" xfId="0" applyFont="1" applyBorder="1" applyAlignment="1" applyProtection="1">
      <alignment horizontal="left" vertical="top" wrapText="1"/>
    </xf>
    <xf numFmtId="0" fontId="5" fillId="0" borderId="9" xfId="0" applyFont="1" applyBorder="1" applyAlignment="1" applyProtection="1">
      <alignment horizontal="center" vertical="center" wrapText="1"/>
    </xf>
    <xf numFmtId="0" fontId="5" fillId="0" borderId="10" xfId="0" applyFont="1" applyBorder="1" applyAlignment="1" applyProtection="1">
      <alignment horizontal="center" vertical="center" wrapText="1"/>
    </xf>
    <xf numFmtId="9" fontId="5" fillId="0" borderId="1" xfId="11" applyFont="1" applyBorder="1" applyAlignment="1" applyProtection="1">
      <alignment horizontal="center" vertical="center" wrapText="1"/>
    </xf>
    <xf numFmtId="176" fontId="5" fillId="0" borderId="1" xfId="8" applyNumberFormat="1" applyFont="1" applyBorder="1" applyAlignment="1" applyProtection="1">
      <alignment horizontal="center" vertical="center" wrapText="1"/>
    </xf>
    <xf numFmtId="4" fontId="1" fillId="0" borderId="1" xfId="0" applyNumberFormat="1" applyFont="1" applyBorder="1" applyAlignment="1" applyProtection="1">
      <alignment horizontal="center" vertical="center"/>
    </xf>
    <xf numFmtId="0" fontId="5" fillId="0" borderId="1" xfId="0" applyFont="1" applyBorder="1" applyAlignment="1" applyProtection="1">
      <alignment horizontal="right" vertical="center" wrapText="1"/>
    </xf>
    <xf numFmtId="9" fontId="5" fillId="0" borderId="1" xfId="11" applyNumberFormat="1" applyFont="1" applyBorder="1" applyAlignment="1" applyProtection="1">
      <alignment horizontal="center" vertical="center" wrapText="1"/>
    </xf>
    <xf numFmtId="10" fontId="5" fillId="0" borderId="1" xfId="11" applyNumberFormat="1"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5" fillId="0" borderId="2" xfId="0" applyFont="1" applyBorder="1" applyAlignment="1" applyProtection="1">
      <alignment horizontal="left" vertical="center" wrapText="1"/>
    </xf>
    <xf numFmtId="0" fontId="5" fillId="0" borderId="4" xfId="0" applyFont="1" applyBorder="1" applyAlignment="1" applyProtection="1">
      <alignment horizontal="left" vertical="center" wrapText="1"/>
    </xf>
    <xf numFmtId="0" fontId="5" fillId="0" borderId="9" xfId="0" applyFont="1" applyBorder="1" applyAlignment="1" applyProtection="1">
      <alignment vertical="center" wrapText="1"/>
    </xf>
    <xf numFmtId="0" fontId="8" fillId="0" borderId="1" xfId="0" applyFont="1" applyBorder="1" applyAlignment="1" applyProtection="1">
      <alignment horizontal="center"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百分比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百分比 3" xfId="50"/>
    <cellStyle name="常规 2" xfId="51"/>
    <cellStyle name="常规 3" xfId="52"/>
    <cellStyle name="千位分隔 2" xfId="53"/>
    <cellStyle name="千位分隔 3" xfId="54"/>
  </cellStyles>
  <colors>
    <mruColors>
      <color rgb="00000000"/>
    </mruColors>
  </colors>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22</xdr:row>
      <xdr:rowOff>28575</xdr:rowOff>
    </xdr:from>
    <xdr:to>
      <xdr:col>10</xdr:col>
      <xdr:colOff>895350</xdr:colOff>
      <xdr:row>22</xdr:row>
      <xdr:rowOff>333375</xdr:rowOff>
    </xdr:to>
    <xdr:cxnSp>
      <xdr:nvCxnSpPr>
        <xdr:cNvPr id="2" name="直接连接符 1"/>
        <xdr:cNvCxnSpPr/>
      </xdr:nvCxnSpPr>
      <xdr:spPr>
        <a:xfrm flipV="1">
          <a:off x="2324100" y="8324850"/>
          <a:ext cx="9353550" cy="304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34</xdr:row>
      <xdr:rowOff>19050</xdr:rowOff>
    </xdr:from>
    <xdr:to>
      <xdr:col>10</xdr:col>
      <xdr:colOff>847725</xdr:colOff>
      <xdr:row>34</xdr:row>
      <xdr:rowOff>323850</xdr:rowOff>
    </xdr:to>
    <xdr:cxnSp>
      <xdr:nvCxnSpPr>
        <xdr:cNvPr id="3" name="直接连接符 3"/>
        <xdr:cNvCxnSpPr/>
      </xdr:nvCxnSpPr>
      <xdr:spPr>
        <a:xfrm flipV="1">
          <a:off x="2324100" y="12658725"/>
          <a:ext cx="9305925" cy="304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28575</xdr:colOff>
      <xdr:row>28</xdr:row>
      <xdr:rowOff>76200</xdr:rowOff>
    </xdr:from>
    <xdr:to>
      <xdr:col>10</xdr:col>
      <xdr:colOff>904875</xdr:colOff>
      <xdr:row>32</xdr:row>
      <xdr:rowOff>257175</xdr:rowOff>
    </xdr:to>
    <xdr:cxnSp>
      <xdr:nvCxnSpPr>
        <xdr:cNvPr id="4" name="直接连接符 4"/>
        <xdr:cNvCxnSpPr/>
      </xdr:nvCxnSpPr>
      <xdr:spPr>
        <a:xfrm flipV="1">
          <a:off x="2305050" y="10544175"/>
          <a:ext cx="9382125" cy="16287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57150</xdr:colOff>
      <xdr:row>24</xdr:row>
      <xdr:rowOff>66675</xdr:rowOff>
    </xdr:from>
    <xdr:to>
      <xdr:col>10</xdr:col>
      <xdr:colOff>885825</xdr:colOff>
      <xdr:row>26</xdr:row>
      <xdr:rowOff>295275</xdr:rowOff>
    </xdr:to>
    <xdr:cxnSp>
      <xdr:nvCxnSpPr>
        <xdr:cNvPr id="5" name="直接连接符 5"/>
        <xdr:cNvCxnSpPr/>
      </xdr:nvCxnSpPr>
      <xdr:spPr>
        <a:xfrm flipV="1">
          <a:off x="2333625" y="9086850"/>
          <a:ext cx="9334500" cy="9525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19050</xdr:colOff>
      <xdr:row>35</xdr:row>
      <xdr:rowOff>38100</xdr:rowOff>
    </xdr:from>
    <xdr:to>
      <xdr:col>10</xdr:col>
      <xdr:colOff>933450</xdr:colOff>
      <xdr:row>35</xdr:row>
      <xdr:rowOff>333375</xdr:rowOff>
    </xdr:to>
    <xdr:cxnSp>
      <xdr:nvCxnSpPr>
        <xdr:cNvPr id="2" name="直接连接符 2"/>
        <xdr:cNvCxnSpPr/>
      </xdr:nvCxnSpPr>
      <xdr:spPr>
        <a:xfrm flipV="1">
          <a:off x="2295525" y="12449175"/>
          <a:ext cx="8810625" cy="2952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29</xdr:row>
      <xdr:rowOff>47625</xdr:rowOff>
    </xdr:from>
    <xdr:to>
      <xdr:col>10</xdr:col>
      <xdr:colOff>923925</xdr:colOff>
      <xdr:row>33</xdr:row>
      <xdr:rowOff>295275</xdr:rowOff>
    </xdr:to>
    <xdr:cxnSp>
      <xdr:nvCxnSpPr>
        <xdr:cNvPr id="3" name="直接连接符 3"/>
        <xdr:cNvCxnSpPr/>
      </xdr:nvCxnSpPr>
      <xdr:spPr>
        <a:xfrm flipV="1">
          <a:off x="2324100" y="10287000"/>
          <a:ext cx="8772525" cy="1695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25</xdr:row>
      <xdr:rowOff>66675</xdr:rowOff>
    </xdr:from>
    <xdr:to>
      <xdr:col>10</xdr:col>
      <xdr:colOff>800100</xdr:colOff>
      <xdr:row>27</xdr:row>
      <xdr:rowOff>314325</xdr:rowOff>
    </xdr:to>
    <xdr:cxnSp>
      <xdr:nvCxnSpPr>
        <xdr:cNvPr id="4" name="直接连接符 4"/>
        <xdr:cNvCxnSpPr/>
      </xdr:nvCxnSpPr>
      <xdr:spPr>
        <a:xfrm flipV="1">
          <a:off x="2324100" y="8858250"/>
          <a:ext cx="8648700" cy="971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38100</xdr:colOff>
      <xdr:row>23</xdr:row>
      <xdr:rowOff>47625</xdr:rowOff>
    </xdr:from>
    <xdr:to>
      <xdr:col>10</xdr:col>
      <xdr:colOff>904875</xdr:colOff>
      <xdr:row>23</xdr:row>
      <xdr:rowOff>323850</xdr:rowOff>
    </xdr:to>
    <xdr:cxnSp>
      <xdr:nvCxnSpPr>
        <xdr:cNvPr id="2" name="直接连接符 1"/>
        <xdr:cNvCxnSpPr/>
      </xdr:nvCxnSpPr>
      <xdr:spPr>
        <a:xfrm flipV="1">
          <a:off x="2314575" y="8115300"/>
          <a:ext cx="11315700" cy="2762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35</xdr:row>
      <xdr:rowOff>38100</xdr:rowOff>
    </xdr:from>
    <xdr:to>
      <xdr:col>10</xdr:col>
      <xdr:colOff>876300</xdr:colOff>
      <xdr:row>35</xdr:row>
      <xdr:rowOff>314325</xdr:rowOff>
    </xdr:to>
    <xdr:cxnSp>
      <xdr:nvCxnSpPr>
        <xdr:cNvPr id="3" name="直接连接符 3"/>
        <xdr:cNvCxnSpPr/>
      </xdr:nvCxnSpPr>
      <xdr:spPr>
        <a:xfrm flipV="1">
          <a:off x="2286000" y="12449175"/>
          <a:ext cx="11315700" cy="2762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29</xdr:row>
      <xdr:rowOff>95250</xdr:rowOff>
    </xdr:from>
    <xdr:to>
      <xdr:col>10</xdr:col>
      <xdr:colOff>895350</xdr:colOff>
      <xdr:row>33</xdr:row>
      <xdr:rowOff>304800</xdr:rowOff>
    </xdr:to>
    <xdr:cxnSp>
      <xdr:nvCxnSpPr>
        <xdr:cNvPr id="4" name="直接连接符 4"/>
        <xdr:cNvCxnSpPr/>
      </xdr:nvCxnSpPr>
      <xdr:spPr>
        <a:xfrm flipV="1">
          <a:off x="2324100" y="10334625"/>
          <a:ext cx="11296650" cy="1657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66675</xdr:colOff>
      <xdr:row>25</xdr:row>
      <xdr:rowOff>47625</xdr:rowOff>
    </xdr:from>
    <xdr:to>
      <xdr:col>10</xdr:col>
      <xdr:colOff>857250</xdr:colOff>
      <xdr:row>27</xdr:row>
      <xdr:rowOff>285750</xdr:rowOff>
    </xdr:to>
    <xdr:cxnSp>
      <xdr:nvCxnSpPr>
        <xdr:cNvPr id="5" name="直接连接符 5"/>
        <xdr:cNvCxnSpPr/>
      </xdr:nvCxnSpPr>
      <xdr:spPr>
        <a:xfrm flipV="1">
          <a:off x="2343150" y="8839200"/>
          <a:ext cx="11239500" cy="962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57150</xdr:colOff>
      <xdr:row>21</xdr:row>
      <xdr:rowOff>47625</xdr:rowOff>
    </xdr:from>
    <xdr:to>
      <xdr:col>10</xdr:col>
      <xdr:colOff>790575</xdr:colOff>
      <xdr:row>22</xdr:row>
      <xdr:rowOff>0</xdr:rowOff>
    </xdr:to>
    <xdr:cxnSp>
      <xdr:nvCxnSpPr>
        <xdr:cNvPr id="2" name="直接连接符 3"/>
        <xdr:cNvCxnSpPr/>
      </xdr:nvCxnSpPr>
      <xdr:spPr>
        <a:xfrm flipV="1">
          <a:off x="1962150" y="10344150"/>
          <a:ext cx="8686800" cy="2476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xdr:colOff>
      <xdr:row>23</xdr:row>
      <xdr:rowOff>66676</xdr:rowOff>
    </xdr:from>
    <xdr:to>
      <xdr:col>11</xdr:col>
      <xdr:colOff>0</xdr:colOff>
      <xdr:row>23</xdr:row>
      <xdr:rowOff>323850</xdr:rowOff>
    </xdr:to>
    <xdr:cxnSp>
      <xdr:nvCxnSpPr>
        <xdr:cNvPr id="3" name="直接连接符 6"/>
        <xdr:cNvCxnSpPr/>
      </xdr:nvCxnSpPr>
      <xdr:spPr>
        <a:xfrm flipV="1">
          <a:off x="1943100" y="11477625"/>
          <a:ext cx="8705850"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3</xdr:col>
      <xdr:colOff>57150</xdr:colOff>
      <xdr:row>21</xdr:row>
      <xdr:rowOff>47625</xdr:rowOff>
    </xdr:from>
    <xdr:to>
      <xdr:col>10</xdr:col>
      <xdr:colOff>781050</xdr:colOff>
      <xdr:row>22</xdr:row>
      <xdr:rowOff>0</xdr:rowOff>
    </xdr:to>
    <xdr:cxnSp>
      <xdr:nvCxnSpPr>
        <xdr:cNvPr id="2" name="直接连接符 3"/>
        <xdr:cNvCxnSpPr/>
      </xdr:nvCxnSpPr>
      <xdr:spPr>
        <a:xfrm flipV="1">
          <a:off x="2333625" y="10096500"/>
          <a:ext cx="8620125" cy="314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85725</xdr:colOff>
      <xdr:row>23</xdr:row>
      <xdr:rowOff>66675</xdr:rowOff>
    </xdr:from>
    <xdr:to>
      <xdr:col>10</xdr:col>
      <xdr:colOff>781050</xdr:colOff>
      <xdr:row>24</xdr:row>
      <xdr:rowOff>0</xdr:rowOff>
    </xdr:to>
    <xdr:cxnSp>
      <xdr:nvCxnSpPr>
        <xdr:cNvPr id="3" name="直接连接符 6"/>
        <xdr:cNvCxnSpPr/>
      </xdr:nvCxnSpPr>
      <xdr:spPr>
        <a:xfrm flipV="1">
          <a:off x="2362200" y="11418570"/>
          <a:ext cx="8591550" cy="2952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57150</xdr:colOff>
      <xdr:row>21</xdr:row>
      <xdr:rowOff>47625</xdr:rowOff>
    </xdr:from>
    <xdr:to>
      <xdr:col>10</xdr:col>
      <xdr:colOff>781050</xdr:colOff>
      <xdr:row>22</xdr:row>
      <xdr:rowOff>0</xdr:rowOff>
    </xdr:to>
    <xdr:cxnSp>
      <xdr:nvCxnSpPr>
        <xdr:cNvPr id="2" name="直接连接符 3"/>
        <xdr:cNvCxnSpPr/>
      </xdr:nvCxnSpPr>
      <xdr:spPr>
        <a:xfrm flipV="1">
          <a:off x="2333625" y="8264525"/>
          <a:ext cx="8620125" cy="314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85725</xdr:colOff>
      <xdr:row>23</xdr:row>
      <xdr:rowOff>66675</xdr:rowOff>
    </xdr:from>
    <xdr:to>
      <xdr:col>10</xdr:col>
      <xdr:colOff>781050</xdr:colOff>
      <xdr:row>24</xdr:row>
      <xdr:rowOff>0</xdr:rowOff>
    </xdr:to>
    <xdr:cxnSp>
      <xdr:nvCxnSpPr>
        <xdr:cNvPr id="3" name="直接连接符 6"/>
        <xdr:cNvCxnSpPr/>
      </xdr:nvCxnSpPr>
      <xdr:spPr>
        <a:xfrm flipV="1">
          <a:off x="2362200" y="9586595"/>
          <a:ext cx="8591550" cy="2952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19050</xdr:colOff>
      <xdr:row>23</xdr:row>
      <xdr:rowOff>95250</xdr:rowOff>
    </xdr:from>
    <xdr:to>
      <xdr:col>10</xdr:col>
      <xdr:colOff>685800</xdr:colOff>
      <xdr:row>24</xdr:row>
      <xdr:rowOff>0</xdr:rowOff>
    </xdr:to>
    <xdr:cxnSp>
      <xdr:nvCxnSpPr>
        <xdr:cNvPr id="2" name="直接连接符 3"/>
        <xdr:cNvCxnSpPr/>
      </xdr:nvCxnSpPr>
      <xdr:spPr>
        <a:xfrm flipV="1">
          <a:off x="2076450" y="7496175"/>
          <a:ext cx="5810250"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28575</xdr:colOff>
      <xdr:row>21</xdr:row>
      <xdr:rowOff>76200</xdr:rowOff>
    </xdr:from>
    <xdr:to>
      <xdr:col>10</xdr:col>
      <xdr:colOff>685800</xdr:colOff>
      <xdr:row>22</xdr:row>
      <xdr:rowOff>0</xdr:rowOff>
    </xdr:to>
    <xdr:cxnSp>
      <xdr:nvCxnSpPr>
        <xdr:cNvPr id="3" name="直接连接符 6"/>
        <xdr:cNvCxnSpPr/>
      </xdr:nvCxnSpPr>
      <xdr:spPr>
        <a:xfrm flipV="1">
          <a:off x="2085975" y="5648325"/>
          <a:ext cx="5800725"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3</xdr:col>
      <xdr:colOff>57150</xdr:colOff>
      <xdr:row>21</xdr:row>
      <xdr:rowOff>47625</xdr:rowOff>
    </xdr:from>
    <xdr:to>
      <xdr:col>10</xdr:col>
      <xdr:colOff>685800</xdr:colOff>
      <xdr:row>22</xdr:row>
      <xdr:rowOff>0</xdr:rowOff>
    </xdr:to>
    <xdr:cxnSp>
      <xdr:nvCxnSpPr>
        <xdr:cNvPr id="2" name="直接连接符 3"/>
        <xdr:cNvCxnSpPr/>
      </xdr:nvCxnSpPr>
      <xdr:spPr>
        <a:xfrm flipV="1">
          <a:off x="2114550" y="6019800"/>
          <a:ext cx="5429250" cy="314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685800</xdr:colOff>
      <xdr:row>23</xdr:row>
      <xdr:rowOff>66675</xdr:rowOff>
    </xdr:from>
    <xdr:to>
      <xdr:col>10</xdr:col>
      <xdr:colOff>685800</xdr:colOff>
      <xdr:row>24</xdr:row>
      <xdr:rowOff>542925</xdr:rowOff>
    </xdr:to>
    <xdr:cxnSp>
      <xdr:nvCxnSpPr>
        <xdr:cNvPr id="3" name="直接连接符 6"/>
        <xdr:cNvCxnSpPr/>
      </xdr:nvCxnSpPr>
      <xdr:spPr>
        <a:xfrm flipV="1">
          <a:off x="2057400" y="6762750"/>
          <a:ext cx="5486400" cy="838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L37"/>
  <sheetViews>
    <sheetView showGridLines="0" workbookViewId="0">
      <selection activeCell="H18" sqref="H18"/>
    </sheetView>
  </sheetViews>
  <sheetFormatPr defaultColWidth="9" defaultRowHeight="14.25"/>
  <cols>
    <col min="1" max="1" width="5.375" style="91"/>
    <col min="2" max="2" width="12.125" style="91"/>
    <col min="3" max="3" width="12.375" style="91"/>
    <col min="4" max="4" width="16.25" style="91"/>
    <col min="5" max="5" width="19.5" style="91"/>
    <col min="6" max="6" width="12.375" style="91"/>
    <col min="7" max="7" width="14" style="91"/>
    <col min="8" max="8" width="23.375" style="91" customWidth="1"/>
    <col min="9" max="9" width="14" style="91"/>
    <col min="10" max="10" width="12.125" style="91"/>
    <col min="11" max="11" width="12.625" style="91"/>
    <col min="12" max="16384" width="9" style="91"/>
  </cols>
  <sheetData>
    <row r="1" ht="16.5" customHeight="1" spans="1:6">
      <c r="A1" s="186" t="s">
        <v>0</v>
      </c>
      <c r="B1" s="53"/>
      <c r="C1" s="53"/>
      <c r="D1" s="53"/>
      <c r="E1" s="53"/>
      <c r="F1" s="53"/>
    </row>
    <row r="2" ht="33.75" customHeight="1" spans="1:11">
      <c r="A2" s="154" t="s">
        <v>1</v>
      </c>
      <c r="B2" s="154"/>
      <c r="C2" s="154"/>
      <c r="D2" s="154"/>
      <c r="E2" s="154"/>
      <c r="F2" s="154"/>
      <c r="G2" s="154"/>
      <c r="H2" s="154"/>
      <c r="I2" s="154"/>
      <c r="J2" s="154"/>
      <c r="K2" s="154"/>
    </row>
    <row r="3" ht="21" customHeight="1" spans="1:11">
      <c r="A3" s="155" t="s">
        <v>2</v>
      </c>
      <c r="B3" s="155"/>
      <c r="C3" s="155"/>
      <c r="D3" s="155"/>
      <c r="E3" s="155"/>
      <c r="F3" s="155"/>
      <c r="G3" s="155"/>
      <c r="H3" s="155"/>
      <c r="I3" s="155"/>
      <c r="J3" s="155"/>
      <c r="K3" s="155"/>
    </row>
    <row r="4" ht="21" customHeight="1" spans="1:11">
      <c r="A4" s="155"/>
      <c r="B4" s="155"/>
      <c r="C4" s="155"/>
      <c r="D4" s="155"/>
      <c r="E4" s="155"/>
      <c r="F4" s="155"/>
      <c r="G4" s="155"/>
      <c r="H4" s="155"/>
      <c r="I4" s="155"/>
      <c r="J4" s="155"/>
      <c r="K4" s="155"/>
    </row>
    <row r="5" ht="21.75" customHeight="1" spans="1:11">
      <c r="A5" s="156" t="s">
        <v>3</v>
      </c>
      <c r="B5" s="156"/>
      <c r="C5" s="40" t="s">
        <v>4</v>
      </c>
      <c r="D5" s="157"/>
      <c r="E5" s="41"/>
      <c r="F5" s="156" t="s">
        <v>5</v>
      </c>
      <c r="G5" s="156"/>
      <c r="H5" s="156"/>
      <c r="I5" s="156">
        <v>109002</v>
      </c>
      <c r="J5" s="156"/>
      <c r="K5" s="156"/>
    </row>
    <row r="6" s="87" customFormat="1" ht="22.5" customHeight="1" spans="1:11">
      <c r="A6" s="40" t="s">
        <v>6</v>
      </c>
      <c r="B6" s="158" t="s">
        <v>7</v>
      </c>
      <c r="C6" s="159"/>
      <c r="D6" s="160" t="s">
        <v>8</v>
      </c>
      <c r="E6" s="161"/>
      <c r="F6" s="161"/>
      <c r="G6" s="162"/>
      <c r="H6" s="163" t="s">
        <v>9</v>
      </c>
      <c r="I6" s="180"/>
      <c r="J6" s="180"/>
      <c r="K6" s="171"/>
    </row>
    <row r="7" s="90" customFormat="1" ht="35.25" customHeight="1" spans="1:12">
      <c r="A7" s="40"/>
      <c r="B7" s="164"/>
      <c r="C7" s="165"/>
      <c r="D7" s="59" t="s">
        <v>10</v>
      </c>
      <c r="E7" s="56" t="s">
        <v>11</v>
      </c>
      <c r="F7" s="56" t="s">
        <v>12</v>
      </c>
      <c r="G7" s="56" t="s">
        <v>13</v>
      </c>
      <c r="H7" s="67" t="s">
        <v>14</v>
      </c>
      <c r="I7" s="56" t="s">
        <v>15</v>
      </c>
      <c r="J7" s="56" t="s">
        <v>16</v>
      </c>
      <c r="K7" s="56" t="s">
        <v>17</v>
      </c>
      <c r="L7" s="67"/>
    </row>
    <row r="8" s="87" customFormat="1" ht="19.5" customHeight="1" spans="1:11">
      <c r="A8" s="156"/>
      <c r="B8" s="68" t="s">
        <v>18</v>
      </c>
      <c r="C8" s="68"/>
      <c r="D8" s="70"/>
      <c r="E8" s="70"/>
      <c r="F8" s="168"/>
      <c r="G8" s="56"/>
      <c r="H8" s="56"/>
      <c r="I8" s="56"/>
      <c r="J8" s="70"/>
      <c r="K8" s="168"/>
    </row>
    <row r="9" s="87" customFormat="1" ht="19.5" customHeight="1" spans="1:11">
      <c r="A9" s="156"/>
      <c r="B9" s="167" t="s">
        <v>19</v>
      </c>
      <c r="C9" s="167"/>
      <c r="D9" s="70"/>
      <c r="E9" s="70"/>
      <c r="F9" s="168"/>
      <c r="G9" s="56"/>
      <c r="H9" s="56"/>
      <c r="I9" s="56"/>
      <c r="J9" s="70"/>
      <c r="K9" s="168"/>
    </row>
    <row r="10" s="87" customFormat="1" ht="19.5" customHeight="1" spans="1:11">
      <c r="A10" s="156"/>
      <c r="B10" s="167" t="s">
        <v>20</v>
      </c>
      <c r="C10" s="167"/>
      <c r="D10" s="70"/>
      <c r="E10" s="70"/>
      <c r="F10" s="168"/>
      <c r="G10" s="56"/>
      <c r="H10" s="56"/>
      <c r="I10" s="56"/>
      <c r="J10" s="70"/>
      <c r="K10" s="168"/>
    </row>
    <row r="11" s="87" customFormat="1" ht="19.5" customHeight="1" spans="1:11">
      <c r="A11" s="156"/>
      <c r="B11" s="167" t="s">
        <v>21</v>
      </c>
      <c r="C11" s="167"/>
      <c r="D11" s="69">
        <v>190000</v>
      </c>
      <c r="E11" s="70">
        <v>0</v>
      </c>
      <c r="F11" s="69">
        <v>190000</v>
      </c>
      <c r="G11" s="71">
        <f>D11+E11-F11</f>
        <v>0</v>
      </c>
      <c r="H11" s="71">
        <v>190000</v>
      </c>
      <c r="I11" s="71">
        <v>65548.5</v>
      </c>
      <c r="J11" s="70">
        <v>124451.5</v>
      </c>
      <c r="K11" s="182">
        <f>J11/H11</f>
        <v>0.655007894736842</v>
      </c>
    </row>
    <row r="12" s="87" customFormat="1" ht="19.5" customHeight="1" spans="1:11">
      <c r="A12" s="156"/>
      <c r="B12" s="167" t="s">
        <v>22</v>
      </c>
      <c r="C12" s="167"/>
      <c r="D12" s="70"/>
      <c r="E12" s="70"/>
      <c r="F12" s="168"/>
      <c r="G12" s="56"/>
      <c r="H12" s="56"/>
      <c r="I12" s="56"/>
      <c r="J12" s="70"/>
      <c r="K12" s="168"/>
    </row>
    <row r="13" s="87" customFormat="1" ht="19.5" customHeight="1" spans="1:11">
      <c r="A13" s="156"/>
      <c r="B13" s="167" t="s">
        <v>23</v>
      </c>
      <c r="C13" s="167"/>
      <c r="D13" s="70"/>
      <c r="E13" s="70"/>
      <c r="F13" s="168"/>
      <c r="G13" s="56"/>
      <c r="H13" s="56"/>
      <c r="I13" s="56"/>
      <c r="J13" s="70"/>
      <c r="K13" s="168"/>
    </row>
    <row r="14" s="87" customFormat="1" ht="25.5" customHeight="1" spans="1:11">
      <c r="A14" s="156"/>
      <c r="B14" s="40" t="s">
        <v>24</v>
      </c>
      <c r="C14" s="41"/>
      <c r="D14" s="169">
        <f t="shared" ref="D14:K14" si="0">SUM(D8:D13)</f>
        <v>190000</v>
      </c>
      <c r="E14" s="169">
        <f t="shared" si="0"/>
        <v>0</v>
      </c>
      <c r="F14" s="169">
        <f t="shared" si="0"/>
        <v>190000</v>
      </c>
      <c r="G14" s="169">
        <f t="shared" si="0"/>
        <v>0</v>
      </c>
      <c r="H14" s="169">
        <f t="shared" si="0"/>
        <v>190000</v>
      </c>
      <c r="I14" s="169">
        <f t="shared" si="0"/>
        <v>65548.5</v>
      </c>
      <c r="J14" s="169">
        <f t="shared" si="0"/>
        <v>124451.5</v>
      </c>
      <c r="K14" s="183">
        <f t="shared" si="0"/>
        <v>0.655007894736842</v>
      </c>
    </row>
    <row r="15" ht="21.75" customHeight="1" spans="1:11">
      <c r="A15" s="156" t="s">
        <v>25</v>
      </c>
      <c r="B15" s="156" t="s">
        <v>26</v>
      </c>
      <c r="C15" s="156"/>
      <c r="D15" s="156"/>
      <c r="E15" s="156"/>
      <c r="F15" s="156" t="s">
        <v>27</v>
      </c>
      <c r="G15" s="156"/>
      <c r="H15" s="156"/>
      <c r="I15" s="156"/>
      <c r="J15" s="156"/>
      <c r="K15" s="156"/>
    </row>
    <row r="16" ht="99.75" customHeight="1" spans="1:11">
      <c r="A16" s="156"/>
      <c r="B16" s="189"/>
      <c r="C16" s="190"/>
      <c r="D16" s="190"/>
      <c r="E16" s="191"/>
      <c r="F16" s="192"/>
      <c r="G16" s="192"/>
      <c r="H16" s="192"/>
      <c r="I16" s="192"/>
      <c r="J16" s="192"/>
      <c r="K16" s="192"/>
    </row>
    <row r="17" ht="28.5" customHeight="1" spans="1:11">
      <c r="A17" s="193" t="s">
        <v>28</v>
      </c>
      <c r="B17" s="193" t="s">
        <v>29</v>
      </c>
      <c r="C17" s="156" t="s">
        <v>30</v>
      </c>
      <c r="D17" s="156" t="s">
        <v>31</v>
      </c>
      <c r="E17" s="156" t="s">
        <v>32</v>
      </c>
      <c r="F17" s="40" t="s">
        <v>33</v>
      </c>
      <c r="G17" s="41"/>
      <c r="H17" s="156" t="s">
        <v>34</v>
      </c>
      <c r="I17" s="156" t="s">
        <v>35</v>
      </c>
      <c r="J17" s="156" t="s">
        <v>36</v>
      </c>
      <c r="K17" s="156" t="s">
        <v>37</v>
      </c>
    </row>
    <row r="18" ht="75" customHeight="1" spans="1:11">
      <c r="A18" s="194"/>
      <c r="B18" s="156" t="s">
        <v>38</v>
      </c>
      <c r="C18" s="204" t="s">
        <v>39</v>
      </c>
      <c r="D18" s="39" t="s">
        <v>40</v>
      </c>
      <c r="E18" s="39" t="s">
        <v>41</v>
      </c>
      <c r="F18" s="40" t="s">
        <v>42</v>
      </c>
      <c r="G18" s="41"/>
      <c r="H18" s="195" t="s">
        <v>43</v>
      </c>
      <c r="I18" s="195" t="s">
        <v>43</v>
      </c>
      <c r="J18" s="39">
        <v>5</v>
      </c>
      <c r="K18" s="39">
        <v>4</v>
      </c>
    </row>
    <row r="19" ht="28.5" customHeight="1" spans="1:11">
      <c r="A19" s="194"/>
      <c r="B19" s="156"/>
      <c r="C19" s="193" t="s">
        <v>44</v>
      </c>
      <c r="D19" s="39" t="s">
        <v>45</v>
      </c>
      <c r="E19" s="39" t="s">
        <v>45</v>
      </c>
      <c r="F19" s="40"/>
      <c r="G19" s="41"/>
      <c r="H19" s="195">
        <v>1</v>
      </c>
      <c r="I19" s="156" t="s">
        <v>46</v>
      </c>
      <c r="J19" s="39">
        <v>5</v>
      </c>
      <c r="K19" s="39">
        <v>4</v>
      </c>
    </row>
    <row r="20" ht="28.5" customHeight="1" spans="1:11">
      <c r="A20" s="194"/>
      <c r="B20" s="156"/>
      <c r="C20" s="194"/>
      <c r="D20" s="39" t="s">
        <v>47</v>
      </c>
      <c r="E20" s="39" t="s">
        <v>47</v>
      </c>
      <c r="F20" s="40"/>
      <c r="G20" s="41"/>
      <c r="H20" s="195">
        <v>1</v>
      </c>
      <c r="I20" s="195">
        <v>1</v>
      </c>
      <c r="J20" s="39">
        <v>10</v>
      </c>
      <c r="K20" s="39">
        <v>10</v>
      </c>
    </row>
    <row r="21" ht="28.5" customHeight="1" spans="1:11">
      <c r="A21" s="194"/>
      <c r="B21" s="156"/>
      <c r="C21" s="194"/>
      <c r="D21" s="39" t="s">
        <v>48</v>
      </c>
      <c r="E21" s="39" t="s">
        <v>49</v>
      </c>
      <c r="F21" s="40"/>
      <c r="G21" s="41"/>
      <c r="H21" s="195">
        <v>1</v>
      </c>
      <c r="I21" s="195">
        <v>1</v>
      </c>
      <c r="J21" s="39">
        <v>10</v>
      </c>
      <c r="K21" s="39">
        <v>9</v>
      </c>
    </row>
    <row r="22" ht="28.5" customHeight="1" spans="1:11">
      <c r="A22" s="194"/>
      <c r="B22" s="156"/>
      <c r="C22" s="193" t="s">
        <v>50</v>
      </c>
      <c r="D22" s="39" t="s">
        <v>51</v>
      </c>
      <c r="E22" s="39" t="s">
        <v>51</v>
      </c>
      <c r="F22" s="40"/>
      <c r="G22" s="41"/>
      <c r="H22" s="156" t="s">
        <v>52</v>
      </c>
      <c r="I22" s="156" t="s">
        <v>52</v>
      </c>
      <c r="J22" s="39">
        <v>10</v>
      </c>
      <c r="K22" s="39">
        <v>10</v>
      </c>
    </row>
    <row r="23" ht="28.5" customHeight="1" spans="1:11">
      <c r="A23" s="194"/>
      <c r="B23" s="156"/>
      <c r="C23" s="194"/>
      <c r="D23" s="39"/>
      <c r="E23" s="39"/>
      <c r="F23" s="40"/>
      <c r="G23" s="41"/>
      <c r="H23" s="156"/>
      <c r="I23" s="156"/>
      <c r="J23" s="39"/>
      <c r="K23" s="39"/>
    </row>
    <row r="24" ht="28.5" customHeight="1" spans="1:11">
      <c r="A24" s="194"/>
      <c r="B24" s="156"/>
      <c r="C24" s="193" t="s">
        <v>53</v>
      </c>
      <c r="D24" s="39" t="s">
        <v>54</v>
      </c>
      <c r="E24" s="39" t="s">
        <v>54</v>
      </c>
      <c r="F24" s="40"/>
      <c r="G24" s="41"/>
      <c r="H24" s="205" t="s">
        <v>55</v>
      </c>
      <c r="I24" s="156" t="s">
        <v>56</v>
      </c>
      <c r="J24" s="39">
        <v>10</v>
      </c>
      <c r="K24" s="39">
        <v>10</v>
      </c>
    </row>
    <row r="25" ht="28.5" customHeight="1" spans="1:11">
      <c r="A25" s="194"/>
      <c r="B25" s="156"/>
      <c r="C25" s="194"/>
      <c r="D25" s="39"/>
      <c r="E25" s="39"/>
      <c r="F25" s="40"/>
      <c r="G25" s="41"/>
      <c r="H25" s="156"/>
      <c r="I25" s="156"/>
      <c r="J25" s="39"/>
      <c r="K25" s="39"/>
    </row>
    <row r="26" ht="28.5" customHeight="1" spans="1:11">
      <c r="A26" s="194"/>
      <c r="B26" s="156" t="s">
        <v>57</v>
      </c>
      <c r="C26" s="193" t="s">
        <v>58</v>
      </c>
      <c r="D26" s="39"/>
      <c r="E26" s="39"/>
      <c r="F26" s="40"/>
      <c r="G26" s="41"/>
      <c r="H26" s="156"/>
      <c r="I26" s="156"/>
      <c r="J26" s="39"/>
      <c r="K26" s="39"/>
    </row>
    <row r="27" ht="28.5" customHeight="1" spans="1:11">
      <c r="A27" s="194"/>
      <c r="B27" s="156"/>
      <c r="C27" s="194"/>
      <c r="D27" s="39"/>
      <c r="E27" s="39"/>
      <c r="F27" s="40"/>
      <c r="G27" s="41"/>
      <c r="H27" s="156"/>
      <c r="I27" s="156"/>
      <c r="J27" s="39"/>
      <c r="K27" s="39"/>
    </row>
    <row r="28" ht="28.5" customHeight="1" spans="1:11">
      <c r="A28" s="194"/>
      <c r="B28" s="156"/>
      <c r="C28" s="193" t="s">
        <v>59</v>
      </c>
      <c r="D28" s="39" t="s">
        <v>60</v>
      </c>
      <c r="E28" s="39" t="s">
        <v>60</v>
      </c>
      <c r="F28" s="40"/>
      <c r="G28" s="41"/>
      <c r="H28" s="156" t="s">
        <v>61</v>
      </c>
      <c r="I28" s="156" t="s">
        <v>61</v>
      </c>
      <c r="J28" s="39">
        <v>40</v>
      </c>
      <c r="K28" s="39">
        <v>30</v>
      </c>
    </row>
    <row r="29" ht="28.5" customHeight="1" spans="1:11">
      <c r="A29" s="194"/>
      <c r="B29" s="156"/>
      <c r="C29" s="194"/>
      <c r="D29" s="39"/>
      <c r="E29" s="39"/>
      <c r="F29" s="40"/>
      <c r="G29" s="41"/>
      <c r="H29" s="156"/>
      <c r="I29" s="156"/>
      <c r="J29" s="39"/>
      <c r="K29" s="39"/>
    </row>
    <row r="30" ht="28.5" customHeight="1" spans="1:11">
      <c r="A30" s="194"/>
      <c r="B30" s="156"/>
      <c r="C30" s="193" t="s">
        <v>62</v>
      </c>
      <c r="D30" s="39"/>
      <c r="E30" s="39"/>
      <c r="F30" s="40"/>
      <c r="G30" s="41"/>
      <c r="H30" s="156"/>
      <c r="I30" s="156"/>
      <c r="J30" s="39"/>
      <c r="K30" s="39"/>
    </row>
    <row r="31" ht="28.5" customHeight="1" spans="1:11">
      <c r="A31" s="194"/>
      <c r="B31" s="156"/>
      <c r="C31" s="194"/>
      <c r="D31" s="39"/>
      <c r="E31" s="39"/>
      <c r="F31" s="40"/>
      <c r="G31" s="41"/>
      <c r="H31" s="156"/>
      <c r="I31" s="156"/>
      <c r="J31" s="39"/>
      <c r="K31" s="39"/>
    </row>
    <row r="32" ht="28.5" customHeight="1" spans="1:11">
      <c r="A32" s="194"/>
      <c r="B32" s="156"/>
      <c r="C32" s="193" t="s">
        <v>63</v>
      </c>
      <c r="D32" s="39"/>
      <c r="E32" s="39"/>
      <c r="F32" s="40"/>
      <c r="G32" s="41"/>
      <c r="H32" s="156"/>
      <c r="I32" s="156"/>
      <c r="J32" s="39"/>
      <c r="K32" s="39"/>
    </row>
    <row r="33" ht="28.5" customHeight="1" spans="1:11">
      <c r="A33" s="194"/>
      <c r="B33" s="156"/>
      <c r="C33" s="194"/>
      <c r="D33" s="39"/>
      <c r="E33" s="39"/>
      <c r="F33" s="40"/>
      <c r="G33" s="41"/>
      <c r="H33" s="156"/>
      <c r="I33" s="156"/>
      <c r="J33" s="39"/>
      <c r="K33" s="39"/>
    </row>
    <row r="34" ht="28.5" customHeight="1" spans="1:11">
      <c r="A34" s="194"/>
      <c r="B34" s="193" t="s">
        <v>64</v>
      </c>
      <c r="C34" s="193" t="s">
        <v>65</v>
      </c>
      <c r="D34" s="39" t="s">
        <v>66</v>
      </c>
      <c r="E34" s="39" t="s">
        <v>66</v>
      </c>
      <c r="F34" s="40"/>
      <c r="G34" s="41"/>
      <c r="H34" s="199">
        <v>0.95</v>
      </c>
      <c r="I34" s="156" t="s">
        <v>67</v>
      </c>
      <c r="J34" s="39">
        <v>10</v>
      </c>
      <c r="K34" s="39">
        <v>9</v>
      </c>
    </row>
    <row r="35" ht="28.5" customHeight="1" spans="1:11">
      <c r="A35" s="194"/>
      <c r="B35" s="194"/>
      <c r="C35" s="194"/>
      <c r="D35" s="39"/>
      <c r="E35" s="39"/>
      <c r="F35" s="40"/>
      <c r="G35" s="41"/>
      <c r="H35" s="156"/>
      <c r="I35" s="156"/>
      <c r="J35" s="39"/>
      <c r="K35" s="39"/>
    </row>
    <row r="36" ht="28.5" customHeight="1" spans="1:11">
      <c r="A36" s="156" t="s">
        <v>68</v>
      </c>
      <c r="B36" s="156"/>
      <c r="C36" s="156"/>
      <c r="D36" s="156"/>
      <c r="E36" s="156"/>
      <c r="F36" s="156"/>
      <c r="G36" s="156"/>
      <c r="H36" s="156"/>
      <c r="I36" s="156"/>
      <c r="J36" s="198">
        <v>100</v>
      </c>
      <c r="K36" s="39">
        <f>K34+K28+K24+K22+K21+K20+K19+K18</f>
        <v>86</v>
      </c>
    </row>
    <row r="37" ht="28.5" customHeight="1" spans="1:11">
      <c r="A37" s="156" t="s">
        <v>69</v>
      </c>
      <c r="B37" s="156"/>
      <c r="C37" s="156"/>
      <c r="D37" s="156"/>
      <c r="E37" s="156"/>
      <c r="F37" s="156"/>
      <c r="G37" s="156"/>
      <c r="H37" s="156"/>
      <c r="I37" s="156"/>
      <c r="J37" s="40"/>
      <c r="K37" s="41"/>
    </row>
  </sheetData>
  <mergeCells count="55">
    <mergeCell ref="A2:K2"/>
    <mergeCell ref="A3:K3"/>
    <mergeCell ref="A5:B5"/>
    <mergeCell ref="C5:E5"/>
    <mergeCell ref="F5:H5"/>
    <mergeCell ref="I5:K5"/>
    <mergeCell ref="D6:G6"/>
    <mergeCell ref="H6:K6"/>
    <mergeCell ref="B8:C8"/>
    <mergeCell ref="B9:C9"/>
    <mergeCell ref="B10:C10"/>
    <mergeCell ref="B11:C11"/>
    <mergeCell ref="B12:C12"/>
    <mergeCell ref="B13:C13"/>
    <mergeCell ref="B14:C14"/>
    <mergeCell ref="B15:E15"/>
    <mergeCell ref="F15:K15"/>
    <mergeCell ref="B16:E16"/>
    <mergeCell ref="F16:K16"/>
    <mergeCell ref="F17:G17"/>
    <mergeCell ref="F18:G18"/>
    <mergeCell ref="F19:G19"/>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A36:I36"/>
    <mergeCell ref="A37:I37"/>
    <mergeCell ref="J37:K37"/>
    <mergeCell ref="A6:A14"/>
    <mergeCell ref="A15:A16"/>
    <mergeCell ref="A17:A35"/>
    <mergeCell ref="B18:B25"/>
    <mergeCell ref="B26:B33"/>
    <mergeCell ref="B34:B35"/>
    <mergeCell ref="C19:C21"/>
    <mergeCell ref="C22:C23"/>
    <mergeCell ref="C24:C25"/>
    <mergeCell ref="C26:C27"/>
    <mergeCell ref="C28:C29"/>
    <mergeCell ref="C30:C31"/>
    <mergeCell ref="C32:C33"/>
    <mergeCell ref="C34:C35"/>
    <mergeCell ref="B6:C7"/>
  </mergeCells>
  <printOptions horizontalCentered="1"/>
  <pageMargins left="0.46875" right="0.46875" top="0.729166666666667" bottom="0.388888888888889" header="0.349305555555556" footer="0.2"/>
  <pageSetup paperSize="9" scale="63" fitToHeight="0" orientation="portrait" horizontalDpi="600" verticalDpi="6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L38"/>
  <sheetViews>
    <sheetView showGridLines="0" workbookViewId="0">
      <selection activeCell="G45" sqref="G45"/>
    </sheetView>
  </sheetViews>
  <sheetFormatPr defaultColWidth="9" defaultRowHeight="14.25"/>
  <cols>
    <col min="1" max="1" width="5.375" style="91"/>
    <col min="2" max="2" width="12.125" style="91"/>
    <col min="3" max="3" width="12.375" style="91"/>
    <col min="4" max="4" width="16.25" style="91"/>
    <col min="5" max="5" width="19.5" style="91"/>
    <col min="6" max="6" width="13.75" style="91"/>
    <col min="7" max="9" width="14" style="91"/>
    <col min="10" max="10" width="12.125" style="91"/>
    <col min="11" max="11" width="12.625" style="91"/>
    <col min="12" max="16384" width="9" style="91"/>
  </cols>
  <sheetData>
    <row r="1" ht="16.5" customHeight="1" spans="1:6">
      <c r="A1" s="186" t="s">
        <v>0</v>
      </c>
      <c r="B1" s="53"/>
      <c r="C1" s="53"/>
      <c r="D1" s="53"/>
      <c r="E1" s="53"/>
      <c r="F1" s="53"/>
    </row>
    <row r="2" ht="33.75" customHeight="1" spans="1:11">
      <c r="A2" s="154" t="s">
        <v>1</v>
      </c>
      <c r="B2" s="154"/>
      <c r="C2" s="154"/>
      <c r="D2" s="154"/>
      <c r="E2" s="154"/>
      <c r="F2" s="154"/>
      <c r="G2" s="154"/>
      <c r="H2" s="154"/>
      <c r="I2" s="154"/>
      <c r="J2" s="154"/>
      <c r="K2" s="154"/>
    </row>
    <row r="3" ht="21" customHeight="1" spans="1:11">
      <c r="A3" s="155" t="s">
        <v>2</v>
      </c>
      <c r="B3" s="155"/>
      <c r="C3" s="155"/>
      <c r="D3" s="155"/>
      <c r="E3" s="155"/>
      <c r="F3" s="155"/>
      <c r="G3" s="155"/>
      <c r="H3" s="155"/>
      <c r="I3" s="155"/>
      <c r="J3" s="155"/>
      <c r="K3" s="155"/>
    </row>
    <row r="4" ht="21" customHeight="1" spans="1:11">
      <c r="A4" s="155"/>
      <c r="B4" s="155"/>
      <c r="C4" s="155"/>
      <c r="D4" s="155"/>
      <c r="E4" s="155"/>
      <c r="F4" s="155"/>
      <c r="G4" s="155"/>
      <c r="H4" s="155"/>
      <c r="I4" s="155"/>
      <c r="J4" s="155"/>
      <c r="K4" s="155"/>
    </row>
    <row r="5" ht="21.75" customHeight="1" spans="1:11">
      <c r="A5" s="156" t="s">
        <v>3</v>
      </c>
      <c r="B5" s="156"/>
      <c r="C5" s="40" t="s">
        <v>4</v>
      </c>
      <c r="D5" s="157"/>
      <c r="E5" s="41"/>
      <c r="F5" s="156" t="s">
        <v>5</v>
      </c>
      <c r="G5" s="156"/>
      <c r="H5" s="156"/>
      <c r="I5" s="156">
        <v>109003</v>
      </c>
      <c r="J5" s="156"/>
      <c r="K5" s="156"/>
    </row>
    <row r="6" s="87" customFormat="1" ht="22.5" customHeight="1" spans="1:11">
      <c r="A6" s="40" t="s">
        <v>6</v>
      </c>
      <c r="B6" s="158" t="s">
        <v>7</v>
      </c>
      <c r="C6" s="159"/>
      <c r="D6" s="160" t="s">
        <v>8</v>
      </c>
      <c r="E6" s="161"/>
      <c r="F6" s="161"/>
      <c r="G6" s="162"/>
      <c r="H6" s="163" t="s">
        <v>9</v>
      </c>
      <c r="I6" s="180"/>
      <c r="J6" s="180"/>
      <c r="K6" s="171"/>
    </row>
    <row r="7" s="90" customFormat="1" ht="35.25" customHeight="1" spans="1:12">
      <c r="A7" s="40"/>
      <c r="B7" s="164"/>
      <c r="C7" s="165"/>
      <c r="D7" s="59" t="s">
        <v>10</v>
      </c>
      <c r="E7" s="56" t="s">
        <v>11</v>
      </c>
      <c r="F7" s="56" t="s">
        <v>12</v>
      </c>
      <c r="G7" s="56" t="s">
        <v>13</v>
      </c>
      <c r="H7" s="67" t="s">
        <v>14</v>
      </c>
      <c r="I7" s="56" t="s">
        <v>15</v>
      </c>
      <c r="J7" s="56" t="s">
        <v>16</v>
      </c>
      <c r="K7" s="56" t="s">
        <v>17</v>
      </c>
      <c r="L7" s="67"/>
    </row>
    <row r="8" s="87" customFormat="1" ht="19.5" customHeight="1" spans="1:11">
      <c r="A8" s="156"/>
      <c r="B8" s="68" t="s">
        <v>18</v>
      </c>
      <c r="C8" s="68"/>
      <c r="D8" s="70"/>
      <c r="E8" s="70"/>
      <c r="F8" s="168"/>
      <c r="G8" s="56"/>
      <c r="H8" s="56"/>
      <c r="I8" s="56"/>
      <c r="J8" s="70"/>
      <c r="K8" s="168"/>
    </row>
    <row r="9" s="87" customFormat="1" ht="19.5" customHeight="1" spans="1:11">
      <c r="A9" s="156"/>
      <c r="B9" s="167" t="s">
        <v>19</v>
      </c>
      <c r="C9" s="167"/>
      <c r="D9" s="70"/>
      <c r="E9" s="70"/>
      <c r="F9" s="168"/>
      <c r="G9" s="56"/>
      <c r="H9" s="56"/>
      <c r="I9" s="56"/>
      <c r="J9" s="70"/>
      <c r="K9" s="168"/>
    </row>
    <row r="10" s="87" customFormat="1" ht="19.5" customHeight="1" spans="1:11">
      <c r="A10" s="156"/>
      <c r="B10" s="167" t="s">
        <v>20</v>
      </c>
      <c r="C10" s="167"/>
      <c r="D10" s="70"/>
      <c r="E10" s="70"/>
      <c r="F10" s="168"/>
      <c r="G10" s="56"/>
      <c r="H10" s="56"/>
      <c r="I10" s="56"/>
      <c r="J10" s="70"/>
      <c r="K10" s="168"/>
    </row>
    <row r="11" s="87" customFormat="1" ht="19.5" customHeight="1" spans="1:11">
      <c r="A11" s="156"/>
      <c r="B11" s="167" t="s">
        <v>21</v>
      </c>
      <c r="C11" s="167"/>
      <c r="D11" s="169">
        <v>290977</v>
      </c>
      <c r="E11" s="70">
        <v>0</v>
      </c>
      <c r="F11" s="166">
        <v>290977</v>
      </c>
      <c r="G11" s="71">
        <f>D11+E11-F11</f>
        <v>0</v>
      </c>
      <c r="H11" s="71">
        <v>290977</v>
      </c>
      <c r="I11" s="71">
        <v>95930.5</v>
      </c>
      <c r="J11" s="70">
        <v>195046.5</v>
      </c>
      <c r="K11" s="182">
        <f>J11/H11</f>
        <v>0.670315866889823</v>
      </c>
    </row>
    <row r="12" s="87" customFormat="1" ht="19.5" customHeight="1" spans="1:11">
      <c r="A12" s="156"/>
      <c r="B12" s="167" t="s">
        <v>22</v>
      </c>
      <c r="C12" s="167"/>
      <c r="D12" s="70"/>
      <c r="E12" s="70"/>
      <c r="F12" s="168"/>
      <c r="G12" s="56"/>
      <c r="H12" s="56"/>
      <c r="I12" s="56"/>
      <c r="J12" s="70"/>
      <c r="K12" s="168"/>
    </row>
    <row r="13" s="87" customFormat="1" ht="19.5" customHeight="1" spans="1:11">
      <c r="A13" s="156"/>
      <c r="B13" s="167" t="s">
        <v>23</v>
      </c>
      <c r="C13" s="167"/>
      <c r="D13" s="70"/>
      <c r="E13" s="70"/>
      <c r="F13" s="168"/>
      <c r="G13" s="56"/>
      <c r="H13" s="56"/>
      <c r="I13" s="56"/>
      <c r="J13" s="70"/>
      <c r="K13" s="168"/>
    </row>
    <row r="14" s="87" customFormat="1" ht="25.5" customHeight="1" spans="1:11">
      <c r="A14" s="156"/>
      <c r="B14" s="40" t="s">
        <v>24</v>
      </c>
      <c r="C14" s="41"/>
      <c r="D14" s="169">
        <f t="shared" ref="D14:K14" si="0">SUM(D8:D13)</f>
        <v>290977</v>
      </c>
      <c r="E14" s="169">
        <f t="shared" si="0"/>
        <v>0</v>
      </c>
      <c r="F14" s="169">
        <f t="shared" si="0"/>
        <v>290977</v>
      </c>
      <c r="G14" s="169">
        <f t="shared" si="0"/>
        <v>0</v>
      </c>
      <c r="H14" s="169">
        <f t="shared" si="0"/>
        <v>290977</v>
      </c>
      <c r="I14" s="169">
        <f t="shared" si="0"/>
        <v>95930.5</v>
      </c>
      <c r="J14" s="169">
        <f t="shared" si="0"/>
        <v>195046.5</v>
      </c>
      <c r="K14" s="183">
        <f t="shared" si="0"/>
        <v>0.670315866889823</v>
      </c>
    </row>
    <row r="15" ht="21.75" customHeight="1" spans="1:11">
      <c r="A15" s="156" t="s">
        <v>25</v>
      </c>
      <c r="B15" s="156" t="s">
        <v>26</v>
      </c>
      <c r="C15" s="156"/>
      <c r="D15" s="156"/>
      <c r="E15" s="156"/>
      <c r="F15" s="156" t="s">
        <v>27</v>
      </c>
      <c r="G15" s="156"/>
      <c r="H15" s="156"/>
      <c r="I15" s="156"/>
      <c r="J15" s="156"/>
      <c r="K15" s="156"/>
    </row>
    <row r="16" ht="99.75" customHeight="1" spans="1:11">
      <c r="A16" s="156"/>
      <c r="B16" s="189"/>
      <c r="C16" s="190"/>
      <c r="D16" s="190"/>
      <c r="E16" s="191"/>
      <c r="F16" s="192"/>
      <c r="G16" s="192"/>
      <c r="H16" s="192"/>
      <c r="I16" s="192"/>
      <c r="J16" s="192"/>
      <c r="K16" s="192"/>
    </row>
    <row r="17" ht="28.5" customHeight="1" spans="1:11">
      <c r="A17" s="193" t="s">
        <v>28</v>
      </c>
      <c r="B17" s="193" t="s">
        <v>29</v>
      </c>
      <c r="C17" s="156" t="s">
        <v>30</v>
      </c>
      <c r="D17" s="156" t="s">
        <v>31</v>
      </c>
      <c r="E17" s="156" t="s">
        <v>32</v>
      </c>
      <c r="F17" s="40" t="s">
        <v>33</v>
      </c>
      <c r="G17" s="41"/>
      <c r="H17" s="156" t="s">
        <v>34</v>
      </c>
      <c r="I17" s="156" t="s">
        <v>35</v>
      </c>
      <c r="J17" s="156" t="s">
        <v>36</v>
      </c>
      <c r="K17" s="156" t="s">
        <v>37</v>
      </c>
    </row>
    <row r="18" ht="28.5" customHeight="1" spans="1:11">
      <c r="A18" s="194"/>
      <c r="B18" s="156" t="s">
        <v>38</v>
      </c>
      <c r="C18" s="193" t="s">
        <v>39</v>
      </c>
      <c r="D18" s="39" t="s">
        <v>70</v>
      </c>
      <c r="E18" s="39" t="s">
        <v>71</v>
      </c>
      <c r="F18" s="40"/>
      <c r="G18" s="41"/>
      <c r="H18" s="199">
        <v>1</v>
      </c>
      <c r="I18" s="156" t="s">
        <v>46</v>
      </c>
      <c r="J18" s="39">
        <v>5</v>
      </c>
      <c r="K18" s="39">
        <v>4</v>
      </c>
    </row>
    <row r="19" ht="28.5" customHeight="1" spans="1:11">
      <c r="A19" s="194"/>
      <c r="B19" s="156"/>
      <c r="C19" s="194"/>
      <c r="D19" s="39" t="s">
        <v>72</v>
      </c>
      <c r="E19" s="39" t="s">
        <v>73</v>
      </c>
      <c r="F19" s="40"/>
      <c r="G19" s="41"/>
      <c r="H19" s="199">
        <v>1</v>
      </c>
      <c r="I19" s="195">
        <v>1</v>
      </c>
      <c r="J19" s="39">
        <v>5</v>
      </c>
      <c r="K19" s="39">
        <v>5</v>
      </c>
    </row>
    <row r="20" ht="28.5" customHeight="1" spans="1:11">
      <c r="A20" s="194"/>
      <c r="B20" s="156"/>
      <c r="C20" s="193" t="s">
        <v>44</v>
      </c>
      <c r="D20" s="39" t="s">
        <v>45</v>
      </c>
      <c r="E20" s="39" t="s">
        <v>45</v>
      </c>
      <c r="F20" s="40"/>
      <c r="G20" s="41"/>
      <c r="H20" s="199">
        <v>1</v>
      </c>
      <c r="I20" s="156" t="s">
        <v>46</v>
      </c>
      <c r="J20" s="39">
        <v>5</v>
      </c>
      <c r="K20" s="39">
        <v>4</v>
      </c>
    </row>
    <row r="21" ht="28.5" customHeight="1" spans="1:11">
      <c r="A21" s="194"/>
      <c r="B21" s="156"/>
      <c r="C21" s="194"/>
      <c r="D21" s="39" t="s">
        <v>47</v>
      </c>
      <c r="E21" s="39" t="s">
        <v>47</v>
      </c>
      <c r="F21" s="40"/>
      <c r="G21" s="41"/>
      <c r="H21" s="199">
        <v>1</v>
      </c>
      <c r="I21" s="195">
        <v>1</v>
      </c>
      <c r="J21" s="39">
        <v>10</v>
      </c>
      <c r="K21" s="39">
        <v>10</v>
      </c>
    </row>
    <row r="22" ht="28.5" customHeight="1" spans="1:11">
      <c r="A22" s="194"/>
      <c r="B22" s="156"/>
      <c r="C22" s="194"/>
      <c r="D22" s="39" t="s">
        <v>48</v>
      </c>
      <c r="E22" s="39" t="s">
        <v>48</v>
      </c>
      <c r="F22" s="40"/>
      <c r="G22" s="41"/>
      <c r="H22" s="199">
        <v>1</v>
      </c>
      <c r="I22" s="195">
        <v>1</v>
      </c>
      <c r="J22" s="39">
        <v>5</v>
      </c>
      <c r="K22" s="39">
        <v>4</v>
      </c>
    </row>
    <row r="23" ht="28.5" customHeight="1" spans="1:11">
      <c r="A23" s="194"/>
      <c r="B23" s="156"/>
      <c r="C23" s="193" t="s">
        <v>50</v>
      </c>
      <c r="D23" s="39" t="s">
        <v>74</v>
      </c>
      <c r="E23" s="39" t="s">
        <v>74</v>
      </c>
      <c r="F23" s="40"/>
      <c r="G23" s="41"/>
      <c r="H23" s="200">
        <v>0.296</v>
      </c>
      <c r="I23" s="156" t="s">
        <v>75</v>
      </c>
      <c r="J23" s="39">
        <v>5</v>
      </c>
      <c r="K23" s="39">
        <v>5</v>
      </c>
    </row>
    <row r="24" ht="28.5" customHeight="1" spans="1:11">
      <c r="A24" s="194"/>
      <c r="B24" s="156"/>
      <c r="C24" s="194"/>
      <c r="D24" s="201" t="s">
        <v>51</v>
      </c>
      <c r="E24" s="201" t="s">
        <v>51</v>
      </c>
      <c r="F24" s="202"/>
      <c r="G24" s="203"/>
      <c r="H24" s="156" t="s">
        <v>52</v>
      </c>
      <c r="I24" s="156" t="s">
        <v>52</v>
      </c>
      <c r="J24" s="39">
        <v>5</v>
      </c>
      <c r="K24" s="39">
        <v>5</v>
      </c>
    </row>
    <row r="25" ht="28.5" customHeight="1" spans="1:11">
      <c r="A25" s="194"/>
      <c r="B25" s="156"/>
      <c r="C25" s="193" t="s">
        <v>53</v>
      </c>
      <c r="D25" s="39" t="s">
        <v>54</v>
      </c>
      <c r="E25" s="39" t="s">
        <v>54</v>
      </c>
      <c r="F25" s="40"/>
      <c r="G25" s="41"/>
      <c r="H25" s="156" t="s">
        <v>76</v>
      </c>
      <c r="I25" s="156">
        <v>290977</v>
      </c>
      <c r="J25" s="39">
        <v>10</v>
      </c>
      <c r="K25" s="39">
        <v>10</v>
      </c>
    </row>
    <row r="26" ht="28.5" customHeight="1" spans="1:11">
      <c r="A26" s="194"/>
      <c r="B26" s="156"/>
      <c r="C26" s="194"/>
      <c r="D26" s="39"/>
      <c r="E26" s="39"/>
      <c r="F26" s="40"/>
      <c r="G26" s="41"/>
      <c r="H26" s="156"/>
      <c r="I26" s="156"/>
      <c r="J26" s="39"/>
      <c r="K26" s="39"/>
    </row>
    <row r="27" ht="28.5" customHeight="1" spans="1:11">
      <c r="A27" s="194"/>
      <c r="B27" s="156" t="s">
        <v>57</v>
      </c>
      <c r="C27" s="193" t="s">
        <v>58</v>
      </c>
      <c r="D27" s="39"/>
      <c r="E27" s="39"/>
      <c r="F27" s="40"/>
      <c r="G27" s="41"/>
      <c r="H27" s="156"/>
      <c r="I27" s="156"/>
      <c r="J27" s="39"/>
      <c r="K27" s="39"/>
    </row>
    <row r="28" ht="28.5" customHeight="1" spans="1:11">
      <c r="A28" s="194"/>
      <c r="B28" s="156"/>
      <c r="C28" s="194"/>
      <c r="D28" s="39"/>
      <c r="E28" s="39"/>
      <c r="F28" s="40"/>
      <c r="G28" s="41"/>
      <c r="H28" s="156"/>
      <c r="I28" s="156"/>
      <c r="J28" s="39"/>
      <c r="K28" s="39"/>
    </row>
    <row r="29" ht="28.5" customHeight="1" spans="1:11">
      <c r="A29" s="194"/>
      <c r="B29" s="156"/>
      <c r="C29" s="193" t="s">
        <v>59</v>
      </c>
      <c r="D29" s="39" t="s">
        <v>77</v>
      </c>
      <c r="E29" s="39" t="s">
        <v>77</v>
      </c>
      <c r="F29" s="40"/>
      <c r="G29" s="41"/>
      <c r="H29" s="156" t="s">
        <v>78</v>
      </c>
      <c r="I29" s="156" t="s">
        <v>78</v>
      </c>
      <c r="J29" s="39">
        <v>40</v>
      </c>
      <c r="K29" s="39">
        <v>30</v>
      </c>
    </row>
    <row r="30" ht="28.5" customHeight="1" spans="1:11">
      <c r="A30" s="194"/>
      <c r="B30" s="156"/>
      <c r="C30" s="194"/>
      <c r="D30" s="39"/>
      <c r="E30" s="39"/>
      <c r="F30" s="40"/>
      <c r="G30" s="41"/>
      <c r="H30" s="156"/>
      <c r="I30" s="156"/>
      <c r="J30" s="39"/>
      <c r="K30" s="39"/>
    </row>
    <row r="31" ht="28.5" customHeight="1" spans="1:11">
      <c r="A31" s="194"/>
      <c r="B31" s="156"/>
      <c r="C31" s="193" t="s">
        <v>62</v>
      </c>
      <c r="D31" s="39"/>
      <c r="E31" s="39"/>
      <c r="F31" s="40"/>
      <c r="G31" s="41"/>
      <c r="H31" s="156"/>
      <c r="I31" s="156"/>
      <c r="J31" s="39"/>
      <c r="K31" s="39"/>
    </row>
    <row r="32" ht="28.5" customHeight="1" spans="1:11">
      <c r="A32" s="194"/>
      <c r="B32" s="156"/>
      <c r="C32" s="194"/>
      <c r="D32" s="39"/>
      <c r="E32" s="39"/>
      <c r="F32" s="40"/>
      <c r="G32" s="41"/>
      <c r="H32" s="156"/>
      <c r="I32" s="156"/>
      <c r="J32" s="39"/>
      <c r="K32" s="39"/>
    </row>
    <row r="33" ht="28.5" customHeight="1" spans="1:11">
      <c r="A33" s="194"/>
      <c r="B33" s="156"/>
      <c r="C33" s="193" t="s">
        <v>63</v>
      </c>
      <c r="D33" s="39"/>
      <c r="E33" s="39"/>
      <c r="F33" s="40"/>
      <c r="G33" s="41"/>
      <c r="H33" s="156"/>
      <c r="I33" s="156"/>
      <c r="J33" s="39"/>
      <c r="K33" s="39"/>
    </row>
    <row r="34" ht="28.5" customHeight="1" spans="1:11">
      <c r="A34" s="194"/>
      <c r="B34" s="156"/>
      <c r="C34" s="194"/>
      <c r="D34" s="39"/>
      <c r="E34" s="39"/>
      <c r="F34" s="40"/>
      <c r="G34" s="41"/>
      <c r="H34" s="156"/>
      <c r="I34" s="156"/>
      <c r="J34" s="39"/>
      <c r="K34" s="39"/>
    </row>
    <row r="35" ht="28.5" customHeight="1" spans="1:11">
      <c r="A35" s="194"/>
      <c r="B35" s="193" t="s">
        <v>64</v>
      </c>
      <c r="C35" s="193" t="s">
        <v>65</v>
      </c>
      <c r="D35" s="39" t="s">
        <v>66</v>
      </c>
      <c r="E35" s="39" t="s">
        <v>66</v>
      </c>
      <c r="F35" s="40"/>
      <c r="G35" s="41"/>
      <c r="H35" s="195">
        <v>0.95</v>
      </c>
      <c r="I35" s="195">
        <v>0.95</v>
      </c>
      <c r="J35" s="39">
        <v>10</v>
      </c>
      <c r="K35" s="39">
        <v>9</v>
      </c>
    </row>
    <row r="36" ht="28.5" customHeight="1" spans="1:11">
      <c r="A36" s="194"/>
      <c r="B36" s="194"/>
      <c r="C36" s="194"/>
      <c r="D36" s="39"/>
      <c r="E36" s="39"/>
      <c r="F36" s="40"/>
      <c r="G36" s="41"/>
      <c r="H36" s="156"/>
      <c r="I36" s="156"/>
      <c r="J36" s="39"/>
      <c r="K36" s="39"/>
    </row>
    <row r="37" ht="28.5" customHeight="1" spans="1:11">
      <c r="A37" s="156" t="s">
        <v>68</v>
      </c>
      <c r="B37" s="156"/>
      <c r="C37" s="156"/>
      <c r="D37" s="156"/>
      <c r="E37" s="156"/>
      <c r="F37" s="156"/>
      <c r="G37" s="156"/>
      <c r="H37" s="156"/>
      <c r="I37" s="156"/>
      <c r="J37" s="198">
        <v>100</v>
      </c>
      <c r="K37" s="39">
        <f>K35+K29+K25+K24+K23+K21+K22+K20+K19+K18</f>
        <v>86</v>
      </c>
    </row>
    <row r="38" ht="28.5" customHeight="1" spans="1:11">
      <c r="A38" s="156" t="s">
        <v>69</v>
      </c>
      <c r="B38" s="156"/>
      <c r="C38" s="156"/>
      <c r="D38" s="156"/>
      <c r="E38" s="156"/>
      <c r="F38" s="156"/>
      <c r="G38" s="156"/>
      <c r="H38" s="156"/>
      <c r="I38" s="156"/>
      <c r="J38" s="40"/>
      <c r="K38" s="41"/>
    </row>
  </sheetData>
  <mergeCells count="57">
    <mergeCell ref="A2:K2"/>
    <mergeCell ref="A3:K3"/>
    <mergeCell ref="A5:B5"/>
    <mergeCell ref="C5:E5"/>
    <mergeCell ref="F5:H5"/>
    <mergeCell ref="I5:K5"/>
    <mergeCell ref="D6:G6"/>
    <mergeCell ref="H6:K6"/>
    <mergeCell ref="B8:C8"/>
    <mergeCell ref="B9:C9"/>
    <mergeCell ref="B10:C10"/>
    <mergeCell ref="B11:C11"/>
    <mergeCell ref="B12:C12"/>
    <mergeCell ref="B13:C13"/>
    <mergeCell ref="B14:C14"/>
    <mergeCell ref="B15:E15"/>
    <mergeCell ref="F15:K15"/>
    <mergeCell ref="B16:E16"/>
    <mergeCell ref="F16:K16"/>
    <mergeCell ref="F17:G17"/>
    <mergeCell ref="F18:G18"/>
    <mergeCell ref="F19:G19"/>
    <mergeCell ref="F20:G20"/>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A37:I37"/>
    <mergeCell ref="A38:I38"/>
    <mergeCell ref="J38:K38"/>
    <mergeCell ref="A6:A14"/>
    <mergeCell ref="A15:A16"/>
    <mergeCell ref="A17:A36"/>
    <mergeCell ref="B18:B26"/>
    <mergeCell ref="B27:B34"/>
    <mergeCell ref="B35:B36"/>
    <mergeCell ref="C18:C19"/>
    <mergeCell ref="C20:C22"/>
    <mergeCell ref="C23:C24"/>
    <mergeCell ref="C25:C26"/>
    <mergeCell ref="C27:C28"/>
    <mergeCell ref="C29:C30"/>
    <mergeCell ref="C31:C32"/>
    <mergeCell ref="C33:C34"/>
    <mergeCell ref="C35:C36"/>
    <mergeCell ref="B6:C7"/>
  </mergeCells>
  <printOptions horizontalCentered="1"/>
  <pageMargins left="0.46875" right="0.46875" top="0.729166666666667" bottom="0.388888888888889" header="0.349305555555556" footer="0.2"/>
  <pageSetup paperSize="9" scale="63" fitToHeight="0" orientation="portrait" horizontalDpi="600" verticalDpi="600"/>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L38"/>
  <sheetViews>
    <sheetView showGridLines="0" topLeftCell="A22" workbookViewId="0">
      <selection activeCell="J37" sqref="J37"/>
    </sheetView>
  </sheetViews>
  <sheetFormatPr defaultColWidth="9" defaultRowHeight="14.25"/>
  <cols>
    <col min="1" max="1" width="5.375" style="91"/>
    <col min="2" max="2" width="12.125" style="91"/>
    <col min="3" max="3" width="12.375" style="91"/>
    <col min="4" max="4" width="26.625" style="91" customWidth="1"/>
    <col min="5" max="5" width="19.5" style="91"/>
    <col min="6" max="6" width="13.75" style="91"/>
    <col min="7" max="7" width="14" style="91"/>
    <col min="8" max="8" width="21.25" style="91" customWidth="1"/>
    <col min="9" max="10" width="21" style="91" customWidth="1"/>
    <col min="11" max="11" width="12.625" style="91"/>
    <col min="12" max="16384" width="9" style="91"/>
  </cols>
  <sheetData>
    <row r="1" ht="16.5" customHeight="1" spans="1:6">
      <c r="A1" s="186" t="s">
        <v>0</v>
      </c>
      <c r="B1" s="53"/>
      <c r="C1" s="53"/>
      <c r="D1" s="53"/>
      <c r="E1" s="53"/>
      <c r="F1" s="53"/>
    </row>
    <row r="2" ht="33.75" customHeight="1" spans="1:11">
      <c r="A2" s="154" t="s">
        <v>1</v>
      </c>
      <c r="B2" s="154"/>
      <c r="C2" s="154"/>
      <c r="D2" s="154"/>
      <c r="E2" s="154"/>
      <c r="F2" s="154"/>
      <c r="G2" s="154"/>
      <c r="H2" s="154"/>
      <c r="I2" s="154"/>
      <c r="J2" s="154"/>
      <c r="K2" s="154"/>
    </row>
    <row r="3" ht="21" customHeight="1" spans="1:11">
      <c r="A3" s="155" t="s">
        <v>2</v>
      </c>
      <c r="B3" s="155"/>
      <c r="C3" s="155"/>
      <c r="D3" s="155"/>
      <c r="E3" s="155"/>
      <c r="F3" s="155"/>
      <c r="G3" s="155"/>
      <c r="H3" s="155"/>
      <c r="I3" s="155"/>
      <c r="J3" s="155"/>
      <c r="K3" s="155"/>
    </row>
    <row r="4" ht="21" customHeight="1" spans="1:11">
      <c r="A4" s="155"/>
      <c r="B4" s="155"/>
      <c r="C4" s="155"/>
      <c r="D4" s="155"/>
      <c r="E4" s="155"/>
      <c r="F4" s="155"/>
      <c r="G4" s="155"/>
      <c r="H4" s="155"/>
      <c r="I4" s="155"/>
      <c r="J4" s="155"/>
      <c r="K4" s="155"/>
    </row>
    <row r="5" ht="21.75" customHeight="1" spans="1:11">
      <c r="A5" s="156" t="s">
        <v>3</v>
      </c>
      <c r="B5" s="156"/>
      <c r="C5" s="40" t="s">
        <v>4</v>
      </c>
      <c r="D5" s="157"/>
      <c r="E5" s="41"/>
      <c r="F5" s="156" t="s">
        <v>5</v>
      </c>
      <c r="G5" s="156"/>
      <c r="H5" s="156"/>
      <c r="I5" s="156">
        <v>109004</v>
      </c>
      <c r="J5" s="156"/>
      <c r="K5" s="156"/>
    </row>
    <row r="6" s="87" customFormat="1" ht="22.5" customHeight="1" spans="1:11">
      <c r="A6" s="40" t="s">
        <v>6</v>
      </c>
      <c r="B6" s="158" t="s">
        <v>7</v>
      </c>
      <c r="C6" s="159"/>
      <c r="D6" s="160" t="s">
        <v>8</v>
      </c>
      <c r="E6" s="161"/>
      <c r="F6" s="161"/>
      <c r="G6" s="162"/>
      <c r="H6" s="163" t="s">
        <v>9</v>
      </c>
      <c r="I6" s="180"/>
      <c r="J6" s="180"/>
      <c r="K6" s="171"/>
    </row>
    <row r="7" s="90" customFormat="1" ht="35.25" customHeight="1" spans="1:12">
      <c r="A7" s="40"/>
      <c r="B7" s="164"/>
      <c r="C7" s="165"/>
      <c r="D7" s="59" t="s">
        <v>10</v>
      </c>
      <c r="E7" s="56" t="s">
        <v>11</v>
      </c>
      <c r="F7" s="56" t="s">
        <v>12</v>
      </c>
      <c r="G7" s="56" t="s">
        <v>13</v>
      </c>
      <c r="H7" s="67" t="s">
        <v>14</v>
      </c>
      <c r="I7" s="56" t="s">
        <v>15</v>
      </c>
      <c r="J7" s="56" t="s">
        <v>16</v>
      </c>
      <c r="K7" s="56" t="s">
        <v>17</v>
      </c>
      <c r="L7" s="67"/>
    </row>
    <row r="8" s="87" customFormat="1" ht="19.5" customHeight="1" spans="1:11">
      <c r="A8" s="156"/>
      <c r="B8" s="68" t="s">
        <v>18</v>
      </c>
      <c r="C8" s="68"/>
      <c r="D8" s="70"/>
      <c r="E8" s="70"/>
      <c r="F8" s="168"/>
      <c r="G8" s="56"/>
      <c r="H8" s="56"/>
      <c r="I8" s="56"/>
      <c r="J8" s="70"/>
      <c r="K8" s="168"/>
    </row>
    <row r="9" s="87" customFormat="1" ht="19.5" customHeight="1" spans="1:11">
      <c r="A9" s="156"/>
      <c r="B9" s="167" t="s">
        <v>19</v>
      </c>
      <c r="C9" s="167"/>
      <c r="D9" s="70"/>
      <c r="E9" s="70"/>
      <c r="F9" s="168"/>
      <c r="G9" s="56"/>
      <c r="H9" s="56"/>
      <c r="I9" s="56"/>
      <c r="J9" s="70"/>
      <c r="K9" s="168"/>
    </row>
    <row r="10" s="87" customFormat="1" ht="19.5" customHeight="1" spans="1:11">
      <c r="A10" s="156"/>
      <c r="B10" s="167" t="s">
        <v>20</v>
      </c>
      <c r="C10" s="167"/>
      <c r="D10" s="70"/>
      <c r="E10" s="70"/>
      <c r="F10" s="168"/>
      <c r="G10" s="56"/>
      <c r="H10" s="56"/>
      <c r="I10" s="56"/>
      <c r="J10" s="70"/>
      <c r="K10" s="168"/>
    </row>
    <row r="11" s="87" customFormat="1" ht="19.5" customHeight="1" spans="1:11">
      <c r="A11" s="156"/>
      <c r="B11" s="167" t="s">
        <v>21</v>
      </c>
      <c r="C11" s="167"/>
      <c r="D11" s="69">
        <v>744767.96</v>
      </c>
      <c r="E11" s="70">
        <v>0</v>
      </c>
      <c r="F11" s="187">
        <v>744767.96</v>
      </c>
      <c r="G11" s="71">
        <f>D11+E11-F11</f>
        <v>0</v>
      </c>
      <c r="H11" s="188">
        <v>744767.96</v>
      </c>
      <c r="I11" s="188">
        <v>546626.46</v>
      </c>
      <c r="J11" s="197">
        <v>198141.5</v>
      </c>
      <c r="K11" s="182">
        <f>J11/H11</f>
        <v>0.266044608041409</v>
      </c>
    </row>
    <row r="12" s="87" customFormat="1" ht="19.5" customHeight="1" spans="1:11">
      <c r="A12" s="156"/>
      <c r="B12" s="167" t="s">
        <v>22</v>
      </c>
      <c r="C12" s="167"/>
      <c r="D12" s="70"/>
      <c r="E12" s="70"/>
      <c r="F12" s="168"/>
      <c r="G12" s="56"/>
      <c r="H12" s="56"/>
      <c r="I12" s="56"/>
      <c r="J12" s="70"/>
      <c r="K12" s="168"/>
    </row>
    <row r="13" s="87" customFormat="1" ht="19.5" customHeight="1" spans="1:11">
      <c r="A13" s="156"/>
      <c r="B13" s="167" t="s">
        <v>23</v>
      </c>
      <c r="C13" s="167"/>
      <c r="D13" s="70"/>
      <c r="E13" s="70"/>
      <c r="F13" s="168"/>
      <c r="G13" s="56"/>
      <c r="H13" s="56"/>
      <c r="I13" s="56"/>
      <c r="J13" s="70"/>
      <c r="K13" s="168"/>
    </row>
    <row r="14" s="87" customFormat="1" ht="25.5" customHeight="1" spans="1:11">
      <c r="A14" s="156"/>
      <c r="B14" s="40" t="s">
        <v>24</v>
      </c>
      <c r="C14" s="41"/>
      <c r="D14" s="169">
        <f t="shared" ref="D14:K14" si="0">SUM(D8:D13)</f>
        <v>744767.96</v>
      </c>
      <c r="E14" s="169">
        <f t="shared" si="0"/>
        <v>0</v>
      </c>
      <c r="F14" s="169">
        <f t="shared" si="0"/>
        <v>744767.96</v>
      </c>
      <c r="G14" s="169">
        <f t="shared" si="0"/>
        <v>0</v>
      </c>
      <c r="H14" s="169">
        <f t="shared" si="0"/>
        <v>744767.96</v>
      </c>
      <c r="I14" s="169">
        <f t="shared" si="0"/>
        <v>546626.46</v>
      </c>
      <c r="J14" s="169">
        <f t="shared" si="0"/>
        <v>198141.5</v>
      </c>
      <c r="K14" s="183">
        <f t="shared" si="0"/>
        <v>0.266044608041409</v>
      </c>
    </row>
    <row r="15" ht="21.75" customHeight="1" spans="1:11">
      <c r="A15" s="156" t="s">
        <v>25</v>
      </c>
      <c r="B15" s="156" t="s">
        <v>26</v>
      </c>
      <c r="C15" s="156"/>
      <c r="D15" s="156"/>
      <c r="E15" s="156"/>
      <c r="F15" s="156" t="s">
        <v>27</v>
      </c>
      <c r="G15" s="156"/>
      <c r="H15" s="156"/>
      <c r="I15" s="156"/>
      <c r="J15" s="156"/>
      <c r="K15" s="156"/>
    </row>
    <row r="16" ht="99.75" customHeight="1" spans="1:11">
      <c r="A16" s="156"/>
      <c r="B16" s="189" t="s">
        <v>79</v>
      </c>
      <c r="C16" s="190"/>
      <c r="D16" s="190"/>
      <c r="E16" s="191"/>
      <c r="F16" s="192" t="s">
        <v>79</v>
      </c>
      <c r="G16" s="192"/>
      <c r="H16" s="192"/>
      <c r="I16" s="192"/>
      <c r="J16" s="192"/>
      <c r="K16" s="192"/>
    </row>
    <row r="17" ht="28.5" customHeight="1" spans="1:11">
      <c r="A17" s="193" t="s">
        <v>28</v>
      </c>
      <c r="B17" s="193" t="s">
        <v>29</v>
      </c>
      <c r="C17" s="156" t="s">
        <v>30</v>
      </c>
      <c r="D17" s="156" t="s">
        <v>31</v>
      </c>
      <c r="E17" s="156" t="s">
        <v>32</v>
      </c>
      <c r="F17" s="40" t="s">
        <v>33</v>
      </c>
      <c r="G17" s="41"/>
      <c r="H17" s="156" t="s">
        <v>34</v>
      </c>
      <c r="I17" s="156" t="s">
        <v>35</v>
      </c>
      <c r="J17" s="156" t="s">
        <v>36</v>
      </c>
      <c r="K17" s="156" t="s">
        <v>37</v>
      </c>
    </row>
    <row r="18" ht="28.5" customHeight="1" spans="1:11">
      <c r="A18" s="194"/>
      <c r="B18" s="156" t="s">
        <v>38</v>
      </c>
      <c r="C18" s="193" t="s">
        <v>39</v>
      </c>
      <c r="D18" s="39" t="s">
        <v>70</v>
      </c>
      <c r="E18" s="39" t="s">
        <v>70</v>
      </c>
      <c r="F18" s="40"/>
      <c r="G18" s="41"/>
      <c r="H18" s="195">
        <v>1</v>
      </c>
      <c r="I18" s="156" t="s">
        <v>80</v>
      </c>
      <c r="J18" s="39">
        <v>5</v>
      </c>
      <c r="K18" s="39">
        <v>4</v>
      </c>
    </row>
    <row r="19" ht="28.5" spans="1:11">
      <c r="A19" s="194"/>
      <c r="B19" s="156"/>
      <c r="C19" s="194"/>
      <c r="D19" s="39" t="s">
        <v>81</v>
      </c>
      <c r="E19" s="39" t="s">
        <v>81</v>
      </c>
      <c r="F19" s="40"/>
      <c r="G19" s="41"/>
      <c r="H19" s="196" t="s">
        <v>82</v>
      </c>
      <c r="I19" s="156" t="s">
        <v>82</v>
      </c>
      <c r="J19" s="39">
        <v>10</v>
      </c>
      <c r="K19" s="39">
        <v>10</v>
      </c>
    </row>
    <row r="20" ht="28.5" customHeight="1" spans="1:11">
      <c r="A20" s="194"/>
      <c r="B20" s="156"/>
      <c r="C20" s="193" t="s">
        <v>44</v>
      </c>
      <c r="D20" s="39" t="s">
        <v>45</v>
      </c>
      <c r="E20" s="39" t="s">
        <v>45</v>
      </c>
      <c r="F20" s="40"/>
      <c r="G20" s="41"/>
      <c r="H20" s="195">
        <v>1</v>
      </c>
      <c r="I20" s="156" t="s">
        <v>46</v>
      </c>
      <c r="J20" s="39">
        <v>5</v>
      </c>
      <c r="K20" s="39">
        <v>4</v>
      </c>
    </row>
    <row r="21" ht="28.5" customHeight="1" spans="1:11">
      <c r="A21" s="194"/>
      <c r="B21" s="156"/>
      <c r="C21" s="194"/>
      <c r="D21" s="39" t="s">
        <v>47</v>
      </c>
      <c r="E21" s="39" t="s">
        <v>47</v>
      </c>
      <c r="F21" s="40"/>
      <c r="G21" s="41"/>
      <c r="H21" s="195">
        <v>1</v>
      </c>
      <c r="I21" s="195">
        <v>1</v>
      </c>
      <c r="J21" s="39">
        <v>10</v>
      </c>
      <c r="K21" s="39">
        <v>10</v>
      </c>
    </row>
    <row r="22" ht="28.5" customHeight="1" spans="1:11">
      <c r="A22" s="194"/>
      <c r="B22" s="156"/>
      <c r="C22" s="194"/>
      <c r="D22" s="39" t="s">
        <v>48</v>
      </c>
      <c r="E22" s="39" t="s">
        <v>49</v>
      </c>
      <c r="F22" s="40"/>
      <c r="G22" s="41"/>
      <c r="H22" s="195">
        <v>1</v>
      </c>
      <c r="I22" s="195">
        <v>1</v>
      </c>
      <c r="J22" s="39">
        <v>5</v>
      </c>
      <c r="K22" s="39">
        <v>4</v>
      </c>
    </row>
    <row r="23" ht="28.5" customHeight="1" spans="1:11">
      <c r="A23" s="194"/>
      <c r="B23" s="156"/>
      <c r="C23" s="193" t="s">
        <v>50</v>
      </c>
      <c r="D23" s="39" t="s">
        <v>51</v>
      </c>
      <c r="E23" s="39" t="s">
        <v>51</v>
      </c>
      <c r="F23" s="40"/>
      <c r="G23" s="41"/>
      <c r="H23" s="156" t="s">
        <v>52</v>
      </c>
      <c r="I23" s="156" t="s">
        <v>52</v>
      </c>
      <c r="J23" s="39">
        <v>10</v>
      </c>
      <c r="K23" s="39">
        <v>10</v>
      </c>
    </row>
    <row r="24" ht="28.5" customHeight="1" spans="1:11">
      <c r="A24" s="194"/>
      <c r="B24" s="156"/>
      <c r="C24" s="194"/>
      <c r="D24" s="39"/>
      <c r="E24" s="39"/>
      <c r="F24" s="40"/>
      <c r="G24" s="41"/>
      <c r="H24" s="156"/>
      <c r="I24" s="156"/>
      <c r="J24" s="39"/>
      <c r="K24" s="39"/>
    </row>
    <row r="25" ht="28.5" customHeight="1" spans="1:11">
      <c r="A25" s="194"/>
      <c r="B25" s="156"/>
      <c r="C25" s="193" t="s">
        <v>53</v>
      </c>
      <c r="D25" s="39" t="s">
        <v>54</v>
      </c>
      <c r="E25" s="39" t="s">
        <v>54</v>
      </c>
      <c r="F25" s="40"/>
      <c r="G25" s="41"/>
      <c r="H25" s="156" t="s">
        <v>83</v>
      </c>
      <c r="I25" s="156">
        <v>744767.96</v>
      </c>
      <c r="J25" s="39">
        <v>5</v>
      </c>
      <c r="K25" s="39">
        <v>5</v>
      </c>
    </row>
    <row r="26" ht="28.5" customHeight="1" spans="1:11">
      <c r="A26" s="194"/>
      <c r="B26" s="156"/>
      <c r="C26" s="194"/>
      <c r="D26" s="39"/>
      <c r="E26" s="39"/>
      <c r="F26" s="40"/>
      <c r="G26" s="41"/>
      <c r="H26" s="156"/>
      <c r="I26" s="156"/>
      <c r="J26" s="39"/>
      <c r="K26" s="39"/>
    </row>
    <row r="27" ht="28.5" customHeight="1" spans="1:11">
      <c r="A27" s="194"/>
      <c r="B27" s="156" t="s">
        <v>57</v>
      </c>
      <c r="C27" s="193" t="s">
        <v>58</v>
      </c>
      <c r="D27" s="39"/>
      <c r="E27" s="39"/>
      <c r="F27" s="40"/>
      <c r="G27" s="41"/>
      <c r="H27" s="156"/>
      <c r="I27" s="156"/>
      <c r="J27" s="39"/>
      <c r="K27" s="39"/>
    </row>
    <row r="28" ht="28.5" customHeight="1" spans="1:11">
      <c r="A28" s="194"/>
      <c r="B28" s="156"/>
      <c r="C28" s="194"/>
      <c r="D28" s="39"/>
      <c r="E28" s="39"/>
      <c r="F28" s="40"/>
      <c r="G28" s="41"/>
      <c r="H28" s="156"/>
      <c r="I28" s="156"/>
      <c r="J28" s="39"/>
      <c r="K28" s="39"/>
    </row>
    <row r="29" ht="28.5" customHeight="1" spans="1:11">
      <c r="A29" s="194"/>
      <c r="B29" s="156"/>
      <c r="C29" s="193" t="s">
        <v>59</v>
      </c>
      <c r="D29" s="39" t="s">
        <v>84</v>
      </c>
      <c r="E29" s="39" t="s">
        <v>84</v>
      </c>
      <c r="F29" s="40"/>
      <c r="G29" s="41"/>
      <c r="H29" s="39" t="s">
        <v>85</v>
      </c>
      <c r="I29" s="39" t="s">
        <v>85</v>
      </c>
      <c r="J29" s="39">
        <v>40</v>
      </c>
      <c r="K29" s="39">
        <v>30</v>
      </c>
    </row>
    <row r="30" ht="28.5" customHeight="1" spans="1:11">
      <c r="A30" s="194"/>
      <c r="B30" s="156"/>
      <c r="C30" s="194"/>
      <c r="D30" s="39"/>
      <c r="E30" s="39"/>
      <c r="F30" s="40"/>
      <c r="G30" s="41"/>
      <c r="H30" s="156"/>
      <c r="I30" s="156"/>
      <c r="J30" s="39"/>
      <c r="K30" s="39"/>
    </row>
    <row r="31" ht="28.5" customHeight="1" spans="1:11">
      <c r="A31" s="194"/>
      <c r="B31" s="156"/>
      <c r="C31" s="193" t="s">
        <v>62</v>
      </c>
      <c r="D31" s="39"/>
      <c r="E31" s="39"/>
      <c r="F31" s="40"/>
      <c r="G31" s="41"/>
      <c r="H31" s="156"/>
      <c r="I31" s="156"/>
      <c r="J31" s="39"/>
      <c r="K31" s="39"/>
    </row>
    <row r="32" ht="28.5" customHeight="1" spans="1:11">
      <c r="A32" s="194"/>
      <c r="B32" s="156"/>
      <c r="C32" s="194"/>
      <c r="D32" s="39"/>
      <c r="E32" s="39"/>
      <c r="F32" s="40"/>
      <c r="G32" s="41"/>
      <c r="H32" s="156"/>
      <c r="I32" s="156"/>
      <c r="J32" s="39"/>
      <c r="K32" s="39"/>
    </row>
    <row r="33" ht="28.5" customHeight="1" spans="1:11">
      <c r="A33" s="194"/>
      <c r="B33" s="156"/>
      <c r="C33" s="193" t="s">
        <v>63</v>
      </c>
      <c r="D33" s="39"/>
      <c r="E33" s="39"/>
      <c r="F33" s="40"/>
      <c r="G33" s="41"/>
      <c r="H33" s="156"/>
      <c r="I33" s="156"/>
      <c r="J33" s="39"/>
      <c r="K33" s="39"/>
    </row>
    <row r="34" ht="28.5" customHeight="1" spans="1:11">
      <c r="A34" s="194"/>
      <c r="B34" s="156"/>
      <c r="C34" s="194"/>
      <c r="D34" s="39"/>
      <c r="E34" s="39"/>
      <c r="F34" s="40"/>
      <c r="G34" s="41"/>
      <c r="H34" s="156"/>
      <c r="I34" s="156"/>
      <c r="J34" s="39"/>
      <c r="K34" s="39"/>
    </row>
    <row r="35" ht="28.5" customHeight="1" spans="1:11">
      <c r="A35" s="194"/>
      <c r="B35" s="193" t="s">
        <v>64</v>
      </c>
      <c r="C35" s="193" t="s">
        <v>65</v>
      </c>
      <c r="D35" s="39" t="s">
        <v>66</v>
      </c>
      <c r="E35" s="39" t="s">
        <v>66</v>
      </c>
      <c r="F35" s="40"/>
      <c r="G35" s="41"/>
      <c r="H35" s="195">
        <v>0.9</v>
      </c>
      <c r="I35" s="195" t="s">
        <v>46</v>
      </c>
      <c r="J35" s="39">
        <v>10</v>
      </c>
      <c r="K35" s="39">
        <v>9</v>
      </c>
    </row>
    <row r="36" ht="28.5" customHeight="1" spans="1:11">
      <c r="A36" s="194"/>
      <c r="B36" s="194"/>
      <c r="C36" s="194"/>
      <c r="D36" s="39"/>
      <c r="E36" s="39"/>
      <c r="F36" s="40"/>
      <c r="G36" s="41"/>
      <c r="H36" s="156"/>
      <c r="I36" s="156"/>
      <c r="J36" s="39"/>
      <c r="K36" s="39"/>
    </row>
    <row r="37" ht="28.5" customHeight="1" spans="1:11">
      <c r="A37" s="156" t="s">
        <v>68</v>
      </c>
      <c r="B37" s="156"/>
      <c r="C37" s="156"/>
      <c r="D37" s="156"/>
      <c r="E37" s="156"/>
      <c r="F37" s="156"/>
      <c r="G37" s="156"/>
      <c r="H37" s="156"/>
      <c r="I37" s="156"/>
      <c r="J37" s="198">
        <v>100</v>
      </c>
      <c r="K37" s="39">
        <f>K35+K29+K25+K23+K22+K21+K20+K19+K18</f>
        <v>86</v>
      </c>
    </row>
    <row r="38" ht="28.5" customHeight="1" spans="1:11">
      <c r="A38" s="156" t="s">
        <v>69</v>
      </c>
      <c r="B38" s="156"/>
      <c r="C38" s="156"/>
      <c r="D38" s="156"/>
      <c r="E38" s="156"/>
      <c r="F38" s="156"/>
      <c r="G38" s="156"/>
      <c r="H38" s="156"/>
      <c r="I38" s="156"/>
      <c r="J38" s="40"/>
      <c r="K38" s="41"/>
    </row>
  </sheetData>
  <mergeCells count="57">
    <mergeCell ref="A2:K2"/>
    <mergeCell ref="A3:K3"/>
    <mergeCell ref="A5:B5"/>
    <mergeCell ref="C5:E5"/>
    <mergeCell ref="F5:H5"/>
    <mergeCell ref="I5:K5"/>
    <mergeCell ref="D6:G6"/>
    <mergeCell ref="H6:K6"/>
    <mergeCell ref="B8:C8"/>
    <mergeCell ref="B9:C9"/>
    <mergeCell ref="B10:C10"/>
    <mergeCell ref="B11:C11"/>
    <mergeCell ref="B12:C12"/>
    <mergeCell ref="B13:C13"/>
    <mergeCell ref="B14:C14"/>
    <mergeCell ref="B15:E15"/>
    <mergeCell ref="F15:K15"/>
    <mergeCell ref="B16:E16"/>
    <mergeCell ref="F16:K16"/>
    <mergeCell ref="F17:G17"/>
    <mergeCell ref="F18:G18"/>
    <mergeCell ref="F19:G19"/>
    <mergeCell ref="F20:G20"/>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A37:I37"/>
    <mergeCell ref="A38:I38"/>
    <mergeCell ref="J38:K38"/>
    <mergeCell ref="A6:A14"/>
    <mergeCell ref="A15:A16"/>
    <mergeCell ref="A17:A36"/>
    <mergeCell ref="B18:B26"/>
    <mergeCell ref="B27:B34"/>
    <mergeCell ref="B35:B36"/>
    <mergeCell ref="C18:C19"/>
    <mergeCell ref="C20:C22"/>
    <mergeCell ref="C23:C24"/>
    <mergeCell ref="C25:C26"/>
    <mergeCell ref="C27:C28"/>
    <mergeCell ref="C29:C30"/>
    <mergeCell ref="C31:C32"/>
    <mergeCell ref="C33:C34"/>
    <mergeCell ref="C35:C36"/>
    <mergeCell ref="B6:C7"/>
  </mergeCells>
  <printOptions horizontalCentered="1"/>
  <pageMargins left="0.46875" right="0.46875" top="0.729166666666667" bottom="0.388888888888889" header="0.349305555555556" footer="0.2"/>
  <pageSetup paperSize="9" scale="64" fitToHeight="0" orientation="portrait" horizontalDpi="600" verticalDpi="600"/>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9"/>
  <sheetViews>
    <sheetView tabSelected="1" topLeftCell="A2" workbookViewId="0">
      <selection activeCell="A2" sqref="A2:K2"/>
    </sheetView>
  </sheetViews>
  <sheetFormatPr defaultColWidth="9" defaultRowHeight="14.25"/>
  <cols>
    <col min="1" max="1" width="5.375" style="91"/>
    <col min="2" max="2" width="12.125" style="91"/>
    <col min="3" max="3" width="7.5" style="91" customWidth="1"/>
    <col min="4" max="4" width="13.25" style="91" customWidth="1"/>
    <col min="5" max="5" width="22.375" style="91" customWidth="1"/>
    <col min="6" max="6" width="17.25" style="91"/>
    <col min="7" max="7" width="15.25" style="91" customWidth="1"/>
    <col min="8" max="8" width="12.75" style="91" customWidth="1"/>
    <col min="9" max="9" width="13" style="91" customWidth="1"/>
    <col min="10" max="10" width="10.5" style="91" customWidth="1"/>
    <col min="11" max="11" width="10.375" style="91" customWidth="1"/>
    <col min="12" max="16384" width="9" style="91"/>
  </cols>
  <sheetData>
    <row r="1" ht="16.5" customHeight="1" spans="1:6">
      <c r="A1" s="52" t="s">
        <v>86</v>
      </c>
      <c r="B1" s="52"/>
      <c r="C1" s="53"/>
      <c r="D1" s="53"/>
      <c r="E1" s="53"/>
      <c r="F1" s="53"/>
    </row>
    <row r="2" ht="33.75" customHeight="1" spans="1:11">
      <c r="A2" s="154" t="s">
        <v>87</v>
      </c>
      <c r="B2" s="154"/>
      <c r="C2" s="154"/>
      <c r="D2" s="154"/>
      <c r="E2" s="154"/>
      <c r="F2" s="154"/>
      <c r="G2" s="154"/>
      <c r="H2" s="154"/>
      <c r="I2" s="154"/>
      <c r="J2" s="154"/>
      <c r="K2" s="154"/>
    </row>
    <row r="3" ht="21" customHeight="1" spans="1:11">
      <c r="A3" s="155" t="s">
        <v>88</v>
      </c>
      <c r="B3" s="155"/>
      <c r="C3" s="155"/>
      <c r="D3" s="155"/>
      <c r="E3" s="155"/>
      <c r="F3" s="155"/>
      <c r="G3" s="155"/>
      <c r="H3" s="155"/>
      <c r="I3" s="155"/>
      <c r="J3" s="155"/>
      <c r="K3" s="155"/>
    </row>
    <row r="4" ht="21.75" customHeight="1" spans="1:11">
      <c r="A4" s="156" t="s">
        <v>3</v>
      </c>
      <c r="B4" s="156"/>
      <c r="C4" s="40" t="s">
        <v>89</v>
      </c>
      <c r="D4" s="157"/>
      <c r="E4" s="41"/>
      <c r="F4" s="156" t="s">
        <v>5</v>
      </c>
      <c r="G4" s="156"/>
      <c r="H4" s="156"/>
      <c r="I4" s="7">
        <v>2070805</v>
      </c>
      <c r="J4" s="7"/>
      <c r="K4" s="7"/>
    </row>
    <row r="5" s="87" customFormat="1" ht="22.5" customHeight="1" spans="1:11">
      <c r="A5" s="40" t="s">
        <v>6</v>
      </c>
      <c r="B5" s="158" t="s">
        <v>7</v>
      </c>
      <c r="C5" s="159"/>
      <c r="D5" s="160" t="s">
        <v>8</v>
      </c>
      <c r="E5" s="161"/>
      <c r="F5" s="161"/>
      <c r="G5" s="162"/>
      <c r="H5" s="163" t="s">
        <v>9</v>
      </c>
      <c r="I5" s="180"/>
      <c r="J5" s="180"/>
      <c r="K5" s="171"/>
    </row>
    <row r="6" s="90" customFormat="1" ht="35.25" customHeight="1" spans="1:12">
      <c r="A6" s="40"/>
      <c r="B6" s="164"/>
      <c r="C6" s="165"/>
      <c r="D6" s="59" t="s">
        <v>10</v>
      </c>
      <c r="E6" s="56" t="s">
        <v>11</v>
      </c>
      <c r="F6" s="56" t="s">
        <v>12</v>
      </c>
      <c r="G6" s="56" t="s">
        <v>13</v>
      </c>
      <c r="H6" s="67" t="s">
        <v>14</v>
      </c>
      <c r="I6" s="56" t="s">
        <v>15</v>
      </c>
      <c r="J6" s="56" t="s">
        <v>16</v>
      </c>
      <c r="K6" s="56" t="s">
        <v>17</v>
      </c>
      <c r="L6" s="67"/>
    </row>
    <row r="7" s="87" customFormat="1" ht="19.5" customHeight="1" spans="1:11">
      <c r="A7" s="156"/>
      <c r="B7" s="68" t="s">
        <v>18</v>
      </c>
      <c r="C7" s="68"/>
      <c r="D7" s="69">
        <v>3617.26</v>
      </c>
      <c r="E7" s="70">
        <v>0</v>
      </c>
      <c r="F7" s="166">
        <v>3617.26</v>
      </c>
      <c r="G7" s="71">
        <f>D7+E7-F7</f>
        <v>0</v>
      </c>
      <c r="H7" s="25">
        <v>3617.26</v>
      </c>
      <c r="I7" s="25">
        <f>3350.45-282.21</f>
        <v>3068.24</v>
      </c>
      <c r="J7" s="181">
        <f>H7-I7</f>
        <v>549.02</v>
      </c>
      <c r="K7" s="182">
        <f>J7/H7</f>
        <v>0.15177786501385</v>
      </c>
    </row>
    <row r="8" s="87" customFormat="1" ht="24" customHeight="1" spans="1:11">
      <c r="A8" s="156"/>
      <c r="B8" s="167" t="s">
        <v>19</v>
      </c>
      <c r="C8" s="167"/>
      <c r="D8" s="70"/>
      <c r="E8" s="70"/>
      <c r="F8" s="168"/>
      <c r="G8" s="56"/>
      <c r="H8" s="56"/>
      <c r="I8" s="56"/>
      <c r="J8" s="70"/>
      <c r="K8" s="168"/>
    </row>
    <row r="9" s="87" customFormat="1" ht="24.75" customHeight="1" spans="1:11">
      <c r="A9" s="156"/>
      <c r="B9" s="167" t="s">
        <v>20</v>
      </c>
      <c r="C9" s="167"/>
      <c r="D9" s="70"/>
      <c r="E9" s="70"/>
      <c r="F9" s="168"/>
      <c r="G9" s="56"/>
      <c r="H9" s="56"/>
      <c r="I9" s="56"/>
      <c r="J9" s="70"/>
      <c r="K9" s="168"/>
    </row>
    <row r="10" s="87" customFormat="1" ht="24" customHeight="1" spans="1:11">
      <c r="A10" s="156"/>
      <c r="B10" s="167" t="s">
        <v>21</v>
      </c>
      <c r="C10" s="167"/>
      <c r="D10" s="69">
        <v>3617.26</v>
      </c>
      <c r="E10" s="70">
        <v>0</v>
      </c>
      <c r="F10" s="166">
        <v>3617.26</v>
      </c>
      <c r="G10" s="71">
        <f>D10+E10-F10</f>
        <v>0</v>
      </c>
      <c r="H10" s="25">
        <v>3617.26</v>
      </c>
      <c r="I10" s="25">
        <f>3350.45-282.21</f>
        <v>3068.24</v>
      </c>
      <c r="J10" s="181">
        <f>H10-I10</f>
        <v>549.02</v>
      </c>
      <c r="K10" s="182">
        <f>J10/H10</f>
        <v>0.15177786501385</v>
      </c>
    </row>
    <row r="11" s="87" customFormat="1" ht="25.5" customHeight="1" spans="1:11">
      <c r="A11" s="156"/>
      <c r="B11" s="167" t="s">
        <v>22</v>
      </c>
      <c r="C11" s="167"/>
      <c r="D11" s="70"/>
      <c r="E11" s="70"/>
      <c r="F11" s="168"/>
      <c r="G11" s="56"/>
      <c r="H11" s="56"/>
      <c r="I11" s="56"/>
      <c r="J11" s="70"/>
      <c r="K11" s="168"/>
    </row>
    <row r="12" s="87" customFormat="1" ht="19.5" customHeight="1" spans="1:11">
      <c r="A12" s="156"/>
      <c r="B12" s="167" t="s">
        <v>23</v>
      </c>
      <c r="C12" s="167"/>
      <c r="D12" s="70"/>
      <c r="E12" s="70"/>
      <c r="F12" s="168"/>
      <c r="G12" s="56"/>
      <c r="H12" s="56"/>
      <c r="I12" s="56"/>
      <c r="J12" s="70"/>
      <c r="K12" s="168"/>
    </row>
    <row r="13" s="87" customFormat="1" ht="25.5" customHeight="1" spans="1:11">
      <c r="A13" s="156"/>
      <c r="B13" s="40" t="s">
        <v>24</v>
      </c>
      <c r="C13" s="41"/>
      <c r="D13" s="169">
        <f>SUM(D8:D12)</f>
        <v>3617.26</v>
      </c>
      <c r="E13" s="169">
        <f t="shared" ref="E13:K13" si="0">SUM(E8:E12)</f>
        <v>0</v>
      </c>
      <c r="F13" s="169">
        <f t="shared" si="0"/>
        <v>3617.26</v>
      </c>
      <c r="G13" s="169">
        <f t="shared" si="0"/>
        <v>0</v>
      </c>
      <c r="H13" s="169">
        <f t="shared" si="0"/>
        <v>3617.26</v>
      </c>
      <c r="I13" s="169">
        <f t="shared" si="0"/>
        <v>3068.24</v>
      </c>
      <c r="J13" s="169">
        <f t="shared" si="0"/>
        <v>549.02</v>
      </c>
      <c r="K13" s="183">
        <f t="shared" si="0"/>
        <v>0.15177786501385</v>
      </c>
    </row>
    <row r="14" ht="33" customHeight="1" spans="1:11">
      <c r="A14" s="156" t="s">
        <v>25</v>
      </c>
      <c r="B14" s="156" t="s">
        <v>26</v>
      </c>
      <c r="C14" s="156"/>
      <c r="D14" s="156"/>
      <c r="E14" s="156"/>
      <c r="F14" s="156" t="s">
        <v>27</v>
      </c>
      <c r="G14" s="156"/>
      <c r="H14" s="156"/>
      <c r="I14" s="156"/>
      <c r="J14" s="156"/>
      <c r="K14" s="156"/>
    </row>
    <row r="15" ht="174" customHeight="1" spans="1:11">
      <c r="A15" s="156"/>
      <c r="B15" s="29" t="s">
        <v>90</v>
      </c>
      <c r="C15" s="30"/>
      <c r="D15" s="30"/>
      <c r="E15" s="31"/>
      <c r="F15" s="32" t="s">
        <v>91</v>
      </c>
      <c r="G15" s="32"/>
      <c r="H15" s="32"/>
      <c r="I15" s="32"/>
      <c r="J15" s="32"/>
      <c r="K15" s="32"/>
    </row>
    <row r="16" ht="28.5" customHeight="1" spans="1:11">
      <c r="A16" s="170" t="s">
        <v>28</v>
      </c>
      <c r="B16" s="170" t="s">
        <v>29</v>
      </c>
      <c r="C16" s="168" t="s">
        <v>30</v>
      </c>
      <c r="D16" s="168" t="s">
        <v>31</v>
      </c>
      <c r="E16" s="168" t="s">
        <v>32</v>
      </c>
      <c r="F16" s="163" t="s">
        <v>33</v>
      </c>
      <c r="G16" s="171"/>
      <c r="H16" s="168" t="s">
        <v>34</v>
      </c>
      <c r="I16" s="168" t="s">
        <v>35</v>
      </c>
      <c r="J16" s="168" t="s">
        <v>36</v>
      </c>
      <c r="K16" s="168" t="s">
        <v>37</v>
      </c>
    </row>
    <row r="17" ht="44.25" customHeight="1" spans="1:11">
      <c r="A17" s="172"/>
      <c r="B17" s="168" t="s">
        <v>92</v>
      </c>
      <c r="C17" s="170" t="s">
        <v>39</v>
      </c>
      <c r="D17" s="173" t="s">
        <v>93</v>
      </c>
      <c r="E17" s="173" t="s">
        <v>94</v>
      </c>
      <c r="F17" s="174" t="s">
        <v>95</v>
      </c>
      <c r="G17" s="175"/>
      <c r="H17" s="27" t="s">
        <v>96</v>
      </c>
      <c r="I17" s="27" t="s">
        <v>96</v>
      </c>
      <c r="J17" s="173">
        <v>10</v>
      </c>
      <c r="K17" s="173">
        <v>10</v>
      </c>
    </row>
    <row r="18" ht="64.5" customHeight="1" spans="1:11">
      <c r="A18" s="172"/>
      <c r="B18" s="168"/>
      <c r="C18" s="172"/>
      <c r="D18" s="173" t="s">
        <v>97</v>
      </c>
      <c r="E18" s="173" t="s">
        <v>98</v>
      </c>
      <c r="F18" s="174" t="s">
        <v>99</v>
      </c>
      <c r="G18" s="175"/>
      <c r="H18" s="176" t="s">
        <v>100</v>
      </c>
      <c r="I18" s="176" t="s">
        <v>100</v>
      </c>
      <c r="J18" s="173">
        <v>10</v>
      </c>
      <c r="K18" s="173">
        <v>10</v>
      </c>
    </row>
    <row r="19" ht="48" customHeight="1" spans="1:11">
      <c r="A19" s="172"/>
      <c r="B19" s="168"/>
      <c r="C19" s="170" t="s">
        <v>44</v>
      </c>
      <c r="D19" s="173" t="s">
        <v>101</v>
      </c>
      <c r="E19" s="173" t="s">
        <v>102</v>
      </c>
      <c r="F19" s="174" t="s">
        <v>103</v>
      </c>
      <c r="G19" s="175"/>
      <c r="H19" s="177" t="s">
        <v>104</v>
      </c>
      <c r="I19" s="177" t="s">
        <v>104</v>
      </c>
      <c r="J19" s="173">
        <v>10</v>
      </c>
      <c r="K19" s="173">
        <v>10</v>
      </c>
    </row>
    <row r="20" ht="65.25" customHeight="1" spans="1:11">
      <c r="A20" s="172"/>
      <c r="B20" s="168"/>
      <c r="C20" s="170" t="s">
        <v>50</v>
      </c>
      <c r="D20" s="173" t="s">
        <v>105</v>
      </c>
      <c r="E20" s="173" t="s">
        <v>105</v>
      </c>
      <c r="F20" s="174" t="s">
        <v>106</v>
      </c>
      <c r="G20" s="175"/>
      <c r="H20" s="27" t="s">
        <v>107</v>
      </c>
      <c r="I20" s="27" t="s">
        <v>107</v>
      </c>
      <c r="J20" s="173">
        <v>10</v>
      </c>
      <c r="K20" s="173">
        <v>10</v>
      </c>
    </row>
    <row r="21" ht="39.75" customHeight="1" spans="1:11">
      <c r="A21" s="172"/>
      <c r="B21" s="168"/>
      <c r="C21" s="170" t="s">
        <v>53</v>
      </c>
      <c r="D21" s="173" t="s">
        <v>108</v>
      </c>
      <c r="E21" s="173" t="s">
        <v>108</v>
      </c>
      <c r="F21" s="174" t="s">
        <v>109</v>
      </c>
      <c r="G21" s="175"/>
      <c r="H21" s="176" t="s">
        <v>110</v>
      </c>
      <c r="I21" s="27" t="s">
        <v>110</v>
      </c>
      <c r="J21" s="173">
        <v>10</v>
      </c>
      <c r="K21" s="173">
        <v>10</v>
      </c>
    </row>
    <row r="22" ht="23.25" customHeight="1" spans="1:11">
      <c r="A22" s="172"/>
      <c r="B22" s="168" t="s">
        <v>57</v>
      </c>
      <c r="C22" s="170" t="s">
        <v>58</v>
      </c>
      <c r="D22" s="173"/>
      <c r="E22" s="173"/>
      <c r="F22" s="16"/>
      <c r="G22" s="47"/>
      <c r="H22" s="27"/>
      <c r="I22" s="173"/>
      <c r="J22" s="173"/>
      <c r="K22" s="173"/>
    </row>
    <row r="23" ht="64.5" customHeight="1" spans="1:11">
      <c r="A23" s="172"/>
      <c r="B23" s="168"/>
      <c r="C23" s="170" t="s">
        <v>59</v>
      </c>
      <c r="D23" s="173" t="s">
        <v>111</v>
      </c>
      <c r="E23" s="173" t="s">
        <v>111</v>
      </c>
      <c r="F23" s="174" t="s">
        <v>112</v>
      </c>
      <c r="G23" s="175"/>
      <c r="H23" s="27" t="s">
        <v>113</v>
      </c>
      <c r="I23" s="27" t="s">
        <v>113</v>
      </c>
      <c r="J23" s="173">
        <v>20</v>
      </c>
      <c r="K23" s="173">
        <v>20</v>
      </c>
    </row>
    <row r="24" ht="28.5" customHeight="1" spans="1:11">
      <c r="A24" s="172"/>
      <c r="B24" s="168"/>
      <c r="C24" s="170" t="s">
        <v>62</v>
      </c>
      <c r="D24" s="173"/>
      <c r="E24" s="173"/>
      <c r="F24" s="16"/>
      <c r="G24" s="47"/>
      <c r="H24" s="27"/>
      <c r="I24" s="173"/>
      <c r="J24" s="173"/>
      <c r="K24" s="173"/>
    </row>
    <row r="25" ht="39.75" customHeight="1" spans="1:11">
      <c r="A25" s="172"/>
      <c r="B25" s="168"/>
      <c r="C25" s="170" t="s">
        <v>63</v>
      </c>
      <c r="D25" s="173" t="s">
        <v>114</v>
      </c>
      <c r="E25" s="173" t="s">
        <v>114</v>
      </c>
      <c r="F25" s="174" t="s">
        <v>115</v>
      </c>
      <c r="G25" s="175"/>
      <c r="H25" s="27" t="s">
        <v>113</v>
      </c>
      <c r="I25" s="27" t="s">
        <v>113</v>
      </c>
      <c r="J25" s="173">
        <v>20</v>
      </c>
      <c r="K25" s="184">
        <v>20</v>
      </c>
    </row>
    <row r="26" ht="37.5" customHeight="1" spans="1:11">
      <c r="A26" s="172"/>
      <c r="B26" s="170" t="s">
        <v>64</v>
      </c>
      <c r="C26" s="170" t="s">
        <v>65</v>
      </c>
      <c r="D26" s="173" t="s">
        <v>116</v>
      </c>
      <c r="E26" s="173" t="s">
        <v>116</v>
      </c>
      <c r="F26" s="178" t="s">
        <v>117</v>
      </c>
      <c r="G26" s="44"/>
      <c r="H26" s="179" t="s">
        <v>118</v>
      </c>
      <c r="I26" s="179" t="s">
        <v>118</v>
      </c>
      <c r="J26" s="184">
        <v>5</v>
      </c>
      <c r="K26" s="184">
        <v>5</v>
      </c>
    </row>
    <row r="27" ht="42" customHeight="1" spans="1:11">
      <c r="A27" s="172"/>
      <c r="B27" s="172"/>
      <c r="C27" s="172"/>
      <c r="D27" s="173" t="s">
        <v>119</v>
      </c>
      <c r="E27" s="173" t="s">
        <v>119</v>
      </c>
      <c r="F27" s="174" t="s">
        <v>120</v>
      </c>
      <c r="G27" s="175"/>
      <c r="H27" s="27" t="s">
        <v>121</v>
      </c>
      <c r="I27" s="27" t="s">
        <v>122</v>
      </c>
      <c r="J27" s="184">
        <v>5</v>
      </c>
      <c r="K27" s="184">
        <v>3</v>
      </c>
    </row>
    <row r="28" ht="16.5" customHeight="1" spans="1:11">
      <c r="A28" s="168" t="s">
        <v>68</v>
      </c>
      <c r="B28" s="168"/>
      <c r="C28" s="168"/>
      <c r="D28" s="168"/>
      <c r="E28" s="168"/>
      <c r="F28" s="168"/>
      <c r="G28" s="168"/>
      <c r="H28" s="168"/>
      <c r="I28" s="168"/>
      <c r="J28" s="185">
        <f>SUM(J17:J27)</f>
        <v>100</v>
      </c>
      <c r="K28" s="185">
        <f>SUM(K17:K27)</f>
        <v>98</v>
      </c>
    </row>
    <row r="29" ht="17.25" customHeight="1" spans="1:11">
      <c r="A29" s="168" t="s">
        <v>69</v>
      </c>
      <c r="B29" s="168"/>
      <c r="C29" s="168"/>
      <c r="D29" s="168"/>
      <c r="E29" s="168"/>
      <c r="F29" s="168"/>
      <c r="G29" s="168"/>
      <c r="H29" s="168"/>
      <c r="I29" s="168"/>
      <c r="J29" s="163" t="s">
        <v>123</v>
      </c>
      <c r="K29" s="171"/>
    </row>
  </sheetData>
  <mergeCells count="44">
    <mergeCell ref="A1:B1"/>
    <mergeCell ref="A2:K2"/>
    <mergeCell ref="A3:K3"/>
    <mergeCell ref="A4:B4"/>
    <mergeCell ref="C4:E4"/>
    <mergeCell ref="F4:H4"/>
    <mergeCell ref="I4:K4"/>
    <mergeCell ref="D5:G5"/>
    <mergeCell ref="H5:K5"/>
    <mergeCell ref="B7:C7"/>
    <mergeCell ref="B8:C8"/>
    <mergeCell ref="B9:C9"/>
    <mergeCell ref="B10:C10"/>
    <mergeCell ref="B11:C11"/>
    <mergeCell ref="B12:C12"/>
    <mergeCell ref="B13:C13"/>
    <mergeCell ref="B14:E14"/>
    <mergeCell ref="F14:K14"/>
    <mergeCell ref="B15:E15"/>
    <mergeCell ref="F15:K15"/>
    <mergeCell ref="F16:G16"/>
    <mergeCell ref="F17:G17"/>
    <mergeCell ref="F18:G18"/>
    <mergeCell ref="F19:G19"/>
    <mergeCell ref="F20:G20"/>
    <mergeCell ref="F21:G21"/>
    <mergeCell ref="F22:G22"/>
    <mergeCell ref="F23:G23"/>
    <mergeCell ref="F24:G24"/>
    <mergeCell ref="F25:G25"/>
    <mergeCell ref="F26:G26"/>
    <mergeCell ref="F27:G27"/>
    <mergeCell ref="A28:I28"/>
    <mergeCell ref="A29:I29"/>
    <mergeCell ref="J29:K29"/>
    <mergeCell ref="A5:A13"/>
    <mergeCell ref="A14:A15"/>
    <mergeCell ref="A16:A27"/>
    <mergeCell ref="B17:B21"/>
    <mergeCell ref="B22:B25"/>
    <mergeCell ref="B26:B27"/>
    <mergeCell ref="C17:C18"/>
    <mergeCell ref="C26:C27"/>
    <mergeCell ref="B5:C6"/>
  </mergeCells>
  <pageMargins left="0.179166666666667" right="0.16875" top="0.16875" bottom="0.16875" header="0.16875" footer="0.16875"/>
  <pageSetup paperSize="9" orientation="landscape" horizontalDpi="600" verticalDpi="6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9"/>
  <sheetViews>
    <sheetView workbookViewId="0">
      <selection activeCell="A2" sqref="A2:K2"/>
    </sheetView>
  </sheetViews>
  <sheetFormatPr defaultColWidth="9" defaultRowHeight="14.25"/>
  <cols>
    <col min="1" max="1" width="5.375" style="91"/>
    <col min="2" max="2" width="12.125" style="91"/>
    <col min="3" max="3" width="12.375" style="91"/>
    <col min="4" max="4" width="13.375" style="91" customWidth="1"/>
    <col min="5" max="5" width="18" style="91" customWidth="1"/>
    <col min="6" max="6" width="17.25" style="91"/>
    <col min="7" max="7" width="16.375" style="91" customWidth="1"/>
    <col min="8" max="9" width="14" style="91" customWidth="1"/>
    <col min="10" max="10" width="10.625" style="91" customWidth="1"/>
    <col min="11" max="11" width="10.25" style="91" customWidth="1"/>
    <col min="12" max="16384" width="9" style="91"/>
  </cols>
  <sheetData>
    <row r="1" ht="16.5" customHeight="1" spans="1:12">
      <c r="A1" s="92" t="s">
        <v>124</v>
      </c>
      <c r="B1" s="92"/>
      <c r="C1" s="93"/>
      <c r="D1" s="93"/>
      <c r="E1" s="93"/>
      <c r="F1" s="93"/>
      <c r="G1" s="94"/>
      <c r="H1" s="94"/>
      <c r="I1" s="94"/>
      <c r="J1" s="94"/>
      <c r="K1" s="94"/>
      <c r="L1" s="94"/>
    </row>
    <row r="2" ht="22.5" spans="1:12">
      <c r="A2" s="95" t="s">
        <v>87</v>
      </c>
      <c r="B2" s="95"/>
      <c r="C2" s="95"/>
      <c r="D2" s="95"/>
      <c r="E2" s="95"/>
      <c r="F2" s="95"/>
      <c r="G2" s="95"/>
      <c r="H2" s="95"/>
      <c r="I2" s="95"/>
      <c r="J2" s="95"/>
      <c r="K2" s="95"/>
      <c r="L2" s="94"/>
    </row>
    <row r="3" ht="21" customHeight="1" spans="1:12">
      <c r="A3" s="96" t="s">
        <v>88</v>
      </c>
      <c r="B3" s="96"/>
      <c r="C3" s="96"/>
      <c r="D3" s="96"/>
      <c r="E3" s="96"/>
      <c r="F3" s="96"/>
      <c r="G3" s="96"/>
      <c r="H3" s="96"/>
      <c r="I3" s="96"/>
      <c r="J3" s="96"/>
      <c r="K3" s="96"/>
      <c r="L3" s="94"/>
    </row>
    <row r="4" ht="21.75" customHeight="1" spans="1:12">
      <c r="A4" s="97" t="s">
        <v>3</v>
      </c>
      <c r="B4" s="97"/>
      <c r="C4" s="98" t="s">
        <v>125</v>
      </c>
      <c r="D4" s="99"/>
      <c r="E4" s="100"/>
      <c r="F4" s="97" t="s">
        <v>5</v>
      </c>
      <c r="G4" s="97"/>
      <c r="H4" s="97"/>
      <c r="I4" s="97">
        <v>2070805</v>
      </c>
      <c r="J4" s="97"/>
      <c r="K4" s="97"/>
      <c r="L4" s="94"/>
    </row>
    <row r="5" s="87" customFormat="1" ht="22.5" customHeight="1" spans="1:12">
      <c r="A5" s="98" t="s">
        <v>6</v>
      </c>
      <c r="B5" s="101" t="s">
        <v>7</v>
      </c>
      <c r="C5" s="102"/>
      <c r="D5" s="103" t="s">
        <v>8</v>
      </c>
      <c r="E5" s="104"/>
      <c r="F5" s="104"/>
      <c r="G5" s="105"/>
      <c r="H5" s="106" t="s">
        <v>9</v>
      </c>
      <c r="I5" s="140"/>
      <c r="J5" s="140"/>
      <c r="K5" s="141"/>
      <c r="L5" s="142"/>
    </row>
    <row r="6" s="90" customFormat="1" ht="39.75" customHeight="1" spans="1:12">
      <c r="A6" s="98"/>
      <c r="B6" s="107"/>
      <c r="C6" s="108"/>
      <c r="D6" s="109" t="s">
        <v>10</v>
      </c>
      <c r="E6" s="110" t="s">
        <v>11</v>
      </c>
      <c r="F6" s="110" t="s">
        <v>12</v>
      </c>
      <c r="G6" s="110" t="s">
        <v>13</v>
      </c>
      <c r="H6" s="111" t="s">
        <v>14</v>
      </c>
      <c r="I6" s="110" t="s">
        <v>15</v>
      </c>
      <c r="J6" s="110" t="s">
        <v>16</v>
      </c>
      <c r="K6" s="110" t="s">
        <v>17</v>
      </c>
      <c r="L6" s="111"/>
    </row>
    <row r="7" s="87" customFormat="1" ht="19.5" customHeight="1" spans="1:12">
      <c r="A7" s="97"/>
      <c r="B7" s="112" t="s">
        <v>18</v>
      </c>
      <c r="C7" s="112"/>
      <c r="D7" s="113">
        <v>300</v>
      </c>
      <c r="E7" s="114">
        <v>0</v>
      </c>
      <c r="F7" s="115">
        <v>300</v>
      </c>
      <c r="G7" s="116">
        <v>0</v>
      </c>
      <c r="H7" s="116">
        <v>160</v>
      </c>
      <c r="I7" s="116">
        <v>10.91</v>
      </c>
      <c r="J7" s="143">
        <f>H7-I7</f>
        <v>149.09</v>
      </c>
      <c r="K7" s="152">
        <f>J7/H7</f>
        <v>0.9318125</v>
      </c>
      <c r="L7" s="142"/>
    </row>
    <row r="8" s="87" customFormat="1" ht="19.5" customHeight="1" spans="1:12">
      <c r="A8" s="97"/>
      <c r="B8" s="117" t="s">
        <v>19</v>
      </c>
      <c r="C8" s="117"/>
      <c r="D8" s="114"/>
      <c r="E8" s="114"/>
      <c r="F8" s="118"/>
      <c r="G8" s="110"/>
      <c r="H8" s="110"/>
      <c r="I8" s="110"/>
      <c r="J8" s="114"/>
      <c r="K8" s="118"/>
      <c r="L8" s="142"/>
    </row>
    <row r="9" s="87" customFormat="1" ht="19.5" customHeight="1" spans="1:12">
      <c r="A9" s="97"/>
      <c r="B9" s="117" t="s">
        <v>20</v>
      </c>
      <c r="C9" s="117"/>
      <c r="D9" s="114"/>
      <c r="E9" s="114"/>
      <c r="F9" s="118"/>
      <c r="G9" s="110"/>
      <c r="H9" s="110"/>
      <c r="I9" s="110"/>
      <c r="J9" s="114"/>
      <c r="K9" s="118"/>
      <c r="L9" s="142"/>
    </row>
    <row r="10" s="87" customFormat="1" ht="19.5" customHeight="1" spans="1:12">
      <c r="A10" s="97"/>
      <c r="B10" s="117" t="s">
        <v>21</v>
      </c>
      <c r="C10" s="117"/>
      <c r="D10" s="113">
        <v>300</v>
      </c>
      <c r="E10" s="114">
        <v>0</v>
      </c>
      <c r="F10" s="115">
        <v>300</v>
      </c>
      <c r="G10" s="116">
        <v>0</v>
      </c>
      <c r="H10" s="116">
        <v>160</v>
      </c>
      <c r="I10" s="116">
        <v>10.91</v>
      </c>
      <c r="J10" s="143">
        <f>H10-I10</f>
        <v>149.09</v>
      </c>
      <c r="K10" s="152">
        <f>J10/H10</f>
        <v>0.9318125</v>
      </c>
      <c r="L10" s="142"/>
    </row>
    <row r="11" s="87" customFormat="1" ht="19.5" customHeight="1" spans="1:12">
      <c r="A11" s="97"/>
      <c r="B11" s="117" t="s">
        <v>22</v>
      </c>
      <c r="C11" s="117"/>
      <c r="D11" s="114"/>
      <c r="E11" s="114"/>
      <c r="F11" s="118"/>
      <c r="G11" s="110"/>
      <c r="H11" s="110"/>
      <c r="I11" s="110"/>
      <c r="J11" s="114"/>
      <c r="K11" s="118"/>
      <c r="L11" s="142"/>
    </row>
    <row r="12" s="87" customFormat="1" ht="19.5" customHeight="1" spans="1:12">
      <c r="A12" s="97"/>
      <c r="B12" s="117" t="s">
        <v>23</v>
      </c>
      <c r="C12" s="117"/>
      <c r="D12" s="114"/>
      <c r="E12" s="114"/>
      <c r="F12" s="118"/>
      <c r="G12" s="110"/>
      <c r="H12" s="110"/>
      <c r="I12" s="110"/>
      <c r="J12" s="114"/>
      <c r="K12" s="118"/>
      <c r="L12" s="142"/>
    </row>
    <row r="13" s="87" customFormat="1" ht="25.5" customHeight="1" spans="1:12">
      <c r="A13" s="97"/>
      <c r="B13" s="98" t="s">
        <v>24</v>
      </c>
      <c r="C13" s="100"/>
      <c r="D13" s="147">
        <v>300</v>
      </c>
      <c r="E13" s="147">
        <v>0</v>
      </c>
      <c r="F13" s="147">
        <v>300</v>
      </c>
      <c r="G13" s="147"/>
      <c r="H13" s="147">
        <v>160</v>
      </c>
      <c r="I13" s="147">
        <v>10.91</v>
      </c>
      <c r="J13" s="147">
        <v>149.09</v>
      </c>
      <c r="K13" s="153">
        <v>0.9318</v>
      </c>
      <c r="L13" s="142"/>
    </row>
    <row r="14" ht="26.25" customHeight="1" spans="1:12">
      <c r="A14" s="97" t="s">
        <v>25</v>
      </c>
      <c r="B14" s="97" t="s">
        <v>26</v>
      </c>
      <c r="C14" s="97"/>
      <c r="D14" s="97"/>
      <c r="E14" s="97"/>
      <c r="F14" s="97" t="s">
        <v>27</v>
      </c>
      <c r="G14" s="97"/>
      <c r="H14" s="97"/>
      <c r="I14" s="97"/>
      <c r="J14" s="97"/>
      <c r="K14" s="97"/>
      <c r="L14" s="94"/>
    </row>
    <row r="15" ht="186" customHeight="1" spans="1:12">
      <c r="A15" s="97"/>
      <c r="B15" s="119" t="s">
        <v>126</v>
      </c>
      <c r="C15" s="120"/>
      <c r="D15" s="120"/>
      <c r="E15" s="121"/>
      <c r="F15" s="122" t="s">
        <v>127</v>
      </c>
      <c r="G15" s="122"/>
      <c r="H15" s="122"/>
      <c r="I15" s="122"/>
      <c r="J15" s="122"/>
      <c r="K15" s="122"/>
      <c r="L15" s="94"/>
    </row>
    <row r="16" ht="28.5" customHeight="1" spans="1:11">
      <c r="A16" s="123" t="s">
        <v>28</v>
      </c>
      <c r="B16" s="123" t="s">
        <v>29</v>
      </c>
      <c r="C16" s="97" t="s">
        <v>30</v>
      </c>
      <c r="D16" s="97" t="s">
        <v>31</v>
      </c>
      <c r="E16" s="97" t="s">
        <v>32</v>
      </c>
      <c r="F16" s="98" t="s">
        <v>33</v>
      </c>
      <c r="G16" s="100"/>
      <c r="H16" s="97" t="s">
        <v>34</v>
      </c>
      <c r="I16" s="97" t="s">
        <v>35</v>
      </c>
      <c r="J16" s="97" t="s">
        <v>36</v>
      </c>
      <c r="K16" s="97" t="s">
        <v>37</v>
      </c>
    </row>
    <row r="17" ht="54.75" customHeight="1" spans="1:11">
      <c r="A17" s="124"/>
      <c r="B17" s="97" t="s">
        <v>38</v>
      </c>
      <c r="C17" s="123" t="s">
        <v>39</v>
      </c>
      <c r="D17" s="125" t="s">
        <v>128</v>
      </c>
      <c r="E17" s="125" t="s">
        <v>129</v>
      </c>
      <c r="F17" s="126" t="s">
        <v>130</v>
      </c>
      <c r="G17" s="130"/>
      <c r="H17" s="97" t="s">
        <v>131</v>
      </c>
      <c r="I17" s="97" t="s">
        <v>132</v>
      </c>
      <c r="J17" s="125">
        <v>10</v>
      </c>
      <c r="K17" s="125">
        <v>10</v>
      </c>
    </row>
    <row r="18" ht="81" customHeight="1" spans="1:11">
      <c r="A18" s="124"/>
      <c r="B18" s="97"/>
      <c r="C18" s="124"/>
      <c r="D18" s="125" t="s">
        <v>133</v>
      </c>
      <c r="E18" s="125" t="s">
        <v>134</v>
      </c>
      <c r="F18" s="126" t="s">
        <v>135</v>
      </c>
      <c r="G18" s="130"/>
      <c r="H18" s="128" t="s">
        <v>136</v>
      </c>
      <c r="I18" s="128" t="s">
        <v>137</v>
      </c>
      <c r="J18" s="125">
        <v>10</v>
      </c>
      <c r="K18" s="125">
        <v>10</v>
      </c>
    </row>
    <row r="19" ht="42.75" customHeight="1" spans="1:11">
      <c r="A19" s="124"/>
      <c r="B19" s="97"/>
      <c r="C19" s="123" t="s">
        <v>44</v>
      </c>
      <c r="D19" s="125" t="s">
        <v>138</v>
      </c>
      <c r="E19" s="125" t="s">
        <v>139</v>
      </c>
      <c r="F19" s="126" t="s">
        <v>140</v>
      </c>
      <c r="G19" s="130"/>
      <c r="H19" s="131" t="s">
        <v>141</v>
      </c>
      <c r="I19" s="131" t="s">
        <v>142</v>
      </c>
      <c r="J19" s="125">
        <v>10</v>
      </c>
      <c r="K19" s="125">
        <v>10</v>
      </c>
    </row>
    <row r="20" ht="53.25" customHeight="1" spans="1:11">
      <c r="A20" s="124"/>
      <c r="B20" s="97"/>
      <c r="C20" s="123" t="s">
        <v>50</v>
      </c>
      <c r="D20" s="125" t="s">
        <v>143</v>
      </c>
      <c r="E20" s="125" t="s">
        <v>144</v>
      </c>
      <c r="F20" s="126" t="s">
        <v>145</v>
      </c>
      <c r="G20" s="130"/>
      <c r="H20" s="97" t="s">
        <v>146</v>
      </c>
      <c r="I20" s="97" t="s">
        <v>147</v>
      </c>
      <c r="J20" s="125">
        <v>10</v>
      </c>
      <c r="K20" s="125">
        <v>8</v>
      </c>
    </row>
    <row r="21" ht="32.25" customHeight="1" spans="1:11">
      <c r="A21" s="124"/>
      <c r="B21" s="97"/>
      <c r="C21" s="123" t="s">
        <v>53</v>
      </c>
      <c r="D21" s="133" t="s">
        <v>148</v>
      </c>
      <c r="E21" s="133" t="s">
        <v>149</v>
      </c>
      <c r="F21" s="126" t="s">
        <v>150</v>
      </c>
      <c r="G21" s="130"/>
      <c r="H21" s="134" t="s">
        <v>110</v>
      </c>
      <c r="I21" s="97" t="s">
        <v>110</v>
      </c>
      <c r="J21" s="125">
        <v>10</v>
      </c>
      <c r="K21" s="125">
        <v>10</v>
      </c>
    </row>
    <row r="22" ht="28.5" customHeight="1" spans="1:11">
      <c r="A22" s="124"/>
      <c r="B22" s="97" t="s">
        <v>57</v>
      </c>
      <c r="C22" s="123" t="s">
        <v>58</v>
      </c>
      <c r="D22" s="125"/>
      <c r="E22" s="125"/>
      <c r="F22" s="98"/>
      <c r="G22" s="100"/>
      <c r="H22" s="97"/>
      <c r="I22" s="125"/>
      <c r="J22" s="125"/>
      <c r="K22" s="125"/>
    </row>
    <row r="23" ht="74.1" customHeight="1" spans="1:11">
      <c r="A23" s="124"/>
      <c r="B23" s="97"/>
      <c r="C23" s="123" t="s">
        <v>59</v>
      </c>
      <c r="D23" s="125" t="s">
        <v>151</v>
      </c>
      <c r="E23" s="125" t="s">
        <v>152</v>
      </c>
      <c r="F23" s="135" t="s">
        <v>153</v>
      </c>
      <c r="G23" s="130"/>
      <c r="H23" s="97" t="s">
        <v>154</v>
      </c>
      <c r="I23" s="97" t="s">
        <v>155</v>
      </c>
      <c r="J23" s="125">
        <v>20</v>
      </c>
      <c r="K23" s="125">
        <v>10</v>
      </c>
    </row>
    <row r="24" ht="28.5" customHeight="1" spans="1:11">
      <c r="A24" s="124"/>
      <c r="B24" s="97"/>
      <c r="C24" s="123" t="s">
        <v>62</v>
      </c>
      <c r="D24" s="125"/>
      <c r="E24" s="125"/>
      <c r="F24" s="98"/>
      <c r="G24" s="100"/>
      <c r="H24" s="97"/>
      <c r="I24" s="125"/>
      <c r="J24" s="125"/>
      <c r="K24" s="125"/>
    </row>
    <row r="25" ht="79.5" customHeight="1" spans="1:11">
      <c r="A25" s="124"/>
      <c r="B25" s="97"/>
      <c r="C25" s="123" t="s">
        <v>63</v>
      </c>
      <c r="D25" s="125" t="s">
        <v>156</v>
      </c>
      <c r="E25" s="125" t="s">
        <v>157</v>
      </c>
      <c r="F25" s="135" t="s">
        <v>158</v>
      </c>
      <c r="G25" s="130"/>
      <c r="H25" s="97" t="s">
        <v>159</v>
      </c>
      <c r="I25" s="97" t="s">
        <v>159</v>
      </c>
      <c r="J25" s="145">
        <v>20</v>
      </c>
      <c r="K25" s="145">
        <v>20</v>
      </c>
    </row>
    <row r="26" ht="60.75" customHeight="1" spans="1:11">
      <c r="A26" s="124"/>
      <c r="B26" s="123" t="s">
        <v>64</v>
      </c>
      <c r="C26" s="123" t="s">
        <v>65</v>
      </c>
      <c r="D26" s="136" t="s">
        <v>160</v>
      </c>
      <c r="E26" s="136" t="s">
        <v>161</v>
      </c>
      <c r="F26" s="137" t="s">
        <v>162</v>
      </c>
      <c r="G26" s="138"/>
      <c r="H26" s="148">
        <v>1</v>
      </c>
      <c r="I26" s="139">
        <v>1</v>
      </c>
      <c r="J26" s="146">
        <v>5</v>
      </c>
      <c r="K26" s="146">
        <v>4</v>
      </c>
    </row>
    <row r="27" ht="72" customHeight="1" spans="1:11">
      <c r="A27" s="124"/>
      <c r="B27" s="124"/>
      <c r="C27" s="124"/>
      <c r="D27" s="136" t="s">
        <v>163</v>
      </c>
      <c r="E27" s="136" t="s">
        <v>164</v>
      </c>
      <c r="F27" s="149" t="s">
        <v>165</v>
      </c>
      <c r="G27" s="150"/>
      <c r="H27" s="151" t="s">
        <v>159</v>
      </c>
      <c r="I27" s="151" t="s">
        <v>159</v>
      </c>
      <c r="J27" s="146">
        <v>5</v>
      </c>
      <c r="K27" s="146">
        <v>4</v>
      </c>
    </row>
    <row r="28" ht="28.5" customHeight="1" spans="1:11">
      <c r="A28" s="97" t="s">
        <v>68</v>
      </c>
      <c r="B28" s="97"/>
      <c r="C28" s="97"/>
      <c r="D28" s="97"/>
      <c r="E28" s="97"/>
      <c r="F28" s="97"/>
      <c r="G28" s="97"/>
      <c r="H28" s="97"/>
      <c r="I28" s="97"/>
      <c r="J28" s="145">
        <v>100</v>
      </c>
      <c r="K28" s="125">
        <v>96</v>
      </c>
    </row>
    <row r="29" ht="28.5" customHeight="1" spans="1:11">
      <c r="A29" s="97" t="s">
        <v>69</v>
      </c>
      <c r="B29" s="97"/>
      <c r="C29" s="97"/>
      <c r="D29" s="97"/>
      <c r="E29" s="97"/>
      <c r="F29" s="97"/>
      <c r="G29" s="97"/>
      <c r="H29" s="97"/>
      <c r="I29" s="97"/>
      <c r="J29" s="98" t="s">
        <v>123</v>
      </c>
      <c r="K29" s="100"/>
    </row>
  </sheetData>
  <mergeCells count="44">
    <mergeCell ref="A1:B1"/>
    <mergeCell ref="A2:K2"/>
    <mergeCell ref="A3:K3"/>
    <mergeCell ref="A4:B4"/>
    <mergeCell ref="C4:E4"/>
    <mergeCell ref="F4:H4"/>
    <mergeCell ref="I4:K4"/>
    <mergeCell ref="D5:G5"/>
    <mergeCell ref="H5:K5"/>
    <mergeCell ref="B7:C7"/>
    <mergeCell ref="B8:C8"/>
    <mergeCell ref="B9:C9"/>
    <mergeCell ref="B10:C10"/>
    <mergeCell ref="B11:C11"/>
    <mergeCell ref="B12:C12"/>
    <mergeCell ref="B13:C13"/>
    <mergeCell ref="B14:E14"/>
    <mergeCell ref="F14:K14"/>
    <mergeCell ref="B15:E15"/>
    <mergeCell ref="F15:K15"/>
    <mergeCell ref="F16:G16"/>
    <mergeCell ref="F17:G17"/>
    <mergeCell ref="F18:G18"/>
    <mergeCell ref="F19:G19"/>
    <mergeCell ref="F20:G20"/>
    <mergeCell ref="F21:G21"/>
    <mergeCell ref="F22:G22"/>
    <mergeCell ref="F23:G23"/>
    <mergeCell ref="F24:G24"/>
    <mergeCell ref="F25:G25"/>
    <mergeCell ref="F26:G26"/>
    <mergeCell ref="F27:G27"/>
    <mergeCell ref="A28:I28"/>
    <mergeCell ref="A29:I29"/>
    <mergeCell ref="J29:K29"/>
    <mergeCell ref="A5:A13"/>
    <mergeCell ref="A14:A15"/>
    <mergeCell ref="A16:A27"/>
    <mergeCell ref="B17:B21"/>
    <mergeCell ref="B22:B25"/>
    <mergeCell ref="B26:B27"/>
    <mergeCell ref="C17:C18"/>
    <mergeCell ref="C26:C27"/>
    <mergeCell ref="B5:C6"/>
  </mergeCells>
  <pageMargins left="0.36875" right="0.16875" top="0.279166666666667" bottom="0.4" header="0.313888888888889" footer="0.56875"/>
  <pageSetup paperSize="9" orientation="landscape" horizontalDpi="600" verticalDpi="6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8"/>
  <sheetViews>
    <sheetView workbookViewId="0">
      <selection activeCell="B8" sqref="B8:C8"/>
    </sheetView>
  </sheetViews>
  <sheetFormatPr defaultColWidth="9" defaultRowHeight="14.25"/>
  <cols>
    <col min="1" max="1" width="5.375" style="91"/>
    <col min="2" max="2" width="12.125" style="91"/>
    <col min="3" max="3" width="12.375" style="91"/>
    <col min="4" max="4" width="13.375" style="91" customWidth="1"/>
    <col min="5" max="5" width="18" style="91" customWidth="1"/>
    <col min="6" max="6" width="17.25" style="91"/>
    <col min="7" max="7" width="16.375" style="91" customWidth="1"/>
    <col min="8" max="9" width="14" style="91" customWidth="1"/>
    <col min="10" max="10" width="10.625" style="91" customWidth="1"/>
    <col min="11" max="11" width="10.25" style="91" customWidth="1"/>
    <col min="12" max="16384" width="9" style="91"/>
  </cols>
  <sheetData>
    <row r="1" ht="16.5" customHeight="1" spans="1:12">
      <c r="A1" s="92" t="s">
        <v>166</v>
      </c>
      <c r="B1" s="92"/>
      <c r="C1" s="93"/>
      <c r="D1" s="93"/>
      <c r="E1" s="93"/>
      <c r="F1" s="93"/>
      <c r="G1" s="94"/>
      <c r="H1" s="94"/>
      <c r="I1" s="94"/>
      <c r="J1" s="94"/>
      <c r="K1" s="94"/>
      <c r="L1" s="94"/>
    </row>
    <row r="2" ht="33.75" customHeight="1" spans="1:12">
      <c r="A2" s="95" t="s">
        <v>87</v>
      </c>
      <c r="B2" s="95"/>
      <c r="C2" s="95"/>
      <c r="D2" s="95"/>
      <c r="E2" s="95"/>
      <c r="F2" s="95"/>
      <c r="G2" s="95"/>
      <c r="H2" s="95"/>
      <c r="I2" s="95"/>
      <c r="J2" s="95"/>
      <c r="K2" s="95"/>
      <c r="L2" s="94"/>
    </row>
    <row r="3" ht="21" customHeight="1" spans="1:12">
      <c r="A3" s="96" t="s">
        <v>88</v>
      </c>
      <c r="B3" s="96"/>
      <c r="C3" s="96"/>
      <c r="D3" s="96"/>
      <c r="E3" s="96"/>
      <c r="F3" s="96"/>
      <c r="G3" s="96"/>
      <c r="H3" s="96"/>
      <c r="I3" s="96"/>
      <c r="J3" s="96"/>
      <c r="K3" s="96"/>
      <c r="L3" s="94"/>
    </row>
    <row r="4" ht="21.75" customHeight="1" spans="1:12">
      <c r="A4" s="97" t="s">
        <v>3</v>
      </c>
      <c r="B4" s="97"/>
      <c r="C4" s="98" t="s">
        <v>167</v>
      </c>
      <c r="D4" s="99"/>
      <c r="E4" s="100"/>
      <c r="F4" s="97" t="s">
        <v>5</v>
      </c>
      <c r="G4" s="97"/>
      <c r="H4" s="97"/>
      <c r="I4" s="97">
        <v>2079999</v>
      </c>
      <c r="J4" s="97"/>
      <c r="K4" s="97"/>
      <c r="L4" s="94"/>
    </row>
    <row r="5" s="87" customFormat="1" ht="22.5" customHeight="1" spans="1:12">
      <c r="A5" s="98" t="s">
        <v>6</v>
      </c>
      <c r="B5" s="101" t="s">
        <v>7</v>
      </c>
      <c r="C5" s="102"/>
      <c r="D5" s="103" t="s">
        <v>8</v>
      </c>
      <c r="E5" s="104"/>
      <c r="F5" s="104"/>
      <c r="G5" s="105"/>
      <c r="H5" s="106" t="s">
        <v>9</v>
      </c>
      <c r="I5" s="140"/>
      <c r="J5" s="140"/>
      <c r="K5" s="141"/>
      <c r="L5" s="142"/>
    </row>
    <row r="6" s="90" customFormat="1" ht="39.75" customHeight="1" spans="1:12">
      <c r="A6" s="98"/>
      <c r="B6" s="107"/>
      <c r="C6" s="108"/>
      <c r="D6" s="109" t="s">
        <v>10</v>
      </c>
      <c r="E6" s="110" t="s">
        <v>11</v>
      </c>
      <c r="F6" s="110" t="s">
        <v>12</v>
      </c>
      <c r="G6" s="110" t="s">
        <v>13</v>
      </c>
      <c r="H6" s="111" t="s">
        <v>14</v>
      </c>
      <c r="I6" s="110" t="s">
        <v>15</v>
      </c>
      <c r="J6" s="110" t="s">
        <v>16</v>
      </c>
      <c r="K6" s="110" t="s">
        <v>17</v>
      </c>
      <c r="L6" s="111"/>
    </row>
    <row r="7" s="87" customFormat="1" ht="19.5" customHeight="1" spans="1:12">
      <c r="A7" s="97"/>
      <c r="B7" s="112" t="s">
        <v>18</v>
      </c>
      <c r="C7" s="112"/>
      <c r="D7" s="113">
        <v>300</v>
      </c>
      <c r="E7" s="114">
        <v>0</v>
      </c>
      <c r="F7" s="115">
        <v>300</v>
      </c>
      <c r="G7" s="116">
        <v>0</v>
      </c>
      <c r="H7" s="116">
        <v>50</v>
      </c>
      <c r="I7" s="116">
        <f>34.52+282.21</f>
        <v>316.73</v>
      </c>
      <c r="J7" s="143">
        <f>H7-I7</f>
        <v>-266.73</v>
      </c>
      <c r="K7" s="144">
        <f>J7/H7</f>
        <v>-5.3346</v>
      </c>
      <c r="L7" s="142"/>
    </row>
    <row r="8" s="87" customFormat="1" ht="19.5" customHeight="1" spans="1:12">
      <c r="A8" s="97"/>
      <c r="B8" s="117" t="s">
        <v>19</v>
      </c>
      <c r="C8" s="117"/>
      <c r="D8" s="114"/>
      <c r="E8" s="114"/>
      <c r="F8" s="118"/>
      <c r="G8" s="110"/>
      <c r="H8" s="110"/>
      <c r="I8" s="110"/>
      <c r="J8" s="114"/>
      <c r="K8" s="118"/>
      <c r="L8" s="142"/>
    </row>
    <row r="9" s="87" customFormat="1" ht="19.5" customHeight="1" spans="1:12">
      <c r="A9" s="97"/>
      <c r="B9" s="117" t="s">
        <v>20</v>
      </c>
      <c r="C9" s="117"/>
      <c r="D9" s="114"/>
      <c r="E9" s="114"/>
      <c r="F9" s="118"/>
      <c r="G9" s="110"/>
      <c r="H9" s="110"/>
      <c r="I9" s="110"/>
      <c r="J9" s="114"/>
      <c r="K9" s="118"/>
      <c r="L9" s="142"/>
    </row>
    <row r="10" s="87" customFormat="1" ht="19.5" customHeight="1" spans="1:12">
      <c r="A10" s="97"/>
      <c r="B10" s="117" t="s">
        <v>21</v>
      </c>
      <c r="C10" s="117"/>
      <c r="D10" s="113">
        <v>300</v>
      </c>
      <c r="E10" s="114">
        <v>0</v>
      </c>
      <c r="F10" s="115">
        <v>300</v>
      </c>
      <c r="G10" s="116">
        <v>0</v>
      </c>
      <c r="H10" s="116">
        <v>50</v>
      </c>
      <c r="I10" s="116">
        <f>34.52+282.21</f>
        <v>316.73</v>
      </c>
      <c r="J10" s="143">
        <f>H10-I10</f>
        <v>-266.73</v>
      </c>
      <c r="K10" s="144">
        <f>J10/H10</f>
        <v>-5.3346</v>
      </c>
      <c r="L10" s="142"/>
    </row>
    <row r="11" s="87" customFormat="1" ht="19.5" customHeight="1" spans="1:12">
      <c r="A11" s="97"/>
      <c r="B11" s="117" t="s">
        <v>22</v>
      </c>
      <c r="C11" s="117"/>
      <c r="D11" s="114"/>
      <c r="E11" s="114"/>
      <c r="F11" s="118"/>
      <c r="G11" s="110"/>
      <c r="H11" s="110"/>
      <c r="I11" s="110"/>
      <c r="J11" s="114"/>
      <c r="K11" s="118"/>
      <c r="L11" s="142"/>
    </row>
    <row r="12" s="87" customFormat="1" ht="19.5" customHeight="1" spans="1:12">
      <c r="A12" s="97"/>
      <c r="B12" s="117" t="s">
        <v>23</v>
      </c>
      <c r="C12" s="117"/>
      <c r="D12" s="114"/>
      <c r="E12" s="114"/>
      <c r="F12" s="118"/>
      <c r="G12" s="110"/>
      <c r="H12" s="110"/>
      <c r="I12" s="110"/>
      <c r="J12" s="114"/>
      <c r="K12" s="118"/>
      <c r="L12" s="142"/>
    </row>
    <row r="13" s="87" customFormat="1" ht="25.5" customHeight="1" spans="1:12">
      <c r="A13" s="97"/>
      <c r="B13" s="98" t="s">
        <v>24</v>
      </c>
      <c r="C13" s="100"/>
      <c r="D13" s="113">
        <v>300</v>
      </c>
      <c r="E13" s="114">
        <v>0</v>
      </c>
      <c r="F13" s="115">
        <v>300</v>
      </c>
      <c r="G13" s="116">
        <v>0</v>
      </c>
      <c r="H13" s="116">
        <v>50</v>
      </c>
      <c r="I13" s="116">
        <f>34.52+282.21</f>
        <v>316.73</v>
      </c>
      <c r="J13" s="143">
        <f>H13-I13</f>
        <v>-266.73</v>
      </c>
      <c r="K13" s="144">
        <f>J13/H13</f>
        <v>-5.3346</v>
      </c>
      <c r="L13" s="142"/>
    </row>
    <row r="14" ht="26.25" customHeight="1" spans="1:12">
      <c r="A14" s="97" t="s">
        <v>25</v>
      </c>
      <c r="B14" s="97" t="s">
        <v>26</v>
      </c>
      <c r="C14" s="97"/>
      <c r="D14" s="97"/>
      <c r="E14" s="97"/>
      <c r="F14" s="97" t="s">
        <v>27</v>
      </c>
      <c r="G14" s="97"/>
      <c r="H14" s="97"/>
      <c r="I14" s="97"/>
      <c r="J14" s="97"/>
      <c r="K14" s="97"/>
      <c r="L14" s="94"/>
    </row>
    <row r="15" ht="90" customHeight="1" spans="1:12">
      <c r="A15" s="97"/>
      <c r="B15" s="119" t="s">
        <v>168</v>
      </c>
      <c r="C15" s="120"/>
      <c r="D15" s="120"/>
      <c r="E15" s="121"/>
      <c r="F15" s="122" t="s">
        <v>169</v>
      </c>
      <c r="G15" s="122"/>
      <c r="H15" s="122"/>
      <c r="I15" s="122"/>
      <c r="J15" s="122"/>
      <c r="K15" s="122"/>
      <c r="L15" s="94"/>
    </row>
    <row r="16" ht="28.5" customHeight="1" spans="1:11">
      <c r="A16" s="123" t="s">
        <v>28</v>
      </c>
      <c r="B16" s="123" t="s">
        <v>29</v>
      </c>
      <c r="C16" s="97" t="s">
        <v>30</v>
      </c>
      <c r="D16" s="97" t="s">
        <v>31</v>
      </c>
      <c r="E16" s="97" t="s">
        <v>32</v>
      </c>
      <c r="F16" s="98" t="s">
        <v>33</v>
      </c>
      <c r="G16" s="100"/>
      <c r="H16" s="97" t="s">
        <v>34</v>
      </c>
      <c r="I16" s="97" t="s">
        <v>35</v>
      </c>
      <c r="J16" s="97" t="s">
        <v>36</v>
      </c>
      <c r="K16" s="97" t="s">
        <v>37</v>
      </c>
    </row>
    <row r="17" ht="39" customHeight="1" spans="1:11">
      <c r="A17" s="124"/>
      <c r="B17" s="97" t="s">
        <v>38</v>
      </c>
      <c r="C17" s="123" t="s">
        <v>39</v>
      </c>
      <c r="D17" s="125" t="s">
        <v>170</v>
      </c>
      <c r="E17" s="125" t="s">
        <v>171</v>
      </c>
      <c r="F17" s="126" t="s">
        <v>172</v>
      </c>
      <c r="G17" s="127"/>
      <c r="H17" s="97" t="s">
        <v>173</v>
      </c>
      <c r="I17" s="97" t="s">
        <v>173</v>
      </c>
      <c r="J17" s="125">
        <v>20</v>
      </c>
      <c r="K17" s="125">
        <v>20</v>
      </c>
    </row>
    <row r="18" ht="46" customHeight="1" spans="1:11">
      <c r="A18" s="124"/>
      <c r="B18" s="97"/>
      <c r="C18" s="124"/>
      <c r="D18" s="125" t="s">
        <v>174</v>
      </c>
      <c r="E18" s="125" t="s">
        <v>175</v>
      </c>
      <c r="F18" s="126" t="s">
        <v>172</v>
      </c>
      <c r="G18" s="127"/>
      <c r="H18" s="128" t="s">
        <v>176</v>
      </c>
      <c r="I18" s="128" t="s">
        <v>177</v>
      </c>
      <c r="J18" s="125">
        <v>20</v>
      </c>
      <c r="K18" s="125">
        <v>20</v>
      </c>
    </row>
    <row r="19" ht="34" customHeight="1" spans="1:11">
      <c r="A19" s="124"/>
      <c r="B19" s="97"/>
      <c r="C19" s="123" t="s">
        <v>44</v>
      </c>
      <c r="D19" s="125" t="s">
        <v>178</v>
      </c>
      <c r="E19" s="129">
        <v>0.7</v>
      </c>
      <c r="F19" s="126" t="s">
        <v>179</v>
      </c>
      <c r="G19" s="130"/>
      <c r="H19" s="131">
        <v>0.7</v>
      </c>
      <c r="I19" s="131">
        <v>0.89</v>
      </c>
      <c r="J19" s="125">
        <v>10</v>
      </c>
      <c r="K19" s="125">
        <v>10</v>
      </c>
    </row>
    <row r="20" ht="53.25" customHeight="1" spans="1:11">
      <c r="A20" s="124"/>
      <c r="B20" s="97"/>
      <c r="C20" s="123" t="s">
        <v>50</v>
      </c>
      <c r="D20" s="125" t="s">
        <v>51</v>
      </c>
      <c r="E20" s="125" t="s">
        <v>104</v>
      </c>
      <c r="F20" s="126" t="s">
        <v>180</v>
      </c>
      <c r="G20" s="130"/>
      <c r="H20" s="132">
        <v>1</v>
      </c>
      <c r="I20" s="132">
        <v>1</v>
      </c>
      <c r="J20" s="125">
        <v>10</v>
      </c>
      <c r="K20" s="125">
        <v>10</v>
      </c>
    </row>
    <row r="21" ht="32.25" customHeight="1" spans="1:11">
      <c r="A21" s="124"/>
      <c r="B21" s="97"/>
      <c r="C21" s="123" t="s">
        <v>53</v>
      </c>
      <c r="D21" s="133" t="s">
        <v>54</v>
      </c>
      <c r="E21" s="133" t="s">
        <v>181</v>
      </c>
      <c r="F21" s="126" t="s">
        <v>180</v>
      </c>
      <c r="G21" s="130"/>
      <c r="H21" s="134" t="s">
        <v>182</v>
      </c>
      <c r="I21" s="97" t="s">
        <v>183</v>
      </c>
      <c r="J21" s="125">
        <v>10</v>
      </c>
      <c r="K21" s="125">
        <v>10</v>
      </c>
    </row>
    <row r="22" ht="28.5" customHeight="1" spans="1:11">
      <c r="A22" s="124"/>
      <c r="B22" s="97" t="s">
        <v>57</v>
      </c>
      <c r="C22" s="123" t="s">
        <v>58</v>
      </c>
      <c r="D22" s="125"/>
      <c r="E22" s="125"/>
      <c r="F22" s="98"/>
      <c r="G22" s="100"/>
      <c r="H22" s="97"/>
      <c r="I22" s="125"/>
      <c r="J22" s="125"/>
      <c r="K22" s="125"/>
    </row>
    <row r="23" ht="74.1" customHeight="1" spans="1:11">
      <c r="A23" s="124"/>
      <c r="B23" s="97"/>
      <c r="C23" s="123" t="s">
        <v>59</v>
      </c>
      <c r="D23" s="125" t="s">
        <v>184</v>
      </c>
      <c r="E23" s="125" t="s">
        <v>185</v>
      </c>
      <c r="F23" s="135" t="s">
        <v>186</v>
      </c>
      <c r="G23" s="130"/>
      <c r="H23" s="125" t="s">
        <v>185</v>
      </c>
      <c r="I23" s="97" t="s">
        <v>187</v>
      </c>
      <c r="J23" s="125">
        <v>10</v>
      </c>
      <c r="K23" s="125">
        <v>10</v>
      </c>
    </row>
    <row r="24" ht="28.5" customHeight="1" spans="1:11">
      <c r="A24" s="124"/>
      <c r="B24" s="97"/>
      <c r="C24" s="123" t="s">
        <v>62</v>
      </c>
      <c r="D24" s="125"/>
      <c r="E24" s="125"/>
      <c r="F24" s="98"/>
      <c r="G24" s="100"/>
      <c r="H24" s="97"/>
      <c r="I24" s="125"/>
      <c r="J24" s="125"/>
      <c r="K24" s="125"/>
    </row>
    <row r="25" ht="65" customHeight="1" spans="1:11">
      <c r="A25" s="124"/>
      <c r="B25" s="97"/>
      <c r="C25" s="123" t="s">
        <v>63</v>
      </c>
      <c r="D25" s="125" t="s">
        <v>188</v>
      </c>
      <c r="E25" s="125" t="s">
        <v>189</v>
      </c>
      <c r="F25" s="135" t="s">
        <v>186</v>
      </c>
      <c r="G25" s="130"/>
      <c r="H25" s="97" t="s">
        <v>190</v>
      </c>
      <c r="I25" s="97" t="s">
        <v>190</v>
      </c>
      <c r="J25" s="145">
        <v>10</v>
      </c>
      <c r="K25" s="145">
        <v>10</v>
      </c>
    </row>
    <row r="26" ht="50" customHeight="1" spans="1:11">
      <c r="A26" s="124"/>
      <c r="B26" s="123" t="s">
        <v>64</v>
      </c>
      <c r="C26" s="123" t="s">
        <v>65</v>
      </c>
      <c r="D26" s="136" t="s">
        <v>191</v>
      </c>
      <c r="E26" s="136" t="s">
        <v>192</v>
      </c>
      <c r="F26" s="137" t="s">
        <v>193</v>
      </c>
      <c r="G26" s="138"/>
      <c r="H26" s="139" t="s">
        <v>194</v>
      </c>
      <c r="I26" s="139" t="s">
        <v>194</v>
      </c>
      <c r="J26" s="146">
        <v>10</v>
      </c>
      <c r="K26" s="146">
        <v>9</v>
      </c>
    </row>
    <row r="27" ht="28.5" customHeight="1" spans="1:11">
      <c r="A27" s="97" t="s">
        <v>68</v>
      </c>
      <c r="B27" s="97"/>
      <c r="C27" s="97"/>
      <c r="D27" s="97"/>
      <c r="E27" s="97"/>
      <c r="F27" s="97"/>
      <c r="G27" s="97"/>
      <c r="H27" s="97"/>
      <c r="I27" s="97"/>
      <c r="J27" s="145">
        <f>SUM(J17:J26)</f>
        <v>100</v>
      </c>
      <c r="K27" s="145">
        <f>SUM(K17:K26)</f>
        <v>99</v>
      </c>
    </row>
    <row r="28" ht="28.5" customHeight="1" spans="1:11">
      <c r="A28" s="97" t="s">
        <v>69</v>
      </c>
      <c r="B28" s="97"/>
      <c r="C28" s="97"/>
      <c r="D28" s="97"/>
      <c r="E28" s="97"/>
      <c r="F28" s="97"/>
      <c r="G28" s="97"/>
      <c r="H28" s="97"/>
      <c r="I28" s="97"/>
      <c r="J28" s="98" t="s">
        <v>123</v>
      </c>
      <c r="K28" s="100"/>
    </row>
  </sheetData>
  <mergeCells count="41">
    <mergeCell ref="A1:B1"/>
    <mergeCell ref="A2:K2"/>
    <mergeCell ref="A3:K3"/>
    <mergeCell ref="A4:B4"/>
    <mergeCell ref="C4:E4"/>
    <mergeCell ref="F4:H4"/>
    <mergeCell ref="I4:K4"/>
    <mergeCell ref="D5:G5"/>
    <mergeCell ref="H5:K5"/>
    <mergeCell ref="B7:C7"/>
    <mergeCell ref="B8:C8"/>
    <mergeCell ref="B9:C9"/>
    <mergeCell ref="B10:C10"/>
    <mergeCell ref="B11:C11"/>
    <mergeCell ref="B12:C12"/>
    <mergeCell ref="B13:C13"/>
    <mergeCell ref="B14:E14"/>
    <mergeCell ref="F14:K14"/>
    <mergeCell ref="B15:E15"/>
    <mergeCell ref="F15:K15"/>
    <mergeCell ref="F16:G16"/>
    <mergeCell ref="F17:G17"/>
    <mergeCell ref="F18:G18"/>
    <mergeCell ref="F19:G19"/>
    <mergeCell ref="F20:G20"/>
    <mergeCell ref="F21:G21"/>
    <mergeCell ref="F22:G22"/>
    <mergeCell ref="F23:G23"/>
    <mergeCell ref="F24:G24"/>
    <mergeCell ref="F25:G25"/>
    <mergeCell ref="F26:G26"/>
    <mergeCell ref="A27:I27"/>
    <mergeCell ref="A28:I28"/>
    <mergeCell ref="J28:K28"/>
    <mergeCell ref="A5:A13"/>
    <mergeCell ref="A14:A15"/>
    <mergeCell ref="A16:A26"/>
    <mergeCell ref="B17:B21"/>
    <mergeCell ref="B22:B25"/>
    <mergeCell ref="C17:C18"/>
    <mergeCell ref="B5:C6"/>
  </mergeCells>
  <pageMargins left="0.275" right="0.15625" top="0.118055555555556" bottom="0.196527777777778" header="0.275" footer="0.15625"/>
  <pageSetup paperSize="9"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9"/>
  <sheetViews>
    <sheetView workbookViewId="0">
      <selection activeCell="A1" sqref="A1:B1"/>
    </sheetView>
  </sheetViews>
  <sheetFormatPr defaultColWidth="9" defaultRowHeight="13.5"/>
  <cols>
    <col min="4" max="4" width="10.125"/>
    <col min="6" max="6" width="10.125"/>
    <col min="8" max="9" width="10.125"/>
  </cols>
  <sheetData>
    <row r="1" ht="20.25" spans="1:6">
      <c r="A1" s="52" t="s">
        <v>195</v>
      </c>
      <c r="B1" s="52"/>
      <c r="C1" s="53"/>
      <c r="D1" s="53"/>
      <c r="E1" s="53"/>
      <c r="F1" s="53"/>
    </row>
    <row r="2" ht="20.25" spans="1:11">
      <c r="A2" s="54" t="s">
        <v>87</v>
      </c>
      <c r="B2" s="54"/>
      <c r="C2" s="54"/>
      <c r="D2" s="54"/>
      <c r="E2" s="54"/>
      <c r="F2" s="54"/>
      <c r="G2" s="54"/>
      <c r="H2" s="54"/>
      <c r="I2" s="54"/>
      <c r="J2" s="54"/>
      <c r="K2" s="54"/>
    </row>
    <row r="3" ht="20.25" spans="1:11">
      <c r="A3" s="55" t="s">
        <v>196</v>
      </c>
      <c r="B3" s="55"/>
      <c r="C3" s="55"/>
      <c r="D3" s="55"/>
      <c r="E3" s="55"/>
      <c r="F3" s="55"/>
      <c r="G3" s="55"/>
      <c r="H3" s="55"/>
      <c r="I3" s="55"/>
      <c r="J3" s="55"/>
      <c r="K3" s="55"/>
    </row>
    <row r="4" spans="1:11">
      <c r="A4" s="56" t="s">
        <v>3</v>
      </c>
      <c r="B4" s="56"/>
      <c r="C4" s="57" t="s">
        <v>197</v>
      </c>
      <c r="D4" s="58"/>
      <c r="E4" s="59"/>
      <c r="F4" s="56" t="s">
        <v>5</v>
      </c>
      <c r="G4" s="56"/>
      <c r="H4" s="56"/>
      <c r="I4" s="20">
        <v>2070805</v>
      </c>
      <c r="J4" s="20"/>
      <c r="K4" s="20"/>
    </row>
    <row r="5" s="1" customFormat="1" ht="12" spans="1:12">
      <c r="A5" s="57" t="s">
        <v>6</v>
      </c>
      <c r="B5" s="60" t="s">
        <v>7</v>
      </c>
      <c r="C5" s="61"/>
      <c r="D5" s="62" t="s">
        <v>8</v>
      </c>
      <c r="E5" s="63"/>
      <c r="F5" s="63"/>
      <c r="G5" s="64"/>
      <c r="H5" s="57" t="s">
        <v>9</v>
      </c>
      <c r="I5" s="58"/>
      <c r="J5" s="58"/>
      <c r="K5" s="59"/>
      <c r="L5" s="87"/>
    </row>
    <row r="6" s="2" customFormat="1" ht="48" spans="1:12">
      <c r="A6" s="57"/>
      <c r="B6" s="65"/>
      <c r="C6" s="66"/>
      <c r="D6" s="59" t="s">
        <v>10</v>
      </c>
      <c r="E6" s="56" t="s">
        <v>11</v>
      </c>
      <c r="F6" s="56" t="s">
        <v>12</v>
      </c>
      <c r="G6" s="56" t="s">
        <v>13</v>
      </c>
      <c r="H6" s="67" t="s">
        <v>14</v>
      </c>
      <c r="I6" s="56" t="s">
        <v>15</v>
      </c>
      <c r="J6" s="56" t="s">
        <v>16</v>
      </c>
      <c r="K6" s="56" t="s">
        <v>17</v>
      </c>
      <c r="L6" s="67"/>
    </row>
    <row r="7" s="1" customFormat="1" ht="12" spans="1:12">
      <c r="A7" s="56"/>
      <c r="B7" s="68" t="s">
        <v>18</v>
      </c>
      <c r="C7" s="68"/>
      <c r="D7" s="69">
        <v>1416</v>
      </c>
      <c r="E7" s="70">
        <v>0</v>
      </c>
      <c r="F7" s="71">
        <v>1416</v>
      </c>
      <c r="G7" s="71">
        <v>0</v>
      </c>
      <c r="H7" s="71">
        <v>1416</v>
      </c>
      <c r="I7" s="71">
        <v>1416</v>
      </c>
      <c r="J7" s="70">
        <v>0</v>
      </c>
      <c r="K7" s="88">
        <v>0</v>
      </c>
      <c r="L7" s="87"/>
    </row>
    <row r="8" s="1" customFormat="1" ht="12" spans="1:12">
      <c r="A8" s="56"/>
      <c r="B8" s="68" t="s">
        <v>198</v>
      </c>
      <c r="C8" s="68"/>
      <c r="D8" s="70"/>
      <c r="E8" s="70"/>
      <c r="F8" s="56"/>
      <c r="G8" s="56"/>
      <c r="H8" s="56"/>
      <c r="I8" s="56"/>
      <c r="J8" s="70"/>
      <c r="K8" s="56"/>
      <c r="L8" s="87"/>
    </row>
    <row r="9" s="1" customFormat="1" ht="12" spans="1:12">
      <c r="A9" s="56"/>
      <c r="B9" s="68" t="s">
        <v>199</v>
      </c>
      <c r="C9" s="68"/>
      <c r="D9" s="70"/>
      <c r="E9" s="70"/>
      <c r="F9" s="56"/>
      <c r="G9" s="56"/>
      <c r="H9" s="56"/>
      <c r="I9" s="56"/>
      <c r="J9" s="70"/>
      <c r="K9" s="56"/>
      <c r="L9" s="87"/>
    </row>
    <row r="10" s="1" customFormat="1" ht="12" spans="1:12">
      <c r="A10" s="56"/>
      <c r="B10" s="68" t="s">
        <v>200</v>
      </c>
      <c r="C10" s="68"/>
      <c r="D10" s="69">
        <v>1416</v>
      </c>
      <c r="E10" s="70">
        <v>0</v>
      </c>
      <c r="F10" s="71">
        <v>1416</v>
      </c>
      <c r="G10" s="71">
        <v>0</v>
      </c>
      <c r="H10" s="71">
        <v>1416</v>
      </c>
      <c r="I10" s="71">
        <v>1416</v>
      </c>
      <c r="J10" s="70">
        <v>0</v>
      </c>
      <c r="K10" s="88">
        <v>0</v>
      </c>
      <c r="L10" s="87"/>
    </row>
    <row r="11" s="1" customFormat="1" ht="12" spans="1:12">
      <c r="A11" s="56"/>
      <c r="B11" s="68" t="s">
        <v>22</v>
      </c>
      <c r="C11" s="68"/>
      <c r="D11" s="70"/>
      <c r="E11" s="70"/>
      <c r="F11" s="56"/>
      <c r="G11" s="56"/>
      <c r="H11" s="56"/>
      <c r="I11" s="56"/>
      <c r="J11" s="70"/>
      <c r="K11" s="56"/>
      <c r="L11" s="87"/>
    </row>
    <row r="12" s="1" customFormat="1" ht="12" spans="1:12">
      <c r="A12" s="56"/>
      <c r="B12" s="68" t="s">
        <v>201</v>
      </c>
      <c r="C12" s="68"/>
      <c r="D12" s="70"/>
      <c r="E12" s="70"/>
      <c r="F12" s="56"/>
      <c r="G12" s="56"/>
      <c r="H12" s="56"/>
      <c r="I12" s="56"/>
      <c r="J12" s="70"/>
      <c r="K12" s="56"/>
      <c r="L12" s="87"/>
    </row>
    <row r="13" s="1" customFormat="1" ht="12" spans="1:12">
      <c r="A13" s="56"/>
      <c r="B13" s="57" t="s">
        <v>24</v>
      </c>
      <c r="C13" s="59"/>
      <c r="D13" s="69">
        <v>1416</v>
      </c>
      <c r="E13" s="70">
        <v>0</v>
      </c>
      <c r="F13" s="71">
        <v>1416</v>
      </c>
      <c r="G13" s="71">
        <v>0</v>
      </c>
      <c r="H13" s="71">
        <v>1416</v>
      </c>
      <c r="I13" s="71">
        <v>1416</v>
      </c>
      <c r="J13" s="70">
        <v>0</v>
      </c>
      <c r="K13" s="88">
        <v>0</v>
      </c>
      <c r="L13" s="87"/>
    </row>
    <row r="14" spans="1:12">
      <c r="A14" s="56" t="s">
        <v>25</v>
      </c>
      <c r="B14" s="56" t="s">
        <v>26</v>
      </c>
      <c r="C14" s="56"/>
      <c r="D14" s="56"/>
      <c r="E14" s="56"/>
      <c r="F14" s="56" t="s">
        <v>27</v>
      </c>
      <c r="G14" s="56"/>
      <c r="H14" s="56"/>
      <c r="I14" s="56"/>
      <c r="J14" s="56"/>
      <c r="K14" s="56"/>
      <c r="L14" s="87"/>
    </row>
    <row r="15" spans="1:11">
      <c r="A15" s="56"/>
      <c r="B15" s="72" t="s">
        <v>202</v>
      </c>
      <c r="C15" s="73"/>
      <c r="D15" s="73"/>
      <c r="E15" s="74"/>
      <c r="F15" s="75" t="s">
        <v>203</v>
      </c>
      <c r="G15" s="75"/>
      <c r="H15" s="75"/>
      <c r="I15" s="75"/>
      <c r="J15" s="75"/>
      <c r="K15" s="75"/>
    </row>
    <row r="16" spans="1:11">
      <c r="A16" s="76" t="s">
        <v>28</v>
      </c>
      <c r="B16" s="76" t="s">
        <v>29</v>
      </c>
      <c r="C16" s="56" t="s">
        <v>30</v>
      </c>
      <c r="D16" s="56" t="s">
        <v>31</v>
      </c>
      <c r="E16" s="56" t="s">
        <v>32</v>
      </c>
      <c r="F16" s="57" t="s">
        <v>33</v>
      </c>
      <c r="G16" s="59"/>
      <c r="H16" s="56" t="s">
        <v>34</v>
      </c>
      <c r="I16" s="56" t="s">
        <v>35</v>
      </c>
      <c r="J16" s="56" t="s">
        <v>36</v>
      </c>
      <c r="K16" s="56" t="s">
        <v>37</v>
      </c>
    </row>
    <row r="17" ht="36" spans="1:11">
      <c r="A17" s="77"/>
      <c r="B17" s="56" t="s">
        <v>92</v>
      </c>
      <c r="C17" s="76" t="s">
        <v>39</v>
      </c>
      <c r="D17" s="78" t="s">
        <v>204</v>
      </c>
      <c r="E17" s="78" t="s">
        <v>205</v>
      </c>
      <c r="F17" s="79" t="s">
        <v>206</v>
      </c>
      <c r="G17" s="80"/>
      <c r="H17" s="20">
        <v>4500</v>
      </c>
      <c r="I17" s="20">
        <v>4800</v>
      </c>
      <c r="J17" s="20">
        <v>10</v>
      </c>
      <c r="K17" s="20">
        <v>10</v>
      </c>
    </row>
    <row r="18" ht="24" spans="1:11">
      <c r="A18" s="77"/>
      <c r="B18" s="56"/>
      <c r="C18" s="77"/>
      <c r="D18" s="78" t="s">
        <v>207</v>
      </c>
      <c r="E18" s="78" t="s">
        <v>208</v>
      </c>
      <c r="F18" s="79" t="s">
        <v>209</v>
      </c>
      <c r="G18" s="80"/>
      <c r="H18" s="81">
        <v>2000</v>
      </c>
      <c r="I18" s="81">
        <v>2200</v>
      </c>
      <c r="J18" s="20">
        <v>10</v>
      </c>
      <c r="K18" s="20">
        <v>10</v>
      </c>
    </row>
    <row r="19" ht="48" spans="1:11">
      <c r="A19" s="82"/>
      <c r="B19" s="68"/>
      <c r="C19" s="83" t="s">
        <v>44</v>
      </c>
      <c r="D19" s="22" t="s">
        <v>210</v>
      </c>
      <c r="E19" s="22" t="s">
        <v>210</v>
      </c>
      <c r="F19" s="79" t="s">
        <v>211</v>
      </c>
      <c r="G19" s="80"/>
      <c r="H19" s="84" t="s">
        <v>212</v>
      </c>
      <c r="I19" s="84" t="s">
        <v>213</v>
      </c>
      <c r="J19" s="20">
        <v>10</v>
      </c>
      <c r="K19" s="20">
        <v>10</v>
      </c>
    </row>
    <row r="20" ht="48" spans="1:11">
      <c r="A20" s="77"/>
      <c r="B20" s="56"/>
      <c r="C20" s="76" t="s">
        <v>50</v>
      </c>
      <c r="D20" s="78" t="s">
        <v>214</v>
      </c>
      <c r="E20" s="78" t="s">
        <v>215</v>
      </c>
      <c r="F20" s="79" t="s">
        <v>216</v>
      </c>
      <c r="G20" s="80"/>
      <c r="H20" s="20" t="s">
        <v>217</v>
      </c>
      <c r="I20" s="20" t="s">
        <v>217</v>
      </c>
      <c r="J20" s="20">
        <v>10</v>
      </c>
      <c r="K20" s="20">
        <v>10</v>
      </c>
    </row>
    <row r="21" ht="24" spans="1:11">
      <c r="A21" s="77"/>
      <c r="B21" s="56"/>
      <c r="C21" s="76" t="s">
        <v>53</v>
      </c>
      <c r="D21" s="78" t="s">
        <v>218</v>
      </c>
      <c r="E21" s="78" t="s">
        <v>219</v>
      </c>
      <c r="F21" s="72" t="s">
        <v>220</v>
      </c>
      <c r="G21" s="74"/>
      <c r="H21" s="81" t="s">
        <v>159</v>
      </c>
      <c r="I21" s="20" t="s">
        <v>159</v>
      </c>
      <c r="J21" s="20">
        <v>10</v>
      </c>
      <c r="K21" s="20">
        <v>10</v>
      </c>
    </row>
    <row r="22" ht="24" spans="1:11">
      <c r="A22" s="77"/>
      <c r="B22" s="56" t="s">
        <v>57</v>
      </c>
      <c r="C22" s="76" t="s">
        <v>58</v>
      </c>
      <c r="D22" s="78"/>
      <c r="E22" s="78"/>
      <c r="F22" s="79"/>
      <c r="G22" s="80"/>
      <c r="H22" s="20"/>
      <c r="I22" s="78"/>
      <c r="J22" s="20"/>
      <c r="K22" s="20"/>
    </row>
    <row r="23" ht="120" spans="1:11">
      <c r="A23" s="77"/>
      <c r="B23" s="56"/>
      <c r="C23" s="76" t="s">
        <v>59</v>
      </c>
      <c r="D23" s="78" t="s">
        <v>221</v>
      </c>
      <c r="E23" s="78" t="s">
        <v>222</v>
      </c>
      <c r="F23" s="79" t="s">
        <v>223</v>
      </c>
      <c r="G23" s="80"/>
      <c r="H23" s="20" t="s">
        <v>224</v>
      </c>
      <c r="I23" s="20" t="s">
        <v>224</v>
      </c>
      <c r="J23" s="20">
        <v>20</v>
      </c>
      <c r="K23" s="20">
        <v>20</v>
      </c>
    </row>
    <row r="24" ht="24" spans="1:11">
      <c r="A24" s="77"/>
      <c r="B24" s="56"/>
      <c r="C24" s="76" t="s">
        <v>62</v>
      </c>
      <c r="D24" s="78"/>
      <c r="E24" s="78"/>
      <c r="F24" s="79"/>
      <c r="G24" s="80"/>
      <c r="H24" s="20"/>
      <c r="I24" s="78"/>
      <c r="J24" s="20"/>
      <c r="K24" s="20"/>
    </row>
    <row r="25" ht="108" spans="1:11">
      <c r="A25" s="77"/>
      <c r="B25" s="56"/>
      <c r="C25" s="76" t="s">
        <v>63</v>
      </c>
      <c r="D25" s="78" t="s">
        <v>225</v>
      </c>
      <c r="E25" s="78" t="s">
        <v>226</v>
      </c>
      <c r="F25" s="79" t="s">
        <v>227</v>
      </c>
      <c r="G25" s="80"/>
      <c r="H25" s="20" t="s">
        <v>228</v>
      </c>
      <c r="I25" s="20" t="s">
        <v>229</v>
      </c>
      <c r="J25" s="20">
        <v>20</v>
      </c>
      <c r="K25" s="20">
        <v>20</v>
      </c>
    </row>
    <row r="26" ht="72" spans="1:11">
      <c r="A26" s="77"/>
      <c r="B26" s="76" t="s">
        <v>64</v>
      </c>
      <c r="C26" s="76" t="s">
        <v>65</v>
      </c>
      <c r="D26" s="78" t="s">
        <v>230</v>
      </c>
      <c r="E26" s="78" t="s">
        <v>230</v>
      </c>
      <c r="F26" s="85" t="s">
        <v>231</v>
      </c>
      <c r="G26" s="86"/>
      <c r="H26" s="85" t="s">
        <v>232</v>
      </c>
      <c r="I26" s="89" t="s">
        <v>233</v>
      </c>
      <c r="J26" s="20">
        <v>5</v>
      </c>
      <c r="K26" s="20">
        <v>5</v>
      </c>
    </row>
    <row r="27" ht="240" spans="1:11">
      <c r="A27" s="77"/>
      <c r="B27" s="77"/>
      <c r="C27" s="77"/>
      <c r="D27" s="78" t="s">
        <v>234</v>
      </c>
      <c r="E27" s="78" t="s">
        <v>234</v>
      </c>
      <c r="F27" s="79" t="s">
        <v>235</v>
      </c>
      <c r="G27" s="80"/>
      <c r="H27" s="20" t="s">
        <v>236</v>
      </c>
      <c r="I27" s="20" t="s">
        <v>237</v>
      </c>
      <c r="J27" s="20">
        <v>5</v>
      </c>
      <c r="K27" s="20">
        <v>5</v>
      </c>
    </row>
    <row r="28" spans="1:11">
      <c r="A28" s="56" t="s">
        <v>68</v>
      </c>
      <c r="B28" s="56"/>
      <c r="C28" s="56"/>
      <c r="D28" s="56"/>
      <c r="E28" s="56"/>
      <c r="F28" s="56"/>
      <c r="G28" s="56"/>
      <c r="H28" s="56"/>
      <c r="I28" s="56"/>
      <c r="J28" s="56">
        <v>100</v>
      </c>
      <c r="K28" s="56">
        <v>100</v>
      </c>
    </row>
    <row r="29" spans="1:11">
      <c r="A29" s="56" t="s">
        <v>69</v>
      </c>
      <c r="B29" s="56"/>
      <c r="C29" s="56"/>
      <c r="D29" s="56"/>
      <c r="E29" s="56"/>
      <c r="F29" s="56"/>
      <c r="G29" s="56"/>
      <c r="H29" s="56"/>
      <c r="I29" s="56"/>
      <c r="J29" s="57" t="s">
        <v>123</v>
      </c>
      <c r="K29" s="59"/>
    </row>
  </sheetData>
  <mergeCells count="44">
    <mergeCell ref="A1:B1"/>
    <mergeCell ref="A2:K2"/>
    <mergeCell ref="A3:K3"/>
    <mergeCell ref="A4:B4"/>
    <mergeCell ref="C4:E4"/>
    <mergeCell ref="F4:H4"/>
    <mergeCell ref="I4:K4"/>
    <mergeCell ref="D5:G5"/>
    <mergeCell ref="H5:K5"/>
    <mergeCell ref="B7:C7"/>
    <mergeCell ref="B8:C8"/>
    <mergeCell ref="B9:C9"/>
    <mergeCell ref="B10:C10"/>
    <mergeCell ref="B11:C11"/>
    <mergeCell ref="B12:C12"/>
    <mergeCell ref="B13:C13"/>
    <mergeCell ref="B14:E14"/>
    <mergeCell ref="F14:K14"/>
    <mergeCell ref="B15:E15"/>
    <mergeCell ref="F15:K15"/>
    <mergeCell ref="F16:G16"/>
    <mergeCell ref="F17:G17"/>
    <mergeCell ref="F18:G18"/>
    <mergeCell ref="F19:G19"/>
    <mergeCell ref="F20:G20"/>
    <mergeCell ref="F21:G21"/>
    <mergeCell ref="F22:G22"/>
    <mergeCell ref="F23:G23"/>
    <mergeCell ref="F24:G24"/>
    <mergeCell ref="F25:G25"/>
    <mergeCell ref="F26:G26"/>
    <mergeCell ref="F27:G27"/>
    <mergeCell ref="A28:I28"/>
    <mergeCell ref="A29:I29"/>
    <mergeCell ref="J29:K29"/>
    <mergeCell ref="A5:A13"/>
    <mergeCell ref="A14:A15"/>
    <mergeCell ref="A16:A27"/>
    <mergeCell ref="B17:B21"/>
    <mergeCell ref="B22:B25"/>
    <mergeCell ref="B26:B27"/>
    <mergeCell ref="C17:C18"/>
    <mergeCell ref="C26:C27"/>
    <mergeCell ref="B5:C6"/>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8"/>
  <sheetViews>
    <sheetView workbookViewId="0">
      <selection activeCell="M18" sqref="M18:N18"/>
    </sheetView>
  </sheetViews>
  <sheetFormatPr defaultColWidth="9" defaultRowHeight="13.5"/>
  <sheetData>
    <row r="1" ht="20.25" spans="1:6">
      <c r="A1" s="3" t="s">
        <v>238</v>
      </c>
      <c r="B1" s="3"/>
      <c r="C1" s="4"/>
      <c r="D1" s="4"/>
      <c r="E1" s="4"/>
      <c r="F1" s="4"/>
    </row>
    <row r="2" ht="22.5" spans="1:11">
      <c r="A2" s="5" t="s">
        <v>87</v>
      </c>
      <c r="B2" s="5"/>
      <c r="C2" s="5"/>
      <c r="D2" s="5"/>
      <c r="E2" s="5"/>
      <c r="F2" s="5"/>
      <c r="G2" s="5"/>
      <c r="H2" s="5"/>
      <c r="I2" s="5"/>
      <c r="J2" s="5"/>
      <c r="K2" s="5"/>
    </row>
    <row r="3" ht="14.25" spans="1:11">
      <c r="A3" s="6" t="s">
        <v>88</v>
      </c>
      <c r="B3" s="6"/>
      <c r="C3" s="6"/>
      <c r="D3" s="6"/>
      <c r="E3" s="6"/>
      <c r="F3" s="6"/>
      <c r="G3" s="6"/>
      <c r="H3" s="6"/>
      <c r="I3" s="6"/>
      <c r="J3" s="6"/>
      <c r="K3" s="6"/>
    </row>
    <row r="4" ht="14.25" spans="1:11">
      <c r="A4" s="7" t="s">
        <v>3</v>
      </c>
      <c r="B4" s="7"/>
      <c r="C4" s="8" t="s">
        <v>239</v>
      </c>
      <c r="D4" s="9"/>
      <c r="E4" s="10"/>
      <c r="F4" s="7" t="s">
        <v>5</v>
      </c>
      <c r="G4" s="7"/>
      <c r="H4" s="7"/>
      <c r="I4" s="7">
        <v>2070605</v>
      </c>
      <c r="J4" s="7"/>
      <c r="K4" s="7"/>
    </row>
    <row r="5" s="1" customFormat="1" spans="1:11">
      <c r="A5" s="8" t="s">
        <v>6</v>
      </c>
      <c r="B5" s="11" t="s">
        <v>7</v>
      </c>
      <c r="C5" s="12"/>
      <c r="D5" s="13" t="s">
        <v>8</v>
      </c>
      <c r="E5" s="14"/>
      <c r="F5" s="14"/>
      <c r="G5" s="15"/>
      <c r="H5" s="16" t="s">
        <v>9</v>
      </c>
      <c r="I5" s="46"/>
      <c r="J5" s="46"/>
      <c r="K5" s="47"/>
    </row>
    <row r="6" s="2" customFormat="1" ht="48" spans="1:12">
      <c r="A6" s="8"/>
      <c r="B6" s="17"/>
      <c r="C6" s="18"/>
      <c r="D6" s="19" t="s">
        <v>10</v>
      </c>
      <c r="E6" s="20" t="s">
        <v>11</v>
      </c>
      <c r="F6" s="20" t="s">
        <v>12</v>
      </c>
      <c r="G6" s="20" t="s">
        <v>13</v>
      </c>
      <c r="H6" s="21" t="s">
        <v>14</v>
      </c>
      <c r="I6" s="20" t="s">
        <v>15</v>
      </c>
      <c r="J6" s="20" t="s">
        <v>16</v>
      </c>
      <c r="K6" s="20" t="s">
        <v>17</v>
      </c>
      <c r="L6" s="21"/>
    </row>
    <row r="7" s="1" customFormat="1" spans="1:11">
      <c r="A7" s="7"/>
      <c r="B7" s="22" t="s">
        <v>18</v>
      </c>
      <c r="C7" s="22"/>
      <c r="D7" s="23">
        <v>571</v>
      </c>
      <c r="E7" s="24">
        <v>0</v>
      </c>
      <c r="F7" s="25">
        <v>571</v>
      </c>
      <c r="G7" s="25">
        <v>0</v>
      </c>
      <c r="H7" s="25">
        <v>571</v>
      </c>
      <c r="I7" s="25">
        <v>571</v>
      </c>
      <c r="J7" s="24">
        <v>0</v>
      </c>
      <c r="K7" s="48">
        <v>0</v>
      </c>
    </row>
    <row r="8" s="1" customFormat="1" spans="1:11">
      <c r="A8" s="7"/>
      <c r="B8" s="26" t="s">
        <v>19</v>
      </c>
      <c r="C8" s="26"/>
      <c r="D8" s="24"/>
      <c r="E8" s="24"/>
      <c r="F8" s="27"/>
      <c r="G8" s="20"/>
      <c r="H8" s="20"/>
      <c r="I8" s="20"/>
      <c r="J8" s="24"/>
      <c r="K8" s="27"/>
    </row>
    <row r="9" s="1" customFormat="1" spans="1:11">
      <c r="A9" s="7"/>
      <c r="B9" s="26" t="s">
        <v>20</v>
      </c>
      <c r="C9" s="26"/>
      <c r="D9" s="24"/>
      <c r="E9" s="24"/>
      <c r="F9" s="27"/>
      <c r="G9" s="20"/>
      <c r="H9" s="20"/>
      <c r="I9" s="20"/>
      <c r="J9" s="24"/>
      <c r="K9" s="27"/>
    </row>
    <row r="10" s="1" customFormat="1" spans="1:11">
      <c r="A10" s="7"/>
      <c r="B10" s="26" t="s">
        <v>21</v>
      </c>
      <c r="C10" s="26"/>
      <c r="D10" s="23">
        <v>571</v>
      </c>
      <c r="E10" s="24">
        <v>0</v>
      </c>
      <c r="F10" s="25">
        <v>571</v>
      </c>
      <c r="G10" s="25">
        <v>0</v>
      </c>
      <c r="H10" s="25">
        <v>571</v>
      </c>
      <c r="I10" s="25">
        <v>571</v>
      </c>
      <c r="J10" s="24">
        <v>0</v>
      </c>
      <c r="K10" s="48">
        <v>0</v>
      </c>
    </row>
    <row r="11" s="1" customFormat="1" spans="1:11">
      <c r="A11" s="7"/>
      <c r="B11" s="26" t="s">
        <v>22</v>
      </c>
      <c r="C11" s="26"/>
      <c r="D11" s="24"/>
      <c r="E11" s="24"/>
      <c r="F11" s="20"/>
      <c r="G11" s="20"/>
      <c r="H11" s="20"/>
      <c r="I11" s="20"/>
      <c r="J11" s="24"/>
      <c r="K11" s="27"/>
    </row>
    <row r="12" s="1" customFormat="1" spans="1:11">
      <c r="A12" s="7"/>
      <c r="B12" s="26" t="s">
        <v>23</v>
      </c>
      <c r="C12" s="26"/>
      <c r="D12" s="24"/>
      <c r="E12" s="24"/>
      <c r="F12" s="20"/>
      <c r="G12" s="20"/>
      <c r="H12" s="20"/>
      <c r="I12" s="20"/>
      <c r="J12" s="24"/>
      <c r="K12" s="27"/>
    </row>
    <row r="13" s="1" customFormat="1" ht="14.25" spans="1:11">
      <c r="A13" s="7"/>
      <c r="B13" s="8" t="s">
        <v>24</v>
      </c>
      <c r="C13" s="10"/>
      <c r="D13" s="28">
        <v>571</v>
      </c>
      <c r="E13" s="28">
        <v>0</v>
      </c>
      <c r="F13" s="28">
        <v>571</v>
      </c>
      <c r="G13" s="28">
        <v>0</v>
      </c>
      <c r="H13" s="28">
        <v>571</v>
      </c>
      <c r="I13" s="28">
        <v>571</v>
      </c>
      <c r="J13" s="28">
        <v>0</v>
      </c>
      <c r="K13" s="49">
        <v>0</v>
      </c>
    </row>
    <row r="14" ht="14.25" spans="1:11">
      <c r="A14" s="7" t="s">
        <v>25</v>
      </c>
      <c r="B14" s="7" t="s">
        <v>26</v>
      </c>
      <c r="C14" s="7"/>
      <c r="D14" s="7"/>
      <c r="E14" s="7"/>
      <c r="F14" s="7" t="s">
        <v>27</v>
      </c>
      <c r="G14" s="7"/>
      <c r="H14" s="7"/>
      <c r="I14" s="7"/>
      <c r="J14" s="7"/>
      <c r="K14" s="7"/>
    </row>
    <row r="15" ht="14.25" spans="1:11">
      <c r="A15" s="7"/>
      <c r="B15" s="29" t="s">
        <v>240</v>
      </c>
      <c r="C15" s="30"/>
      <c r="D15" s="30"/>
      <c r="E15" s="31"/>
      <c r="F15" s="32" t="s">
        <v>241</v>
      </c>
      <c r="G15" s="32"/>
      <c r="H15" s="32"/>
      <c r="I15" s="32"/>
      <c r="J15" s="32"/>
      <c r="K15" s="32"/>
    </row>
    <row r="16" ht="28.5" spans="1:11">
      <c r="A16" s="33" t="s">
        <v>28</v>
      </c>
      <c r="B16" s="33" t="s">
        <v>29</v>
      </c>
      <c r="C16" s="7" t="s">
        <v>30</v>
      </c>
      <c r="D16" s="7" t="s">
        <v>31</v>
      </c>
      <c r="E16" s="7" t="s">
        <v>32</v>
      </c>
      <c r="F16" s="8" t="s">
        <v>33</v>
      </c>
      <c r="G16" s="10"/>
      <c r="H16" s="7" t="s">
        <v>34</v>
      </c>
      <c r="I16" s="7" t="s">
        <v>35</v>
      </c>
      <c r="J16" s="7" t="s">
        <v>36</v>
      </c>
      <c r="K16" s="7" t="s">
        <v>37</v>
      </c>
    </row>
    <row r="17" ht="28.5" spans="1:11">
      <c r="A17" s="34"/>
      <c r="B17" s="7" t="s">
        <v>38</v>
      </c>
      <c r="C17" s="33" t="s">
        <v>39</v>
      </c>
      <c r="D17" s="35" t="s">
        <v>242</v>
      </c>
      <c r="E17" s="35" t="s">
        <v>242</v>
      </c>
      <c r="F17" s="36" t="s">
        <v>243</v>
      </c>
      <c r="G17" s="37"/>
      <c r="H17" s="7" t="s">
        <v>244</v>
      </c>
      <c r="I17" s="7" t="s">
        <v>245</v>
      </c>
      <c r="J17" s="35">
        <v>10</v>
      </c>
      <c r="K17" s="35">
        <v>10</v>
      </c>
    </row>
    <row r="18" ht="71.25" spans="1:11">
      <c r="A18" s="34"/>
      <c r="B18" s="7"/>
      <c r="C18" s="38"/>
      <c r="D18" s="35" t="s">
        <v>246</v>
      </c>
      <c r="E18" s="35" t="s">
        <v>205</v>
      </c>
      <c r="F18" s="36" t="s">
        <v>247</v>
      </c>
      <c r="G18" s="37"/>
      <c r="H18" s="7" t="s">
        <v>248</v>
      </c>
      <c r="I18" s="7" t="s">
        <v>248</v>
      </c>
      <c r="J18" s="35">
        <v>10</v>
      </c>
      <c r="K18" s="35">
        <v>10</v>
      </c>
    </row>
    <row r="19" ht="28.5" spans="1:11">
      <c r="A19" s="34"/>
      <c r="B19" s="7"/>
      <c r="C19" s="33" t="s">
        <v>44</v>
      </c>
      <c r="D19" s="35" t="s">
        <v>249</v>
      </c>
      <c r="E19" s="35" t="s">
        <v>249</v>
      </c>
      <c r="F19" s="36" t="s">
        <v>250</v>
      </c>
      <c r="G19" s="37"/>
      <c r="H19" s="7" t="s">
        <v>244</v>
      </c>
      <c r="I19" s="7" t="s">
        <v>245</v>
      </c>
      <c r="J19" s="35">
        <v>10</v>
      </c>
      <c r="K19" s="35">
        <v>10</v>
      </c>
    </row>
    <row r="20" ht="28.5" spans="1:11">
      <c r="A20" s="34"/>
      <c r="B20" s="7"/>
      <c r="C20" s="33" t="s">
        <v>50</v>
      </c>
      <c r="D20" s="35" t="s">
        <v>51</v>
      </c>
      <c r="E20" s="35" t="s">
        <v>51</v>
      </c>
      <c r="F20" s="36" t="s">
        <v>251</v>
      </c>
      <c r="G20" s="37"/>
      <c r="H20" s="7" t="s">
        <v>252</v>
      </c>
      <c r="I20" s="7" t="s">
        <v>252</v>
      </c>
      <c r="J20" s="35">
        <v>10</v>
      </c>
      <c r="K20" s="35">
        <v>10</v>
      </c>
    </row>
    <row r="21" ht="28.5" spans="1:11">
      <c r="A21" s="34"/>
      <c r="B21" s="7"/>
      <c r="C21" s="33" t="s">
        <v>53</v>
      </c>
      <c r="D21" s="39" t="s">
        <v>148</v>
      </c>
      <c r="E21" s="39" t="s">
        <v>253</v>
      </c>
      <c r="F21" s="40" t="s">
        <v>254</v>
      </c>
      <c r="G21" s="41"/>
      <c r="H21" s="42">
        <v>1</v>
      </c>
      <c r="I21" s="42">
        <v>1</v>
      </c>
      <c r="J21" s="35">
        <v>10</v>
      </c>
      <c r="K21" s="35">
        <v>10</v>
      </c>
    </row>
    <row r="22" ht="28.5" spans="1:11">
      <c r="A22" s="34"/>
      <c r="B22" s="7" t="s">
        <v>57</v>
      </c>
      <c r="C22" s="33" t="s">
        <v>58</v>
      </c>
      <c r="D22" s="35"/>
      <c r="E22" s="35"/>
      <c r="F22" s="8"/>
      <c r="G22" s="10"/>
      <c r="H22" s="7"/>
      <c r="I22" s="35"/>
      <c r="J22" s="35"/>
      <c r="K22" s="35"/>
    </row>
    <row r="23" ht="28.5" spans="1:11">
      <c r="A23" s="34"/>
      <c r="B23" s="7"/>
      <c r="C23" s="33" t="s">
        <v>59</v>
      </c>
      <c r="D23" s="35" t="s">
        <v>255</v>
      </c>
      <c r="E23" s="35" t="s">
        <v>255</v>
      </c>
      <c r="F23" s="36" t="s">
        <v>256</v>
      </c>
      <c r="G23" s="37"/>
      <c r="H23" s="7" t="s">
        <v>257</v>
      </c>
      <c r="I23" s="7" t="s">
        <v>257</v>
      </c>
      <c r="J23" s="35">
        <v>40</v>
      </c>
      <c r="K23" s="35">
        <v>40</v>
      </c>
    </row>
    <row r="24" ht="28.5" spans="1:11">
      <c r="A24" s="34"/>
      <c r="B24" s="7"/>
      <c r="C24" s="33" t="s">
        <v>62</v>
      </c>
      <c r="D24" s="35"/>
      <c r="E24" s="35"/>
      <c r="F24" s="8"/>
      <c r="G24" s="10"/>
      <c r="H24" s="7"/>
      <c r="I24" s="35"/>
      <c r="J24" s="35"/>
      <c r="K24" s="35"/>
    </row>
    <row r="25" ht="42.75" spans="1:11">
      <c r="A25" s="34"/>
      <c r="B25" s="7"/>
      <c r="C25" s="33" t="s">
        <v>63</v>
      </c>
      <c r="D25" s="35"/>
      <c r="E25" s="35"/>
      <c r="F25" s="8"/>
      <c r="G25" s="10"/>
      <c r="H25" s="7"/>
      <c r="I25" s="7"/>
      <c r="J25" s="50"/>
      <c r="K25" s="50"/>
    </row>
    <row r="26" ht="42.75" spans="1:11">
      <c r="A26" s="34"/>
      <c r="B26" s="33" t="s">
        <v>64</v>
      </c>
      <c r="C26" s="33" t="s">
        <v>65</v>
      </c>
      <c r="D26" s="35" t="s">
        <v>66</v>
      </c>
      <c r="E26" s="35" t="s">
        <v>66</v>
      </c>
      <c r="F26" s="43" t="s">
        <v>258</v>
      </c>
      <c r="G26" s="44"/>
      <c r="H26" s="45" t="s">
        <v>259</v>
      </c>
      <c r="I26" s="51">
        <v>0.95</v>
      </c>
      <c r="J26" s="50">
        <v>10</v>
      </c>
      <c r="K26" s="50">
        <v>9</v>
      </c>
    </row>
    <row r="27" ht="14.25" spans="1:11">
      <c r="A27" s="7" t="s">
        <v>68</v>
      </c>
      <c r="B27" s="7"/>
      <c r="C27" s="7"/>
      <c r="D27" s="7"/>
      <c r="E27" s="7"/>
      <c r="F27" s="7"/>
      <c r="G27" s="7"/>
      <c r="H27" s="7"/>
      <c r="I27" s="7"/>
      <c r="J27" s="50">
        <v>100</v>
      </c>
      <c r="K27" s="50">
        <v>99</v>
      </c>
    </row>
    <row r="28" ht="14.25" spans="1:11">
      <c r="A28" s="7" t="s">
        <v>69</v>
      </c>
      <c r="B28" s="7"/>
      <c r="C28" s="7"/>
      <c r="D28" s="7"/>
      <c r="E28" s="7"/>
      <c r="F28" s="7"/>
      <c r="G28" s="7"/>
      <c r="H28" s="7"/>
      <c r="I28" s="7"/>
      <c r="J28" s="8" t="s">
        <v>123</v>
      </c>
      <c r="K28" s="10"/>
    </row>
  </sheetData>
  <mergeCells count="41">
    <mergeCell ref="A1:B1"/>
    <mergeCell ref="A2:K2"/>
    <mergeCell ref="A3:K3"/>
    <mergeCell ref="A4:B4"/>
    <mergeCell ref="C4:E4"/>
    <mergeCell ref="F4:H4"/>
    <mergeCell ref="I4:K4"/>
    <mergeCell ref="D5:G5"/>
    <mergeCell ref="H5:K5"/>
    <mergeCell ref="B7:C7"/>
    <mergeCell ref="B8:C8"/>
    <mergeCell ref="B9:C9"/>
    <mergeCell ref="B10:C10"/>
    <mergeCell ref="B11:C11"/>
    <mergeCell ref="B12:C12"/>
    <mergeCell ref="B13:C13"/>
    <mergeCell ref="B14:E14"/>
    <mergeCell ref="F14:K14"/>
    <mergeCell ref="B15:E15"/>
    <mergeCell ref="F15:K15"/>
    <mergeCell ref="F16:G16"/>
    <mergeCell ref="F17:G17"/>
    <mergeCell ref="F18:G18"/>
    <mergeCell ref="F19:G19"/>
    <mergeCell ref="F20:G20"/>
    <mergeCell ref="F21:G21"/>
    <mergeCell ref="F22:G22"/>
    <mergeCell ref="F23:G23"/>
    <mergeCell ref="F24:G24"/>
    <mergeCell ref="F25:G25"/>
    <mergeCell ref="F26:G26"/>
    <mergeCell ref="A27:I27"/>
    <mergeCell ref="A28:I28"/>
    <mergeCell ref="J28:K28"/>
    <mergeCell ref="A5:A13"/>
    <mergeCell ref="A14:A15"/>
    <mergeCell ref="A16:A26"/>
    <mergeCell ref="B17:B21"/>
    <mergeCell ref="B22:B25"/>
    <mergeCell ref="C17:C18"/>
    <mergeCell ref="B5:C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Company>LENOVO CUSTOMER</Company>
  <Application>WPS 表格</Application>
  <HeadingPairs>
    <vt:vector size="2" baseType="variant">
      <vt:variant>
        <vt:lpstr>工作表</vt:lpstr>
      </vt:variant>
      <vt:variant>
        <vt:i4>8</vt:i4>
      </vt:variant>
    </vt:vector>
  </HeadingPairs>
  <TitlesOfParts>
    <vt:vector size="8" baseType="lpstr">
      <vt:lpstr>网信办-专项业务费</vt:lpstr>
      <vt:lpstr>互联网中心-专项业务费</vt:lpstr>
      <vt:lpstr>未成中心-专项业务费</vt:lpstr>
      <vt:lpstr>传媒中心(办公用房及电视台高清改造项目）</vt:lpstr>
      <vt:lpstr>传媒中心(融媒体中心建设）</vt:lpstr>
      <vt:lpstr>问政平潭专项经费</vt:lpstr>
      <vt:lpstr>电视台一次性补助</vt:lpstr>
      <vt:lpstr>时报社一次性补助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小蜗不是牛</cp:lastModifiedBy>
  <dcterms:created xsi:type="dcterms:W3CDTF">2014-11-14T08:07:00Z</dcterms:created>
  <cp:lastPrinted>2020-04-29T01:24:00Z</cp:lastPrinted>
  <dcterms:modified xsi:type="dcterms:W3CDTF">2020-09-04T01:36:43Z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2052-10.1.0.5400</vt:lpwstr>
  </property>
</Properties>
</file>