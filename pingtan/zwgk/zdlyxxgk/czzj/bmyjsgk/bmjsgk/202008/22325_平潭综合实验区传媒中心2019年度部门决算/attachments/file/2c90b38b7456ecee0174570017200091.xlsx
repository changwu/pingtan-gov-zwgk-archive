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495" windowHeight="10575" tabRatio="792" firstSheet="3" activeTab="3"/>
  </bookViews>
  <sheets>
    <sheet name="网信办-专项业务费" sheetId="1" state="hidden" r:id="rId1"/>
    <sheet name="互联网中心-专项业务费" sheetId="2" state="hidden" r:id="rId2"/>
    <sheet name="未成中心-专项业务费" sheetId="3" state="hidden" r:id="rId3"/>
    <sheet name="传媒中心（部门业务费）" sheetId="4" r:id="rId4"/>
  </sheets>
  <calcPr calcId="144525"/>
</workbook>
</file>

<file path=xl/sharedStrings.xml><?xml version="1.0" encoding="utf-8"?>
<sst xmlns="http://schemas.openxmlformats.org/spreadsheetml/2006/main" count="126">
  <si>
    <t>附件8</t>
  </si>
  <si>
    <t>2018年财政支出项目绩效自评表</t>
  </si>
  <si>
    <r>
      <rPr>
        <sz val="12"/>
        <rFont val="宋体"/>
        <charset val="134"/>
      </rPr>
      <t>（</t>
    </r>
    <r>
      <rPr>
        <sz val="12"/>
        <rFont val="Times New Roman"/>
        <charset val="0"/>
      </rPr>
      <t xml:space="preserve">  2018  </t>
    </r>
    <r>
      <rPr>
        <sz val="12"/>
        <rFont val="宋体"/>
        <charset val="134"/>
      </rPr>
      <t>年度）</t>
    </r>
  </si>
  <si>
    <t>项目名称</t>
  </si>
  <si>
    <t>专项业务费</t>
  </si>
  <si>
    <t>主管部门及部门预算编码</t>
  </si>
  <si>
    <t xml:space="preserve">财政资金安排和使用情况 </t>
  </si>
  <si>
    <t>资金结构
（万元）</t>
  </si>
  <si>
    <t>财政支出项目预算安排、支出情况</t>
  </si>
  <si>
    <t>项目单位实际支出情况（汇总全区项目单位情况）</t>
  </si>
  <si>
    <t>年初部门预算安排金额（含历年结余结转）①</t>
  </si>
  <si>
    <t>年中调整金额
②</t>
  </si>
  <si>
    <t>年度拨付金额③</t>
  </si>
  <si>
    <t>本年度结余金额④=①+②-③</t>
  </si>
  <si>
    <t>实际到位金额
⑤</t>
  </si>
  <si>
    <t>实际支出金额
⑥</t>
  </si>
  <si>
    <t>本年度结余金额⑦</t>
  </si>
  <si>
    <t>结余率（%）
⑧=⑦/⑤</t>
  </si>
  <si>
    <t>财政资金小计</t>
  </si>
  <si>
    <r>
      <rPr>
        <sz val="9"/>
        <rFont val="宋体"/>
        <charset val="134"/>
      </rPr>
      <t xml:space="preserve"> </t>
    </r>
    <r>
      <rPr>
        <sz val="9"/>
        <rFont val="宋体"/>
        <charset val="134"/>
      </rPr>
      <t xml:space="preserve">   </t>
    </r>
    <r>
      <rPr>
        <sz val="9"/>
        <rFont val="宋体"/>
        <charset val="134"/>
      </rPr>
      <t>①</t>
    </r>
    <r>
      <rPr>
        <sz val="9"/>
        <rFont val="宋体"/>
        <charset val="134"/>
      </rPr>
      <t>中央财政资金</t>
    </r>
  </si>
  <si>
    <r>
      <rPr>
        <sz val="9"/>
        <rFont val="宋体"/>
        <charset val="134"/>
      </rPr>
      <t xml:space="preserve">    </t>
    </r>
    <r>
      <rPr>
        <sz val="9"/>
        <rFont val="宋体"/>
        <charset val="134"/>
      </rPr>
      <t>②</t>
    </r>
    <r>
      <rPr>
        <sz val="9"/>
        <rFont val="宋体"/>
        <charset val="134"/>
      </rPr>
      <t>省级财政资金</t>
    </r>
  </si>
  <si>
    <r>
      <rPr>
        <sz val="9"/>
        <rFont val="宋体"/>
        <charset val="134"/>
      </rPr>
      <t xml:space="preserve"> </t>
    </r>
    <r>
      <rPr>
        <sz val="9"/>
        <rFont val="宋体"/>
        <charset val="134"/>
      </rPr>
      <t xml:space="preserve">   </t>
    </r>
    <r>
      <rPr>
        <sz val="9"/>
        <rFont val="宋体"/>
        <charset val="134"/>
      </rPr>
      <t>③</t>
    </r>
    <r>
      <rPr>
        <sz val="9"/>
        <rFont val="宋体"/>
        <charset val="134"/>
      </rPr>
      <t>地方财政资金</t>
    </r>
  </si>
  <si>
    <t>其他资金小计</t>
  </si>
  <si>
    <r>
      <rPr>
        <sz val="9"/>
        <rFont val="宋体"/>
        <charset val="134"/>
      </rPr>
      <t xml:space="preserve"> </t>
    </r>
    <r>
      <rPr>
        <sz val="9"/>
        <rFont val="宋体"/>
        <charset val="134"/>
      </rPr>
      <t xml:space="preserve">   </t>
    </r>
    <r>
      <rPr>
        <sz val="9"/>
        <rFont val="宋体"/>
        <charset val="134"/>
      </rPr>
      <t>①……</t>
    </r>
  </si>
  <si>
    <t>合　计</t>
  </si>
  <si>
    <t>年度
总体
目标
完成
情况</t>
  </si>
  <si>
    <t>预期目标</t>
  </si>
  <si>
    <t>绩效目标实际完成情况</t>
  </si>
  <si>
    <t>年度
绩效
目标
完成
情况</t>
  </si>
  <si>
    <t>一级指标</t>
  </si>
  <si>
    <t>二级指标</t>
  </si>
  <si>
    <t>三级指标</t>
  </si>
  <si>
    <t>指标解释</t>
  </si>
  <si>
    <t>评分标准</t>
  </si>
  <si>
    <t>绩效目标值</t>
  </si>
  <si>
    <t>实际完成值</t>
  </si>
  <si>
    <t>指标分值</t>
  </si>
  <si>
    <t>自评得分</t>
  </si>
  <si>
    <r>
      <rPr>
        <sz val="12"/>
        <rFont val="宋体"/>
        <charset val="134"/>
      </rPr>
      <t>产</t>
    </r>
    <r>
      <rPr>
        <sz val="12"/>
        <rFont val="宋体"/>
        <charset val="134"/>
      </rPr>
      <t xml:space="preserve">
</t>
    </r>
    <r>
      <rPr>
        <sz val="12"/>
        <rFont val="宋体"/>
        <charset val="134"/>
      </rPr>
      <t>出</t>
    </r>
    <r>
      <rPr>
        <sz val="12"/>
        <rFont val="宋体"/>
        <charset val="134"/>
      </rPr>
      <t xml:space="preserve">
</t>
    </r>
    <r>
      <rPr>
        <sz val="12"/>
        <rFont val="宋体"/>
        <charset val="134"/>
      </rPr>
      <t>指</t>
    </r>
    <r>
      <rPr>
        <sz val="12"/>
        <rFont val="宋体"/>
        <charset val="134"/>
      </rPr>
      <t xml:space="preserve">
</t>
    </r>
    <r>
      <rPr>
        <sz val="12"/>
        <rFont val="宋体"/>
        <charset val="134"/>
      </rPr>
      <t>标</t>
    </r>
    <r>
      <rPr>
        <sz val="12"/>
        <rFont val="宋体"/>
        <charset val="134"/>
      </rPr>
      <t xml:space="preserve">
</t>
    </r>
    <r>
      <rPr>
        <sz val="12"/>
        <rFont val="宋体"/>
        <charset val="134"/>
      </rPr>
      <t>（</t>
    </r>
    <r>
      <rPr>
        <sz val="12"/>
        <rFont val="宋体"/>
        <charset val="134"/>
      </rPr>
      <t>50</t>
    </r>
    <r>
      <rPr>
        <sz val="12"/>
        <rFont val="宋体"/>
        <charset val="134"/>
      </rPr>
      <t>分</t>
    </r>
    <r>
      <rPr>
        <sz val="12"/>
        <rFont val="宋体"/>
        <charset val="134"/>
      </rPr>
      <t>）</t>
    </r>
  </si>
  <si>
    <t>数量指标</t>
  </si>
  <si>
    <t>机构保障</t>
  </si>
  <si>
    <t>网信办机构保障</t>
  </si>
  <si>
    <t>①是否保障机构日常运行。②日常运行得满分，反正不得分。</t>
  </si>
  <si>
    <t>1个</t>
  </si>
  <si>
    <t>质量指标</t>
  </si>
  <si>
    <t>细化项目目标完成情况</t>
  </si>
  <si>
    <t>≧90%</t>
  </si>
  <si>
    <t>资金使用合规性</t>
  </si>
  <si>
    <t>政府采购、购买服务执行情况</t>
  </si>
  <si>
    <t>政府采购预算</t>
  </si>
  <si>
    <t>时效指标</t>
  </si>
  <si>
    <t>资金使用时间</t>
  </si>
  <si>
    <t>2018年</t>
  </si>
  <si>
    <t>成本指标</t>
  </si>
  <si>
    <t>投入资金</t>
  </si>
  <si>
    <r>
      <rPr>
        <sz val="12"/>
        <rFont val="SimSun"/>
        <charset val="134"/>
      </rPr>
      <t>≦</t>
    </r>
    <r>
      <rPr>
        <sz val="12"/>
        <rFont val="宋体"/>
        <charset val="134"/>
      </rPr>
      <t>19万</t>
    </r>
  </si>
  <si>
    <t>19万</t>
  </si>
  <si>
    <t>效
益
指
标
（40分）</t>
  </si>
  <si>
    <t>经济效益
指标</t>
  </si>
  <si>
    <t>社会效益
指标</t>
  </si>
  <si>
    <t>互联网信息内容管理</t>
  </si>
  <si>
    <t>加强互联网信息内容管理，提高网络安全性</t>
  </si>
  <si>
    <t>生态效益
指标</t>
  </si>
  <si>
    <t>可持续影响
指标</t>
  </si>
  <si>
    <t>满意度
指标
（10分）</t>
  </si>
  <si>
    <t>服务对象
满意度指标</t>
  </si>
  <si>
    <t>服务对象满意度情况</t>
  </si>
  <si>
    <t>≧95%</t>
  </si>
  <si>
    <t>合计</t>
  </si>
  <si>
    <t>自评得分等次</t>
  </si>
  <si>
    <t>业务费细化率</t>
  </si>
  <si>
    <t>业务费细化</t>
  </si>
  <si>
    <t>保障人数</t>
  </si>
  <si>
    <t>保障部门人数</t>
  </si>
  <si>
    <t>人员经费总增长率</t>
  </si>
  <si>
    <t>≦29.6%</t>
  </si>
  <si>
    <t>≦290977</t>
  </si>
  <si>
    <t>网络文化建设</t>
  </si>
  <si>
    <t>提高网络文化的建设和管理</t>
  </si>
  <si>
    <t>保障区未成年人思想道德建设中心办公正常运行，提升工作效率，改善工作质量。</t>
  </si>
  <si>
    <t>90%以上</t>
  </si>
  <si>
    <t>保障对象情况（范围、项目数、人数等）</t>
  </si>
  <si>
    <t>5人</t>
  </si>
  <si>
    <t>≧744767.96</t>
  </si>
  <si>
    <t>开展未成年相关活动</t>
  </si>
  <si>
    <t>开展未成年相关活动，提高未成年的安全教育</t>
  </si>
  <si>
    <t>部门业务费绩效自评表</t>
  </si>
  <si>
    <r>
      <rPr>
        <sz val="12"/>
        <rFont val="宋体"/>
        <charset val="134"/>
      </rPr>
      <t>（</t>
    </r>
    <r>
      <rPr>
        <sz val="12"/>
        <rFont val="Times New Roman"/>
        <charset val="0"/>
      </rPr>
      <t xml:space="preserve">  2019 </t>
    </r>
    <r>
      <rPr>
        <sz val="12"/>
        <rFont val="宋体"/>
        <charset val="134"/>
      </rPr>
      <t>年度）</t>
    </r>
  </si>
  <si>
    <t>部门（单位）名称</t>
  </si>
  <si>
    <t>平潭综合实验区传媒中心</t>
  </si>
  <si>
    <t>部门预算编码</t>
  </si>
  <si>
    <t>部门业务费预算安排、支出情况</t>
  </si>
  <si>
    <t>项目单位实际支出情况</t>
  </si>
  <si>
    <t>本年度结余金额
④=①+②-③</t>
  </si>
  <si>
    <t>实际到位
金额⑤</t>
  </si>
  <si>
    <t>实际支出
金额⑥</t>
  </si>
  <si>
    <t>本年度结余
金额⑦</t>
  </si>
  <si>
    <t>①中央财政资金</t>
  </si>
  <si>
    <t>②省级财政资金</t>
  </si>
  <si>
    <t>③地方财政资金</t>
  </si>
  <si>
    <t>①……</t>
  </si>
  <si>
    <t>二级
指标</t>
  </si>
  <si>
    <r>
      <rPr>
        <sz val="12"/>
        <rFont val="宋体"/>
        <charset val="134"/>
      </rPr>
      <t>产</t>
    </r>
    <r>
      <rPr>
        <sz val="12"/>
        <rFont val="宋体"/>
        <charset val="134"/>
      </rPr>
      <t xml:space="preserve">
</t>
    </r>
    <r>
      <rPr>
        <sz val="12"/>
        <rFont val="宋体"/>
        <charset val="134"/>
      </rPr>
      <t>出</t>
    </r>
    <r>
      <rPr>
        <sz val="12"/>
        <rFont val="宋体"/>
        <charset val="134"/>
      </rPr>
      <t xml:space="preserve">
</t>
    </r>
    <r>
      <rPr>
        <sz val="12"/>
        <rFont val="宋体"/>
        <charset val="134"/>
      </rPr>
      <t>指</t>
    </r>
    <r>
      <rPr>
        <sz val="12"/>
        <rFont val="宋体"/>
        <charset val="134"/>
      </rPr>
      <t xml:space="preserve">
</t>
    </r>
    <r>
      <rPr>
        <sz val="12"/>
        <rFont val="宋体"/>
        <charset val="134"/>
      </rPr>
      <t>标</t>
    </r>
    <r>
      <rPr>
        <sz val="12"/>
        <rFont val="宋体"/>
        <charset val="134"/>
      </rPr>
      <t xml:space="preserve">
</t>
    </r>
    <r>
      <rPr>
        <sz val="12"/>
        <rFont val="宋体"/>
        <charset val="134"/>
      </rPr>
      <t>（</t>
    </r>
    <r>
      <rPr>
        <sz val="12"/>
        <rFont val="宋体"/>
        <charset val="134"/>
      </rPr>
      <t>60</t>
    </r>
    <r>
      <rPr>
        <sz val="12"/>
        <rFont val="宋体"/>
        <charset val="134"/>
      </rPr>
      <t>分</t>
    </r>
    <r>
      <rPr>
        <sz val="12"/>
        <rFont val="宋体"/>
        <charset val="134"/>
      </rPr>
      <t>）</t>
    </r>
  </si>
  <si>
    <t>保障对象情况（范围、项目数、人数)</t>
  </si>
  <si>
    <t>①是否按实际人数发放工资</t>
  </si>
  <si>
    <t>①资金的使用是否符合有关专项资金管理办法的规定；
②资金的拨付是否有完整的审批程序和手续；
③项目的重大开支是否经过评估认证。一项不符合扣一分，严重的此项完全不得分。</t>
  </si>
  <si>
    <t>支出进度</t>
  </si>
  <si>
    <t>①是否按序时进度支出</t>
  </si>
  <si>
    <t>人员经费</t>
  </si>
  <si>
    <t>人员经费110.99万元</t>
  </si>
  <si>
    <t>①是否按规定及时足额发放                  ②是否严格根据相关法律法规和制度的规定合规使用</t>
  </si>
  <si>
    <t>公用经费（含专项业务费）</t>
  </si>
  <si>
    <t>公用经费（含专项业务费）144.91万元</t>
  </si>
  <si>
    <t>①是否严格根据相关法律法规和制度的规定合规使用</t>
  </si>
  <si>
    <t>对个人和家庭的补助</t>
  </si>
  <si>
    <t>对个人和家庭的补助0.06万元</t>
  </si>
  <si>
    <t>效
益
指
标
（30分）</t>
  </si>
  <si>
    <t>宣传效果</t>
  </si>
  <si>
    <t>①突出宣传主题性，正面开展舆论引导
②凸显专题正能量，坚持弘扬时代新风
③是否瞄准大众关注点，深度策划民生报道
④拓展传播新路径，推进多媒融合发展</t>
  </si>
  <si>
    <t>可持续影响指标</t>
  </si>
  <si>
    <t>①员工是否满意</t>
  </si>
  <si>
    <t>优秀</t>
  </si>
  <si>
    <t>存在主要问题</t>
  </si>
  <si>
    <t>无</t>
  </si>
  <si>
    <t>相关建议意见</t>
  </si>
  <si>
    <t>注：1.部门业务费和其他专项资金合并填报本表。2.指标解释是对绩效目标三级指标进行解释说明，包括指标出处、具体内容、上年度数值、计算方法、评分标准等。3.填表说明参照《财政支出项目绩效自评表填报说明》（详见附件11）。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</si>
</sst>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* #,##0_ ;_ * \-#,##0_ ;_ * &quot;-&quot;??_ ;_ @_ "/>
  </numFmts>
  <fonts count="31">
    <font>
      <sz val="11"/>
      <color indexed="8"/>
      <name val="宋体"/>
      <charset val="134"/>
    </font>
    <font>
      <sz val="16"/>
      <name val="黑体"/>
      <charset val="134"/>
    </font>
    <font>
      <sz val="12"/>
      <name val="黑体"/>
      <charset val="134"/>
    </font>
    <font>
      <b/>
      <sz val="16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8"/>
      <name val="宋体"/>
      <charset val="134"/>
    </font>
    <font>
      <sz val="12"/>
      <name val="SimSun"/>
      <charset val="134"/>
    </font>
    <font>
      <u/>
      <sz val="11"/>
      <color rgb="FF80008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2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5">
    <xf numFmtId="0" fontId="0" fillId="0" borderId="0" applyProtection="0">
      <alignment vertical="center"/>
    </xf>
    <xf numFmtId="42" fontId="0" fillId="0" borderId="0" applyFont="0" applyFill="0" applyBorder="0" applyAlignment="0" applyProtection="0"/>
    <xf numFmtId="0" fontId="13" fillId="5" borderId="0" applyNumberFormat="0" applyBorder="0" applyAlignment="0" applyProtection="0">
      <alignment vertical="center"/>
    </xf>
    <xf numFmtId="0" fontId="15" fillId="6" borderId="14" applyNumberFormat="0" applyAlignment="0" applyProtection="0">
      <alignment vertical="center"/>
    </xf>
    <xf numFmtId="44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3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1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18" fillId="14" borderId="15" applyNumberFormat="0" applyFont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6" fillId="8" borderId="19" applyNumberFormat="0" applyAlignment="0" applyProtection="0">
      <alignment vertical="center"/>
    </xf>
    <xf numFmtId="0" fontId="16" fillId="8" borderId="14" applyNumberFormat="0" applyAlignment="0" applyProtection="0">
      <alignment vertical="center"/>
    </xf>
    <xf numFmtId="0" fontId="25" fillId="19" borderId="18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 applyProtection="0">
      <alignment vertical="center"/>
    </xf>
    <xf numFmtId="0" fontId="13" fillId="0" borderId="0">
      <alignment vertical="center"/>
    </xf>
    <xf numFmtId="43" fontId="0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</cellStyleXfs>
  <cellXfs count="69">
    <xf numFmtId="0" fontId="0" fillId="0" borderId="0" xfId="0" applyProtection="1">
      <alignment vertical="center"/>
    </xf>
    <xf numFmtId="0" fontId="1" fillId="0" borderId="0" xfId="0" applyFont="1" applyProtection="1">
      <alignment vertical="center"/>
    </xf>
    <xf numFmtId="0" fontId="2" fillId="0" borderId="0" xfId="0" applyFont="1" applyAlignment="1" applyProtection="1">
      <alignment vertical="center" wrapText="1"/>
    </xf>
    <xf numFmtId="0" fontId="3" fillId="0" borderId="0" xfId="0" applyFont="1" applyAlignment="1" applyProtection="1">
      <alignment horizontal="center" vertical="center" wrapText="1"/>
    </xf>
    <xf numFmtId="0" fontId="4" fillId="0" borderId="0" xfId="0" applyFont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 wrapText="1"/>
    </xf>
    <xf numFmtId="0" fontId="6" fillId="0" borderId="4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6" fillId="0" borderId="0" xfId="0" applyFont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left" vertical="center" wrapText="1"/>
    </xf>
    <xf numFmtId="43" fontId="6" fillId="0" borderId="1" xfId="8" applyFont="1" applyBorder="1" applyAlignment="1" applyProtection="1">
      <alignment vertical="center"/>
    </xf>
    <xf numFmtId="43" fontId="6" fillId="0" borderId="1" xfId="8" applyFont="1" applyBorder="1" applyAlignment="1" applyProtection="1">
      <alignment horizontal="center" vertical="center" wrapText="1"/>
    </xf>
    <xf numFmtId="43" fontId="6" fillId="0" borderId="1" xfId="8" applyFont="1" applyBorder="1" applyAlignment="1" applyProtection="1">
      <alignment vertical="center" wrapText="1"/>
    </xf>
    <xf numFmtId="0" fontId="7" fillId="0" borderId="1" xfId="0" applyFont="1" applyBorder="1" applyAlignment="1" applyProtection="1">
      <alignment horizontal="left" vertical="center" wrapText="1"/>
    </xf>
    <xf numFmtId="43" fontId="6" fillId="0" borderId="1" xfId="8" applyFont="1" applyFill="1" applyBorder="1" applyAlignment="1" applyProtection="1">
      <alignment vertical="center" wrapText="1"/>
    </xf>
    <xf numFmtId="0" fontId="7" fillId="0" borderId="1" xfId="0" applyFont="1" applyBorder="1" applyAlignment="1" applyProtection="1">
      <alignment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4" fillId="0" borderId="5" xfId="0" applyFont="1" applyBorder="1" applyAlignment="1" applyProtection="1">
      <alignment horizontal="center" vertical="center" wrapText="1"/>
    </xf>
    <xf numFmtId="0" fontId="4" fillId="0" borderId="4" xfId="0" applyFont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vertical="center" wrapText="1"/>
    </xf>
    <xf numFmtId="9" fontId="5" fillId="0" borderId="5" xfId="0" applyNumberFormat="1" applyFont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vertical="center" wrapText="1"/>
    </xf>
    <xf numFmtId="0" fontId="4" fillId="0" borderId="1" xfId="0" applyFont="1" applyBorder="1" applyAlignment="1" applyProtection="1">
      <alignment horizontal="left" vertical="center" wrapText="1"/>
    </xf>
    <xf numFmtId="0" fontId="4" fillId="0" borderId="8" xfId="0" applyFont="1" applyBorder="1" applyAlignment="1" applyProtection="1">
      <alignment horizontal="left" vertical="center" wrapText="1"/>
    </xf>
    <xf numFmtId="10" fontId="6" fillId="0" borderId="1" xfId="11" applyNumberFormat="1" applyFont="1" applyBorder="1" applyAlignment="1" applyProtection="1">
      <alignment horizontal="center" vertical="center" wrapText="1"/>
    </xf>
    <xf numFmtId="0" fontId="6" fillId="0" borderId="0" xfId="0" applyFont="1" applyProtection="1">
      <alignment vertical="center"/>
    </xf>
    <xf numFmtId="0" fontId="6" fillId="0" borderId="0" xfId="0" applyFont="1" applyAlignment="1" applyProtection="1">
      <alignment horizontal="center"/>
    </xf>
    <xf numFmtId="0" fontId="4" fillId="0" borderId="0" xfId="0" applyFont="1" applyAlignment="1" applyProtection="1">
      <alignment vertical="center" wrapText="1"/>
    </xf>
    <xf numFmtId="0" fontId="8" fillId="0" borderId="0" xfId="0" applyFont="1" applyAlignment="1" applyProtection="1">
      <alignment horizontal="center" vertical="center" wrapText="1"/>
    </xf>
    <xf numFmtId="0" fontId="5" fillId="0" borderId="9" xfId="0" applyFont="1" applyBorder="1" applyAlignment="1" applyProtection="1">
      <alignment horizontal="center" vertical="center" wrapText="1"/>
    </xf>
    <xf numFmtId="0" fontId="5" fillId="0" borderId="10" xfId="0" applyFont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center" vertical="center"/>
    </xf>
    <xf numFmtId="0" fontId="5" fillId="0" borderId="7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5" fillId="0" borderId="11" xfId="0" applyFont="1" applyBorder="1" applyAlignment="1" applyProtection="1">
      <alignment horizontal="center" vertical="center" wrapText="1"/>
    </xf>
    <xf numFmtId="0" fontId="5" fillId="0" borderId="12" xfId="0" applyFont="1" applyBorder="1" applyAlignment="1" applyProtection="1">
      <alignment horizontal="center" vertical="center" wrapText="1"/>
    </xf>
    <xf numFmtId="43" fontId="6" fillId="0" borderId="1" xfId="8" applyNumberFormat="1" applyFont="1" applyBorder="1" applyAlignment="1" applyProtection="1">
      <alignment horizontal="center" vertical="center"/>
    </xf>
    <xf numFmtId="43" fontId="5" fillId="0" borderId="1" xfId="8" applyNumberFormat="1" applyFont="1" applyBorder="1" applyAlignment="1" applyProtection="1">
      <alignment horizontal="center" vertical="center" wrapText="1"/>
    </xf>
    <xf numFmtId="43" fontId="6" fillId="0" borderId="1" xfId="8" applyNumberFormat="1" applyFont="1" applyBorder="1" applyAlignment="1" applyProtection="1">
      <alignment horizontal="center" vertical="center" wrapText="1"/>
    </xf>
    <xf numFmtId="43" fontId="6" fillId="0" borderId="1" xfId="8" applyFont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left" vertical="top" wrapText="1"/>
    </xf>
    <xf numFmtId="0" fontId="4" fillId="0" borderId="7" xfId="0" applyFont="1" applyBorder="1" applyAlignment="1" applyProtection="1">
      <alignment horizontal="left" vertical="top" wrapText="1"/>
    </xf>
    <xf numFmtId="0" fontId="4" fillId="0" borderId="4" xfId="0" applyFont="1" applyBorder="1" applyAlignment="1" applyProtection="1">
      <alignment horizontal="left" vertical="top" wrapText="1"/>
    </xf>
    <xf numFmtId="0" fontId="4" fillId="0" borderId="1" xfId="0" applyFont="1" applyBorder="1" applyAlignment="1" applyProtection="1">
      <alignment horizontal="left" vertical="top" wrapText="1"/>
    </xf>
    <xf numFmtId="9" fontId="4" fillId="0" borderId="1" xfId="11" applyFont="1" applyBorder="1" applyAlignment="1" applyProtection="1">
      <alignment horizontal="center" vertical="center" wrapText="1"/>
    </xf>
    <xf numFmtId="176" fontId="4" fillId="0" borderId="1" xfId="8" applyNumberFormat="1" applyFont="1" applyBorder="1" applyAlignment="1" applyProtection="1">
      <alignment horizontal="center" vertical="center" wrapText="1"/>
    </xf>
    <xf numFmtId="0" fontId="5" fillId="0" borderId="7" xfId="0" applyFont="1" applyBorder="1" applyAlignment="1" applyProtection="1">
      <alignment horizontal="center" vertical="center" wrapText="1"/>
    </xf>
    <xf numFmtId="4" fontId="6" fillId="0" borderId="1" xfId="0" applyNumberFormat="1" applyFont="1" applyBorder="1" applyAlignment="1" applyProtection="1">
      <alignment horizontal="center" vertical="center"/>
    </xf>
    <xf numFmtId="10" fontId="5" fillId="0" borderId="1" xfId="11" applyNumberFormat="1" applyFont="1" applyBorder="1" applyAlignment="1" applyProtection="1">
      <alignment horizontal="center" vertical="center" wrapText="1"/>
    </xf>
    <xf numFmtId="10" fontId="6" fillId="0" borderId="1" xfId="11" applyNumberFormat="1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right" vertical="center" wrapText="1"/>
    </xf>
    <xf numFmtId="43" fontId="5" fillId="0" borderId="1" xfId="8" applyFont="1" applyBorder="1" applyAlignment="1" applyProtection="1">
      <alignment horizontal="center" vertical="center" wrapText="1"/>
    </xf>
    <xf numFmtId="9" fontId="4" fillId="0" borderId="1" xfId="11" applyNumberFormat="1" applyFont="1" applyBorder="1" applyAlignment="1" applyProtection="1">
      <alignment horizontal="center" vertical="center" wrapText="1"/>
    </xf>
    <xf numFmtId="10" fontId="4" fillId="0" borderId="1" xfId="11" applyNumberFormat="1" applyFont="1" applyBorder="1" applyAlignment="1" applyProtection="1">
      <alignment horizontal="center" vertical="center" wrapText="1"/>
    </xf>
    <xf numFmtId="0" fontId="4" fillId="0" borderId="5" xfId="0" applyFont="1" applyBorder="1" applyAlignment="1" applyProtection="1">
      <alignment horizontal="left" vertical="center" wrapText="1"/>
    </xf>
    <xf numFmtId="0" fontId="4" fillId="0" borderId="4" xfId="0" applyFont="1" applyBorder="1" applyAlignment="1" applyProtection="1">
      <alignment horizontal="left" vertical="center" wrapText="1"/>
    </xf>
    <xf numFmtId="0" fontId="4" fillId="0" borderId="2" xfId="0" applyFont="1" applyBorder="1" applyAlignment="1" applyProtection="1">
      <alignment vertical="center" wrapText="1"/>
    </xf>
    <xf numFmtId="0" fontId="9" fillId="0" borderId="1" xfId="0" applyFont="1" applyBorder="1" applyAlignment="1" applyProtection="1">
      <alignment horizontal="center" vertical="center" wrapText="1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百分比 3" xfId="50"/>
    <cellStyle name="常规 2" xfId="51"/>
    <cellStyle name="常规 3" xfId="52"/>
    <cellStyle name="千位分隔 2" xfId="53"/>
    <cellStyle name="千位分隔 3" xfId="54"/>
  </cellStyles>
  <colors>
    <mruColors>
      <color rgb="00000000"/>
    </mruColors>
  </colors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47625</xdr:colOff>
      <xdr:row>22</xdr:row>
      <xdr:rowOff>28575</xdr:rowOff>
    </xdr:from>
    <xdr:to>
      <xdr:col>10</xdr:col>
      <xdr:colOff>895350</xdr:colOff>
      <xdr:row>22</xdr:row>
      <xdr:rowOff>333375</xdr:rowOff>
    </xdr:to>
    <xdr:cxnSp>
      <xdr:nvCxnSpPr>
        <xdr:cNvPr id="2" name="直接连接符 1"/>
        <xdr:cNvCxnSpPr/>
      </xdr:nvCxnSpPr>
      <xdr:spPr>
        <a:xfrm flipV="1">
          <a:off x="2324100" y="8324850"/>
          <a:ext cx="9353550" cy="304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</xdr:colOff>
      <xdr:row>34</xdr:row>
      <xdr:rowOff>19050</xdr:rowOff>
    </xdr:from>
    <xdr:to>
      <xdr:col>10</xdr:col>
      <xdr:colOff>847725</xdr:colOff>
      <xdr:row>34</xdr:row>
      <xdr:rowOff>323850</xdr:rowOff>
    </xdr:to>
    <xdr:cxnSp>
      <xdr:nvCxnSpPr>
        <xdr:cNvPr id="3" name="直接连接符 3"/>
        <xdr:cNvCxnSpPr/>
      </xdr:nvCxnSpPr>
      <xdr:spPr>
        <a:xfrm flipV="1">
          <a:off x="2324100" y="12658725"/>
          <a:ext cx="9305925" cy="304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28</xdr:row>
      <xdr:rowOff>76200</xdr:rowOff>
    </xdr:from>
    <xdr:to>
      <xdr:col>10</xdr:col>
      <xdr:colOff>904875</xdr:colOff>
      <xdr:row>32</xdr:row>
      <xdr:rowOff>257175</xdr:rowOff>
    </xdr:to>
    <xdr:cxnSp>
      <xdr:nvCxnSpPr>
        <xdr:cNvPr id="4" name="直接连接符 4"/>
        <xdr:cNvCxnSpPr/>
      </xdr:nvCxnSpPr>
      <xdr:spPr>
        <a:xfrm flipV="1">
          <a:off x="2305050" y="10544175"/>
          <a:ext cx="9382125" cy="1628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</xdr:colOff>
      <xdr:row>24</xdr:row>
      <xdr:rowOff>66675</xdr:rowOff>
    </xdr:from>
    <xdr:to>
      <xdr:col>10</xdr:col>
      <xdr:colOff>885825</xdr:colOff>
      <xdr:row>26</xdr:row>
      <xdr:rowOff>295275</xdr:rowOff>
    </xdr:to>
    <xdr:cxnSp>
      <xdr:nvCxnSpPr>
        <xdr:cNvPr id="5" name="直接连接符 5"/>
        <xdr:cNvCxnSpPr/>
      </xdr:nvCxnSpPr>
      <xdr:spPr>
        <a:xfrm flipV="1">
          <a:off x="2333625" y="9086850"/>
          <a:ext cx="9334500" cy="952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19050</xdr:colOff>
      <xdr:row>35</xdr:row>
      <xdr:rowOff>38100</xdr:rowOff>
    </xdr:from>
    <xdr:to>
      <xdr:col>10</xdr:col>
      <xdr:colOff>933450</xdr:colOff>
      <xdr:row>35</xdr:row>
      <xdr:rowOff>333375</xdr:rowOff>
    </xdr:to>
    <xdr:cxnSp>
      <xdr:nvCxnSpPr>
        <xdr:cNvPr id="2" name="直接连接符 2"/>
        <xdr:cNvCxnSpPr/>
      </xdr:nvCxnSpPr>
      <xdr:spPr>
        <a:xfrm flipV="1">
          <a:off x="2295525" y="12449175"/>
          <a:ext cx="8810625" cy="295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</xdr:colOff>
      <xdr:row>29</xdr:row>
      <xdr:rowOff>47625</xdr:rowOff>
    </xdr:from>
    <xdr:to>
      <xdr:col>10</xdr:col>
      <xdr:colOff>923925</xdr:colOff>
      <xdr:row>33</xdr:row>
      <xdr:rowOff>295275</xdr:rowOff>
    </xdr:to>
    <xdr:cxnSp>
      <xdr:nvCxnSpPr>
        <xdr:cNvPr id="3" name="直接连接符 3"/>
        <xdr:cNvCxnSpPr/>
      </xdr:nvCxnSpPr>
      <xdr:spPr>
        <a:xfrm flipV="1">
          <a:off x="2324100" y="10287000"/>
          <a:ext cx="8772525" cy="1695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</xdr:colOff>
      <xdr:row>25</xdr:row>
      <xdr:rowOff>66675</xdr:rowOff>
    </xdr:from>
    <xdr:to>
      <xdr:col>10</xdr:col>
      <xdr:colOff>800100</xdr:colOff>
      <xdr:row>27</xdr:row>
      <xdr:rowOff>314325</xdr:rowOff>
    </xdr:to>
    <xdr:cxnSp>
      <xdr:nvCxnSpPr>
        <xdr:cNvPr id="4" name="直接连接符 4"/>
        <xdr:cNvCxnSpPr/>
      </xdr:nvCxnSpPr>
      <xdr:spPr>
        <a:xfrm flipV="1">
          <a:off x="2324100" y="8858250"/>
          <a:ext cx="8648700" cy="971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38100</xdr:colOff>
      <xdr:row>23</xdr:row>
      <xdr:rowOff>47625</xdr:rowOff>
    </xdr:from>
    <xdr:to>
      <xdr:col>10</xdr:col>
      <xdr:colOff>904875</xdr:colOff>
      <xdr:row>23</xdr:row>
      <xdr:rowOff>323850</xdr:rowOff>
    </xdr:to>
    <xdr:cxnSp>
      <xdr:nvCxnSpPr>
        <xdr:cNvPr id="2" name="直接连接符 1"/>
        <xdr:cNvCxnSpPr/>
      </xdr:nvCxnSpPr>
      <xdr:spPr>
        <a:xfrm flipV="1">
          <a:off x="2314575" y="8115300"/>
          <a:ext cx="1131570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35</xdr:row>
      <xdr:rowOff>38100</xdr:rowOff>
    </xdr:from>
    <xdr:to>
      <xdr:col>10</xdr:col>
      <xdr:colOff>876300</xdr:colOff>
      <xdr:row>35</xdr:row>
      <xdr:rowOff>314325</xdr:rowOff>
    </xdr:to>
    <xdr:cxnSp>
      <xdr:nvCxnSpPr>
        <xdr:cNvPr id="3" name="直接连接符 3"/>
        <xdr:cNvCxnSpPr/>
      </xdr:nvCxnSpPr>
      <xdr:spPr>
        <a:xfrm flipV="1">
          <a:off x="2286000" y="12449175"/>
          <a:ext cx="1131570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</xdr:colOff>
      <xdr:row>29</xdr:row>
      <xdr:rowOff>95250</xdr:rowOff>
    </xdr:from>
    <xdr:to>
      <xdr:col>10</xdr:col>
      <xdr:colOff>895350</xdr:colOff>
      <xdr:row>33</xdr:row>
      <xdr:rowOff>304800</xdr:rowOff>
    </xdr:to>
    <xdr:cxnSp>
      <xdr:nvCxnSpPr>
        <xdr:cNvPr id="4" name="直接连接符 4"/>
        <xdr:cNvCxnSpPr/>
      </xdr:nvCxnSpPr>
      <xdr:spPr>
        <a:xfrm flipV="1">
          <a:off x="2324100" y="10334625"/>
          <a:ext cx="11296650" cy="1657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</xdr:colOff>
      <xdr:row>25</xdr:row>
      <xdr:rowOff>47625</xdr:rowOff>
    </xdr:from>
    <xdr:to>
      <xdr:col>10</xdr:col>
      <xdr:colOff>857250</xdr:colOff>
      <xdr:row>27</xdr:row>
      <xdr:rowOff>285750</xdr:rowOff>
    </xdr:to>
    <xdr:cxnSp>
      <xdr:nvCxnSpPr>
        <xdr:cNvPr id="5" name="直接连接符 5"/>
        <xdr:cNvCxnSpPr/>
      </xdr:nvCxnSpPr>
      <xdr:spPr>
        <a:xfrm flipV="1">
          <a:off x="2343150" y="8839200"/>
          <a:ext cx="11239500" cy="962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19050</xdr:colOff>
      <xdr:row>20</xdr:row>
      <xdr:rowOff>57150</xdr:rowOff>
    </xdr:from>
    <xdr:to>
      <xdr:col>10</xdr:col>
      <xdr:colOff>19050</xdr:colOff>
      <xdr:row>21</xdr:row>
      <xdr:rowOff>0</xdr:rowOff>
    </xdr:to>
    <xdr:cxnSp>
      <xdr:nvCxnSpPr>
        <xdr:cNvPr id="2" name="直接连接符 2"/>
        <xdr:cNvCxnSpPr/>
      </xdr:nvCxnSpPr>
      <xdr:spPr>
        <a:xfrm flipV="1">
          <a:off x="3028950" y="8610600"/>
          <a:ext cx="8191500" cy="361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</xdr:colOff>
      <xdr:row>22</xdr:row>
      <xdr:rowOff>66675</xdr:rowOff>
    </xdr:from>
    <xdr:to>
      <xdr:col>9</xdr:col>
      <xdr:colOff>714375</xdr:colOff>
      <xdr:row>23</xdr:row>
      <xdr:rowOff>400050</xdr:rowOff>
    </xdr:to>
    <xdr:cxnSp>
      <xdr:nvCxnSpPr>
        <xdr:cNvPr id="3" name="直接连接符 6"/>
        <xdr:cNvCxnSpPr/>
      </xdr:nvCxnSpPr>
      <xdr:spPr>
        <a:xfrm flipV="1">
          <a:off x="3057525" y="9925050"/>
          <a:ext cx="8115300" cy="7905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L37"/>
  <sheetViews>
    <sheetView showGridLines="0" workbookViewId="0">
      <selection activeCell="H18" sqref="H18"/>
    </sheetView>
  </sheetViews>
  <sheetFormatPr defaultColWidth="9" defaultRowHeight="14.25"/>
  <cols>
    <col min="1" max="1" width="5.375" style="38"/>
    <col min="2" max="2" width="12.125" style="38"/>
    <col min="3" max="3" width="12.375" style="38"/>
    <col min="4" max="4" width="16.25" style="38"/>
    <col min="5" max="5" width="19.5" style="38"/>
    <col min="6" max="6" width="12.375" style="38"/>
    <col min="7" max="7" width="14" style="38"/>
    <col min="8" max="8" width="23.375" style="38" customWidth="1"/>
    <col min="9" max="9" width="14" style="38"/>
    <col min="10" max="10" width="12.125" style="38"/>
    <col min="11" max="11" width="12.625" style="38"/>
    <col min="12" max="16384" width="9" style="38"/>
  </cols>
  <sheetData>
    <row r="1" ht="16.5" customHeight="1" spans="1:6">
      <c r="A1" s="1" t="s">
        <v>0</v>
      </c>
      <c r="B1" s="2"/>
      <c r="C1" s="2"/>
      <c r="D1" s="2"/>
      <c r="E1" s="2"/>
      <c r="F1" s="2"/>
    </row>
    <row r="2" ht="33.75" customHeight="1" spans="1:11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ht="21" customHeight="1" spans="1:11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21" customHeight="1" spans="1:1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21.75" customHeight="1" spans="1:11">
      <c r="A5" s="5" t="s">
        <v>3</v>
      </c>
      <c r="B5" s="5"/>
      <c r="C5" s="21" t="s">
        <v>4</v>
      </c>
      <c r="D5" s="31"/>
      <c r="E5" s="22"/>
      <c r="F5" s="5" t="s">
        <v>5</v>
      </c>
      <c r="G5" s="5"/>
      <c r="H5" s="5"/>
      <c r="I5" s="5">
        <v>109002</v>
      </c>
      <c r="J5" s="5"/>
      <c r="K5" s="5"/>
    </row>
    <row r="6" s="36" customFormat="1" ht="22.5" customHeight="1" spans="1:11">
      <c r="A6" s="21" t="s">
        <v>6</v>
      </c>
      <c r="B6" s="40" t="s">
        <v>7</v>
      </c>
      <c r="C6" s="41"/>
      <c r="D6" s="42" t="s">
        <v>8</v>
      </c>
      <c r="E6" s="43"/>
      <c r="F6" s="43"/>
      <c r="G6" s="44"/>
      <c r="H6" s="30" t="s">
        <v>9</v>
      </c>
      <c r="I6" s="57"/>
      <c r="J6" s="57"/>
      <c r="K6" s="26"/>
    </row>
    <row r="7" s="37" customFormat="1" ht="35.25" customHeight="1" spans="1:12">
      <c r="A7" s="21"/>
      <c r="B7" s="45"/>
      <c r="C7" s="46"/>
      <c r="D7" s="10" t="s">
        <v>10</v>
      </c>
      <c r="E7" s="11" t="s">
        <v>11</v>
      </c>
      <c r="F7" s="11" t="s">
        <v>12</v>
      </c>
      <c r="G7" s="11" t="s">
        <v>13</v>
      </c>
      <c r="H7" s="12" t="s">
        <v>14</v>
      </c>
      <c r="I7" s="11" t="s">
        <v>15</v>
      </c>
      <c r="J7" s="11" t="s">
        <v>16</v>
      </c>
      <c r="K7" s="11" t="s">
        <v>17</v>
      </c>
      <c r="L7" s="12"/>
    </row>
    <row r="8" s="36" customFormat="1" ht="19.5" customHeight="1" spans="1:11">
      <c r="A8" s="5"/>
      <c r="B8" s="13" t="s">
        <v>18</v>
      </c>
      <c r="C8" s="13"/>
      <c r="D8" s="8"/>
      <c r="E8" s="8"/>
      <c r="F8" s="27"/>
      <c r="G8" s="11"/>
      <c r="H8" s="11"/>
      <c r="I8" s="11"/>
      <c r="J8" s="8"/>
      <c r="K8" s="27"/>
    </row>
    <row r="9" s="36" customFormat="1" ht="19.5" customHeight="1" spans="1:11">
      <c r="A9" s="5"/>
      <c r="B9" s="17" t="s">
        <v>19</v>
      </c>
      <c r="C9" s="17"/>
      <c r="D9" s="8"/>
      <c r="E9" s="8"/>
      <c r="F9" s="27"/>
      <c r="G9" s="11"/>
      <c r="H9" s="11"/>
      <c r="I9" s="11"/>
      <c r="J9" s="8"/>
      <c r="K9" s="27"/>
    </row>
    <row r="10" s="36" customFormat="1" ht="19.5" customHeight="1" spans="1:11">
      <c r="A10" s="5"/>
      <c r="B10" s="17" t="s">
        <v>20</v>
      </c>
      <c r="C10" s="17"/>
      <c r="D10" s="8"/>
      <c r="E10" s="8"/>
      <c r="F10" s="27"/>
      <c r="G10" s="11"/>
      <c r="H10" s="11"/>
      <c r="I10" s="11"/>
      <c r="J10" s="8"/>
      <c r="K10" s="27"/>
    </row>
    <row r="11" s="36" customFormat="1" ht="19.5" customHeight="1" spans="1:11">
      <c r="A11" s="5"/>
      <c r="B11" s="17" t="s">
        <v>21</v>
      </c>
      <c r="C11" s="17"/>
      <c r="D11" s="47">
        <v>190000</v>
      </c>
      <c r="E11" s="8">
        <v>0</v>
      </c>
      <c r="F11" s="47">
        <v>190000</v>
      </c>
      <c r="G11" s="15">
        <f>D11+E11-F11</f>
        <v>0</v>
      </c>
      <c r="H11" s="15">
        <v>190000</v>
      </c>
      <c r="I11" s="15">
        <v>65548.5</v>
      </c>
      <c r="J11" s="8">
        <v>124451.5</v>
      </c>
      <c r="K11" s="59">
        <f>J11/H11</f>
        <v>0.655007894736842</v>
      </c>
    </row>
    <row r="12" s="36" customFormat="1" ht="19.5" customHeight="1" spans="1:11">
      <c r="A12" s="5"/>
      <c r="B12" s="17" t="s">
        <v>22</v>
      </c>
      <c r="C12" s="17"/>
      <c r="D12" s="8"/>
      <c r="E12" s="8"/>
      <c r="F12" s="27"/>
      <c r="G12" s="11"/>
      <c r="H12" s="11"/>
      <c r="I12" s="11"/>
      <c r="J12" s="8"/>
      <c r="K12" s="27"/>
    </row>
    <row r="13" s="36" customFormat="1" ht="19.5" customHeight="1" spans="1:11">
      <c r="A13" s="5"/>
      <c r="B13" s="17" t="s">
        <v>23</v>
      </c>
      <c r="C13" s="17"/>
      <c r="D13" s="8"/>
      <c r="E13" s="8"/>
      <c r="F13" s="27"/>
      <c r="G13" s="11"/>
      <c r="H13" s="11"/>
      <c r="I13" s="11"/>
      <c r="J13" s="8"/>
      <c r="K13" s="27"/>
    </row>
    <row r="14" s="36" customFormat="1" ht="25.5" customHeight="1" spans="1:11">
      <c r="A14" s="5"/>
      <c r="B14" s="21" t="s">
        <v>24</v>
      </c>
      <c r="C14" s="22"/>
      <c r="D14" s="50">
        <f t="shared" ref="D14:K14" si="0">SUM(D8:D13)</f>
        <v>190000</v>
      </c>
      <c r="E14" s="50">
        <f t="shared" si="0"/>
        <v>0</v>
      </c>
      <c r="F14" s="50">
        <f t="shared" si="0"/>
        <v>190000</v>
      </c>
      <c r="G14" s="50">
        <f t="shared" si="0"/>
        <v>0</v>
      </c>
      <c r="H14" s="50">
        <f t="shared" si="0"/>
        <v>190000</v>
      </c>
      <c r="I14" s="50">
        <f t="shared" si="0"/>
        <v>65548.5</v>
      </c>
      <c r="J14" s="50">
        <f t="shared" si="0"/>
        <v>124451.5</v>
      </c>
      <c r="K14" s="60">
        <f t="shared" si="0"/>
        <v>0.655007894736842</v>
      </c>
    </row>
    <row r="15" ht="21.75" customHeight="1" spans="1:11">
      <c r="A15" s="5" t="s">
        <v>25</v>
      </c>
      <c r="B15" s="5" t="s">
        <v>26</v>
      </c>
      <c r="C15" s="5"/>
      <c r="D15" s="5"/>
      <c r="E15" s="5"/>
      <c r="F15" s="5" t="s">
        <v>27</v>
      </c>
      <c r="G15" s="5"/>
      <c r="H15" s="5"/>
      <c r="I15" s="5"/>
      <c r="J15" s="5"/>
      <c r="K15" s="5"/>
    </row>
    <row r="16" ht="99.75" customHeight="1" spans="1:11">
      <c r="A16" s="5"/>
      <c r="B16" s="51"/>
      <c r="C16" s="52"/>
      <c r="D16" s="52"/>
      <c r="E16" s="53"/>
      <c r="F16" s="54"/>
      <c r="G16" s="54"/>
      <c r="H16" s="54"/>
      <c r="I16" s="54"/>
      <c r="J16" s="54"/>
      <c r="K16" s="54"/>
    </row>
    <row r="17" ht="28.5" customHeight="1" spans="1:11">
      <c r="A17" s="20" t="s">
        <v>28</v>
      </c>
      <c r="B17" s="20" t="s">
        <v>29</v>
      </c>
      <c r="C17" s="5" t="s">
        <v>30</v>
      </c>
      <c r="D17" s="5" t="s">
        <v>31</v>
      </c>
      <c r="E17" s="5" t="s">
        <v>32</v>
      </c>
      <c r="F17" s="21" t="s">
        <v>33</v>
      </c>
      <c r="G17" s="22"/>
      <c r="H17" s="5" t="s">
        <v>34</v>
      </c>
      <c r="I17" s="5" t="s">
        <v>35</v>
      </c>
      <c r="J17" s="5" t="s">
        <v>36</v>
      </c>
      <c r="K17" s="5" t="s">
        <v>37</v>
      </c>
    </row>
    <row r="18" ht="75" customHeight="1" spans="1:11">
      <c r="A18" s="23"/>
      <c r="B18" s="5" t="s">
        <v>38</v>
      </c>
      <c r="C18" s="67" t="s">
        <v>39</v>
      </c>
      <c r="D18" s="32" t="s">
        <v>40</v>
      </c>
      <c r="E18" s="32" t="s">
        <v>41</v>
      </c>
      <c r="F18" s="21" t="s">
        <v>42</v>
      </c>
      <c r="G18" s="22"/>
      <c r="H18" s="55" t="s">
        <v>43</v>
      </c>
      <c r="I18" s="55" t="s">
        <v>43</v>
      </c>
      <c r="J18" s="32">
        <v>5</v>
      </c>
      <c r="K18" s="32">
        <v>4</v>
      </c>
    </row>
    <row r="19" ht="28.5" customHeight="1" spans="1:11">
      <c r="A19" s="23"/>
      <c r="B19" s="5"/>
      <c r="C19" s="20" t="s">
        <v>44</v>
      </c>
      <c r="D19" s="32" t="s">
        <v>45</v>
      </c>
      <c r="E19" s="32" t="s">
        <v>45</v>
      </c>
      <c r="F19" s="21"/>
      <c r="G19" s="22"/>
      <c r="H19" s="55">
        <v>1</v>
      </c>
      <c r="I19" s="5" t="s">
        <v>46</v>
      </c>
      <c r="J19" s="32">
        <v>5</v>
      </c>
      <c r="K19" s="32">
        <v>4</v>
      </c>
    </row>
    <row r="20" ht="28.5" customHeight="1" spans="1:11">
      <c r="A20" s="23"/>
      <c r="B20" s="5"/>
      <c r="C20" s="23"/>
      <c r="D20" s="32" t="s">
        <v>47</v>
      </c>
      <c r="E20" s="32" t="s">
        <v>47</v>
      </c>
      <c r="F20" s="21"/>
      <c r="G20" s="22"/>
      <c r="H20" s="55">
        <v>1</v>
      </c>
      <c r="I20" s="55">
        <v>1</v>
      </c>
      <c r="J20" s="32">
        <v>10</v>
      </c>
      <c r="K20" s="32">
        <v>10</v>
      </c>
    </row>
    <row r="21" ht="28.5" customHeight="1" spans="1:11">
      <c r="A21" s="23"/>
      <c r="B21" s="5"/>
      <c r="C21" s="23"/>
      <c r="D21" s="32" t="s">
        <v>48</v>
      </c>
      <c r="E21" s="32" t="s">
        <v>49</v>
      </c>
      <c r="F21" s="21"/>
      <c r="G21" s="22"/>
      <c r="H21" s="55">
        <v>1</v>
      </c>
      <c r="I21" s="55">
        <v>1</v>
      </c>
      <c r="J21" s="32">
        <v>10</v>
      </c>
      <c r="K21" s="32">
        <v>9</v>
      </c>
    </row>
    <row r="22" ht="28.5" customHeight="1" spans="1:11">
      <c r="A22" s="23"/>
      <c r="B22" s="5"/>
      <c r="C22" s="20" t="s">
        <v>50</v>
      </c>
      <c r="D22" s="32" t="s">
        <v>51</v>
      </c>
      <c r="E22" s="32" t="s">
        <v>51</v>
      </c>
      <c r="F22" s="21"/>
      <c r="G22" s="22"/>
      <c r="H22" s="5" t="s">
        <v>52</v>
      </c>
      <c r="I22" s="5" t="s">
        <v>52</v>
      </c>
      <c r="J22" s="32">
        <v>10</v>
      </c>
      <c r="K22" s="32">
        <v>10</v>
      </c>
    </row>
    <row r="23" ht="28.5" customHeight="1" spans="1:11">
      <c r="A23" s="23"/>
      <c r="B23" s="5"/>
      <c r="C23" s="23"/>
      <c r="D23" s="32"/>
      <c r="E23" s="32"/>
      <c r="F23" s="21"/>
      <c r="G23" s="22"/>
      <c r="H23" s="5"/>
      <c r="I23" s="5"/>
      <c r="J23" s="32"/>
      <c r="K23" s="32"/>
    </row>
    <row r="24" ht="28.5" customHeight="1" spans="1:11">
      <c r="A24" s="23"/>
      <c r="B24" s="5"/>
      <c r="C24" s="20" t="s">
        <v>53</v>
      </c>
      <c r="D24" s="32" t="s">
        <v>54</v>
      </c>
      <c r="E24" s="32" t="s">
        <v>54</v>
      </c>
      <c r="F24" s="21"/>
      <c r="G24" s="22"/>
      <c r="H24" s="68" t="s">
        <v>55</v>
      </c>
      <c r="I24" s="5" t="s">
        <v>56</v>
      </c>
      <c r="J24" s="32">
        <v>10</v>
      </c>
      <c r="K24" s="32">
        <v>10</v>
      </c>
    </row>
    <row r="25" ht="28.5" customHeight="1" spans="1:11">
      <c r="A25" s="23"/>
      <c r="B25" s="5"/>
      <c r="C25" s="23"/>
      <c r="D25" s="32"/>
      <c r="E25" s="32"/>
      <c r="F25" s="21"/>
      <c r="G25" s="22"/>
      <c r="H25" s="5"/>
      <c r="I25" s="5"/>
      <c r="J25" s="32"/>
      <c r="K25" s="32"/>
    </row>
    <row r="26" ht="28.5" customHeight="1" spans="1:11">
      <c r="A26" s="23"/>
      <c r="B26" s="5" t="s">
        <v>57</v>
      </c>
      <c r="C26" s="20" t="s">
        <v>58</v>
      </c>
      <c r="D26" s="32"/>
      <c r="E26" s="32"/>
      <c r="F26" s="21"/>
      <c r="G26" s="22"/>
      <c r="H26" s="5"/>
      <c r="I26" s="5"/>
      <c r="J26" s="32"/>
      <c r="K26" s="32"/>
    </row>
    <row r="27" ht="28.5" customHeight="1" spans="1:11">
      <c r="A27" s="23"/>
      <c r="B27" s="5"/>
      <c r="C27" s="23"/>
      <c r="D27" s="32"/>
      <c r="E27" s="32"/>
      <c r="F27" s="21"/>
      <c r="G27" s="22"/>
      <c r="H27" s="5"/>
      <c r="I27" s="5"/>
      <c r="J27" s="32"/>
      <c r="K27" s="32"/>
    </row>
    <row r="28" ht="28.5" customHeight="1" spans="1:11">
      <c r="A28" s="23"/>
      <c r="B28" s="5"/>
      <c r="C28" s="20" t="s">
        <v>59</v>
      </c>
      <c r="D28" s="32" t="s">
        <v>60</v>
      </c>
      <c r="E28" s="32" t="s">
        <v>60</v>
      </c>
      <c r="F28" s="21"/>
      <c r="G28" s="22"/>
      <c r="H28" s="5" t="s">
        <v>61</v>
      </c>
      <c r="I28" s="5" t="s">
        <v>61</v>
      </c>
      <c r="J28" s="32">
        <v>40</v>
      </c>
      <c r="K28" s="32">
        <v>30</v>
      </c>
    </row>
    <row r="29" ht="28.5" customHeight="1" spans="1:11">
      <c r="A29" s="23"/>
      <c r="B29" s="5"/>
      <c r="C29" s="23"/>
      <c r="D29" s="32"/>
      <c r="E29" s="32"/>
      <c r="F29" s="21"/>
      <c r="G29" s="22"/>
      <c r="H29" s="5"/>
      <c r="I29" s="5"/>
      <c r="J29" s="32"/>
      <c r="K29" s="32"/>
    </row>
    <row r="30" ht="28.5" customHeight="1" spans="1:11">
      <c r="A30" s="23"/>
      <c r="B30" s="5"/>
      <c r="C30" s="20" t="s">
        <v>62</v>
      </c>
      <c r="D30" s="32"/>
      <c r="E30" s="32"/>
      <c r="F30" s="21"/>
      <c r="G30" s="22"/>
      <c r="H30" s="5"/>
      <c r="I30" s="5"/>
      <c r="J30" s="32"/>
      <c r="K30" s="32"/>
    </row>
    <row r="31" ht="28.5" customHeight="1" spans="1:11">
      <c r="A31" s="23"/>
      <c r="B31" s="5"/>
      <c r="C31" s="23"/>
      <c r="D31" s="32"/>
      <c r="E31" s="32"/>
      <c r="F31" s="21"/>
      <c r="G31" s="22"/>
      <c r="H31" s="5"/>
      <c r="I31" s="5"/>
      <c r="J31" s="32"/>
      <c r="K31" s="32"/>
    </row>
    <row r="32" ht="28.5" customHeight="1" spans="1:11">
      <c r="A32" s="23"/>
      <c r="B32" s="5"/>
      <c r="C32" s="20" t="s">
        <v>63</v>
      </c>
      <c r="D32" s="32"/>
      <c r="E32" s="32"/>
      <c r="F32" s="21"/>
      <c r="G32" s="22"/>
      <c r="H32" s="5"/>
      <c r="I32" s="5"/>
      <c r="J32" s="32"/>
      <c r="K32" s="32"/>
    </row>
    <row r="33" ht="28.5" customHeight="1" spans="1:11">
      <c r="A33" s="23"/>
      <c r="B33" s="5"/>
      <c r="C33" s="23"/>
      <c r="D33" s="32"/>
      <c r="E33" s="32"/>
      <c r="F33" s="21"/>
      <c r="G33" s="22"/>
      <c r="H33" s="5"/>
      <c r="I33" s="5"/>
      <c r="J33" s="32"/>
      <c r="K33" s="32"/>
    </row>
    <row r="34" ht="28.5" customHeight="1" spans="1:11">
      <c r="A34" s="23"/>
      <c r="B34" s="20" t="s">
        <v>64</v>
      </c>
      <c r="C34" s="20" t="s">
        <v>65</v>
      </c>
      <c r="D34" s="32" t="s">
        <v>66</v>
      </c>
      <c r="E34" s="32" t="s">
        <v>66</v>
      </c>
      <c r="F34" s="21"/>
      <c r="G34" s="22"/>
      <c r="H34" s="63">
        <v>0.95</v>
      </c>
      <c r="I34" s="5" t="s">
        <v>67</v>
      </c>
      <c r="J34" s="32">
        <v>10</v>
      </c>
      <c r="K34" s="32">
        <v>9</v>
      </c>
    </row>
    <row r="35" ht="28.5" customHeight="1" spans="1:11">
      <c r="A35" s="23"/>
      <c r="B35" s="23"/>
      <c r="C35" s="23"/>
      <c r="D35" s="32"/>
      <c r="E35" s="32"/>
      <c r="F35" s="21"/>
      <c r="G35" s="22"/>
      <c r="H35" s="5"/>
      <c r="I35" s="5"/>
      <c r="J35" s="32"/>
      <c r="K35" s="32"/>
    </row>
    <row r="36" ht="28.5" customHeight="1" spans="1:11">
      <c r="A36" s="5" t="s">
        <v>68</v>
      </c>
      <c r="B36" s="5"/>
      <c r="C36" s="5"/>
      <c r="D36" s="5"/>
      <c r="E36" s="5"/>
      <c r="F36" s="5"/>
      <c r="G36" s="5"/>
      <c r="H36" s="5"/>
      <c r="I36" s="5"/>
      <c r="J36" s="61">
        <v>100</v>
      </c>
      <c r="K36" s="32">
        <f>K34+K28+K24+K22+K21+K20+K19+K18</f>
        <v>86</v>
      </c>
    </row>
    <row r="37" ht="28.5" customHeight="1" spans="1:11">
      <c r="A37" s="5" t="s">
        <v>69</v>
      </c>
      <c r="B37" s="5"/>
      <c r="C37" s="5"/>
      <c r="D37" s="5"/>
      <c r="E37" s="5"/>
      <c r="F37" s="5"/>
      <c r="G37" s="5"/>
      <c r="H37" s="5"/>
      <c r="I37" s="5"/>
      <c r="J37" s="21"/>
      <c r="K37" s="22"/>
    </row>
  </sheetData>
  <mergeCells count="55">
    <mergeCell ref="A2:K2"/>
    <mergeCell ref="A3:K3"/>
    <mergeCell ref="A5:B5"/>
    <mergeCell ref="C5:E5"/>
    <mergeCell ref="F5:H5"/>
    <mergeCell ref="I5:K5"/>
    <mergeCell ref="D6:G6"/>
    <mergeCell ref="H6:K6"/>
    <mergeCell ref="B8:C8"/>
    <mergeCell ref="B9:C9"/>
    <mergeCell ref="B10:C10"/>
    <mergeCell ref="B11:C11"/>
    <mergeCell ref="B12:C12"/>
    <mergeCell ref="B13:C13"/>
    <mergeCell ref="B14:C14"/>
    <mergeCell ref="B15:E15"/>
    <mergeCell ref="F15:K15"/>
    <mergeCell ref="B16:E16"/>
    <mergeCell ref="F16:K16"/>
    <mergeCell ref="F17:G17"/>
    <mergeCell ref="F18:G18"/>
    <mergeCell ref="F19:G19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A36:I36"/>
    <mergeCell ref="A37:I37"/>
    <mergeCell ref="J37:K37"/>
    <mergeCell ref="A6:A14"/>
    <mergeCell ref="A15:A16"/>
    <mergeCell ref="A17:A35"/>
    <mergeCell ref="B18:B25"/>
    <mergeCell ref="B26:B33"/>
    <mergeCell ref="B34:B35"/>
    <mergeCell ref="C19:C21"/>
    <mergeCell ref="C22:C23"/>
    <mergeCell ref="C24:C25"/>
    <mergeCell ref="C26:C27"/>
    <mergeCell ref="C28:C29"/>
    <mergeCell ref="C30:C31"/>
    <mergeCell ref="C32:C33"/>
    <mergeCell ref="C34:C35"/>
    <mergeCell ref="B6:C7"/>
  </mergeCells>
  <printOptions horizontalCentered="1"/>
  <pageMargins left="0.46875" right="0.46875" top="0.729166666666667" bottom="0.388888888888889" header="0.349305555555556" footer="0.2"/>
  <pageSetup paperSize="9" scale="63" fitToHeight="0" orientation="portrait" horizontalDpi="600" verticalDpi="600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L38"/>
  <sheetViews>
    <sheetView showGridLines="0" workbookViewId="0">
      <selection activeCell="G45" sqref="G45"/>
    </sheetView>
  </sheetViews>
  <sheetFormatPr defaultColWidth="9" defaultRowHeight="14.25"/>
  <cols>
    <col min="1" max="1" width="5.375" style="38"/>
    <col min="2" max="2" width="12.125" style="38"/>
    <col min="3" max="3" width="12.375" style="38"/>
    <col min="4" max="4" width="16.25" style="38"/>
    <col min="5" max="5" width="19.5" style="38"/>
    <col min="6" max="6" width="13.75" style="38"/>
    <col min="7" max="9" width="14" style="38"/>
    <col min="10" max="10" width="12.125" style="38"/>
    <col min="11" max="11" width="12.625" style="38"/>
    <col min="12" max="16384" width="9" style="38"/>
  </cols>
  <sheetData>
    <row r="1" ht="16.5" customHeight="1" spans="1:6">
      <c r="A1" s="1" t="s">
        <v>0</v>
      </c>
      <c r="B1" s="2"/>
      <c r="C1" s="2"/>
      <c r="D1" s="2"/>
      <c r="E1" s="2"/>
      <c r="F1" s="2"/>
    </row>
    <row r="2" ht="33.75" customHeight="1" spans="1:11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ht="21" customHeight="1" spans="1:11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21" customHeight="1" spans="1:1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21.75" customHeight="1" spans="1:11">
      <c r="A5" s="5" t="s">
        <v>3</v>
      </c>
      <c r="B5" s="5"/>
      <c r="C5" s="21" t="s">
        <v>4</v>
      </c>
      <c r="D5" s="31"/>
      <c r="E5" s="22"/>
      <c r="F5" s="5" t="s">
        <v>5</v>
      </c>
      <c r="G5" s="5"/>
      <c r="H5" s="5"/>
      <c r="I5" s="5">
        <v>109003</v>
      </c>
      <c r="J5" s="5"/>
      <c r="K5" s="5"/>
    </row>
    <row r="6" s="36" customFormat="1" ht="22.5" customHeight="1" spans="1:11">
      <c r="A6" s="21" t="s">
        <v>6</v>
      </c>
      <c r="B6" s="40" t="s">
        <v>7</v>
      </c>
      <c r="C6" s="41"/>
      <c r="D6" s="42" t="s">
        <v>8</v>
      </c>
      <c r="E6" s="43"/>
      <c r="F6" s="43"/>
      <c r="G6" s="44"/>
      <c r="H6" s="30" t="s">
        <v>9</v>
      </c>
      <c r="I6" s="57"/>
      <c r="J6" s="57"/>
      <c r="K6" s="26"/>
    </row>
    <row r="7" s="37" customFormat="1" ht="35.25" customHeight="1" spans="1:12">
      <c r="A7" s="21"/>
      <c r="B7" s="45"/>
      <c r="C7" s="46"/>
      <c r="D7" s="10" t="s">
        <v>10</v>
      </c>
      <c r="E7" s="11" t="s">
        <v>11</v>
      </c>
      <c r="F7" s="11" t="s">
        <v>12</v>
      </c>
      <c r="G7" s="11" t="s">
        <v>13</v>
      </c>
      <c r="H7" s="12" t="s">
        <v>14</v>
      </c>
      <c r="I7" s="11" t="s">
        <v>15</v>
      </c>
      <c r="J7" s="11" t="s">
        <v>16</v>
      </c>
      <c r="K7" s="11" t="s">
        <v>17</v>
      </c>
      <c r="L7" s="12"/>
    </row>
    <row r="8" s="36" customFormat="1" ht="19.5" customHeight="1" spans="1:11">
      <c r="A8" s="5"/>
      <c r="B8" s="13" t="s">
        <v>18</v>
      </c>
      <c r="C8" s="13"/>
      <c r="D8" s="8"/>
      <c r="E8" s="8"/>
      <c r="F8" s="27"/>
      <c r="G8" s="11"/>
      <c r="H8" s="11"/>
      <c r="I8" s="11"/>
      <c r="J8" s="8"/>
      <c r="K8" s="27"/>
    </row>
    <row r="9" s="36" customFormat="1" ht="19.5" customHeight="1" spans="1:11">
      <c r="A9" s="5"/>
      <c r="B9" s="17" t="s">
        <v>19</v>
      </c>
      <c r="C9" s="17"/>
      <c r="D9" s="8"/>
      <c r="E9" s="8"/>
      <c r="F9" s="27"/>
      <c r="G9" s="11"/>
      <c r="H9" s="11"/>
      <c r="I9" s="11"/>
      <c r="J9" s="8"/>
      <c r="K9" s="27"/>
    </row>
    <row r="10" s="36" customFormat="1" ht="19.5" customHeight="1" spans="1:11">
      <c r="A10" s="5"/>
      <c r="B10" s="17" t="s">
        <v>20</v>
      </c>
      <c r="C10" s="17"/>
      <c r="D10" s="8"/>
      <c r="E10" s="8"/>
      <c r="F10" s="27"/>
      <c r="G10" s="11"/>
      <c r="H10" s="11"/>
      <c r="I10" s="11"/>
      <c r="J10" s="8"/>
      <c r="K10" s="27"/>
    </row>
    <row r="11" s="36" customFormat="1" ht="19.5" customHeight="1" spans="1:11">
      <c r="A11" s="5"/>
      <c r="B11" s="17" t="s">
        <v>21</v>
      </c>
      <c r="C11" s="17"/>
      <c r="D11" s="50">
        <v>290977</v>
      </c>
      <c r="E11" s="8">
        <v>0</v>
      </c>
      <c r="F11" s="62">
        <v>290977</v>
      </c>
      <c r="G11" s="15">
        <f>D11+E11-F11</f>
        <v>0</v>
      </c>
      <c r="H11" s="15">
        <v>290977</v>
      </c>
      <c r="I11" s="15">
        <v>95930.5</v>
      </c>
      <c r="J11" s="8">
        <v>195046.5</v>
      </c>
      <c r="K11" s="59">
        <f>J11/H11</f>
        <v>0.670315866889823</v>
      </c>
    </row>
    <row r="12" s="36" customFormat="1" ht="19.5" customHeight="1" spans="1:11">
      <c r="A12" s="5"/>
      <c r="B12" s="17" t="s">
        <v>22</v>
      </c>
      <c r="C12" s="17"/>
      <c r="D12" s="8"/>
      <c r="E12" s="8"/>
      <c r="F12" s="27"/>
      <c r="G12" s="11"/>
      <c r="H12" s="11"/>
      <c r="I12" s="11"/>
      <c r="J12" s="8"/>
      <c r="K12" s="27"/>
    </row>
    <row r="13" s="36" customFormat="1" ht="19.5" customHeight="1" spans="1:11">
      <c r="A13" s="5"/>
      <c r="B13" s="17" t="s">
        <v>23</v>
      </c>
      <c r="C13" s="17"/>
      <c r="D13" s="8"/>
      <c r="E13" s="8"/>
      <c r="F13" s="27"/>
      <c r="G13" s="11"/>
      <c r="H13" s="11"/>
      <c r="I13" s="11"/>
      <c r="J13" s="8"/>
      <c r="K13" s="27"/>
    </row>
    <row r="14" s="36" customFormat="1" ht="25.5" customHeight="1" spans="1:11">
      <c r="A14" s="5"/>
      <c r="B14" s="21" t="s">
        <v>24</v>
      </c>
      <c r="C14" s="22"/>
      <c r="D14" s="50">
        <f t="shared" ref="D14:K14" si="0">SUM(D8:D13)</f>
        <v>290977</v>
      </c>
      <c r="E14" s="50">
        <f t="shared" si="0"/>
        <v>0</v>
      </c>
      <c r="F14" s="50">
        <f t="shared" si="0"/>
        <v>290977</v>
      </c>
      <c r="G14" s="50">
        <f t="shared" si="0"/>
        <v>0</v>
      </c>
      <c r="H14" s="50">
        <f t="shared" si="0"/>
        <v>290977</v>
      </c>
      <c r="I14" s="50">
        <f t="shared" si="0"/>
        <v>95930.5</v>
      </c>
      <c r="J14" s="50">
        <f t="shared" si="0"/>
        <v>195046.5</v>
      </c>
      <c r="K14" s="60">
        <f t="shared" si="0"/>
        <v>0.670315866889823</v>
      </c>
    </row>
    <row r="15" ht="21.75" customHeight="1" spans="1:11">
      <c r="A15" s="5" t="s">
        <v>25</v>
      </c>
      <c r="B15" s="5" t="s">
        <v>26</v>
      </c>
      <c r="C15" s="5"/>
      <c r="D15" s="5"/>
      <c r="E15" s="5"/>
      <c r="F15" s="5" t="s">
        <v>27</v>
      </c>
      <c r="G15" s="5"/>
      <c r="H15" s="5"/>
      <c r="I15" s="5"/>
      <c r="J15" s="5"/>
      <c r="K15" s="5"/>
    </row>
    <row r="16" ht="99.75" customHeight="1" spans="1:11">
      <c r="A16" s="5"/>
      <c r="B16" s="51"/>
      <c r="C16" s="52"/>
      <c r="D16" s="52"/>
      <c r="E16" s="53"/>
      <c r="F16" s="54"/>
      <c r="G16" s="54"/>
      <c r="H16" s="54"/>
      <c r="I16" s="54"/>
      <c r="J16" s="54"/>
      <c r="K16" s="54"/>
    </row>
    <row r="17" ht="28.5" customHeight="1" spans="1:11">
      <c r="A17" s="20" t="s">
        <v>28</v>
      </c>
      <c r="B17" s="20" t="s">
        <v>29</v>
      </c>
      <c r="C17" s="5" t="s">
        <v>30</v>
      </c>
      <c r="D17" s="5" t="s">
        <v>31</v>
      </c>
      <c r="E17" s="5" t="s">
        <v>32</v>
      </c>
      <c r="F17" s="21" t="s">
        <v>33</v>
      </c>
      <c r="G17" s="22"/>
      <c r="H17" s="5" t="s">
        <v>34</v>
      </c>
      <c r="I17" s="5" t="s">
        <v>35</v>
      </c>
      <c r="J17" s="5" t="s">
        <v>36</v>
      </c>
      <c r="K17" s="5" t="s">
        <v>37</v>
      </c>
    </row>
    <row r="18" ht="28.5" customHeight="1" spans="1:11">
      <c r="A18" s="23"/>
      <c r="B18" s="5" t="s">
        <v>38</v>
      </c>
      <c r="C18" s="20" t="s">
        <v>39</v>
      </c>
      <c r="D18" s="32" t="s">
        <v>70</v>
      </c>
      <c r="E18" s="32" t="s">
        <v>71</v>
      </c>
      <c r="F18" s="21"/>
      <c r="G18" s="22"/>
      <c r="H18" s="63">
        <v>1</v>
      </c>
      <c r="I18" s="5" t="s">
        <v>46</v>
      </c>
      <c r="J18" s="32">
        <v>5</v>
      </c>
      <c r="K18" s="32">
        <v>4</v>
      </c>
    </row>
    <row r="19" ht="28.5" customHeight="1" spans="1:11">
      <c r="A19" s="23"/>
      <c r="B19" s="5"/>
      <c r="C19" s="23"/>
      <c r="D19" s="32" t="s">
        <v>72</v>
      </c>
      <c r="E19" s="32" t="s">
        <v>73</v>
      </c>
      <c r="F19" s="21"/>
      <c r="G19" s="22"/>
      <c r="H19" s="63">
        <v>1</v>
      </c>
      <c r="I19" s="55">
        <v>1</v>
      </c>
      <c r="J19" s="32">
        <v>5</v>
      </c>
      <c r="K19" s="32">
        <v>5</v>
      </c>
    </row>
    <row r="20" ht="28.5" customHeight="1" spans="1:11">
      <c r="A20" s="23"/>
      <c r="B20" s="5"/>
      <c r="C20" s="20" t="s">
        <v>44</v>
      </c>
      <c r="D20" s="32" t="s">
        <v>45</v>
      </c>
      <c r="E20" s="32" t="s">
        <v>45</v>
      </c>
      <c r="F20" s="21"/>
      <c r="G20" s="22"/>
      <c r="H20" s="63">
        <v>1</v>
      </c>
      <c r="I20" s="5" t="s">
        <v>46</v>
      </c>
      <c r="J20" s="32">
        <v>5</v>
      </c>
      <c r="K20" s="32">
        <v>4</v>
      </c>
    </row>
    <row r="21" ht="28.5" customHeight="1" spans="1:11">
      <c r="A21" s="23"/>
      <c r="B21" s="5"/>
      <c r="C21" s="23"/>
      <c r="D21" s="32" t="s">
        <v>47</v>
      </c>
      <c r="E21" s="32" t="s">
        <v>47</v>
      </c>
      <c r="F21" s="21"/>
      <c r="G21" s="22"/>
      <c r="H21" s="63">
        <v>1</v>
      </c>
      <c r="I21" s="55">
        <v>1</v>
      </c>
      <c r="J21" s="32">
        <v>10</v>
      </c>
      <c r="K21" s="32">
        <v>10</v>
      </c>
    </row>
    <row r="22" ht="28.5" customHeight="1" spans="1:11">
      <c r="A22" s="23"/>
      <c r="B22" s="5"/>
      <c r="C22" s="23"/>
      <c r="D22" s="32" t="s">
        <v>48</v>
      </c>
      <c r="E22" s="32" t="s">
        <v>48</v>
      </c>
      <c r="F22" s="21"/>
      <c r="G22" s="22"/>
      <c r="H22" s="63">
        <v>1</v>
      </c>
      <c r="I22" s="55">
        <v>1</v>
      </c>
      <c r="J22" s="32">
        <v>5</v>
      </c>
      <c r="K22" s="32">
        <v>4</v>
      </c>
    </row>
    <row r="23" ht="28.5" customHeight="1" spans="1:11">
      <c r="A23" s="23"/>
      <c r="B23" s="5"/>
      <c r="C23" s="20" t="s">
        <v>50</v>
      </c>
      <c r="D23" s="32" t="s">
        <v>74</v>
      </c>
      <c r="E23" s="32" t="s">
        <v>74</v>
      </c>
      <c r="F23" s="21"/>
      <c r="G23" s="22"/>
      <c r="H23" s="64">
        <v>0.296</v>
      </c>
      <c r="I23" s="5" t="s">
        <v>75</v>
      </c>
      <c r="J23" s="32">
        <v>5</v>
      </c>
      <c r="K23" s="32">
        <v>5</v>
      </c>
    </row>
    <row r="24" ht="28.5" customHeight="1" spans="1:11">
      <c r="A24" s="23"/>
      <c r="B24" s="5"/>
      <c r="C24" s="23"/>
      <c r="D24" s="33" t="s">
        <v>51</v>
      </c>
      <c r="E24" s="33" t="s">
        <v>51</v>
      </c>
      <c r="F24" s="65"/>
      <c r="G24" s="66"/>
      <c r="H24" s="5" t="s">
        <v>52</v>
      </c>
      <c r="I24" s="5" t="s">
        <v>52</v>
      </c>
      <c r="J24" s="32">
        <v>5</v>
      </c>
      <c r="K24" s="32">
        <v>5</v>
      </c>
    </row>
    <row r="25" ht="28.5" customHeight="1" spans="1:11">
      <c r="A25" s="23"/>
      <c r="B25" s="5"/>
      <c r="C25" s="20" t="s">
        <v>53</v>
      </c>
      <c r="D25" s="32" t="s">
        <v>54</v>
      </c>
      <c r="E25" s="32" t="s">
        <v>54</v>
      </c>
      <c r="F25" s="21"/>
      <c r="G25" s="22"/>
      <c r="H25" s="5" t="s">
        <v>76</v>
      </c>
      <c r="I25" s="5">
        <v>290977</v>
      </c>
      <c r="J25" s="32">
        <v>10</v>
      </c>
      <c r="K25" s="32">
        <v>10</v>
      </c>
    </row>
    <row r="26" ht="28.5" customHeight="1" spans="1:11">
      <c r="A26" s="23"/>
      <c r="B26" s="5"/>
      <c r="C26" s="23"/>
      <c r="D26" s="32"/>
      <c r="E26" s="32"/>
      <c r="F26" s="21"/>
      <c r="G26" s="22"/>
      <c r="H26" s="5"/>
      <c r="I26" s="5"/>
      <c r="J26" s="32"/>
      <c r="K26" s="32"/>
    </row>
    <row r="27" ht="28.5" customHeight="1" spans="1:11">
      <c r="A27" s="23"/>
      <c r="B27" s="5" t="s">
        <v>57</v>
      </c>
      <c r="C27" s="20" t="s">
        <v>58</v>
      </c>
      <c r="D27" s="32"/>
      <c r="E27" s="32"/>
      <c r="F27" s="21"/>
      <c r="G27" s="22"/>
      <c r="H27" s="5"/>
      <c r="I27" s="5"/>
      <c r="J27" s="32"/>
      <c r="K27" s="32"/>
    </row>
    <row r="28" ht="28.5" customHeight="1" spans="1:11">
      <c r="A28" s="23"/>
      <c r="B28" s="5"/>
      <c r="C28" s="23"/>
      <c r="D28" s="32"/>
      <c r="E28" s="32"/>
      <c r="F28" s="21"/>
      <c r="G28" s="22"/>
      <c r="H28" s="5"/>
      <c r="I28" s="5"/>
      <c r="J28" s="32"/>
      <c r="K28" s="32"/>
    </row>
    <row r="29" ht="28.5" customHeight="1" spans="1:11">
      <c r="A29" s="23"/>
      <c r="B29" s="5"/>
      <c r="C29" s="20" t="s">
        <v>59</v>
      </c>
      <c r="D29" s="32" t="s">
        <v>77</v>
      </c>
      <c r="E29" s="32" t="s">
        <v>77</v>
      </c>
      <c r="F29" s="21"/>
      <c r="G29" s="22"/>
      <c r="H29" s="5" t="s">
        <v>78</v>
      </c>
      <c r="I29" s="5" t="s">
        <v>78</v>
      </c>
      <c r="J29" s="32">
        <v>40</v>
      </c>
      <c r="K29" s="32">
        <v>30</v>
      </c>
    </row>
    <row r="30" ht="28.5" customHeight="1" spans="1:11">
      <c r="A30" s="23"/>
      <c r="B30" s="5"/>
      <c r="C30" s="23"/>
      <c r="D30" s="32"/>
      <c r="E30" s="32"/>
      <c r="F30" s="21"/>
      <c r="G30" s="22"/>
      <c r="H30" s="5"/>
      <c r="I30" s="5"/>
      <c r="J30" s="32"/>
      <c r="K30" s="32"/>
    </row>
    <row r="31" ht="28.5" customHeight="1" spans="1:11">
      <c r="A31" s="23"/>
      <c r="B31" s="5"/>
      <c r="C31" s="20" t="s">
        <v>62</v>
      </c>
      <c r="D31" s="32"/>
      <c r="E31" s="32"/>
      <c r="F31" s="21"/>
      <c r="G31" s="22"/>
      <c r="H31" s="5"/>
      <c r="I31" s="5"/>
      <c r="J31" s="32"/>
      <c r="K31" s="32"/>
    </row>
    <row r="32" ht="28.5" customHeight="1" spans="1:11">
      <c r="A32" s="23"/>
      <c r="B32" s="5"/>
      <c r="C32" s="23"/>
      <c r="D32" s="32"/>
      <c r="E32" s="32"/>
      <c r="F32" s="21"/>
      <c r="G32" s="22"/>
      <c r="H32" s="5"/>
      <c r="I32" s="5"/>
      <c r="J32" s="32"/>
      <c r="K32" s="32"/>
    </row>
    <row r="33" ht="28.5" customHeight="1" spans="1:11">
      <c r="A33" s="23"/>
      <c r="B33" s="5"/>
      <c r="C33" s="20" t="s">
        <v>63</v>
      </c>
      <c r="D33" s="32"/>
      <c r="E33" s="32"/>
      <c r="F33" s="21"/>
      <c r="G33" s="22"/>
      <c r="H33" s="5"/>
      <c r="I33" s="5"/>
      <c r="J33" s="32"/>
      <c r="K33" s="32"/>
    </row>
    <row r="34" ht="28.5" customHeight="1" spans="1:11">
      <c r="A34" s="23"/>
      <c r="B34" s="5"/>
      <c r="C34" s="23"/>
      <c r="D34" s="32"/>
      <c r="E34" s="32"/>
      <c r="F34" s="21"/>
      <c r="G34" s="22"/>
      <c r="H34" s="5"/>
      <c r="I34" s="5"/>
      <c r="J34" s="32"/>
      <c r="K34" s="32"/>
    </row>
    <row r="35" ht="28.5" customHeight="1" spans="1:11">
      <c r="A35" s="23"/>
      <c r="B35" s="20" t="s">
        <v>64</v>
      </c>
      <c r="C35" s="20" t="s">
        <v>65</v>
      </c>
      <c r="D35" s="32" t="s">
        <v>66</v>
      </c>
      <c r="E35" s="32" t="s">
        <v>66</v>
      </c>
      <c r="F35" s="21"/>
      <c r="G35" s="22"/>
      <c r="H35" s="55">
        <v>0.95</v>
      </c>
      <c r="I35" s="55">
        <v>0.95</v>
      </c>
      <c r="J35" s="32">
        <v>10</v>
      </c>
      <c r="K35" s="32">
        <v>9</v>
      </c>
    </row>
    <row r="36" ht="28.5" customHeight="1" spans="1:11">
      <c r="A36" s="23"/>
      <c r="B36" s="23"/>
      <c r="C36" s="23"/>
      <c r="D36" s="32"/>
      <c r="E36" s="32"/>
      <c r="F36" s="21"/>
      <c r="G36" s="22"/>
      <c r="H36" s="5"/>
      <c r="I36" s="5"/>
      <c r="J36" s="32"/>
      <c r="K36" s="32"/>
    </row>
    <row r="37" ht="28.5" customHeight="1" spans="1:11">
      <c r="A37" s="5" t="s">
        <v>68</v>
      </c>
      <c r="B37" s="5"/>
      <c r="C37" s="5"/>
      <c r="D37" s="5"/>
      <c r="E37" s="5"/>
      <c r="F37" s="5"/>
      <c r="G37" s="5"/>
      <c r="H37" s="5"/>
      <c r="I37" s="5"/>
      <c r="J37" s="61">
        <v>100</v>
      </c>
      <c r="K37" s="32">
        <f>K35+K29+K25+K24+K23+K21+K22+K20+K19+K18</f>
        <v>86</v>
      </c>
    </row>
    <row r="38" ht="28.5" customHeight="1" spans="1:11">
      <c r="A38" s="5" t="s">
        <v>69</v>
      </c>
      <c r="B38" s="5"/>
      <c r="C38" s="5"/>
      <c r="D38" s="5"/>
      <c r="E38" s="5"/>
      <c r="F38" s="5"/>
      <c r="G38" s="5"/>
      <c r="H38" s="5"/>
      <c r="I38" s="5"/>
      <c r="J38" s="21"/>
      <c r="K38" s="22"/>
    </row>
  </sheetData>
  <mergeCells count="57">
    <mergeCell ref="A2:K2"/>
    <mergeCell ref="A3:K3"/>
    <mergeCell ref="A5:B5"/>
    <mergeCell ref="C5:E5"/>
    <mergeCell ref="F5:H5"/>
    <mergeCell ref="I5:K5"/>
    <mergeCell ref="D6:G6"/>
    <mergeCell ref="H6:K6"/>
    <mergeCell ref="B8:C8"/>
    <mergeCell ref="B9:C9"/>
    <mergeCell ref="B10:C10"/>
    <mergeCell ref="B11:C11"/>
    <mergeCell ref="B12:C12"/>
    <mergeCell ref="B13:C13"/>
    <mergeCell ref="B14:C14"/>
    <mergeCell ref="B15:E15"/>
    <mergeCell ref="F15:K15"/>
    <mergeCell ref="B16:E16"/>
    <mergeCell ref="F16:K16"/>
    <mergeCell ref="F17:G17"/>
    <mergeCell ref="F18:G18"/>
    <mergeCell ref="F19:G19"/>
    <mergeCell ref="F20:G20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A37:I37"/>
    <mergeCell ref="A38:I38"/>
    <mergeCell ref="J38:K38"/>
    <mergeCell ref="A6:A14"/>
    <mergeCell ref="A15:A16"/>
    <mergeCell ref="A17:A36"/>
    <mergeCell ref="B18:B26"/>
    <mergeCell ref="B27:B34"/>
    <mergeCell ref="B35:B36"/>
    <mergeCell ref="C18:C19"/>
    <mergeCell ref="C20:C22"/>
    <mergeCell ref="C23:C24"/>
    <mergeCell ref="C25:C26"/>
    <mergeCell ref="C27:C28"/>
    <mergeCell ref="C29:C30"/>
    <mergeCell ref="C31:C32"/>
    <mergeCell ref="C33:C34"/>
    <mergeCell ref="C35:C36"/>
    <mergeCell ref="B6:C7"/>
  </mergeCells>
  <printOptions horizontalCentered="1"/>
  <pageMargins left="0.46875" right="0.46875" top="0.729166666666667" bottom="0.388888888888889" header="0.349305555555556" footer="0.2"/>
  <pageSetup paperSize="9" scale="63" fitToHeight="0" orientation="portrait" horizontalDpi="600" verticalDpi="600"/>
  <headerFooter alignWithMargins="0" scaleWithDoc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L38"/>
  <sheetViews>
    <sheetView showGridLines="0" topLeftCell="A22" workbookViewId="0">
      <selection activeCell="J37" sqref="J37"/>
    </sheetView>
  </sheetViews>
  <sheetFormatPr defaultColWidth="9" defaultRowHeight="14.25"/>
  <cols>
    <col min="1" max="1" width="5.375" style="38"/>
    <col min="2" max="2" width="12.125" style="38"/>
    <col min="3" max="3" width="12.375" style="38"/>
    <col min="4" max="4" width="26.625" style="38" customWidth="1"/>
    <col min="5" max="5" width="19.5" style="38"/>
    <col min="6" max="6" width="13.75" style="38"/>
    <col min="7" max="7" width="14" style="38"/>
    <col min="8" max="8" width="21.25" style="38" customWidth="1"/>
    <col min="9" max="10" width="21" style="38" customWidth="1"/>
    <col min="11" max="11" width="12.625" style="38"/>
    <col min="12" max="16384" width="9" style="38"/>
  </cols>
  <sheetData>
    <row r="1" ht="16.5" customHeight="1" spans="1:6">
      <c r="A1" s="1" t="s">
        <v>0</v>
      </c>
      <c r="B1" s="2"/>
      <c r="C1" s="2"/>
      <c r="D1" s="2"/>
      <c r="E1" s="2"/>
      <c r="F1" s="2"/>
    </row>
    <row r="2" ht="33.75" customHeight="1" spans="1:11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ht="21" customHeight="1" spans="1:11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21" customHeight="1" spans="1:1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21.75" customHeight="1" spans="1:11">
      <c r="A5" s="5" t="s">
        <v>3</v>
      </c>
      <c r="B5" s="5"/>
      <c r="C5" s="21" t="s">
        <v>4</v>
      </c>
      <c r="D5" s="31"/>
      <c r="E5" s="22"/>
      <c r="F5" s="5" t="s">
        <v>5</v>
      </c>
      <c r="G5" s="5"/>
      <c r="H5" s="5"/>
      <c r="I5" s="5">
        <v>109004</v>
      </c>
      <c r="J5" s="5"/>
      <c r="K5" s="5"/>
    </row>
    <row r="6" s="36" customFormat="1" ht="22.5" customHeight="1" spans="1:11">
      <c r="A6" s="21" t="s">
        <v>6</v>
      </c>
      <c r="B6" s="40" t="s">
        <v>7</v>
      </c>
      <c r="C6" s="41"/>
      <c r="D6" s="42" t="s">
        <v>8</v>
      </c>
      <c r="E6" s="43"/>
      <c r="F6" s="43"/>
      <c r="G6" s="44"/>
      <c r="H6" s="30" t="s">
        <v>9</v>
      </c>
      <c r="I6" s="57"/>
      <c r="J6" s="57"/>
      <c r="K6" s="26"/>
    </row>
    <row r="7" s="37" customFormat="1" ht="35.25" customHeight="1" spans="1:12">
      <c r="A7" s="21"/>
      <c r="B7" s="45"/>
      <c r="C7" s="46"/>
      <c r="D7" s="10" t="s">
        <v>10</v>
      </c>
      <c r="E7" s="11" t="s">
        <v>11</v>
      </c>
      <c r="F7" s="11" t="s">
        <v>12</v>
      </c>
      <c r="G7" s="11" t="s">
        <v>13</v>
      </c>
      <c r="H7" s="12" t="s">
        <v>14</v>
      </c>
      <c r="I7" s="11" t="s">
        <v>15</v>
      </c>
      <c r="J7" s="11" t="s">
        <v>16</v>
      </c>
      <c r="K7" s="11" t="s">
        <v>17</v>
      </c>
      <c r="L7" s="12"/>
    </row>
    <row r="8" s="36" customFormat="1" ht="19.5" customHeight="1" spans="1:11">
      <c r="A8" s="5"/>
      <c r="B8" s="13" t="s">
        <v>18</v>
      </c>
      <c r="C8" s="13"/>
      <c r="D8" s="8"/>
      <c r="E8" s="8"/>
      <c r="F8" s="27"/>
      <c r="G8" s="11"/>
      <c r="H8" s="11"/>
      <c r="I8" s="11"/>
      <c r="J8" s="8"/>
      <c r="K8" s="27"/>
    </row>
    <row r="9" s="36" customFormat="1" ht="19.5" customHeight="1" spans="1:11">
      <c r="A9" s="5"/>
      <c r="B9" s="17" t="s">
        <v>19</v>
      </c>
      <c r="C9" s="17"/>
      <c r="D9" s="8"/>
      <c r="E9" s="8"/>
      <c r="F9" s="27"/>
      <c r="G9" s="11"/>
      <c r="H9" s="11"/>
      <c r="I9" s="11"/>
      <c r="J9" s="8"/>
      <c r="K9" s="27"/>
    </row>
    <row r="10" s="36" customFormat="1" ht="19.5" customHeight="1" spans="1:11">
      <c r="A10" s="5"/>
      <c r="B10" s="17" t="s">
        <v>20</v>
      </c>
      <c r="C10" s="17"/>
      <c r="D10" s="8"/>
      <c r="E10" s="8"/>
      <c r="F10" s="27"/>
      <c r="G10" s="11"/>
      <c r="H10" s="11"/>
      <c r="I10" s="11"/>
      <c r="J10" s="8"/>
      <c r="K10" s="27"/>
    </row>
    <row r="11" s="36" customFormat="1" ht="19.5" customHeight="1" spans="1:11">
      <c r="A11" s="5"/>
      <c r="B11" s="17" t="s">
        <v>21</v>
      </c>
      <c r="C11" s="17"/>
      <c r="D11" s="47">
        <v>744767.96</v>
      </c>
      <c r="E11" s="8">
        <v>0</v>
      </c>
      <c r="F11" s="48">
        <v>744767.96</v>
      </c>
      <c r="G11" s="15">
        <f>D11+E11-F11</f>
        <v>0</v>
      </c>
      <c r="H11" s="49">
        <v>744767.96</v>
      </c>
      <c r="I11" s="49">
        <v>546626.46</v>
      </c>
      <c r="J11" s="58">
        <v>198141.5</v>
      </c>
      <c r="K11" s="59">
        <f>J11/H11</f>
        <v>0.266044608041409</v>
      </c>
    </row>
    <row r="12" s="36" customFormat="1" ht="19.5" customHeight="1" spans="1:11">
      <c r="A12" s="5"/>
      <c r="B12" s="17" t="s">
        <v>22</v>
      </c>
      <c r="C12" s="17"/>
      <c r="D12" s="8"/>
      <c r="E12" s="8"/>
      <c r="F12" s="27"/>
      <c r="G12" s="11"/>
      <c r="H12" s="11"/>
      <c r="I12" s="11"/>
      <c r="J12" s="8"/>
      <c r="K12" s="27"/>
    </row>
    <row r="13" s="36" customFormat="1" ht="19.5" customHeight="1" spans="1:11">
      <c r="A13" s="5"/>
      <c r="B13" s="17" t="s">
        <v>23</v>
      </c>
      <c r="C13" s="17"/>
      <c r="D13" s="8"/>
      <c r="E13" s="8"/>
      <c r="F13" s="27"/>
      <c r="G13" s="11"/>
      <c r="H13" s="11"/>
      <c r="I13" s="11"/>
      <c r="J13" s="8"/>
      <c r="K13" s="27"/>
    </row>
    <row r="14" s="36" customFormat="1" ht="25.5" customHeight="1" spans="1:11">
      <c r="A14" s="5"/>
      <c r="B14" s="21" t="s">
        <v>24</v>
      </c>
      <c r="C14" s="22"/>
      <c r="D14" s="50">
        <f t="shared" ref="D14:K14" si="0">SUM(D8:D13)</f>
        <v>744767.96</v>
      </c>
      <c r="E14" s="50">
        <f t="shared" si="0"/>
        <v>0</v>
      </c>
      <c r="F14" s="50">
        <f t="shared" si="0"/>
        <v>744767.96</v>
      </c>
      <c r="G14" s="50">
        <f t="shared" si="0"/>
        <v>0</v>
      </c>
      <c r="H14" s="50">
        <f t="shared" si="0"/>
        <v>744767.96</v>
      </c>
      <c r="I14" s="50">
        <f t="shared" si="0"/>
        <v>546626.46</v>
      </c>
      <c r="J14" s="50">
        <f t="shared" si="0"/>
        <v>198141.5</v>
      </c>
      <c r="K14" s="60">
        <f t="shared" si="0"/>
        <v>0.266044608041409</v>
      </c>
    </row>
    <row r="15" ht="21.75" customHeight="1" spans="1:11">
      <c r="A15" s="5" t="s">
        <v>25</v>
      </c>
      <c r="B15" s="5" t="s">
        <v>26</v>
      </c>
      <c r="C15" s="5"/>
      <c r="D15" s="5"/>
      <c r="E15" s="5"/>
      <c r="F15" s="5" t="s">
        <v>27</v>
      </c>
      <c r="G15" s="5"/>
      <c r="H15" s="5"/>
      <c r="I15" s="5"/>
      <c r="J15" s="5"/>
      <c r="K15" s="5"/>
    </row>
    <row r="16" ht="99.75" customHeight="1" spans="1:11">
      <c r="A16" s="5"/>
      <c r="B16" s="51" t="s">
        <v>79</v>
      </c>
      <c r="C16" s="52"/>
      <c r="D16" s="52"/>
      <c r="E16" s="53"/>
      <c r="F16" s="54" t="s">
        <v>79</v>
      </c>
      <c r="G16" s="54"/>
      <c r="H16" s="54"/>
      <c r="I16" s="54"/>
      <c r="J16" s="54"/>
      <c r="K16" s="54"/>
    </row>
    <row r="17" ht="28.5" customHeight="1" spans="1:11">
      <c r="A17" s="20" t="s">
        <v>28</v>
      </c>
      <c r="B17" s="20" t="s">
        <v>29</v>
      </c>
      <c r="C17" s="5" t="s">
        <v>30</v>
      </c>
      <c r="D17" s="5" t="s">
        <v>31</v>
      </c>
      <c r="E17" s="5" t="s">
        <v>32</v>
      </c>
      <c r="F17" s="21" t="s">
        <v>33</v>
      </c>
      <c r="G17" s="22"/>
      <c r="H17" s="5" t="s">
        <v>34</v>
      </c>
      <c r="I17" s="5" t="s">
        <v>35</v>
      </c>
      <c r="J17" s="5" t="s">
        <v>36</v>
      </c>
      <c r="K17" s="5" t="s">
        <v>37</v>
      </c>
    </row>
    <row r="18" ht="28.5" customHeight="1" spans="1:11">
      <c r="A18" s="23"/>
      <c r="B18" s="5" t="s">
        <v>38</v>
      </c>
      <c r="C18" s="20" t="s">
        <v>39</v>
      </c>
      <c r="D18" s="32" t="s">
        <v>70</v>
      </c>
      <c r="E18" s="32" t="s">
        <v>70</v>
      </c>
      <c r="F18" s="21"/>
      <c r="G18" s="22"/>
      <c r="H18" s="55">
        <v>1</v>
      </c>
      <c r="I18" s="5" t="s">
        <v>80</v>
      </c>
      <c r="J18" s="32">
        <v>5</v>
      </c>
      <c r="K18" s="32">
        <v>4</v>
      </c>
    </row>
    <row r="19" ht="28.5" spans="1:11">
      <c r="A19" s="23"/>
      <c r="B19" s="5"/>
      <c r="C19" s="23"/>
      <c r="D19" s="32" t="s">
        <v>81</v>
      </c>
      <c r="E19" s="32" t="s">
        <v>81</v>
      </c>
      <c r="F19" s="21"/>
      <c r="G19" s="22"/>
      <c r="H19" s="56" t="s">
        <v>82</v>
      </c>
      <c r="I19" s="5" t="s">
        <v>82</v>
      </c>
      <c r="J19" s="32">
        <v>10</v>
      </c>
      <c r="K19" s="32">
        <v>10</v>
      </c>
    </row>
    <row r="20" ht="28.5" customHeight="1" spans="1:11">
      <c r="A20" s="23"/>
      <c r="B20" s="5"/>
      <c r="C20" s="20" t="s">
        <v>44</v>
      </c>
      <c r="D20" s="32" t="s">
        <v>45</v>
      </c>
      <c r="E20" s="32" t="s">
        <v>45</v>
      </c>
      <c r="F20" s="21"/>
      <c r="G20" s="22"/>
      <c r="H20" s="55">
        <v>1</v>
      </c>
      <c r="I20" s="5" t="s">
        <v>46</v>
      </c>
      <c r="J20" s="32">
        <v>5</v>
      </c>
      <c r="K20" s="32">
        <v>4</v>
      </c>
    </row>
    <row r="21" ht="28.5" customHeight="1" spans="1:11">
      <c r="A21" s="23"/>
      <c r="B21" s="5"/>
      <c r="C21" s="23"/>
      <c r="D21" s="32" t="s">
        <v>47</v>
      </c>
      <c r="E21" s="32" t="s">
        <v>47</v>
      </c>
      <c r="F21" s="21"/>
      <c r="G21" s="22"/>
      <c r="H21" s="55">
        <v>1</v>
      </c>
      <c r="I21" s="55">
        <v>1</v>
      </c>
      <c r="J21" s="32">
        <v>10</v>
      </c>
      <c r="K21" s="32">
        <v>10</v>
      </c>
    </row>
    <row r="22" ht="28.5" customHeight="1" spans="1:11">
      <c r="A22" s="23"/>
      <c r="B22" s="5"/>
      <c r="C22" s="23"/>
      <c r="D22" s="32" t="s">
        <v>48</v>
      </c>
      <c r="E22" s="32" t="s">
        <v>49</v>
      </c>
      <c r="F22" s="21"/>
      <c r="G22" s="22"/>
      <c r="H22" s="55">
        <v>1</v>
      </c>
      <c r="I22" s="55">
        <v>1</v>
      </c>
      <c r="J22" s="32">
        <v>5</v>
      </c>
      <c r="K22" s="32">
        <v>4</v>
      </c>
    </row>
    <row r="23" ht="28.5" customHeight="1" spans="1:11">
      <c r="A23" s="23"/>
      <c r="B23" s="5"/>
      <c r="C23" s="20" t="s">
        <v>50</v>
      </c>
      <c r="D23" s="32" t="s">
        <v>51</v>
      </c>
      <c r="E23" s="32" t="s">
        <v>51</v>
      </c>
      <c r="F23" s="21"/>
      <c r="G23" s="22"/>
      <c r="H23" s="5" t="s">
        <v>52</v>
      </c>
      <c r="I23" s="5" t="s">
        <v>52</v>
      </c>
      <c r="J23" s="32">
        <v>10</v>
      </c>
      <c r="K23" s="32">
        <v>10</v>
      </c>
    </row>
    <row r="24" ht="28.5" customHeight="1" spans="1:11">
      <c r="A24" s="23"/>
      <c r="B24" s="5"/>
      <c r="C24" s="23"/>
      <c r="D24" s="32"/>
      <c r="E24" s="32"/>
      <c r="F24" s="21"/>
      <c r="G24" s="22"/>
      <c r="H24" s="5"/>
      <c r="I24" s="5"/>
      <c r="J24" s="32"/>
      <c r="K24" s="32"/>
    </row>
    <row r="25" ht="28.5" customHeight="1" spans="1:11">
      <c r="A25" s="23"/>
      <c r="B25" s="5"/>
      <c r="C25" s="20" t="s">
        <v>53</v>
      </c>
      <c r="D25" s="32" t="s">
        <v>54</v>
      </c>
      <c r="E25" s="32" t="s">
        <v>54</v>
      </c>
      <c r="F25" s="21"/>
      <c r="G25" s="22"/>
      <c r="H25" s="5" t="s">
        <v>83</v>
      </c>
      <c r="I25" s="5">
        <v>744767.96</v>
      </c>
      <c r="J25" s="32">
        <v>5</v>
      </c>
      <c r="K25" s="32">
        <v>5</v>
      </c>
    </row>
    <row r="26" ht="28.5" customHeight="1" spans="1:11">
      <c r="A26" s="23"/>
      <c r="B26" s="5"/>
      <c r="C26" s="23"/>
      <c r="D26" s="32"/>
      <c r="E26" s="32"/>
      <c r="F26" s="21"/>
      <c r="G26" s="22"/>
      <c r="H26" s="5"/>
      <c r="I26" s="5"/>
      <c r="J26" s="32"/>
      <c r="K26" s="32"/>
    </row>
    <row r="27" ht="28.5" customHeight="1" spans="1:11">
      <c r="A27" s="23"/>
      <c r="B27" s="5" t="s">
        <v>57</v>
      </c>
      <c r="C27" s="20" t="s">
        <v>58</v>
      </c>
      <c r="D27" s="32"/>
      <c r="E27" s="32"/>
      <c r="F27" s="21"/>
      <c r="G27" s="22"/>
      <c r="H27" s="5"/>
      <c r="I27" s="5"/>
      <c r="J27" s="32"/>
      <c r="K27" s="32"/>
    </row>
    <row r="28" ht="28.5" customHeight="1" spans="1:11">
      <c r="A28" s="23"/>
      <c r="B28" s="5"/>
      <c r="C28" s="23"/>
      <c r="D28" s="32"/>
      <c r="E28" s="32"/>
      <c r="F28" s="21"/>
      <c r="G28" s="22"/>
      <c r="H28" s="5"/>
      <c r="I28" s="5"/>
      <c r="J28" s="32"/>
      <c r="K28" s="32"/>
    </row>
    <row r="29" ht="28.5" customHeight="1" spans="1:11">
      <c r="A29" s="23"/>
      <c r="B29" s="5"/>
      <c r="C29" s="20" t="s">
        <v>59</v>
      </c>
      <c r="D29" s="32" t="s">
        <v>84</v>
      </c>
      <c r="E29" s="32" t="s">
        <v>84</v>
      </c>
      <c r="F29" s="21"/>
      <c r="G29" s="22"/>
      <c r="H29" s="32" t="s">
        <v>85</v>
      </c>
      <c r="I29" s="32" t="s">
        <v>85</v>
      </c>
      <c r="J29" s="32">
        <v>40</v>
      </c>
      <c r="K29" s="32">
        <v>30</v>
      </c>
    </row>
    <row r="30" ht="28.5" customHeight="1" spans="1:11">
      <c r="A30" s="23"/>
      <c r="B30" s="5"/>
      <c r="C30" s="23"/>
      <c r="D30" s="32"/>
      <c r="E30" s="32"/>
      <c r="F30" s="21"/>
      <c r="G30" s="22"/>
      <c r="H30" s="5"/>
      <c r="I30" s="5"/>
      <c r="J30" s="32"/>
      <c r="K30" s="32"/>
    </row>
    <row r="31" ht="28.5" customHeight="1" spans="1:11">
      <c r="A31" s="23"/>
      <c r="B31" s="5"/>
      <c r="C31" s="20" t="s">
        <v>62</v>
      </c>
      <c r="D31" s="32"/>
      <c r="E31" s="32"/>
      <c r="F31" s="21"/>
      <c r="G31" s="22"/>
      <c r="H31" s="5"/>
      <c r="I31" s="5"/>
      <c r="J31" s="32"/>
      <c r="K31" s="32"/>
    </row>
    <row r="32" ht="28.5" customHeight="1" spans="1:11">
      <c r="A32" s="23"/>
      <c r="B32" s="5"/>
      <c r="C32" s="23"/>
      <c r="D32" s="32"/>
      <c r="E32" s="32"/>
      <c r="F32" s="21"/>
      <c r="G32" s="22"/>
      <c r="H32" s="5"/>
      <c r="I32" s="5"/>
      <c r="J32" s="32"/>
      <c r="K32" s="32"/>
    </row>
    <row r="33" ht="28.5" customHeight="1" spans="1:11">
      <c r="A33" s="23"/>
      <c r="B33" s="5"/>
      <c r="C33" s="20" t="s">
        <v>63</v>
      </c>
      <c r="D33" s="32"/>
      <c r="E33" s="32"/>
      <c r="F33" s="21"/>
      <c r="G33" s="22"/>
      <c r="H33" s="5"/>
      <c r="I33" s="5"/>
      <c r="J33" s="32"/>
      <c r="K33" s="32"/>
    </row>
    <row r="34" ht="28.5" customHeight="1" spans="1:11">
      <c r="A34" s="23"/>
      <c r="B34" s="5"/>
      <c r="C34" s="23"/>
      <c r="D34" s="32"/>
      <c r="E34" s="32"/>
      <c r="F34" s="21"/>
      <c r="G34" s="22"/>
      <c r="H34" s="5"/>
      <c r="I34" s="5"/>
      <c r="J34" s="32"/>
      <c r="K34" s="32"/>
    </row>
    <row r="35" ht="28.5" customHeight="1" spans="1:11">
      <c r="A35" s="23"/>
      <c r="B35" s="20" t="s">
        <v>64</v>
      </c>
      <c r="C35" s="20" t="s">
        <v>65</v>
      </c>
      <c r="D35" s="32" t="s">
        <v>66</v>
      </c>
      <c r="E35" s="32" t="s">
        <v>66</v>
      </c>
      <c r="F35" s="21"/>
      <c r="G35" s="22"/>
      <c r="H35" s="55">
        <v>0.9</v>
      </c>
      <c r="I35" s="55" t="s">
        <v>46</v>
      </c>
      <c r="J35" s="32">
        <v>10</v>
      </c>
      <c r="K35" s="32">
        <v>9</v>
      </c>
    </row>
    <row r="36" ht="28.5" customHeight="1" spans="1:11">
      <c r="A36" s="23"/>
      <c r="B36" s="23"/>
      <c r="C36" s="23"/>
      <c r="D36" s="32"/>
      <c r="E36" s="32"/>
      <c r="F36" s="21"/>
      <c r="G36" s="22"/>
      <c r="H36" s="5"/>
      <c r="I36" s="5"/>
      <c r="J36" s="32"/>
      <c r="K36" s="32"/>
    </row>
    <row r="37" ht="28.5" customHeight="1" spans="1:11">
      <c r="A37" s="5" t="s">
        <v>68</v>
      </c>
      <c r="B37" s="5"/>
      <c r="C37" s="5"/>
      <c r="D37" s="5"/>
      <c r="E37" s="5"/>
      <c r="F37" s="5"/>
      <c r="G37" s="5"/>
      <c r="H37" s="5"/>
      <c r="I37" s="5"/>
      <c r="J37" s="61">
        <v>100</v>
      </c>
      <c r="K37" s="32">
        <f>K35+K29+K25+K23+K22+K21+K20+K19+K18</f>
        <v>86</v>
      </c>
    </row>
    <row r="38" ht="28.5" customHeight="1" spans="1:11">
      <c r="A38" s="5" t="s">
        <v>69</v>
      </c>
      <c r="B38" s="5"/>
      <c r="C38" s="5"/>
      <c r="D38" s="5"/>
      <c r="E38" s="5"/>
      <c r="F38" s="5"/>
      <c r="G38" s="5"/>
      <c r="H38" s="5"/>
      <c r="I38" s="5"/>
      <c r="J38" s="21"/>
      <c r="K38" s="22"/>
    </row>
  </sheetData>
  <mergeCells count="57">
    <mergeCell ref="A2:K2"/>
    <mergeCell ref="A3:K3"/>
    <mergeCell ref="A5:B5"/>
    <mergeCell ref="C5:E5"/>
    <mergeCell ref="F5:H5"/>
    <mergeCell ref="I5:K5"/>
    <mergeCell ref="D6:G6"/>
    <mergeCell ref="H6:K6"/>
    <mergeCell ref="B8:C8"/>
    <mergeCell ref="B9:C9"/>
    <mergeCell ref="B10:C10"/>
    <mergeCell ref="B11:C11"/>
    <mergeCell ref="B12:C12"/>
    <mergeCell ref="B13:C13"/>
    <mergeCell ref="B14:C14"/>
    <mergeCell ref="B15:E15"/>
    <mergeCell ref="F15:K15"/>
    <mergeCell ref="B16:E16"/>
    <mergeCell ref="F16:K16"/>
    <mergeCell ref="F17:G17"/>
    <mergeCell ref="F18:G18"/>
    <mergeCell ref="F19:G19"/>
    <mergeCell ref="F20:G20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A37:I37"/>
    <mergeCell ref="A38:I38"/>
    <mergeCell ref="J38:K38"/>
    <mergeCell ref="A6:A14"/>
    <mergeCell ref="A15:A16"/>
    <mergeCell ref="A17:A36"/>
    <mergeCell ref="B18:B26"/>
    <mergeCell ref="B27:B34"/>
    <mergeCell ref="B35:B36"/>
    <mergeCell ref="C18:C19"/>
    <mergeCell ref="C20:C22"/>
    <mergeCell ref="C23:C24"/>
    <mergeCell ref="C25:C26"/>
    <mergeCell ref="C27:C28"/>
    <mergeCell ref="C29:C30"/>
    <mergeCell ref="C31:C32"/>
    <mergeCell ref="C33:C34"/>
    <mergeCell ref="C35:C36"/>
    <mergeCell ref="B6:C7"/>
  </mergeCells>
  <printOptions horizontalCentered="1"/>
  <pageMargins left="0.46875" right="0.46875" top="0.729166666666667" bottom="0.388888888888889" header="0.349305555555556" footer="0.2"/>
  <pageSetup paperSize="9" scale="64" fitToHeight="0" orientation="portrait" horizontalDpi="600" verticalDpi="600"/>
  <headerFooter alignWithMargins="0" scaleWithDoc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0"/>
  <sheetViews>
    <sheetView tabSelected="1" topLeftCell="A5" workbookViewId="0">
      <selection activeCell="A1" sqref="A1"/>
    </sheetView>
  </sheetViews>
  <sheetFormatPr defaultColWidth="9" defaultRowHeight="13.5"/>
  <cols>
    <col min="1" max="1" width="10"/>
    <col min="2" max="2" width="14.375" customWidth="1"/>
    <col min="3" max="3" width="15.125"/>
    <col min="4" max="4" width="13.25" customWidth="1"/>
    <col min="5" max="5" width="14.875" customWidth="1"/>
    <col min="6" max="6" width="42.5" customWidth="1"/>
    <col min="7" max="8" width="8.75" customWidth="1"/>
    <col min="9" max="9" width="9.625" customWidth="1"/>
    <col min="10" max="10" width="9.75" customWidth="1"/>
  </cols>
  <sheetData>
    <row r="1" ht="20.25" spans="1:5">
      <c r="A1" s="1"/>
      <c r="B1" s="2"/>
      <c r="C1" s="2"/>
      <c r="D1" s="2"/>
      <c r="E1" s="2"/>
    </row>
    <row r="2" ht="20.25" spans="1:10">
      <c r="A2" s="3" t="s">
        <v>86</v>
      </c>
      <c r="B2" s="3"/>
      <c r="C2" s="3"/>
      <c r="D2" s="3"/>
      <c r="E2" s="3"/>
      <c r="F2" s="3"/>
      <c r="G2" s="3"/>
      <c r="H2" s="3"/>
      <c r="I2" s="3"/>
      <c r="J2" s="3"/>
    </row>
    <row r="3" ht="14.25" spans="1:10">
      <c r="A3" s="4" t="s">
        <v>87</v>
      </c>
      <c r="B3" s="4"/>
      <c r="C3" s="4"/>
      <c r="D3" s="4"/>
      <c r="E3" s="4"/>
      <c r="F3" s="4"/>
      <c r="G3" s="4"/>
      <c r="H3" s="4"/>
      <c r="I3" s="4"/>
      <c r="J3" s="4"/>
    </row>
    <row r="4" ht="24" customHeight="1" spans="1:10">
      <c r="A4" s="5" t="s">
        <v>88</v>
      </c>
      <c r="B4" s="5"/>
      <c r="C4" s="5"/>
      <c r="D4" s="5" t="s">
        <v>89</v>
      </c>
      <c r="E4" s="5"/>
      <c r="F4" s="5"/>
      <c r="G4" s="5" t="s">
        <v>90</v>
      </c>
      <c r="H4" s="5"/>
      <c r="I4" s="5">
        <v>2079999</v>
      </c>
      <c r="J4" s="5"/>
    </row>
    <row r="5" ht="23.25" customHeight="1" spans="1:10">
      <c r="A5" s="5" t="s">
        <v>6</v>
      </c>
      <c r="B5" s="6" t="s">
        <v>7</v>
      </c>
      <c r="C5" s="7" t="s">
        <v>91</v>
      </c>
      <c r="D5" s="7"/>
      <c r="E5" s="7"/>
      <c r="F5" s="7"/>
      <c r="G5" s="8" t="s">
        <v>92</v>
      </c>
      <c r="H5" s="8"/>
      <c r="I5" s="8"/>
      <c r="J5" s="8"/>
    </row>
    <row r="6" ht="36" spans="1:10">
      <c r="A6" s="5"/>
      <c r="B6" s="9"/>
      <c r="C6" s="10" t="s">
        <v>10</v>
      </c>
      <c r="D6" s="11" t="s">
        <v>11</v>
      </c>
      <c r="E6" s="11" t="s">
        <v>12</v>
      </c>
      <c r="F6" s="11" t="s">
        <v>93</v>
      </c>
      <c r="G6" s="12" t="s">
        <v>94</v>
      </c>
      <c r="H6" s="11" t="s">
        <v>95</v>
      </c>
      <c r="I6" s="11" t="s">
        <v>96</v>
      </c>
      <c r="J6" s="11" t="s">
        <v>17</v>
      </c>
    </row>
    <row r="7" ht="24" customHeight="1" spans="1:10">
      <c r="A7" s="5"/>
      <c r="B7" s="13" t="s">
        <v>18</v>
      </c>
      <c r="C7" s="14">
        <f>SUM(C8:C10)</f>
        <v>255.96</v>
      </c>
      <c r="D7" s="14">
        <f t="shared" ref="D7:J7" si="0">SUM(D8:D10)</f>
        <v>0</v>
      </c>
      <c r="E7" s="15">
        <f t="shared" si="0"/>
        <v>255.96</v>
      </c>
      <c r="F7" s="16">
        <f t="shared" si="0"/>
        <v>0</v>
      </c>
      <c r="G7" s="16">
        <f t="shared" si="0"/>
        <v>184.02</v>
      </c>
      <c r="H7" s="16">
        <f t="shared" si="0"/>
        <v>174.65</v>
      </c>
      <c r="I7" s="15">
        <f t="shared" si="0"/>
        <v>9.37</v>
      </c>
      <c r="J7" s="35">
        <f t="shared" si="0"/>
        <v>0.0509183784371264</v>
      </c>
    </row>
    <row r="8" ht="24.75" customHeight="1" spans="1:10">
      <c r="A8" s="5"/>
      <c r="B8" s="17" t="s">
        <v>97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</row>
    <row r="9" ht="20.25" customHeight="1" spans="1:10">
      <c r="A9" s="5"/>
      <c r="B9" s="17" t="s">
        <v>98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</row>
    <row r="10" ht="21" customHeight="1" spans="1:10">
      <c r="A10" s="5"/>
      <c r="B10" s="17" t="s">
        <v>99</v>
      </c>
      <c r="C10" s="14">
        <v>255.96</v>
      </c>
      <c r="D10" s="14"/>
      <c r="E10" s="15">
        <v>255.96</v>
      </c>
      <c r="F10" s="16">
        <f>C10+D10-E10</f>
        <v>0</v>
      </c>
      <c r="G10" s="18">
        <v>184.02</v>
      </c>
      <c r="H10" s="16">
        <v>174.65</v>
      </c>
      <c r="I10" s="15">
        <f>G10-H10</f>
        <v>9.37</v>
      </c>
      <c r="J10" s="35">
        <f>I10/G10</f>
        <v>0.0509183784371264</v>
      </c>
    </row>
    <row r="11" ht="23.25" customHeight="1" spans="1:10">
      <c r="A11" s="5"/>
      <c r="B11" s="17" t="s">
        <v>22</v>
      </c>
      <c r="C11" s="14">
        <f>C12</f>
        <v>0</v>
      </c>
      <c r="D11" s="14">
        <f t="shared" ref="D11:J11" si="1">D12</f>
        <v>0</v>
      </c>
      <c r="E11" s="14">
        <f t="shared" si="1"/>
        <v>0</v>
      </c>
      <c r="F11" s="14">
        <f t="shared" si="1"/>
        <v>0</v>
      </c>
      <c r="G11" s="14">
        <f t="shared" si="1"/>
        <v>0</v>
      </c>
      <c r="H11" s="14">
        <f t="shared" si="1"/>
        <v>0</v>
      </c>
      <c r="I11" s="14">
        <f t="shared" si="1"/>
        <v>0</v>
      </c>
      <c r="J11" s="14">
        <f t="shared" si="1"/>
        <v>0</v>
      </c>
    </row>
    <row r="12" ht="22.5" customHeight="1" spans="1:10">
      <c r="A12" s="5"/>
      <c r="B12" s="19" t="s">
        <v>100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</row>
    <row r="13" ht="21.75" customHeight="1" spans="1:10">
      <c r="A13" s="5"/>
      <c r="B13" s="5" t="s">
        <v>24</v>
      </c>
      <c r="C13" s="14">
        <f>C7+C11</f>
        <v>255.96</v>
      </c>
      <c r="D13" s="14">
        <f t="shared" ref="D13:J13" si="2">D7+D11</f>
        <v>0</v>
      </c>
      <c r="E13" s="15">
        <f t="shared" si="2"/>
        <v>255.96</v>
      </c>
      <c r="F13" s="16">
        <f t="shared" si="2"/>
        <v>0</v>
      </c>
      <c r="G13" s="16">
        <f t="shared" si="2"/>
        <v>184.02</v>
      </c>
      <c r="H13" s="16">
        <f t="shared" si="2"/>
        <v>174.65</v>
      </c>
      <c r="I13" s="15">
        <f t="shared" si="2"/>
        <v>9.37</v>
      </c>
      <c r="J13" s="35">
        <f t="shared" si="2"/>
        <v>0.0509183784371264</v>
      </c>
    </row>
    <row r="14" ht="41.25" customHeight="1" spans="1:10">
      <c r="A14" s="20" t="s">
        <v>28</v>
      </c>
      <c r="B14" s="20" t="s">
        <v>29</v>
      </c>
      <c r="C14" s="5" t="s">
        <v>101</v>
      </c>
      <c r="D14" s="5" t="s">
        <v>31</v>
      </c>
      <c r="E14" s="5" t="s">
        <v>32</v>
      </c>
      <c r="F14" s="5" t="s">
        <v>34</v>
      </c>
      <c r="G14" s="21" t="s">
        <v>35</v>
      </c>
      <c r="H14" s="22"/>
      <c r="I14" s="5" t="s">
        <v>36</v>
      </c>
      <c r="J14" s="5" t="s">
        <v>37</v>
      </c>
    </row>
    <row r="15" ht="54.75" customHeight="1" spans="1:10">
      <c r="A15" s="23"/>
      <c r="B15" s="20" t="s">
        <v>102</v>
      </c>
      <c r="C15" s="6" t="s">
        <v>39</v>
      </c>
      <c r="D15" s="24" t="s">
        <v>103</v>
      </c>
      <c r="E15" s="24" t="s">
        <v>103</v>
      </c>
      <c r="F15" s="24" t="s">
        <v>104</v>
      </c>
      <c r="G15" s="25">
        <v>1</v>
      </c>
      <c r="H15" s="26"/>
      <c r="I15" s="27">
        <v>10</v>
      </c>
      <c r="J15" s="27">
        <v>10</v>
      </c>
    </row>
    <row r="16" ht="84.75" customHeight="1" spans="1:10">
      <c r="A16" s="23"/>
      <c r="B16" s="23"/>
      <c r="C16" s="27" t="s">
        <v>44</v>
      </c>
      <c r="D16" s="24" t="s">
        <v>47</v>
      </c>
      <c r="E16" s="24" t="s">
        <v>47</v>
      </c>
      <c r="F16" s="24" t="s">
        <v>105</v>
      </c>
      <c r="G16" s="25">
        <v>1</v>
      </c>
      <c r="H16" s="26"/>
      <c r="I16" s="27">
        <v>10</v>
      </c>
      <c r="J16" s="27">
        <v>10</v>
      </c>
    </row>
    <row r="17" ht="42" customHeight="1" spans="1:10">
      <c r="A17" s="23"/>
      <c r="B17" s="23"/>
      <c r="C17" s="6" t="s">
        <v>50</v>
      </c>
      <c r="D17" s="24" t="s">
        <v>106</v>
      </c>
      <c r="E17" s="24" t="s">
        <v>106</v>
      </c>
      <c r="F17" s="24" t="s">
        <v>107</v>
      </c>
      <c r="G17" s="25">
        <v>1</v>
      </c>
      <c r="H17" s="26"/>
      <c r="I17" s="27">
        <v>10</v>
      </c>
      <c r="J17" s="27">
        <v>10</v>
      </c>
    </row>
    <row r="18" ht="51.75" customHeight="1" spans="1:10">
      <c r="A18" s="23"/>
      <c r="B18" s="23"/>
      <c r="C18" s="6" t="s">
        <v>53</v>
      </c>
      <c r="D18" s="24" t="s">
        <v>108</v>
      </c>
      <c r="E18" s="24" t="s">
        <v>109</v>
      </c>
      <c r="F18" s="24" t="s">
        <v>110</v>
      </c>
      <c r="G18" s="25">
        <v>1</v>
      </c>
      <c r="H18" s="26"/>
      <c r="I18" s="27">
        <v>10</v>
      </c>
      <c r="J18" s="27">
        <v>10</v>
      </c>
    </row>
    <row r="19" ht="51.75" customHeight="1" spans="1:10">
      <c r="A19" s="23"/>
      <c r="B19" s="23"/>
      <c r="C19" s="28"/>
      <c r="D19" s="24" t="s">
        <v>111</v>
      </c>
      <c r="E19" s="24" t="s">
        <v>112</v>
      </c>
      <c r="F19" s="24" t="s">
        <v>113</v>
      </c>
      <c r="G19" s="25">
        <v>1</v>
      </c>
      <c r="H19" s="26"/>
      <c r="I19" s="27">
        <v>10</v>
      </c>
      <c r="J19" s="27">
        <v>10</v>
      </c>
    </row>
    <row r="20" ht="51.75" customHeight="1" spans="1:10">
      <c r="A20" s="23"/>
      <c r="B20" s="29"/>
      <c r="C20" s="9"/>
      <c r="D20" s="24" t="s">
        <v>114</v>
      </c>
      <c r="E20" s="24" t="s">
        <v>115</v>
      </c>
      <c r="F20" s="24" t="s">
        <v>113</v>
      </c>
      <c r="G20" s="25">
        <v>1</v>
      </c>
      <c r="H20" s="26"/>
      <c r="I20" s="27">
        <v>10</v>
      </c>
      <c r="J20" s="27">
        <v>10</v>
      </c>
    </row>
    <row r="21" ht="33" customHeight="1" spans="1:10">
      <c r="A21" s="23"/>
      <c r="B21" s="5" t="s">
        <v>116</v>
      </c>
      <c r="C21" s="6" t="s">
        <v>58</v>
      </c>
      <c r="D21" s="24"/>
      <c r="E21" s="24"/>
      <c r="F21" s="24"/>
      <c r="G21" s="30"/>
      <c r="H21" s="26"/>
      <c r="I21" s="27"/>
      <c r="J21" s="27"/>
    </row>
    <row r="22" ht="69.75" customHeight="1" spans="1:10">
      <c r="A22" s="23"/>
      <c r="B22" s="5"/>
      <c r="C22" s="6" t="s">
        <v>59</v>
      </c>
      <c r="D22" s="24" t="s">
        <v>117</v>
      </c>
      <c r="E22" s="24" t="s">
        <v>117</v>
      </c>
      <c r="F22" s="24" t="s">
        <v>118</v>
      </c>
      <c r="G22" s="25">
        <v>1</v>
      </c>
      <c r="H22" s="26"/>
      <c r="I22" s="27">
        <v>30</v>
      </c>
      <c r="J22" s="27">
        <v>30</v>
      </c>
    </row>
    <row r="23" ht="36" customHeight="1" spans="1:10">
      <c r="A23" s="23"/>
      <c r="B23" s="5"/>
      <c r="C23" s="6" t="s">
        <v>62</v>
      </c>
      <c r="D23" s="24"/>
      <c r="E23" s="24"/>
      <c r="F23" s="24"/>
      <c r="G23" s="30"/>
      <c r="H23" s="26"/>
      <c r="I23" s="27"/>
      <c r="J23" s="27"/>
    </row>
    <row r="24" ht="36" customHeight="1" spans="1:10">
      <c r="A24" s="23"/>
      <c r="B24" s="5"/>
      <c r="C24" s="6" t="s">
        <v>119</v>
      </c>
      <c r="D24" s="24"/>
      <c r="E24" s="24"/>
      <c r="F24" s="24"/>
      <c r="G24" s="30"/>
      <c r="H24" s="26"/>
      <c r="I24" s="27"/>
      <c r="J24" s="27"/>
    </row>
    <row r="25" ht="39.75" customHeight="1" spans="1:10">
      <c r="A25" s="23"/>
      <c r="B25" s="20" t="s">
        <v>64</v>
      </c>
      <c r="C25" s="6" t="s">
        <v>65</v>
      </c>
      <c r="D25" s="24" t="s">
        <v>66</v>
      </c>
      <c r="E25" s="24" t="s">
        <v>66</v>
      </c>
      <c r="F25" s="24" t="s">
        <v>120</v>
      </c>
      <c r="G25" s="25">
        <v>1</v>
      </c>
      <c r="H25" s="26"/>
      <c r="I25" s="27">
        <v>10</v>
      </c>
      <c r="J25" s="27">
        <v>8</v>
      </c>
    </row>
    <row r="26" ht="33.75" customHeight="1" spans="1:10">
      <c r="A26" s="21" t="s">
        <v>68</v>
      </c>
      <c r="B26" s="31"/>
      <c r="C26" s="31"/>
      <c r="D26" s="31"/>
      <c r="E26" s="31"/>
      <c r="F26" s="31"/>
      <c r="G26" s="31"/>
      <c r="H26" s="22"/>
      <c r="I26" s="5">
        <f>SUM(I15:I25)</f>
        <v>100</v>
      </c>
      <c r="J26" s="5">
        <f>SUM(J15:J25)</f>
        <v>98</v>
      </c>
    </row>
    <row r="27" ht="31.5" customHeight="1" spans="1:10">
      <c r="A27" s="21" t="s">
        <v>69</v>
      </c>
      <c r="B27" s="31"/>
      <c r="C27" s="31"/>
      <c r="D27" s="31"/>
      <c r="E27" s="31"/>
      <c r="F27" s="31"/>
      <c r="G27" s="31"/>
      <c r="H27" s="22"/>
      <c r="I27" s="21" t="s">
        <v>121</v>
      </c>
      <c r="J27" s="22"/>
    </row>
    <row r="28" ht="35.25" customHeight="1" spans="1:10">
      <c r="A28" s="32" t="s">
        <v>122</v>
      </c>
      <c r="B28" s="33" t="s">
        <v>123</v>
      </c>
      <c r="C28" s="33"/>
      <c r="D28" s="33"/>
      <c r="E28" s="33"/>
      <c r="F28" s="33"/>
      <c r="G28" s="33"/>
      <c r="H28" s="33"/>
      <c r="I28" s="33"/>
      <c r="J28" s="33"/>
    </row>
    <row r="29" ht="35.25" customHeight="1" spans="1:10">
      <c r="A29" s="32" t="s">
        <v>124</v>
      </c>
      <c r="B29" s="33" t="s">
        <v>123</v>
      </c>
      <c r="C29" s="33"/>
      <c r="D29" s="33"/>
      <c r="E29" s="33"/>
      <c r="F29" s="33"/>
      <c r="G29" s="33"/>
      <c r="H29" s="33"/>
      <c r="I29" s="33"/>
      <c r="J29" s="33"/>
    </row>
    <row r="30" ht="47.25" customHeight="1" spans="1:10">
      <c r="A30" s="34" t="s">
        <v>125</v>
      </c>
      <c r="B30" s="34"/>
      <c r="C30" s="34"/>
      <c r="D30" s="34"/>
      <c r="E30" s="34"/>
      <c r="F30" s="34"/>
      <c r="G30" s="34"/>
      <c r="H30" s="34"/>
      <c r="I30" s="34"/>
      <c r="J30" s="34"/>
    </row>
  </sheetData>
  <mergeCells count="32">
    <mergeCell ref="A2:J2"/>
    <mergeCell ref="A3:J3"/>
    <mergeCell ref="A4:C4"/>
    <mergeCell ref="D4:F4"/>
    <mergeCell ref="G4:H4"/>
    <mergeCell ref="I4:J4"/>
    <mergeCell ref="C5:F5"/>
    <mergeCell ref="G5:J5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A26:H26"/>
    <mergeCell ref="A27:H27"/>
    <mergeCell ref="I27:J27"/>
    <mergeCell ref="B28:J28"/>
    <mergeCell ref="B29:J29"/>
    <mergeCell ref="A30:J30"/>
    <mergeCell ref="A5:A13"/>
    <mergeCell ref="A14:A25"/>
    <mergeCell ref="B5:B6"/>
    <mergeCell ref="B15:B20"/>
    <mergeCell ref="B21:B24"/>
    <mergeCell ref="C18:C20"/>
  </mergeCells>
  <pageMargins left="0.16875" right="0.16875" top="0.16875" bottom="0.16875" header="0.16875" footer="0.16875"/>
  <pageSetup paperSize="9" orientation="landscape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 CUSTOMER</Company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网信办-专项业务费</vt:lpstr>
      <vt:lpstr>互联网中心-专项业务费</vt:lpstr>
      <vt:lpstr>未成中心-专项业务费</vt:lpstr>
      <vt:lpstr>传媒中心（部门业务费）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小蜗不是牛</cp:lastModifiedBy>
  <dcterms:created xsi:type="dcterms:W3CDTF">2014-11-14T08:07:00Z</dcterms:created>
  <cp:lastPrinted>2020-04-29T01:24:00Z</cp:lastPrinted>
  <dcterms:modified xsi:type="dcterms:W3CDTF">2020-09-04T01:13:32Z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2052-10.1.0.5400</vt:lpwstr>
  </property>
</Properties>
</file>