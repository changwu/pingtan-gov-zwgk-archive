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tabRatio="858" activeTab="1"/>
  </bookViews>
  <sheets>
    <sheet name="其他支出-区清查办项目" sheetId="1" r:id="rId1"/>
    <sheet name="政府采购网上公开信息系统建设" sheetId="2" r:id="rId2"/>
  </sheets>
  <calcPr calcId="124519"/>
</workbook>
</file>

<file path=xl/calcChain.xml><?xml version="1.0" encoding="utf-8"?>
<calcChain xmlns="http://schemas.openxmlformats.org/spreadsheetml/2006/main">
  <c r="K27" i="2"/>
  <c r="G14"/>
  <c r="G11"/>
  <c r="K28" i="1"/>
</calcChain>
</file>

<file path=xl/sharedStrings.xml><?xml version="1.0" encoding="utf-8"?>
<sst xmlns="http://schemas.openxmlformats.org/spreadsheetml/2006/main" count="181" uniqueCount="122">
  <si>
    <t>2019年财政支出项目绩效自评表</t>
    <phoneticPr fontId="3" type="noConversion"/>
  </si>
  <si>
    <r>
      <t>（2019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年度）</t>
    </r>
    <phoneticPr fontId="3" type="noConversion"/>
  </si>
  <si>
    <t>项目名称</t>
  </si>
  <si>
    <t>其他支出</t>
    <phoneticPr fontId="3" type="noConversion"/>
  </si>
  <si>
    <t>主管部门及部门预算编码</t>
  </si>
  <si>
    <t xml:space="preserve">财政资金安排和使用情况 </t>
  </si>
  <si>
    <t>资金结构
（万元）</t>
  </si>
  <si>
    <t>财政支出项目预算安排、支出情况</t>
  </si>
  <si>
    <t>项目单位实际支出情况（汇总全区项目单位情况）</t>
  </si>
  <si>
    <t>年初部门预算安排金额（含历年结余结转）①</t>
  </si>
  <si>
    <t>年中调整金额
②</t>
  </si>
  <si>
    <t>年度拨付金额③</t>
  </si>
  <si>
    <t>本年度结余金额④=①+②-③</t>
  </si>
  <si>
    <t>实际到位金额
⑤</t>
  </si>
  <si>
    <t>实际支出金额
⑥</t>
  </si>
  <si>
    <t>本年度结余金额⑦</t>
  </si>
  <si>
    <t>结余率（%）
⑧=⑦/⑤</t>
  </si>
  <si>
    <t>财政资金小计</t>
  </si>
  <si>
    <r>
      <t xml:space="preserve"> </t>
    </r>
    <r>
      <rPr>
        <sz val="9"/>
        <rFont val="宋体"/>
        <family val="3"/>
        <charset val="134"/>
      </rPr>
      <t xml:space="preserve">   </t>
    </r>
    <r>
      <rPr>
        <sz val="9"/>
        <rFont val="宋体"/>
        <family val="3"/>
        <charset val="134"/>
      </rPr>
      <t>①</t>
    </r>
    <r>
      <rPr>
        <sz val="9"/>
        <rFont val="宋体"/>
        <family val="3"/>
        <charset val="134"/>
      </rPr>
      <t>中央财政资金</t>
    </r>
    <r>
      <rPr>
        <sz val="9"/>
        <rFont val="宋体"/>
        <family val="3"/>
        <charset val="134"/>
      </rPr>
      <t/>
    </r>
    <phoneticPr fontId="3" type="noConversion"/>
  </si>
  <si>
    <r>
      <t xml:space="preserve">    </t>
    </r>
    <r>
      <rPr>
        <sz val="9"/>
        <rFont val="宋体"/>
        <family val="3"/>
        <charset val="134"/>
      </rPr>
      <t>②</t>
    </r>
    <r>
      <rPr>
        <sz val="9"/>
        <rFont val="宋体"/>
        <family val="3"/>
        <charset val="134"/>
      </rPr>
      <t>省级财政资金</t>
    </r>
    <r>
      <rPr>
        <sz val="9"/>
        <rFont val="宋体"/>
        <family val="3"/>
        <charset val="134"/>
      </rPr>
      <t/>
    </r>
    <phoneticPr fontId="3" type="noConversion"/>
  </si>
  <si>
    <r>
      <t xml:space="preserve"> </t>
    </r>
    <r>
      <rPr>
        <sz val="9"/>
        <rFont val="宋体"/>
        <family val="3"/>
        <charset val="134"/>
      </rPr>
      <t xml:space="preserve">   </t>
    </r>
    <r>
      <rPr>
        <sz val="9"/>
        <rFont val="宋体"/>
        <family val="3"/>
        <charset val="134"/>
      </rPr>
      <t>③</t>
    </r>
    <r>
      <rPr>
        <sz val="9"/>
        <rFont val="宋体"/>
        <family val="3"/>
        <charset val="134"/>
      </rPr>
      <t>地方财政资金</t>
    </r>
    <r>
      <rPr>
        <sz val="9"/>
        <rFont val="宋体"/>
        <family val="3"/>
        <charset val="134"/>
      </rPr>
      <t/>
    </r>
    <phoneticPr fontId="3" type="noConversion"/>
  </si>
  <si>
    <t>其他资金小计</t>
  </si>
  <si>
    <r>
      <t xml:space="preserve"> </t>
    </r>
    <r>
      <rPr>
        <sz val="9"/>
        <rFont val="宋体"/>
        <family val="3"/>
        <charset val="134"/>
      </rPr>
      <t xml:space="preserve">   </t>
    </r>
    <r>
      <rPr>
        <sz val="9"/>
        <rFont val="宋体"/>
        <family val="3"/>
        <charset val="134"/>
      </rPr>
      <t>①……</t>
    </r>
    <phoneticPr fontId="3" type="noConversion"/>
  </si>
  <si>
    <t>合　计</t>
  </si>
  <si>
    <t>年度
总体
目标
完成
情况</t>
  </si>
  <si>
    <t>预期目标</t>
  </si>
  <si>
    <t>绩效目标实际完成情况</t>
  </si>
  <si>
    <t>摸清全区各单位的国有资产现状，盘活现有资产，提高国有资产有效利用，实现国有资产规范管理，实现县属企业改制工作与资产同步完成。</t>
    <phoneticPr fontId="3" type="noConversion"/>
  </si>
  <si>
    <t>年度
绩效
目标
完成
情况</t>
  </si>
  <si>
    <t>一级指标</t>
  </si>
  <si>
    <t>二级指标</t>
  </si>
  <si>
    <t>三级指标</t>
  </si>
  <si>
    <t>指标解释</t>
  </si>
  <si>
    <t>评分标准</t>
  </si>
  <si>
    <t>绩效目标值</t>
  </si>
  <si>
    <t>实际完成值</t>
  </si>
  <si>
    <t>指标分值</t>
  </si>
  <si>
    <t>自评得分</t>
  </si>
  <si>
    <r>
      <t>产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出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指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标</t>
    </r>
    <r>
      <rPr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（</t>
    </r>
    <r>
      <rPr>
        <sz val="12"/>
        <rFont val="宋体"/>
        <family val="3"/>
        <charset val="134"/>
      </rPr>
      <t>50</t>
    </r>
    <r>
      <rPr>
        <sz val="12"/>
        <rFont val="宋体"/>
        <family val="3"/>
        <charset val="134"/>
      </rPr>
      <t>分</t>
    </r>
    <r>
      <rPr>
        <sz val="12"/>
        <rFont val="宋体"/>
        <family val="3"/>
        <charset val="134"/>
      </rPr>
      <t>）</t>
    </r>
    <r>
      <rPr>
        <sz val="12"/>
        <rFont val="宋体"/>
        <family val="3"/>
        <charset val="134"/>
      </rPr>
      <t/>
    </r>
    <phoneticPr fontId="3" type="noConversion"/>
  </si>
  <si>
    <t>数量指标</t>
  </si>
  <si>
    <t>清查单位</t>
    <phoneticPr fontId="3" type="noConversion"/>
  </si>
  <si>
    <t>清查单位数量</t>
    <phoneticPr fontId="3" type="noConversion"/>
  </si>
  <si>
    <t>338个单位为满分，320个单位以上338个单位以下扣1分，290个单位以上320个单位以下扣2分，否则不得分</t>
    <phoneticPr fontId="3" type="noConversion"/>
  </si>
  <si>
    <t>≥338个</t>
    <phoneticPr fontId="3" type="noConversion"/>
  </si>
  <si>
    <t>投入人力</t>
    <phoneticPr fontId="3" type="noConversion"/>
  </si>
  <si>
    <t>≥1人，4分；≥3人，6分；≥5人,8分；≥7人，10分。</t>
    <phoneticPr fontId="3" type="noConversion"/>
  </si>
  <si>
    <t>≥7人</t>
    <phoneticPr fontId="3" type="noConversion"/>
  </si>
  <si>
    <t>7人</t>
    <phoneticPr fontId="3" type="noConversion"/>
  </si>
  <si>
    <t>质量指标</t>
  </si>
  <si>
    <t>清查工作完成情况</t>
    <phoneticPr fontId="3" type="noConversion"/>
  </si>
  <si>
    <t>100%合规为满分，95%以上100%以下扣1分，90%以上95%以下扣2分，否则不得分</t>
    <phoneticPr fontId="3" type="noConversion"/>
  </si>
  <si>
    <t>符合管委会相关文件要求</t>
    <phoneticPr fontId="3" type="noConversion"/>
  </si>
  <si>
    <t>通过管委会验收</t>
    <phoneticPr fontId="3" type="noConversion"/>
  </si>
  <si>
    <t>时效指标</t>
  </si>
  <si>
    <t>资产清查工作完成时间</t>
    <phoneticPr fontId="3" type="noConversion"/>
  </si>
  <si>
    <t>若工作时间晚于2018年12月31日，每超时1周扣1分</t>
    <phoneticPr fontId="3" type="noConversion"/>
  </si>
  <si>
    <t>2019年12月31日前</t>
    <phoneticPr fontId="3" type="noConversion"/>
  </si>
  <si>
    <t>成本指标</t>
  </si>
  <si>
    <t>投入资金</t>
    <phoneticPr fontId="3" type="noConversion"/>
  </si>
  <si>
    <t>支付≥60%，6分；≥70%,7分；≥80%，8分；≥90%，9分；≥95%，10分。</t>
    <phoneticPr fontId="3" type="noConversion"/>
  </si>
  <si>
    <t>不超过202.86万元</t>
    <phoneticPr fontId="3" type="noConversion"/>
  </si>
  <si>
    <t>122.56万元</t>
    <phoneticPr fontId="3" type="noConversion"/>
  </si>
  <si>
    <t>效
益
指
标
（40分）</t>
  </si>
  <si>
    <t>经济效益
指标</t>
  </si>
  <si>
    <t>社会效益
指标</t>
  </si>
  <si>
    <t>摸清资产状况</t>
    <phoneticPr fontId="3" type="noConversion"/>
  </si>
  <si>
    <t>≥338家单位实现国有资产规范管理，实现县属企业改制工作与资产清查工作同步完成，10分；不足338家不得分。</t>
    <phoneticPr fontId="3" type="noConversion"/>
  </si>
  <si>
    <t>≥338家单位实现国有资产规范管理，实现县属企业改制工作与资产清查工作同步完成</t>
    <phoneticPr fontId="3" type="noConversion"/>
  </si>
  <si>
    <t>340家单位实现国有资产规范管理，实现县属企业改制工作与资产清查工作同步完成</t>
    <phoneticPr fontId="3" type="noConversion"/>
  </si>
  <si>
    <t>生态效益
指标</t>
  </si>
  <si>
    <t>可持续影响
指标</t>
  </si>
  <si>
    <t>满意度
指标
（10分）</t>
  </si>
  <si>
    <t>服务对象
满意度指标</t>
  </si>
  <si>
    <t>被清查单位服务满意度</t>
    <phoneticPr fontId="3" type="noConversion"/>
  </si>
  <si>
    <t>≥95%</t>
    <phoneticPr fontId="3" type="noConversion"/>
  </si>
  <si>
    <r>
      <t>9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%以上</t>
    </r>
    <phoneticPr fontId="3" type="noConversion"/>
  </si>
  <si>
    <t>合计</t>
  </si>
  <si>
    <t>自评得分等次</t>
  </si>
  <si>
    <t>优秀</t>
  </si>
  <si>
    <t>优秀</t>
    <phoneticPr fontId="1" type="noConversion"/>
  </si>
  <si>
    <t>2019年财政支出项目绩效自评表</t>
  </si>
  <si>
    <r>
      <t>（2019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年度）</t>
    </r>
  </si>
  <si>
    <t>政府采购网上公开信息系统建设</t>
    <phoneticPr fontId="3" type="noConversion"/>
  </si>
  <si>
    <t>601001平潭综合实验区财政金融局</t>
  </si>
  <si>
    <r>
      <t xml:space="preserve"> </t>
    </r>
    <r>
      <rPr>
        <sz val="9"/>
        <rFont val="宋体"/>
        <family val="3"/>
        <charset val="134"/>
      </rPr>
      <t xml:space="preserve">   </t>
    </r>
    <r>
      <rPr>
        <sz val="9"/>
        <rFont val="宋体"/>
        <family val="3"/>
        <charset val="134"/>
      </rPr>
      <t>①</t>
    </r>
    <r>
      <rPr>
        <sz val="9"/>
        <rFont val="宋体"/>
        <family val="3"/>
        <charset val="134"/>
      </rPr>
      <t>中央财政资金</t>
    </r>
  </si>
  <si>
    <r>
      <t xml:space="preserve">    </t>
    </r>
    <r>
      <rPr>
        <sz val="9"/>
        <rFont val="宋体"/>
        <family val="3"/>
        <charset val="134"/>
      </rPr>
      <t>②</t>
    </r>
    <r>
      <rPr>
        <sz val="9"/>
        <rFont val="宋体"/>
        <family val="3"/>
        <charset val="134"/>
      </rPr>
      <t>省级财政资金</t>
    </r>
  </si>
  <si>
    <r>
      <t xml:space="preserve"> </t>
    </r>
    <r>
      <rPr>
        <sz val="9"/>
        <rFont val="宋体"/>
        <family val="3"/>
        <charset val="134"/>
      </rPr>
      <t xml:space="preserve">   </t>
    </r>
    <r>
      <rPr>
        <sz val="9"/>
        <rFont val="宋体"/>
        <family val="3"/>
        <charset val="134"/>
      </rPr>
      <t>③</t>
    </r>
    <r>
      <rPr>
        <sz val="9"/>
        <rFont val="宋体"/>
        <family val="3"/>
        <charset val="134"/>
      </rPr>
      <t>地方财政资金</t>
    </r>
  </si>
  <si>
    <r>
      <t xml:space="preserve"> </t>
    </r>
    <r>
      <rPr>
        <sz val="9"/>
        <rFont val="宋体"/>
        <family val="3"/>
        <charset val="134"/>
      </rPr>
      <t xml:space="preserve">   </t>
    </r>
    <r>
      <rPr>
        <sz val="9"/>
        <rFont val="宋体"/>
        <family val="3"/>
        <charset val="134"/>
      </rPr>
      <t>①……</t>
    </r>
  </si>
  <si>
    <t>政府采购网上公开信息系统具备电子交易、监督管理、信息公开、分析预警、协作共享等主要功能，实现在线审批、网上交易和网内比价、网上公开，做到全过程电子化操作和监督管理，全面提高科学化、精细化管理水平，实现效率更高、价格更低、质量更优和预防腐败四种功能的有机统一。政府网上公开信息系统需保证采购单位、代理机构、供应商等能够快速有效地进行采购，从而推动政府采购更加健康、有序发展。</t>
    <phoneticPr fontId="3" type="noConversion"/>
  </si>
  <si>
    <t>2019年政府网上公开信息系统保证采购单位、代理机构、供应商等能够快速有效地进行采购，推动政府采购更加健康、有序发展。做到全过程电子化操作和监督管理，全面提高科学化、精细化管理水平，实现效率更高、价格更低、质量更优和预防腐败四种功能的有机统一。</t>
  </si>
  <si>
    <t>产
出
指
标
（50分）</t>
    <phoneticPr fontId="3" type="noConversion"/>
  </si>
  <si>
    <t>采购单位数量</t>
  </si>
  <si>
    <t>50个以上为满分，40个以上50个以下扣2分，30个以上40个以下扣4分，30个以下不得分</t>
  </si>
  <si>
    <t>不少于50个</t>
  </si>
  <si>
    <t>50个以上</t>
  </si>
  <si>
    <t>供应商数量</t>
  </si>
  <si>
    <t>100个以上为满分，90个以上100个以下扣2分，80个以上90个以下扣4分，80个以下不得分</t>
  </si>
  <si>
    <t>不少于100个</t>
  </si>
  <si>
    <t>100个以上</t>
  </si>
  <si>
    <t>平台正常运行天数</t>
  </si>
  <si>
    <t>300天以上为满分，270天以上300天以下扣2分，250天以上270以下扣4分，250天以下不得分</t>
  </si>
  <si>
    <t>不少于300天</t>
  </si>
  <si>
    <t>300天以上</t>
  </si>
  <si>
    <t>资金使用合规性</t>
  </si>
  <si>
    <t>100%合规为满分，95%以上100%以下扣2分，90%以上95%以下扣4分，否则不得分</t>
  </si>
  <si>
    <t>100%合规</t>
  </si>
  <si>
    <t>资金投入时间</t>
  </si>
  <si>
    <t>资金于2019年投入为满分，否则不得分</t>
  </si>
  <si>
    <t>2019年</t>
  </si>
  <si>
    <t>预算完成率</t>
  </si>
  <si>
    <t>预算完成率70%以上为满分，60%以上70%以下扣2分，50%以上60%以下扣4分，50%以下不得分</t>
  </si>
  <si>
    <t>效益指标
（40分）</t>
    <phoneticPr fontId="3" type="noConversion"/>
  </si>
  <si>
    <t>为政府采购提供良好的平台</t>
    <phoneticPr fontId="3" type="noConversion"/>
  </si>
  <si>
    <t>为政府采购提供良好的平台</t>
  </si>
  <si>
    <t>100%合规</t>
    <phoneticPr fontId="3" type="noConversion"/>
  </si>
  <si>
    <t>满意度
指标
（10分）</t>
    <phoneticPr fontId="3" type="noConversion"/>
  </si>
  <si>
    <t>采购人满意度</t>
  </si>
  <si>
    <t>90%以上为满分，80%以上90%以下扣2分，70%以上80%以下扣4分，70%以下不得分</t>
  </si>
  <si>
    <t>90%以上</t>
  </si>
  <si>
    <t>供应商满意度</t>
  </si>
  <si>
    <t>附件2</t>
    <phoneticPr fontId="1" type="noConversion"/>
  </si>
  <si>
    <t>附件2</t>
    <phoneticPr fontId="3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</si>
</sst>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name val="黑体"/>
      <family val="3"/>
      <charset val="134"/>
    </font>
    <font>
      <sz val="9"/>
      <name val="宋体"/>
      <family val="3"/>
      <charset val="134"/>
    </font>
    <font>
      <sz val="12"/>
      <name val="黑体"/>
      <family val="3"/>
      <charset val="134"/>
    </font>
    <font>
      <sz val="12"/>
      <name val="宋体"/>
      <family val="3"/>
      <charset val="134"/>
    </font>
    <font>
      <b/>
      <sz val="18"/>
      <name val="宋体"/>
      <family val="3"/>
      <charset val="134"/>
    </font>
    <font>
      <sz val="12"/>
      <name val="Times New Roman"/>
      <family val="1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5" fillId="0" borderId="0"/>
    <xf numFmtId="0" fontId="1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 applyProtection="1">
      <alignment vertical="center"/>
    </xf>
    <xf numFmtId="0" fontId="4" fillId="0" borderId="0" xfId="0" applyFont="1" applyAlignment="1" applyProtection="1">
      <alignment vertical="center" wrapText="1"/>
    </xf>
    <xf numFmtId="0" fontId="5" fillId="0" borderId="0" xfId="0" applyFont="1" applyAlignment="1" applyProtection="1">
      <alignment vertical="center" wrapText="1"/>
    </xf>
    <xf numFmtId="0" fontId="5" fillId="0" borderId="0" xfId="0" applyFont="1" applyAlignment="1" applyProtection="1">
      <alignment horizontal="center" vertical="center" wrapText="1"/>
    </xf>
    <xf numFmtId="0" fontId="9" fillId="0" borderId="0" xfId="0" applyFont="1" applyProtection="1">
      <alignment vertical="center"/>
    </xf>
    <xf numFmtId="0" fontId="9" fillId="0" borderId="4" xfId="0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/>
    </xf>
    <xf numFmtId="0" fontId="9" fillId="0" borderId="1" xfId="0" applyFont="1" applyBorder="1" applyProtection="1">
      <alignment vertical="center"/>
    </xf>
    <xf numFmtId="0" fontId="8" fillId="0" borderId="1" xfId="0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vertical="center" wrapText="1"/>
    </xf>
    <xf numFmtId="0" fontId="8" fillId="0" borderId="1" xfId="0" applyFont="1" applyBorder="1" applyAlignment="1" applyProtection="1">
      <alignment vertical="center" wrapText="1"/>
    </xf>
    <xf numFmtId="10" fontId="8" fillId="0" borderId="1" xfId="0" applyNumberFormat="1" applyFont="1" applyBorder="1" applyAlignment="1" applyProtection="1">
      <alignment vertical="center" wrapText="1"/>
    </xf>
    <xf numFmtId="0" fontId="5" fillId="0" borderId="9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vertical="center" wrapText="1"/>
    </xf>
    <xf numFmtId="0" fontId="5" fillId="0" borderId="1" xfId="0" applyFont="1" applyBorder="1" applyAlignment="1" applyProtection="1">
      <alignment horizontal="left" vertical="center" wrapText="1"/>
    </xf>
    <xf numFmtId="0" fontId="10" fillId="0" borderId="1" xfId="0" applyFont="1" applyFill="1" applyBorder="1" applyAlignment="1" applyProtection="1">
      <alignment horizontal="justify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justify" vertical="center" wrapText="1"/>
    </xf>
    <xf numFmtId="9" fontId="10" fillId="0" borderId="1" xfId="0" applyNumberFormat="1" applyFont="1" applyFill="1" applyBorder="1" applyAlignment="1" applyProtection="1">
      <alignment horizontal="justify" vertical="center" wrapText="1"/>
    </xf>
    <xf numFmtId="0" fontId="5" fillId="0" borderId="1" xfId="0" applyFont="1" applyBorder="1" applyAlignment="1" applyProtection="1">
      <alignment horizontal="justify" vertical="center" wrapText="1"/>
    </xf>
    <xf numFmtId="10" fontId="10" fillId="0" borderId="1" xfId="0" applyNumberFormat="1" applyFont="1" applyFill="1" applyBorder="1" applyAlignment="1" applyProtection="1">
      <alignment horizontal="justify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horizontal="center" vertical="center" wrapText="1"/>
    </xf>
    <xf numFmtId="0" fontId="5" fillId="0" borderId="10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left" vertical="top" wrapText="1"/>
    </xf>
    <xf numFmtId="0" fontId="5" fillId="0" borderId="3" xfId="0" applyFont="1" applyBorder="1" applyAlignment="1" applyProtection="1">
      <alignment horizontal="left" vertical="top" wrapText="1"/>
    </xf>
    <xf numFmtId="0" fontId="5" fillId="0" borderId="4" xfId="0" applyFont="1" applyBorder="1" applyAlignment="1" applyProtection="1">
      <alignment horizontal="left" vertical="top" wrapText="1"/>
    </xf>
    <xf numFmtId="0" fontId="5" fillId="0" borderId="1" xfId="0" applyFont="1" applyBorder="1" applyAlignment="1" applyProtection="1">
      <alignment horizontal="left" vertical="top" wrapText="1"/>
    </xf>
    <xf numFmtId="0" fontId="8" fillId="0" borderId="5" xfId="0" applyFont="1" applyBorder="1" applyAlignment="1" applyProtection="1">
      <alignment horizontal="center" vertical="center" wrapText="1"/>
    </xf>
    <xf numFmtId="0" fontId="8" fillId="0" borderId="6" xfId="0" applyFont="1" applyBorder="1" applyAlignment="1" applyProtection="1">
      <alignment horizontal="center" vertical="center" wrapText="1"/>
    </xf>
    <xf numFmtId="0" fontId="8" fillId="0" borderId="7" xfId="0" applyFont="1" applyBorder="1" applyAlignment="1" applyProtection="1">
      <alignment horizontal="center" vertical="center" wrapText="1"/>
    </xf>
    <xf numFmtId="0" fontId="8" fillId="0" borderId="8" xfId="0" applyFont="1" applyBorder="1" applyAlignment="1" applyProtection="1">
      <alignment horizontal="center" vertical="center" wrapText="1"/>
    </xf>
    <xf numFmtId="0" fontId="8" fillId="0" borderId="2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center" vertical="center" wrapText="1"/>
    </xf>
    <xf numFmtId="0" fontId="8" fillId="0" borderId="3" xfId="0" applyFont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6" fillId="0" borderId="0" xfId="0" applyFont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justify" vertical="center" wrapText="1"/>
    </xf>
    <xf numFmtId="0" fontId="5" fillId="0" borderId="4" xfId="0" applyFont="1" applyBorder="1" applyAlignment="1" applyProtection="1">
      <alignment horizontal="justify" vertical="center" wrapText="1"/>
    </xf>
    <xf numFmtId="0" fontId="5" fillId="0" borderId="10" xfId="0" applyFont="1" applyBorder="1" applyAlignment="1" applyProtection="1">
      <alignment horizontal="justify" vertical="center" wrapText="1"/>
    </xf>
    <xf numFmtId="0" fontId="5" fillId="0" borderId="1" xfId="0" applyFont="1" applyBorder="1" applyAlignment="1" applyProtection="1">
      <alignment horizontal="justify" vertical="center" wrapText="1"/>
    </xf>
    <xf numFmtId="0" fontId="10" fillId="0" borderId="2" xfId="0" applyFont="1" applyFill="1" applyBorder="1" applyAlignment="1" applyProtection="1">
      <alignment horizontal="justify" vertical="center" wrapText="1"/>
    </xf>
    <xf numFmtId="0" fontId="10" fillId="0" borderId="4" xfId="0" applyFont="1" applyFill="1" applyBorder="1" applyAlignment="1" applyProtection="1">
      <alignment horizontal="justify" vertical="center" wrapText="1"/>
    </xf>
  </cellXfs>
  <cellStyles count="3">
    <cellStyle name="常规" xfId="0" builtinId="0"/>
    <cellStyle name="常规 2" xfId="1"/>
    <cellStyle name="常规 8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9"/>
  <sheetViews>
    <sheetView workbookViewId="0">
      <selection activeCell="G10" sqref="G10"/>
    </sheetView>
  </sheetViews>
  <sheetFormatPr defaultRowHeight="14.25"/>
  <cols>
    <col min="1" max="16384" width="9" style="3"/>
  </cols>
  <sheetData>
    <row r="1" spans="1:12" ht="20.25">
      <c r="A1" s="1" t="s">
        <v>121</v>
      </c>
      <c r="B1" s="2"/>
      <c r="C1" s="2"/>
      <c r="D1" s="2"/>
      <c r="E1" s="2"/>
      <c r="F1" s="2"/>
    </row>
    <row r="2" spans="1:12" ht="22.5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2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2">
      <c r="A5" s="25" t="s">
        <v>2</v>
      </c>
      <c r="B5" s="25"/>
      <c r="C5" s="26" t="s">
        <v>3</v>
      </c>
      <c r="D5" s="48"/>
      <c r="E5" s="27"/>
      <c r="F5" s="25" t="s">
        <v>4</v>
      </c>
      <c r="G5" s="25"/>
      <c r="H5" s="25"/>
      <c r="I5" s="25">
        <v>601001</v>
      </c>
      <c r="J5" s="25"/>
      <c r="K5" s="25"/>
    </row>
    <row r="6" spans="1:12" s="5" customFormat="1" ht="13.5">
      <c r="A6" s="26" t="s">
        <v>5</v>
      </c>
      <c r="B6" s="34" t="s">
        <v>6</v>
      </c>
      <c r="C6" s="35"/>
      <c r="D6" s="38" t="s">
        <v>7</v>
      </c>
      <c r="E6" s="39"/>
      <c r="F6" s="39"/>
      <c r="G6" s="40"/>
      <c r="H6" s="41" t="s">
        <v>8</v>
      </c>
      <c r="I6" s="42"/>
      <c r="J6" s="42"/>
      <c r="K6" s="43"/>
    </row>
    <row r="7" spans="1:12" s="9" customFormat="1" ht="48">
      <c r="A7" s="26"/>
      <c r="B7" s="36"/>
      <c r="C7" s="37"/>
      <c r="D7" s="6" t="s">
        <v>9</v>
      </c>
      <c r="E7" s="7" t="s">
        <v>10</v>
      </c>
      <c r="F7" s="7" t="s">
        <v>11</v>
      </c>
      <c r="G7" s="7" t="s">
        <v>12</v>
      </c>
      <c r="H7" s="8" t="s">
        <v>13</v>
      </c>
      <c r="I7" s="7" t="s">
        <v>14</v>
      </c>
      <c r="J7" s="7" t="s">
        <v>15</v>
      </c>
      <c r="K7" s="7" t="s">
        <v>16</v>
      </c>
      <c r="L7" s="8"/>
    </row>
    <row r="8" spans="1:12" s="5" customFormat="1" ht="13.5">
      <c r="A8" s="25"/>
      <c r="B8" s="44" t="s">
        <v>17</v>
      </c>
      <c r="C8" s="44"/>
      <c r="D8" s="10"/>
      <c r="E8" s="10"/>
      <c r="F8" s="11"/>
      <c r="G8" s="12"/>
      <c r="H8" s="12"/>
      <c r="I8" s="12"/>
      <c r="J8" s="10"/>
      <c r="K8" s="13"/>
    </row>
    <row r="9" spans="1:12" s="5" customFormat="1" ht="13.5">
      <c r="A9" s="25"/>
      <c r="B9" s="45" t="s">
        <v>18</v>
      </c>
      <c r="C9" s="45"/>
      <c r="D9" s="10"/>
      <c r="E9" s="10"/>
      <c r="F9" s="11"/>
      <c r="G9" s="12"/>
      <c r="H9" s="12"/>
      <c r="I9" s="12"/>
      <c r="J9" s="10"/>
      <c r="K9" s="13"/>
    </row>
    <row r="10" spans="1:12" s="5" customFormat="1" ht="13.5">
      <c r="A10" s="25"/>
      <c r="B10" s="45" t="s">
        <v>19</v>
      </c>
      <c r="C10" s="45"/>
      <c r="D10" s="10"/>
      <c r="E10" s="10"/>
      <c r="F10" s="11"/>
      <c r="G10" s="12"/>
      <c r="H10" s="12"/>
      <c r="I10" s="12"/>
      <c r="J10" s="10"/>
      <c r="K10" s="13"/>
    </row>
    <row r="11" spans="1:12" s="5" customFormat="1" ht="13.5">
      <c r="A11" s="25"/>
      <c r="B11" s="45" t="s">
        <v>20</v>
      </c>
      <c r="C11" s="45"/>
      <c r="D11" s="10">
        <v>202.86</v>
      </c>
      <c r="E11" s="10"/>
      <c r="F11" s="11"/>
      <c r="G11" s="12"/>
      <c r="H11" s="12">
        <v>202.86</v>
      </c>
      <c r="I11" s="12">
        <v>122.56</v>
      </c>
      <c r="J11" s="10">
        <v>80.3</v>
      </c>
      <c r="K11" s="14">
        <v>0.39579999999999999</v>
      </c>
    </row>
    <row r="12" spans="1:12" s="5" customFormat="1" ht="13.5">
      <c r="A12" s="25"/>
      <c r="B12" s="45" t="s">
        <v>21</v>
      </c>
      <c r="C12" s="45"/>
      <c r="D12" s="10"/>
      <c r="E12" s="10"/>
      <c r="F12" s="11"/>
      <c r="G12" s="12"/>
      <c r="H12" s="12"/>
      <c r="I12" s="12"/>
      <c r="J12" s="10"/>
      <c r="K12" s="13"/>
    </row>
    <row r="13" spans="1:12" s="5" customFormat="1" ht="13.5">
      <c r="A13" s="25"/>
      <c r="B13" s="45" t="s">
        <v>22</v>
      </c>
      <c r="C13" s="45"/>
      <c r="D13" s="10"/>
      <c r="E13" s="10"/>
      <c r="F13" s="11"/>
      <c r="G13" s="12"/>
      <c r="H13" s="12"/>
      <c r="I13" s="12"/>
      <c r="J13" s="10"/>
      <c r="K13" s="13"/>
    </row>
    <row r="14" spans="1:12" s="5" customFormat="1">
      <c r="A14" s="25"/>
      <c r="B14" s="26" t="s">
        <v>23</v>
      </c>
      <c r="C14" s="27"/>
      <c r="D14" s="10"/>
      <c r="E14" s="10"/>
      <c r="F14" s="11"/>
      <c r="G14" s="12"/>
      <c r="H14" s="12"/>
      <c r="I14" s="12"/>
      <c r="J14" s="10"/>
      <c r="K14" s="13"/>
    </row>
    <row r="15" spans="1:12">
      <c r="A15" s="25" t="s">
        <v>24</v>
      </c>
      <c r="B15" s="25" t="s">
        <v>25</v>
      </c>
      <c r="C15" s="25"/>
      <c r="D15" s="25"/>
      <c r="E15" s="25"/>
      <c r="F15" s="25" t="s">
        <v>26</v>
      </c>
      <c r="G15" s="25"/>
      <c r="H15" s="25"/>
      <c r="I15" s="25"/>
      <c r="J15" s="25"/>
      <c r="K15" s="25"/>
    </row>
    <row r="16" spans="1:12" ht="62.25" customHeight="1">
      <c r="A16" s="25"/>
      <c r="B16" s="30" t="s">
        <v>27</v>
      </c>
      <c r="C16" s="31"/>
      <c r="D16" s="31"/>
      <c r="E16" s="32"/>
      <c r="F16" s="33" t="s">
        <v>27</v>
      </c>
      <c r="G16" s="33"/>
      <c r="H16" s="33"/>
      <c r="I16" s="33"/>
      <c r="J16" s="33"/>
      <c r="K16" s="33"/>
    </row>
    <row r="17" spans="1:11" ht="28.5">
      <c r="A17" s="28" t="s">
        <v>28</v>
      </c>
      <c r="B17" s="15" t="s">
        <v>29</v>
      </c>
      <c r="C17" s="16" t="s">
        <v>30</v>
      </c>
      <c r="D17" s="16" t="s">
        <v>31</v>
      </c>
      <c r="E17" s="16" t="s">
        <v>32</v>
      </c>
      <c r="F17" s="26" t="s">
        <v>33</v>
      </c>
      <c r="G17" s="27"/>
      <c r="H17" s="16" t="s">
        <v>34</v>
      </c>
      <c r="I17" s="16" t="s">
        <v>35</v>
      </c>
      <c r="J17" s="16" t="s">
        <v>36</v>
      </c>
      <c r="K17" s="16" t="s">
        <v>37</v>
      </c>
    </row>
    <row r="18" spans="1:11" ht="28.5">
      <c r="A18" s="29"/>
      <c r="B18" s="25" t="s">
        <v>38</v>
      </c>
      <c r="C18" s="28" t="s">
        <v>39</v>
      </c>
      <c r="D18" s="17" t="s">
        <v>40</v>
      </c>
      <c r="E18" s="17" t="s">
        <v>41</v>
      </c>
      <c r="F18" s="26" t="s">
        <v>42</v>
      </c>
      <c r="G18" s="27"/>
      <c r="H18" s="17" t="s">
        <v>43</v>
      </c>
      <c r="I18" s="18">
        <v>340</v>
      </c>
      <c r="J18" s="16">
        <v>10</v>
      </c>
      <c r="K18" s="16">
        <v>10</v>
      </c>
    </row>
    <row r="19" spans="1:11">
      <c r="A19" s="29"/>
      <c r="B19" s="25"/>
      <c r="C19" s="29"/>
      <c r="D19" s="17" t="s">
        <v>44</v>
      </c>
      <c r="E19" s="17" t="s">
        <v>44</v>
      </c>
      <c r="F19" s="26" t="s">
        <v>45</v>
      </c>
      <c r="G19" s="27"/>
      <c r="H19" s="17" t="s">
        <v>46</v>
      </c>
      <c r="I19" s="18" t="s">
        <v>47</v>
      </c>
      <c r="J19" s="16">
        <v>10</v>
      </c>
      <c r="K19" s="16">
        <v>10</v>
      </c>
    </row>
    <row r="20" spans="1:11" ht="42.75">
      <c r="A20" s="29"/>
      <c r="B20" s="25"/>
      <c r="C20" s="15" t="s">
        <v>48</v>
      </c>
      <c r="D20" s="17" t="s">
        <v>49</v>
      </c>
      <c r="E20" s="17" t="s">
        <v>49</v>
      </c>
      <c r="F20" s="26" t="s">
        <v>50</v>
      </c>
      <c r="G20" s="27"/>
      <c r="H20" s="17" t="s">
        <v>51</v>
      </c>
      <c r="I20" s="18" t="s">
        <v>52</v>
      </c>
      <c r="J20" s="16">
        <v>10</v>
      </c>
      <c r="K20" s="16">
        <v>10</v>
      </c>
    </row>
    <row r="21" spans="1:11" ht="42.75">
      <c r="A21" s="29"/>
      <c r="B21" s="25"/>
      <c r="C21" s="15" t="s">
        <v>53</v>
      </c>
      <c r="D21" s="17" t="s">
        <v>54</v>
      </c>
      <c r="E21" s="17" t="s">
        <v>54</v>
      </c>
      <c r="F21" s="26" t="s">
        <v>55</v>
      </c>
      <c r="G21" s="27"/>
      <c r="H21" s="17" t="s">
        <v>56</v>
      </c>
      <c r="I21" s="18" t="s">
        <v>56</v>
      </c>
      <c r="J21" s="16">
        <v>10</v>
      </c>
      <c r="K21" s="16">
        <v>10</v>
      </c>
    </row>
    <row r="22" spans="1:11" ht="42.75">
      <c r="A22" s="29"/>
      <c r="B22" s="25"/>
      <c r="C22" s="15" t="s">
        <v>57</v>
      </c>
      <c r="D22" s="17" t="s">
        <v>58</v>
      </c>
      <c r="E22" s="17" t="s">
        <v>58</v>
      </c>
      <c r="F22" s="26" t="s">
        <v>59</v>
      </c>
      <c r="G22" s="27"/>
      <c r="H22" s="17" t="s">
        <v>60</v>
      </c>
      <c r="I22" s="18" t="s">
        <v>61</v>
      </c>
      <c r="J22" s="16">
        <v>10</v>
      </c>
      <c r="K22" s="16">
        <v>6</v>
      </c>
    </row>
    <row r="23" spans="1:11" ht="28.5">
      <c r="A23" s="29"/>
      <c r="B23" s="25" t="s">
        <v>62</v>
      </c>
      <c r="C23" s="15" t="s">
        <v>63</v>
      </c>
      <c r="D23" s="17"/>
      <c r="E23" s="17"/>
      <c r="F23" s="26"/>
      <c r="G23" s="27"/>
      <c r="H23" s="17"/>
      <c r="I23" s="18"/>
      <c r="J23" s="16"/>
      <c r="K23" s="16"/>
    </row>
    <row r="24" spans="1:11" ht="142.5">
      <c r="A24" s="29"/>
      <c r="B24" s="25"/>
      <c r="C24" s="15" t="s">
        <v>64</v>
      </c>
      <c r="D24" s="17" t="s">
        <v>65</v>
      </c>
      <c r="E24" s="17" t="s">
        <v>65</v>
      </c>
      <c r="F24" s="26" t="s">
        <v>66</v>
      </c>
      <c r="G24" s="27"/>
      <c r="H24" s="17" t="s">
        <v>67</v>
      </c>
      <c r="I24" s="18" t="s">
        <v>68</v>
      </c>
      <c r="J24" s="16">
        <v>40</v>
      </c>
      <c r="K24" s="16">
        <v>40</v>
      </c>
    </row>
    <row r="25" spans="1:11" ht="28.5">
      <c r="A25" s="29"/>
      <c r="B25" s="25"/>
      <c r="C25" s="15" t="s">
        <v>69</v>
      </c>
      <c r="D25" s="17"/>
      <c r="E25" s="17"/>
      <c r="F25" s="26"/>
      <c r="G25" s="27"/>
      <c r="H25" s="17"/>
      <c r="I25" s="18"/>
      <c r="J25" s="16"/>
      <c r="K25" s="16"/>
    </row>
    <row r="26" spans="1:11" ht="42.75">
      <c r="A26" s="29"/>
      <c r="B26" s="25"/>
      <c r="C26" s="15" t="s">
        <v>70</v>
      </c>
      <c r="D26" s="17"/>
      <c r="E26" s="17"/>
      <c r="F26" s="26"/>
      <c r="G26" s="27"/>
      <c r="H26" s="17"/>
      <c r="I26" s="18"/>
      <c r="J26" s="16"/>
      <c r="K26" s="16"/>
    </row>
    <row r="27" spans="1:11" ht="42.75">
      <c r="A27" s="29"/>
      <c r="B27" s="15" t="s">
        <v>71</v>
      </c>
      <c r="C27" s="15" t="s">
        <v>72</v>
      </c>
      <c r="D27" s="17" t="s">
        <v>73</v>
      </c>
      <c r="E27" s="17" t="s">
        <v>73</v>
      </c>
      <c r="F27" s="26" t="s">
        <v>50</v>
      </c>
      <c r="G27" s="27"/>
      <c r="H27" s="17" t="s">
        <v>74</v>
      </c>
      <c r="I27" s="18" t="s">
        <v>75</v>
      </c>
      <c r="J27" s="16">
        <v>10</v>
      </c>
      <c r="K27" s="16">
        <v>9</v>
      </c>
    </row>
    <row r="28" spans="1:11">
      <c r="A28" s="25" t="s">
        <v>76</v>
      </c>
      <c r="B28" s="25"/>
      <c r="C28" s="25"/>
      <c r="D28" s="25"/>
      <c r="E28" s="25"/>
      <c r="F28" s="25"/>
      <c r="G28" s="25"/>
      <c r="H28" s="25"/>
      <c r="I28" s="25"/>
      <c r="J28" s="16">
        <v>100</v>
      </c>
      <c r="K28" s="17">
        <f>SUM(K18:K27)</f>
        <v>95</v>
      </c>
    </row>
    <row r="29" spans="1:11">
      <c r="A29" s="25" t="s">
        <v>77</v>
      </c>
      <c r="B29" s="25"/>
      <c r="C29" s="25"/>
      <c r="D29" s="25"/>
      <c r="E29" s="25"/>
      <c r="F29" s="25"/>
      <c r="G29" s="25"/>
      <c r="H29" s="25"/>
      <c r="I29" s="25"/>
      <c r="J29" s="26" t="s">
        <v>79</v>
      </c>
      <c r="K29" s="27"/>
    </row>
  </sheetData>
  <mergeCells count="40">
    <mergeCell ref="B12:C12"/>
    <mergeCell ref="B13:C13"/>
    <mergeCell ref="A2:K2"/>
    <mergeCell ref="A3:K3"/>
    <mergeCell ref="A5:B5"/>
    <mergeCell ref="C5:E5"/>
    <mergeCell ref="F5:H5"/>
    <mergeCell ref="I5:K5"/>
    <mergeCell ref="F22:G22"/>
    <mergeCell ref="B23:B26"/>
    <mergeCell ref="B14:C14"/>
    <mergeCell ref="A15:A16"/>
    <mergeCell ref="B15:E15"/>
    <mergeCell ref="F15:K15"/>
    <mergeCell ref="B16:E16"/>
    <mergeCell ref="F16:K16"/>
    <mergeCell ref="A6:A14"/>
    <mergeCell ref="B6:C7"/>
    <mergeCell ref="D6:G6"/>
    <mergeCell ref="H6:K6"/>
    <mergeCell ref="B8:C8"/>
    <mergeCell ref="B9:C9"/>
    <mergeCell ref="B10:C10"/>
    <mergeCell ref="B11:C11"/>
    <mergeCell ref="A29:I29"/>
    <mergeCell ref="J29:K29"/>
    <mergeCell ref="F23:G23"/>
    <mergeCell ref="F24:G24"/>
    <mergeCell ref="F25:G25"/>
    <mergeCell ref="F26:G26"/>
    <mergeCell ref="F27:G27"/>
    <mergeCell ref="A28:I28"/>
    <mergeCell ref="A17:A27"/>
    <mergeCell ref="F17:G17"/>
    <mergeCell ref="B18:B22"/>
    <mergeCell ref="C18:C19"/>
    <mergeCell ref="F18:G18"/>
    <mergeCell ref="F19:G19"/>
    <mergeCell ref="F20:G20"/>
    <mergeCell ref="F21:G2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7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8"/>
  <sheetViews>
    <sheetView tabSelected="1" workbookViewId="0">
      <selection activeCell="B16" sqref="B16:E16"/>
    </sheetView>
  </sheetViews>
  <sheetFormatPr defaultRowHeight="14.25"/>
  <cols>
    <col min="1" max="4" width="9" style="3"/>
    <col min="5" max="5" width="14" style="3" customWidth="1"/>
    <col min="6" max="16384" width="9" style="3"/>
  </cols>
  <sheetData>
    <row r="1" spans="1:12" ht="20.25">
      <c r="A1" s="1" t="s">
        <v>120</v>
      </c>
      <c r="B1" s="2"/>
      <c r="C1" s="2"/>
      <c r="D1" s="2"/>
      <c r="E1" s="2"/>
      <c r="F1" s="2"/>
    </row>
    <row r="2" spans="1:12" ht="22.5">
      <c r="A2" s="46" t="s">
        <v>80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2">
      <c r="A3" s="47" t="s">
        <v>81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2">
      <c r="A5" s="25" t="s">
        <v>2</v>
      </c>
      <c r="B5" s="25"/>
      <c r="C5" s="26" t="s">
        <v>82</v>
      </c>
      <c r="D5" s="48"/>
      <c r="E5" s="27"/>
      <c r="F5" s="25" t="s">
        <v>4</v>
      </c>
      <c r="G5" s="25"/>
      <c r="H5" s="25"/>
      <c r="I5" s="25" t="s">
        <v>83</v>
      </c>
      <c r="J5" s="25"/>
      <c r="K5" s="25"/>
    </row>
    <row r="6" spans="1:12" s="5" customFormat="1" ht="13.5">
      <c r="A6" s="26" t="s">
        <v>5</v>
      </c>
      <c r="B6" s="34" t="s">
        <v>6</v>
      </c>
      <c r="C6" s="35"/>
      <c r="D6" s="38" t="s">
        <v>7</v>
      </c>
      <c r="E6" s="39"/>
      <c r="F6" s="39"/>
      <c r="G6" s="40"/>
      <c r="H6" s="41" t="s">
        <v>8</v>
      </c>
      <c r="I6" s="42"/>
      <c r="J6" s="42"/>
      <c r="K6" s="43"/>
    </row>
    <row r="7" spans="1:12" s="9" customFormat="1" ht="48">
      <c r="A7" s="26"/>
      <c r="B7" s="36"/>
      <c r="C7" s="37"/>
      <c r="D7" s="6" t="s">
        <v>9</v>
      </c>
      <c r="E7" s="7" t="s">
        <v>10</v>
      </c>
      <c r="F7" s="7" t="s">
        <v>11</v>
      </c>
      <c r="G7" s="7" t="s">
        <v>12</v>
      </c>
      <c r="H7" s="8" t="s">
        <v>13</v>
      </c>
      <c r="I7" s="7" t="s">
        <v>14</v>
      </c>
      <c r="J7" s="7" t="s">
        <v>15</v>
      </c>
      <c r="K7" s="7" t="s">
        <v>16</v>
      </c>
      <c r="L7" s="8"/>
    </row>
    <row r="8" spans="1:12" s="5" customFormat="1" ht="13.5">
      <c r="A8" s="25"/>
      <c r="B8" s="44" t="s">
        <v>17</v>
      </c>
      <c r="C8" s="44"/>
      <c r="D8" s="10"/>
      <c r="E8" s="10"/>
      <c r="F8" s="11"/>
      <c r="G8" s="12"/>
      <c r="H8" s="12"/>
      <c r="I8" s="12"/>
      <c r="J8" s="10"/>
      <c r="K8" s="13"/>
    </row>
    <row r="9" spans="1:12" s="5" customFormat="1" ht="13.5">
      <c r="A9" s="25"/>
      <c r="B9" s="45" t="s">
        <v>84</v>
      </c>
      <c r="C9" s="45"/>
      <c r="D9" s="10"/>
      <c r="E9" s="10"/>
      <c r="F9" s="11"/>
      <c r="G9" s="12"/>
      <c r="H9" s="12"/>
      <c r="I9" s="12"/>
      <c r="J9" s="10"/>
      <c r="K9" s="13"/>
    </row>
    <row r="10" spans="1:12" s="5" customFormat="1" ht="13.5">
      <c r="A10" s="25"/>
      <c r="B10" s="45" t="s">
        <v>85</v>
      </c>
      <c r="C10" s="45"/>
      <c r="D10" s="10"/>
      <c r="E10" s="10"/>
      <c r="F10" s="11"/>
      <c r="G10" s="12"/>
      <c r="H10" s="12"/>
      <c r="I10" s="12"/>
      <c r="J10" s="10"/>
      <c r="K10" s="13"/>
    </row>
    <row r="11" spans="1:12" s="5" customFormat="1" ht="13.5">
      <c r="A11" s="25"/>
      <c r="B11" s="45" t="s">
        <v>86</v>
      </c>
      <c r="C11" s="45"/>
      <c r="D11" s="10">
        <v>60</v>
      </c>
      <c r="E11" s="10">
        <v>0</v>
      </c>
      <c r="F11" s="11">
        <v>14.1</v>
      </c>
      <c r="G11" s="12">
        <f>D11-F11</f>
        <v>45.9</v>
      </c>
      <c r="H11" s="12">
        <v>60</v>
      </c>
      <c r="I11" s="12">
        <v>14.1</v>
      </c>
      <c r="J11" s="10">
        <v>45.9</v>
      </c>
      <c r="K11" s="14">
        <v>0.76500000000000001</v>
      </c>
    </row>
    <row r="12" spans="1:12" s="5" customFormat="1" ht="13.5">
      <c r="A12" s="25"/>
      <c r="B12" s="45" t="s">
        <v>21</v>
      </c>
      <c r="C12" s="45"/>
      <c r="D12" s="10"/>
      <c r="E12" s="10"/>
      <c r="F12" s="11"/>
      <c r="G12" s="12"/>
      <c r="H12" s="12"/>
      <c r="I12" s="12"/>
      <c r="J12" s="10"/>
      <c r="K12" s="13"/>
    </row>
    <row r="13" spans="1:12" s="5" customFormat="1" ht="13.5">
      <c r="A13" s="25"/>
      <c r="B13" s="45" t="s">
        <v>87</v>
      </c>
      <c r="C13" s="45"/>
      <c r="D13" s="10"/>
      <c r="E13" s="10"/>
      <c r="F13" s="11"/>
      <c r="G13" s="12"/>
      <c r="H13" s="12"/>
      <c r="I13" s="12"/>
      <c r="J13" s="10"/>
      <c r="K13" s="13"/>
    </row>
    <row r="14" spans="1:12" s="5" customFormat="1">
      <c r="A14" s="25"/>
      <c r="B14" s="26" t="s">
        <v>23</v>
      </c>
      <c r="C14" s="27"/>
      <c r="D14" s="10">
        <v>60</v>
      </c>
      <c r="E14" s="10">
        <v>0</v>
      </c>
      <c r="F14" s="11">
        <v>14.1</v>
      </c>
      <c r="G14" s="12">
        <f>D14-F14</f>
        <v>45.9</v>
      </c>
      <c r="H14" s="12">
        <v>60</v>
      </c>
      <c r="I14" s="12">
        <v>14.1</v>
      </c>
      <c r="J14" s="10">
        <v>45.9</v>
      </c>
      <c r="K14" s="14">
        <v>0.76500000000000001</v>
      </c>
    </row>
    <row r="15" spans="1:12">
      <c r="A15" s="25" t="s">
        <v>24</v>
      </c>
      <c r="B15" s="25" t="s">
        <v>25</v>
      </c>
      <c r="C15" s="25"/>
      <c r="D15" s="25"/>
      <c r="E15" s="25"/>
      <c r="F15" s="25" t="s">
        <v>26</v>
      </c>
      <c r="G15" s="25"/>
      <c r="H15" s="25"/>
      <c r="I15" s="25"/>
      <c r="J15" s="25"/>
      <c r="K15" s="25"/>
    </row>
    <row r="16" spans="1:12" ht="146.25" customHeight="1">
      <c r="A16" s="25"/>
      <c r="B16" s="30" t="s">
        <v>88</v>
      </c>
      <c r="C16" s="31"/>
      <c r="D16" s="31"/>
      <c r="E16" s="32"/>
      <c r="F16" s="33" t="s">
        <v>89</v>
      </c>
      <c r="G16" s="33"/>
      <c r="H16" s="33"/>
      <c r="I16" s="33"/>
      <c r="J16" s="33"/>
      <c r="K16" s="33"/>
    </row>
    <row r="17" spans="1:11" ht="28.5">
      <c r="A17" s="28" t="s">
        <v>28</v>
      </c>
      <c r="B17" s="15" t="s">
        <v>29</v>
      </c>
      <c r="C17" s="16" t="s">
        <v>30</v>
      </c>
      <c r="D17" s="16" t="s">
        <v>31</v>
      </c>
      <c r="E17" s="16" t="s">
        <v>32</v>
      </c>
      <c r="F17" s="26" t="s">
        <v>33</v>
      </c>
      <c r="G17" s="27"/>
      <c r="H17" s="16" t="s">
        <v>34</v>
      </c>
      <c r="I17" s="16" t="s">
        <v>35</v>
      </c>
      <c r="J17" s="16" t="s">
        <v>36</v>
      </c>
      <c r="K17" s="16" t="s">
        <v>37</v>
      </c>
    </row>
    <row r="18" spans="1:11" ht="27">
      <c r="A18" s="29"/>
      <c r="B18" s="25" t="s">
        <v>90</v>
      </c>
      <c r="C18" s="28" t="s">
        <v>39</v>
      </c>
      <c r="D18" s="19" t="s">
        <v>91</v>
      </c>
      <c r="E18" s="19" t="s">
        <v>91</v>
      </c>
      <c r="F18" s="53" t="s">
        <v>92</v>
      </c>
      <c r="G18" s="54"/>
      <c r="H18" s="19" t="s">
        <v>93</v>
      </c>
      <c r="I18" s="19" t="s">
        <v>94</v>
      </c>
      <c r="J18" s="16">
        <v>5</v>
      </c>
      <c r="K18" s="16">
        <v>5</v>
      </c>
    </row>
    <row r="19" spans="1:11" ht="27">
      <c r="A19" s="29"/>
      <c r="B19" s="25"/>
      <c r="C19" s="29"/>
      <c r="D19" s="19" t="s">
        <v>95</v>
      </c>
      <c r="E19" s="19" t="s">
        <v>95</v>
      </c>
      <c r="F19" s="53" t="s">
        <v>96</v>
      </c>
      <c r="G19" s="54"/>
      <c r="H19" s="19" t="s">
        <v>97</v>
      </c>
      <c r="I19" s="19" t="s">
        <v>98</v>
      </c>
      <c r="J19" s="16">
        <v>5</v>
      </c>
      <c r="K19" s="16">
        <v>5</v>
      </c>
    </row>
    <row r="20" spans="1:11" s="21" customFormat="1" ht="27">
      <c r="A20" s="51"/>
      <c r="B20" s="52"/>
      <c r="C20" s="28" t="s">
        <v>48</v>
      </c>
      <c r="D20" s="19" t="s">
        <v>99</v>
      </c>
      <c r="E20" s="19" t="s">
        <v>99</v>
      </c>
      <c r="F20" s="49" t="s">
        <v>100</v>
      </c>
      <c r="G20" s="50"/>
      <c r="H20" s="19" t="s">
        <v>101</v>
      </c>
      <c r="I20" s="19" t="s">
        <v>102</v>
      </c>
      <c r="J20" s="20">
        <v>10</v>
      </c>
      <c r="K20" s="20">
        <v>10</v>
      </c>
    </row>
    <row r="21" spans="1:11" s="21" customFormat="1" ht="27">
      <c r="A21" s="51"/>
      <c r="B21" s="52"/>
      <c r="C21" s="29"/>
      <c r="D21" s="19" t="s">
        <v>103</v>
      </c>
      <c r="E21" s="19" t="s">
        <v>103</v>
      </c>
      <c r="F21" s="49" t="s">
        <v>104</v>
      </c>
      <c r="G21" s="50"/>
      <c r="H21" s="19" t="s">
        <v>105</v>
      </c>
      <c r="I21" s="22">
        <v>1</v>
      </c>
      <c r="J21" s="20">
        <v>10</v>
      </c>
      <c r="K21" s="20">
        <v>10</v>
      </c>
    </row>
    <row r="22" spans="1:11" ht="28.5">
      <c r="A22" s="29"/>
      <c r="B22" s="25"/>
      <c r="C22" s="15" t="s">
        <v>53</v>
      </c>
      <c r="D22" s="17" t="s">
        <v>106</v>
      </c>
      <c r="E22" s="17" t="s">
        <v>106</v>
      </c>
      <c r="F22" s="49" t="s">
        <v>107</v>
      </c>
      <c r="G22" s="50"/>
      <c r="H22" s="23" t="s">
        <v>108</v>
      </c>
      <c r="I22" s="23" t="s">
        <v>108</v>
      </c>
      <c r="J22" s="20">
        <v>10</v>
      </c>
      <c r="K22" s="20">
        <v>10</v>
      </c>
    </row>
    <row r="23" spans="1:11" ht="28.5">
      <c r="A23" s="29"/>
      <c r="B23" s="25"/>
      <c r="C23" s="15" t="s">
        <v>57</v>
      </c>
      <c r="D23" s="17" t="s">
        <v>109</v>
      </c>
      <c r="E23" s="17" t="s">
        <v>109</v>
      </c>
      <c r="F23" s="49" t="s">
        <v>110</v>
      </c>
      <c r="G23" s="50"/>
      <c r="H23" s="22">
        <v>0.7</v>
      </c>
      <c r="I23" s="24">
        <v>0.23499999999999999</v>
      </c>
      <c r="J23" s="16">
        <v>10</v>
      </c>
      <c r="K23" s="16">
        <v>0</v>
      </c>
    </row>
    <row r="24" spans="1:11" ht="42.75">
      <c r="A24" s="29"/>
      <c r="B24" s="16" t="s">
        <v>111</v>
      </c>
      <c r="C24" s="15" t="s">
        <v>64</v>
      </c>
      <c r="D24" s="17" t="s">
        <v>112</v>
      </c>
      <c r="E24" s="17" t="s">
        <v>113</v>
      </c>
      <c r="F24" s="49" t="s">
        <v>104</v>
      </c>
      <c r="G24" s="50"/>
      <c r="H24" s="22" t="s">
        <v>114</v>
      </c>
      <c r="I24" s="22">
        <v>1</v>
      </c>
      <c r="J24" s="16">
        <v>40</v>
      </c>
      <c r="K24" s="16">
        <v>40</v>
      </c>
    </row>
    <row r="25" spans="1:11" ht="27">
      <c r="A25" s="29"/>
      <c r="B25" s="28" t="s">
        <v>115</v>
      </c>
      <c r="C25" s="28" t="s">
        <v>72</v>
      </c>
      <c r="D25" s="19" t="s">
        <v>116</v>
      </c>
      <c r="E25" s="19" t="s">
        <v>116</v>
      </c>
      <c r="F25" s="49" t="s">
        <v>117</v>
      </c>
      <c r="G25" s="50"/>
      <c r="H25" s="22">
        <v>0.9</v>
      </c>
      <c r="I25" s="19" t="s">
        <v>118</v>
      </c>
      <c r="J25" s="20">
        <v>5</v>
      </c>
      <c r="K25" s="20">
        <v>5</v>
      </c>
    </row>
    <row r="26" spans="1:11" ht="27">
      <c r="A26" s="29"/>
      <c r="B26" s="29"/>
      <c r="C26" s="29"/>
      <c r="D26" s="19" t="s">
        <v>119</v>
      </c>
      <c r="E26" s="19" t="s">
        <v>119</v>
      </c>
      <c r="F26" s="49" t="s">
        <v>117</v>
      </c>
      <c r="G26" s="50"/>
      <c r="H26" s="22">
        <v>0.9</v>
      </c>
      <c r="I26" s="19" t="s">
        <v>118</v>
      </c>
      <c r="J26" s="20">
        <v>5</v>
      </c>
      <c r="K26" s="20">
        <v>5</v>
      </c>
    </row>
    <row r="27" spans="1:11">
      <c r="A27" s="25" t="s">
        <v>76</v>
      </c>
      <c r="B27" s="25"/>
      <c r="C27" s="25"/>
      <c r="D27" s="25"/>
      <c r="E27" s="25"/>
      <c r="F27" s="25"/>
      <c r="G27" s="25"/>
      <c r="H27" s="25"/>
      <c r="I27" s="25"/>
      <c r="J27" s="16">
        <v>100</v>
      </c>
      <c r="K27" s="16">
        <f>SUM(K18:K26)</f>
        <v>90</v>
      </c>
    </row>
    <row r="28" spans="1:11">
      <c r="A28" s="25" t="s">
        <v>77</v>
      </c>
      <c r="B28" s="25"/>
      <c r="C28" s="25"/>
      <c r="D28" s="25"/>
      <c r="E28" s="25"/>
      <c r="F28" s="25"/>
      <c r="G28" s="25"/>
      <c r="H28" s="25"/>
      <c r="I28" s="25"/>
      <c r="J28" s="26" t="s">
        <v>78</v>
      </c>
      <c r="K28" s="27"/>
    </row>
  </sheetData>
  <mergeCells count="41">
    <mergeCell ref="B11:C11"/>
    <mergeCell ref="B12:C12"/>
    <mergeCell ref="B13:C13"/>
    <mergeCell ref="A2:K2"/>
    <mergeCell ref="A3:K3"/>
    <mergeCell ref="A5:B5"/>
    <mergeCell ref="C5:E5"/>
    <mergeCell ref="F5:H5"/>
    <mergeCell ref="I5:K5"/>
    <mergeCell ref="F20:G20"/>
    <mergeCell ref="F21:G21"/>
    <mergeCell ref="F22:G22"/>
    <mergeCell ref="B14:C14"/>
    <mergeCell ref="A15:A16"/>
    <mergeCell ref="B15:E15"/>
    <mergeCell ref="F15:K15"/>
    <mergeCell ref="B16:E16"/>
    <mergeCell ref="F16:K16"/>
    <mergeCell ref="A6:A14"/>
    <mergeCell ref="B6:C7"/>
    <mergeCell ref="D6:G6"/>
    <mergeCell ref="H6:K6"/>
    <mergeCell ref="B8:C8"/>
    <mergeCell ref="B9:C9"/>
    <mergeCell ref="B10:C10"/>
    <mergeCell ref="A27:I27"/>
    <mergeCell ref="A28:I28"/>
    <mergeCell ref="J28:K28"/>
    <mergeCell ref="F23:G23"/>
    <mergeCell ref="F24:G24"/>
    <mergeCell ref="B25:B26"/>
    <mergeCell ref="C25:C26"/>
    <mergeCell ref="F25:G25"/>
    <mergeCell ref="F26:G26"/>
    <mergeCell ref="A17:A26"/>
    <mergeCell ref="F17:G17"/>
    <mergeCell ref="B18:B23"/>
    <mergeCell ref="C18:C19"/>
    <mergeCell ref="F18:G18"/>
    <mergeCell ref="F19:G19"/>
    <mergeCell ref="C20:C2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5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其他支出-区清查办项目</vt:lpstr>
      <vt:lpstr>政府采购网上公开信息系统建设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2020-08-19T11:28:42Z</dcterms:modified>
</cp:coreProperties>
</file>