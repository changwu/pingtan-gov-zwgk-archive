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tabRatio="858" activeTab="4"/>
  </bookViews>
  <sheets>
    <sheet name="区财政金融局本级" sheetId="7" r:id="rId1"/>
    <sheet name="区采购办公室" sheetId="5" r:id="rId2"/>
    <sheet name="区财政投资评审中心" sheetId="8" r:id="rId3"/>
    <sheet name="区国库支付中心" sheetId="6" r:id="rId4"/>
    <sheet name="区乡镇财政管理办公室" sheetId="3" r:id="rId5"/>
    <sheet name="区政府和社会资本项目合作（PPP）" sheetId="4" r:id="rId6"/>
  </sheets>
  <calcPr calcId="124519"/>
</workbook>
</file>

<file path=xl/calcChain.xml><?xml version="1.0" encoding="utf-8"?>
<calcChain xmlns="http://schemas.openxmlformats.org/spreadsheetml/2006/main">
  <c r="J32" i="8"/>
  <c r="J27" i="7"/>
  <c r="I27"/>
  <c r="F13"/>
  <c r="E13"/>
  <c r="D13"/>
  <c r="D7" s="1"/>
  <c r="C13"/>
  <c r="H10"/>
  <c r="G10"/>
  <c r="G13" s="1"/>
  <c r="D10"/>
  <c r="J7"/>
  <c r="H7"/>
  <c r="E7"/>
  <c r="I13" i="6"/>
  <c r="I10"/>
  <c r="I7"/>
  <c r="J13" i="5"/>
  <c r="I13"/>
  <c r="F13"/>
  <c r="I10"/>
  <c r="J10" s="1"/>
  <c r="F10"/>
  <c r="J27" i="4"/>
  <c r="I27"/>
  <c r="F13"/>
  <c r="E13"/>
  <c r="D13"/>
  <c r="C13"/>
  <c r="I10"/>
  <c r="G10"/>
  <c r="G13" s="1"/>
  <c r="I13" s="1"/>
  <c r="J24" i="3"/>
  <c r="I24"/>
  <c r="E23"/>
  <c r="E22"/>
  <c r="E21"/>
  <c r="E20"/>
  <c r="E16"/>
  <c r="E15"/>
  <c r="J13"/>
  <c r="J10"/>
  <c r="J7"/>
  <c r="G7" i="7" l="1"/>
  <c r="I13"/>
  <c r="I7" s="1"/>
  <c r="I10"/>
</calcChain>
</file>

<file path=xl/sharedStrings.xml><?xml version="1.0" encoding="utf-8"?>
<sst xmlns="http://schemas.openxmlformats.org/spreadsheetml/2006/main" count="522" uniqueCount="201">
  <si>
    <t>附件1</t>
    <phoneticPr fontId="3" type="noConversion"/>
  </si>
  <si>
    <t xml:space="preserve">财政资金安排和使用情况 </t>
  </si>
  <si>
    <t>资金结构
（万元）</t>
  </si>
  <si>
    <t>年初部门预算安排金额（含历年结余结转）①</t>
  </si>
  <si>
    <t>年中调整金额
②</t>
  </si>
  <si>
    <t>年度拨付金额③</t>
  </si>
  <si>
    <t>结余率（%）
⑧=⑦/⑤</t>
  </si>
  <si>
    <t>财政资金小计</t>
  </si>
  <si>
    <t>其他资金小计</t>
  </si>
  <si>
    <t>合　计</t>
  </si>
  <si>
    <t>年度
绩效
目标
完成
情况</t>
  </si>
  <si>
    <t>一级指标</t>
  </si>
  <si>
    <t>三级指标</t>
  </si>
  <si>
    <t>指标解释</t>
  </si>
  <si>
    <t>绩效目标值</t>
  </si>
  <si>
    <t>实际完成值</t>
  </si>
  <si>
    <t>指标分值</t>
  </si>
  <si>
    <t>自评得分</t>
  </si>
  <si>
    <t>数量指标</t>
  </si>
  <si>
    <t>质量指标</t>
  </si>
  <si>
    <t>时效指标</t>
  </si>
  <si>
    <t>成本指标</t>
  </si>
  <si>
    <t>经济效益
指标</t>
  </si>
  <si>
    <t>社会效益
指标</t>
  </si>
  <si>
    <t>生态效益
指标</t>
  </si>
  <si>
    <t>满意度
指标
（10分）</t>
  </si>
  <si>
    <t>服务对象
满意度指标</t>
  </si>
  <si>
    <t>合计</t>
  </si>
  <si>
    <t>自评得分等次</t>
  </si>
  <si>
    <t>优秀</t>
  </si>
  <si>
    <t>资金使用合规性</t>
  </si>
  <si>
    <t>100%合规为满分，95%以上100%以下扣2分，90%以上95%以下扣4分，否则不得分</t>
  </si>
  <si>
    <t>100%合规</t>
  </si>
  <si>
    <t>预算完成率</t>
  </si>
  <si>
    <t>预算完成率70%以上为满分，60%以上70%以下扣2分，50%以上60%以下扣4分，50%以下不得分</t>
  </si>
  <si>
    <t>为政府采购提供良好的平台</t>
  </si>
  <si>
    <t>100%合规</t>
    <phoneticPr fontId="3" type="noConversion"/>
  </si>
  <si>
    <t>90%以上为满分，80%以上90%以下扣2分，70%以上80%以下扣4分，70%以下不得分</t>
  </si>
  <si>
    <t>90%以上</t>
  </si>
  <si>
    <t>部门业务费绩效自评表</t>
  </si>
  <si>
    <r>
      <t>（</t>
    </r>
    <r>
      <rPr>
        <sz val="12"/>
        <rFont val="Times New Roman"/>
        <family val="1"/>
      </rPr>
      <t xml:space="preserve">    2019 </t>
    </r>
    <r>
      <rPr>
        <sz val="12"/>
        <rFont val="宋体"/>
        <family val="3"/>
        <charset val="134"/>
      </rPr>
      <t>年度）</t>
    </r>
    <phoneticPr fontId="3" type="noConversion"/>
  </si>
  <si>
    <t>部门（单位）名称</t>
  </si>
  <si>
    <t>平潭综合实验区乡镇财政管理办公室</t>
    <phoneticPr fontId="3" type="noConversion"/>
  </si>
  <si>
    <t>部门预算编码</t>
  </si>
  <si>
    <t>部门业务费预算安排、支出情况</t>
  </si>
  <si>
    <t>项目单位实际支出情况</t>
  </si>
  <si>
    <t>本年度结余金额
④=①+②-③</t>
  </si>
  <si>
    <t>实际到位
金额⑤</t>
  </si>
  <si>
    <t>实际支出
金额⑥</t>
  </si>
  <si>
    <t>本年度结余
金额⑦</t>
  </si>
  <si>
    <t>①中央财政资金</t>
  </si>
  <si>
    <t>②省级财政资金</t>
  </si>
  <si>
    <t>③地方财政资金</t>
  </si>
  <si>
    <t>①……</t>
  </si>
  <si>
    <t>二级
指标</t>
  </si>
  <si>
    <r>
      <t>产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出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>60</t>
    </r>
    <r>
      <rPr>
        <sz val="12"/>
        <rFont val="宋体"/>
        <family val="3"/>
        <charset val="134"/>
      </rPr>
      <t>分</t>
    </r>
    <r>
      <rPr>
        <sz val="12"/>
        <rFont val="宋体"/>
        <family val="3"/>
        <charset val="134"/>
      </rPr>
      <t>）</t>
    </r>
    <r>
      <rPr>
        <sz val="12"/>
        <rFont val="宋体"/>
        <family val="3"/>
        <charset val="134"/>
      </rPr>
      <t/>
    </r>
    <phoneticPr fontId="3" type="noConversion"/>
  </si>
  <si>
    <t>业务费细化率</t>
    <phoneticPr fontId="3" type="noConversion"/>
  </si>
  <si>
    <t>保障对象人数情况</t>
    <phoneticPr fontId="3" type="noConversion"/>
  </si>
  <si>
    <t>本单位12人工资正常发放</t>
    <phoneticPr fontId="3" type="noConversion"/>
  </si>
  <si>
    <t>12人工资正常发放</t>
    <phoneticPr fontId="3" type="noConversion"/>
  </si>
  <si>
    <t>政府采购、购买服务执行情况</t>
    <phoneticPr fontId="3" type="noConversion"/>
  </si>
  <si>
    <t>政务采购预算</t>
    <phoneticPr fontId="3" type="noConversion"/>
  </si>
  <si>
    <t>完成采购预算</t>
    <phoneticPr fontId="3" type="noConversion"/>
  </si>
  <si>
    <t>细化项目目标完成情况</t>
    <phoneticPr fontId="3" type="noConversion"/>
  </si>
  <si>
    <t>资金使用合规性</t>
    <phoneticPr fontId="3" type="noConversion"/>
  </si>
  <si>
    <t>100%合规</t>
    <phoneticPr fontId="3" type="noConversion"/>
  </si>
  <si>
    <t>4个项目实施时间与计划时间的差异情况</t>
    <phoneticPr fontId="3" type="noConversion"/>
  </si>
  <si>
    <t>4个项目2019年支付完成</t>
    <phoneticPr fontId="3" type="noConversion"/>
  </si>
  <si>
    <t>4个项目于2019年支付完成</t>
    <phoneticPr fontId="3" type="noConversion"/>
  </si>
  <si>
    <t>4个项目于2018年支付完成</t>
    <phoneticPr fontId="3" type="noConversion"/>
  </si>
  <si>
    <t>预算完成率</t>
    <phoneticPr fontId="3" type="noConversion"/>
  </si>
  <si>
    <t>效益指标
（30分）</t>
    <phoneticPr fontId="3" type="noConversion"/>
  </si>
  <si>
    <t>乡镇机构改革组建片区财务工作衔接</t>
    <phoneticPr fontId="3" type="noConversion"/>
  </si>
  <si>
    <t>完成片区财务指标衔接划转以及片区开户、一体化系统上线</t>
    <phoneticPr fontId="3" type="noConversion"/>
  </si>
  <si>
    <t>完成片区财务指标衔接划转以及片区开户、一体化系统上线</t>
  </si>
  <si>
    <t>人员对工资发放及时的满意度</t>
    <phoneticPr fontId="3" type="noConversion"/>
  </si>
  <si>
    <t>满意度90%</t>
    <phoneticPr fontId="3" type="noConversion"/>
  </si>
  <si>
    <t>满意度95%以上</t>
    <phoneticPr fontId="3" type="noConversion"/>
  </si>
  <si>
    <t>优秀</t>
    <phoneticPr fontId="3" type="noConversion"/>
  </si>
  <si>
    <t>存在主要问题</t>
  </si>
  <si>
    <t>干部工资标准提高，且奖金测算基数变化导致人员年初预算经费不足</t>
    <phoneticPr fontId="3" type="noConversion"/>
  </si>
  <si>
    <t>相关建议意见</t>
  </si>
  <si>
    <t>在2020年度公用经费的预算中适当调减专项业务费。</t>
    <phoneticPr fontId="3" type="noConversion"/>
  </si>
  <si>
    <t>注：1.部门业务费和其他专项资金合并填报本表。2.指标解释是对绩效目标三级指标进行解释说明，包括指标出处、具体内容、上年度数值、计算方法、评分标准等。3.填表说明参照《财政支出项目绩效自评表填报说明》（详见附件11）。</t>
  </si>
  <si>
    <r>
      <t>（</t>
    </r>
    <r>
      <rPr>
        <sz val="12"/>
        <rFont val="Times New Roman"/>
        <family val="1"/>
      </rPr>
      <t xml:space="preserve">  2019 </t>
    </r>
    <r>
      <rPr>
        <sz val="12"/>
        <rFont val="宋体"/>
        <family val="3"/>
        <charset val="134"/>
      </rPr>
      <t>年度）</t>
    </r>
    <phoneticPr fontId="3" type="noConversion"/>
  </si>
  <si>
    <t>平潭综合实验区政府和社会资本项目合作（PPP）管理中心</t>
    <phoneticPr fontId="3" type="noConversion"/>
  </si>
  <si>
    <t>本单位4人工资正常发放</t>
    <phoneticPr fontId="3" type="noConversion"/>
  </si>
  <si>
    <t>4人工资正常发放</t>
    <phoneticPr fontId="3" type="noConversion"/>
  </si>
  <si>
    <t>按需完成</t>
    <phoneticPr fontId="3" type="noConversion"/>
  </si>
  <si>
    <t>支出进度</t>
    <phoneticPr fontId="3" type="noConversion"/>
  </si>
  <si>
    <t>按时间进度完成</t>
    <phoneticPr fontId="3" type="noConversion"/>
  </si>
  <si>
    <t>成本指标</t>
    <phoneticPr fontId="3" type="noConversion"/>
  </si>
  <si>
    <t>人员经费总增长</t>
    <phoneticPr fontId="3" type="noConversion"/>
  </si>
  <si>
    <r>
      <t>不超过5</t>
    </r>
    <r>
      <rPr>
        <sz val="8"/>
        <rFont val="宋体"/>
        <family val="3"/>
        <charset val="134"/>
      </rPr>
      <t>9.3%</t>
    </r>
    <phoneticPr fontId="3" type="noConversion"/>
  </si>
  <si>
    <t>效
益
指
标
（30分）</t>
  </si>
  <si>
    <t>减少现金使用</t>
    <phoneticPr fontId="3" type="noConversion"/>
  </si>
  <si>
    <t>无现金使用</t>
    <phoneticPr fontId="3" type="noConversion"/>
  </si>
  <si>
    <t>无现金使用</t>
  </si>
  <si>
    <t>可持续影响指标</t>
  </si>
  <si>
    <r>
      <t>满意度8</t>
    </r>
    <r>
      <rPr>
        <sz val="8"/>
        <color indexed="8"/>
        <rFont val="宋体"/>
        <family val="3"/>
        <charset val="134"/>
      </rPr>
      <t>5</t>
    </r>
    <r>
      <rPr>
        <sz val="8"/>
        <color indexed="8"/>
        <rFont val="宋体"/>
        <family val="3"/>
        <charset val="134"/>
      </rPr>
      <t>%</t>
    </r>
    <phoneticPr fontId="3" type="noConversion"/>
  </si>
  <si>
    <t>一是预算项目金额与实际项目支出存在较大差异；
二是服务对象满意度还需进一步提高。</t>
    <phoneticPr fontId="3" type="noConversion"/>
  </si>
  <si>
    <t>一是加强本部门项目组织管理；
二是推进项目精细化管理，提高成本控制能力；
三是合理预算所需经费规模。</t>
    <phoneticPr fontId="3" type="noConversion"/>
  </si>
  <si>
    <t>注：1.部门业务费和其他专项资金合并填报本表。2.指标解释是对绩效目标三级指标进行解释说明，包括指标出处、具体内容、上年度数值、计算方法、评分标准等。3.产出指标中必须包含业务费压缩和预算执行率指标，且分值不得低于10分。</t>
    <phoneticPr fontId="3" type="noConversion"/>
  </si>
  <si>
    <r>
      <t>（</t>
    </r>
    <r>
      <rPr>
        <sz val="12"/>
        <rFont val="Times New Roman"/>
        <family val="1"/>
      </rPr>
      <t xml:space="preserve">  2019 </t>
    </r>
    <r>
      <rPr>
        <sz val="12"/>
        <rFont val="宋体"/>
        <family val="3"/>
        <charset val="134"/>
      </rPr>
      <t>年度）</t>
    </r>
  </si>
  <si>
    <t>平潭综合实验区采购办公室</t>
  </si>
  <si>
    <t>产
出
指
标
（70分）</t>
  </si>
  <si>
    <t>业务费细化率</t>
  </si>
  <si>
    <t>100%为满分，95%以上100%以下扣1分，90%以上95%以下扣2分，否则不得分</t>
  </si>
  <si>
    <t>保障对象人数情况</t>
  </si>
  <si>
    <t>5人为满分，4人扣1分，3人扣2分，2人以下不得分</t>
  </si>
  <si>
    <t>本单位5人日常工作正常运行</t>
  </si>
  <si>
    <t>全区政府采购业务培训</t>
  </si>
  <si>
    <t>150人以上为满分，120人以上但不足150人扣2分，100人以上但不足120人扣4分，100人以下不得分</t>
  </si>
  <si>
    <t>150人</t>
  </si>
  <si>
    <t>150人以上</t>
  </si>
  <si>
    <t>细化项目目标完成情况</t>
  </si>
  <si>
    <t>细化项目目标完成为满分，否则不得分</t>
  </si>
  <si>
    <t>1个</t>
  </si>
  <si>
    <t>支出进度</t>
  </si>
  <si>
    <t>支出进度按序时完成为满分，否则不得分</t>
  </si>
  <si>
    <t>按序时完成</t>
  </si>
  <si>
    <t>按时间进度完成</t>
  </si>
  <si>
    <t>效
益
指
标
（20分）</t>
  </si>
  <si>
    <t>人员对日常工作运行保障的满意度</t>
  </si>
  <si>
    <t>满意度90%以上</t>
  </si>
  <si>
    <t>在保证我单位日常运行的情况下，预算完成率偏低。</t>
  </si>
  <si>
    <t>根据我单位绩效自评结果，按照我单位的实际需求编制预算，提高管理水平、增强支出责任，更好地完成我单位的日常工作。</t>
  </si>
  <si>
    <t>注：1.部门业务费和其他专项资金合并填报本表。2.指标解释是对绩效目标三级指标进行解释说明，包括指标出处、具体内容、上年度数值、计算方法、评分标准等。3.产出指标中必须包含业务费压缩和预算执行率指标，且分值不得低于10分。</t>
  </si>
  <si>
    <r>
      <t>（</t>
    </r>
    <r>
      <rPr>
        <sz val="12"/>
        <rFont val="Times New Roman"/>
        <family val="1"/>
      </rPr>
      <t xml:space="preserve">  2019 </t>
    </r>
    <r>
      <rPr>
        <sz val="12"/>
        <rFont val="宋体"/>
        <family val="3"/>
        <charset val="134"/>
      </rPr>
      <t>年度）</t>
    </r>
    <phoneticPr fontId="3" type="noConversion"/>
  </si>
  <si>
    <t>平潭综合实验区国库支付中心</t>
    <phoneticPr fontId="3" type="noConversion"/>
  </si>
  <si>
    <r>
      <t>产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出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>60</t>
    </r>
    <r>
      <rPr>
        <sz val="12"/>
        <rFont val="宋体"/>
        <family val="3"/>
        <charset val="134"/>
      </rPr>
      <t>分</t>
    </r>
    <r>
      <rPr>
        <sz val="12"/>
        <rFont val="宋体"/>
        <family val="3"/>
        <charset val="134"/>
      </rPr>
      <t>）</t>
    </r>
    <r>
      <rPr>
        <sz val="12"/>
        <rFont val="宋体"/>
        <family val="3"/>
        <charset val="134"/>
      </rPr>
      <t/>
    </r>
    <phoneticPr fontId="3" type="noConversion"/>
  </si>
  <si>
    <t>业务费细化</t>
    <phoneticPr fontId="3" type="noConversion"/>
  </si>
  <si>
    <t>保障对象人数情况</t>
    <phoneticPr fontId="3" type="noConversion"/>
  </si>
  <si>
    <t>本单位21人工资正常发放</t>
    <phoneticPr fontId="3" type="noConversion"/>
  </si>
  <si>
    <t>21人工资正常发放</t>
    <phoneticPr fontId="3" type="noConversion"/>
  </si>
  <si>
    <t>资金使用合规性</t>
    <phoneticPr fontId="3" type="noConversion"/>
  </si>
  <si>
    <t>项目实施时间与计划时间一致</t>
    <phoneticPr fontId="3" type="noConversion"/>
  </si>
  <si>
    <t>1个项目2019年支付完成</t>
    <phoneticPr fontId="3" type="noConversion"/>
  </si>
  <si>
    <t>1个项目2019年支付完成</t>
  </si>
  <si>
    <t>预算完成率</t>
    <phoneticPr fontId="3" type="noConversion"/>
  </si>
  <si>
    <t>加强国库集中支付改革</t>
    <phoneticPr fontId="3" type="noConversion"/>
  </si>
  <si>
    <t>实现行政事业单位集中支付全覆盖</t>
    <phoneticPr fontId="3" type="noConversion"/>
  </si>
  <si>
    <t>人员对工资发放及时的满意</t>
    <phoneticPr fontId="3" type="noConversion"/>
  </si>
  <si>
    <t>人员对工资发放及时的满意度</t>
    <phoneticPr fontId="3" type="noConversion"/>
  </si>
  <si>
    <t>满意度90%</t>
    <phoneticPr fontId="3" type="noConversion"/>
  </si>
  <si>
    <r>
      <t>满意度9</t>
    </r>
    <r>
      <rPr>
        <sz val="8"/>
        <rFont val="宋体"/>
        <family val="3"/>
        <charset val="134"/>
      </rPr>
      <t>5</t>
    </r>
    <r>
      <rPr>
        <sz val="8"/>
        <rFont val="宋体"/>
        <family val="3"/>
        <charset val="134"/>
      </rPr>
      <t>%以上</t>
    </r>
    <phoneticPr fontId="3" type="noConversion"/>
  </si>
  <si>
    <t>一是预算项目金额与实际项目支出存在较大差异；                                                        二是服务对象满意度还需进一步提高。</t>
    <phoneticPr fontId="3" type="noConversion"/>
  </si>
  <si>
    <t>一是加强本部门项目组织管理；                                                                  二是推进项目精细化管理，提高成本控制能力；                                                     三是合理预算所需经费规模；                                                                               四是提高服务水平。</t>
    <phoneticPr fontId="3" type="noConversion"/>
  </si>
  <si>
    <t>注：1.部门业务费和其他专项资金合并填报本表。2.指标解释是对绩效目标三级指标进行解释说明，包括指标出处、具体内容、上年度数值、计算方法、评分标准等。3.产出指标中必须包含业务费压缩和预算执行率指标，且分值不得低于10分。</t>
    <phoneticPr fontId="3" type="noConversion"/>
  </si>
  <si>
    <t>优秀</t>
    <phoneticPr fontId="1" type="noConversion"/>
  </si>
  <si>
    <t>平潭综合实验区财政金融局</t>
    <phoneticPr fontId="3" type="noConversion"/>
  </si>
  <si>
    <t>本单位54人工资正常发放</t>
    <phoneticPr fontId="3" type="noConversion"/>
  </si>
  <si>
    <t>54人工资正常发放</t>
    <phoneticPr fontId="3" type="noConversion"/>
  </si>
  <si>
    <t>全局干部培训</t>
    <phoneticPr fontId="3" type="noConversion"/>
  </si>
  <si>
    <t>300人</t>
    <phoneticPr fontId="3" type="noConversion"/>
  </si>
  <si>
    <t>500人以上</t>
    <phoneticPr fontId="3" type="noConversion"/>
  </si>
  <si>
    <t>10个项目实施时间与计划时间的差异情况</t>
    <phoneticPr fontId="3" type="noConversion"/>
  </si>
  <si>
    <t>10个项目2018年支付完成</t>
    <phoneticPr fontId="3" type="noConversion"/>
  </si>
  <si>
    <t>9个项目于2018年支付完成</t>
    <phoneticPr fontId="3" type="noConversion"/>
  </si>
  <si>
    <t>加大绩效管理覆盖范围，倒逼预算部门加强财政资金绩效管理</t>
    <phoneticPr fontId="3" type="noConversion"/>
  </si>
  <si>
    <t>预算部门加强财政资金绩效管理</t>
    <phoneticPr fontId="3" type="noConversion"/>
  </si>
  <si>
    <t>全区预算单位将绩效评价结果在政府网站公开</t>
    <phoneticPr fontId="3" type="noConversion"/>
  </si>
  <si>
    <t>财政干部对培训效果的满意</t>
    <phoneticPr fontId="3" type="noConversion"/>
  </si>
  <si>
    <t>平潭综合实验区财政投资评审中心</t>
  </si>
  <si>
    <r>
      <t>产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出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>60</t>
    </r>
    <r>
      <rPr>
        <sz val="12"/>
        <rFont val="宋体"/>
        <family val="3"/>
        <charset val="134"/>
      </rPr>
      <t>分</t>
    </r>
    <r>
      <rPr>
        <sz val="12"/>
        <rFont val="宋体"/>
        <family val="3"/>
        <charset val="134"/>
      </rPr>
      <t>）</t>
    </r>
  </si>
  <si>
    <t>上年度数值</t>
  </si>
  <si>
    <t>保障人员</t>
  </si>
  <si>
    <t>在职工作人员12人</t>
  </si>
  <si>
    <t>85%以上</t>
  </si>
  <si>
    <t>政府采购、购买服务执行情况</t>
  </si>
  <si>
    <t>完成采购预算</t>
  </si>
  <si>
    <t>招标控制价审核情况</t>
  </si>
  <si>
    <t>不延误招标</t>
  </si>
  <si>
    <t>业务费压缩</t>
  </si>
  <si>
    <t>小于15万</t>
  </si>
  <si>
    <t>13.28万</t>
  </si>
  <si>
    <t>预算执行率</t>
  </si>
  <si>
    <t>预结决审核金额</t>
  </si>
  <si>
    <t>50亿以上</t>
  </si>
  <si>
    <t>130亿元</t>
  </si>
  <si>
    <t>收审金额</t>
  </si>
  <si>
    <t>100亿元</t>
  </si>
  <si>
    <t>155亿元</t>
  </si>
  <si>
    <t>完成学校项目审核</t>
  </si>
  <si>
    <t>5个</t>
  </si>
  <si>
    <t>大于20个</t>
  </si>
  <si>
    <t>完成医院项目审核</t>
  </si>
  <si>
    <t>3个</t>
  </si>
  <si>
    <t>大于10个</t>
  </si>
  <si>
    <t>完成环卫项目审核</t>
  </si>
  <si>
    <t>完成绿化项目审核</t>
  </si>
  <si>
    <t>开展节能宣传</t>
  </si>
  <si>
    <t>组织开展1次</t>
  </si>
  <si>
    <t>服务对象满意度</t>
  </si>
  <si>
    <t>大于85%</t>
  </si>
  <si>
    <t>服务项目数</t>
  </si>
  <si>
    <t>优秀</t>
    <phoneticPr fontId="3" type="noConversion"/>
  </si>
  <si>
    <t>可持续效益和生态效益指标占比不高，服务对象满意指标仍需继续提高</t>
  </si>
  <si>
    <t>进一步做好更详细、更精确的预算，提高生态效益和可持续影响效益的指标占比</t>
  </si>
  <si>
    <t>附件1</t>
    <phoneticPr fontId="1" type="noConversion"/>
  </si>
  <si>
    <t>附件1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</si>
</sst>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name val="黑体"/>
      <family val="3"/>
      <charset val="134"/>
    </font>
    <font>
      <sz val="9"/>
      <name val="宋体"/>
      <family val="3"/>
      <charset val="134"/>
    </font>
    <font>
      <sz val="12"/>
      <name val="黑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9"/>
      <color indexed="8"/>
      <name val="宋体"/>
      <family val="3"/>
      <charset val="134"/>
    </font>
    <font>
      <sz val="6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8"/>
      <name val="宋体"/>
      <family val="3"/>
      <charset val="134"/>
    </font>
    <font>
      <sz val="8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9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Protection="1">
      <alignment vertical="center"/>
    </xf>
    <xf numFmtId="0" fontId="4" fillId="0" borderId="0" xfId="0" applyFont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  <xf numFmtId="0" fontId="8" fillId="0" borderId="0" xfId="0" applyFont="1" applyProtection="1">
      <alignment vertical="center"/>
    </xf>
    <xf numFmtId="0" fontId="8" fillId="0" borderId="4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/>
    </xf>
    <xf numFmtId="0" fontId="8" fillId="0" borderId="1" xfId="0" applyFont="1" applyBorder="1" applyProtection="1">
      <alignment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vertical="center" wrapText="1"/>
    </xf>
    <xf numFmtId="10" fontId="7" fillId="0" borderId="1" xfId="0" applyNumberFormat="1" applyFont="1" applyBorder="1" applyAlignment="1" applyProtection="1">
      <alignment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</xf>
    <xf numFmtId="10" fontId="8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vertical="center" wrapText="1"/>
    </xf>
    <xf numFmtId="0" fontId="11" fillId="0" borderId="1" xfId="0" applyFont="1" applyBorder="1" applyAlignment="1">
      <alignment horizontal="left" vertical="center" wrapText="1"/>
    </xf>
    <xf numFmtId="9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4" fillId="0" borderId="0" xfId="0" applyFont="1" applyProtection="1">
      <alignment vertical="center"/>
    </xf>
    <xf numFmtId="0" fontId="8" fillId="0" borderId="1" xfId="0" applyFont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9" fontId="13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 applyProtection="1">
      <alignment horizontal="left" vertical="center" wrapText="1"/>
    </xf>
    <xf numFmtId="9" fontId="14" fillId="0" borderId="2" xfId="0" applyNumberFormat="1" applyFont="1" applyBorder="1" applyAlignment="1" applyProtection="1">
      <alignment horizontal="left" vertical="center" wrapText="1"/>
    </xf>
    <xf numFmtId="0" fontId="14" fillId="0" borderId="4" xfId="0" applyFont="1" applyBorder="1" applyAlignment="1" applyProtection="1">
      <alignment horizontal="left" vertical="center" wrapText="1"/>
    </xf>
    <xf numFmtId="10" fontId="14" fillId="0" borderId="1" xfId="0" applyNumberFormat="1" applyFont="1" applyBorder="1" applyAlignment="1" applyProtection="1">
      <alignment horizontal="left" vertical="center" wrapText="1"/>
    </xf>
    <xf numFmtId="10" fontId="14" fillId="0" borderId="2" xfId="0" applyNumberFormat="1" applyFont="1" applyBorder="1" applyAlignment="1" applyProtection="1">
      <alignment horizontal="left" vertical="center" wrapText="1"/>
    </xf>
    <xf numFmtId="0" fontId="7" fillId="0" borderId="11" xfId="0" applyFont="1" applyBorder="1" applyAlignment="1" applyProtection="1">
      <alignment vertical="center" wrapText="1"/>
    </xf>
    <xf numFmtId="9" fontId="14" fillId="0" borderId="1" xfId="0" applyNumberFormat="1" applyFont="1" applyBorder="1" applyAlignment="1" applyProtection="1">
      <alignment horizontal="left" vertical="center" wrapText="1"/>
    </xf>
    <xf numFmtId="0" fontId="5" fillId="0" borderId="13" xfId="0" applyFont="1" applyBorder="1" applyAlignment="1" applyProtection="1">
      <alignment vertical="center" wrapText="1"/>
    </xf>
    <xf numFmtId="176" fontId="7" fillId="0" borderId="1" xfId="0" applyNumberFormat="1" applyFont="1" applyBorder="1" applyAlignment="1" applyProtection="1">
      <alignment horizontal="center" vertical="center" wrapText="1"/>
    </xf>
    <xf numFmtId="176" fontId="8" fillId="0" borderId="1" xfId="0" applyNumberFormat="1" applyFont="1" applyBorder="1" applyAlignment="1" applyProtection="1">
      <alignment vertical="center" wrapText="1"/>
    </xf>
    <xf numFmtId="0" fontId="16" fillId="0" borderId="1" xfId="0" applyFont="1" applyFill="1" applyBorder="1" applyAlignment="1" applyProtection="1">
      <alignment vertical="center" wrapText="1"/>
    </xf>
    <xf numFmtId="9" fontId="16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justify" vertical="center" wrapText="1"/>
    </xf>
    <xf numFmtId="0" fontId="14" fillId="0" borderId="1" xfId="0" applyFont="1" applyBorder="1" applyAlignment="1" applyProtection="1">
      <alignment vertical="center" wrapText="1"/>
    </xf>
    <xf numFmtId="9" fontId="14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right" vertical="center" wrapText="1"/>
    </xf>
    <xf numFmtId="0" fontId="8" fillId="2" borderId="1" xfId="0" applyFont="1" applyFill="1" applyBorder="1" applyAlignment="1" applyProtection="1">
      <alignment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9" fontId="8" fillId="0" borderId="1" xfId="0" applyNumberFormat="1" applyFont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9" fontId="17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22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top" wrapText="1"/>
    </xf>
    <xf numFmtId="0" fontId="5" fillId="0" borderId="3" xfId="0" applyFont="1" applyBorder="1" applyAlignment="1" applyProtection="1">
      <alignment horizontal="left" vertical="top" wrapText="1"/>
    </xf>
    <xf numFmtId="0" fontId="5" fillId="0" borderId="4" xfId="0" applyFont="1" applyBorder="1" applyAlignment="1" applyProtection="1">
      <alignment horizontal="left" vertical="top" wrapText="1"/>
    </xf>
    <xf numFmtId="0" fontId="5" fillId="0" borderId="12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left" vertical="center" wrapText="1"/>
    </xf>
    <xf numFmtId="0" fontId="14" fillId="0" borderId="4" xfId="0" applyFont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/>
    </xf>
    <xf numFmtId="0" fontId="5" fillId="0" borderId="3" xfId="0" applyFont="1" applyBorder="1" applyAlignment="1" applyProtection="1">
      <alignment horizontal="left" vertical="center" wrapText="1"/>
    </xf>
    <xf numFmtId="0" fontId="5" fillId="0" borderId="4" xfId="0" applyFont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9" fontId="14" fillId="0" borderId="2" xfId="0" applyNumberFormat="1" applyFont="1" applyBorder="1" applyAlignment="1" applyProtection="1">
      <alignment horizontal="left" vertical="center" wrapText="1"/>
    </xf>
    <xf numFmtId="10" fontId="14" fillId="0" borderId="2" xfId="0" applyNumberFormat="1" applyFont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/>
    </xf>
    <xf numFmtId="9" fontId="3" fillId="0" borderId="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10" fontId="3" fillId="0" borderId="2" xfId="0" applyNumberFormat="1" applyFont="1" applyBorder="1" applyAlignment="1" applyProtection="1">
      <alignment horizontal="center" vertical="center" wrapText="1"/>
    </xf>
    <xf numFmtId="9" fontId="5" fillId="0" borderId="2" xfId="0" applyNumberFormat="1" applyFont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right" vertical="center" wrapText="1"/>
    </xf>
    <xf numFmtId="0" fontId="14" fillId="0" borderId="11" xfId="0" applyFont="1" applyBorder="1" applyAlignment="1" applyProtection="1">
      <alignment horizontal="right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5" xfId="0" applyFont="1" applyBorder="1" applyAlignment="1" applyProtection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 wrapText="1"/>
    </xf>
    <xf numFmtId="0" fontId="14" fillId="0" borderId="19" xfId="0" applyFont="1" applyBorder="1" applyAlignment="1" applyProtection="1">
      <alignment horizontal="center" vertical="center" wrapText="1"/>
    </xf>
    <xf numFmtId="0" fontId="14" fillId="0" borderId="17" xfId="0" applyFont="1" applyBorder="1" applyAlignment="1" applyProtection="1">
      <alignment horizontal="center" vertical="center" wrapText="1"/>
    </xf>
    <xf numFmtId="0" fontId="14" fillId="0" borderId="18" xfId="0" applyFont="1" applyBorder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4" fillId="0" borderId="21" xfId="0" applyFont="1" applyBorder="1" applyAlignment="1" applyProtection="1">
      <alignment horizontal="center" vertical="center" wrapText="1"/>
    </xf>
    <xf numFmtId="9" fontId="14" fillId="0" borderId="5" xfId="0" applyNumberFormat="1" applyFont="1" applyBorder="1" applyAlignment="1" applyProtection="1">
      <alignment horizontal="center" vertical="center" wrapText="1"/>
    </xf>
    <xf numFmtId="9" fontId="14" fillId="0" borderId="9" xfId="0" applyNumberFormat="1" applyFont="1" applyBorder="1" applyAlignment="1" applyProtection="1">
      <alignment horizontal="center" vertical="center" wrapText="1"/>
    </xf>
    <xf numFmtId="9" fontId="14" fillId="0" borderId="11" xfId="0" applyNumberFormat="1" applyFont="1" applyBorder="1" applyAlignment="1" applyProtection="1">
      <alignment horizontal="center" vertical="center" wrapText="1"/>
    </xf>
    <xf numFmtId="9" fontId="14" fillId="0" borderId="2" xfId="0" applyNumberFormat="1" applyFont="1" applyBorder="1" applyAlignment="1" applyProtection="1">
      <alignment horizontal="center" vertical="center" wrapText="1"/>
    </xf>
    <xf numFmtId="9" fontId="14" fillId="0" borderId="4" xfId="0" applyNumberFormat="1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</xf>
    <xf numFmtId="0" fontId="14" fillId="0" borderId="4" xfId="0" applyFont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9" fontId="11" fillId="0" borderId="2" xfId="0" applyNumberFormat="1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</cellXfs>
  <cellStyles count="3">
    <cellStyle name="常规" xfId="0" builtinId="0"/>
    <cellStyle name="常规 2" xfId="1"/>
    <cellStyle name="常规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2"/>
  <sheetViews>
    <sheetView workbookViewId="0">
      <selection activeCell="P20" sqref="P20"/>
    </sheetView>
  </sheetViews>
  <sheetFormatPr defaultRowHeight="14.25"/>
  <cols>
    <col min="1" max="16384" width="9" style="3"/>
  </cols>
  <sheetData>
    <row r="1" spans="1:10">
      <c r="A1" s="25" t="s">
        <v>0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84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74" t="s">
        <v>150</v>
      </c>
      <c r="E4" s="74"/>
      <c r="F4" s="74"/>
      <c r="G4" s="74" t="s">
        <v>43</v>
      </c>
      <c r="H4" s="74"/>
      <c r="I4" s="74">
        <v>601001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9">
        <v>1811.18</v>
      </c>
      <c r="D7" s="9">
        <f>D13</f>
        <v>64.319999999999879</v>
      </c>
      <c r="E7" s="9">
        <f>E13</f>
        <v>1875.5</v>
      </c>
      <c r="F7" s="9">
        <v>0</v>
      </c>
      <c r="G7" s="9">
        <f>G13</f>
        <v>1875.5</v>
      </c>
      <c r="H7" s="9">
        <f>H13</f>
        <v>1544.32</v>
      </c>
      <c r="I7" s="9">
        <f>I13</f>
        <v>331.18000000000006</v>
      </c>
      <c r="J7" s="18">
        <f>J13</f>
        <v>0.17660000000000001</v>
      </c>
    </row>
    <row r="8" spans="1:10" s="4" customFormat="1" ht="22.5">
      <c r="A8" s="74"/>
      <c r="B8" s="19" t="s">
        <v>50</v>
      </c>
      <c r="C8" s="9"/>
      <c r="D8" s="9"/>
      <c r="E8" s="10"/>
      <c r="F8" s="11"/>
      <c r="G8" s="11"/>
      <c r="H8" s="11"/>
      <c r="I8" s="10"/>
      <c r="J8" s="6"/>
    </row>
    <row r="9" spans="1:10" s="4" customFormat="1" ht="22.5">
      <c r="A9" s="74"/>
      <c r="B9" s="19" t="s">
        <v>51</v>
      </c>
      <c r="C9" s="9">
        <v>0</v>
      </c>
      <c r="D9" s="9">
        <v>40.18</v>
      </c>
      <c r="E9" s="10">
        <v>40.18</v>
      </c>
      <c r="F9" s="11">
        <v>0</v>
      </c>
      <c r="G9" s="11">
        <v>40.18</v>
      </c>
      <c r="H9" s="11">
        <v>15.18</v>
      </c>
      <c r="I9" s="10">
        <v>25</v>
      </c>
      <c r="J9" s="18">
        <v>0.62219999999999998</v>
      </c>
    </row>
    <row r="10" spans="1:10" s="4" customFormat="1" ht="22.5">
      <c r="A10" s="74"/>
      <c r="B10" s="19" t="s">
        <v>52</v>
      </c>
      <c r="C10" s="9">
        <v>1811.18</v>
      </c>
      <c r="D10" s="9">
        <f>E10-C10</f>
        <v>24.139999999999873</v>
      </c>
      <c r="E10" s="10">
        <v>1835.32</v>
      </c>
      <c r="F10" s="11">
        <v>0</v>
      </c>
      <c r="G10" s="11">
        <f>E10</f>
        <v>1835.32</v>
      </c>
      <c r="H10" s="48">
        <f>H13-H9</f>
        <v>1529.1399999999999</v>
      </c>
      <c r="I10" s="49">
        <f>G10-H10</f>
        <v>306.18000000000006</v>
      </c>
      <c r="J10" s="18">
        <v>0.1668</v>
      </c>
    </row>
    <row r="11" spans="1:10" s="4" customFormat="1" ht="22.5">
      <c r="A11" s="74"/>
      <c r="B11" s="19" t="s">
        <v>8</v>
      </c>
      <c r="C11" s="9"/>
      <c r="D11" s="9"/>
      <c r="E11" s="10"/>
      <c r="F11" s="11"/>
      <c r="G11" s="11"/>
      <c r="H11" s="11"/>
      <c r="I11" s="10"/>
      <c r="J11" s="6"/>
    </row>
    <row r="12" spans="1:10" s="4" customFormat="1" ht="13.5">
      <c r="A12" s="74"/>
      <c r="B12" s="20" t="s">
        <v>53</v>
      </c>
      <c r="C12" s="9"/>
      <c r="D12" s="9"/>
      <c r="E12" s="10"/>
      <c r="F12" s="11"/>
      <c r="G12" s="11"/>
      <c r="H12" s="11"/>
      <c r="I12" s="10"/>
      <c r="J12" s="6"/>
    </row>
    <row r="13" spans="1:10" s="4" customFormat="1">
      <c r="A13" s="74"/>
      <c r="B13" s="14" t="s">
        <v>9</v>
      </c>
      <c r="C13" s="9">
        <f>C10+C9+C8</f>
        <v>1811.18</v>
      </c>
      <c r="D13" s="9">
        <f>D10+D9+D8</f>
        <v>64.319999999999879</v>
      </c>
      <c r="E13" s="9">
        <f>E10+E9+E8</f>
        <v>1875.5</v>
      </c>
      <c r="F13" s="9">
        <f>F10+F9+F8</f>
        <v>0</v>
      </c>
      <c r="G13" s="9">
        <f>G10+G9+G8</f>
        <v>1875.5</v>
      </c>
      <c r="H13" s="9">
        <v>1544.32</v>
      </c>
      <c r="I13" s="9">
        <f>G13-H13</f>
        <v>331.18000000000006</v>
      </c>
      <c r="J13" s="18">
        <v>0.17660000000000001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>
      <c r="A15" s="61"/>
      <c r="B15" s="74" t="s">
        <v>55</v>
      </c>
      <c r="C15" s="62" t="s">
        <v>18</v>
      </c>
      <c r="D15" s="28" t="s">
        <v>56</v>
      </c>
      <c r="E15" s="28" t="s">
        <v>56</v>
      </c>
      <c r="F15" s="29">
        <v>1</v>
      </c>
      <c r="G15" s="78">
        <v>1</v>
      </c>
      <c r="H15" s="65"/>
      <c r="I15" s="30">
        <v>10</v>
      </c>
      <c r="J15" s="30">
        <v>10</v>
      </c>
    </row>
    <row r="16" spans="1:10" ht="21">
      <c r="A16" s="61"/>
      <c r="B16" s="74"/>
      <c r="C16" s="63"/>
      <c r="D16" s="28" t="s">
        <v>57</v>
      </c>
      <c r="E16" s="28" t="s">
        <v>57</v>
      </c>
      <c r="F16" s="28" t="s">
        <v>151</v>
      </c>
      <c r="G16" s="64" t="s">
        <v>152</v>
      </c>
      <c r="H16" s="65"/>
      <c r="I16" s="30">
        <v>10</v>
      </c>
      <c r="J16" s="30">
        <v>10</v>
      </c>
    </row>
    <row r="17" spans="1:10">
      <c r="A17" s="61"/>
      <c r="B17" s="74"/>
      <c r="C17" s="63"/>
      <c r="D17" s="28" t="s">
        <v>153</v>
      </c>
      <c r="E17" s="28" t="s">
        <v>153</v>
      </c>
      <c r="F17" s="28" t="s">
        <v>154</v>
      </c>
      <c r="G17" s="64" t="s">
        <v>155</v>
      </c>
      <c r="H17" s="65"/>
      <c r="I17" s="30">
        <v>10</v>
      </c>
      <c r="J17" s="30">
        <v>10</v>
      </c>
    </row>
    <row r="18" spans="1:10" ht="21">
      <c r="A18" s="61"/>
      <c r="B18" s="74"/>
      <c r="C18" s="24" t="s">
        <v>19</v>
      </c>
      <c r="D18" s="30" t="s">
        <v>64</v>
      </c>
      <c r="E18" s="30" t="s">
        <v>64</v>
      </c>
      <c r="F18" s="30" t="s">
        <v>65</v>
      </c>
      <c r="G18" s="78">
        <v>1</v>
      </c>
      <c r="H18" s="65"/>
      <c r="I18" s="30">
        <v>10</v>
      </c>
      <c r="J18" s="30">
        <v>10</v>
      </c>
    </row>
    <row r="19" spans="1:10" ht="31.5">
      <c r="A19" s="61"/>
      <c r="B19" s="74"/>
      <c r="C19" s="24" t="s">
        <v>20</v>
      </c>
      <c r="D19" s="30" t="s">
        <v>156</v>
      </c>
      <c r="E19" s="30" t="s">
        <v>156</v>
      </c>
      <c r="F19" s="30" t="s">
        <v>157</v>
      </c>
      <c r="G19" s="64" t="s">
        <v>158</v>
      </c>
      <c r="H19" s="65"/>
      <c r="I19" s="30">
        <v>10</v>
      </c>
      <c r="J19" s="30">
        <v>9</v>
      </c>
    </row>
    <row r="20" spans="1:10">
      <c r="A20" s="61"/>
      <c r="B20" s="74"/>
      <c r="C20" s="24" t="s">
        <v>21</v>
      </c>
      <c r="D20" s="30" t="s">
        <v>33</v>
      </c>
      <c r="E20" s="30" t="s">
        <v>33</v>
      </c>
      <c r="F20" s="36">
        <v>0.9</v>
      </c>
      <c r="G20" s="79">
        <v>0.82340000000000002</v>
      </c>
      <c r="H20" s="65"/>
      <c r="I20" s="30">
        <v>10</v>
      </c>
      <c r="J20" s="30">
        <v>8</v>
      </c>
    </row>
    <row r="21" spans="1:10" ht="27">
      <c r="A21" s="61"/>
      <c r="B21" s="74" t="s">
        <v>94</v>
      </c>
      <c r="C21" s="24" t="s">
        <v>22</v>
      </c>
      <c r="D21" s="37"/>
      <c r="E21" s="37"/>
      <c r="F21" s="37"/>
      <c r="G21" s="69"/>
      <c r="H21" s="70"/>
      <c r="I21" s="37"/>
      <c r="J21" s="37"/>
    </row>
    <row r="22" spans="1:10" ht="52.5">
      <c r="A22" s="61"/>
      <c r="B22" s="74"/>
      <c r="C22" s="24" t="s">
        <v>23</v>
      </c>
      <c r="D22" s="30" t="s">
        <v>159</v>
      </c>
      <c r="E22" s="30" t="s">
        <v>159</v>
      </c>
      <c r="F22" s="30" t="s">
        <v>160</v>
      </c>
      <c r="G22" s="64" t="s">
        <v>161</v>
      </c>
      <c r="H22" s="65"/>
      <c r="I22" s="30">
        <v>30</v>
      </c>
      <c r="J22" s="30">
        <v>28</v>
      </c>
    </row>
    <row r="23" spans="1:10" ht="27">
      <c r="A23" s="61"/>
      <c r="B23" s="74"/>
      <c r="C23" s="24" t="s">
        <v>24</v>
      </c>
      <c r="D23" s="37"/>
      <c r="E23" s="37"/>
      <c r="F23" s="37"/>
      <c r="G23" s="69"/>
      <c r="H23" s="70"/>
      <c r="I23" s="37"/>
      <c r="J23" s="37"/>
    </row>
    <row r="24" spans="1:10" ht="27">
      <c r="A24" s="61"/>
      <c r="B24" s="74"/>
      <c r="C24" s="24" t="s">
        <v>98</v>
      </c>
      <c r="D24" s="37"/>
      <c r="E24" s="37"/>
      <c r="F24" s="37"/>
      <c r="G24" s="69"/>
      <c r="H24" s="70"/>
      <c r="I24" s="37"/>
      <c r="J24" s="37"/>
    </row>
    <row r="25" spans="1:10" ht="31.5">
      <c r="A25" s="61"/>
      <c r="B25" s="60" t="s">
        <v>25</v>
      </c>
      <c r="C25" s="62" t="s">
        <v>26</v>
      </c>
      <c r="D25" s="28" t="s">
        <v>75</v>
      </c>
      <c r="E25" s="28" t="s">
        <v>75</v>
      </c>
      <c r="F25" s="28" t="s">
        <v>76</v>
      </c>
      <c r="G25" s="64" t="s">
        <v>77</v>
      </c>
      <c r="H25" s="65"/>
      <c r="I25" s="30">
        <v>5</v>
      </c>
      <c r="J25" s="30">
        <v>5</v>
      </c>
    </row>
    <row r="26" spans="1:10" ht="21">
      <c r="A26" s="61"/>
      <c r="B26" s="61"/>
      <c r="C26" s="63"/>
      <c r="D26" s="28" t="s">
        <v>162</v>
      </c>
      <c r="E26" s="28" t="s">
        <v>162</v>
      </c>
      <c r="F26" s="28" t="s">
        <v>76</v>
      </c>
      <c r="G26" s="64" t="s">
        <v>77</v>
      </c>
      <c r="H26" s="65"/>
      <c r="I26" s="30">
        <v>5</v>
      </c>
      <c r="J26" s="30">
        <v>5</v>
      </c>
    </row>
    <row r="27" spans="1:10">
      <c r="A27" s="66" t="s">
        <v>27</v>
      </c>
      <c r="B27" s="67"/>
      <c r="C27" s="67"/>
      <c r="D27" s="67"/>
      <c r="E27" s="67"/>
      <c r="F27" s="67"/>
      <c r="G27" s="67"/>
      <c r="H27" s="68"/>
      <c r="I27" s="15">
        <f>I26+I25+I22+I20+I19+I18++I17+I16+I15</f>
        <v>100</v>
      </c>
      <c r="J27" s="15">
        <f>J26+J25+J22+J20+J19+J18++J17+J16+J15</f>
        <v>95</v>
      </c>
    </row>
    <row r="28" spans="1:10">
      <c r="A28" s="66" t="s">
        <v>28</v>
      </c>
      <c r="B28" s="67"/>
      <c r="C28" s="67"/>
      <c r="D28" s="67"/>
      <c r="E28" s="67"/>
      <c r="F28" s="67"/>
      <c r="G28" s="67"/>
      <c r="H28" s="68"/>
      <c r="I28" s="66" t="s">
        <v>78</v>
      </c>
      <c r="J28" s="68"/>
    </row>
    <row r="29" spans="1:10" ht="28.5">
      <c r="A29" s="15" t="s">
        <v>79</v>
      </c>
      <c r="B29" s="71" t="s">
        <v>100</v>
      </c>
      <c r="C29" s="72"/>
      <c r="D29" s="72"/>
      <c r="E29" s="72"/>
      <c r="F29" s="72"/>
      <c r="G29" s="72"/>
      <c r="H29" s="72"/>
      <c r="I29" s="72"/>
      <c r="J29" s="73"/>
    </row>
    <row r="30" spans="1:10" ht="28.5">
      <c r="A30" s="15" t="s">
        <v>81</v>
      </c>
      <c r="B30" s="55" t="s">
        <v>101</v>
      </c>
      <c r="C30" s="56"/>
      <c r="D30" s="56"/>
      <c r="E30" s="56"/>
      <c r="F30" s="56"/>
      <c r="G30" s="56"/>
      <c r="H30" s="56"/>
      <c r="I30" s="56"/>
      <c r="J30" s="57"/>
    </row>
    <row r="31" spans="1:10">
      <c r="A31" s="58" t="s">
        <v>102</v>
      </c>
      <c r="B31" s="58"/>
      <c r="C31" s="58"/>
      <c r="D31" s="58"/>
      <c r="E31" s="58"/>
      <c r="F31" s="58"/>
      <c r="G31" s="58"/>
      <c r="H31" s="58"/>
      <c r="I31" s="58"/>
      <c r="J31" s="58"/>
    </row>
    <row r="32" spans="1:10">
      <c r="A32" s="59"/>
      <c r="B32" s="59"/>
      <c r="C32" s="59"/>
      <c r="D32" s="59"/>
      <c r="E32" s="59"/>
      <c r="F32" s="59"/>
      <c r="G32" s="59"/>
      <c r="H32" s="59"/>
      <c r="I32" s="59"/>
      <c r="J32" s="59"/>
    </row>
  </sheetData>
  <mergeCells count="35">
    <mergeCell ref="A2:J2"/>
    <mergeCell ref="A3:J3"/>
    <mergeCell ref="A4:C4"/>
    <mergeCell ref="D4:F4"/>
    <mergeCell ref="G4:H4"/>
    <mergeCell ref="I4:J4"/>
    <mergeCell ref="A5:A13"/>
    <mergeCell ref="B5:B6"/>
    <mergeCell ref="C5:F5"/>
    <mergeCell ref="G5:J5"/>
    <mergeCell ref="A14:A26"/>
    <mergeCell ref="G14:H14"/>
    <mergeCell ref="B15:B20"/>
    <mergeCell ref="C15:C17"/>
    <mergeCell ref="G15:H15"/>
    <mergeCell ref="G16:H16"/>
    <mergeCell ref="G17:H17"/>
    <mergeCell ref="G18:H18"/>
    <mergeCell ref="G19:H19"/>
    <mergeCell ref="G20:H20"/>
    <mergeCell ref="B21:B24"/>
    <mergeCell ref="G21:H21"/>
    <mergeCell ref="G22:H22"/>
    <mergeCell ref="G23:H23"/>
    <mergeCell ref="G24:H24"/>
    <mergeCell ref="I28:J28"/>
    <mergeCell ref="B29:J29"/>
    <mergeCell ref="B30:J30"/>
    <mergeCell ref="A31:J32"/>
    <mergeCell ref="B25:B26"/>
    <mergeCell ref="C25:C26"/>
    <mergeCell ref="G25:H25"/>
    <mergeCell ref="G26:H26"/>
    <mergeCell ref="A27:H27"/>
    <mergeCell ref="A28:H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9"/>
  <sheetViews>
    <sheetView workbookViewId="0">
      <selection activeCell="O16" sqref="O16"/>
    </sheetView>
  </sheetViews>
  <sheetFormatPr defaultRowHeight="14.25"/>
  <cols>
    <col min="1" max="16384" width="9" style="3"/>
  </cols>
  <sheetData>
    <row r="1" spans="1:10">
      <c r="A1" s="25" t="s">
        <v>199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103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66" t="s">
        <v>104</v>
      </c>
      <c r="E4" s="67"/>
      <c r="F4" s="68"/>
      <c r="G4" s="74" t="s">
        <v>43</v>
      </c>
      <c r="H4" s="74"/>
      <c r="I4" s="74">
        <v>601004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9"/>
      <c r="D7" s="9"/>
      <c r="E7" s="10"/>
      <c r="F7" s="11"/>
      <c r="G7" s="11"/>
      <c r="H7" s="11"/>
      <c r="I7" s="10"/>
      <c r="J7" s="6"/>
    </row>
    <row r="8" spans="1:10" s="4" customFormat="1" ht="22.5">
      <c r="A8" s="74"/>
      <c r="B8" s="19" t="s">
        <v>50</v>
      </c>
      <c r="C8" s="9"/>
      <c r="D8" s="9"/>
      <c r="E8" s="10"/>
      <c r="F8" s="11"/>
      <c r="G8" s="11"/>
      <c r="H8" s="11"/>
      <c r="I8" s="10"/>
      <c r="J8" s="6"/>
    </row>
    <row r="9" spans="1:10" s="4" customFormat="1" ht="22.5">
      <c r="A9" s="74"/>
      <c r="B9" s="19" t="s">
        <v>51</v>
      </c>
      <c r="C9" s="9"/>
      <c r="D9" s="9"/>
      <c r="E9" s="10"/>
      <c r="F9" s="11"/>
      <c r="G9" s="11"/>
      <c r="H9" s="11"/>
      <c r="I9" s="10"/>
      <c r="J9" s="6"/>
    </row>
    <row r="10" spans="1:10" s="4" customFormat="1" ht="22.5">
      <c r="A10" s="74"/>
      <c r="B10" s="19" t="s">
        <v>52</v>
      </c>
      <c r="C10" s="9">
        <v>20</v>
      </c>
      <c r="D10" s="9"/>
      <c r="E10" s="38">
        <v>4.7094449999999997</v>
      </c>
      <c r="F10" s="39">
        <f>C10-E10</f>
        <v>15.290555000000001</v>
      </c>
      <c r="G10" s="38">
        <v>20</v>
      </c>
      <c r="H10" s="38">
        <v>4.7094449999999997</v>
      </c>
      <c r="I10" s="38">
        <f>G10-H10</f>
        <v>15.290555000000001</v>
      </c>
      <c r="J10" s="18">
        <f>I10/G10</f>
        <v>0.76452775000000006</v>
      </c>
    </row>
    <row r="11" spans="1:10" s="4" customFormat="1" ht="22.5">
      <c r="A11" s="74"/>
      <c r="B11" s="19" t="s">
        <v>8</v>
      </c>
      <c r="C11" s="9"/>
      <c r="D11" s="9"/>
      <c r="E11" s="38"/>
      <c r="F11" s="39"/>
      <c r="G11" s="39"/>
      <c r="H11" s="39"/>
      <c r="I11" s="38"/>
      <c r="J11" s="6"/>
    </row>
    <row r="12" spans="1:10" s="4" customFormat="1" ht="13.5">
      <c r="A12" s="74"/>
      <c r="B12" s="20" t="s">
        <v>53</v>
      </c>
      <c r="C12" s="9"/>
      <c r="D12" s="9"/>
      <c r="E12" s="38"/>
      <c r="F12" s="39"/>
      <c r="G12" s="39"/>
      <c r="H12" s="39"/>
      <c r="I12" s="38"/>
      <c r="J12" s="6"/>
    </row>
    <row r="13" spans="1:10" s="4" customFormat="1">
      <c r="A13" s="74"/>
      <c r="B13" s="14" t="s">
        <v>9</v>
      </c>
      <c r="C13" s="9">
        <v>20</v>
      </c>
      <c r="D13" s="9"/>
      <c r="E13" s="38">
        <v>4.7094449999999997</v>
      </c>
      <c r="F13" s="39">
        <f>C13-E13</f>
        <v>15.290555000000001</v>
      </c>
      <c r="G13" s="38">
        <v>20</v>
      </c>
      <c r="H13" s="38">
        <v>4.7094449999999997</v>
      </c>
      <c r="I13" s="38">
        <f>G13-H13</f>
        <v>15.290555000000001</v>
      </c>
      <c r="J13" s="18">
        <f>I13/G13</f>
        <v>0.76452775000000006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 ht="78.75">
      <c r="A15" s="61"/>
      <c r="B15" s="74" t="s">
        <v>105</v>
      </c>
      <c r="C15" s="62" t="s">
        <v>18</v>
      </c>
      <c r="D15" s="40" t="s">
        <v>106</v>
      </c>
      <c r="E15" s="40" t="s">
        <v>107</v>
      </c>
      <c r="F15" s="41">
        <v>1</v>
      </c>
      <c r="G15" s="83">
        <v>1</v>
      </c>
      <c r="H15" s="84"/>
      <c r="I15" s="42">
        <v>10</v>
      </c>
      <c r="J15" s="42">
        <v>10</v>
      </c>
    </row>
    <row r="16" spans="1:10" ht="56.25">
      <c r="A16" s="61"/>
      <c r="B16" s="74"/>
      <c r="C16" s="63"/>
      <c r="D16" s="40" t="s">
        <v>108</v>
      </c>
      <c r="E16" s="40" t="s">
        <v>109</v>
      </c>
      <c r="F16" s="41" t="s">
        <v>110</v>
      </c>
      <c r="G16" s="85" t="s">
        <v>110</v>
      </c>
      <c r="H16" s="84"/>
      <c r="I16" s="42">
        <v>10</v>
      </c>
      <c r="J16" s="42">
        <v>10</v>
      </c>
    </row>
    <row r="17" spans="1:10" ht="101.25">
      <c r="A17" s="61"/>
      <c r="B17" s="74"/>
      <c r="C17" s="63"/>
      <c r="D17" s="40" t="s">
        <v>111</v>
      </c>
      <c r="E17" s="40" t="s">
        <v>112</v>
      </c>
      <c r="F17" s="41" t="s">
        <v>113</v>
      </c>
      <c r="G17" s="85" t="s">
        <v>114</v>
      </c>
      <c r="H17" s="84"/>
      <c r="I17" s="42">
        <v>10</v>
      </c>
      <c r="J17" s="42">
        <v>10</v>
      </c>
    </row>
    <row r="18" spans="1:10" ht="78.75">
      <c r="A18" s="61"/>
      <c r="B18" s="74"/>
      <c r="C18" s="62" t="s">
        <v>19</v>
      </c>
      <c r="D18" s="40" t="s">
        <v>30</v>
      </c>
      <c r="E18" s="40" t="s">
        <v>31</v>
      </c>
      <c r="F18" s="42" t="s">
        <v>32</v>
      </c>
      <c r="G18" s="83">
        <v>1</v>
      </c>
      <c r="H18" s="84"/>
      <c r="I18" s="42">
        <v>10</v>
      </c>
      <c r="J18" s="42">
        <v>10</v>
      </c>
    </row>
    <row r="19" spans="1:10" ht="45">
      <c r="A19" s="61"/>
      <c r="B19" s="74"/>
      <c r="C19" s="63"/>
      <c r="D19" s="40" t="s">
        <v>115</v>
      </c>
      <c r="E19" s="40" t="s">
        <v>116</v>
      </c>
      <c r="F19" s="42" t="s">
        <v>117</v>
      </c>
      <c r="G19" s="85" t="s">
        <v>117</v>
      </c>
      <c r="H19" s="84"/>
      <c r="I19" s="42">
        <v>10</v>
      </c>
      <c r="J19" s="42">
        <v>10</v>
      </c>
    </row>
    <row r="20" spans="1:10" ht="90">
      <c r="A20" s="61"/>
      <c r="B20" s="74"/>
      <c r="C20" s="43"/>
      <c r="D20" s="40" t="s">
        <v>33</v>
      </c>
      <c r="E20" s="40" t="s">
        <v>34</v>
      </c>
      <c r="F20" s="41">
        <v>0.7</v>
      </c>
      <c r="G20" s="86">
        <v>0.23550000000000001</v>
      </c>
      <c r="H20" s="84"/>
      <c r="I20" s="42">
        <v>10</v>
      </c>
      <c r="J20" s="42">
        <v>0</v>
      </c>
    </row>
    <row r="21" spans="1:10" ht="45">
      <c r="A21" s="61"/>
      <c r="B21" s="74"/>
      <c r="C21" s="24" t="s">
        <v>20</v>
      </c>
      <c r="D21" s="40" t="s">
        <v>118</v>
      </c>
      <c r="E21" s="40" t="s">
        <v>119</v>
      </c>
      <c r="F21" s="42" t="s">
        <v>120</v>
      </c>
      <c r="G21" s="85" t="s">
        <v>121</v>
      </c>
      <c r="H21" s="84"/>
      <c r="I21" s="42">
        <v>10</v>
      </c>
      <c r="J21" s="42">
        <v>10</v>
      </c>
    </row>
    <row r="22" spans="1:10" ht="78.75">
      <c r="A22" s="61"/>
      <c r="B22" s="14" t="s">
        <v>122</v>
      </c>
      <c r="C22" s="24" t="s">
        <v>23</v>
      </c>
      <c r="D22" s="40" t="s">
        <v>35</v>
      </c>
      <c r="E22" s="44" t="s">
        <v>31</v>
      </c>
      <c r="F22" s="41" t="s">
        <v>32</v>
      </c>
      <c r="G22" s="83">
        <v>1</v>
      </c>
      <c r="H22" s="84"/>
      <c r="I22" s="42">
        <v>20</v>
      </c>
      <c r="J22" s="42">
        <v>20</v>
      </c>
    </row>
    <row r="23" spans="1:10" ht="78.75">
      <c r="A23" s="61"/>
      <c r="B23" s="13" t="s">
        <v>25</v>
      </c>
      <c r="C23" s="24" t="s">
        <v>26</v>
      </c>
      <c r="D23" s="40" t="s">
        <v>123</v>
      </c>
      <c r="E23" s="44" t="s">
        <v>37</v>
      </c>
      <c r="F23" s="42" t="s">
        <v>38</v>
      </c>
      <c r="G23" s="85" t="s">
        <v>124</v>
      </c>
      <c r="H23" s="84"/>
      <c r="I23" s="42">
        <v>10</v>
      </c>
      <c r="J23" s="42">
        <v>10</v>
      </c>
    </row>
    <row r="24" spans="1:10">
      <c r="A24" s="66" t="s">
        <v>27</v>
      </c>
      <c r="B24" s="67"/>
      <c r="C24" s="67"/>
      <c r="D24" s="67"/>
      <c r="E24" s="67"/>
      <c r="F24" s="67"/>
      <c r="G24" s="67"/>
      <c r="H24" s="68"/>
      <c r="I24" s="14">
        <v>100</v>
      </c>
      <c r="J24" s="14">
        <v>90</v>
      </c>
    </row>
    <row r="25" spans="1:10">
      <c r="A25" s="66" t="s">
        <v>28</v>
      </c>
      <c r="B25" s="67"/>
      <c r="C25" s="67"/>
      <c r="D25" s="67"/>
      <c r="E25" s="67"/>
      <c r="F25" s="67"/>
      <c r="G25" s="67"/>
      <c r="H25" s="68"/>
      <c r="I25" s="66" t="s">
        <v>29</v>
      </c>
      <c r="J25" s="68"/>
    </row>
    <row r="26" spans="1:10" ht="28.5">
      <c r="A26" s="15" t="s">
        <v>79</v>
      </c>
      <c r="B26" s="82" t="s">
        <v>125</v>
      </c>
      <c r="C26" s="82"/>
      <c r="D26" s="82"/>
      <c r="E26" s="82"/>
      <c r="F26" s="82"/>
      <c r="G26" s="82"/>
      <c r="H26" s="82"/>
      <c r="I26" s="82"/>
      <c r="J26" s="82"/>
    </row>
    <row r="27" spans="1:10" ht="28.5">
      <c r="A27" s="15" t="s">
        <v>81</v>
      </c>
      <c r="B27" s="82" t="s">
        <v>126</v>
      </c>
      <c r="C27" s="82"/>
      <c r="D27" s="82"/>
      <c r="E27" s="82"/>
      <c r="F27" s="82"/>
      <c r="G27" s="82"/>
      <c r="H27" s="82"/>
      <c r="I27" s="82"/>
      <c r="J27" s="82"/>
    </row>
    <row r="28" spans="1:10">
      <c r="A28" s="58" t="s">
        <v>127</v>
      </c>
      <c r="B28" s="58"/>
      <c r="C28" s="58"/>
      <c r="D28" s="58"/>
      <c r="E28" s="58"/>
      <c r="F28" s="58"/>
      <c r="G28" s="58"/>
      <c r="H28" s="58"/>
      <c r="I28" s="58"/>
      <c r="J28" s="58"/>
    </row>
    <row r="29" spans="1:10">
      <c r="A29" s="59"/>
      <c r="B29" s="59"/>
      <c r="C29" s="59"/>
      <c r="D29" s="59"/>
      <c r="E29" s="59"/>
      <c r="F29" s="59"/>
      <c r="G29" s="59"/>
      <c r="H29" s="59"/>
      <c r="I29" s="59"/>
      <c r="J29" s="59"/>
    </row>
  </sheetData>
  <mergeCells count="30">
    <mergeCell ref="A2:J2"/>
    <mergeCell ref="A3:J3"/>
    <mergeCell ref="A4:C4"/>
    <mergeCell ref="D4:F4"/>
    <mergeCell ref="G4:H4"/>
    <mergeCell ref="I4:J4"/>
    <mergeCell ref="G21:H21"/>
    <mergeCell ref="A5:A13"/>
    <mergeCell ref="B5:B6"/>
    <mergeCell ref="C5:F5"/>
    <mergeCell ref="G5:J5"/>
    <mergeCell ref="A14:A23"/>
    <mergeCell ref="G14:H14"/>
    <mergeCell ref="B15:B21"/>
    <mergeCell ref="C15:C17"/>
    <mergeCell ref="G15:H15"/>
    <mergeCell ref="G16:H16"/>
    <mergeCell ref="G17:H17"/>
    <mergeCell ref="C18:C19"/>
    <mergeCell ref="G18:H18"/>
    <mergeCell ref="G19:H19"/>
    <mergeCell ref="G20:H20"/>
    <mergeCell ref="B27:J27"/>
    <mergeCell ref="A28:J29"/>
    <mergeCell ref="G22:H22"/>
    <mergeCell ref="G23:H23"/>
    <mergeCell ref="A24:H24"/>
    <mergeCell ref="A25:H25"/>
    <mergeCell ref="I25:J25"/>
    <mergeCell ref="B26:J2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8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7"/>
  <sheetViews>
    <sheetView workbookViewId="0">
      <selection activeCell="F8" sqref="E8:F8"/>
    </sheetView>
  </sheetViews>
  <sheetFormatPr defaultRowHeight="14.25"/>
  <cols>
    <col min="1" max="4" width="9" style="3"/>
    <col min="5" max="5" width="11.75" style="3" customWidth="1"/>
    <col min="6" max="6" width="14.5" style="3" customWidth="1"/>
    <col min="7" max="16384" width="9" style="3"/>
  </cols>
  <sheetData>
    <row r="1" spans="1:10">
      <c r="A1" s="25" t="s">
        <v>199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103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66" t="s">
        <v>163</v>
      </c>
      <c r="E4" s="67"/>
      <c r="F4" s="68"/>
      <c r="G4" s="74" t="s">
        <v>43</v>
      </c>
      <c r="H4" s="74"/>
      <c r="I4" s="74">
        <v>601005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9">
        <v>209.3</v>
      </c>
      <c r="D7" s="9">
        <v>-5.18</v>
      </c>
      <c r="E7" s="10">
        <v>204.12</v>
      </c>
      <c r="F7" s="11">
        <v>0</v>
      </c>
      <c r="G7" s="11">
        <v>204.12</v>
      </c>
      <c r="H7" s="11">
        <v>189.76</v>
      </c>
      <c r="I7" s="10">
        <v>14.36</v>
      </c>
      <c r="J7" s="50">
        <v>7.0000000000000007E-2</v>
      </c>
    </row>
    <row r="8" spans="1:10" s="4" customFormat="1" ht="22.5">
      <c r="A8" s="74"/>
      <c r="B8" s="19" t="s">
        <v>50</v>
      </c>
      <c r="C8" s="9"/>
      <c r="D8" s="9"/>
      <c r="E8" s="10"/>
      <c r="F8" s="11"/>
      <c r="G8" s="11"/>
      <c r="H8" s="11"/>
      <c r="I8" s="10"/>
      <c r="J8" s="6"/>
    </row>
    <row r="9" spans="1:10" s="4" customFormat="1" ht="22.5">
      <c r="A9" s="74"/>
      <c r="B9" s="19" t="s">
        <v>51</v>
      </c>
      <c r="C9" s="9"/>
      <c r="D9" s="9"/>
      <c r="E9" s="10"/>
      <c r="F9" s="11"/>
      <c r="G9" s="11"/>
      <c r="H9" s="11"/>
      <c r="I9" s="10"/>
      <c r="J9" s="6"/>
    </row>
    <row r="10" spans="1:10" s="4" customFormat="1" ht="22.5">
      <c r="A10" s="74"/>
      <c r="B10" s="19" t="s">
        <v>52</v>
      </c>
      <c r="C10" s="9">
        <v>209.3</v>
      </c>
      <c r="D10" s="9">
        <v>-5.18</v>
      </c>
      <c r="E10" s="10">
        <v>204.12</v>
      </c>
      <c r="F10" s="11">
        <v>0</v>
      </c>
      <c r="G10" s="11">
        <v>204.12</v>
      </c>
      <c r="H10" s="11">
        <v>189.76</v>
      </c>
      <c r="I10" s="10">
        <v>14.36</v>
      </c>
      <c r="J10" s="50">
        <v>7.0000000000000007E-2</v>
      </c>
    </row>
    <row r="11" spans="1:10" s="4" customFormat="1" ht="22.5">
      <c r="A11" s="74"/>
      <c r="B11" s="19" t="s">
        <v>8</v>
      </c>
      <c r="C11" s="9"/>
      <c r="D11" s="9"/>
      <c r="E11" s="10"/>
      <c r="F11" s="11"/>
      <c r="G11" s="11"/>
      <c r="H11" s="11"/>
      <c r="I11" s="10"/>
      <c r="J11" s="6"/>
    </row>
    <row r="12" spans="1:10" s="4" customFormat="1" ht="13.5">
      <c r="A12" s="74"/>
      <c r="B12" s="20" t="s">
        <v>53</v>
      </c>
      <c r="C12" s="9"/>
      <c r="D12" s="9"/>
      <c r="E12" s="10"/>
      <c r="F12" s="11"/>
      <c r="G12" s="11"/>
      <c r="H12" s="11"/>
      <c r="I12" s="10"/>
      <c r="J12" s="6"/>
    </row>
    <row r="13" spans="1:10" s="4" customFormat="1">
      <c r="A13" s="74"/>
      <c r="B13" s="14" t="s">
        <v>9</v>
      </c>
      <c r="C13" s="9">
        <v>209.3</v>
      </c>
      <c r="D13" s="9">
        <v>-5.18</v>
      </c>
      <c r="E13" s="10">
        <v>204.12</v>
      </c>
      <c r="F13" s="11">
        <v>0</v>
      </c>
      <c r="G13" s="11">
        <v>204.12</v>
      </c>
      <c r="H13" s="11">
        <v>189.76</v>
      </c>
      <c r="I13" s="10">
        <v>14.36</v>
      </c>
      <c r="J13" s="50">
        <v>7.0000000000000007E-2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 ht="28.5">
      <c r="A15" s="61"/>
      <c r="B15" s="74" t="s">
        <v>164</v>
      </c>
      <c r="C15" s="62" t="s">
        <v>18</v>
      </c>
      <c r="D15" s="51" t="s">
        <v>106</v>
      </c>
      <c r="E15" s="15" t="s">
        <v>165</v>
      </c>
      <c r="F15" s="52">
        <v>1</v>
      </c>
      <c r="G15" s="87">
        <v>1</v>
      </c>
      <c r="H15" s="68"/>
      <c r="I15" s="16">
        <v>10</v>
      </c>
      <c r="J15" s="16">
        <v>10</v>
      </c>
    </row>
    <row r="16" spans="1:10" ht="28.5">
      <c r="A16" s="61"/>
      <c r="B16" s="74"/>
      <c r="C16" s="63"/>
      <c r="D16" s="51" t="s">
        <v>166</v>
      </c>
      <c r="E16" s="15" t="s">
        <v>165</v>
      </c>
      <c r="F16" s="51" t="s">
        <v>167</v>
      </c>
      <c r="G16" s="66" t="s">
        <v>167</v>
      </c>
      <c r="H16" s="68"/>
      <c r="I16" s="16">
        <v>5</v>
      </c>
      <c r="J16" s="16">
        <v>5</v>
      </c>
    </row>
    <row r="17" spans="1:11" ht="40.5">
      <c r="A17" s="61"/>
      <c r="B17" s="74"/>
      <c r="C17" s="62" t="s">
        <v>19</v>
      </c>
      <c r="D17" s="51" t="s">
        <v>115</v>
      </c>
      <c r="E17" s="15" t="s">
        <v>165</v>
      </c>
      <c r="F17" s="51" t="s">
        <v>168</v>
      </c>
      <c r="G17" s="87">
        <v>1</v>
      </c>
      <c r="H17" s="68"/>
      <c r="I17" s="16">
        <v>5</v>
      </c>
      <c r="J17" s="16">
        <v>5</v>
      </c>
    </row>
    <row r="18" spans="1:11" ht="28.5">
      <c r="A18" s="61"/>
      <c r="B18" s="74"/>
      <c r="C18" s="63"/>
      <c r="D18" s="51" t="s">
        <v>30</v>
      </c>
      <c r="E18" s="15" t="s">
        <v>165</v>
      </c>
      <c r="F18" s="51" t="s">
        <v>32</v>
      </c>
      <c r="G18" s="66" t="s">
        <v>32</v>
      </c>
      <c r="H18" s="68"/>
      <c r="I18" s="16">
        <v>10</v>
      </c>
      <c r="J18" s="16">
        <v>10</v>
      </c>
    </row>
    <row r="19" spans="1:11" ht="54">
      <c r="A19" s="61"/>
      <c r="B19" s="74"/>
      <c r="C19" s="62" t="s">
        <v>20</v>
      </c>
      <c r="D19" s="51" t="s">
        <v>169</v>
      </c>
      <c r="E19" s="15" t="s">
        <v>165</v>
      </c>
      <c r="F19" s="51" t="s">
        <v>170</v>
      </c>
      <c r="G19" s="66" t="s">
        <v>170</v>
      </c>
      <c r="H19" s="68"/>
      <c r="I19" s="14">
        <v>5</v>
      </c>
      <c r="J19" s="14">
        <v>5</v>
      </c>
    </row>
    <row r="20" spans="1:11" ht="42.75">
      <c r="A20" s="61"/>
      <c r="B20" s="74"/>
      <c r="C20" s="63"/>
      <c r="D20" s="15" t="s">
        <v>171</v>
      </c>
      <c r="E20" s="15" t="s">
        <v>165</v>
      </c>
      <c r="F20" s="14" t="s">
        <v>172</v>
      </c>
      <c r="G20" s="66" t="s">
        <v>172</v>
      </c>
      <c r="H20" s="68"/>
      <c r="I20" s="14">
        <v>5</v>
      </c>
      <c r="J20" s="53">
        <v>5</v>
      </c>
      <c r="K20" s="54"/>
    </row>
    <row r="21" spans="1:11" ht="28.5">
      <c r="A21" s="61"/>
      <c r="B21" s="74"/>
      <c r="C21" s="62" t="s">
        <v>21</v>
      </c>
      <c r="D21" s="14" t="s">
        <v>173</v>
      </c>
      <c r="E21" s="15" t="s">
        <v>165</v>
      </c>
      <c r="F21" s="14" t="s">
        <v>174</v>
      </c>
      <c r="G21" s="66" t="s">
        <v>175</v>
      </c>
      <c r="H21" s="68"/>
      <c r="I21" s="16">
        <v>10</v>
      </c>
      <c r="J21" s="16">
        <v>10</v>
      </c>
    </row>
    <row r="22" spans="1:11" ht="28.5">
      <c r="A22" s="61"/>
      <c r="B22" s="74"/>
      <c r="C22" s="63"/>
      <c r="D22" s="14" t="s">
        <v>176</v>
      </c>
      <c r="E22" s="15" t="s">
        <v>165</v>
      </c>
      <c r="F22" s="14" t="s">
        <v>38</v>
      </c>
      <c r="G22" s="66" t="s">
        <v>38</v>
      </c>
      <c r="H22" s="68"/>
      <c r="I22" s="16">
        <v>10</v>
      </c>
      <c r="J22" s="16">
        <v>10</v>
      </c>
    </row>
    <row r="23" spans="1:11" ht="28.5">
      <c r="A23" s="61"/>
      <c r="B23" s="74" t="s">
        <v>94</v>
      </c>
      <c r="C23" s="62" t="s">
        <v>22</v>
      </c>
      <c r="D23" s="15" t="s">
        <v>177</v>
      </c>
      <c r="E23" s="15" t="s">
        <v>165</v>
      </c>
      <c r="F23" s="14" t="s">
        <v>178</v>
      </c>
      <c r="G23" s="66" t="s">
        <v>179</v>
      </c>
      <c r="H23" s="68"/>
      <c r="I23" s="14">
        <v>5</v>
      </c>
      <c r="J23" s="14">
        <v>5</v>
      </c>
    </row>
    <row r="24" spans="1:11" ht="28.5">
      <c r="A24" s="61"/>
      <c r="B24" s="74"/>
      <c r="C24" s="63"/>
      <c r="D24" s="14" t="s">
        <v>180</v>
      </c>
      <c r="E24" s="14" t="s">
        <v>165</v>
      </c>
      <c r="F24" s="14" t="s">
        <v>181</v>
      </c>
      <c r="G24" s="66" t="s">
        <v>182</v>
      </c>
      <c r="H24" s="68"/>
      <c r="I24" s="14">
        <v>5</v>
      </c>
      <c r="J24" s="14">
        <v>5</v>
      </c>
    </row>
    <row r="25" spans="1:11" ht="28.5">
      <c r="A25" s="61"/>
      <c r="B25" s="74"/>
      <c r="C25" s="62" t="s">
        <v>23</v>
      </c>
      <c r="D25" s="14" t="s">
        <v>183</v>
      </c>
      <c r="E25" s="14" t="s">
        <v>165</v>
      </c>
      <c r="F25" s="14" t="s">
        <v>184</v>
      </c>
      <c r="G25" s="66" t="s">
        <v>185</v>
      </c>
      <c r="H25" s="68"/>
      <c r="I25" s="14">
        <v>4</v>
      </c>
      <c r="J25" s="14">
        <v>4</v>
      </c>
    </row>
    <row r="26" spans="1:11" ht="28.5">
      <c r="A26" s="61"/>
      <c r="B26" s="74"/>
      <c r="C26" s="63"/>
      <c r="D26" s="14" t="s">
        <v>186</v>
      </c>
      <c r="E26" s="14" t="s">
        <v>165</v>
      </c>
      <c r="F26" s="14" t="s">
        <v>187</v>
      </c>
      <c r="G26" s="66" t="s">
        <v>188</v>
      </c>
      <c r="H26" s="68"/>
      <c r="I26" s="14">
        <v>4</v>
      </c>
      <c r="J26" s="14">
        <v>4</v>
      </c>
    </row>
    <row r="27" spans="1:11" ht="28.5">
      <c r="A27" s="61"/>
      <c r="B27" s="74"/>
      <c r="C27" s="62" t="s">
        <v>24</v>
      </c>
      <c r="D27" s="14" t="s">
        <v>189</v>
      </c>
      <c r="E27" s="14" t="s">
        <v>165</v>
      </c>
      <c r="F27" s="14" t="s">
        <v>184</v>
      </c>
      <c r="G27" s="66" t="s">
        <v>188</v>
      </c>
      <c r="H27" s="68"/>
      <c r="I27" s="14">
        <v>4</v>
      </c>
      <c r="J27" s="14">
        <v>4</v>
      </c>
    </row>
    <row r="28" spans="1:11" ht="28.5">
      <c r="A28" s="61"/>
      <c r="B28" s="74"/>
      <c r="C28" s="63"/>
      <c r="D28" s="14" t="s">
        <v>190</v>
      </c>
      <c r="E28" s="14" t="s">
        <v>165</v>
      </c>
      <c r="F28" s="14" t="s">
        <v>184</v>
      </c>
      <c r="G28" s="66" t="s">
        <v>188</v>
      </c>
      <c r="H28" s="68"/>
      <c r="I28" s="14">
        <v>4</v>
      </c>
      <c r="J28" s="14">
        <v>4</v>
      </c>
    </row>
    <row r="29" spans="1:11" ht="28.5">
      <c r="A29" s="61"/>
      <c r="B29" s="74"/>
      <c r="C29" s="24" t="s">
        <v>98</v>
      </c>
      <c r="D29" s="14" t="s">
        <v>191</v>
      </c>
      <c r="E29" s="14" t="s">
        <v>165</v>
      </c>
      <c r="F29" s="14" t="s">
        <v>192</v>
      </c>
      <c r="G29" s="66" t="s">
        <v>192</v>
      </c>
      <c r="H29" s="68"/>
      <c r="I29" s="14">
        <v>4</v>
      </c>
      <c r="J29" s="14">
        <v>4</v>
      </c>
    </row>
    <row r="30" spans="1:11" ht="28.5">
      <c r="A30" s="61"/>
      <c r="B30" s="60" t="s">
        <v>25</v>
      </c>
      <c r="C30" s="62" t="s">
        <v>26</v>
      </c>
      <c r="D30" s="15" t="s">
        <v>193</v>
      </c>
      <c r="E30" s="15" t="s">
        <v>165</v>
      </c>
      <c r="F30" s="14" t="s">
        <v>194</v>
      </c>
      <c r="G30" s="66" t="s">
        <v>168</v>
      </c>
      <c r="H30" s="68"/>
      <c r="I30" s="14">
        <v>5</v>
      </c>
      <c r="J30" s="14">
        <v>2</v>
      </c>
    </row>
    <row r="31" spans="1:11" ht="28.5">
      <c r="A31" s="61"/>
      <c r="B31" s="61"/>
      <c r="C31" s="63"/>
      <c r="D31" s="15" t="s">
        <v>195</v>
      </c>
      <c r="E31" s="15" t="s">
        <v>165</v>
      </c>
      <c r="F31" s="14">
        <v>400</v>
      </c>
      <c r="G31" s="66">
        <v>700</v>
      </c>
      <c r="H31" s="68"/>
      <c r="I31" s="14">
        <v>5</v>
      </c>
      <c r="J31" s="14">
        <v>5</v>
      </c>
    </row>
    <row r="32" spans="1:11">
      <c r="A32" s="66" t="s">
        <v>27</v>
      </c>
      <c r="B32" s="67"/>
      <c r="C32" s="67"/>
      <c r="D32" s="67"/>
      <c r="E32" s="67"/>
      <c r="F32" s="67"/>
      <c r="G32" s="67"/>
      <c r="H32" s="68"/>
      <c r="I32" s="14">
        <v>100</v>
      </c>
      <c r="J32" s="14">
        <f>SUM(J15:J31)</f>
        <v>97</v>
      </c>
    </row>
    <row r="33" spans="1:10">
      <c r="A33" s="66" t="s">
        <v>28</v>
      </c>
      <c r="B33" s="67"/>
      <c r="C33" s="67"/>
      <c r="D33" s="67"/>
      <c r="E33" s="67"/>
      <c r="F33" s="67"/>
      <c r="G33" s="67"/>
      <c r="H33" s="68"/>
      <c r="I33" s="66" t="s">
        <v>196</v>
      </c>
      <c r="J33" s="68"/>
    </row>
    <row r="34" spans="1:10" ht="28.5">
      <c r="A34" s="15" t="s">
        <v>79</v>
      </c>
      <c r="B34" s="74" t="s">
        <v>197</v>
      </c>
      <c r="C34" s="74"/>
      <c r="D34" s="74"/>
      <c r="E34" s="74"/>
      <c r="F34" s="74"/>
      <c r="G34" s="74"/>
      <c r="H34" s="74"/>
      <c r="I34" s="74"/>
      <c r="J34" s="74"/>
    </row>
    <row r="35" spans="1:10" ht="28.5">
      <c r="A35" s="15" t="s">
        <v>81</v>
      </c>
      <c r="B35" s="74" t="s">
        <v>198</v>
      </c>
      <c r="C35" s="74"/>
      <c r="D35" s="74"/>
      <c r="E35" s="74"/>
      <c r="F35" s="74"/>
      <c r="G35" s="74"/>
      <c r="H35" s="74"/>
      <c r="I35" s="74"/>
      <c r="J35" s="74"/>
    </row>
    <row r="36" spans="1:10">
      <c r="A36" s="58" t="s">
        <v>127</v>
      </c>
      <c r="B36" s="58"/>
      <c r="C36" s="58"/>
      <c r="D36" s="58"/>
      <c r="E36" s="58"/>
      <c r="F36" s="58"/>
      <c r="G36" s="58"/>
      <c r="H36" s="58"/>
      <c r="I36" s="58"/>
      <c r="J36" s="58"/>
    </row>
    <row r="37" spans="1:10">
      <c r="A37" s="59"/>
      <c r="B37" s="59"/>
      <c r="C37" s="59"/>
      <c r="D37" s="59"/>
      <c r="E37" s="59"/>
      <c r="F37" s="59"/>
      <c r="G37" s="59"/>
      <c r="H37" s="59"/>
      <c r="I37" s="59"/>
      <c r="J37" s="59"/>
    </row>
  </sheetData>
  <mergeCells count="46">
    <mergeCell ref="A2:J2"/>
    <mergeCell ref="A3:J3"/>
    <mergeCell ref="A4:C4"/>
    <mergeCell ref="D4:F4"/>
    <mergeCell ref="G4:H4"/>
    <mergeCell ref="I4:J4"/>
    <mergeCell ref="A5:A13"/>
    <mergeCell ref="B5:B6"/>
    <mergeCell ref="C5:F5"/>
    <mergeCell ref="G5:J5"/>
    <mergeCell ref="A14:A31"/>
    <mergeCell ref="G14:H14"/>
    <mergeCell ref="B15:B22"/>
    <mergeCell ref="C15:C16"/>
    <mergeCell ref="G15:H15"/>
    <mergeCell ref="G16:H16"/>
    <mergeCell ref="C17:C18"/>
    <mergeCell ref="G17:H17"/>
    <mergeCell ref="G18:H18"/>
    <mergeCell ref="C19:C20"/>
    <mergeCell ref="G19:H19"/>
    <mergeCell ref="G20:H20"/>
    <mergeCell ref="C21:C22"/>
    <mergeCell ref="G21:H21"/>
    <mergeCell ref="G22:H22"/>
    <mergeCell ref="B23:B29"/>
    <mergeCell ref="C23:C24"/>
    <mergeCell ref="G23:H23"/>
    <mergeCell ref="G24:H24"/>
    <mergeCell ref="C25:C26"/>
    <mergeCell ref="G25:H25"/>
    <mergeCell ref="G26:H26"/>
    <mergeCell ref="A36:J37"/>
    <mergeCell ref="C27:C28"/>
    <mergeCell ref="G27:H27"/>
    <mergeCell ref="G28:H28"/>
    <mergeCell ref="G29:H29"/>
    <mergeCell ref="B30:B31"/>
    <mergeCell ref="C30:C31"/>
    <mergeCell ref="G30:H30"/>
    <mergeCell ref="G31:H31"/>
    <mergeCell ref="A32:H32"/>
    <mergeCell ref="A33:H33"/>
    <mergeCell ref="I33:J33"/>
    <mergeCell ref="B34:J34"/>
    <mergeCell ref="B35:J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7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8"/>
  <sheetViews>
    <sheetView workbookViewId="0">
      <selection activeCell="N29" sqref="N29"/>
    </sheetView>
  </sheetViews>
  <sheetFormatPr defaultRowHeight="14.25"/>
  <cols>
    <col min="1" max="3" width="9" style="3"/>
    <col min="4" max="4" width="10.75" style="3" customWidth="1"/>
    <col min="5" max="5" width="9.875" style="3" customWidth="1"/>
    <col min="6" max="16384" width="9" style="3"/>
  </cols>
  <sheetData>
    <row r="1" spans="1:10">
      <c r="A1" s="25" t="s">
        <v>0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128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114" t="s">
        <v>129</v>
      </c>
      <c r="E4" s="115"/>
      <c r="F4" s="116"/>
      <c r="G4" s="74" t="s">
        <v>43</v>
      </c>
      <c r="H4" s="74"/>
      <c r="I4" s="74">
        <v>601003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9">
        <v>454.6</v>
      </c>
      <c r="D7" s="9">
        <v>45.65</v>
      </c>
      <c r="E7" s="9">
        <v>500.25</v>
      </c>
      <c r="F7" s="11">
        <v>0</v>
      </c>
      <c r="G7" s="11">
        <v>500.25</v>
      </c>
      <c r="H7" s="11">
        <v>408.22</v>
      </c>
      <c r="I7" s="9">
        <f>G7-H7</f>
        <v>92.029999999999973</v>
      </c>
      <c r="J7" s="12">
        <v>0.18340000000000001</v>
      </c>
    </row>
    <row r="8" spans="1:10" s="4" customFormat="1" ht="22.5">
      <c r="A8" s="74"/>
      <c r="B8" s="19" t="s">
        <v>50</v>
      </c>
      <c r="C8" s="9"/>
      <c r="D8" s="9"/>
      <c r="E8" s="10"/>
      <c r="F8" s="11"/>
      <c r="G8" s="11"/>
      <c r="H8" s="11"/>
      <c r="I8" s="10"/>
      <c r="J8" s="6"/>
    </row>
    <row r="9" spans="1:10" s="4" customFormat="1" ht="22.5">
      <c r="A9" s="74"/>
      <c r="B9" s="19" t="s">
        <v>51</v>
      </c>
      <c r="C9" s="9"/>
      <c r="D9" s="9"/>
      <c r="E9" s="10"/>
      <c r="F9" s="11"/>
      <c r="G9" s="11"/>
      <c r="H9" s="11"/>
      <c r="I9" s="10"/>
      <c r="J9" s="6"/>
    </row>
    <row r="10" spans="1:10" s="4" customFormat="1" ht="22.5">
      <c r="A10" s="74"/>
      <c r="B10" s="19" t="s">
        <v>52</v>
      </c>
      <c r="C10" s="9">
        <v>454.6</v>
      </c>
      <c r="D10" s="9">
        <v>45.65</v>
      </c>
      <c r="E10" s="9">
        <v>500.25</v>
      </c>
      <c r="F10" s="11">
        <v>0</v>
      </c>
      <c r="G10" s="11">
        <v>500.25</v>
      </c>
      <c r="H10" s="11">
        <v>408.22</v>
      </c>
      <c r="I10" s="9">
        <f>G10-H10</f>
        <v>92.029999999999973</v>
      </c>
      <c r="J10" s="12">
        <v>0.18340000000000001</v>
      </c>
    </row>
    <row r="11" spans="1:10" s="4" customFormat="1" ht="22.5">
      <c r="A11" s="74"/>
      <c r="B11" s="19" t="s">
        <v>8</v>
      </c>
      <c r="C11" s="9"/>
      <c r="D11" s="9"/>
      <c r="E11" s="10"/>
      <c r="F11" s="11"/>
      <c r="G11" s="11"/>
      <c r="H11" s="11"/>
      <c r="I11" s="10"/>
      <c r="J11" s="6"/>
    </row>
    <row r="12" spans="1:10" s="4" customFormat="1" ht="13.5">
      <c r="A12" s="74"/>
      <c r="B12" s="20" t="s">
        <v>53</v>
      </c>
      <c r="C12" s="9"/>
      <c r="D12" s="9"/>
      <c r="E12" s="10"/>
      <c r="F12" s="11"/>
      <c r="G12" s="11"/>
      <c r="H12" s="11"/>
      <c r="I12" s="10"/>
      <c r="J12" s="6"/>
    </row>
    <row r="13" spans="1:10" s="4" customFormat="1">
      <c r="A13" s="74"/>
      <c r="B13" s="14" t="s">
        <v>9</v>
      </c>
      <c r="C13" s="9">
        <v>454.6</v>
      </c>
      <c r="D13" s="9">
        <v>45.65</v>
      </c>
      <c r="E13" s="9">
        <v>500.25</v>
      </c>
      <c r="F13" s="11">
        <v>0</v>
      </c>
      <c r="G13" s="11">
        <v>500.25</v>
      </c>
      <c r="H13" s="11">
        <v>408.22</v>
      </c>
      <c r="I13" s="9">
        <f>G13-H13</f>
        <v>92.029999999999973</v>
      </c>
      <c r="J13" s="12">
        <v>0.18340000000000001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>
      <c r="A15" s="61"/>
      <c r="B15" s="74" t="s">
        <v>130</v>
      </c>
      <c r="C15" s="62" t="s">
        <v>18</v>
      </c>
      <c r="D15" s="45" t="s">
        <v>131</v>
      </c>
      <c r="E15" s="45" t="s">
        <v>131</v>
      </c>
      <c r="F15" s="46">
        <v>1</v>
      </c>
      <c r="G15" s="105">
        <v>1</v>
      </c>
      <c r="H15" s="106"/>
      <c r="I15" s="45">
        <v>10</v>
      </c>
      <c r="J15" s="45">
        <v>10</v>
      </c>
    </row>
    <row r="16" spans="1:10" ht="21">
      <c r="A16" s="61"/>
      <c r="B16" s="74"/>
      <c r="C16" s="63"/>
      <c r="D16" s="45" t="s">
        <v>132</v>
      </c>
      <c r="E16" s="45" t="s">
        <v>132</v>
      </c>
      <c r="F16" s="45" t="s">
        <v>133</v>
      </c>
      <c r="G16" s="107" t="s">
        <v>134</v>
      </c>
      <c r="H16" s="108"/>
      <c r="I16" s="45">
        <v>20</v>
      </c>
      <c r="J16" s="45">
        <v>20</v>
      </c>
    </row>
    <row r="17" spans="1:10">
      <c r="A17" s="61"/>
      <c r="B17" s="74"/>
      <c r="C17" s="62" t="s">
        <v>19</v>
      </c>
      <c r="D17" s="90" t="s">
        <v>135</v>
      </c>
      <c r="E17" s="90" t="s">
        <v>135</v>
      </c>
      <c r="F17" s="103" t="s">
        <v>36</v>
      </c>
      <c r="G17" s="102">
        <v>1</v>
      </c>
      <c r="H17" s="93"/>
      <c r="I17" s="88">
        <v>10</v>
      </c>
      <c r="J17" s="88">
        <v>10</v>
      </c>
    </row>
    <row r="18" spans="1:10">
      <c r="A18" s="61"/>
      <c r="B18" s="74"/>
      <c r="C18" s="63"/>
      <c r="D18" s="91"/>
      <c r="E18" s="91"/>
      <c r="F18" s="104"/>
      <c r="G18" s="94"/>
      <c r="H18" s="95"/>
      <c r="I18" s="89"/>
      <c r="J18" s="89"/>
    </row>
    <row r="19" spans="1:10">
      <c r="A19" s="61"/>
      <c r="B19" s="74"/>
      <c r="C19" s="62" t="s">
        <v>20</v>
      </c>
      <c r="D19" s="90" t="s">
        <v>136</v>
      </c>
      <c r="E19" s="90" t="s">
        <v>136</v>
      </c>
      <c r="F19" s="90" t="s">
        <v>137</v>
      </c>
      <c r="G19" s="92" t="s">
        <v>138</v>
      </c>
      <c r="H19" s="93"/>
      <c r="I19" s="88">
        <v>10</v>
      </c>
      <c r="J19" s="88">
        <v>10</v>
      </c>
    </row>
    <row r="20" spans="1:10">
      <c r="A20" s="61"/>
      <c r="B20" s="74"/>
      <c r="C20" s="63"/>
      <c r="D20" s="91"/>
      <c r="E20" s="91"/>
      <c r="F20" s="91"/>
      <c r="G20" s="94"/>
      <c r="H20" s="95"/>
      <c r="I20" s="89"/>
      <c r="J20" s="89"/>
    </row>
    <row r="21" spans="1:10">
      <c r="A21" s="61"/>
      <c r="B21" s="74"/>
      <c r="C21" s="62" t="s">
        <v>21</v>
      </c>
      <c r="D21" s="90" t="s">
        <v>139</v>
      </c>
      <c r="E21" s="90" t="s">
        <v>139</v>
      </c>
      <c r="F21" s="103">
        <v>0.9</v>
      </c>
      <c r="G21" s="102">
        <v>0.81659999999999999</v>
      </c>
      <c r="H21" s="93"/>
      <c r="I21" s="88">
        <v>10</v>
      </c>
      <c r="J21" s="88">
        <v>6</v>
      </c>
    </row>
    <row r="22" spans="1:10">
      <c r="A22" s="61"/>
      <c r="B22" s="74"/>
      <c r="C22" s="63"/>
      <c r="D22" s="91"/>
      <c r="E22" s="91"/>
      <c r="F22" s="91"/>
      <c r="G22" s="94"/>
      <c r="H22" s="95"/>
      <c r="I22" s="89"/>
      <c r="J22" s="89"/>
    </row>
    <row r="23" spans="1:10">
      <c r="A23" s="61"/>
      <c r="B23" s="74" t="s">
        <v>94</v>
      </c>
      <c r="C23" s="62" t="s">
        <v>22</v>
      </c>
      <c r="D23" s="96"/>
      <c r="E23" s="96"/>
      <c r="F23" s="96"/>
      <c r="G23" s="98"/>
      <c r="H23" s="99"/>
      <c r="I23" s="96"/>
      <c r="J23" s="96"/>
    </row>
    <row r="24" spans="1:10">
      <c r="A24" s="61"/>
      <c r="B24" s="74"/>
      <c r="C24" s="63"/>
      <c r="D24" s="97"/>
      <c r="E24" s="97"/>
      <c r="F24" s="97"/>
      <c r="G24" s="100"/>
      <c r="H24" s="101"/>
      <c r="I24" s="97"/>
      <c r="J24" s="97"/>
    </row>
    <row r="25" spans="1:10">
      <c r="A25" s="61"/>
      <c r="B25" s="74"/>
      <c r="C25" s="62" t="s">
        <v>23</v>
      </c>
      <c r="D25" s="90" t="s">
        <v>140</v>
      </c>
      <c r="E25" s="90" t="s">
        <v>140</v>
      </c>
      <c r="F25" s="90" t="s">
        <v>140</v>
      </c>
      <c r="G25" s="102" t="s">
        <v>141</v>
      </c>
      <c r="H25" s="93"/>
      <c r="I25" s="88">
        <v>30</v>
      </c>
      <c r="J25" s="88">
        <v>28</v>
      </c>
    </row>
    <row r="26" spans="1:10">
      <c r="A26" s="61"/>
      <c r="B26" s="74"/>
      <c r="C26" s="63"/>
      <c r="D26" s="91"/>
      <c r="E26" s="91"/>
      <c r="F26" s="91"/>
      <c r="G26" s="94"/>
      <c r="H26" s="95"/>
      <c r="I26" s="89"/>
      <c r="J26" s="89"/>
    </row>
    <row r="27" spans="1:10">
      <c r="A27" s="61"/>
      <c r="B27" s="74"/>
      <c r="C27" s="62" t="s">
        <v>24</v>
      </c>
      <c r="D27" s="96"/>
      <c r="E27" s="96"/>
      <c r="F27" s="96"/>
      <c r="G27" s="98"/>
      <c r="H27" s="99"/>
      <c r="I27" s="96"/>
      <c r="J27" s="96"/>
    </row>
    <row r="28" spans="1:10">
      <c r="A28" s="61"/>
      <c r="B28" s="74"/>
      <c r="C28" s="63"/>
      <c r="D28" s="97"/>
      <c r="E28" s="97"/>
      <c r="F28" s="97"/>
      <c r="G28" s="100"/>
      <c r="H28" s="101"/>
      <c r="I28" s="97"/>
      <c r="J28" s="97"/>
    </row>
    <row r="29" spans="1:10">
      <c r="A29" s="61"/>
      <c r="B29" s="74"/>
      <c r="C29" s="62" t="s">
        <v>98</v>
      </c>
      <c r="D29" s="96"/>
      <c r="E29" s="96"/>
      <c r="F29" s="96"/>
      <c r="G29" s="98"/>
      <c r="H29" s="99"/>
      <c r="I29" s="96"/>
      <c r="J29" s="96"/>
    </row>
    <row r="30" spans="1:10">
      <c r="A30" s="61"/>
      <c r="B30" s="74"/>
      <c r="C30" s="63"/>
      <c r="D30" s="97"/>
      <c r="E30" s="97"/>
      <c r="F30" s="97"/>
      <c r="G30" s="100"/>
      <c r="H30" s="101"/>
      <c r="I30" s="97"/>
      <c r="J30" s="97"/>
    </row>
    <row r="31" spans="1:10">
      <c r="A31" s="61"/>
      <c r="B31" s="60" t="s">
        <v>25</v>
      </c>
      <c r="C31" s="62" t="s">
        <v>26</v>
      </c>
      <c r="D31" s="90" t="s">
        <v>142</v>
      </c>
      <c r="E31" s="90" t="s">
        <v>143</v>
      </c>
      <c r="F31" s="90" t="s">
        <v>144</v>
      </c>
      <c r="G31" s="92" t="s">
        <v>145</v>
      </c>
      <c r="H31" s="93"/>
      <c r="I31" s="88">
        <v>10</v>
      </c>
      <c r="J31" s="88">
        <v>9</v>
      </c>
    </row>
    <row r="32" spans="1:10">
      <c r="A32" s="61"/>
      <c r="B32" s="61"/>
      <c r="C32" s="63"/>
      <c r="D32" s="91"/>
      <c r="E32" s="91"/>
      <c r="F32" s="91"/>
      <c r="G32" s="94"/>
      <c r="H32" s="95"/>
      <c r="I32" s="89"/>
      <c r="J32" s="89"/>
    </row>
    <row r="33" spans="1:10">
      <c r="A33" s="66" t="s">
        <v>27</v>
      </c>
      <c r="B33" s="67"/>
      <c r="C33" s="67"/>
      <c r="D33" s="67"/>
      <c r="E33" s="67"/>
      <c r="F33" s="67"/>
      <c r="G33" s="67"/>
      <c r="H33" s="68"/>
      <c r="I33" s="47">
        <v>100</v>
      </c>
      <c r="J33" s="15">
        <v>93</v>
      </c>
    </row>
    <row r="34" spans="1:10">
      <c r="A34" s="66" t="s">
        <v>28</v>
      </c>
      <c r="B34" s="67"/>
      <c r="C34" s="67"/>
      <c r="D34" s="67"/>
      <c r="E34" s="67"/>
      <c r="F34" s="67"/>
      <c r="G34" s="67"/>
      <c r="H34" s="68"/>
      <c r="I34" s="66" t="s">
        <v>149</v>
      </c>
      <c r="J34" s="68"/>
    </row>
    <row r="35" spans="1:10" ht="28.5">
      <c r="A35" s="15" t="s">
        <v>79</v>
      </c>
      <c r="B35" s="71" t="s">
        <v>146</v>
      </c>
      <c r="C35" s="72"/>
      <c r="D35" s="72"/>
      <c r="E35" s="72"/>
      <c r="F35" s="72"/>
      <c r="G35" s="72"/>
      <c r="H35" s="72"/>
      <c r="I35" s="72"/>
      <c r="J35" s="73"/>
    </row>
    <row r="36" spans="1:10" ht="28.5">
      <c r="A36" s="15" t="s">
        <v>81</v>
      </c>
      <c r="B36" s="55" t="s">
        <v>147</v>
      </c>
      <c r="C36" s="56"/>
      <c r="D36" s="56"/>
      <c r="E36" s="56"/>
      <c r="F36" s="56"/>
      <c r="G36" s="56"/>
      <c r="H36" s="56"/>
      <c r="I36" s="56"/>
      <c r="J36" s="57"/>
    </row>
    <row r="37" spans="1:10">
      <c r="A37" s="58" t="s">
        <v>148</v>
      </c>
      <c r="B37" s="58"/>
      <c r="C37" s="58"/>
      <c r="D37" s="58"/>
      <c r="E37" s="58"/>
      <c r="F37" s="58"/>
      <c r="G37" s="58"/>
      <c r="H37" s="58"/>
      <c r="I37" s="58"/>
      <c r="J37" s="58"/>
    </row>
    <row r="38" spans="1:10">
      <c r="A38" s="59"/>
      <c r="B38" s="59"/>
      <c r="C38" s="59"/>
      <c r="D38" s="59"/>
      <c r="E38" s="59"/>
      <c r="F38" s="59"/>
      <c r="G38" s="59"/>
      <c r="H38" s="59"/>
      <c r="I38" s="59"/>
      <c r="J38" s="59"/>
    </row>
  </sheetData>
  <mergeCells count="80">
    <mergeCell ref="A2:J2"/>
    <mergeCell ref="A3:J3"/>
    <mergeCell ref="A4:C4"/>
    <mergeCell ref="D4:F4"/>
    <mergeCell ref="G4:H4"/>
    <mergeCell ref="I4:J4"/>
    <mergeCell ref="A5:A13"/>
    <mergeCell ref="B5:B6"/>
    <mergeCell ref="C5:F5"/>
    <mergeCell ref="G5:J5"/>
    <mergeCell ref="A14:A32"/>
    <mergeCell ref="G14:H14"/>
    <mergeCell ref="B15:B22"/>
    <mergeCell ref="C15:C16"/>
    <mergeCell ref="G15:H15"/>
    <mergeCell ref="G16:H16"/>
    <mergeCell ref="I21:I22"/>
    <mergeCell ref="J17:J18"/>
    <mergeCell ref="C19:C20"/>
    <mergeCell ref="D19:D20"/>
    <mergeCell ref="E19:E20"/>
    <mergeCell ref="F19:F20"/>
    <mergeCell ref="G19:H20"/>
    <mergeCell ref="I19:I20"/>
    <mergeCell ref="J19:J20"/>
    <mergeCell ref="C17:C18"/>
    <mergeCell ref="D17:D18"/>
    <mergeCell ref="E17:E18"/>
    <mergeCell ref="F17:F18"/>
    <mergeCell ref="G17:H18"/>
    <mergeCell ref="I17:I18"/>
    <mergeCell ref="J25:J26"/>
    <mergeCell ref="J21:J22"/>
    <mergeCell ref="B23:B30"/>
    <mergeCell ref="C23:C24"/>
    <mergeCell ref="D23:D24"/>
    <mergeCell ref="E23:E24"/>
    <mergeCell ref="F23:F24"/>
    <mergeCell ref="G23:H24"/>
    <mergeCell ref="I23:I24"/>
    <mergeCell ref="J23:J24"/>
    <mergeCell ref="C25:C26"/>
    <mergeCell ref="C21:C22"/>
    <mergeCell ref="D21:D22"/>
    <mergeCell ref="E21:E22"/>
    <mergeCell ref="F21:F22"/>
    <mergeCell ref="G21:H22"/>
    <mergeCell ref="D25:D26"/>
    <mergeCell ref="E25:E26"/>
    <mergeCell ref="F25:F26"/>
    <mergeCell ref="G25:H26"/>
    <mergeCell ref="I25:I26"/>
    <mergeCell ref="J27:J28"/>
    <mergeCell ref="C29:C30"/>
    <mergeCell ref="D29:D30"/>
    <mergeCell ref="E29:E30"/>
    <mergeCell ref="F29:F30"/>
    <mergeCell ref="G29:H30"/>
    <mergeCell ref="I29:I30"/>
    <mergeCell ref="J29:J30"/>
    <mergeCell ref="C27:C28"/>
    <mergeCell ref="D27:D28"/>
    <mergeCell ref="E27:E28"/>
    <mergeCell ref="F27:F28"/>
    <mergeCell ref="G27:H28"/>
    <mergeCell ref="I27:I28"/>
    <mergeCell ref="B36:J36"/>
    <mergeCell ref="A37:J38"/>
    <mergeCell ref="I31:I32"/>
    <mergeCell ref="J31:J32"/>
    <mergeCell ref="A33:H33"/>
    <mergeCell ref="A34:H34"/>
    <mergeCell ref="I34:J34"/>
    <mergeCell ref="B35:J35"/>
    <mergeCell ref="B31:B32"/>
    <mergeCell ref="C31:C32"/>
    <mergeCell ref="D31:D32"/>
    <mergeCell ref="E31:E32"/>
    <mergeCell ref="F31:F32"/>
    <mergeCell ref="G31:H3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6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8"/>
  <sheetViews>
    <sheetView tabSelected="1" workbookViewId="0">
      <selection activeCell="D4" sqref="D4:F4"/>
    </sheetView>
  </sheetViews>
  <sheetFormatPr defaultRowHeight="14.25"/>
  <cols>
    <col min="1" max="3" width="9" style="3"/>
    <col min="4" max="4" width="11.5" style="3" customWidth="1"/>
    <col min="5" max="5" width="10.75" style="3" customWidth="1"/>
    <col min="6" max="6" width="16" style="3" customWidth="1"/>
    <col min="7" max="16384" width="9" style="3"/>
  </cols>
  <sheetData>
    <row r="1" spans="1:10" ht="20.25">
      <c r="A1" s="1" t="s">
        <v>0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40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114" t="s">
        <v>42</v>
      </c>
      <c r="E4" s="115"/>
      <c r="F4" s="116"/>
      <c r="G4" s="74" t="s">
        <v>43</v>
      </c>
      <c r="H4" s="74"/>
      <c r="I4" s="74">
        <v>601007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9">
        <v>201.66</v>
      </c>
      <c r="D7" s="9">
        <v>62.25</v>
      </c>
      <c r="E7" s="10">
        <v>271.55</v>
      </c>
      <c r="F7" s="11">
        <v>0</v>
      </c>
      <c r="G7" s="11">
        <v>271.55</v>
      </c>
      <c r="H7" s="11">
        <v>193.52</v>
      </c>
      <c r="I7" s="10">
        <v>78.03</v>
      </c>
      <c r="J7" s="18">
        <f>I7/G7</f>
        <v>0.28735039587552935</v>
      </c>
    </row>
    <row r="8" spans="1:10" s="4" customFormat="1" ht="22.5">
      <c r="A8" s="74"/>
      <c r="B8" s="19" t="s">
        <v>50</v>
      </c>
      <c r="C8" s="9"/>
      <c r="D8" s="9"/>
      <c r="E8" s="10"/>
      <c r="F8" s="11"/>
      <c r="G8" s="11"/>
      <c r="H8" s="11"/>
      <c r="I8" s="10"/>
      <c r="J8" s="6"/>
    </row>
    <row r="9" spans="1:10" s="4" customFormat="1" ht="22.5">
      <c r="A9" s="74"/>
      <c r="B9" s="19" t="s">
        <v>51</v>
      </c>
      <c r="C9" s="9"/>
      <c r="D9" s="9"/>
      <c r="E9" s="10"/>
      <c r="F9" s="11"/>
      <c r="G9" s="11"/>
      <c r="H9" s="11"/>
      <c r="I9" s="10"/>
      <c r="J9" s="6"/>
    </row>
    <row r="10" spans="1:10" s="4" customFormat="1" ht="22.5">
      <c r="A10" s="74"/>
      <c r="B10" s="19" t="s">
        <v>52</v>
      </c>
      <c r="C10" s="9">
        <v>201.66</v>
      </c>
      <c r="D10" s="9">
        <v>62.25</v>
      </c>
      <c r="E10" s="10">
        <v>271.55</v>
      </c>
      <c r="F10" s="11">
        <v>0</v>
      </c>
      <c r="G10" s="11">
        <v>271.55</v>
      </c>
      <c r="H10" s="11">
        <v>193.52</v>
      </c>
      <c r="I10" s="10">
        <v>78.03</v>
      </c>
      <c r="J10" s="18">
        <f>I10/G10</f>
        <v>0.28735039587552935</v>
      </c>
    </row>
    <row r="11" spans="1:10" s="4" customFormat="1" ht="22.5">
      <c r="A11" s="74"/>
      <c r="B11" s="19" t="s">
        <v>8</v>
      </c>
      <c r="C11" s="9"/>
      <c r="D11" s="9"/>
      <c r="E11" s="10"/>
      <c r="F11" s="11"/>
      <c r="G11" s="11"/>
      <c r="H11" s="11"/>
      <c r="I11" s="10"/>
      <c r="J11" s="6"/>
    </row>
    <row r="12" spans="1:10" s="4" customFormat="1" ht="13.5">
      <c r="A12" s="74"/>
      <c r="B12" s="20" t="s">
        <v>53</v>
      </c>
      <c r="C12" s="9"/>
      <c r="D12" s="9"/>
      <c r="E12" s="10"/>
      <c r="F12" s="11"/>
      <c r="G12" s="11"/>
      <c r="H12" s="11"/>
      <c r="I12" s="10"/>
      <c r="J12" s="6"/>
    </row>
    <row r="13" spans="1:10" s="4" customFormat="1">
      <c r="A13" s="74"/>
      <c r="B13" s="14" t="s">
        <v>9</v>
      </c>
      <c r="C13" s="9">
        <v>201.66</v>
      </c>
      <c r="D13" s="9">
        <v>62.25</v>
      </c>
      <c r="E13" s="10">
        <v>271.55</v>
      </c>
      <c r="F13" s="11">
        <v>0</v>
      </c>
      <c r="G13" s="11">
        <v>271.55</v>
      </c>
      <c r="H13" s="11">
        <v>193.52</v>
      </c>
      <c r="I13" s="10">
        <v>78.03</v>
      </c>
      <c r="J13" s="18">
        <f>I13/G13</f>
        <v>0.28735039587552935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 ht="22.5">
      <c r="A15" s="61"/>
      <c r="B15" s="74" t="s">
        <v>55</v>
      </c>
      <c r="C15" s="62" t="s">
        <v>18</v>
      </c>
      <c r="D15" s="21" t="s">
        <v>56</v>
      </c>
      <c r="E15" s="21" t="str">
        <f>D15</f>
        <v>业务费细化率</v>
      </c>
      <c r="F15" s="22">
        <v>1</v>
      </c>
      <c r="G15" s="111">
        <v>1</v>
      </c>
      <c r="H15" s="112"/>
      <c r="I15" s="23">
        <v>10</v>
      </c>
      <c r="J15" s="23">
        <v>10</v>
      </c>
    </row>
    <row r="16" spans="1:10" ht="22.5">
      <c r="A16" s="61"/>
      <c r="B16" s="74"/>
      <c r="C16" s="75"/>
      <c r="D16" s="21" t="s">
        <v>57</v>
      </c>
      <c r="E16" s="21" t="str">
        <f t="shared" ref="E16:E23" si="0">D16</f>
        <v>保障对象人数情况</v>
      </c>
      <c r="F16" s="21" t="s">
        <v>58</v>
      </c>
      <c r="G16" s="111" t="s">
        <v>59</v>
      </c>
      <c r="H16" s="112" t="s">
        <v>59</v>
      </c>
      <c r="I16" s="23">
        <v>10</v>
      </c>
      <c r="J16" s="23">
        <v>10</v>
      </c>
    </row>
    <row r="17" spans="1:10" ht="33.75">
      <c r="A17" s="61"/>
      <c r="B17" s="74"/>
      <c r="C17" s="62" t="s">
        <v>19</v>
      </c>
      <c r="D17" s="21" t="s">
        <v>60</v>
      </c>
      <c r="E17" s="21" t="s">
        <v>60</v>
      </c>
      <c r="F17" s="21" t="s">
        <v>61</v>
      </c>
      <c r="G17" s="111" t="s">
        <v>62</v>
      </c>
      <c r="H17" s="112" t="s">
        <v>62</v>
      </c>
      <c r="I17" s="23">
        <v>5</v>
      </c>
      <c r="J17" s="23">
        <v>1</v>
      </c>
    </row>
    <row r="18" spans="1:10" ht="22.5">
      <c r="A18" s="61"/>
      <c r="B18" s="74"/>
      <c r="C18" s="63"/>
      <c r="D18" s="21" t="s">
        <v>63</v>
      </c>
      <c r="E18" s="21" t="s">
        <v>63</v>
      </c>
      <c r="F18" s="22">
        <v>1</v>
      </c>
      <c r="G18" s="111">
        <v>1</v>
      </c>
      <c r="H18" s="112">
        <v>1</v>
      </c>
      <c r="I18" s="23">
        <v>5</v>
      </c>
      <c r="J18" s="23">
        <v>5</v>
      </c>
    </row>
    <row r="19" spans="1:10" ht="22.5">
      <c r="A19" s="61"/>
      <c r="B19" s="74"/>
      <c r="C19" s="75"/>
      <c r="D19" s="21" t="s">
        <v>64</v>
      </c>
      <c r="E19" s="21" t="s">
        <v>64</v>
      </c>
      <c r="F19" s="21" t="s">
        <v>65</v>
      </c>
      <c r="G19" s="111">
        <v>1</v>
      </c>
      <c r="H19" s="112">
        <v>1</v>
      </c>
      <c r="I19" s="23">
        <v>10</v>
      </c>
      <c r="J19" s="23">
        <v>10</v>
      </c>
    </row>
    <row r="20" spans="1:10" ht="45">
      <c r="A20" s="61"/>
      <c r="B20" s="74"/>
      <c r="C20" s="24" t="s">
        <v>20</v>
      </c>
      <c r="D20" s="21" t="s">
        <v>66</v>
      </c>
      <c r="E20" s="21" t="str">
        <f t="shared" si="0"/>
        <v>4个项目实施时间与计划时间的差异情况</v>
      </c>
      <c r="F20" s="21" t="s">
        <v>67</v>
      </c>
      <c r="G20" s="111" t="s">
        <v>68</v>
      </c>
      <c r="H20" s="112" t="s">
        <v>69</v>
      </c>
      <c r="I20" s="23">
        <v>10</v>
      </c>
      <c r="J20" s="23">
        <v>10</v>
      </c>
    </row>
    <row r="21" spans="1:10">
      <c r="A21" s="61"/>
      <c r="B21" s="74"/>
      <c r="C21" s="24" t="s">
        <v>21</v>
      </c>
      <c r="D21" s="21" t="s">
        <v>70</v>
      </c>
      <c r="E21" s="21" t="str">
        <f t="shared" si="0"/>
        <v>预算完成率</v>
      </c>
      <c r="F21" s="22">
        <v>0.9</v>
      </c>
      <c r="G21" s="111">
        <v>0.71260000000000001</v>
      </c>
      <c r="H21" s="112"/>
      <c r="I21" s="23">
        <v>10</v>
      </c>
      <c r="J21" s="23">
        <v>8</v>
      </c>
    </row>
    <row r="22" spans="1:10" ht="45">
      <c r="A22" s="61"/>
      <c r="B22" s="14" t="s">
        <v>71</v>
      </c>
      <c r="C22" s="24" t="s">
        <v>23</v>
      </c>
      <c r="D22" s="21" t="s">
        <v>72</v>
      </c>
      <c r="E22" s="21" t="str">
        <f>D22</f>
        <v>乡镇机构改革组建片区财务工作衔接</v>
      </c>
      <c r="F22" s="21" t="s">
        <v>73</v>
      </c>
      <c r="G22" s="109" t="s">
        <v>74</v>
      </c>
      <c r="H22" s="110" t="s">
        <v>74</v>
      </c>
      <c r="I22" s="23">
        <v>30</v>
      </c>
      <c r="J22" s="23">
        <v>30</v>
      </c>
    </row>
    <row r="23" spans="1:10" ht="42.75">
      <c r="A23" s="61"/>
      <c r="B23" s="13" t="s">
        <v>25</v>
      </c>
      <c r="C23" s="24" t="s">
        <v>26</v>
      </c>
      <c r="D23" s="21" t="s">
        <v>75</v>
      </c>
      <c r="E23" s="21" t="str">
        <f t="shared" si="0"/>
        <v>人员对工资发放及时的满意度</v>
      </c>
      <c r="F23" s="21" t="s">
        <v>76</v>
      </c>
      <c r="G23" s="111" t="s">
        <v>77</v>
      </c>
      <c r="H23" s="112" t="s">
        <v>77</v>
      </c>
      <c r="I23" s="23">
        <v>10</v>
      </c>
      <c r="J23" s="23">
        <v>10</v>
      </c>
    </row>
    <row r="24" spans="1:10">
      <c r="A24" s="66" t="s">
        <v>27</v>
      </c>
      <c r="B24" s="67"/>
      <c r="C24" s="67"/>
      <c r="D24" s="67"/>
      <c r="E24" s="67"/>
      <c r="F24" s="67"/>
      <c r="G24" s="67"/>
      <c r="H24" s="68"/>
      <c r="I24" s="14">
        <f>SUM(I15:I23)</f>
        <v>100</v>
      </c>
      <c r="J24" s="14">
        <f>SUM(J15:J23)</f>
        <v>94</v>
      </c>
    </row>
    <row r="25" spans="1:10">
      <c r="A25" s="66" t="s">
        <v>28</v>
      </c>
      <c r="B25" s="67"/>
      <c r="C25" s="67"/>
      <c r="D25" s="67"/>
      <c r="E25" s="67"/>
      <c r="F25" s="67"/>
      <c r="G25" s="67"/>
      <c r="H25" s="68"/>
      <c r="I25" s="66" t="s">
        <v>78</v>
      </c>
      <c r="J25" s="68"/>
    </row>
    <row r="26" spans="1:10" ht="28.5">
      <c r="A26" s="15" t="s">
        <v>79</v>
      </c>
      <c r="B26" s="71" t="s">
        <v>80</v>
      </c>
      <c r="C26" s="72"/>
      <c r="D26" s="72"/>
      <c r="E26" s="72"/>
      <c r="F26" s="72"/>
      <c r="G26" s="72"/>
      <c r="H26" s="72"/>
      <c r="I26" s="72"/>
      <c r="J26" s="73"/>
    </row>
    <row r="27" spans="1:10" ht="28.5">
      <c r="A27" s="15" t="s">
        <v>81</v>
      </c>
      <c r="B27" s="71" t="s">
        <v>82</v>
      </c>
      <c r="C27" s="72"/>
      <c r="D27" s="72"/>
      <c r="E27" s="72"/>
      <c r="F27" s="72"/>
      <c r="G27" s="72"/>
      <c r="H27" s="72"/>
      <c r="I27" s="72"/>
      <c r="J27" s="73"/>
    </row>
    <row r="28" spans="1:10">
      <c r="A28" s="58" t="s">
        <v>83</v>
      </c>
      <c r="B28" s="58"/>
      <c r="C28" s="58"/>
      <c r="D28" s="58"/>
      <c r="E28" s="58"/>
      <c r="F28" s="58"/>
      <c r="G28" s="58"/>
      <c r="H28" s="58"/>
      <c r="I28" s="58"/>
      <c r="J28" s="58"/>
    </row>
  </sheetData>
  <mergeCells count="30">
    <mergeCell ref="A2:J2"/>
    <mergeCell ref="A3:J3"/>
    <mergeCell ref="A4:C4"/>
    <mergeCell ref="D4:F4"/>
    <mergeCell ref="G4:H4"/>
    <mergeCell ref="I4:J4"/>
    <mergeCell ref="G21:H21"/>
    <mergeCell ref="A5:A13"/>
    <mergeCell ref="B5:B6"/>
    <mergeCell ref="C5:F5"/>
    <mergeCell ref="G5:J5"/>
    <mergeCell ref="A14:A23"/>
    <mergeCell ref="G14:H14"/>
    <mergeCell ref="B15:B21"/>
    <mergeCell ref="C15:C16"/>
    <mergeCell ref="G15:H15"/>
    <mergeCell ref="G16:H16"/>
    <mergeCell ref="C17:C19"/>
    <mergeCell ref="G17:H17"/>
    <mergeCell ref="G18:H18"/>
    <mergeCell ref="G19:H19"/>
    <mergeCell ref="G20:H20"/>
    <mergeCell ref="B27:J27"/>
    <mergeCell ref="A28:J28"/>
    <mergeCell ref="G22:H22"/>
    <mergeCell ref="G23:H23"/>
    <mergeCell ref="A24:H24"/>
    <mergeCell ref="A25:H25"/>
    <mergeCell ref="I25:J25"/>
    <mergeCell ref="B26:J2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8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2"/>
  <sheetViews>
    <sheetView workbookViewId="0">
      <selection activeCell="F24" sqref="F24"/>
    </sheetView>
  </sheetViews>
  <sheetFormatPr defaultRowHeight="14.25"/>
  <cols>
    <col min="1" max="16384" width="9" style="3"/>
  </cols>
  <sheetData>
    <row r="1" spans="1:10">
      <c r="A1" s="25" t="s">
        <v>200</v>
      </c>
      <c r="B1" s="2"/>
      <c r="C1" s="2"/>
      <c r="D1" s="2"/>
      <c r="E1" s="2"/>
    </row>
    <row r="2" spans="1:10" ht="20.25">
      <c r="A2" s="80" t="s">
        <v>39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81" t="s">
        <v>84</v>
      </c>
      <c r="B3" s="81"/>
      <c r="C3" s="81"/>
      <c r="D3" s="81"/>
      <c r="E3" s="81"/>
      <c r="F3" s="81"/>
      <c r="G3" s="81"/>
      <c r="H3" s="81"/>
      <c r="I3" s="81"/>
      <c r="J3" s="81"/>
    </row>
    <row r="4" spans="1:10">
      <c r="A4" s="74" t="s">
        <v>41</v>
      </c>
      <c r="B4" s="74"/>
      <c r="C4" s="74"/>
      <c r="D4" s="113" t="s">
        <v>85</v>
      </c>
      <c r="E4" s="74"/>
      <c r="F4" s="74"/>
      <c r="G4" s="74" t="s">
        <v>43</v>
      </c>
      <c r="H4" s="74"/>
      <c r="I4" s="74">
        <v>601010</v>
      </c>
      <c r="J4" s="74"/>
    </row>
    <row r="5" spans="1:10" s="4" customFormat="1" ht="13.5">
      <c r="A5" s="74" t="s">
        <v>1</v>
      </c>
      <c r="B5" s="62" t="s">
        <v>2</v>
      </c>
      <c r="C5" s="76" t="s">
        <v>44</v>
      </c>
      <c r="D5" s="76"/>
      <c r="E5" s="76"/>
      <c r="F5" s="76"/>
      <c r="G5" s="77" t="s">
        <v>45</v>
      </c>
      <c r="H5" s="77"/>
      <c r="I5" s="77"/>
      <c r="J5" s="77"/>
    </row>
    <row r="6" spans="1:10" s="8" customFormat="1" ht="48">
      <c r="A6" s="74"/>
      <c r="B6" s="75"/>
      <c r="C6" s="5" t="s">
        <v>3</v>
      </c>
      <c r="D6" s="6" t="s">
        <v>4</v>
      </c>
      <c r="E6" s="6" t="s">
        <v>5</v>
      </c>
      <c r="F6" s="6" t="s">
        <v>46</v>
      </c>
      <c r="G6" s="7" t="s">
        <v>47</v>
      </c>
      <c r="H6" s="6" t="s">
        <v>48</v>
      </c>
      <c r="I6" s="6" t="s">
        <v>49</v>
      </c>
      <c r="J6" s="6" t="s">
        <v>6</v>
      </c>
    </row>
    <row r="7" spans="1:10" s="4" customFormat="1" ht="24">
      <c r="A7" s="74"/>
      <c r="B7" s="17" t="s">
        <v>7</v>
      </c>
      <c r="C7" s="26">
        <v>78.39</v>
      </c>
      <c r="D7" s="26">
        <v>15.81</v>
      </c>
      <c r="E7" s="26">
        <v>94.2</v>
      </c>
      <c r="F7" s="26">
        <v>0</v>
      </c>
      <c r="G7" s="26">
        <v>94.2</v>
      </c>
      <c r="H7" s="26">
        <v>59.94</v>
      </c>
      <c r="I7" s="26">
        <v>34.26</v>
      </c>
      <c r="J7" s="18">
        <v>0.36399999999999999</v>
      </c>
    </row>
    <row r="8" spans="1:10" s="4" customFormat="1" ht="22.5">
      <c r="A8" s="74"/>
      <c r="B8" s="19" t="s">
        <v>50</v>
      </c>
      <c r="C8" s="26"/>
      <c r="D8" s="26"/>
      <c r="E8" s="10"/>
      <c r="F8" s="6"/>
      <c r="G8" s="6"/>
      <c r="H8" s="6"/>
      <c r="I8" s="10"/>
      <c r="J8" s="6"/>
    </row>
    <row r="9" spans="1:10" s="4" customFormat="1" ht="22.5">
      <c r="A9" s="74"/>
      <c r="B9" s="19" t="s">
        <v>51</v>
      </c>
      <c r="C9" s="26"/>
      <c r="D9" s="26"/>
      <c r="E9" s="10"/>
      <c r="F9" s="6">
        <v>0</v>
      </c>
      <c r="G9" s="6"/>
      <c r="H9" s="6"/>
      <c r="I9" s="10"/>
      <c r="J9" s="18"/>
    </row>
    <row r="10" spans="1:10" s="4" customFormat="1" ht="22.5">
      <c r="A10" s="74"/>
      <c r="B10" s="19" t="s">
        <v>52</v>
      </c>
      <c r="C10" s="26">
        <v>78.39</v>
      </c>
      <c r="D10" s="26">
        <v>15.81</v>
      </c>
      <c r="E10" s="26">
        <v>94.2</v>
      </c>
      <c r="F10" s="6">
        <v>0</v>
      </c>
      <c r="G10" s="6">
        <f>E10</f>
        <v>94.2</v>
      </c>
      <c r="H10" s="27">
        <v>59.94</v>
      </c>
      <c r="I10" s="27">
        <f>G10-H10</f>
        <v>34.260000000000005</v>
      </c>
      <c r="J10" s="18">
        <v>0.36399999999999999</v>
      </c>
    </row>
    <row r="11" spans="1:10" s="4" customFormat="1" ht="22.5">
      <c r="A11" s="74"/>
      <c r="B11" s="19" t="s">
        <v>8</v>
      </c>
      <c r="C11" s="9"/>
      <c r="D11" s="9"/>
      <c r="E11" s="10"/>
      <c r="F11" s="11"/>
      <c r="G11" s="11"/>
      <c r="H11" s="11"/>
      <c r="I11" s="10"/>
      <c r="J11" s="6"/>
    </row>
    <row r="12" spans="1:10" s="4" customFormat="1" ht="13.5">
      <c r="A12" s="74"/>
      <c r="B12" s="20" t="s">
        <v>53</v>
      </c>
      <c r="C12" s="9"/>
      <c r="D12" s="9"/>
      <c r="E12" s="10"/>
      <c r="F12" s="11"/>
      <c r="G12" s="11"/>
      <c r="H12" s="11"/>
      <c r="I12" s="10"/>
      <c r="J12" s="6"/>
    </row>
    <row r="13" spans="1:10" s="4" customFormat="1">
      <c r="A13" s="74"/>
      <c r="B13" s="14" t="s">
        <v>9</v>
      </c>
      <c r="C13" s="26">
        <f>C10+C9+C8</f>
        <v>78.39</v>
      </c>
      <c r="D13" s="26">
        <f>D10+D9+D8</f>
        <v>15.81</v>
      </c>
      <c r="E13" s="26">
        <f>E10+E9+E8</f>
        <v>94.2</v>
      </c>
      <c r="F13" s="26">
        <f>F10+F9+F8</f>
        <v>0</v>
      </c>
      <c r="G13" s="26">
        <f>G10+G9+G8</f>
        <v>94.2</v>
      </c>
      <c r="H13" s="26">
        <v>59.94</v>
      </c>
      <c r="I13" s="26">
        <f>G13-H13</f>
        <v>34.260000000000005</v>
      </c>
      <c r="J13" s="18">
        <v>0.36399999999999999</v>
      </c>
    </row>
    <row r="14" spans="1:10" ht="28.5">
      <c r="A14" s="60" t="s">
        <v>10</v>
      </c>
      <c r="B14" s="13" t="s">
        <v>11</v>
      </c>
      <c r="C14" s="14" t="s">
        <v>54</v>
      </c>
      <c r="D14" s="14" t="s">
        <v>12</v>
      </c>
      <c r="E14" s="14" t="s">
        <v>13</v>
      </c>
      <c r="F14" s="14" t="s">
        <v>14</v>
      </c>
      <c r="G14" s="66" t="s">
        <v>15</v>
      </c>
      <c r="H14" s="68"/>
      <c r="I14" s="14" t="s">
        <v>16</v>
      </c>
      <c r="J14" s="14" t="s">
        <v>17</v>
      </c>
    </row>
    <row r="15" spans="1:10">
      <c r="A15" s="61"/>
      <c r="B15" s="74" t="s">
        <v>55</v>
      </c>
      <c r="C15" s="62" t="s">
        <v>18</v>
      </c>
      <c r="D15" s="28" t="s">
        <v>56</v>
      </c>
      <c r="E15" s="28" t="s">
        <v>56</v>
      </c>
      <c r="F15" s="29">
        <v>1</v>
      </c>
      <c r="G15" s="78">
        <v>1</v>
      </c>
      <c r="H15" s="65"/>
      <c r="I15" s="30">
        <v>10</v>
      </c>
      <c r="J15" s="30">
        <v>10</v>
      </c>
    </row>
    <row r="16" spans="1:10" ht="21">
      <c r="A16" s="61"/>
      <c r="B16" s="74"/>
      <c r="C16" s="63"/>
      <c r="D16" s="28" t="s">
        <v>57</v>
      </c>
      <c r="E16" s="28" t="s">
        <v>57</v>
      </c>
      <c r="F16" s="28" t="s">
        <v>86</v>
      </c>
      <c r="G16" s="64" t="s">
        <v>87</v>
      </c>
      <c r="H16" s="65"/>
      <c r="I16" s="30">
        <v>10</v>
      </c>
      <c r="J16" s="30">
        <v>10</v>
      </c>
    </row>
    <row r="17" spans="1:10" ht="21">
      <c r="A17" s="61"/>
      <c r="B17" s="74"/>
      <c r="C17" s="62" t="s">
        <v>19</v>
      </c>
      <c r="D17" s="30" t="s">
        <v>64</v>
      </c>
      <c r="E17" s="30" t="s">
        <v>64</v>
      </c>
      <c r="F17" s="30" t="s">
        <v>65</v>
      </c>
      <c r="G17" s="78">
        <v>1</v>
      </c>
      <c r="H17" s="65"/>
      <c r="I17" s="30">
        <v>10</v>
      </c>
      <c r="J17" s="30">
        <v>10</v>
      </c>
    </row>
    <row r="18" spans="1:10" ht="31.5">
      <c r="A18" s="61"/>
      <c r="B18" s="74"/>
      <c r="C18" s="75"/>
      <c r="D18" s="30" t="s">
        <v>60</v>
      </c>
      <c r="E18" s="30" t="s">
        <v>60</v>
      </c>
      <c r="F18" s="30" t="s">
        <v>62</v>
      </c>
      <c r="G18" s="31" t="s">
        <v>88</v>
      </c>
      <c r="H18" s="32"/>
      <c r="I18" s="30">
        <v>10</v>
      </c>
      <c r="J18" s="30">
        <v>9</v>
      </c>
    </row>
    <row r="19" spans="1:10" ht="21">
      <c r="A19" s="61"/>
      <c r="B19" s="74"/>
      <c r="C19" s="62" t="s">
        <v>20</v>
      </c>
      <c r="D19" s="30" t="s">
        <v>89</v>
      </c>
      <c r="E19" s="30" t="s">
        <v>89</v>
      </c>
      <c r="F19" s="30" t="s">
        <v>90</v>
      </c>
      <c r="G19" s="64" t="s">
        <v>90</v>
      </c>
      <c r="H19" s="65"/>
      <c r="I19" s="30">
        <v>5</v>
      </c>
      <c r="J19" s="30">
        <v>5</v>
      </c>
    </row>
    <row r="20" spans="1:10">
      <c r="A20" s="61"/>
      <c r="B20" s="74"/>
      <c r="C20" s="75"/>
      <c r="D20" s="30" t="s">
        <v>70</v>
      </c>
      <c r="E20" s="30" t="s">
        <v>70</v>
      </c>
      <c r="F20" s="33">
        <v>1</v>
      </c>
      <c r="G20" s="34">
        <v>0.64600000000000002</v>
      </c>
      <c r="H20" s="32"/>
      <c r="I20" s="30">
        <v>5</v>
      </c>
      <c r="J20" s="30">
        <v>3</v>
      </c>
    </row>
    <row r="21" spans="1:10" ht="21">
      <c r="A21" s="61"/>
      <c r="B21" s="74"/>
      <c r="C21" s="35" t="s">
        <v>91</v>
      </c>
      <c r="D21" s="30" t="s">
        <v>92</v>
      </c>
      <c r="E21" s="30" t="s">
        <v>92</v>
      </c>
      <c r="F21" s="36" t="s">
        <v>93</v>
      </c>
      <c r="G21" s="79">
        <v>0.61680000000000001</v>
      </c>
      <c r="H21" s="65"/>
      <c r="I21" s="30">
        <v>10</v>
      </c>
      <c r="J21" s="30">
        <v>9</v>
      </c>
    </row>
    <row r="22" spans="1:10" ht="27">
      <c r="A22" s="61"/>
      <c r="B22" s="74" t="s">
        <v>94</v>
      </c>
      <c r="C22" s="24" t="s">
        <v>22</v>
      </c>
      <c r="D22" s="37"/>
      <c r="E22" s="37"/>
      <c r="F22" s="37"/>
      <c r="G22" s="69"/>
      <c r="H22" s="70"/>
      <c r="I22" s="37"/>
      <c r="J22" s="37"/>
    </row>
    <row r="23" spans="1:10" ht="27">
      <c r="A23" s="61"/>
      <c r="B23" s="74"/>
      <c r="C23" s="24" t="s">
        <v>23</v>
      </c>
      <c r="D23" s="30" t="s">
        <v>95</v>
      </c>
      <c r="E23" s="30" t="s">
        <v>95</v>
      </c>
      <c r="F23" s="30" t="s">
        <v>96</v>
      </c>
      <c r="G23" s="64" t="s">
        <v>97</v>
      </c>
      <c r="H23" s="65"/>
      <c r="I23" s="30">
        <v>30</v>
      </c>
      <c r="J23" s="30">
        <v>30</v>
      </c>
    </row>
    <row r="24" spans="1:10" ht="27">
      <c r="A24" s="61"/>
      <c r="B24" s="74"/>
      <c r="C24" s="24" t="s">
        <v>24</v>
      </c>
      <c r="D24" s="37"/>
      <c r="E24" s="37"/>
      <c r="F24" s="37"/>
      <c r="G24" s="69"/>
      <c r="H24" s="70"/>
      <c r="I24" s="37"/>
      <c r="J24" s="37"/>
    </row>
    <row r="25" spans="1:10" ht="27">
      <c r="A25" s="61"/>
      <c r="B25" s="74"/>
      <c r="C25" s="24" t="s">
        <v>98</v>
      </c>
      <c r="D25" s="37"/>
      <c r="E25" s="37"/>
      <c r="F25" s="37"/>
      <c r="G25" s="69"/>
      <c r="H25" s="70"/>
      <c r="I25" s="37"/>
      <c r="J25" s="37"/>
    </row>
    <row r="26" spans="1:10" ht="42.75">
      <c r="A26" s="61"/>
      <c r="B26" s="13" t="s">
        <v>25</v>
      </c>
      <c r="C26" s="24" t="s">
        <v>26</v>
      </c>
      <c r="D26" s="28" t="s">
        <v>75</v>
      </c>
      <c r="E26" s="28" t="s">
        <v>75</v>
      </c>
      <c r="F26" s="28" t="s">
        <v>99</v>
      </c>
      <c r="G26" s="64" t="s">
        <v>77</v>
      </c>
      <c r="H26" s="65"/>
      <c r="I26" s="30">
        <v>10</v>
      </c>
      <c r="J26" s="30">
        <v>10</v>
      </c>
    </row>
    <row r="27" spans="1:10">
      <c r="A27" s="66" t="s">
        <v>27</v>
      </c>
      <c r="B27" s="67"/>
      <c r="C27" s="67"/>
      <c r="D27" s="67"/>
      <c r="E27" s="67"/>
      <c r="F27" s="67"/>
      <c r="G27" s="67"/>
      <c r="H27" s="68"/>
      <c r="I27" s="15">
        <f>SUM(I15:I26)</f>
        <v>100</v>
      </c>
      <c r="J27" s="15">
        <f>SUM(J15:J26)</f>
        <v>96</v>
      </c>
    </row>
    <row r="28" spans="1:10">
      <c r="A28" s="66" t="s">
        <v>28</v>
      </c>
      <c r="B28" s="67"/>
      <c r="C28" s="67"/>
      <c r="D28" s="67"/>
      <c r="E28" s="67"/>
      <c r="F28" s="67"/>
      <c r="G28" s="67"/>
      <c r="H28" s="68"/>
      <c r="I28" s="66" t="s">
        <v>78</v>
      </c>
      <c r="J28" s="68"/>
    </row>
    <row r="29" spans="1:10" ht="28.5">
      <c r="A29" s="15" t="s">
        <v>79</v>
      </c>
      <c r="B29" s="71" t="s">
        <v>100</v>
      </c>
      <c r="C29" s="72"/>
      <c r="D29" s="72"/>
      <c r="E29" s="72"/>
      <c r="F29" s="72"/>
      <c r="G29" s="72"/>
      <c r="H29" s="72"/>
      <c r="I29" s="72"/>
      <c r="J29" s="73"/>
    </row>
    <row r="30" spans="1:10" ht="28.5">
      <c r="A30" s="15" t="s">
        <v>81</v>
      </c>
      <c r="B30" s="55" t="s">
        <v>101</v>
      </c>
      <c r="C30" s="56"/>
      <c r="D30" s="56"/>
      <c r="E30" s="56"/>
      <c r="F30" s="56"/>
      <c r="G30" s="56"/>
      <c r="H30" s="56"/>
      <c r="I30" s="56"/>
      <c r="J30" s="57"/>
    </row>
    <row r="31" spans="1:10">
      <c r="A31" s="58" t="s">
        <v>102</v>
      </c>
      <c r="B31" s="58"/>
      <c r="C31" s="58"/>
      <c r="D31" s="58"/>
      <c r="E31" s="58"/>
      <c r="F31" s="58"/>
      <c r="G31" s="58"/>
      <c r="H31" s="58"/>
      <c r="I31" s="58"/>
      <c r="J31" s="58"/>
    </row>
    <row r="32" spans="1:10">
      <c r="A32" s="59"/>
      <c r="B32" s="59"/>
      <c r="C32" s="59"/>
      <c r="D32" s="59"/>
      <c r="E32" s="59"/>
      <c r="F32" s="59"/>
      <c r="G32" s="59"/>
      <c r="H32" s="59"/>
      <c r="I32" s="59"/>
      <c r="J32" s="59"/>
    </row>
  </sheetData>
  <mergeCells count="33">
    <mergeCell ref="A2:J2"/>
    <mergeCell ref="A3:J3"/>
    <mergeCell ref="A4:C4"/>
    <mergeCell ref="D4:F4"/>
    <mergeCell ref="G4:H4"/>
    <mergeCell ref="I4:J4"/>
    <mergeCell ref="A5:A13"/>
    <mergeCell ref="B5:B6"/>
    <mergeCell ref="C5:F5"/>
    <mergeCell ref="G5:J5"/>
    <mergeCell ref="A14:A26"/>
    <mergeCell ref="G14:H14"/>
    <mergeCell ref="B15:B21"/>
    <mergeCell ref="C15:C16"/>
    <mergeCell ref="G15:H15"/>
    <mergeCell ref="G16:H16"/>
    <mergeCell ref="B22:B25"/>
    <mergeCell ref="G22:H22"/>
    <mergeCell ref="G23:H23"/>
    <mergeCell ref="G24:H24"/>
    <mergeCell ref="G25:H25"/>
    <mergeCell ref="C17:C18"/>
    <mergeCell ref="G17:H17"/>
    <mergeCell ref="C19:C20"/>
    <mergeCell ref="G19:H19"/>
    <mergeCell ref="G21:H21"/>
    <mergeCell ref="A31:J32"/>
    <mergeCell ref="G26:H26"/>
    <mergeCell ref="A27:H27"/>
    <mergeCell ref="A28:H28"/>
    <mergeCell ref="I28:J28"/>
    <mergeCell ref="B29:J29"/>
    <mergeCell ref="B30:J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区财政金融局本级</vt:lpstr>
      <vt:lpstr>区采购办公室</vt:lpstr>
      <vt:lpstr>区财政投资评审中心</vt:lpstr>
      <vt:lpstr>区国库支付中心</vt:lpstr>
      <vt:lpstr>区乡镇财政管理办公室</vt:lpstr>
      <vt:lpstr>区政府和社会资本项目合作（PPP）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2020-08-19T11:41:00Z</dcterms:modified>
</cp:coreProperties>
</file>