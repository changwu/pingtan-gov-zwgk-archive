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9765" activeTab="1"/>
  </bookViews>
  <sheets>
    <sheet name="福利中心" sheetId="4" r:id="rId1"/>
    <sheet name=" 东海陵园拆迁安置墓" sheetId="5" r:id="rId2"/>
  </sheets>
  <definedNames>
    <definedName name="_xlnm.Print_Area" localSheetId="0">福利中心!$A$1:$S$75</definedName>
  </definedNames>
  <calcPr calcId="144525"/>
</workbook>
</file>

<file path=xl/sharedStrings.xml><?xml version="1.0" encoding="utf-8"?>
<sst xmlns="http://schemas.openxmlformats.org/spreadsheetml/2006/main" count="344" uniqueCount="178">
  <si>
    <t>平潭社会福利中心（一期）工程项目绩效自评表</t>
  </si>
  <si>
    <t>项目基本情况</t>
  </si>
  <si>
    <t>立项依据</t>
  </si>
  <si>
    <t xml:space="preserve">闽岚综实委〔2015〕10号,岚综实项目审批（2015）10号 </t>
  </si>
  <si>
    <t>项目起止时间</t>
  </si>
  <si>
    <t>计划时间</t>
  </si>
  <si>
    <t xml:space="preserve">开始：2015年9月 </t>
  </si>
  <si>
    <t>实际时间</t>
  </si>
  <si>
    <t xml:space="preserve">完成：2018年12月 </t>
  </si>
  <si>
    <t xml:space="preserve">完成：   年  月 </t>
  </si>
  <si>
    <t>部门预算功能科目</t>
  </si>
  <si>
    <t>年度绩效目标</t>
  </si>
  <si>
    <t>绩效目标批复文号</t>
  </si>
  <si>
    <t>本项目绩效目标设置数量（个）</t>
  </si>
  <si>
    <t>目标分类（一级）</t>
  </si>
  <si>
    <t>分类细化（二级）</t>
  </si>
  <si>
    <t>绩效目标内容
（三级）</t>
  </si>
  <si>
    <t>参考标准</t>
  </si>
  <si>
    <t>绩效目标值</t>
  </si>
  <si>
    <t>实际完成值</t>
  </si>
  <si>
    <t>目标值完成比例</t>
  </si>
  <si>
    <t>投入</t>
  </si>
  <si>
    <t>时效目标</t>
  </si>
  <si>
    <t>资金使用</t>
  </si>
  <si>
    <t>2017年</t>
  </si>
  <si>
    <t>成本目标</t>
  </si>
  <si>
    <t>建设工程款成本控制在预算价内，并保质保量完成</t>
  </si>
  <si>
    <t>年初预算</t>
  </si>
  <si>
    <t>5583.66万元</t>
  </si>
  <si>
    <t>5533.66万元</t>
  </si>
  <si>
    <t>其他资源目标</t>
  </si>
  <si>
    <t>产出</t>
  </si>
  <si>
    <t>数量目标</t>
  </si>
  <si>
    <t>老人福利院、食堂、儿童福利院、康复中心、军休所、光荣院、后勤办公用房、救灾物资仓库、福乐家园、救助站</t>
  </si>
  <si>
    <t>每一个配套设施工程的完成率</t>
  </si>
  <si>
    <t>已完成主体工程</t>
  </si>
  <si>
    <t>质量目标</t>
  </si>
  <si>
    <t>项目竣工验收合格率</t>
  </si>
  <si>
    <t>以验收报告为准</t>
  </si>
  <si>
    <t>主体工程还未验收</t>
  </si>
  <si>
    <t>效益</t>
  </si>
  <si>
    <t>经济效益目标</t>
  </si>
  <si>
    <t>社会效益目标</t>
  </si>
  <si>
    <t>为平潭任命构建和谐社会提供有利保障</t>
  </si>
  <si>
    <t>解决经济困难、生活困苦特殊群体人数</t>
  </si>
  <si>
    <t>还未对外运营</t>
  </si>
  <si>
    <t>环境效益目标</t>
  </si>
  <si>
    <t>符合《全国生态环境规划》</t>
  </si>
  <si>
    <t>《全国生态环境规划》</t>
  </si>
  <si>
    <t>达到人与自然共和谐，不出现环境污染和资源破坏现象</t>
  </si>
  <si>
    <t>可持续影响目标</t>
  </si>
  <si>
    <t>能为孤寡老人、孤儿、残疾人、优抚军属等特殊群体创造更好的生活环境，提供更优质的服务</t>
  </si>
  <si>
    <t>入住人数以及床位数</t>
  </si>
  <si>
    <t>服务对象满意度
目标</t>
  </si>
  <si>
    <t>服务对象满意度目标</t>
  </si>
  <si>
    <t>服务对象对服务质量的满意度</t>
  </si>
  <si>
    <t>服务对象对服务质量的总体评价</t>
  </si>
  <si>
    <t>年度绩效目标总体完成情况</t>
  </si>
  <si>
    <t>工程进度达到预期目标，效益目标没有实现</t>
  </si>
  <si>
    <t>未完成目标的原因</t>
  </si>
  <si>
    <t>福利中心还未对外运营，无法产生效益</t>
  </si>
  <si>
    <t>项目评价方法</t>
  </si>
  <si>
    <r>
      <rPr>
        <sz val="10"/>
        <rFont val="宋体"/>
        <charset val="134"/>
      </rPr>
      <t xml:space="preserve">成本效益分析法□ </t>
    </r>
    <r>
      <rPr>
        <sz val="10"/>
        <rFont val="宋体"/>
        <charset val="134"/>
      </rPr>
      <t xml:space="preserve"> </t>
    </r>
    <r>
      <rPr>
        <sz val="10"/>
        <rFont val="宋体"/>
        <charset val="134"/>
      </rPr>
      <t xml:space="preserve">比较法□  因素分析法□  最低成本法□  公众评判法□    </t>
    </r>
  </si>
  <si>
    <r>
      <rPr>
        <sz val="10"/>
        <rFont val="宋体"/>
        <charset val="134"/>
      </rPr>
      <t>其他评价方法:</t>
    </r>
    <r>
      <rPr>
        <u/>
        <sz val="10"/>
        <rFont val="宋体"/>
        <charset val="134"/>
      </rPr>
      <t xml:space="preserve">                     </t>
    </r>
    <r>
      <rPr>
        <sz val="10"/>
        <rFont val="宋体"/>
        <charset val="134"/>
      </rPr>
      <t xml:space="preserve">□  </t>
    </r>
    <r>
      <rPr>
        <b/>
        <sz val="10"/>
        <rFont val="宋体"/>
        <charset val="134"/>
      </rPr>
      <t xml:space="preserve"> </t>
    </r>
    <r>
      <rPr>
        <sz val="10"/>
        <rFont val="宋体"/>
        <charset val="134"/>
      </rPr>
      <t xml:space="preserve">            </t>
    </r>
  </si>
  <si>
    <t xml:space="preserve">    项目资金安排和使用情况 </t>
  </si>
  <si>
    <t>项目安排资金</t>
  </si>
  <si>
    <t>本年度情况</t>
  </si>
  <si>
    <t>预算安排</t>
  </si>
  <si>
    <t>实际到位</t>
  </si>
  <si>
    <t>实际支出</t>
  </si>
  <si>
    <t>本年度结余金额       （万元）   ③=①-②</t>
  </si>
  <si>
    <t>金额                           （万元）</t>
  </si>
  <si>
    <t>预算批复下达文号</t>
  </si>
  <si>
    <r>
      <rPr>
        <sz val="10"/>
        <rFont val="宋体"/>
        <charset val="134"/>
      </rPr>
      <t>金额</t>
    </r>
    <r>
      <rPr>
        <sz val="10"/>
        <rFont val="Times New Roman"/>
        <charset val="0"/>
      </rPr>
      <t xml:space="preserve">            </t>
    </r>
    <r>
      <rPr>
        <sz val="10"/>
        <rFont val="宋体"/>
        <charset val="134"/>
      </rPr>
      <t>（万元）①</t>
    </r>
  </si>
  <si>
    <t>到位率（％）</t>
  </si>
  <si>
    <t>资金拨付文号及时间</t>
  </si>
  <si>
    <t xml:space="preserve">                                  金额                              （万元）②</t>
  </si>
  <si>
    <t>支出实现率（％）</t>
  </si>
  <si>
    <t>合　计</t>
  </si>
  <si>
    <t>财政资金小计</t>
  </si>
  <si>
    <t>①中央财政资金</t>
  </si>
  <si>
    <t>②省财政资金</t>
  </si>
  <si>
    <t>③地方财政资金</t>
  </si>
  <si>
    <t>岚财金【2017】17号</t>
  </si>
  <si>
    <t>其他资金小计</t>
  </si>
  <si>
    <r>
      <rPr>
        <sz val="10"/>
        <rFont val="宋体"/>
        <charset val="134"/>
      </rPr>
      <t>①</t>
    </r>
    <r>
      <rPr>
        <sz val="10"/>
        <rFont val="宋体"/>
        <charset val="134"/>
      </rPr>
      <t>……</t>
    </r>
  </si>
  <si>
    <t>财政资金实际支出情况</t>
  </si>
  <si>
    <t>序号</t>
  </si>
  <si>
    <t>具体支出内容</t>
  </si>
  <si>
    <t>金额(万元)</t>
  </si>
  <si>
    <t>工程进度款</t>
  </si>
  <si>
    <t>监理费</t>
  </si>
  <si>
    <t>其他</t>
  </si>
  <si>
    <t>……</t>
  </si>
  <si>
    <t>合计</t>
  </si>
  <si>
    <t>绩效自评指标体系</t>
  </si>
  <si>
    <r>
      <rPr>
        <b/>
        <sz val="12"/>
        <rFont val="宋体"/>
        <charset val="134"/>
      </rPr>
      <t xml:space="preserve">一级指标
</t>
    </r>
    <r>
      <rPr>
        <sz val="10"/>
        <rFont val="宋体"/>
        <charset val="134"/>
      </rPr>
      <t>（目标分类）</t>
    </r>
  </si>
  <si>
    <r>
      <rPr>
        <b/>
        <sz val="12"/>
        <rFont val="宋体"/>
        <charset val="134"/>
      </rPr>
      <t xml:space="preserve">二级指标
</t>
    </r>
    <r>
      <rPr>
        <sz val="10"/>
        <rFont val="宋体"/>
        <charset val="134"/>
      </rPr>
      <t>（分类细化）</t>
    </r>
  </si>
  <si>
    <r>
      <rPr>
        <b/>
        <sz val="12"/>
        <rFont val="宋体"/>
        <charset val="134"/>
      </rPr>
      <t xml:space="preserve">三级指标
</t>
    </r>
    <r>
      <rPr>
        <sz val="10"/>
        <rFont val="宋体"/>
        <charset val="134"/>
      </rPr>
      <t>（绩效目标内容）</t>
    </r>
  </si>
  <si>
    <r>
      <rPr>
        <b/>
        <sz val="12"/>
        <rFont val="宋体"/>
        <charset val="134"/>
      </rPr>
      <t xml:space="preserve">评分标准
</t>
    </r>
    <r>
      <rPr>
        <sz val="10"/>
        <rFont val="宋体"/>
        <charset val="134"/>
      </rPr>
      <t>（绩效目标值）</t>
    </r>
  </si>
  <si>
    <t>权重</t>
  </si>
  <si>
    <t>得分</t>
  </si>
  <si>
    <r>
      <rPr>
        <b/>
        <sz val="10"/>
        <rFont val="宋体"/>
        <charset val="134"/>
      </rPr>
      <t>投入（30%）</t>
    </r>
    <r>
      <rPr>
        <sz val="10"/>
        <rFont val="宋体"/>
        <charset val="134"/>
      </rPr>
      <t xml:space="preserve">
-本类指标和评分标准均可作为选用参考，部门（单位）可选用共性指标，也可根据需要自行设定个性指标，或者对参考指标、评分标准进行适当调整，并在一级指标下自行设置各个二级和三级指标的权重</t>
    </r>
  </si>
  <si>
    <t>时效情况</t>
  </si>
  <si>
    <t>2017年主体工程完成</t>
  </si>
  <si>
    <t>项目
立项</t>
  </si>
  <si>
    <t>绩效目标合理性</t>
  </si>
  <si>
    <t>资金落实</t>
  </si>
  <si>
    <t>成本控制率</t>
  </si>
  <si>
    <t>本年支出不超过5583.66万元</t>
  </si>
  <si>
    <r>
      <rPr>
        <b/>
        <sz val="10"/>
        <rFont val="宋体"/>
        <charset val="134"/>
      </rPr>
      <t>过程（30%）</t>
    </r>
    <r>
      <rPr>
        <sz val="10"/>
        <rFont val="宋体"/>
        <charset val="134"/>
      </rPr>
      <t xml:space="preserve">
-本类指标和评分标准均可作为选用参考，部门（单位）可选用共性指标，也可根据需要自行设定个性指标，或者对参考指标、评分标准进行适当调整，并在一级指标下自行设置各个二级和三级指标的权重</t>
    </r>
  </si>
  <si>
    <t>业务管理</t>
  </si>
  <si>
    <t>管理制度健全性</t>
  </si>
  <si>
    <t>资金使用管理</t>
  </si>
  <si>
    <t>资金使用合规性</t>
  </si>
  <si>
    <t>资金拨付流程按照相关规定执行</t>
  </si>
  <si>
    <r>
      <rPr>
        <b/>
        <sz val="10"/>
        <rFont val="宋体"/>
        <charset val="134"/>
      </rPr>
      <t xml:space="preserve">产出与效益（40%） </t>
    </r>
    <r>
      <rPr>
        <sz val="10"/>
        <rFont val="宋体"/>
        <charset val="134"/>
      </rPr>
      <t xml:space="preserve">
1</t>
    </r>
    <r>
      <rPr>
        <sz val="10"/>
        <rFont val="宋体"/>
        <charset val="134"/>
      </rPr>
      <t>.</t>
    </r>
    <r>
      <rPr>
        <sz val="10"/>
        <rFont val="宋体"/>
        <charset val="134"/>
      </rPr>
      <t>单位必须将期初设置的产出与效益类绩效目标全部编入此类评价指标，在此基础上可根据实际情况增设评价指标；
2</t>
    </r>
    <r>
      <rPr>
        <sz val="10"/>
        <rFont val="宋体"/>
        <charset val="134"/>
      </rPr>
      <t>.</t>
    </r>
    <r>
      <rPr>
        <sz val="10"/>
        <rFont val="宋体"/>
        <charset val="134"/>
      </rPr>
      <t xml:space="preserve">单项指标权重最高不得超过10%。
</t>
    </r>
  </si>
  <si>
    <t>产出数量</t>
  </si>
  <si>
    <t>完成项目主体工程</t>
  </si>
  <si>
    <t>产出质量</t>
  </si>
  <si>
    <t>符合相关验收标准</t>
  </si>
  <si>
    <t>验收通过</t>
  </si>
  <si>
    <t>经济效益</t>
  </si>
  <si>
    <t>社会效益</t>
  </si>
  <si>
    <t>维护处于特殊困难之中的老年人、孤儿和残疾人的生活、教育、医疗和康复等方面基本权利</t>
  </si>
  <si>
    <t>环境效益</t>
  </si>
  <si>
    <t>可持续效益</t>
  </si>
  <si>
    <t>服务对象满意度</t>
  </si>
  <si>
    <t>总权重、评价总分 （S）</t>
  </si>
  <si>
    <t xml:space="preserve">评价 等级 </t>
  </si>
  <si>
    <t xml:space="preserve">□优秀（S≧90）      □良好（90﹥S≧75）     □合格（75﹥S≧60）      □不合格（60&lt;S）  </t>
  </si>
  <si>
    <t xml:space="preserve">
绩效评价结论</t>
  </si>
  <si>
    <t xml:space="preserve">专   家   组   ︵   评    价     组   ︶  </t>
  </si>
  <si>
    <t>姓名</t>
  </si>
  <si>
    <t>单位</t>
  </si>
  <si>
    <t>职务</t>
  </si>
  <si>
    <t>职称</t>
  </si>
  <si>
    <t>签字</t>
  </si>
  <si>
    <t>专家组（评价组）意见：</t>
  </si>
  <si>
    <t xml:space="preserve">                              专家组（评价组）组长（签字）：           年   月  日</t>
  </si>
  <si>
    <t>中   介   机   构</t>
  </si>
  <si>
    <t>中介机构名称：</t>
  </si>
  <si>
    <t xml:space="preserve">                                          公章：
</t>
  </si>
  <si>
    <t xml:space="preserve">中介机构意见：                                  </t>
  </si>
  <si>
    <t xml:space="preserve">       中介机构负责人（签字）：                  年   月   日</t>
  </si>
  <si>
    <t>主   管   部      门        意   见</t>
  </si>
  <si>
    <t xml:space="preserve">                                                主管部门负责人（签章）：                   年   月    日</t>
  </si>
  <si>
    <t>填表人：</t>
  </si>
  <si>
    <t>填表时间：</t>
  </si>
  <si>
    <t>联系电话：</t>
  </si>
  <si>
    <t xml:space="preserve">  东海陵园坟墓拆迁安置建设工程项目绩效自评表</t>
  </si>
  <si>
    <t xml:space="preserve"> 岚综实经发发改【2014】141号</t>
  </si>
  <si>
    <t xml:space="preserve">开始：2015年3 月 </t>
  </si>
  <si>
    <t xml:space="preserve">完成：2017年7 月 </t>
  </si>
  <si>
    <t>完成：2017年7 月</t>
  </si>
  <si>
    <t>不超过1200万元</t>
  </si>
  <si>
    <t>1200万元</t>
  </si>
  <si>
    <t>完成墓穴台数</t>
  </si>
  <si>
    <t>7000台</t>
  </si>
  <si>
    <t>7979台</t>
  </si>
  <si>
    <t>保障拆迁坟墓家属的权益，让拆迁坟墓得到安置</t>
  </si>
  <si>
    <t>对墓穴的满意度</t>
  </si>
  <si>
    <t>年内基本完成绩效目标</t>
  </si>
  <si>
    <r>
      <rPr>
        <sz val="10"/>
        <rFont val="宋体"/>
        <charset val="134"/>
      </rPr>
      <t>金额</t>
    </r>
    <r>
      <rPr>
        <sz val="10"/>
        <rFont val="Times New Roman"/>
        <charset val="0"/>
      </rPr>
      <t xml:space="preserve">            </t>
    </r>
    <r>
      <rPr>
        <sz val="10"/>
        <rFont val="宋体"/>
        <charset val="134"/>
      </rPr>
      <t>（万元）①</t>
    </r>
  </si>
  <si>
    <t>拆迁安置墓建设费用</t>
  </si>
  <si>
    <t>1335.2万元</t>
  </si>
  <si>
    <t>2017年完成安置墓建设</t>
  </si>
  <si>
    <t>如：项目实际实施月份是否晚于计划月份。实际实施月份不晚于计划月份的得满分，比计划月份晚1个月以内扣1分，比计划月份晚1个月以上不得分。</t>
  </si>
  <si>
    <t>如：
①是否与项目年度任务数或计划数相对应；
②是否与预算确定的项目投资额或资金量相匹配。一项不符合扣一分，严重的此项完全不得分。</t>
  </si>
  <si>
    <t>如：成本控制率A=截至年末累计支出数/项目概算或当年预算数。A≦100%得满分；100%﹤A≦105%时，得分为此项指标满分值-100×（A-100%）（如：A=102.8%，此项指标权重4分，则得分为4-2.8=1.2分），A＞105%时不得分。</t>
  </si>
  <si>
    <t>如：
①是否已制定或具有相应的业务管理制度；
②业务管理制度是否合法、合规、完整。一项不符合扣一分，严重的此项完全不得分。</t>
  </si>
  <si>
    <t>如：
①资金的使用是否符合有关专项资金管理办法的规定；
②资金的拨付是否有完整的审批程序和手续；
③项目的重大开支是否经过评估认证。一项不符合扣一分，严重的此项完全不得分。</t>
  </si>
  <si>
    <t>建成安置墓台数</t>
  </si>
  <si>
    <t>建成安置费达到7000台满分，每少200台扣1分</t>
  </si>
  <si>
    <t>验收通过满分，不通过不得分</t>
  </si>
  <si>
    <t>拆迁坟墓家属对安置墓满意度</t>
  </si>
  <si>
    <t>群众对安置墓的满意度，群众满意度高于95%得满分，低于95%不得分</t>
  </si>
  <si>
    <t>10%%</t>
  </si>
</sst>
</file>

<file path=xl/styles.xml><?xml version="1.0" encoding="utf-8"?>
<styleSheet xmlns="http://schemas.openxmlformats.org/spreadsheetml/2006/main">
  <numFmts count="5">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 numFmtId="176" formatCode="0.00_ "/>
  </numFmts>
  <fonts count="36">
    <font>
      <sz val="11"/>
      <color theme="1"/>
      <name val="宋体"/>
      <charset val="134"/>
      <scheme val="minor"/>
    </font>
    <font>
      <sz val="12"/>
      <name val="宋体"/>
      <charset val="134"/>
    </font>
    <font>
      <sz val="10"/>
      <name val="宋体"/>
      <charset val="134"/>
    </font>
    <font>
      <sz val="17"/>
      <name val="仿宋"/>
      <charset val="134"/>
    </font>
    <font>
      <sz val="14"/>
      <name val="仿宋"/>
      <charset val="134"/>
    </font>
    <font>
      <b/>
      <sz val="22"/>
      <name val="宋体"/>
      <charset val="134"/>
    </font>
    <font>
      <b/>
      <sz val="14"/>
      <name val="宋体"/>
      <charset val="134"/>
    </font>
    <font>
      <b/>
      <sz val="12"/>
      <name val="宋体"/>
      <charset val="134"/>
    </font>
    <font>
      <sz val="11"/>
      <name val="宋体"/>
      <charset val="134"/>
    </font>
    <font>
      <b/>
      <sz val="10"/>
      <name val="宋体"/>
      <charset val="134"/>
    </font>
    <font>
      <b/>
      <sz val="9"/>
      <name val="宋体"/>
      <charset val="134"/>
    </font>
    <font>
      <sz val="9"/>
      <name val="宋体"/>
      <charset val="134"/>
    </font>
    <font>
      <sz val="17"/>
      <name val="仿宋"/>
      <charset val="134"/>
    </font>
    <font>
      <sz val="14"/>
      <name val="仿宋"/>
      <charset val="134"/>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
      <sz val="11"/>
      <color rgb="FFFA7D00"/>
      <name val="宋体"/>
      <charset val="0"/>
      <scheme val="minor"/>
    </font>
    <font>
      <b/>
      <sz val="11"/>
      <color rgb="FFFA7D00"/>
      <name val="宋体"/>
      <charset val="0"/>
      <scheme val="minor"/>
    </font>
    <font>
      <u/>
      <sz val="10"/>
      <name val="宋体"/>
      <charset val="134"/>
    </font>
    <font>
      <sz val="10"/>
      <name val="Times New Roman"/>
      <charset val="0"/>
    </font>
    <font>
      <sz val="10"/>
      <name val="Times New Roman"/>
      <charset val="0"/>
    </font>
  </fonts>
  <fills count="34">
    <fill>
      <patternFill patternType="none"/>
    </fill>
    <fill>
      <patternFill patternType="gray125"/>
    </fill>
    <fill>
      <patternFill patternType="solid">
        <fgColor indexed="9"/>
        <bgColor indexed="64"/>
      </patternFill>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6"/>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s>
  <borders count="66">
    <border>
      <left/>
      <right/>
      <top/>
      <bottom/>
      <diagonal/>
    </border>
    <border>
      <left/>
      <right/>
      <top/>
      <bottom style="medium">
        <color auto="1"/>
      </bottom>
      <diagonal/>
    </border>
    <border>
      <left style="medium">
        <color auto="1"/>
      </left>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style="thin">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auto="1"/>
      </left>
      <right style="thin">
        <color auto="1"/>
      </right>
      <top style="thin">
        <color auto="1"/>
      </top>
      <bottom/>
      <diagonal/>
    </border>
    <border>
      <left style="medium">
        <color auto="1"/>
      </left>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top/>
      <bottom style="medium">
        <color auto="1"/>
      </bottom>
      <diagonal/>
    </border>
    <border>
      <left/>
      <right style="thin">
        <color auto="1"/>
      </right>
      <top/>
      <bottom style="medium">
        <color auto="1"/>
      </bottom>
      <diagonal/>
    </border>
    <border>
      <left/>
      <right/>
      <top style="medium">
        <color auto="1"/>
      </top>
      <bottom style="thin">
        <color auto="1"/>
      </bottom>
      <diagonal/>
    </border>
    <border>
      <left style="medium">
        <color auto="1"/>
      </left>
      <right style="medium">
        <color auto="1"/>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diagonal/>
    </border>
    <border>
      <left/>
      <right style="medium">
        <color auto="1"/>
      </right>
      <top style="thin">
        <color auto="1"/>
      </top>
      <bottom style="medium">
        <color auto="1"/>
      </bottom>
      <diagonal/>
    </border>
    <border>
      <left style="medium">
        <color auto="1"/>
      </left>
      <right style="thin">
        <color auto="1"/>
      </right>
      <top/>
      <bottom style="medium">
        <color auto="1"/>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bottom/>
      <diagonal/>
    </border>
    <border>
      <left/>
      <right style="medium">
        <color auto="1"/>
      </right>
      <top/>
      <bottom style="medium">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14" fillId="27" borderId="0" applyNumberFormat="0" applyBorder="0" applyAlignment="0" applyProtection="0">
      <alignment vertical="center"/>
    </xf>
    <xf numFmtId="0" fontId="29" fillId="24" borderId="6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4" fillId="9" borderId="0" applyNumberFormat="0" applyBorder="0" applyAlignment="0" applyProtection="0">
      <alignment vertical="center"/>
    </xf>
    <xf numFmtId="0" fontId="21" fillId="10" borderId="0" applyNumberFormat="0" applyBorder="0" applyAlignment="0" applyProtection="0">
      <alignment vertical="center"/>
    </xf>
    <xf numFmtId="43" fontId="0" fillId="0" borderId="0" applyFont="0" applyFill="0" applyBorder="0" applyAlignment="0" applyProtection="0">
      <alignment vertical="center"/>
    </xf>
    <xf numFmtId="0" fontId="22" fillId="23" borderId="0" applyNumberFormat="0" applyBorder="0" applyAlignment="0" applyProtection="0">
      <alignment vertical="center"/>
    </xf>
    <xf numFmtId="0" fontId="27"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16" borderId="61" applyNumberFormat="0" applyFont="0" applyAlignment="0" applyProtection="0">
      <alignment vertical="center"/>
    </xf>
    <xf numFmtId="0" fontId="22" fillId="29" borderId="0" applyNumberFormat="0" applyBorder="0" applyAlignment="0" applyProtection="0">
      <alignment vertical="center"/>
    </xf>
    <xf numFmtId="0" fontId="19"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4" fillId="0" borderId="59" applyNumberFormat="0" applyFill="0" applyAlignment="0" applyProtection="0">
      <alignment vertical="center"/>
    </xf>
    <xf numFmtId="0" fontId="16" fillId="0" borderId="59" applyNumberFormat="0" applyFill="0" applyAlignment="0" applyProtection="0">
      <alignment vertical="center"/>
    </xf>
    <xf numFmtId="0" fontId="22" fillId="22" borderId="0" applyNumberFormat="0" applyBorder="0" applyAlignment="0" applyProtection="0">
      <alignment vertical="center"/>
    </xf>
    <xf numFmtId="0" fontId="19" fillId="0" borderId="63" applyNumberFormat="0" applyFill="0" applyAlignment="0" applyProtection="0">
      <alignment vertical="center"/>
    </xf>
    <xf numFmtId="0" fontId="22" fillId="21" borderId="0" applyNumberFormat="0" applyBorder="0" applyAlignment="0" applyProtection="0">
      <alignment vertical="center"/>
    </xf>
    <xf numFmtId="0" fontId="23" fillId="15" borderId="60" applyNumberFormat="0" applyAlignment="0" applyProtection="0">
      <alignment vertical="center"/>
    </xf>
    <xf numFmtId="0" fontId="32" fillId="15" borderId="64" applyNumberFormat="0" applyAlignment="0" applyProtection="0">
      <alignment vertical="center"/>
    </xf>
    <xf numFmtId="0" fontId="15" fillId="7" borderId="58" applyNumberFormat="0" applyAlignment="0" applyProtection="0">
      <alignment vertical="center"/>
    </xf>
    <xf numFmtId="0" fontId="14" fillId="26" borderId="0" applyNumberFormat="0" applyBorder="0" applyAlignment="0" applyProtection="0">
      <alignment vertical="center"/>
    </xf>
    <xf numFmtId="0" fontId="22" fillId="14" borderId="0" applyNumberFormat="0" applyBorder="0" applyAlignment="0" applyProtection="0">
      <alignment vertical="center"/>
    </xf>
    <xf numFmtId="0" fontId="31" fillId="0" borderId="65" applyNumberFormat="0" applyFill="0" applyAlignment="0" applyProtection="0">
      <alignment vertical="center"/>
    </xf>
    <xf numFmtId="0" fontId="25" fillId="0" borderId="62" applyNumberFormat="0" applyFill="0" applyAlignment="0" applyProtection="0">
      <alignment vertical="center"/>
    </xf>
    <xf numFmtId="0" fontId="30" fillId="25" borderId="0" applyNumberFormat="0" applyBorder="0" applyAlignment="0" applyProtection="0">
      <alignment vertical="center"/>
    </xf>
    <xf numFmtId="0" fontId="28" fillId="20" borderId="0" applyNumberFormat="0" applyBorder="0" applyAlignment="0" applyProtection="0">
      <alignment vertical="center"/>
    </xf>
    <xf numFmtId="0" fontId="14" fillId="33" borderId="0" applyNumberFormat="0" applyBorder="0" applyAlignment="0" applyProtection="0">
      <alignment vertical="center"/>
    </xf>
    <xf numFmtId="0" fontId="22" fillId="13" borderId="0" applyNumberFormat="0" applyBorder="0" applyAlignment="0" applyProtection="0">
      <alignment vertical="center"/>
    </xf>
    <xf numFmtId="0" fontId="14" fillId="32" borderId="0" applyNumberFormat="0" applyBorder="0" applyAlignment="0" applyProtection="0">
      <alignment vertical="center"/>
    </xf>
    <xf numFmtId="0" fontId="14" fillId="6" borderId="0" applyNumberFormat="0" applyBorder="0" applyAlignment="0" applyProtection="0">
      <alignment vertical="center"/>
    </xf>
    <xf numFmtId="0" fontId="14" fillId="31" borderId="0" applyNumberFormat="0" applyBorder="0" applyAlignment="0" applyProtection="0">
      <alignment vertical="center"/>
    </xf>
    <xf numFmtId="0" fontId="14" fillId="5" borderId="0" applyNumberFormat="0" applyBorder="0" applyAlignment="0" applyProtection="0">
      <alignment vertical="center"/>
    </xf>
    <xf numFmtId="0" fontId="22" fillId="18" borderId="0" applyNumberFormat="0" applyBorder="0" applyAlignment="0" applyProtection="0">
      <alignment vertical="center"/>
    </xf>
    <xf numFmtId="0" fontId="22" fillId="12" borderId="0" applyNumberFormat="0" applyBorder="0" applyAlignment="0" applyProtection="0">
      <alignment vertical="center"/>
    </xf>
    <xf numFmtId="0" fontId="14" fillId="30" borderId="0" applyNumberFormat="0" applyBorder="0" applyAlignment="0" applyProtection="0">
      <alignment vertical="center"/>
    </xf>
    <xf numFmtId="0" fontId="14" fillId="4" borderId="0" applyNumberFormat="0" applyBorder="0" applyAlignment="0" applyProtection="0">
      <alignment vertical="center"/>
    </xf>
    <xf numFmtId="0" fontId="22" fillId="11" borderId="0" applyNumberFormat="0" applyBorder="0" applyAlignment="0" applyProtection="0">
      <alignment vertical="center"/>
    </xf>
    <xf numFmtId="0" fontId="14" fillId="3" borderId="0" applyNumberFormat="0" applyBorder="0" applyAlignment="0" applyProtection="0">
      <alignment vertical="center"/>
    </xf>
    <xf numFmtId="0" fontId="22" fillId="28" borderId="0" applyNumberFormat="0" applyBorder="0" applyAlignment="0" applyProtection="0">
      <alignment vertical="center"/>
    </xf>
    <xf numFmtId="0" fontId="22" fillId="17" borderId="0" applyNumberFormat="0" applyBorder="0" applyAlignment="0" applyProtection="0">
      <alignment vertical="center"/>
    </xf>
    <xf numFmtId="0" fontId="14" fillId="8" borderId="0" applyNumberFormat="0" applyBorder="0" applyAlignment="0" applyProtection="0">
      <alignment vertical="center"/>
    </xf>
    <xf numFmtId="0" fontId="22" fillId="19" borderId="0" applyNumberFormat="0" applyBorder="0" applyAlignment="0" applyProtection="0">
      <alignment vertical="center"/>
    </xf>
  </cellStyleXfs>
  <cellXfs count="204">
    <xf numFmtId="0" fontId="0" fillId="0" borderId="0" xfId="0">
      <alignment vertical="center"/>
    </xf>
    <xf numFmtId="0" fontId="1" fillId="0" borderId="0" xfId="0" applyFont="1" applyFill="1" applyBorder="1" applyAlignment="1">
      <alignment vertical="center"/>
    </xf>
    <xf numFmtId="0" fontId="2" fillId="0" borderId="0" xfId="0" applyFont="1" applyFill="1" applyBorder="1" applyAlignment="1">
      <alignment horizontal="center"/>
    </xf>
    <xf numFmtId="0" fontId="2" fillId="0" borderId="0" xfId="0" applyFont="1" applyFill="1" applyBorder="1" applyAlignment="1">
      <alignment vertical="center"/>
    </xf>
    <xf numFmtId="0" fontId="2" fillId="0" borderId="0" xfId="0" applyFont="1" applyFill="1" applyBorder="1" applyAlignment="1">
      <alignment horizontal="center" vertical="center" wrapText="1"/>
    </xf>
    <xf numFmtId="0" fontId="3" fillId="0" borderId="0" xfId="0" applyFont="1" applyFill="1" applyBorder="1" applyAlignment="1">
      <alignment horizontal="left" vertical="top" wrapText="1"/>
    </xf>
    <xf numFmtId="0" fontId="4" fillId="0" borderId="0" xfId="0" applyFont="1" applyFill="1" applyBorder="1" applyAlignment="1">
      <alignment vertical="top" wrapText="1"/>
    </xf>
    <xf numFmtId="0" fontId="5"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7" fillId="0" borderId="15" xfId="0" applyFont="1" applyFill="1" applyBorder="1" applyAlignment="1">
      <alignment horizontal="center" vertical="center" wrapText="1"/>
    </xf>
    <xf numFmtId="0" fontId="7" fillId="0" borderId="16" xfId="0" applyFont="1" applyFill="1" applyBorder="1" applyAlignment="1">
      <alignment horizontal="center" vertical="center" wrapText="1"/>
    </xf>
    <xf numFmtId="0" fontId="7" fillId="0" borderId="17" xfId="0" applyFont="1" applyFill="1" applyBorder="1" applyAlignment="1">
      <alignment horizontal="center" vertical="center" wrapText="1"/>
    </xf>
    <xf numFmtId="0" fontId="7" fillId="0" borderId="18" xfId="0" applyFont="1" applyFill="1" applyBorder="1" applyAlignment="1">
      <alignment horizontal="center" vertical="center" wrapText="1"/>
    </xf>
    <xf numFmtId="0" fontId="7" fillId="0" borderId="19" xfId="0" applyFont="1" applyFill="1" applyBorder="1" applyAlignment="1">
      <alignment horizontal="center" vertical="center" wrapText="1"/>
    </xf>
    <xf numFmtId="0" fontId="7" fillId="0" borderId="20" xfId="0" applyFont="1" applyFill="1" applyBorder="1" applyAlignment="1">
      <alignment horizontal="left" vertical="center" wrapText="1"/>
    </xf>
    <xf numFmtId="0" fontId="7" fillId="0" borderId="16" xfId="0" applyFont="1" applyFill="1" applyBorder="1" applyAlignment="1">
      <alignment horizontal="left" vertical="center" wrapText="1"/>
    </xf>
    <xf numFmtId="0" fontId="6" fillId="0" borderId="21" xfId="0" applyFont="1" applyFill="1" applyBorder="1" applyAlignment="1">
      <alignment horizontal="center" vertical="center" wrapText="1"/>
    </xf>
    <xf numFmtId="0" fontId="7" fillId="0" borderId="22" xfId="0" applyFont="1" applyFill="1" applyBorder="1" applyAlignment="1">
      <alignment horizontal="left" vertical="center" wrapText="1"/>
    </xf>
    <xf numFmtId="0" fontId="7" fillId="0" borderId="23" xfId="0" applyFont="1" applyFill="1" applyBorder="1" applyAlignment="1">
      <alignment horizontal="left" vertical="center" wrapText="1"/>
    </xf>
    <xf numFmtId="0" fontId="6" fillId="0" borderId="2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2" fillId="0" borderId="25" xfId="0" applyFont="1" applyFill="1" applyBorder="1" applyAlignment="1">
      <alignment horizontal="center" vertical="center" wrapText="1"/>
    </xf>
    <xf numFmtId="0" fontId="2" fillId="0" borderId="26" xfId="0" applyFont="1" applyFill="1" applyBorder="1" applyAlignment="1">
      <alignment horizontal="center" vertical="center" wrapText="1"/>
    </xf>
    <xf numFmtId="0" fontId="2" fillId="0" borderId="27"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8" fillId="0" borderId="16" xfId="0" applyFont="1" applyFill="1" applyBorder="1" applyAlignment="1">
      <alignment horizontal="center" vertical="center" wrapText="1"/>
    </xf>
    <xf numFmtId="0" fontId="2" fillId="0" borderId="28" xfId="0" applyFont="1" applyFill="1" applyBorder="1" applyAlignment="1">
      <alignment horizontal="center" vertical="center" wrapText="1"/>
    </xf>
    <xf numFmtId="0" fontId="2" fillId="0" borderId="29"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2" fillId="0" borderId="30"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8" fillId="0" borderId="19"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8" fillId="0" borderId="14" xfId="0" applyFont="1" applyFill="1" applyBorder="1" applyAlignment="1">
      <alignment horizontal="center" vertical="center" wrapText="1"/>
    </xf>
    <xf numFmtId="0" fontId="2" fillId="0" borderId="16" xfId="0" applyFont="1" applyFill="1" applyBorder="1" applyAlignment="1">
      <alignment horizontal="left" vertical="center" wrapText="1"/>
    </xf>
    <xf numFmtId="0" fontId="2" fillId="0" borderId="19" xfId="0" applyFont="1" applyFill="1" applyBorder="1" applyAlignment="1">
      <alignment horizontal="left" vertical="center" wrapText="1"/>
    </xf>
    <xf numFmtId="0" fontId="2" fillId="0" borderId="13" xfId="0" applyFont="1" applyFill="1" applyBorder="1" applyAlignment="1">
      <alignment horizontal="left" vertical="center" wrapText="1"/>
    </xf>
    <xf numFmtId="0" fontId="2" fillId="0" borderId="14" xfId="0" applyFont="1" applyFill="1" applyBorder="1" applyAlignment="1">
      <alignment horizontal="left" vertical="center" wrapText="1"/>
    </xf>
    <xf numFmtId="0" fontId="2" fillId="0" borderId="16" xfId="0" applyFont="1" applyFill="1" applyBorder="1" applyAlignment="1">
      <alignment horizontal="center" vertical="center" wrapText="1"/>
    </xf>
    <xf numFmtId="0" fontId="2" fillId="0" borderId="16" xfId="0" applyFont="1" applyFill="1" applyBorder="1" applyAlignment="1">
      <alignment horizontal="center" vertical="center"/>
    </xf>
    <xf numFmtId="0" fontId="2" fillId="0" borderId="16" xfId="0" applyFont="1" applyFill="1" applyBorder="1" applyAlignment="1">
      <alignment vertical="center" wrapText="1"/>
    </xf>
    <xf numFmtId="0" fontId="2" fillId="2" borderId="16"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2" fillId="0" borderId="31" xfId="0" applyFont="1" applyFill="1" applyBorder="1" applyAlignment="1">
      <alignment horizontal="center" vertical="center"/>
    </xf>
    <xf numFmtId="0" fontId="6" fillId="0" borderId="32" xfId="0" applyFont="1" applyFill="1" applyBorder="1" applyAlignment="1">
      <alignment horizontal="center" vertical="center" wrapText="1"/>
    </xf>
    <xf numFmtId="0" fontId="2" fillId="0" borderId="23" xfId="0" applyFont="1" applyFill="1" applyBorder="1" applyAlignment="1">
      <alignment horizontal="center" vertical="center"/>
    </xf>
    <xf numFmtId="0" fontId="6" fillId="0" borderId="33" xfId="0" applyFont="1" applyFill="1" applyBorder="1" applyAlignment="1">
      <alignment horizontal="center" vertical="center" wrapText="1"/>
    </xf>
    <xf numFmtId="0" fontId="6" fillId="0" borderId="34" xfId="0" applyFont="1" applyFill="1" applyBorder="1" applyAlignment="1">
      <alignment horizontal="center" vertical="center" wrapText="1"/>
    </xf>
    <xf numFmtId="0" fontId="9" fillId="0" borderId="6" xfId="0" applyFont="1" applyFill="1" applyBorder="1" applyAlignment="1">
      <alignment horizontal="left" vertical="center" wrapText="1"/>
    </xf>
    <xf numFmtId="0" fontId="2" fillId="0" borderId="7"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35" xfId="0" applyFont="1" applyFill="1" applyBorder="1" applyAlignment="1">
      <alignment horizontal="left" vertical="center" wrapText="1"/>
    </xf>
    <xf numFmtId="0" fontId="9" fillId="0" borderId="5"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29" xfId="0" applyFont="1" applyFill="1" applyBorder="1" applyAlignment="1">
      <alignment horizontal="left" vertical="center" wrapText="1"/>
    </xf>
    <xf numFmtId="0" fontId="2" fillId="0" borderId="35"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9" fillId="0" borderId="2" xfId="0" applyFont="1" applyFill="1" applyBorder="1" applyAlignment="1">
      <alignment horizontal="left" vertical="center" wrapText="1"/>
    </xf>
    <xf numFmtId="0" fontId="2" fillId="0" borderId="26" xfId="0" applyFont="1" applyFill="1" applyBorder="1" applyAlignment="1">
      <alignment horizontal="left" vertical="center" wrapText="1"/>
    </xf>
    <xf numFmtId="0" fontId="2" fillId="0" borderId="27" xfId="0" applyFont="1" applyFill="1" applyBorder="1" applyAlignment="1">
      <alignment horizontal="left" vertical="center" wrapText="1"/>
    </xf>
    <xf numFmtId="0" fontId="2" fillId="0" borderId="4" xfId="0"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6" xfId="0" applyFont="1" applyFill="1" applyBorder="1" applyAlignment="1">
      <alignment horizontal="center" vertical="center" wrapText="1"/>
    </xf>
    <xf numFmtId="0" fontId="2" fillId="0" borderId="5" xfId="0" applyFont="1" applyFill="1" applyBorder="1" applyAlignment="1">
      <alignment horizontal="left" vertical="center" wrapText="1"/>
    </xf>
    <xf numFmtId="49" fontId="2" fillId="0" borderId="16" xfId="0" applyNumberFormat="1" applyFont="1" applyFill="1" applyBorder="1" applyAlignment="1">
      <alignment horizontal="left" vertical="center" wrapText="1"/>
    </xf>
    <xf numFmtId="0" fontId="2" fillId="0" borderId="37"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38" xfId="0" applyFont="1" applyFill="1" applyBorder="1" applyAlignment="1">
      <alignment horizontal="center" vertical="center" wrapText="1"/>
    </xf>
    <xf numFmtId="49" fontId="2" fillId="0" borderId="19" xfId="0" applyNumberFormat="1" applyFont="1" applyFill="1" applyBorder="1" applyAlignment="1">
      <alignment horizontal="left" vertical="center" wrapText="1"/>
    </xf>
    <xf numFmtId="0" fontId="2" fillId="0" borderId="2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38" xfId="0" applyFont="1" applyFill="1" applyBorder="1" applyAlignment="1">
      <alignment horizontal="left" vertical="center" wrapText="1"/>
    </xf>
    <xf numFmtId="0" fontId="2" fillId="0" borderId="23" xfId="0" applyFont="1" applyFill="1" applyBorder="1" applyAlignment="1">
      <alignment horizontal="center" vertical="center" wrapText="1"/>
    </xf>
    <xf numFmtId="0" fontId="2" fillId="0" borderId="23" xfId="0" applyFont="1" applyFill="1" applyBorder="1" applyAlignment="1">
      <alignment horizontal="left" vertical="center" wrapText="1"/>
    </xf>
    <xf numFmtId="0" fontId="7" fillId="0" borderId="24" xfId="0" applyFont="1" applyFill="1" applyBorder="1" applyAlignment="1">
      <alignment horizontal="center" vertical="center" wrapText="1"/>
    </xf>
    <xf numFmtId="0" fontId="7" fillId="0" borderId="39" xfId="0" applyFont="1" applyFill="1" applyBorder="1" applyAlignment="1">
      <alignment horizontal="center" vertical="center" wrapText="1"/>
    </xf>
    <xf numFmtId="0" fontId="6" fillId="0" borderId="40"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2" fillId="0" borderId="41" xfId="0" applyFont="1" applyFill="1" applyBorder="1" applyAlignment="1">
      <alignment horizontal="center" vertical="center"/>
    </xf>
    <xf numFmtId="0" fontId="2" fillId="0" borderId="42" xfId="0" applyFont="1" applyFill="1" applyBorder="1" applyAlignment="1">
      <alignment horizontal="center" vertical="center"/>
    </xf>
    <xf numFmtId="0" fontId="7" fillId="2" borderId="43" xfId="0" applyFont="1" applyFill="1" applyBorder="1" applyAlignment="1">
      <alignment horizontal="center" vertical="center" wrapText="1"/>
    </xf>
    <xf numFmtId="0" fontId="2" fillId="2" borderId="39" xfId="0" applyFont="1" applyFill="1" applyBorder="1" applyAlignment="1">
      <alignment horizontal="center" vertical="center" wrapText="1"/>
    </xf>
    <xf numFmtId="0" fontId="2" fillId="2" borderId="44" xfId="0" applyFont="1" applyFill="1" applyBorder="1" applyAlignment="1">
      <alignment horizontal="center" vertical="center" wrapText="1"/>
    </xf>
    <xf numFmtId="0" fontId="2" fillId="2" borderId="45" xfId="0" applyFont="1" applyFill="1" applyBorder="1" applyAlignment="1">
      <alignment horizontal="center" vertical="center" wrapText="1"/>
    </xf>
    <xf numFmtId="0" fontId="6" fillId="0" borderId="34" xfId="0" applyFont="1" applyFill="1" applyBorder="1" applyAlignment="1">
      <alignment horizontal="center" vertical="center"/>
    </xf>
    <xf numFmtId="0" fontId="1" fillId="0" borderId="17" xfId="0" applyFont="1" applyFill="1" applyBorder="1" applyAlignment="1">
      <alignment vertical="center"/>
    </xf>
    <xf numFmtId="0" fontId="2" fillId="0" borderId="19" xfId="0" applyFont="1" applyFill="1" applyBorder="1" applyAlignment="1">
      <alignment horizontal="center" vertical="center" wrapText="1"/>
    </xf>
    <xf numFmtId="0" fontId="2" fillId="0" borderId="14"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0" borderId="35" xfId="0" applyFont="1" applyFill="1" applyBorder="1" applyAlignment="1">
      <alignment horizontal="center" vertical="center" wrapText="1"/>
    </xf>
    <xf numFmtId="0" fontId="1" fillId="0" borderId="19" xfId="0" applyFont="1" applyFill="1" applyBorder="1" applyAlignment="1">
      <alignment horizontal="left" vertical="center" wrapText="1"/>
    </xf>
    <xf numFmtId="0" fontId="1" fillId="0" borderId="13" xfId="0" applyFont="1" applyFill="1" applyBorder="1" applyAlignment="1">
      <alignment horizontal="left" vertical="center" wrapText="1"/>
    </xf>
    <xf numFmtId="0" fontId="1" fillId="0" borderId="14" xfId="0" applyFont="1" applyFill="1" applyBorder="1" applyAlignment="1">
      <alignment horizontal="left" vertical="center" wrapText="1"/>
    </xf>
    <xf numFmtId="0" fontId="7" fillId="0" borderId="30" xfId="0" applyFont="1" applyFill="1" applyBorder="1" applyAlignment="1">
      <alignment horizontal="center" vertical="center" wrapText="1"/>
    </xf>
    <xf numFmtId="0" fontId="10" fillId="0" borderId="16" xfId="0" applyFont="1" applyFill="1" applyBorder="1" applyAlignment="1">
      <alignment horizontal="center" vertical="center" wrapText="1"/>
    </xf>
    <xf numFmtId="9" fontId="7" fillId="0" borderId="16" xfId="0" applyNumberFormat="1" applyFont="1" applyFill="1" applyBorder="1" applyAlignment="1">
      <alignment horizontal="center" vertical="center" wrapText="1"/>
    </xf>
    <xf numFmtId="0" fontId="10" fillId="0" borderId="19" xfId="0" applyFont="1" applyFill="1" applyBorder="1" applyAlignment="1">
      <alignment horizontal="center" vertical="center" wrapText="1"/>
    </xf>
    <xf numFmtId="9" fontId="7" fillId="0" borderId="19" xfId="0" applyNumberFormat="1" applyFont="1" applyFill="1" applyBorder="1" applyAlignment="1">
      <alignment horizontal="center" vertical="center" wrapText="1"/>
    </xf>
    <xf numFmtId="0" fontId="2" fillId="0" borderId="4" xfId="0" applyFont="1" applyFill="1" applyBorder="1" applyAlignment="1">
      <alignment horizontal="center" vertical="center"/>
    </xf>
    <xf numFmtId="0" fontId="1" fillId="0" borderId="16" xfId="0" applyFont="1" applyFill="1" applyBorder="1" applyAlignment="1">
      <alignment vertical="center"/>
    </xf>
    <xf numFmtId="0" fontId="2" fillId="0" borderId="16" xfId="0" applyFont="1" applyFill="1" applyBorder="1" applyAlignment="1">
      <alignment vertical="center"/>
    </xf>
    <xf numFmtId="9" fontId="2" fillId="0" borderId="16" xfId="0" applyNumberFormat="1" applyFont="1" applyFill="1" applyBorder="1" applyAlignment="1">
      <alignment vertical="center" wrapText="1"/>
    </xf>
    <xf numFmtId="10" fontId="2" fillId="0" borderId="16" xfId="0" applyNumberFormat="1" applyFont="1" applyFill="1" applyBorder="1" applyAlignment="1">
      <alignment horizontal="center" vertical="center" wrapText="1"/>
    </xf>
    <xf numFmtId="0" fontId="7" fillId="0" borderId="45" xfId="0" applyFont="1" applyFill="1" applyBorder="1" applyAlignment="1">
      <alignment horizontal="center" vertical="center" wrapText="1"/>
    </xf>
    <xf numFmtId="49" fontId="11" fillId="0" borderId="16" xfId="0" applyNumberFormat="1" applyFont="1" applyFill="1" applyBorder="1" applyAlignment="1">
      <alignment horizontal="left" vertical="center" wrapText="1"/>
    </xf>
    <xf numFmtId="9" fontId="7" fillId="0" borderId="19" xfId="11" applyNumberFormat="1" applyFont="1" applyFill="1" applyBorder="1" applyAlignment="1">
      <alignment horizontal="center" vertical="center" wrapText="1"/>
    </xf>
    <xf numFmtId="49" fontId="11" fillId="0" borderId="19" xfId="0" applyNumberFormat="1" applyFont="1" applyFill="1" applyBorder="1" applyAlignment="1">
      <alignment horizontal="left" vertical="center" wrapText="1"/>
    </xf>
    <xf numFmtId="49" fontId="11" fillId="0" borderId="13" xfId="0" applyNumberFormat="1" applyFont="1" applyFill="1" applyBorder="1" applyAlignment="1">
      <alignment horizontal="left" vertical="center" wrapText="1"/>
    </xf>
    <xf numFmtId="49" fontId="11" fillId="0" borderId="14" xfId="0" applyNumberFormat="1" applyFont="1" applyFill="1" applyBorder="1" applyAlignment="1">
      <alignment horizontal="left" vertical="center" wrapText="1"/>
    </xf>
    <xf numFmtId="9" fontId="7" fillId="0" borderId="19" xfId="11" applyFont="1" applyFill="1" applyBorder="1" applyAlignment="1">
      <alignment horizontal="center" vertical="center" wrapText="1"/>
    </xf>
    <xf numFmtId="0" fontId="11" fillId="0" borderId="4" xfId="0" applyFont="1" applyFill="1" applyBorder="1" applyAlignment="1">
      <alignment horizontal="left" vertical="center" wrapText="1"/>
    </xf>
    <xf numFmtId="9" fontId="7" fillId="0" borderId="4" xfId="11" applyNumberFormat="1" applyFont="1" applyFill="1" applyBorder="1" applyAlignment="1">
      <alignment horizontal="center" vertical="center" wrapText="1"/>
    </xf>
    <xf numFmtId="0" fontId="11" fillId="0" borderId="16" xfId="0" applyFont="1" applyFill="1" applyBorder="1" applyAlignment="1">
      <alignment horizontal="left" vertical="center" wrapText="1"/>
    </xf>
    <xf numFmtId="9" fontId="7" fillId="0" borderId="16" xfId="11" applyFont="1" applyFill="1" applyBorder="1" applyAlignment="1">
      <alignment horizontal="center" vertical="center" wrapText="1"/>
    </xf>
    <xf numFmtId="9" fontId="7" fillId="0" borderId="16" xfId="11" applyNumberFormat="1" applyFont="1" applyFill="1" applyBorder="1" applyAlignment="1">
      <alignment horizontal="center" vertical="center" wrapText="1"/>
    </xf>
    <xf numFmtId="49" fontId="2" fillId="0" borderId="14" xfId="0" applyNumberFormat="1" applyFont="1" applyFill="1" applyBorder="1" applyAlignment="1">
      <alignment horizontal="left" vertical="center" wrapText="1"/>
    </xf>
    <xf numFmtId="0" fontId="11" fillId="0" borderId="31" xfId="0" applyFont="1" applyFill="1" applyBorder="1" applyAlignment="1">
      <alignment horizontal="left" vertical="center" wrapText="1"/>
    </xf>
    <xf numFmtId="9" fontId="7" fillId="0" borderId="31" xfId="11" applyFont="1" applyFill="1" applyBorder="1" applyAlignment="1">
      <alignment horizontal="center" vertical="center" wrapText="1"/>
    </xf>
    <xf numFmtId="49" fontId="11" fillId="0" borderId="4" xfId="0" applyNumberFormat="1" applyFont="1" applyFill="1" applyBorder="1" applyAlignment="1">
      <alignment horizontal="left" vertical="center" wrapText="1"/>
    </xf>
    <xf numFmtId="9" fontId="7" fillId="0" borderId="16" xfId="11" applyNumberFormat="1" applyFont="1" applyFill="1" applyBorder="1" applyAlignment="1" applyProtection="1">
      <alignment horizontal="center" vertical="center" wrapText="1"/>
    </xf>
    <xf numFmtId="49" fontId="11" fillId="0" borderId="23" xfId="0" applyNumberFormat="1" applyFont="1" applyFill="1" applyBorder="1" applyAlignment="1">
      <alignment horizontal="left" vertical="center" wrapText="1"/>
    </xf>
    <xf numFmtId="9" fontId="7" fillId="0" borderId="23" xfId="11" applyNumberFormat="1" applyFont="1" applyFill="1" applyBorder="1" applyAlignment="1">
      <alignment horizontal="center" vertical="center" wrapText="1"/>
    </xf>
    <xf numFmtId="0" fontId="7" fillId="0" borderId="44" xfId="0" applyFont="1" applyFill="1" applyBorder="1" applyAlignment="1">
      <alignment horizontal="center" vertical="center" wrapText="1"/>
    </xf>
    <xf numFmtId="9" fontId="7" fillId="0" borderId="4" xfId="0" applyNumberFormat="1" applyFont="1" applyFill="1" applyBorder="1" applyAlignment="1">
      <alignment horizontal="center" vertical="center" wrapText="1"/>
    </xf>
    <xf numFmtId="0" fontId="2" fillId="2" borderId="25"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7" fillId="0" borderId="46" xfId="0" applyFont="1" applyFill="1" applyBorder="1" applyAlignment="1">
      <alignment horizontal="center" vertical="center" wrapText="1"/>
    </xf>
    <xf numFmtId="0" fontId="1" fillId="0" borderId="47" xfId="0" applyFont="1" applyFill="1" applyBorder="1" applyAlignment="1">
      <alignment horizontal="left" vertical="center" wrapText="1"/>
    </xf>
    <xf numFmtId="0" fontId="1" fillId="0" borderId="0" xfId="0" applyFont="1" applyFill="1" applyBorder="1" applyAlignment="1">
      <alignment horizontal="center" vertical="center" wrapText="1"/>
    </xf>
    <xf numFmtId="0" fontId="7" fillId="0" borderId="47" xfId="0" applyFont="1" applyFill="1" applyBorder="1" applyAlignment="1">
      <alignment horizontal="center" vertical="center" wrapText="1"/>
    </xf>
    <xf numFmtId="10" fontId="7" fillId="0" borderId="13" xfId="0" applyNumberFormat="1" applyFont="1" applyFill="1" applyBorder="1" applyAlignment="1">
      <alignment horizontal="center" vertical="center" wrapText="1"/>
    </xf>
    <xf numFmtId="10" fontId="7" fillId="0" borderId="47" xfId="0" applyNumberFormat="1" applyFont="1" applyFill="1" applyBorder="1" applyAlignment="1">
      <alignment horizontal="center" vertical="center" wrapText="1"/>
    </xf>
    <xf numFmtId="0" fontId="10" fillId="0" borderId="14" xfId="0" applyFont="1" applyFill="1" applyBorder="1" applyAlignment="1">
      <alignment horizontal="center" vertical="center" wrapText="1"/>
    </xf>
    <xf numFmtId="0" fontId="2" fillId="0" borderId="48" xfId="0" applyFont="1" applyFill="1" applyBorder="1" applyAlignment="1">
      <alignment horizontal="left" vertical="center" wrapText="1"/>
    </xf>
    <xf numFmtId="0" fontId="2" fillId="0" borderId="49" xfId="0" applyFont="1" applyFill="1" applyBorder="1" applyAlignment="1">
      <alignment horizontal="left" vertical="center" wrapText="1"/>
    </xf>
    <xf numFmtId="0" fontId="2" fillId="0" borderId="46" xfId="0" applyFont="1" applyFill="1" applyBorder="1" applyAlignment="1">
      <alignment horizontal="center" vertical="center"/>
    </xf>
    <xf numFmtId="0" fontId="2" fillId="0" borderId="48" xfId="0" applyFont="1" applyFill="1" applyBorder="1" applyAlignment="1">
      <alignment horizontal="center" vertical="center" wrapText="1"/>
    </xf>
    <xf numFmtId="0" fontId="8" fillId="0" borderId="48" xfId="0" applyFont="1" applyFill="1" applyBorder="1" applyAlignment="1">
      <alignment horizontal="center" vertical="center" wrapText="1"/>
    </xf>
    <xf numFmtId="0" fontId="8" fillId="0" borderId="47" xfId="0" applyFont="1" applyFill="1" applyBorder="1" applyAlignment="1">
      <alignment horizontal="center" vertical="center" wrapText="1"/>
    </xf>
    <xf numFmtId="0" fontId="2" fillId="2" borderId="48" xfId="0" applyFont="1" applyFill="1" applyBorder="1" applyAlignment="1">
      <alignment horizontal="center" vertical="center" wrapText="1"/>
    </xf>
    <xf numFmtId="0" fontId="1" fillId="0" borderId="50" xfId="0" applyFont="1" applyFill="1" applyBorder="1" applyAlignment="1">
      <alignment vertical="center"/>
    </xf>
    <xf numFmtId="9" fontId="7" fillId="0" borderId="14" xfId="11" applyFont="1" applyFill="1" applyBorder="1" applyAlignment="1">
      <alignment horizontal="center" vertical="center" wrapText="1"/>
    </xf>
    <xf numFmtId="0" fontId="7" fillId="0" borderId="48" xfId="0" applyFont="1" applyFill="1" applyBorder="1" applyAlignment="1">
      <alignment horizontal="center" vertical="center" wrapText="1"/>
    </xf>
    <xf numFmtId="9" fontId="7" fillId="0" borderId="4" xfId="11" applyFont="1" applyFill="1" applyBorder="1" applyAlignment="1">
      <alignment horizontal="center" vertical="center" wrapText="1"/>
    </xf>
    <xf numFmtId="0" fontId="7" fillId="0" borderId="31" xfId="0" applyFont="1" applyFill="1" applyBorder="1" applyAlignment="1">
      <alignment horizontal="center" vertical="center" wrapText="1"/>
    </xf>
    <xf numFmtId="0" fontId="7" fillId="0" borderId="51" xfId="0" applyFont="1" applyFill="1" applyBorder="1" applyAlignment="1">
      <alignment horizontal="center" vertical="center" wrapText="1"/>
    </xf>
    <xf numFmtId="0" fontId="1" fillId="0" borderId="48" xfId="0" applyFont="1" applyFill="1" applyBorder="1" applyAlignment="1">
      <alignment vertical="center"/>
    </xf>
    <xf numFmtId="0" fontId="7" fillId="0" borderId="23" xfId="0" applyFont="1" applyFill="1" applyBorder="1" applyAlignment="1">
      <alignment horizontal="center" vertical="center" wrapText="1"/>
    </xf>
    <xf numFmtId="0" fontId="7" fillId="0" borderId="49" xfId="0" applyFont="1" applyFill="1" applyBorder="1" applyAlignment="1">
      <alignment horizontal="center" vertical="center" wrapText="1"/>
    </xf>
    <xf numFmtId="176" fontId="7" fillId="0" borderId="4" xfId="0" applyNumberFormat="1" applyFont="1" applyFill="1" applyBorder="1" applyAlignment="1">
      <alignment horizontal="center" vertical="center" wrapText="1"/>
    </xf>
    <xf numFmtId="176" fontId="7" fillId="0" borderId="46" xfId="0" applyNumberFormat="1" applyFont="1" applyFill="1" applyBorder="1" applyAlignment="1">
      <alignment horizontal="center" vertical="center" wrapText="1"/>
    </xf>
    <xf numFmtId="0" fontId="2" fillId="0" borderId="52" xfId="0" applyFont="1" applyFill="1" applyBorder="1" applyAlignment="1">
      <alignment horizontal="center" vertical="center"/>
    </xf>
    <xf numFmtId="0" fontId="2" fillId="2" borderId="50" xfId="0" applyFont="1" applyFill="1" applyBorder="1" applyAlignment="1">
      <alignment horizontal="center" vertical="center" wrapText="1"/>
    </xf>
    <xf numFmtId="0" fontId="2" fillId="0" borderId="47" xfId="0" applyFont="1" applyFill="1" applyBorder="1" applyAlignment="1">
      <alignment horizontal="center" vertical="center" wrapText="1"/>
    </xf>
    <xf numFmtId="0" fontId="2" fillId="2" borderId="19" xfId="0" applyFont="1" applyFill="1" applyBorder="1" applyAlignment="1">
      <alignment horizontal="left" vertical="top" wrapText="1"/>
    </xf>
    <xf numFmtId="0" fontId="2" fillId="2" borderId="13" xfId="0" applyFont="1" applyFill="1" applyBorder="1" applyAlignment="1">
      <alignment horizontal="left" vertical="top" wrapText="1"/>
    </xf>
    <xf numFmtId="0" fontId="1" fillId="0" borderId="53" xfId="0" applyFont="1" applyFill="1" applyBorder="1" applyAlignment="1">
      <alignment vertical="center"/>
    </xf>
    <xf numFmtId="0" fontId="2" fillId="2" borderId="41" xfId="0" applyFont="1" applyFill="1" applyBorder="1" applyAlignment="1">
      <alignment horizontal="center" vertical="center" wrapText="1"/>
    </xf>
    <xf numFmtId="0" fontId="2" fillId="2" borderId="42" xfId="0" applyFont="1" applyFill="1" applyBorder="1" applyAlignment="1">
      <alignment horizontal="center" vertical="center" wrapText="1"/>
    </xf>
    <xf numFmtId="0" fontId="2" fillId="2" borderId="25" xfId="0" applyFont="1" applyFill="1" applyBorder="1" applyAlignment="1">
      <alignment horizontal="left" vertical="center" wrapText="1"/>
    </xf>
    <xf numFmtId="0" fontId="2" fillId="2" borderId="26" xfId="0" applyFont="1" applyFill="1" applyBorder="1" applyAlignment="1">
      <alignment horizontal="left" vertical="center" wrapText="1"/>
    </xf>
    <xf numFmtId="0" fontId="7" fillId="2" borderId="17" xfId="0" applyFont="1" applyFill="1" applyBorder="1" applyAlignment="1">
      <alignment horizontal="center" vertical="center" wrapText="1"/>
    </xf>
    <xf numFmtId="0" fontId="2" fillId="2" borderId="30" xfId="0" applyFont="1" applyFill="1" applyBorder="1" applyAlignment="1">
      <alignment horizontal="center" wrapText="1"/>
    </xf>
    <xf numFmtId="0" fontId="2" fillId="2" borderId="10" xfId="0" applyFont="1" applyFill="1" applyBorder="1" applyAlignment="1">
      <alignment horizontal="center" wrapText="1"/>
    </xf>
    <xf numFmtId="0" fontId="7" fillId="2" borderId="53" xfId="0" applyFont="1" applyFill="1" applyBorder="1" applyAlignment="1">
      <alignment horizontal="center" vertical="center" wrapText="1"/>
    </xf>
    <xf numFmtId="0" fontId="2" fillId="2" borderId="28" xfId="0" applyFont="1" applyFill="1" applyBorder="1" applyAlignment="1">
      <alignment horizontal="left" vertical="top" wrapText="1"/>
    </xf>
    <xf numFmtId="0" fontId="2" fillId="2" borderId="0" xfId="0" applyFont="1" applyFill="1" applyBorder="1" applyAlignment="1">
      <alignment horizontal="left" vertical="top" wrapText="1"/>
    </xf>
    <xf numFmtId="0" fontId="1" fillId="2" borderId="0" xfId="0" applyFont="1" applyFill="1" applyBorder="1" applyAlignment="1">
      <alignment vertical="center"/>
    </xf>
    <xf numFmtId="0" fontId="2" fillId="2" borderId="28" xfId="0" applyFont="1" applyFill="1" applyBorder="1" applyAlignment="1">
      <alignment horizontal="center" vertical="top" wrapText="1"/>
    </xf>
    <xf numFmtId="0" fontId="2" fillId="2" borderId="0" xfId="0" applyFont="1" applyFill="1" applyBorder="1" applyAlignment="1">
      <alignment horizontal="center" vertical="top" wrapText="1"/>
    </xf>
    <xf numFmtId="0" fontId="6" fillId="0" borderId="40" xfId="0" applyFont="1" applyFill="1" applyBorder="1" applyAlignment="1">
      <alignment horizontal="center" vertical="center"/>
    </xf>
    <xf numFmtId="0" fontId="2" fillId="2" borderId="37" xfId="0" applyFont="1" applyFill="1" applyBorder="1" applyAlignment="1">
      <alignment horizontal="center" wrapText="1"/>
    </xf>
    <xf numFmtId="0" fontId="2" fillId="2" borderId="1" xfId="0" applyFont="1" applyFill="1" applyBorder="1" applyAlignment="1">
      <alignment horizontal="center" wrapText="1"/>
    </xf>
    <xf numFmtId="0" fontId="6" fillId="0" borderId="26" xfId="0" applyFont="1" applyFill="1" applyBorder="1" applyAlignment="1">
      <alignment vertical="center"/>
    </xf>
    <xf numFmtId="0" fontId="2" fillId="0" borderId="26" xfId="0" applyFont="1" applyFill="1" applyBorder="1" applyAlignment="1">
      <alignment horizontal="left" vertical="center"/>
    </xf>
    <xf numFmtId="0" fontId="2" fillId="0" borderId="26" xfId="0" applyFont="1" applyFill="1" applyBorder="1" applyAlignment="1">
      <alignment vertical="center"/>
    </xf>
    <xf numFmtId="0" fontId="2" fillId="2" borderId="47" xfId="0" applyFont="1" applyFill="1" applyBorder="1" applyAlignment="1">
      <alignment horizontal="left" vertical="top" wrapText="1"/>
    </xf>
    <xf numFmtId="0" fontId="2" fillId="2" borderId="52" xfId="0" applyFont="1" applyFill="1" applyBorder="1" applyAlignment="1">
      <alignment horizontal="center" vertical="center" wrapText="1"/>
    </xf>
    <xf numFmtId="0" fontId="2" fillId="2" borderId="54" xfId="0" applyFont="1" applyFill="1" applyBorder="1" applyAlignment="1">
      <alignment horizontal="left" vertical="center" wrapText="1"/>
    </xf>
    <xf numFmtId="0" fontId="2" fillId="2" borderId="55" xfId="0" applyFont="1" applyFill="1" applyBorder="1" applyAlignment="1">
      <alignment horizontal="center" wrapText="1"/>
    </xf>
    <xf numFmtId="0" fontId="2" fillId="2" borderId="56" xfId="0" applyFont="1" applyFill="1" applyBorder="1" applyAlignment="1">
      <alignment horizontal="left" vertical="top" wrapText="1"/>
    </xf>
    <xf numFmtId="0" fontId="2" fillId="2" borderId="56" xfId="0" applyFont="1" applyFill="1" applyBorder="1" applyAlignment="1">
      <alignment horizontal="center" vertical="top" wrapText="1"/>
    </xf>
    <xf numFmtId="0" fontId="2" fillId="2" borderId="57" xfId="0" applyFont="1" applyFill="1" applyBorder="1" applyAlignment="1">
      <alignment horizontal="center" wrapText="1"/>
    </xf>
    <xf numFmtId="0" fontId="12" fillId="0" borderId="0" xfId="0" applyFont="1" applyFill="1" applyBorder="1" applyAlignment="1">
      <alignment horizontal="left" vertical="top" wrapText="1"/>
    </xf>
    <xf numFmtId="0" fontId="13" fillId="0" borderId="0" xfId="0" applyFont="1" applyFill="1" applyBorder="1" applyAlignment="1">
      <alignment vertical="top" wrapText="1"/>
    </xf>
    <xf numFmtId="10" fontId="2" fillId="0" borderId="16" xfId="0" applyNumberFormat="1" applyFont="1" applyFill="1" applyBorder="1" applyAlignment="1">
      <alignment vertical="center" wrapText="1"/>
    </xf>
    <xf numFmtId="9" fontId="7" fillId="0" borderId="23" xfId="11" applyFont="1" applyFill="1" applyBorder="1" applyAlignment="1">
      <alignment horizontal="center" vertical="center" wrapText="1"/>
    </xf>
    <xf numFmtId="9" fontId="7" fillId="0" borderId="13" xfId="0" applyNumberFormat="1"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5"/>
  <sheetViews>
    <sheetView zoomScale="115" zoomScaleNormal="115" topLeftCell="A25" workbookViewId="0">
      <selection activeCell="P10" sqref="P10:Q10"/>
    </sheetView>
  </sheetViews>
  <sheetFormatPr defaultColWidth="9" defaultRowHeight="14.25"/>
  <cols>
    <col min="1" max="1" width="4.5" style="3" customWidth="1"/>
    <col min="2" max="2" width="6.875" style="3" customWidth="1"/>
    <col min="3" max="3" width="6.5" style="3" customWidth="1"/>
    <col min="4" max="4" width="4.75" style="3" customWidth="1"/>
    <col min="5" max="6" width="4.625" style="3" customWidth="1"/>
    <col min="7" max="7" width="4.375" style="3" customWidth="1"/>
    <col min="8" max="8" width="5.25" style="3" customWidth="1"/>
    <col min="9" max="9" width="8.625" style="3" customWidth="1"/>
    <col min="10" max="10" width="4.5" style="3" customWidth="1"/>
    <col min="11" max="11" width="7.125" style="3" customWidth="1"/>
    <col min="12" max="12" width="8.5" style="3" customWidth="1"/>
    <col min="13" max="13" width="4.75" style="3" customWidth="1"/>
    <col min="14" max="14" width="5.625" style="3" customWidth="1"/>
    <col min="15" max="15" width="7.625" style="3" customWidth="1"/>
    <col min="16" max="16" width="4.25" style="3" customWidth="1"/>
    <col min="17" max="17" width="4.625" style="3" customWidth="1"/>
    <col min="18" max="18" width="4.375" style="3" customWidth="1"/>
    <col min="19" max="19" width="3.25" style="3" customWidth="1"/>
    <col min="20" max="20" width="9" style="4" hidden="1" customWidth="1"/>
    <col min="21" max="256" width="9" style="3"/>
    <col min="257" max="16384" width="9" style="1"/>
  </cols>
  <sheetData>
    <row r="1" ht="26.25" customHeight="1" spans="1:19">
      <c r="A1" s="199"/>
      <c r="B1" s="199"/>
      <c r="C1" s="200"/>
      <c r="D1" s="200"/>
      <c r="E1" s="200"/>
      <c r="F1" s="200"/>
      <c r="G1" s="200"/>
      <c r="H1" s="200"/>
      <c r="I1" s="200"/>
      <c r="J1" s="200"/>
      <c r="K1" s="200"/>
      <c r="L1" s="200"/>
      <c r="M1" s="200"/>
      <c r="N1" s="200"/>
      <c r="O1" s="200"/>
      <c r="P1" s="200"/>
      <c r="Q1" s="200"/>
      <c r="R1" s="200"/>
      <c r="S1" s="200"/>
    </row>
    <row r="2" ht="43.15" customHeight="1" spans="1:19">
      <c r="A2" s="7" t="s">
        <v>0</v>
      </c>
      <c r="B2" s="7"/>
      <c r="C2" s="7"/>
      <c r="D2" s="7"/>
      <c r="E2" s="7"/>
      <c r="F2" s="7"/>
      <c r="G2" s="7"/>
      <c r="H2" s="7"/>
      <c r="I2" s="7"/>
      <c r="J2" s="7"/>
      <c r="K2" s="7"/>
      <c r="L2" s="7"/>
      <c r="M2" s="7"/>
      <c r="N2" s="7"/>
      <c r="O2" s="7"/>
      <c r="P2" s="7"/>
      <c r="Q2" s="7"/>
      <c r="R2" s="7"/>
      <c r="S2" s="7"/>
    </row>
    <row r="3" ht="24.75" customHeight="1" spans="1:19">
      <c r="A3" s="8" t="s">
        <v>1</v>
      </c>
      <c r="B3" s="9" t="s">
        <v>2</v>
      </c>
      <c r="C3" s="10"/>
      <c r="D3" s="10"/>
      <c r="E3" s="10" t="s">
        <v>3</v>
      </c>
      <c r="F3" s="10"/>
      <c r="G3" s="10"/>
      <c r="H3" s="10"/>
      <c r="I3" s="10"/>
      <c r="J3" s="10"/>
      <c r="K3" s="10"/>
      <c r="L3" s="10"/>
      <c r="M3" s="10"/>
      <c r="N3" s="10"/>
      <c r="O3" s="10"/>
      <c r="P3" s="10"/>
      <c r="Q3" s="10"/>
      <c r="R3" s="10"/>
      <c r="S3" s="142"/>
    </row>
    <row r="4" s="1" customFormat="1" ht="19.5" customHeight="1" spans="1:20">
      <c r="A4" s="11"/>
      <c r="B4" s="12" t="s">
        <v>4</v>
      </c>
      <c r="C4" s="13"/>
      <c r="D4" s="13"/>
      <c r="E4" s="13"/>
      <c r="F4" s="13"/>
      <c r="G4" s="13"/>
      <c r="H4" s="14"/>
      <c r="I4" s="105" t="s">
        <v>5</v>
      </c>
      <c r="J4" s="14"/>
      <c r="K4" s="106" t="s">
        <v>6</v>
      </c>
      <c r="L4" s="107"/>
      <c r="M4" s="108"/>
      <c r="N4" s="105" t="s">
        <v>7</v>
      </c>
      <c r="O4" s="14"/>
      <c r="P4" s="106" t="s">
        <v>6</v>
      </c>
      <c r="Q4" s="107"/>
      <c r="R4" s="107"/>
      <c r="S4" s="143"/>
      <c r="T4" s="144"/>
    </row>
    <row r="5" s="1" customFormat="1" ht="21" customHeight="1" spans="1:20">
      <c r="A5" s="11"/>
      <c r="B5" s="15"/>
      <c r="C5" s="16"/>
      <c r="D5" s="16"/>
      <c r="E5" s="16"/>
      <c r="F5" s="16"/>
      <c r="G5" s="16"/>
      <c r="H5" s="17"/>
      <c r="I5" s="109"/>
      <c r="J5" s="17"/>
      <c r="K5" s="106" t="s">
        <v>8</v>
      </c>
      <c r="L5" s="107"/>
      <c r="M5" s="108"/>
      <c r="N5" s="109"/>
      <c r="O5" s="17"/>
      <c r="P5" s="106" t="s">
        <v>9</v>
      </c>
      <c r="Q5" s="107"/>
      <c r="R5" s="107"/>
      <c r="S5" s="143"/>
      <c r="T5" s="144"/>
    </row>
    <row r="6" s="1" customFormat="1" ht="20.25" customHeight="1" spans="1:20">
      <c r="A6" s="11"/>
      <c r="B6" s="18" t="s">
        <v>10</v>
      </c>
      <c r="C6" s="19"/>
      <c r="D6" s="19"/>
      <c r="E6" s="19"/>
      <c r="F6" s="19"/>
      <c r="G6" s="19"/>
      <c r="H6" s="20"/>
      <c r="I6" s="25">
        <v>2081099</v>
      </c>
      <c r="J6" s="19"/>
      <c r="K6" s="19"/>
      <c r="L6" s="19"/>
      <c r="M6" s="19"/>
      <c r="N6" s="19"/>
      <c r="O6" s="19"/>
      <c r="P6" s="19"/>
      <c r="Q6" s="19"/>
      <c r="R6" s="19"/>
      <c r="S6" s="145"/>
      <c r="T6" s="144"/>
    </row>
    <row r="7" ht="33.6" customHeight="1" spans="1:19">
      <c r="A7" s="11"/>
      <c r="B7" s="21" t="s">
        <v>11</v>
      </c>
      <c r="C7" s="22" t="s">
        <v>12</v>
      </c>
      <c r="D7" s="22"/>
      <c r="E7" s="22"/>
      <c r="F7" s="22"/>
      <c r="G7" s="22"/>
      <c r="H7" s="22"/>
      <c r="I7" s="52"/>
      <c r="J7" s="52"/>
      <c r="K7" s="52"/>
      <c r="L7" s="22" t="s">
        <v>13</v>
      </c>
      <c r="M7" s="22"/>
      <c r="N7" s="22"/>
      <c r="O7" s="22"/>
      <c r="P7" s="19">
        <v>8</v>
      </c>
      <c r="Q7" s="19"/>
      <c r="R7" s="19"/>
      <c r="S7" s="145"/>
    </row>
    <row r="8" ht="45.75" customHeight="1" spans="1:19">
      <c r="A8" s="11"/>
      <c r="B8" s="23"/>
      <c r="C8" s="22" t="s">
        <v>14</v>
      </c>
      <c r="D8" s="22"/>
      <c r="E8" s="22" t="s">
        <v>15</v>
      </c>
      <c r="F8" s="22"/>
      <c r="G8" s="22"/>
      <c r="H8" s="22"/>
      <c r="I8" s="22" t="s">
        <v>16</v>
      </c>
      <c r="J8" s="22"/>
      <c r="K8" s="22"/>
      <c r="L8" s="22" t="s">
        <v>17</v>
      </c>
      <c r="M8" s="22"/>
      <c r="N8" s="22" t="s">
        <v>18</v>
      </c>
      <c r="O8" s="22"/>
      <c r="P8" s="25" t="s">
        <v>19</v>
      </c>
      <c r="Q8" s="20"/>
      <c r="R8" s="19" t="s">
        <v>20</v>
      </c>
      <c r="S8" s="145"/>
    </row>
    <row r="9" ht="28.5" customHeight="1" spans="1:19">
      <c r="A9" s="11"/>
      <c r="B9" s="23"/>
      <c r="C9" s="22" t="s">
        <v>21</v>
      </c>
      <c r="D9" s="22"/>
      <c r="E9" s="22" t="s">
        <v>22</v>
      </c>
      <c r="F9" s="22"/>
      <c r="G9" s="22"/>
      <c r="H9" s="22"/>
      <c r="I9" s="110" t="s">
        <v>23</v>
      </c>
      <c r="J9" s="110"/>
      <c r="K9" s="110"/>
      <c r="L9" s="22" t="s">
        <v>24</v>
      </c>
      <c r="M9" s="22"/>
      <c r="N9" s="22" t="s">
        <v>24</v>
      </c>
      <c r="O9" s="22"/>
      <c r="P9" s="25" t="s">
        <v>24</v>
      </c>
      <c r="Q9" s="20"/>
      <c r="R9" s="203">
        <v>1</v>
      </c>
      <c r="S9" s="145"/>
    </row>
    <row r="10" ht="28.5" customHeight="1" spans="1:19">
      <c r="A10" s="11"/>
      <c r="B10" s="23"/>
      <c r="C10" s="22"/>
      <c r="D10" s="22"/>
      <c r="E10" s="22" t="s">
        <v>25</v>
      </c>
      <c r="F10" s="22" t="s">
        <v>25</v>
      </c>
      <c r="G10" s="22"/>
      <c r="H10" s="22"/>
      <c r="I10" s="110" t="s">
        <v>26</v>
      </c>
      <c r="J10" s="110"/>
      <c r="K10" s="110"/>
      <c r="L10" s="22" t="s">
        <v>27</v>
      </c>
      <c r="M10" s="22"/>
      <c r="N10" s="22" t="s">
        <v>28</v>
      </c>
      <c r="O10" s="22"/>
      <c r="P10" s="25" t="s">
        <v>29</v>
      </c>
      <c r="Q10" s="20"/>
      <c r="R10" s="146">
        <v>0.991045300036177</v>
      </c>
      <c r="S10" s="147"/>
    </row>
    <row r="11" ht="28.5" customHeight="1" spans="1:19">
      <c r="A11" s="11"/>
      <c r="B11" s="23"/>
      <c r="C11" s="22"/>
      <c r="D11" s="22"/>
      <c r="E11" s="22" t="s">
        <v>30</v>
      </c>
      <c r="F11" s="22" t="s">
        <v>30</v>
      </c>
      <c r="G11" s="22"/>
      <c r="H11" s="22"/>
      <c r="I11" s="110"/>
      <c r="J11" s="110"/>
      <c r="K11" s="110"/>
      <c r="L11" s="22"/>
      <c r="M11" s="22"/>
      <c r="N11" s="22"/>
      <c r="O11" s="22"/>
      <c r="P11" s="25"/>
      <c r="Q11" s="20"/>
      <c r="R11" s="19"/>
      <c r="S11" s="145"/>
    </row>
    <row r="12" ht="28.5" customHeight="1" spans="1:19">
      <c r="A12" s="11"/>
      <c r="B12" s="23"/>
      <c r="C12" s="22" t="s">
        <v>31</v>
      </c>
      <c r="D12" s="22"/>
      <c r="E12" s="22" t="s">
        <v>32</v>
      </c>
      <c r="F12" s="22" t="s">
        <v>32</v>
      </c>
      <c r="G12" s="22"/>
      <c r="H12" s="22"/>
      <c r="I12" s="110" t="s">
        <v>33</v>
      </c>
      <c r="J12" s="110"/>
      <c r="K12" s="110"/>
      <c r="L12" s="22" t="s">
        <v>33</v>
      </c>
      <c r="M12" s="22"/>
      <c r="N12" s="22" t="s">
        <v>34</v>
      </c>
      <c r="O12" s="22"/>
      <c r="P12" s="25" t="s">
        <v>35</v>
      </c>
      <c r="Q12" s="20"/>
      <c r="R12" s="19"/>
      <c r="S12" s="145"/>
    </row>
    <row r="13" ht="28.5" customHeight="1" spans="1:19">
      <c r="A13" s="11"/>
      <c r="B13" s="23"/>
      <c r="C13" s="22"/>
      <c r="D13" s="22"/>
      <c r="E13" s="22" t="s">
        <v>36</v>
      </c>
      <c r="F13" s="22" t="s">
        <v>36</v>
      </c>
      <c r="G13" s="22"/>
      <c r="H13" s="22"/>
      <c r="I13" s="110" t="s">
        <v>37</v>
      </c>
      <c r="J13" s="110"/>
      <c r="K13" s="110"/>
      <c r="L13" s="22" t="s">
        <v>37</v>
      </c>
      <c r="M13" s="22"/>
      <c r="N13" s="22" t="s">
        <v>38</v>
      </c>
      <c r="O13" s="22"/>
      <c r="P13" s="25" t="s">
        <v>39</v>
      </c>
      <c r="Q13" s="20"/>
      <c r="R13" s="19"/>
      <c r="S13" s="145"/>
    </row>
    <row r="14" ht="28.5" customHeight="1" spans="1:19">
      <c r="A14" s="11"/>
      <c r="B14" s="23"/>
      <c r="C14" s="22" t="s">
        <v>40</v>
      </c>
      <c r="D14" s="22"/>
      <c r="E14" s="22" t="s">
        <v>41</v>
      </c>
      <c r="F14" s="22" t="s">
        <v>41</v>
      </c>
      <c r="G14" s="22"/>
      <c r="H14" s="22"/>
      <c r="I14" s="110"/>
      <c r="J14" s="110"/>
      <c r="K14" s="110"/>
      <c r="L14" s="22"/>
      <c r="M14" s="22"/>
      <c r="N14" s="22"/>
      <c r="O14" s="22"/>
      <c r="P14" s="25"/>
      <c r="Q14" s="20"/>
      <c r="R14" s="19"/>
      <c r="S14" s="145"/>
    </row>
    <row r="15" ht="28.5" customHeight="1" spans="1:19">
      <c r="A15" s="11"/>
      <c r="B15" s="23"/>
      <c r="C15" s="22"/>
      <c r="D15" s="22"/>
      <c r="E15" s="22" t="s">
        <v>42</v>
      </c>
      <c r="F15" s="22" t="s">
        <v>42</v>
      </c>
      <c r="G15" s="22"/>
      <c r="H15" s="22"/>
      <c r="I15" s="110" t="s">
        <v>43</v>
      </c>
      <c r="J15" s="110"/>
      <c r="K15" s="110"/>
      <c r="L15" s="22" t="s">
        <v>43</v>
      </c>
      <c r="M15" s="22"/>
      <c r="N15" s="22" t="s">
        <v>44</v>
      </c>
      <c r="O15" s="22"/>
      <c r="P15" s="25" t="s">
        <v>45</v>
      </c>
      <c r="Q15" s="20"/>
      <c r="R15" s="19"/>
      <c r="S15" s="145"/>
    </row>
    <row r="16" ht="28.5" customHeight="1" spans="1:19">
      <c r="A16" s="11"/>
      <c r="B16" s="23"/>
      <c r="C16" s="22"/>
      <c r="D16" s="22"/>
      <c r="E16" s="22" t="s">
        <v>46</v>
      </c>
      <c r="F16" s="22" t="s">
        <v>46</v>
      </c>
      <c r="G16" s="22"/>
      <c r="H16" s="22"/>
      <c r="I16" s="110" t="s">
        <v>47</v>
      </c>
      <c r="J16" s="110"/>
      <c r="K16" s="110"/>
      <c r="L16" s="22" t="s">
        <v>48</v>
      </c>
      <c r="M16" s="22"/>
      <c r="N16" s="22" t="s">
        <v>49</v>
      </c>
      <c r="O16" s="22"/>
      <c r="P16" s="25" t="s">
        <v>45</v>
      </c>
      <c r="Q16" s="20"/>
      <c r="R16" s="19"/>
      <c r="S16" s="145"/>
    </row>
    <row r="17" ht="28.5" customHeight="1" spans="1:19">
      <c r="A17" s="11"/>
      <c r="B17" s="23"/>
      <c r="C17" s="22"/>
      <c r="D17" s="22"/>
      <c r="E17" s="22" t="s">
        <v>50</v>
      </c>
      <c r="F17" s="22" t="s">
        <v>50</v>
      </c>
      <c r="G17" s="22"/>
      <c r="H17" s="22"/>
      <c r="I17" s="110" t="s">
        <v>51</v>
      </c>
      <c r="J17" s="110"/>
      <c r="K17" s="110"/>
      <c r="L17" s="22" t="s">
        <v>51</v>
      </c>
      <c r="M17" s="22"/>
      <c r="N17" s="22" t="s">
        <v>52</v>
      </c>
      <c r="O17" s="22"/>
      <c r="P17" s="25" t="s">
        <v>45</v>
      </c>
      <c r="Q17" s="20"/>
      <c r="R17" s="19"/>
      <c r="S17" s="145"/>
    </row>
    <row r="18" ht="36" customHeight="1" spans="1:19">
      <c r="A18" s="11"/>
      <c r="B18" s="24"/>
      <c r="C18" s="22"/>
      <c r="D18" s="22"/>
      <c r="E18" s="22" t="s">
        <v>53</v>
      </c>
      <c r="F18" s="22" t="s">
        <v>54</v>
      </c>
      <c r="G18" s="22"/>
      <c r="H18" s="22"/>
      <c r="I18" s="110" t="s">
        <v>55</v>
      </c>
      <c r="J18" s="110"/>
      <c r="K18" s="110"/>
      <c r="L18" s="22" t="s">
        <v>55</v>
      </c>
      <c r="M18" s="22"/>
      <c r="N18" s="22" t="s">
        <v>56</v>
      </c>
      <c r="O18" s="22"/>
      <c r="P18" s="25" t="s">
        <v>45</v>
      </c>
      <c r="Q18" s="20"/>
      <c r="R18" s="19"/>
      <c r="S18" s="145"/>
    </row>
    <row r="19" ht="36" customHeight="1" spans="1:19">
      <c r="A19" s="11"/>
      <c r="B19" s="18" t="s">
        <v>57</v>
      </c>
      <c r="C19" s="19"/>
      <c r="D19" s="20"/>
      <c r="E19" s="25" t="s">
        <v>58</v>
      </c>
      <c r="F19" s="19"/>
      <c r="G19" s="19"/>
      <c r="H19" s="19"/>
      <c r="I19" s="25" t="s">
        <v>59</v>
      </c>
      <c r="J19" s="19"/>
      <c r="K19" s="20"/>
      <c r="L19" s="25" t="s">
        <v>60</v>
      </c>
      <c r="M19" s="19"/>
      <c r="N19" s="19"/>
      <c r="O19" s="19"/>
      <c r="P19" s="19"/>
      <c r="Q19" s="19"/>
      <c r="R19" s="19"/>
      <c r="S19" s="145"/>
    </row>
    <row r="20" ht="23.25" customHeight="1" spans="1:19">
      <c r="A20" s="11"/>
      <c r="B20" s="26" t="s">
        <v>61</v>
      </c>
      <c r="C20" s="27"/>
      <c r="D20" s="27"/>
      <c r="E20" s="27"/>
      <c r="F20" s="27"/>
      <c r="G20" s="27"/>
      <c r="H20" s="27"/>
      <c r="I20" s="48" t="s">
        <v>62</v>
      </c>
      <c r="J20" s="48"/>
      <c r="K20" s="48"/>
      <c r="L20" s="48"/>
      <c r="M20" s="48"/>
      <c r="N20" s="48"/>
      <c r="O20" s="48"/>
      <c r="P20" s="48"/>
      <c r="Q20" s="48"/>
      <c r="R20" s="48"/>
      <c r="S20" s="149"/>
    </row>
    <row r="21" ht="23.25" customHeight="1" spans="1:19">
      <c r="A21" s="28"/>
      <c r="B21" s="29"/>
      <c r="C21" s="30"/>
      <c r="D21" s="30"/>
      <c r="E21" s="30"/>
      <c r="F21" s="30"/>
      <c r="G21" s="30"/>
      <c r="H21" s="30"/>
      <c r="I21" s="88" t="s">
        <v>63</v>
      </c>
      <c r="J21" s="88"/>
      <c r="K21" s="88"/>
      <c r="L21" s="88"/>
      <c r="M21" s="88"/>
      <c r="N21" s="88"/>
      <c r="O21" s="88"/>
      <c r="P21" s="88"/>
      <c r="Q21" s="88"/>
      <c r="R21" s="88"/>
      <c r="S21" s="150"/>
    </row>
    <row r="22" spans="1:19">
      <c r="A22" s="31" t="s">
        <v>64</v>
      </c>
      <c r="B22" s="32"/>
      <c r="C22" s="32"/>
      <c r="D22" s="32"/>
      <c r="E22" s="33" t="s">
        <v>65</v>
      </c>
      <c r="F22" s="34"/>
      <c r="G22" s="34"/>
      <c r="H22" s="35"/>
      <c r="I22" s="114" t="s">
        <v>66</v>
      </c>
      <c r="J22" s="114"/>
      <c r="K22" s="114"/>
      <c r="L22" s="114"/>
      <c r="M22" s="114"/>
      <c r="N22" s="114"/>
      <c r="O22" s="114"/>
      <c r="P22" s="114"/>
      <c r="Q22" s="114"/>
      <c r="R22" s="114"/>
      <c r="S22" s="151"/>
    </row>
    <row r="23" ht="12.75" customHeight="1" spans="1:19">
      <c r="A23" s="36"/>
      <c r="B23" s="37"/>
      <c r="C23" s="37"/>
      <c r="D23" s="37"/>
      <c r="E23" s="38"/>
      <c r="F23" s="4"/>
      <c r="G23" s="4"/>
      <c r="H23" s="39"/>
      <c r="I23" s="53" t="s">
        <v>67</v>
      </c>
      <c r="J23" s="53"/>
      <c r="K23" s="52" t="s">
        <v>68</v>
      </c>
      <c r="L23" s="52"/>
      <c r="M23" s="52"/>
      <c r="N23" s="52"/>
      <c r="O23" s="52" t="s">
        <v>69</v>
      </c>
      <c r="P23" s="52"/>
      <c r="Q23" s="52"/>
      <c r="R23" s="52" t="s">
        <v>70</v>
      </c>
      <c r="S23" s="152"/>
    </row>
    <row r="24" s="2" customFormat="1" ht="36" customHeight="1" spans="1:21">
      <c r="A24" s="40"/>
      <c r="B24" s="37"/>
      <c r="C24" s="37"/>
      <c r="D24" s="37"/>
      <c r="E24" s="38"/>
      <c r="F24" s="4"/>
      <c r="G24" s="4"/>
      <c r="H24" s="39"/>
      <c r="I24" s="52" t="s">
        <v>71</v>
      </c>
      <c r="J24" s="52" t="s">
        <v>72</v>
      </c>
      <c r="K24" s="52" t="s">
        <v>73</v>
      </c>
      <c r="L24" s="52" t="s">
        <v>74</v>
      </c>
      <c r="M24" s="52" t="s">
        <v>75</v>
      </c>
      <c r="N24" s="52"/>
      <c r="O24" s="52" t="s">
        <v>76</v>
      </c>
      <c r="P24" s="52" t="s">
        <v>77</v>
      </c>
      <c r="Q24" s="115"/>
      <c r="R24" s="52"/>
      <c r="S24" s="152"/>
      <c r="T24" s="4"/>
      <c r="U24" s="4"/>
    </row>
    <row r="25" s="2" customFormat="1" ht="12" spans="1:21">
      <c r="A25" s="40"/>
      <c r="B25" s="37"/>
      <c r="C25" s="37"/>
      <c r="D25" s="37"/>
      <c r="E25" s="41"/>
      <c r="F25" s="42"/>
      <c r="G25" s="42"/>
      <c r="H25" s="43"/>
      <c r="I25" s="52"/>
      <c r="J25" s="52"/>
      <c r="K25" s="52"/>
      <c r="L25" s="52"/>
      <c r="M25" s="52"/>
      <c r="N25" s="52"/>
      <c r="O25" s="52"/>
      <c r="P25" s="115"/>
      <c r="Q25" s="115"/>
      <c r="R25" s="52"/>
      <c r="S25" s="152"/>
      <c r="T25" s="4"/>
      <c r="U25" s="4"/>
    </row>
    <row r="26" ht="24" customHeight="1" spans="1:19">
      <c r="A26" s="40"/>
      <c r="B26" s="44" t="s">
        <v>78</v>
      </c>
      <c r="C26" s="44"/>
      <c r="D26" s="44"/>
      <c r="E26" s="45">
        <v>5583.66</v>
      </c>
      <c r="F26" s="46"/>
      <c r="G26" s="46"/>
      <c r="H26" s="47"/>
      <c r="I26" s="116">
        <v>5583.66</v>
      </c>
      <c r="J26" s="116"/>
      <c r="K26" s="37">
        <v>5533.66</v>
      </c>
      <c r="L26" s="201">
        <f t="shared" ref="L26:L28" si="0">K26/E26</f>
        <v>0.991045300036177</v>
      </c>
      <c r="M26" s="52"/>
      <c r="N26" s="52"/>
      <c r="O26" s="37">
        <v>5533.66</v>
      </c>
      <c r="P26" s="118">
        <f t="shared" ref="P26:P28" si="1">O26/I26</f>
        <v>0.991045300036177</v>
      </c>
      <c r="Q26" s="118"/>
      <c r="R26" s="37">
        <v>50</v>
      </c>
      <c r="S26" s="153"/>
    </row>
    <row r="27" ht="24" customHeight="1" spans="1:19">
      <c r="A27" s="40"/>
      <c r="B27" s="48" t="s">
        <v>79</v>
      </c>
      <c r="C27" s="48"/>
      <c r="D27" s="48"/>
      <c r="E27" s="45">
        <f>SUM(E28:H31)</f>
        <v>5583.66</v>
      </c>
      <c r="F27" s="46"/>
      <c r="G27" s="46"/>
      <c r="H27" s="47"/>
      <c r="I27" s="116">
        <v>5583.66</v>
      </c>
      <c r="J27" s="116"/>
      <c r="K27" s="37">
        <f>SUM(K28:K30)</f>
        <v>5533.66</v>
      </c>
      <c r="L27" s="201">
        <f t="shared" si="0"/>
        <v>0.991045300036177</v>
      </c>
      <c r="M27" s="52"/>
      <c r="N27" s="52"/>
      <c r="O27" s="37">
        <f>SUM(O28:O30)</f>
        <v>5533.66</v>
      </c>
      <c r="P27" s="118">
        <f t="shared" si="1"/>
        <v>0.991045300036177</v>
      </c>
      <c r="Q27" s="118"/>
      <c r="R27" s="37">
        <f t="shared" ref="R27:R30" si="2">I27-O27</f>
        <v>50</v>
      </c>
      <c r="S27" s="153"/>
    </row>
    <row r="28" ht="24" customHeight="1" spans="1:19">
      <c r="A28" s="40"/>
      <c r="B28" s="48" t="s">
        <v>80</v>
      </c>
      <c r="C28" s="48"/>
      <c r="D28" s="48"/>
      <c r="E28" s="45">
        <v>1583.66</v>
      </c>
      <c r="F28" s="46"/>
      <c r="G28" s="46"/>
      <c r="H28" s="47"/>
      <c r="I28" s="3">
        <v>1583.66</v>
      </c>
      <c r="J28" s="116"/>
      <c r="K28" s="54">
        <v>1583.66</v>
      </c>
      <c r="L28" s="201">
        <f t="shared" si="0"/>
        <v>1</v>
      </c>
      <c r="M28" s="52"/>
      <c r="N28" s="52"/>
      <c r="O28" s="54">
        <v>1583.66</v>
      </c>
      <c r="P28" s="118">
        <f t="shared" si="1"/>
        <v>1</v>
      </c>
      <c r="Q28" s="118"/>
      <c r="R28" s="37">
        <f t="shared" si="2"/>
        <v>0</v>
      </c>
      <c r="S28" s="153"/>
    </row>
    <row r="29" ht="24" customHeight="1" spans="1:19">
      <c r="A29" s="40"/>
      <c r="B29" s="48" t="s">
        <v>81</v>
      </c>
      <c r="C29" s="48"/>
      <c r="D29" s="48"/>
      <c r="E29" s="45"/>
      <c r="F29" s="46"/>
      <c r="G29" s="46"/>
      <c r="H29" s="47"/>
      <c r="I29" s="116"/>
      <c r="J29" s="116"/>
      <c r="K29" s="54"/>
      <c r="L29" s="201"/>
      <c r="M29" s="52"/>
      <c r="N29" s="52"/>
      <c r="O29" s="54"/>
      <c r="P29" s="118"/>
      <c r="Q29" s="118"/>
      <c r="R29" s="37"/>
      <c r="S29" s="153"/>
    </row>
    <row r="30" ht="24" customHeight="1" spans="1:19">
      <c r="A30" s="40"/>
      <c r="B30" s="48" t="s">
        <v>82</v>
      </c>
      <c r="C30" s="48"/>
      <c r="D30" s="48"/>
      <c r="E30" s="45">
        <v>4000</v>
      </c>
      <c r="F30" s="46"/>
      <c r="G30" s="46"/>
      <c r="H30" s="47"/>
      <c r="I30" s="116">
        <v>4000</v>
      </c>
      <c r="J30" s="116" t="s">
        <v>83</v>
      </c>
      <c r="K30" s="54">
        <v>3950</v>
      </c>
      <c r="L30" s="201">
        <f>K30/E30</f>
        <v>0.9875</v>
      </c>
      <c r="M30" s="52"/>
      <c r="N30" s="52"/>
      <c r="O30" s="54">
        <v>3950</v>
      </c>
      <c r="P30" s="118">
        <f>O30/I30</f>
        <v>0.9875</v>
      </c>
      <c r="Q30" s="118"/>
      <c r="R30" s="37">
        <f t="shared" si="2"/>
        <v>50</v>
      </c>
      <c r="S30" s="153"/>
    </row>
    <row r="31" ht="24" customHeight="1" spans="1:19">
      <c r="A31" s="40"/>
      <c r="B31" s="48" t="s">
        <v>84</v>
      </c>
      <c r="C31" s="48"/>
      <c r="D31" s="48"/>
      <c r="E31" s="45"/>
      <c r="F31" s="46"/>
      <c r="G31" s="46"/>
      <c r="H31" s="47"/>
      <c r="I31" s="116"/>
      <c r="J31" s="116"/>
      <c r="K31" s="54"/>
      <c r="L31" s="54"/>
      <c r="M31" s="52"/>
      <c r="N31" s="52"/>
      <c r="O31" s="37"/>
      <c r="P31" s="52"/>
      <c r="Q31" s="52"/>
      <c r="R31" s="37"/>
      <c r="S31" s="153"/>
    </row>
    <row r="32" ht="24" customHeight="1" spans="1:19">
      <c r="A32" s="40"/>
      <c r="B32" s="49" t="s">
        <v>85</v>
      </c>
      <c r="C32" s="50"/>
      <c r="D32" s="51"/>
      <c r="E32" s="45"/>
      <c r="F32" s="46"/>
      <c r="G32" s="46"/>
      <c r="H32" s="47"/>
      <c r="I32" s="116"/>
      <c r="J32" s="116"/>
      <c r="K32" s="54"/>
      <c r="L32" s="54"/>
      <c r="M32" s="101"/>
      <c r="N32" s="102"/>
      <c r="O32" s="37"/>
      <c r="P32" s="101"/>
      <c r="Q32" s="102"/>
      <c r="R32" s="45"/>
      <c r="S32" s="154"/>
    </row>
    <row r="33" ht="24" customHeight="1" spans="1:19">
      <c r="A33" s="40"/>
      <c r="B33" s="52" t="s">
        <v>86</v>
      </c>
      <c r="C33" s="53"/>
      <c r="D33" s="54" t="s">
        <v>87</v>
      </c>
      <c r="E33" s="55" t="s">
        <v>88</v>
      </c>
      <c r="F33" s="55"/>
      <c r="G33" s="55"/>
      <c r="H33" s="55"/>
      <c r="I33" s="55"/>
      <c r="J33" s="55"/>
      <c r="K33" s="55"/>
      <c r="L33" s="55"/>
      <c r="M33" s="55"/>
      <c r="N33" s="55"/>
      <c r="O33" s="55"/>
      <c r="P33" s="55" t="s">
        <v>89</v>
      </c>
      <c r="Q33" s="55"/>
      <c r="R33" s="55"/>
      <c r="S33" s="155"/>
    </row>
    <row r="34" ht="24" customHeight="1" spans="1:19">
      <c r="A34" s="40"/>
      <c r="B34" s="53"/>
      <c r="C34" s="53"/>
      <c r="D34" s="52">
        <v>1</v>
      </c>
      <c r="E34" s="55" t="s">
        <v>90</v>
      </c>
      <c r="F34" s="55"/>
      <c r="G34" s="55"/>
      <c r="H34" s="55"/>
      <c r="I34" s="55"/>
      <c r="J34" s="55"/>
      <c r="K34" s="55"/>
      <c r="L34" s="55"/>
      <c r="M34" s="55"/>
      <c r="N34" s="55"/>
      <c r="O34" s="55"/>
      <c r="P34" s="55">
        <v>5343.94</v>
      </c>
      <c r="Q34" s="55"/>
      <c r="R34" s="55"/>
      <c r="S34" s="155"/>
    </row>
    <row r="35" ht="24" customHeight="1" spans="1:19">
      <c r="A35" s="40"/>
      <c r="B35" s="53"/>
      <c r="C35" s="53"/>
      <c r="D35" s="52">
        <v>2</v>
      </c>
      <c r="E35" s="55" t="s">
        <v>91</v>
      </c>
      <c r="F35" s="55"/>
      <c r="G35" s="55"/>
      <c r="H35" s="55"/>
      <c r="I35" s="55"/>
      <c r="J35" s="55"/>
      <c r="K35" s="55"/>
      <c r="L35" s="55"/>
      <c r="M35" s="55"/>
      <c r="N35" s="55"/>
      <c r="O35" s="55"/>
      <c r="P35" s="55">
        <v>55.85</v>
      </c>
      <c r="Q35" s="55"/>
      <c r="R35" s="55"/>
      <c r="S35" s="155"/>
    </row>
    <row r="36" ht="24" customHeight="1" spans="1:19">
      <c r="A36" s="56"/>
      <c r="B36" s="57"/>
      <c r="C36" s="57"/>
      <c r="D36" s="52">
        <v>3</v>
      </c>
      <c r="E36" s="55" t="s">
        <v>92</v>
      </c>
      <c r="F36" s="55"/>
      <c r="G36" s="55"/>
      <c r="H36" s="55"/>
      <c r="I36" s="55"/>
      <c r="J36" s="55"/>
      <c r="K36" s="55"/>
      <c r="L36" s="55"/>
      <c r="M36" s="55"/>
      <c r="N36" s="55"/>
      <c r="O36" s="55"/>
      <c r="P36" s="55">
        <v>133.89</v>
      </c>
      <c r="Q36" s="55"/>
      <c r="R36" s="55"/>
      <c r="S36" s="155"/>
    </row>
    <row r="37" ht="24" customHeight="1" spans="1:19">
      <c r="A37" s="56"/>
      <c r="B37" s="57"/>
      <c r="C37" s="57"/>
      <c r="D37" s="52">
        <v>4</v>
      </c>
      <c r="E37" s="55"/>
      <c r="F37" s="55"/>
      <c r="G37" s="55"/>
      <c r="H37" s="55"/>
      <c r="I37" s="55"/>
      <c r="J37" s="55"/>
      <c r="K37" s="55"/>
      <c r="L37" s="55"/>
      <c r="M37" s="55"/>
      <c r="N37" s="55"/>
      <c r="O37" s="55"/>
      <c r="P37" s="55"/>
      <c r="Q37" s="55"/>
      <c r="R37" s="55"/>
      <c r="S37" s="155"/>
    </row>
    <row r="38" ht="24" customHeight="1" spans="1:19">
      <c r="A38" s="56"/>
      <c r="B38" s="57"/>
      <c r="C38" s="57"/>
      <c r="D38" s="52" t="s">
        <v>93</v>
      </c>
      <c r="E38" s="55"/>
      <c r="F38" s="55"/>
      <c r="G38" s="55"/>
      <c r="H38" s="55"/>
      <c r="I38" s="55"/>
      <c r="J38" s="55"/>
      <c r="K38" s="55"/>
      <c r="L38" s="55"/>
      <c r="M38" s="55"/>
      <c r="N38" s="55"/>
      <c r="O38" s="55"/>
      <c r="P38" s="55"/>
      <c r="Q38" s="55"/>
      <c r="R38" s="55"/>
      <c r="S38" s="155"/>
    </row>
    <row r="39" ht="24" customHeight="1" spans="1:19">
      <c r="A39" s="58"/>
      <c r="B39" s="59"/>
      <c r="C39" s="59"/>
      <c r="D39" s="3" t="s">
        <v>94</v>
      </c>
      <c r="E39" s="55"/>
      <c r="F39" s="55"/>
      <c r="G39" s="55"/>
      <c r="H39" s="55"/>
      <c r="I39" s="55"/>
      <c r="J39" s="55"/>
      <c r="K39" s="55"/>
      <c r="L39" s="55"/>
      <c r="M39" s="55"/>
      <c r="N39" s="55"/>
      <c r="O39" s="55"/>
      <c r="P39" s="55">
        <f>SUM(P34:S38)</f>
        <v>5533.68</v>
      </c>
      <c r="Q39" s="55"/>
      <c r="R39" s="55"/>
      <c r="S39" s="155"/>
    </row>
    <row r="40" ht="41.45" customHeight="1" spans="1:20">
      <c r="A40" s="60" t="s">
        <v>95</v>
      </c>
      <c r="B40" s="9" t="s">
        <v>96</v>
      </c>
      <c r="C40" s="10"/>
      <c r="D40" s="10"/>
      <c r="E40" s="10" t="s">
        <v>97</v>
      </c>
      <c r="F40" s="10"/>
      <c r="G40" s="10"/>
      <c r="H40" s="10" t="s">
        <v>98</v>
      </c>
      <c r="I40" s="10"/>
      <c r="J40" s="10" t="s">
        <v>99</v>
      </c>
      <c r="K40" s="10"/>
      <c r="L40" s="10"/>
      <c r="M40" s="10"/>
      <c r="N40" s="10"/>
      <c r="O40" s="10"/>
      <c r="P40" s="119" t="s">
        <v>100</v>
      </c>
      <c r="Q40" s="138"/>
      <c r="R40" s="10" t="s">
        <v>101</v>
      </c>
      <c r="S40" s="156"/>
      <c r="T40" s="102"/>
    </row>
    <row r="41" ht="42.6" customHeight="1" spans="1:20">
      <c r="A41" s="61"/>
      <c r="B41" s="62" t="s">
        <v>102</v>
      </c>
      <c r="C41" s="63"/>
      <c r="D41" s="64"/>
      <c r="E41" s="52" t="s">
        <v>103</v>
      </c>
      <c r="F41" s="52"/>
      <c r="G41" s="52"/>
      <c r="H41" s="65" t="s">
        <v>104</v>
      </c>
      <c r="I41" s="64"/>
      <c r="J41" s="120" t="s">
        <v>104</v>
      </c>
      <c r="K41" s="120"/>
      <c r="L41" s="120"/>
      <c r="M41" s="120"/>
      <c r="N41" s="120"/>
      <c r="O41" s="120"/>
      <c r="P41" s="121">
        <v>0.1</v>
      </c>
      <c r="Q41" s="157"/>
      <c r="R41" s="22">
        <v>10</v>
      </c>
      <c r="S41" s="158"/>
      <c r="T41" s="102"/>
    </row>
    <row r="42" ht="46.5" customHeight="1" spans="1:20">
      <c r="A42" s="61"/>
      <c r="B42" s="66"/>
      <c r="C42" s="67"/>
      <c r="D42" s="68"/>
      <c r="E42" s="69" t="s">
        <v>105</v>
      </c>
      <c r="F42" s="70"/>
      <c r="G42" s="71"/>
      <c r="H42" s="49" t="s">
        <v>106</v>
      </c>
      <c r="I42" s="51"/>
      <c r="J42" s="122" t="s">
        <v>106</v>
      </c>
      <c r="K42" s="123"/>
      <c r="L42" s="123"/>
      <c r="M42" s="123"/>
      <c r="N42" s="123"/>
      <c r="O42" s="124"/>
      <c r="P42" s="121">
        <v>0.1</v>
      </c>
      <c r="Q42" s="157"/>
      <c r="R42" s="25">
        <v>8</v>
      </c>
      <c r="S42" s="145"/>
      <c r="T42" s="102"/>
    </row>
    <row r="43" spans="1:20">
      <c r="A43" s="61"/>
      <c r="B43" s="66"/>
      <c r="C43" s="67"/>
      <c r="D43" s="68"/>
      <c r="E43" s="38"/>
      <c r="F43" s="4"/>
      <c r="G43" s="39"/>
      <c r="H43" s="49" t="s">
        <v>93</v>
      </c>
      <c r="I43" s="51"/>
      <c r="J43" s="122"/>
      <c r="K43" s="123"/>
      <c r="L43" s="123"/>
      <c r="M43" s="123"/>
      <c r="N43" s="123"/>
      <c r="O43" s="124"/>
      <c r="P43" s="125"/>
      <c r="Q43" s="157"/>
      <c r="R43" s="25"/>
      <c r="S43" s="145"/>
      <c r="T43" s="102"/>
    </row>
    <row r="44" ht="58.9" customHeight="1" spans="1:20">
      <c r="A44" s="61"/>
      <c r="B44" s="66"/>
      <c r="C44" s="67"/>
      <c r="D44" s="68"/>
      <c r="E44" s="69" t="s">
        <v>107</v>
      </c>
      <c r="F44" s="70"/>
      <c r="G44" s="71"/>
      <c r="H44" s="65" t="s">
        <v>108</v>
      </c>
      <c r="I44" s="64"/>
      <c r="J44" s="120" t="s">
        <v>109</v>
      </c>
      <c r="K44" s="120"/>
      <c r="L44" s="120"/>
      <c r="M44" s="120"/>
      <c r="N44" s="120"/>
      <c r="O44" s="120"/>
      <c r="P44" s="121">
        <v>0.1</v>
      </c>
      <c r="Q44" s="157"/>
      <c r="R44" s="22">
        <v>10</v>
      </c>
      <c r="S44" s="158"/>
      <c r="T44" s="102"/>
    </row>
    <row r="45" ht="15" spans="1:20">
      <c r="A45" s="61"/>
      <c r="B45" s="66"/>
      <c r="C45" s="67"/>
      <c r="D45" s="68"/>
      <c r="E45" s="38"/>
      <c r="F45" s="4"/>
      <c r="G45" s="39"/>
      <c r="H45" s="49" t="s">
        <v>93</v>
      </c>
      <c r="I45" s="51"/>
      <c r="J45" s="120"/>
      <c r="K45" s="120"/>
      <c r="L45" s="120"/>
      <c r="M45" s="120"/>
      <c r="N45" s="120"/>
      <c r="O45" s="120"/>
      <c r="P45" s="125"/>
      <c r="Q45" s="157"/>
      <c r="R45" s="22"/>
      <c r="S45" s="158"/>
      <c r="T45" s="102"/>
    </row>
    <row r="46" ht="48.6" customHeight="1" spans="1:19">
      <c r="A46" s="61"/>
      <c r="B46" s="72" t="s">
        <v>110</v>
      </c>
      <c r="C46" s="73"/>
      <c r="D46" s="74"/>
      <c r="E46" s="75" t="s">
        <v>111</v>
      </c>
      <c r="F46" s="75"/>
      <c r="G46" s="75"/>
      <c r="H46" s="76" t="s">
        <v>112</v>
      </c>
      <c r="I46" s="76"/>
      <c r="J46" s="126" t="s">
        <v>112</v>
      </c>
      <c r="K46" s="126"/>
      <c r="L46" s="126"/>
      <c r="M46" s="126"/>
      <c r="N46" s="126"/>
      <c r="O46" s="126"/>
      <c r="P46" s="127">
        <v>0.15</v>
      </c>
      <c r="Q46" s="159"/>
      <c r="R46" s="10">
        <v>15</v>
      </c>
      <c r="S46" s="142"/>
    </row>
    <row r="47" spans="1:19">
      <c r="A47" s="61"/>
      <c r="B47" s="66"/>
      <c r="C47" s="67"/>
      <c r="D47" s="68"/>
      <c r="E47" s="77"/>
      <c r="F47" s="77"/>
      <c r="G47" s="77"/>
      <c r="H47" s="48" t="s">
        <v>93</v>
      </c>
      <c r="I47" s="48"/>
      <c r="J47" s="128"/>
      <c r="K47" s="128"/>
      <c r="L47" s="128"/>
      <c r="M47" s="128"/>
      <c r="N47" s="128"/>
      <c r="O47" s="128"/>
      <c r="P47" s="129"/>
      <c r="Q47" s="129"/>
      <c r="R47" s="22"/>
      <c r="S47" s="158"/>
    </row>
    <row r="48" s="1" customFormat="1" ht="68.45" customHeight="1" spans="1:20">
      <c r="A48" s="61"/>
      <c r="B48" s="78"/>
      <c r="C48" s="67"/>
      <c r="D48" s="68"/>
      <c r="E48" s="69" t="s">
        <v>113</v>
      </c>
      <c r="F48" s="70"/>
      <c r="G48" s="71"/>
      <c r="H48" s="79" t="s">
        <v>114</v>
      </c>
      <c r="I48" s="79"/>
      <c r="J48" s="128" t="s">
        <v>115</v>
      </c>
      <c r="K48" s="128"/>
      <c r="L48" s="128"/>
      <c r="M48" s="128"/>
      <c r="N48" s="128"/>
      <c r="O48" s="128"/>
      <c r="P48" s="130">
        <v>0.15</v>
      </c>
      <c r="Q48" s="129"/>
      <c r="R48" s="22">
        <v>15</v>
      </c>
      <c r="S48" s="158"/>
      <c r="T48" s="4"/>
    </row>
    <row r="49" s="1" customFormat="1" ht="15" spans="1:20">
      <c r="A49" s="61"/>
      <c r="B49" s="78"/>
      <c r="C49" s="67"/>
      <c r="D49" s="68"/>
      <c r="E49" s="80"/>
      <c r="F49" s="81"/>
      <c r="G49" s="82"/>
      <c r="H49" s="83" t="s">
        <v>93</v>
      </c>
      <c r="I49" s="131"/>
      <c r="J49" s="132"/>
      <c r="K49" s="132"/>
      <c r="L49" s="132"/>
      <c r="M49" s="132"/>
      <c r="N49" s="132"/>
      <c r="O49" s="132"/>
      <c r="P49" s="133"/>
      <c r="Q49" s="133"/>
      <c r="R49" s="160"/>
      <c r="S49" s="161"/>
      <c r="T49" s="4"/>
    </row>
    <row r="50" ht="23.25" customHeight="1" spans="1:19">
      <c r="A50" s="61"/>
      <c r="B50" s="72" t="s">
        <v>116</v>
      </c>
      <c r="C50" s="73"/>
      <c r="D50" s="74"/>
      <c r="E50" s="75" t="s">
        <v>117</v>
      </c>
      <c r="F50" s="75"/>
      <c r="G50" s="75"/>
      <c r="H50" s="76" t="s">
        <v>118</v>
      </c>
      <c r="I50" s="76"/>
      <c r="J50" s="134" t="s">
        <v>118</v>
      </c>
      <c r="K50" s="134"/>
      <c r="L50" s="134"/>
      <c r="M50" s="134"/>
      <c r="N50" s="134"/>
      <c r="O50" s="134"/>
      <c r="P50" s="127">
        <v>0.08</v>
      </c>
      <c r="Q50" s="159"/>
      <c r="R50" s="10">
        <v>8</v>
      </c>
      <c r="S50" s="142"/>
    </row>
    <row r="51" ht="23.25" customHeight="1" spans="1:19">
      <c r="A51" s="61"/>
      <c r="B51" s="78"/>
      <c r="C51" s="67"/>
      <c r="D51" s="68"/>
      <c r="E51" s="52" t="s">
        <v>119</v>
      </c>
      <c r="F51" s="52"/>
      <c r="G51" s="52"/>
      <c r="H51" s="48" t="s">
        <v>120</v>
      </c>
      <c r="I51" s="48"/>
      <c r="J51" s="120" t="s">
        <v>121</v>
      </c>
      <c r="K51" s="120"/>
      <c r="L51" s="120"/>
      <c r="M51" s="120"/>
      <c r="N51" s="120"/>
      <c r="O51" s="120"/>
      <c r="P51" s="135">
        <v>0.07</v>
      </c>
      <c r="Q51" s="129"/>
      <c r="R51" s="22">
        <v>7</v>
      </c>
      <c r="S51" s="158"/>
    </row>
    <row r="52" ht="25.5" customHeight="1" spans="1:19">
      <c r="A52" s="61"/>
      <c r="B52" s="78"/>
      <c r="C52" s="67"/>
      <c r="D52" s="68"/>
      <c r="E52" s="52" t="s">
        <v>122</v>
      </c>
      <c r="F52" s="52"/>
      <c r="G52" s="52"/>
      <c r="H52" s="48"/>
      <c r="I52" s="48"/>
      <c r="J52" s="120"/>
      <c r="K52" s="120"/>
      <c r="L52" s="120"/>
      <c r="M52" s="120"/>
      <c r="N52" s="120"/>
      <c r="O52" s="120"/>
      <c r="P52" s="129"/>
      <c r="Q52" s="129"/>
      <c r="R52" s="22"/>
      <c r="S52" s="158"/>
    </row>
    <row r="53" ht="24.75" customHeight="1" spans="1:19">
      <c r="A53" s="61"/>
      <c r="B53" s="78"/>
      <c r="C53" s="67"/>
      <c r="D53" s="68"/>
      <c r="E53" s="52" t="s">
        <v>123</v>
      </c>
      <c r="F53" s="52"/>
      <c r="G53" s="52"/>
      <c r="H53" s="48" t="s">
        <v>124</v>
      </c>
      <c r="I53" s="48"/>
      <c r="J53" s="120" t="s">
        <v>124</v>
      </c>
      <c r="K53" s="120"/>
      <c r="L53" s="120"/>
      <c r="M53" s="120"/>
      <c r="N53" s="120"/>
      <c r="O53" s="120"/>
      <c r="P53" s="130">
        <v>0.1</v>
      </c>
      <c r="Q53" s="129"/>
      <c r="R53" s="22">
        <v>10</v>
      </c>
      <c r="S53" s="158"/>
    </row>
    <row r="54" s="1" customFormat="1" ht="21" customHeight="1" spans="1:20">
      <c r="A54" s="61"/>
      <c r="B54" s="78"/>
      <c r="C54" s="67"/>
      <c r="D54" s="68"/>
      <c r="E54" s="52" t="s">
        <v>125</v>
      </c>
      <c r="F54" s="52"/>
      <c r="G54" s="52"/>
      <c r="H54" s="48" t="s">
        <v>47</v>
      </c>
      <c r="I54" s="48"/>
      <c r="J54" s="120" t="s">
        <v>47</v>
      </c>
      <c r="K54" s="120"/>
      <c r="L54" s="120"/>
      <c r="M54" s="120"/>
      <c r="N54" s="120"/>
      <c r="O54" s="120"/>
      <c r="P54" s="130">
        <v>0.07</v>
      </c>
      <c r="Q54" s="129"/>
      <c r="R54" s="22">
        <v>7</v>
      </c>
      <c r="S54" s="162"/>
      <c r="T54" s="4"/>
    </row>
    <row r="55" s="1" customFormat="1" ht="20.25" customHeight="1" spans="1:20">
      <c r="A55" s="61"/>
      <c r="B55" s="78"/>
      <c r="C55" s="67"/>
      <c r="D55" s="68"/>
      <c r="E55" s="52" t="s">
        <v>126</v>
      </c>
      <c r="F55" s="52"/>
      <c r="G55" s="52"/>
      <c r="H55" s="48" t="s">
        <v>51</v>
      </c>
      <c r="I55" s="48"/>
      <c r="J55" s="120" t="s">
        <v>51</v>
      </c>
      <c r="K55" s="120"/>
      <c r="L55" s="120"/>
      <c r="M55" s="120"/>
      <c r="N55" s="120"/>
      <c r="O55" s="120"/>
      <c r="P55" s="130">
        <v>0.08</v>
      </c>
      <c r="Q55" s="129"/>
      <c r="R55" s="22">
        <v>8</v>
      </c>
      <c r="S55" s="162"/>
      <c r="T55" s="4"/>
    </row>
    <row r="56" s="1" customFormat="1" ht="21" customHeight="1" spans="1:20">
      <c r="A56" s="61"/>
      <c r="B56" s="84"/>
      <c r="C56" s="85"/>
      <c r="D56" s="86"/>
      <c r="E56" s="87" t="s">
        <v>127</v>
      </c>
      <c r="F56" s="87"/>
      <c r="G56" s="87"/>
      <c r="H56" s="88"/>
      <c r="I56" s="88"/>
      <c r="J56" s="136"/>
      <c r="K56" s="136"/>
      <c r="L56" s="136"/>
      <c r="M56" s="136"/>
      <c r="N56" s="136"/>
      <c r="O56" s="136"/>
      <c r="P56" s="202"/>
      <c r="Q56" s="202"/>
      <c r="R56" s="163"/>
      <c r="S56" s="164"/>
      <c r="T56" s="4"/>
    </row>
    <row r="57" ht="30" customHeight="1" spans="1:19">
      <c r="A57" s="61"/>
      <c r="B57" s="89" t="s">
        <v>128</v>
      </c>
      <c r="C57" s="90"/>
      <c r="D57" s="90"/>
      <c r="E57" s="90"/>
      <c r="F57" s="90"/>
      <c r="G57" s="90"/>
      <c r="H57" s="90"/>
      <c r="I57" s="90"/>
      <c r="J57" s="90"/>
      <c r="K57" s="90"/>
      <c r="L57" s="90"/>
      <c r="M57" s="90"/>
      <c r="N57" s="90"/>
      <c r="O57" s="138"/>
      <c r="P57" s="139">
        <v>1</v>
      </c>
      <c r="Q57" s="139"/>
      <c r="R57" s="165">
        <v>98</v>
      </c>
      <c r="S57" s="166"/>
    </row>
    <row r="58" ht="36" customHeight="1" spans="1:19">
      <c r="A58" s="91"/>
      <c r="B58" s="92" t="s">
        <v>129</v>
      </c>
      <c r="C58" s="93" t="s">
        <v>130</v>
      </c>
      <c r="D58" s="94"/>
      <c r="E58" s="94"/>
      <c r="F58" s="94"/>
      <c r="G58" s="94"/>
      <c r="H58" s="94"/>
      <c r="I58" s="94"/>
      <c r="J58" s="94"/>
      <c r="K58" s="94"/>
      <c r="L58" s="94"/>
      <c r="M58" s="94"/>
      <c r="N58" s="94"/>
      <c r="O58" s="94"/>
      <c r="P58" s="94"/>
      <c r="Q58" s="94"/>
      <c r="R58" s="94"/>
      <c r="S58" s="167"/>
    </row>
    <row r="59" ht="22.5" customHeight="1" spans="1:19">
      <c r="A59" s="60" t="s">
        <v>131</v>
      </c>
      <c r="B59" s="95" t="s">
        <v>132</v>
      </c>
      <c r="C59" s="96" t="s">
        <v>133</v>
      </c>
      <c r="D59" s="97"/>
      <c r="E59" s="98" t="s">
        <v>134</v>
      </c>
      <c r="F59" s="96"/>
      <c r="G59" s="96"/>
      <c r="H59" s="96"/>
      <c r="I59" s="96"/>
      <c r="J59" s="96"/>
      <c r="K59" s="96"/>
      <c r="L59" s="96"/>
      <c r="M59" s="96"/>
      <c r="N59" s="97"/>
      <c r="O59" s="140" t="s">
        <v>135</v>
      </c>
      <c r="P59" s="98" t="s">
        <v>136</v>
      </c>
      <c r="Q59" s="97"/>
      <c r="R59" s="98" t="s">
        <v>137</v>
      </c>
      <c r="S59" s="168"/>
    </row>
    <row r="60" ht="21" customHeight="1" spans="1:19">
      <c r="A60" s="99"/>
      <c r="B60" s="100"/>
      <c r="C60" s="101"/>
      <c r="D60" s="102"/>
      <c r="E60" s="103"/>
      <c r="F60" s="104"/>
      <c r="G60" s="104"/>
      <c r="H60" s="104"/>
      <c r="I60" s="104"/>
      <c r="J60" s="104"/>
      <c r="K60" s="104"/>
      <c r="L60" s="104"/>
      <c r="M60" s="104"/>
      <c r="N60" s="141"/>
      <c r="O60" s="55"/>
      <c r="P60" s="101"/>
      <c r="Q60" s="102"/>
      <c r="R60" s="101"/>
      <c r="S60" s="169"/>
    </row>
    <row r="61" ht="21" customHeight="1" spans="1:19">
      <c r="A61" s="99"/>
      <c r="B61" s="100"/>
      <c r="C61" s="101"/>
      <c r="D61" s="102"/>
      <c r="E61" s="103"/>
      <c r="F61" s="104"/>
      <c r="G61" s="104"/>
      <c r="H61" s="104"/>
      <c r="I61" s="104"/>
      <c r="J61" s="104"/>
      <c r="K61" s="104"/>
      <c r="L61" s="104"/>
      <c r="M61" s="104"/>
      <c r="N61" s="141"/>
      <c r="O61" s="55"/>
      <c r="P61" s="101"/>
      <c r="Q61" s="102"/>
      <c r="R61" s="101"/>
      <c r="S61" s="169"/>
    </row>
    <row r="62" ht="21" customHeight="1" spans="1:19">
      <c r="A62" s="99"/>
      <c r="B62" s="100"/>
      <c r="C62" s="101"/>
      <c r="D62" s="102"/>
      <c r="E62" s="103"/>
      <c r="F62" s="104"/>
      <c r="G62" s="104"/>
      <c r="H62" s="104"/>
      <c r="I62" s="104"/>
      <c r="J62" s="104"/>
      <c r="K62" s="104"/>
      <c r="L62" s="104"/>
      <c r="M62" s="104"/>
      <c r="N62" s="141"/>
      <c r="O62" s="55"/>
      <c r="P62" s="101"/>
      <c r="Q62" s="102"/>
      <c r="R62" s="101"/>
      <c r="S62" s="169"/>
    </row>
    <row r="63" ht="21" customHeight="1" spans="1:19">
      <c r="A63" s="99"/>
      <c r="B63" s="100"/>
      <c r="C63" s="101"/>
      <c r="D63" s="102"/>
      <c r="E63" s="103"/>
      <c r="F63" s="104"/>
      <c r="G63" s="104"/>
      <c r="H63" s="104"/>
      <c r="I63" s="104"/>
      <c r="J63" s="104"/>
      <c r="K63" s="104"/>
      <c r="L63" s="104"/>
      <c r="M63" s="104"/>
      <c r="N63" s="141"/>
      <c r="O63" s="55"/>
      <c r="P63" s="101"/>
      <c r="Q63" s="102"/>
      <c r="R63" s="101"/>
      <c r="S63" s="169"/>
    </row>
    <row r="64" ht="21" customHeight="1" spans="1:19">
      <c r="A64" s="99"/>
      <c r="B64" s="100"/>
      <c r="C64" s="101"/>
      <c r="D64" s="102"/>
      <c r="E64" s="103"/>
      <c r="F64" s="104"/>
      <c r="G64" s="104"/>
      <c r="H64" s="104"/>
      <c r="I64" s="104"/>
      <c r="J64" s="104"/>
      <c r="K64" s="104"/>
      <c r="L64" s="104"/>
      <c r="M64" s="104"/>
      <c r="N64" s="141"/>
      <c r="O64" s="55"/>
      <c r="P64" s="101"/>
      <c r="Q64" s="102"/>
      <c r="R64" s="101"/>
      <c r="S64" s="169"/>
    </row>
    <row r="65" ht="105.75" customHeight="1" spans="1:19">
      <c r="A65" s="99"/>
      <c r="B65" s="100"/>
      <c r="C65" s="170" t="s">
        <v>138</v>
      </c>
      <c r="D65" s="171"/>
      <c r="E65" s="171"/>
      <c r="F65" s="171"/>
      <c r="G65" s="171"/>
      <c r="H65" s="171"/>
      <c r="I65" s="171"/>
      <c r="J65" s="171"/>
      <c r="K65" s="171"/>
      <c r="L65" s="171"/>
      <c r="M65" s="171"/>
      <c r="N65" s="171"/>
      <c r="O65" s="171"/>
      <c r="P65" s="171"/>
      <c r="Q65" s="171"/>
      <c r="R65" s="171"/>
      <c r="S65" s="192"/>
    </row>
    <row r="66" ht="27" customHeight="1" spans="1:19">
      <c r="A66" s="99"/>
      <c r="B66" s="172"/>
      <c r="C66" s="173" t="s">
        <v>139</v>
      </c>
      <c r="D66" s="174"/>
      <c r="E66" s="174"/>
      <c r="F66" s="174"/>
      <c r="G66" s="174"/>
      <c r="H66" s="174"/>
      <c r="I66" s="174"/>
      <c r="J66" s="174"/>
      <c r="K66" s="174"/>
      <c r="L66" s="174"/>
      <c r="M66" s="174"/>
      <c r="N66" s="174"/>
      <c r="O66" s="174"/>
      <c r="P66" s="174"/>
      <c r="Q66" s="174"/>
      <c r="R66" s="174"/>
      <c r="S66" s="193"/>
    </row>
    <row r="67" ht="48.75" customHeight="1" spans="1:19">
      <c r="A67" s="99"/>
      <c r="B67" s="95" t="s">
        <v>140</v>
      </c>
      <c r="C67" s="175" t="s">
        <v>141</v>
      </c>
      <c r="D67" s="176"/>
      <c r="E67" s="176"/>
      <c r="F67" s="176"/>
      <c r="G67" s="176"/>
      <c r="H67" s="176"/>
      <c r="I67" s="176"/>
      <c r="J67" s="176"/>
      <c r="K67" s="176"/>
      <c r="L67" s="176"/>
      <c r="M67" s="176"/>
      <c r="N67" s="176"/>
      <c r="O67" s="176"/>
      <c r="P67" s="176"/>
      <c r="Q67" s="176"/>
      <c r="R67" s="176"/>
      <c r="S67" s="194"/>
    </row>
    <row r="68" ht="55.5" customHeight="1" spans="1:19">
      <c r="A68" s="99"/>
      <c r="B68" s="177"/>
      <c r="C68" s="178" t="s">
        <v>142</v>
      </c>
      <c r="D68" s="179"/>
      <c r="E68" s="179"/>
      <c r="F68" s="179"/>
      <c r="G68" s="179"/>
      <c r="H68" s="179"/>
      <c r="I68" s="179"/>
      <c r="J68" s="179"/>
      <c r="K68" s="179"/>
      <c r="L68" s="179"/>
      <c r="M68" s="179"/>
      <c r="N68" s="179"/>
      <c r="O68" s="179"/>
      <c r="P68" s="179"/>
      <c r="Q68" s="179"/>
      <c r="R68" s="179"/>
      <c r="S68" s="195"/>
    </row>
    <row r="69" ht="104.25" customHeight="1" spans="1:19">
      <c r="A69" s="99"/>
      <c r="B69" s="177"/>
      <c r="C69" s="170" t="s">
        <v>143</v>
      </c>
      <c r="D69" s="171"/>
      <c r="E69" s="171"/>
      <c r="F69" s="171"/>
      <c r="G69" s="171"/>
      <c r="H69" s="171"/>
      <c r="I69" s="171"/>
      <c r="J69" s="171"/>
      <c r="K69" s="171"/>
      <c r="L69" s="171"/>
      <c r="M69" s="171"/>
      <c r="N69" s="171"/>
      <c r="O69" s="171"/>
      <c r="P69" s="171"/>
      <c r="Q69" s="171"/>
      <c r="R69" s="171"/>
      <c r="S69" s="192"/>
    </row>
    <row r="70" ht="28.5" customHeight="1" spans="1:19">
      <c r="A70" s="99"/>
      <c r="B70" s="180"/>
      <c r="C70" s="173" t="s">
        <v>144</v>
      </c>
      <c r="D70" s="174"/>
      <c r="E70" s="174"/>
      <c r="F70" s="174"/>
      <c r="G70" s="174"/>
      <c r="H70" s="174"/>
      <c r="I70" s="174"/>
      <c r="J70" s="174"/>
      <c r="K70" s="174"/>
      <c r="L70" s="174"/>
      <c r="M70" s="174"/>
      <c r="N70" s="174"/>
      <c r="O70" s="174"/>
      <c r="P70" s="174"/>
      <c r="Q70" s="174"/>
      <c r="R70" s="174"/>
      <c r="S70" s="193"/>
    </row>
    <row r="71" ht="12" customHeight="1" spans="1:19">
      <c r="A71" s="99"/>
      <c r="B71" s="177" t="s">
        <v>145</v>
      </c>
      <c r="C71" s="181"/>
      <c r="D71" s="182"/>
      <c r="E71" s="182"/>
      <c r="F71" s="182"/>
      <c r="G71" s="182"/>
      <c r="H71" s="182"/>
      <c r="I71" s="182"/>
      <c r="J71" s="182"/>
      <c r="K71" s="182"/>
      <c r="L71" s="182"/>
      <c r="M71" s="182"/>
      <c r="N71" s="182"/>
      <c r="O71" s="182"/>
      <c r="P71" s="182"/>
      <c r="Q71" s="182"/>
      <c r="R71" s="182"/>
      <c r="S71" s="196"/>
    </row>
    <row r="72" customHeight="1" spans="1:19">
      <c r="A72" s="99"/>
      <c r="B72" s="177"/>
      <c r="C72" s="182"/>
      <c r="D72" s="182"/>
      <c r="E72" s="182"/>
      <c r="F72" s="183"/>
      <c r="G72" s="182"/>
      <c r="H72" s="182"/>
      <c r="I72" s="182"/>
      <c r="J72" s="182"/>
      <c r="K72" s="182"/>
      <c r="L72" s="182"/>
      <c r="M72" s="182"/>
      <c r="N72" s="182"/>
      <c r="O72" s="182"/>
      <c r="P72" s="182"/>
      <c r="Q72" s="182"/>
      <c r="R72" s="182"/>
      <c r="S72" s="196"/>
    </row>
    <row r="73" ht="30.75" customHeight="1" spans="1:19">
      <c r="A73" s="99"/>
      <c r="B73" s="177"/>
      <c r="C73" s="184"/>
      <c r="D73" s="185"/>
      <c r="E73" s="185"/>
      <c r="F73" s="185"/>
      <c r="G73" s="185"/>
      <c r="H73" s="185"/>
      <c r="I73" s="185"/>
      <c r="J73" s="185"/>
      <c r="K73" s="185"/>
      <c r="L73" s="185"/>
      <c r="M73" s="185"/>
      <c r="N73" s="185"/>
      <c r="O73" s="185"/>
      <c r="P73" s="185"/>
      <c r="Q73" s="185"/>
      <c r="R73" s="185"/>
      <c r="S73" s="197"/>
    </row>
    <row r="74" ht="53.25" customHeight="1" spans="1:19">
      <c r="A74" s="186"/>
      <c r="B74" s="180"/>
      <c r="C74" s="187" t="s">
        <v>146</v>
      </c>
      <c r="D74" s="188"/>
      <c r="E74" s="188"/>
      <c r="F74" s="188"/>
      <c r="G74" s="188"/>
      <c r="H74" s="188"/>
      <c r="I74" s="188"/>
      <c r="J74" s="188"/>
      <c r="K74" s="188"/>
      <c r="L74" s="188"/>
      <c r="M74" s="188"/>
      <c r="N74" s="188"/>
      <c r="O74" s="188"/>
      <c r="P74" s="188"/>
      <c r="Q74" s="188"/>
      <c r="R74" s="188"/>
      <c r="S74" s="198"/>
    </row>
    <row r="75" ht="19.5" customHeight="1" spans="1:19">
      <c r="A75" s="189"/>
      <c r="B75" s="190" t="s">
        <v>147</v>
      </c>
      <c r="C75" s="190"/>
      <c r="D75" s="190"/>
      <c r="E75" s="190"/>
      <c r="F75" s="190"/>
      <c r="G75" s="190"/>
      <c r="H75" s="190" t="s">
        <v>148</v>
      </c>
      <c r="I75" s="190"/>
      <c r="J75" s="190"/>
      <c r="K75" s="190"/>
      <c r="L75" s="190"/>
      <c r="N75" s="191"/>
      <c r="O75" s="191" t="s">
        <v>149</v>
      </c>
      <c r="Q75" s="191"/>
      <c r="R75" s="191"/>
      <c r="S75" s="191"/>
    </row>
  </sheetData>
  <mergeCells count="288">
    <mergeCell ref="A1:B1"/>
    <mergeCell ref="A2:S2"/>
    <mergeCell ref="B3:D3"/>
    <mergeCell ref="E3:S3"/>
    <mergeCell ref="K4:M4"/>
    <mergeCell ref="P4:S4"/>
    <mergeCell ref="K5:M5"/>
    <mergeCell ref="P5:S5"/>
    <mergeCell ref="B6:H6"/>
    <mergeCell ref="I6:S6"/>
    <mergeCell ref="C7:H7"/>
    <mergeCell ref="I7:K7"/>
    <mergeCell ref="L7:O7"/>
    <mergeCell ref="P7:S7"/>
    <mergeCell ref="C8:D8"/>
    <mergeCell ref="E8:H8"/>
    <mergeCell ref="I8:K8"/>
    <mergeCell ref="L8:M8"/>
    <mergeCell ref="N8:O8"/>
    <mergeCell ref="P8:Q8"/>
    <mergeCell ref="R8:S8"/>
    <mergeCell ref="E9:H9"/>
    <mergeCell ref="I9:K9"/>
    <mergeCell ref="L9:M9"/>
    <mergeCell ref="N9:O9"/>
    <mergeCell ref="P9:Q9"/>
    <mergeCell ref="R9:S9"/>
    <mergeCell ref="E10:H10"/>
    <mergeCell ref="I10:K10"/>
    <mergeCell ref="L10:M10"/>
    <mergeCell ref="N10:O10"/>
    <mergeCell ref="P10:Q10"/>
    <mergeCell ref="R10:S10"/>
    <mergeCell ref="E11:H11"/>
    <mergeCell ref="I11:K11"/>
    <mergeCell ref="L11:M11"/>
    <mergeCell ref="N11:O11"/>
    <mergeCell ref="P11:Q11"/>
    <mergeCell ref="R11:S11"/>
    <mergeCell ref="E12:H12"/>
    <mergeCell ref="I12:K12"/>
    <mergeCell ref="L12:M12"/>
    <mergeCell ref="N12:O12"/>
    <mergeCell ref="P12:Q12"/>
    <mergeCell ref="R12:S12"/>
    <mergeCell ref="E13:H13"/>
    <mergeCell ref="I13:K13"/>
    <mergeCell ref="L13:M13"/>
    <mergeCell ref="N13:O13"/>
    <mergeCell ref="P13:Q13"/>
    <mergeCell ref="R13:S13"/>
    <mergeCell ref="E14:H14"/>
    <mergeCell ref="I14:K14"/>
    <mergeCell ref="L14:M14"/>
    <mergeCell ref="N14:O14"/>
    <mergeCell ref="P14:Q14"/>
    <mergeCell ref="R14:S14"/>
    <mergeCell ref="E15:H15"/>
    <mergeCell ref="I15:K15"/>
    <mergeCell ref="L15:M15"/>
    <mergeCell ref="N15:O15"/>
    <mergeCell ref="P15:Q15"/>
    <mergeCell ref="R15:S15"/>
    <mergeCell ref="E16:H16"/>
    <mergeCell ref="I16:K16"/>
    <mergeCell ref="L16:M16"/>
    <mergeCell ref="N16:O16"/>
    <mergeCell ref="P16:Q16"/>
    <mergeCell ref="R16:S16"/>
    <mergeCell ref="E17:H17"/>
    <mergeCell ref="I17:K17"/>
    <mergeCell ref="L17:M17"/>
    <mergeCell ref="N17:O17"/>
    <mergeCell ref="P17:Q17"/>
    <mergeCell ref="R17:S17"/>
    <mergeCell ref="E18:H18"/>
    <mergeCell ref="I18:K18"/>
    <mergeCell ref="L18:M18"/>
    <mergeCell ref="N18:O18"/>
    <mergeCell ref="P18:Q18"/>
    <mergeCell ref="R18:S18"/>
    <mergeCell ref="B19:D19"/>
    <mergeCell ref="E19:H19"/>
    <mergeCell ref="I19:K19"/>
    <mergeCell ref="L19:S19"/>
    <mergeCell ref="I20:S20"/>
    <mergeCell ref="I21:S21"/>
    <mergeCell ref="I22:S22"/>
    <mergeCell ref="I23:J23"/>
    <mergeCell ref="K23:N23"/>
    <mergeCell ref="O23:Q23"/>
    <mergeCell ref="B26:D26"/>
    <mergeCell ref="E26:H26"/>
    <mergeCell ref="M26:N26"/>
    <mergeCell ref="P26:Q26"/>
    <mergeCell ref="R26:S26"/>
    <mergeCell ref="B27:D27"/>
    <mergeCell ref="E27:H27"/>
    <mergeCell ref="M27:N27"/>
    <mergeCell ref="P27:Q27"/>
    <mergeCell ref="R27:S27"/>
    <mergeCell ref="B28:D28"/>
    <mergeCell ref="E28:H28"/>
    <mergeCell ref="M28:N28"/>
    <mergeCell ref="P28:Q28"/>
    <mergeCell ref="R28:S28"/>
    <mergeCell ref="B29:D29"/>
    <mergeCell ref="E29:H29"/>
    <mergeCell ref="M29:N29"/>
    <mergeCell ref="P29:Q29"/>
    <mergeCell ref="R29:S29"/>
    <mergeCell ref="B30:D30"/>
    <mergeCell ref="E30:H30"/>
    <mergeCell ref="M30:N30"/>
    <mergeCell ref="P30:Q30"/>
    <mergeCell ref="R30:S30"/>
    <mergeCell ref="B31:D31"/>
    <mergeCell ref="E31:H31"/>
    <mergeCell ref="M31:N31"/>
    <mergeCell ref="P31:Q31"/>
    <mergeCell ref="R31:S31"/>
    <mergeCell ref="B32:D32"/>
    <mergeCell ref="E32:H32"/>
    <mergeCell ref="M32:N32"/>
    <mergeCell ref="P32:Q32"/>
    <mergeCell ref="R32:S32"/>
    <mergeCell ref="E33:O33"/>
    <mergeCell ref="P33:S33"/>
    <mergeCell ref="E34:O34"/>
    <mergeCell ref="P34:S34"/>
    <mergeCell ref="E35:O35"/>
    <mergeCell ref="P35:S35"/>
    <mergeCell ref="E36:O36"/>
    <mergeCell ref="P36:S36"/>
    <mergeCell ref="E37:O37"/>
    <mergeCell ref="P37:S37"/>
    <mergeCell ref="E38:O38"/>
    <mergeCell ref="P38:S38"/>
    <mergeCell ref="E39:O39"/>
    <mergeCell ref="P39:S39"/>
    <mergeCell ref="B40:D40"/>
    <mergeCell ref="E40:G40"/>
    <mergeCell ref="H40:I40"/>
    <mergeCell ref="J40:O40"/>
    <mergeCell ref="P40:Q40"/>
    <mergeCell ref="R40:S40"/>
    <mergeCell ref="E41:G41"/>
    <mergeCell ref="H41:I41"/>
    <mergeCell ref="J41:O41"/>
    <mergeCell ref="P41:Q41"/>
    <mergeCell ref="R41:S41"/>
    <mergeCell ref="H42:I42"/>
    <mergeCell ref="J42:O42"/>
    <mergeCell ref="P42:Q42"/>
    <mergeCell ref="R42:S42"/>
    <mergeCell ref="H43:I43"/>
    <mergeCell ref="J43:O43"/>
    <mergeCell ref="P43:Q43"/>
    <mergeCell ref="R43:S43"/>
    <mergeCell ref="H44:I44"/>
    <mergeCell ref="J44:O44"/>
    <mergeCell ref="P44:Q44"/>
    <mergeCell ref="R44:S44"/>
    <mergeCell ref="H45:I45"/>
    <mergeCell ref="J45:O45"/>
    <mergeCell ref="P45:Q45"/>
    <mergeCell ref="R45:S45"/>
    <mergeCell ref="H46:I46"/>
    <mergeCell ref="J46:O46"/>
    <mergeCell ref="P46:Q46"/>
    <mergeCell ref="R46:S46"/>
    <mergeCell ref="H47:I47"/>
    <mergeCell ref="J47:O47"/>
    <mergeCell ref="P47:Q47"/>
    <mergeCell ref="R47:S47"/>
    <mergeCell ref="H48:I48"/>
    <mergeCell ref="J48:O48"/>
    <mergeCell ref="P48:Q48"/>
    <mergeCell ref="R48:S48"/>
    <mergeCell ref="H49:I49"/>
    <mergeCell ref="J49:O49"/>
    <mergeCell ref="P49:Q49"/>
    <mergeCell ref="R49:S49"/>
    <mergeCell ref="E50:G50"/>
    <mergeCell ref="H50:I50"/>
    <mergeCell ref="J50:O50"/>
    <mergeCell ref="P50:Q50"/>
    <mergeCell ref="R50:S50"/>
    <mergeCell ref="E51:G51"/>
    <mergeCell ref="H51:I51"/>
    <mergeCell ref="J51:O51"/>
    <mergeCell ref="P51:Q51"/>
    <mergeCell ref="R51:S51"/>
    <mergeCell ref="E52:G52"/>
    <mergeCell ref="H52:I52"/>
    <mergeCell ref="J52:O52"/>
    <mergeCell ref="P52:Q52"/>
    <mergeCell ref="R52:S52"/>
    <mergeCell ref="E53:G53"/>
    <mergeCell ref="H53:I53"/>
    <mergeCell ref="J53:O53"/>
    <mergeCell ref="P53:Q53"/>
    <mergeCell ref="R53:S53"/>
    <mergeCell ref="E54:G54"/>
    <mergeCell ref="H54:I54"/>
    <mergeCell ref="J54:O54"/>
    <mergeCell ref="P54:Q54"/>
    <mergeCell ref="R54:S54"/>
    <mergeCell ref="E55:G55"/>
    <mergeCell ref="H55:I55"/>
    <mergeCell ref="J55:O55"/>
    <mergeCell ref="P55:Q55"/>
    <mergeCell ref="R55:S55"/>
    <mergeCell ref="E56:G56"/>
    <mergeCell ref="H56:I56"/>
    <mergeCell ref="J56:O56"/>
    <mergeCell ref="P56:Q56"/>
    <mergeCell ref="R56:S56"/>
    <mergeCell ref="B57:O57"/>
    <mergeCell ref="P57:Q57"/>
    <mergeCell ref="R57:S57"/>
    <mergeCell ref="C58:S58"/>
    <mergeCell ref="C59:D59"/>
    <mergeCell ref="E59:N59"/>
    <mergeCell ref="P59:Q59"/>
    <mergeCell ref="R59:S59"/>
    <mergeCell ref="C60:D60"/>
    <mergeCell ref="E60:N60"/>
    <mergeCell ref="P60:Q60"/>
    <mergeCell ref="R60:S60"/>
    <mergeCell ref="C61:D61"/>
    <mergeCell ref="E61:N61"/>
    <mergeCell ref="P61:Q61"/>
    <mergeCell ref="R61:S61"/>
    <mergeCell ref="C62:D62"/>
    <mergeCell ref="E62:N62"/>
    <mergeCell ref="P62:Q62"/>
    <mergeCell ref="R62:S62"/>
    <mergeCell ref="C63:D63"/>
    <mergeCell ref="E63:N63"/>
    <mergeCell ref="P63:Q63"/>
    <mergeCell ref="R63:S63"/>
    <mergeCell ref="C64:D64"/>
    <mergeCell ref="E64:N64"/>
    <mergeCell ref="P64:Q64"/>
    <mergeCell ref="R64:S64"/>
    <mergeCell ref="C65:S65"/>
    <mergeCell ref="C66:S66"/>
    <mergeCell ref="C67:S67"/>
    <mergeCell ref="C68:S68"/>
    <mergeCell ref="C69:S69"/>
    <mergeCell ref="C70:S70"/>
    <mergeCell ref="C74:S74"/>
    <mergeCell ref="A3:A21"/>
    <mergeCell ref="A22:A39"/>
    <mergeCell ref="A40:A45"/>
    <mergeCell ref="A46:A58"/>
    <mergeCell ref="A59:A74"/>
    <mergeCell ref="B7:B18"/>
    <mergeCell ref="B59:B66"/>
    <mergeCell ref="B67:B70"/>
    <mergeCell ref="B71:B74"/>
    <mergeCell ref="I24:I25"/>
    <mergeCell ref="J24:J25"/>
    <mergeCell ref="K24:K25"/>
    <mergeCell ref="L24:L25"/>
    <mergeCell ref="O24:O25"/>
    <mergeCell ref="T40:T45"/>
    <mergeCell ref="B4:H5"/>
    <mergeCell ref="I4:J5"/>
    <mergeCell ref="N4:O5"/>
    <mergeCell ref="C9:D11"/>
    <mergeCell ref="C12:D13"/>
    <mergeCell ref="C14:D18"/>
    <mergeCell ref="B20:H21"/>
    <mergeCell ref="B22:D25"/>
    <mergeCell ref="E22:H25"/>
    <mergeCell ref="R23:S25"/>
    <mergeCell ref="M24:N25"/>
    <mergeCell ref="P24:Q25"/>
    <mergeCell ref="B33:C39"/>
    <mergeCell ref="B41:D45"/>
    <mergeCell ref="E42:G43"/>
    <mergeCell ref="E44:G45"/>
    <mergeCell ref="B46:D49"/>
    <mergeCell ref="E46:G47"/>
    <mergeCell ref="E48:G49"/>
    <mergeCell ref="B50:D56"/>
  </mergeCells>
  <pageMargins left="0.579861111111111" right="0.239583333333333" top="0.979861111111111" bottom="0.979861111111111" header="0.509722222222222" footer="0.509722222222222"/>
  <pageSetup paperSize="9" scale="80" orientation="portrait" horizontalDpi="600" verticalDpi="600"/>
  <headerFooter alignWithMargins="0"/>
  <rowBreaks count="2" manualBreakCount="2">
    <brk id="32" max="18" man="1"/>
    <brk id="61" max="18"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V75"/>
  <sheetViews>
    <sheetView tabSelected="1" workbookViewId="0">
      <selection activeCell="W15" sqref="W15"/>
    </sheetView>
  </sheetViews>
  <sheetFormatPr defaultColWidth="9" defaultRowHeight="14.25"/>
  <cols>
    <col min="1" max="1" width="4.5" style="3" customWidth="1"/>
    <col min="2" max="2" width="6.875" style="3" customWidth="1"/>
    <col min="3" max="3" width="6.5" style="3" customWidth="1"/>
    <col min="4" max="4" width="4.75" style="3" customWidth="1"/>
    <col min="5" max="6" width="4.625" style="3" customWidth="1"/>
    <col min="7" max="7" width="4.375" style="3" customWidth="1"/>
    <col min="8" max="8" width="5.25" style="3" customWidth="1"/>
    <col min="9" max="9" width="8.625" style="3" customWidth="1"/>
    <col min="10" max="10" width="4.5" style="3" customWidth="1"/>
    <col min="11" max="11" width="4.375" style="3" customWidth="1"/>
    <col min="12" max="12" width="8.5" style="3" customWidth="1"/>
    <col min="13" max="13" width="4.75" style="3" customWidth="1"/>
    <col min="14" max="14" width="5.625" style="3" customWidth="1"/>
    <col min="15" max="15" width="7.625" style="3" customWidth="1"/>
    <col min="16" max="16" width="4.25" style="3" customWidth="1"/>
    <col min="17" max="17" width="4.625" style="3" customWidth="1"/>
    <col min="18" max="18" width="4.375" style="3" customWidth="1"/>
    <col min="19" max="19" width="4.5" style="3" customWidth="1"/>
    <col min="20" max="20" width="9" style="4" hidden="1" customWidth="1"/>
    <col min="21" max="256" width="9" style="3"/>
    <col min="257" max="16384" width="9" style="1"/>
  </cols>
  <sheetData>
    <row r="1" s="1" customFormat="1" ht="26.25" customHeight="1" spans="1:256">
      <c r="A1" s="5"/>
      <c r="B1" s="5"/>
      <c r="C1" s="6"/>
      <c r="D1" s="6"/>
      <c r="E1" s="6"/>
      <c r="F1" s="6"/>
      <c r="G1" s="6"/>
      <c r="H1" s="6"/>
      <c r="I1" s="6"/>
      <c r="J1" s="6"/>
      <c r="K1" s="6"/>
      <c r="L1" s="6"/>
      <c r="M1" s="6"/>
      <c r="N1" s="6"/>
      <c r="O1" s="6"/>
      <c r="P1" s="6"/>
      <c r="Q1" s="6"/>
      <c r="R1" s="6"/>
      <c r="S1" s="6"/>
      <c r="T1" s="4"/>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row>
    <row r="2" s="1" customFormat="1" ht="43.15" customHeight="1" spans="1:256">
      <c r="A2" s="7" t="s">
        <v>150</v>
      </c>
      <c r="B2" s="7"/>
      <c r="C2" s="7"/>
      <c r="D2" s="7"/>
      <c r="E2" s="7"/>
      <c r="F2" s="7"/>
      <c r="G2" s="7"/>
      <c r="H2" s="7"/>
      <c r="I2" s="7"/>
      <c r="J2" s="7"/>
      <c r="K2" s="7"/>
      <c r="L2" s="7"/>
      <c r="M2" s="7"/>
      <c r="N2" s="7"/>
      <c r="O2" s="7"/>
      <c r="P2" s="7"/>
      <c r="Q2" s="7"/>
      <c r="R2" s="7"/>
      <c r="S2" s="7"/>
      <c r="T2" s="4"/>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row>
    <row r="3" s="1" customFormat="1" ht="24.75" customHeight="1" spans="1:256">
      <c r="A3" s="8" t="s">
        <v>1</v>
      </c>
      <c r="B3" s="9" t="s">
        <v>2</v>
      </c>
      <c r="C3" s="10"/>
      <c r="D3" s="10"/>
      <c r="E3" s="10" t="s">
        <v>151</v>
      </c>
      <c r="F3" s="10"/>
      <c r="G3" s="10"/>
      <c r="H3" s="10"/>
      <c r="I3" s="10"/>
      <c r="J3" s="10"/>
      <c r="K3" s="10"/>
      <c r="L3" s="10"/>
      <c r="M3" s="10"/>
      <c r="N3" s="10"/>
      <c r="O3" s="10"/>
      <c r="P3" s="10"/>
      <c r="Q3" s="10"/>
      <c r="R3" s="10"/>
      <c r="S3" s="142"/>
      <c r="T3" s="4"/>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row>
    <row r="4" s="1" customFormat="1" ht="19.5" customHeight="1" spans="1:20">
      <c r="A4" s="11"/>
      <c r="B4" s="12" t="s">
        <v>4</v>
      </c>
      <c r="C4" s="13"/>
      <c r="D4" s="13"/>
      <c r="E4" s="13"/>
      <c r="F4" s="13"/>
      <c r="G4" s="13"/>
      <c r="H4" s="14"/>
      <c r="I4" s="105" t="s">
        <v>5</v>
      </c>
      <c r="J4" s="14"/>
      <c r="K4" s="106" t="s">
        <v>152</v>
      </c>
      <c r="L4" s="107"/>
      <c r="M4" s="108"/>
      <c r="N4" s="105" t="s">
        <v>7</v>
      </c>
      <c r="O4" s="14"/>
      <c r="P4" s="106" t="s">
        <v>152</v>
      </c>
      <c r="Q4" s="107"/>
      <c r="R4" s="107"/>
      <c r="S4" s="143"/>
      <c r="T4" s="144"/>
    </row>
    <row r="5" s="1" customFormat="1" ht="21" customHeight="1" spans="1:20">
      <c r="A5" s="11"/>
      <c r="B5" s="15"/>
      <c r="C5" s="16"/>
      <c r="D5" s="16"/>
      <c r="E5" s="16"/>
      <c r="F5" s="16"/>
      <c r="G5" s="16"/>
      <c r="H5" s="17"/>
      <c r="I5" s="109"/>
      <c r="J5" s="17"/>
      <c r="K5" s="106" t="s">
        <v>153</v>
      </c>
      <c r="L5" s="107"/>
      <c r="M5" s="108"/>
      <c r="N5" s="109"/>
      <c r="O5" s="17"/>
      <c r="P5" s="106" t="s">
        <v>154</v>
      </c>
      <c r="Q5" s="107"/>
      <c r="R5" s="107"/>
      <c r="S5" s="143"/>
      <c r="T5" s="144"/>
    </row>
    <row r="6" s="1" customFormat="1" ht="20.25" customHeight="1" spans="1:20">
      <c r="A6" s="11"/>
      <c r="B6" s="18" t="s">
        <v>10</v>
      </c>
      <c r="C6" s="19"/>
      <c r="D6" s="19"/>
      <c r="E6" s="19"/>
      <c r="F6" s="19"/>
      <c r="G6" s="19"/>
      <c r="H6" s="20"/>
      <c r="I6" s="25">
        <v>2081004</v>
      </c>
      <c r="J6" s="19"/>
      <c r="K6" s="19"/>
      <c r="L6" s="19"/>
      <c r="M6" s="19"/>
      <c r="N6" s="19"/>
      <c r="O6" s="19"/>
      <c r="P6" s="19"/>
      <c r="Q6" s="19"/>
      <c r="R6" s="19"/>
      <c r="S6" s="145"/>
      <c r="T6" s="144"/>
    </row>
    <row r="7" s="1" customFormat="1" ht="33.6" customHeight="1" spans="1:256">
      <c r="A7" s="11"/>
      <c r="B7" s="21" t="s">
        <v>11</v>
      </c>
      <c r="C7" s="22" t="s">
        <v>12</v>
      </c>
      <c r="D7" s="22"/>
      <c r="E7" s="22"/>
      <c r="F7" s="22"/>
      <c r="G7" s="22"/>
      <c r="H7" s="22"/>
      <c r="I7" s="52"/>
      <c r="J7" s="52"/>
      <c r="K7" s="52"/>
      <c r="L7" s="22" t="s">
        <v>13</v>
      </c>
      <c r="M7" s="22"/>
      <c r="N7" s="22"/>
      <c r="O7" s="22"/>
      <c r="P7" s="19">
        <v>6</v>
      </c>
      <c r="Q7" s="19"/>
      <c r="R7" s="19"/>
      <c r="S7" s="145"/>
      <c r="T7" s="4"/>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3"/>
    </row>
    <row r="8" s="1" customFormat="1" ht="45.75" customHeight="1" spans="1:256">
      <c r="A8" s="11"/>
      <c r="B8" s="23"/>
      <c r="C8" s="22" t="s">
        <v>14</v>
      </c>
      <c r="D8" s="22"/>
      <c r="E8" s="22" t="s">
        <v>15</v>
      </c>
      <c r="F8" s="22"/>
      <c r="G8" s="22"/>
      <c r="H8" s="22"/>
      <c r="I8" s="22" t="s">
        <v>16</v>
      </c>
      <c r="J8" s="22"/>
      <c r="K8" s="22"/>
      <c r="L8" s="22" t="s">
        <v>17</v>
      </c>
      <c r="M8" s="22"/>
      <c r="N8" s="22" t="s">
        <v>18</v>
      </c>
      <c r="O8" s="22"/>
      <c r="P8" s="25" t="s">
        <v>19</v>
      </c>
      <c r="Q8" s="20"/>
      <c r="R8" s="19" t="s">
        <v>20</v>
      </c>
      <c r="S8" s="145"/>
      <c r="T8" s="4"/>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3"/>
    </row>
    <row r="9" s="1" customFormat="1" ht="28.5" customHeight="1" spans="1:256">
      <c r="A9" s="11"/>
      <c r="B9" s="23"/>
      <c r="C9" s="22" t="s">
        <v>21</v>
      </c>
      <c r="D9" s="22"/>
      <c r="E9" s="22" t="s">
        <v>22</v>
      </c>
      <c r="F9" s="22"/>
      <c r="G9" s="22"/>
      <c r="H9" s="22"/>
      <c r="I9" s="110" t="s">
        <v>23</v>
      </c>
      <c r="J9" s="110"/>
      <c r="K9" s="110"/>
      <c r="L9" s="22" t="s">
        <v>24</v>
      </c>
      <c r="M9" s="22"/>
      <c r="N9" s="22" t="s">
        <v>24</v>
      </c>
      <c r="O9" s="22"/>
      <c r="P9" s="25" t="s">
        <v>24</v>
      </c>
      <c r="Q9" s="20"/>
      <c r="R9" s="19"/>
      <c r="S9" s="145"/>
      <c r="T9" s="4"/>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c r="IV9" s="3"/>
    </row>
    <row r="10" s="1" customFormat="1" ht="28.5" customHeight="1" spans="1:256">
      <c r="A10" s="11"/>
      <c r="B10" s="23"/>
      <c r="C10" s="22"/>
      <c r="D10" s="22"/>
      <c r="E10" s="22" t="s">
        <v>25</v>
      </c>
      <c r="F10" s="22"/>
      <c r="G10" s="22"/>
      <c r="H10" s="22"/>
      <c r="I10" s="110" t="s">
        <v>155</v>
      </c>
      <c r="J10" s="110"/>
      <c r="K10" s="110"/>
      <c r="L10" s="22" t="s">
        <v>156</v>
      </c>
      <c r="M10" s="22"/>
      <c r="N10" s="22" t="s">
        <v>156</v>
      </c>
      <c r="O10" s="22"/>
      <c r="P10" s="25" t="s">
        <v>156</v>
      </c>
      <c r="Q10" s="20"/>
      <c r="R10" s="146">
        <v>1</v>
      </c>
      <c r="S10" s="147"/>
      <c r="T10" s="4"/>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3"/>
    </row>
    <row r="11" s="1" customFormat="1" ht="28.5" customHeight="1" spans="1:256">
      <c r="A11" s="11"/>
      <c r="B11" s="23"/>
      <c r="C11" s="22"/>
      <c r="D11" s="22"/>
      <c r="E11" s="22" t="s">
        <v>30</v>
      </c>
      <c r="F11" s="22"/>
      <c r="G11" s="22"/>
      <c r="H11" s="22"/>
      <c r="I11" s="110"/>
      <c r="J11" s="110"/>
      <c r="K11" s="110"/>
      <c r="L11" s="22"/>
      <c r="M11" s="22"/>
      <c r="N11" s="22"/>
      <c r="O11" s="22"/>
      <c r="P11" s="25"/>
      <c r="Q11" s="20"/>
      <c r="R11" s="19"/>
      <c r="S11" s="145"/>
      <c r="T11" s="4"/>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3"/>
    </row>
    <row r="12" s="1" customFormat="1" ht="28.5" customHeight="1" spans="1:256">
      <c r="A12" s="11"/>
      <c r="B12" s="23"/>
      <c r="C12" s="22" t="s">
        <v>31</v>
      </c>
      <c r="D12" s="22"/>
      <c r="E12" s="22" t="s">
        <v>32</v>
      </c>
      <c r="F12" s="22"/>
      <c r="G12" s="22"/>
      <c r="H12" s="22"/>
      <c r="I12" s="110" t="s">
        <v>157</v>
      </c>
      <c r="J12" s="110"/>
      <c r="K12" s="110"/>
      <c r="L12" s="22" t="s">
        <v>158</v>
      </c>
      <c r="M12" s="22"/>
      <c r="N12" s="22" t="s">
        <v>158</v>
      </c>
      <c r="O12" s="22"/>
      <c r="P12" s="25" t="s">
        <v>159</v>
      </c>
      <c r="Q12" s="20"/>
      <c r="R12" s="146">
        <f>7979/7000</f>
        <v>1.13985714285714</v>
      </c>
      <c r="S12" s="147"/>
      <c r="T12" s="4"/>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c r="IV12" s="3"/>
    </row>
    <row r="13" s="1" customFormat="1" ht="28.5" customHeight="1" spans="1:256">
      <c r="A13" s="11"/>
      <c r="B13" s="23"/>
      <c r="C13" s="22"/>
      <c r="D13" s="22"/>
      <c r="E13" s="22" t="s">
        <v>36</v>
      </c>
      <c r="F13" s="22"/>
      <c r="G13" s="22"/>
      <c r="H13" s="22"/>
      <c r="I13" s="110" t="s">
        <v>37</v>
      </c>
      <c r="J13" s="110"/>
      <c r="K13" s="110"/>
      <c r="L13" s="111">
        <v>1</v>
      </c>
      <c r="M13" s="22"/>
      <c r="N13" s="111">
        <v>1</v>
      </c>
      <c r="O13" s="22"/>
      <c r="P13" s="111">
        <v>1</v>
      </c>
      <c r="Q13" s="22"/>
      <c r="R13" s="19"/>
      <c r="S13" s="145"/>
      <c r="T13" s="4"/>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3"/>
    </row>
    <row r="14" s="1" customFormat="1" ht="28.5" customHeight="1" spans="1:256">
      <c r="A14" s="11"/>
      <c r="B14" s="23"/>
      <c r="C14" s="22" t="s">
        <v>40</v>
      </c>
      <c r="D14" s="22"/>
      <c r="E14" s="22" t="s">
        <v>41</v>
      </c>
      <c r="F14" s="22"/>
      <c r="G14" s="22"/>
      <c r="H14" s="22"/>
      <c r="I14" s="110"/>
      <c r="J14" s="110"/>
      <c r="K14" s="110"/>
      <c r="L14" s="22"/>
      <c r="M14" s="22"/>
      <c r="N14" s="22"/>
      <c r="O14" s="22"/>
      <c r="P14" s="25"/>
      <c r="Q14" s="20"/>
      <c r="R14" s="19"/>
      <c r="S14" s="145"/>
      <c r="T14" s="4"/>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3"/>
    </row>
    <row r="15" s="1" customFormat="1" ht="28.5" customHeight="1" spans="1:256">
      <c r="A15" s="11"/>
      <c r="B15" s="23"/>
      <c r="C15" s="22"/>
      <c r="D15" s="22"/>
      <c r="E15" s="22" t="s">
        <v>42</v>
      </c>
      <c r="F15" s="22"/>
      <c r="G15" s="22"/>
      <c r="H15" s="22"/>
      <c r="I15" s="110" t="s">
        <v>160</v>
      </c>
      <c r="J15" s="110"/>
      <c r="K15" s="110"/>
      <c r="L15" s="110" t="s">
        <v>160</v>
      </c>
      <c r="M15" s="110"/>
      <c r="N15" s="110" t="s">
        <v>160</v>
      </c>
      <c r="O15" s="110"/>
      <c r="P15" s="110" t="s">
        <v>160</v>
      </c>
      <c r="Q15" s="110"/>
      <c r="R15" s="19"/>
      <c r="S15" s="145"/>
      <c r="T15" s="4"/>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3"/>
    </row>
    <row r="16" s="1" customFormat="1" ht="28.5" customHeight="1" spans="1:256">
      <c r="A16" s="11"/>
      <c r="B16" s="23"/>
      <c r="C16" s="22"/>
      <c r="D16" s="22"/>
      <c r="E16" s="22" t="s">
        <v>46</v>
      </c>
      <c r="F16" s="22"/>
      <c r="G16" s="22"/>
      <c r="H16" s="22"/>
      <c r="I16" s="110" t="s">
        <v>47</v>
      </c>
      <c r="J16" s="110"/>
      <c r="K16" s="110"/>
      <c r="L16" s="110" t="s">
        <v>47</v>
      </c>
      <c r="M16" s="110"/>
      <c r="N16" s="110" t="s">
        <v>47</v>
      </c>
      <c r="O16" s="110"/>
      <c r="P16" s="112" t="s">
        <v>47</v>
      </c>
      <c r="Q16" s="148"/>
      <c r="R16" s="19"/>
      <c r="S16" s="145"/>
      <c r="T16" s="4"/>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3"/>
    </row>
    <row r="17" s="1" customFormat="1" ht="28.5" customHeight="1" spans="1:256">
      <c r="A17" s="11"/>
      <c r="B17" s="23"/>
      <c r="C17" s="22"/>
      <c r="D17" s="22"/>
      <c r="E17" s="22" t="s">
        <v>50</v>
      </c>
      <c r="F17" s="22"/>
      <c r="G17" s="22"/>
      <c r="H17" s="22"/>
      <c r="I17" s="110"/>
      <c r="J17" s="110"/>
      <c r="K17" s="110"/>
      <c r="L17" s="22"/>
      <c r="M17" s="22"/>
      <c r="N17" s="22"/>
      <c r="O17" s="22"/>
      <c r="P17" s="25"/>
      <c r="Q17" s="20"/>
      <c r="R17" s="19"/>
      <c r="S17" s="145"/>
      <c r="T17" s="4"/>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3"/>
    </row>
    <row r="18" s="1" customFormat="1" ht="36" customHeight="1" spans="1:256">
      <c r="A18" s="11"/>
      <c r="B18" s="24"/>
      <c r="C18" s="22"/>
      <c r="D18" s="22"/>
      <c r="E18" s="22" t="s">
        <v>53</v>
      </c>
      <c r="F18" s="22"/>
      <c r="G18" s="22"/>
      <c r="H18" s="22"/>
      <c r="I18" s="110" t="s">
        <v>161</v>
      </c>
      <c r="J18" s="110"/>
      <c r="K18" s="110"/>
      <c r="L18" s="111">
        <v>0.95</v>
      </c>
      <c r="M18" s="22"/>
      <c r="N18" s="111">
        <v>0.95</v>
      </c>
      <c r="O18" s="22"/>
      <c r="P18" s="113">
        <v>1</v>
      </c>
      <c r="Q18" s="20"/>
      <c r="R18" s="19"/>
      <c r="S18" s="145"/>
      <c r="T18" s="4"/>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3"/>
    </row>
    <row r="19" s="1" customFormat="1" ht="36" customHeight="1" spans="1:256">
      <c r="A19" s="11"/>
      <c r="B19" s="18" t="s">
        <v>57</v>
      </c>
      <c r="C19" s="19"/>
      <c r="D19" s="20"/>
      <c r="E19" s="25" t="s">
        <v>162</v>
      </c>
      <c r="F19" s="19"/>
      <c r="G19" s="19"/>
      <c r="H19" s="19"/>
      <c r="I19" s="25" t="s">
        <v>59</v>
      </c>
      <c r="J19" s="19"/>
      <c r="K19" s="20"/>
      <c r="L19" s="25"/>
      <c r="M19" s="19"/>
      <c r="N19" s="19"/>
      <c r="O19" s="19"/>
      <c r="P19" s="19"/>
      <c r="Q19" s="19"/>
      <c r="R19" s="19"/>
      <c r="S19" s="145"/>
      <c r="T19" s="4"/>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row>
    <row r="20" s="1" customFormat="1" ht="23.25" customHeight="1" spans="1:256">
      <c r="A20" s="11"/>
      <c r="B20" s="26" t="s">
        <v>61</v>
      </c>
      <c r="C20" s="27"/>
      <c r="D20" s="27"/>
      <c r="E20" s="27"/>
      <c r="F20" s="27"/>
      <c r="G20" s="27"/>
      <c r="H20" s="27"/>
      <c r="I20" s="48" t="s">
        <v>62</v>
      </c>
      <c r="J20" s="48"/>
      <c r="K20" s="48"/>
      <c r="L20" s="48"/>
      <c r="M20" s="48"/>
      <c r="N20" s="48"/>
      <c r="O20" s="48"/>
      <c r="P20" s="48"/>
      <c r="Q20" s="48"/>
      <c r="R20" s="48"/>
      <c r="S20" s="149"/>
      <c r="T20" s="4"/>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row>
    <row r="21" s="1" customFormat="1" ht="23.25" customHeight="1" spans="1:256">
      <c r="A21" s="28"/>
      <c r="B21" s="29"/>
      <c r="C21" s="30"/>
      <c r="D21" s="30"/>
      <c r="E21" s="30"/>
      <c r="F21" s="30"/>
      <c r="G21" s="30"/>
      <c r="H21" s="30"/>
      <c r="I21" s="88" t="s">
        <v>63</v>
      </c>
      <c r="J21" s="88"/>
      <c r="K21" s="88"/>
      <c r="L21" s="88"/>
      <c r="M21" s="88"/>
      <c r="N21" s="88"/>
      <c r="O21" s="88"/>
      <c r="P21" s="88"/>
      <c r="Q21" s="88"/>
      <c r="R21" s="88"/>
      <c r="S21" s="150"/>
      <c r="T21" s="4"/>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row>
    <row r="22" s="1" customFormat="1" spans="1:256">
      <c r="A22" s="31" t="s">
        <v>64</v>
      </c>
      <c r="B22" s="32"/>
      <c r="C22" s="32"/>
      <c r="D22" s="32"/>
      <c r="E22" s="33" t="s">
        <v>65</v>
      </c>
      <c r="F22" s="34"/>
      <c r="G22" s="34"/>
      <c r="H22" s="35"/>
      <c r="I22" s="114" t="s">
        <v>66</v>
      </c>
      <c r="J22" s="114"/>
      <c r="K22" s="114"/>
      <c r="L22" s="114"/>
      <c r="M22" s="114"/>
      <c r="N22" s="114"/>
      <c r="O22" s="114"/>
      <c r="P22" s="114"/>
      <c r="Q22" s="114"/>
      <c r="R22" s="114"/>
      <c r="S22" s="151"/>
      <c r="T22" s="4"/>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row>
    <row r="23" s="1" customFormat="1" ht="12.75" customHeight="1" spans="1:256">
      <c r="A23" s="36"/>
      <c r="B23" s="37"/>
      <c r="C23" s="37"/>
      <c r="D23" s="37"/>
      <c r="E23" s="38"/>
      <c r="F23" s="4"/>
      <c r="G23" s="4"/>
      <c r="H23" s="39"/>
      <c r="I23" s="53" t="s">
        <v>67</v>
      </c>
      <c r="J23" s="53"/>
      <c r="K23" s="52" t="s">
        <v>68</v>
      </c>
      <c r="L23" s="52"/>
      <c r="M23" s="52"/>
      <c r="N23" s="52"/>
      <c r="O23" s="52" t="s">
        <v>69</v>
      </c>
      <c r="P23" s="52"/>
      <c r="Q23" s="52"/>
      <c r="R23" s="52" t="s">
        <v>70</v>
      </c>
      <c r="S23" s="152"/>
      <c r="T23" s="4"/>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row>
    <row r="24" s="2" customFormat="1" ht="36" customHeight="1" spans="1:21">
      <c r="A24" s="40"/>
      <c r="B24" s="37"/>
      <c r="C24" s="37"/>
      <c r="D24" s="37"/>
      <c r="E24" s="38"/>
      <c r="F24" s="4"/>
      <c r="G24" s="4"/>
      <c r="H24" s="39"/>
      <c r="I24" s="52" t="s">
        <v>71</v>
      </c>
      <c r="J24" s="52" t="s">
        <v>72</v>
      </c>
      <c r="K24" s="52" t="s">
        <v>163</v>
      </c>
      <c r="L24" s="52" t="s">
        <v>74</v>
      </c>
      <c r="M24" s="52" t="s">
        <v>75</v>
      </c>
      <c r="N24" s="52"/>
      <c r="O24" s="52" t="s">
        <v>76</v>
      </c>
      <c r="P24" s="52" t="s">
        <v>77</v>
      </c>
      <c r="Q24" s="115"/>
      <c r="R24" s="52"/>
      <c r="S24" s="152"/>
      <c r="T24" s="4"/>
      <c r="U24" s="4"/>
    </row>
    <row r="25" s="2" customFormat="1" ht="12" spans="1:21">
      <c r="A25" s="40"/>
      <c r="B25" s="37"/>
      <c r="C25" s="37"/>
      <c r="D25" s="37"/>
      <c r="E25" s="41"/>
      <c r="F25" s="42"/>
      <c r="G25" s="42"/>
      <c r="H25" s="43"/>
      <c r="I25" s="52"/>
      <c r="J25" s="52"/>
      <c r="K25" s="52"/>
      <c r="L25" s="52"/>
      <c r="M25" s="52"/>
      <c r="N25" s="52"/>
      <c r="O25" s="52"/>
      <c r="P25" s="115"/>
      <c r="Q25" s="115"/>
      <c r="R25" s="52"/>
      <c r="S25" s="152"/>
      <c r="T25" s="4"/>
      <c r="U25" s="4"/>
    </row>
    <row r="26" s="1" customFormat="1" ht="24" customHeight="1" spans="1:256">
      <c r="A26" s="40"/>
      <c r="B26" s="44" t="s">
        <v>78</v>
      </c>
      <c r="C26" s="44"/>
      <c r="D26" s="44"/>
      <c r="E26" s="45">
        <v>1200</v>
      </c>
      <c r="F26" s="46"/>
      <c r="G26" s="46"/>
      <c r="H26" s="47"/>
      <c r="I26" s="116">
        <v>1200</v>
      </c>
      <c r="J26" s="116"/>
      <c r="K26" s="54">
        <v>1200</v>
      </c>
      <c r="L26" s="117">
        <v>1</v>
      </c>
      <c r="M26" s="52"/>
      <c r="N26" s="52"/>
      <c r="O26" s="37">
        <v>1200</v>
      </c>
      <c r="P26" s="118">
        <f t="shared" ref="P26:P30" si="0">O26/K26</f>
        <v>1</v>
      </c>
      <c r="Q26" s="118"/>
      <c r="R26" s="37">
        <f t="shared" ref="R26:R30" si="1">I26-O26</f>
        <v>0</v>
      </c>
      <c r="S26" s="153"/>
      <c r="T26" s="4"/>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row>
    <row r="27" s="1" customFormat="1" ht="24" customHeight="1" spans="1:256">
      <c r="A27" s="40"/>
      <c r="B27" s="48" t="s">
        <v>79</v>
      </c>
      <c r="C27" s="48"/>
      <c r="D27" s="48"/>
      <c r="E27" s="45">
        <v>1200</v>
      </c>
      <c r="F27" s="46"/>
      <c r="G27" s="46"/>
      <c r="H27" s="47"/>
      <c r="I27" s="116">
        <v>1200</v>
      </c>
      <c r="J27" s="116"/>
      <c r="K27" s="54">
        <v>1200</v>
      </c>
      <c r="L27" s="117">
        <v>1</v>
      </c>
      <c r="M27" s="52"/>
      <c r="N27" s="52"/>
      <c r="O27" s="37">
        <v>1200</v>
      </c>
      <c r="P27" s="118">
        <f t="shared" si="0"/>
        <v>1</v>
      </c>
      <c r="Q27" s="118"/>
      <c r="R27" s="37">
        <f t="shared" si="1"/>
        <v>0</v>
      </c>
      <c r="S27" s="153"/>
      <c r="T27" s="4"/>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row>
    <row r="28" s="1" customFormat="1" ht="24" customHeight="1" spans="1:256">
      <c r="A28" s="40"/>
      <c r="B28" s="48" t="s">
        <v>80</v>
      </c>
      <c r="C28" s="48"/>
      <c r="D28" s="48"/>
      <c r="E28" s="45"/>
      <c r="F28" s="46"/>
      <c r="G28" s="46"/>
      <c r="H28" s="47"/>
      <c r="I28" s="3"/>
      <c r="J28" s="116"/>
      <c r="K28" s="54"/>
      <c r="L28" s="54"/>
      <c r="M28" s="52"/>
      <c r="N28" s="52"/>
      <c r="O28" s="37"/>
      <c r="P28" s="52"/>
      <c r="Q28" s="52"/>
      <c r="R28" s="37"/>
      <c r="S28" s="153"/>
      <c r="T28" s="4"/>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row>
    <row r="29" s="1" customFormat="1" ht="24" customHeight="1" spans="1:256">
      <c r="A29" s="40"/>
      <c r="B29" s="48" t="s">
        <v>81</v>
      </c>
      <c r="C29" s="48"/>
      <c r="D29" s="48"/>
      <c r="E29" s="45"/>
      <c r="F29" s="46"/>
      <c r="G29" s="46"/>
      <c r="H29" s="47"/>
      <c r="I29" s="116"/>
      <c r="J29" s="116"/>
      <c r="K29" s="54"/>
      <c r="L29" s="116"/>
      <c r="M29" s="52"/>
      <c r="N29" s="52"/>
      <c r="O29" s="37"/>
      <c r="P29" s="52"/>
      <c r="Q29" s="52"/>
      <c r="R29" s="37"/>
      <c r="S29" s="153"/>
      <c r="T29" s="4"/>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row>
    <row r="30" s="1" customFormat="1" ht="24" customHeight="1" spans="1:256">
      <c r="A30" s="40"/>
      <c r="B30" s="48" t="s">
        <v>82</v>
      </c>
      <c r="C30" s="48"/>
      <c r="D30" s="48"/>
      <c r="E30" s="45">
        <v>1200</v>
      </c>
      <c r="F30" s="46"/>
      <c r="G30" s="46"/>
      <c r="H30" s="47"/>
      <c r="I30" s="116">
        <v>1200</v>
      </c>
      <c r="J30" s="116" t="s">
        <v>83</v>
      </c>
      <c r="K30" s="54">
        <v>1200</v>
      </c>
      <c r="L30" s="117">
        <v>1</v>
      </c>
      <c r="M30" s="52"/>
      <c r="N30" s="52"/>
      <c r="O30" s="37">
        <v>1200</v>
      </c>
      <c r="P30" s="118">
        <f t="shared" si="0"/>
        <v>1</v>
      </c>
      <c r="Q30" s="118"/>
      <c r="R30" s="37">
        <f t="shared" si="1"/>
        <v>0</v>
      </c>
      <c r="S30" s="153"/>
      <c r="T30" s="4"/>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row>
    <row r="31" s="1" customFormat="1" ht="24" customHeight="1" spans="1:256">
      <c r="A31" s="40"/>
      <c r="B31" s="48" t="s">
        <v>84</v>
      </c>
      <c r="C31" s="48"/>
      <c r="D31" s="48"/>
      <c r="E31" s="45"/>
      <c r="F31" s="46"/>
      <c r="G31" s="46"/>
      <c r="H31" s="47"/>
      <c r="I31" s="116"/>
      <c r="J31" s="116"/>
      <c r="K31" s="54"/>
      <c r="L31" s="54"/>
      <c r="M31" s="52"/>
      <c r="N31" s="52"/>
      <c r="O31" s="37"/>
      <c r="P31" s="52"/>
      <c r="Q31" s="52"/>
      <c r="R31" s="37"/>
      <c r="S31" s="153"/>
      <c r="T31" s="4"/>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row>
    <row r="32" s="1" customFormat="1" ht="24" customHeight="1" spans="1:256">
      <c r="A32" s="40"/>
      <c r="B32" s="49" t="s">
        <v>85</v>
      </c>
      <c r="C32" s="50"/>
      <c r="D32" s="51"/>
      <c r="E32" s="45"/>
      <c r="F32" s="46"/>
      <c r="G32" s="46"/>
      <c r="H32" s="47"/>
      <c r="I32" s="116"/>
      <c r="J32" s="116"/>
      <c r="K32" s="54"/>
      <c r="L32" s="54"/>
      <c r="M32" s="101"/>
      <c r="N32" s="102"/>
      <c r="O32" s="37"/>
      <c r="P32" s="101"/>
      <c r="Q32" s="102"/>
      <c r="R32" s="45"/>
      <c r="S32" s="154"/>
      <c r="T32" s="4"/>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row>
    <row r="33" s="1" customFormat="1" ht="24" customHeight="1" spans="1:256">
      <c r="A33" s="40"/>
      <c r="B33" s="52" t="s">
        <v>86</v>
      </c>
      <c r="C33" s="53"/>
      <c r="D33" s="54" t="s">
        <v>87</v>
      </c>
      <c r="E33" s="55" t="s">
        <v>88</v>
      </c>
      <c r="F33" s="55"/>
      <c r="G33" s="55"/>
      <c r="H33" s="55"/>
      <c r="I33" s="55"/>
      <c r="J33" s="55"/>
      <c r="K33" s="55"/>
      <c r="L33" s="55"/>
      <c r="M33" s="55"/>
      <c r="N33" s="55"/>
      <c r="O33" s="55"/>
      <c r="P33" s="55" t="s">
        <v>89</v>
      </c>
      <c r="Q33" s="55"/>
      <c r="R33" s="55"/>
      <c r="S33" s="155"/>
      <c r="T33" s="4"/>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c r="IV33" s="3"/>
    </row>
    <row r="34" s="1" customFormat="1" ht="24" customHeight="1" spans="1:256">
      <c r="A34" s="40"/>
      <c r="B34" s="53"/>
      <c r="C34" s="53"/>
      <c r="D34" s="52">
        <v>1</v>
      </c>
      <c r="E34" s="55" t="s">
        <v>164</v>
      </c>
      <c r="F34" s="55"/>
      <c r="G34" s="55"/>
      <c r="H34" s="55"/>
      <c r="I34" s="55"/>
      <c r="J34" s="55"/>
      <c r="K34" s="55"/>
      <c r="L34" s="55"/>
      <c r="M34" s="55"/>
      <c r="N34" s="55"/>
      <c r="O34" s="55"/>
      <c r="P34" s="55">
        <v>1200</v>
      </c>
      <c r="Q34" s="55"/>
      <c r="R34" s="55"/>
      <c r="S34" s="155"/>
      <c r="T34" s="4"/>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c r="IV34" s="3"/>
    </row>
    <row r="35" s="1" customFormat="1" ht="24" customHeight="1" spans="1:256">
      <c r="A35" s="40"/>
      <c r="B35" s="53"/>
      <c r="C35" s="53"/>
      <c r="D35" s="52">
        <v>2</v>
      </c>
      <c r="E35" s="55"/>
      <c r="F35" s="55"/>
      <c r="G35" s="55"/>
      <c r="H35" s="55"/>
      <c r="I35" s="55"/>
      <c r="J35" s="55"/>
      <c r="K35" s="55"/>
      <c r="L35" s="55"/>
      <c r="M35" s="55"/>
      <c r="N35" s="55"/>
      <c r="O35" s="55"/>
      <c r="P35" s="55"/>
      <c r="Q35" s="55"/>
      <c r="R35" s="55"/>
      <c r="S35" s="155"/>
      <c r="T35" s="4"/>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c r="IV35" s="3"/>
    </row>
    <row r="36" s="1" customFormat="1" ht="24" customHeight="1" spans="1:256">
      <c r="A36" s="56"/>
      <c r="B36" s="57"/>
      <c r="C36" s="57"/>
      <c r="D36" s="52">
        <v>3</v>
      </c>
      <c r="E36" s="55"/>
      <c r="F36" s="55"/>
      <c r="G36" s="55"/>
      <c r="H36" s="55"/>
      <c r="I36" s="55"/>
      <c r="J36" s="55"/>
      <c r="K36" s="55"/>
      <c r="L36" s="55"/>
      <c r="M36" s="55"/>
      <c r="N36" s="55"/>
      <c r="O36" s="55"/>
      <c r="P36" s="55"/>
      <c r="Q36" s="55"/>
      <c r="R36" s="55"/>
      <c r="S36" s="155"/>
      <c r="T36" s="4"/>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c r="IV36" s="3"/>
    </row>
    <row r="37" s="1" customFormat="1" ht="24" customHeight="1" spans="1:256">
      <c r="A37" s="56"/>
      <c r="B37" s="57"/>
      <c r="C37" s="57"/>
      <c r="D37" s="52">
        <v>4</v>
      </c>
      <c r="E37" s="55"/>
      <c r="F37" s="55"/>
      <c r="G37" s="55"/>
      <c r="H37" s="55"/>
      <c r="I37" s="55"/>
      <c r="J37" s="55"/>
      <c r="K37" s="55"/>
      <c r="L37" s="55"/>
      <c r="M37" s="55"/>
      <c r="N37" s="55"/>
      <c r="O37" s="55"/>
      <c r="P37" s="55"/>
      <c r="Q37" s="55"/>
      <c r="R37" s="55"/>
      <c r="S37" s="155"/>
      <c r="T37" s="4"/>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c r="IV37" s="3"/>
    </row>
    <row r="38" s="1" customFormat="1" ht="24" customHeight="1" spans="1:256">
      <c r="A38" s="56"/>
      <c r="B38" s="57"/>
      <c r="C38" s="57"/>
      <c r="D38" s="52" t="s">
        <v>93</v>
      </c>
      <c r="E38" s="55"/>
      <c r="F38" s="55"/>
      <c r="G38" s="55"/>
      <c r="H38" s="55"/>
      <c r="I38" s="55"/>
      <c r="J38" s="55"/>
      <c r="K38" s="55"/>
      <c r="L38" s="55"/>
      <c r="M38" s="55"/>
      <c r="N38" s="55"/>
      <c r="O38" s="55"/>
      <c r="P38" s="55"/>
      <c r="Q38" s="55"/>
      <c r="R38" s="55"/>
      <c r="S38" s="155"/>
      <c r="T38" s="4"/>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c r="IF38" s="3"/>
      <c r="IG38" s="3"/>
      <c r="IH38" s="3"/>
      <c r="II38" s="3"/>
      <c r="IJ38" s="3"/>
      <c r="IK38" s="3"/>
      <c r="IL38" s="3"/>
      <c r="IM38" s="3"/>
      <c r="IN38" s="3"/>
      <c r="IO38" s="3"/>
      <c r="IP38" s="3"/>
      <c r="IQ38" s="3"/>
      <c r="IR38" s="3"/>
      <c r="IS38" s="3"/>
      <c r="IT38" s="3"/>
      <c r="IU38" s="3"/>
      <c r="IV38" s="3"/>
    </row>
    <row r="39" s="1" customFormat="1" ht="24" customHeight="1" spans="1:256">
      <c r="A39" s="58"/>
      <c r="B39" s="59"/>
      <c r="C39" s="59"/>
      <c r="D39" s="3" t="s">
        <v>94</v>
      </c>
      <c r="E39" s="55"/>
      <c r="F39" s="55"/>
      <c r="G39" s="55"/>
      <c r="H39" s="55"/>
      <c r="I39" s="55"/>
      <c r="J39" s="55"/>
      <c r="K39" s="55"/>
      <c r="L39" s="55"/>
      <c r="M39" s="55"/>
      <c r="N39" s="55"/>
      <c r="O39" s="55"/>
      <c r="P39" s="55" t="s">
        <v>165</v>
      </c>
      <c r="Q39" s="55"/>
      <c r="R39" s="55"/>
      <c r="S39" s="155"/>
      <c r="T39" s="4"/>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c r="HV39" s="3"/>
      <c r="HW39" s="3"/>
      <c r="HX39" s="3"/>
      <c r="HY39" s="3"/>
      <c r="HZ39" s="3"/>
      <c r="IA39" s="3"/>
      <c r="IB39" s="3"/>
      <c r="IC39" s="3"/>
      <c r="ID39" s="3"/>
      <c r="IE39" s="3"/>
      <c r="IF39" s="3"/>
      <c r="IG39" s="3"/>
      <c r="IH39" s="3"/>
      <c r="II39" s="3"/>
      <c r="IJ39" s="3"/>
      <c r="IK39" s="3"/>
      <c r="IL39" s="3"/>
      <c r="IM39" s="3"/>
      <c r="IN39" s="3"/>
      <c r="IO39" s="3"/>
      <c r="IP39" s="3"/>
      <c r="IQ39" s="3"/>
      <c r="IR39" s="3"/>
      <c r="IS39" s="3"/>
      <c r="IT39" s="3"/>
      <c r="IU39" s="3"/>
      <c r="IV39" s="3"/>
    </row>
    <row r="40" s="1" customFormat="1" ht="41.45" customHeight="1" spans="1:256">
      <c r="A40" s="60" t="s">
        <v>95</v>
      </c>
      <c r="B40" s="9" t="s">
        <v>96</v>
      </c>
      <c r="C40" s="10"/>
      <c r="D40" s="10"/>
      <c r="E40" s="10" t="s">
        <v>97</v>
      </c>
      <c r="F40" s="10"/>
      <c r="G40" s="10"/>
      <c r="H40" s="10" t="s">
        <v>98</v>
      </c>
      <c r="I40" s="10"/>
      <c r="J40" s="10" t="s">
        <v>99</v>
      </c>
      <c r="K40" s="10"/>
      <c r="L40" s="10"/>
      <c r="M40" s="10"/>
      <c r="N40" s="10"/>
      <c r="O40" s="10"/>
      <c r="P40" s="119" t="s">
        <v>100</v>
      </c>
      <c r="Q40" s="138"/>
      <c r="R40" s="10" t="s">
        <v>101</v>
      </c>
      <c r="S40" s="156"/>
      <c r="T40" s="102"/>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c r="II40" s="3"/>
      <c r="IJ40" s="3"/>
      <c r="IK40" s="3"/>
      <c r="IL40" s="3"/>
      <c r="IM40" s="3"/>
      <c r="IN40" s="3"/>
      <c r="IO40" s="3"/>
      <c r="IP40" s="3"/>
      <c r="IQ40" s="3"/>
      <c r="IR40" s="3"/>
      <c r="IS40" s="3"/>
      <c r="IT40" s="3"/>
      <c r="IU40" s="3"/>
      <c r="IV40" s="3"/>
    </row>
    <row r="41" s="1" customFormat="1" ht="42.6" customHeight="1" spans="1:256">
      <c r="A41" s="61"/>
      <c r="B41" s="62" t="s">
        <v>102</v>
      </c>
      <c r="C41" s="63"/>
      <c r="D41" s="64"/>
      <c r="E41" s="52" t="s">
        <v>103</v>
      </c>
      <c r="F41" s="52"/>
      <c r="G41" s="52"/>
      <c r="H41" s="65" t="s">
        <v>166</v>
      </c>
      <c r="I41" s="64"/>
      <c r="J41" s="120" t="s">
        <v>167</v>
      </c>
      <c r="K41" s="120"/>
      <c r="L41" s="120"/>
      <c r="M41" s="120"/>
      <c r="N41" s="120"/>
      <c r="O41" s="120"/>
      <c r="P41" s="121">
        <v>0.1</v>
      </c>
      <c r="Q41" s="157"/>
      <c r="R41" s="22">
        <v>10</v>
      </c>
      <c r="S41" s="158"/>
      <c r="T41" s="102"/>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c r="HY41" s="3"/>
      <c r="HZ41" s="3"/>
      <c r="IA41" s="3"/>
      <c r="IB41" s="3"/>
      <c r="IC41" s="3"/>
      <c r="ID41" s="3"/>
      <c r="IE41" s="3"/>
      <c r="IF41" s="3"/>
      <c r="IG41" s="3"/>
      <c r="IH41" s="3"/>
      <c r="II41" s="3"/>
      <c r="IJ41" s="3"/>
      <c r="IK41" s="3"/>
      <c r="IL41" s="3"/>
      <c r="IM41" s="3"/>
      <c r="IN41" s="3"/>
      <c r="IO41" s="3"/>
      <c r="IP41" s="3"/>
      <c r="IQ41" s="3"/>
      <c r="IR41" s="3"/>
      <c r="IS41" s="3"/>
      <c r="IT41" s="3"/>
      <c r="IU41" s="3"/>
      <c r="IV41" s="3"/>
    </row>
    <row r="42" s="1" customFormat="1" ht="46.5" customHeight="1" spans="1:256">
      <c r="A42" s="61"/>
      <c r="B42" s="66"/>
      <c r="C42" s="67"/>
      <c r="D42" s="68"/>
      <c r="E42" s="69" t="s">
        <v>105</v>
      </c>
      <c r="F42" s="70"/>
      <c r="G42" s="71"/>
      <c r="H42" s="49" t="s">
        <v>106</v>
      </c>
      <c r="I42" s="51"/>
      <c r="J42" s="122" t="s">
        <v>168</v>
      </c>
      <c r="K42" s="123"/>
      <c r="L42" s="123"/>
      <c r="M42" s="123"/>
      <c r="N42" s="123"/>
      <c r="O42" s="124"/>
      <c r="P42" s="121">
        <v>0.1</v>
      </c>
      <c r="Q42" s="157"/>
      <c r="R42" s="25">
        <v>7</v>
      </c>
      <c r="S42" s="145"/>
      <c r="T42" s="102"/>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c r="EU42" s="3"/>
      <c r="EV42" s="3"/>
      <c r="EW42" s="3"/>
      <c r="EX42" s="3"/>
      <c r="EY42" s="3"/>
      <c r="EZ42" s="3"/>
      <c r="FA42" s="3"/>
      <c r="FB42" s="3"/>
      <c r="FC42" s="3"/>
      <c r="FD42" s="3"/>
      <c r="FE42" s="3"/>
      <c r="FF42" s="3"/>
      <c r="FG42" s="3"/>
      <c r="FH42" s="3"/>
      <c r="FI42" s="3"/>
      <c r="FJ42" s="3"/>
      <c r="FK42" s="3"/>
      <c r="FL42" s="3"/>
      <c r="FM42" s="3"/>
      <c r="FN42" s="3"/>
      <c r="FO42" s="3"/>
      <c r="FP42" s="3"/>
      <c r="FQ42" s="3"/>
      <c r="FR42" s="3"/>
      <c r="FS42" s="3"/>
      <c r="FT42" s="3"/>
      <c r="FU42" s="3"/>
      <c r="FV42" s="3"/>
      <c r="FW42" s="3"/>
      <c r="FX42" s="3"/>
      <c r="FY42" s="3"/>
      <c r="FZ42" s="3"/>
      <c r="GA42" s="3"/>
      <c r="GB42" s="3"/>
      <c r="GC42" s="3"/>
      <c r="GD42" s="3"/>
      <c r="GE42" s="3"/>
      <c r="GF42" s="3"/>
      <c r="GG42" s="3"/>
      <c r="GH42" s="3"/>
      <c r="GI42" s="3"/>
      <c r="GJ42" s="3"/>
      <c r="GK42" s="3"/>
      <c r="GL42" s="3"/>
      <c r="GM42" s="3"/>
      <c r="GN42" s="3"/>
      <c r="GO42" s="3"/>
      <c r="GP42" s="3"/>
      <c r="GQ42" s="3"/>
      <c r="GR42" s="3"/>
      <c r="GS42" s="3"/>
      <c r="GT42" s="3"/>
      <c r="GU42" s="3"/>
      <c r="GV42" s="3"/>
      <c r="GW42" s="3"/>
      <c r="GX42" s="3"/>
      <c r="GY42" s="3"/>
      <c r="GZ42" s="3"/>
      <c r="HA42" s="3"/>
      <c r="HB42" s="3"/>
      <c r="HC42" s="3"/>
      <c r="HD42" s="3"/>
      <c r="HE42" s="3"/>
      <c r="HF42" s="3"/>
      <c r="HG42" s="3"/>
      <c r="HH42" s="3"/>
      <c r="HI42" s="3"/>
      <c r="HJ42" s="3"/>
      <c r="HK42" s="3"/>
      <c r="HL42" s="3"/>
      <c r="HM42" s="3"/>
      <c r="HN42" s="3"/>
      <c r="HO42" s="3"/>
      <c r="HP42" s="3"/>
      <c r="HQ42" s="3"/>
      <c r="HR42" s="3"/>
      <c r="HS42" s="3"/>
      <c r="HT42" s="3"/>
      <c r="HU42" s="3"/>
      <c r="HV42" s="3"/>
      <c r="HW42" s="3"/>
      <c r="HX42" s="3"/>
      <c r="HY42" s="3"/>
      <c r="HZ42" s="3"/>
      <c r="IA42" s="3"/>
      <c r="IB42" s="3"/>
      <c r="IC42" s="3"/>
      <c r="ID42" s="3"/>
      <c r="IE42" s="3"/>
      <c r="IF42" s="3"/>
      <c r="IG42" s="3"/>
      <c r="IH42" s="3"/>
      <c r="II42" s="3"/>
      <c r="IJ42" s="3"/>
      <c r="IK42" s="3"/>
      <c r="IL42" s="3"/>
      <c r="IM42" s="3"/>
      <c r="IN42" s="3"/>
      <c r="IO42" s="3"/>
      <c r="IP42" s="3"/>
      <c r="IQ42" s="3"/>
      <c r="IR42" s="3"/>
      <c r="IS42" s="3"/>
      <c r="IT42" s="3"/>
      <c r="IU42" s="3"/>
      <c r="IV42" s="3"/>
    </row>
    <row r="43" s="1" customFormat="1" spans="1:256">
      <c r="A43" s="61"/>
      <c r="B43" s="66"/>
      <c r="C43" s="67"/>
      <c r="D43" s="68"/>
      <c r="E43" s="38"/>
      <c r="F43" s="4"/>
      <c r="G43" s="39"/>
      <c r="H43" s="49" t="s">
        <v>93</v>
      </c>
      <c r="I43" s="51"/>
      <c r="J43" s="122"/>
      <c r="K43" s="123"/>
      <c r="L43" s="123"/>
      <c r="M43" s="123"/>
      <c r="N43" s="123"/>
      <c r="O43" s="124"/>
      <c r="P43" s="125"/>
      <c r="Q43" s="157"/>
      <c r="R43" s="25"/>
      <c r="S43" s="145"/>
      <c r="T43" s="102"/>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c r="EU43" s="3"/>
      <c r="EV43" s="3"/>
      <c r="EW43" s="3"/>
      <c r="EX43" s="3"/>
      <c r="EY43" s="3"/>
      <c r="EZ43" s="3"/>
      <c r="FA43" s="3"/>
      <c r="FB43" s="3"/>
      <c r="FC43" s="3"/>
      <c r="FD43" s="3"/>
      <c r="FE43" s="3"/>
      <c r="FF43" s="3"/>
      <c r="FG43" s="3"/>
      <c r="FH43" s="3"/>
      <c r="FI43" s="3"/>
      <c r="FJ43" s="3"/>
      <c r="FK43" s="3"/>
      <c r="FL43" s="3"/>
      <c r="FM43" s="3"/>
      <c r="FN43" s="3"/>
      <c r="FO43" s="3"/>
      <c r="FP43" s="3"/>
      <c r="FQ43" s="3"/>
      <c r="FR43" s="3"/>
      <c r="FS43" s="3"/>
      <c r="FT43" s="3"/>
      <c r="FU43" s="3"/>
      <c r="FV43" s="3"/>
      <c r="FW43" s="3"/>
      <c r="FX43" s="3"/>
      <c r="FY43" s="3"/>
      <c r="FZ43" s="3"/>
      <c r="GA43" s="3"/>
      <c r="GB43" s="3"/>
      <c r="GC43" s="3"/>
      <c r="GD43" s="3"/>
      <c r="GE43" s="3"/>
      <c r="GF43" s="3"/>
      <c r="GG43" s="3"/>
      <c r="GH43" s="3"/>
      <c r="GI43" s="3"/>
      <c r="GJ43" s="3"/>
      <c r="GK43" s="3"/>
      <c r="GL43" s="3"/>
      <c r="GM43" s="3"/>
      <c r="GN43" s="3"/>
      <c r="GO43" s="3"/>
      <c r="GP43" s="3"/>
      <c r="GQ43" s="3"/>
      <c r="GR43" s="3"/>
      <c r="GS43" s="3"/>
      <c r="GT43" s="3"/>
      <c r="GU43" s="3"/>
      <c r="GV43" s="3"/>
      <c r="GW43" s="3"/>
      <c r="GX43" s="3"/>
      <c r="GY43" s="3"/>
      <c r="GZ43" s="3"/>
      <c r="HA43" s="3"/>
      <c r="HB43" s="3"/>
      <c r="HC43" s="3"/>
      <c r="HD43" s="3"/>
      <c r="HE43" s="3"/>
      <c r="HF43" s="3"/>
      <c r="HG43" s="3"/>
      <c r="HH43" s="3"/>
      <c r="HI43" s="3"/>
      <c r="HJ43" s="3"/>
      <c r="HK43" s="3"/>
      <c r="HL43" s="3"/>
      <c r="HM43" s="3"/>
      <c r="HN43" s="3"/>
      <c r="HO43" s="3"/>
      <c r="HP43" s="3"/>
      <c r="HQ43" s="3"/>
      <c r="HR43" s="3"/>
      <c r="HS43" s="3"/>
      <c r="HT43" s="3"/>
      <c r="HU43" s="3"/>
      <c r="HV43" s="3"/>
      <c r="HW43" s="3"/>
      <c r="HX43" s="3"/>
      <c r="HY43" s="3"/>
      <c r="HZ43" s="3"/>
      <c r="IA43" s="3"/>
      <c r="IB43" s="3"/>
      <c r="IC43" s="3"/>
      <c r="ID43" s="3"/>
      <c r="IE43" s="3"/>
      <c r="IF43" s="3"/>
      <c r="IG43" s="3"/>
      <c r="IH43" s="3"/>
      <c r="II43" s="3"/>
      <c r="IJ43" s="3"/>
      <c r="IK43" s="3"/>
      <c r="IL43" s="3"/>
      <c r="IM43" s="3"/>
      <c r="IN43" s="3"/>
      <c r="IO43" s="3"/>
      <c r="IP43" s="3"/>
      <c r="IQ43" s="3"/>
      <c r="IR43" s="3"/>
      <c r="IS43" s="3"/>
      <c r="IT43" s="3"/>
      <c r="IU43" s="3"/>
      <c r="IV43" s="3"/>
    </row>
    <row r="44" s="1" customFormat="1" ht="58.9" customHeight="1" spans="1:256">
      <c r="A44" s="61"/>
      <c r="B44" s="66"/>
      <c r="C44" s="67"/>
      <c r="D44" s="68"/>
      <c r="E44" s="69" t="s">
        <v>107</v>
      </c>
      <c r="F44" s="70"/>
      <c r="G44" s="71"/>
      <c r="H44" s="65" t="s">
        <v>108</v>
      </c>
      <c r="I44" s="64"/>
      <c r="J44" s="120" t="s">
        <v>169</v>
      </c>
      <c r="K44" s="120"/>
      <c r="L44" s="120"/>
      <c r="M44" s="120"/>
      <c r="N44" s="120"/>
      <c r="O44" s="120"/>
      <c r="P44" s="121">
        <v>0.1</v>
      </c>
      <c r="Q44" s="157"/>
      <c r="R44" s="22">
        <v>10</v>
      </c>
      <c r="S44" s="158"/>
      <c r="T44" s="102"/>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3"/>
      <c r="DG44" s="3"/>
      <c r="DH44" s="3"/>
      <c r="DI44" s="3"/>
      <c r="DJ44" s="3"/>
      <c r="DK44" s="3"/>
      <c r="DL44" s="3"/>
      <c r="DM44" s="3"/>
      <c r="DN44" s="3"/>
      <c r="DO44" s="3"/>
      <c r="DP44" s="3"/>
      <c r="DQ44" s="3"/>
      <c r="DR44" s="3"/>
      <c r="DS44" s="3"/>
      <c r="DT44" s="3"/>
      <c r="DU44" s="3"/>
      <c r="DV44" s="3"/>
      <c r="DW44" s="3"/>
      <c r="DX44" s="3"/>
      <c r="DY44" s="3"/>
      <c r="DZ44" s="3"/>
      <c r="EA44" s="3"/>
      <c r="EB44" s="3"/>
      <c r="EC44" s="3"/>
      <c r="ED44" s="3"/>
      <c r="EE44" s="3"/>
      <c r="EF44" s="3"/>
      <c r="EG44" s="3"/>
      <c r="EH44" s="3"/>
      <c r="EI44" s="3"/>
      <c r="EJ44" s="3"/>
      <c r="EK44" s="3"/>
      <c r="EL44" s="3"/>
      <c r="EM44" s="3"/>
      <c r="EN44" s="3"/>
      <c r="EO44" s="3"/>
      <c r="EP44" s="3"/>
      <c r="EQ44" s="3"/>
      <c r="ER44" s="3"/>
      <c r="ES44" s="3"/>
      <c r="ET44" s="3"/>
      <c r="EU44" s="3"/>
      <c r="EV44" s="3"/>
      <c r="EW44" s="3"/>
      <c r="EX44" s="3"/>
      <c r="EY44" s="3"/>
      <c r="EZ44" s="3"/>
      <c r="FA44" s="3"/>
      <c r="FB44" s="3"/>
      <c r="FC44" s="3"/>
      <c r="FD44" s="3"/>
      <c r="FE44" s="3"/>
      <c r="FF44" s="3"/>
      <c r="FG44" s="3"/>
      <c r="FH44" s="3"/>
      <c r="FI44" s="3"/>
      <c r="FJ44" s="3"/>
      <c r="FK44" s="3"/>
      <c r="FL44" s="3"/>
      <c r="FM44" s="3"/>
      <c r="FN44" s="3"/>
      <c r="FO44" s="3"/>
      <c r="FP44" s="3"/>
      <c r="FQ44" s="3"/>
      <c r="FR44" s="3"/>
      <c r="FS44" s="3"/>
      <c r="FT44" s="3"/>
      <c r="FU44" s="3"/>
      <c r="FV44" s="3"/>
      <c r="FW44" s="3"/>
      <c r="FX44" s="3"/>
      <c r="FY44" s="3"/>
      <c r="FZ44" s="3"/>
      <c r="GA44" s="3"/>
      <c r="GB44" s="3"/>
      <c r="GC44" s="3"/>
      <c r="GD44" s="3"/>
      <c r="GE44" s="3"/>
      <c r="GF44" s="3"/>
      <c r="GG44" s="3"/>
      <c r="GH44" s="3"/>
      <c r="GI44" s="3"/>
      <c r="GJ44" s="3"/>
      <c r="GK44" s="3"/>
      <c r="GL44" s="3"/>
      <c r="GM44" s="3"/>
      <c r="GN44" s="3"/>
      <c r="GO44" s="3"/>
      <c r="GP44" s="3"/>
      <c r="GQ44" s="3"/>
      <c r="GR44" s="3"/>
      <c r="GS44" s="3"/>
      <c r="GT44" s="3"/>
      <c r="GU44" s="3"/>
      <c r="GV44" s="3"/>
      <c r="GW44" s="3"/>
      <c r="GX44" s="3"/>
      <c r="GY44" s="3"/>
      <c r="GZ44" s="3"/>
      <c r="HA44" s="3"/>
      <c r="HB44" s="3"/>
      <c r="HC44" s="3"/>
      <c r="HD44" s="3"/>
      <c r="HE44" s="3"/>
      <c r="HF44" s="3"/>
      <c r="HG44" s="3"/>
      <c r="HH44" s="3"/>
      <c r="HI44" s="3"/>
      <c r="HJ44" s="3"/>
      <c r="HK44" s="3"/>
      <c r="HL44" s="3"/>
      <c r="HM44" s="3"/>
      <c r="HN44" s="3"/>
      <c r="HO44" s="3"/>
      <c r="HP44" s="3"/>
      <c r="HQ44" s="3"/>
      <c r="HR44" s="3"/>
      <c r="HS44" s="3"/>
      <c r="HT44" s="3"/>
      <c r="HU44" s="3"/>
      <c r="HV44" s="3"/>
      <c r="HW44" s="3"/>
      <c r="HX44" s="3"/>
      <c r="HY44" s="3"/>
      <c r="HZ44" s="3"/>
      <c r="IA44" s="3"/>
      <c r="IB44" s="3"/>
      <c r="IC44" s="3"/>
      <c r="ID44" s="3"/>
      <c r="IE44" s="3"/>
      <c r="IF44" s="3"/>
      <c r="IG44" s="3"/>
      <c r="IH44" s="3"/>
      <c r="II44" s="3"/>
      <c r="IJ44" s="3"/>
      <c r="IK44" s="3"/>
      <c r="IL44" s="3"/>
      <c r="IM44" s="3"/>
      <c r="IN44" s="3"/>
      <c r="IO44" s="3"/>
      <c r="IP44" s="3"/>
      <c r="IQ44" s="3"/>
      <c r="IR44" s="3"/>
      <c r="IS44" s="3"/>
      <c r="IT44" s="3"/>
      <c r="IU44" s="3"/>
      <c r="IV44" s="3"/>
    </row>
    <row r="45" s="1" customFormat="1" ht="15" spans="1:256">
      <c r="A45" s="61"/>
      <c r="B45" s="66"/>
      <c r="C45" s="67"/>
      <c r="D45" s="68"/>
      <c r="E45" s="38"/>
      <c r="F45" s="4"/>
      <c r="G45" s="39"/>
      <c r="H45" s="49" t="s">
        <v>93</v>
      </c>
      <c r="I45" s="51"/>
      <c r="J45" s="120"/>
      <c r="K45" s="120"/>
      <c r="L45" s="120"/>
      <c r="M45" s="120"/>
      <c r="N45" s="120"/>
      <c r="O45" s="120"/>
      <c r="P45" s="125"/>
      <c r="Q45" s="157"/>
      <c r="R45" s="22"/>
      <c r="S45" s="158"/>
      <c r="T45" s="102"/>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c r="EU45" s="3"/>
      <c r="EV45" s="3"/>
      <c r="EW45" s="3"/>
      <c r="EX45" s="3"/>
      <c r="EY45" s="3"/>
      <c r="EZ45" s="3"/>
      <c r="FA45" s="3"/>
      <c r="FB45" s="3"/>
      <c r="FC45" s="3"/>
      <c r="FD45" s="3"/>
      <c r="FE45" s="3"/>
      <c r="FF45" s="3"/>
      <c r="FG45" s="3"/>
      <c r="FH45" s="3"/>
      <c r="FI45" s="3"/>
      <c r="FJ45" s="3"/>
      <c r="FK45" s="3"/>
      <c r="FL45" s="3"/>
      <c r="FM45" s="3"/>
      <c r="FN45" s="3"/>
      <c r="FO45" s="3"/>
      <c r="FP45" s="3"/>
      <c r="FQ45" s="3"/>
      <c r="FR45" s="3"/>
      <c r="FS45" s="3"/>
      <c r="FT45" s="3"/>
      <c r="FU45" s="3"/>
      <c r="FV45" s="3"/>
      <c r="FW45" s="3"/>
      <c r="FX45" s="3"/>
      <c r="FY45" s="3"/>
      <c r="FZ45" s="3"/>
      <c r="GA45" s="3"/>
      <c r="GB45" s="3"/>
      <c r="GC45" s="3"/>
      <c r="GD45" s="3"/>
      <c r="GE45" s="3"/>
      <c r="GF45" s="3"/>
      <c r="GG45" s="3"/>
      <c r="GH45" s="3"/>
      <c r="GI45" s="3"/>
      <c r="GJ45" s="3"/>
      <c r="GK45" s="3"/>
      <c r="GL45" s="3"/>
      <c r="GM45" s="3"/>
      <c r="GN45" s="3"/>
      <c r="GO45" s="3"/>
      <c r="GP45" s="3"/>
      <c r="GQ45" s="3"/>
      <c r="GR45" s="3"/>
      <c r="GS45" s="3"/>
      <c r="GT45" s="3"/>
      <c r="GU45" s="3"/>
      <c r="GV45" s="3"/>
      <c r="GW45" s="3"/>
      <c r="GX45" s="3"/>
      <c r="GY45" s="3"/>
      <c r="GZ45" s="3"/>
      <c r="HA45" s="3"/>
      <c r="HB45" s="3"/>
      <c r="HC45" s="3"/>
      <c r="HD45" s="3"/>
      <c r="HE45" s="3"/>
      <c r="HF45" s="3"/>
      <c r="HG45" s="3"/>
      <c r="HH45" s="3"/>
      <c r="HI45" s="3"/>
      <c r="HJ45" s="3"/>
      <c r="HK45" s="3"/>
      <c r="HL45" s="3"/>
      <c r="HM45" s="3"/>
      <c r="HN45" s="3"/>
      <c r="HO45" s="3"/>
      <c r="HP45" s="3"/>
      <c r="HQ45" s="3"/>
      <c r="HR45" s="3"/>
      <c r="HS45" s="3"/>
      <c r="HT45" s="3"/>
      <c r="HU45" s="3"/>
      <c r="HV45" s="3"/>
      <c r="HW45" s="3"/>
      <c r="HX45" s="3"/>
      <c r="HY45" s="3"/>
      <c r="HZ45" s="3"/>
      <c r="IA45" s="3"/>
      <c r="IB45" s="3"/>
      <c r="IC45" s="3"/>
      <c r="ID45" s="3"/>
      <c r="IE45" s="3"/>
      <c r="IF45" s="3"/>
      <c r="IG45" s="3"/>
      <c r="IH45" s="3"/>
      <c r="II45" s="3"/>
      <c r="IJ45" s="3"/>
      <c r="IK45" s="3"/>
      <c r="IL45" s="3"/>
      <c r="IM45" s="3"/>
      <c r="IN45" s="3"/>
      <c r="IO45" s="3"/>
      <c r="IP45" s="3"/>
      <c r="IQ45" s="3"/>
      <c r="IR45" s="3"/>
      <c r="IS45" s="3"/>
      <c r="IT45" s="3"/>
      <c r="IU45" s="3"/>
      <c r="IV45" s="3"/>
    </row>
    <row r="46" s="1" customFormat="1" ht="48.6" customHeight="1" spans="1:256">
      <c r="A46" s="61"/>
      <c r="B46" s="72" t="s">
        <v>110</v>
      </c>
      <c r="C46" s="73"/>
      <c r="D46" s="74"/>
      <c r="E46" s="75" t="s">
        <v>111</v>
      </c>
      <c r="F46" s="75"/>
      <c r="G46" s="75"/>
      <c r="H46" s="76" t="s">
        <v>112</v>
      </c>
      <c r="I46" s="76"/>
      <c r="J46" s="126" t="s">
        <v>170</v>
      </c>
      <c r="K46" s="126"/>
      <c r="L46" s="126"/>
      <c r="M46" s="126"/>
      <c r="N46" s="126"/>
      <c r="O46" s="126"/>
      <c r="P46" s="127">
        <v>0.15</v>
      </c>
      <c r="Q46" s="159"/>
      <c r="R46" s="10">
        <v>15</v>
      </c>
      <c r="S46" s="142"/>
      <c r="T46" s="4"/>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c r="EU46" s="3"/>
      <c r="EV46" s="3"/>
      <c r="EW46" s="3"/>
      <c r="EX46" s="3"/>
      <c r="EY46" s="3"/>
      <c r="EZ46" s="3"/>
      <c r="FA46" s="3"/>
      <c r="FB46" s="3"/>
      <c r="FC46" s="3"/>
      <c r="FD46" s="3"/>
      <c r="FE46" s="3"/>
      <c r="FF46" s="3"/>
      <c r="FG46" s="3"/>
      <c r="FH46" s="3"/>
      <c r="FI46" s="3"/>
      <c r="FJ46" s="3"/>
      <c r="FK46" s="3"/>
      <c r="FL46" s="3"/>
      <c r="FM46" s="3"/>
      <c r="FN46" s="3"/>
      <c r="FO46" s="3"/>
      <c r="FP46" s="3"/>
      <c r="FQ46" s="3"/>
      <c r="FR46" s="3"/>
      <c r="FS46" s="3"/>
      <c r="FT46" s="3"/>
      <c r="FU46" s="3"/>
      <c r="FV46" s="3"/>
      <c r="FW46" s="3"/>
      <c r="FX46" s="3"/>
      <c r="FY46" s="3"/>
      <c r="FZ46" s="3"/>
      <c r="GA46" s="3"/>
      <c r="GB46" s="3"/>
      <c r="GC46" s="3"/>
      <c r="GD46" s="3"/>
      <c r="GE46" s="3"/>
      <c r="GF46" s="3"/>
      <c r="GG46" s="3"/>
      <c r="GH46" s="3"/>
      <c r="GI46" s="3"/>
      <c r="GJ46" s="3"/>
      <c r="GK46" s="3"/>
      <c r="GL46" s="3"/>
      <c r="GM46" s="3"/>
      <c r="GN46" s="3"/>
      <c r="GO46" s="3"/>
      <c r="GP46" s="3"/>
      <c r="GQ46" s="3"/>
      <c r="GR46" s="3"/>
      <c r="GS46" s="3"/>
      <c r="GT46" s="3"/>
      <c r="GU46" s="3"/>
      <c r="GV46" s="3"/>
      <c r="GW46" s="3"/>
      <c r="GX46" s="3"/>
      <c r="GY46" s="3"/>
      <c r="GZ46" s="3"/>
      <c r="HA46" s="3"/>
      <c r="HB46" s="3"/>
      <c r="HC46" s="3"/>
      <c r="HD46" s="3"/>
      <c r="HE46" s="3"/>
      <c r="HF46" s="3"/>
      <c r="HG46" s="3"/>
      <c r="HH46" s="3"/>
      <c r="HI46" s="3"/>
      <c r="HJ46" s="3"/>
      <c r="HK46" s="3"/>
      <c r="HL46" s="3"/>
      <c r="HM46" s="3"/>
      <c r="HN46" s="3"/>
      <c r="HO46" s="3"/>
      <c r="HP46" s="3"/>
      <c r="HQ46" s="3"/>
      <c r="HR46" s="3"/>
      <c r="HS46" s="3"/>
      <c r="HT46" s="3"/>
      <c r="HU46" s="3"/>
      <c r="HV46" s="3"/>
      <c r="HW46" s="3"/>
      <c r="HX46" s="3"/>
      <c r="HY46" s="3"/>
      <c r="HZ46" s="3"/>
      <c r="IA46" s="3"/>
      <c r="IB46" s="3"/>
      <c r="IC46" s="3"/>
      <c r="ID46" s="3"/>
      <c r="IE46" s="3"/>
      <c r="IF46" s="3"/>
      <c r="IG46" s="3"/>
      <c r="IH46" s="3"/>
      <c r="II46" s="3"/>
      <c r="IJ46" s="3"/>
      <c r="IK46" s="3"/>
      <c r="IL46" s="3"/>
      <c r="IM46" s="3"/>
      <c r="IN46" s="3"/>
      <c r="IO46" s="3"/>
      <c r="IP46" s="3"/>
      <c r="IQ46" s="3"/>
      <c r="IR46" s="3"/>
      <c r="IS46" s="3"/>
      <c r="IT46" s="3"/>
      <c r="IU46" s="3"/>
      <c r="IV46" s="3"/>
    </row>
    <row r="47" s="1" customFormat="1" spans="1:256">
      <c r="A47" s="61"/>
      <c r="B47" s="66"/>
      <c r="C47" s="67"/>
      <c r="D47" s="68"/>
      <c r="E47" s="77"/>
      <c r="F47" s="77"/>
      <c r="G47" s="77"/>
      <c r="H47" s="48" t="s">
        <v>93</v>
      </c>
      <c r="I47" s="48"/>
      <c r="J47" s="128"/>
      <c r="K47" s="128"/>
      <c r="L47" s="128"/>
      <c r="M47" s="128"/>
      <c r="N47" s="128"/>
      <c r="O47" s="128"/>
      <c r="P47" s="129"/>
      <c r="Q47" s="129"/>
      <c r="R47" s="22"/>
      <c r="S47" s="158"/>
      <c r="T47" s="4"/>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3"/>
      <c r="DG47" s="3"/>
      <c r="DH47" s="3"/>
      <c r="DI47" s="3"/>
      <c r="DJ47" s="3"/>
      <c r="DK47" s="3"/>
      <c r="DL47" s="3"/>
      <c r="DM47" s="3"/>
      <c r="DN47" s="3"/>
      <c r="DO47" s="3"/>
      <c r="DP47" s="3"/>
      <c r="DQ47" s="3"/>
      <c r="DR47" s="3"/>
      <c r="DS47" s="3"/>
      <c r="DT47" s="3"/>
      <c r="DU47" s="3"/>
      <c r="DV47" s="3"/>
      <c r="DW47" s="3"/>
      <c r="DX47" s="3"/>
      <c r="DY47" s="3"/>
      <c r="DZ47" s="3"/>
      <c r="EA47" s="3"/>
      <c r="EB47" s="3"/>
      <c r="EC47" s="3"/>
      <c r="ED47" s="3"/>
      <c r="EE47" s="3"/>
      <c r="EF47" s="3"/>
      <c r="EG47" s="3"/>
      <c r="EH47" s="3"/>
      <c r="EI47" s="3"/>
      <c r="EJ47" s="3"/>
      <c r="EK47" s="3"/>
      <c r="EL47" s="3"/>
      <c r="EM47" s="3"/>
      <c r="EN47" s="3"/>
      <c r="EO47" s="3"/>
      <c r="EP47" s="3"/>
      <c r="EQ47" s="3"/>
      <c r="ER47" s="3"/>
      <c r="ES47" s="3"/>
      <c r="ET47" s="3"/>
      <c r="EU47" s="3"/>
      <c r="EV47" s="3"/>
      <c r="EW47" s="3"/>
      <c r="EX47" s="3"/>
      <c r="EY47" s="3"/>
      <c r="EZ47" s="3"/>
      <c r="FA47" s="3"/>
      <c r="FB47" s="3"/>
      <c r="FC47" s="3"/>
      <c r="FD47" s="3"/>
      <c r="FE47" s="3"/>
      <c r="FF47" s="3"/>
      <c r="FG47" s="3"/>
      <c r="FH47" s="3"/>
      <c r="FI47" s="3"/>
      <c r="FJ47" s="3"/>
      <c r="FK47" s="3"/>
      <c r="FL47" s="3"/>
      <c r="FM47" s="3"/>
      <c r="FN47" s="3"/>
      <c r="FO47" s="3"/>
      <c r="FP47" s="3"/>
      <c r="FQ47" s="3"/>
      <c r="FR47" s="3"/>
      <c r="FS47" s="3"/>
      <c r="FT47" s="3"/>
      <c r="FU47" s="3"/>
      <c r="FV47" s="3"/>
      <c r="FW47" s="3"/>
      <c r="FX47" s="3"/>
      <c r="FY47" s="3"/>
      <c r="FZ47" s="3"/>
      <c r="GA47" s="3"/>
      <c r="GB47" s="3"/>
      <c r="GC47" s="3"/>
      <c r="GD47" s="3"/>
      <c r="GE47" s="3"/>
      <c r="GF47" s="3"/>
      <c r="GG47" s="3"/>
      <c r="GH47" s="3"/>
      <c r="GI47" s="3"/>
      <c r="GJ47" s="3"/>
      <c r="GK47" s="3"/>
      <c r="GL47" s="3"/>
      <c r="GM47" s="3"/>
      <c r="GN47" s="3"/>
      <c r="GO47" s="3"/>
      <c r="GP47" s="3"/>
      <c r="GQ47" s="3"/>
      <c r="GR47" s="3"/>
      <c r="GS47" s="3"/>
      <c r="GT47" s="3"/>
      <c r="GU47" s="3"/>
      <c r="GV47" s="3"/>
      <c r="GW47" s="3"/>
      <c r="GX47" s="3"/>
      <c r="GY47" s="3"/>
      <c r="GZ47" s="3"/>
      <c r="HA47" s="3"/>
      <c r="HB47" s="3"/>
      <c r="HC47" s="3"/>
      <c r="HD47" s="3"/>
      <c r="HE47" s="3"/>
      <c r="HF47" s="3"/>
      <c r="HG47" s="3"/>
      <c r="HH47" s="3"/>
      <c r="HI47" s="3"/>
      <c r="HJ47" s="3"/>
      <c r="HK47" s="3"/>
      <c r="HL47" s="3"/>
      <c r="HM47" s="3"/>
      <c r="HN47" s="3"/>
      <c r="HO47" s="3"/>
      <c r="HP47" s="3"/>
      <c r="HQ47" s="3"/>
      <c r="HR47" s="3"/>
      <c r="HS47" s="3"/>
      <c r="HT47" s="3"/>
      <c r="HU47" s="3"/>
      <c r="HV47" s="3"/>
      <c r="HW47" s="3"/>
      <c r="HX47" s="3"/>
      <c r="HY47" s="3"/>
      <c r="HZ47" s="3"/>
      <c r="IA47" s="3"/>
      <c r="IB47" s="3"/>
      <c r="IC47" s="3"/>
      <c r="ID47" s="3"/>
      <c r="IE47" s="3"/>
      <c r="IF47" s="3"/>
      <c r="IG47" s="3"/>
      <c r="IH47" s="3"/>
      <c r="II47" s="3"/>
      <c r="IJ47" s="3"/>
      <c r="IK47" s="3"/>
      <c r="IL47" s="3"/>
      <c r="IM47" s="3"/>
      <c r="IN47" s="3"/>
      <c r="IO47" s="3"/>
      <c r="IP47" s="3"/>
      <c r="IQ47" s="3"/>
      <c r="IR47" s="3"/>
      <c r="IS47" s="3"/>
      <c r="IT47" s="3"/>
      <c r="IU47" s="3"/>
      <c r="IV47" s="3"/>
    </row>
    <row r="48" s="1" customFormat="1" ht="68.45" customHeight="1" spans="1:20">
      <c r="A48" s="61"/>
      <c r="B48" s="78"/>
      <c r="C48" s="67"/>
      <c r="D48" s="68"/>
      <c r="E48" s="69" t="s">
        <v>113</v>
      </c>
      <c r="F48" s="70"/>
      <c r="G48" s="71"/>
      <c r="H48" s="79" t="s">
        <v>114</v>
      </c>
      <c r="I48" s="79"/>
      <c r="J48" s="128" t="s">
        <v>171</v>
      </c>
      <c r="K48" s="128"/>
      <c r="L48" s="128"/>
      <c r="M48" s="128"/>
      <c r="N48" s="128"/>
      <c r="O48" s="128"/>
      <c r="P48" s="130">
        <v>0.15</v>
      </c>
      <c r="Q48" s="129"/>
      <c r="R48" s="22">
        <v>15</v>
      </c>
      <c r="S48" s="158"/>
      <c r="T48" s="4"/>
    </row>
    <row r="49" s="1" customFormat="1" ht="15" spans="1:20">
      <c r="A49" s="61"/>
      <c r="B49" s="78"/>
      <c r="C49" s="67"/>
      <c r="D49" s="68"/>
      <c r="E49" s="80"/>
      <c r="F49" s="81"/>
      <c r="G49" s="82"/>
      <c r="H49" s="83" t="s">
        <v>93</v>
      </c>
      <c r="I49" s="131"/>
      <c r="J49" s="132"/>
      <c r="K49" s="132"/>
      <c r="L49" s="132"/>
      <c r="M49" s="132"/>
      <c r="N49" s="132"/>
      <c r="O49" s="132"/>
      <c r="P49" s="133"/>
      <c r="Q49" s="133"/>
      <c r="R49" s="160"/>
      <c r="S49" s="161"/>
      <c r="T49" s="4"/>
    </row>
    <row r="50" s="1" customFormat="1" ht="23.25" customHeight="1" spans="1:256">
      <c r="A50" s="61"/>
      <c r="B50" s="72" t="s">
        <v>116</v>
      </c>
      <c r="C50" s="73"/>
      <c r="D50" s="74"/>
      <c r="E50" s="75" t="s">
        <v>117</v>
      </c>
      <c r="F50" s="75"/>
      <c r="G50" s="75"/>
      <c r="H50" s="76" t="s">
        <v>172</v>
      </c>
      <c r="I50" s="76"/>
      <c r="J50" s="134" t="s">
        <v>173</v>
      </c>
      <c r="K50" s="134"/>
      <c r="L50" s="134"/>
      <c r="M50" s="134"/>
      <c r="N50" s="134"/>
      <c r="O50" s="134"/>
      <c r="P50" s="127">
        <v>0.08</v>
      </c>
      <c r="Q50" s="159"/>
      <c r="R50" s="10">
        <v>8</v>
      </c>
      <c r="S50" s="142"/>
      <c r="T50" s="4"/>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3"/>
      <c r="DG50" s="3"/>
      <c r="DH50" s="3"/>
      <c r="DI50" s="3"/>
      <c r="DJ50" s="3"/>
      <c r="DK50" s="3"/>
      <c r="DL50" s="3"/>
      <c r="DM50" s="3"/>
      <c r="DN50" s="3"/>
      <c r="DO50" s="3"/>
      <c r="DP50" s="3"/>
      <c r="DQ50" s="3"/>
      <c r="DR50" s="3"/>
      <c r="DS50" s="3"/>
      <c r="DT50" s="3"/>
      <c r="DU50" s="3"/>
      <c r="DV50" s="3"/>
      <c r="DW50" s="3"/>
      <c r="DX50" s="3"/>
      <c r="DY50" s="3"/>
      <c r="DZ50" s="3"/>
      <c r="EA50" s="3"/>
      <c r="EB50" s="3"/>
      <c r="EC50" s="3"/>
      <c r="ED50" s="3"/>
      <c r="EE50" s="3"/>
      <c r="EF50" s="3"/>
      <c r="EG50" s="3"/>
      <c r="EH50" s="3"/>
      <c r="EI50" s="3"/>
      <c r="EJ50" s="3"/>
      <c r="EK50" s="3"/>
      <c r="EL50" s="3"/>
      <c r="EM50" s="3"/>
      <c r="EN50" s="3"/>
      <c r="EO50" s="3"/>
      <c r="EP50" s="3"/>
      <c r="EQ50" s="3"/>
      <c r="ER50" s="3"/>
      <c r="ES50" s="3"/>
      <c r="ET50" s="3"/>
      <c r="EU50" s="3"/>
      <c r="EV50" s="3"/>
      <c r="EW50" s="3"/>
      <c r="EX50" s="3"/>
      <c r="EY50" s="3"/>
      <c r="EZ50" s="3"/>
      <c r="FA50" s="3"/>
      <c r="FB50" s="3"/>
      <c r="FC50" s="3"/>
      <c r="FD50" s="3"/>
      <c r="FE50" s="3"/>
      <c r="FF50" s="3"/>
      <c r="FG50" s="3"/>
      <c r="FH50" s="3"/>
      <c r="FI50" s="3"/>
      <c r="FJ50" s="3"/>
      <c r="FK50" s="3"/>
      <c r="FL50" s="3"/>
      <c r="FM50" s="3"/>
      <c r="FN50" s="3"/>
      <c r="FO50" s="3"/>
      <c r="FP50" s="3"/>
      <c r="FQ50" s="3"/>
      <c r="FR50" s="3"/>
      <c r="FS50" s="3"/>
      <c r="FT50" s="3"/>
      <c r="FU50" s="3"/>
      <c r="FV50" s="3"/>
      <c r="FW50" s="3"/>
      <c r="FX50" s="3"/>
      <c r="FY50" s="3"/>
      <c r="FZ50" s="3"/>
      <c r="GA50" s="3"/>
      <c r="GB50" s="3"/>
      <c r="GC50" s="3"/>
      <c r="GD50" s="3"/>
      <c r="GE50" s="3"/>
      <c r="GF50" s="3"/>
      <c r="GG50" s="3"/>
      <c r="GH50" s="3"/>
      <c r="GI50" s="3"/>
      <c r="GJ50" s="3"/>
      <c r="GK50" s="3"/>
      <c r="GL50" s="3"/>
      <c r="GM50" s="3"/>
      <c r="GN50" s="3"/>
      <c r="GO50" s="3"/>
      <c r="GP50" s="3"/>
      <c r="GQ50" s="3"/>
      <c r="GR50" s="3"/>
      <c r="GS50" s="3"/>
      <c r="GT50" s="3"/>
      <c r="GU50" s="3"/>
      <c r="GV50" s="3"/>
      <c r="GW50" s="3"/>
      <c r="GX50" s="3"/>
      <c r="GY50" s="3"/>
      <c r="GZ50" s="3"/>
      <c r="HA50" s="3"/>
      <c r="HB50" s="3"/>
      <c r="HC50" s="3"/>
      <c r="HD50" s="3"/>
      <c r="HE50" s="3"/>
      <c r="HF50" s="3"/>
      <c r="HG50" s="3"/>
      <c r="HH50" s="3"/>
      <c r="HI50" s="3"/>
      <c r="HJ50" s="3"/>
      <c r="HK50" s="3"/>
      <c r="HL50" s="3"/>
      <c r="HM50" s="3"/>
      <c r="HN50" s="3"/>
      <c r="HO50" s="3"/>
      <c r="HP50" s="3"/>
      <c r="HQ50" s="3"/>
      <c r="HR50" s="3"/>
      <c r="HS50" s="3"/>
      <c r="HT50" s="3"/>
      <c r="HU50" s="3"/>
      <c r="HV50" s="3"/>
      <c r="HW50" s="3"/>
      <c r="HX50" s="3"/>
      <c r="HY50" s="3"/>
      <c r="HZ50" s="3"/>
      <c r="IA50" s="3"/>
      <c r="IB50" s="3"/>
      <c r="IC50" s="3"/>
      <c r="ID50" s="3"/>
      <c r="IE50" s="3"/>
      <c r="IF50" s="3"/>
      <c r="IG50" s="3"/>
      <c r="IH50" s="3"/>
      <c r="II50" s="3"/>
      <c r="IJ50" s="3"/>
      <c r="IK50" s="3"/>
      <c r="IL50" s="3"/>
      <c r="IM50" s="3"/>
      <c r="IN50" s="3"/>
      <c r="IO50" s="3"/>
      <c r="IP50" s="3"/>
      <c r="IQ50" s="3"/>
      <c r="IR50" s="3"/>
      <c r="IS50" s="3"/>
      <c r="IT50" s="3"/>
      <c r="IU50" s="3"/>
      <c r="IV50" s="3"/>
    </row>
    <row r="51" s="1" customFormat="1" ht="23.25" customHeight="1" spans="1:256">
      <c r="A51" s="61"/>
      <c r="B51" s="78"/>
      <c r="C51" s="67"/>
      <c r="D51" s="68"/>
      <c r="E51" s="52" t="s">
        <v>119</v>
      </c>
      <c r="F51" s="52"/>
      <c r="G51" s="52"/>
      <c r="H51" s="48" t="s">
        <v>120</v>
      </c>
      <c r="I51" s="48"/>
      <c r="J51" s="120" t="s">
        <v>174</v>
      </c>
      <c r="K51" s="120"/>
      <c r="L51" s="120"/>
      <c r="M51" s="120"/>
      <c r="N51" s="120"/>
      <c r="O51" s="120"/>
      <c r="P51" s="135">
        <v>0.07</v>
      </c>
      <c r="Q51" s="129"/>
      <c r="R51" s="22">
        <v>7</v>
      </c>
      <c r="S51" s="158"/>
      <c r="T51" s="4"/>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c r="EU51" s="3"/>
      <c r="EV51" s="3"/>
      <c r="EW51" s="3"/>
      <c r="EX51" s="3"/>
      <c r="EY51" s="3"/>
      <c r="EZ51" s="3"/>
      <c r="FA51" s="3"/>
      <c r="FB51" s="3"/>
      <c r="FC51" s="3"/>
      <c r="FD51" s="3"/>
      <c r="FE51" s="3"/>
      <c r="FF51" s="3"/>
      <c r="FG51" s="3"/>
      <c r="FH51" s="3"/>
      <c r="FI51" s="3"/>
      <c r="FJ51" s="3"/>
      <c r="FK51" s="3"/>
      <c r="FL51" s="3"/>
      <c r="FM51" s="3"/>
      <c r="FN51" s="3"/>
      <c r="FO51" s="3"/>
      <c r="FP51" s="3"/>
      <c r="FQ51" s="3"/>
      <c r="FR51" s="3"/>
      <c r="FS51" s="3"/>
      <c r="FT51" s="3"/>
      <c r="FU51" s="3"/>
      <c r="FV51" s="3"/>
      <c r="FW51" s="3"/>
      <c r="FX51" s="3"/>
      <c r="FY51" s="3"/>
      <c r="FZ51" s="3"/>
      <c r="GA51" s="3"/>
      <c r="GB51" s="3"/>
      <c r="GC51" s="3"/>
      <c r="GD51" s="3"/>
      <c r="GE51" s="3"/>
      <c r="GF51" s="3"/>
      <c r="GG51" s="3"/>
      <c r="GH51" s="3"/>
      <c r="GI51" s="3"/>
      <c r="GJ51" s="3"/>
      <c r="GK51" s="3"/>
      <c r="GL51" s="3"/>
      <c r="GM51" s="3"/>
      <c r="GN51" s="3"/>
      <c r="GO51" s="3"/>
      <c r="GP51" s="3"/>
      <c r="GQ51" s="3"/>
      <c r="GR51" s="3"/>
      <c r="GS51" s="3"/>
      <c r="GT51" s="3"/>
      <c r="GU51" s="3"/>
      <c r="GV51" s="3"/>
      <c r="GW51" s="3"/>
      <c r="GX51" s="3"/>
      <c r="GY51" s="3"/>
      <c r="GZ51" s="3"/>
      <c r="HA51" s="3"/>
      <c r="HB51" s="3"/>
      <c r="HC51" s="3"/>
      <c r="HD51" s="3"/>
      <c r="HE51" s="3"/>
      <c r="HF51" s="3"/>
      <c r="HG51" s="3"/>
      <c r="HH51" s="3"/>
      <c r="HI51" s="3"/>
      <c r="HJ51" s="3"/>
      <c r="HK51" s="3"/>
      <c r="HL51" s="3"/>
      <c r="HM51" s="3"/>
      <c r="HN51" s="3"/>
      <c r="HO51" s="3"/>
      <c r="HP51" s="3"/>
      <c r="HQ51" s="3"/>
      <c r="HR51" s="3"/>
      <c r="HS51" s="3"/>
      <c r="HT51" s="3"/>
      <c r="HU51" s="3"/>
      <c r="HV51" s="3"/>
      <c r="HW51" s="3"/>
      <c r="HX51" s="3"/>
      <c r="HY51" s="3"/>
      <c r="HZ51" s="3"/>
      <c r="IA51" s="3"/>
      <c r="IB51" s="3"/>
      <c r="IC51" s="3"/>
      <c r="ID51" s="3"/>
      <c r="IE51" s="3"/>
      <c r="IF51" s="3"/>
      <c r="IG51" s="3"/>
      <c r="IH51" s="3"/>
      <c r="II51" s="3"/>
      <c r="IJ51" s="3"/>
      <c r="IK51" s="3"/>
      <c r="IL51" s="3"/>
      <c r="IM51" s="3"/>
      <c r="IN51" s="3"/>
      <c r="IO51" s="3"/>
      <c r="IP51" s="3"/>
      <c r="IQ51" s="3"/>
      <c r="IR51" s="3"/>
      <c r="IS51" s="3"/>
      <c r="IT51" s="3"/>
      <c r="IU51" s="3"/>
      <c r="IV51" s="3"/>
    </row>
    <row r="52" s="1" customFormat="1" ht="25.5" customHeight="1" spans="1:256">
      <c r="A52" s="61"/>
      <c r="B52" s="78"/>
      <c r="C52" s="67"/>
      <c r="D52" s="68"/>
      <c r="E52" s="52" t="s">
        <v>122</v>
      </c>
      <c r="F52" s="52"/>
      <c r="G52" s="52"/>
      <c r="H52" s="48"/>
      <c r="I52" s="48"/>
      <c r="J52" s="120"/>
      <c r="K52" s="120"/>
      <c r="L52" s="120"/>
      <c r="M52" s="120"/>
      <c r="N52" s="120"/>
      <c r="O52" s="120"/>
      <c r="P52" s="129"/>
      <c r="Q52" s="129"/>
      <c r="R52" s="22"/>
      <c r="S52" s="158"/>
      <c r="T52" s="4"/>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c r="EU52" s="3"/>
      <c r="EV52" s="3"/>
      <c r="EW52" s="3"/>
      <c r="EX52" s="3"/>
      <c r="EY52" s="3"/>
      <c r="EZ52" s="3"/>
      <c r="FA52" s="3"/>
      <c r="FB52" s="3"/>
      <c r="FC52" s="3"/>
      <c r="FD52" s="3"/>
      <c r="FE52" s="3"/>
      <c r="FF52" s="3"/>
      <c r="FG52" s="3"/>
      <c r="FH52" s="3"/>
      <c r="FI52" s="3"/>
      <c r="FJ52" s="3"/>
      <c r="FK52" s="3"/>
      <c r="FL52" s="3"/>
      <c r="FM52" s="3"/>
      <c r="FN52" s="3"/>
      <c r="FO52" s="3"/>
      <c r="FP52" s="3"/>
      <c r="FQ52" s="3"/>
      <c r="FR52" s="3"/>
      <c r="FS52" s="3"/>
      <c r="FT52" s="3"/>
      <c r="FU52" s="3"/>
      <c r="FV52" s="3"/>
      <c r="FW52" s="3"/>
      <c r="FX52" s="3"/>
      <c r="FY52" s="3"/>
      <c r="FZ52" s="3"/>
      <c r="GA52" s="3"/>
      <c r="GB52" s="3"/>
      <c r="GC52" s="3"/>
      <c r="GD52" s="3"/>
      <c r="GE52" s="3"/>
      <c r="GF52" s="3"/>
      <c r="GG52" s="3"/>
      <c r="GH52" s="3"/>
      <c r="GI52" s="3"/>
      <c r="GJ52" s="3"/>
      <c r="GK52" s="3"/>
      <c r="GL52" s="3"/>
      <c r="GM52" s="3"/>
      <c r="GN52" s="3"/>
      <c r="GO52" s="3"/>
      <c r="GP52" s="3"/>
      <c r="GQ52" s="3"/>
      <c r="GR52" s="3"/>
      <c r="GS52" s="3"/>
      <c r="GT52" s="3"/>
      <c r="GU52" s="3"/>
      <c r="GV52" s="3"/>
      <c r="GW52" s="3"/>
      <c r="GX52" s="3"/>
      <c r="GY52" s="3"/>
      <c r="GZ52" s="3"/>
      <c r="HA52" s="3"/>
      <c r="HB52" s="3"/>
      <c r="HC52" s="3"/>
      <c r="HD52" s="3"/>
      <c r="HE52" s="3"/>
      <c r="HF52" s="3"/>
      <c r="HG52" s="3"/>
      <c r="HH52" s="3"/>
      <c r="HI52" s="3"/>
      <c r="HJ52" s="3"/>
      <c r="HK52" s="3"/>
      <c r="HL52" s="3"/>
      <c r="HM52" s="3"/>
      <c r="HN52" s="3"/>
      <c r="HO52" s="3"/>
      <c r="HP52" s="3"/>
      <c r="HQ52" s="3"/>
      <c r="HR52" s="3"/>
      <c r="HS52" s="3"/>
      <c r="HT52" s="3"/>
      <c r="HU52" s="3"/>
      <c r="HV52" s="3"/>
      <c r="HW52" s="3"/>
      <c r="HX52" s="3"/>
      <c r="HY52" s="3"/>
      <c r="HZ52" s="3"/>
      <c r="IA52" s="3"/>
      <c r="IB52" s="3"/>
      <c r="IC52" s="3"/>
      <c r="ID52" s="3"/>
      <c r="IE52" s="3"/>
      <c r="IF52" s="3"/>
      <c r="IG52" s="3"/>
      <c r="IH52" s="3"/>
      <c r="II52" s="3"/>
      <c r="IJ52" s="3"/>
      <c r="IK52" s="3"/>
      <c r="IL52" s="3"/>
      <c r="IM52" s="3"/>
      <c r="IN52" s="3"/>
      <c r="IO52" s="3"/>
      <c r="IP52" s="3"/>
      <c r="IQ52" s="3"/>
      <c r="IR52" s="3"/>
      <c r="IS52" s="3"/>
      <c r="IT52" s="3"/>
      <c r="IU52" s="3"/>
      <c r="IV52" s="3"/>
    </row>
    <row r="53" s="1" customFormat="1" ht="24.75" customHeight="1" spans="1:256">
      <c r="A53" s="61"/>
      <c r="B53" s="78"/>
      <c r="C53" s="67"/>
      <c r="D53" s="68"/>
      <c r="E53" s="52" t="s">
        <v>123</v>
      </c>
      <c r="F53" s="52"/>
      <c r="G53" s="52"/>
      <c r="H53" s="48" t="s">
        <v>160</v>
      </c>
      <c r="I53" s="48"/>
      <c r="J53" s="120" t="s">
        <v>160</v>
      </c>
      <c r="K53" s="120"/>
      <c r="L53" s="120"/>
      <c r="M53" s="120"/>
      <c r="N53" s="120"/>
      <c r="O53" s="120"/>
      <c r="P53" s="135">
        <v>0.08</v>
      </c>
      <c r="Q53" s="130"/>
      <c r="R53" s="22">
        <v>5</v>
      </c>
      <c r="S53" s="158"/>
      <c r="T53" s="4"/>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3"/>
      <c r="DG53" s="3"/>
      <c r="DH53" s="3"/>
      <c r="DI53" s="3"/>
      <c r="DJ53" s="3"/>
      <c r="DK53" s="3"/>
      <c r="DL53" s="3"/>
      <c r="DM53" s="3"/>
      <c r="DN53" s="3"/>
      <c r="DO53" s="3"/>
      <c r="DP53" s="3"/>
      <c r="DQ53" s="3"/>
      <c r="DR53" s="3"/>
      <c r="DS53" s="3"/>
      <c r="DT53" s="3"/>
      <c r="DU53" s="3"/>
      <c r="DV53" s="3"/>
      <c r="DW53" s="3"/>
      <c r="DX53" s="3"/>
      <c r="DY53" s="3"/>
      <c r="DZ53" s="3"/>
      <c r="EA53" s="3"/>
      <c r="EB53" s="3"/>
      <c r="EC53" s="3"/>
      <c r="ED53" s="3"/>
      <c r="EE53" s="3"/>
      <c r="EF53" s="3"/>
      <c r="EG53" s="3"/>
      <c r="EH53" s="3"/>
      <c r="EI53" s="3"/>
      <c r="EJ53" s="3"/>
      <c r="EK53" s="3"/>
      <c r="EL53" s="3"/>
      <c r="EM53" s="3"/>
      <c r="EN53" s="3"/>
      <c r="EO53" s="3"/>
      <c r="EP53" s="3"/>
      <c r="EQ53" s="3"/>
      <c r="ER53" s="3"/>
      <c r="ES53" s="3"/>
      <c r="ET53" s="3"/>
      <c r="EU53" s="3"/>
      <c r="EV53" s="3"/>
      <c r="EW53" s="3"/>
      <c r="EX53" s="3"/>
      <c r="EY53" s="3"/>
      <c r="EZ53" s="3"/>
      <c r="FA53" s="3"/>
      <c r="FB53" s="3"/>
      <c r="FC53" s="3"/>
      <c r="FD53" s="3"/>
      <c r="FE53" s="3"/>
      <c r="FF53" s="3"/>
      <c r="FG53" s="3"/>
      <c r="FH53" s="3"/>
      <c r="FI53" s="3"/>
      <c r="FJ53" s="3"/>
      <c r="FK53" s="3"/>
      <c r="FL53" s="3"/>
      <c r="FM53" s="3"/>
      <c r="FN53" s="3"/>
      <c r="FO53" s="3"/>
      <c r="FP53" s="3"/>
      <c r="FQ53" s="3"/>
      <c r="FR53" s="3"/>
      <c r="FS53" s="3"/>
      <c r="FT53" s="3"/>
      <c r="FU53" s="3"/>
      <c r="FV53" s="3"/>
      <c r="FW53" s="3"/>
      <c r="FX53" s="3"/>
      <c r="FY53" s="3"/>
      <c r="FZ53" s="3"/>
      <c r="GA53" s="3"/>
      <c r="GB53" s="3"/>
      <c r="GC53" s="3"/>
      <c r="GD53" s="3"/>
      <c r="GE53" s="3"/>
      <c r="GF53" s="3"/>
      <c r="GG53" s="3"/>
      <c r="GH53" s="3"/>
      <c r="GI53" s="3"/>
      <c r="GJ53" s="3"/>
      <c r="GK53" s="3"/>
      <c r="GL53" s="3"/>
      <c r="GM53" s="3"/>
      <c r="GN53" s="3"/>
      <c r="GO53" s="3"/>
      <c r="GP53" s="3"/>
      <c r="GQ53" s="3"/>
      <c r="GR53" s="3"/>
      <c r="GS53" s="3"/>
      <c r="GT53" s="3"/>
      <c r="GU53" s="3"/>
      <c r="GV53" s="3"/>
      <c r="GW53" s="3"/>
      <c r="GX53" s="3"/>
      <c r="GY53" s="3"/>
      <c r="GZ53" s="3"/>
      <c r="HA53" s="3"/>
      <c r="HB53" s="3"/>
      <c r="HC53" s="3"/>
      <c r="HD53" s="3"/>
      <c r="HE53" s="3"/>
      <c r="HF53" s="3"/>
      <c r="HG53" s="3"/>
      <c r="HH53" s="3"/>
      <c r="HI53" s="3"/>
      <c r="HJ53" s="3"/>
      <c r="HK53" s="3"/>
      <c r="HL53" s="3"/>
      <c r="HM53" s="3"/>
      <c r="HN53" s="3"/>
      <c r="HO53" s="3"/>
      <c r="HP53" s="3"/>
      <c r="HQ53" s="3"/>
      <c r="HR53" s="3"/>
      <c r="HS53" s="3"/>
      <c r="HT53" s="3"/>
      <c r="HU53" s="3"/>
      <c r="HV53" s="3"/>
      <c r="HW53" s="3"/>
      <c r="HX53" s="3"/>
      <c r="HY53" s="3"/>
      <c r="HZ53" s="3"/>
      <c r="IA53" s="3"/>
      <c r="IB53" s="3"/>
      <c r="IC53" s="3"/>
      <c r="ID53" s="3"/>
      <c r="IE53" s="3"/>
      <c r="IF53" s="3"/>
      <c r="IG53" s="3"/>
      <c r="IH53" s="3"/>
      <c r="II53" s="3"/>
      <c r="IJ53" s="3"/>
      <c r="IK53" s="3"/>
      <c r="IL53" s="3"/>
      <c r="IM53" s="3"/>
      <c r="IN53" s="3"/>
      <c r="IO53" s="3"/>
      <c r="IP53" s="3"/>
      <c r="IQ53" s="3"/>
      <c r="IR53" s="3"/>
      <c r="IS53" s="3"/>
      <c r="IT53" s="3"/>
      <c r="IU53" s="3"/>
      <c r="IV53" s="3"/>
    </row>
    <row r="54" s="1" customFormat="1" ht="21" customHeight="1" spans="1:20">
      <c r="A54" s="61"/>
      <c r="B54" s="78"/>
      <c r="C54" s="67"/>
      <c r="D54" s="68"/>
      <c r="E54" s="52" t="s">
        <v>125</v>
      </c>
      <c r="F54" s="52"/>
      <c r="G54" s="52"/>
      <c r="H54" s="48" t="s">
        <v>47</v>
      </c>
      <c r="I54" s="48"/>
      <c r="J54" s="120" t="s">
        <v>47</v>
      </c>
      <c r="K54" s="120"/>
      <c r="L54" s="120"/>
      <c r="M54" s="120"/>
      <c r="N54" s="120"/>
      <c r="O54" s="120"/>
      <c r="P54" s="130">
        <v>0.07</v>
      </c>
      <c r="Q54" s="130"/>
      <c r="R54" s="22">
        <v>7</v>
      </c>
      <c r="S54" s="162"/>
      <c r="T54" s="4"/>
    </row>
    <row r="55" s="1" customFormat="1" ht="20.25" customHeight="1" spans="1:20">
      <c r="A55" s="61"/>
      <c r="B55" s="78"/>
      <c r="C55" s="67"/>
      <c r="D55" s="68"/>
      <c r="E55" s="52" t="s">
        <v>126</v>
      </c>
      <c r="F55" s="52"/>
      <c r="G55" s="52"/>
      <c r="H55" s="48"/>
      <c r="I55" s="48"/>
      <c r="J55" s="120"/>
      <c r="K55" s="120"/>
      <c r="L55" s="120"/>
      <c r="M55" s="120"/>
      <c r="N55" s="120"/>
      <c r="O55" s="120"/>
      <c r="P55" s="130"/>
      <c r="Q55" s="130"/>
      <c r="R55" s="22"/>
      <c r="S55" s="162"/>
      <c r="T55" s="4"/>
    </row>
    <row r="56" s="1" customFormat="1" ht="21" customHeight="1" spans="1:20">
      <c r="A56" s="61"/>
      <c r="B56" s="84"/>
      <c r="C56" s="85"/>
      <c r="D56" s="86"/>
      <c r="E56" s="87" t="s">
        <v>127</v>
      </c>
      <c r="F56" s="87"/>
      <c r="G56" s="87"/>
      <c r="H56" s="88" t="s">
        <v>175</v>
      </c>
      <c r="I56" s="88"/>
      <c r="J56" s="136" t="s">
        <v>176</v>
      </c>
      <c r="K56" s="136"/>
      <c r="L56" s="136"/>
      <c r="M56" s="136"/>
      <c r="N56" s="136"/>
      <c r="O56" s="136"/>
      <c r="P56" s="137" t="s">
        <v>177</v>
      </c>
      <c r="Q56" s="137"/>
      <c r="R56" s="163">
        <v>10</v>
      </c>
      <c r="S56" s="164"/>
      <c r="T56" s="4"/>
    </row>
    <row r="57" s="1" customFormat="1" ht="30" customHeight="1" spans="1:256">
      <c r="A57" s="61"/>
      <c r="B57" s="89" t="s">
        <v>128</v>
      </c>
      <c r="C57" s="90"/>
      <c r="D57" s="90"/>
      <c r="E57" s="90"/>
      <c r="F57" s="90"/>
      <c r="G57" s="90"/>
      <c r="H57" s="90"/>
      <c r="I57" s="90"/>
      <c r="J57" s="90"/>
      <c r="K57" s="90"/>
      <c r="L57" s="90"/>
      <c r="M57" s="90"/>
      <c r="N57" s="90"/>
      <c r="O57" s="138"/>
      <c r="P57" s="139">
        <v>1</v>
      </c>
      <c r="Q57" s="139"/>
      <c r="R57" s="165">
        <f>SUM(R41:S56)</f>
        <v>94</v>
      </c>
      <c r="S57" s="166"/>
      <c r="T57" s="4"/>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3"/>
      <c r="DG57" s="3"/>
      <c r="DH57" s="3"/>
      <c r="DI57" s="3"/>
      <c r="DJ57" s="3"/>
      <c r="DK57" s="3"/>
      <c r="DL57" s="3"/>
      <c r="DM57" s="3"/>
      <c r="DN57" s="3"/>
      <c r="DO57" s="3"/>
      <c r="DP57" s="3"/>
      <c r="DQ57" s="3"/>
      <c r="DR57" s="3"/>
      <c r="DS57" s="3"/>
      <c r="DT57" s="3"/>
      <c r="DU57" s="3"/>
      <c r="DV57" s="3"/>
      <c r="DW57" s="3"/>
      <c r="DX57" s="3"/>
      <c r="DY57" s="3"/>
      <c r="DZ57" s="3"/>
      <c r="EA57" s="3"/>
      <c r="EB57" s="3"/>
      <c r="EC57" s="3"/>
      <c r="ED57" s="3"/>
      <c r="EE57" s="3"/>
      <c r="EF57" s="3"/>
      <c r="EG57" s="3"/>
      <c r="EH57" s="3"/>
      <c r="EI57" s="3"/>
      <c r="EJ57" s="3"/>
      <c r="EK57" s="3"/>
      <c r="EL57" s="3"/>
      <c r="EM57" s="3"/>
      <c r="EN57" s="3"/>
      <c r="EO57" s="3"/>
      <c r="EP57" s="3"/>
      <c r="EQ57" s="3"/>
      <c r="ER57" s="3"/>
      <c r="ES57" s="3"/>
      <c r="ET57" s="3"/>
      <c r="EU57" s="3"/>
      <c r="EV57" s="3"/>
      <c r="EW57" s="3"/>
      <c r="EX57" s="3"/>
      <c r="EY57" s="3"/>
      <c r="EZ57" s="3"/>
      <c r="FA57" s="3"/>
      <c r="FB57" s="3"/>
      <c r="FC57" s="3"/>
      <c r="FD57" s="3"/>
      <c r="FE57" s="3"/>
      <c r="FF57" s="3"/>
      <c r="FG57" s="3"/>
      <c r="FH57" s="3"/>
      <c r="FI57" s="3"/>
      <c r="FJ57" s="3"/>
      <c r="FK57" s="3"/>
      <c r="FL57" s="3"/>
      <c r="FM57" s="3"/>
      <c r="FN57" s="3"/>
      <c r="FO57" s="3"/>
      <c r="FP57" s="3"/>
      <c r="FQ57" s="3"/>
      <c r="FR57" s="3"/>
      <c r="FS57" s="3"/>
      <c r="FT57" s="3"/>
      <c r="FU57" s="3"/>
      <c r="FV57" s="3"/>
      <c r="FW57" s="3"/>
      <c r="FX57" s="3"/>
      <c r="FY57" s="3"/>
      <c r="FZ57" s="3"/>
      <c r="GA57" s="3"/>
      <c r="GB57" s="3"/>
      <c r="GC57" s="3"/>
      <c r="GD57" s="3"/>
      <c r="GE57" s="3"/>
      <c r="GF57" s="3"/>
      <c r="GG57" s="3"/>
      <c r="GH57" s="3"/>
      <c r="GI57" s="3"/>
      <c r="GJ57" s="3"/>
      <c r="GK57" s="3"/>
      <c r="GL57" s="3"/>
      <c r="GM57" s="3"/>
      <c r="GN57" s="3"/>
      <c r="GO57" s="3"/>
      <c r="GP57" s="3"/>
      <c r="GQ57" s="3"/>
      <c r="GR57" s="3"/>
      <c r="GS57" s="3"/>
      <c r="GT57" s="3"/>
      <c r="GU57" s="3"/>
      <c r="GV57" s="3"/>
      <c r="GW57" s="3"/>
      <c r="GX57" s="3"/>
      <c r="GY57" s="3"/>
      <c r="GZ57" s="3"/>
      <c r="HA57" s="3"/>
      <c r="HB57" s="3"/>
      <c r="HC57" s="3"/>
      <c r="HD57" s="3"/>
      <c r="HE57" s="3"/>
      <c r="HF57" s="3"/>
      <c r="HG57" s="3"/>
      <c r="HH57" s="3"/>
      <c r="HI57" s="3"/>
      <c r="HJ57" s="3"/>
      <c r="HK57" s="3"/>
      <c r="HL57" s="3"/>
      <c r="HM57" s="3"/>
      <c r="HN57" s="3"/>
      <c r="HO57" s="3"/>
      <c r="HP57" s="3"/>
      <c r="HQ57" s="3"/>
      <c r="HR57" s="3"/>
      <c r="HS57" s="3"/>
      <c r="HT57" s="3"/>
      <c r="HU57" s="3"/>
      <c r="HV57" s="3"/>
      <c r="HW57" s="3"/>
      <c r="HX57" s="3"/>
      <c r="HY57" s="3"/>
      <c r="HZ57" s="3"/>
      <c r="IA57" s="3"/>
      <c r="IB57" s="3"/>
      <c r="IC57" s="3"/>
      <c r="ID57" s="3"/>
      <c r="IE57" s="3"/>
      <c r="IF57" s="3"/>
      <c r="IG57" s="3"/>
      <c r="IH57" s="3"/>
      <c r="II57" s="3"/>
      <c r="IJ57" s="3"/>
      <c r="IK57" s="3"/>
      <c r="IL57" s="3"/>
      <c r="IM57" s="3"/>
      <c r="IN57" s="3"/>
      <c r="IO57" s="3"/>
      <c r="IP57" s="3"/>
      <c r="IQ57" s="3"/>
      <c r="IR57" s="3"/>
      <c r="IS57" s="3"/>
      <c r="IT57" s="3"/>
      <c r="IU57" s="3"/>
      <c r="IV57" s="3"/>
    </row>
    <row r="58" s="1" customFormat="1" ht="36" customHeight="1" spans="1:256">
      <c r="A58" s="91"/>
      <c r="B58" s="92" t="s">
        <v>129</v>
      </c>
      <c r="C58" s="93" t="s">
        <v>130</v>
      </c>
      <c r="D58" s="94"/>
      <c r="E58" s="94"/>
      <c r="F58" s="94"/>
      <c r="G58" s="94"/>
      <c r="H58" s="94"/>
      <c r="I58" s="94"/>
      <c r="J58" s="94"/>
      <c r="K58" s="94"/>
      <c r="L58" s="94"/>
      <c r="M58" s="94"/>
      <c r="N58" s="94"/>
      <c r="O58" s="94"/>
      <c r="P58" s="94"/>
      <c r="Q58" s="94"/>
      <c r="R58" s="94"/>
      <c r="S58" s="167"/>
      <c r="T58" s="4"/>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c r="EU58" s="3"/>
      <c r="EV58" s="3"/>
      <c r="EW58" s="3"/>
      <c r="EX58" s="3"/>
      <c r="EY58" s="3"/>
      <c r="EZ58" s="3"/>
      <c r="FA58" s="3"/>
      <c r="FB58" s="3"/>
      <c r="FC58" s="3"/>
      <c r="FD58" s="3"/>
      <c r="FE58" s="3"/>
      <c r="FF58" s="3"/>
      <c r="FG58" s="3"/>
      <c r="FH58" s="3"/>
      <c r="FI58" s="3"/>
      <c r="FJ58" s="3"/>
      <c r="FK58" s="3"/>
      <c r="FL58" s="3"/>
      <c r="FM58" s="3"/>
      <c r="FN58" s="3"/>
      <c r="FO58" s="3"/>
      <c r="FP58" s="3"/>
      <c r="FQ58" s="3"/>
      <c r="FR58" s="3"/>
      <c r="FS58" s="3"/>
      <c r="FT58" s="3"/>
      <c r="FU58" s="3"/>
      <c r="FV58" s="3"/>
      <c r="FW58" s="3"/>
      <c r="FX58" s="3"/>
      <c r="FY58" s="3"/>
      <c r="FZ58" s="3"/>
      <c r="GA58" s="3"/>
      <c r="GB58" s="3"/>
      <c r="GC58" s="3"/>
      <c r="GD58" s="3"/>
      <c r="GE58" s="3"/>
      <c r="GF58" s="3"/>
      <c r="GG58" s="3"/>
      <c r="GH58" s="3"/>
      <c r="GI58" s="3"/>
      <c r="GJ58" s="3"/>
      <c r="GK58" s="3"/>
      <c r="GL58" s="3"/>
      <c r="GM58" s="3"/>
      <c r="GN58" s="3"/>
      <c r="GO58" s="3"/>
      <c r="GP58" s="3"/>
      <c r="GQ58" s="3"/>
      <c r="GR58" s="3"/>
      <c r="GS58" s="3"/>
      <c r="GT58" s="3"/>
      <c r="GU58" s="3"/>
      <c r="GV58" s="3"/>
      <c r="GW58" s="3"/>
      <c r="GX58" s="3"/>
      <c r="GY58" s="3"/>
      <c r="GZ58" s="3"/>
      <c r="HA58" s="3"/>
      <c r="HB58" s="3"/>
      <c r="HC58" s="3"/>
      <c r="HD58" s="3"/>
      <c r="HE58" s="3"/>
      <c r="HF58" s="3"/>
      <c r="HG58" s="3"/>
      <c r="HH58" s="3"/>
      <c r="HI58" s="3"/>
      <c r="HJ58" s="3"/>
      <c r="HK58" s="3"/>
      <c r="HL58" s="3"/>
      <c r="HM58" s="3"/>
      <c r="HN58" s="3"/>
      <c r="HO58" s="3"/>
      <c r="HP58" s="3"/>
      <c r="HQ58" s="3"/>
      <c r="HR58" s="3"/>
      <c r="HS58" s="3"/>
      <c r="HT58" s="3"/>
      <c r="HU58" s="3"/>
      <c r="HV58" s="3"/>
      <c r="HW58" s="3"/>
      <c r="HX58" s="3"/>
      <c r="HY58" s="3"/>
      <c r="HZ58" s="3"/>
      <c r="IA58" s="3"/>
      <c r="IB58" s="3"/>
      <c r="IC58" s="3"/>
      <c r="ID58" s="3"/>
      <c r="IE58" s="3"/>
      <c r="IF58" s="3"/>
      <c r="IG58" s="3"/>
      <c r="IH58" s="3"/>
      <c r="II58" s="3"/>
      <c r="IJ58" s="3"/>
      <c r="IK58" s="3"/>
      <c r="IL58" s="3"/>
      <c r="IM58" s="3"/>
      <c r="IN58" s="3"/>
      <c r="IO58" s="3"/>
      <c r="IP58" s="3"/>
      <c r="IQ58" s="3"/>
      <c r="IR58" s="3"/>
      <c r="IS58" s="3"/>
      <c r="IT58" s="3"/>
      <c r="IU58" s="3"/>
      <c r="IV58" s="3"/>
    </row>
    <row r="59" s="1" customFormat="1" ht="22.5" customHeight="1" spans="1:256">
      <c r="A59" s="60" t="s">
        <v>131</v>
      </c>
      <c r="B59" s="95" t="s">
        <v>132</v>
      </c>
      <c r="C59" s="96" t="s">
        <v>133</v>
      </c>
      <c r="D59" s="97"/>
      <c r="E59" s="98" t="s">
        <v>134</v>
      </c>
      <c r="F59" s="96"/>
      <c r="G59" s="96"/>
      <c r="H59" s="96"/>
      <c r="I59" s="96"/>
      <c r="J59" s="96"/>
      <c r="K59" s="96"/>
      <c r="L59" s="96"/>
      <c r="M59" s="96"/>
      <c r="N59" s="97"/>
      <c r="O59" s="140" t="s">
        <v>135</v>
      </c>
      <c r="P59" s="98" t="s">
        <v>136</v>
      </c>
      <c r="Q59" s="97"/>
      <c r="R59" s="98" t="s">
        <v>137</v>
      </c>
      <c r="S59" s="168"/>
      <c r="T59" s="4"/>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3"/>
      <c r="DG59" s="3"/>
      <c r="DH59" s="3"/>
      <c r="DI59" s="3"/>
      <c r="DJ59" s="3"/>
      <c r="DK59" s="3"/>
      <c r="DL59" s="3"/>
      <c r="DM59" s="3"/>
      <c r="DN59" s="3"/>
      <c r="DO59" s="3"/>
      <c r="DP59" s="3"/>
      <c r="DQ59" s="3"/>
      <c r="DR59" s="3"/>
      <c r="DS59" s="3"/>
      <c r="DT59" s="3"/>
      <c r="DU59" s="3"/>
      <c r="DV59" s="3"/>
      <c r="DW59" s="3"/>
      <c r="DX59" s="3"/>
      <c r="DY59" s="3"/>
      <c r="DZ59" s="3"/>
      <c r="EA59" s="3"/>
      <c r="EB59" s="3"/>
      <c r="EC59" s="3"/>
      <c r="ED59" s="3"/>
      <c r="EE59" s="3"/>
      <c r="EF59" s="3"/>
      <c r="EG59" s="3"/>
      <c r="EH59" s="3"/>
      <c r="EI59" s="3"/>
      <c r="EJ59" s="3"/>
      <c r="EK59" s="3"/>
      <c r="EL59" s="3"/>
      <c r="EM59" s="3"/>
      <c r="EN59" s="3"/>
      <c r="EO59" s="3"/>
      <c r="EP59" s="3"/>
      <c r="EQ59" s="3"/>
      <c r="ER59" s="3"/>
      <c r="ES59" s="3"/>
      <c r="ET59" s="3"/>
      <c r="EU59" s="3"/>
      <c r="EV59" s="3"/>
      <c r="EW59" s="3"/>
      <c r="EX59" s="3"/>
      <c r="EY59" s="3"/>
      <c r="EZ59" s="3"/>
      <c r="FA59" s="3"/>
      <c r="FB59" s="3"/>
      <c r="FC59" s="3"/>
      <c r="FD59" s="3"/>
      <c r="FE59" s="3"/>
      <c r="FF59" s="3"/>
      <c r="FG59" s="3"/>
      <c r="FH59" s="3"/>
      <c r="FI59" s="3"/>
      <c r="FJ59" s="3"/>
      <c r="FK59" s="3"/>
      <c r="FL59" s="3"/>
      <c r="FM59" s="3"/>
      <c r="FN59" s="3"/>
      <c r="FO59" s="3"/>
      <c r="FP59" s="3"/>
      <c r="FQ59" s="3"/>
      <c r="FR59" s="3"/>
      <c r="FS59" s="3"/>
      <c r="FT59" s="3"/>
      <c r="FU59" s="3"/>
      <c r="FV59" s="3"/>
      <c r="FW59" s="3"/>
      <c r="FX59" s="3"/>
      <c r="FY59" s="3"/>
      <c r="FZ59" s="3"/>
      <c r="GA59" s="3"/>
      <c r="GB59" s="3"/>
      <c r="GC59" s="3"/>
      <c r="GD59" s="3"/>
      <c r="GE59" s="3"/>
      <c r="GF59" s="3"/>
      <c r="GG59" s="3"/>
      <c r="GH59" s="3"/>
      <c r="GI59" s="3"/>
      <c r="GJ59" s="3"/>
      <c r="GK59" s="3"/>
      <c r="GL59" s="3"/>
      <c r="GM59" s="3"/>
      <c r="GN59" s="3"/>
      <c r="GO59" s="3"/>
      <c r="GP59" s="3"/>
      <c r="GQ59" s="3"/>
      <c r="GR59" s="3"/>
      <c r="GS59" s="3"/>
      <c r="GT59" s="3"/>
      <c r="GU59" s="3"/>
      <c r="GV59" s="3"/>
      <c r="GW59" s="3"/>
      <c r="GX59" s="3"/>
      <c r="GY59" s="3"/>
      <c r="GZ59" s="3"/>
      <c r="HA59" s="3"/>
      <c r="HB59" s="3"/>
      <c r="HC59" s="3"/>
      <c r="HD59" s="3"/>
      <c r="HE59" s="3"/>
      <c r="HF59" s="3"/>
      <c r="HG59" s="3"/>
      <c r="HH59" s="3"/>
      <c r="HI59" s="3"/>
      <c r="HJ59" s="3"/>
      <c r="HK59" s="3"/>
      <c r="HL59" s="3"/>
      <c r="HM59" s="3"/>
      <c r="HN59" s="3"/>
      <c r="HO59" s="3"/>
      <c r="HP59" s="3"/>
      <c r="HQ59" s="3"/>
      <c r="HR59" s="3"/>
      <c r="HS59" s="3"/>
      <c r="HT59" s="3"/>
      <c r="HU59" s="3"/>
      <c r="HV59" s="3"/>
      <c r="HW59" s="3"/>
      <c r="HX59" s="3"/>
      <c r="HY59" s="3"/>
      <c r="HZ59" s="3"/>
      <c r="IA59" s="3"/>
      <c r="IB59" s="3"/>
      <c r="IC59" s="3"/>
      <c r="ID59" s="3"/>
      <c r="IE59" s="3"/>
      <c r="IF59" s="3"/>
      <c r="IG59" s="3"/>
      <c r="IH59" s="3"/>
      <c r="II59" s="3"/>
      <c r="IJ59" s="3"/>
      <c r="IK59" s="3"/>
      <c r="IL59" s="3"/>
      <c r="IM59" s="3"/>
      <c r="IN59" s="3"/>
      <c r="IO59" s="3"/>
      <c r="IP59" s="3"/>
      <c r="IQ59" s="3"/>
      <c r="IR59" s="3"/>
      <c r="IS59" s="3"/>
      <c r="IT59" s="3"/>
      <c r="IU59" s="3"/>
      <c r="IV59" s="3"/>
    </row>
    <row r="60" s="1" customFormat="1" ht="21" customHeight="1" spans="1:256">
      <c r="A60" s="99"/>
      <c r="B60" s="100"/>
      <c r="C60" s="101"/>
      <c r="D60" s="102"/>
      <c r="E60" s="103"/>
      <c r="F60" s="104"/>
      <c r="G60" s="104"/>
      <c r="H60" s="104"/>
      <c r="I60" s="104"/>
      <c r="J60" s="104"/>
      <c r="K60" s="104"/>
      <c r="L60" s="104"/>
      <c r="M60" s="104"/>
      <c r="N60" s="141"/>
      <c r="O60" s="55"/>
      <c r="P60" s="101"/>
      <c r="Q60" s="102"/>
      <c r="R60" s="101"/>
      <c r="S60" s="169"/>
      <c r="T60" s="4"/>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3"/>
      <c r="DG60" s="3"/>
      <c r="DH60" s="3"/>
      <c r="DI60" s="3"/>
      <c r="DJ60" s="3"/>
      <c r="DK60" s="3"/>
      <c r="DL60" s="3"/>
      <c r="DM60" s="3"/>
      <c r="DN60" s="3"/>
      <c r="DO60" s="3"/>
      <c r="DP60" s="3"/>
      <c r="DQ60" s="3"/>
      <c r="DR60" s="3"/>
      <c r="DS60" s="3"/>
      <c r="DT60" s="3"/>
      <c r="DU60" s="3"/>
      <c r="DV60" s="3"/>
      <c r="DW60" s="3"/>
      <c r="DX60" s="3"/>
      <c r="DY60" s="3"/>
      <c r="DZ60" s="3"/>
      <c r="EA60" s="3"/>
      <c r="EB60" s="3"/>
      <c r="EC60" s="3"/>
      <c r="ED60" s="3"/>
      <c r="EE60" s="3"/>
      <c r="EF60" s="3"/>
      <c r="EG60" s="3"/>
      <c r="EH60" s="3"/>
      <c r="EI60" s="3"/>
      <c r="EJ60" s="3"/>
      <c r="EK60" s="3"/>
      <c r="EL60" s="3"/>
      <c r="EM60" s="3"/>
      <c r="EN60" s="3"/>
      <c r="EO60" s="3"/>
      <c r="EP60" s="3"/>
      <c r="EQ60" s="3"/>
      <c r="ER60" s="3"/>
      <c r="ES60" s="3"/>
      <c r="ET60" s="3"/>
      <c r="EU60" s="3"/>
      <c r="EV60" s="3"/>
      <c r="EW60" s="3"/>
      <c r="EX60" s="3"/>
      <c r="EY60" s="3"/>
      <c r="EZ60" s="3"/>
      <c r="FA60" s="3"/>
      <c r="FB60" s="3"/>
      <c r="FC60" s="3"/>
      <c r="FD60" s="3"/>
      <c r="FE60" s="3"/>
      <c r="FF60" s="3"/>
      <c r="FG60" s="3"/>
      <c r="FH60" s="3"/>
      <c r="FI60" s="3"/>
      <c r="FJ60" s="3"/>
      <c r="FK60" s="3"/>
      <c r="FL60" s="3"/>
      <c r="FM60" s="3"/>
      <c r="FN60" s="3"/>
      <c r="FO60" s="3"/>
      <c r="FP60" s="3"/>
      <c r="FQ60" s="3"/>
      <c r="FR60" s="3"/>
      <c r="FS60" s="3"/>
      <c r="FT60" s="3"/>
      <c r="FU60" s="3"/>
      <c r="FV60" s="3"/>
      <c r="FW60" s="3"/>
      <c r="FX60" s="3"/>
      <c r="FY60" s="3"/>
      <c r="FZ60" s="3"/>
      <c r="GA60" s="3"/>
      <c r="GB60" s="3"/>
      <c r="GC60" s="3"/>
      <c r="GD60" s="3"/>
      <c r="GE60" s="3"/>
      <c r="GF60" s="3"/>
      <c r="GG60" s="3"/>
      <c r="GH60" s="3"/>
      <c r="GI60" s="3"/>
      <c r="GJ60" s="3"/>
      <c r="GK60" s="3"/>
      <c r="GL60" s="3"/>
      <c r="GM60" s="3"/>
      <c r="GN60" s="3"/>
      <c r="GO60" s="3"/>
      <c r="GP60" s="3"/>
      <c r="GQ60" s="3"/>
      <c r="GR60" s="3"/>
      <c r="GS60" s="3"/>
      <c r="GT60" s="3"/>
      <c r="GU60" s="3"/>
      <c r="GV60" s="3"/>
      <c r="GW60" s="3"/>
      <c r="GX60" s="3"/>
      <c r="GY60" s="3"/>
      <c r="GZ60" s="3"/>
      <c r="HA60" s="3"/>
      <c r="HB60" s="3"/>
      <c r="HC60" s="3"/>
      <c r="HD60" s="3"/>
      <c r="HE60" s="3"/>
      <c r="HF60" s="3"/>
      <c r="HG60" s="3"/>
      <c r="HH60" s="3"/>
      <c r="HI60" s="3"/>
      <c r="HJ60" s="3"/>
      <c r="HK60" s="3"/>
      <c r="HL60" s="3"/>
      <c r="HM60" s="3"/>
      <c r="HN60" s="3"/>
      <c r="HO60" s="3"/>
      <c r="HP60" s="3"/>
      <c r="HQ60" s="3"/>
      <c r="HR60" s="3"/>
      <c r="HS60" s="3"/>
      <c r="HT60" s="3"/>
      <c r="HU60" s="3"/>
      <c r="HV60" s="3"/>
      <c r="HW60" s="3"/>
      <c r="HX60" s="3"/>
      <c r="HY60" s="3"/>
      <c r="HZ60" s="3"/>
      <c r="IA60" s="3"/>
      <c r="IB60" s="3"/>
      <c r="IC60" s="3"/>
      <c r="ID60" s="3"/>
      <c r="IE60" s="3"/>
      <c r="IF60" s="3"/>
      <c r="IG60" s="3"/>
      <c r="IH60" s="3"/>
      <c r="II60" s="3"/>
      <c r="IJ60" s="3"/>
      <c r="IK60" s="3"/>
      <c r="IL60" s="3"/>
      <c r="IM60" s="3"/>
      <c r="IN60" s="3"/>
      <c r="IO60" s="3"/>
      <c r="IP60" s="3"/>
      <c r="IQ60" s="3"/>
      <c r="IR60" s="3"/>
      <c r="IS60" s="3"/>
      <c r="IT60" s="3"/>
      <c r="IU60" s="3"/>
      <c r="IV60" s="3"/>
    </row>
    <row r="61" s="1" customFormat="1" ht="21" customHeight="1" spans="1:256">
      <c r="A61" s="99"/>
      <c r="B61" s="100"/>
      <c r="C61" s="101"/>
      <c r="D61" s="102"/>
      <c r="E61" s="103"/>
      <c r="F61" s="104"/>
      <c r="G61" s="104"/>
      <c r="H61" s="104"/>
      <c r="I61" s="104"/>
      <c r="J61" s="104"/>
      <c r="K61" s="104"/>
      <c r="L61" s="104"/>
      <c r="M61" s="104"/>
      <c r="N61" s="141"/>
      <c r="O61" s="55"/>
      <c r="P61" s="101"/>
      <c r="Q61" s="102"/>
      <c r="R61" s="101"/>
      <c r="S61" s="169"/>
      <c r="T61" s="4"/>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3"/>
      <c r="DG61" s="3"/>
      <c r="DH61" s="3"/>
      <c r="DI61" s="3"/>
      <c r="DJ61" s="3"/>
      <c r="DK61" s="3"/>
      <c r="DL61" s="3"/>
      <c r="DM61" s="3"/>
      <c r="DN61" s="3"/>
      <c r="DO61" s="3"/>
      <c r="DP61" s="3"/>
      <c r="DQ61" s="3"/>
      <c r="DR61" s="3"/>
      <c r="DS61" s="3"/>
      <c r="DT61" s="3"/>
      <c r="DU61" s="3"/>
      <c r="DV61" s="3"/>
      <c r="DW61" s="3"/>
      <c r="DX61" s="3"/>
      <c r="DY61" s="3"/>
      <c r="DZ61" s="3"/>
      <c r="EA61" s="3"/>
      <c r="EB61" s="3"/>
      <c r="EC61" s="3"/>
      <c r="ED61" s="3"/>
      <c r="EE61" s="3"/>
      <c r="EF61" s="3"/>
      <c r="EG61" s="3"/>
      <c r="EH61" s="3"/>
      <c r="EI61" s="3"/>
      <c r="EJ61" s="3"/>
      <c r="EK61" s="3"/>
      <c r="EL61" s="3"/>
      <c r="EM61" s="3"/>
      <c r="EN61" s="3"/>
      <c r="EO61" s="3"/>
      <c r="EP61" s="3"/>
      <c r="EQ61" s="3"/>
      <c r="ER61" s="3"/>
      <c r="ES61" s="3"/>
      <c r="ET61" s="3"/>
      <c r="EU61" s="3"/>
      <c r="EV61" s="3"/>
      <c r="EW61" s="3"/>
      <c r="EX61" s="3"/>
      <c r="EY61" s="3"/>
      <c r="EZ61" s="3"/>
      <c r="FA61" s="3"/>
      <c r="FB61" s="3"/>
      <c r="FC61" s="3"/>
      <c r="FD61" s="3"/>
      <c r="FE61" s="3"/>
      <c r="FF61" s="3"/>
      <c r="FG61" s="3"/>
      <c r="FH61" s="3"/>
      <c r="FI61" s="3"/>
      <c r="FJ61" s="3"/>
      <c r="FK61" s="3"/>
      <c r="FL61" s="3"/>
      <c r="FM61" s="3"/>
      <c r="FN61" s="3"/>
      <c r="FO61" s="3"/>
      <c r="FP61" s="3"/>
      <c r="FQ61" s="3"/>
      <c r="FR61" s="3"/>
      <c r="FS61" s="3"/>
      <c r="FT61" s="3"/>
      <c r="FU61" s="3"/>
      <c r="FV61" s="3"/>
      <c r="FW61" s="3"/>
      <c r="FX61" s="3"/>
      <c r="FY61" s="3"/>
      <c r="FZ61" s="3"/>
      <c r="GA61" s="3"/>
      <c r="GB61" s="3"/>
      <c r="GC61" s="3"/>
      <c r="GD61" s="3"/>
      <c r="GE61" s="3"/>
      <c r="GF61" s="3"/>
      <c r="GG61" s="3"/>
      <c r="GH61" s="3"/>
      <c r="GI61" s="3"/>
      <c r="GJ61" s="3"/>
      <c r="GK61" s="3"/>
      <c r="GL61" s="3"/>
      <c r="GM61" s="3"/>
      <c r="GN61" s="3"/>
      <c r="GO61" s="3"/>
      <c r="GP61" s="3"/>
      <c r="GQ61" s="3"/>
      <c r="GR61" s="3"/>
      <c r="GS61" s="3"/>
      <c r="GT61" s="3"/>
      <c r="GU61" s="3"/>
      <c r="GV61" s="3"/>
      <c r="GW61" s="3"/>
      <c r="GX61" s="3"/>
      <c r="GY61" s="3"/>
      <c r="GZ61" s="3"/>
      <c r="HA61" s="3"/>
      <c r="HB61" s="3"/>
      <c r="HC61" s="3"/>
      <c r="HD61" s="3"/>
      <c r="HE61" s="3"/>
      <c r="HF61" s="3"/>
      <c r="HG61" s="3"/>
      <c r="HH61" s="3"/>
      <c r="HI61" s="3"/>
      <c r="HJ61" s="3"/>
      <c r="HK61" s="3"/>
      <c r="HL61" s="3"/>
      <c r="HM61" s="3"/>
      <c r="HN61" s="3"/>
      <c r="HO61" s="3"/>
      <c r="HP61" s="3"/>
      <c r="HQ61" s="3"/>
      <c r="HR61" s="3"/>
      <c r="HS61" s="3"/>
      <c r="HT61" s="3"/>
      <c r="HU61" s="3"/>
      <c r="HV61" s="3"/>
      <c r="HW61" s="3"/>
      <c r="HX61" s="3"/>
      <c r="HY61" s="3"/>
      <c r="HZ61" s="3"/>
      <c r="IA61" s="3"/>
      <c r="IB61" s="3"/>
      <c r="IC61" s="3"/>
      <c r="ID61" s="3"/>
      <c r="IE61" s="3"/>
      <c r="IF61" s="3"/>
      <c r="IG61" s="3"/>
      <c r="IH61" s="3"/>
      <c r="II61" s="3"/>
      <c r="IJ61" s="3"/>
      <c r="IK61" s="3"/>
      <c r="IL61" s="3"/>
      <c r="IM61" s="3"/>
      <c r="IN61" s="3"/>
      <c r="IO61" s="3"/>
      <c r="IP61" s="3"/>
      <c r="IQ61" s="3"/>
      <c r="IR61" s="3"/>
      <c r="IS61" s="3"/>
      <c r="IT61" s="3"/>
      <c r="IU61" s="3"/>
      <c r="IV61" s="3"/>
    </row>
    <row r="62" s="1" customFormat="1" ht="21" customHeight="1" spans="1:256">
      <c r="A62" s="99"/>
      <c r="B62" s="100"/>
      <c r="C62" s="101"/>
      <c r="D62" s="102"/>
      <c r="E62" s="103"/>
      <c r="F62" s="104"/>
      <c r="G62" s="104"/>
      <c r="H62" s="104"/>
      <c r="I62" s="104"/>
      <c r="J62" s="104"/>
      <c r="K62" s="104"/>
      <c r="L62" s="104"/>
      <c r="M62" s="104"/>
      <c r="N62" s="141"/>
      <c r="O62" s="55"/>
      <c r="P62" s="101"/>
      <c r="Q62" s="102"/>
      <c r="R62" s="101"/>
      <c r="S62" s="169"/>
      <c r="T62" s="4"/>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3"/>
      <c r="DG62" s="3"/>
      <c r="DH62" s="3"/>
      <c r="DI62" s="3"/>
      <c r="DJ62" s="3"/>
      <c r="DK62" s="3"/>
      <c r="DL62" s="3"/>
      <c r="DM62" s="3"/>
      <c r="DN62" s="3"/>
      <c r="DO62" s="3"/>
      <c r="DP62" s="3"/>
      <c r="DQ62" s="3"/>
      <c r="DR62" s="3"/>
      <c r="DS62" s="3"/>
      <c r="DT62" s="3"/>
      <c r="DU62" s="3"/>
      <c r="DV62" s="3"/>
      <c r="DW62" s="3"/>
      <c r="DX62" s="3"/>
      <c r="DY62" s="3"/>
      <c r="DZ62" s="3"/>
      <c r="EA62" s="3"/>
      <c r="EB62" s="3"/>
      <c r="EC62" s="3"/>
      <c r="ED62" s="3"/>
      <c r="EE62" s="3"/>
      <c r="EF62" s="3"/>
      <c r="EG62" s="3"/>
      <c r="EH62" s="3"/>
      <c r="EI62" s="3"/>
      <c r="EJ62" s="3"/>
      <c r="EK62" s="3"/>
      <c r="EL62" s="3"/>
      <c r="EM62" s="3"/>
      <c r="EN62" s="3"/>
      <c r="EO62" s="3"/>
      <c r="EP62" s="3"/>
      <c r="EQ62" s="3"/>
      <c r="ER62" s="3"/>
      <c r="ES62" s="3"/>
      <c r="ET62" s="3"/>
      <c r="EU62" s="3"/>
      <c r="EV62" s="3"/>
      <c r="EW62" s="3"/>
      <c r="EX62" s="3"/>
      <c r="EY62" s="3"/>
      <c r="EZ62" s="3"/>
      <c r="FA62" s="3"/>
      <c r="FB62" s="3"/>
      <c r="FC62" s="3"/>
      <c r="FD62" s="3"/>
      <c r="FE62" s="3"/>
      <c r="FF62" s="3"/>
      <c r="FG62" s="3"/>
      <c r="FH62" s="3"/>
      <c r="FI62" s="3"/>
      <c r="FJ62" s="3"/>
      <c r="FK62" s="3"/>
      <c r="FL62" s="3"/>
      <c r="FM62" s="3"/>
      <c r="FN62" s="3"/>
      <c r="FO62" s="3"/>
      <c r="FP62" s="3"/>
      <c r="FQ62" s="3"/>
      <c r="FR62" s="3"/>
      <c r="FS62" s="3"/>
      <c r="FT62" s="3"/>
      <c r="FU62" s="3"/>
      <c r="FV62" s="3"/>
      <c r="FW62" s="3"/>
      <c r="FX62" s="3"/>
      <c r="FY62" s="3"/>
      <c r="FZ62" s="3"/>
      <c r="GA62" s="3"/>
      <c r="GB62" s="3"/>
      <c r="GC62" s="3"/>
      <c r="GD62" s="3"/>
      <c r="GE62" s="3"/>
      <c r="GF62" s="3"/>
      <c r="GG62" s="3"/>
      <c r="GH62" s="3"/>
      <c r="GI62" s="3"/>
      <c r="GJ62" s="3"/>
      <c r="GK62" s="3"/>
      <c r="GL62" s="3"/>
      <c r="GM62" s="3"/>
      <c r="GN62" s="3"/>
      <c r="GO62" s="3"/>
      <c r="GP62" s="3"/>
      <c r="GQ62" s="3"/>
      <c r="GR62" s="3"/>
      <c r="GS62" s="3"/>
      <c r="GT62" s="3"/>
      <c r="GU62" s="3"/>
      <c r="GV62" s="3"/>
      <c r="GW62" s="3"/>
      <c r="GX62" s="3"/>
      <c r="GY62" s="3"/>
      <c r="GZ62" s="3"/>
      <c r="HA62" s="3"/>
      <c r="HB62" s="3"/>
      <c r="HC62" s="3"/>
      <c r="HD62" s="3"/>
      <c r="HE62" s="3"/>
      <c r="HF62" s="3"/>
      <c r="HG62" s="3"/>
      <c r="HH62" s="3"/>
      <c r="HI62" s="3"/>
      <c r="HJ62" s="3"/>
      <c r="HK62" s="3"/>
      <c r="HL62" s="3"/>
      <c r="HM62" s="3"/>
      <c r="HN62" s="3"/>
      <c r="HO62" s="3"/>
      <c r="HP62" s="3"/>
      <c r="HQ62" s="3"/>
      <c r="HR62" s="3"/>
      <c r="HS62" s="3"/>
      <c r="HT62" s="3"/>
      <c r="HU62" s="3"/>
      <c r="HV62" s="3"/>
      <c r="HW62" s="3"/>
      <c r="HX62" s="3"/>
      <c r="HY62" s="3"/>
      <c r="HZ62" s="3"/>
      <c r="IA62" s="3"/>
      <c r="IB62" s="3"/>
      <c r="IC62" s="3"/>
      <c r="ID62" s="3"/>
      <c r="IE62" s="3"/>
      <c r="IF62" s="3"/>
      <c r="IG62" s="3"/>
      <c r="IH62" s="3"/>
      <c r="II62" s="3"/>
      <c r="IJ62" s="3"/>
      <c r="IK62" s="3"/>
      <c r="IL62" s="3"/>
      <c r="IM62" s="3"/>
      <c r="IN62" s="3"/>
      <c r="IO62" s="3"/>
      <c r="IP62" s="3"/>
      <c r="IQ62" s="3"/>
      <c r="IR62" s="3"/>
      <c r="IS62" s="3"/>
      <c r="IT62" s="3"/>
      <c r="IU62" s="3"/>
      <c r="IV62" s="3"/>
    </row>
    <row r="63" s="1" customFormat="1" ht="21" customHeight="1" spans="1:256">
      <c r="A63" s="99"/>
      <c r="B63" s="100"/>
      <c r="C63" s="101"/>
      <c r="D63" s="102"/>
      <c r="E63" s="103"/>
      <c r="F63" s="104"/>
      <c r="G63" s="104"/>
      <c r="H63" s="104"/>
      <c r="I63" s="104"/>
      <c r="J63" s="104"/>
      <c r="K63" s="104"/>
      <c r="L63" s="104"/>
      <c r="M63" s="104"/>
      <c r="N63" s="141"/>
      <c r="O63" s="55"/>
      <c r="P63" s="101"/>
      <c r="Q63" s="102"/>
      <c r="R63" s="101"/>
      <c r="S63" s="169"/>
      <c r="T63" s="4"/>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3"/>
      <c r="DG63" s="3"/>
      <c r="DH63" s="3"/>
      <c r="DI63" s="3"/>
      <c r="DJ63" s="3"/>
      <c r="DK63" s="3"/>
      <c r="DL63" s="3"/>
      <c r="DM63" s="3"/>
      <c r="DN63" s="3"/>
      <c r="DO63" s="3"/>
      <c r="DP63" s="3"/>
      <c r="DQ63" s="3"/>
      <c r="DR63" s="3"/>
      <c r="DS63" s="3"/>
      <c r="DT63" s="3"/>
      <c r="DU63" s="3"/>
      <c r="DV63" s="3"/>
      <c r="DW63" s="3"/>
      <c r="DX63" s="3"/>
      <c r="DY63" s="3"/>
      <c r="DZ63" s="3"/>
      <c r="EA63" s="3"/>
      <c r="EB63" s="3"/>
      <c r="EC63" s="3"/>
      <c r="ED63" s="3"/>
      <c r="EE63" s="3"/>
      <c r="EF63" s="3"/>
      <c r="EG63" s="3"/>
      <c r="EH63" s="3"/>
      <c r="EI63" s="3"/>
      <c r="EJ63" s="3"/>
      <c r="EK63" s="3"/>
      <c r="EL63" s="3"/>
      <c r="EM63" s="3"/>
      <c r="EN63" s="3"/>
      <c r="EO63" s="3"/>
      <c r="EP63" s="3"/>
      <c r="EQ63" s="3"/>
      <c r="ER63" s="3"/>
      <c r="ES63" s="3"/>
      <c r="ET63" s="3"/>
      <c r="EU63" s="3"/>
      <c r="EV63" s="3"/>
      <c r="EW63" s="3"/>
      <c r="EX63" s="3"/>
      <c r="EY63" s="3"/>
      <c r="EZ63" s="3"/>
      <c r="FA63" s="3"/>
      <c r="FB63" s="3"/>
      <c r="FC63" s="3"/>
      <c r="FD63" s="3"/>
      <c r="FE63" s="3"/>
      <c r="FF63" s="3"/>
      <c r="FG63" s="3"/>
      <c r="FH63" s="3"/>
      <c r="FI63" s="3"/>
      <c r="FJ63" s="3"/>
      <c r="FK63" s="3"/>
      <c r="FL63" s="3"/>
      <c r="FM63" s="3"/>
      <c r="FN63" s="3"/>
      <c r="FO63" s="3"/>
      <c r="FP63" s="3"/>
      <c r="FQ63" s="3"/>
      <c r="FR63" s="3"/>
      <c r="FS63" s="3"/>
      <c r="FT63" s="3"/>
      <c r="FU63" s="3"/>
      <c r="FV63" s="3"/>
      <c r="FW63" s="3"/>
      <c r="FX63" s="3"/>
      <c r="FY63" s="3"/>
      <c r="FZ63" s="3"/>
      <c r="GA63" s="3"/>
      <c r="GB63" s="3"/>
      <c r="GC63" s="3"/>
      <c r="GD63" s="3"/>
      <c r="GE63" s="3"/>
      <c r="GF63" s="3"/>
      <c r="GG63" s="3"/>
      <c r="GH63" s="3"/>
      <c r="GI63" s="3"/>
      <c r="GJ63" s="3"/>
      <c r="GK63" s="3"/>
      <c r="GL63" s="3"/>
      <c r="GM63" s="3"/>
      <c r="GN63" s="3"/>
      <c r="GO63" s="3"/>
      <c r="GP63" s="3"/>
      <c r="GQ63" s="3"/>
      <c r="GR63" s="3"/>
      <c r="GS63" s="3"/>
      <c r="GT63" s="3"/>
      <c r="GU63" s="3"/>
      <c r="GV63" s="3"/>
      <c r="GW63" s="3"/>
      <c r="GX63" s="3"/>
      <c r="GY63" s="3"/>
      <c r="GZ63" s="3"/>
      <c r="HA63" s="3"/>
      <c r="HB63" s="3"/>
      <c r="HC63" s="3"/>
      <c r="HD63" s="3"/>
      <c r="HE63" s="3"/>
      <c r="HF63" s="3"/>
      <c r="HG63" s="3"/>
      <c r="HH63" s="3"/>
      <c r="HI63" s="3"/>
      <c r="HJ63" s="3"/>
      <c r="HK63" s="3"/>
      <c r="HL63" s="3"/>
      <c r="HM63" s="3"/>
      <c r="HN63" s="3"/>
      <c r="HO63" s="3"/>
      <c r="HP63" s="3"/>
      <c r="HQ63" s="3"/>
      <c r="HR63" s="3"/>
      <c r="HS63" s="3"/>
      <c r="HT63" s="3"/>
      <c r="HU63" s="3"/>
      <c r="HV63" s="3"/>
      <c r="HW63" s="3"/>
      <c r="HX63" s="3"/>
      <c r="HY63" s="3"/>
      <c r="HZ63" s="3"/>
      <c r="IA63" s="3"/>
      <c r="IB63" s="3"/>
      <c r="IC63" s="3"/>
      <c r="ID63" s="3"/>
      <c r="IE63" s="3"/>
      <c r="IF63" s="3"/>
      <c r="IG63" s="3"/>
      <c r="IH63" s="3"/>
      <c r="II63" s="3"/>
      <c r="IJ63" s="3"/>
      <c r="IK63" s="3"/>
      <c r="IL63" s="3"/>
      <c r="IM63" s="3"/>
      <c r="IN63" s="3"/>
      <c r="IO63" s="3"/>
      <c r="IP63" s="3"/>
      <c r="IQ63" s="3"/>
      <c r="IR63" s="3"/>
      <c r="IS63" s="3"/>
      <c r="IT63" s="3"/>
      <c r="IU63" s="3"/>
      <c r="IV63" s="3"/>
    </row>
    <row r="64" s="1" customFormat="1" ht="21" customHeight="1" spans="1:256">
      <c r="A64" s="99"/>
      <c r="B64" s="100"/>
      <c r="C64" s="101"/>
      <c r="D64" s="102"/>
      <c r="E64" s="103"/>
      <c r="F64" s="104"/>
      <c r="G64" s="104"/>
      <c r="H64" s="104"/>
      <c r="I64" s="104"/>
      <c r="J64" s="104"/>
      <c r="K64" s="104"/>
      <c r="L64" s="104"/>
      <c r="M64" s="104"/>
      <c r="N64" s="141"/>
      <c r="O64" s="55"/>
      <c r="P64" s="101"/>
      <c r="Q64" s="102"/>
      <c r="R64" s="101"/>
      <c r="S64" s="169"/>
      <c r="T64" s="4"/>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c r="EU64" s="3"/>
      <c r="EV64" s="3"/>
      <c r="EW64" s="3"/>
      <c r="EX64" s="3"/>
      <c r="EY64" s="3"/>
      <c r="EZ64" s="3"/>
      <c r="FA64" s="3"/>
      <c r="FB64" s="3"/>
      <c r="FC64" s="3"/>
      <c r="FD64" s="3"/>
      <c r="FE64" s="3"/>
      <c r="FF64" s="3"/>
      <c r="FG64" s="3"/>
      <c r="FH64" s="3"/>
      <c r="FI64" s="3"/>
      <c r="FJ64" s="3"/>
      <c r="FK64" s="3"/>
      <c r="FL64" s="3"/>
      <c r="FM64" s="3"/>
      <c r="FN64" s="3"/>
      <c r="FO64" s="3"/>
      <c r="FP64" s="3"/>
      <c r="FQ64" s="3"/>
      <c r="FR64" s="3"/>
      <c r="FS64" s="3"/>
      <c r="FT64" s="3"/>
      <c r="FU64" s="3"/>
      <c r="FV64" s="3"/>
      <c r="FW64" s="3"/>
      <c r="FX64" s="3"/>
      <c r="FY64" s="3"/>
      <c r="FZ64" s="3"/>
      <c r="GA64" s="3"/>
      <c r="GB64" s="3"/>
      <c r="GC64" s="3"/>
      <c r="GD64" s="3"/>
      <c r="GE64" s="3"/>
      <c r="GF64" s="3"/>
      <c r="GG64" s="3"/>
      <c r="GH64" s="3"/>
      <c r="GI64" s="3"/>
      <c r="GJ64" s="3"/>
      <c r="GK64" s="3"/>
      <c r="GL64" s="3"/>
      <c r="GM64" s="3"/>
      <c r="GN64" s="3"/>
      <c r="GO64" s="3"/>
      <c r="GP64" s="3"/>
      <c r="GQ64" s="3"/>
      <c r="GR64" s="3"/>
      <c r="GS64" s="3"/>
      <c r="GT64" s="3"/>
      <c r="GU64" s="3"/>
      <c r="GV64" s="3"/>
      <c r="GW64" s="3"/>
      <c r="GX64" s="3"/>
      <c r="GY64" s="3"/>
      <c r="GZ64" s="3"/>
      <c r="HA64" s="3"/>
      <c r="HB64" s="3"/>
      <c r="HC64" s="3"/>
      <c r="HD64" s="3"/>
      <c r="HE64" s="3"/>
      <c r="HF64" s="3"/>
      <c r="HG64" s="3"/>
      <c r="HH64" s="3"/>
      <c r="HI64" s="3"/>
      <c r="HJ64" s="3"/>
      <c r="HK64" s="3"/>
      <c r="HL64" s="3"/>
      <c r="HM64" s="3"/>
      <c r="HN64" s="3"/>
      <c r="HO64" s="3"/>
      <c r="HP64" s="3"/>
      <c r="HQ64" s="3"/>
      <c r="HR64" s="3"/>
      <c r="HS64" s="3"/>
      <c r="HT64" s="3"/>
      <c r="HU64" s="3"/>
      <c r="HV64" s="3"/>
      <c r="HW64" s="3"/>
      <c r="HX64" s="3"/>
      <c r="HY64" s="3"/>
      <c r="HZ64" s="3"/>
      <c r="IA64" s="3"/>
      <c r="IB64" s="3"/>
      <c r="IC64" s="3"/>
      <c r="ID64" s="3"/>
      <c r="IE64" s="3"/>
      <c r="IF64" s="3"/>
      <c r="IG64" s="3"/>
      <c r="IH64" s="3"/>
      <c r="II64" s="3"/>
      <c r="IJ64" s="3"/>
      <c r="IK64" s="3"/>
      <c r="IL64" s="3"/>
      <c r="IM64" s="3"/>
      <c r="IN64" s="3"/>
      <c r="IO64" s="3"/>
      <c r="IP64" s="3"/>
      <c r="IQ64" s="3"/>
      <c r="IR64" s="3"/>
      <c r="IS64" s="3"/>
      <c r="IT64" s="3"/>
      <c r="IU64" s="3"/>
      <c r="IV64" s="3"/>
    </row>
    <row r="65" s="1" customFormat="1" ht="105.75" customHeight="1" spans="1:256">
      <c r="A65" s="99"/>
      <c r="B65" s="100"/>
      <c r="C65" s="170" t="s">
        <v>138</v>
      </c>
      <c r="D65" s="171"/>
      <c r="E65" s="171"/>
      <c r="F65" s="171"/>
      <c r="G65" s="171"/>
      <c r="H65" s="171"/>
      <c r="I65" s="171"/>
      <c r="J65" s="171"/>
      <c r="K65" s="171"/>
      <c r="L65" s="171"/>
      <c r="M65" s="171"/>
      <c r="N65" s="171"/>
      <c r="O65" s="171"/>
      <c r="P65" s="171"/>
      <c r="Q65" s="171"/>
      <c r="R65" s="171"/>
      <c r="S65" s="192"/>
      <c r="T65" s="4"/>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3"/>
      <c r="DG65" s="3"/>
      <c r="DH65" s="3"/>
      <c r="DI65" s="3"/>
      <c r="DJ65" s="3"/>
      <c r="DK65" s="3"/>
      <c r="DL65" s="3"/>
      <c r="DM65" s="3"/>
      <c r="DN65" s="3"/>
      <c r="DO65" s="3"/>
      <c r="DP65" s="3"/>
      <c r="DQ65" s="3"/>
      <c r="DR65" s="3"/>
      <c r="DS65" s="3"/>
      <c r="DT65" s="3"/>
      <c r="DU65" s="3"/>
      <c r="DV65" s="3"/>
      <c r="DW65" s="3"/>
      <c r="DX65" s="3"/>
      <c r="DY65" s="3"/>
      <c r="DZ65" s="3"/>
      <c r="EA65" s="3"/>
      <c r="EB65" s="3"/>
      <c r="EC65" s="3"/>
      <c r="ED65" s="3"/>
      <c r="EE65" s="3"/>
      <c r="EF65" s="3"/>
      <c r="EG65" s="3"/>
      <c r="EH65" s="3"/>
      <c r="EI65" s="3"/>
      <c r="EJ65" s="3"/>
      <c r="EK65" s="3"/>
      <c r="EL65" s="3"/>
      <c r="EM65" s="3"/>
      <c r="EN65" s="3"/>
      <c r="EO65" s="3"/>
      <c r="EP65" s="3"/>
      <c r="EQ65" s="3"/>
      <c r="ER65" s="3"/>
      <c r="ES65" s="3"/>
      <c r="ET65" s="3"/>
      <c r="EU65" s="3"/>
      <c r="EV65" s="3"/>
      <c r="EW65" s="3"/>
      <c r="EX65" s="3"/>
      <c r="EY65" s="3"/>
      <c r="EZ65" s="3"/>
      <c r="FA65" s="3"/>
      <c r="FB65" s="3"/>
      <c r="FC65" s="3"/>
      <c r="FD65" s="3"/>
      <c r="FE65" s="3"/>
      <c r="FF65" s="3"/>
      <c r="FG65" s="3"/>
      <c r="FH65" s="3"/>
      <c r="FI65" s="3"/>
      <c r="FJ65" s="3"/>
      <c r="FK65" s="3"/>
      <c r="FL65" s="3"/>
      <c r="FM65" s="3"/>
      <c r="FN65" s="3"/>
      <c r="FO65" s="3"/>
      <c r="FP65" s="3"/>
      <c r="FQ65" s="3"/>
      <c r="FR65" s="3"/>
      <c r="FS65" s="3"/>
      <c r="FT65" s="3"/>
      <c r="FU65" s="3"/>
      <c r="FV65" s="3"/>
      <c r="FW65" s="3"/>
      <c r="FX65" s="3"/>
      <c r="FY65" s="3"/>
      <c r="FZ65" s="3"/>
      <c r="GA65" s="3"/>
      <c r="GB65" s="3"/>
      <c r="GC65" s="3"/>
      <c r="GD65" s="3"/>
      <c r="GE65" s="3"/>
      <c r="GF65" s="3"/>
      <c r="GG65" s="3"/>
      <c r="GH65" s="3"/>
      <c r="GI65" s="3"/>
      <c r="GJ65" s="3"/>
      <c r="GK65" s="3"/>
      <c r="GL65" s="3"/>
      <c r="GM65" s="3"/>
      <c r="GN65" s="3"/>
      <c r="GO65" s="3"/>
      <c r="GP65" s="3"/>
      <c r="GQ65" s="3"/>
      <c r="GR65" s="3"/>
      <c r="GS65" s="3"/>
      <c r="GT65" s="3"/>
      <c r="GU65" s="3"/>
      <c r="GV65" s="3"/>
      <c r="GW65" s="3"/>
      <c r="GX65" s="3"/>
      <c r="GY65" s="3"/>
      <c r="GZ65" s="3"/>
      <c r="HA65" s="3"/>
      <c r="HB65" s="3"/>
      <c r="HC65" s="3"/>
      <c r="HD65" s="3"/>
      <c r="HE65" s="3"/>
      <c r="HF65" s="3"/>
      <c r="HG65" s="3"/>
      <c r="HH65" s="3"/>
      <c r="HI65" s="3"/>
      <c r="HJ65" s="3"/>
      <c r="HK65" s="3"/>
      <c r="HL65" s="3"/>
      <c r="HM65" s="3"/>
      <c r="HN65" s="3"/>
      <c r="HO65" s="3"/>
      <c r="HP65" s="3"/>
      <c r="HQ65" s="3"/>
      <c r="HR65" s="3"/>
      <c r="HS65" s="3"/>
      <c r="HT65" s="3"/>
      <c r="HU65" s="3"/>
      <c r="HV65" s="3"/>
      <c r="HW65" s="3"/>
      <c r="HX65" s="3"/>
      <c r="HY65" s="3"/>
      <c r="HZ65" s="3"/>
      <c r="IA65" s="3"/>
      <c r="IB65" s="3"/>
      <c r="IC65" s="3"/>
      <c r="ID65" s="3"/>
      <c r="IE65" s="3"/>
      <c r="IF65" s="3"/>
      <c r="IG65" s="3"/>
      <c r="IH65" s="3"/>
      <c r="II65" s="3"/>
      <c r="IJ65" s="3"/>
      <c r="IK65" s="3"/>
      <c r="IL65" s="3"/>
      <c r="IM65" s="3"/>
      <c r="IN65" s="3"/>
      <c r="IO65" s="3"/>
      <c r="IP65" s="3"/>
      <c r="IQ65" s="3"/>
      <c r="IR65" s="3"/>
      <c r="IS65" s="3"/>
      <c r="IT65" s="3"/>
      <c r="IU65" s="3"/>
      <c r="IV65" s="3"/>
    </row>
    <row r="66" s="1" customFormat="1" ht="27" customHeight="1" spans="1:256">
      <c r="A66" s="99"/>
      <c r="B66" s="172"/>
      <c r="C66" s="173" t="s">
        <v>139</v>
      </c>
      <c r="D66" s="174"/>
      <c r="E66" s="174"/>
      <c r="F66" s="174"/>
      <c r="G66" s="174"/>
      <c r="H66" s="174"/>
      <c r="I66" s="174"/>
      <c r="J66" s="174"/>
      <c r="K66" s="174"/>
      <c r="L66" s="174"/>
      <c r="M66" s="174"/>
      <c r="N66" s="174"/>
      <c r="O66" s="174"/>
      <c r="P66" s="174"/>
      <c r="Q66" s="174"/>
      <c r="R66" s="174"/>
      <c r="S66" s="193"/>
      <c r="T66" s="4"/>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3"/>
      <c r="DG66" s="3"/>
      <c r="DH66" s="3"/>
      <c r="DI66" s="3"/>
      <c r="DJ66" s="3"/>
      <c r="DK66" s="3"/>
      <c r="DL66" s="3"/>
      <c r="DM66" s="3"/>
      <c r="DN66" s="3"/>
      <c r="DO66" s="3"/>
      <c r="DP66" s="3"/>
      <c r="DQ66" s="3"/>
      <c r="DR66" s="3"/>
      <c r="DS66" s="3"/>
      <c r="DT66" s="3"/>
      <c r="DU66" s="3"/>
      <c r="DV66" s="3"/>
      <c r="DW66" s="3"/>
      <c r="DX66" s="3"/>
      <c r="DY66" s="3"/>
      <c r="DZ66" s="3"/>
      <c r="EA66" s="3"/>
      <c r="EB66" s="3"/>
      <c r="EC66" s="3"/>
      <c r="ED66" s="3"/>
      <c r="EE66" s="3"/>
      <c r="EF66" s="3"/>
      <c r="EG66" s="3"/>
      <c r="EH66" s="3"/>
      <c r="EI66" s="3"/>
      <c r="EJ66" s="3"/>
      <c r="EK66" s="3"/>
      <c r="EL66" s="3"/>
      <c r="EM66" s="3"/>
      <c r="EN66" s="3"/>
      <c r="EO66" s="3"/>
      <c r="EP66" s="3"/>
      <c r="EQ66" s="3"/>
      <c r="ER66" s="3"/>
      <c r="ES66" s="3"/>
      <c r="ET66" s="3"/>
      <c r="EU66" s="3"/>
      <c r="EV66" s="3"/>
      <c r="EW66" s="3"/>
      <c r="EX66" s="3"/>
      <c r="EY66" s="3"/>
      <c r="EZ66" s="3"/>
      <c r="FA66" s="3"/>
      <c r="FB66" s="3"/>
      <c r="FC66" s="3"/>
      <c r="FD66" s="3"/>
      <c r="FE66" s="3"/>
      <c r="FF66" s="3"/>
      <c r="FG66" s="3"/>
      <c r="FH66" s="3"/>
      <c r="FI66" s="3"/>
      <c r="FJ66" s="3"/>
      <c r="FK66" s="3"/>
      <c r="FL66" s="3"/>
      <c r="FM66" s="3"/>
      <c r="FN66" s="3"/>
      <c r="FO66" s="3"/>
      <c r="FP66" s="3"/>
      <c r="FQ66" s="3"/>
      <c r="FR66" s="3"/>
      <c r="FS66" s="3"/>
      <c r="FT66" s="3"/>
      <c r="FU66" s="3"/>
      <c r="FV66" s="3"/>
      <c r="FW66" s="3"/>
      <c r="FX66" s="3"/>
      <c r="FY66" s="3"/>
      <c r="FZ66" s="3"/>
      <c r="GA66" s="3"/>
      <c r="GB66" s="3"/>
      <c r="GC66" s="3"/>
      <c r="GD66" s="3"/>
      <c r="GE66" s="3"/>
      <c r="GF66" s="3"/>
      <c r="GG66" s="3"/>
      <c r="GH66" s="3"/>
      <c r="GI66" s="3"/>
      <c r="GJ66" s="3"/>
      <c r="GK66" s="3"/>
      <c r="GL66" s="3"/>
      <c r="GM66" s="3"/>
      <c r="GN66" s="3"/>
      <c r="GO66" s="3"/>
      <c r="GP66" s="3"/>
      <c r="GQ66" s="3"/>
      <c r="GR66" s="3"/>
      <c r="GS66" s="3"/>
      <c r="GT66" s="3"/>
      <c r="GU66" s="3"/>
      <c r="GV66" s="3"/>
      <c r="GW66" s="3"/>
      <c r="GX66" s="3"/>
      <c r="GY66" s="3"/>
      <c r="GZ66" s="3"/>
      <c r="HA66" s="3"/>
      <c r="HB66" s="3"/>
      <c r="HC66" s="3"/>
      <c r="HD66" s="3"/>
      <c r="HE66" s="3"/>
      <c r="HF66" s="3"/>
      <c r="HG66" s="3"/>
      <c r="HH66" s="3"/>
      <c r="HI66" s="3"/>
      <c r="HJ66" s="3"/>
      <c r="HK66" s="3"/>
      <c r="HL66" s="3"/>
      <c r="HM66" s="3"/>
      <c r="HN66" s="3"/>
      <c r="HO66" s="3"/>
      <c r="HP66" s="3"/>
      <c r="HQ66" s="3"/>
      <c r="HR66" s="3"/>
      <c r="HS66" s="3"/>
      <c r="HT66" s="3"/>
      <c r="HU66" s="3"/>
      <c r="HV66" s="3"/>
      <c r="HW66" s="3"/>
      <c r="HX66" s="3"/>
      <c r="HY66" s="3"/>
      <c r="HZ66" s="3"/>
      <c r="IA66" s="3"/>
      <c r="IB66" s="3"/>
      <c r="IC66" s="3"/>
      <c r="ID66" s="3"/>
      <c r="IE66" s="3"/>
      <c r="IF66" s="3"/>
      <c r="IG66" s="3"/>
      <c r="IH66" s="3"/>
      <c r="II66" s="3"/>
      <c r="IJ66" s="3"/>
      <c r="IK66" s="3"/>
      <c r="IL66" s="3"/>
      <c r="IM66" s="3"/>
      <c r="IN66" s="3"/>
      <c r="IO66" s="3"/>
      <c r="IP66" s="3"/>
      <c r="IQ66" s="3"/>
      <c r="IR66" s="3"/>
      <c r="IS66" s="3"/>
      <c r="IT66" s="3"/>
      <c r="IU66" s="3"/>
      <c r="IV66" s="3"/>
    </row>
    <row r="67" s="1" customFormat="1" ht="48.75" customHeight="1" spans="1:256">
      <c r="A67" s="99"/>
      <c r="B67" s="95" t="s">
        <v>140</v>
      </c>
      <c r="C67" s="175" t="s">
        <v>141</v>
      </c>
      <c r="D67" s="176"/>
      <c r="E67" s="176"/>
      <c r="F67" s="176"/>
      <c r="G67" s="176"/>
      <c r="H67" s="176"/>
      <c r="I67" s="176"/>
      <c r="J67" s="176"/>
      <c r="K67" s="176"/>
      <c r="L67" s="176"/>
      <c r="M67" s="176"/>
      <c r="N67" s="176"/>
      <c r="O67" s="176"/>
      <c r="P67" s="176"/>
      <c r="Q67" s="176"/>
      <c r="R67" s="176"/>
      <c r="S67" s="194"/>
      <c r="T67" s="4"/>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3"/>
      <c r="DG67" s="3"/>
      <c r="DH67" s="3"/>
      <c r="DI67" s="3"/>
      <c r="DJ67" s="3"/>
      <c r="DK67" s="3"/>
      <c r="DL67" s="3"/>
      <c r="DM67" s="3"/>
      <c r="DN67" s="3"/>
      <c r="DO67" s="3"/>
      <c r="DP67" s="3"/>
      <c r="DQ67" s="3"/>
      <c r="DR67" s="3"/>
      <c r="DS67" s="3"/>
      <c r="DT67" s="3"/>
      <c r="DU67" s="3"/>
      <c r="DV67" s="3"/>
      <c r="DW67" s="3"/>
      <c r="DX67" s="3"/>
      <c r="DY67" s="3"/>
      <c r="DZ67" s="3"/>
      <c r="EA67" s="3"/>
      <c r="EB67" s="3"/>
      <c r="EC67" s="3"/>
      <c r="ED67" s="3"/>
      <c r="EE67" s="3"/>
      <c r="EF67" s="3"/>
      <c r="EG67" s="3"/>
      <c r="EH67" s="3"/>
      <c r="EI67" s="3"/>
      <c r="EJ67" s="3"/>
      <c r="EK67" s="3"/>
      <c r="EL67" s="3"/>
      <c r="EM67" s="3"/>
      <c r="EN67" s="3"/>
      <c r="EO67" s="3"/>
      <c r="EP67" s="3"/>
      <c r="EQ67" s="3"/>
      <c r="ER67" s="3"/>
      <c r="ES67" s="3"/>
      <c r="ET67" s="3"/>
      <c r="EU67" s="3"/>
      <c r="EV67" s="3"/>
      <c r="EW67" s="3"/>
      <c r="EX67" s="3"/>
      <c r="EY67" s="3"/>
      <c r="EZ67" s="3"/>
      <c r="FA67" s="3"/>
      <c r="FB67" s="3"/>
      <c r="FC67" s="3"/>
      <c r="FD67" s="3"/>
      <c r="FE67" s="3"/>
      <c r="FF67" s="3"/>
      <c r="FG67" s="3"/>
      <c r="FH67" s="3"/>
      <c r="FI67" s="3"/>
      <c r="FJ67" s="3"/>
      <c r="FK67" s="3"/>
      <c r="FL67" s="3"/>
      <c r="FM67" s="3"/>
      <c r="FN67" s="3"/>
      <c r="FO67" s="3"/>
      <c r="FP67" s="3"/>
      <c r="FQ67" s="3"/>
      <c r="FR67" s="3"/>
      <c r="FS67" s="3"/>
      <c r="FT67" s="3"/>
      <c r="FU67" s="3"/>
      <c r="FV67" s="3"/>
      <c r="FW67" s="3"/>
      <c r="FX67" s="3"/>
      <c r="FY67" s="3"/>
      <c r="FZ67" s="3"/>
      <c r="GA67" s="3"/>
      <c r="GB67" s="3"/>
      <c r="GC67" s="3"/>
      <c r="GD67" s="3"/>
      <c r="GE67" s="3"/>
      <c r="GF67" s="3"/>
      <c r="GG67" s="3"/>
      <c r="GH67" s="3"/>
      <c r="GI67" s="3"/>
      <c r="GJ67" s="3"/>
      <c r="GK67" s="3"/>
      <c r="GL67" s="3"/>
      <c r="GM67" s="3"/>
      <c r="GN67" s="3"/>
      <c r="GO67" s="3"/>
      <c r="GP67" s="3"/>
      <c r="GQ67" s="3"/>
      <c r="GR67" s="3"/>
      <c r="GS67" s="3"/>
      <c r="GT67" s="3"/>
      <c r="GU67" s="3"/>
      <c r="GV67" s="3"/>
      <c r="GW67" s="3"/>
      <c r="GX67" s="3"/>
      <c r="GY67" s="3"/>
      <c r="GZ67" s="3"/>
      <c r="HA67" s="3"/>
      <c r="HB67" s="3"/>
      <c r="HC67" s="3"/>
      <c r="HD67" s="3"/>
      <c r="HE67" s="3"/>
      <c r="HF67" s="3"/>
      <c r="HG67" s="3"/>
      <c r="HH67" s="3"/>
      <c r="HI67" s="3"/>
      <c r="HJ67" s="3"/>
      <c r="HK67" s="3"/>
      <c r="HL67" s="3"/>
      <c r="HM67" s="3"/>
      <c r="HN67" s="3"/>
      <c r="HO67" s="3"/>
      <c r="HP67" s="3"/>
      <c r="HQ67" s="3"/>
      <c r="HR67" s="3"/>
      <c r="HS67" s="3"/>
      <c r="HT67" s="3"/>
      <c r="HU67" s="3"/>
      <c r="HV67" s="3"/>
      <c r="HW67" s="3"/>
      <c r="HX67" s="3"/>
      <c r="HY67" s="3"/>
      <c r="HZ67" s="3"/>
      <c r="IA67" s="3"/>
      <c r="IB67" s="3"/>
      <c r="IC67" s="3"/>
      <c r="ID67" s="3"/>
      <c r="IE67" s="3"/>
      <c r="IF67" s="3"/>
      <c r="IG67" s="3"/>
      <c r="IH67" s="3"/>
      <c r="II67" s="3"/>
      <c r="IJ67" s="3"/>
      <c r="IK67" s="3"/>
      <c r="IL67" s="3"/>
      <c r="IM67" s="3"/>
      <c r="IN67" s="3"/>
      <c r="IO67" s="3"/>
      <c r="IP67" s="3"/>
      <c r="IQ67" s="3"/>
      <c r="IR67" s="3"/>
      <c r="IS67" s="3"/>
      <c r="IT67" s="3"/>
      <c r="IU67" s="3"/>
      <c r="IV67" s="3"/>
    </row>
    <row r="68" s="1" customFormat="1" ht="55.5" customHeight="1" spans="1:256">
      <c r="A68" s="99"/>
      <c r="B68" s="177"/>
      <c r="C68" s="178" t="s">
        <v>142</v>
      </c>
      <c r="D68" s="179"/>
      <c r="E68" s="179"/>
      <c r="F68" s="179"/>
      <c r="G68" s="179"/>
      <c r="H68" s="179"/>
      <c r="I68" s="179"/>
      <c r="J68" s="179"/>
      <c r="K68" s="179"/>
      <c r="L68" s="179"/>
      <c r="M68" s="179"/>
      <c r="N68" s="179"/>
      <c r="O68" s="179"/>
      <c r="P68" s="179"/>
      <c r="Q68" s="179"/>
      <c r="R68" s="179"/>
      <c r="S68" s="195"/>
      <c r="T68" s="4"/>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3"/>
      <c r="DG68" s="3"/>
      <c r="DH68" s="3"/>
      <c r="DI68" s="3"/>
      <c r="DJ68" s="3"/>
      <c r="DK68" s="3"/>
      <c r="DL68" s="3"/>
      <c r="DM68" s="3"/>
      <c r="DN68" s="3"/>
      <c r="DO68" s="3"/>
      <c r="DP68" s="3"/>
      <c r="DQ68" s="3"/>
      <c r="DR68" s="3"/>
      <c r="DS68" s="3"/>
      <c r="DT68" s="3"/>
      <c r="DU68" s="3"/>
      <c r="DV68" s="3"/>
      <c r="DW68" s="3"/>
      <c r="DX68" s="3"/>
      <c r="DY68" s="3"/>
      <c r="DZ68" s="3"/>
      <c r="EA68" s="3"/>
      <c r="EB68" s="3"/>
      <c r="EC68" s="3"/>
      <c r="ED68" s="3"/>
      <c r="EE68" s="3"/>
      <c r="EF68" s="3"/>
      <c r="EG68" s="3"/>
      <c r="EH68" s="3"/>
      <c r="EI68" s="3"/>
      <c r="EJ68" s="3"/>
      <c r="EK68" s="3"/>
      <c r="EL68" s="3"/>
      <c r="EM68" s="3"/>
      <c r="EN68" s="3"/>
      <c r="EO68" s="3"/>
      <c r="EP68" s="3"/>
      <c r="EQ68" s="3"/>
      <c r="ER68" s="3"/>
      <c r="ES68" s="3"/>
      <c r="ET68" s="3"/>
      <c r="EU68" s="3"/>
      <c r="EV68" s="3"/>
      <c r="EW68" s="3"/>
      <c r="EX68" s="3"/>
      <c r="EY68" s="3"/>
      <c r="EZ68" s="3"/>
      <c r="FA68" s="3"/>
      <c r="FB68" s="3"/>
      <c r="FC68" s="3"/>
      <c r="FD68" s="3"/>
      <c r="FE68" s="3"/>
      <c r="FF68" s="3"/>
      <c r="FG68" s="3"/>
      <c r="FH68" s="3"/>
      <c r="FI68" s="3"/>
      <c r="FJ68" s="3"/>
      <c r="FK68" s="3"/>
      <c r="FL68" s="3"/>
      <c r="FM68" s="3"/>
      <c r="FN68" s="3"/>
      <c r="FO68" s="3"/>
      <c r="FP68" s="3"/>
      <c r="FQ68" s="3"/>
      <c r="FR68" s="3"/>
      <c r="FS68" s="3"/>
      <c r="FT68" s="3"/>
      <c r="FU68" s="3"/>
      <c r="FV68" s="3"/>
      <c r="FW68" s="3"/>
      <c r="FX68" s="3"/>
      <c r="FY68" s="3"/>
      <c r="FZ68" s="3"/>
      <c r="GA68" s="3"/>
      <c r="GB68" s="3"/>
      <c r="GC68" s="3"/>
      <c r="GD68" s="3"/>
      <c r="GE68" s="3"/>
      <c r="GF68" s="3"/>
      <c r="GG68" s="3"/>
      <c r="GH68" s="3"/>
      <c r="GI68" s="3"/>
      <c r="GJ68" s="3"/>
      <c r="GK68" s="3"/>
      <c r="GL68" s="3"/>
      <c r="GM68" s="3"/>
      <c r="GN68" s="3"/>
      <c r="GO68" s="3"/>
      <c r="GP68" s="3"/>
      <c r="GQ68" s="3"/>
      <c r="GR68" s="3"/>
      <c r="GS68" s="3"/>
      <c r="GT68" s="3"/>
      <c r="GU68" s="3"/>
      <c r="GV68" s="3"/>
      <c r="GW68" s="3"/>
      <c r="GX68" s="3"/>
      <c r="GY68" s="3"/>
      <c r="GZ68" s="3"/>
      <c r="HA68" s="3"/>
      <c r="HB68" s="3"/>
      <c r="HC68" s="3"/>
      <c r="HD68" s="3"/>
      <c r="HE68" s="3"/>
      <c r="HF68" s="3"/>
      <c r="HG68" s="3"/>
      <c r="HH68" s="3"/>
      <c r="HI68" s="3"/>
      <c r="HJ68" s="3"/>
      <c r="HK68" s="3"/>
      <c r="HL68" s="3"/>
      <c r="HM68" s="3"/>
      <c r="HN68" s="3"/>
      <c r="HO68" s="3"/>
      <c r="HP68" s="3"/>
      <c r="HQ68" s="3"/>
      <c r="HR68" s="3"/>
      <c r="HS68" s="3"/>
      <c r="HT68" s="3"/>
      <c r="HU68" s="3"/>
      <c r="HV68" s="3"/>
      <c r="HW68" s="3"/>
      <c r="HX68" s="3"/>
      <c r="HY68" s="3"/>
      <c r="HZ68" s="3"/>
      <c r="IA68" s="3"/>
      <c r="IB68" s="3"/>
      <c r="IC68" s="3"/>
      <c r="ID68" s="3"/>
      <c r="IE68" s="3"/>
      <c r="IF68" s="3"/>
      <c r="IG68" s="3"/>
      <c r="IH68" s="3"/>
      <c r="II68" s="3"/>
      <c r="IJ68" s="3"/>
      <c r="IK68" s="3"/>
      <c r="IL68" s="3"/>
      <c r="IM68" s="3"/>
      <c r="IN68" s="3"/>
      <c r="IO68" s="3"/>
      <c r="IP68" s="3"/>
      <c r="IQ68" s="3"/>
      <c r="IR68" s="3"/>
      <c r="IS68" s="3"/>
      <c r="IT68" s="3"/>
      <c r="IU68" s="3"/>
      <c r="IV68" s="3"/>
    </row>
    <row r="69" s="1" customFormat="1" ht="104.25" customHeight="1" spans="1:256">
      <c r="A69" s="99"/>
      <c r="B69" s="177"/>
      <c r="C69" s="170" t="s">
        <v>143</v>
      </c>
      <c r="D69" s="171"/>
      <c r="E69" s="171"/>
      <c r="F69" s="171"/>
      <c r="G69" s="171"/>
      <c r="H69" s="171"/>
      <c r="I69" s="171"/>
      <c r="J69" s="171"/>
      <c r="K69" s="171"/>
      <c r="L69" s="171"/>
      <c r="M69" s="171"/>
      <c r="N69" s="171"/>
      <c r="O69" s="171"/>
      <c r="P69" s="171"/>
      <c r="Q69" s="171"/>
      <c r="R69" s="171"/>
      <c r="S69" s="192"/>
      <c r="T69" s="4"/>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3"/>
      <c r="DG69" s="3"/>
      <c r="DH69" s="3"/>
      <c r="DI69" s="3"/>
      <c r="DJ69" s="3"/>
      <c r="DK69" s="3"/>
      <c r="DL69" s="3"/>
      <c r="DM69" s="3"/>
      <c r="DN69" s="3"/>
      <c r="DO69" s="3"/>
      <c r="DP69" s="3"/>
      <c r="DQ69" s="3"/>
      <c r="DR69" s="3"/>
      <c r="DS69" s="3"/>
      <c r="DT69" s="3"/>
      <c r="DU69" s="3"/>
      <c r="DV69" s="3"/>
      <c r="DW69" s="3"/>
      <c r="DX69" s="3"/>
      <c r="DY69" s="3"/>
      <c r="DZ69" s="3"/>
      <c r="EA69" s="3"/>
      <c r="EB69" s="3"/>
      <c r="EC69" s="3"/>
      <c r="ED69" s="3"/>
      <c r="EE69" s="3"/>
      <c r="EF69" s="3"/>
      <c r="EG69" s="3"/>
      <c r="EH69" s="3"/>
      <c r="EI69" s="3"/>
      <c r="EJ69" s="3"/>
      <c r="EK69" s="3"/>
      <c r="EL69" s="3"/>
      <c r="EM69" s="3"/>
      <c r="EN69" s="3"/>
      <c r="EO69" s="3"/>
      <c r="EP69" s="3"/>
      <c r="EQ69" s="3"/>
      <c r="ER69" s="3"/>
      <c r="ES69" s="3"/>
      <c r="ET69" s="3"/>
      <c r="EU69" s="3"/>
      <c r="EV69" s="3"/>
      <c r="EW69" s="3"/>
      <c r="EX69" s="3"/>
      <c r="EY69" s="3"/>
      <c r="EZ69" s="3"/>
      <c r="FA69" s="3"/>
      <c r="FB69" s="3"/>
      <c r="FC69" s="3"/>
      <c r="FD69" s="3"/>
      <c r="FE69" s="3"/>
      <c r="FF69" s="3"/>
      <c r="FG69" s="3"/>
      <c r="FH69" s="3"/>
      <c r="FI69" s="3"/>
      <c r="FJ69" s="3"/>
      <c r="FK69" s="3"/>
      <c r="FL69" s="3"/>
      <c r="FM69" s="3"/>
      <c r="FN69" s="3"/>
      <c r="FO69" s="3"/>
      <c r="FP69" s="3"/>
      <c r="FQ69" s="3"/>
      <c r="FR69" s="3"/>
      <c r="FS69" s="3"/>
      <c r="FT69" s="3"/>
      <c r="FU69" s="3"/>
      <c r="FV69" s="3"/>
      <c r="FW69" s="3"/>
      <c r="FX69" s="3"/>
      <c r="FY69" s="3"/>
      <c r="FZ69" s="3"/>
      <c r="GA69" s="3"/>
      <c r="GB69" s="3"/>
      <c r="GC69" s="3"/>
      <c r="GD69" s="3"/>
      <c r="GE69" s="3"/>
      <c r="GF69" s="3"/>
      <c r="GG69" s="3"/>
      <c r="GH69" s="3"/>
      <c r="GI69" s="3"/>
      <c r="GJ69" s="3"/>
      <c r="GK69" s="3"/>
      <c r="GL69" s="3"/>
      <c r="GM69" s="3"/>
      <c r="GN69" s="3"/>
      <c r="GO69" s="3"/>
      <c r="GP69" s="3"/>
      <c r="GQ69" s="3"/>
      <c r="GR69" s="3"/>
      <c r="GS69" s="3"/>
      <c r="GT69" s="3"/>
      <c r="GU69" s="3"/>
      <c r="GV69" s="3"/>
      <c r="GW69" s="3"/>
      <c r="GX69" s="3"/>
      <c r="GY69" s="3"/>
      <c r="GZ69" s="3"/>
      <c r="HA69" s="3"/>
      <c r="HB69" s="3"/>
      <c r="HC69" s="3"/>
      <c r="HD69" s="3"/>
      <c r="HE69" s="3"/>
      <c r="HF69" s="3"/>
      <c r="HG69" s="3"/>
      <c r="HH69" s="3"/>
      <c r="HI69" s="3"/>
      <c r="HJ69" s="3"/>
      <c r="HK69" s="3"/>
      <c r="HL69" s="3"/>
      <c r="HM69" s="3"/>
      <c r="HN69" s="3"/>
      <c r="HO69" s="3"/>
      <c r="HP69" s="3"/>
      <c r="HQ69" s="3"/>
      <c r="HR69" s="3"/>
      <c r="HS69" s="3"/>
      <c r="HT69" s="3"/>
      <c r="HU69" s="3"/>
      <c r="HV69" s="3"/>
      <c r="HW69" s="3"/>
      <c r="HX69" s="3"/>
      <c r="HY69" s="3"/>
      <c r="HZ69" s="3"/>
      <c r="IA69" s="3"/>
      <c r="IB69" s="3"/>
      <c r="IC69" s="3"/>
      <c r="ID69" s="3"/>
      <c r="IE69" s="3"/>
      <c r="IF69" s="3"/>
      <c r="IG69" s="3"/>
      <c r="IH69" s="3"/>
      <c r="II69" s="3"/>
      <c r="IJ69" s="3"/>
      <c r="IK69" s="3"/>
      <c r="IL69" s="3"/>
      <c r="IM69" s="3"/>
      <c r="IN69" s="3"/>
      <c r="IO69" s="3"/>
      <c r="IP69" s="3"/>
      <c r="IQ69" s="3"/>
      <c r="IR69" s="3"/>
      <c r="IS69" s="3"/>
      <c r="IT69" s="3"/>
      <c r="IU69" s="3"/>
      <c r="IV69" s="3"/>
    </row>
    <row r="70" s="1" customFormat="1" ht="28.5" customHeight="1" spans="1:256">
      <c r="A70" s="99"/>
      <c r="B70" s="180"/>
      <c r="C70" s="173" t="s">
        <v>144</v>
      </c>
      <c r="D70" s="174"/>
      <c r="E70" s="174"/>
      <c r="F70" s="174"/>
      <c r="G70" s="174"/>
      <c r="H70" s="174"/>
      <c r="I70" s="174"/>
      <c r="J70" s="174"/>
      <c r="K70" s="174"/>
      <c r="L70" s="174"/>
      <c r="M70" s="174"/>
      <c r="N70" s="174"/>
      <c r="O70" s="174"/>
      <c r="P70" s="174"/>
      <c r="Q70" s="174"/>
      <c r="R70" s="174"/>
      <c r="S70" s="193"/>
      <c r="T70" s="4"/>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c r="EU70" s="3"/>
      <c r="EV70" s="3"/>
      <c r="EW70" s="3"/>
      <c r="EX70" s="3"/>
      <c r="EY70" s="3"/>
      <c r="EZ70" s="3"/>
      <c r="FA70" s="3"/>
      <c r="FB70" s="3"/>
      <c r="FC70" s="3"/>
      <c r="FD70" s="3"/>
      <c r="FE70" s="3"/>
      <c r="FF70" s="3"/>
      <c r="FG70" s="3"/>
      <c r="FH70" s="3"/>
      <c r="FI70" s="3"/>
      <c r="FJ70" s="3"/>
      <c r="FK70" s="3"/>
      <c r="FL70" s="3"/>
      <c r="FM70" s="3"/>
      <c r="FN70" s="3"/>
      <c r="FO70" s="3"/>
      <c r="FP70" s="3"/>
      <c r="FQ70" s="3"/>
      <c r="FR70" s="3"/>
      <c r="FS70" s="3"/>
      <c r="FT70" s="3"/>
      <c r="FU70" s="3"/>
      <c r="FV70" s="3"/>
      <c r="FW70" s="3"/>
      <c r="FX70" s="3"/>
      <c r="FY70" s="3"/>
      <c r="FZ70" s="3"/>
      <c r="GA70" s="3"/>
      <c r="GB70" s="3"/>
      <c r="GC70" s="3"/>
      <c r="GD70" s="3"/>
      <c r="GE70" s="3"/>
      <c r="GF70" s="3"/>
      <c r="GG70" s="3"/>
      <c r="GH70" s="3"/>
      <c r="GI70" s="3"/>
      <c r="GJ70" s="3"/>
      <c r="GK70" s="3"/>
      <c r="GL70" s="3"/>
      <c r="GM70" s="3"/>
      <c r="GN70" s="3"/>
      <c r="GO70" s="3"/>
      <c r="GP70" s="3"/>
      <c r="GQ70" s="3"/>
      <c r="GR70" s="3"/>
      <c r="GS70" s="3"/>
      <c r="GT70" s="3"/>
      <c r="GU70" s="3"/>
      <c r="GV70" s="3"/>
      <c r="GW70" s="3"/>
      <c r="GX70" s="3"/>
      <c r="GY70" s="3"/>
      <c r="GZ70" s="3"/>
      <c r="HA70" s="3"/>
      <c r="HB70" s="3"/>
      <c r="HC70" s="3"/>
      <c r="HD70" s="3"/>
      <c r="HE70" s="3"/>
      <c r="HF70" s="3"/>
      <c r="HG70" s="3"/>
      <c r="HH70" s="3"/>
      <c r="HI70" s="3"/>
      <c r="HJ70" s="3"/>
      <c r="HK70" s="3"/>
      <c r="HL70" s="3"/>
      <c r="HM70" s="3"/>
      <c r="HN70" s="3"/>
      <c r="HO70" s="3"/>
      <c r="HP70" s="3"/>
      <c r="HQ70" s="3"/>
      <c r="HR70" s="3"/>
      <c r="HS70" s="3"/>
      <c r="HT70" s="3"/>
      <c r="HU70" s="3"/>
      <c r="HV70" s="3"/>
      <c r="HW70" s="3"/>
      <c r="HX70" s="3"/>
      <c r="HY70" s="3"/>
      <c r="HZ70" s="3"/>
      <c r="IA70" s="3"/>
      <c r="IB70" s="3"/>
      <c r="IC70" s="3"/>
      <c r="ID70" s="3"/>
      <c r="IE70" s="3"/>
      <c r="IF70" s="3"/>
      <c r="IG70" s="3"/>
      <c r="IH70" s="3"/>
      <c r="II70" s="3"/>
      <c r="IJ70" s="3"/>
      <c r="IK70" s="3"/>
      <c r="IL70" s="3"/>
      <c r="IM70" s="3"/>
      <c r="IN70" s="3"/>
      <c r="IO70" s="3"/>
      <c r="IP70" s="3"/>
      <c r="IQ70" s="3"/>
      <c r="IR70" s="3"/>
      <c r="IS70" s="3"/>
      <c r="IT70" s="3"/>
      <c r="IU70" s="3"/>
      <c r="IV70" s="3"/>
    </row>
    <row r="71" s="1" customFormat="1" ht="12" customHeight="1" spans="1:256">
      <c r="A71" s="99"/>
      <c r="B71" s="177" t="s">
        <v>145</v>
      </c>
      <c r="C71" s="181"/>
      <c r="D71" s="182"/>
      <c r="E71" s="182"/>
      <c r="F71" s="182"/>
      <c r="G71" s="182"/>
      <c r="H71" s="182"/>
      <c r="I71" s="182"/>
      <c r="J71" s="182"/>
      <c r="K71" s="182"/>
      <c r="L71" s="182"/>
      <c r="M71" s="182"/>
      <c r="N71" s="182"/>
      <c r="O71" s="182"/>
      <c r="P71" s="182"/>
      <c r="Q71" s="182"/>
      <c r="R71" s="182"/>
      <c r="S71" s="196"/>
      <c r="T71" s="4"/>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3"/>
      <c r="DG71" s="3"/>
      <c r="DH71" s="3"/>
      <c r="DI71" s="3"/>
      <c r="DJ71" s="3"/>
      <c r="DK71" s="3"/>
      <c r="DL71" s="3"/>
      <c r="DM71" s="3"/>
      <c r="DN71" s="3"/>
      <c r="DO71" s="3"/>
      <c r="DP71" s="3"/>
      <c r="DQ71" s="3"/>
      <c r="DR71" s="3"/>
      <c r="DS71" s="3"/>
      <c r="DT71" s="3"/>
      <c r="DU71" s="3"/>
      <c r="DV71" s="3"/>
      <c r="DW71" s="3"/>
      <c r="DX71" s="3"/>
      <c r="DY71" s="3"/>
      <c r="DZ71" s="3"/>
      <c r="EA71" s="3"/>
      <c r="EB71" s="3"/>
      <c r="EC71" s="3"/>
      <c r="ED71" s="3"/>
      <c r="EE71" s="3"/>
      <c r="EF71" s="3"/>
      <c r="EG71" s="3"/>
      <c r="EH71" s="3"/>
      <c r="EI71" s="3"/>
      <c r="EJ71" s="3"/>
      <c r="EK71" s="3"/>
      <c r="EL71" s="3"/>
      <c r="EM71" s="3"/>
      <c r="EN71" s="3"/>
      <c r="EO71" s="3"/>
      <c r="EP71" s="3"/>
      <c r="EQ71" s="3"/>
      <c r="ER71" s="3"/>
      <c r="ES71" s="3"/>
      <c r="ET71" s="3"/>
      <c r="EU71" s="3"/>
      <c r="EV71" s="3"/>
      <c r="EW71" s="3"/>
      <c r="EX71" s="3"/>
      <c r="EY71" s="3"/>
      <c r="EZ71" s="3"/>
      <c r="FA71" s="3"/>
      <c r="FB71" s="3"/>
      <c r="FC71" s="3"/>
      <c r="FD71" s="3"/>
      <c r="FE71" s="3"/>
      <c r="FF71" s="3"/>
      <c r="FG71" s="3"/>
      <c r="FH71" s="3"/>
      <c r="FI71" s="3"/>
      <c r="FJ71" s="3"/>
      <c r="FK71" s="3"/>
      <c r="FL71" s="3"/>
      <c r="FM71" s="3"/>
      <c r="FN71" s="3"/>
      <c r="FO71" s="3"/>
      <c r="FP71" s="3"/>
      <c r="FQ71" s="3"/>
      <c r="FR71" s="3"/>
      <c r="FS71" s="3"/>
      <c r="FT71" s="3"/>
      <c r="FU71" s="3"/>
      <c r="FV71" s="3"/>
      <c r="FW71" s="3"/>
      <c r="FX71" s="3"/>
      <c r="FY71" s="3"/>
      <c r="FZ71" s="3"/>
      <c r="GA71" s="3"/>
      <c r="GB71" s="3"/>
      <c r="GC71" s="3"/>
      <c r="GD71" s="3"/>
      <c r="GE71" s="3"/>
      <c r="GF71" s="3"/>
      <c r="GG71" s="3"/>
      <c r="GH71" s="3"/>
      <c r="GI71" s="3"/>
      <c r="GJ71" s="3"/>
      <c r="GK71" s="3"/>
      <c r="GL71" s="3"/>
      <c r="GM71" s="3"/>
      <c r="GN71" s="3"/>
      <c r="GO71" s="3"/>
      <c r="GP71" s="3"/>
      <c r="GQ71" s="3"/>
      <c r="GR71" s="3"/>
      <c r="GS71" s="3"/>
      <c r="GT71" s="3"/>
      <c r="GU71" s="3"/>
      <c r="GV71" s="3"/>
      <c r="GW71" s="3"/>
      <c r="GX71" s="3"/>
      <c r="GY71" s="3"/>
      <c r="GZ71" s="3"/>
      <c r="HA71" s="3"/>
      <c r="HB71" s="3"/>
      <c r="HC71" s="3"/>
      <c r="HD71" s="3"/>
      <c r="HE71" s="3"/>
      <c r="HF71" s="3"/>
      <c r="HG71" s="3"/>
      <c r="HH71" s="3"/>
      <c r="HI71" s="3"/>
      <c r="HJ71" s="3"/>
      <c r="HK71" s="3"/>
      <c r="HL71" s="3"/>
      <c r="HM71" s="3"/>
      <c r="HN71" s="3"/>
      <c r="HO71" s="3"/>
      <c r="HP71" s="3"/>
      <c r="HQ71" s="3"/>
      <c r="HR71" s="3"/>
      <c r="HS71" s="3"/>
      <c r="HT71" s="3"/>
      <c r="HU71" s="3"/>
      <c r="HV71" s="3"/>
      <c r="HW71" s="3"/>
      <c r="HX71" s="3"/>
      <c r="HY71" s="3"/>
      <c r="HZ71" s="3"/>
      <c r="IA71" s="3"/>
      <c r="IB71" s="3"/>
      <c r="IC71" s="3"/>
      <c r="ID71" s="3"/>
      <c r="IE71" s="3"/>
      <c r="IF71" s="3"/>
      <c r="IG71" s="3"/>
      <c r="IH71" s="3"/>
      <c r="II71" s="3"/>
      <c r="IJ71" s="3"/>
      <c r="IK71" s="3"/>
      <c r="IL71" s="3"/>
      <c r="IM71" s="3"/>
      <c r="IN71" s="3"/>
      <c r="IO71" s="3"/>
      <c r="IP71" s="3"/>
      <c r="IQ71" s="3"/>
      <c r="IR71" s="3"/>
      <c r="IS71" s="3"/>
      <c r="IT71" s="3"/>
      <c r="IU71" s="3"/>
      <c r="IV71" s="3"/>
    </row>
    <row r="72" s="1" customFormat="1" customHeight="1" spans="1:256">
      <c r="A72" s="99"/>
      <c r="B72" s="177"/>
      <c r="C72" s="182"/>
      <c r="D72" s="182"/>
      <c r="E72" s="182"/>
      <c r="F72" s="183"/>
      <c r="G72" s="182"/>
      <c r="H72" s="182"/>
      <c r="I72" s="182"/>
      <c r="J72" s="182"/>
      <c r="K72" s="182"/>
      <c r="L72" s="182"/>
      <c r="M72" s="182"/>
      <c r="N72" s="182"/>
      <c r="O72" s="182"/>
      <c r="P72" s="182"/>
      <c r="Q72" s="182"/>
      <c r="R72" s="182"/>
      <c r="S72" s="196"/>
      <c r="T72" s="4"/>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c r="DY72" s="3"/>
      <c r="DZ72" s="3"/>
      <c r="EA72" s="3"/>
      <c r="EB72" s="3"/>
      <c r="EC72" s="3"/>
      <c r="ED72" s="3"/>
      <c r="EE72" s="3"/>
      <c r="EF72" s="3"/>
      <c r="EG72" s="3"/>
      <c r="EH72" s="3"/>
      <c r="EI72" s="3"/>
      <c r="EJ72" s="3"/>
      <c r="EK72" s="3"/>
      <c r="EL72" s="3"/>
      <c r="EM72" s="3"/>
      <c r="EN72" s="3"/>
      <c r="EO72" s="3"/>
      <c r="EP72" s="3"/>
      <c r="EQ72" s="3"/>
      <c r="ER72" s="3"/>
      <c r="ES72" s="3"/>
      <c r="ET72" s="3"/>
      <c r="EU72" s="3"/>
      <c r="EV72" s="3"/>
      <c r="EW72" s="3"/>
      <c r="EX72" s="3"/>
      <c r="EY72" s="3"/>
      <c r="EZ72" s="3"/>
      <c r="FA72" s="3"/>
      <c r="FB72" s="3"/>
      <c r="FC72" s="3"/>
      <c r="FD72" s="3"/>
      <c r="FE72" s="3"/>
      <c r="FF72" s="3"/>
      <c r="FG72" s="3"/>
      <c r="FH72" s="3"/>
      <c r="FI72" s="3"/>
      <c r="FJ72" s="3"/>
      <c r="FK72" s="3"/>
      <c r="FL72" s="3"/>
      <c r="FM72" s="3"/>
      <c r="FN72" s="3"/>
      <c r="FO72" s="3"/>
      <c r="FP72" s="3"/>
      <c r="FQ72" s="3"/>
      <c r="FR72" s="3"/>
      <c r="FS72" s="3"/>
      <c r="FT72" s="3"/>
      <c r="FU72" s="3"/>
      <c r="FV72" s="3"/>
      <c r="FW72" s="3"/>
      <c r="FX72" s="3"/>
      <c r="FY72" s="3"/>
      <c r="FZ72" s="3"/>
      <c r="GA72" s="3"/>
      <c r="GB72" s="3"/>
      <c r="GC72" s="3"/>
      <c r="GD72" s="3"/>
      <c r="GE72" s="3"/>
      <c r="GF72" s="3"/>
      <c r="GG72" s="3"/>
      <c r="GH72" s="3"/>
      <c r="GI72" s="3"/>
      <c r="GJ72" s="3"/>
      <c r="GK72" s="3"/>
      <c r="GL72" s="3"/>
      <c r="GM72" s="3"/>
      <c r="GN72" s="3"/>
      <c r="GO72" s="3"/>
      <c r="GP72" s="3"/>
      <c r="GQ72" s="3"/>
      <c r="GR72" s="3"/>
      <c r="GS72" s="3"/>
      <c r="GT72" s="3"/>
      <c r="GU72" s="3"/>
      <c r="GV72" s="3"/>
      <c r="GW72" s="3"/>
      <c r="GX72" s="3"/>
      <c r="GY72" s="3"/>
      <c r="GZ72" s="3"/>
      <c r="HA72" s="3"/>
      <c r="HB72" s="3"/>
      <c r="HC72" s="3"/>
      <c r="HD72" s="3"/>
      <c r="HE72" s="3"/>
      <c r="HF72" s="3"/>
      <c r="HG72" s="3"/>
      <c r="HH72" s="3"/>
      <c r="HI72" s="3"/>
      <c r="HJ72" s="3"/>
      <c r="HK72" s="3"/>
      <c r="HL72" s="3"/>
      <c r="HM72" s="3"/>
      <c r="HN72" s="3"/>
      <c r="HO72" s="3"/>
      <c r="HP72" s="3"/>
      <c r="HQ72" s="3"/>
      <c r="HR72" s="3"/>
      <c r="HS72" s="3"/>
      <c r="HT72" s="3"/>
      <c r="HU72" s="3"/>
      <c r="HV72" s="3"/>
      <c r="HW72" s="3"/>
      <c r="HX72" s="3"/>
      <c r="HY72" s="3"/>
      <c r="HZ72" s="3"/>
      <c r="IA72" s="3"/>
      <c r="IB72" s="3"/>
      <c r="IC72" s="3"/>
      <c r="ID72" s="3"/>
      <c r="IE72" s="3"/>
      <c r="IF72" s="3"/>
      <c r="IG72" s="3"/>
      <c r="IH72" s="3"/>
      <c r="II72" s="3"/>
      <c r="IJ72" s="3"/>
      <c r="IK72" s="3"/>
      <c r="IL72" s="3"/>
      <c r="IM72" s="3"/>
      <c r="IN72" s="3"/>
      <c r="IO72" s="3"/>
      <c r="IP72" s="3"/>
      <c r="IQ72" s="3"/>
      <c r="IR72" s="3"/>
      <c r="IS72" s="3"/>
      <c r="IT72" s="3"/>
      <c r="IU72" s="3"/>
      <c r="IV72" s="3"/>
    </row>
    <row r="73" s="1" customFormat="1" ht="30.75" customHeight="1" spans="1:256">
      <c r="A73" s="99"/>
      <c r="B73" s="177"/>
      <c r="C73" s="184"/>
      <c r="D73" s="185"/>
      <c r="E73" s="185"/>
      <c r="F73" s="185"/>
      <c r="G73" s="185"/>
      <c r="H73" s="185"/>
      <c r="I73" s="185"/>
      <c r="J73" s="185"/>
      <c r="K73" s="185"/>
      <c r="L73" s="185"/>
      <c r="M73" s="185"/>
      <c r="N73" s="185"/>
      <c r="O73" s="185"/>
      <c r="P73" s="185"/>
      <c r="Q73" s="185"/>
      <c r="R73" s="185"/>
      <c r="S73" s="197"/>
      <c r="T73" s="4"/>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c r="EU73" s="3"/>
      <c r="EV73" s="3"/>
      <c r="EW73" s="3"/>
      <c r="EX73" s="3"/>
      <c r="EY73" s="3"/>
      <c r="EZ73" s="3"/>
      <c r="FA73" s="3"/>
      <c r="FB73" s="3"/>
      <c r="FC73" s="3"/>
      <c r="FD73" s="3"/>
      <c r="FE73" s="3"/>
      <c r="FF73" s="3"/>
      <c r="FG73" s="3"/>
      <c r="FH73" s="3"/>
      <c r="FI73" s="3"/>
      <c r="FJ73" s="3"/>
      <c r="FK73" s="3"/>
      <c r="FL73" s="3"/>
      <c r="FM73" s="3"/>
      <c r="FN73" s="3"/>
      <c r="FO73" s="3"/>
      <c r="FP73" s="3"/>
      <c r="FQ73" s="3"/>
      <c r="FR73" s="3"/>
      <c r="FS73" s="3"/>
      <c r="FT73" s="3"/>
      <c r="FU73" s="3"/>
      <c r="FV73" s="3"/>
      <c r="FW73" s="3"/>
      <c r="FX73" s="3"/>
      <c r="FY73" s="3"/>
      <c r="FZ73" s="3"/>
      <c r="GA73" s="3"/>
      <c r="GB73" s="3"/>
      <c r="GC73" s="3"/>
      <c r="GD73" s="3"/>
      <c r="GE73" s="3"/>
      <c r="GF73" s="3"/>
      <c r="GG73" s="3"/>
      <c r="GH73" s="3"/>
      <c r="GI73" s="3"/>
      <c r="GJ73" s="3"/>
      <c r="GK73" s="3"/>
      <c r="GL73" s="3"/>
      <c r="GM73" s="3"/>
      <c r="GN73" s="3"/>
      <c r="GO73" s="3"/>
      <c r="GP73" s="3"/>
      <c r="GQ73" s="3"/>
      <c r="GR73" s="3"/>
      <c r="GS73" s="3"/>
      <c r="GT73" s="3"/>
      <c r="GU73" s="3"/>
      <c r="GV73" s="3"/>
      <c r="GW73" s="3"/>
      <c r="GX73" s="3"/>
      <c r="GY73" s="3"/>
      <c r="GZ73" s="3"/>
      <c r="HA73" s="3"/>
      <c r="HB73" s="3"/>
      <c r="HC73" s="3"/>
      <c r="HD73" s="3"/>
      <c r="HE73" s="3"/>
      <c r="HF73" s="3"/>
      <c r="HG73" s="3"/>
      <c r="HH73" s="3"/>
      <c r="HI73" s="3"/>
      <c r="HJ73" s="3"/>
      <c r="HK73" s="3"/>
      <c r="HL73" s="3"/>
      <c r="HM73" s="3"/>
      <c r="HN73" s="3"/>
      <c r="HO73" s="3"/>
      <c r="HP73" s="3"/>
      <c r="HQ73" s="3"/>
      <c r="HR73" s="3"/>
      <c r="HS73" s="3"/>
      <c r="HT73" s="3"/>
      <c r="HU73" s="3"/>
      <c r="HV73" s="3"/>
      <c r="HW73" s="3"/>
      <c r="HX73" s="3"/>
      <c r="HY73" s="3"/>
      <c r="HZ73" s="3"/>
      <c r="IA73" s="3"/>
      <c r="IB73" s="3"/>
      <c r="IC73" s="3"/>
      <c r="ID73" s="3"/>
      <c r="IE73" s="3"/>
      <c r="IF73" s="3"/>
      <c r="IG73" s="3"/>
      <c r="IH73" s="3"/>
      <c r="II73" s="3"/>
      <c r="IJ73" s="3"/>
      <c r="IK73" s="3"/>
      <c r="IL73" s="3"/>
      <c r="IM73" s="3"/>
      <c r="IN73" s="3"/>
      <c r="IO73" s="3"/>
      <c r="IP73" s="3"/>
      <c r="IQ73" s="3"/>
      <c r="IR73" s="3"/>
      <c r="IS73" s="3"/>
      <c r="IT73" s="3"/>
      <c r="IU73" s="3"/>
      <c r="IV73" s="3"/>
    </row>
    <row r="74" s="1" customFormat="1" ht="53.25" customHeight="1" spans="1:256">
      <c r="A74" s="186"/>
      <c r="B74" s="180"/>
      <c r="C74" s="187" t="s">
        <v>146</v>
      </c>
      <c r="D74" s="188"/>
      <c r="E74" s="188"/>
      <c r="F74" s="188"/>
      <c r="G74" s="188"/>
      <c r="H74" s="188"/>
      <c r="I74" s="188"/>
      <c r="J74" s="188"/>
      <c r="K74" s="188"/>
      <c r="L74" s="188"/>
      <c r="M74" s="188"/>
      <c r="N74" s="188"/>
      <c r="O74" s="188"/>
      <c r="P74" s="188"/>
      <c r="Q74" s="188"/>
      <c r="R74" s="188"/>
      <c r="S74" s="198"/>
      <c r="T74" s="4"/>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3"/>
      <c r="DG74" s="3"/>
      <c r="DH74" s="3"/>
      <c r="DI74" s="3"/>
      <c r="DJ74" s="3"/>
      <c r="DK74" s="3"/>
      <c r="DL74" s="3"/>
      <c r="DM74" s="3"/>
      <c r="DN74" s="3"/>
      <c r="DO74" s="3"/>
      <c r="DP74" s="3"/>
      <c r="DQ74" s="3"/>
      <c r="DR74" s="3"/>
      <c r="DS74" s="3"/>
      <c r="DT74" s="3"/>
      <c r="DU74" s="3"/>
      <c r="DV74" s="3"/>
      <c r="DW74" s="3"/>
      <c r="DX74" s="3"/>
      <c r="DY74" s="3"/>
      <c r="DZ74" s="3"/>
      <c r="EA74" s="3"/>
      <c r="EB74" s="3"/>
      <c r="EC74" s="3"/>
      <c r="ED74" s="3"/>
      <c r="EE74" s="3"/>
      <c r="EF74" s="3"/>
      <c r="EG74" s="3"/>
      <c r="EH74" s="3"/>
      <c r="EI74" s="3"/>
      <c r="EJ74" s="3"/>
      <c r="EK74" s="3"/>
      <c r="EL74" s="3"/>
      <c r="EM74" s="3"/>
      <c r="EN74" s="3"/>
      <c r="EO74" s="3"/>
      <c r="EP74" s="3"/>
      <c r="EQ74" s="3"/>
      <c r="ER74" s="3"/>
      <c r="ES74" s="3"/>
      <c r="ET74" s="3"/>
      <c r="EU74" s="3"/>
      <c r="EV74" s="3"/>
      <c r="EW74" s="3"/>
      <c r="EX74" s="3"/>
      <c r="EY74" s="3"/>
      <c r="EZ74" s="3"/>
      <c r="FA74" s="3"/>
      <c r="FB74" s="3"/>
      <c r="FC74" s="3"/>
      <c r="FD74" s="3"/>
      <c r="FE74" s="3"/>
      <c r="FF74" s="3"/>
      <c r="FG74" s="3"/>
      <c r="FH74" s="3"/>
      <c r="FI74" s="3"/>
      <c r="FJ74" s="3"/>
      <c r="FK74" s="3"/>
      <c r="FL74" s="3"/>
      <c r="FM74" s="3"/>
      <c r="FN74" s="3"/>
      <c r="FO74" s="3"/>
      <c r="FP74" s="3"/>
      <c r="FQ74" s="3"/>
      <c r="FR74" s="3"/>
      <c r="FS74" s="3"/>
      <c r="FT74" s="3"/>
      <c r="FU74" s="3"/>
      <c r="FV74" s="3"/>
      <c r="FW74" s="3"/>
      <c r="FX74" s="3"/>
      <c r="FY74" s="3"/>
      <c r="FZ74" s="3"/>
      <c r="GA74" s="3"/>
      <c r="GB74" s="3"/>
      <c r="GC74" s="3"/>
      <c r="GD74" s="3"/>
      <c r="GE74" s="3"/>
      <c r="GF74" s="3"/>
      <c r="GG74" s="3"/>
      <c r="GH74" s="3"/>
      <c r="GI74" s="3"/>
      <c r="GJ74" s="3"/>
      <c r="GK74" s="3"/>
      <c r="GL74" s="3"/>
      <c r="GM74" s="3"/>
      <c r="GN74" s="3"/>
      <c r="GO74" s="3"/>
      <c r="GP74" s="3"/>
      <c r="GQ74" s="3"/>
      <c r="GR74" s="3"/>
      <c r="GS74" s="3"/>
      <c r="GT74" s="3"/>
      <c r="GU74" s="3"/>
      <c r="GV74" s="3"/>
      <c r="GW74" s="3"/>
      <c r="GX74" s="3"/>
      <c r="GY74" s="3"/>
      <c r="GZ74" s="3"/>
      <c r="HA74" s="3"/>
      <c r="HB74" s="3"/>
      <c r="HC74" s="3"/>
      <c r="HD74" s="3"/>
      <c r="HE74" s="3"/>
      <c r="HF74" s="3"/>
      <c r="HG74" s="3"/>
      <c r="HH74" s="3"/>
      <c r="HI74" s="3"/>
      <c r="HJ74" s="3"/>
      <c r="HK74" s="3"/>
      <c r="HL74" s="3"/>
      <c r="HM74" s="3"/>
      <c r="HN74" s="3"/>
      <c r="HO74" s="3"/>
      <c r="HP74" s="3"/>
      <c r="HQ74" s="3"/>
      <c r="HR74" s="3"/>
      <c r="HS74" s="3"/>
      <c r="HT74" s="3"/>
      <c r="HU74" s="3"/>
      <c r="HV74" s="3"/>
      <c r="HW74" s="3"/>
      <c r="HX74" s="3"/>
      <c r="HY74" s="3"/>
      <c r="HZ74" s="3"/>
      <c r="IA74" s="3"/>
      <c r="IB74" s="3"/>
      <c r="IC74" s="3"/>
      <c r="ID74" s="3"/>
      <c r="IE74" s="3"/>
      <c r="IF74" s="3"/>
      <c r="IG74" s="3"/>
      <c r="IH74" s="3"/>
      <c r="II74" s="3"/>
      <c r="IJ74" s="3"/>
      <c r="IK74" s="3"/>
      <c r="IL74" s="3"/>
      <c r="IM74" s="3"/>
      <c r="IN74" s="3"/>
      <c r="IO74" s="3"/>
      <c r="IP74" s="3"/>
      <c r="IQ74" s="3"/>
      <c r="IR74" s="3"/>
      <c r="IS74" s="3"/>
      <c r="IT74" s="3"/>
      <c r="IU74" s="3"/>
      <c r="IV74" s="3"/>
    </row>
    <row r="75" s="1" customFormat="1" ht="19.5" customHeight="1" spans="1:256">
      <c r="A75" s="189"/>
      <c r="B75" s="190" t="s">
        <v>147</v>
      </c>
      <c r="C75" s="190"/>
      <c r="D75" s="190"/>
      <c r="E75" s="190"/>
      <c r="F75" s="190"/>
      <c r="G75" s="190"/>
      <c r="H75" s="190" t="s">
        <v>148</v>
      </c>
      <c r="I75" s="190"/>
      <c r="J75" s="190"/>
      <c r="K75" s="190"/>
      <c r="L75" s="190"/>
      <c r="M75" s="3"/>
      <c r="N75" s="191"/>
      <c r="O75" s="191" t="s">
        <v>149</v>
      </c>
      <c r="P75" s="3"/>
      <c r="Q75" s="191"/>
      <c r="R75" s="191"/>
      <c r="S75" s="191"/>
      <c r="T75" s="4"/>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3"/>
      <c r="DG75" s="3"/>
      <c r="DH75" s="3"/>
      <c r="DI75" s="3"/>
      <c r="DJ75" s="3"/>
      <c r="DK75" s="3"/>
      <c r="DL75" s="3"/>
      <c r="DM75" s="3"/>
      <c r="DN75" s="3"/>
      <c r="DO75" s="3"/>
      <c r="DP75" s="3"/>
      <c r="DQ75" s="3"/>
      <c r="DR75" s="3"/>
      <c r="DS75" s="3"/>
      <c r="DT75" s="3"/>
      <c r="DU75" s="3"/>
      <c r="DV75" s="3"/>
      <c r="DW75" s="3"/>
      <c r="DX75" s="3"/>
      <c r="DY75" s="3"/>
      <c r="DZ75" s="3"/>
      <c r="EA75" s="3"/>
      <c r="EB75" s="3"/>
      <c r="EC75" s="3"/>
      <c r="ED75" s="3"/>
      <c r="EE75" s="3"/>
      <c r="EF75" s="3"/>
      <c r="EG75" s="3"/>
      <c r="EH75" s="3"/>
      <c r="EI75" s="3"/>
      <c r="EJ75" s="3"/>
      <c r="EK75" s="3"/>
      <c r="EL75" s="3"/>
      <c r="EM75" s="3"/>
      <c r="EN75" s="3"/>
      <c r="EO75" s="3"/>
      <c r="EP75" s="3"/>
      <c r="EQ75" s="3"/>
      <c r="ER75" s="3"/>
      <c r="ES75" s="3"/>
      <c r="ET75" s="3"/>
      <c r="EU75" s="3"/>
      <c r="EV75" s="3"/>
      <c r="EW75" s="3"/>
      <c r="EX75" s="3"/>
      <c r="EY75" s="3"/>
      <c r="EZ75" s="3"/>
      <c r="FA75" s="3"/>
      <c r="FB75" s="3"/>
      <c r="FC75" s="3"/>
      <c r="FD75" s="3"/>
      <c r="FE75" s="3"/>
      <c r="FF75" s="3"/>
      <c r="FG75" s="3"/>
      <c r="FH75" s="3"/>
      <c r="FI75" s="3"/>
      <c r="FJ75" s="3"/>
      <c r="FK75" s="3"/>
      <c r="FL75" s="3"/>
      <c r="FM75" s="3"/>
      <c r="FN75" s="3"/>
      <c r="FO75" s="3"/>
      <c r="FP75" s="3"/>
      <c r="FQ75" s="3"/>
      <c r="FR75" s="3"/>
      <c r="FS75" s="3"/>
      <c r="FT75" s="3"/>
      <c r="FU75" s="3"/>
      <c r="FV75" s="3"/>
      <c r="FW75" s="3"/>
      <c r="FX75" s="3"/>
      <c r="FY75" s="3"/>
      <c r="FZ75" s="3"/>
      <c r="GA75" s="3"/>
      <c r="GB75" s="3"/>
      <c r="GC75" s="3"/>
      <c r="GD75" s="3"/>
      <c r="GE75" s="3"/>
      <c r="GF75" s="3"/>
      <c r="GG75" s="3"/>
      <c r="GH75" s="3"/>
      <c r="GI75" s="3"/>
      <c r="GJ75" s="3"/>
      <c r="GK75" s="3"/>
      <c r="GL75" s="3"/>
      <c r="GM75" s="3"/>
      <c r="GN75" s="3"/>
      <c r="GO75" s="3"/>
      <c r="GP75" s="3"/>
      <c r="GQ75" s="3"/>
      <c r="GR75" s="3"/>
      <c r="GS75" s="3"/>
      <c r="GT75" s="3"/>
      <c r="GU75" s="3"/>
      <c r="GV75" s="3"/>
      <c r="GW75" s="3"/>
      <c r="GX75" s="3"/>
      <c r="GY75" s="3"/>
      <c r="GZ75" s="3"/>
      <c r="HA75" s="3"/>
      <c r="HB75" s="3"/>
      <c r="HC75" s="3"/>
      <c r="HD75" s="3"/>
      <c r="HE75" s="3"/>
      <c r="HF75" s="3"/>
      <c r="HG75" s="3"/>
      <c r="HH75" s="3"/>
      <c r="HI75" s="3"/>
      <c r="HJ75" s="3"/>
      <c r="HK75" s="3"/>
      <c r="HL75" s="3"/>
      <c r="HM75" s="3"/>
      <c r="HN75" s="3"/>
      <c r="HO75" s="3"/>
      <c r="HP75" s="3"/>
      <c r="HQ75" s="3"/>
      <c r="HR75" s="3"/>
      <c r="HS75" s="3"/>
      <c r="HT75" s="3"/>
      <c r="HU75" s="3"/>
      <c r="HV75" s="3"/>
      <c r="HW75" s="3"/>
      <c r="HX75" s="3"/>
      <c r="HY75" s="3"/>
      <c r="HZ75" s="3"/>
      <c r="IA75" s="3"/>
      <c r="IB75" s="3"/>
      <c r="IC75" s="3"/>
      <c r="ID75" s="3"/>
      <c r="IE75" s="3"/>
      <c r="IF75" s="3"/>
      <c r="IG75" s="3"/>
      <c r="IH75" s="3"/>
      <c r="II75" s="3"/>
      <c r="IJ75" s="3"/>
      <c r="IK75" s="3"/>
      <c r="IL75" s="3"/>
      <c r="IM75" s="3"/>
      <c r="IN75" s="3"/>
      <c r="IO75" s="3"/>
      <c r="IP75" s="3"/>
      <c r="IQ75" s="3"/>
      <c r="IR75" s="3"/>
      <c r="IS75" s="3"/>
      <c r="IT75" s="3"/>
      <c r="IU75" s="3"/>
      <c r="IV75" s="3"/>
    </row>
  </sheetData>
  <mergeCells count="288">
    <mergeCell ref="A1:B1"/>
    <mergeCell ref="A2:S2"/>
    <mergeCell ref="B3:D3"/>
    <mergeCell ref="E3:S3"/>
    <mergeCell ref="K4:M4"/>
    <mergeCell ref="P4:S4"/>
    <mergeCell ref="K5:M5"/>
    <mergeCell ref="P5:S5"/>
    <mergeCell ref="B6:H6"/>
    <mergeCell ref="I6:S6"/>
    <mergeCell ref="C7:H7"/>
    <mergeCell ref="I7:K7"/>
    <mergeCell ref="L7:O7"/>
    <mergeCell ref="P7:S7"/>
    <mergeCell ref="C8:D8"/>
    <mergeCell ref="E8:H8"/>
    <mergeCell ref="I8:K8"/>
    <mergeCell ref="L8:M8"/>
    <mergeCell ref="N8:O8"/>
    <mergeCell ref="P8:Q8"/>
    <mergeCell ref="R8:S8"/>
    <mergeCell ref="E9:H9"/>
    <mergeCell ref="I9:K9"/>
    <mergeCell ref="L9:M9"/>
    <mergeCell ref="N9:O9"/>
    <mergeCell ref="P9:Q9"/>
    <mergeCell ref="R9:S9"/>
    <mergeCell ref="E10:H10"/>
    <mergeCell ref="I10:K10"/>
    <mergeCell ref="L10:M10"/>
    <mergeCell ref="N10:O10"/>
    <mergeCell ref="P10:Q10"/>
    <mergeCell ref="R10:S10"/>
    <mergeCell ref="E11:H11"/>
    <mergeCell ref="I11:K11"/>
    <mergeCell ref="L11:M11"/>
    <mergeCell ref="N11:O11"/>
    <mergeCell ref="P11:Q11"/>
    <mergeCell ref="R11:S11"/>
    <mergeCell ref="E12:H12"/>
    <mergeCell ref="I12:K12"/>
    <mergeCell ref="L12:M12"/>
    <mergeCell ref="N12:O12"/>
    <mergeCell ref="P12:Q12"/>
    <mergeCell ref="R12:S12"/>
    <mergeCell ref="E13:H13"/>
    <mergeCell ref="I13:K13"/>
    <mergeCell ref="L13:M13"/>
    <mergeCell ref="N13:O13"/>
    <mergeCell ref="P13:Q13"/>
    <mergeCell ref="R13:S13"/>
    <mergeCell ref="E14:H14"/>
    <mergeCell ref="I14:K14"/>
    <mergeCell ref="L14:M14"/>
    <mergeCell ref="N14:O14"/>
    <mergeCell ref="P14:Q14"/>
    <mergeCell ref="R14:S14"/>
    <mergeCell ref="E15:H15"/>
    <mergeCell ref="I15:K15"/>
    <mergeCell ref="L15:M15"/>
    <mergeCell ref="N15:O15"/>
    <mergeCell ref="P15:Q15"/>
    <mergeCell ref="R15:S15"/>
    <mergeCell ref="E16:H16"/>
    <mergeCell ref="I16:K16"/>
    <mergeCell ref="L16:M16"/>
    <mergeCell ref="N16:O16"/>
    <mergeCell ref="P16:Q16"/>
    <mergeCell ref="R16:S16"/>
    <mergeCell ref="E17:H17"/>
    <mergeCell ref="I17:K17"/>
    <mergeCell ref="L17:M17"/>
    <mergeCell ref="N17:O17"/>
    <mergeCell ref="P17:Q17"/>
    <mergeCell ref="R17:S17"/>
    <mergeCell ref="E18:H18"/>
    <mergeCell ref="I18:K18"/>
    <mergeCell ref="L18:M18"/>
    <mergeCell ref="N18:O18"/>
    <mergeCell ref="P18:Q18"/>
    <mergeCell ref="R18:S18"/>
    <mergeCell ref="B19:D19"/>
    <mergeCell ref="E19:H19"/>
    <mergeCell ref="I19:K19"/>
    <mergeCell ref="L19:S19"/>
    <mergeCell ref="I20:S20"/>
    <mergeCell ref="I21:S21"/>
    <mergeCell ref="I22:S22"/>
    <mergeCell ref="I23:J23"/>
    <mergeCell ref="K23:N23"/>
    <mergeCell ref="O23:Q23"/>
    <mergeCell ref="B26:D26"/>
    <mergeCell ref="E26:H26"/>
    <mergeCell ref="M26:N26"/>
    <mergeCell ref="P26:Q26"/>
    <mergeCell ref="R26:S26"/>
    <mergeCell ref="B27:D27"/>
    <mergeCell ref="E27:H27"/>
    <mergeCell ref="M27:N27"/>
    <mergeCell ref="P27:Q27"/>
    <mergeCell ref="R27:S27"/>
    <mergeCell ref="B28:D28"/>
    <mergeCell ref="E28:H28"/>
    <mergeCell ref="M28:N28"/>
    <mergeCell ref="P28:Q28"/>
    <mergeCell ref="R28:S28"/>
    <mergeCell ref="B29:D29"/>
    <mergeCell ref="E29:H29"/>
    <mergeCell ref="M29:N29"/>
    <mergeCell ref="P29:Q29"/>
    <mergeCell ref="R29:S29"/>
    <mergeCell ref="B30:D30"/>
    <mergeCell ref="E30:H30"/>
    <mergeCell ref="M30:N30"/>
    <mergeCell ref="P30:Q30"/>
    <mergeCell ref="R30:S30"/>
    <mergeCell ref="B31:D31"/>
    <mergeCell ref="E31:H31"/>
    <mergeCell ref="M31:N31"/>
    <mergeCell ref="P31:Q31"/>
    <mergeCell ref="R31:S31"/>
    <mergeCell ref="B32:D32"/>
    <mergeCell ref="E32:H32"/>
    <mergeCell ref="M32:N32"/>
    <mergeCell ref="P32:Q32"/>
    <mergeCell ref="R32:S32"/>
    <mergeCell ref="E33:O33"/>
    <mergeCell ref="P33:S33"/>
    <mergeCell ref="E34:O34"/>
    <mergeCell ref="P34:S34"/>
    <mergeCell ref="E35:O35"/>
    <mergeCell ref="P35:S35"/>
    <mergeCell ref="E36:O36"/>
    <mergeCell ref="P36:S36"/>
    <mergeCell ref="E37:O37"/>
    <mergeCell ref="P37:S37"/>
    <mergeCell ref="E38:O38"/>
    <mergeCell ref="P38:S38"/>
    <mergeCell ref="E39:O39"/>
    <mergeCell ref="P39:S39"/>
    <mergeCell ref="B40:D40"/>
    <mergeCell ref="E40:G40"/>
    <mergeCell ref="H40:I40"/>
    <mergeCell ref="J40:O40"/>
    <mergeCell ref="P40:Q40"/>
    <mergeCell ref="R40:S40"/>
    <mergeCell ref="E41:G41"/>
    <mergeCell ref="H41:I41"/>
    <mergeCell ref="J41:O41"/>
    <mergeCell ref="P41:Q41"/>
    <mergeCell ref="R41:S41"/>
    <mergeCell ref="H42:I42"/>
    <mergeCell ref="J42:O42"/>
    <mergeCell ref="P42:Q42"/>
    <mergeCell ref="R42:S42"/>
    <mergeCell ref="H43:I43"/>
    <mergeCell ref="J43:O43"/>
    <mergeCell ref="P43:Q43"/>
    <mergeCell ref="R43:S43"/>
    <mergeCell ref="H44:I44"/>
    <mergeCell ref="J44:O44"/>
    <mergeCell ref="P44:Q44"/>
    <mergeCell ref="R44:S44"/>
    <mergeCell ref="H45:I45"/>
    <mergeCell ref="J45:O45"/>
    <mergeCell ref="P45:Q45"/>
    <mergeCell ref="R45:S45"/>
    <mergeCell ref="H46:I46"/>
    <mergeCell ref="J46:O46"/>
    <mergeCell ref="P46:Q46"/>
    <mergeCell ref="R46:S46"/>
    <mergeCell ref="H47:I47"/>
    <mergeCell ref="J47:O47"/>
    <mergeCell ref="P47:Q47"/>
    <mergeCell ref="R47:S47"/>
    <mergeCell ref="H48:I48"/>
    <mergeCell ref="J48:O48"/>
    <mergeCell ref="P48:Q48"/>
    <mergeCell ref="R48:S48"/>
    <mergeCell ref="H49:I49"/>
    <mergeCell ref="J49:O49"/>
    <mergeCell ref="P49:Q49"/>
    <mergeCell ref="R49:S49"/>
    <mergeCell ref="E50:G50"/>
    <mergeCell ref="H50:I50"/>
    <mergeCell ref="J50:O50"/>
    <mergeCell ref="P50:Q50"/>
    <mergeCell ref="R50:S50"/>
    <mergeCell ref="E51:G51"/>
    <mergeCell ref="H51:I51"/>
    <mergeCell ref="J51:O51"/>
    <mergeCell ref="P51:Q51"/>
    <mergeCell ref="R51:S51"/>
    <mergeCell ref="E52:G52"/>
    <mergeCell ref="H52:I52"/>
    <mergeCell ref="J52:O52"/>
    <mergeCell ref="P52:Q52"/>
    <mergeCell ref="R52:S52"/>
    <mergeCell ref="E53:G53"/>
    <mergeCell ref="H53:I53"/>
    <mergeCell ref="J53:O53"/>
    <mergeCell ref="P53:Q53"/>
    <mergeCell ref="R53:S53"/>
    <mergeCell ref="E54:G54"/>
    <mergeCell ref="H54:I54"/>
    <mergeCell ref="J54:O54"/>
    <mergeCell ref="P54:Q54"/>
    <mergeCell ref="R54:S54"/>
    <mergeCell ref="E55:G55"/>
    <mergeCell ref="H55:I55"/>
    <mergeCell ref="J55:O55"/>
    <mergeCell ref="P55:Q55"/>
    <mergeCell ref="R55:S55"/>
    <mergeCell ref="E56:G56"/>
    <mergeCell ref="H56:I56"/>
    <mergeCell ref="J56:O56"/>
    <mergeCell ref="P56:Q56"/>
    <mergeCell ref="R56:S56"/>
    <mergeCell ref="B57:O57"/>
    <mergeCell ref="P57:Q57"/>
    <mergeCell ref="R57:S57"/>
    <mergeCell ref="C58:S58"/>
    <mergeCell ref="C59:D59"/>
    <mergeCell ref="E59:N59"/>
    <mergeCell ref="P59:Q59"/>
    <mergeCell ref="R59:S59"/>
    <mergeCell ref="C60:D60"/>
    <mergeCell ref="E60:N60"/>
    <mergeCell ref="P60:Q60"/>
    <mergeCell ref="R60:S60"/>
    <mergeCell ref="C61:D61"/>
    <mergeCell ref="E61:N61"/>
    <mergeCell ref="P61:Q61"/>
    <mergeCell ref="R61:S61"/>
    <mergeCell ref="C62:D62"/>
    <mergeCell ref="E62:N62"/>
    <mergeCell ref="P62:Q62"/>
    <mergeCell ref="R62:S62"/>
    <mergeCell ref="C63:D63"/>
    <mergeCell ref="E63:N63"/>
    <mergeCell ref="P63:Q63"/>
    <mergeCell ref="R63:S63"/>
    <mergeCell ref="C64:D64"/>
    <mergeCell ref="E64:N64"/>
    <mergeCell ref="P64:Q64"/>
    <mergeCell ref="R64:S64"/>
    <mergeCell ref="C65:S65"/>
    <mergeCell ref="C66:S66"/>
    <mergeCell ref="C67:S67"/>
    <mergeCell ref="C68:S68"/>
    <mergeCell ref="C69:S69"/>
    <mergeCell ref="C70:S70"/>
    <mergeCell ref="C74:S74"/>
    <mergeCell ref="A3:A21"/>
    <mergeCell ref="A22:A39"/>
    <mergeCell ref="A40:A45"/>
    <mergeCell ref="A46:A58"/>
    <mergeCell ref="A59:A74"/>
    <mergeCell ref="B7:B18"/>
    <mergeCell ref="B59:B66"/>
    <mergeCell ref="B67:B70"/>
    <mergeCell ref="B71:B74"/>
    <mergeCell ref="I24:I25"/>
    <mergeCell ref="J24:J25"/>
    <mergeCell ref="K24:K25"/>
    <mergeCell ref="L24:L25"/>
    <mergeCell ref="O24:O25"/>
    <mergeCell ref="T40:T45"/>
    <mergeCell ref="B4:H5"/>
    <mergeCell ref="I4:J5"/>
    <mergeCell ref="N4:O5"/>
    <mergeCell ref="C9:D11"/>
    <mergeCell ref="C12:D13"/>
    <mergeCell ref="C14:D18"/>
    <mergeCell ref="B20:H21"/>
    <mergeCell ref="B22:D25"/>
    <mergeCell ref="E22:H25"/>
    <mergeCell ref="R23:S25"/>
    <mergeCell ref="M24:N25"/>
    <mergeCell ref="P24:Q25"/>
    <mergeCell ref="B33:C39"/>
    <mergeCell ref="B41:D45"/>
    <mergeCell ref="E42:G43"/>
    <mergeCell ref="E44:G45"/>
    <mergeCell ref="B46:D49"/>
    <mergeCell ref="E46:G47"/>
    <mergeCell ref="E48:G49"/>
    <mergeCell ref="B50:D5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福利中心</vt:lpstr>
      <vt:lpstr> 东海陵园拆迁安置墓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游雅兰</cp:lastModifiedBy>
  <dcterms:created xsi:type="dcterms:W3CDTF">2018-08-28T01:48:00Z</dcterms:created>
  <dcterms:modified xsi:type="dcterms:W3CDTF">2019-05-09T06:48:35Z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2052-11.1.0.8597</vt:lpwstr>
  </property>
</Properties>
</file>