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385" windowHeight="8370"/>
  </bookViews>
  <sheets>
    <sheet name="2" sheetId="4" r:id="rId1"/>
  </sheets>
  <definedNames>
    <definedName name="_xlnm.Print_Area" localSheetId="0">'2'!$A$1:$S$75</definedName>
  </definedNames>
  <calcPr calcId="144525"/>
</workbook>
</file>

<file path=xl/sharedStrings.xml><?xml version="1.0" encoding="utf-8"?>
<sst xmlns="http://schemas.openxmlformats.org/spreadsheetml/2006/main" count="150">
  <si>
    <t>平潭社会福利中心（一期）工程项目绩效自评表</t>
  </si>
  <si>
    <t>项目基本情况</t>
  </si>
  <si>
    <t>立项依据</t>
  </si>
  <si>
    <t xml:space="preserve">闽岚综实委〔2015〕10号,岚综实项目审批（2015）10号 </t>
  </si>
  <si>
    <t>项目起止时间</t>
  </si>
  <si>
    <t>计划时间</t>
  </si>
  <si>
    <t xml:space="preserve">开始：2015年9月 </t>
  </si>
  <si>
    <t>实际时间</t>
  </si>
  <si>
    <t xml:space="preserve">完成：2018年12月 </t>
  </si>
  <si>
    <t xml:space="preserve">完成：   年  月 </t>
  </si>
  <si>
    <t>部门预算功能科目</t>
  </si>
  <si>
    <t>年度绩效目标</t>
  </si>
  <si>
    <t>绩效目标批复文号</t>
  </si>
  <si>
    <t>本项目绩效目标设置数量（个）</t>
  </si>
  <si>
    <t>目标分类（一级）</t>
  </si>
  <si>
    <t>分类细化（二级）</t>
  </si>
  <si>
    <t>绩效目标内容
（三级）</t>
  </si>
  <si>
    <t>参考标准</t>
  </si>
  <si>
    <t>绩效目标值</t>
  </si>
  <si>
    <t>实际完成值</t>
  </si>
  <si>
    <t>目标值完成比例</t>
  </si>
  <si>
    <t>投入</t>
  </si>
  <si>
    <t>时效目标</t>
  </si>
  <si>
    <t>资金使用</t>
  </si>
  <si>
    <t>2017年</t>
  </si>
  <si>
    <t>成本目标</t>
  </si>
  <si>
    <t>建设工程款成本控制在预算价内，并保质保量完成</t>
  </si>
  <si>
    <t>年初预算</t>
  </si>
  <si>
    <t>5583.66万元</t>
  </si>
  <si>
    <t>5533.66万元</t>
  </si>
  <si>
    <t>其他资源目标</t>
  </si>
  <si>
    <t>产出</t>
  </si>
  <si>
    <t>数量目标</t>
  </si>
  <si>
    <t>老人福利院、食堂、儿童福利院、康复中心、军休所、光荣院、后勤办公用房、救灾物资仓库、福乐家园、救助站</t>
  </si>
  <si>
    <t>每一个配套设施工程的完成率</t>
  </si>
  <si>
    <t>已完成主体工程</t>
  </si>
  <si>
    <t>质量目标</t>
  </si>
  <si>
    <t>项目竣工验收合格率</t>
  </si>
  <si>
    <t>以验收报告为准</t>
  </si>
  <si>
    <t>主体工程还未验收</t>
  </si>
  <si>
    <t>效益</t>
  </si>
  <si>
    <t>经济效益目标</t>
  </si>
  <si>
    <t>社会效益目标</t>
  </si>
  <si>
    <t>为平潭任命构建和谐社会提供有利保障</t>
  </si>
  <si>
    <t>解决经济困难、生活困苦特殊群体人数</t>
  </si>
  <si>
    <t>还未对外运营</t>
  </si>
  <si>
    <t>环境效益目标</t>
  </si>
  <si>
    <t>符合《全国生态环境规划》</t>
  </si>
  <si>
    <t>《全国生态环境规划》</t>
  </si>
  <si>
    <t>达到人与自然共和谐，不出现环境污染和资源破坏现象</t>
  </si>
  <si>
    <t>可持续影响目标</t>
  </si>
  <si>
    <t>能为孤寡老人、孤儿、残疾人、优抚军属等特殊群体创造更好的生活环境，提供更优质的服务</t>
  </si>
  <si>
    <t>入住人数以及床位数</t>
  </si>
  <si>
    <t>服务对象满意度
目标</t>
  </si>
  <si>
    <t>服务对象满意度目标</t>
  </si>
  <si>
    <t>服务对象对服务质量的满意度</t>
  </si>
  <si>
    <t>服务对象对服务质量的总体评价</t>
  </si>
  <si>
    <t>年度绩效目标总体完成情况</t>
  </si>
  <si>
    <t>工程进度达到预期目标，效益目标没有实现</t>
  </si>
  <si>
    <t>未完成目标的原因</t>
  </si>
  <si>
    <t>福利中心还未对外运营，无法产生效益</t>
  </si>
  <si>
    <t>项目评价方法</t>
  </si>
  <si>
    <r>
      <t xml:space="preserve">成本效益分析法□ </t>
    </r>
    <r>
      <rPr>
        <sz val="10"/>
        <rFont val="宋体"/>
        <charset val="134"/>
      </rPr>
      <t xml:space="preserve"> </t>
    </r>
    <r>
      <rPr>
        <sz val="10"/>
        <rFont val="宋体"/>
        <charset val="134"/>
      </rPr>
      <t xml:space="preserve">比较法□  因素分析法□  最低成本法□  公众评判法□    </t>
    </r>
  </si>
  <si>
    <r>
      <t>其他评价方法:</t>
    </r>
    <r>
      <rPr>
        <u/>
        <sz val="10"/>
        <rFont val="宋体"/>
        <charset val="134"/>
      </rPr>
      <t xml:space="preserve">                     </t>
    </r>
    <r>
      <rPr>
        <sz val="10"/>
        <rFont val="宋体"/>
        <charset val="134"/>
      </rPr>
      <t xml:space="preserve">□  </t>
    </r>
    <r>
      <rPr>
        <b/>
        <sz val="10"/>
        <rFont val="宋体"/>
        <charset val="134"/>
      </rPr>
      <t xml:space="preserve"> </t>
    </r>
    <r>
      <rPr>
        <sz val="10"/>
        <rFont val="宋体"/>
        <charset val="134"/>
      </rPr>
      <t xml:space="preserve">            </t>
    </r>
  </si>
  <si>
    <t xml:space="preserve">    项目资金安排和使用情况 </t>
  </si>
  <si>
    <t>项目安排资金</t>
  </si>
  <si>
    <t>本年度情况</t>
  </si>
  <si>
    <t>预算安排</t>
  </si>
  <si>
    <t>实际到位</t>
  </si>
  <si>
    <t>实际支出</t>
  </si>
  <si>
    <t>本年度结余金额       （万元）   ③=①-②</t>
  </si>
  <si>
    <t>金额                           （万元）</t>
  </si>
  <si>
    <t>预算批复下达文号</t>
  </si>
  <si>
    <r>
      <t>金额</t>
    </r>
    <r>
      <rPr>
        <sz val="10"/>
        <rFont val="Times New Roman"/>
        <family val="1"/>
        <charset val="0"/>
      </rPr>
      <t xml:space="preserve">            </t>
    </r>
    <r>
      <rPr>
        <sz val="10"/>
        <rFont val="宋体"/>
        <charset val="134"/>
      </rPr>
      <t>（万元）①</t>
    </r>
  </si>
  <si>
    <t>到位率（％）</t>
  </si>
  <si>
    <t>资金拨付文号及时间</t>
  </si>
  <si>
    <t xml:space="preserve">                                  金额                              （万元）②</t>
  </si>
  <si>
    <t>支出实现率（％）</t>
  </si>
  <si>
    <t>合　计</t>
  </si>
  <si>
    <t>财政资金小计</t>
  </si>
  <si>
    <t>①中央财政资金</t>
  </si>
  <si>
    <t>②省财政资金</t>
  </si>
  <si>
    <t>③地方财政资金</t>
  </si>
  <si>
    <t>岚财金【2017】17号</t>
  </si>
  <si>
    <t>其他资金小计</t>
  </si>
  <si>
    <r>
      <t>①</t>
    </r>
    <r>
      <rPr>
        <sz val="10"/>
        <rFont val="宋体"/>
        <charset val="134"/>
      </rPr>
      <t>……</t>
    </r>
  </si>
  <si>
    <t>财政资金实际支出情况</t>
  </si>
  <si>
    <t>序号</t>
  </si>
  <si>
    <t>具体支出内容</t>
  </si>
  <si>
    <t>金额(万元)</t>
  </si>
  <si>
    <t>工程进度款</t>
  </si>
  <si>
    <t>监理费</t>
  </si>
  <si>
    <t>其他</t>
  </si>
  <si>
    <t>……</t>
  </si>
  <si>
    <t>合计</t>
  </si>
  <si>
    <t>绩效自评指标体系</t>
  </si>
  <si>
    <r>
      <t xml:space="preserve">一级指标
</t>
    </r>
    <r>
      <rPr>
        <sz val="10"/>
        <rFont val="宋体"/>
        <charset val="134"/>
      </rPr>
      <t>（目标分类）</t>
    </r>
  </si>
  <si>
    <r>
      <t xml:space="preserve">二级指标
</t>
    </r>
    <r>
      <rPr>
        <sz val="10"/>
        <rFont val="宋体"/>
        <charset val="134"/>
      </rPr>
      <t>（分类细化）</t>
    </r>
  </si>
  <si>
    <r>
      <t xml:space="preserve">三级指标
</t>
    </r>
    <r>
      <rPr>
        <sz val="10"/>
        <rFont val="宋体"/>
        <charset val="134"/>
      </rPr>
      <t>（绩效目标内容）</t>
    </r>
  </si>
  <si>
    <r>
      <t xml:space="preserve">评分标准
</t>
    </r>
    <r>
      <rPr>
        <sz val="10"/>
        <rFont val="宋体"/>
        <charset val="134"/>
      </rPr>
      <t>（绩效目标值）</t>
    </r>
  </si>
  <si>
    <t>权重</t>
  </si>
  <si>
    <t>得分</t>
  </si>
  <si>
    <r>
      <t>投入（30%）</t>
    </r>
    <r>
      <rPr>
        <sz val="10"/>
        <rFont val="宋体"/>
        <charset val="134"/>
      </rPr>
      <t xml:space="preserve">
-本类指标和评分标准均可作为选用参考，部门（单位）可选用共性指标，也可根据需要自行设定个性指标，或者对参考指标、评分标准进行适当调整，并在一级指标下自行设置各个二级和三级指标的权重</t>
    </r>
  </si>
  <si>
    <t>时效情况</t>
  </si>
  <si>
    <t>2017年主体工程完成</t>
  </si>
  <si>
    <t>项目
立项</t>
  </si>
  <si>
    <t>绩效目标合理性</t>
  </si>
  <si>
    <t>资金落实</t>
  </si>
  <si>
    <t>成本控制率</t>
  </si>
  <si>
    <t>本年支出不超过5583.66万元</t>
  </si>
  <si>
    <r>
      <t>过程（30%）</t>
    </r>
    <r>
      <rPr>
        <sz val="10"/>
        <rFont val="宋体"/>
        <charset val="134"/>
      </rPr>
      <t xml:space="preserve">
-本类指标和评分标准均可作为选用参考，部门（单位）可选用共性指标，也可根据需要自行设定个性指标，或者对参考指标、评分标准进行适当调整，并在一级指标下自行设置各个二级和三级指标的权重</t>
    </r>
  </si>
  <si>
    <t>业务管理</t>
  </si>
  <si>
    <t>管理制度健全性</t>
  </si>
  <si>
    <t>资金使用管理</t>
  </si>
  <si>
    <t>资金使用合规性</t>
  </si>
  <si>
    <t>资金拨付流程按照相关规定执行</t>
  </si>
  <si>
    <r>
      <t xml:space="preserve">产出与效益（40%） </t>
    </r>
    <r>
      <rPr>
        <sz val="10"/>
        <rFont val="宋体"/>
        <charset val="134"/>
      </rPr>
      <t xml:space="preserve">
1</t>
    </r>
    <r>
      <rPr>
        <sz val="10"/>
        <rFont val="宋体"/>
        <charset val="134"/>
      </rPr>
      <t>.</t>
    </r>
    <r>
      <rPr>
        <sz val="10"/>
        <rFont val="宋体"/>
        <charset val="134"/>
      </rPr>
      <t>单位必须将期初设置的产出与效益类绩效目标全部编入此类评价指标，在此基础上可根据实际情况增设评价指标；
2</t>
    </r>
    <r>
      <rPr>
        <sz val="10"/>
        <rFont val="宋体"/>
        <charset val="134"/>
      </rPr>
      <t>.</t>
    </r>
    <r>
      <rPr>
        <sz val="10"/>
        <rFont val="宋体"/>
        <charset val="134"/>
      </rPr>
      <t xml:space="preserve">单项指标权重最高不得超过10%。
</t>
    </r>
  </si>
  <si>
    <t>产出数量</t>
  </si>
  <si>
    <t>完成项目主体工程</t>
  </si>
  <si>
    <t>产出质量</t>
  </si>
  <si>
    <t>符合相关验收标准</t>
  </si>
  <si>
    <t>验收通过</t>
  </si>
  <si>
    <t>经济效益</t>
  </si>
  <si>
    <t>社会效益</t>
  </si>
  <si>
    <t>维护处于特殊困难之中的老年人、孤儿和残疾人的生活、教育、医疗和康复等方面基本权利</t>
  </si>
  <si>
    <t>环境效益</t>
  </si>
  <si>
    <t>可持续效益</t>
  </si>
  <si>
    <t>服务对象满意度</t>
  </si>
  <si>
    <t>总权重、评价总分 （S）</t>
  </si>
  <si>
    <t xml:space="preserve">评价 等级 </t>
  </si>
  <si>
    <t xml:space="preserve">□优秀（S≧90）      □良好（90﹥S≧75）     □合格（75﹥S≧60）      □不合格（60&lt;S）  </t>
  </si>
  <si>
    <t xml:space="preserve">
绩效评价结论</t>
  </si>
  <si>
    <t xml:space="preserve">专   家   组   ︵   评    价     组   ︶  </t>
  </si>
  <si>
    <t>姓名</t>
  </si>
  <si>
    <t>单位</t>
  </si>
  <si>
    <t>职务</t>
  </si>
  <si>
    <t>职称</t>
  </si>
  <si>
    <t>签字</t>
  </si>
  <si>
    <t>专家组（评价组）意见：</t>
  </si>
  <si>
    <t xml:space="preserve">                              专家组（评价组）组长（签字）：           年   月  日</t>
  </si>
  <si>
    <t>中   介   机   构</t>
  </si>
  <si>
    <t>中介机构名称：</t>
  </si>
  <si>
    <t xml:space="preserve">                                          公章：
</t>
  </si>
  <si>
    <t xml:space="preserve">中介机构意见：                                  </t>
  </si>
  <si>
    <t xml:space="preserve">       中介机构负责人（签字）：                  年   月   日</t>
  </si>
  <si>
    <t>主   管   部      门        意   见</t>
  </si>
  <si>
    <t xml:space="preserve">                                                主管部门负责人（签章）：                   年   月    日</t>
  </si>
  <si>
    <t>填表人：</t>
  </si>
  <si>
    <t>填表时间：</t>
  </si>
  <si>
    <t>联系电话：</t>
  </si>
</sst>
</file>

<file path=xl/styles.xml><?xml version="1.0" encoding="utf-8"?>
<styleSheet xmlns="http://schemas.openxmlformats.org/spreadsheetml/2006/main">
  <numFmts count="5">
    <numFmt numFmtId="41" formatCode="_ * #,##0_ ;_ * \-#,##0_ ;_ * &quot;-&quot;_ ;_ @_ "/>
    <numFmt numFmtId="43" formatCode="_ * #,##0.00_ ;_ * \-#,##0.00_ ;_ * &quot;-&quot;??_ ;_ @_ "/>
    <numFmt numFmtId="176" formatCode="0.00_ "/>
    <numFmt numFmtId="44" formatCode="_ &quot;￥&quot;* #,##0.00_ ;_ &quot;￥&quot;* \-#,##0.00_ ;_ &quot;￥&quot;* &quot;-&quot;??_ ;_ @_ "/>
    <numFmt numFmtId="42" formatCode="_ &quot;￥&quot;* #,##0_ ;_ &quot;￥&quot;* \-#,##0_ ;_ &quot;￥&quot;* &quot;-&quot;_ ;_ @_ "/>
  </numFmts>
  <fonts count="34">
    <font>
      <sz val="11"/>
      <color theme="1"/>
      <name val="宋体"/>
      <charset val="134"/>
      <scheme val="minor"/>
    </font>
    <font>
      <sz val="12"/>
      <name val="宋体"/>
      <charset val="134"/>
    </font>
    <font>
      <sz val="10"/>
      <name val="宋体"/>
      <charset val="134"/>
    </font>
    <font>
      <sz val="17"/>
      <name val="仿宋"/>
      <family val="3"/>
      <charset val="134"/>
    </font>
    <font>
      <sz val="14"/>
      <name val="仿宋"/>
      <family val="3"/>
      <charset val="134"/>
    </font>
    <font>
      <b/>
      <sz val="22"/>
      <name val="宋体"/>
      <charset val="134"/>
    </font>
    <font>
      <b/>
      <sz val="14"/>
      <name val="宋体"/>
      <charset val="134"/>
    </font>
    <font>
      <b/>
      <sz val="12"/>
      <name val="宋体"/>
      <charset val="134"/>
    </font>
    <font>
      <sz val="11"/>
      <name val="宋体"/>
      <charset val="134"/>
    </font>
    <font>
      <b/>
      <sz val="10"/>
      <name val="宋体"/>
      <charset val="134"/>
    </font>
    <font>
      <b/>
      <sz val="9"/>
      <name val="宋体"/>
      <charset val="134"/>
    </font>
    <font>
      <sz val="9"/>
      <name val="宋体"/>
      <charset val="134"/>
    </font>
    <font>
      <sz val="11"/>
      <color theme="1"/>
      <name val="宋体"/>
      <charset val="134"/>
      <scheme val="minor"/>
    </font>
    <font>
      <sz val="11"/>
      <color theme="0"/>
      <name val="宋体"/>
      <charset val="0"/>
      <scheme val="minor"/>
    </font>
    <font>
      <sz val="11"/>
      <color theme="1"/>
      <name val="宋体"/>
      <charset val="0"/>
      <scheme val="minor"/>
    </font>
    <font>
      <b/>
      <sz val="11"/>
      <color rgb="FFFFFFFF"/>
      <name val="宋体"/>
      <charset val="0"/>
      <scheme val="minor"/>
    </font>
    <font>
      <sz val="11"/>
      <color rgb="FF9C0006"/>
      <name val="宋体"/>
      <charset val="0"/>
      <scheme val="minor"/>
    </font>
    <font>
      <sz val="11"/>
      <color rgb="FF3F3F76"/>
      <name val="宋体"/>
      <charset val="0"/>
      <scheme val="minor"/>
    </font>
    <font>
      <b/>
      <sz val="18"/>
      <color theme="3"/>
      <name val="宋体"/>
      <charset val="134"/>
      <scheme val="minor"/>
    </font>
    <font>
      <sz val="11"/>
      <color rgb="FFFF000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1"/>
      <color rgb="FFFA7D00"/>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sz val="11"/>
      <color rgb="FF9C6500"/>
      <name val="宋体"/>
      <charset val="0"/>
      <scheme val="minor"/>
    </font>
    <font>
      <sz val="11"/>
      <color rgb="FFFA7D00"/>
      <name val="宋体"/>
      <charset val="0"/>
      <scheme val="minor"/>
    </font>
    <font>
      <sz val="11"/>
      <color rgb="FF006100"/>
      <name val="宋体"/>
      <charset val="0"/>
      <scheme val="minor"/>
    </font>
    <font>
      <b/>
      <sz val="11"/>
      <color theme="1"/>
      <name val="宋体"/>
      <charset val="0"/>
      <scheme val="minor"/>
    </font>
    <font>
      <u/>
      <sz val="10"/>
      <name val="宋体"/>
      <charset val="134"/>
    </font>
    <font>
      <sz val="10"/>
      <name val="Times New Roman"/>
      <family val="1"/>
      <charset val="0"/>
    </font>
  </fonts>
  <fills count="34">
    <fill>
      <patternFill patternType="none"/>
    </fill>
    <fill>
      <patternFill patternType="gray125"/>
    </fill>
    <fill>
      <patternFill patternType="solid">
        <fgColor indexed="9"/>
        <bgColor indexed="64"/>
      </patternFill>
    </fill>
    <fill>
      <patternFill patternType="solid">
        <fgColor theme="9"/>
        <bgColor indexed="64"/>
      </patternFill>
    </fill>
    <fill>
      <patternFill patternType="solid">
        <fgColor theme="6" tint="0.599993896298105"/>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rgb="FFA5A5A5"/>
        <bgColor indexed="64"/>
      </patternFill>
    </fill>
    <fill>
      <patternFill patternType="solid">
        <fgColor rgb="FFFFC7CE"/>
        <bgColor indexed="64"/>
      </patternFill>
    </fill>
    <fill>
      <patternFill patternType="solid">
        <fgColor theme="4"/>
        <bgColor indexed="64"/>
      </patternFill>
    </fill>
    <fill>
      <patternFill patternType="solid">
        <fgColor rgb="FFFFCC99"/>
        <bgColor indexed="64"/>
      </patternFill>
    </fill>
    <fill>
      <patternFill patternType="solid">
        <fgColor theme="8"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rgb="FFF2F2F2"/>
        <bgColor indexed="64"/>
      </patternFill>
    </fill>
    <fill>
      <patternFill patternType="solid">
        <fgColor theme="4" tint="0.399975585192419"/>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rgb="FFFFEB9C"/>
        <bgColor indexed="64"/>
      </patternFill>
    </fill>
    <fill>
      <patternFill patternType="solid">
        <fgColor rgb="FFC6EFCE"/>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theme="6"/>
        <bgColor indexed="64"/>
      </patternFill>
    </fill>
    <fill>
      <patternFill patternType="solid">
        <fgColor theme="8" tint="0.599993896298105"/>
        <bgColor indexed="64"/>
      </patternFill>
    </fill>
    <fill>
      <patternFill patternType="solid">
        <fgColor theme="7"/>
        <bgColor indexed="64"/>
      </patternFill>
    </fill>
    <fill>
      <patternFill patternType="solid">
        <fgColor theme="8"/>
        <bgColor indexed="64"/>
      </patternFill>
    </fill>
    <fill>
      <patternFill patternType="solid">
        <fgColor theme="7" tint="0.599993896298105"/>
        <bgColor indexed="64"/>
      </patternFill>
    </fill>
    <fill>
      <patternFill patternType="solid">
        <fgColor theme="9" tint="0.599993896298105"/>
        <bgColor indexed="64"/>
      </patternFill>
    </fill>
    <fill>
      <patternFill patternType="solid">
        <fgColor theme="8" tint="0.399975585192419"/>
        <bgColor indexed="64"/>
      </patternFill>
    </fill>
  </fills>
  <borders count="66">
    <border>
      <left/>
      <right/>
      <top/>
      <bottom/>
      <diagonal/>
    </border>
    <border>
      <left/>
      <right/>
      <top/>
      <bottom style="medium">
        <color auto="1"/>
      </bottom>
      <diagonal/>
    </border>
    <border>
      <left style="medium">
        <color auto="1"/>
      </left>
      <right/>
      <top style="medium">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top/>
      <bottom/>
      <diagonal/>
    </border>
    <border>
      <left style="medium">
        <color auto="1"/>
      </left>
      <right/>
      <top style="thin">
        <color auto="1"/>
      </top>
      <bottom/>
      <diagonal/>
    </border>
    <border>
      <left/>
      <right/>
      <top style="thin">
        <color auto="1"/>
      </top>
      <bottom/>
      <diagonal/>
    </border>
    <border>
      <left/>
      <right style="thin">
        <color auto="1"/>
      </right>
      <top style="thin">
        <color auto="1"/>
      </top>
      <bottom/>
      <diagonal/>
    </border>
    <border>
      <left style="medium">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style="thin">
        <color auto="1"/>
      </right>
      <top style="thin">
        <color auto="1"/>
      </top>
      <bottom/>
      <diagonal/>
    </border>
    <border>
      <left style="medium">
        <color auto="1"/>
      </left>
      <right/>
      <top style="thin">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auto="1"/>
      </left>
      <right/>
      <top style="thin">
        <color auto="1"/>
      </top>
      <bottom/>
      <diagonal/>
    </border>
    <border>
      <left style="thin">
        <color auto="1"/>
      </left>
      <right style="thin">
        <color auto="1"/>
      </right>
      <top/>
      <bottom style="thin">
        <color auto="1"/>
      </bottom>
      <diagonal/>
    </border>
    <border>
      <left style="thin">
        <color auto="1"/>
      </left>
      <right/>
      <top/>
      <bottom style="medium">
        <color auto="1"/>
      </bottom>
      <diagonal/>
    </border>
    <border>
      <left/>
      <right style="thin">
        <color auto="1"/>
      </right>
      <top/>
      <bottom style="medium">
        <color auto="1"/>
      </bottom>
      <diagonal/>
    </border>
    <border>
      <left/>
      <right/>
      <top style="medium">
        <color auto="1"/>
      </top>
      <bottom style="thin">
        <color auto="1"/>
      </bottom>
      <diagonal/>
    </border>
    <border>
      <left style="medium">
        <color auto="1"/>
      </left>
      <right style="medium">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style="medium">
        <color auto="1"/>
      </top>
      <bottom style="thin">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diagonal/>
    </border>
    <border>
      <left/>
      <right style="medium">
        <color auto="1"/>
      </right>
      <top style="thin">
        <color auto="1"/>
      </top>
      <bottom style="medium">
        <color auto="1"/>
      </bottom>
      <diagonal/>
    </border>
    <border>
      <left style="medium">
        <color auto="1"/>
      </left>
      <right style="thin">
        <color auto="1"/>
      </right>
      <top/>
      <bottom style="medium">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bottom/>
      <diagonal/>
    </border>
    <border>
      <left/>
      <right style="medium">
        <color auto="1"/>
      </right>
      <top/>
      <bottom style="medium">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12" fillId="0" borderId="0" applyFont="0" applyFill="0" applyBorder="0" applyAlignment="0" applyProtection="0">
      <alignment vertical="center"/>
    </xf>
    <xf numFmtId="0" fontId="14" fillId="6" borderId="0" applyNumberFormat="0" applyBorder="0" applyAlignment="0" applyProtection="0">
      <alignment vertical="center"/>
    </xf>
    <xf numFmtId="0" fontId="17" fillId="10" borderId="59" applyNumberFormat="0" applyAlignment="0" applyProtection="0">
      <alignment vertical="center"/>
    </xf>
    <xf numFmtId="44" fontId="12" fillId="0" borderId="0" applyFont="0" applyFill="0" applyBorder="0" applyAlignment="0" applyProtection="0">
      <alignment vertical="center"/>
    </xf>
    <xf numFmtId="41" fontId="12" fillId="0" borderId="0" applyFont="0" applyFill="0" applyBorder="0" applyAlignment="0" applyProtection="0">
      <alignment vertical="center"/>
    </xf>
    <xf numFmtId="0" fontId="14" fillId="4" borderId="0" applyNumberFormat="0" applyBorder="0" applyAlignment="0" applyProtection="0">
      <alignment vertical="center"/>
    </xf>
    <xf numFmtId="0" fontId="16" fillId="8" borderId="0" applyNumberFormat="0" applyBorder="0" applyAlignment="0" applyProtection="0">
      <alignment vertical="center"/>
    </xf>
    <xf numFmtId="43" fontId="12" fillId="0" borderId="0" applyFont="0" applyFill="0" applyBorder="0" applyAlignment="0" applyProtection="0">
      <alignment vertical="center"/>
    </xf>
    <xf numFmtId="0" fontId="13" fillId="12" borderId="0" applyNumberFormat="0" applyBorder="0" applyAlignment="0" applyProtection="0">
      <alignment vertical="center"/>
    </xf>
    <xf numFmtId="0" fontId="20" fillId="0" borderId="0" applyNumberFormat="0" applyFill="0" applyBorder="0" applyAlignment="0" applyProtection="0">
      <alignment vertical="center"/>
    </xf>
    <xf numFmtId="9" fontId="12" fillId="0" borderId="0" applyFont="0" applyFill="0" applyBorder="0" applyAlignment="0" applyProtection="0">
      <alignment vertical="center"/>
    </xf>
    <xf numFmtId="0" fontId="21" fillId="0" borderId="0" applyNumberFormat="0" applyFill="0" applyBorder="0" applyAlignment="0" applyProtection="0">
      <alignment vertical="center"/>
    </xf>
    <xf numFmtId="0" fontId="12" fillId="13" borderId="60" applyNumberFormat="0" applyFont="0" applyAlignment="0" applyProtection="0">
      <alignment vertical="center"/>
    </xf>
    <xf numFmtId="0" fontId="13" fillId="14" borderId="0" applyNumberFormat="0" applyBorder="0" applyAlignment="0" applyProtection="0">
      <alignment vertical="center"/>
    </xf>
    <xf numFmtId="0" fontId="22"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5" fillId="0" borderId="61" applyNumberFormat="0" applyFill="0" applyAlignment="0" applyProtection="0">
      <alignment vertical="center"/>
    </xf>
    <xf numFmtId="0" fontId="26" fillId="0" borderId="61" applyNumberFormat="0" applyFill="0" applyAlignment="0" applyProtection="0">
      <alignment vertical="center"/>
    </xf>
    <xf numFmtId="0" fontId="13" fillId="19" borderId="0" applyNumberFormat="0" applyBorder="0" applyAlignment="0" applyProtection="0">
      <alignment vertical="center"/>
    </xf>
    <xf numFmtId="0" fontId="22" fillId="0" borderId="62" applyNumberFormat="0" applyFill="0" applyAlignment="0" applyProtection="0">
      <alignment vertical="center"/>
    </xf>
    <xf numFmtId="0" fontId="13" fillId="5" borderId="0" applyNumberFormat="0" applyBorder="0" applyAlignment="0" applyProtection="0">
      <alignment vertical="center"/>
    </xf>
    <xf numFmtId="0" fontId="27" fillId="18" borderId="63" applyNumberFormat="0" applyAlignment="0" applyProtection="0">
      <alignment vertical="center"/>
    </xf>
    <xf numFmtId="0" fontId="24" fillId="18" borderId="59" applyNumberFormat="0" applyAlignment="0" applyProtection="0">
      <alignment vertical="center"/>
    </xf>
    <xf numFmtId="0" fontId="15" fillId="7" borderId="58" applyNumberFormat="0" applyAlignment="0" applyProtection="0">
      <alignment vertical="center"/>
    </xf>
    <xf numFmtId="0" fontId="14" fillId="21" borderId="0" applyNumberFormat="0" applyBorder="0" applyAlignment="0" applyProtection="0">
      <alignment vertical="center"/>
    </xf>
    <xf numFmtId="0" fontId="13" fillId="16" borderId="0" applyNumberFormat="0" applyBorder="0" applyAlignment="0" applyProtection="0">
      <alignment vertical="center"/>
    </xf>
    <xf numFmtId="0" fontId="29" fillId="0" borderId="64" applyNumberFormat="0" applyFill="0" applyAlignment="0" applyProtection="0">
      <alignment vertical="center"/>
    </xf>
    <xf numFmtId="0" fontId="31" fillId="0" borderId="65" applyNumberFormat="0" applyFill="0" applyAlignment="0" applyProtection="0">
      <alignment vertical="center"/>
    </xf>
    <xf numFmtId="0" fontId="30" fillId="23" borderId="0" applyNumberFormat="0" applyBorder="0" applyAlignment="0" applyProtection="0">
      <alignment vertical="center"/>
    </xf>
    <xf numFmtId="0" fontId="28" fillId="22" borderId="0" applyNumberFormat="0" applyBorder="0" applyAlignment="0" applyProtection="0">
      <alignment vertical="center"/>
    </xf>
    <xf numFmtId="0" fontId="14" fillId="11" borderId="0" applyNumberFormat="0" applyBorder="0" applyAlignment="0" applyProtection="0">
      <alignment vertical="center"/>
    </xf>
    <xf numFmtId="0" fontId="13" fillId="9" borderId="0" applyNumberFormat="0" applyBorder="0" applyAlignment="0" applyProtection="0">
      <alignment vertical="center"/>
    </xf>
    <xf numFmtId="0" fontId="14" fillId="24" borderId="0" applyNumberFormat="0" applyBorder="0" applyAlignment="0" applyProtection="0">
      <alignment vertical="center"/>
    </xf>
    <xf numFmtId="0" fontId="14" fillId="15" borderId="0" applyNumberFormat="0" applyBorder="0" applyAlignment="0" applyProtection="0">
      <alignment vertical="center"/>
    </xf>
    <xf numFmtId="0" fontId="14" fillId="17" borderId="0" applyNumberFormat="0" applyBorder="0" applyAlignment="0" applyProtection="0">
      <alignment vertical="center"/>
    </xf>
    <xf numFmtId="0" fontId="14" fillId="25" borderId="0" applyNumberFormat="0" applyBorder="0" applyAlignment="0" applyProtection="0">
      <alignment vertical="center"/>
    </xf>
    <xf numFmtId="0" fontId="13" fillId="27" borderId="0" applyNumberFormat="0" applyBorder="0" applyAlignment="0" applyProtection="0">
      <alignment vertical="center"/>
    </xf>
    <xf numFmtId="0" fontId="13" fillId="29" borderId="0" applyNumberFormat="0" applyBorder="0" applyAlignment="0" applyProtection="0">
      <alignment vertical="center"/>
    </xf>
    <xf numFmtId="0" fontId="14" fillId="26" borderId="0" applyNumberFormat="0" applyBorder="0" applyAlignment="0" applyProtection="0">
      <alignment vertical="center"/>
    </xf>
    <xf numFmtId="0" fontId="14" fillId="31" borderId="0" applyNumberFormat="0" applyBorder="0" applyAlignment="0" applyProtection="0">
      <alignment vertical="center"/>
    </xf>
    <xf numFmtId="0" fontId="13" fillId="30" borderId="0" applyNumberFormat="0" applyBorder="0" applyAlignment="0" applyProtection="0">
      <alignment vertical="center"/>
    </xf>
    <xf numFmtId="0" fontId="14" fillId="28" borderId="0" applyNumberFormat="0" applyBorder="0" applyAlignment="0" applyProtection="0">
      <alignment vertical="center"/>
    </xf>
    <xf numFmtId="0" fontId="13" fillId="33" borderId="0" applyNumberFormat="0" applyBorder="0" applyAlignment="0" applyProtection="0">
      <alignment vertical="center"/>
    </xf>
    <xf numFmtId="0" fontId="13" fillId="3" borderId="0" applyNumberFormat="0" applyBorder="0" applyAlignment="0" applyProtection="0">
      <alignment vertical="center"/>
    </xf>
    <xf numFmtId="0" fontId="14" fillId="32" borderId="0" applyNumberFormat="0" applyBorder="0" applyAlignment="0" applyProtection="0">
      <alignment vertical="center"/>
    </xf>
    <xf numFmtId="0" fontId="13" fillId="20" borderId="0" applyNumberFormat="0" applyBorder="0" applyAlignment="0" applyProtection="0">
      <alignment vertical="center"/>
    </xf>
  </cellStyleXfs>
  <cellXfs count="199">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horizontal="center"/>
    </xf>
    <xf numFmtId="0" fontId="2" fillId="0" borderId="0" xfId="0" applyFont="1" applyFill="1" applyBorder="1" applyAlignment="1">
      <alignment vertical="center"/>
    </xf>
    <xf numFmtId="0" fontId="2" fillId="0" borderId="0" xfId="0" applyFont="1" applyFill="1" applyBorder="1" applyAlignment="1">
      <alignment horizontal="center" vertical="center" wrapText="1"/>
    </xf>
    <xf numFmtId="0" fontId="1" fillId="0" borderId="0" xfId="0" applyFont="1" applyFill="1" applyBorder="1" applyAlignment="1">
      <alignment vertical="center"/>
    </xf>
    <xf numFmtId="0" fontId="3" fillId="0" borderId="0" xfId="0" applyFont="1" applyFill="1" applyBorder="1" applyAlignment="1">
      <alignment horizontal="left" vertical="top" wrapText="1"/>
    </xf>
    <xf numFmtId="0" fontId="4" fillId="0" borderId="0" xfId="0" applyFont="1" applyFill="1" applyBorder="1" applyAlignment="1">
      <alignment vertical="top" wrapText="1"/>
    </xf>
    <xf numFmtId="0" fontId="5"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7" fillId="0" borderId="3" xfId="0" applyFont="1" applyFill="1" applyBorder="1" applyAlignment="1">
      <alignment horizontal="center" vertical="center" wrapText="1"/>
    </xf>
    <xf numFmtId="0" fontId="7"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7" fillId="0" borderId="6"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8"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1"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15" xfId="0" applyFont="1" applyFill="1" applyBorder="1" applyAlignment="1">
      <alignment horizontal="center" vertical="center" wrapText="1"/>
    </xf>
    <xf numFmtId="0" fontId="7" fillId="0" borderId="16" xfId="0" applyFont="1" applyFill="1" applyBorder="1" applyAlignment="1">
      <alignment horizontal="center" vertical="center" wrapText="1"/>
    </xf>
    <xf numFmtId="0" fontId="7" fillId="0" borderId="17" xfId="0" applyFont="1" applyFill="1" applyBorder="1" applyAlignment="1">
      <alignment horizontal="center" vertical="center" wrapText="1"/>
    </xf>
    <xf numFmtId="0" fontId="7" fillId="0" borderId="18" xfId="0" applyFont="1" applyFill="1" applyBorder="1" applyAlignment="1">
      <alignment horizontal="center" vertical="center" wrapText="1"/>
    </xf>
    <xf numFmtId="0" fontId="7" fillId="0" borderId="19" xfId="0" applyFont="1" applyFill="1" applyBorder="1" applyAlignment="1">
      <alignment horizontal="center" vertical="center" wrapText="1"/>
    </xf>
    <xf numFmtId="0" fontId="7" fillId="0" borderId="20" xfId="0" applyFont="1" applyFill="1" applyBorder="1" applyAlignment="1">
      <alignment horizontal="left" vertical="center" wrapText="1"/>
    </xf>
    <xf numFmtId="0" fontId="7" fillId="0" borderId="16" xfId="0" applyFont="1" applyFill="1" applyBorder="1" applyAlignment="1">
      <alignment horizontal="left" vertical="center" wrapText="1"/>
    </xf>
    <xf numFmtId="0" fontId="6" fillId="0" borderId="21" xfId="0" applyFont="1" applyFill="1" applyBorder="1" applyAlignment="1">
      <alignment horizontal="center" vertical="center" wrapText="1"/>
    </xf>
    <xf numFmtId="0" fontId="7" fillId="0" borderId="22" xfId="0" applyFont="1" applyFill="1" applyBorder="1" applyAlignment="1">
      <alignment horizontal="left" vertical="center" wrapText="1"/>
    </xf>
    <xf numFmtId="0" fontId="7" fillId="0" borderId="23" xfId="0" applyFont="1" applyFill="1" applyBorder="1" applyAlignment="1">
      <alignment horizontal="left" vertical="center" wrapText="1"/>
    </xf>
    <xf numFmtId="0" fontId="6" fillId="0" borderId="24" xfId="0" applyFont="1" applyFill="1" applyBorder="1" applyAlignment="1">
      <alignment horizontal="center" vertical="center" wrapText="1"/>
    </xf>
    <xf numFmtId="0" fontId="8" fillId="0" borderId="4" xfId="0" applyFont="1" applyFill="1" applyBorder="1" applyAlignment="1">
      <alignment horizontal="center" vertical="center" wrapText="1"/>
    </xf>
    <xf numFmtId="0" fontId="2" fillId="0" borderId="25" xfId="0" applyFont="1" applyFill="1" applyBorder="1" applyAlignment="1">
      <alignment horizontal="center" vertical="center" wrapText="1"/>
    </xf>
    <xf numFmtId="0" fontId="2" fillId="0" borderId="26" xfId="0" applyFont="1" applyFill="1" applyBorder="1" applyAlignment="1">
      <alignment horizontal="center" vertical="center" wrapText="1"/>
    </xf>
    <xf numFmtId="0" fontId="2" fillId="0" borderId="27" xfId="0" applyFont="1" applyFill="1" applyBorder="1" applyAlignment="1">
      <alignment horizontal="center" vertical="center" wrapText="1"/>
    </xf>
    <xf numFmtId="0" fontId="6" fillId="0" borderId="9" xfId="0" applyFont="1" applyFill="1" applyBorder="1" applyAlignment="1">
      <alignment horizontal="center" vertical="center" wrapText="1"/>
    </xf>
    <xf numFmtId="0" fontId="8" fillId="0" borderId="16" xfId="0" applyFont="1" applyFill="1" applyBorder="1" applyAlignment="1">
      <alignment horizontal="center" vertical="center" wrapText="1"/>
    </xf>
    <xf numFmtId="0" fontId="2" fillId="0" borderId="28"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29"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2" fillId="0" borderId="30" xfId="0" applyFont="1" applyFill="1" applyBorder="1" applyAlignment="1">
      <alignment horizontal="center" vertical="center" wrapText="1"/>
    </xf>
    <xf numFmtId="0" fontId="2" fillId="0" borderId="10" xfId="0" applyFont="1" applyFill="1" applyBorder="1" applyAlignment="1">
      <alignment horizontal="center" vertical="center" wrapText="1"/>
    </xf>
    <xf numFmtId="0" fontId="2" fillId="0" borderId="11"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8" fillId="0" borderId="19"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2" fillId="0" borderId="16" xfId="0" applyFont="1" applyFill="1" applyBorder="1" applyAlignment="1">
      <alignment horizontal="left" vertical="center" wrapText="1"/>
    </xf>
    <xf numFmtId="0" fontId="2" fillId="0" borderId="19" xfId="0" applyFont="1" applyFill="1" applyBorder="1" applyAlignment="1">
      <alignment horizontal="left" vertical="center" wrapText="1"/>
    </xf>
    <xf numFmtId="0" fontId="2" fillId="0" borderId="13" xfId="0" applyFont="1" applyFill="1" applyBorder="1" applyAlignment="1">
      <alignment horizontal="left" vertical="center" wrapText="1"/>
    </xf>
    <xf numFmtId="0" fontId="2" fillId="0" borderId="14" xfId="0" applyFont="1" applyFill="1" applyBorder="1" applyAlignment="1">
      <alignment horizontal="left" vertical="center" wrapText="1"/>
    </xf>
    <xf numFmtId="0" fontId="2" fillId="0" borderId="16" xfId="0" applyFont="1" applyFill="1" applyBorder="1" applyAlignment="1">
      <alignment horizontal="center" vertical="center" wrapText="1"/>
    </xf>
    <xf numFmtId="0" fontId="2" fillId="0" borderId="16" xfId="0" applyFont="1" applyFill="1" applyBorder="1" applyAlignment="1">
      <alignment horizontal="center" vertical="center"/>
    </xf>
    <xf numFmtId="0" fontId="2" fillId="0" borderId="16" xfId="0" applyFont="1" applyFill="1" applyBorder="1" applyAlignment="1">
      <alignment vertical="center" wrapText="1"/>
    </xf>
    <xf numFmtId="0" fontId="2" fillId="2" borderId="16" xfId="0" applyFont="1" applyFill="1" applyBorder="1" applyAlignment="1">
      <alignment horizontal="center" vertical="center" wrapText="1"/>
    </xf>
    <xf numFmtId="0" fontId="6" fillId="0" borderId="6" xfId="0" applyFont="1" applyFill="1" applyBorder="1" applyAlignment="1">
      <alignment horizontal="center" vertical="center" wrapText="1"/>
    </xf>
    <xf numFmtId="0" fontId="2" fillId="0" borderId="31" xfId="0" applyFont="1" applyFill="1" applyBorder="1" applyAlignment="1">
      <alignment horizontal="center" vertical="center"/>
    </xf>
    <xf numFmtId="0" fontId="6" fillId="0" borderId="32" xfId="0" applyFont="1" applyFill="1" applyBorder="1" applyAlignment="1">
      <alignment horizontal="center" vertical="center" wrapText="1"/>
    </xf>
    <xf numFmtId="0" fontId="2" fillId="0" borderId="23" xfId="0" applyFont="1" applyFill="1" applyBorder="1" applyAlignment="1">
      <alignment horizontal="center" vertical="center"/>
    </xf>
    <xf numFmtId="0" fontId="6" fillId="0" borderId="33" xfId="0" applyFont="1" applyFill="1" applyBorder="1" applyAlignment="1">
      <alignment horizontal="center" vertical="center" wrapText="1"/>
    </xf>
    <xf numFmtId="0" fontId="6" fillId="0" borderId="34" xfId="0" applyFont="1" applyFill="1" applyBorder="1" applyAlignment="1">
      <alignment horizontal="center" vertical="center" wrapText="1"/>
    </xf>
    <xf numFmtId="0" fontId="9"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35" xfId="0" applyFont="1" applyFill="1" applyBorder="1" applyAlignment="1">
      <alignment horizontal="left" vertical="center" wrapText="1"/>
    </xf>
    <xf numFmtId="0" fontId="9" fillId="0" borderId="5"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29" xfId="0" applyFont="1" applyFill="1" applyBorder="1" applyAlignment="1">
      <alignment horizontal="left" vertical="center" wrapText="1"/>
    </xf>
    <xf numFmtId="0" fontId="2" fillId="0" borderId="35"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9" fillId="0" borderId="2" xfId="0" applyFont="1" applyFill="1" applyBorder="1" applyAlignment="1">
      <alignment horizontal="left" vertical="center" wrapText="1"/>
    </xf>
    <xf numFmtId="0" fontId="2" fillId="0" borderId="26" xfId="0" applyFont="1" applyFill="1" applyBorder="1" applyAlignment="1">
      <alignment horizontal="left" vertical="center" wrapText="1"/>
    </xf>
    <xf numFmtId="0" fontId="2" fillId="0" borderId="27"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6" xfId="0" applyFont="1" applyFill="1" applyBorder="1" applyAlignment="1">
      <alignment horizontal="center" vertical="center" wrapText="1"/>
    </xf>
    <xf numFmtId="0" fontId="2" fillId="0" borderId="5" xfId="0" applyFont="1" applyFill="1" applyBorder="1" applyAlignment="1">
      <alignment horizontal="left" vertical="center" wrapText="1"/>
    </xf>
    <xf numFmtId="49" fontId="2" fillId="0" borderId="16" xfId="0" applyNumberFormat="1" applyFont="1" applyFill="1" applyBorder="1" applyAlignment="1">
      <alignment horizontal="left" vertical="center" wrapText="1"/>
    </xf>
    <xf numFmtId="0" fontId="2" fillId="0" borderId="37"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8" xfId="0" applyFont="1" applyFill="1" applyBorder="1" applyAlignment="1">
      <alignment horizontal="center" vertical="center" wrapText="1"/>
    </xf>
    <xf numFmtId="49" fontId="2" fillId="0" borderId="19" xfId="0" applyNumberFormat="1" applyFont="1" applyFill="1" applyBorder="1" applyAlignment="1">
      <alignment horizontal="left" vertical="center" wrapText="1"/>
    </xf>
    <xf numFmtId="0" fontId="2" fillId="0" borderId="21"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38" xfId="0" applyFont="1" applyFill="1" applyBorder="1" applyAlignment="1">
      <alignment horizontal="left" vertical="center" wrapText="1"/>
    </xf>
    <xf numFmtId="0" fontId="2" fillId="0" borderId="23" xfId="0" applyFont="1" applyFill="1" applyBorder="1" applyAlignment="1">
      <alignment horizontal="center" vertical="center" wrapText="1"/>
    </xf>
    <xf numFmtId="0" fontId="2" fillId="0" borderId="23" xfId="0" applyFont="1" applyFill="1" applyBorder="1" applyAlignment="1">
      <alignment horizontal="left" vertical="center" wrapText="1"/>
    </xf>
    <xf numFmtId="0" fontId="7" fillId="0" borderId="24" xfId="0" applyFont="1" applyFill="1" applyBorder="1" applyAlignment="1">
      <alignment horizontal="center" vertical="center" wrapText="1"/>
    </xf>
    <xf numFmtId="0" fontId="7" fillId="0" borderId="39" xfId="0" applyFont="1" applyFill="1" applyBorder="1" applyAlignment="1">
      <alignment horizontal="center" vertical="center" wrapText="1"/>
    </xf>
    <xf numFmtId="0" fontId="6" fillId="0" borderId="40"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2" fillId="0" borderId="41" xfId="0" applyFont="1" applyFill="1" applyBorder="1" applyAlignment="1">
      <alignment horizontal="center" vertical="center"/>
    </xf>
    <xf numFmtId="0" fontId="2" fillId="0" borderId="42" xfId="0" applyFont="1" applyFill="1" applyBorder="1" applyAlignment="1">
      <alignment horizontal="center" vertical="center"/>
    </xf>
    <xf numFmtId="0" fontId="7" fillId="2" borderId="43" xfId="0" applyFont="1" applyFill="1" applyBorder="1" applyAlignment="1">
      <alignment horizontal="center" vertical="center" wrapText="1"/>
    </xf>
    <xf numFmtId="0" fontId="2" fillId="2" borderId="39"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2" borderId="45" xfId="0" applyFont="1" applyFill="1" applyBorder="1" applyAlignment="1">
      <alignment horizontal="center" vertical="center" wrapText="1"/>
    </xf>
    <xf numFmtId="0" fontId="6" fillId="0" borderId="34" xfId="0" applyFont="1" applyFill="1" applyBorder="1" applyAlignment="1">
      <alignment horizontal="center" vertical="center"/>
    </xf>
    <xf numFmtId="0" fontId="1" fillId="0" borderId="17" xfId="0" applyFont="1" applyFill="1" applyBorder="1" applyAlignment="1">
      <alignment vertical="center"/>
    </xf>
    <xf numFmtId="0" fontId="2" fillId="0" borderId="19"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2" borderId="1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0" borderId="35" xfId="0" applyFont="1" applyFill="1" applyBorder="1" applyAlignment="1">
      <alignment horizontal="center" vertical="center" wrapText="1"/>
    </xf>
    <xf numFmtId="0" fontId="1" fillId="0" borderId="19" xfId="0" applyFont="1" applyFill="1" applyBorder="1" applyAlignment="1">
      <alignment horizontal="left" vertical="center" wrapText="1"/>
    </xf>
    <xf numFmtId="0" fontId="1" fillId="0" borderId="13" xfId="0" applyFont="1" applyFill="1" applyBorder="1" applyAlignment="1">
      <alignment horizontal="left" vertical="center" wrapText="1"/>
    </xf>
    <xf numFmtId="0" fontId="1" fillId="0" borderId="14" xfId="0" applyFont="1" applyFill="1" applyBorder="1" applyAlignment="1">
      <alignment horizontal="left" vertical="center" wrapText="1"/>
    </xf>
    <xf numFmtId="0" fontId="7" fillId="0" borderId="30" xfId="0" applyFont="1" applyFill="1" applyBorder="1" applyAlignment="1">
      <alignment horizontal="center" vertical="center" wrapText="1"/>
    </xf>
    <xf numFmtId="0" fontId="10" fillId="0" borderId="16" xfId="0" applyFont="1" applyFill="1" applyBorder="1" applyAlignment="1">
      <alignment horizontal="center" vertical="center" wrapText="1"/>
    </xf>
    <xf numFmtId="0" fontId="2" fillId="0" borderId="4" xfId="0" applyFont="1" applyFill="1" applyBorder="1" applyAlignment="1">
      <alignment horizontal="center" vertical="center"/>
    </xf>
    <xf numFmtId="0" fontId="1" fillId="0" borderId="16" xfId="0" applyFont="1" applyFill="1" applyBorder="1" applyAlignment="1">
      <alignment vertical="center"/>
    </xf>
    <xf numFmtId="0" fontId="2" fillId="0" borderId="16" xfId="0" applyFont="1" applyFill="1" applyBorder="1" applyAlignment="1">
      <alignment vertical="center"/>
    </xf>
    <xf numFmtId="10" fontId="2" fillId="0" borderId="16" xfId="0" applyNumberFormat="1" applyFont="1" applyFill="1" applyBorder="1" applyAlignment="1">
      <alignment vertical="center" wrapText="1"/>
    </xf>
    <xf numFmtId="10" fontId="2" fillId="0" borderId="16" xfId="0" applyNumberFormat="1" applyFont="1" applyFill="1" applyBorder="1" applyAlignment="1">
      <alignment horizontal="center" vertical="center" wrapText="1"/>
    </xf>
    <xf numFmtId="0" fontId="7" fillId="0" borderId="45" xfId="0" applyFont="1" applyFill="1" applyBorder="1" applyAlignment="1">
      <alignment horizontal="center" vertical="center" wrapText="1"/>
    </xf>
    <xf numFmtId="49" fontId="11" fillId="0" borderId="16" xfId="0" applyNumberFormat="1" applyFont="1" applyFill="1" applyBorder="1" applyAlignment="1">
      <alignment horizontal="left" vertical="center" wrapText="1"/>
    </xf>
    <xf numFmtId="9" fontId="7" fillId="0" borderId="19" xfId="11" applyNumberFormat="1" applyFont="1" applyFill="1" applyBorder="1" applyAlignment="1">
      <alignment horizontal="center" vertical="center" wrapText="1"/>
    </xf>
    <xf numFmtId="49" fontId="11" fillId="0" borderId="19" xfId="0" applyNumberFormat="1" applyFont="1" applyFill="1" applyBorder="1" applyAlignment="1">
      <alignment horizontal="left" vertical="center" wrapText="1"/>
    </xf>
    <xf numFmtId="49" fontId="11" fillId="0" borderId="13" xfId="0" applyNumberFormat="1" applyFont="1" applyFill="1" applyBorder="1" applyAlignment="1">
      <alignment horizontal="left" vertical="center" wrapText="1"/>
    </xf>
    <xf numFmtId="49" fontId="11" fillId="0" borderId="14" xfId="0" applyNumberFormat="1" applyFont="1" applyFill="1" applyBorder="1" applyAlignment="1">
      <alignment horizontal="left" vertical="center" wrapText="1"/>
    </xf>
    <xf numFmtId="9" fontId="7" fillId="0" borderId="19" xfId="11" applyFont="1" applyFill="1" applyBorder="1" applyAlignment="1">
      <alignment horizontal="center" vertical="center" wrapText="1"/>
    </xf>
    <xf numFmtId="0" fontId="11" fillId="0" borderId="4" xfId="0" applyFont="1" applyFill="1" applyBorder="1" applyAlignment="1">
      <alignment horizontal="left" vertical="center" wrapText="1"/>
    </xf>
    <xf numFmtId="9" fontId="7" fillId="0" borderId="4" xfId="11" applyNumberFormat="1" applyFont="1" applyFill="1" applyBorder="1" applyAlignment="1">
      <alignment horizontal="center" vertical="center" wrapText="1"/>
    </xf>
    <xf numFmtId="0" fontId="11" fillId="0" borderId="16" xfId="0" applyFont="1" applyFill="1" applyBorder="1" applyAlignment="1">
      <alignment horizontal="left" vertical="center" wrapText="1"/>
    </xf>
    <xf numFmtId="9" fontId="7" fillId="0" borderId="16" xfId="11" applyFont="1" applyFill="1" applyBorder="1" applyAlignment="1">
      <alignment horizontal="center" vertical="center" wrapText="1"/>
    </xf>
    <xf numFmtId="9" fontId="7" fillId="0" borderId="16" xfId="11" applyNumberFormat="1" applyFont="1" applyFill="1" applyBorder="1" applyAlignment="1">
      <alignment horizontal="center" vertical="center" wrapText="1"/>
    </xf>
    <xf numFmtId="49" fontId="2" fillId="0" borderId="14" xfId="0" applyNumberFormat="1" applyFont="1" applyFill="1" applyBorder="1" applyAlignment="1">
      <alignment horizontal="left" vertical="center" wrapText="1"/>
    </xf>
    <xf numFmtId="0" fontId="11" fillId="0" borderId="31" xfId="0" applyFont="1" applyFill="1" applyBorder="1" applyAlignment="1">
      <alignment horizontal="left" vertical="center" wrapText="1"/>
    </xf>
    <xf numFmtId="9" fontId="7" fillId="0" borderId="31" xfId="11" applyFont="1" applyFill="1" applyBorder="1" applyAlignment="1">
      <alignment horizontal="center" vertical="center" wrapText="1"/>
    </xf>
    <xf numFmtId="49" fontId="11" fillId="0" borderId="4" xfId="0" applyNumberFormat="1" applyFont="1" applyFill="1" applyBorder="1" applyAlignment="1">
      <alignment horizontal="left" vertical="center" wrapText="1"/>
    </xf>
    <xf numFmtId="9" fontId="7" fillId="0" borderId="16" xfId="11" applyNumberFormat="1" applyFont="1" applyFill="1" applyBorder="1" applyAlignment="1" applyProtection="1">
      <alignment horizontal="center" vertical="center" wrapText="1"/>
    </xf>
    <xf numFmtId="49" fontId="11" fillId="0" borderId="23" xfId="0" applyNumberFormat="1" applyFont="1" applyFill="1" applyBorder="1" applyAlignment="1">
      <alignment horizontal="left" vertical="center" wrapText="1"/>
    </xf>
    <xf numFmtId="9" fontId="7" fillId="0" borderId="23" xfId="11" applyFont="1" applyFill="1" applyBorder="1" applyAlignment="1">
      <alignment horizontal="center" vertical="center" wrapText="1"/>
    </xf>
    <xf numFmtId="0" fontId="7" fillId="0" borderId="44" xfId="0" applyFont="1" applyFill="1" applyBorder="1" applyAlignment="1">
      <alignment horizontal="center" vertical="center" wrapText="1"/>
    </xf>
    <xf numFmtId="9" fontId="7" fillId="0" borderId="4" xfId="0" applyNumberFormat="1"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7" fillId="0" borderId="46" xfId="0" applyFont="1" applyFill="1" applyBorder="1" applyAlignment="1">
      <alignment horizontal="center" vertical="center" wrapText="1"/>
    </xf>
    <xf numFmtId="0" fontId="1" fillId="0" borderId="47"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7" fillId="0" borderId="47" xfId="0" applyFont="1" applyFill="1" applyBorder="1" applyAlignment="1">
      <alignment horizontal="center" vertical="center" wrapText="1"/>
    </xf>
    <xf numFmtId="9" fontId="7" fillId="0" borderId="13" xfId="0" applyNumberFormat="1" applyFont="1" applyFill="1" applyBorder="1" applyAlignment="1">
      <alignment horizontal="center" vertical="center" wrapText="1"/>
    </xf>
    <xf numFmtId="10" fontId="7" fillId="0" borderId="13" xfId="0" applyNumberFormat="1" applyFont="1" applyFill="1" applyBorder="1" applyAlignment="1">
      <alignment horizontal="center" vertical="center" wrapText="1"/>
    </xf>
    <xf numFmtId="10" fontId="7" fillId="0" borderId="47" xfId="0" applyNumberFormat="1" applyFont="1" applyFill="1" applyBorder="1" applyAlignment="1">
      <alignment horizontal="center" vertical="center" wrapText="1"/>
    </xf>
    <xf numFmtId="0" fontId="2" fillId="0" borderId="48" xfId="0" applyFont="1" applyFill="1" applyBorder="1" applyAlignment="1">
      <alignment horizontal="left" vertical="center" wrapText="1"/>
    </xf>
    <xf numFmtId="0" fontId="2" fillId="0" borderId="49" xfId="0" applyFont="1" applyFill="1" applyBorder="1" applyAlignment="1">
      <alignment horizontal="left" vertical="center" wrapText="1"/>
    </xf>
    <xf numFmtId="0" fontId="2" fillId="0" borderId="46" xfId="0" applyFont="1" applyFill="1" applyBorder="1" applyAlignment="1">
      <alignment horizontal="center" vertical="center"/>
    </xf>
    <xf numFmtId="0" fontId="2" fillId="0" borderId="48" xfId="0" applyFont="1" applyFill="1" applyBorder="1" applyAlignment="1">
      <alignment horizontal="center" vertical="center" wrapText="1"/>
    </xf>
    <xf numFmtId="0" fontId="8" fillId="0" borderId="48" xfId="0" applyFont="1" applyFill="1" applyBorder="1" applyAlignment="1">
      <alignment horizontal="center" vertical="center" wrapText="1"/>
    </xf>
    <xf numFmtId="0" fontId="2" fillId="0" borderId="0" xfId="0" applyFont="1" applyFill="1" applyBorder="1" applyAlignment="1">
      <alignment vertical="center"/>
    </xf>
    <xf numFmtId="0" fontId="8" fillId="0" borderId="47" xfId="0" applyFont="1" applyFill="1" applyBorder="1" applyAlignment="1">
      <alignment horizontal="center" vertical="center" wrapText="1"/>
    </xf>
    <xf numFmtId="0" fontId="2" fillId="2" borderId="48" xfId="0" applyFont="1" applyFill="1" applyBorder="1" applyAlignment="1">
      <alignment horizontal="center" vertical="center" wrapText="1"/>
    </xf>
    <xf numFmtId="0" fontId="1" fillId="0" borderId="50" xfId="0" applyFont="1" applyFill="1" applyBorder="1" applyAlignment="1">
      <alignment vertical="center"/>
    </xf>
    <xf numFmtId="9" fontId="7" fillId="0" borderId="14" xfId="11" applyFont="1" applyFill="1" applyBorder="1" applyAlignment="1">
      <alignment horizontal="center" vertical="center" wrapText="1"/>
    </xf>
    <xf numFmtId="0" fontId="7" fillId="0" borderId="48" xfId="0" applyFont="1" applyFill="1" applyBorder="1" applyAlignment="1">
      <alignment horizontal="center" vertical="center" wrapText="1"/>
    </xf>
    <xf numFmtId="9" fontId="7" fillId="0" borderId="4" xfId="11" applyFont="1" applyFill="1" applyBorder="1" applyAlignment="1">
      <alignment horizontal="center" vertical="center" wrapText="1"/>
    </xf>
    <xf numFmtId="0" fontId="7" fillId="0" borderId="31" xfId="0" applyFont="1" applyFill="1" applyBorder="1" applyAlignment="1">
      <alignment horizontal="center" vertical="center" wrapText="1"/>
    </xf>
    <xf numFmtId="0" fontId="7" fillId="0" borderId="51" xfId="0" applyFont="1" applyFill="1" applyBorder="1" applyAlignment="1">
      <alignment horizontal="center" vertical="center" wrapText="1"/>
    </xf>
    <xf numFmtId="0" fontId="1" fillId="0" borderId="48" xfId="0" applyFont="1" applyFill="1" applyBorder="1" applyAlignment="1">
      <alignment vertical="center"/>
    </xf>
    <xf numFmtId="0" fontId="7" fillId="0" borderId="23" xfId="0" applyFont="1" applyFill="1" applyBorder="1" applyAlignment="1">
      <alignment horizontal="center" vertical="center" wrapText="1"/>
    </xf>
    <xf numFmtId="0" fontId="7" fillId="0" borderId="49" xfId="0" applyFont="1" applyFill="1" applyBorder="1" applyAlignment="1">
      <alignment horizontal="center" vertical="center" wrapText="1"/>
    </xf>
    <xf numFmtId="176" fontId="7" fillId="0" borderId="4" xfId="0" applyNumberFormat="1" applyFont="1" applyFill="1" applyBorder="1" applyAlignment="1">
      <alignment horizontal="center" vertical="center" wrapText="1"/>
    </xf>
    <xf numFmtId="176" fontId="7" fillId="0" borderId="46" xfId="0" applyNumberFormat="1" applyFont="1" applyFill="1" applyBorder="1" applyAlignment="1">
      <alignment horizontal="center" vertical="center" wrapText="1"/>
    </xf>
    <xf numFmtId="0" fontId="2" fillId="0" borderId="52" xfId="0" applyFont="1" applyFill="1" applyBorder="1" applyAlignment="1">
      <alignment horizontal="center" vertical="center"/>
    </xf>
    <xf numFmtId="0" fontId="2" fillId="2" borderId="50" xfId="0" applyFont="1" applyFill="1" applyBorder="1" applyAlignment="1">
      <alignment horizontal="center" vertical="center" wrapText="1"/>
    </xf>
    <xf numFmtId="0" fontId="2" fillId="0" borderId="47" xfId="0" applyFont="1" applyFill="1" applyBorder="1" applyAlignment="1">
      <alignment horizontal="center" vertical="center" wrapText="1"/>
    </xf>
    <xf numFmtId="0" fontId="2" fillId="2" borderId="19" xfId="0" applyFont="1" applyFill="1" applyBorder="1" applyAlignment="1">
      <alignment horizontal="left" vertical="top" wrapText="1"/>
    </xf>
    <xf numFmtId="0" fontId="2" fillId="2" borderId="13" xfId="0" applyFont="1" applyFill="1" applyBorder="1" applyAlignment="1">
      <alignment horizontal="left" vertical="top" wrapText="1"/>
    </xf>
    <xf numFmtId="0" fontId="1" fillId="0" borderId="53" xfId="0" applyFont="1" applyFill="1" applyBorder="1" applyAlignment="1">
      <alignment vertical="center"/>
    </xf>
    <xf numFmtId="0" fontId="2" fillId="2" borderId="41" xfId="0" applyFont="1" applyFill="1" applyBorder="1" applyAlignment="1">
      <alignment horizontal="center" vertical="center" wrapText="1"/>
    </xf>
    <xf numFmtId="0" fontId="2" fillId="2" borderId="42" xfId="0" applyFont="1" applyFill="1" applyBorder="1" applyAlignment="1">
      <alignment horizontal="center" vertical="center" wrapText="1"/>
    </xf>
    <xf numFmtId="0" fontId="2" fillId="2" borderId="25" xfId="0" applyFont="1" applyFill="1" applyBorder="1" applyAlignment="1">
      <alignment horizontal="left" vertical="center" wrapText="1"/>
    </xf>
    <xf numFmtId="0" fontId="2" fillId="2" borderId="26" xfId="0" applyFont="1" applyFill="1" applyBorder="1" applyAlignment="1">
      <alignment horizontal="left" vertical="center" wrapText="1"/>
    </xf>
    <xf numFmtId="0" fontId="7" fillId="2" borderId="17" xfId="0" applyFont="1" applyFill="1" applyBorder="1" applyAlignment="1">
      <alignment horizontal="center" vertical="center" wrapText="1"/>
    </xf>
    <xf numFmtId="0" fontId="2" fillId="2" borderId="30" xfId="0" applyFont="1" applyFill="1" applyBorder="1" applyAlignment="1">
      <alignment horizontal="center" wrapText="1"/>
    </xf>
    <xf numFmtId="0" fontId="2" fillId="2" borderId="10" xfId="0" applyFont="1" applyFill="1" applyBorder="1" applyAlignment="1">
      <alignment horizontal="center" wrapText="1"/>
    </xf>
    <xf numFmtId="0" fontId="7" fillId="2" borderId="53" xfId="0" applyFont="1" applyFill="1" applyBorder="1" applyAlignment="1">
      <alignment horizontal="center" vertical="center" wrapText="1"/>
    </xf>
    <xf numFmtId="0" fontId="2" fillId="2" borderId="28" xfId="0" applyFont="1" applyFill="1" applyBorder="1" applyAlignment="1">
      <alignment horizontal="left" vertical="top" wrapText="1"/>
    </xf>
    <xf numFmtId="0" fontId="2" fillId="2" borderId="0" xfId="0" applyFont="1" applyFill="1" applyBorder="1" applyAlignment="1">
      <alignment horizontal="left" vertical="top" wrapText="1"/>
    </xf>
    <xf numFmtId="0" fontId="1" fillId="2" borderId="0" xfId="0" applyFont="1" applyFill="1" applyBorder="1" applyAlignment="1">
      <alignment vertical="center"/>
    </xf>
    <xf numFmtId="0" fontId="2" fillId="2" borderId="28" xfId="0" applyFont="1" applyFill="1" applyBorder="1" applyAlignment="1">
      <alignment horizontal="center" vertical="top" wrapText="1"/>
    </xf>
    <xf numFmtId="0" fontId="2" fillId="2" borderId="0" xfId="0" applyFont="1" applyFill="1" applyBorder="1" applyAlignment="1">
      <alignment horizontal="center" vertical="top" wrapText="1"/>
    </xf>
    <xf numFmtId="0" fontId="6" fillId="0" borderId="40" xfId="0" applyFont="1" applyFill="1" applyBorder="1" applyAlignment="1">
      <alignment horizontal="center" vertical="center"/>
    </xf>
    <xf numFmtId="0" fontId="2" fillId="2" borderId="37" xfId="0" applyFont="1" applyFill="1" applyBorder="1" applyAlignment="1">
      <alignment horizontal="center" wrapText="1"/>
    </xf>
    <xf numFmtId="0" fontId="2" fillId="2" borderId="1" xfId="0" applyFont="1" applyFill="1" applyBorder="1" applyAlignment="1">
      <alignment horizontal="center" wrapText="1"/>
    </xf>
    <xf numFmtId="0" fontId="6" fillId="0" borderId="26" xfId="0" applyFont="1" applyFill="1" applyBorder="1" applyAlignment="1">
      <alignment vertical="center"/>
    </xf>
    <xf numFmtId="0" fontId="2" fillId="0" borderId="26" xfId="0" applyFont="1" applyFill="1" applyBorder="1" applyAlignment="1">
      <alignment horizontal="left" vertical="center"/>
    </xf>
    <xf numFmtId="0" fontId="2" fillId="0" borderId="26" xfId="0" applyFont="1" applyFill="1" applyBorder="1" applyAlignment="1">
      <alignment vertical="center"/>
    </xf>
    <xf numFmtId="0" fontId="2" fillId="2" borderId="47" xfId="0" applyFont="1" applyFill="1" applyBorder="1" applyAlignment="1">
      <alignment horizontal="left" vertical="top" wrapText="1"/>
    </xf>
    <xf numFmtId="0" fontId="2" fillId="2" borderId="52" xfId="0" applyFont="1" applyFill="1" applyBorder="1" applyAlignment="1">
      <alignment horizontal="center" vertical="center" wrapText="1"/>
    </xf>
    <xf numFmtId="0" fontId="2" fillId="2" borderId="54" xfId="0" applyFont="1" applyFill="1" applyBorder="1" applyAlignment="1">
      <alignment horizontal="left" vertical="center" wrapText="1"/>
    </xf>
    <xf numFmtId="0" fontId="2" fillId="2" borderId="55" xfId="0" applyFont="1" applyFill="1" applyBorder="1" applyAlignment="1">
      <alignment horizontal="center" wrapText="1"/>
    </xf>
    <xf numFmtId="0" fontId="2" fillId="2" borderId="56" xfId="0" applyFont="1" applyFill="1" applyBorder="1" applyAlignment="1">
      <alignment horizontal="left" vertical="top" wrapText="1"/>
    </xf>
    <xf numFmtId="0" fontId="2" fillId="2" borderId="56" xfId="0" applyFont="1" applyFill="1" applyBorder="1" applyAlignment="1">
      <alignment horizontal="center" vertical="top" wrapText="1"/>
    </xf>
    <xf numFmtId="0" fontId="2" fillId="2" borderId="57" xfId="0" applyFont="1" applyFill="1" applyBorder="1"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75"/>
  <sheetViews>
    <sheetView tabSelected="1" zoomScale="115" zoomScaleNormal="115" topLeftCell="A4" workbookViewId="0">
      <selection activeCell="P10" sqref="P10:Q10"/>
    </sheetView>
  </sheetViews>
  <sheetFormatPr defaultColWidth="9" defaultRowHeight="14.25"/>
  <cols>
    <col min="1" max="1" width="4.5" style="3" customWidth="1"/>
    <col min="2" max="2" width="6.875" style="3" customWidth="1"/>
    <col min="3" max="3" width="6.5" style="3" customWidth="1"/>
    <col min="4" max="4" width="4.75" style="3" customWidth="1"/>
    <col min="5" max="6" width="4.625" style="3" customWidth="1"/>
    <col min="7" max="7" width="4.375" style="3" customWidth="1"/>
    <col min="8" max="8" width="5.25" style="3" customWidth="1"/>
    <col min="9" max="9" width="8.625" style="3" customWidth="1"/>
    <col min="10" max="10" width="4.5" style="3" customWidth="1"/>
    <col min="11" max="11" width="7.125" style="3" customWidth="1"/>
    <col min="12" max="12" width="8.5" style="3" customWidth="1"/>
    <col min="13" max="13" width="4.75" style="3" customWidth="1"/>
    <col min="14" max="14" width="5.625" style="3" customWidth="1"/>
    <col min="15" max="15" width="7.625" style="3" customWidth="1"/>
    <col min="16" max="16" width="4.25" style="3" customWidth="1"/>
    <col min="17" max="17" width="4.625" style="3" customWidth="1"/>
    <col min="18" max="18" width="4.375" style="3" customWidth="1"/>
    <col min="19" max="19" width="3.25" style="3" customWidth="1"/>
    <col min="20" max="20" width="9" style="4" hidden="1" customWidth="1"/>
    <col min="21" max="256" width="9" style="3"/>
    <col min="257" max="16384" width="9" style="5"/>
  </cols>
  <sheetData>
    <row r="1" ht="26.25" customHeight="1" spans="1:19">
      <c r="A1" s="6"/>
      <c r="B1" s="6"/>
      <c r="C1" s="7"/>
      <c r="D1" s="7"/>
      <c r="E1" s="7"/>
      <c r="F1" s="7"/>
      <c r="G1" s="7"/>
      <c r="H1" s="7"/>
      <c r="I1" s="7"/>
      <c r="J1" s="7"/>
      <c r="K1" s="7"/>
      <c r="L1" s="7"/>
      <c r="M1" s="7"/>
      <c r="N1" s="7"/>
      <c r="O1" s="7"/>
      <c r="P1" s="7"/>
      <c r="Q1" s="7"/>
      <c r="R1" s="7"/>
      <c r="S1" s="7"/>
    </row>
    <row r="2" ht="43.15" customHeight="1" spans="1:19">
      <c r="A2" s="8" t="s">
        <v>0</v>
      </c>
      <c r="B2" s="8"/>
      <c r="C2" s="8"/>
      <c r="D2" s="8"/>
      <c r="E2" s="8"/>
      <c r="F2" s="8"/>
      <c r="G2" s="8"/>
      <c r="H2" s="8"/>
      <c r="I2" s="8"/>
      <c r="J2" s="8"/>
      <c r="K2" s="8"/>
      <c r="L2" s="8"/>
      <c r="M2" s="8"/>
      <c r="N2" s="8"/>
      <c r="O2" s="8"/>
      <c r="P2" s="8"/>
      <c r="Q2" s="8"/>
      <c r="R2" s="8"/>
      <c r="S2" s="8"/>
    </row>
    <row r="3" ht="24.75" customHeight="1" spans="1:19">
      <c r="A3" s="9" t="s">
        <v>1</v>
      </c>
      <c r="B3" s="10" t="s">
        <v>2</v>
      </c>
      <c r="C3" s="11"/>
      <c r="D3" s="11"/>
      <c r="E3" s="11" t="s">
        <v>3</v>
      </c>
      <c r="F3" s="11"/>
      <c r="G3" s="11"/>
      <c r="H3" s="11"/>
      <c r="I3" s="11"/>
      <c r="J3" s="11"/>
      <c r="K3" s="11"/>
      <c r="L3" s="11"/>
      <c r="M3" s="11"/>
      <c r="N3" s="11"/>
      <c r="O3" s="11"/>
      <c r="P3" s="11"/>
      <c r="Q3" s="11"/>
      <c r="R3" s="11"/>
      <c r="S3" s="141"/>
    </row>
    <row r="4" s="1" customFormat="1" ht="19.5" customHeight="1" spans="1:20">
      <c r="A4" s="12"/>
      <c r="B4" s="13" t="s">
        <v>4</v>
      </c>
      <c r="C4" s="14"/>
      <c r="D4" s="14"/>
      <c r="E4" s="14"/>
      <c r="F4" s="14"/>
      <c r="G4" s="14"/>
      <c r="H4" s="15"/>
      <c r="I4" s="107" t="s">
        <v>5</v>
      </c>
      <c r="J4" s="15"/>
      <c r="K4" s="108" t="s">
        <v>6</v>
      </c>
      <c r="L4" s="109"/>
      <c r="M4" s="110"/>
      <c r="N4" s="107" t="s">
        <v>7</v>
      </c>
      <c r="O4" s="15"/>
      <c r="P4" s="108" t="s">
        <v>6</v>
      </c>
      <c r="Q4" s="109"/>
      <c r="R4" s="109"/>
      <c r="S4" s="142"/>
      <c r="T4" s="143"/>
    </row>
    <row r="5" s="1" customFormat="1" ht="21" customHeight="1" spans="1:20">
      <c r="A5" s="12"/>
      <c r="B5" s="16"/>
      <c r="C5" s="17"/>
      <c r="D5" s="17"/>
      <c r="E5" s="17"/>
      <c r="F5" s="17"/>
      <c r="G5" s="17"/>
      <c r="H5" s="18"/>
      <c r="I5" s="111"/>
      <c r="J5" s="18"/>
      <c r="K5" s="108" t="s">
        <v>8</v>
      </c>
      <c r="L5" s="109"/>
      <c r="M5" s="110"/>
      <c r="N5" s="111"/>
      <c r="O5" s="18"/>
      <c r="P5" s="108" t="s">
        <v>9</v>
      </c>
      <c r="Q5" s="109"/>
      <c r="R5" s="109"/>
      <c r="S5" s="142"/>
      <c r="T5" s="143"/>
    </row>
    <row r="6" s="1" customFormat="1" ht="20.25" customHeight="1" spans="1:20">
      <c r="A6" s="12"/>
      <c r="B6" s="19" t="s">
        <v>10</v>
      </c>
      <c r="C6" s="20"/>
      <c r="D6" s="20"/>
      <c r="E6" s="20"/>
      <c r="F6" s="20"/>
      <c r="G6" s="20"/>
      <c r="H6" s="21"/>
      <c r="I6" s="26">
        <v>2081099</v>
      </c>
      <c r="J6" s="20"/>
      <c r="K6" s="20"/>
      <c r="L6" s="20"/>
      <c r="M6" s="20"/>
      <c r="N6" s="20"/>
      <c r="O6" s="20"/>
      <c r="P6" s="20"/>
      <c r="Q6" s="20"/>
      <c r="R6" s="20"/>
      <c r="S6" s="144"/>
      <c r="T6" s="143"/>
    </row>
    <row r="7" ht="33.6" customHeight="1" spans="1:19">
      <c r="A7" s="12"/>
      <c r="B7" s="22" t="s">
        <v>11</v>
      </c>
      <c r="C7" s="23" t="s">
        <v>12</v>
      </c>
      <c r="D7" s="23"/>
      <c r="E7" s="23"/>
      <c r="F7" s="23"/>
      <c r="G7" s="23"/>
      <c r="H7" s="23"/>
      <c r="I7" s="54"/>
      <c r="J7" s="54"/>
      <c r="K7" s="54"/>
      <c r="L7" s="23" t="s">
        <v>13</v>
      </c>
      <c r="M7" s="23"/>
      <c r="N7" s="23"/>
      <c r="O7" s="23"/>
      <c r="P7" s="20">
        <v>8</v>
      </c>
      <c r="Q7" s="20"/>
      <c r="R7" s="20"/>
      <c r="S7" s="144"/>
    </row>
    <row r="8" ht="45.75" customHeight="1" spans="1:19">
      <c r="A8" s="12"/>
      <c r="B8" s="24"/>
      <c r="C8" s="23" t="s">
        <v>14</v>
      </c>
      <c r="D8" s="23"/>
      <c r="E8" s="23" t="s">
        <v>15</v>
      </c>
      <c r="F8" s="23"/>
      <c r="G8" s="23"/>
      <c r="H8" s="23"/>
      <c r="I8" s="23" t="s">
        <v>16</v>
      </c>
      <c r="J8" s="23"/>
      <c r="K8" s="23"/>
      <c r="L8" s="23" t="s">
        <v>17</v>
      </c>
      <c r="M8" s="23"/>
      <c r="N8" s="23" t="s">
        <v>18</v>
      </c>
      <c r="O8" s="23"/>
      <c r="P8" s="26" t="s">
        <v>19</v>
      </c>
      <c r="Q8" s="21"/>
      <c r="R8" s="20" t="s">
        <v>20</v>
      </c>
      <c r="S8" s="144"/>
    </row>
    <row r="9" ht="28.5" customHeight="1" spans="1:19">
      <c r="A9" s="12"/>
      <c r="B9" s="24"/>
      <c r="C9" s="23" t="s">
        <v>21</v>
      </c>
      <c r="D9" s="23"/>
      <c r="E9" s="23" t="s">
        <v>22</v>
      </c>
      <c r="F9" s="23"/>
      <c r="G9" s="23"/>
      <c r="H9" s="23"/>
      <c r="I9" s="112" t="s">
        <v>23</v>
      </c>
      <c r="J9" s="112"/>
      <c r="K9" s="112"/>
      <c r="L9" s="23" t="s">
        <v>24</v>
      </c>
      <c r="M9" s="23"/>
      <c r="N9" s="23" t="s">
        <v>24</v>
      </c>
      <c r="O9" s="23"/>
      <c r="P9" s="26" t="s">
        <v>24</v>
      </c>
      <c r="Q9" s="21"/>
      <c r="R9" s="145">
        <v>1</v>
      </c>
      <c r="S9" s="144"/>
    </row>
    <row r="10" ht="28.5" customHeight="1" spans="1:19">
      <c r="A10" s="12"/>
      <c r="B10" s="24"/>
      <c r="C10" s="23"/>
      <c r="D10" s="23"/>
      <c r="E10" s="23" t="s">
        <v>25</v>
      </c>
      <c r="F10" s="23" t="s">
        <v>25</v>
      </c>
      <c r="G10" s="23"/>
      <c r="H10" s="23"/>
      <c r="I10" s="112" t="s">
        <v>26</v>
      </c>
      <c r="J10" s="112"/>
      <c r="K10" s="112"/>
      <c r="L10" s="23" t="s">
        <v>27</v>
      </c>
      <c r="M10" s="23"/>
      <c r="N10" s="23" t="s">
        <v>28</v>
      </c>
      <c r="O10" s="23"/>
      <c r="P10" s="26" t="s">
        <v>29</v>
      </c>
      <c r="Q10" s="21"/>
      <c r="R10" s="146">
        <v>0.991045300036177</v>
      </c>
      <c r="S10" s="147"/>
    </row>
    <row r="11" ht="28.5" customHeight="1" spans="1:19">
      <c r="A11" s="12"/>
      <c r="B11" s="24"/>
      <c r="C11" s="23"/>
      <c r="D11" s="23"/>
      <c r="E11" s="23" t="s">
        <v>30</v>
      </c>
      <c r="F11" s="23" t="s">
        <v>30</v>
      </c>
      <c r="G11" s="23"/>
      <c r="H11" s="23"/>
      <c r="I11" s="112"/>
      <c r="J11" s="112"/>
      <c r="K11" s="112"/>
      <c r="L11" s="23"/>
      <c r="M11" s="23"/>
      <c r="N11" s="23"/>
      <c r="O11" s="23"/>
      <c r="P11" s="26"/>
      <c r="Q11" s="21"/>
      <c r="R11" s="20"/>
      <c r="S11" s="144"/>
    </row>
    <row r="12" ht="28.5" customHeight="1" spans="1:19">
      <c r="A12" s="12"/>
      <c r="B12" s="24"/>
      <c r="C12" s="23" t="s">
        <v>31</v>
      </c>
      <c r="D12" s="23"/>
      <c r="E12" s="23" t="s">
        <v>32</v>
      </c>
      <c r="F12" s="23" t="s">
        <v>32</v>
      </c>
      <c r="G12" s="23"/>
      <c r="H12" s="23"/>
      <c r="I12" s="112" t="s">
        <v>33</v>
      </c>
      <c r="J12" s="112"/>
      <c r="K12" s="112"/>
      <c r="L12" s="23" t="s">
        <v>33</v>
      </c>
      <c r="M12" s="23"/>
      <c r="N12" s="23" t="s">
        <v>34</v>
      </c>
      <c r="O12" s="23"/>
      <c r="P12" s="26" t="s">
        <v>35</v>
      </c>
      <c r="Q12" s="21"/>
      <c r="R12" s="20"/>
      <c r="S12" s="144"/>
    </row>
    <row r="13" ht="28.5" customHeight="1" spans="1:19">
      <c r="A13" s="12"/>
      <c r="B13" s="24"/>
      <c r="C13" s="23"/>
      <c r="D13" s="23"/>
      <c r="E13" s="23" t="s">
        <v>36</v>
      </c>
      <c r="F13" s="23" t="s">
        <v>36</v>
      </c>
      <c r="G13" s="23"/>
      <c r="H13" s="23"/>
      <c r="I13" s="112" t="s">
        <v>37</v>
      </c>
      <c r="J13" s="112"/>
      <c r="K13" s="112"/>
      <c r="L13" s="23" t="s">
        <v>37</v>
      </c>
      <c r="M13" s="23"/>
      <c r="N13" s="23" t="s">
        <v>38</v>
      </c>
      <c r="O13" s="23"/>
      <c r="P13" s="26" t="s">
        <v>39</v>
      </c>
      <c r="Q13" s="21"/>
      <c r="R13" s="20"/>
      <c r="S13" s="144"/>
    </row>
    <row r="14" ht="28.5" customHeight="1" spans="1:19">
      <c r="A14" s="12"/>
      <c r="B14" s="24"/>
      <c r="C14" s="23" t="s">
        <v>40</v>
      </c>
      <c r="D14" s="23"/>
      <c r="E14" s="23" t="s">
        <v>41</v>
      </c>
      <c r="F14" s="23" t="s">
        <v>41</v>
      </c>
      <c r="G14" s="23"/>
      <c r="H14" s="23"/>
      <c r="I14" s="112"/>
      <c r="J14" s="112"/>
      <c r="K14" s="112"/>
      <c r="L14" s="23"/>
      <c r="M14" s="23"/>
      <c r="N14" s="23"/>
      <c r="O14" s="23"/>
      <c r="P14" s="26"/>
      <c r="Q14" s="21"/>
      <c r="R14" s="20"/>
      <c r="S14" s="144"/>
    </row>
    <row r="15" ht="28.5" customHeight="1" spans="1:19">
      <c r="A15" s="12"/>
      <c r="B15" s="24"/>
      <c r="C15" s="23"/>
      <c r="D15" s="23"/>
      <c r="E15" s="23" t="s">
        <v>42</v>
      </c>
      <c r="F15" s="23" t="s">
        <v>42</v>
      </c>
      <c r="G15" s="23"/>
      <c r="H15" s="23"/>
      <c r="I15" s="112" t="s">
        <v>43</v>
      </c>
      <c r="J15" s="112"/>
      <c r="K15" s="112"/>
      <c r="L15" s="23" t="s">
        <v>43</v>
      </c>
      <c r="M15" s="23"/>
      <c r="N15" s="23" t="s">
        <v>44</v>
      </c>
      <c r="O15" s="23"/>
      <c r="P15" s="26" t="s">
        <v>45</v>
      </c>
      <c r="Q15" s="21"/>
      <c r="R15" s="20"/>
      <c r="S15" s="144"/>
    </row>
    <row r="16" ht="28.5" customHeight="1" spans="1:19">
      <c r="A16" s="12"/>
      <c r="B16" s="24"/>
      <c r="C16" s="23"/>
      <c r="D16" s="23"/>
      <c r="E16" s="23" t="s">
        <v>46</v>
      </c>
      <c r="F16" s="23" t="s">
        <v>46</v>
      </c>
      <c r="G16" s="23"/>
      <c r="H16" s="23"/>
      <c r="I16" s="112" t="s">
        <v>47</v>
      </c>
      <c r="J16" s="112"/>
      <c r="K16" s="112"/>
      <c r="L16" s="23" t="s">
        <v>48</v>
      </c>
      <c r="M16" s="23"/>
      <c r="N16" s="23" t="s">
        <v>49</v>
      </c>
      <c r="O16" s="23"/>
      <c r="P16" s="26" t="s">
        <v>45</v>
      </c>
      <c r="Q16" s="21"/>
      <c r="R16" s="20"/>
      <c r="S16" s="144"/>
    </row>
    <row r="17" ht="28.5" customHeight="1" spans="1:19">
      <c r="A17" s="12"/>
      <c r="B17" s="24"/>
      <c r="C17" s="23"/>
      <c r="D17" s="23"/>
      <c r="E17" s="23" t="s">
        <v>50</v>
      </c>
      <c r="F17" s="23" t="s">
        <v>50</v>
      </c>
      <c r="G17" s="23"/>
      <c r="H17" s="23"/>
      <c r="I17" s="112" t="s">
        <v>51</v>
      </c>
      <c r="J17" s="112"/>
      <c r="K17" s="112"/>
      <c r="L17" s="23" t="s">
        <v>51</v>
      </c>
      <c r="M17" s="23"/>
      <c r="N17" s="23" t="s">
        <v>52</v>
      </c>
      <c r="O17" s="23"/>
      <c r="P17" s="26" t="s">
        <v>45</v>
      </c>
      <c r="Q17" s="21"/>
      <c r="R17" s="20"/>
      <c r="S17" s="144"/>
    </row>
    <row r="18" ht="36" customHeight="1" spans="1:19">
      <c r="A18" s="12"/>
      <c r="B18" s="25"/>
      <c r="C18" s="23"/>
      <c r="D18" s="23"/>
      <c r="E18" s="23" t="s">
        <v>53</v>
      </c>
      <c r="F18" s="23" t="s">
        <v>54</v>
      </c>
      <c r="G18" s="23"/>
      <c r="H18" s="23"/>
      <c r="I18" s="112" t="s">
        <v>55</v>
      </c>
      <c r="J18" s="112"/>
      <c r="K18" s="112"/>
      <c r="L18" s="23" t="s">
        <v>55</v>
      </c>
      <c r="M18" s="23"/>
      <c r="N18" s="23" t="s">
        <v>56</v>
      </c>
      <c r="O18" s="23"/>
      <c r="P18" s="26" t="s">
        <v>45</v>
      </c>
      <c r="Q18" s="21"/>
      <c r="R18" s="20"/>
      <c r="S18" s="144"/>
    </row>
    <row r="19" ht="36" customHeight="1" spans="1:19">
      <c r="A19" s="12"/>
      <c r="B19" s="19" t="s">
        <v>57</v>
      </c>
      <c r="C19" s="20"/>
      <c r="D19" s="21"/>
      <c r="E19" s="26" t="s">
        <v>58</v>
      </c>
      <c r="F19" s="20"/>
      <c r="G19" s="20"/>
      <c r="H19" s="20"/>
      <c r="I19" s="26" t="s">
        <v>59</v>
      </c>
      <c r="J19" s="20"/>
      <c r="K19" s="21"/>
      <c r="L19" s="26" t="s">
        <v>60</v>
      </c>
      <c r="M19" s="20"/>
      <c r="N19" s="20"/>
      <c r="O19" s="20"/>
      <c r="P19" s="20"/>
      <c r="Q19" s="20"/>
      <c r="R19" s="20"/>
      <c r="S19" s="144"/>
    </row>
    <row r="20" ht="23.25" customHeight="1" spans="1:19">
      <c r="A20" s="12"/>
      <c r="B20" s="27" t="s">
        <v>61</v>
      </c>
      <c r="C20" s="28"/>
      <c r="D20" s="28"/>
      <c r="E20" s="28"/>
      <c r="F20" s="28"/>
      <c r="G20" s="28"/>
      <c r="H20" s="28"/>
      <c r="I20" s="50" t="s">
        <v>62</v>
      </c>
      <c r="J20" s="50"/>
      <c r="K20" s="50"/>
      <c r="L20" s="50"/>
      <c r="M20" s="50"/>
      <c r="N20" s="50"/>
      <c r="O20" s="50"/>
      <c r="P20" s="50"/>
      <c r="Q20" s="50"/>
      <c r="R20" s="50"/>
      <c r="S20" s="148"/>
    </row>
    <row r="21" ht="23.25" customHeight="1" spans="1:19">
      <c r="A21" s="29"/>
      <c r="B21" s="30"/>
      <c r="C21" s="31"/>
      <c r="D21" s="31"/>
      <c r="E21" s="31"/>
      <c r="F21" s="31"/>
      <c r="G21" s="31"/>
      <c r="H21" s="31"/>
      <c r="I21" s="90" t="s">
        <v>63</v>
      </c>
      <c r="J21" s="90"/>
      <c r="K21" s="90"/>
      <c r="L21" s="90"/>
      <c r="M21" s="90"/>
      <c r="N21" s="90"/>
      <c r="O21" s="90"/>
      <c r="P21" s="90"/>
      <c r="Q21" s="90"/>
      <c r="R21" s="90"/>
      <c r="S21" s="149"/>
    </row>
    <row r="22" spans="1:19">
      <c r="A22" s="32" t="s">
        <v>64</v>
      </c>
      <c r="B22" s="33"/>
      <c r="C22" s="33"/>
      <c r="D22" s="33"/>
      <c r="E22" s="34" t="s">
        <v>65</v>
      </c>
      <c r="F22" s="35"/>
      <c r="G22" s="35"/>
      <c r="H22" s="36"/>
      <c r="I22" s="113" t="s">
        <v>66</v>
      </c>
      <c r="J22" s="113"/>
      <c r="K22" s="113"/>
      <c r="L22" s="113"/>
      <c r="M22" s="113"/>
      <c r="N22" s="113"/>
      <c r="O22" s="113"/>
      <c r="P22" s="113"/>
      <c r="Q22" s="113"/>
      <c r="R22" s="113"/>
      <c r="S22" s="150"/>
    </row>
    <row r="23" ht="12.75" customHeight="1" spans="1:19">
      <c r="A23" s="37"/>
      <c r="B23" s="38"/>
      <c r="C23" s="38"/>
      <c r="D23" s="38"/>
      <c r="E23" s="39"/>
      <c r="F23" s="40"/>
      <c r="G23" s="40"/>
      <c r="H23" s="41"/>
      <c r="I23" s="55" t="s">
        <v>67</v>
      </c>
      <c r="J23" s="55"/>
      <c r="K23" s="54" t="s">
        <v>68</v>
      </c>
      <c r="L23" s="54"/>
      <c r="M23" s="54"/>
      <c r="N23" s="54"/>
      <c r="O23" s="54" t="s">
        <v>69</v>
      </c>
      <c r="P23" s="54"/>
      <c r="Q23" s="54"/>
      <c r="R23" s="54" t="s">
        <v>70</v>
      </c>
      <c r="S23" s="151"/>
    </row>
    <row r="24" s="2" customFormat="1" ht="36" customHeight="1" spans="1:21">
      <c r="A24" s="42"/>
      <c r="B24" s="38"/>
      <c r="C24" s="38"/>
      <c r="D24" s="38"/>
      <c r="E24" s="39"/>
      <c r="F24" s="40"/>
      <c r="G24" s="40"/>
      <c r="H24" s="41"/>
      <c r="I24" s="54" t="s">
        <v>71</v>
      </c>
      <c r="J24" s="54" t="s">
        <v>72</v>
      </c>
      <c r="K24" s="54" t="s">
        <v>73</v>
      </c>
      <c r="L24" s="54" t="s">
        <v>74</v>
      </c>
      <c r="M24" s="54" t="s">
        <v>75</v>
      </c>
      <c r="N24" s="54"/>
      <c r="O24" s="54" t="s">
        <v>76</v>
      </c>
      <c r="P24" s="54" t="s">
        <v>77</v>
      </c>
      <c r="Q24" s="114"/>
      <c r="R24" s="54"/>
      <c r="S24" s="151"/>
      <c r="T24" s="4"/>
      <c r="U24" s="40"/>
    </row>
    <row r="25" s="2" customFormat="1" ht="12" spans="1:21">
      <c r="A25" s="42"/>
      <c r="B25" s="38"/>
      <c r="C25" s="38"/>
      <c r="D25" s="38"/>
      <c r="E25" s="43"/>
      <c r="F25" s="44"/>
      <c r="G25" s="44"/>
      <c r="H25" s="45"/>
      <c r="I25" s="54"/>
      <c r="J25" s="54"/>
      <c r="K25" s="54"/>
      <c r="L25" s="54"/>
      <c r="M25" s="54"/>
      <c r="N25" s="54"/>
      <c r="O25" s="54"/>
      <c r="P25" s="114"/>
      <c r="Q25" s="114"/>
      <c r="R25" s="54"/>
      <c r="S25" s="151"/>
      <c r="T25" s="4"/>
      <c r="U25" s="40"/>
    </row>
    <row r="26" ht="24" customHeight="1" spans="1:21">
      <c r="A26" s="42"/>
      <c r="B26" s="46" t="s">
        <v>78</v>
      </c>
      <c r="C26" s="46"/>
      <c r="D26" s="46"/>
      <c r="E26" s="47">
        <v>5583.66</v>
      </c>
      <c r="F26" s="48"/>
      <c r="G26" s="48"/>
      <c r="H26" s="49"/>
      <c r="I26" s="115">
        <v>5583.66</v>
      </c>
      <c r="J26" s="115"/>
      <c r="K26" s="38">
        <v>5533.66</v>
      </c>
      <c r="L26" s="116">
        <f t="shared" ref="L26:L28" si="0">K26/E26</f>
        <v>0.991045300036177</v>
      </c>
      <c r="M26" s="54"/>
      <c r="N26" s="54"/>
      <c r="O26" s="38">
        <v>5533.66</v>
      </c>
      <c r="P26" s="117">
        <f t="shared" ref="P26:P28" si="1">O26/I26</f>
        <v>0.991045300036177</v>
      </c>
      <c r="Q26" s="117"/>
      <c r="R26" s="38">
        <v>50</v>
      </c>
      <c r="S26" s="152"/>
      <c r="U26" s="153"/>
    </row>
    <row r="27" ht="24" customHeight="1" spans="1:21">
      <c r="A27" s="42"/>
      <c r="B27" s="50" t="s">
        <v>79</v>
      </c>
      <c r="C27" s="50"/>
      <c r="D27" s="50"/>
      <c r="E27" s="47">
        <f>SUM(E28:H31)</f>
        <v>5583.66</v>
      </c>
      <c r="F27" s="48"/>
      <c r="G27" s="48"/>
      <c r="H27" s="49"/>
      <c r="I27" s="115">
        <v>5583.66</v>
      </c>
      <c r="J27" s="115"/>
      <c r="K27" s="38">
        <f>SUM(K28:K30)</f>
        <v>5533.66</v>
      </c>
      <c r="L27" s="116">
        <f t="shared" si="0"/>
        <v>0.991045300036177</v>
      </c>
      <c r="M27" s="54"/>
      <c r="N27" s="54"/>
      <c r="O27" s="38">
        <f>SUM(O28:O30)</f>
        <v>5533.66</v>
      </c>
      <c r="P27" s="117">
        <f t="shared" si="1"/>
        <v>0.991045300036177</v>
      </c>
      <c r="Q27" s="117"/>
      <c r="R27" s="38">
        <f t="shared" ref="R27:R30" si="2">I27-O27</f>
        <v>50</v>
      </c>
      <c r="S27" s="152"/>
      <c r="U27" s="153"/>
    </row>
    <row r="28" ht="24" customHeight="1" spans="1:21">
      <c r="A28" s="42"/>
      <c r="B28" s="50" t="s">
        <v>80</v>
      </c>
      <c r="C28" s="50"/>
      <c r="D28" s="50"/>
      <c r="E28" s="47">
        <v>1583.66</v>
      </c>
      <c r="F28" s="48"/>
      <c r="G28" s="48"/>
      <c r="H28" s="49"/>
      <c r="I28" s="3">
        <v>1583.66</v>
      </c>
      <c r="J28" s="115"/>
      <c r="K28" s="56">
        <v>1583.66</v>
      </c>
      <c r="L28" s="116">
        <f t="shared" si="0"/>
        <v>1</v>
      </c>
      <c r="M28" s="54"/>
      <c r="N28" s="54"/>
      <c r="O28" s="56">
        <v>1583.66</v>
      </c>
      <c r="P28" s="117">
        <f t="shared" si="1"/>
        <v>1</v>
      </c>
      <c r="Q28" s="117"/>
      <c r="R28" s="38">
        <f t="shared" si="2"/>
        <v>0</v>
      </c>
      <c r="S28" s="152"/>
      <c r="U28" s="153"/>
    </row>
    <row r="29" ht="24" customHeight="1" spans="1:21">
      <c r="A29" s="42"/>
      <c r="B29" s="50" t="s">
        <v>81</v>
      </c>
      <c r="C29" s="50"/>
      <c r="D29" s="50"/>
      <c r="E29" s="47"/>
      <c r="F29" s="48"/>
      <c r="G29" s="48"/>
      <c r="H29" s="49"/>
      <c r="I29" s="115"/>
      <c r="J29" s="115"/>
      <c r="K29" s="56"/>
      <c r="L29" s="116"/>
      <c r="M29" s="54"/>
      <c r="N29" s="54"/>
      <c r="O29" s="56"/>
      <c r="P29" s="117"/>
      <c r="Q29" s="117"/>
      <c r="R29" s="38"/>
      <c r="S29" s="152"/>
      <c r="U29" s="153"/>
    </row>
    <row r="30" ht="24" customHeight="1" spans="1:21">
      <c r="A30" s="42"/>
      <c r="B30" s="50" t="s">
        <v>82</v>
      </c>
      <c r="C30" s="50"/>
      <c r="D30" s="50"/>
      <c r="E30" s="47">
        <v>4000</v>
      </c>
      <c r="F30" s="48"/>
      <c r="G30" s="48"/>
      <c r="H30" s="49"/>
      <c r="I30" s="115">
        <v>4000</v>
      </c>
      <c r="J30" s="115" t="s">
        <v>83</v>
      </c>
      <c r="K30" s="56">
        <v>3950</v>
      </c>
      <c r="L30" s="116">
        <f>K30/E30</f>
        <v>0.9875</v>
      </c>
      <c r="M30" s="54"/>
      <c r="N30" s="54"/>
      <c r="O30" s="56">
        <v>3950</v>
      </c>
      <c r="P30" s="117">
        <f>O30/I30</f>
        <v>0.9875</v>
      </c>
      <c r="Q30" s="117"/>
      <c r="R30" s="38">
        <f t="shared" si="2"/>
        <v>50</v>
      </c>
      <c r="S30" s="152"/>
      <c r="U30" s="153"/>
    </row>
    <row r="31" ht="24" customHeight="1" spans="1:19">
      <c r="A31" s="42"/>
      <c r="B31" s="50" t="s">
        <v>84</v>
      </c>
      <c r="C31" s="50"/>
      <c r="D31" s="50"/>
      <c r="E31" s="47"/>
      <c r="F31" s="48"/>
      <c r="G31" s="48"/>
      <c r="H31" s="49"/>
      <c r="I31" s="115"/>
      <c r="J31" s="115"/>
      <c r="K31" s="56"/>
      <c r="L31" s="56"/>
      <c r="M31" s="54"/>
      <c r="N31" s="54"/>
      <c r="O31" s="38"/>
      <c r="P31" s="54"/>
      <c r="Q31" s="54"/>
      <c r="R31" s="38"/>
      <c r="S31" s="152"/>
    </row>
    <row r="32" ht="24" customHeight="1" spans="1:19">
      <c r="A32" s="42"/>
      <c r="B32" s="51" t="s">
        <v>85</v>
      </c>
      <c r="C32" s="52"/>
      <c r="D32" s="53"/>
      <c r="E32" s="47"/>
      <c r="F32" s="48"/>
      <c r="G32" s="48"/>
      <c r="H32" s="49"/>
      <c r="I32" s="115"/>
      <c r="J32" s="115"/>
      <c r="K32" s="56"/>
      <c r="L32" s="56"/>
      <c r="M32" s="103"/>
      <c r="N32" s="104"/>
      <c r="O32" s="38"/>
      <c r="P32" s="103"/>
      <c r="Q32" s="104"/>
      <c r="R32" s="47"/>
      <c r="S32" s="154"/>
    </row>
    <row r="33" ht="24" customHeight="1" spans="1:19">
      <c r="A33" s="42"/>
      <c r="B33" s="54" t="s">
        <v>86</v>
      </c>
      <c r="C33" s="55"/>
      <c r="D33" s="56" t="s">
        <v>87</v>
      </c>
      <c r="E33" s="57" t="s">
        <v>88</v>
      </c>
      <c r="F33" s="57"/>
      <c r="G33" s="57"/>
      <c r="H33" s="57"/>
      <c r="I33" s="57"/>
      <c r="J33" s="57"/>
      <c r="K33" s="57"/>
      <c r="L33" s="57"/>
      <c r="M33" s="57"/>
      <c r="N33" s="57"/>
      <c r="O33" s="57"/>
      <c r="P33" s="57" t="s">
        <v>89</v>
      </c>
      <c r="Q33" s="57"/>
      <c r="R33" s="57"/>
      <c r="S33" s="155"/>
    </row>
    <row r="34" ht="24" customHeight="1" spans="1:19">
      <c r="A34" s="42"/>
      <c r="B34" s="55"/>
      <c r="C34" s="55"/>
      <c r="D34" s="54">
        <v>1</v>
      </c>
      <c r="E34" s="57" t="s">
        <v>90</v>
      </c>
      <c r="F34" s="57"/>
      <c r="G34" s="57"/>
      <c r="H34" s="57"/>
      <c r="I34" s="57"/>
      <c r="J34" s="57"/>
      <c r="K34" s="57"/>
      <c r="L34" s="57"/>
      <c r="M34" s="57"/>
      <c r="N34" s="57"/>
      <c r="O34" s="57"/>
      <c r="P34" s="57">
        <v>5343.94</v>
      </c>
      <c r="Q34" s="57"/>
      <c r="R34" s="57"/>
      <c r="S34" s="155"/>
    </row>
    <row r="35" ht="24" customHeight="1" spans="1:19">
      <c r="A35" s="42"/>
      <c r="B35" s="55"/>
      <c r="C35" s="55"/>
      <c r="D35" s="54">
        <v>2</v>
      </c>
      <c r="E35" s="57" t="s">
        <v>91</v>
      </c>
      <c r="F35" s="57"/>
      <c r="G35" s="57"/>
      <c r="H35" s="57"/>
      <c r="I35" s="57"/>
      <c r="J35" s="57"/>
      <c r="K35" s="57"/>
      <c r="L35" s="57"/>
      <c r="M35" s="57"/>
      <c r="N35" s="57"/>
      <c r="O35" s="57"/>
      <c r="P35" s="57">
        <v>55.85</v>
      </c>
      <c r="Q35" s="57"/>
      <c r="R35" s="57"/>
      <c r="S35" s="155"/>
    </row>
    <row r="36" ht="24" customHeight="1" spans="1:19">
      <c r="A36" s="58"/>
      <c r="B36" s="59"/>
      <c r="C36" s="59"/>
      <c r="D36" s="54">
        <v>3</v>
      </c>
      <c r="E36" s="57" t="s">
        <v>92</v>
      </c>
      <c r="F36" s="57"/>
      <c r="G36" s="57"/>
      <c r="H36" s="57"/>
      <c r="I36" s="57"/>
      <c r="J36" s="57"/>
      <c r="K36" s="57"/>
      <c r="L36" s="57"/>
      <c r="M36" s="57"/>
      <c r="N36" s="57"/>
      <c r="O36" s="57"/>
      <c r="P36" s="57">
        <v>133.89</v>
      </c>
      <c r="Q36" s="57"/>
      <c r="R36" s="57"/>
      <c r="S36" s="155"/>
    </row>
    <row r="37" ht="24" customHeight="1" spans="1:19">
      <c r="A37" s="58"/>
      <c r="B37" s="59"/>
      <c r="C37" s="59"/>
      <c r="D37" s="54">
        <v>4</v>
      </c>
      <c r="E37" s="57"/>
      <c r="F37" s="57"/>
      <c r="G37" s="57"/>
      <c r="H37" s="57"/>
      <c r="I37" s="57"/>
      <c r="J37" s="57"/>
      <c r="K37" s="57"/>
      <c r="L37" s="57"/>
      <c r="M37" s="57"/>
      <c r="N37" s="57"/>
      <c r="O37" s="57"/>
      <c r="P37" s="57"/>
      <c r="Q37" s="57"/>
      <c r="R37" s="57"/>
      <c r="S37" s="155"/>
    </row>
    <row r="38" ht="24" customHeight="1" spans="1:19">
      <c r="A38" s="58"/>
      <c r="B38" s="59"/>
      <c r="C38" s="59"/>
      <c r="D38" s="54" t="s">
        <v>93</v>
      </c>
      <c r="E38" s="57"/>
      <c r="F38" s="57"/>
      <c r="G38" s="57"/>
      <c r="H38" s="57"/>
      <c r="I38" s="57"/>
      <c r="J38" s="57"/>
      <c r="K38" s="57"/>
      <c r="L38" s="57"/>
      <c r="M38" s="57"/>
      <c r="N38" s="57"/>
      <c r="O38" s="57"/>
      <c r="P38" s="57"/>
      <c r="Q38" s="57"/>
      <c r="R38" s="57"/>
      <c r="S38" s="155"/>
    </row>
    <row r="39" ht="24" customHeight="1" spans="1:19">
      <c r="A39" s="60"/>
      <c r="B39" s="61"/>
      <c r="C39" s="61"/>
      <c r="D39" s="3" t="s">
        <v>94</v>
      </c>
      <c r="E39" s="57"/>
      <c r="F39" s="57"/>
      <c r="G39" s="57"/>
      <c r="H39" s="57"/>
      <c r="I39" s="57"/>
      <c r="J39" s="57"/>
      <c r="K39" s="57"/>
      <c r="L39" s="57"/>
      <c r="M39" s="57"/>
      <c r="N39" s="57"/>
      <c r="O39" s="57"/>
      <c r="P39" s="57">
        <f>SUM(P34:S38)</f>
        <v>5533.68</v>
      </c>
      <c r="Q39" s="57"/>
      <c r="R39" s="57"/>
      <c r="S39" s="155"/>
    </row>
    <row r="40" ht="41.45" customHeight="1" spans="1:20">
      <c r="A40" s="62" t="s">
        <v>95</v>
      </c>
      <c r="B40" s="10" t="s">
        <v>96</v>
      </c>
      <c r="C40" s="11"/>
      <c r="D40" s="11"/>
      <c r="E40" s="11" t="s">
        <v>97</v>
      </c>
      <c r="F40" s="11"/>
      <c r="G40" s="11"/>
      <c r="H40" s="11" t="s">
        <v>98</v>
      </c>
      <c r="I40" s="11"/>
      <c r="J40" s="11" t="s">
        <v>99</v>
      </c>
      <c r="K40" s="11"/>
      <c r="L40" s="11"/>
      <c r="M40" s="11"/>
      <c r="N40" s="11"/>
      <c r="O40" s="11"/>
      <c r="P40" s="118" t="s">
        <v>100</v>
      </c>
      <c r="Q40" s="137"/>
      <c r="R40" s="11" t="s">
        <v>101</v>
      </c>
      <c r="S40" s="156"/>
      <c r="T40" s="104"/>
    </row>
    <row r="41" ht="42.6" customHeight="1" spans="1:20">
      <c r="A41" s="63"/>
      <c r="B41" s="64" t="s">
        <v>102</v>
      </c>
      <c r="C41" s="65"/>
      <c r="D41" s="66"/>
      <c r="E41" s="54" t="s">
        <v>103</v>
      </c>
      <c r="F41" s="54"/>
      <c r="G41" s="54"/>
      <c r="H41" s="67" t="s">
        <v>104</v>
      </c>
      <c r="I41" s="66"/>
      <c r="J41" s="119" t="s">
        <v>104</v>
      </c>
      <c r="K41" s="119"/>
      <c r="L41" s="119"/>
      <c r="M41" s="119"/>
      <c r="N41" s="119"/>
      <c r="O41" s="119"/>
      <c r="P41" s="120">
        <v>0.1</v>
      </c>
      <c r="Q41" s="157"/>
      <c r="R41" s="23">
        <v>10</v>
      </c>
      <c r="S41" s="158"/>
      <c r="T41" s="104"/>
    </row>
    <row r="42" ht="46.5" customHeight="1" spans="1:20">
      <c r="A42" s="63"/>
      <c r="B42" s="68"/>
      <c r="C42" s="69"/>
      <c r="D42" s="70"/>
      <c r="E42" s="71" t="s">
        <v>105</v>
      </c>
      <c r="F42" s="72"/>
      <c r="G42" s="73"/>
      <c r="H42" s="51" t="s">
        <v>106</v>
      </c>
      <c r="I42" s="53"/>
      <c r="J42" s="121" t="s">
        <v>106</v>
      </c>
      <c r="K42" s="122"/>
      <c r="L42" s="122"/>
      <c r="M42" s="122"/>
      <c r="N42" s="122"/>
      <c r="O42" s="123"/>
      <c r="P42" s="120">
        <v>0.1</v>
      </c>
      <c r="Q42" s="157"/>
      <c r="R42" s="26">
        <v>8</v>
      </c>
      <c r="S42" s="144"/>
      <c r="T42" s="104"/>
    </row>
    <row r="43" spans="1:20">
      <c r="A43" s="63"/>
      <c r="B43" s="68"/>
      <c r="C43" s="69"/>
      <c r="D43" s="70"/>
      <c r="E43" s="39"/>
      <c r="F43" s="40"/>
      <c r="G43" s="41"/>
      <c r="H43" s="51" t="s">
        <v>93</v>
      </c>
      <c r="I43" s="53"/>
      <c r="J43" s="121"/>
      <c r="K43" s="122"/>
      <c r="L43" s="122"/>
      <c r="M43" s="122"/>
      <c r="N43" s="122"/>
      <c r="O43" s="123"/>
      <c r="P43" s="124"/>
      <c r="Q43" s="157"/>
      <c r="R43" s="26"/>
      <c r="S43" s="144"/>
      <c r="T43" s="104"/>
    </row>
    <row r="44" ht="58.9" customHeight="1" spans="1:20">
      <c r="A44" s="63"/>
      <c r="B44" s="68"/>
      <c r="C44" s="69"/>
      <c r="D44" s="70"/>
      <c r="E44" s="71" t="s">
        <v>107</v>
      </c>
      <c r="F44" s="72"/>
      <c r="G44" s="73"/>
      <c r="H44" s="67" t="s">
        <v>108</v>
      </c>
      <c r="I44" s="66"/>
      <c r="J44" s="119" t="s">
        <v>109</v>
      </c>
      <c r="K44" s="119"/>
      <c r="L44" s="119"/>
      <c r="M44" s="119"/>
      <c r="N44" s="119"/>
      <c r="O44" s="119"/>
      <c r="P44" s="120">
        <v>0.1</v>
      </c>
      <c r="Q44" s="157"/>
      <c r="R44" s="23">
        <v>10</v>
      </c>
      <c r="S44" s="158"/>
      <c r="T44" s="104"/>
    </row>
    <row r="45" ht="15" spans="1:20">
      <c r="A45" s="63"/>
      <c r="B45" s="68"/>
      <c r="C45" s="69"/>
      <c r="D45" s="70"/>
      <c r="E45" s="39"/>
      <c r="F45" s="40"/>
      <c r="G45" s="41"/>
      <c r="H45" s="51" t="s">
        <v>93</v>
      </c>
      <c r="I45" s="53"/>
      <c r="J45" s="119"/>
      <c r="K45" s="119"/>
      <c r="L45" s="119"/>
      <c r="M45" s="119"/>
      <c r="N45" s="119"/>
      <c r="O45" s="119"/>
      <c r="P45" s="124"/>
      <c r="Q45" s="157"/>
      <c r="R45" s="23"/>
      <c r="S45" s="158"/>
      <c r="T45" s="104"/>
    </row>
    <row r="46" ht="48.6" customHeight="1" spans="1:20">
      <c r="A46" s="63"/>
      <c r="B46" s="74" t="s">
        <v>110</v>
      </c>
      <c r="C46" s="75"/>
      <c r="D46" s="76"/>
      <c r="E46" s="77" t="s">
        <v>111</v>
      </c>
      <c r="F46" s="77"/>
      <c r="G46" s="77"/>
      <c r="H46" s="78" t="s">
        <v>112</v>
      </c>
      <c r="I46" s="78"/>
      <c r="J46" s="125" t="s">
        <v>112</v>
      </c>
      <c r="K46" s="125"/>
      <c r="L46" s="125"/>
      <c r="M46" s="125"/>
      <c r="N46" s="125"/>
      <c r="O46" s="125"/>
      <c r="P46" s="126">
        <v>0.15</v>
      </c>
      <c r="Q46" s="159"/>
      <c r="R46" s="11">
        <v>15</v>
      </c>
      <c r="S46" s="141"/>
      <c r="T46" s="40"/>
    </row>
    <row r="47" spans="1:20">
      <c r="A47" s="63"/>
      <c r="B47" s="68"/>
      <c r="C47" s="69"/>
      <c r="D47" s="70"/>
      <c r="E47" s="79"/>
      <c r="F47" s="79"/>
      <c r="G47" s="79"/>
      <c r="H47" s="50" t="s">
        <v>93</v>
      </c>
      <c r="I47" s="50"/>
      <c r="J47" s="127"/>
      <c r="K47" s="127"/>
      <c r="L47" s="127"/>
      <c r="M47" s="127"/>
      <c r="N47" s="127"/>
      <c r="O47" s="127"/>
      <c r="P47" s="128"/>
      <c r="Q47" s="128"/>
      <c r="R47" s="23"/>
      <c r="S47" s="158"/>
      <c r="T47" s="40"/>
    </row>
    <row r="48" s="1" customFormat="1" ht="68.45" customHeight="1" spans="1:20">
      <c r="A48" s="63"/>
      <c r="B48" s="80"/>
      <c r="C48" s="69"/>
      <c r="D48" s="70"/>
      <c r="E48" s="71" t="s">
        <v>113</v>
      </c>
      <c r="F48" s="72"/>
      <c r="G48" s="73"/>
      <c r="H48" s="81" t="s">
        <v>114</v>
      </c>
      <c r="I48" s="81"/>
      <c r="J48" s="127" t="s">
        <v>115</v>
      </c>
      <c r="K48" s="127"/>
      <c r="L48" s="127"/>
      <c r="M48" s="127"/>
      <c r="N48" s="127"/>
      <c r="O48" s="127"/>
      <c r="P48" s="129">
        <v>0.15</v>
      </c>
      <c r="Q48" s="128"/>
      <c r="R48" s="23">
        <v>15</v>
      </c>
      <c r="S48" s="158"/>
      <c r="T48" s="4"/>
    </row>
    <row r="49" s="1" customFormat="1" ht="15" spans="1:20">
      <c r="A49" s="63"/>
      <c r="B49" s="80"/>
      <c r="C49" s="69"/>
      <c r="D49" s="70"/>
      <c r="E49" s="82"/>
      <c r="F49" s="83"/>
      <c r="G49" s="84"/>
      <c r="H49" s="85" t="s">
        <v>93</v>
      </c>
      <c r="I49" s="130"/>
      <c r="J49" s="131"/>
      <c r="K49" s="131"/>
      <c r="L49" s="131"/>
      <c r="M49" s="131"/>
      <c r="N49" s="131"/>
      <c r="O49" s="131"/>
      <c r="P49" s="132"/>
      <c r="Q49" s="132"/>
      <c r="R49" s="160"/>
      <c r="S49" s="161"/>
      <c r="T49" s="40"/>
    </row>
    <row r="50" ht="23.25" customHeight="1" spans="1:20">
      <c r="A50" s="63"/>
      <c r="B50" s="74" t="s">
        <v>116</v>
      </c>
      <c r="C50" s="75"/>
      <c r="D50" s="76"/>
      <c r="E50" s="77" t="s">
        <v>117</v>
      </c>
      <c r="F50" s="77"/>
      <c r="G50" s="77"/>
      <c r="H50" s="78" t="s">
        <v>118</v>
      </c>
      <c r="I50" s="78"/>
      <c r="J50" s="133" t="s">
        <v>118</v>
      </c>
      <c r="K50" s="133"/>
      <c r="L50" s="133"/>
      <c r="M50" s="133"/>
      <c r="N50" s="133"/>
      <c r="O50" s="133"/>
      <c r="P50" s="126">
        <v>0.08</v>
      </c>
      <c r="Q50" s="159"/>
      <c r="R50" s="11">
        <v>8</v>
      </c>
      <c r="S50" s="141"/>
      <c r="T50" s="40"/>
    </row>
    <row r="51" ht="23.25" customHeight="1" spans="1:19">
      <c r="A51" s="63"/>
      <c r="B51" s="80"/>
      <c r="C51" s="69"/>
      <c r="D51" s="70"/>
      <c r="E51" s="54" t="s">
        <v>119</v>
      </c>
      <c r="F51" s="54"/>
      <c r="G51" s="54"/>
      <c r="H51" s="50" t="s">
        <v>120</v>
      </c>
      <c r="I51" s="50"/>
      <c r="J51" s="119" t="s">
        <v>121</v>
      </c>
      <c r="K51" s="119"/>
      <c r="L51" s="119"/>
      <c r="M51" s="119"/>
      <c r="N51" s="119"/>
      <c r="O51" s="119"/>
      <c r="P51" s="134">
        <v>0.07</v>
      </c>
      <c r="Q51" s="128"/>
      <c r="R51" s="23">
        <v>7</v>
      </c>
      <c r="S51" s="158"/>
    </row>
    <row r="52" ht="25.5" customHeight="1" spans="1:19">
      <c r="A52" s="63"/>
      <c r="B52" s="80"/>
      <c r="C52" s="69"/>
      <c r="D52" s="70"/>
      <c r="E52" s="54" t="s">
        <v>122</v>
      </c>
      <c r="F52" s="54"/>
      <c r="G52" s="54"/>
      <c r="H52" s="50"/>
      <c r="I52" s="50"/>
      <c r="J52" s="119"/>
      <c r="K52" s="119"/>
      <c r="L52" s="119"/>
      <c r="M52" s="119"/>
      <c r="N52" s="119"/>
      <c r="O52" s="119"/>
      <c r="P52" s="128"/>
      <c r="Q52" s="128"/>
      <c r="R52" s="23"/>
      <c r="S52" s="158"/>
    </row>
    <row r="53" ht="24.75" customHeight="1" spans="1:19">
      <c r="A53" s="63"/>
      <c r="B53" s="80"/>
      <c r="C53" s="69"/>
      <c r="D53" s="70"/>
      <c r="E53" s="54" t="s">
        <v>123</v>
      </c>
      <c r="F53" s="54"/>
      <c r="G53" s="54"/>
      <c r="H53" s="50" t="s">
        <v>124</v>
      </c>
      <c r="I53" s="50"/>
      <c r="J53" s="119" t="s">
        <v>124</v>
      </c>
      <c r="K53" s="119"/>
      <c r="L53" s="119"/>
      <c r="M53" s="119"/>
      <c r="N53" s="119"/>
      <c r="O53" s="119"/>
      <c r="P53" s="129">
        <v>0.1</v>
      </c>
      <c r="Q53" s="128"/>
      <c r="R53" s="23">
        <v>10</v>
      </c>
      <c r="S53" s="158"/>
    </row>
    <row r="54" s="1" customFormat="1" ht="21" customHeight="1" spans="1:20">
      <c r="A54" s="63"/>
      <c r="B54" s="80"/>
      <c r="C54" s="69"/>
      <c r="D54" s="70"/>
      <c r="E54" s="54" t="s">
        <v>125</v>
      </c>
      <c r="F54" s="54"/>
      <c r="G54" s="54"/>
      <c r="H54" s="50" t="s">
        <v>47</v>
      </c>
      <c r="I54" s="50"/>
      <c r="J54" s="119" t="s">
        <v>47</v>
      </c>
      <c r="K54" s="119"/>
      <c r="L54" s="119"/>
      <c r="M54" s="119"/>
      <c r="N54" s="119"/>
      <c r="O54" s="119"/>
      <c r="P54" s="129">
        <v>0.07</v>
      </c>
      <c r="Q54" s="128"/>
      <c r="R54" s="23">
        <v>7</v>
      </c>
      <c r="S54" s="162"/>
      <c r="T54" s="4"/>
    </row>
    <row r="55" s="1" customFormat="1" ht="20.25" customHeight="1" spans="1:20">
      <c r="A55" s="63"/>
      <c r="B55" s="80"/>
      <c r="C55" s="69"/>
      <c r="D55" s="70"/>
      <c r="E55" s="54" t="s">
        <v>126</v>
      </c>
      <c r="F55" s="54"/>
      <c r="G55" s="54"/>
      <c r="H55" s="50" t="s">
        <v>51</v>
      </c>
      <c r="I55" s="50"/>
      <c r="J55" s="119" t="s">
        <v>51</v>
      </c>
      <c r="K55" s="119"/>
      <c r="L55" s="119"/>
      <c r="M55" s="119"/>
      <c r="N55" s="119"/>
      <c r="O55" s="119"/>
      <c r="P55" s="129">
        <v>0.08</v>
      </c>
      <c r="Q55" s="128"/>
      <c r="R55" s="23">
        <v>8</v>
      </c>
      <c r="S55" s="162"/>
      <c r="T55" s="4"/>
    </row>
    <row r="56" s="1" customFormat="1" ht="21" customHeight="1" spans="1:20">
      <c r="A56" s="63"/>
      <c r="B56" s="86"/>
      <c r="C56" s="87"/>
      <c r="D56" s="88"/>
      <c r="E56" s="89" t="s">
        <v>127</v>
      </c>
      <c r="F56" s="89"/>
      <c r="G56" s="89"/>
      <c r="H56" s="90"/>
      <c r="I56" s="90"/>
      <c r="J56" s="135"/>
      <c r="K56" s="135"/>
      <c r="L56" s="135"/>
      <c r="M56" s="135"/>
      <c r="N56" s="135"/>
      <c r="O56" s="135"/>
      <c r="P56" s="136"/>
      <c r="Q56" s="136"/>
      <c r="R56" s="163"/>
      <c r="S56" s="164"/>
      <c r="T56" s="4"/>
    </row>
    <row r="57" ht="30" customHeight="1" spans="1:19">
      <c r="A57" s="63"/>
      <c r="B57" s="91" t="s">
        <v>128</v>
      </c>
      <c r="C57" s="92"/>
      <c r="D57" s="92"/>
      <c r="E57" s="92"/>
      <c r="F57" s="92"/>
      <c r="G57" s="92"/>
      <c r="H57" s="92"/>
      <c r="I57" s="92"/>
      <c r="J57" s="92"/>
      <c r="K57" s="92"/>
      <c r="L57" s="92"/>
      <c r="M57" s="92"/>
      <c r="N57" s="92"/>
      <c r="O57" s="137"/>
      <c r="P57" s="138">
        <v>1</v>
      </c>
      <c r="Q57" s="138"/>
      <c r="R57" s="165">
        <v>98</v>
      </c>
      <c r="S57" s="166"/>
    </row>
    <row r="58" ht="36" customHeight="1" spans="1:19">
      <c r="A58" s="93"/>
      <c r="B58" s="94" t="s">
        <v>129</v>
      </c>
      <c r="C58" s="95" t="s">
        <v>130</v>
      </c>
      <c r="D58" s="96"/>
      <c r="E58" s="96"/>
      <c r="F58" s="96"/>
      <c r="G58" s="96"/>
      <c r="H58" s="96"/>
      <c r="I58" s="96"/>
      <c r="J58" s="96"/>
      <c r="K58" s="96"/>
      <c r="L58" s="96"/>
      <c r="M58" s="96"/>
      <c r="N58" s="96"/>
      <c r="O58" s="96"/>
      <c r="P58" s="96"/>
      <c r="Q58" s="96"/>
      <c r="R58" s="96"/>
      <c r="S58" s="167"/>
    </row>
    <row r="59" ht="22.5" customHeight="1" spans="1:19">
      <c r="A59" s="62" t="s">
        <v>131</v>
      </c>
      <c r="B59" s="97" t="s">
        <v>132</v>
      </c>
      <c r="C59" s="98" t="s">
        <v>133</v>
      </c>
      <c r="D59" s="99"/>
      <c r="E59" s="100" t="s">
        <v>134</v>
      </c>
      <c r="F59" s="98"/>
      <c r="G59" s="98"/>
      <c r="H59" s="98"/>
      <c r="I59" s="98"/>
      <c r="J59" s="98"/>
      <c r="K59" s="98"/>
      <c r="L59" s="98"/>
      <c r="M59" s="98"/>
      <c r="N59" s="99"/>
      <c r="O59" s="139" t="s">
        <v>135</v>
      </c>
      <c r="P59" s="100" t="s">
        <v>136</v>
      </c>
      <c r="Q59" s="99"/>
      <c r="R59" s="100" t="s">
        <v>137</v>
      </c>
      <c r="S59" s="168"/>
    </row>
    <row r="60" ht="21" customHeight="1" spans="1:19">
      <c r="A60" s="101"/>
      <c r="B60" s="102"/>
      <c r="C60" s="103"/>
      <c r="D60" s="104"/>
      <c r="E60" s="105"/>
      <c r="F60" s="106"/>
      <c r="G60" s="106"/>
      <c r="H60" s="106"/>
      <c r="I60" s="106"/>
      <c r="J60" s="106"/>
      <c r="K60" s="106"/>
      <c r="L60" s="106"/>
      <c r="M60" s="106"/>
      <c r="N60" s="140"/>
      <c r="O60" s="57"/>
      <c r="P60" s="103"/>
      <c r="Q60" s="104"/>
      <c r="R60" s="103"/>
      <c r="S60" s="169"/>
    </row>
    <row r="61" ht="21" customHeight="1" spans="1:19">
      <c r="A61" s="101"/>
      <c r="B61" s="102"/>
      <c r="C61" s="103"/>
      <c r="D61" s="104"/>
      <c r="E61" s="105"/>
      <c r="F61" s="106"/>
      <c r="G61" s="106"/>
      <c r="H61" s="106"/>
      <c r="I61" s="106"/>
      <c r="J61" s="106"/>
      <c r="K61" s="106"/>
      <c r="L61" s="106"/>
      <c r="M61" s="106"/>
      <c r="N61" s="140"/>
      <c r="O61" s="57"/>
      <c r="P61" s="103"/>
      <c r="Q61" s="104"/>
      <c r="R61" s="103"/>
      <c r="S61" s="169"/>
    </row>
    <row r="62" ht="21" customHeight="1" spans="1:19">
      <c r="A62" s="101"/>
      <c r="B62" s="102"/>
      <c r="C62" s="103"/>
      <c r="D62" s="104"/>
      <c r="E62" s="105"/>
      <c r="F62" s="106"/>
      <c r="G62" s="106"/>
      <c r="H62" s="106"/>
      <c r="I62" s="106"/>
      <c r="J62" s="106"/>
      <c r="K62" s="106"/>
      <c r="L62" s="106"/>
      <c r="M62" s="106"/>
      <c r="N62" s="140"/>
      <c r="O62" s="57"/>
      <c r="P62" s="103"/>
      <c r="Q62" s="104"/>
      <c r="R62" s="103"/>
      <c r="S62" s="169"/>
    </row>
    <row r="63" ht="21" customHeight="1" spans="1:19">
      <c r="A63" s="101"/>
      <c r="B63" s="102"/>
      <c r="C63" s="103"/>
      <c r="D63" s="104"/>
      <c r="E63" s="105"/>
      <c r="F63" s="106"/>
      <c r="G63" s="106"/>
      <c r="H63" s="106"/>
      <c r="I63" s="106"/>
      <c r="J63" s="106"/>
      <c r="K63" s="106"/>
      <c r="L63" s="106"/>
      <c r="M63" s="106"/>
      <c r="N63" s="140"/>
      <c r="O63" s="57"/>
      <c r="P63" s="103"/>
      <c r="Q63" s="104"/>
      <c r="R63" s="103"/>
      <c r="S63" s="169"/>
    </row>
    <row r="64" ht="21" customHeight="1" spans="1:19">
      <c r="A64" s="101"/>
      <c r="B64" s="102"/>
      <c r="C64" s="103"/>
      <c r="D64" s="104"/>
      <c r="E64" s="105"/>
      <c r="F64" s="106"/>
      <c r="G64" s="106"/>
      <c r="H64" s="106"/>
      <c r="I64" s="106"/>
      <c r="J64" s="106"/>
      <c r="K64" s="106"/>
      <c r="L64" s="106"/>
      <c r="M64" s="106"/>
      <c r="N64" s="140"/>
      <c r="O64" s="57"/>
      <c r="P64" s="103"/>
      <c r="Q64" s="104"/>
      <c r="R64" s="103"/>
      <c r="S64" s="169"/>
    </row>
    <row r="65" ht="105.75" customHeight="1" spans="1:19">
      <c r="A65" s="101"/>
      <c r="B65" s="102"/>
      <c r="C65" s="170" t="s">
        <v>138</v>
      </c>
      <c r="D65" s="171"/>
      <c r="E65" s="171"/>
      <c r="F65" s="171"/>
      <c r="G65" s="171"/>
      <c r="H65" s="171"/>
      <c r="I65" s="171"/>
      <c r="J65" s="171"/>
      <c r="K65" s="171"/>
      <c r="L65" s="171"/>
      <c r="M65" s="171"/>
      <c r="N65" s="171"/>
      <c r="O65" s="171"/>
      <c r="P65" s="171"/>
      <c r="Q65" s="171"/>
      <c r="R65" s="171"/>
      <c r="S65" s="192"/>
    </row>
    <row r="66" ht="27" customHeight="1" spans="1:19">
      <c r="A66" s="101"/>
      <c r="B66" s="172"/>
      <c r="C66" s="173" t="s">
        <v>139</v>
      </c>
      <c r="D66" s="174"/>
      <c r="E66" s="174"/>
      <c r="F66" s="174"/>
      <c r="G66" s="174"/>
      <c r="H66" s="174"/>
      <c r="I66" s="174"/>
      <c r="J66" s="174"/>
      <c r="K66" s="174"/>
      <c r="L66" s="174"/>
      <c r="M66" s="174"/>
      <c r="N66" s="174"/>
      <c r="O66" s="174"/>
      <c r="P66" s="174"/>
      <c r="Q66" s="174"/>
      <c r="R66" s="174"/>
      <c r="S66" s="193"/>
    </row>
    <row r="67" ht="48.75" customHeight="1" spans="1:19">
      <c r="A67" s="101"/>
      <c r="B67" s="97" t="s">
        <v>140</v>
      </c>
      <c r="C67" s="175" t="s">
        <v>141</v>
      </c>
      <c r="D67" s="176"/>
      <c r="E67" s="176"/>
      <c r="F67" s="176"/>
      <c r="G67" s="176"/>
      <c r="H67" s="176"/>
      <c r="I67" s="176"/>
      <c r="J67" s="176"/>
      <c r="K67" s="176"/>
      <c r="L67" s="176"/>
      <c r="M67" s="176"/>
      <c r="N67" s="176"/>
      <c r="O67" s="176"/>
      <c r="P67" s="176"/>
      <c r="Q67" s="176"/>
      <c r="R67" s="176"/>
      <c r="S67" s="194"/>
    </row>
    <row r="68" ht="55.5" customHeight="1" spans="1:19">
      <c r="A68" s="101"/>
      <c r="B68" s="177"/>
      <c r="C68" s="178" t="s">
        <v>142</v>
      </c>
      <c r="D68" s="179"/>
      <c r="E68" s="179"/>
      <c r="F68" s="179"/>
      <c r="G68" s="179"/>
      <c r="H68" s="179"/>
      <c r="I68" s="179"/>
      <c r="J68" s="179"/>
      <c r="K68" s="179"/>
      <c r="L68" s="179"/>
      <c r="M68" s="179"/>
      <c r="N68" s="179"/>
      <c r="O68" s="179"/>
      <c r="P68" s="179"/>
      <c r="Q68" s="179"/>
      <c r="R68" s="179"/>
      <c r="S68" s="195"/>
    </row>
    <row r="69" ht="104.25" customHeight="1" spans="1:19">
      <c r="A69" s="101"/>
      <c r="B69" s="177"/>
      <c r="C69" s="170" t="s">
        <v>143</v>
      </c>
      <c r="D69" s="171"/>
      <c r="E69" s="171"/>
      <c r="F69" s="171"/>
      <c r="G69" s="171"/>
      <c r="H69" s="171"/>
      <c r="I69" s="171"/>
      <c r="J69" s="171"/>
      <c r="K69" s="171"/>
      <c r="L69" s="171"/>
      <c r="M69" s="171"/>
      <c r="N69" s="171"/>
      <c r="O69" s="171"/>
      <c r="P69" s="171"/>
      <c r="Q69" s="171"/>
      <c r="R69" s="171"/>
      <c r="S69" s="192"/>
    </row>
    <row r="70" ht="28.5" customHeight="1" spans="1:19">
      <c r="A70" s="101"/>
      <c r="B70" s="180"/>
      <c r="C70" s="173" t="s">
        <v>144</v>
      </c>
      <c r="D70" s="174"/>
      <c r="E70" s="174"/>
      <c r="F70" s="174"/>
      <c r="G70" s="174"/>
      <c r="H70" s="174"/>
      <c r="I70" s="174"/>
      <c r="J70" s="174"/>
      <c r="K70" s="174"/>
      <c r="L70" s="174"/>
      <c r="M70" s="174"/>
      <c r="N70" s="174"/>
      <c r="O70" s="174"/>
      <c r="P70" s="174"/>
      <c r="Q70" s="174"/>
      <c r="R70" s="174"/>
      <c r="S70" s="193"/>
    </row>
    <row r="71" ht="12" customHeight="1" spans="1:19">
      <c r="A71" s="101"/>
      <c r="B71" s="177" t="s">
        <v>145</v>
      </c>
      <c r="C71" s="181"/>
      <c r="D71" s="182"/>
      <c r="E71" s="182"/>
      <c r="F71" s="182"/>
      <c r="G71" s="182"/>
      <c r="H71" s="182"/>
      <c r="I71" s="182"/>
      <c r="J71" s="182"/>
      <c r="K71" s="182"/>
      <c r="L71" s="182"/>
      <c r="M71" s="182"/>
      <c r="N71" s="182"/>
      <c r="O71" s="182"/>
      <c r="P71" s="182"/>
      <c r="Q71" s="182"/>
      <c r="R71" s="182"/>
      <c r="S71" s="196"/>
    </row>
    <row r="72" customHeight="1" spans="1:19">
      <c r="A72" s="101"/>
      <c r="B72" s="177"/>
      <c r="C72" s="182"/>
      <c r="D72" s="182"/>
      <c r="E72" s="182"/>
      <c r="F72" s="183"/>
      <c r="G72" s="182"/>
      <c r="H72" s="182"/>
      <c r="I72" s="182"/>
      <c r="J72" s="182"/>
      <c r="K72" s="182"/>
      <c r="L72" s="182"/>
      <c r="M72" s="182"/>
      <c r="N72" s="182"/>
      <c r="O72" s="182"/>
      <c r="P72" s="182"/>
      <c r="Q72" s="182"/>
      <c r="R72" s="182"/>
      <c r="S72" s="196"/>
    </row>
    <row r="73" ht="30.75" customHeight="1" spans="1:19">
      <c r="A73" s="101"/>
      <c r="B73" s="177"/>
      <c r="C73" s="184"/>
      <c r="D73" s="185"/>
      <c r="E73" s="185"/>
      <c r="F73" s="185"/>
      <c r="G73" s="185"/>
      <c r="H73" s="185"/>
      <c r="I73" s="185"/>
      <c r="J73" s="185"/>
      <c r="K73" s="185"/>
      <c r="L73" s="185"/>
      <c r="M73" s="185"/>
      <c r="N73" s="185"/>
      <c r="O73" s="185"/>
      <c r="P73" s="185"/>
      <c r="Q73" s="185"/>
      <c r="R73" s="185"/>
      <c r="S73" s="197"/>
    </row>
    <row r="74" ht="53.25" customHeight="1" spans="1:19">
      <c r="A74" s="186"/>
      <c r="B74" s="180"/>
      <c r="C74" s="187" t="s">
        <v>146</v>
      </c>
      <c r="D74" s="188"/>
      <c r="E74" s="188"/>
      <c r="F74" s="188"/>
      <c r="G74" s="188"/>
      <c r="H74" s="188"/>
      <c r="I74" s="188"/>
      <c r="J74" s="188"/>
      <c r="K74" s="188"/>
      <c r="L74" s="188"/>
      <c r="M74" s="188"/>
      <c r="N74" s="188"/>
      <c r="O74" s="188"/>
      <c r="P74" s="188"/>
      <c r="Q74" s="188"/>
      <c r="R74" s="188"/>
      <c r="S74" s="198"/>
    </row>
    <row r="75" ht="19.5" customHeight="1" spans="1:19">
      <c r="A75" s="189"/>
      <c r="B75" s="190" t="s">
        <v>147</v>
      </c>
      <c r="C75" s="190"/>
      <c r="D75" s="190"/>
      <c r="E75" s="190"/>
      <c r="F75" s="190"/>
      <c r="G75" s="190"/>
      <c r="H75" s="190" t="s">
        <v>148</v>
      </c>
      <c r="I75" s="190"/>
      <c r="J75" s="190"/>
      <c r="K75" s="190"/>
      <c r="L75" s="190"/>
      <c r="N75" s="191"/>
      <c r="O75" s="191" t="s">
        <v>149</v>
      </c>
      <c r="Q75" s="191"/>
      <c r="R75" s="191"/>
      <c r="S75" s="191"/>
    </row>
  </sheetData>
  <mergeCells count="288">
    <mergeCell ref="A1:B1"/>
    <mergeCell ref="A2:S2"/>
    <mergeCell ref="B3:D3"/>
    <mergeCell ref="E3:S3"/>
    <mergeCell ref="K4:M4"/>
    <mergeCell ref="P4:S4"/>
    <mergeCell ref="K5:M5"/>
    <mergeCell ref="P5:S5"/>
    <mergeCell ref="B6:H6"/>
    <mergeCell ref="I6:S6"/>
    <mergeCell ref="C7:H7"/>
    <mergeCell ref="I7:K7"/>
    <mergeCell ref="L7:O7"/>
    <mergeCell ref="P7:S7"/>
    <mergeCell ref="C8:D8"/>
    <mergeCell ref="E8:H8"/>
    <mergeCell ref="I8:K8"/>
    <mergeCell ref="L8:M8"/>
    <mergeCell ref="N8:O8"/>
    <mergeCell ref="P8:Q8"/>
    <mergeCell ref="R8:S8"/>
    <mergeCell ref="E9:H9"/>
    <mergeCell ref="I9:K9"/>
    <mergeCell ref="L9:M9"/>
    <mergeCell ref="N9:O9"/>
    <mergeCell ref="P9:Q9"/>
    <mergeCell ref="R9:S9"/>
    <mergeCell ref="E10:H10"/>
    <mergeCell ref="I10:K10"/>
    <mergeCell ref="L10:M10"/>
    <mergeCell ref="N10:O10"/>
    <mergeCell ref="P10:Q10"/>
    <mergeCell ref="R10:S10"/>
    <mergeCell ref="E11:H11"/>
    <mergeCell ref="I11:K11"/>
    <mergeCell ref="L11:M11"/>
    <mergeCell ref="N11:O11"/>
    <mergeCell ref="P11:Q11"/>
    <mergeCell ref="R11:S11"/>
    <mergeCell ref="E12:H12"/>
    <mergeCell ref="I12:K12"/>
    <mergeCell ref="L12:M12"/>
    <mergeCell ref="N12:O12"/>
    <mergeCell ref="P12:Q12"/>
    <mergeCell ref="R12:S12"/>
    <mergeCell ref="E13:H13"/>
    <mergeCell ref="I13:K13"/>
    <mergeCell ref="L13:M13"/>
    <mergeCell ref="N13:O13"/>
    <mergeCell ref="P13:Q13"/>
    <mergeCell ref="R13:S13"/>
    <mergeCell ref="E14:H14"/>
    <mergeCell ref="I14:K14"/>
    <mergeCell ref="L14:M14"/>
    <mergeCell ref="N14:O14"/>
    <mergeCell ref="P14:Q14"/>
    <mergeCell ref="R14:S14"/>
    <mergeCell ref="E15:H15"/>
    <mergeCell ref="I15:K15"/>
    <mergeCell ref="L15:M15"/>
    <mergeCell ref="N15:O15"/>
    <mergeCell ref="P15:Q15"/>
    <mergeCell ref="R15:S15"/>
    <mergeCell ref="E16:H16"/>
    <mergeCell ref="I16:K16"/>
    <mergeCell ref="L16:M16"/>
    <mergeCell ref="N16:O16"/>
    <mergeCell ref="P16:Q16"/>
    <mergeCell ref="R16:S16"/>
    <mergeCell ref="E17:H17"/>
    <mergeCell ref="I17:K17"/>
    <mergeCell ref="L17:M17"/>
    <mergeCell ref="N17:O17"/>
    <mergeCell ref="P17:Q17"/>
    <mergeCell ref="R17:S17"/>
    <mergeCell ref="E18:H18"/>
    <mergeCell ref="I18:K18"/>
    <mergeCell ref="L18:M18"/>
    <mergeCell ref="N18:O18"/>
    <mergeCell ref="P18:Q18"/>
    <mergeCell ref="R18:S18"/>
    <mergeCell ref="B19:D19"/>
    <mergeCell ref="E19:H19"/>
    <mergeCell ref="I19:K19"/>
    <mergeCell ref="L19:S19"/>
    <mergeCell ref="I20:S20"/>
    <mergeCell ref="I21:S21"/>
    <mergeCell ref="I22:S22"/>
    <mergeCell ref="I23:J23"/>
    <mergeCell ref="K23:N23"/>
    <mergeCell ref="O23:Q23"/>
    <mergeCell ref="B26:D26"/>
    <mergeCell ref="E26:H26"/>
    <mergeCell ref="M26:N26"/>
    <mergeCell ref="P26:Q26"/>
    <mergeCell ref="R26:S26"/>
    <mergeCell ref="B27:D27"/>
    <mergeCell ref="E27:H27"/>
    <mergeCell ref="M27:N27"/>
    <mergeCell ref="P27:Q27"/>
    <mergeCell ref="R27:S27"/>
    <mergeCell ref="B28:D28"/>
    <mergeCell ref="E28:H28"/>
    <mergeCell ref="M28:N28"/>
    <mergeCell ref="P28:Q28"/>
    <mergeCell ref="R28:S28"/>
    <mergeCell ref="B29:D29"/>
    <mergeCell ref="E29:H29"/>
    <mergeCell ref="M29:N29"/>
    <mergeCell ref="P29:Q29"/>
    <mergeCell ref="R29:S29"/>
    <mergeCell ref="B30:D30"/>
    <mergeCell ref="E30:H30"/>
    <mergeCell ref="M30:N30"/>
    <mergeCell ref="P30:Q30"/>
    <mergeCell ref="R30:S30"/>
    <mergeCell ref="B31:D31"/>
    <mergeCell ref="E31:H31"/>
    <mergeCell ref="M31:N31"/>
    <mergeCell ref="P31:Q31"/>
    <mergeCell ref="R31:S31"/>
    <mergeCell ref="B32:D32"/>
    <mergeCell ref="E32:H32"/>
    <mergeCell ref="M32:N32"/>
    <mergeCell ref="P32:Q32"/>
    <mergeCell ref="R32:S32"/>
    <mergeCell ref="E33:O33"/>
    <mergeCell ref="P33:S33"/>
    <mergeCell ref="E34:O34"/>
    <mergeCell ref="P34:S34"/>
    <mergeCell ref="E35:O35"/>
    <mergeCell ref="P35:S35"/>
    <mergeCell ref="E36:O36"/>
    <mergeCell ref="P36:S36"/>
    <mergeCell ref="E37:O37"/>
    <mergeCell ref="P37:S37"/>
    <mergeCell ref="E38:O38"/>
    <mergeCell ref="P38:S38"/>
    <mergeCell ref="E39:O39"/>
    <mergeCell ref="P39:S39"/>
    <mergeCell ref="B40:D40"/>
    <mergeCell ref="E40:G40"/>
    <mergeCell ref="H40:I40"/>
    <mergeCell ref="J40:O40"/>
    <mergeCell ref="P40:Q40"/>
    <mergeCell ref="R40:S40"/>
    <mergeCell ref="E41:G41"/>
    <mergeCell ref="H41:I41"/>
    <mergeCell ref="J41:O41"/>
    <mergeCell ref="P41:Q41"/>
    <mergeCell ref="R41:S41"/>
    <mergeCell ref="H42:I42"/>
    <mergeCell ref="J42:O42"/>
    <mergeCell ref="P42:Q42"/>
    <mergeCell ref="R42:S42"/>
    <mergeCell ref="H43:I43"/>
    <mergeCell ref="J43:O43"/>
    <mergeCell ref="P43:Q43"/>
    <mergeCell ref="R43:S43"/>
    <mergeCell ref="H44:I44"/>
    <mergeCell ref="J44:O44"/>
    <mergeCell ref="P44:Q44"/>
    <mergeCell ref="R44:S44"/>
    <mergeCell ref="H45:I45"/>
    <mergeCell ref="J45:O45"/>
    <mergeCell ref="P45:Q45"/>
    <mergeCell ref="R45:S45"/>
    <mergeCell ref="H46:I46"/>
    <mergeCell ref="J46:O46"/>
    <mergeCell ref="P46:Q46"/>
    <mergeCell ref="R46:S46"/>
    <mergeCell ref="H47:I47"/>
    <mergeCell ref="J47:O47"/>
    <mergeCell ref="P47:Q47"/>
    <mergeCell ref="R47:S47"/>
    <mergeCell ref="H48:I48"/>
    <mergeCell ref="J48:O48"/>
    <mergeCell ref="P48:Q48"/>
    <mergeCell ref="R48:S48"/>
    <mergeCell ref="H49:I49"/>
    <mergeCell ref="J49:O49"/>
    <mergeCell ref="P49:Q49"/>
    <mergeCell ref="R49:S49"/>
    <mergeCell ref="E50:G50"/>
    <mergeCell ref="H50:I50"/>
    <mergeCell ref="J50:O50"/>
    <mergeCell ref="P50:Q50"/>
    <mergeCell ref="R50:S50"/>
    <mergeCell ref="E51:G51"/>
    <mergeCell ref="H51:I51"/>
    <mergeCell ref="J51:O51"/>
    <mergeCell ref="P51:Q51"/>
    <mergeCell ref="R51:S51"/>
    <mergeCell ref="E52:G52"/>
    <mergeCell ref="H52:I52"/>
    <mergeCell ref="J52:O52"/>
    <mergeCell ref="P52:Q52"/>
    <mergeCell ref="R52:S52"/>
    <mergeCell ref="E53:G53"/>
    <mergeCell ref="H53:I53"/>
    <mergeCell ref="J53:O53"/>
    <mergeCell ref="P53:Q53"/>
    <mergeCell ref="R53:S53"/>
    <mergeCell ref="E54:G54"/>
    <mergeCell ref="H54:I54"/>
    <mergeCell ref="J54:O54"/>
    <mergeCell ref="P54:Q54"/>
    <mergeCell ref="R54:S54"/>
    <mergeCell ref="E55:G55"/>
    <mergeCell ref="H55:I55"/>
    <mergeCell ref="J55:O55"/>
    <mergeCell ref="P55:Q55"/>
    <mergeCell ref="R55:S55"/>
    <mergeCell ref="E56:G56"/>
    <mergeCell ref="H56:I56"/>
    <mergeCell ref="J56:O56"/>
    <mergeCell ref="P56:Q56"/>
    <mergeCell ref="R56:S56"/>
    <mergeCell ref="B57:O57"/>
    <mergeCell ref="P57:Q57"/>
    <mergeCell ref="R57:S57"/>
    <mergeCell ref="C58:S58"/>
    <mergeCell ref="C59:D59"/>
    <mergeCell ref="E59:N59"/>
    <mergeCell ref="P59:Q59"/>
    <mergeCell ref="R59:S59"/>
    <mergeCell ref="C60:D60"/>
    <mergeCell ref="E60:N60"/>
    <mergeCell ref="P60:Q60"/>
    <mergeCell ref="R60:S60"/>
    <mergeCell ref="C61:D61"/>
    <mergeCell ref="E61:N61"/>
    <mergeCell ref="P61:Q61"/>
    <mergeCell ref="R61:S61"/>
    <mergeCell ref="C62:D62"/>
    <mergeCell ref="E62:N62"/>
    <mergeCell ref="P62:Q62"/>
    <mergeCell ref="R62:S62"/>
    <mergeCell ref="C63:D63"/>
    <mergeCell ref="E63:N63"/>
    <mergeCell ref="P63:Q63"/>
    <mergeCell ref="R63:S63"/>
    <mergeCell ref="C64:D64"/>
    <mergeCell ref="E64:N64"/>
    <mergeCell ref="P64:Q64"/>
    <mergeCell ref="R64:S64"/>
    <mergeCell ref="C65:S65"/>
    <mergeCell ref="C66:S66"/>
    <mergeCell ref="C67:S67"/>
    <mergeCell ref="C68:S68"/>
    <mergeCell ref="C69:S69"/>
    <mergeCell ref="C70:S70"/>
    <mergeCell ref="C74:S74"/>
    <mergeCell ref="A3:A21"/>
    <mergeCell ref="A22:A39"/>
    <mergeCell ref="A40:A45"/>
    <mergeCell ref="A46:A58"/>
    <mergeCell ref="A59:A74"/>
    <mergeCell ref="B7:B18"/>
    <mergeCell ref="B59:B66"/>
    <mergeCell ref="B67:B70"/>
    <mergeCell ref="B71:B74"/>
    <mergeCell ref="I24:I25"/>
    <mergeCell ref="J24:J25"/>
    <mergeCell ref="K24:K25"/>
    <mergeCell ref="L24:L25"/>
    <mergeCell ref="O24:O25"/>
    <mergeCell ref="T40:T45"/>
    <mergeCell ref="B4:H5"/>
    <mergeCell ref="I4:J5"/>
    <mergeCell ref="N4:O5"/>
    <mergeCell ref="C9:D11"/>
    <mergeCell ref="C12:D13"/>
    <mergeCell ref="C14:D18"/>
    <mergeCell ref="B20:H21"/>
    <mergeCell ref="B22:D25"/>
    <mergeCell ref="E22:H25"/>
    <mergeCell ref="R23:S25"/>
    <mergeCell ref="M24:N25"/>
    <mergeCell ref="P24:Q25"/>
    <mergeCell ref="B33:C39"/>
    <mergeCell ref="B41:D45"/>
    <mergeCell ref="E42:G43"/>
    <mergeCell ref="E44:G45"/>
    <mergeCell ref="B46:D49"/>
    <mergeCell ref="E46:G47"/>
    <mergeCell ref="E48:G49"/>
    <mergeCell ref="B50:D56"/>
  </mergeCells>
  <pageMargins left="0.579861111111111" right="0.239583333333333" top="0.979861111111111" bottom="0.979861111111111" header="0.509722222222222" footer="0.509722222222222"/>
  <pageSetup paperSize="9" scale="80" orientation="portrait" horizontalDpi="600" verticalDpi="600"/>
  <headerFooter alignWithMargins="0"/>
  <rowBreaks count="2" manualBreakCount="2">
    <brk id="32" max="18" man="1"/>
    <brk id="61" max="18"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2018-08-28T01:48:00Z</dcterms:created>
  <dcterms:modified xsi:type="dcterms:W3CDTF">2018-08-28T01:49:13Z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2052-10.1.0.7469</vt:lpwstr>
  </property>
</Properties>
</file>