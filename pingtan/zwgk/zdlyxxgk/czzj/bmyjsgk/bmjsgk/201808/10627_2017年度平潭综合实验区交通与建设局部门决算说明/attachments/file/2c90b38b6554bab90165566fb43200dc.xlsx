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1370"/>
  </bookViews>
  <sheets>
    <sheet name="财政拨款收入支出决算总表" sheetId="1" r:id="rId1"/>
  </sheets>
  <calcPr calcId="144525"/>
</workbook>
</file>

<file path=xl/sharedStrings.xml><?xml version="1.0" encoding="utf-8"?>
<sst xmlns="http://schemas.openxmlformats.org/spreadsheetml/2006/main" count="44">
  <si>
    <t>附件4</t>
  </si>
  <si>
    <t>财政拨款收入支出决算总表</t>
  </si>
  <si>
    <t>编制单位：平潭综合实验区交通与建设局汇总</t>
  </si>
  <si>
    <t>2017年度</t>
  </si>
  <si>
    <t>金额单位：万元</t>
  </si>
  <si>
    <t>收     入</t>
  </si>
  <si>
    <t>支     出</t>
  </si>
  <si>
    <t>项    目</t>
  </si>
  <si>
    <t>决算数</t>
  </si>
  <si>
    <t>项目（按功能分类）</t>
  </si>
  <si>
    <t>一般公共预算财政拨款</t>
  </si>
  <si>
    <t>政府性基金预算财政拨款</t>
  </si>
  <si>
    <t>一、一般公共预算财政拨款</t>
  </si>
  <si>
    <t>一、一般公共服务支出</t>
  </si>
  <si>
    <t>二、政府性基金预算财政拨款</t>
  </si>
  <si>
    <t>二、外交支出</t>
  </si>
  <si>
    <t>三、国防支出</t>
  </si>
  <si>
    <t>四、公共安全支出</t>
  </si>
  <si>
    <t>五、教育支出</t>
  </si>
  <si>
    <t>六、科学技术支出</t>
  </si>
  <si>
    <t>七、文化体育与传媒支出</t>
  </si>
  <si>
    <t>八、社会保障和就业支出</t>
  </si>
  <si>
    <t>九、医疗卫生与计划生育支出</t>
  </si>
  <si>
    <t>十、节能环保支出</t>
  </si>
  <si>
    <t>十一、城乡社区支出</t>
  </si>
  <si>
    <t>十二、农林水支出</t>
  </si>
  <si>
    <t>十三、交通运输支出</t>
  </si>
  <si>
    <t>十四、资源勘探信息等支出</t>
  </si>
  <si>
    <t>十五、商业服务业等支出</t>
  </si>
  <si>
    <t>十六、金融支出</t>
  </si>
  <si>
    <t>十七、援助其他地区支出</t>
  </si>
  <si>
    <t>十八、国土海洋气象等支出</t>
  </si>
  <si>
    <t>十九、住房保障支出</t>
  </si>
  <si>
    <t>二十、粮油物资储备支出</t>
  </si>
  <si>
    <t>二十一、其他支出</t>
  </si>
  <si>
    <t>二十二、债务还本支出</t>
  </si>
  <si>
    <t>二十三、债务付息支出</t>
  </si>
  <si>
    <t>本年收入合计</t>
  </si>
  <si>
    <t>本年支出合计</t>
  </si>
  <si>
    <t>年初财政拨款结转和结余</t>
  </si>
  <si>
    <t>年末财政拨款结转和结余</t>
  </si>
  <si>
    <t xml:space="preserve">    基本支出结转</t>
  </si>
  <si>
    <t xml:space="preserve">    项目支出结转和结余</t>
  </si>
  <si>
    <t>总计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</si>
</sst>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22"/>
      <color rgb="FF000000"/>
      <name val="黑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9FF5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808080"/>
      </right>
      <top/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3" fillId="19" borderId="11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13" borderId="12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4" fillId="12" borderId="14" applyNumberFormat="0" applyAlignment="0" applyProtection="0">
      <alignment vertical="center"/>
    </xf>
    <xf numFmtId="0" fontId="15" fillId="12" borderId="11" applyNumberFormat="0" applyAlignment="0" applyProtection="0">
      <alignment vertical="center"/>
    </xf>
    <xf numFmtId="0" fontId="25" fillId="26" borderId="15" applyNumberFormat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 vertical="center"/>
    </xf>
    <xf numFmtId="4" fontId="5" fillId="4" borderId="5" xfId="0" applyNumberFormat="1" applyFont="1" applyFill="1" applyBorder="1" applyAlignment="1">
      <alignment horizontal="right" vertical="center"/>
    </xf>
    <xf numFmtId="0" fontId="5" fillId="3" borderId="5" xfId="0" applyFont="1" applyFill="1" applyBorder="1" applyAlignment="1">
      <alignment horizontal="left" vertical="center"/>
    </xf>
    <xf numFmtId="4" fontId="5" fillId="4" borderId="6" xfId="0" applyNumberFormat="1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right" vertical="center"/>
    </xf>
    <xf numFmtId="4" fontId="5" fillId="4" borderId="7" xfId="0" applyNumberFormat="1" applyFont="1" applyFill="1" applyBorder="1" applyAlignment="1">
      <alignment horizontal="right" vertical="center"/>
    </xf>
    <xf numFmtId="4" fontId="5" fillId="4" borderId="8" xfId="0" applyNumberFormat="1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topLeftCell="C1" workbookViewId="0">
      <selection activeCell="C1" sqref="C$1:C$1048576"/>
    </sheetView>
  </sheetViews>
  <sheetFormatPr defaultColWidth="9" defaultRowHeight="13.5" outlineLevelCol="5"/>
  <cols>
    <col min="1" max="1" width="28.125" customWidth="1"/>
    <col min="2" max="2" width="15" customWidth="1"/>
    <col min="3" max="3" width="33" customWidth="1"/>
    <col min="4" max="6" width="15" customWidth="1"/>
  </cols>
  <sheetData>
    <row r="1" ht="15" customHeight="1" spans="1:6">
      <c r="A1" s="1" t="s">
        <v>0</v>
      </c>
      <c r="B1" s="2"/>
      <c r="C1" s="3"/>
      <c r="D1" s="2"/>
      <c r="E1" s="2"/>
      <c r="F1" s="4"/>
    </row>
    <row r="2" ht="27.75" customHeight="1" spans="1:6">
      <c r="A2" s="2"/>
      <c r="B2" s="2"/>
      <c r="C2" s="5" t="s">
        <v>1</v>
      </c>
      <c r="D2" s="5"/>
      <c r="E2" s="5"/>
      <c r="F2" s="6"/>
    </row>
    <row r="3" ht="15" customHeight="1" spans="1:6">
      <c r="A3" s="7" t="s">
        <v>2</v>
      </c>
      <c r="B3" s="8"/>
      <c r="C3" s="9" t="s">
        <v>3</v>
      </c>
      <c r="D3" s="8"/>
      <c r="E3" s="8"/>
      <c r="F3" s="10" t="s">
        <v>4</v>
      </c>
    </row>
    <row r="4" ht="15" customHeight="1" spans="1:6">
      <c r="A4" s="11" t="s">
        <v>5</v>
      </c>
      <c r="B4" s="12" t="s">
        <v>5</v>
      </c>
      <c r="C4" s="13" t="s">
        <v>6</v>
      </c>
      <c r="D4" s="12" t="s">
        <v>6</v>
      </c>
      <c r="E4" s="12" t="s">
        <v>6</v>
      </c>
      <c r="F4" s="12" t="s">
        <v>6</v>
      </c>
    </row>
    <row r="5" ht="15" customHeight="1" spans="1:6">
      <c r="A5" s="11" t="s">
        <v>7</v>
      </c>
      <c r="B5" s="13" t="s">
        <v>8</v>
      </c>
      <c r="C5" s="13" t="s">
        <v>9</v>
      </c>
      <c r="D5" s="13" t="s">
        <v>8</v>
      </c>
      <c r="E5" s="14" t="s">
        <v>10</v>
      </c>
      <c r="F5" s="15" t="s">
        <v>11</v>
      </c>
    </row>
    <row r="6" ht="15" customHeight="1" spans="1:6">
      <c r="A6" s="16" t="s">
        <v>7</v>
      </c>
      <c r="B6" s="12" t="s">
        <v>8</v>
      </c>
      <c r="C6" s="12" t="s">
        <v>9</v>
      </c>
      <c r="D6" s="12" t="s">
        <v>8</v>
      </c>
      <c r="E6" s="17" t="s">
        <v>10</v>
      </c>
      <c r="F6" s="18" t="s">
        <v>11</v>
      </c>
    </row>
    <row r="7" ht="15" customHeight="1" spans="1:6">
      <c r="A7" s="19" t="s">
        <v>12</v>
      </c>
      <c r="B7" s="20">
        <f>68092.41-19.34</f>
        <v>68073.07</v>
      </c>
      <c r="C7" s="21" t="s">
        <v>13</v>
      </c>
      <c r="D7" s="20">
        <v>247.5</v>
      </c>
      <c r="E7" s="20">
        <v>247.5</v>
      </c>
      <c r="F7" s="22"/>
    </row>
    <row r="8" ht="15" customHeight="1" spans="1:6">
      <c r="A8" s="19" t="s">
        <v>14</v>
      </c>
      <c r="B8" s="20">
        <v>3566.63</v>
      </c>
      <c r="C8" s="21" t="s">
        <v>15</v>
      </c>
      <c r="D8" s="20"/>
      <c r="E8" s="20"/>
      <c r="F8" s="22"/>
    </row>
    <row r="9" ht="15" customHeight="1" spans="1:6">
      <c r="A9" s="19"/>
      <c r="B9" s="23"/>
      <c r="C9" s="21" t="s">
        <v>16</v>
      </c>
      <c r="D9" s="20"/>
      <c r="E9" s="20"/>
      <c r="F9" s="22"/>
    </row>
    <row r="10" ht="15" customHeight="1" spans="1:6">
      <c r="A10" s="19"/>
      <c r="B10" s="23"/>
      <c r="C10" s="21" t="s">
        <v>17</v>
      </c>
      <c r="D10" s="20"/>
      <c r="E10" s="20"/>
      <c r="F10" s="22"/>
    </row>
    <row r="11" ht="15" customHeight="1" spans="1:6">
      <c r="A11" s="19"/>
      <c r="B11" s="23"/>
      <c r="C11" s="21" t="s">
        <v>18</v>
      </c>
      <c r="D11" s="20"/>
      <c r="E11" s="20"/>
      <c r="F11" s="22"/>
    </row>
    <row r="12" ht="15" customHeight="1" spans="1:6">
      <c r="A12" s="19"/>
      <c r="B12" s="23"/>
      <c r="C12" s="21" t="s">
        <v>19</v>
      </c>
      <c r="D12" s="20">
        <v>368</v>
      </c>
      <c r="E12" s="20">
        <v>368</v>
      </c>
      <c r="F12" s="22"/>
    </row>
    <row r="13" ht="15" customHeight="1" spans="1:6">
      <c r="A13" s="19"/>
      <c r="B13" s="23"/>
      <c r="C13" s="21" t="s">
        <v>20</v>
      </c>
      <c r="D13" s="20"/>
      <c r="E13" s="20"/>
      <c r="F13" s="22"/>
    </row>
    <row r="14" ht="15" customHeight="1" spans="1:6">
      <c r="A14" s="19"/>
      <c r="B14" s="23"/>
      <c r="C14" s="21" t="s">
        <v>21</v>
      </c>
      <c r="D14" s="20"/>
      <c r="E14" s="20"/>
      <c r="F14" s="22"/>
    </row>
    <row r="15" ht="15" customHeight="1" spans="1:6">
      <c r="A15" s="19"/>
      <c r="B15" s="23"/>
      <c r="C15" s="21" t="s">
        <v>22</v>
      </c>
      <c r="D15" s="20"/>
      <c r="E15" s="20"/>
      <c r="F15" s="22"/>
    </row>
    <row r="16" ht="15" customHeight="1" spans="1:6">
      <c r="A16" s="19"/>
      <c r="B16" s="23"/>
      <c r="C16" s="21" t="s">
        <v>23</v>
      </c>
      <c r="D16" s="20">
        <v>22942.28</v>
      </c>
      <c r="E16" s="20">
        <v>22942.28</v>
      </c>
      <c r="F16" s="22"/>
    </row>
    <row r="17" ht="15" customHeight="1" spans="1:6">
      <c r="A17" s="19"/>
      <c r="B17" s="23"/>
      <c r="C17" s="21" t="s">
        <v>24</v>
      </c>
      <c r="D17" s="20">
        <v>28018.34</v>
      </c>
      <c r="E17" s="20">
        <v>24451.71</v>
      </c>
      <c r="F17" s="22">
        <v>3566.63</v>
      </c>
    </row>
    <row r="18" ht="15" customHeight="1" spans="1:6">
      <c r="A18" s="19"/>
      <c r="B18" s="23"/>
      <c r="C18" s="21" t="s">
        <v>25</v>
      </c>
      <c r="D18" s="20">
        <v>73.4</v>
      </c>
      <c r="E18" s="20">
        <v>73.4</v>
      </c>
      <c r="F18" s="22"/>
    </row>
    <row r="19" ht="15" customHeight="1" spans="1:6">
      <c r="A19" s="19"/>
      <c r="B19" s="23"/>
      <c r="C19" s="21" t="s">
        <v>26</v>
      </c>
      <c r="D19" s="20">
        <v>11602.11</v>
      </c>
      <c r="E19" s="20">
        <v>11602.11</v>
      </c>
      <c r="F19" s="22"/>
    </row>
    <row r="20" ht="15" customHeight="1" spans="1:6">
      <c r="A20" s="19"/>
      <c r="B20" s="23"/>
      <c r="C20" s="21" t="s">
        <v>27</v>
      </c>
      <c r="D20" s="20">
        <v>7872</v>
      </c>
      <c r="E20" s="20">
        <v>7872</v>
      </c>
      <c r="F20" s="22"/>
    </row>
    <row r="21" ht="15" customHeight="1" spans="1:6">
      <c r="A21" s="19"/>
      <c r="B21" s="23"/>
      <c r="C21" s="21" t="s">
        <v>28</v>
      </c>
      <c r="D21" s="20"/>
      <c r="E21" s="20"/>
      <c r="F21" s="22"/>
    </row>
    <row r="22" ht="15" customHeight="1" spans="1:6">
      <c r="A22" s="19"/>
      <c r="B22" s="23"/>
      <c r="C22" s="21" t="s">
        <v>29</v>
      </c>
      <c r="D22" s="20"/>
      <c r="E22" s="20"/>
      <c r="F22" s="22"/>
    </row>
    <row r="23" ht="15" customHeight="1" spans="1:6">
      <c r="A23" s="19"/>
      <c r="B23" s="23"/>
      <c r="C23" s="21" t="s">
        <v>30</v>
      </c>
      <c r="D23" s="20"/>
      <c r="E23" s="20"/>
      <c r="F23" s="22"/>
    </row>
    <row r="24" ht="15" customHeight="1" spans="1:6">
      <c r="A24" s="19"/>
      <c r="B24" s="23"/>
      <c r="C24" s="21" t="s">
        <v>31</v>
      </c>
      <c r="D24" s="20">
        <v>89.15</v>
      </c>
      <c r="E24" s="20">
        <v>89.15</v>
      </c>
      <c r="F24" s="22"/>
    </row>
    <row r="25" ht="15" customHeight="1" spans="1:6">
      <c r="A25" s="19"/>
      <c r="B25" s="23"/>
      <c r="C25" s="21" t="s">
        <v>32</v>
      </c>
      <c r="D25" s="20">
        <v>322.58</v>
      </c>
      <c r="E25" s="20">
        <v>322.58</v>
      </c>
      <c r="F25" s="22"/>
    </row>
    <row r="26" ht="15" customHeight="1" spans="1:6">
      <c r="A26" s="19"/>
      <c r="B26" s="23"/>
      <c r="C26" s="21" t="s">
        <v>33</v>
      </c>
      <c r="D26" s="20"/>
      <c r="E26" s="20"/>
      <c r="F26" s="22"/>
    </row>
    <row r="27" ht="15" customHeight="1" spans="1:6">
      <c r="A27" s="19"/>
      <c r="B27" s="23"/>
      <c r="C27" s="21" t="s">
        <v>34</v>
      </c>
      <c r="D27" s="20">
        <v>20.07</v>
      </c>
      <c r="E27" s="20">
        <v>20.07</v>
      </c>
      <c r="F27" s="22"/>
    </row>
    <row r="28" ht="15" customHeight="1" spans="1:6">
      <c r="A28" s="19"/>
      <c r="B28" s="23"/>
      <c r="C28" s="21" t="s">
        <v>35</v>
      </c>
      <c r="D28" s="20"/>
      <c r="E28" s="20"/>
      <c r="F28" s="22"/>
    </row>
    <row r="29" ht="15" customHeight="1" spans="1:6">
      <c r="A29" s="19"/>
      <c r="B29" s="23"/>
      <c r="C29" s="21" t="s">
        <v>36</v>
      </c>
      <c r="D29" s="20"/>
      <c r="E29" s="20"/>
      <c r="F29" s="22"/>
    </row>
    <row r="30" ht="15" customHeight="1" spans="1:6">
      <c r="A30" s="24" t="s">
        <v>37</v>
      </c>
      <c r="B30" s="20">
        <f>71659.04-19.34</f>
        <v>71639.7</v>
      </c>
      <c r="C30" s="25" t="s">
        <v>38</v>
      </c>
      <c r="D30" s="20">
        <f>71574.77-19.34</f>
        <v>71555.43</v>
      </c>
      <c r="E30" s="20">
        <f>68008.14-19.34</f>
        <v>67988.8</v>
      </c>
      <c r="F30" s="22">
        <v>3566.63</v>
      </c>
    </row>
    <row r="31" ht="15" customHeight="1" spans="1:6">
      <c r="A31" s="19"/>
      <c r="B31" s="23"/>
      <c r="C31" s="21"/>
      <c r="D31" s="23"/>
      <c r="E31" s="23"/>
      <c r="F31" s="26"/>
    </row>
    <row r="32" ht="15" customHeight="1" spans="1:6">
      <c r="A32" s="19" t="s">
        <v>39</v>
      </c>
      <c r="B32" s="20">
        <v>48.7</v>
      </c>
      <c r="C32" s="21" t="s">
        <v>40</v>
      </c>
      <c r="D32" s="20">
        <v>132.97</v>
      </c>
      <c r="E32" s="20">
        <v>132.97</v>
      </c>
      <c r="F32" s="22"/>
    </row>
    <row r="33" ht="15" customHeight="1" spans="1:6">
      <c r="A33" s="19" t="s">
        <v>12</v>
      </c>
      <c r="B33" s="20">
        <v>48.69</v>
      </c>
      <c r="C33" s="21" t="s">
        <v>41</v>
      </c>
      <c r="D33" s="20">
        <v>113.93</v>
      </c>
      <c r="E33" s="20">
        <v>113.93</v>
      </c>
      <c r="F33" s="22"/>
    </row>
    <row r="34" ht="15" customHeight="1" spans="1:6">
      <c r="A34" s="19" t="s">
        <v>14</v>
      </c>
      <c r="B34" s="20"/>
      <c r="C34" s="21" t="s">
        <v>42</v>
      </c>
      <c r="D34" s="20">
        <v>19.04</v>
      </c>
      <c r="E34" s="20">
        <v>19.04</v>
      </c>
      <c r="F34" s="22"/>
    </row>
    <row r="35" ht="15" customHeight="1" spans="1:6">
      <c r="A35" s="19"/>
      <c r="B35" s="23"/>
      <c r="C35" s="21"/>
      <c r="D35" s="23"/>
      <c r="E35" s="23"/>
      <c r="F35" s="26"/>
    </row>
    <row r="36" ht="15" customHeight="1" spans="1:6">
      <c r="A36" s="24" t="s">
        <v>43</v>
      </c>
      <c r="B36" s="20">
        <f>71707.74-19.34</f>
        <v>71688.4</v>
      </c>
      <c r="C36" s="25" t="s">
        <v>43</v>
      </c>
      <c r="D36" s="20">
        <f>71707.74-19.34</f>
        <v>71688.4</v>
      </c>
      <c r="E36" s="27">
        <f>68141.11-19.34</f>
        <v>68121.77</v>
      </c>
      <c r="F36" s="28">
        <v>3566.63</v>
      </c>
    </row>
    <row r="37" ht="14.25"/>
  </sheetData>
  <mergeCells count="9">
    <mergeCell ref="C2:F2"/>
    <mergeCell ref="A4:B4"/>
    <mergeCell ref="C4:F4"/>
    <mergeCell ref="A5:A6"/>
    <mergeCell ref="B5:B6"/>
    <mergeCell ref="C5:C6"/>
    <mergeCell ref="D5:D6"/>
    <mergeCell ref="E5:E6"/>
    <mergeCell ref="F5:F6"/>
  </mergeCells>
  <pageMargins left="0.699305555555556" right="0.699305555555556" top="0.75" bottom="0.75" header="0.3" footer="0.3"/>
  <pageSetup paperSize="9" scale="8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财政拨款收入支出决算总表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lenovo</cp:lastModifiedBy>
  <dcterms:created xsi:type="dcterms:W3CDTF">2018-08-03T08:53:00Z</dcterms:created>
  <cp:lastPrinted>2018-08-13T01:30:00Z</cp:lastPrinted>
  <dcterms:modified xsi:type="dcterms:W3CDTF">2018-08-16T03:36:57Z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2052-10.1.0.7397</vt:lpwstr>
  </property>
</Properties>
</file>