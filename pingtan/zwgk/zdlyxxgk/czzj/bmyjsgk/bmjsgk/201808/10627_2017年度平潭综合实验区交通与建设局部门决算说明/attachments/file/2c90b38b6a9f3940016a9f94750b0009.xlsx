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00" windowHeight="9765"/>
  </bookViews>
  <sheets>
    <sheet name="美丽乡村项目" sheetId="24" r:id="rId1"/>
    <sheet name="全区卫生保洁项目" sheetId="28" r:id="rId2"/>
    <sheet name="“海峡号、丽娜轮”航次补贴项目" sheetId="34" r:id="rId3"/>
    <sheet name="公交运营补助、公交购置补贴" sheetId="35" r:id="rId4"/>
    <sheet name="市政管廊配电工程" sheetId="36" r:id="rId5"/>
    <sheet name="全区市政道路、公路养护" sheetId="37" r:id="rId6"/>
    <sheet name="东庠南江澳沿岸水毁道路修复工程" sheetId="38" r:id="rId7"/>
    <sheet name="全区路灯养护" sheetId="39" r:id="rId8"/>
    <sheet name="全区道路绿化养护" sheetId="40" r:id="rId9"/>
    <sheet name="海岛交通便民工程" sheetId="41" r:id="rId10"/>
    <sheet name="中湖公路站建设工程" sheetId="42" r:id="rId11"/>
    <sheet name="生活垃圾焚烧站进场路及排水工程" sheetId="43" r:id="rId12"/>
  </sheets>
  <definedNames>
    <definedName name="_xlnm.Print_Area" localSheetId="0">美丽乡村项目!$A$1:$S$77</definedName>
    <definedName name="_xlnm.Print_Area" localSheetId="1">全区卫生保洁项目!$A$1:$S$72</definedName>
    <definedName name="_xlnm.Print_Area" localSheetId="2">“海峡号、丽娜轮”航次补贴项目!$A$1:$S$75</definedName>
    <definedName name="_xlnm.Print_Area" localSheetId="3">公交运营补助、公交购置补贴!$A$1:$S$72</definedName>
    <definedName name="_xlnm.Print_Area" localSheetId="4">市政管廊配电工程!$A$1:$S$72</definedName>
    <definedName name="_xlnm.Print_Area" localSheetId="5">全区市政道路、公路养护!$A$1:$S$73</definedName>
    <definedName name="_xlnm.Print_Area" localSheetId="6">东庠南江澳沿岸水毁道路修复工程!$A$1:$S$75</definedName>
    <definedName name="_xlnm.Print_Area" localSheetId="7">全区路灯养护!$A$1:$S$71</definedName>
    <definedName name="_xlnm.Print_Area" localSheetId="8">全区道路绿化养护!$A$1:$S$73</definedName>
    <definedName name="_xlnm.Print_Area" localSheetId="9">海岛交通便民工程!$A$1:$S$69</definedName>
    <definedName name="_xlnm.Print_Area" localSheetId="10">中湖公路站建设工程!$A$1:$S$68</definedName>
    <definedName name="_xlnm.Print_Area" localSheetId="11">生活垃圾焚烧站进场路及排水工程!$A$1:$S$72</definedName>
  </definedNames>
  <calcPr calcId="144525"/>
</workbook>
</file>

<file path=xl/sharedStrings.xml><?xml version="1.0" encoding="utf-8"?>
<sst xmlns="http://schemas.openxmlformats.org/spreadsheetml/2006/main" count="2303" uniqueCount="576">
  <si>
    <t>美丽乡村项目绩效自评表</t>
  </si>
  <si>
    <t>项目基本情况</t>
  </si>
  <si>
    <t>立项依据</t>
  </si>
  <si>
    <t>《关于公布2015年“千村整治、百村示范”美丽乡村建设工程村庄名单的通知》（闽宜居指办[2015]3号）                    《关于公布2016年“千村整治、百村示范”美丽乡村建设工程村庄名单的通知》（闽宜居指办[2016]4号）</t>
  </si>
  <si>
    <t>项目起止时间</t>
  </si>
  <si>
    <t>计划时间</t>
  </si>
  <si>
    <r>
      <rPr>
        <sz val="12"/>
        <rFont val="宋体"/>
        <charset val="134"/>
      </rPr>
      <t>开始</t>
    </r>
    <r>
      <rPr>
        <sz val="12"/>
        <rFont val="宋体"/>
        <charset val="134"/>
      </rPr>
      <t>:2015</t>
    </r>
    <r>
      <rPr>
        <sz val="12"/>
        <rFont val="宋体"/>
        <charset val="134"/>
      </rPr>
      <t xml:space="preserve">年 </t>
    </r>
    <r>
      <rPr>
        <sz val="12"/>
        <rFont val="宋体"/>
        <charset val="134"/>
      </rPr>
      <t>1</t>
    </r>
    <r>
      <rPr>
        <sz val="12"/>
        <rFont val="宋体"/>
        <charset val="134"/>
      </rPr>
      <t xml:space="preserve">月 </t>
    </r>
  </si>
  <si>
    <t>实际时间</t>
  </si>
  <si>
    <r>
      <rPr>
        <sz val="12"/>
        <rFont val="宋体"/>
        <charset val="134"/>
      </rPr>
      <t>开始：2</t>
    </r>
    <r>
      <rPr>
        <sz val="12"/>
        <rFont val="宋体"/>
        <charset val="134"/>
      </rPr>
      <t>015</t>
    </r>
    <r>
      <rPr>
        <sz val="12"/>
        <rFont val="宋体"/>
        <charset val="134"/>
      </rPr>
      <t>年</t>
    </r>
    <r>
      <rPr>
        <sz val="12"/>
        <rFont val="宋体"/>
        <charset val="134"/>
      </rPr>
      <t>1</t>
    </r>
    <r>
      <rPr>
        <sz val="12"/>
        <rFont val="宋体"/>
        <charset val="134"/>
      </rPr>
      <t xml:space="preserve">月 </t>
    </r>
  </si>
  <si>
    <r>
      <rPr>
        <sz val="12"/>
        <rFont val="宋体"/>
        <charset val="134"/>
      </rPr>
      <t>完成:</t>
    </r>
    <r>
      <rPr>
        <sz val="12"/>
        <rFont val="宋体"/>
        <charset val="134"/>
      </rPr>
      <t>2016</t>
    </r>
    <r>
      <rPr>
        <sz val="12"/>
        <rFont val="宋体"/>
        <charset val="134"/>
      </rPr>
      <t>年</t>
    </r>
    <r>
      <rPr>
        <sz val="12"/>
        <rFont val="宋体"/>
        <charset val="134"/>
      </rPr>
      <t>12</t>
    </r>
    <r>
      <rPr>
        <sz val="12"/>
        <rFont val="宋体"/>
        <charset val="134"/>
      </rPr>
      <t xml:space="preserve">月 </t>
    </r>
  </si>
  <si>
    <r>
      <rPr>
        <sz val="12"/>
        <rFont val="宋体"/>
        <charset val="134"/>
      </rPr>
      <t>完成：2</t>
    </r>
    <r>
      <rPr>
        <sz val="12"/>
        <rFont val="宋体"/>
        <charset val="134"/>
      </rPr>
      <t>017</t>
    </r>
    <r>
      <rPr>
        <sz val="12"/>
        <rFont val="宋体"/>
        <charset val="134"/>
      </rPr>
      <t>年</t>
    </r>
    <r>
      <rPr>
        <sz val="12"/>
        <rFont val="宋体"/>
        <charset val="134"/>
      </rPr>
      <t>9</t>
    </r>
    <r>
      <rPr>
        <sz val="12"/>
        <rFont val="宋体"/>
        <charset val="134"/>
      </rPr>
      <t xml:space="preserve">月 </t>
    </r>
  </si>
  <si>
    <t>部门预算功能科目</t>
  </si>
  <si>
    <t>其他城乡社区管理事务支出</t>
  </si>
  <si>
    <t>年度绩效目标</t>
  </si>
  <si>
    <t>绩效目标批复文号</t>
  </si>
  <si>
    <t>/</t>
  </si>
  <si>
    <t>本项目绩效目标设置数量（个）</t>
  </si>
  <si>
    <t>目标分类（一级）</t>
  </si>
  <si>
    <t>分类细化（二级）</t>
  </si>
  <si>
    <t>绩效目标内容
（三级）</t>
  </si>
  <si>
    <t>参考标准</t>
  </si>
  <si>
    <t>绩效目标值</t>
  </si>
  <si>
    <t>实际完成值</t>
  </si>
  <si>
    <t>目标值完成比例</t>
  </si>
  <si>
    <t>投入</t>
  </si>
  <si>
    <t>时效目标</t>
  </si>
  <si>
    <t>资金使用日期</t>
  </si>
  <si>
    <t>2018年</t>
  </si>
  <si>
    <t>成本目标</t>
  </si>
  <si>
    <t>资金投入</t>
  </si>
  <si>
    <r>
      <rPr>
        <b/>
        <sz val="10"/>
        <rFont val="宋体"/>
        <charset val="134"/>
      </rPr>
      <t>3</t>
    </r>
    <r>
      <rPr>
        <b/>
        <sz val="10"/>
        <rFont val="宋体"/>
        <charset val="134"/>
      </rPr>
      <t>000万</t>
    </r>
  </si>
  <si>
    <t>其他资源目标</t>
  </si>
  <si>
    <t>产出</t>
  </si>
  <si>
    <t>数量目标</t>
  </si>
  <si>
    <t>2015年11个美丽乡村和1个白青乡示范乡完工进度,2016年10个美丽乡村完工进度</t>
  </si>
  <si>
    <t>2015年11个美丽乡村和1个白青乡示范乡,2016年10个美丽乡村</t>
  </si>
  <si>
    <t>全部完工</t>
  </si>
  <si>
    <t>质量目标</t>
  </si>
  <si>
    <t>项目验收通过率</t>
  </si>
  <si>
    <t>除流水镇东美村、流水镇磹水村未组织验收外，其它全部竣工验收</t>
  </si>
  <si>
    <t>效益</t>
  </si>
  <si>
    <t>经济效益目标</t>
  </si>
  <si>
    <t>社会效益目标</t>
  </si>
  <si>
    <t>旅游资源</t>
  </si>
  <si>
    <t>旅游规模和知名度</t>
  </si>
  <si>
    <t>提升旅游的规模，提高知名度，改善当地的交通、水电等基础设施</t>
  </si>
  <si>
    <t>环境效益目标</t>
  </si>
  <si>
    <t>农村人居环境质量</t>
  </si>
  <si>
    <t>达到整治标准</t>
  </si>
  <si>
    <t>村容村貌明显改善</t>
  </si>
  <si>
    <t>可持续影响目标</t>
  </si>
  <si>
    <t>服务对象满意度
目标</t>
  </si>
  <si>
    <t>服务对象满意度目标</t>
  </si>
  <si>
    <t>村民对居住环境的满意度</t>
  </si>
  <si>
    <t>满意度95%以上</t>
  </si>
  <si>
    <t>年度绩效目标总体完成情况</t>
  </si>
  <si>
    <t>未完成目标的原因</t>
  </si>
  <si>
    <t>部分项目已完工,但尚未组织验收</t>
  </si>
  <si>
    <t>项目评价方法</t>
  </si>
  <si>
    <r>
      <rPr>
        <sz val="10"/>
        <rFont val="宋体"/>
        <charset val="134"/>
      </rPr>
      <t xml:space="preserve">成本效益分析法□  </t>
    </r>
    <r>
      <rPr>
        <sz val="10"/>
        <rFont val="宋体"/>
        <charset val="134"/>
      </rPr>
      <t xml:space="preserve">比较法□  因素分析法√ 最低成本法□  公众评判法□    </t>
    </r>
  </si>
  <si>
    <r>
      <rPr>
        <sz val="10"/>
        <rFont val="宋体"/>
        <charset val="134"/>
      </rPr>
      <t>其他评价方法:</t>
    </r>
    <r>
      <rPr>
        <u/>
        <sz val="10"/>
        <rFont val="宋体"/>
        <charset val="134"/>
      </rPr>
      <t xml:space="preserve">                     </t>
    </r>
    <r>
      <rPr>
        <sz val="10"/>
        <rFont val="宋体"/>
        <charset val="134"/>
      </rPr>
      <t xml:space="preserve">□  </t>
    </r>
    <r>
      <rPr>
        <b/>
        <sz val="10"/>
        <rFont val="宋体"/>
        <charset val="134"/>
      </rPr>
      <t xml:space="preserve"> </t>
    </r>
    <r>
      <rPr>
        <sz val="10"/>
        <rFont val="宋体"/>
        <charset val="134"/>
      </rPr>
      <t xml:space="preserve">            </t>
    </r>
  </si>
  <si>
    <t xml:space="preserve">    项目资金安排和使用情况 </t>
  </si>
  <si>
    <t>项目安排资金</t>
  </si>
  <si>
    <t>本年度情况</t>
  </si>
  <si>
    <t>预算安排</t>
  </si>
  <si>
    <t>实际到位</t>
  </si>
  <si>
    <t>实际支出</t>
  </si>
  <si>
    <t>本年度结余金额       （万元）   ③=①-②</t>
  </si>
  <si>
    <t>金额                           （万元）</t>
  </si>
  <si>
    <t>预算批复下达文号</t>
  </si>
  <si>
    <r>
      <rPr>
        <sz val="10"/>
        <rFont val="宋体"/>
        <charset val="134"/>
      </rPr>
      <t>金额</t>
    </r>
    <r>
      <rPr>
        <sz val="10"/>
        <rFont val="Times New Roman"/>
        <charset val="0"/>
      </rPr>
      <t xml:space="preserve">            </t>
    </r>
    <r>
      <rPr>
        <sz val="10"/>
        <rFont val="宋体"/>
        <charset val="134"/>
      </rPr>
      <t>（万元）①</t>
    </r>
  </si>
  <si>
    <t>到位率（％）</t>
  </si>
  <si>
    <t>资金拨付文号及时间</t>
  </si>
  <si>
    <t xml:space="preserve">                                  金额                              （万元）②</t>
  </si>
  <si>
    <t>支出实现率（％）</t>
  </si>
  <si>
    <t>合　计</t>
  </si>
  <si>
    <t>岚财金[2016]262号</t>
  </si>
  <si>
    <t>财政资金小计</t>
  </si>
  <si>
    <t>①中央财政资金</t>
  </si>
  <si>
    <t>②省财政资金</t>
  </si>
  <si>
    <t>③地方财政资金</t>
  </si>
  <si>
    <t>岚交建村建[2016]23号、岚交建村建[2016]24号、岚交建村建[2017]5号、岚交建村建[2017]６号</t>
  </si>
  <si>
    <t>其他资金小计</t>
  </si>
  <si>
    <t>财政资金实际支出情况</t>
  </si>
  <si>
    <t>序号</t>
  </si>
  <si>
    <t>具体支出内容</t>
  </si>
  <si>
    <t>金额(万元)</t>
  </si>
  <si>
    <t>2015年美丽乡村建设区级配套第二批资金（敖东镇、白青乡）</t>
  </si>
  <si>
    <t>2016年美丽乡村建设区级配套第一批资金（澳前镇）</t>
  </si>
  <si>
    <t>2015年美丽乡村建设区级配套第三批资金</t>
  </si>
  <si>
    <t>2016年美丽乡村建设区级配套第二批资金</t>
  </si>
  <si>
    <t>合计</t>
  </si>
  <si>
    <t>绩效自评指标体系</t>
  </si>
  <si>
    <r>
      <rPr>
        <b/>
        <sz val="12"/>
        <rFont val="宋体"/>
        <charset val="134"/>
      </rPr>
      <t xml:space="preserve">一级指标
</t>
    </r>
    <r>
      <rPr>
        <sz val="10"/>
        <rFont val="宋体"/>
        <charset val="134"/>
      </rPr>
      <t>（目标分类）</t>
    </r>
  </si>
  <si>
    <r>
      <rPr>
        <b/>
        <sz val="12"/>
        <rFont val="宋体"/>
        <charset val="134"/>
      </rPr>
      <t xml:space="preserve">二级指标
</t>
    </r>
    <r>
      <rPr>
        <sz val="10"/>
        <rFont val="宋体"/>
        <charset val="134"/>
      </rPr>
      <t>（分类细化）</t>
    </r>
  </si>
  <si>
    <r>
      <rPr>
        <b/>
        <sz val="12"/>
        <rFont val="宋体"/>
        <charset val="134"/>
      </rPr>
      <t xml:space="preserve">三级指标
</t>
    </r>
    <r>
      <rPr>
        <sz val="10"/>
        <rFont val="宋体"/>
        <charset val="134"/>
      </rPr>
      <t>（绩效目标内容）</t>
    </r>
  </si>
  <si>
    <r>
      <rPr>
        <b/>
        <sz val="12"/>
        <rFont val="宋体"/>
        <charset val="134"/>
      </rPr>
      <t xml:space="preserve">评分标准
</t>
    </r>
    <r>
      <rPr>
        <sz val="10"/>
        <rFont val="宋体"/>
        <charset val="134"/>
      </rPr>
      <t>（绩效目标值）</t>
    </r>
  </si>
  <si>
    <t>权重</t>
  </si>
  <si>
    <t>得分</t>
  </si>
  <si>
    <r>
      <rPr>
        <b/>
        <sz val="10"/>
        <rFont val="宋体"/>
        <charset val="134"/>
      </rPr>
      <t>投入（30%）</t>
    </r>
    <r>
      <rPr>
        <sz val="10"/>
        <rFont val="宋体"/>
        <charset val="134"/>
      </rPr>
      <t xml:space="preserve">
-本类指标和评分标准均可作为选用参考，部门（单位）可选用共性指标，也可根据需要自行设定个性指标，或者对参考指标、评分标准进行适当调整，并在一级指标下自行设置各个二级和三级指标的权重</t>
    </r>
  </si>
  <si>
    <t>时效情况</t>
  </si>
  <si>
    <t>项目实施时间与计划时间的差异情况</t>
  </si>
  <si>
    <t>项目实际实施月份是否晚于计划月份。实际实施月份不晚于计划月份的得满分，比计划月份晚1个月以内扣1分，比计划月份晚1个月以上不得分。</t>
  </si>
  <si>
    <t>项目立项</t>
  </si>
  <si>
    <t>绩效目标合理性</t>
  </si>
  <si>
    <r>
      <rPr>
        <sz val="9"/>
        <rFont val="宋体"/>
        <charset val="134"/>
      </rPr>
      <t xml:space="preserve">①是否与项目年度任务数或计划数相对应；
②是否与预算确定的项目投资额或资金量相匹配。 </t>
    </r>
    <r>
      <rPr>
        <sz val="9"/>
        <rFont val="宋体"/>
        <charset val="134"/>
      </rPr>
      <t xml:space="preserve">   </t>
    </r>
    <r>
      <rPr>
        <sz val="9"/>
        <rFont val="宋体"/>
        <charset val="134"/>
      </rPr>
      <t>一项不符合扣一分，严重的此项完全不得分。</t>
    </r>
  </si>
  <si>
    <t>资金落实</t>
  </si>
  <si>
    <t>地方财政资金
到位情况</t>
  </si>
  <si>
    <t>安排专项资金，资金到位率为100%的，得10分；80%≤到位率&lt;100%的，得8分；60%≤到位率&lt;80%的，得6分；30%≤到位率&lt;60%的，得3分；到位率30%以下、未安排专项资金的，得0分。未及时拨付的，每推迟一个月扣1分。</t>
  </si>
  <si>
    <r>
      <rPr>
        <b/>
        <sz val="10"/>
        <rFont val="宋体"/>
        <charset val="134"/>
      </rPr>
      <t>过程（30%）</t>
    </r>
    <r>
      <rPr>
        <sz val="10"/>
        <rFont val="宋体"/>
        <charset val="134"/>
      </rPr>
      <t xml:space="preserve">
-本类指标和评分标准均可作为选用参考，部门（单位）可选用共性指标，也可根据需要自行设定个性指标，或者对参考指标、评分标准进行适当调整，并在一级指标下自行设置各个二级和三级指标的权重</t>
    </r>
  </si>
  <si>
    <t>业务管理</t>
  </si>
  <si>
    <t>财务管理制度健全性</t>
  </si>
  <si>
    <t>财务管理制度健全的，得6分；未建立管理制度仅执行国家或省有关规定的，得4分；未建立、未执行有关管理制度的，得0分。</t>
  </si>
  <si>
    <t>财务管理有效性</t>
  </si>
  <si>
    <t>资金拨付手续完整性及财务制度执行有效性，良好得6分，一般得3分，较差得0分。</t>
  </si>
  <si>
    <t>监督检查</t>
  </si>
  <si>
    <t>1.按规定开展监督检查的，得3分；开展监督检查，但效果不明显的，得1分；未开展监督检查，或开展监督检查但未进行整改的，不得分。2.制定督查考核细则，强化督查检查考核的，得3分。</t>
  </si>
  <si>
    <t>资金使用管理</t>
  </si>
  <si>
    <t>支出规范性</t>
  </si>
  <si>
    <t>支出符合规定用途、使用规范的，得6分；符合用途，但支出不规范的，每次扣1分；支出不符合规定用途的，得0分。</t>
  </si>
  <si>
    <t>财政资金使用率</t>
  </si>
  <si>
    <t>财政资金使用率为100%的，得6分；80%≤使用率&lt;100%的，得4分；60%≤使用率&lt;80%的，得3分；30%≤使用率&lt;60%的，得1分；使用率30%以下，得0分。</t>
  </si>
  <si>
    <r>
      <rPr>
        <b/>
        <sz val="10"/>
        <rFont val="宋体"/>
        <charset val="134"/>
      </rPr>
      <t xml:space="preserve">产出与效益（40%） </t>
    </r>
    <r>
      <rPr>
        <sz val="10"/>
        <rFont val="宋体"/>
        <charset val="134"/>
      </rPr>
      <t xml:space="preserve">
1</t>
    </r>
    <r>
      <rPr>
        <sz val="10"/>
        <rFont val="宋体"/>
        <charset val="134"/>
      </rPr>
      <t>.</t>
    </r>
    <r>
      <rPr>
        <sz val="10"/>
        <rFont val="宋体"/>
        <charset val="134"/>
      </rPr>
      <t>单位必须将期初设置的产出与效益类绩效目标全部编入此类评价指标，在此基础上可根据实际情况增设评价指标；
2</t>
    </r>
    <r>
      <rPr>
        <sz val="10"/>
        <rFont val="宋体"/>
        <charset val="134"/>
      </rPr>
      <t>.</t>
    </r>
    <r>
      <rPr>
        <sz val="10"/>
        <rFont val="宋体"/>
        <charset val="134"/>
      </rPr>
      <t xml:space="preserve">单项指标权重最高不得超过10%。
</t>
    </r>
  </si>
  <si>
    <t>产出数量</t>
  </si>
  <si>
    <t>完成率</t>
  </si>
  <si>
    <r>
      <rPr>
        <sz val="10"/>
        <rFont val="宋体"/>
        <charset val="134"/>
      </rPr>
      <t>主管部门核实的计划完成率*2分+评价组实地核实的计划完成率*2分</t>
    </r>
    <r>
      <rPr>
        <b/>
        <sz val="12"/>
        <color indexed="8"/>
        <rFont val="宋体"/>
        <charset val="134"/>
      </rPr>
      <t>。</t>
    </r>
  </si>
  <si>
    <t>验收情况</t>
  </si>
  <si>
    <t>按规定验收通过的，得4分；验收不通过的，80%≤工程进度&lt;100%的，得2分，50%≤工程进度&lt;80%的，得1分，工程进度50%以下的，得0分。</t>
  </si>
  <si>
    <t>产出质量</t>
  </si>
  <si>
    <t>规划制定与实施</t>
  </si>
  <si>
    <t>1.村庄规划符合村庄实际，可操作性较强，得2分。2.村庄规划编制，征求村民意见，体现村民意愿，得1分。3.村庄规划按照法定程序报批，得1分。</t>
  </si>
  <si>
    <t>“五清楚”
落实情况</t>
  </si>
  <si>
    <t>做好“分清楚”，实施户内改厕，把污水垃圾处理到位，村庄污水采取三格化粪池或氧化塘、人工湿地等简单易行的技术工艺处理，尾水接入田间，得2分。</t>
  </si>
  <si>
    <t>做好“扫清楚”，配足保洁员，建立长效机制，把环境卫生打扫清楚，得3分。</t>
  </si>
  <si>
    <t>做好“拆清楚”，拆除房前屋后、村庄周边简易搭盖、鸡鸭猪圈、旱厕等，得3分。</t>
  </si>
  <si>
    <t>发动农户做好“摆清楚”，把晾晒、堆放的生活用品、农产品、生产工具摆放清楚，村内破损台地、驳岸填平补齐，做到整齐美观，得3分。</t>
  </si>
  <si>
    <t>工程质量</t>
  </si>
  <si>
    <t>1.按照各村设计方案进行施工，得3分。2.使用本地区建筑材料和设备，并贴近自然，体现生态环保要求，得1分。</t>
  </si>
  <si>
    <t>经济效益</t>
  </si>
  <si>
    <t>产业发展</t>
  </si>
  <si>
    <t>充分利用当地资源，发展“一村一品”、“一村一业”，努力增加村集体和农民收入4分。</t>
  </si>
  <si>
    <t>社会效益</t>
  </si>
  <si>
    <t>提升旅游的规模，提高知名度，改善当地的交通、水电等基础设施，得5分，提升改善不明显，得3分；没有提升改善的，不得分</t>
  </si>
  <si>
    <t>环境效益</t>
  </si>
  <si>
    <t>村容村貌改善</t>
  </si>
  <si>
    <t>改善成效良好的，得8分；改善成效一般的，得5分；基本未改善的，得0-3分。</t>
  </si>
  <si>
    <t>可持续效益</t>
  </si>
  <si>
    <t>共管长效机制</t>
  </si>
  <si>
    <t>1.验收后建立共管长效机制，进行持续跟踪管理的，得2分；未管理的，不得分。2.验收后社会、生态环境持续得到改善的，得2分；验收后改善水平有所下降的，得0分。</t>
  </si>
  <si>
    <t>服务对象满意度</t>
  </si>
  <si>
    <t>美丽乡村建设项目点村民满意度</t>
  </si>
  <si>
    <t>非常满意得4分，较满意得3分，基本满意得2分，不满意不得分。</t>
  </si>
  <si>
    <t>总权重、评价总分 （S）</t>
  </si>
  <si>
    <t xml:space="preserve">评价 等级 </t>
  </si>
  <si>
    <t xml:space="preserve">√□优秀（S≧90）      □良好（90﹥S≧75）     □合格（75﹥S≧60）      □不合格（60&lt;S）  </t>
  </si>
  <si>
    <t xml:space="preserve">
绩效评价结论</t>
  </si>
  <si>
    <t xml:space="preserve">专   家   组   ︵   评    价     组   ︶  </t>
  </si>
  <si>
    <t>姓名</t>
  </si>
  <si>
    <t>单位</t>
  </si>
  <si>
    <t>职务</t>
  </si>
  <si>
    <t>职称</t>
  </si>
  <si>
    <t>签字</t>
  </si>
  <si>
    <t>专家组（评价组）意见：</t>
  </si>
  <si>
    <t xml:space="preserve">                              专家组（评价组）组长（签字）：           年   月  日</t>
  </si>
  <si>
    <t>中   介   机   构</t>
  </si>
  <si>
    <t>中介机构名称：</t>
  </si>
  <si>
    <t xml:space="preserve">                                          公章：
</t>
  </si>
  <si>
    <t xml:space="preserve">中介机构意见：                                  </t>
  </si>
  <si>
    <t xml:space="preserve">       中介机构负责人（签字）：                  年   月   日</t>
  </si>
  <si>
    <t>主   管   部      门        意   见</t>
  </si>
  <si>
    <t xml:space="preserve">                                                主管部门负责人（签章）：                   年   月    日</t>
  </si>
  <si>
    <t>填表人：</t>
  </si>
  <si>
    <t>填表时间：</t>
  </si>
  <si>
    <t>联系电话：</t>
  </si>
  <si>
    <t>卫生保洁项目绩效自评表</t>
  </si>
  <si>
    <t>闽财建[2003]58号；闽岚综实管综[2012]129号</t>
  </si>
  <si>
    <t xml:space="preserve">开始：2017年01月 </t>
  </si>
  <si>
    <t xml:space="preserve">完成：2017年12 月 </t>
  </si>
  <si>
    <t xml:space="preserve">完成：2017年12月 </t>
  </si>
  <si>
    <t>城乡社区环境卫生</t>
  </si>
  <si>
    <t>资金拨付时间</t>
  </si>
  <si>
    <t>12个月</t>
  </si>
  <si>
    <t>12月之前</t>
  </si>
  <si>
    <t>预算投入</t>
  </si>
  <si>
    <t>6614万之内</t>
  </si>
  <si>
    <t>数量目标1</t>
  </si>
  <si>
    <t>农村环境卫生整治</t>
  </si>
  <si>
    <t>2050万</t>
  </si>
  <si>
    <t>2050万之内</t>
  </si>
  <si>
    <t>数量目标2</t>
  </si>
  <si>
    <t>旧城区卫生保洁</t>
  </si>
  <si>
    <t>4308万</t>
  </si>
  <si>
    <t>4308万之内</t>
  </si>
  <si>
    <t>数量目标3</t>
  </si>
  <si>
    <t>金井湾片区道路保洁</t>
  </si>
  <si>
    <t>256万</t>
  </si>
  <si>
    <t>256万之内</t>
  </si>
  <si>
    <t>按相关要求符合环境质量标准</t>
  </si>
  <si>
    <t>验收合格标准</t>
  </si>
  <si>
    <t>达到验收合格标准</t>
  </si>
  <si>
    <t>为公民提供良好的生活环境，提高群众幸福感，改善环境。</t>
  </si>
  <si>
    <t>改善环境</t>
  </si>
  <si>
    <t>达到城市环境要求</t>
  </si>
  <si>
    <t>符合宜居宜业要求</t>
  </si>
  <si>
    <t>生态标准</t>
  </si>
  <si>
    <t>达到生态要求</t>
  </si>
  <si>
    <t>服务对象问卷调查</t>
  </si>
  <si>
    <t>90%以上</t>
  </si>
  <si>
    <t>良好</t>
  </si>
  <si>
    <t xml:space="preserve">成本效益分析法■  比较法□  因素分析法□  最低成本法□  公众评判法□    </t>
  </si>
  <si>
    <t>岚财金[2017]274号</t>
  </si>
  <si>
    <r>
      <rPr>
        <sz val="10"/>
        <rFont val="宋体"/>
        <charset val="134"/>
      </rPr>
      <t>①</t>
    </r>
    <r>
      <rPr>
        <sz val="10"/>
        <rFont val="宋体"/>
        <charset val="134"/>
      </rPr>
      <t>……</t>
    </r>
  </si>
  <si>
    <t>农村整治经费</t>
  </si>
  <si>
    <t>金井湾片区道路保洁费</t>
  </si>
  <si>
    <r>
      <rPr>
        <b/>
        <sz val="10"/>
        <rFont val="宋体"/>
        <charset val="134"/>
      </rPr>
      <t>投入（30%）</t>
    </r>
    <r>
      <rPr>
        <sz val="10"/>
        <rFont val="宋体"/>
        <charset val="134"/>
      </rPr>
      <t xml:space="preserve">
</t>
    </r>
  </si>
  <si>
    <t>项目实施事件与计划时间的差异情况</t>
  </si>
  <si>
    <t>项目
立项</t>
  </si>
  <si>
    <t xml:space="preserve">
①是否与项目年度任务数或计划数相对应；
②是否与预算确定的项目投资额或资金量相匹配。一项不符合扣一分，严重的此项完全不得分。</t>
  </si>
  <si>
    <t>成本控制率</t>
  </si>
  <si>
    <t>如：成本控制率A=截至年末累计支出数/项目概算或当年预算数。A≦100%得满分；100%﹤A≦105%时，得分为此项指标满分值-100×（A-100%）（如：A=102.8%，此项指标权重4分，则得分为4-2.8=1.2分），A＞105%时不得分。</t>
  </si>
  <si>
    <r>
      <rPr>
        <b/>
        <sz val="10"/>
        <rFont val="宋体"/>
        <charset val="134"/>
      </rPr>
      <t>过程（30%）</t>
    </r>
    <r>
      <rPr>
        <sz val="10"/>
        <rFont val="宋体"/>
        <charset val="134"/>
      </rPr>
      <t xml:space="preserve">
</t>
    </r>
  </si>
  <si>
    <t>管理制度健全性</t>
  </si>
  <si>
    <t xml:space="preserve">
①是否已制定或具有相应的业务管理制度；
②业务管理制度是否合法、合规、完整。一项不符合扣一分，严重的此项完全不得分。</t>
  </si>
  <si>
    <t>资金使用合规性</t>
  </si>
  <si>
    <t xml:space="preserve">
①资金的使用是否符合有关专项资金管理办法的规定；
②资金的拨付是否有完整的审批程序和手续；
③项目的重大开支是否经过评估认证。一项不符合扣一分，严重的此项完全不得分。</t>
  </si>
  <si>
    <r>
      <rPr>
        <b/>
        <sz val="10"/>
        <rFont val="宋体"/>
        <charset val="134"/>
      </rPr>
      <t xml:space="preserve">产出与效益（40%） </t>
    </r>
    <r>
      <rPr>
        <sz val="10"/>
        <rFont val="宋体"/>
        <charset val="134"/>
      </rPr>
      <t xml:space="preserve">
</t>
    </r>
    <r>
      <rPr>
        <sz val="10"/>
        <rFont val="宋体"/>
        <charset val="134"/>
      </rPr>
      <t xml:space="preserve">
</t>
    </r>
  </si>
  <si>
    <t>474.11万平方</t>
  </si>
  <si>
    <t>是否按计划完成项目进度</t>
  </si>
  <si>
    <t>环境质量标准</t>
  </si>
  <si>
    <t>是否按相关要求符合环境质量标准</t>
  </si>
  <si>
    <t>经济增长率</t>
  </si>
  <si>
    <t>是否给区相关经效益部门带来经济利益</t>
  </si>
  <si>
    <t>社会满意度</t>
  </si>
  <si>
    <t>是否公民提供良好的生活环境，提高群众幸福感</t>
  </si>
  <si>
    <t>环境达标率</t>
  </si>
  <si>
    <t>是否达到城市环境要求</t>
  </si>
  <si>
    <t xml:space="preserve">效益评估值 </t>
  </si>
  <si>
    <t>≤50%的不得分；&gt;50%≤90%的得权数的40%；≥90%的权数的100%。</t>
  </si>
  <si>
    <t xml:space="preserve">服务对象调查 </t>
  </si>
  <si>
    <r>
      <rPr>
        <sz val="9"/>
        <rFont val="宋体"/>
        <charset val="134"/>
      </rPr>
      <t>≤50%的不得分；&gt;50%≤90</t>
    </r>
    <r>
      <rPr>
        <sz val="9"/>
        <rFont val="宋体"/>
        <charset val="134"/>
      </rPr>
      <t>%的得权数的</t>
    </r>
    <r>
      <rPr>
        <sz val="9"/>
        <rFont val="宋体"/>
        <charset val="134"/>
      </rPr>
      <t>40%；≥90%的权数的100%。</t>
    </r>
  </si>
  <si>
    <r>
      <rPr>
        <sz val="10"/>
        <rFont val="宋体"/>
        <charset val="134"/>
      </rPr>
      <t xml:space="preserve">□优秀（S≧90）      </t>
    </r>
    <r>
      <rPr>
        <sz val="10"/>
        <rFont val="宋体"/>
        <charset val="134"/>
      </rPr>
      <t>■</t>
    </r>
    <r>
      <rPr>
        <sz val="10"/>
        <rFont val="宋体"/>
        <charset val="134"/>
      </rPr>
      <t xml:space="preserve">良好（90﹥S≧75）     □合格（75﹥S≧60）      □不合格（60&lt;S）  </t>
    </r>
  </si>
  <si>
    <t>“海峡号、丽娜轮”航次补贴项目绩效自评表</t>
  </si>
  <si>
    <t>平潭综合实验区管委会2015年第1次主任办公会议纪要</t>
  </si>
  <si>
    <t xml:space="preserve">开始：2017年1 月  </t>
  </si>
  <si>
    <t xml:space="preserve">开始：2017年1月 </t>
  </si>
  <si>
    <t>按季度拨付</t>
  </si>
  <si>
    <t>开航次数（往返）</t>
  </si>
  <si>
    <t>乘客人数(万人）</t>
  </si>
  <si>
    <t>这四项选填</t>
  </si>
  <si>
    <t>方便两岸通行</t>
  </si>
  <si>
    <t>方便</t>
  </si>
  <si>
    <t>对生态资源没有破坏</t>
  </si>
  <si>
    <t>没有破坏</t>
  </si>
  <si>
    <t>两岸人员交流往来</t>
  </si>
  <si>
    <t>方便两岸交流</t>
  </si>
  <si>
    <t>乘客满意度</t>
  </si>
  <si>
    <t>95%以上</t>
  </si>
  <si>
    <r>
      <rPr>
        <sz val="10"/>
        <rFont val="宋体"/>
        <charset val="134"/>
      </rPr>
      <t xml:space="preserve">成本效益分析法□ </t>
    </r>
    <r>
      <rPr>
        <sz val="10"/>
        <rFont val="宋体"/>
        <charset val="134"/>
      </rPr>
      <t xml:space="preserve"> </t>
    </r>
    <r>
      <rPr>
        <sz val="10"/>
        <rFont val="宋体"/>
        <charset val="134"/>
      </rPr>
      <t xml:space="preserve">比较法□  因素分析法□√  最低成本法□  公众评判法□    </t>
    </r>
  </si>
  <si>
    <t>2017年9月到账丽娜轮补贴704万元，按32万元/往返航次预拨（2016年11、12月份共7个往返航次，2017年1、4月份共15个往返航次）。</t>
  </si>
  <si>
    <t>2017年9月到账海峡号补贴2112万元，按每个往返航次32万元，预拨2017年1至4月份开航66次。</t>
  </si>
  <si>
    <t>2017年11月收到5至9月份海峡号80%补贴款。</t>
  </si>
  <si>
    <t>……</t>
  </si>
  <si>
    <t>补贴款拨付时间与计划时间的差异情况</t>
  </si>
  <si>
    <t>补贴款拨付月份是否晚于计划月份。实际拨付月份不晚于计划月份的得10分，比计划月份晚1个月以内扣1分，比计划月份晚2个月以内扣5分，比计划月份晚2个月以上不得分。</t>
  </si>
  <si>
    <t>①是否与项目年度任务数或计划数相对应；
②是否与预算确定的项目投资额或资金量相匹配。一项不符合扣一分，严重的此项完全不得分。</t>
  </si>
  <si>
    <t>成本控制率A=截至年末累计支出数/当年预算数。A≦100%得满分；100%﹤A≦105%时，得分为此项指标满分值-100×（A-100%）（如：A=102.8%，此项指标权重5分，则得分为5-2.8=2.2分），A＞105%时不得分。</t>
  </si>
  <si>
    <t>①是否已制定或具有相应的业务管理制度；
②业务管理制度是否合法、合规、完整。一项不符合扣一分，严重的此项完全不得分。</t>
  </si>
  <si>
    <t>①资金的使用是否符合有关专项资金管理办法的规定；
②资金的拨付是否有完整的审批程序和手续；
③项目的重大开支是否经过评估认证。一项不符合扣一分，严重的此项完全不得分。</t>
  </si>
  <si>
    <t>开航次数</t>
  </si>
  <si>
    <t>完成目标95%以上6分，90%至94%得4分，80%至89%得3分，70%至79%得2分，60%至69%得1分，59%以下得0分</t>
  </si>
  <si>
    <t>运送乘客</t>
  </si>
  <si>
    <t>盈亏平衡</t>
  </si>
  <si>
    <t>达到盈亏平衡得6分，没达到盈亏平衡得3分</t>
  </si>
  <si>
    <t>方便两岸通行得6分，不方便两岸通行得3分，轻微以上破坏得0分</t>
  </si>
  <si>
    <t>对生态资源没有破坏得5分，轻微破坏得3分，轻微以上破坏得0分</t>
  </si>
  <si>
    <t>方便两岸交流得5分，不方便两岸交流得0分</t>
  </si>
  <si>
    <t>满意度95%及以上6分，90%至94%得5分，80%至89%得3分，70%至79%得2分，60%至69%得1分，59%以下得0分</t>
  </si>
  <si>
    <t xml:space="preserve">□优秀（S≧90）      □良好（90﹥S≧75）     □合格（75﹥S≧60）      □不合格（60&lt;S）  </t>
  </si>
  <si>
    <t>公交运营补助项目绩效自评表</t>
  </si>
  <si>
    <t>岚综实交建运管[2014]16号</t>
  </si>
  <si>
    <t>开始：2017年01月</t>
  </si>
  <si>
    <t>完成：2017年12月</t>
  </si>
  <si>
    <r>
      <rPr>
        <b/>
        <sz val="12"/>
        <color theme="1"/>
        <rFont val="Times New Roman"/>
        <charset val="0"/>
      </rPr>
      <t xml:space="preserve">   [2149901]</t>
    </r>
    <r>
      <rPr>
        <b/>
        <sz val="12"/>
        <color theme="1"/>
        <rFont val="宋体"/>
        <charset val="134"/>
      </rPr>
      <t>公共交通运营补助</t>
    </r>
  </si>
  <si>
    <t>2017年</t>
  </si>
  <si>
    <t>1800万</t>
  </si>
  <si>
    <t>1800万以内</t>
  </si>
  <si>
    <t>1864万</t>
  </si>
  <si>
    <t>⁄</t>
  </si>
  <si>
    <t>年度配载客运量</t>
  </si>
  <si>
    <t>城乡公交一体化</t>
  </si>
  <si>
    <t>基本实现</t>
  </si>
  <si>
    <t>缓解道路拥挤状况</t>
  </si>
  <si>
    <t>有效缓解道路拥挤</t>
  </si>
  <si>
    <t>有效缓解</t>
  </si>
  <si>
    <t>尾气排放</t>
  </si>
  <si>
    <t>低碳、环保、零排放</t>
  </si>
  <si>
    <t>无污染</t>
  </si>
  <si>
    <t>满意度95%</t>
  </si>
  <si>
    <t>完成</t>
  </si>
  <si>
    <t xml:space="preserve">成本效益分析法□√比较法□  因素分析法□  最低成本法□  公众评判法□    </t>
  </si>
  <si>
    <r>
      <rPr>
        <sz val="10"/>
        <color theme="1"/>
        <rFont val="宋体"/>
        <charset val="134"/>
      </rPr>
      <t>其他评价方法:</t>
    </r>
    <r>
      <rPr>
        <u/>
        <sz val="10"/>
        <color indexed="8"/>
        <rFont val="宋体"/>
        <charset val="134"/>
      </rPr>
      <t xml:space="preserve">                     </t>
    </r>
    <r>
      <rPr>
        <sz val="10"/>
        <color theme="1"/>
        <rFont val="宋体"/>
        <charset val="134"/>
      </rPr>
      <t xml:space="preserve">□  </t>
    </r>
    <r>
      <rPr>
        <b/>
        <sz val="10"/>
        <color theme="1"/>
        <rFont val="宋体"/>
        <charset val="134"/>
      </rPr>
      <t xml:space="preserve"> </t>
    </r>
    <r>
      <rPr>
        <sz val="10"/>
        <color theme="1"/>
        <rFont val="宋体"/>
        <charset val="134"/>
      </rPr>
      <t xml:space="preserve">            </t>
    </r>
  </si>
  <si>
    <r>
      <rPr>
        <sz val="10"/>
        <color theme="1"/>
        <rFont val="宋体"/>
        <charset val="134"/>
      </rPr>
      <t>金额</t>
    </r>
    <r>
      <rPr>
        <sz val="10"/>
        <color indexed="8"/>
        <rFont val="Times New Roman"/>
        <charset val="0"/>
      </rPr>
      <t xml:space="preserve">            </t>
    </r>
    <r>
      <rPr>
        <sz val="10"/>
        <color theme="1"/>
        <rFont val="宋体"/>
        <charset val="134"/>
      </rPr>
      <t>（万元）①</t>
    </r>
  </si>
  <si>
    <t>①……</t>
  </si>
  <si>
    <t>车辆燃料费</t>
  </si>
  <si>
    <t>驾驶员人工费</t>
  </si>
  <si>
    <t>修理费</t>
  </si>
  <si>
    <r>
      <rPr>
        <b/>
        <sz val="12"/>
        <color theme="1"/>
        <rFont val="宋体"/>
        <charset val="134"/>
      </rPr>
      <t xml:space="preserve">一级指标
</t>
    </r>
    <r>
      <rPr>
        <sz val="10"/>
        <color theme="1"/>
        <rFont val="宋体"/>
        <charset val="134"/>
      </rPr>
      <t>（目标分类）</t>
    </r>
  </si>
  <si>
    <r>
      <rPr>
        <b/>
        <sz val="12"/>
        <color theme="1"/>
        <rFont val="宋体"/>
        <charset val="134"/>
      </rPr>
      <t xml:space="preserve">二级指标
</t>
    </r>
    <r>
      <rPr>
        <sz val="10"/>
        <color theme="1"/>
        <rFont val="宋体"/>
        <charset val="134"/>
      </rPr>
      <t>（分类细化）</t>
    </r>
  </si>
  <si>
    <r>
      <rPr>
        <b/>
        <sz val="12"/>
        <color theme="1"/>
        <rFont val="宋体"/>
        <charset val="134"/>
      </rPr>
      <t xml:space="preserve">三级指标
</t>
    </r>
    <r>
      <rPr>
        <sz val="10"/>
        <color theme="1"/>
        <rFont val="宋体"/>
        <charset val="134"/>
      </rPr>
      <t>（绩效目标内容）</t>
    </r>
  </si>
  <si>
    <r>
      <rPr>
        <b/>
        <sz val="12"/>
        <color theme="1"/>
        <rFont val="宋体"/>
        <charset val="134"/>
      </rPr>
      <t xml:space="preserve">评分标准
</t>
    </r>
    <r>
      <rPr>
        <sz val="10"/>
        <color theme="1"/>
        <rFont val="宋体"/>
        <charset val="134"/>
      </rPr>
      <t>（绩效目标值）</t>
    </r>
  </si>
  <si>
    <r>
      <rPr>
        <b/>
        <sz val="10"/>
        <color theme="1"/>
        <rFont val="宋体"/>
        <charset val="134"/>
      </rPr>
      <t>投入（30%）</t>
    </r>
    <r>
      <rPr>
        <sz val="10"/>
        <color theme="1"/>
        <rFont val="宋体"/>
        <charset val="134"/>
      </rPr>
      <t xml:space="preserve">
-本类指标和评分标准均可作为选用参考，部门（单位）可选用共性指标，也可根据需要自行设定个性指标，或者对参考指标、评分标准进行适当调整，并在一级指标下自行设置各个二级和三级指标的权重</t>
    </r>
  </si>
  <si>
    <r>
      <rPr>
        <b/>
        <sz val="10"/>
        <color theme="1"/>
        <rFont val="宋体"/>
        <charset val="134"/>
      </rPr>
      <t>过程（30%）</t>
    </r>
    <r>
      <rPr>
        <sz val="10"/>
        <color theme="1"/>
        <rFont val="宋体"/>
        <charset val="134"/>
      </rPr>
      <t xml:space="preserve">
-本类指标和评分标准均可作为选用参考，部门（单位）可选用共性指标，也可根据需要自行设定个性指标，或者对参考指标、评分标准进行适当调整，并在一级指标下自行设置各个二级和三级指标的权重</t>
    </r>
  </si>
  <si>
    <t>如：
①是否已制定或具有相应的业务管理制度；
②业务管理制度是否合法、合规、完整。一项不符合扣一分，严重的此项完全不得分。</t>
  </si>
  <si>
    <t>资金到位情况</t>
  </si>
  <si>
    <t>到位率=实际到位资金/年初预算安排资金*100%。到位率≥100%，2分；到位率&lt;100,0分</t>
  </si>
  <si>
    <r>
      <rPr>
        <b/>
        <sz val="10"/>
        <color theme="1"/>
        <rFont val="宋体"/>
        <charset val="134"/>
      </rPr>
      <t xml:space="preserve">产出与效益（40%） </t>
    </r>
    <r>
      <rPr>
        <sz val="10"/>
        <color theme="1"/>
        <rFont val="宋体"/>
        <charset val="134"/>
      </rPr>
      <t xml:space="preserve">
1.单位必须将期初设置的产出与效益类绩效目标全部编入此类评价指标，在此基础上可根据实际情况增设评价指标；
2.单项指标权重最高不得超过10%。
</t>
    </r>
  </si>
  <si>
    <t>完成100%为8分；完成90%-100%为6分；完成80%-90%为5分；低于80%为0分</t>
  </si>
  <si>
    <t>营业收入提高</t>
  </si>
  <si>
    <t>完成100%为5分；完成90%-100%为4分；完成80%-90%为3分；低于80%为0分</t>
  </si>
  <si>
    <t>缓解道路拥挤情况</t>
  </si>
  <si>
    <t>完成100%为6分；完成90%-100%为4分；完成80%-90%为3分；低于80%为0分</t>
  </si>
  <si>
    <t xml:space="preserve">□优秀（S≧90）√      □良好（90﹥S≧75）     □合格（75﹥S≧60）      □不合格（60&lt;S）  </t>
  </si>
  <si>
    <t>林宇新</t>
  </si>
  <si>
    <t>2018.07.30</t>
  </si>
  <si>
    <t>0591-24360730</t>
  </si>
  <si>
    <t>全区配电工程项目绩效自评表</t>
  </si>
  <si>
    <t>区管委会专题会议纪要〔2016〕3号</t>
  </si>
  <si>
    <t>开始：2017年1月</t>
  </si>
  <si>
    <t xml:space="preserve">完成:2017年12月 </t>
  </si>
  <si>
    <t>[2120399]其他城乡社区公共设施支出</t>
  </si>
  <si>
    <t>6个</t>
  </si>
  <si>
    <t>1500万</t>
  </si>
  <si>
    <t>不超过1500万</t>
  </si>
  <si>
    <t>1365万</t>
  </si>
  <si>
    <t>完成变压器23台，完成电缆18991米</t>
  </si>
  <si>
    <t>已按照行业标准竣工验收</t>
  </si>
  <si>
    <t>全部竣工验收</t>
  </si>
  <si>
    <t>提高道路，管廊照明率</t>
  </si>
  <si>
    <t>照明率95%</t>
  </si>
  <si>
    <t>群众出行照明安全</t>
  </si>
  <si>
    <t>公众满意度95%</t>
  </si>
  <si>
    <t>已完成</t>
  </si>
  <si>
    <r>
      <rPr>
        <sz val="10"/>
        <rFont val="宋体"/>
        <charset val="134"/>
      </rPr>
      <t>成本效益分析法□  比较法□  因素分析法</t>
    </r>
    <r>
      <rPr>
        <sz val="10"/>
        <rFont val="Wingdings"/>
        <charset val="2"/>
      </rPr>
      <t>þ</t>
    </r>
    <r>
      <rPr>
        <sz val="10"/>
        <rFont val="宋体"/>
        <charset val="134"/>
      </rPr>
      <t xml:space="preserve">  最低成本法□  公众评判法□    </t>
    </r>
  </si>
  <si>
    <t>翠园南路路灯变永久性用电工程</t>
  </si>
  <si>
    <t>竹屿变至金井五路沿线电力管沟10KV配电工程</t>
  </si>
  <si>
    <t>金井湾片区路灯用电10KV配电线路工程</t>
  </si>
  <si>
    <t>万宝路延伸段路灯用电10kv配电工程</t>
  </si>
  <si>
    <t>①是否与项目年度任务数或计划数相对应；
②是否与预算确定的项目投资额或资金量相匹配。    一项不符合扣一分，严重的此项完全不得分。</t>
  </si>
  <si>
    <r>
      <rPr>
        <b/>
        <sz val="10"/>
        <rFont val="宋体"/>
        <charset val="134"/>
      </rPr>
      <t xml:space="preserve">产出与效益（40%） </t>
    </r>
    <r>
      <rPr>
        <sz val="10"/>
        <rFont val="宋体"/>
        <charset val="134"/>
      </rPr>
      <t xml:space="preserve">
1.单位必须将期初设置的产出与效益类绩效目标全部编入此类评价指标，在此基础上可根据实际情况增设评价指标；
2.单项指标权重最高不得超过10%。
</t>
    </r>
  </si>
  <si>
    <r>
      <rPr>
        <sz val="10"/>
        <rFont val="宋体"/>
        <charset val="134"/>
      </rPr>
      <t>主管部门核实的计划完成率*2分+评价组实地核实的计划完成率*2分</t>
    </r>
    <r>
      <rPr>
        <b/>
        <sz val="12"/>
        <rFont val="宋体"/>
        <charset val="134"/>
      </rPr>
      <t>。</t>
    </r>
  </si>
  <si>
    <t>按规定验收通过的，得6分；验收不通过的，80%≤工程进度&lt;100%的，得4分，50%≤工程进度&lt;80%的，得2分，工程进度50%以下的，得0分。</t>
  </si>
  <si>
    <t>1.按设计方案施工，得5分。2.使用合格的材料和设备，得5分。</t>
  </si>
  <si>
    <t>照明率为99%的，得10分；80%≤照明率&lt;99%的，得8分；60%≤照明率&lt;80%的，得6分；照明率60%以下、得0分。</t>
  </si>
  <si>
    <t>群众出行照明安全公众满意度</t>
  </si>
  <si>
    <t>非常满意得10分，较满意得8分，基本满意得6分，不满意不得分。</t>
  </si>
  <si>
    <r>
      <rPr>
        <sz val="10"/>
        <rFont val="Wingdings"/>
        <charset val="2"/>
      </rPr>
      <t>þ</t>
    </r>
    <r>
      <rPr>
        <sz val="10"/>
        <rFont val="宋体"/>
        <charset val="134"/>
      </rPr>
      <t xml:space="preserve">优秀（S≧90）      □良好（90﹥S≧75）     □合格（75﹥S≧60）      □不合格（60&lt;S）  </t>
    </r>
  </si>
  <si>
    <t>2017年度平潭综合实验区道路日常养护工程项目绩效自评表</t>
  </si>
  <si>
    <t>平潭综合实验区管委会2014年第3次主任办公会议纪要</t>
  </si>
  <si>
    <t xml:space="preserve">开始:2017年 1月 </t>
  </si>
  <si>
    <t>公路养护</t>
  </si>
  <si>
    <t>4186万元</t>
  </si>
  <si>
    <t>1031万元</t>
  </si>
  <si>
    <t>完成道路养护62.609公里</t>
  </si>
  <si>
    <t>62.609公里</t>
  </si>
  <si>
    <t>养护不低于62.609公里</t>
  </si>
  <si>
    <t>按交建局养护质量检评标准保质保量的完成</t>
  </si>
  <si>
    <t>750分</t>
  </si>
  <si>
    <t>不低于750分</t>
  </si>
  <si>
    <t>促进旅游业发展</t>
  </si>
  <si>
    <t>中等程度提升城市形象</t>
  </si>
  <si>
    <t>大幅度提升城市形象</t>
  </si>
  <si>
    <t>提高公众安全出行率</t>
  </si>
  <si>
    <t>群众出行安全便捷</t>
  </si>
  <si>
    <t>改善城市环境</t>
  </si>
  <si>
    <t>居民满意度</t>
  </si>
  <si>
    <r>
      <rPr>
        <sz val="10"/>
        <rFont val="宋体"/>
        <charset val="134"/>
      </rPr>
      <t>金额</t>
    </r>
    <r>
      <rPr>
        <sz val="10"/>
        <rFont val="Times New Roman"/>
        <charset val="134"/>
      </rPr>
      <t xml:space="preserve">            </t>
    </r>
    <r>
      <rPr>
        <sz val="10"/>
        <rFont val="宋体"/>
        <charset val="134"/>
      </rPr>
      <t>（万元）①</t>
    </r>
  </si>
  <si>
    <t>2017年度平潭综合实验区道路日常养护工程项目</t>
  </si>
  <si>
    <t>按规定验收通过的，得8分；验收不通过的，80%≤工程进度&lt;100%的，得4分，50%≤工程进度&lt;80%的，得4分，工程进度50%以下的，得0分。</t>
  </si>
  <si>
    <t>落实情况</t>
  </si>
  <si>
    <t>做好“扫清楚”，配足保洁员，建立长效机制，把环境卫生打扫清楚，得5分。</t>
  </si>
  <si>
    <t>按交建局养护质量检评标准保质保量的完成750分标准得4分，低于750分得0分。</t>
  </si>
  <si>
    <t>充分利用当地资源得4分。</t>
  </si>
  <si>
    <t>提升旅游的规模，提高知名度，改善环境，得4分，提升改善不明显，得3分；没有提升改善的，不得分</t>
  </si>
  <si>
    <t>道路改善</t>
  </si>
  <si>
    <t>改善成效良好的，得4分；改善成效一般的，得2分；基本未改善的，得0分。</t>
  </si>
  <si>
    <t>1.验收后建立共管长效机制，进行持续跟踪管理的，得3分；未管理的，不得分。2.验收后社会、生态环境持续得到改善的，得2分；验收后改善水平有所下降的，得0分。</t>
  </si>
  <si>
    <t>群众满意度</t>
  </si>
  <si>
    <t>东庠南江澳沿岸水毁道路修复工程项目绩效自评表</t>
  </si>
  <si>
    <t>《东庠乡人民政府关于修复南江沿海岸自然灾害水毁道路的请示》（岚庠政〔2016〕1号）</t>
  </si>
  <si>
    <t xml:space="preserve">开始：2017年2月 </t>
  </si>
  <si>
    <t xml:space="preserve">完成：2017年8月 </t>
  </si>
  <si>
    <t xml:space="preserve">完成：2017年6月 </t>
  </si>
  <si>
    <t>1000万元</t>
  </si>
  <si>
    <t>1000万元内</t>
  </si>
  <si>
    <t>665.798185万元</t>
  </si>
  <si>
    <t>东庠南江澳沿岸水毁道路修复工程</t>
  </si>
  <si>
    <t>计划完成东庠南江澳沿岸499米水毁道路</t>
  </si>
  <si>
    <t>完成东庠南江澳沿岸水毁道路修复工程</t>
  </si>
  <si>
    <t>主体工程已经完成，路面已经完成，路灯，绿化及水沟已全部完成，完成工程总量的100%</t>
  </si>
  <si>
    <t>质量通过，验收合格</t>
  </si>
  <si>
    <t>质量达到行业标准水平</t>
  </si>
  <si>
    <t>合格</t>
  </si>
  <si>
    <t>按工程项目建设规划及时竣工并投入使用，符合相关要求，有效排除安全隐患，拉动经济发展，为过路人提供方便，美化村容村貌，优化自然环境。</t>
  </si>
  <si>
    <t>符合相关要求，有效排除安全隐患</t>
  </si>
  <si>
    <t>较好地达到相关要求，排除不必要的安全隐患</t>
  </si>
  <si>
    <t>东庠南江澳沿岸水毁道路修复工程受益群众满意度</t>
  </si>
  <si>
    <r>
      <rPr>
        <sz val="10"/>
        <rFont val="宋体"/>
        <charset val="134"/>
      </rPr>
      <t xml:space="preserve">成本效益分析法□ </t>
    </r>
    <r>
      <rPr>
        <sz val="10"/>
        <rFont val="宋体"/>
        <charset val="134"/>
      </rPr>
      <t xml:space="preserve"> </t>
    </r>
    <r>
      <rPr>
        <sz val="10"/>
        <rFont val="宋体"/>
        <charset val="134"/>
      </rPr>
      <t xml:space="preserve">比较法□  因素分析法□  最低成本法□  公众评判法□    </t>
    </r>
  </si>
  <si>
    <t>项目建设款</t>
  </si>
  <si>
    <t>地方财政资金到位情况</t>
  </si>
  <si>
    <t>安排专项资金，资金到位率为100%的，得10分；80%≤到位率＜100%，得8分；60%≤到位率＜80%的，得6分；30%≤到位率＜60%的，得3分；到位率30%以下、未安排专项资金的，得0分。未及时拨付的，每推迟一个月扣1分。</t>
  </si>
  <si>
    <t>财政资金使用率为100%的，得6分；80%≤使用率＜100%，得4分；60%≤使用率＜80%的，得3分；30%≤使用率＜60%的，得1分；使用率30%以下，得0分。</t>
  </si>
  <si>
    <t xml:space="preserve">产出与效益（40%） 
1.单位必须将期初设置的产出与效益类绩效目标全部编入此类评价指标，在此基础上可根据实际情况增设评价指标；
2.单项指标权重最高不得超过10%。
</t>
  </si>
  <si>
    <t>主管部门核实的计划完成率*2分+评价组实地核实的计划完成率*2分。</t>
  </si>
  <si>
    <t>按规定验收通过的，得6分；验收不通过的，80%≤工程进度＜100%，得4分；50%≤工程进度＜80%的，得2分；工程进度50%以下，得0分。</t>
  </si>
  <si>
    <t>1.项目规划符合村庄实际，可操作性较强，得4分。2.项目规划编制，征得村民意见，体现村民意愿，得1分。3.项目规划按法定程序报批，得1分。</t>
  </si>
  <si>
    <t>1.按照设计方案进行施工，得4分。2.使用本地区建筑材料和设备，并体现生态环保要求，得2分。</t>
  </si>
  <si>
    <t>排除安全隐患</t>
  </si>
  <si>
    <t>排除安全隐患，为过路人提供方便，美化村容村貌，优化自然环境，得5分，提升改善不明显，得3分，没有排除安全隐患，得0分。</t>
  </si>
  <si>
    <t>改善成效良好的，得5分；改善成效一般的，得3分；基本未改善的，得0分。</t>
  </si>
  <si>
    <t>村民满意度</t>
  </si>
  <si>
    <t>非常满意得5分，较满意得4分，基本满意得3分，不满意不得分。</t>
  </si>
  <si>
    <t>全区路灯养护项目绩效自评表</t>
  </si>
  <si>
    <t>2014年平潭财购〔068〕号</t>
  </si>
  <si>
    <t xml:space="preserve">开始：2017年 1 月 </t>
  </si>
  <si>
    <t xml:space="preserve">完成：2017 年12月 </t>
  </si>
  <si>
    <t>[2120399]其他城乡社区社区管理事务支出</t>
  </si>
  <si>
    <t>项目完成时间</t>
  </si>
  <si>
    <t>实际预算资金3000万</t>
  </si>
  <si>
    <t>预算3000万以内</t>
  </si>
  <si>
    <t>141.9万</t>
  </si>
  <si>
    <t>维护全区路灯数量</t>
  </si>
  <si>
    <t>7000盏</t>
  </si>
  <si>
    <t>7500盏</t>
  </si>
  <si>
    <t>提高路灯亮灯率</t>
  </si>
  <si>
    <t xml:space="preserve">完成 </t>
  </si>
  <si>
    <t>方便群众夜间出行</t>
  </si>
  <si>
    <t>有利于群众夜间出行</t>
  </si>
  <si>
    <t>提高群众夜间出行安全</t>
  </si>
  <si>
    <t>保持市政路灯的安全、舒适、整洁</t>
  </si>
  <si>
    <t>提高城市景观</t>
  </si>
  <si>
    <t>提高城市夜景</t>
  </si>
  <si>
    <t>群众夜间出行满意度</t>
  </si>
  <si>
    <r>
      <rPr>
        <sz val="10"/>
        <color theme="1"/>
        <rFont val="宋体"/>
        <charset val="134"/>
      </rPr>
      <t>成本效益分析法</t>
    </r>
    <r>
      <rPr>
        <sz val="10"/>
        <color theme="1"/>
        <rFont val="Wingdings 2"/>
        <charset val="2"/>
      </rPr>
      <t>R</t>
    </r>
    <r>
      <rPr>
        <sz val="10"/>
        <color theme="1"/>
        <rFont val="宋体"/>
        <charset val="134"/>
      </rPr>
      <t xml:space="preserve">  比较法□  因素分析法□  最低成本法□  公众评判法□    </t>
    </r>
  </si>
  <si>
    <r>
      <rPr>
        <sz val="10"/>
        <color theme="1"/>
        <rFont val="宋体"/>
        <charset val="134"/>
      </rPr>
      <t>其他评价方法:</t>
    </r>
    <r>
      <rPr>
        <u/>
        <sz val="10"/>
        <color theme="1"/>
        <rFont val="宋体"/>
        <charset val="134"/>
      </rPr>
      <t xml:space="preserve">                     </t>
    </r>
    <r>
      <rPr>
        <sz val="10"/>
        <color theme="1"/>
        <rFont val="宋体"/>
        <charset val="134"/>
      </rPr>
      <t xml:space="preserve">□  </t>
    </r>
    <r>
      <rPr>
        <b/>
        <sz val="10"/>
        <color theme="1"/>
        <rFont val="宋体"/>
        <charset val="134"/>
      </rPr>
      <t xml:space="preserve"> </t>
    </r>
    <r>
      <rPr>
        <sz val="10"/>
        <color theme="1"/>
        <rFont val="宋体"/>
        <charset val="134"/>
      </rPr>
      <t xml:space="preserve">            </t>
    </r>
  </si>
  <si>
    <r>
      <rPr>
        <sz val="10"/>
        <color theme="1"/>
        <rFont val="宋体"/>
        <charset val="134"/>
      </rPr>
      <t>金额</t>
    </r>
    <r>
      <rPr>
        <sz val="10"/>
        <color theme="1"/>
        <rFont val="Times New Roman"/>
        <charset val="134"/>
      </rPr>
      <t xml:space="preserve">            </t>
    </r>
    <r>
      <rPr>
        <sz val="10"/>
        <color theme="1"/>
        <rFont val="宋体"/>
        <charset val="134"/>
      </rPr>
      <t>（万元）①</t>
    </r>
  </si>
  <si>
    <t>3000万</t>
  </si>
  <si>
    <t>岚财金〔2016〕262号</t>
  </si>
  <si>
    <t>旧城区城市照明维护费</t>
  </si>
  <si>
    <t>项目按计划开工；按计划进度开展；按计划完工</t>
  </si>
  <si>
    <t>成本控制率A=截至年末累计支出数/项目概算或当年预算数。A≦100%得满分；100%﹤A≦105%时，得分为此项指标满分值-100×（A-100%）（如：A=102.8%，此项指标权重4分，则得分为4-2.8=1.2分），A＞105%时不得分。</t>
  </si>
  <si>
    <t>目标完成率=目标完成数/预定目标数×100%</t>
  </si>
  <si>
    <t>完成绩效目标100%得8分，未完成100%的同比例扣减。</t>
  </si>
  <si>
    <t>目标完成质量=实际达到的效果/预定目标×100%</t>
  </si>
  <si>
    <t>项目产出质量达到绩效目标100%得8分，未完成100%的同比例扣减。</t>
  </si>
  <si>
    <t>项目实施是否产生社会综合效益</t>
  </si>
  <si>
    <t>完成绩效目标设定的社会效益得8分，未完成的，按完成情况酌情扣分。</t>
  </si>
  <si>
    <t>项目实施是否对环境产生积极或消极影响</t>
  </si>
  <si>
    <t>完成绩效目标设定的积极的环境效益得8分，未完成的，按完成情况酌情扣分。</t>
  </si>
  <si>
    <t>社会公众或服务对象满意度</t>
  </si>
  <si>
    <t>95%（含）以上计8分；
85%（含）-95%，计5分；
75%（含）-85%，计2分；
低于75%计0分。</t>
  </si>
  <si>
    <r>
      <rPr>
        <sz val="10"/>
        <color theme="1"/>
        <rFont val="Wingdings 2"/>
        <charset val="134"/>
      </rPr>
      <t>R</t>
    </r>
    <r>
      <rPr>
        <sz val="10"/>
        <color theme="1"/>
        <rFont val="宋体"/>
        <charset val="134"/>
      </rPr>
      <t xml:space="preserve">优秀（S≧90）      □良好（90﹥S≧75）     □合格（75﹥S≧60）      □不合格（60&lt;S）  </t>
    </r>
  </si>
  <si>
    <t>2017年平潭综合实验区绿化养护工程项目绩效自评表</t>
  </si>
  <si>
    <t>《平潭综合实验区交通与建设局关于平潭综合实验区城市绿地管养单位的请示及》岚综实交建综合〔2014〕42号及《平潭综合实验区管委会关于环岛公路等项目路产移交及养护有关事宜的批复》岚综管综〔2015〕239号</t>
  </si>
  <si>
    <t>5000万元</t>
  </si>
  <si>
    <t>1590.7万元</t>
  </si>
  <si>
    <t>可以不填，用"/"表示</t>
  </si>
  <si>
    <t>完成环岛公路、坛西大道等道路共计1927203.5㎡绿化进行日常养护</t>
  </si>
  <si>
    <t>1927203.5㎡</t>
  </si>
  <si>
    <t>养护面积不低于1927203.5㎡</t>
  </si>
  <si>
    <t>提升城市形象</t>
  </si>
  <si>
    <t>改善城市生态环境</t>
  </si>
  <si>
    <t>给游客创造优美的环境</t>
  </si>
  <si>
    <t>行人满意度</t>
  </si>
  <si>
    <t>2017年平潭综合实验区公路绿化养护预算为2079.86万元，其中扣除因综合管廊破除养护费451.07万元及日常绿化工作考核扣款38.09万元，实际支出1590.70万元。</t>
  </si>
  <si>
    <t xml:space="preserve">成本效益分析法□  比较法□  因素分析法√ 最低成本法□  公众评判法□    </t>
  </si>
  <si>
    <t>人工</t>
  </si>
  <si>
    <t>材料</t>
  </si>
  <si>
    <t>机械</t>
  </si>
  <si>
    <t>行道树</t>
  </si>
  <si>
    <t>按交建局养护质量检评标准保质保量的完成合格得4分，不合格得0分。</t>
  </si>
  <si>
    <t>海岛交通便民工程项目绩效自评表</t>
  </si>
  <si>
    <t>《共同推进“海岛交通便民工程”协议书 》及平潭综合实验区管委会第2014年第24次主任办公会议纪要的精神</t>
  </si>
  <si>
    <t xml:space="preserve">开始：2013年 9 月 </t>
  </si>
  <si>
    <t xml:space="preserve">开始：2014年1月 </t>
  </si>
  <si>
    <t xml:space="preserve">完成：   年  月 </t>
  </si>
  <si>
    <t>力争今年完成4座码头主体工程。</t>
  </si>
  <si>
    <t>严格控制建设成本，力争不突破计划，预算数　</t>
  </si>
  <si>
    <t>500万</t>
  </si>
  <si>
    <t>500万以内</t>
  </si>
  <si>
    <t>力争完成陆岛码头主体工程。</t>
  </si>
  <si>
    <t>达到质量验收合格</t>
  </si>
  <si>
    <t>保障岛内交通顺利进行，项目完成后，将实现海陆联运。</t>
  </si>
  <si>
    <t>解决岛内外群众出行困难问题，促进当地经济发展。</t>
  </si>
  <si>
    <t>方便岛内外群众出行，带动海岛自身经济发展，海岛旅游业发展。</t>
  </si>
  <si>
    <t>达到人与自然共和谐，不出现环境污染和资源破坏现象。</t>
  </si>
  <si>
    <t>对环境污染和资源破坏不影响。</t>
  </si>
  <si>
    <t>对环境污染和资源零破坏。</t>
  </si>
  <si>
    <t>乘客满意</t>
  </si>
  <si>
    <t>付大练渔限、秀礁、南海乡北楼管理房补助款</t>
  </si>
  <si>
    <t>付南海乡错车道补助款</t>
  </si>
  <si>
    <t>付东庠岛、南海岛客运站补助款</t>
  </si>
  <si>
    <t>付更新客船补助款</t>
  </si>
  <si>
    <t>付田下码头工程款</t>
  </si>
  <si>
    <t>如：项目实施事件与计划时间的差异情况</t>
  </si>
  <si>
    <t>如：项目实际实施月份是否晚于计划月份。实际实施月份不晚于计划月份的得满分，比计划月份晚1个月以内扣1分，比计划月份晚1个月以上不得分。</t>
  </si>
  <si>
    <t>如：绩效目标合理性</t>
  </si>
  <si>
    <t>如：
①是否与项目年度任务数或计划数相对应；
②是否与预算确定的项目投资额或资金量相匹配。一项不符合扣一分，严重的此项完全不得分。</t>
  </si>
  <si>
    <t>如：成本控制率</t>
  </si>
  <si>
    <t>如：管理制度健全性</t>
  </si>
  <si>
    <t>如：资金使用合规性</t>
  </si>
  <si>
    <t>如：
①资金的使用是否符合有关专项资金管理办法的规定；
②资金的拨付是否有完整的审批程序和手续；
③项目的重大开支是否经过评估认证。一项不符合扣一分，严重的此项完全不得分。</t>
  </si>
  <si>
    <t xml:space="preserve"> A.2017年该项目共完成投资1987万元，累计完成投资10397万元，占总投资1.447亿的71.85%。其中，客运渡船更新及码头管理房已全部投入使用，三个海岛15辆电动公交车投放。
　</t>
  </si>
  <si>
    <t>如：
①是否在一定时期内完成年度计划。
②项目实际产出数与计划产出数基本一致。
一项不符合扣一分，严重的此项完全不得分。</t>
  </si>
  <si>
    <t>如：是否在一定时期内实际达到既定质量标准的产品或服务数量。不符合扣一分，严重的此项完全不得分。</t>
  </si>
  <si>
    <t>.本项目是一项“为民办实事”的公益项目，不以盈利为目的。</t>
  </si>
  <si>
    <t>如：项目实施是否对经济发展带来直接或间接的影响。不符合扣一分，严重的此项完全不得分。</t>
  </si>
  <si>
    <t xml:space="preserve">保障岛内交通顺利进行，项目完成后，将实现海陆联运，具有良好的社会效益。 </t>
  </si>
  <si>
    <t>如：项目实施是否对社会发展带来直接或间接的影响。不符合扣一分，严重的此项完全不得分。</t>
  </si>
  <si>
    <t>如：项目实施是否对生态环境带来直接或间接的影响。不符合扣一分，严重的此项完全不得分。</t>
  </si>
  <si>
    <t>有助于改变平潭对外陆岛交通拥堵的局面，有助于形成更加完善的对外交通路网，加强项目沿线区域沟通联系。</t>
  </si>
  <si>
    <t>如：项目的后续运行是否产生成效或可持续发展情况。不符合扣一分，严重的此项完全不得分。</t>
  </si>
  <si>
    <t>基本达到让服务对象满意。</t>
  </si>
  <si>
    <t>如：社会公众或服务对象对项目实施效果的满意程度。不符合扣一分，严重的此项完全不得分。</t>
  </si>
  <si>
    <t xml:space="preserve">评价
等级 </t>
  </si>
  <si>
    <t>2017年平潭综合实验区中湖养护应急基地项目绩效自评表</t>
  </si>
  <si>
    <r>
      <rPr>
        <sz val="11"/>
        <rFont val="宋体"/>
        <charset val="134"/>
      </rPr>
      <t>平潭综合实验区管委会关于调整2017年区重点项目的通知（岚综管综</t>
    </r>
    <r>
      <rPr>
        <sz val="11"/>
        <rFont val="楷体"/>
        <charset val="134"/>
      </rPr>
      <t>〔</t>
    </r>
    <r>
      <rPr>
        <sz val="11"/>
        <rFont val="宋体"/>
        <charset val="134"/>
      </rPr>
      <t>2017</t>
    </r>
    <r>
      <rPr>
        <sz val="11"/>
        <rFont val="楷体"/>
        <charset val="134"/>
      </rPr>
      <t>〕</t>
    </r>
    <r>
      <rPr>
        <sz val="11"/>
        <rFont val="宋体"/>
        <charset val="134"/>
      </rPr>
      <t>129号)、平潭综合实验区行政审批局（岚综实项目审批[2017]81）。</t>
    </r>
  </si>
  <si>
    <t xml:space="preserve">完成：2019年6月 </t>
  </si>
  <si>
    <t>2017年预算绩效目标批复的函</t>
  </si>
  <si>
    <t>不超过1000</t>
  </si>
  <si>
    <t>完成地基建设</t>
  </si>
  <si>
    <t>9430.16平方米</t>
  </si>
  <si>
    <t>符合行业标准</t>
  </si>
  <si>
    <t>通过验收</t>
  </si>
  <si>
    <t>验收合格</t>
  </si>
  <si>
    <t>承担附近公路日常养护任务、增强公路应急抢险能力</t>
  </si>
  <si>
    <t>未完成</t>
  </si>
  <si>
    <t>道路环境改善</t>
  </si>
  <si>
    <t>改变道路环境</t>
  </si>
  <si>
    <t>道路环境明显改善</t>
  </si>
  <si>
    <t>群众出行安全便捷、身心愉悦</t>
  </si>
  <si>
    <t>岚财金（2016）262号</t>
  </si>
  <si>
    <t>闽路规划[2016]273号及[2018]28号</t>
  </si>
  <si>
    <t>2018年平潭综合实验公路管理局中湖养护应急基地设计费、编制费、审查费等</t>
  </si>
  <si>
    <r>
      <rPr>
        <sz val="9"/>
        <rFont val="宋体"/>
        <charset val="134"/>
      </rPr>
      <t>①是否与项目年度任务数或计划数相对应；
②是否与预算确定的项目投资额或资金量相匹配。</t>
    </r>
    <r>
      <rPr>
        <sz val="9"/>
        <rFont val="宋体"/>
        <charset val="134"/>
      </rPr>
      <t xml:space="preserve"> </t>
    </r>
    <r>
      <rPr>
        <sz val="9"/>
        <rFont val="宋体"/>
        <charset val="134"/>
      </rPr>
      <t>一项不符合扣一分，严重的此项完全不得分。</t>
    </r>
  </si>
  <si>
    <t>财务管理制度健全的，得8分；未建立管理制度仅执行国家或省有关规定的，得4分；未建立、未执行有关管理制度的，得0分。</t>
  </si>
  <si>
    <t>财政资金使用率为100%的，得8分；80%≤使用率&lt;100%的，得4分；60%≤使用率&lt;80%的，得3分；30%≤使用率&lt;60%的，得1分；使用率30%以下，得0分。</t>
  </si>
  <si>
    <t>道路建设长度</t>
  </si>
  <si>
    <r>
      <rPr>
        <sz val="10"/>
        <rFont val="宋体"/>
        <charset val="134"/>
      </rPr>
      <t>主管部门核实的计划完成率*3分+评价组实地核实的计划完成率*3分</t>
    </r>
    <r>
      <rPr>
        <b/>
        <sz val="12"/>
        <color indexed="8"/>
        <rFont val="宋体"/>
        <charset val="134"/>
      </rPr>
      <t>。</t>
    </r>
  </si>
  <si>
    <t>按规定验收通过的，得8分；验收不通过的，80%≤工程进度&lt;100%的，得6分，50%≤工程进度&lt;80%的，得4分，工程进度50%以下的，得0分。</t>
  </si>
  <si>
    <t>提高出行的安全、便捷</t>
  </si>
  <si>
    <r>
      <rPr>
        <sz val="10"/>
        <rFont val="宋体"/>
        <charset val="134"/>
      </rPr>
      <t>满意度90%以上，得</t>
    </r>
    <r>
      <rPr>
        <sz val="10"/>
        <rFont val="宋体"/>
        <charset val="134"/>
      </rPr>
      <t>8</t>
    </r>
    <r>
      <rPr>
        <sz val="10"/>
        <rFont val="宋体"/>
        <charset val="134"/>
      </rPr>
      <t>分；满意度80%以上，得4分；满意度低于80%不得分。</t>
    </r>
  </si>
  <si>
    <t>改善成效良好的，得8分；改善成效一般的，得4分；基本未改善的，得0分。</t>
  </si>
  <si>
    <t>非常满意得6分，较满意得3分，基本满意得2分，不满意不得分。</t>
  </si>
  <si>
    <t xml:space="preserve">□优秀（S≧90）      √□良好（90﹥S≧75）     □合格（75﹥S≧60）      □不合格（60&lt;S）  </t>
  </si>
  <si>
    <t>生活垃圾焚烧发电厂进场道路及给排水工程项目绩效自评表</t>
  </si>
  <si>
    <t>岚综实经发发改【2013】57号      平潭综合实验区经济发展局关于平潭生活垃圾焚烧发电厂进场道路及给排水工程项目建议书的批复，                                                                                                                                                        岚综实经发发改【2014】177号     平潭综合实验区经济发展局关于平潭生活垃圾焚烧发电厂进场道路及给排水工程项目可行性研究报告的批复，                                                                                                                                     岚综实经发发改【2015】21号      平潭综合实验区经济发展局关于平潭生活垃圾焚烧发电厂进场道路及给排水工程项目初步设计及概算的批复                                                                                                                                        岚交建综合【2017】2号           平潭综合实验区交通与建设局关于平潭生活垃圾焚烧发电厂电力接入系统有关事宜的请示</t>
  </si>
  <si>
    <t>2120399其他城乡社区公共设施支出</t>
  </si>
  <si>
    <t>完成进场道路2.805公里，</t>
  </si>
  <si>
    <t>联络新建（10KV电力接入系统）工程</t>
  </si>
  <si>
    <t>其他</t>
  </si>
  <si>
    <t>有助于完善垃圾焚烧发电厂配套工程，构建城市收运体系，加快垃圾焚烧发电厂的建设</t>
  </si>
  <si>
    <t>完善垃圾焚烧发电厂的收运体系</t>
  </si>
  <si>
    <t>实现生活垃圾无害化、减量化、资源化</t>
  </si>
  <si>
    <t>确保城市垃圾与发电厂共和谐，促进可持续发展</t>
  </si>
  <si>
    <t>城市垃圾与发电厂共和谐，促进可持续发展</t>
  </si>
  <si>
    <t>达到城市垃圾与发电厂共和谐，促进可持续发展</t>
  </si>
  <si>
    <t>改善人居环境</t>
  </si>
  <si>
    <t>服务对象问卷调查表</t>
  </si>
  <si>
    <t>全长道路2.805公里</t>
  </si>
  <si>
    <t>道路公里数</t>
  </si>
  <si>
    <t>是否按计划完成项目进度，完成得满分，进度缓慢扣一分</t>
  </si>
  <si>
    <t>是否符合环境质量标准，按优、良、中、差分别得6、5、4、3分</t>
  </si>
  <si>
    <t>是否产生直接或间接的经济利益，直接产生得6分，间接产生得3分</t>
  </si>
  <si>
    <t>是否产生社会综合效益，满意度98%以上得6分，90%-98%得5分，85%-90%得4分，85%以下不得分</t>
  </si>
  <si>
    <t>是否对环境产生积极或消极影响，积极得满分，消极扣一分</t>
  </si>
  <si>
    <t xml:space="preserve">■优秀（S≧90）     □ 良好（90﹥S≧75）     □合格（75﹥S≧60）      □不合格（60&lt;S）  </t>
  </si>
</sst>
</file>

<file path=xl/styles.xml><?xml version="1.0" encoding="utf-8"?>
<styleSheet xmlns="http://schemas.openxmlformats.org/spreadsheetml/2006/main">
  <numFmts count="7">
    <numFmt numFmtId="44" formatCode="_ &quot;￥&quot;* #,##0.00_ ;_ &quot;￥&quot;* \-#,##0.00_ ;_ &quot;￥&quot;* &quot;-&quot;??_ ;_ @_ "/>
    <numFmt numFmtId="176" formatCode="0.00_ "/>
    <numFmt numFmtId="177" formatCode="#,##0_ "/>
    <numFmt numFmtId="42" formatCode="_ &quot;￥&quot;* #,##0_ ;_ &quot;￥&quot;* \-#,##0_ ;_ &quot;￥&quot;* &quot;-&quot;_ ;_ @_ "/>
    <numFmt numFmtId="41" formatCode="_ * #,##0_ ;_ * \-#,##0_ ;_ * &quot;-&quot;_ ;_ @_ "/>
    <numFmt numFmtId="178" formatCode="_ * #,##0_ ;_ * \-#,##0_ ;_ * &quot;-&quot;??_ ;_ @_ "/>
    <numFmt numFmtId="43" formatCode="_ * #,##0.00_ ;_ * \-#,##0.00_ ;_ * &quot;-&quot;??_ ;_ @_ "/>
  </numFmts>
  <fonts count="71">
    <font>
      <sz val="11"/>
      <color theme="1"/>
      <name val="宋体"/>
      <charset val="134"/>
      <scheme val="minor"/>
    </font>
    <font>
      <sz val="12"/>
      <name val="宋体"/>
      <charset val="134"/>
    </font>
    <font>
      <sz val="10"/>
      <name val="宋体"/>
      <charset val="134"/>
    </font>
    <font>
      <sz val="17"/>
      <name val="仿宋"/>
      <charset val="134"/>
    </font>
    <font>
      <sz val="14"/>
      <name val="仿宋"/>
      <charset val="134"/>
    </font>
    <font>
      <b/>
      <sz val="22"/>
      <name val="宋体"/>
      <charset val="134"/>
    </font>
    <font>
      <b/>
      <sz val="14"/>
      <name val="宋体"/>
      <charset val="134"/>
    </font>
    <font>
      <b/>
      <sz val="12"/>
      <name val="宋体"/>
      <charset val="134"/>
    </font>
    <font>
      <b/>
      <sz val="8"/>
      <name val="宋体"/>
      <charset val="134"/>
    </font>
    <font>
      <sz val="11"/>
      <name val="宋体"/>
      <charset val="134"/>
    </font>
    <font>
      <b/>
      <sz val="10"/>
      <name val="宋体"/>
      <charset val="134"/>
    </font>
    <font>
      <sz val="9"/>
      <name val="宋体"/>
      <charset val="134"/>
    </font>
    <font>
      <sz val="9"/>
      <color indexed="8"/>
      <name val="宋体"/>
      <charset val="134"/>
      <scheme val="minor"/>
    </font>
    <font>
      <sz val="9"/>
      <name val="宋体"/>
      <charset val="134"/>
      <scheme val="minor"/>
    </font>
    <font>
      <sz val="9"/>
      <color rgb="FF000000"/>
      <name val="Simsun"/>
      <charset val="134"/>
    </font>
    <font>
      <b/>
      <sz val="9"/>
      <name val="宋体"/>
      <charset val="134"/>
    </font>
    <font>
      <sz val="8"/>
      <name val="宋体"/>
      <charset val="134"/>
    </font>
    <font>
      <sz val="10"/>
      <color indexed="10"/>
      <name val="宋体"/>
      <charset val="134"/>
    </font>
    <font>
      <sz val="6"/>
      <name val="宋体"/>
      <charset val="134"/>
    </font>
    <font>
      <sz val="10"/>
      <color rgb="FFFF0000"/>
      <name val="宋体"/>
      <charset val="134"/>
    </font>
    <font>
      <b/>
      <sz val="11"/>
      <name val="宋体"/>
      <charset val="134"/>
    </font>
    <font>
      <sz val="12"/>
      <color theme="1"/>
      <name val="宋体"/>
      <charset val="134"/>
    </font>
    <font>
      <sz val="10"/>
      <color theme="1"/>
      <name val="宋体"/>
      <charset val="134"/>
    </font>
    <font>
      <sz val="17"/>
      <color theme="1"/>
      <name val="仿宋"/>
      <charset val="134"/>
    </font>
    <font>
      <sz val="14"/>
      <color theme="1"/>
      <name val="仿宋"/>
      <charset val="134"/>
    </font>
    <font>
      <b/>
      <sz val="22"/>
      <color theme="1"/>
      <name val="宋体"/>
      <charset val="134"/>
    </font>
    <font>
      <b/>
      <sz val="14"/>
      <color theme="1"/>
      <name val="宋体"/>
      <charset val="134"/>
    </font>
    <font>
      <b/>
      <sz val="12"/>
      <color theme="1"/>
      <name val="宋体"/>
      <charset val="134"/>
    </font>
    <font>
      <b/>
      <sz val="11"/>
      <color theme="1"/>
      <name val="宋体"/>
      <charset val="134"/>
    </font>
    <font>
      <sz val="11"/>
      <color theme="1"/>
      <name val="宋体"/>
      <charset val="134"/>
    </font>
    <font>
      <b/>
      <sz val="10"/>
      <color theme="1"/>
      <name val="宋体"/>
      <charset val="134"/>
    </font>
    <font>
      <sz val="10"/>
      <color theme="1"/>
      <name val="Wingdings 2"/>
      <charset val="134"/>
    </font>
    <font>
      <b/>
      <sz val="9"/>
      <color theme="1"/>
      <name val="宋体"/>
      <charset val="134"/>
    </font>
    <font>
      <sz val="9"/>
      <color theme="1"/>
      <name val="宋体"/>
      <charset val="134"/>
    </font>
    <font>
      <b/>
      <sz val="11"/>
      <color rgb="FFFF0000"/>
      <name val="宋体"/>
      <charset val="134"/>
    </font>
    <font>
      <sz val="12"/>
      <color rgb="FFFF0000"/>
      <name val="宋体"/>
      <charset val="134"/>
    </font>
    <font>
      <b/>
      <sz val="12"/>
      <color rgb="FFFF0000"/>
      <name val="宋体"/>
      <charset val="134"/>
    </font>
    <font>
      <b/>
      <sz val="10"/>
      <color rgb="FFFF0000"/>
      <name val="宋体"/>
      <charset val="134"/>
    </font>
    <font>
      <sz val="10"/>
      <name val="Wingdings"/>
      <charset val="2"/>
    </font>
    <font>
      <b/>
      <sz val="12"/>
      <color theme="1"/>
      <name val="Times New Roman"/>
      <charset val="0"/>
    </font>
    <font>
      <b/>
      <sz val="10"/>
      <color theme="1"/>
      <name val="Times New Roman"/>
      <charset val="0"/>
    </font>
    <font>
      <sz val="9"/>
      <color indexed="8"/>
      <name val="宋体"/>
      <charset val="134"/>
    </font>
    <font>
      <b/>
      <sz val="11"/>
      <color rgb="FFFFFFFF"/>
      <name val="宋体"/>
      <charset val="0"/>
      <scheme val="minor"/>
    </font>
    <font>
      <b/>
      <sz val="13"/>
      <color theme="3"/>
      <name val="宋体"/>
      <charset val="134"/>
      <scheme val="minor"/>
    </font>
    <font>
      <sz val="11"/>
      <color rgb="FFFF000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theme="0"/>
      <name val="宋体"/>
      <charset val="0"/>
      <scheme val="minor"/>
    </font>
    <font>
      <b/>
      <sz val="11"/>
      <color rgb="FF3F3F3F"/>
      <name val="宋体"/>
      <charset val="0"/>
      <scheme val="minor"/>
    </font>
    <font>
      <b/>
      <sz val="15"/>
      <color theme="3"/>
      <name val="宋体"/>
      <charset val="134"/>
      <scheme val="minor"/>
    </font>
    <font>
      <b/>
      <sz val="11"/>
      <color theme="1"/>
      <name val="宋体"/>
      <charset val="0"/>
      <scheme val="minor"/>
    </font>
    <font>
      <b/>
      <sz val="18"/>
      <color theme="3"/>
      <name val="宋体"/>
      <charset val="134"/>
      <scheme val="minor"/>
    </font>
    <font>
      <u/>
      <sz val="11"/>
      <color rgb="FF0000FF"/>
      <name val="宋体"/>
      <charset val="0"/>
      <scheme val="minor"/>
    </font>
    <font>
      <sz val="11"/>
      <color rgb="FF9C6500"/>
      <name val="宋体"/>
      <charset val="0"/>
      <scheme val="minor"/>
    </font>
    <font>
      <sz val="11"/>
      <color rgb="FF3F3F76"/>
      <name val="宋体"/>
      <charset val="0"/>
      <scheme val="minor"/>
    </font>
    <font>
      <sz val="11"/>
      <color theme="1"/>
      <name val="宋体"/>
      <charset val="0"/>
      <scheme val="minor"/>
    </font>
    <font>
      <b/>
      <sz val="11"/>
      <color rgb="FFFA7D00"/>
      <name val="宋体"/>
      <charset val="0"/>
      <scheme val="minor"/>
    </font>
    <font>
      <sz val="11"/>
      <color rgb="FFFA7D00"/>
      <name val="宋体"/>
      <charset val="0"/>
      <scheme val="minor"/>
    </font>
    <font>
      <sz val="11"/>
      <color rgb="FF006100"/>
      <name val="宋体"/>
      <charset val="0"/>
      <scheme val="minor"/>
    </font>
    <font>
      <u/>
      <sz val="10"/>
      <name val="宋体"/>
      <charset val="134"/>
    </font>
    <font>
      <sz val="10"/>
      <name val="Times New Roman"/>
      <charset val="0"/>
    </font>
    <font>
      <sz val="11"/>
      <name val="楷体"/>
      <charset val="134"/>
    </font>
    <font>
      <sz val="10"/>
      <name val="Times New Roman"/>
      <charset val="134"/>
    </font>
    <font>
      <b/>
      <sz val="12"/>
      <color indexed="8"/>
      <name val="宋体"/>
      <charset val="134"/>
    </font>
    <font>
      <sz val="10"/>
      <color theme="1"/>
      <name val="Wingdings 2"/>
      <charset val="2"/>
    </font>
    <font>
      <u/>
      <sz val="10"/>
      <color theme="1"/>
      <name val="宋体"/>
      <charset val="134"/>
    </font>
    <font>
      <sz val="10"/>
      <color theme="1"/>
      <name val="Times New Roman"/>
      <charset val="134"/>
    </font>
    <font>
      <u/>
      <sz val="10"/>
      <color indexed="8"/>
      <name val="宋体"/>
      <charset val="134"/>
    </font>
    <font>
      <sz val="10"/>
      <color indexed="8"/>
      <name val="Times New Roman"/>
      <charset val="0"/>
    </font>
  </fonts>
  <fills count="34">
    <fill>
      <patternFill patternType="none"/>
    </fill>
    <fill>
      <patternFill patternType="gray125"/>
    </fill>
    <fill>
      <patternFill patternType="solid">
        <fgColor indexed="9"/>
        <bgColor indexed="64"/>
      </patternFill>
    </fill>
    <fill>
      <patternFill patternType="solid">
        <fgColor rgb="FFA5A5A5"/>
        <bgColor indexed="64"/>
      </patternFill>
    </fill>
    <fill>
      <patternFill patternType="solid">
        <fgColor rgb="FFFFC7CE"/>
        <bgColor indexed="64"/>
      </patternFill>
    </fill>
    <fill>
      <patternFill patternType="solid">
        <fgColor theme="4"/>
        <bgColor indexed="64"/>
      </patternFill>
    </fill>
    <fill>
      <patternFill patternType="solid">
        <fgColor rgb="FFF2F2F2"/>
        <bgColor indexed="64"/>
      </patternFill>
    </fill>
    <fill>
      <patternFill patternType="solid">
        <fgColor rgb="FFFFFFCC"/>
        <bgColor indexed="64"/>
      </patternFill>
    </fill>
    <fill>
      <patternFill patternType="solid">
        <fgColor rgb="FFFFEB9C"/>
        <bgColor indexed="64"/>
      </patternFill>
    </fill>
    <fill>
      <patternFill patternType="solid">
        <fgColor rgb="FFFFCC99"/>
        <bgColor indexed="64"/>
      </patternFill>
    </fill>
    <fill>
      <patternFill patternType="solid">
        <fgColor theme="9" tint="0.599993896298105"/>
        <bgColor indexed="64"/>
      </patternFill>
    </fill>
    <fill>
      <patternFill patternType="solid">
        <fgColor theme="6" tint="0.599993896298105"/>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4" tint="0.799981688894314"/>
        <bgColor indexed="64"/>
      </patternFill>
    </fill>
    <fill>
      <patternFill patternType="solid">
        <fgColor theme="8"/>
        <bgColor indexed="64"/>
      </patternFill>
    </fill>
    <fill>
      <patternFill patternType="solid">
        <fgColor theme="7"/>
        <bgColor indexed="64"/>
      </patternFill>
    </fill>
    <fill>
      <patternFill patternType="solid">
        <fgColor theme="5"/>
        <bgColor indexed="64"/>
      </patternFill>
    </fill>
    <fill>
      <patternFill patternType="solid">
        <fgColor rgb="FFC6EFCE"/>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theme="9"/>
        <bgColor indexed="64"/>
      </patternFill>
    </fill>
    <fill>
      <patternFill patternType="solid">
        <fgColor theme="6"/>
        <bgColor indexed="64"/>
      </patternFill>
    </fill>
  </fills>
  <borders count="70">
    <border>
      <left/>
      <right/>
      <top/>
      <bottom/>
      <diagonal/>
    </border>
    <border>
      <left/>
      <right/>
      <top/>
      <bottom style="medium">
        <color auto="1"/>
      </bottom>
      <diagonal/>
    </border>
    <border>
      <left style="medium">
        <color auto="1"/>
      </left>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top/>
      <bottom/>
      <diagonal/>
    </border>
    <border>
      <left style="medium">
        <color auto="1"/>
      </left>
      <right/>
      <top style="thin">
        <color auto="1"/>
      </top>
      <bottom/>
      <diagonal/>
    </border>
    <border>
      <left/>
      <right/>
      <top style="thin">
        <color auto="1"/>
      </top>
      <bottom/>
      <diagonal/>
    </border>
    <border>
      <left/>
      <right style="thin">
        <color auto="1"/>
      </right>
      <top style="thin">
        <color auto="1"/>
      </top>
      <bottom/>
      <diagonal/>
    </border>
    <border>
      <left style="medium">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style="thin">
        <color auto="1"/>
      </right>
      <top/>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medium">
        <color auto="1"/>
      </top>
      <bottom style="thin">
        <color auto="1"/>
      </bottom>
      <diagonal/>
    </border>
    <border>
      <left style="thin">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auto="1"/>
      </left>
      <right style="thin">
        <color auto="1"/>
      </right>
      <top style="thin">
        <color auto="1"/>
      </top>
      <bottom/>
      <diagonal/>
    </border>
    <border>
      <left style="medium">
        <color auto="1"/>
      </left>
      <right/>
      <top style="thin">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thin">
        <color auto="1"/>
      </left>
      <right/>
      <top style="thin">
        <color auto="1"/>
      </top>
      <bottom/>
      <diagonal/>
    </border>
    <border>
      <left/>
      <right style="thin">
        <color auto="1"/>
      </right>
      <top/>
      <bottom style="medium">
        <color auto="1"/>
      </bottom>
      <diagonal/>
    </border>
    <border>
      <left/>
      <right/>
      <top style="medium">
        <color auto="1"/>
      </top>
      <bottom style="thin">
        <color auto="1"/>
      </bottom>
      <diagonal/>
    </border>
    <border>
      <left style="medium">
        <color auto="1"/>
      </left>
      <right style="medium">
        <color auto="1"/>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style="medium">
        <color auto="1"/>
      </left>
      <right style="thin">
        <color auto="1"/>
      </right>
      <top style="medium">
        <color auto="1"/>
      </top>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thin">
        <color auto="1"/>
      </right>
      <top/>
      <bottom style="medium">
        <color auto="1"/>
      </bottom>
      <diagonal/>
    </border>
    <border>
      <left/>
      <right style="medium">
        <color auto="1"/>
      </right>
      <top style="thin">
        <color auto="1"/>
      </top>
      <bottom style="medium">
        <color auto="1"/>
      </bottom>
      <diagonal/>
    </border>
    <border>
      <left style="thin">
        <color auto="1"/>
      </left>
      <right style="medium">
        <color auto="1"/>
      </right>
      <top style="medium">
        <color auto="1"/>
      </top>
      <bottom style="thin">
        <color auto="1"/>
      </bottom>
      <diagonal/>
    </border>
    <border>
      <left/>
      <right style="medium">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right style="medium">
        <color auto="1"/>
      </right>
      <top style="medium">
        <color auto="1"/>
      </top>
      <bottom style="thin">
        <color auto="1"/>
      </bottom>
      <diagonal/>
    </border>
    <border>
      <left/>
      <right style="medium">
        <color auto="1"/>
      </right>
      <top style="medium">
        <color auto="1"/>
      </top>
      <bottom/>
      <diagonal/>
    </border>
    <border>
      <left style="thin">
        <color auto="1"/>
      </left>
      <right/>
      <top/>
      <bottom style="medium">
        <color auto="1"/>
      </bottom>
      <diagonal/>
    </border>
    <border>
      <left/>
      <right style="medium">
        <color auto="1"/>
      </right>
      <top/>
      <bottom style="thin">
        <color auto="1"/>
      </bottom>
      <diagonal/>
    </border>
    <border>
      <left/>
      <right style="medium">
        <color auto="1"/>
      </right>
      <top/>
      <bottom/>
      <diagonal/>
    </border>
    <border>
      <left/>
      <right style="medium">
        <color auto="1"/>
      </right>
      <top/>
      <bottom style="medium">
        <color auto="1"/>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
      <left/>
      <right style="thin">
        <color auto="1"/>
      </right>
      <top style="thin">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diagonal/>
    </border>
    <border>
      <left/>
      <right style="medium">
        <color auto="1"/>
      </right>
      <top style="thin">
        <color auto="1"/>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57" fillId="13" borderId="0" applyNumberFormat="0" applyBorder="0" applyAlignment="0" applyProtection="0">
      <alignment vertical="center"/>
    </xf>
    <xf numFmtId="0" fontId="56" fillId="9" borderId="6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57" fillId="11" borderId="0" applyNumberFormat="0" applyBorder="0" applyAlignment="0" applyProtection="0">
      <alignment vertical="center"/>
    </xf>
    <xf numFmtId="0" fontId="48" fillId="4" borderId="0" applyNumberFormat="0" applyBorder="0" applyAlignment="0" applyProtection="0">
      <alignment vertical="center"/>
    </xf>
    <xf numFmtId="43" fontId="0" fillId="0" borderId="0" applyFont="0" applyFill="0" applyBorder="0" applyAlignment="0" applyProtection="0">
      <alignment vertical="center"/>
    </xf>
    <xf numFmtId="0" fontId="49" fillId="17" borderId="0" applyNumberFormat="0" applyBorder="0" applyAlignment="0" applyProtection="0">
      <alignment vertical="center"/>
    </xf>
    <xf numFmtId="0" fontId="54" fillId="0" borderId="0" applyNumberFormat="0" applyFill="0" applyBorder="0" applyAlignment="0" applyProtection="0">
      <alignment vertical="center"/>
    </xf>
    <xf numFmtId="9"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0" fillId="7" borderId="65" applyNumberFormat="0" applyFont="0" applyAlignment="0" applyProtection="0">
      <alignment vertical="center"/>
    </xf>
    <xf numFmtId="0" fontId="49" fillId="19" borderId="0" applyNumberFormat="0" applyBorder="0" applyAlignment="0" applyProtection="0">
      <alignment vertical="center"/>
    </xf>
    <xf numFmtId="0" fontId="46"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51" fillId="0" borderId="63" applyNumberFormat="0" applyFill="0" applyAlignment="0" applyProtection="0">
      <alignment vertical="center"/>
    </xf>
    <xf numFmtId="0" fontId="43" fillId="0" borderId="63" applyNumberFormat="0" applyFill="0" applyAlignment="0" applyProtection="0">
      <alignment vertical="center"/>
    </xf>
    <xf numFmtId="0" fontId="49" fillId="16" borderId="0" applyNumberFormat="0" applyBorder="0" applyAlignment="0" applyProtection="0">
      <alignment vertical="center"/>
    </xf>
    <xf numFmtId="0" fontId="46" fillId="0" borderId="67" applyNumberFormat="0" applyFill="0" applyAlignment="0" applyProtection="0">
      <alignment vertical="center"/>
    </xf>
    <xf numFmtId="0" fontId="49" fillId="15" borderId="0" applyNumberFormat="0" applyBorder="0" applyAlignment="0" applyProtection="0">
      <alignment vertical="center"/>
    </xf>
    <xf numFmtId="0" fontId="50" fillId="6" borderId="64" applyNumberFormat="0" applyAlignment="0" applyProtection="0">
      <alignment vertical="center"/>
    </xf>
    <xf numFmtId="0" fontId="58" fillId="6" borderId="68" applyNumberFormat="0" applyAlignment="0" applyProtection="0">
      <alignment vertical="center"/>
    </xf>
    <xf numFmtId="0" fontId="42" fillId="3" borderId="62" applyNumberFormat="0" applyAlignment="0" applyProtection="0">
      <alignment vertical="center"/>
    </xf>
    <xf numFmtId="0" fontId="57" fillId="12" borderId="0" applyNumberFormat="0" applyBorder="0" applyAlignment="0" applyProtection="0">
      <alignment vertical="center"/>
    </xf>
    <xf numFmtId="0" fontId="49" fillId="23" borderId="0" applyNumberFormat="0" applyBorder="0" applyAlignment="0" applyProtection="0">
      <alignment vertical="center"/>
    </xf>
    <xf numFmtId="0" fontId="59" fillId="0" borderId="69" applyNumberFormat="0" applyFill="0" applyAlignment="0" applyProtection="0">
      <alignment vertical="center"/>
    </xf>
    <xf numFmtId="0" fontId="52" fillId="0" borderId="66" applyNumberFormat="0" applyFill="0" applyAlignment="0" applyProtection="0">
      <alignment vertical="center"/>
    </xf>
    <xf numFmtId="0" fontId="60" fillId="24" borderId="0" applyNumberFormat="0" applyBorder="0" applyAlignment="0" applyProtection="0">
      <alignment vertical="center"/>
    </xf>
    <xf numFmtId="0" fontId="55" fillId="8" borderId="0" applyNumberFormat="0" applyBorder="0" applyAlignment="0" applyProtection="0">
      <alignment vertical="center"/>
    </xf>
    <xf numFmtId="0" fontId="57" fillId="27" borderId="0" applyNumberFormat="0" applyBorder="0" applyAlignment="0" applyProtection="0">
      <alignment vertical="center"/>
    </xf>
    <xf numFmtId="0" fontId="49" fillId="5" borderId="0" applyNumberFormat="0" applyBorder="0" applyAlignment="0" applyProtection="0">
      <alignment vertical="center"/>
    </xf>
    <xf numFmtId="0" fontId="57" fillId="20" borderId="0" applyNumberFormat="0" applyBorder="0" applyAlignment="0" applyProtection="0">
      <alignment vertical="center"/>
    </xf>
    <xf numFmtId="0" fontId="57" fillId="31" borderId="0" applyNumberFormat="0" applyBorder="0" applyAlignment="0" applyProtection="0">
      <alignment vertical="center"/>
    </xf>
    <xf numFmtId="0" fontId="57" fillId="26" borderId="0" applyNumberFormat="0" applyBorder="0" applyAlignment="0" applyProtection="0">
      <alignment vertical="center"/>
    </xf>
    <xf numFmtId="0" fontId="57" fillId="30" borderId="0" applyNumberFormat="0" applyBorder="0" applyAlignment="0" applyProtection="0">
      <alignment vertical="center"/>
    </xf>
    <xf numFmtId="0" fontId="49" fillId="33" borderId="0" applyNumberFormat="0" applyBorder="0" applyAlignment="0" applyProtection="0">
      <alignment vertical="center"/>
    </xf>
    <xf numFmtId="0" fontId="49" fillId="22" borderId="0" applyNumberFormat="0" applyBorder="0" applyAlignment="0" applyProtection="0">
      <alignment vertical="center"/>
    </xf>
    <xf numFmtId="0" fontId="57" fillId="25" borderId="0" applyNumberFormat="0" applyBorder="0" applyAlignment="0" applyProtection="0">
      <alignment vertical="center"/>
    </xf>
    <xf numFmtId="0" fontId="57" fillId="29" borderId="0" applyNumberFormat="0" applyBorder="0" applyAlignment="0" applyProtection="0">
      <alignment vertical="center"/>
    </xf>
    <xf numFmtId="0" fontId="49" fillId="21" borderId="0" applyNumberFormat="0" applyBorder="0" applyAlignment="0" applyProtection="0">
      <alignment vertical="center"/>
    </xf>
    <xf numFmtId="0" fontId="57" fillId="28" borderId="0" applyNumberFormat="0" applyBorder="0" applyAlignment="0" applyProtection="0">
      <alignment vertical="center"/>
    </xf>
    <xf numFmtId="0" fontId="49" fillId="18" borderId="0" applyNumberFormat="0" applyBorder="0" applyAlignment="0" applyProtection="0">
      <alignment vertical="center"/>
    </xf>
    <xf numFmtId="0" fontId="49" fillId="32" borderId="0" applyNumberFormat="0" applyBorder="0" applyAlignment="0" applyProtection="0">
      <alignment vertical="center"/>
    </xf>
    <xf numFmtId="0" fontId="57" fillId="10" borderId="0" applyNumberFormat="0" applyBorder="0" applyAlignment="0" applyProtection="0">
      <alignment vertical="center"/>
    </xf>
    <xf numFmtId="0" fontId="49" fillId="14" borderId="0" applyNumberFormat="0" applyBorder="0" applyAlignment="0" applyProtection="0">
      <alignment vertical="center"/>
    </xf>
  </cellStyleXfs>
  <cellXfs count="613">
    <xf numFmtId="0" fontId="0" fillId="0" borderId="0" xfId="0">
      <alignment vertical="center"/>
    </xf>
    <xf numFmtId="0" fontId="1" fillId="0" borderId="0" xfId="0" applyFont="1" applyFill="1" applyAlignment="1">
      <alignment vertical="center"/>
    </xf>
    <xf numFmtId="0" fontId="2" fillId="0" borderId="0" xfId="0" applyFont="1" applyFill="1" applyAlignment="1">
      <alignment horizontal="center"/>
    </xf>
    <xf numFmtId="0" fontId="2" fillId="0" borderId="0" xfId="0" applyFont="1" applyFill="1" applyAlignment="1">
      <alignment vertical="center"/>
    </xf>
    <xf numFmtId="0" fontId="2" fillId="0" borderId="0" xfId="0" applyFont="1" applyFill="1" applyAlignment="1">
      <alignment horizontal="center" vertical="center" wrapText="1"/>
    </xf>
    <xf numFmtId="0" fontId="3" fillId="0" borderId="0" xfId="0" applyFont="1" applyFill="1" applyBorder="1" applyAlignment="1">
      <alignment horizontal="left" vertical="top" wrapText="1"/>
    </xf>
    <xf numFmtId="0" fontId="4" fillId="0" borderId="0" xfId="0" applyFont="1" applyFill="1" applyBorder="1" applyAlignment="1">
      <alignment vertical="top" wrapText="1"/>
    </xf>
    <xf numFmtId="0" fontId="5" fillId="0" borderId="1"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7" fillId="0" borderId="6" xfId="0" applyFont="1" applyFill="1" applyBorder="1" applyAlignment="1">
      <alignment horizontal="center" vertical="center" wrapText="1"/>
    </xf>
    <xf numFmtId="0" fontId="7" fillId="0" borderId="7" xfId="0" applyFont="1" applyFill="1" applyBorder="1" applyAlignment="1">
      <alignment horizontal="center" vertical="center" wrapText="1"/>
    </xf>
    <xf numFmtId="0" fontId="7" fillId="0" borderId="8" xfId="0" applyFont="1" applyFill="1" applyBorder="1" applyAlignment="1">
      <alignment horizontal="center" vertical="center" wrapText="1"/>
    </xf>
    <xf numFmtId="0" fontId="7" fillId="0" borderId="9" xfId="0" applyFont="1" applyFill="1" applyBorder="1" applyAlignment="1">
      <alignment horizontal="center" vertical="center" wrapText="1"/>
    </xf>
    <xf numFmtId="0" fontId="7" fillId="0" borderId="10" xfId="0" applyFont="1" applyFill="1" applyBorder="1" applyAlignment="1">
      <alignment horizontal="center" vertical="center" wrapText="1"/>
    </xf>
    <xf numFmtId="0" fontId="7" fillId="0" borderId="11" xfId="0" applyFont="1" applyFill="1" applyBorder="1" applyAlignment="1">
      <alignment horizontal="center" vertical="center" wrapText="1"/>
    </xf>
    <xf numFmtId="0" fontId="7" fillId="0" borderId="12" xfId="0" applyFont="1" applyFill="1" applyBorder="1" applyAlignment="1">
      <alignment horizontal="center" vertical="center" wrapText="1"/>
    </xf>
    <xf numFmtId="0" fontId="7" fillId="0" borderId="13" xfId="0" applyFont="1" applyFill="1" applyBorder="1" applyAlignment="1">
      <alignment horizontal="center" vertical="center" wrapText="1"/>
    </xf>
    <xf numFmtId="0" fontId="7" fillId="0" borderId="14" xfId="0" applyFont="1" applyFill="1" applyBorder="1" applyAlignment="1">
      <alignment horizontal="center" vertical="center" wrapText="1"/>
    </xf>
    <xf numFmtId="0" fontId="7" fillId="0" borderId="15" xfId="0" applyFont="1" applyFill="1" applyBorder="1" applyAlignment="1">
      <alignment horizontal="center" vertical="center" wrapText="1"/>
    </xf>
    <xf numFmtId="0" fontId="7" fillId="0" borderId="16" xfId="0" applyFont="1" applyFill="1" applyBorder="1" applyAlignment="1">
      <alignment horizontal="center" vertical="center" wrapText="1"/>
    </xf>
    <xf numFmtId="0" fontId="7" fillId="0" borderId="17" xfId="0" applyFont="1" applyFill="1" applyBorder="1" applyAlignment="1">
      <alignment horizontal="center" vertical="center" wrapText="1"/>
    </xf>
    <xf numFmtId="0" fontId="7" fillId="0" borderId="18" xfId="0" applyFont="1" applyFill="1" applyBorder="1" applyAlignment="1">
      <alignment horizontal="center" vertical="center" wrapText="1"/>
    </xf>
    <xf numFmtId="0" fontId="7" fillId="0" borderId="19" xfId="0" applyFont="1" applyFill="1" applyBorder="1" applyAlignment="1">
      <alignment horizontal="center" vertical="center" wrapText="1"/>
    </xf>
    <xf numFmtId="0" fontId="7" fillId="0" borderId="20" xfId="0" applyFont="1" applyFill="1" applyBorder="1" applyAlignment="1">
      <alignment horizontal="left" vertical="center" wrapText="1"/>
    </xf>
    <xf numFmtId="0" fontId="7" fillId="0" borderId="16" xfId="0" applyFont="1" applyFill="1" applyBorder="1" applyAlignment="1">
      <alignment horizontal="left" vertical="center" wrapText="1"/>
    </xf>
    <xf numFmtId="0" fontId="6" fillId="0" borderId="21" xfId="0" applyFont="1" applyFill="1" applyBorder="1" applyAlignment="1">
      <alignment horizontal="center" vertical="center" wrapText="1"/>
    </xf>
    <xf numFmtId="0" fontId="7" fillId="0" borderId="22" xfId="0" applyFont="1" applyFill="1" applyBorder="1" applyAlignment="1">
      <alignment horizontal="left" vertical="center" wrapText="1"/>
    </xf>
    <xf numFmtId="0" fontId="7" fillId="0" borderId="23" xfId="0" applyFont="1" applyFill="1" applyBorder="1" applyAlignment="1">
      <alignment horizontal="left" vertical="center" wrapText="1"/>
    </xf>
    <xf numFmtId="0" fontId="6" fillId="0" borderId="24" xfId="0" applyFont="1" applyFill="1" applyBorder="1" applyAlignment="1">
      <alignment horizontal="center" vertical="center" wrapText="1"/>
    </xf>
    <xf numFmtId="0" fontId="9" fillId="0" borderId="4" xfId="0" applyFont="1" applyFill="1" applyBorder="1" applyAlignment="1">
      <alignment horizontal="center" vertical="center" wrapText="1"/>
    </xf>
    <xf numFmtId="0" fontId="2" fillId="0" borderId="25" xfId="0" applyFont="1" applyFill="1" applyBorder="1" applyAlignment="1">
      <alignment horizontal="center" vertical="center" wrapText="1"/>
    </xf>
    <xf numFmtId="0" fontId="2" fillId="0" borderId="26" xfId="0" applyFont="1" applyFill="1" applyBorder="1" applyAlignment="1">
      <alignment horizontal="center" vertical="center" wrapText="1"/>
    </xf>
    <xf numFmtId="0" fontId="2" fillId="0" borderId="27"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9" fillId="0" borderId="16" xfId="0" applyFont="1" applyFill="1" applyBorder="1" applyAlignment="1">
      <alignment horizontal="center" vertical="center" wrapText="1"/>
    </xf>
    <xf numFmtId="0" fontId="2" fillId="0" borderId="28"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29" xfId="0" applyFont="1" applyFill="1" applyBorder="1" applyAlignment="1">
      <alignment horizontal="center" vertical="center" wrapText="1"/>
    </xf>
    <xf numFmtId="0" fontId="6" fillId="0" borderId="12" xfId="0" applyFont="1" applyFill="1" applyBorder="1" applyAlignment="1">
      <alignment horizontal="center" vertical="center" wrapText="1"/>
    </xf>
    <xf numFmtId="0" fontId="2" fillId="0" borderId="30" xfId="0" applyFont="1" applyFill="1" applyBorder="1" applyAlignment="1">
      <alignment horizontal="center" vertical="center" wrapText="1"/>
    </xf>
    <xf numFmtId="0" fontId="2" fillId="0" borderId="10"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1" fillId="0" borderId="16" xfId="0" applyFont="1" applyFill="1" applyBorder="1" applyAlignment="1">
      <alignment horizontal="center" vertical="center" wrapText="1"/>
    </xf>
    <xf numFmtId="0" fontId="9" fillId="0" borderId="18" xfId="0" applyFont="1" applyFill="1" applyBorder="1" applyAlignment="1">
      <alignment horizontal="center" vertical="center" wrapText="1"/>
    </xf>
    <xf numFmtId="0" fontId="9" fillId="0" borderId="13" xfId="0" applyFont="1" applyFill="1" applyBorder="1" applyAlignment="1">
      <alignment horizontal="center" vertical="center" wrapText="1"/>
    </xf>
    <xf numFmtId="0" fontId="9" fillId="0" borderId="14" xfId="0" applyFont="1" applyFill="1" applyBorder="1" applyAlignment="1">
      <alignment horizontal="center" vertical="center" wrapText="1"/>
    </xf>
    <xf numFmtId="0" fontId="2" fillId="0" borderId="16" xfId="0" applyFont="1" applyFill="1" applyBorder="1" applyAlignment="1">
      <alignment horizontal="left" vertical="center" wrapText="1"/>
    </xf>
    <xf numFmtId="0" fontId="2" fillId="0" borderId="18" xfId="0" applyFont="1" applyFill="1" applyBorder="1" applyAlignment="1">
      <alignment horizontal="left" vertical="center" wrapText="1"/>
    </xf>
    <xf numFmtId="0" fontId="2" fillId="0" borderId="13" xfId="0" applyFont="1" applyFill="1" applyBorder="1" applyAlignment="1">
      <alignment horizontal="left" vertical="center" wrapText="1"/>
    </xf>
    <xf numFmtId="0" fontId="2" fillId="0" borderId="14" xfId="0" applyFont="1" applyFill="1" applyBorder="1" applyAlignment="1">
      <alignment horizontal="left" vertical="center" wrapText="1"/>
    </xf>
    <xf numFmtId="0" fontId="2" fillId="0" borderId="16" xfId="0" applyFont="1" applyFill="1" applyBorder="1" applyAlignment="1">
      <alignment horizontal="center" vertical="center" wrapText="1"/>
    </xf>
    <xf numFmtId="0" fontId="2" fillId="0" borderId="16" xfId="0" applyFont="1" applyFill="1" applyBorder="1" applyAlignment="1">
      <alignment horizontal="center" vertical="center"/>
    </xf>
    <xf numFmtId="0" fontId="2" fillId="0" borderId="16" xfId="0" applyFont="1" applyFill="1" applyBorder="1" applyAlignment="1">
      <alignment vertical="center" wrapText="1"/>
    </xf>
    <xf numFmtId="0" fontId="2" fillId="2" borderId="16"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2" fillId="0" borderId="31" xfId="0" applyFont="1" applyFill="1" applyBorder="1" applyAlignment="1">
      <alignment horizontal="center" vertical="center"/>
    </xf>
    <xf numFmtId="0" fontId="6" fillId="0" borderId="32" xfId="0" applyFont="1" applyFill="1" applyBorder="1" applyAlignment="1">
      <alignment horizontal="center" vertical="center" wrapText="1"/>
    </xf>
    <xf numFmtId="0" fontId="2" fillId="0" borderId="23" xfId="0" applyFont="1" applyFill="1" applyBorder="1" applyAlignment="1">
      <alignment horizontal="center" vertical="center"/>
    </xf>
    <xf numFmtId="0" fontId="6" fillId="0" borderId="33" xfId="0" applyFont="1" applyFill="1" applyBorder="1" applyAlignment="1">
      <alignment horizontal="center" vertical="center" wrapText="1"/>
    </xf>
    <xf numFmtId="0" fontId="6" fillId="0" borderId="34" xfId="0" applyFont="1" applyFill="1" applyBorder="1" applyAlignment="1">
      <alignment horizontal="center" vertical="center" wrapText="1"/>
    </xf>
    <xf numFmtId="0" fontId="10" fillId="0" borderId="6" xfId="0" applyFont="1" applyFill="1" applyBorder="1" applyAlignment="1">
      <alignment horizontal="left" vertical="center" wrapText="1"/>
    </xf>
    <xf numFmtId="0" fontId="2" fillId="0" borderId="7" xfId="0" applyFont="1" applyFill="1" applyBorder="1" applyAlignment="1">
      <alignment horizontal="left" vertical="center" wrapText="1"/>
    </xf>
    <xf numFmtId="0" fontId="2" fillId="0" borderId="8" xfId="0" applyFont="1" applyFill="1" applyBorder="1" applyAlignment="1">
      <alignment horizontal="left" vertical="center" wrapText="1"/>
    </xf>
    <xf numFmtId="0" fontId="2" fillId="0" borderId="35" xfId="0" applyFont="1" applyFill="1" applyBorder="1" applyAlignment="1">
      <alignment horizontal="left" vertical="center" wrapText="1"/>
    </xf>
    <xf numFmtId="0" fontId="10" fillId="0" borderId="5" xfId="0" applyFont="1" applyFill="1" applyBorder="1" applyAlignment="1">
      <alignment horizontal="left" vertical="center" wrapText="1"/>
    </xf>
    <xf numFmtId="0" fontId="2" fillId="0" borderId="0" xfId="0" applyFont="1" applyFill="1" applyBorder="1" applyAlignment="1">
      <alignment horizontal="left" vertical="center" wrapText="1"/>
    </xf>
    <xf numFmtId="0" fontId="2" fillId="0" borderId="29" xfId="0" applyFont="1" applyFill="1" applyBorder="1" applyAlignment="1">
      <alignment horizontal="left" vertical="center" wrapText="1"/>
    </xf>
    <xf numFmtId="0" fontId="2" fillId="0" borderId="35"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10" fillId="0" borderId="2" xfId="0" applyFont="1" applyFill="1" applyBorder="1" applyAlignment="1">
      <alignment horizontal="left" vertical="center" wrapText="1"/>
    </xf>
    <xf numFmtId="0" fontId="2" fillId="0" borderId="26" xfId="0" applyFont="1" applyFill="1" applyBorder="1" applyAlignment="1">
      <alignment horizontal="left" vertical="center" wrapText="1"/>
    </xf>
    <xf numFmtId="0" fontId="2" fillId="0" borderId="27" xfId="0" applyFont="1" applyFill="1" applyBorder="1" applyAlignment="1">
      <alignment horizontal="left" vertical="center" wrapText="1"/>
    </xf>
    <xf numFmtId="0" fontId="2" fillId="0" borderId="4" xfId="0" applyFont="1" applyFill="1" applyBorder="1" applyAlignment="1">
      <alignment horizontal="center" vertical="center" wrapText="1"/>
    </xf>
    <xf numFmtId="0" fontId="2" fillId="0" borderId="4" xfId="0" applyFont="1" applyFill="1" applyBorder="1" applyAlignment="1">
      <alignment horizontal="left" vertical="center" wrapText="1"/>
    </xf>
    <xf numFmtId="0" fontId="2" fillId="0" borderId="5" xfId="0" applyFont="1" applyFill="1" applyBorder="1" applyAlignment="1">
      <alignment horizontal="left" vertical="center" wrapText="1"/>
    </xf>
    <xf numFmtId="49" fontId="2" fillId="0" borderId="16" xfId="0" applyNumberFormat="1" applyFont="1" applyFill="1" applyBorder="1" applyAlignment="1">
      <alignment horizontal="left" vertical="center" wrapText="1"/>
    </xf>
    <xf numFmtId="0" fontId="2" fillId="0" borderId="21" xfId="0" applyFont="1" applyFill="1" applyBorder="1" applyAlignment="1">
      <alignment horizontal="left" vertical="center" wrapText="1"/>
    </xf>
    <xf numFmtId="0" fontId="2" fillId="0" borderId="1" xfId="0" applyFont="1" applyFill="1" applyBorder="1" applyAlignment="1">
      <alignment horizontal="left" vertical="center" wrapText="1"/>
    </xf>
    <xf numFmtId="0" fontId="2" fillId="0" borderId="36" xfId="0" applyFont="1" applyFill="1" applyBorder="1" applyAlignment="1">
      <alignment horizontal="left" vertical="center" wrapText="1"/>
    </xf>
    <xf numFmtId="0" fontId="2" fillId="0" borderId="23" xfId="0" applyFont="1" applyFill="1" applyBorder="1" applyAlignment="1">
      <alignment horizontal="center" vertical="center" wrapText="1"/>
    </xf>
    <xf numFmtId="0" fontId="2" fillId="0" borderId="23" xfId="0" applyFont="1" applyFill="1" applyBorder="1" applyAlignment="1">
      <alignment horizontal="left" vertical="center" wrapText="1"/>
    </xf>
    <xf numFmtId="0" fontId="7" fillId="0" borderId="24" xfId="0" applyFont="1" applyFill="1" applyBorder="1" applyAlignment="1">
      <alignment horizontal="center" vertical="center" wrapText="1"/>
    </xf>
    <xf numFmtId="0" fontId="7" fillId="0" borderId="37" xfId="0" applyFont="1" applyFill="1" applyBorder="1" applyAlignment="1">
      <alignment horizontal="center" vertical="center" wrapText="1"/>
    </xf>
    <xf numFmtId="0" fontId="6" fillId="0" borderId="38" xfId="0" applyFont="1" applyFill="1" applyBorder="1" applyAlignment="1">
      <alignment horizontal="center" vertical="center" wrapText="1"/>
    </xf>
    <xf numFmtId="0" fontId="7" fillId="2" borderId="22" xfId="0" applyFont="1" applyFill="1" applyBorder="1" applyAlignment="1">
      <alignment horizontal="center" vertical="center" wrapText="1"/>
    </xf>
    <xf numFmtId="0" fontId="2" fillId="0" borderId="39" xfId="0" applyFont="1" applyFill="1" applyBorder="1" applyAlignment="1">
      <alignment horizontal="center" vertical="center"/>
    </xf>
    <xf numFmtId="0" fontId="2" fillId="0" borderId="40" xfId="0" applyFont="1" applyFill="1" applyBorder="1" applyAlignment="1">
      <alignment horizontal="center" vertical="center"/>
    </xf>
    <xf numFmtId="0" fontId="7" fillId="2" borderId="41" xfId="0" applyFont="1" applyFill="1" applyBorder="1" applyAlignment="1">
      <alignment horizontal="center" vertical="center" wrapText="1"/>
    </xf>
    <xf numFmtId="0" fontId="2" fillId="2" borderId="37" xfId="0" applyFont="1" applyFill="1" applyBorder="1" applyAlignment="1">
      <alignment horizontal="center" vertical="center" wrapText="1"/>
    </xf>
    <xf numFmtId="0" fontId="2" fillId="2" borderId="42" xfId="0" applyFont="1" applyFill="1" applyBorder="1" applyAlignment="1">
      <alignment horizontal="center" vertical="center" wrapText="1"/>
    </xf>
    <xf numFmtId="0" fontId="2" fillId="2" borderId="43" xfId="0" applyFont="1" applyFill="1" applyBorder="1" applyAlignment="1">
      <alignment horizontal="center" vertical="center" wrapText="1"/>
    </xf>
    <xf numFmtId="0" fontId="6" fillId="0" borderId="34" xfId="0" applyFont="1" applyFill="1" applyBorder="1" applyAlignment="1">
      <alignment horizontal="center" vertical="center"/>
    </xf>
    <xf numFmtId="0" fontId="1" fillId="0" borderId="17" xfId="0" applyFont="1" applyFill="1" applyBorder="1" applyAlignment="1">
      <alignment vertical="center"/>
    </xf>
    <xf numFmtId="0" fontId="2" fillId="0" borderId="18" xfId="0" applyFont="1" applyFill="1" applyBorder="1" applyAlignment="1">
      <alignment horizontal="center" vertical="center" wrapText="1"/>
    </xf>
    <xf numFmtId="0" fontId="2" fillId="0" borderId="14"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18" xfId="0" applyFont="1" applyFill="1" applyBorder="1" applyAlignment="1">
      <alignment horizontal="left" vertical="top" wrapText="1"/>
    </xf>
    <xf numFmtId="0" fontId="2" fillId="2" borderId="13" xfId="0" applyFont="1" applyFill="1" applyBorder="1" applyAlignment="1">
      <alignment horizontal="left" vertical="top" wrapText="1"/>
    </xf>
    <xf numFmtId="0" fontId="1" fillId="0" borderId="44" xfId="0" applyFont="1" applyFill="1" applyBorder="1" applyAlignment="1">
      <alignment vertical="center"/>
    </xf>
    <xf numFmtId="0" fontId="2" fillId="2" borderId="39" xfId="0" applyFont="1" applyFill="1" applyBorder="1" applyAlignment="1">
      <alignment horizontal="center" vertical="center" wrapText="1"/>
    </xf>
    <xf numFmtId="0" fontId="2" fillId="2" borderId="40" xfId="0" applyFont="1" applyFill="1" applyBorder="1" applyAlignment="1">
      <alignment horizontal="center" vertical="center" wrapText="1"/>
    </xf>
    <xf numFmtId="0" fontId="2" fillId="2" borderId="25" xfId="0" applyFont="1" applyFill="1" applyBorder="1" applyAlignment="1">
      <alignment horizontal="left" vertical="center" wrapText="1"/>
    </xf>
    <xf numFmtId="0" fontId="2" fillId="2" borderId="26" xfId="0" applyFont="1" applyFill="1" applyBorder="1" applyAlignment="1">
      <alignment horizontal="left" vertical="center" wrapText="1"/>
    </xf>
    <xf numFmtId="0" fontId="7" fillId="0" borderId="35" xfId="0" applyFont="1" applyFill="1" applyBorder="1" applyAlignment="1">
      <alignment horizontal="center" vertical="center" wrapText="1"/>
    </xf>
    <xf numFmtId="0" fontId="1" fillId="0" borderId="18" xfId="0" applyFont="1" applyFill="1" applyBorder="1" applyAlignment="1">
      <alignment horizontal="left" vertical="center" wrapText="1"/>
    </xf>
    <xf numFmtId="0" fontId="1" fillId="0" borderId="13" xfId="0" applyFont="1" applyFill="1" applyBorder="1" applyAlignment="1">
      <alignment horizontal="left" vertical="center" wrapText="1"/>
    </xf>
    <xf numFmtId="0" fontId="1" fillId="0" borderId="14" xfId="0" applyFont="1" applyFill="1" applyBorder="1" applyAlignment="1">
      <alignment horizontal="left" vertical="center" wrapText="1"/>
    </xf>
    <xf numFmtId="0" fontId="7" fillId="0" borderId="30" xfId="0" applyFont="1" applyFill="1" applyBorder="1" applyAlignment="1">
      <alignment horizontal="center" vertical="center" wrapText="1"/>
    </xf>
    <xf numFmtId="0" fontId="11" fillId="0" borderId="16" xfId="0" applyFont="1" applyFill="1" applyBorder="1" applyAlignment="1">
      <alignment horizontal="center" vertical="center" wrapText="1"/>
    </xf>
    <xf numFmtId="0" fontId="1" fillId="0" borderId="18" xfId="0" applyFont="1" applyFill="1" applyBorder="1" applyAlignment="1">
      <alignment horizontal="center" vertical="center" wrapText="1"/>
    </xf>
    <xf numFmtId="0" fontId="11" fillId="0" borderId="18" xfId="0" applyFont="1" applyFill="1" applyBorder="1" applyAlignment="1">
      <alignment horizontal="center" vertical="center" wrapText="1"/>
    </xf>
    <xf numFmtId="0" fontId="11" fillId="0" borderId="13" xfId="0" applyFont="1" applyFill="1" applyBorder="1" applyAlignment="1">
      <alignment horizontal="center" vertical="center" wrapText="1"/>
    </xf>
    <xf numFmtId="0" fontId="11" fillId="0" borderId="14" xfId="0" applyFont="1" applyFill="1" applyBorder="1" applyAlignment="1">
      <alignment horizontal="center" vertical="center" wrapText="1"/>
    </xf>
    <xf numFmtId="0" fontId="11" fillId="0" borderId="16" xfId="0" applyFont="1" applyFill="1" applyBorder="1" applyAlignment="1">
      <alignment horizontal="left" vertical="center" wrapText="1"/>
    </xf>
    <xf numFmtId="9" fontId="12" fillId="0" borderId="16" xfId="0" applyNumberFormat="1" applyFont="1" applyFill="1" applyBorder="1" applyAlignment="1">
      <alignment horizontal="center" vertical="center" wrapText="1"/>
    </xf>
    <xf numFmtId="0" fontId="12" fillId="0" borderId="16" xfId="0" applyFont="1" applyFill="1" applyBorder="1" applyAlignment="1">
      <alignment horizontal="center" vertical="center" wrapText="1"/>
    </xf>
    <xf numFmtId="9" fontId="12" fillId="0" borderId="18" xfId="0" applyNumberFormat="1" applyFont="1" applyFill="1" applyBorder="1" applyAlignment="1">
      <alignment horizontal="center" vertical="center" wrapText="1"/>
    </xf>
    <xf numFmtId="0" fontId="13" fillId="0" borderId="14" xfId="0" applyFont="1" applyFill="1" applyBorder="1" applyAlignment="1">
      <alignment horizontal="center" vertical="center" wrapText="1"/>
    </xf>
    <xf numFmtId="9" fontId="14" fillId="0" borderId="32" xfId="0" applyNumberFormat="1" applyFont="1" applyFill="1" applyBorder="1" applyAlignment="1">
      <alignment horizontal="center" vertical="center" wrapText="1"/>
    </xf>
    <xf numFmtId="9" fontId="14" fillId="0" borderId="45" xfId="0" applyNumberFormat="1" applyFont="1" applyFill="1" applyBorder="1" applyAlignment="1">
      <alignment horizontal="center" vertical="center" wrapText="1"/>
    </xf>
    <xf numFmtId="9" fontId="1" fillId="0" borderId="18" xfId="0" applyNumberFormat="1" applyFont="1" applyFill="1" applyBorder="1" applyAlignment="1">
      <alignment horizontal="center" vertical="center" wrapText="1"/>
    </xf>
    <xf numFmtId="9" fontId="1" fillId="0" borderId="16" xfId="0" applyNumberFormat="1" applyFont="1" applyFill="1" applyBorder="1" applyAlignment="1">
      <alignment horizontal="center" vertical="center" wrapText="1"/>
    </xf>
    <xf numFmtId="0" fontId="2" fillId="0" borderId="4" xfId="0" applyFont="1" applyFill="1" applyBorder="1" applyAlignment="1">
      <alignment horizontal="center" vertical="center"/>
    </xf>
    <xf numFmtId="0" fontId="1" fillId="0" borderId="16" xfId="0" applyFont="1" applyFill="1" applyBorder="1" applyAlignment="1">
      <alignment vertical="center"/>
    </xf>
    <xf numFmtId="0" fontId="2" fillId="0" borderId="16" xfId="0" applyFont="1" applyFill="1" applyBorder="1" applyAlignment="1">
      <alignment vertical="center"/>
    </xf>
    <xf numFmtId="9" fontId="2" fillId="0" borderId="16" xfId="0" applyNumberFormat="1" applyFont="1" applyFill="1" applyBorder="1" applyAlignment="1">
      <alignment vertical="center" wrapText="1"/>
    </xf>
    <xf numFmtId="10" fontId="2" fillId="0" borderId="16" xfId="0" applyNumberFormat="1" applyFont="1" applyFill="1" applyBorder="1" applyAlignment="1">
      <alignment horizontal="center" vertical="center" wrapText="1"/>
    </xf>
    <xf numFmtId="0" fontId="7" fillId="0" borderId="43" xfId="0" applyFont="1" applyFill="1" applyBorder="1" applyAlignment="1">
      <alignment horizontal="center" vertical="center" wrapText="1"/>
    </xf>
    <xf numFmtId="49" fontId="11" fillId="0" borderId="16" xfId="0" applyNumberFormat="1" applyFont="1" applyFill="1" applyBorder="1" applyAlignment="1">
      <alignment horizontal="left" vertical="center" wrapText="1"/>
    </xf>
    <xf numFmtId="9" fontId="7" fillId="0" borderId="18" xfId="11" applyNumberFormat="1" applyFont="1" applyFill="1" applyBorder="1" applyAlignment="1">
      <alignment horizontal="center" vertical="center" wrapText="1"/>
    </xf>
    <xf numFmtId="49" fontId="11" fillId="0" borderId="18" xfId="0" applyNumberFormat="1" applyFont="1" applyFill="1" applyBorder="1" applyAlignment="1">
      <alignment horizontal="left" vertical="top" wrapText="1"/>
    </xf>
    <xf numFmtId="49" fontId="11" fillId="0" borderId="13" xfId="0" applyNumberFormat="1" applyFont="1" applyFill="1" applyBorder="1" applyAlignment="1">
      <alignment horizontal="left" vertical="top" wrapText="1"/>
    </xf>
    <xf numFmtId="49" fontId="11" fillId="0" borderId="14" xfId="0" applyNumberFormat="1" applyFont="1" applyFill="1" applyBorder="1" applyAlignment="1">
      <alignment horizontal="left" vertical="top" wrapText="1"/>
    </xf>
    <xf numFmtId="0" fontId="11" fillId="0" borderId="4" xfId="0" applyFont="1" applyFill="1" applyBorder="1" applyAlignment="1">
      <alignment horizontal="left" vertical="top" wrapText="1"/>
    </xf>
    <xf numFmtId="9" fontId="7" fillId="0" borderId="4" xfId="11" applyNumberFormat="1" applyFont="1" applyFill="1" applyBorder="1" applyAlignment="1">
      <alignment horizontal="center" vertical="center" wrapText="1"/>
    </xf>
    <xf numFmtId="0" fontId="11" fillId="0" borderId="16" xfId="0" applyFont="1" applyFill="1" applyBorder="1" applyAlignment="1">
      <alignment horizontal="left" vertical="top" wrapText="1"/>
    </xf>
    <xf numFmtId="9" fontId="7" fillId="0" borderId="16" xfId="11" applyNumberFormat="1" applyFont="1" applyFill="1" applyBorder="1" applyAlignment="1">
      <alignment horizontal="center" vertical="center" wrapText="1"/>
    </xf>
    <xf numFmtId="49" fontId="11" fillId="0" borderId="4" xfId="0" applyNumberFormat="1" applyFont="1" applyFill="1" applyBorder="1" applyAlignment="1">
      <alignment horizontal="left" vertical="center" wrapText="1"/>
    </xf>
    <xf numFmtId="9" fontId="7" fillId="0" borderId="16" xfId="11" applyFont="1" applyFill="1" applyBorder="1" applyAlignment="1">
      <alignment horizontal="center" vertical="center" wrapText="1"/>
    </xf>
    <xf numFmtId="49" fontId="11" fillId="0" borderId="23" xfId="0" applyNumberFormat="1" applyFont="1" applyFill="1" applyBorder="1" applyAlignment="1">
      <alignment horizontal="left" vertical="center" wrapText="1"/>
    </xf>
    <xf numFmtId="9" fontId="7" fillId="0" borderId="23" xfId="11" applyFont="1" applyFill="1" applyBorder="1" applyAlignment="1">
      <alignment horizontal="center" vertical="center" wrapText="1"/>
    </xf>
    <xf numFmtId="0" fontId="7" fillId="0" borderId="42" xfId="0" applyFont="1" applyFill="1" applyBorder="1" applyAlignment="1">
      <alignment horizontal="center" vertical="center" wrapText="1"/>
    </xf>
    <xf numFmtId="9" fontId="7" fillId="0" borderId="4" xfId="0" applyNumberFormat="1" applyFont="1" applyFill="1" applyBorder="1" applyAlignment="1">
      <alignment horizontal="center" vertical="center" wrapText="1"/>
    </xf>
    <xf numFmtId="0" fontId="2" fillId="2" borderId="25"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8" fillId="0" borderId="46" xfId="0" applyFont="1" applyFill="1" applyBorder="1" applyAlignment="1">
      <alignment horizontal="center" vertical="center" wrapText="1"/>
    </xf>
    <xf numFmtId="0" fontId="1" fillId="0" borderId="47" xfId="0" applyFont="1" applyFill="1" applyBorder="1" applyAlignment="1">
      <alignment horizontal="left" vertical="center" wrapText="1"/>
    </xf>
    <xf numFmtId="0" fontId="1" fillId="0" borderId="0" xfId="0" applyFont="1" applyFill="1" applyAlignment="1">
      <alignment horizontal="center" vertical="center" wrapText="1"/>
    </xf>
    <xf numFmtId="0" fontId="7" fillId="0" borderId="47" xfId="0" applyFont="1" applyFill="1" applyBorder="1" applyAlignment="1">
      <alignment horizontal="center" vertical="center" wrapText="1"/>
    </xf>
    <xf numFmtId="0" fontId="1" fillId="0" borderId="14" xfId="0" applyFont="1" applyFill="1" applyBorder="1" applyAlignment="1">
      <alignment horizontal="center" vertical="center" wrapText="1"/>
    </xf>
    <xf numFmtId="10" fontId="1" fillId="0" borderId="13" xfId="0" applyNumberFormat="1" applyFont="1" applyFill="1" applyBorder="1" applyAlignment="1">
      <alignment horizontal="center" vertical="center" wrapText="1"/>
    </xf>
    <xf numFmtId="0" fontId="1" fillId="0" borderId="47" xfId="0" applyFont="1" applyFill="1" applyBorder="1" applyAlignment="1">
      <alignment horizontal="center" vertical="center" wrapText="1"/>
    </xf>
    <xf numFmtId="0" fontId="1" fillId="0" borderId="13" xfId="0" applyFont="1" applyFill="1" applyBorder="1" applyAlignment="1">
      <alignment horizontal="center" vertical="center" wrapText="1"/>
    </xf>
    <xf numFmtId="9" fontId="2" fillId="0" borderId="13" xfId="0" applyNumberFormat="1" applyFont="1" applyFill="1" applyBorder="1" applyAlignment="1">
      <alignment horizontal="center" vertical="center" wrapText="1"/>
    </xf>
    <xf numFmtId="0" fontId="2" fillId="0" borderId="47" xfId="0" applyFont="1" applyFill="1" applyBorder="1" applyAlignment="1">
      <alignment horizontal="center" vertical="center" wrapText="1"/>
    </xf>
    <xf numFmtId="10" fontId="2" fillId="0" borderId="13" xfId="0" applyNumberFormat="1" applyFont="1" applyFill="1" applyBorder="1" applyAlignment="1">
      <alignment horizontal="center" vertical="center" wrapText="1"/>
    </xf>
    <xf numFmtId="10" fontId="2" fillId="0" borderId="47" xfId="0" applyNumberFormat="1" applyFont="1" applyFill="1" applyBorder="1" applyAlignment="1">
      <alignment horizontal="center" vertical="center" wrapText="1"/>
    </xf>
    <xf numFmtId="0" fontId="2" fillId="0" borderId="48" xfId="0" applyFont="1" applyFill="1" applyBorder="1" applyAlignment="1">
      <alignment horizontal="left" vertical="center" wrapText="1"/>
    </xf>
    <xf numFmtId="0" fontId="2" fillId="0" borderId="49" xfId="0" applyFont="1" applyFill="1" applyBorder="1" applyAlignment="1">
      <alignment horizontal="left" vertical="center" wrapText="1"/>
    </xf>
    <xf numFmtId="0" fontId="2" fillId="0" borderId="46" xfId="0" applyFont="1" applyFill="1" applyBorder="1" applyAlignment="1">
      <alignment horizontal="center" vertical="center"/>
    </xf>
    <xf numFmtId="0" fontId="2" fillId="0" borderId="48" xfId="0" applyFont="1" applyFill="1" applyBorder="1" applyAlignment="1">
      <alignment horizontal="center" vertical="center" wrapText="1"/>
    </xf>
    <xf numFmtId="0" fontId="9" fillId="0" borderId="48" xfId="0" applyFont="1" applyFill="1" applyBorder="1" applyAlignment="1">
      <alignment horizontal="center" vertical="center" wrapText="1"/>
    </xf>
    <xf numFmtId="0" fontId="2" fillId="0" borderId="0" xfId="0" applyFont="1" applyFill="1" applyBorder="1" applyAlignment="1">
      <alignment vertical="center"/>
    </xf>
    <xf numFmtId="0" fontId="9" fillId="0" borderId="47" xfId="0" applyFont="1" applyFill="1" applyBorder="1" applyAlignment="1">
      <alignment horizontal="center" vertical="center" wrapText="1"/>
    </xf>
    <xf numFmtId="0" fontId="2" fillId="2" borderId="48" xfId="0" applyFont="1" applyFill="1" applyBorder="1" applyAlignment="1">
      <alignment horizontal="center" vertical="center" wrapText="1"/>
    </xf>
    <xf numFmtId="0" fontId="1" fillId="0" borderId="50" xfId="0" applyFont="1" applyFill="1" applyBorder="1" applyAlignment="1">
      <alignment vertical="center"/>
    </xf>
    <xf numFmtId="9" fontId="7" fillId="0" borderId="14" xfId="11" applyFont="1" applyFill="1" applyBorder="1" applyAlignment="1">
      <alignment horizontal="center" vertical="center" wrapText="1"/>
    </xf>
    <xf numFmtId="0" fontId="7" fillId="0" borderId="48" xfId="0" applyFont="1" applyFill="1" applyBorder="1" applyAlignment="1">
      <alignment horizontal="center" vertical="center" wrapText="1"/>
    </xf>
    <xf numFmtId="9" fontId="7" fillId="0" borderId="4" xfId="11" applyFont="1" applyFill="1" applyBorder="1" applyAlignment="1">
      <alignment horizontal="center" vertical="center" wrapText="1"/>
    </xf>
    <xf numFmtId="0" fontId="7" fillId="0" borderId="46" xfId="0" applyFont="1" applyFill="1" applyBorder="1" applyAlignment="1">
      <alignment horizontal="center" vertical="center" wrapText="1"/>
    </xf>
    <xf numFmtId="0" fontId="1" fillId="0" borderId="48" xfId="0" applyFont="1" applyFill="1" applyBorder="1" applyAlignment="1">
      <alignment vertical="center"/>
    </xf>
    <xf numFmtId="0" fontId="7" fillId="0" borderId="23" xfId="0" applyFont="1" applyFill="1" applyBorder="1" applyAlignment="1">
      <alignment horizontal="center" vertical="center" wrapText="1"/>
    </xf>
    <xf numFmtId="0" fontId="7" fillId="0" borderId="49" xfId="0" applyFont="1" applyFill="1" applyBorder="1" applyAlignment="1">
      <alignment horizontal="center" vertical="center" wrapText="1"/>
    </xf>
    <xf numFmtId="176" fontId="7" fillId="0" borderId="4" xfId="0" applyNumberFormat="1" applyFont="1" applyFill="1" applyBorder="1" applyAlignment="1">
      <alignment horizontal="center" vertical="center" wrapText="1"/>
    </xf>
    <xf numFmtId="176" fontId="7" fillId="0" borderId="46" xfId="0" applyNumberFormat="1" applyFont="1" applyFill="1" applyBorder="1" applyAlignment="1">
      <alignment horizontal="center" vertical="center" wrapText="1"/>
    </xf>
    <xf numFmtId="0" fontId="2" fillId="0" borderId="45" xfId="0" applyFont="1" applyFill="1" applyBorder="1" applyAlignment="1">
      <alignment horizontal="center" vertical="center"/>
    </xf>
    <xf numFmtId="0" fontId="2" fillId="2" borderId="50" xfId="0" applyFont="1" applyFill="1" applyBorder="1" applyAlignment="1">
      <alignment horizontal="center" vertical="center" wrapText="1"/>
    </xf>
    <xf numFmtId="0" fontId="2" fillId="2" borderId="47" xfId="0" applyFont="1" applyFill="1" applyBorder="1" applyAlignment="1">
      <alignment horizontal="left" vertical="top" wrapText="1"/>
    </xf>
    <xf numFmtId="0" fontId="2" fillId="2" borderId="45" xfId="0" applyFont="1" applyFill="1" applyBorder="1" applyAlignment="1">
      <alignment horizontal="center" vertical="center" wrapText="1"/>
    </xf>
    <xf numFmtId="0" fontId="2" fillId="2" borderId="51" xfId="0" applyFont="1" applyFill="1" applyBorder="1" applyAlignment="1">
      <alignment horizontal="left" vertical="center" wrapText="1"/>
    </xf>
    <xf numFmtId="0" fontId="7" fillId="2" borderId="17" xfId="0" applyFont="1" applyFill="1" applyBorder="1" applyAlignment="1">
      <alignment horizontal="center" vertical="center" wrapText="1"/>
    </xf>
    <xf numFmtId="0" fontId="2" fillId="2" borderId="30" xfId="0" applyFont="1" applyFill="1" applyBorder="1" applyAlignment="1">
      <alignment horizontal="center" wrapText="1"/>
    </xf>
    <xf numFmtId="0" fontId="2" fillId="2" borderId="10" xfId="0" applyFont="1" applyFill="1" applyBorder="1" applyAlignment="1">
      <alignment horizontal="center" wrapText="1"/>
    </xf>
    <xf numFmtId="0" fontId="7" fillId="2" borderId="44" xfId="0" applyFont="1" applyFill="1" applyBorder="1" applyAlignment="1">
      <alignment horizontal="center" vertical="center" wrapText="1"/>
    </xf>
    <xf numFmtId="0" fontId="2" fillId="2" borderId="28" xfId="0" applyFont="1" applyFill="1" applyBorder="1" applyAlignment="1">
      <alignment horizontal="left" vertical="top" wrapText="1"/>
    </xf>
    <xf numFmtId="0" fontId="2" fillId="2" borderId="0" xfId="0" applyFont="1" applyFill="1" applyBorder="1" applyAlignment="1">
      <alignment horizontal="left" vertical="top" wrapText="1"/>
    </xf>
    <xf numFmtId="0" fontId="1" fillId="2" borderId="0" xfId="0" applyFont="1" applyFill="1" applyBorder="1" applyAlignment="1">
      <alignment vertical="center"/>
    </xf>
    <xf numFmtId="0" fontId="2" fillId="2" borderId="28" xfId="0" applyFont="1" applyFill="1" applyBorder="1" applyAlignment="1">
      <alignment horizontal="center" vertical="top" wrapText="1"/>
    </xf>
    <xf numFmtId="0" fontId="2" fillId="2" borderId="0" xfId="0" applyFont="1" applyFill="1" applyBorder="1" applyAlignment="1">
      <alignment horizontal="center" vertical="top" wrapText="1"/>
    </xf>
    <xf numFmtId="0" fontId="6" fillId="0" borderId="38" xfId="0" applyFont="1" applyFill="1" applyBorder="1" applyAlignment="1">
      <alignment horizontal="center" vertical="center"/>
    </xf>
    <xf numFmtId="0" fontId="2" fillId="2" borderId="52" xfId="0" applyFont="1" applyFill="1" applyBorder="1" applyAlignment="1">
      <alignment horizontal="center" wrapText="1"/>
    </xf>
    <xf numFmtId="0" fontId="2" fillId="2" borderId="1" xfId="0" applyFont="1" applyFill="1" applyBorder="1" applyAlignment="1">
      <alignment horizontal="center" wrapText="1"/>
    </xf>
    <xf numFmtId="0" fontId="6" fillId="0" borderId="26" xfId="0" applyFont="1" applyFill="1" applyBorder="1" applyAlignment="1">
      <alignment vertical="center"/>
    </xf>
    <xf numFmtId="0" fontId="2" fillId="0" borderId="26" xfId="0" applyFont="1" applyFill="1" applyBorder="1" applyAlignment="1">
      <alignment horizontal="left" vertical="center"/>
    </xf>
    <xf numFmtId="0" fontId="2" fillId="0" borderId="26" xfId="0" applyFont="1" applyFill="1" applyBorder="1" applyAlignment="1">
      <alignment vertical="center"/>
    </xf>
    <xf numFmtId="0" fontId="2" fillId="2" borderId="53" xfId="0" applyFont="1" applyFill="1" applyBorder="1" applyAlignment="1">
      <alignment horizontal="center" wrapText="1"/>
    </xf>
    <xf numFmtId="0" fontId="2" fillId="2" borderId="54" xfId="0" applyFont="1" applyFill="1" applyBorder="1" applyAlignment="1">
      <alignment horizontal="left" vertical="top" wrapText="1"/>
    </xf>
    <xf numFmtId="0" fontId="2" fillId="2" borderId="54" xfId="0" applyFont="1" applyFill="1" applyBorder="1" applyAlignment="1">
      <alignment horizontal="center" vertical="top" wrapText="1"/>
    </xf>
    <xf numFmtId="0" fontId="2" fillId="2" borderId="55" xfId="0" applyFont="1" applyFill="1" applyBorder="1" applyAlignment="1">
      <alignment horizontal="center" wrapText="1"/>
    </xf>
    <xf numFmtId="0" fontId="1" fillId="0" borderId="0" xfId="0" applyFont="1" applyFill="1" applyBorder="1" applyAlignment="1">
      <alignment vertical="center"/>
    </xf>
    <xf numFmtId="0" fontId="2" fillId="0" borderId="0" xfId="0" applyFont="1" applyFill="1" applyBorder="1" applyAlignment="1">
      <alignment horizontal="center"/>
    </xf>
    <xf numFmtId="0" fontId="9" fillId="0" borderId="4" xfId="0" applyFont="1" applyFill="1" applyBorder="1" applyAlignment="1">
      <alignment horizontal="left" vertical="center" wrapText="1"/>
    </xf>
    <xf numFmtId="0" fontId="10" fillId="0" borderId="18" xfId="0" applyFont="1" applyFill="1" applyBorder="1" applyAlignment="1">
      <alignment horizontal="center" vertical="center" wrapText="1"/>
    </xf>
    <xf numFmtId="0" fontId="10" fillId="0" borderId="13" xfId="0" applyFont="1" applyFill="1" applyBorder="1" applyAlignment="1">
      <alignment horizontal="center" vertical="center" wrapText="1"/>
    </xf>
    <xf numFmtId="0" fontId="7" fillId="0" borderId="41" xfId="0" applyFont="1" applyFill="1" applyBorder="1" applyAlignment="1">
      <alignment horizontal="center" vertical="center" wrapText="1"/>
    </xf>
    <xf numFmtId="0" fontId="7" fillId="0" borderId="56" xfId="0" applyFont="1" applyFill="1" applyBorder="1" applyAlignment="1">
      <alignment horizontal="center" vertical="center" wrapText="1"/>
    </xf>
    <xf numFmtId="0" fontId="2" fillId="0" borderId="25" xfId="0" applyFont="1" applyFill="1" applyBorder="1" applyAlignment="1">
      <alignment horizontal="left" vertical="center" wrapText="1"/>
    </xf>
    <xf numFmtId="0" fontId="10" fillId="0" borderId="21" xfId="0" applyFont="1" applyFill="1" applyBorder="1" applyAlignment="1">
      <alignment horizontal="left" vertical="center" wrapText="1"/>
    </xf>
    <xf numFmtId="0" fontId="2" fillId="0" borderId="16" xfId="0" applyFont="1" applyFill="1" applyBorder="1" applyAlignment="1" applyProtection="1">
      <alignment horizontal="center" vertical="center" wrapText="1"/>
    </xf>
    <xf numFmtId="0" fontId="2" fillId="0" borderId="31" xfId="0" applyFont="1" applyFill="1" applyBorder="1" applyAlignment="1">
      <alignment horizontal="center" vertical="center" wrapText="1"/>
    </xf>
    <xf numFmtId="0" fontId="2" fillId="0" borderId="57" xfId="0" applyFont="1" applyFill="1" applyBorder="1" applyAlignment="1" applyProtection="1">
      <alignment horizontal="center" vertical="center" wrapText="1"/>
    </xf>
    <xf numFmtId="0" fontId="2" fillId="0" borderId="23" xfId="0" applyFont="1" applyFill="1" applyBorder="1" applyAlignment="1" applyProtection="1">
      <alignment horizontal="center" vertical="center" wrapText="1"/>
    </xf>
    <xf numFmtId="0" fontId="10" fillId="0" borderId="14" xfId="0" applyFont="1" applyFill="1" applyBorder="1" applyAlignment="1">
      <alignment horizontal="center" vertical="center" wrapText="1"/>
    </xf>
    <xf numFmtId="0" fontId="10" fillId="0" borderId="16" xfId="0" applyFont="1" applyFill="1" applyBorder="1" applyAlignment="1">
      <alignment horizontal="center" vertical="center" wrapText="1"/>
    </xf>
    <xf numFmtId="9" fontId="10" fillId="0" borderId="18" xfId="0" applyNumberFormat="1" applyFont="1" applyFill="1" applyBorder="1" applyAlignment="1">
      <alignment horizontal="center" vertical="center" wrapText="1"/>
    </xf>
    <xf numFmtId="9" fontId="10" fillId="0" borderId="16" xfId="0" applyNumberFormat="1" applyFont="1" applyFill="1" applyBorder="1" applyAlignment="1">
      <alignment horizontal="center" vertical="center" wrapText="1"/>
    </xf>
    <xf numFmtId="9" fontId="2" fillId="0" borderId="18" xfId="0" applyNumberFormat="1" applyFont="1" applyFill="1" applyBorder="1" applyAlignment="1">
      <alignment horizontal="center" vertical="center" wrapText="1"/>
    </xf>
    <xf numFmtId="0" fontId="15" fillId="0" borderId="16" xfId="0" applyFont="1" applyFill="1" applyBorder="1" applyAlignment="1">
      <alignment horizontal="center" vertical="center" wrapText="1"/>
    </xf>
    <xf numFmtId="9" fontId="10" fillId="0" borderId="13" xfId="0" applyNumberFormat="1" applyFont="1" applyFill="1" applyBorder="1" applyAlignment="1">
      <alignment horizontal="center" vertical="center" wrapText="1"/>
    </xf>
    <xf numFmtId="9" fontId="2" fillId="0" borderId="16" xfId="0" applyNumberFormat="1" applyFont="1" applyFill="1" applyBorder="1" applyAlignment="1">
      <alignment horizontal="center" vertical="center" wrapText="1"/>
    </xf>
    <xf numFmtId="0" fontId="16" fillId="0" borderId="16" xfId="0" applyFont="1" applyFill="1" applyBorder="1" applyAlignment="1">
      <alignment horizontal="center" vertical="center" wrapText="1"/>
    </xf>
    <xf numFmtId="0" fontId="16" fillId="0" borderId="16" xfId="0" applyFont="1" applyFill="1" applyBorder="1" applyAlignment="1">
      <alignment horizontal="center" vertical="center"/>
    </xf>
    <xf numFmtId="0" fontId="7" fillId="0" borderId="25" xfId="0" applyFont="1" applyFill="1" applyBorder="1" applyAlignment="1">
      <alignment horizontal="center" vertical="center" wrapText="1"/>
    </xf>
    <xf numFmtId="9" fontId="7" fillId="0" borderId="43" xfId="11" applyFont="1" applyFill="1" applyBorder="1" applyAlignment="1">
      <alignment horizontal="center" vertical="center" wrapText="1"/>
    </xf>
    <xf numFmtId="49" fontId="11" fillId="0" borderId="18" xfId="0" applyNumberFormat="1" applyFont="1" applyFill="1" applyBorder="1" applyAlignment="1">
      <alignment horizontal="left" vertical="center" wrapText="1"/>
    </xf>
    <xf numFmtId="49" fontId="11" fillId="0" borderId="13" xfId="0" applyNumberFormat="1" applyFont="1" applyFill="1" applyBorder="1" applyAlignment="1">
      <alignment horizontal="left" vertical="center" wrapText="1"/>
    </xf>
    <xf numFmtId="49" fontId="11" fillId="0" borderId="14" xfId="0" applyNumberFormat="1" applyFont="1" applyFill="1" applyBorder="1" applyAlignment="1">
      <alignment horizontal="left" vertical="center" wrapText="1"/>
    </xf>
    <xf numFmtId="9" fontId="7" fillId="0" borderId="18" xfId="11" applyFont="1" applyFill="1" applyBorder="1" applyAlignment="1">
      <alignment horizontal="center" vertical="center" wrapText="1"/>
    </xf>
    <xf numFmtId="49" fontId="2" fillId="0" borderId="23" xfId="0" applyNumberFormat="1" applyFont="1" applyFill="1" applyBorder="1" applyAlignment="1">
      <alignment horizontal="left" vertical="center" wrapText="1"/>
    </xf>
    <xf numFmtId="9" fontId="7" fillId="0" borderId="39" xfId="11" applyFont="1" applyFill="1" applyBorder="1" applyAlignment="1">
      <alignment horizontal="center" vertical="center" wrapText="1"/>
    </xf>
    <xf numFmtId="0" fontId="2" fillId="0" borderId="43" xfId="0" applyFont="1" applyFill="1" applyBorder="1" applyAlignment="1" applyProtection="1">
      <alignment horizontal="left" vertical="center" wrapText="1"/>
    </xf>
    <xf numFmtId="0" fontId="2" fillId="0" borderId="37" xfId="0" applyFont="1" applyFill="1" applyBorder="1" applyAlignment="1" applyProtection="1">
      <alignment horizontal="left" vertical="center" wrapText="1"/>
    </xf>
    <xf numFmtId="0" fontId="2" fillId="0" borderId="42" xfId="0" applyFont="1" applyFill="1" applyBorder="1" applyAlignment="1" applyProtection="1">
      <alignment horizontal="left" vertical="center" wrapText="1"/>
    </xf>
    <xf numFmtId="0" fontId="2" fillId="0" borderId="18" xfId="0" applyFont="1" applyFill="1" applyBorder="1" applyAlignment="1" applyProtection="1">
      <alignment horizontal="left" vertical="center" wrapText="1"/>
    </xf>
    <xf numFmtId="0" fontId="2" fillId="0" borderId="13" xfId="0" applyFont="1" applyFill="1" applyBorder="1" applyAlignment="1" applyProtection="1">
      <alignment horizontal="left" vertical="center" wrapText="1"/>
    </xf>
    <xf numFmtId="0" fontId="2" fillId="0" borderId="14" xfId="0" applyFont="1" applyFill="1" applyBorder="1" applyAlignment="1" applyProtection="1">
      <alignment horizontal="left" vertical="center" wrapText="1"/>
    </xf>
    <xf numFmtId="0" fontId="2" fillId="0" borderId="39" xfId="0" applyFont="1" applyFill="1" applyBorder="1" applyAlignment="1">
      <alignment horizontal="left" vertical="center" wrapText="1"/>
    </xf>
    <xf numFmtId="0" fontId="2" fillId="0" borderId="40" xfId="0" applyFont="1" applyFill="1" applyBorder="1" applyAlignment="1">
      <alignment horizontal="left" vertical="center" wrapText="1"/>
    </xf>
    <xf numFmtId="0" fontId="2" fillId="0" borderId="58" xfId="0" applyFont="1" applyFill="1" applyBorder="1" applyAlignment="1">
      <alignment horizontal="left" vertical="center" wrapText="1"/>
    </xf>
    <xf numFmtId="9" fontId="7" fillId="0" borderId="23" xfId="11" applyNumberFormat="1" applyFont="1" applyFill="1" applyBorder="1" applyAlignment="1">
      <alignment horizontal="center" vertical="center" wrapText="1"/>
    </xf>
    <xf numFmtId="0" fontId="2" fillId="0" borderId="43" xfId="0" applyFont="1" applyFill="1" applyBorder="1" applyAlignment="1">
      <alignment horizontal="left" vertical="center" wrapText="1"/>
    </xf>
    <xf numFmtId="0" fontId="2" fillId="0" borderId="37" xfId="0" applyFont="1" applyFill="1" applyBorder="1" applyAlignment="1">
      <alignment horizontal="left" vertical="center" wrapText="1"/>
    </xf>
    <xf numFmtId="0" fontId="2" fillId="0" borderId="42" xfId="0" applyFont="1" applyFill="1" applyBorder="1" applyAlignment="1">
      <alignment horizontal="left" vertical="center" wrapText="1"/>
    </xf>
    <xf numFmtId="0" fontId="2" fillId="0" borderId="30" xfId="0" applyFont="1" applyFill="1" applyBorder="1" applyAlignment="1" applyProtection="1">
      <alignment horizontal="center" vertical="center" wrapText="1"/>
    </xf>
    <xf numFmtId="0" fontId="2" fillId="0" borderId="10" xfId="0" applyFont="1" applyFill="1" applyBorder="1" applyAlignment="1" applyProtection="1">
      <alignment horizontal="center" vertical="center" wrapText="1"/>
    </xf>
    <xf numFmtId="0" fontId="2" fillId="0" borderId="11" xfId="0" applyFont="1" applyFill="1" applyBorder="1" applyAlignment="1" applyProtection="1">
      <alignment horizontal="center" vertical="center" wrapText="1"/>
    </xf>
    <xf numFmtId="9" fontId="7" fillId="0" borderId="57" xfId="11" applyFont="1" applyFill="1" applyBorder="1" applyAlignment="1">
      <alignment horizontal="center" vertical="center" wrapText="1"/>
    </xf>
    <xf numFmtId="0" fontId="2" fillId="0" borderId="18" xfId="0" applyFont="1" applyFill="1" applyBorder="1" applyAlignment="1" applyProtection="1">
      <alignment horizontal="center" vertical="center" wrapText="1"/>
    </xf>
    <xf numFmtId="0" fontId="2" fillId="0" borderId="13" xfId="0" applyFont="1" applyFill="1" applyBorder="1" applyAlignment="1" applyProtection="1">
      <alignment horizontal="center" vertical="center" wrapText="1"/>
    </xf>
    <xf numFmtId="0" fontId="2" fillId="0" borderId="14" xfId="0" applyFont="1" applyFill="1" applyBorder="1" applyAlignment="1" applyProtection="1">
      <alignment horizontal="center" vertical="center" wrapText="1"/>
    </xf>
    <xf numFmtId="0" fontId="2" fillId="0" borderId="39" xfId="0" applyFont="1" applyFill="1" applyBorder="1" applyAlignment="1" applyProtection="1">
      <alignment horizontal="left" vertical="center" wrapText="1"/>
    </xf>
    <xf numFmtId="0" fontId="2" fillId="0" borderId="40" xfId="0" applyFont="1" applyFill="1" applyBorder="1" applyAlignment="1" applyProtection="1">
      <alignment horizontal="left" vertical="center" wrapText="1"/>
    </xf>
    <xf numFmtId="0" fontId="2" fillId="0" borderId="58" xfId="0" applyFont="1" applyFill="1" applyBorder="1" applyAlignment="1" applyProtection="1">
      <alignment horizontal="left" vertical="center" wrapText="1"/>
    </xf>
    <xf numFmtId="9" fontId="7" fillId="0" borderId="57" xfId="0" applyNumberFormat="1" applyFont="1" applyFill="1" applyBorder="1" applyAlignment="1">
      <alignment horizontal="center" vertical="center" wrapText="1"/>
    </xf>
    <xf numFmtId="0" fontId="9" fillId="0" borderId="46" xfId="0" applyFont="1" applyFill="1" applyBorder="1" applyAlignment="1">
      <alignment horizontal="left" vertical="center" wrapText="1"/>
    </xf>
    <xf numFmtId="0" fontId="1" fillId="0" borderId="0" xfId="0" applyFont="1" applyFill="1" applyBorder="1" applyAlignment="1">
      <alignment horizontal="center" vertical="center" wrapText="1"/>
    </xf>
    <xf numFmtId="0" fontId="10" fillId="0" borderId="47" xfId="0" applyFont="1" applyFill="1" applyBorder="1" applyAlignment="1">
      <alignment horizontal="center" vertical="center" wrapText="1"/>
    </xf>
    <xf numFmtId="0" fontId="17" fillId="0" borderId="0" xfId="0" applyFont="1" applyFill="1" applyBorder="1" applyAlignment="1">
      <alignment horizontal="center" vertical="center"/>
    </xf>
    <xf numFmtId="0" fontId="17" fillId="0" borderId="0" xfId="0" applyFont="1" applyFill="1" applyBorder="1" applyAlignment="1">
      <alignment vertical="center"/>
    </xf>
    <xf numFmtId="0" fontId="7" fillId="0" borderId="27" xfId="0" applyFont="1" applyFill="1" applyBorder="1" applyAlignment="1">
      <alignment horizontal="center" vertical="center" wrapText="1"/>
    </xf>
    <xf numFmtId="0" fontId="1" fillId="0" borderId="51" xfId="0" applyFont="1" applyFill="1" applyBorder="1" applyAlignment="1">
      <alignment vertical="center"/>
    </xf>
    <xf numFmtId="9" fontId="7" fillId="0" borderId="42" xfId="11" applyFont="1" applyFill="1" applyBorder="1" applyAlignment="1">
      <alignment horizontal="center" vertical="center" wrapText="1"/>
    </xf>
    <xf numFmtId="9" fontId="7" fillId="0" borderId="58" xfId="11" applyFont="1" applyFill="1" applyBorder="1" applyAlignment="1">
      <alignment horizontal="center" vertical="center" wrapText="1"/>
    </xf>
    <xf numFmtId="0" fontId="10" fillId="0" borderId="4" xfId="0" applyFont="1" applyFill="1" applyBorder="1" applyAlignment="1">
      <alignment horizontal="center" vertical="center" wrapText="1"/>
    </xf>
    <xf numFmtId="0" fontId="6" fillId="0" borderId="24" xfId="0" applyFont="1" applyFill="1" applyBorder="1" applyAlignment="1">
      <alignment horizontal="center" vertical="top" wrapText="1"/>
    </xf>
    <xf numFmtId="0" fontId="6" fillId="0" borderId="9" xfId="0" applyFont="1" applyFill="1" applyBorder="1" applyAlignment="1">
      <alignment horizontal="center" vertical="top" wrapText="1"/>
    </xf>
    <xf numFmtId="0" fontId="6" fillId="0" borderId="12" xfId="0" applyFont="1" applyFill="1" applyBorder="1" applyAlignment="1">
      <alignment horizontal="center" vertical="top" wrapText="1"/>
    </xf>
    <xf numFmtId="0" fontId="6" fillId="0" borderId="6" xfId="0" applyFont="1" applyFill="1" applyBorder="1" applyAlignment="1">
      <alignment horizontal="center" vertical="top" wrapText="1"/>
    </xf>
    <xf numFmtId="0" fontId="6" fillId="0" borderId="32" xfId="0" applyFont="1" applyFill="1" applyBorder="1" applyAlignment="1">
      <alignment horizontal="center" vertical="top" wrapText="1"/>
    </xf>
    <xf numFmtId="0" fontId="16" fillId="0" borderId="4" xfId="0" applyFont="1" applyFill="1" applyBorder="1" applyAlignment="1">
      <alignment horizontal="left" vertical="center" wrapText="1"/>
    </xf>
    <xf numFmtId="0" fontId="16" fillId="0" borderId="16" xfId="0" applyFont="1" applyFill="1" applyBorder="1" applyAlignment="1">
      <alignment horizontal="left" vertical="center" wrapText="1"/>
    </xf>
    <xf numFmtId="0" fontId="18" fillId="0" borderId="16" xfId="0" applyFont="1" applyFill="1" applyBorder="1" applyAlignment="1">
      <alignment horizontal="left" vertical="center" wrapText="1"/>
    </xf>
    <xf numFmtId="0" fontId="11" fillId="0" borderId="23" xfId="0" applyFont="1" applyFill="1" applyBorder="1" applyAlignment="1">
      <alignment horizontal="left" vertical="center" wrapText="1"/>
    </xf>
    <xf numFmtId="0" fontId="15" fillId="2" borderId="22" xfId="0" applyFont="1" applyFill="1" applyBorder="1" applyAlignment="1">
      <alignment horizontal="center" vertical="center" wrapText="1"/>
    </xf>
    <xf numFmtId="0" fontId="2" fillId="0" borderId="13" xfId="0" applyFont="1" applyFill="1" applyBorder="1" applyAlignment="1">
      <alignment horizontal="center" vertical="center" wrapText="1"/>
    </xf>
    <xf numFmtId="0" fontId="11" fillId="0" borderId="4" xfId="0" applyFont="1" applyFill="1" applyBorder="1" applyAlignment="1">
      <alignment horizontal="left" vertical="center" wrapText="1"/>
    </xf>
    <xf numFmtId="0" fontId="10" fillId="0" borderId="46" xfId="0" applyFont="1" applyFill="1" applyBorder="1" applyAlignment="1">
      <alignment horizontal="center" vertical="center" wrapText="1"/>
    </xf>
    <xf numFmtId="9" fontId="7" fillId="0" borderId="13" xfId="0" applyNumberFormat="1" applyFont="1" applyFill="1" applyBorder="1" applyAlignment="1">
      <alignment horizontal="center" vertical="center" wrapText="1"/>
    </xf>
    <xf numFmtId="10" fontId="7" fillId="0" borderId="13" xfId="0" applyNumberFormat="1" applyFont="1" applyFill="1" applyBorder="1" applyAlignment="1">
      <alignment horizontal="center" vertical="center" wrapText="1"/>
    </xf>
    <xf numFmtId="0" fontId="19" fillId="0" borderId="0" xfId="0" applyFont="1" applyFill="1" applyAlignment="1">
      <alignment horizontal="center" vertical="center"/>
    </xf>
    <xf numFmtId="9" fontId="16" fillId="0" borderId="16" xfId="0" applyNumberFormat="1" applyFont="1" applyFill="1" applyBorder="1" applyAlignment="1">
      <alignment horizontal="center" vertical="center" wrapText="1"/>
    </xf>
    <xf numFmtId="0" fontId="19" fillId="0" borderId="0" xfId="0" applyFont="1" applyFill="1" applyAlignment="1">
      <alignment vertical="center"/>
    </xf>
    <xf numFmtId="0" fontId="20" fillId="0" borderId="4" xfId="0" applyFont="1" applyFill="1" applyBorder="1" applyAlignment="1">
      <alignment horizontal="center" vertical="center" wrapText="1"/>
    </xf>
    <xf numFmtId="9" fontId="7" fillId="0" borderId="18" xfId="0" applyNumberFormat="1" applyFont="1" applyFill="1" applyBorder="1" applyAlignment="1">
      <alignment horizontal="center" vertical="center" wrapText="1"/>
    </xf>
    <xf numFmtId="9" fontId="11" fillId="0" borderId="18" xfId="0" applyNumberFormat="1" applyFont="1" applyFill="1" applyBorder="1" applyAlignment="1">
      <alignment horizontal="center" vertical="center" wrapText="1"/>
    </xf>
    <xf numFmtId="0" fontId="10" fillId="0" borderId="18" xfId="0" applyFont="1" applyFill="1" applyBorder="1" applyAlignment="1">
      <alignment horizontal="left" vertical="top" wrapText="1"/>
    </xf>
    <xf numFmtId="0" fontId="10" fillId="0" borderId="13" xfId="0" applyFont="1" applyFill="1" applyBorder="1" applyAlignment="1">
      <alignment horizontal="left" vertical="top" wrapText="1"/>
    </xf>
    <xf numFmtId="49" fontId="2" fillId="0" borderId="16" xfId="0" applyNumberFormat="1" applyFont="1" applyFill="1" applyBorder="1" applyAlignment="1" applyProtection="1">
      <alignment horizontal="left" vertical="center" wrapText="1"/>
    </xf>
    <xf numFmtId="0" fontId="2" fillId="0" borderId="30" xfId="0" applyFont="1" applyFill="1" applyBorder="1" applyAlignment="1" applyProtection="1">
      <alignment horizontal="left" vertical="center" wrapText="1"/>
    </xf>
    <xf numFmtId="0" fontId="2" fillId="0" borderId="10" xfId="0" applyFont="1" applyFill="1" applyBorder="1" applyAlignment="1" applyProtection="1">
      <alignment horizontal="left" vertical="center" wrapText="1"/>
    </xf>
    <xf numFmtId="0" fontId="2" fillId="0" borderId="11" xfId="0" applyFont="1" applyFill="1" applyBorder="1" applyAlignment="1" applyProtection="1">
      <alignment horizontal="left" vertical="center" wrapText="1"/>
    </xf>
    <xf numFmtId="0" fontId="20" fillId="0" borderId="46" xfId="0" applyFont="1" applyFill="1" applyBorder="1" applyAlignment="1">
      <alignment horizontal="center" vertical="center" wrapText="1"/>
    </xf>
    <xf numFmtId="0" fontId="10" fillId="0" borderId="47" xfId="0" applyFont="1" applyFill="1" applyBorder="1" applyAlignment="1">
      <alignment horizontal="left" vertical="top" wrapText="1"/>
    </xf>
    <xf numFmtId="176" fontId="7" fillId="0" borderId="57" xfId="0" applyNumberFormat="1" applyFont="1" applyFill="1" applyBorder="1" applyAlignment="1">
      <alignment horizontal="center" vertical="center" wrapText="1"/>
    </xf>
    <xf numFmtId="176" fontId="7" fillId="0" borderId="59" xfId="0" applyNumberFormat="1" applyFont="1" applyFill="1" applyBorder="1" applyAlignment="1">
      <alignment horizontal="center" vertical="center" wrapText="1"/>
    </xf>
    <xf numFmtId="0" fontId="21" fillId="0" borderId="0" xfId="0" applyFont="1" applyFill="1" applyAlignment="1">
      <alignment vertical="center"/>
    </xf>
    <xf numFmtId="0" fontId="22" fillId="0" borderId="0" xfId="0" applyFont="1" applyFill="1" applyAlignment="1">
      <alignment horizontal="center"/>
    </xf>
    <xf numFmtId="0" fontId="22" fillId="0" borderId="0" xfId="0" applyFont="1" applyFill="1" applyAlignment="1">
      <alignment vertical="center"/>
    </xf>
    <xf numFmtId="0" fontId="22" fillId="0" borderId="0" xfId="0" applyFont="1" applyFill="1" applyAlignment="1">
      <alignment horizontal="center" vertical="center" wrapText="1"/>
    </xf>
    <xf numFmtId="0" fontId="23" fillId="0" borderId="0" xfId="0" applyFont="1" applyFill="1" applyBorder="1" applyAlignment="1">
      <alignment horizontal="left" vertical="top" wrapText="1"/>
    </xf>
    <xf numFmtId="0" fontId="24" fillId="0" borderId="0" xfId="0" applyFont="1" applyFill="1" applyBorder="1" applyAlignment="1">
      <alignment vertical="top" wrapText="1"/>
    </xf>
    <xf numFmtId="0" fontId="25" fillId="0" borderId="1" xfId="0" applyFont="1" applyFill="1" applyBorder="1" applyAlignment="1">
      <alignment horizontal="center" vertical="center" wrapText="1"/>
    </xf>
    <xf numFmtId="0" fontId="26" fillId="0" borderId="2" xfId="0" applyFont="1" applyFill="1" applyBorder="1" applyAlignment="1">
      <alignment horizontal="center" vertical="center" wrapText="1"/>
    </xf>
    <xf numFmtId="0" fontId="27" fillId="0" borderId="3" xfId="0" applyFont="1" applyFill="1" applyBorder="1" applyAlignment="1">
      <alignment horizontal="center" vertical="center" wrapText="1"/>
    </xf>
    <xf numFmtId="0" fontId="27" fillId="0" borderId="4" xfId="0" applyFont="1" applyFill="1" applyBorder="1" applyAlignment="1">
      <alignment horizontal="center" vertical="center" wrapText="1"/>
    </xf>
    <xf numFmtId="0" fontId="28" fillId="0" borderId="4" xfId="0" applyFont="1" applyFill="1" applyBorder="1" applyAlignment="1">
      <alignment horizontal="center" vertical="center" wrapText="1"/>
    </xf>
    <xf numFmtId="0" fontId="26" fillId="0" borderId="5" xfId="0" applyFont="1" applyFill="1" applyBorder="1" applyAlignment="1">
      <alignment horizontal="center" vertical="center" wrapText="1"/>
    </xf>
    <xf numFmtId="0" fontId="27" fillId="0" borderId="6" xfId="0" applyFont="1" applyFill="1" applyBorder="1" applyAlignment="1">
      <alignment horizontal="center" vertical="center" wrapText="1"/>
    </xf>
    <xf numFmtId="0" fontId="27" fillId="0" borderId="7" xfId="0" applyFont="1" applyFill="1" applyBorder="1" applyAlignment="1">
      <alignment horizontal="center" vertical="center" wrapText="1"/>
    </xf>
    <xf numFmtId="0" fontId="27" fillId="0" borderId="8" xfId="0" applyFont="1" applyFill="1" applyBorder="1" applyAlignment="1">
      <alignment horizontal="center" vertical="center" wrapText="1"/>
    </xf>
    <xf numFmtId="0" fontId="27" fillId="0" borderId="9" xfId="0" applyFont="1" applyFill="1" applyBorder="1" applyAlignment="1">
      <alignment horizontal="center" vertical="center" wrapText="1"/>
    </xf>
    <xf numFmtId="0" fontId="27" fillId="0" borderId="10" xfId="0" applyFont="1" applyFill="1" applyBorder="1" applyAlignment="1">
      <alignment horizontal="center" vertical="center" wrapText="1"/>
    </xf>
    <xf numFmtId="0" fontId="27" fillId="0" borderId="11" xfId="0" applyFont="1" applyFill="1" applyBorder="1" applyAlignment="1">
      <alignment horizontal="center" vertical="center" wrapText="1"/>
    </xf>
    <xf numFmtId="0" fontId="27" fillId="0" borderId="12" xfId="0" applyFont="1" applyFill="1" applyBorder="1" applyAlignment="1">
      <alignment horizontal="center" vertical="center" wrapText="1"/>
    </xf>
    <xf numFmtId="0" fontId="27" fillId="0" borderId="13" xfId="0" applyFont="1" applyFill="1" applyBorder="1" applyAlignment="1">
      <alignment horizontal="center" vertical="center" wrapText="1"/>
    </xf>
    <xf numFmtId="0" fontId="27" fillId="0" borderId="14" xfId="0" applyFont="1" applyFill="1" applyBorder="1" applyAlignment="1">
      <alignment horizontal="center" vertical="center" wrapText="1"/>
    </xf>
    <xf numFmtId="0" fontId="27" fillId="0" borderId="15" xfId="0" applyFont="1" applyFill="1" applyBorder="1" applyAlignment="1">
      <alignment horizontal="center" vertical="center" wrapText="1"/>
    </xf>
    <xf numFmtId="0" fontId="27" fillId="0" borderId="16" xfId="0" applyFont="1" applyFill="1" applyBorder="1" applyAlignment="1">
      <alignment horizontal="center" vertical="center" wrapText="1"/>
    </xf>
    <xf numFmtId="0" fontId="27" fillId="0" borderId="17" xfId="0" applyFont="1" applyFill="1" applyBorder="1" applyAlignment="1">
      <alignment horizontal="center" vertical="center" wrapText="1"/>
    </xf>
    <xf numFmtId="0" fontId="27" fillId="0" borderId="19" xfId="0" applyFont="1" applyFill="1" applyBorder="1" applyAlignment="1">
      <alignment horizontal="center" vertical="center" wrapText="1"/>
    </xf>
    <xf numFmtId="0" fontId="27" fillId="0" borderId="18" xfId="0" applyFont="1" applyFill="1" applyBorder="1" applyAlignment="1">
      <alignment horizontal="center" vertical="center" wrapText="1"/>
    </xf>
    <xf numFmtId="0" fontId="27" fillId="0" borderId="20" xfId="0" applyFont="1" applyFill="1" applyBorder="1" applyAlignment="1">
      <alignment horizontal="left" vertical="center" wrapText="1"/>
    </xf>
    <xf numFmtId="0" fontId="27" fillId="0" borderId="16" xfId="0" applyFont="1" applyFill="1" applyBorder="1" applyAlignment="1">
      <alignment horizontal="left" vertical="center" wrapText="1"/>
    </xf>
    <xf numFmtId="0" fontId="26" fillId="0" borderId="21" xfId="0" applyFont="1" applyFill="1" applyBorder="1" applyAlignment="1">
      <alignment horizontal="center" vertical="center" wrapText="1"/>
    </xf>
    <xf numFmtId="0" fontId="27" fillId="0" borderId="22" xfId="0" applyFont="1" applyFill="1" applyBorder="1" applyAlignment="1">
      <alignment horizontal="left" vertical="center" wrapText="1"/>
    </xf>
    <xf numFmtId="0" fontId="27" fillId="0" borderId="23" xfId="0" applyFont="1" applyFill="1" applyBorder="1" applyAlignment="1">
      <alignment horizontal="left" vertical="center" wrapText="1"/>
    </xf>
    <xf numFmtId="0" fontId="26" fillId="0" borderId="24" xfId="0" applyFont="1" applyFill="1" applyBorder="1" applyAlignment="1">
      <alignment horizontal="center" vertical="center" wrapText="1"/>
    </xf>
    <xf numFmtId="0" fontId="29" fillId="0" borderId="4" xfId="0" applyFont="1" applyFill="1" applyBorder="1" applyAlignment="1">
      <alignment horizontal="center" vertical="center" wrapText="1"/>
    </xf>
    <xf numFmtId="0" fontId="22" fillId="0" borderId="25" xfId="0" applyFont="1" applyFill="1" applyBorder="1" applyAlignment="1">
      <alignment horizontal="center" vertical="center" wrapText="1"/>
    </xf>
    <xf numFmtId="0" fontId="22" fillId="0" borderId="26" xfId="0" applyFont="1" applyFill="1" applyBorder="1" applyAlignment="1">
      <alignment horizontal="center" vertical="center" wrapText="1"/>
    </xf>
    <xf numFmtId="0" fontId="22" fillId="0" borderId="27" xfId="0" applyFont="1" applyFill="1" applyBorder="1" applyAlignment="1">
      <alignment horizontal="center" vertical="center" wrapText="1"/>
    </xf>
    <xf numFmtId="0" fontId="26" fillId="0" borderId="9" xfId="0" applyFont="1" applyFill="1" applyBorder="1" applyAlignment="1">
      <alignment horizontal="center" vertical="center" wrapText="1"/>
    </xf>
    <xf numFmtId="0" fontId="29" fillId="0" borderId="16" xfId="0" applyFont="1" applyFill="1" applyBorder="1" applyAlignment="1">
      <alignment horizontal="center" vertical="center" wrapText="1"/>
    </xf>
    <xf numFmtId="0" fontId="22" fillId="0" borderId="28" xfId="0" applyFont="1" applyFill="1" applyBorder="1" applyAlignment="1">
      <alignment horizontal="center" vertical="center" wrapText="1"/>
    </xf>
    <xf numFmtId="0" fontId="22" fillId="0" borderId="0" xfId="0" applyFont="1" applyFill="1" applyBorder="1" applyAlignment="1">
      <alignment horizontal="center" vertical="center" wrapText="1"/>
    </xf>
    <xf numFmtId="0" fontId="22" fillId="0" borderId="29" xfId="0" applyFont="1" applyFill="1" applyBorder="1" applyAlignment="1">
      <alignment horizontal="center" vertical="center" wrapText="1"/>
    </xf>
    <xf numFmtId="0" fontId="26" fillId="0" borderId="12" xfId="0" applyFont="1" applyFill="1" applyBorder="1" applyAlignment="1">
      <alignment horizontal="center" vertical="center" wrapText="1"/>
    </xf>
    <xf numFmtId="0" fontId="22" fillId="0" borderId="30" xfId="0" applyFont="1" applyFill="1" applyBorder="1" applyAlignment="1">
      <alignment horizontal="center" vertical="center" wrapText="1"/>
    </xf>
    <xf numFmtId="0" fontId="22" fillId="0" borderId="10" xfId="0" applyFont="1" applyFill="1" applyBorder="1" applyAlignment="1">
      <alignment horizontal="center" vertical="center" wrapText="1"/>
    </xf>
    <xf numFmtId="0" fontId="22" fillId="0" borderId="11" xfId="0" applyFont="1" applyFill="1" applyBorder="1" applyAlignment="1">
      <alignment horizontal="center" vertical="center" wrapText="1"/>
    </xf>
    <xf numFmtId="0" fontId="21" fillId="0" borderId="16" xfId="0" applyFont="1" applyFill="1" applyBorder="1" applyAlignment="1">
      <alignment horizontal="center" vertical="center" wrapText="1"/>
    </xf>
    <xf numFmtId="0" fontId="29" fillId="0" borderId="18" xfId="0" applyFont="1" applyFill="1" applyBorder="1" applyAlignment="1">
      <alignment horizontal="center" vertical="center" wrapText="1"/>
    </xf>
    <xf numFmtId="0" fontId="29" fillId="0" borderId="13" xfId="0" applyFont="1" applyFill="1" applyBorder="1" applyAlignment="1">
      <alignment horizontal="center" vertical="center" wrapText="1"/>
    </xf>
    <xf numFmtId="0" fontId="29" fillId="0" borderId="14" xfId="0" applyFont="1" applyFill="1" applyBorder="1" applyAlignment="1">
      <alignment horizontal="center" vertical="center" wrapText="1"/>
    </xf>
    <xf numFmtId="0" fontId="22" fillId="0" borderId="16" xfId="0" applyFont="1" applyFill="1" applyBorder="1" applyAlignment="1">
      <alignment horizontal="left" vertical="center" wrapText="1"/>
    </xf>
    <xf numFmtId="0" fontId="22" fillId="0" borderId="18" xfId="0" applyFont="1" applyFill="1" applyBorder="1" applyAlignment="1">
      <alignment horizontal="left" vertical="center" wrapText="1"/>
    </xf>
    <xf numFmtId="0" fontId="22" fillId="0" borderId="13" xfId="0" applyFont="1" applyFill="1" applyBorder="1" applyAlignment="1">
      <alignment horizontal="left" vertical="center" wrapText="1"/>
    </xf>
    <xf numFmtId="0" fontId="22" fillId="0" borderId="14" xfId="0" applyFont="1" applyFill="1" applyBorder="1" applyAlignment="1">
      <alignment horizontal="left" vertical="center" wrapText="1"/>
    </xf>
    <xf numFmtId="0" fontId="22" fillId="0" borderId="16" xfId="0" applyFont="1" applyFill="1" applyBorder="1" applyAlignment="1">
      <alignment horizontal="center" vertical="center" wrapText="1"/>
    </xf>
    <xf numFmtId="0" fontId="22" fillId="0" borderId="16" xfId="0" applyFont="1" applyFill="1" applyBorder="1" applyAlignment="1">
      <alignment horizontal="center" vertical="center"/>
    </xf>
    <xf numFmtId="0" fontId="22" fillId="0" borderId="16" xfId="0" applyFont="1" applyFill="1" applyBorder="1" applyAlignment="1">
      <alignment vertical="center" wrapText="1"/>
    </xf>
    <xf numFmtId="0" fontId="22" fillId="2" borderId="16" xfId="0" applyFont="1" applyFill="1" applyBorder="1" applyAlignment="1">
      <alignment horizontal="center" vertical="center" wrapText="1"/>
    </xf>
    <xf numFmtId="0" fontId="26" fillId="0" borderId="6" xfId="0" applyFont="1" applyFill="1" applyBorder="1" applyAlignment="1">
      <alignment horizontal="center" vertical="center" wrapText="1"/>
    </xf>
    <xf numFmtId="0" fontId="22" fillId="0" borderId="31" xfId="0" applyFont="1" applyFill="1" applyBorder="1" applyAlignment="1">
      <alignment horizontal="center" vertical="center"/>
    </xf>
    <xf numFmtId="0" fontId="26" fillId="0" borderId="32" xfId="0" applyFont="1" applyFill="1" applyBorder="1" applyAlignment="1">
      <alignment horizontal="center" vertical="center" wrapText="1"/>
    </xf>
    <xf numFmtId="0" fontId="22" fillId="0" borderId="23" xfId="0" applyFont="1" applyFill="1" applyBorder="1" applyAlignment="1">
      <alignment horizontal="center" vertical="center"/>
    </xf>
    <xf numFmtId="0" fontId="26" fillId="0" borderId="33" xfId="0" applyFont="1" applyFill="1" applyBorder="1" applyAlignment="1">
      <alignment horizontal="center" vertical="center" wrapText="1"/>
    </xf>
    <xf numFmtId="0" fontId="26" fillId="0" borderId="34" xfId="0" applyFont="1" applyFill="1" applyBorder="1" applyAlignment="1">
      <alignment horizontal="center" vertical="center" wrapText="1"/>
    </xf>
    <xf numFmtId="0" fontId="30" fillId="0" borderId="6" xfId="0" applyFont="1" applyFill="1" applyBorder="1" applyAlignment="1">
      <alignment horizontal="left" vertical="center" wrapText="1"/>
    </xf>
    <xf numFmtId="0" fontId="22" fillId="0" borderId="7" xfId="0" applyFont="1" applyFill="1" applyBorder="1" applyAlignment="1">
      <alignment horizontal="left" vertical="center" wrapText="1"/>
    </xf>
    <xf numFmtId="0" fontId="22" fillId="0" borderId="8" xfId="0" applyFont="1" applyFill="1" applyBorder="1" applyAlignment="1">
      <alignment horizontal="left" vertical="center" wrapText="1"/>
    </xf>
    <xf numFmtId="0" fontId="22" fillId="0" borderId="35" xfId="0" applyFont="1" applyFill="1" applyBorder="1" applyAlignment="1">
      <alignment horizontal="left" vertical="center" wrapText="1"/>
    </xf>
    <xf numFmtId="0" fontId="30" fillId="0" borderId="5" xfId="0" applyFont="1" applyFill="1" applyBorder="1" applyAlignment="1">
      <alignment horizontal="left" vertical="center" wrapText="1"/>
    </xf>
    <xf numFmtId="0" fontId="22" fillId="0" borderId="0" xfId="0" applyFont="1" applyFill="1" applyBorder="1" applyAlignment="1">
      <alignment horizontal="left" vertical="center" wrapText="1"/>
    </xf>
    <xf numFmtId="0" fontId="22" fillId="0" borderId="29" xfId="0" applyFont="1" applyFill="1" applyBorder="1" applyAlignment="1">
      <alignment horizontal="left" vertical="center" wrapText="1"/>
    </xf>
    <xf numFmtId="0" fontId="22" fillId="0" borderId="35" xfId="0" applyFont="1" applyFill="1" applyBorder="1" applyAlignment="1">
      <alignment horizontal="center" vertical="center" wrapText="1"/>
    </xf>
    <xf numFmtId="0" fontId="22" fillId="0" borderId="7" xfId="0" applyFont="1" applyFill="1" applyBorder="1" applyAlignment="1">
      <alignment horizontal="center" vertical="center" wrapText="1"/>
    </xf>
    <xf numFmtId="0" fontId="22" fillId="0" borderId="8" xfId="0" applyFont="1" applyFill="1" applyBorder="1" applyAlignment="1">
      <alignment horizontal="center" vertical="center" wrapText="1"/>
    </xf>
    <xf numFmtId="0" fontId="30" fillId="0" borderId="2" xfId="0" applyFont="1" applyFill="1" applyBorder="1" applyAlignment="1">
      <alignment horizontal="left" vertical="center" wrapText="1"/>
    </xf>
    <xf numFmtId="0" fontId="22" fillId="0" borderId="26" xfId="0" applyFont="1" applyFill="1" applyBorder="1" applyAlignment="1">
      <alignment horizontal="left" vertical="center" wrapText="1"/>
    </xf>
    <xf numFmtId="0" fontId="22" fillId="0" borderId="27" xfId="0" applyFont="1" applyFill="1" applyBorder="1" applyAlignment="1">
      <alignment horizontal="left" vertical="center" wrapText="1"/>
    </xf>
    <xf numFmtId="0" fontId="22" fillId="0" borderId="4" xfId="0" applyFont="1" applyFill="1" applyBorder="1" applyAlignment="1">
      <alignment horizontal="center" vertical="center" wrapText="1"/>
    </xf>
    <xf numFmtId="0" fontId="22" fillId="0" borderId="4" xfId="0" applyFont="1" applyFill="1" applyBorder="1" applyAlignment="1">
      <alignment horizontal="left" vertical="center" wrapText="1"/>
    </xf>
    <xf numFmtId="0" fontId="22" fillId="0" borderId="5" xfId="0" applyFont="1" applyFill="1" applyBorder="1" applyAlignment="1">
      <alignment horizontal="left" vertical="center" wrapText="1"/>
    </xf>
    <xf numFmtId="49" fontId="22" fillId="0" borderId="16" xfId="0" applyNumberFormat="1" applyFont="1" applyFill="1" applyBorder="1" applyAlignment="1">
      <alignment horizontal="left" vertical="center" wrapText="1"/>
    </xf>
    <xf numFmtId="0" fontId="22" fillId="0" borderId="21" xfId="0" applyFont="1" applyFill="1" applyBorder="1" applyAlignment="1">
      <alignment horizontal="left" vertical="center" wrapText="1"/>
    </xf>
    <xf numFmtId="0" fontId="22" fillId="0" borderId="1" xfId="0" applyFont="1" applyFill="1" applyBorder="1" applyAlignment="1">
      <alignment horizontal="left" vertical="center" wrapText="1"/>
    </xf>
    <xf numFmtId="0" fontId="22" fillId="0" borderId="36" xfId="0" applyFont="1" applyFill="1" applyBorder="1" applyAlignment="1">
      <alignment horizontal="left" vertical="center" wrapText="1"/>
    </xf>
    <xf numFmtId="0" fontId="22" fillId="0" borderId="23" xfId="0" applyFont="1" applyFill="1" applyBorder="1" applyAlignment="1">
      <alignment horizontal="center" vertical="center" wrapText="1"/>
    </xf>
    <xf numFmtId="0" fontId="22" fillId="0" borderId="23" xfId="0" applyFont="1" applyFill="1" applyBorder="1" applyAlignment="1">
      <alignment horizontal="left" vertical="center" wrapText="1"/>
    </xf>
    <xf numFmtId="0" fontId="27" fillId="0" borderId="24" xfId="0" applyFont="1" applyFill="1" applyBorder="1" applyAlignment="1">
      <alignment horizontal="center" vertical="center" wrapText="1"/>
    </xf>
    <xf numFmtId="0" fontId="27" fillId="0" borderId="37" xfId="0" applyFont="1" applyFill="1" applyBorder="1" applyAlignment="1">
      <alignment horizontal="center" vertical="center" wrapText="1"/>
    </xf>
    <xf numFmtId="0" fontId="26" fillId="0" borderId="38"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31" fillId="0" borderId="39" xfId="0" applyFont="1" applyFill="1" applyBorder="1" applyAlignment="1">
      <alignment horizontal="center" vertical="center"/>
    </xf>
    <xf numFmtId="0" fontId="22" fillId="0" borderId="40" xfId="0" applyFont="1" applyFill="1" applyBorder="1" applyAlignment="1">
      <alignment horizontal="center" vertical="center"/>
    </xf>
    <xf numFmtId="0" fontId="27" fillId="2" borderId="41" xfId="0" applyFont="1" applyFill="1" applyBorder="1" applyAlignment="1">
      <alignment horizontal="center" vertical="center" wrapText="1"/>
    </xf>
    <xf numFmtId="0" fontId="22" fillId="2" borderId="37" xfId="0" applyFont="1" applyFill="1" applyBorder="1" applyAlignment="1">
      <alignment horizontal="center" vertical="center" wrapText="1"/>
    </xf>
    <xf numFmtId="0" fontId="22" fillId="2" borderId="42" xfId="0" applyFont="1" applyFill="1" applyBorder="1" applyAlignment="1">
      <alignment horizontal="center" vertical="center" wrapText="1"/>
    </xf>
    <xf numFmtId="0" fontId="22" fillId="2" borderId="43" xfId="0" applyFont="1" applyFill="1" applyBorder="1" applyAlignment="1">
      <alignment horizontal="center" vertical="center" wrapText="1"/>
    </xf>
    <xf numFmtId="0" fontId="26" fillId="0" borderId="34" xfId="0" applyFont="1" applyFill="1" applyBorder="1" applyAlignment="1">
      <alignment horizontal="center" vertical="center"/>
    </xf>
    <xf numFmtId="0" fontId="21" fillId="0" borderId="17" xfId="0" applyFont="1" applyFill="1" applyBorder="1" applyAlignment="1">
      <alignment vertical="center"/>
    </xf>
    <xf numFmtId="0" fontId="22" fillId="0" borderId="18" xfId="0" applyFont="1" applyFill="1" applyBorder="1" applyAlignment="1">
      <alignment horizontal="center" vertical="center" wrapText="1"/>
    </xf>
    <xf numFmtId="0" fontId="22" fillId="0" borderId="14" xfId="0" applyFont="1" applyFill="1" applyBorder="1" applyAlignment="1">
      <alignment horizontal="center" vertical="center" wrapText="1"/>
    </xf>
    <xf numFmtId="0" fontId="22" fillId="2" borderId="18" xfId="0" applyFont="1" applyFill="1" applyBorder="1" applyAlignment="1">
      <alignment horizontal="center" vertical="center" wrapText="1"/>
    </xf>
    <xf numFmtId="0" fontId="22" fillId="2" borderId="13" xfId="0" applyFont="1" applyFill="1" applyBorder="1" applyAlignment="1">
      <alignment horizontal="center" vertical="center" wrapText="1"/>
    </xf>
    <xf numFmtId="0" fontId="22" fillId="2" borderId="18" xfId="0" applyFont="1" applyFill="1" applyBorder="1" applyAlignment="1">
      <alignment horizontal="left" vertical="top" wrapText="1"/>
    </xf>
    <xf numFmtId="0" fontId="22" fillId="2" borderId="13" xfId="0" applyFont="1" applyFill="1" applyBorder="1" applyAlignment="1">
      <alignment horizontal="left" vertical="top" wrapText="1"/>
    </xf>
    <xf numFmtId="0" fontId="21" fillId="0" borderId="44" xfId="0" applyFont="1" applyFill="1" applyBorder="1" applyAlignment="1">
      <alignment vertical="center"/>
    </xf>
    <xf numFmtId="0" fontId="22" fillId="2" borderId="39" xfId="0" applyFont="1" applyFill="1" applyBorder="1" applyAlignment="1">
      <alignment horizontal="center" vertical="center" wrapText="1"/>
    </xf>
    <xf numFmtId="0" fontId="22" fillId="2" borderId="40" xfId="0" applyFont="1" applyFill="1" applyBorder="1" applyAlignment="1">
      <alignment horizontal="center" vertical="center" wrapText="1"/>
    </xf>
    <xf numFmtId="0" fontId="22" fillId="2" borderId="25" xfId="0" applyFont="1" applyFill="1" applyBorder="1" applyAlignment="1">
      <alignment horizontal="left" vertical="center" wrapText="1"/>
    </xf>
    <xf numFmtId="0" fontId="22" fillId="2" borderId="26" xfId="0" applyFont="1" applyFill="1" applyBorder="1" applyAlignment="1">
      <alignment horizontal="left" vertical="center" wrapText="1"/>
    </xf>
    <xf numFmtId="0" fontId="27" fillId="2" borderId="17" xfId="0" applyFont="1" applyFill="1" applyBorder="1" applyAlignment="1">
      <alignment horizontal="center" vertical="center" wrapText="1"/>
    </xf>
    <xf numFmtId="0" fontId="22" fillId="2" borderId="30" xfId="0" applyFont="1" applyFill="1" applyBorder="1" applyAlignment="1">
      <alignment horizontal="center" wrapText="1"/>
    </xf>
    <xf numFmtId="0" fontId="22" fillId="2" borderId="10" xfId="0" applyFont="1" applyFill="1" applyBorder="1" applyAlignment="1">
      <alignment horizontal="center" wrapText="1"/>
    </xf>
    <xf numFmtId="0" fontId="27" fillId="0" borderId="35" xfId="0" applyFont="1" applyFill="1" applyBorder="1" applyAlignment="1">
      <alignment horizontal="center" vertical="center" wrapText="1"/>
    </xf>
    <xf numFmtId="0" fontId="21" fillId="0" borderId="18" xfId="0" applyFont="1" applyFill="1" applyBorder="1" applyAlignment="1">
      <alignment horizontal="left" vertical="center" wrapText="1"/>
    </xf>
    <xf numFmtId="0" fontId="21" fillId="0" borderId="13" xfId="0" applyFont="1" applyFill="1" applyBorder="1" applyAlignment="1">
      <alignment horizontal="left" vertical="center" wrapText="1"/>
    </xf>
    <xf numFmtId="0" fontId="21" fillId="0" borderId="14" xfId="0" applyFont="1" applyFill="1" applyBorder="1" applyAlignment="1">
      <alignment horizontal="left" vertical="center" wrapText="1"/>
    </xf>
    <xf numFmtId="0" fontId="27" fillId="0" borderId="30" xfId="0" applyFont="1" applyFill="1" applyBorder="1" applyAlignment="1">
      <alignment horizontal="center" vertical="center" wrapText="1"/>
    </xf>
    <xf numFmtId="0" fontId="30" fillId="0" borderId="18" xfId="0" applyFont="1" applyFill="1" applyBorder="1" applyAlignment="1">
      <alignment horizontal="center" vertical="center" wrapText="1"/>
    </xf>
    <xf numFmtId="0" fontId="30" fillId="0" borderId="13" xfId="0" applyFont="1" applyFill="1" applyBorder="1" applyAlignment="1">
      <alignment horizontal="center" vertical="center" wrapText="1"/>
    </xf>
    <xf numFmtId="0" fontId="30" fillId="0" borderId="14" xfId="0" applyFont="1" applyFill="1" applyBorder="1" applyAlignment="1">
      <alignment horizontal="center" vertical="center" wrapText="1"/>
    </xf>
    <xf numFmtId="0" fontId="30" fillId="0" borderId="16" xfId="0" applyFont="1" applyFill="1" applyBorder="1" applyAlignment="1">
      <alignment horizontal="center" vertical="center" wrapText="1"/>
    </xf>
    <xf numFmtId="9" fontId="30" fillId="0" borderId="18" xfId="0" applyNumberFormat="1" applyFont="1" applyFill="1" applyBorder="1" applyAlignment="1">
      <alignment horizontal="center" vertical="center" wrapText="1"/>
    </xf>
    <xf numFmtId="9" fontId="27" fillId="0" borderId="18" xfId="0" applyNumberFormat="1" applyFont="1" applyFill="1" applyBorder="1" applyAlignment="1">
      <alignment horizontal="center" vertical="center" wrapText="1"/>
    </xf>
    <xf numFmtId="0" fontId="32" fillId="0" borderId="16" xfId="0" applyFont="1" applyFill="1" applyBorder="1" applyAlignment="1">
      <alignment horizontal="center" vertical="center" wrapText="1"/>
    </xf>
    <xf numFmtId="9" fontId="30" fillId="0" borderId="16" xfId="0" applyNumberFormat="1" applyFont="1" applyFill="1" applyBorder="1" applyAlignment="1">
      <alignment horizontal="center" vertical="center" wrapText="1"/>
    </xf>
    <xf numFmtId="0" fontId="22" fillId="0" borderId="4" xfId="0" applyFont="1" applyFill="1" applyBorder="1" applyAlignment="1">
      <alignment horizontal="center" vertical="center"/>
    </xf>
    <xf numFmtId="0" fontId="21" fillId="0" borderId="16" xfId="0" applyFont="1" applyFill="1" applyBorder="1" applyAlignment="1">
      <alignment vertical="center"/>
    </xf>
    <xf numFmtId="0" fontId="22" fillId="0" borderId="16" xfId="0" applyFont="1" applyFill="1" applyBorder="1" applyAlignment="1">
      <alignment vertical="center"/>
    </xf>
    <xf numFmtId="10" fontId="22" fillId="0" borderId="16" xfId="0" applyNumberFormat="1" applyFont="1" applyFill="1" applyBorder="1" applyAlignment="1">
      <alignment horizontal="center" vertical="center" wrapText="1"/>
    </xf>
    <xf numFmtId="0" fontId="27" fillId="0" borderId="43" xfId="0" applyFont="1" applyFill="1" applyBorder="1" applyAlignment="1">
      <alignment horizontal="center" vertical="center" wrapText="1"/>
    </xf>
    <xf numFmtId="49" fontId="33" fillId="0" borderId="16" xfId="0" applyNumberFormat="1" applyFont="1" applyFill="1" applyBorder="1" applyAlignment="1">
      <alignment horizontal="left" vertical="center" wrapText="1"/>
    </xf>
    <xf numFmtId="9" fontId="27" fillId="0" borderId="18" xfId="11" applyFont="1" applyFill="1" applyBorder="1" applyAlignment="1">
      <alignment horizontal="center" vertical="center" wrapText="1"/>
    </xf>
    <xf numFmtId="49" fontId="33" fillId="0" borderId="18" xfId="0" applyNumberFormat="1" applyFont="1" applyFill="1" applyBorder="1" applyAlignment="1">
      <alignment horizontal="left" vertical="center" wrapText="1"/>
    </xf>
    <xf numFmtId="49" fontId="33" fillId="0" borderId="13" xfId="0" applyNumberFormat="1" applyFont="1" applyFill="1" applyBorder="1" applyAlignment="1">
      <alignment horizontal="left" vertical="center" wrapText="1"/>
    </xf>
    <xf numFmtId="49" fontId="33" fillId="0" borderId="14" xfId="0" applyNumberFormat="1" applyFont="1" applyFill="1" applyBorder="1" applyAlignment="1">
      <alignment horizontal="left" vertical="center" wrapText="1"/>
    </xf>
    <xf numFmtId="0" fontId="33" fillId="0" borderId="4" xfId="0" applyFont="1" applyFill="1" applyBorder="1" applyAlignment="1">
      <alignment horizontal="left" vertical="center" wrapText="1"/>
    </xf>
    <xf numFmtId="9" fontId="27" fillId="0" borderId="4" xfId="11" applyFont="1" applyFill="1" applyBorder="1" applyAlignment="1">
      <alignment horizontal="center" vertical="center" wrapText="1"/>
    </xf>
    <xf numFmtId="0" fontId="33" fillId="0" borderId="16" xfId="0" applyFont="1" applyFill="1" applyBorder="1" applyAlignment="1">
      <alignment horizontal="left" vertical="center" wrapText="1"/>
    </xf>
    <xf numFmtId="9" fontId="27" fillId="0" borderId="16" xfId="11" applyFont="1" applyFill="1" applyBorder="1" applyAlignment="1">
      <alignment horizontal="center" vertical="center" wrapText="1"/>
    </xf>
    <xf numFmtId="49" fontId="33" fillId="0" borderId="4" xfId="0" applyNumberFormat="1" applyFont="1" applyFill="1" applyBorder="1" applyAlignment="1">
      <alignment horizontal="left" vertical="center" wrapText="1"/>
    </xf>
    <xf numFmtId="49" fontId="33" fillId="0" borderId="16" xfId="0" applyNumberFormat="1" applyFont="1" applyFill="1" applyBorder="1" applyAlignment="1">
      <alignment horizontal="center" vertical="center" wrapText="1"/>
    </xf>
    <xf numFmtId="49" fontId="33" fillId="0" borderId="23" xfId="0" applyNumberFormat="1" applyFont="1" applyFill="1" applyBorder="1" applyAlignment="1">
      <alignment horizontal="left" vertical="center" wrapText="1"/>
    </xf>
    <xf numFmtId="9" fontId="27" fillId="0" borderId="23" xfId="11" applyFont="1" applyFill="1" applyBorder="1" applyAlignment="1">
      <alignment horizontal="center" vertical="center" wrapText="1"/>
    </xf>
    <xf numFmtId="0" fontId="27" fillId="0" borderId="42" xfId="0" applyFont="1" applyFill="1" applyBorder="1" applyAlignment="1">
      <alignment horizontal="center" vertical="center" wrapText="1"/>
    </xf>
    <xf numFmtId="9" fontId="27" fillId="0" borderId="4" xfId="0" applyNumberFormat="1" applyFont="1" applyFill="1" applyBorder="1" applyAlignment="1">
      <alignment horizontal="center" vertical="center" wrapText="1"/>
    </xf>
    <xf numFmtId="0" fontId="22" fillId="2" borderId="25" xfId="0" applyFont="1" applyFill="1" applyBorder="1" applyAlignment="1">
      <alignment horizontal="center" vertical="center" wrapText="1"/>
    </xf>
    <xf numFmtId="0" fontId="22" fillId="2" borderId="14" xfId="0" applyFont="1" applyFill="1" applyBorder="1" applyAlignment="1">
      <alignment horizontal="center" vertical="center" wrapText="1"/>
    </xf>
    <xf numFmtId="0" fontId="28" fillId="0" borderId="46" xfId="0" applyFont="1" applyFill="1" applyBorder="1" applyAlignment="1">
      <alignment horizontal="center" vertical="center" wrapText="1"/>
    </xf>
    <xf numFmtId="0" fontId="21" fillId="0" borderId="47" xfId="0" applyFont="1" applyFill="1" applyBorder="1" applyAlignment="1">
      <alignment horizontal="left" vertical="center" wrapText="1"/>
    </xf>
    <xf numFmtId="0" fontId="21" fillId="0" borderId="0" xfId="0" applyFont="1" applyFill="1" applyAlignment="1">
      <alignment horizontal="center" vertical="center" wrapText="1"/>
    </xf>
    <xf numFmtId="0" fontId="27" fillId="0" borderId="47" xfId="0" applyFont="1" applyFill="1" applyBorder="1" applyAlignment="1">
      <alignment horizontal="center" vertical="center" wrapText="1"/>
    </xf>
    <xf numFmtId="0" fontId="22" fillId="0" borderId="0" xfId="0" applyFont="1" applyFill="1" applyAlignment="1">
      <alignment horizontal="center" vertical="center"/>
    </xf>
    <xf numFmtId="0" fontId="30" fillId="0" borderId="47" xfId="0" applyFont="1" applyFill="1" applyBorder="1" applyAlignment="1">
      <alignment horizontal="center" vertical="center" wrapText="1"/>
    </xf>
    <xf numFmtId="0" fontId="22" fillId="0" borderId="48" xfId="0" applyFont="1" applyFill="1" applyBorder="1" applyAlignment="1">
      <alignment horizontal="left" vertical="center" wrapText="1"/>
    </xf>
    <xf numFmtId="0" fontId="22" fillId="0" borderId="49" xfId="0" applyFont="1" applyFill="1" applyBorder="1" applyAlignment="1">
      <alignment horizontal="left" vertical="center" wrapText="1"/>
    </xf>
    <xf numFmtId="0" fontId="22" fillId="0" borderId="46" xfId="0" applyFont="1" applyFill="1" applyBorder="1" applyAlignment="1">
      <alignment horizontal="center" vertical="center"/>
    </xf>
    <xf numFmtId="0" fontId="22" fillId="0" borderId="48" xfId="0" applyFont="1" applyFill="1" applyBorder="1" applyAlignment="1">
      <alignment horizontal="center" vertical="center" wrapText="1"/>
    </xf>
    <xf numFmtId="0" fontId="29" fillId="0" borderId="48" xfId="0" applyFont="1" applyFill="1" applyBorder="1" applyAlignment="1">
      <alignment horizontal="center" vertical="center" wrapText="1"/>
    </xf>
    <xf numFmtId="0" fontId="22" fillId="0" borderId="0" xfId="0" applyFont="1" applyFill="1" applyBorder="1" applyAlignment="1">
      <alignment vertical="center"/>
    </xf>
    <xf numFmtId="0" fontId="29" fillId="0" borderId="47" xfId="0" applyFont="1" applyFill="1" applyBorder="1" applyAlignment="1">
      <alignment horizontal="center" vertical="center" wrapText="1"/>
    </xf>
    <xf numFmtId="0" fontId="22" fillId="2" borderId="48" xfId="0" applyFont="1" applyFill="1" applyBorder="1" applyAlignment="1">
      <alignment horizontal="center" vertical="center" wrapText="1"/>
    </xf>
    <xf numFmtId="0" fontId="21" fillId="0" borderId="50" xfId="0" applyFont="1" applyFill="1" applyBorder="1" applyAlignment="1">
      <alignment vertical="center"/>
    </xf>
    <xf numFmtId="9" fontId="27" fillId="0" borderId="14" xfId="11" applyFont="1" applyFill="1" applyBorder="1" applyAlignment="1">
      <alignment horizontal="center" vertical="center" wrapText="1"/>
    </xf>
    <xf numFmtId="0" fontId="27" fillId="0" borderId="48" xfId="0" applyFont="1" applyFill="1" applyBorder="1" applyAlignment="1">
      <alignment horizontal="center" vertical="center" wrapText="1"/>
    </xf>
    <xf numFmtId="0" fontId="27" fillId="0" borderId="46" xfId="0" applyFont="1" applyFill="1" applyBorder="1" applyAlignment="1">
      <alignment horizontal="center" vertical="center" wrapText="1"/>
    </xf>
    <xf numFmtId="0" fontId="21" fillId="0" borderId="48" xfId="0" applyFont="1" applyFill="1" applyBorder="1" applyAlignment="1">
      <alignment vertical="center"/>
    </xf>
    <xf numFmtId="0" fontId="21" fillId="0" borderId="48" xfId="0" applyFont="1" applyFill="1" applyBorder="1" applyAlignment="1">
      <alignment horizontal="center" vertical="center"/>
    </xf>
    <xf numFmtId="0" fontId="27" fillId="0" borderId="23" xfId="0" applyFont="1" applyFill="1" applyBorder="1" applyAlignment="1">
      <alignment horizontal="center" vertical="center" wrapText="1"/>
    </xf>
    <xf numFmtId="0" fontId="27" fillId="0" borderId="49" xfId="0" applyFont="1" applyFill="1" applyBorder="1" applyAlignment="1">
      <alignment horizontal="center" vertical="center" wrapText="1"/>
    </xf>
    <xf numFmtId="176" fontId="27" fillId="0" borderId="4" xfId="0" applyNumberFormat="1" applyFont="1" applyFill="1" applyBorder="1" applyAlignment="1">
      <alignment horizontal="center" vertical="center" wrapText="1"/>
    </xf>
    <xf numFmtId="176" fontId="27" fillId="0" borderId="46" xfId="0" applyNumberFormat="1" applyFont="1" applyFill="1" applyBorder="1" applyAlignment="1">
      <alignment horizontal="center" vertical="center" wrapText="1"/>
    </xf>
    <xf numFmtId="0" fontId="22" fillId="0" borderId="45" xfId="0" applyFont="1" applyFill="1" applyBorder="1" applyAlignment="1">
      <alignment horizontal="center" vertical="center"/>
    </xf>
    <xf numFmtId="0" fontId="22" fillId="2" borderId="50" xfId="0" applyFont="1" applyFill="1" applyBorder="1" applyAlignment="1">
      <alignment horizontal="center" vertical="center" wrapText="1"/>
    </xf>
    <xf numFmtId="0" fontId="22" fillId="0" borderId="47" xfId="0" applyFont="1" applyFill="1" applyBorder="1" applyAlignment="1">
      <alignment horizontal="center" vertical="center" wrapText="1"/>
    </xf>
    <xf numFmtId="0" fontId="22" fillId="2" borderId="47" xfId="0" applyFont="1" applyFill="1" applyBorder="1" applyAlignment="1">
      <alignment horizontal="left" vertical="top" wrapText="1"/>
    </xf>
    <xf numFmtId="0" fontId="22" fillId="2" borderId="45" xfId="0" applyFont="1" applyFill="1" applyBorder="1" applyAlignment="1">
      <alignment horizontal="center" vertical="center" wrapText="1"/>
    </xf>
    <xf numFmtId="0" fontId="22" fillId="2" borderId="51" xfId="0" applyFont="1" applyFill="1" applyBorder="1" applyAlignment="1">
      <alignment horizontal="left" vertical="center" wrapText="1"/>
    </xf>
    <xf numFmtId="0" fontId="22" fillId="2" borderId="53" xfId="0" applyFont="1" applyFill="1" applyBorder="1" applyAlignment="1">
      <alignment horizontal="center" wrapText="1"/>
    </xf>
    <xf numFmtId="0" fontId="27" fillId="2" borderId="44" xfId="0" applyFont="1" applyFill="1" applyBorder="1" applyAlignment="1">
      <alignment horizontal="center" vertical="center" wrapText="1"/>
    </xf>
    <xf numFmtId="0" fontId="22" fillId="2" borderId="28" xfId="0" applyFont="1" applyFill="1" applyBorder="1" applyAlignment="1">
      <alignment horizontal="left" vertical="top" wrapText="1"/>
    </xf>
    <xf numFmtId="0" fontId="22" fillId="2" borderId="0" xfId="0" applyFont="1" applyFill="1" applyBorder="1" applyAlignment="1">
      <alignment horizontal="left" vertical="top" wrapText="1"/>
    </xf>
    <xf numFmtId="0" fontId="21" fillId="2" borderId="0" xfId="0" applyFont="1" applyFill="1" applyBorder="1" applyAlignment="1">
      <alignment vertical="center"/>
    </xf>
    <xf numFmtId="0" fontId="22" fillId="2" borderId="28" xfId="0" applyFont="1" applyFill="1" applyBorder="1" applyAlignment="1">
      <alignment horizontal="center" vertical="top" wrapText="1"/>
    </xf>
    <xf numFmtId="0" fontId="22" fillId="2" borderId="0" xfId="0" applyFont="1" applyFill="1" applyBorder="1" applyAlignment="1">
      <alignment horizontal="center" vertical="top" wrapText="1"/>
    </xf>
    <xf numFmtId="0" fontId="26" fillId="0" borderId="38" xfId="0" applyFont="1" applyFill="1" applyBorder="1" applyAlignment="1">
      <alignment horizontal="center" vertical="center"/>
    </xf>
    <xf numFmtId="0" fontId="22" fillId="2" borderId="52" xfId="0" applyFont="1" applyFill="1" applyBorder="1" applyAlignment="1">
      <alignment horizontal="center" wrapText="1"/>
    </xf>
    <xf numFmtId="0" fontId="22" fillId="2" borderId="1" xfId="0" applyFont="1" applyFill="1" applyBorder="1" applyAlignment="1">
      <alignment horizontal="center" wrapText="1"/>
    </xf>
    <xf numFmtId="0" fontId="26" fillId="0" borderId="26" xfId="0" applyFont="1" applyFill="1" applyBorder="1" applyAlignment="1">
      <alignment vertical="center"/>
    </xf>
    <xf numFmtId="0" fontId="22" fillId="0" borderId="26" xfId="0" applyFont="1" applyFill="1" applyBorder="1" applyAlignment="1">
      <alignment horizontal="left" vertical="center"/>
    </xf>
    <xf numFmtId="0" fontId="22" fillId="0" borderId="26" xfId="0" applyFont="1" applyFill="1" applyBorder="1" applyAlignment="1">
      <alignment vertical="center"/>
    </xf>
    <xf numFmtId="0" fontId="22" fillId="2" borderId="54" xfId="0" applyFont="1" applyFill="1" applyBorder="1" applyAlignment="1">
      <alignment horizontal="left" vertical="top" wrapText="1"/>
    </xf>
    <xf numFmtId="0" fontId="22" fillId="2" borderId="54" xfId="0" applyFont="1" applyFill="1" applyBorder="1" applyAlignment="1">
      <alignment horizontal="center" vertical="top" wrapText="1"/>
    </xf>
    <xf numFmtId="0" fontId="22" fillId="2" borderId="55" xfId="0" applyFont="1" applyFill="1" applyBorder="1" applyAlignment="1">
      <alignment horizontal="center" wrapText="1"/>
    </xf>
    <xf numFmtId="0" fontId="34" fillId="0" borderId="4" xfId="0" applyFont="1" applyFill="1" applyBorder="1" applyAlignment="1">
      <alignment horizontal="center" vertical="center" wrapText="1"/>
    </xf>
    <xf numFmtId="0" fontId="2" fillId="0" borderId="52"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36" xfId="0" applyFont="1" applyFill="1" applyBorder="1" applyAlignment="1">
      <alignment horizontal="center" vertical="center" wrapText="1"/>
    </xf>
    <xf numFmtId="49" fontId="2" fillId="0" borderId="35" xfId="0" applyNumberFormat="1" applyFont="1" applyFill="1" applyBorder="1" applyAlignment="1">
      <alignment horizontal="left" vertical="center" wrapText="1"/>
    </xf>
    <xf numFmtId="0" fontId="10" fillId="0" borderId="5" xfId="0" applyFont="1" applyFill="1" applyBorder="1" applyAlignment="1">
      <alignment horizontal="center" vertical="center" wrapText="1"/>
    </xf>
    <xf numFmtId="0" fontId="10" fillId="0" borderId="0" xfId="0" applyFont="1" applyFill="1" applyBorder="1" applyAlignment="1">
      <alignment horizontal="center" vertical="center" wrapText="1"/>
    </xf>
    <xf numFmtId="0" fontId="10" fillId="0" borderId="29" xfId="0" applyFont="1" applyFill="1" applyBorder="1" applyAlignment="1">
      <alignment horizontal="center" vertical="center" wrapText="1"/>
    </xf>
    <xf numFmtId="49" fontId="2" fillId="0" borderId="16" xfId="0" applyNumberFormat="1" applyFont="1" applyFill="1" applyBorder="1" applyAlignment="1">
      <alignment horizontal="center" vertical="center" wrapText="1"/>
    </xf>
    <xf numFmtId="0" fontId="10" fillId="0" borderId="21"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0" fillId="0" borderId="36" xfId="0" applyFont="1" applyFill="1" applyBorder="1" applyAlignment="1">
      <alignment horizontal="center" vertical="center" wrapText="1"/>
    </xf>
    <xf numFmtId="0" fontId="35" fillId="0" borderId="18" xfId="0" applyFont="1" applyFill="1" applyBorder="1" applyAlignment="1">
      <alignment horizontal="left" vertical="center" wrapText="1"/>
    </xf>
    <xf numFmtId="0" fontId="35" fillId="0" borderId="13" xfId="0" applyFont="1" applyFill="1" applyBorder="1" applyAlignment="1">
      <alignment horizontal="left" vertical="center" wrapText="1"/>
    </xf>
    <xf numFmtId="0" fontId="35" fillId="0" borderId="14" xfId="0" applyFont="1" applyFill="1" applyBorder="1" applyAlignment="1">
      <alignment horizontal="left" vertical="center" wrapText="1"/>
    </xf>
    <xf numFmtId="0" fontId="36" fillId="0" borderId="18" xfId="0" applyFont="1" applyFill="1" applyBorder="1" applyAlignment="1">
      <alignment horizontal="center" vertical="center" wrapText="1"/>
    </xf>
    <xf numFmtId="0" fontId="37" fillId="0" borderId="18" xfId="0" applyFont="1" applyFill="1" applyBorder="1" applyAlignment="1">
      <alignment horizontal="center" vertical="center" wrapText="1"/>
    </xf>
    <xf numFmtId="0" fontId="37" fillId="0" borderId="13" xfId="0" applyFont="1" applyFill="1" applyBorder="1" applyAlignment="1">
      <alignment horizontal="center" vertical="center" wrapText="1"/>
    </xf>
    <xf numFmtId="0" fontId="37" fillId="0" borderId="14" xfId="0" applyFont="1" applyFill="1" applyBorder="1" applyAlignment="1">
      <alignment horizontal="center" vertical="center" wrapText="1"/>
    </xf>
    <xf numFmtId="10" fontId="2" fillId="0" borderId="16" xfId="0" applyNumberFormat="1" applyFont="1" applyFill="1" applyBorder="1" applyAlignment="1">
      <alignment vertical="center" wrapText="1"/>
    </xf>
    <xf numFmtId="49" fontId="2" fillId="0" borderId="8" xfId="0" applyNumberFormat="1" applyFont="1" applyFill="1" applyBorder="1" applyAlignment="1">
      <alignment horizontal="left" vertical="center" wrapText="1"/>
    </xf>
    <xf numFmtId="0" fontId="11" fillId="0" borderId="31" xfId="0" applyFont="1" applyFill="1" applyBorder="1" applyAlignment="1">
      <alignment horizontal="left" vertical="center" wrapText="1"/>
    </xf>
    <xf numFmtId="9" fontId="7" fillId="0" borderId="31" xfId="11" applyNumberFormat="1" applyFont="1" applyFill="1" applyBorder="1" applyAlignment="1">
      <alignment horizontal="center" vertical="center" wrapText="1"/>
    </xf>
    <xf numFmtId="0" fontId="35" fillId="0" borderId="47" xfId="0" applyFont="1" applyFill="1" applyBorder="1" applyAlignment="1">
      <alignment horizontal="left" vertical="center" wrapText="1"/>
    </xf>
    <xf numFmtId="0" fontId="36" fillId="0" borderId="14" xfId="0" applyFont="1" applyFill="1" applyBorder="1" applyAlignment="1">
      <alignment horizontal="center" vertical="center" wrapText="1"/>
    </xf>
    <xf numFmtId="0" fontId="36" fillId="0" borderId="13" xfId="0" applyFont="1" applyFill="1" applyBorder="1" applyAlignment="1">
      <alignment horizontal="center" vertical="center" wrapText="1"/>
    </xf>
    <xf numFmtId="0" fontId="36" fillId="0" borderId="47" xfId="0" applyFont="1" applyFill="1" applyBorder="1" applyAlignment="1">
      <alignment horizontal="center" vertical="center" wrapText="1"/>
    </xf>
    <xf numFmtId="0" fontId="19" fillId="0" borderId="0" xfId="0" applyFont="1" applyFill="1" applyBorder="1" applyAlignment="1">
      <alignment horizontal="center" vertical="center"/>
    </xf>
    <xf numFmtId="0" fontId="19" fillId="0" borderId="0" xfId="0" applyFont="1" applyFill="1" applyBorder="1" applyAlignment="1">
      <alignment vertical="center"/>
    </xf>
    <xf numFmtId="9" fontId="7" fillId="0" borderId="31" xfId="11" applyFont="1" applyFill="1" applyBorder="1" applyAlignment="1">
      <alignment horizontal="center" vertical="center" wrapText="1"/>
    </xf>
    <xf numFmtId="0" fontId="7" fillId="0" borderId="31" xfId="0" applyFont="1" applyFill="1" applyBorder="1" applyAlignment="1">
      <alignment horizontal="center" vertical="center" wrapText="1"/>
    </xf>
    <xf numFmtId="0" fontId="7" fillId="0" borderId="60" xfId="0" applyFont="1" applyFill="1" applyBorder="1" applyAlignment="1">
      <alignment horizontal="center" vertical="center" wrapText="1"/>
    </xf>
    <xf numFmtId="0" fontId="2" fillId="0" borderId="43" xfId="0" applyFont="1" applyFill="1" applyBorder="1" applyAlignment="1">
      <alignment horizontal="center" vertical="center" wrapText="1"/>
    </xf>
    <xf numFmtId="0" fontId="2" fillId="0" borderId="37" xfId="0" applyFont="1" applyFill="1" applyBorder="1" applyAlignment="1">
      <alignment horizontal="center" vertical="center" wrapText="1"/>
    </xf>
    <xf numFmtId="0" fontId="2" fillId="0" borderId="50" xfId="0" applyFont="1" applyFill="1" applyBorder="1" applyAlignment="1">
      <alignment horizontal="center" vertical="center" wrapText="1"/>
    </xf>
    <xf numFmtId="0" fontId="2" fillId="0" borderId="57" xfId="0" applyFont="1" applyFill="1" applyBorder="1" applyAlignment="1">
      <alignment horizontal="center" vertical="center" wrapText="1"/>
    </xf>
    <xf numFmtId="0" fontId="38" fillId="0" borderId="39" xfId="0" applyFont="1" applyFill="1" applyBorder="1" applyAlignment="1">
      <alignment horizontal="center" vertical="center"/>
    </xf>
    <xf numFmtId="0" fontId="2" fillId="0" borderId="0" xfId="0" applyFont="1" applyFill="1" applyBorder="1" applyAlignment="1">
      <alignment horizontal="center" vertical="center"/>
    </xf>
    <xf numFmtId="9" fontId="7" fillId="0" borderId="16" xfId="11" applyNumberFormat="1" applyFont="1" applyFill="1" applyBorder="1" applyAlignment="1" applyProtection="1">
      <alignment horizontal="center" vertical="center" wrapText="1"/>
    </xf>
    <xf numFmtId="49" fontId="11" fillId="0" borderId="16" xfId="0" applyNumberFormat="1" applyFont="1" applyFill="1" applyBorder="1" applyAlignment="1">
      <alignment horizontal="center" vertical="center" wrapText="1"/>
    </xf>
    <xf numFmtId="9" fontId="7" fillId="0" borderId="47" xfId="0" applyNumberFormat="1" applyFont="1" applyFill="1" applyBorder="1" applyAlignment="1">
      <alignment horizontal="center" vertical="center" wrapText="1"/>
    </xf>
    <xf numFmtId="0" fontId="7" fillId="0" borderId="53" xfId="0" applyFont="1" applyFill="1" applyBorder="1" applyAlignment="1">
      <alignment horizontal="center" vertical="center" wrapText="1"/>
    </xf>
    <xf numFmtId="0" fontId="7" fillId="0" borderId="61" xfId="0" applyFont="1" applyFill="1" applyBorder="1" applyAlignment="1">
      <alignment horizontal="center" vertical="center" wrapText="1"/>
    </xf>
    <xf numFmtId="0" fontId="21" fillId="0" borderId="0" xfId="0" applyFont="1" applyFill="1" applyBorder="1" applyAlignment="1">
      <alignment vertical="center"/>
    </xf>
    <xf numFmtId="0" fontId="22" fillId="0" borderId="0" xfId="0" applyFont="1" applyFill="1" applyBorder="1" applyAlignment="1">
      <alignment horizontal="center"/>
    </xf>
    <xf numFmtId="0" fontId="22" fillId="0" borderId="52" xfId="0" applyFont="1" applyFill="1" applyBorder="1" applyAlignment="1">
      <alignment horizontal="center" vertical="center" wrapText="1"/>
    </xf>
    <xf numFmtId="0" fontId="22" fillId="0" borderId="1" xfId="0" applyFont="1" applyFill="1" applyBorder="1" applyAlignment="1">
      <alignment horizontal="center" vertical="center" wrapText="1"/>
    </xf>
    <xf numFmtId="0" fontId="22" fillId="0" borderId="36" xfId="0" applyFont="1" applyFill="1" applyBorder="1" applyAlignment="1">
      <alignment horizontal="center" vertical="center" wrapText="1"/>
    </xf>
    <xf numFmtId="49" fontId="22" fillId="0" borderId="18" xfId="0" applyNumberFormat="1" applyFont="1" applyFill="1" applyBorder="1" applyAlignment="1">
      <alignment horizontal="left" vertical="center" wrapText="1"/>
    </xf>
    <xf numFmtId="0" fontId="22" fillId="0" borderId="39" xfId="0" applyFont="1" applyFill="1" applyBorder="1" applyAlignment="1">
      <alignment horizontal="center" vertical="center"/>
    </xf>
    <xf numFmtId="0" fontId="39" fillId="0" borderId="18" xfId="0" applyFont="1" applyFill="1" applyBorder="1" applyAlignment="1">
      <alignment horizontal="center" vertical="center" wrapText="1"/>
    </xf>
    <xf numFmtId="0" fontId="40" fillId="0" borderId="18" xfId="0" applyFont="1" applyFill="1" applyBorder="1" applyAlignment="1">
      <alignment horizontal="center" vertical="center" wrapText="1"/>
    </xf>
    <xf numFmtId="9" fontId="22" fillId="0" borderId="16" xfId="0" applyNumberFormat="1" applyFont="1" applyFill="1" applyBorder="1" applyAlignment="1">
      <alignment vertical="center" wrapText="1"/>
    </xf>
    <xf numFmtId="57" fontId="22" fillId="0" borderId="16" xfId="0" applyNumberFormat="1" applyFont="1" applyFill="1" applyBorder="1" applyAlignment="1">
      <alignment horizontal="center" vertical="center" wrapText="1"/>
    </xf>
    <xf numFmtId="9" fontId="22" fillId="0" borderId="16" xfId="0" applyNumberFormat="1" applyFont="1" applyFill="1" applyBorder="1" applyAlignment="1">
      <alignment horizontal="center" vertical="center" wrapText="1"/>
    </xf>
    <xf numFmtId="9" fontId="27" fillId="0" borderId="18" xfId="11" applyNumberFormat="1" applyFont="1" applyFill="1" applyBorder="1" applyAlignment="1">
      <alignment horizontal="center" vertical="center" wrapText="1"/>
    </xf>
    <xf numFmtId="9" fontId="27" fillId="0" borderId="4" xfId="11" applyNumberFormat="1" applyFont="1" applyFill="1" applyBorder="1" applyAlignment="1">
      <alignment horizontal="center" vertical="center" wrapText="1"/>
    </xf>
    <xf numFmtId="9" fontId="27" fillId="0" borderId="16" xfId="11" applyNumberFormat="1" applyFont="1" applyFill="1" applyBorder="1" applyAlignment="1">
      <alignment horizontal="center" vertical="center" wrapText="1"/>
    </xf>
    <xf numFmtId="49" fontId="22" fillId="0" borderId="14" xfId="0" applyNumberFormat="1" applyFont="1" applyFill="1" applyBorder="1" applyAlignment="1">
      <alignment horizontal="left" vertical="center" wrapText="1"/>
    </xf>
    <xf numFmtId="9" fontId="27" fillId="0" borderId="31" xfId="11" applyNumberFormat="1" applyFont="1" applyFill="1" applyBorder="1" applyAlignment="1">
      <alignment horizontal="center" vertical="center" wrapText="1"/>
    </xf>
    <xf numFmtId="9" fontId="27" fillId="0" borderId="23" xfId="11" applyNumberFormat="1" applyFont="1" applyFill="1" applyBorder="1" applyAlignment="1">
      <alignment horizontal="center" vertical="center" wrapText="1"/>
    </xf>
    <xf numFmtId="0" fontId="21" fillId="0" borderId="0" xfId="0" applyFont="1" applyFill="1" applyBorder="1" applyAlignment="1">
      <alignment horizontal="center" vertical="center" wrapText="1"/>
    </xf>
    <xf numFmtId="9" fontId="27" fillId="0" borderId="13" xfId="0" applyNumberFormat="1" applyFont="1" applyFill="1" applyBorder="1" applyAlignment="1">
      <alignment horizontal="center" vertical="center" wrapText="1"/>
    </xf>
    <xf numFmtId="9" fontId="27" fillId="0" borderId="13" xfId="11" applyFont="1" applyBorder="1" applyAlignment="1">
      <alignment horizontal="center" vertical="center" wrapText="1"/>
    </xf>
    <xf numFmtId="9" fontId="27" fillId="0" borderId="47" xfId="11" applyFont="1" applyBorder="1" applyAlignment="1">
      <alignment horizontal="center" vertical="center" wrapText="1"/>
    </xf>
    <xf numFmtId="0" fontId="39" fillId="0" borderId="13" xfId="0" applyFont="1" applyFill="1" applyBorder="1" applyAlignment="1">
      <alignment horizontal="center" vertical="center" wrapText="1"/>
    </xf>
    <xf numFmtId="0" fontId="22" fillId="0" borderId="0" xfId="0" applyFont="1" applyFill="1" applyBorder="1" applyAlignment="1">
      <alignment horizontal="center" vertical="center"/>
    </xf>
    <xf numFmtId="9" fontId="27" fillId="0" borderId="16" xfId="0" applyNumberFormat="1" applyFont="1" applyFill="1" applyBorder="1" applyAlignment="1">
      <alignment horizontal="center" vertical="center" wrapText="1"/>
    </xf>
    <xf numFmtId="9" fontId="30" fillId="0" borderId="13" xfId="0" applyNumberFormat="1" applyFont="1" applyFill="1" applyBorder="1" applyAlignment="1">
      <alignment horizontal="center" vertical="center" wrapText="1"/>
    </xf>
    <xf numFmtId="9" fontId="27" fillId="0" borderId="31" xfId="11" applyFont="1" applyFill="1" applyBorder="1" applyAlignment="1">
      <alignment horizontal="center" vertical="center" wrapText="1"/>
    </xf>
    <xf numFmtId="0" fontId="27" fillId="0" borderId="31" xfId="0" applyFont="1" applyFill="1" applyBorder="1" applyAlignment="1">
      <alignment horizontal="center" vertical="center" wrapText="1"/>
    </xf>
    <xf numFmtId="0" fontId="27" fillId="0" borderId="60" xfId="0" applyFont="1" applyFill="1" applyBorder="1" applyAlignment="1">
      <alignment horizontal="center" vertical="center" wrapText="1"/>
    </xf>
    <xf numFmtId="0" fontId="2" fillId="2" borderId="18" xfId="0" applyFont="1" applyFill="1" applyBorder="1" applyAlignment="1">
      <alignment horizontal="left" vertical="center" wrapText="1"/>
    </xf>
    <xf numFmtId="0" fontId="2" fillId="2" borderId="13" xfId="0" applyFont="1" applyFill="1" applyBorder="1" applyAlignment="1">
      <alignment horizontal="left" vertical="center" wrapText="1"/>
    </xf>
    <xf numFmtId="49" fontId="2" fillId="0" borderId="18" xfId="0" applyNumberFormat="1" applyFont="1" applyFill="1" applyBorder="1" applyAlignment="1">
      <alignment horizontal="left" vertical="center" wrapText="1"/>
    </xf>
    <xf numFmtId="9" fontId="10" fillId="0" borderId="16" xfId="11" applyFont="1" applyBorder="1" applyAlignment="1">
      <alignment horizontal="center" vertical="center" wrapText="1"/>
    </xf>
    <xf numFmtId="9" fontId="10" fillId="0" borderId="18" xfId="11" applyFont="1" applyBorder="1" applyAlignment="1">
      <alignment horizontal="center" vertical="center" wrapText="1"/>
    </xf>
    <xf numFmtId="9" fontId="2" fillId="0" borderId="16" xfId="11" applyFont="1" applyBorder="1" applyAlignment="1">
      <alignment vertical="center" wrapText="1"/>
    </xf>
    <xf numFmtId="9" fontId="2" fillId="0" borderId="16" xfId="11" applyFont="1" applyBorder="1" applyAlignment="1">
      <alignment horizontal="center" vertical="center" wrapText="1"/>
    </xf>
    <xf numFmtId="0" fontId="2" fillId="2" borderId="14" xfId="0" applyFont="1" applyFill="1" applyBorder="1" applyAlignment="1">
      <alignment horizontal="left" vertical="center" wrapText="1"/>
    </xf>
    <xf numFmtId="178" fontId="7" fillId="0" borderId="18" xfId="8" applyNumberFormat="1" applyFont="1" applyFill="1" applyBorder="1" applyAlignment="1">
      <alignment horizontal="center" vertical="center" wrapText="1"/>
    </xf>
    <xf numFmtId="178" fontId="7" fillId="0" borderId="4" xfId="8" applyNumberFormat="1" applyFont="1" applyFill="1" applyBorder="1" applyAlignment="1">
      <alignment horizontal="center" vertical="center" wrapText="1"/>
    </xf>
    <xf numFmtId="178" fontId="7" fillId="0" borderId="16" xfId="8" applyNumberFormat="1" applyFont="1" applyFill="1" applyBorder="1" applyAlignment="1">
      <alignment horizontal="center" vertical="center" wrapText="1"/>
    </xf>
    <xf numFmtId="49" fontId="2" fillId="0" borderId="14" xfId="0" applyNumberFormat="1" applyFont="1" applyFill="1" applyBorder="1" applyAlignment="1">
      <alignment horizontal="left" vertical="center" wrapText="1"/>
    </xf>
    <xf numFmtId="178" fontId="7" fillId="0" borderId="31" xfId="8" applyNumberFormat="1" applyFont="1" applyFill="1" applyBorder="1" applyAlignment="1">
      <alignment horizontal="center" vertical="center" wrapText="1"/>
    </xf>
    <xf numFmtId="178" fontId="7" fillId="0" borderId="39" xfId="8" applyNumberFormat="1" applyFont="1" applyFill="1" applyBorder="1" applyAlignment="1">
      <alignment horizontal="center" vertical="center" wrapText="1"/>
    </xf>
    <xf numFmtId="178" fontId="7" fillId="0" borderId="4" xfId="0" applyNumberFormat="1" applyFont="1" applyFill="1" applyBorder="1" applyAlignment="1">
      <alignment horizontal="center" vertical="center" wrapText="1"/>
    </xf>
    <xf numFmtId="9" fontId="7" fillId="0" borderId="13" xfId="11" applyFont="1" applyBorder="1" applyAlignment="1">
      <alignment horizontal="center" vertical="center" wrapText="1"/>
    </xf>
    <xf numFmtId="9" fontId="7" fillId="0" borderId="47" xfId="11" applyFont="1" applyBorder="1" applyAlignment="1">
      <alignment horizontal="center" vertical="center" wrapText="1"/>
    </xf>
    <xf numFmtId="9" fontId="10" fillId="0" borderId="13" xfId="11" applyFont="1" applyBorder="1" applyAlignment="1">
      <alignment horizontal="center" vertical="center" wrapText="1"/>
    </xf>
    <xf numFmtId="9" fontId="10" fillId="0" borderId="47" xfId="11" applyFont="1" applyBorder="1" applyAlignment="1">
      <alignment horizontal="center" vertical="center" wrapText="1"/>
    </xf>
    <xf numFmtId="9" fontId="10" fillId="0" borderId="14" xfId="11" applyFont="1" applyBorder="1" applyAlignment="1">
      <alignment horizontal="center" vertical="center" wrapText="1"/>
    </xf>
    <xf numFmtId="178" fontId="7" fillId="0" borderId="14" xfId="8" applyNumberFormat="1" applyFont="1" applyFill="1" applyBorder="1" applyAlignment="1">
      <alignment horizontal="center" vertical="center" wrapText="1"/>
    </xf>
    <xf numFmtId="177" fontId="7" fillId="0" borderId="16" xfId="8" applyNumberFormat="1" applyFont="1" applyFill="1" applyBorder="1" applyAlignment="1">
      <alignment horizontal="center" vertical="center" wrapText="1"/>
    </xf>
    <xf numFmtId="177" fontId="7" fillId="0" borderId="48" xfId="8" applyNumberFormat="1" applyFont="1" applyFill="1" applyBorder="1" applyAlignment="1">
      <alignment horizontal="center" vertical="center" wrapText="1"/>
    </xf>
    <xf numFmtId="177" fontId="7" fillId="0" borderId="18" xfId="8" applyNumberFormat="1" applyFont="1" applyFill="1" applyBorder="1" applyAlignment="1">
      <alignment horizontal="center" vertical="center" wrapText="1"/>
    </xf>
    <xf numFmtId="177" fontId="7" fillId="0" borderId="47" xfId="8" applyNumberFormat="1" applyFont="1" applyFill="1" applyBorder="1" applyAlignment="1">
      <alignment horizontal="center" vertical="center" wrapText="1"/>
    </xf>
    <xf numFmtId="177" fontId="7" fillId="0" borderId="4" xfId="8" applyNumberFormat="1" applyFont="1" applyFill="1" applyBorder="1" applyAlignment="1">
      <alignment horizontal="center" vertical="center" wrapText="1"/>
    </xf>
    <xf numFmtId="177" fontId="7" fillId="0" borderId="46" xfId="8" applyNumberFormat="1" applyFont="1" applyFill="1" applyBorder="1" applyAlignment="1">
      <alignment horizontal="center" vertical="center" wrapText="1"/>
    </xf>
    <xf numFmtId="178" fontId="7" fillId="0" borderId="60" xfId="8" applyNumberFormat="1" applyFont="1" applyFill="1" applyBorder="1" applyAlignment="1">
      <alignment horizontal="center" vertical="center" wrapText="1"/>
    </xf>
    <xf numFmtId="178" fontId="7" fillId="0" borderId="46" xfId="8" applyNumberFormat="1" applyFont="1" applyFill="1" applyBorder="1" applyAlignment="1">
      <alignment horizontal="center" vertical="center" wrapText="1"/>
    </xf>
    <xf numFmtId="178" fontId="7" fillId="0" borderId="48" xfId="8" applyNumberFormat="1" applyFont="1" applyFill="1" applyBorder="1" applyAlignment="1">
      <alignment horizontal="center" vertical="center" wrapText="1"/>
    </xf>
    <xf numFmtId="178" fontId="1" fillId="0" borderId="48" xfId="8" applyNumberFormat="1" applyFont="1" applyBorder="1">
      <alignment vertical="center"/>
    </xf>
    <xf numFmtId="178" fontId="7" fillId="0" borderId="58" xfId="8" applyNumberFormat="1" applyFont="1" applyFill="1" applyBorder="1" applyAlignment="1">
      <alignment horizontal="center" vertical="center" wrapText="1"/>
    </xf>
    <xf numFmtId="178" fontId="7" fillId="0" borderId="23" xfId="8" applyNumberFormat="1" applyFont="1" applyFill="1" applyBorder="1" applyAlignment="1">
      <alignment horizontal="center" vertical="center" wrapText="1"/>
    </xf>
    <xf numFmtId="178" fontId="7" fillId="0" borderId="49" xfId="8" applyNumberFormat="1" applyFont="1" applyFill="1" applyBorder="1" applyAlignment="1">
      <alignment horizontal="center" vertical="center" wrapText="1"/>
    </xf>
    <xf numFmtId="0" fontId="20" fillId="0" borderId="18" xfId="0" applyFont="1" applyFill="1" applyBorder="1" applyAlignment="1">
      <alignment horizontal="center" vertical="center" wrapText="1"/>
    </xf>
    <xf numFmtId="0" fontId="15" fillId="0" borderId="18" xfId="0" applyFont="1" applyFill="1" applyBorder="1" applyAlignment="1">
      <alignment horizontal="center" vertical="center" wrapText="1"/>
    </xf>
    <xf numFmtId="0" fontId="15" fillId="0" borderId="13" xfId="0" applyFont="1" applyFill="1" applyBorder="1" applyAlignment="1">
      <alignment horizontal="center" vertical="center" wrapText="1"/>
    </xf>
    <xf numFmtId="0" fontId="15" fillId="0" borderId="14" xfId="0" applyFont="1" applyFill="1" applyBorder="1" applyAlignment="1">
      <alignment horizontal="center" vertical="center" wrapText="1"/>
    </xf>
    <xf numFmtId="0" fontId="15" fillId="0" borderId="16" xfId="0" applyFont="1" applyFill="1" applyBorder="1" applyAlignment="1">
      <alignment horizontal="left" vertical="center" wrapText="1"/>
    </xf>
    <xf numFmtId="10" fontId="10" fillId="0" borderId="13" xfId="0" applyNumberFormat="1" applyFont="1" applyFill="1" applyBorder="1" applyAlignment="1">
      <alignment horizontal="center" vertical="center" wrapText="1"/>
    </xf>
    <xf numFmtId="0" fontId="11" fillId="0" borderId="43" xfId="0" applyFont="1" applyFill="1" applyBorder="1" applyAlignment="1">
      <alignment horizontal="center" vertical="center" wrapText="1"/>
    </xf>
    <xf numFmtId="0" fontId="1" fillId="0" borderId="37" xfId="0" applyFont="1" applyFill="1" applyBorder="1" applyAlignment="1">
      <alignment horizontal="center" vertical="center" wrapText="1"/>
    </xf>
    <xf numFmtId="0" fontId="41" fillId="0" borderId="16" xfId="0" applyFont="1" applyFill="1" applyBorder="1" applyAlignment="1">
      <alignment horizontal="center" vertical="center" wrapText="1"/>
    </xf>
    <xf numFmtId="0" fontId="16" fillId="0" borderId="16" xfId="0" applyFont="1" applyFill="1" applyBorder="1" applyAlignment="1">
      <alignment vertical="center" wrapText="1"/>
    </xf>
    <xf numFmtId="0" fontId="2" fillId="0" borderId="18" xfId="0" applyFont="1" applyFill="1" applyBorder="1" applyAlignment="1">
      <alignment horizontal="center" vertical="distributed" wrapText="1"/>
    </xf>
    <xf numFmtId="0" fontId="2" fillId="0" borderId="14" xfId="0" applyFont="1" applyFill="1" applyBorder="1" applyAlignment="1">
      <alignment horizontal="center" vertical="distributed" wrapText="1"/>
    </xf>
    <xf numFmtId="0" fontId="1" fillId="0" borderId="50" xfId="0" applyFont="1" applyFill="1" applyBorder="1" applyAlignment="1">
      <alignment horizontal="center" vertical="center" wrapText="1"/>
    </xf>
    <xf numFmtId="9" fontId="1" fillId="0" borderId="13" xfId="0" applyNumberFormat="1" applyFont="1" applyFill="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haredStrings" Target="sharedStrings.xml"/><Relationship Id="rId14" Type="http://schemas.openxmlformats.org/officeDocument/2006/relationships/styles" Target="style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77"/>
  <sheetViews>
    <sheetView tabSelected="1" topLeftCell="A50" workbookViewId="0">
      <selection activeCell="H54" sqref="H54:S58"/>
    </sheetView>
  </sheetViews>
  <sheetFormatPr defaultColWidth="9" defaultRowHeight="14.25"/>
  <cols>
    <col min="1" max="1" width="4.5" style="168" customWidth="1"/>
    <col min="2" max="2" width="6.875" style="168" customWidth="1"/>
    <col min="3" max="3" width="6.5" style="168" customWidth="1"/>
    <col min="4" max="4" width="4.75" style="168" customWidth="1"/>
    <col min="5" max="6" width="4.625" style="168" customWidth="1"/>
    <col min="7" max="7" width="7.625" style="168" customWidth="1"/>
    <col min="8" max="8" width="5.25" style="168" hidden="1" customWidth="1"/>
    <col min="9" max="9" width="5.625" style="168" customWidth="1"/>
    <col min="10" max="10" width="10.25" style="168" customWidth="1"/>
    <col min="11" max="11" width="4.375" style="168" customWidth="1"/>
    <col min="12" max="12" width="8.5" style="168" customWidth="1"/>
    <col min="13" max="13" width="5.75" style="168" customWidth="1"/>
    <col min="14" max="14" width="6.875" style="168" customWidth="1"/>
    <col min="15" max="15" width="7.625" style="168" customWidth="1"/>
    <col min="16" max="16" width="4.25" style="168" customWidth="1"/>
    <col min="17" max="17" width="7.25" style="168" customWidth="1"/>
    <col min="18" max="18" width="4.375" style="168" customWidth="1"/>
    <col min="19" max="19" width="4" style="168" customWidth="1"/>
    <col min="20" max="20" width="9" style="40" hidden="1" customWidth="1"/>
    <col min="21" max="256" width="9" style="168"/>
    <col min="257" max="16384" width="9" style="205"/>
  </cols>
  <sheetData>
    <row r="1" ht="43.15" customHeight="1" spans="1:19">
      <c r="A1" s="7" t="s">
        <v>0</v>
      </c>
      <c r="B1" s="7"/>
      <c r="C1" s="7"/>
      <c r="D1" s="7"/>
      <c r="E1" s="7"/>
      <c r="F1" s="7"/>
      <c r="G1" s="7"/>
      <c r="H1" s="7"/>
      <c r="I1" s="7"/>
      <c r="J1" s="7"/>
      <c r="K1" s="7"/>
      <c r="L1" s="7"/>
      <c r="M1" s="7"/>
      <c r="N1" s="7"/>
      <c r="O1" s="7"/>
      <c r="P1" s="7"/>
      <c r="Q1" s="7"/>
      <c r="R1" s="7"/>
      <c r="S1" s="7"/>
    </row>
    <row r="2" ht="24.75" customHeight="1" spans="1:19">
      <c r="A2" s="8" t="s">
        <v>1</v>
      </c>
      <c r="B2" s="9" t="s">
        <v>2</v>
      </c>
      <c r="C2" s="10"/>
      <c r="D2" s="10"/>
      <c r="E2" s="605" t="s">
        <v>3</v>
      </c>
      <c r="F2" s="606"/>
      <c r="G2" s="606"/>
      <c r="H2" s="606"/>
      <c r="I2" s="606"/>
      <c r="J2" s="606"/>
      <c r="K2" s="606"/>
      <c r="L2" s="606"/>
      <c r="M2" s="606"/>
      <c r="N2" s="606"/>
      <c r="O2" s="606"/>
      <c r="P2" s="606"/>
      <c r="Q2" s="606"/>
      <c r="R2" s="606"/>
      <c r="S2" s="611"/>
    </row>
    <row r="3" s="205" customFormat="1" ht="19.5" customHeight="1" spans="1:20">
      <c r="A3" s="12"/>
      <c r="B3" s="13" t="s">
        <v>4</v>
      </c>
      <c r="C3" s="14"/>
      <c r="D3" s="14"/>
      <c r="E3" s="14"/>
      <c r="F3" s="14"/>
      <c r="G3" s="14"/>
      <c r="H3" s="15"/>
      <c r="I3" s="109" t="s">
        <v>5</v>
      </c>
      <c r="J3" s="15"/>
      <c r="K3" s="110" t="s">
        <v>6</v>
      </c>
      <c r="L3" s="111"/>
      <c r="M3" s="112"/>
      <c r="N3" s="109" t="s">
        <v>7</v>
      </c>
      <c r="O3" s="15"/>
      <c r="P3" s="110" t="s">
        <v>8</v>
      </c>
      <c r="Q3" s="111"/>
      <c r="R3" s="111"/>
      <c r="S3" s="152"/>
      <c r="T3" s="261"/>
    </row>
    <row r="4" s="205" customFormat="1" ht="21" customHeight="1" spans="1:20">
      <c r="A4" s="12"/>
      <c r="B4" s="16"/>
      <c r="C4" s="17"/>
      <c r="D4" s="17"/>
      <c r="E4" s="17"/>
      <c r="F4" s="17"/>
      <c r="G4" s="17"/>
      <c r="H4" s="18"/>
      <c r="I4" s="113"/>
      <c r="J4" s="18"/>
      <c r="K4" s="110" t="s">
        <v>9</v>
      </c>
      <c r="L4" s="111"/>
      <c r="M4" s="112"/>
      <c r="N4" s="113"/>
      <c r="O4" s="18"/>
      <c r="P4" s="110" t="s">
        <v>10</v>
      </c>
      <c r="Q4" s="111"/>
      <c r="R4" s="111"/>
      <c r="S4" s="152"/>
      <c r="T4" s="261"/>
    </row>
    <row r="5" s="205" customFormat="1" ht="20.25" customHeight="1" spans="1:20">
      <c r="A5" s="12"/>
      <c r="B5" s="19" t="s">
        <v>11</v>
      </c>
      <c r="C5" s="20"/>
      <c r="D5" s="20"/>
      <c r="E5" s="20"/>
      <c r="F5" s="20"/>
      <c r="G5" s="20"/>
      <c r="H5" s="21"/>
      <c r="I5" s="25" t="s">
        <v>12</v>
      </c>
      <c r="J5" s="20"/>
      <c r="K5" s="20"/>
      <c r="L5" s="20"/>
      <c r="M5" s="20"/>
      <c r="N5" s="20"/>
      <c r="O5" s="20"/>
      <c r="P5" s="20"/>
      <c r="Q5" s="20"/>
      <c r="R5" s="20"/>
      <c r="S5" s="154"/>
      <c r="T5" s="261"/>
    </row>
    <row r="6" ht="33.6" customHeight="1" spans="1:19">
      <c r="A6" s="12"/>
      <c r="B6" s="22" t="s">
        <v>13</v>
      </c>
      <c r="C6" s="23" t="s">
        <v>14</v>
      </c>
      <c r="D6" s="23"/>
      <c r="E6" s="23"/>
      <c r="F6" s="23"/>
      <c r="G6" s="23"/>
      <c r="H6" s="23"/>
      <c r="I6" s="54" t="s">
        <v>15</v>
      </c>
      <c r="J6" s="54"/>
      <c r="K6" s="54"/>
      <c r="L6" s="23" t="s">
        <v>16</v>
      </c>
      <c r="M6" s="23"/>
      <c r="N6" s="23"/>
      <c r="O6" s="23"/>
      <c r="P6" s="20" t="s">
        <v>15</v>
      </c>
      <c r="Q6" s="20"/>
      <c r="R6" s="20"/>
      <c r="S6" s="154"/>
    </row>
    <row r="7" ht="45.75" customHeight="1" spans="1:19">
      <c r="A7" s="12"/>
      <c r="B7" s="24"/>
      <c r="C7" s="23" t="s">
        <v>17</v>
      </c>
      <c r="D7" s="23"/>
      <c r="E7" s="23" t="s">
        <v>18</v>
      </c>
      <c r="F7" s="23"/>
      <c r="G7" s="23"/>
      <c r="H7" s="23"/>
      <c r="I7" s="23" t="s">
        <v>19</v>
      </c>
      <c r="J7" s="23"/>
      <c r="K7" s="23"/>
      <c r="L7" s="23" t="s">
        <v>20</v>
      </c>
      <c r="M7" s="23"/>
      <c r="N7" s="23" t="s">
        <v>21</v>
      </c>
      <c r="O7" s="23"/>
      <c r="P7" s="25" t="s">
        <v>22</v>
      </c>
      <c r="Q7" s="21"/>
      <c r="R7" s="20" t="s">
        <v>23</v>
      </c>
      <c r="S7" s="154"/>
    </row>
    <row r="8" ht="28.5" customHeight="1" spans="1:19">
      <c r="A8" s="12"/>
      <c r="B8" s="24"/>
      <c r="C8" s="23" t="s">
        <v>24</v>
      </c>
      <c r="D8" s="23"/>
      <c r="E8" s="23" t="s">
        <v>25</v>
      </c>
      <c r="F8" s="23"/>
      <c r="G8" s="23"/>
      <c r="H8" s="23"/>
      <c r="I8" s="208" t="s">
        <v>26</v>
      </c>
      <c r="J8" s="209"/>
      <c r="K8" s="218"/>
      <c r="L8" s="219" t="s">
        <v>27</v>
      </c>
      <c r="M8" s="219"/>
      <c r="N8" s="219" t="s">
        <v>27</v>
      </c>
      <c r="O8" s="219"/>
      <c r="P8" s="25">
        <v>2018</v>
      </c>
      <c r="Q8" s="21"/>
      <c r="R8" s="283">
        <v>1</v>
      </c>
      <c r="S8" s="154"/>
    </row>
    <row r="9" ht="68.25" customHeight="1" spans="1:19">
      <c r="A9" s="12"/>
      <c r="B9" s="24"/>
      <c r="C9" s="23"/>
      <c r="D9" s="23"/>
      <c r="E9" s="23" t="s">
        <v>28</v>
      </c>
      <c r="F9" s="23" t="s">
        <v>28</v>
      </c>
      <c r="G9" s="23"/>
      <c r="H9" s="23"/>
      <c r="I9" s="208" t="s">
        <v>29</v>
      </c>
      <c r="J9" s="209"/>
      <c r="K9" s="218"/>
      <c r="L9" s="219" t="s">
        <v>30</v>
      </c>
      <c r="M9" s="219"/>
      <c r="N9" s="219" t="s">
        <v>30</v>
      </c>
      <c r="O9" s="219"/>
      <c r="P9" s="115">
        <v>2760</v>
      </c>
      <c r="Q9" s="155"/>
      <c r="R9" s="612">
        <v>0.92</v>
      </c>
      <c r="S9" s="157"/>
    </row>
    <row r="10" ht="28.5" customHeight="1" spans="1:19">
      <c r="A10" s="12"/>
      <c r="B10" s="24"/>
      <c r="C10" s="23"/>
      <c r="D10" s="23"/>
      <c r="E10" s="23" t="s">
        <v>31</v>
      </c>
      <c r="F10" s="23" t="s">
        <v>31</v>
      </c>
      <c r="G10" s="23"/>
      <c r="H10" s="23"/>
      <c r="I10" s="208" t="s">
        <v>15</v>
      </c>
      <c r="J10" s="209"/>
      <c r="K10" s="218"/>
      <c r="L10" s="208" t="s">
        <v>15</v>
      </c>
      <c r="M10" s="209"/>
      <c r="N10" s="208" t="s">
        <v>15</v>
      </c>
      <c r="O10" s="209"/>
      <c r="P10" s="25" t="s">
        <v>15</v>
      </c>
      <c r="Q10" s="21"/>
      <c r="R10" s="20" t="s">
        <v>15</v>
      </c>
      <c r="S10" s="154"/>
    </row>
    <row r="11" ht="72" customHeight="1" spans="1:19">
      <c r="A11" s="12"/>
      <c r="B11" s="24"/>
      <c r="C11" s="23" t="s">
        <v>32</v>
      </c>
      <c r="D11" s="23"/>
      <c r="E11" s="23" t="s">
        <v>33</v>
      </c>
      <c r="F11" s="23" t="s">
        <v>33</v>
      </c>
      <c r="G11" s="23"/>
      <c r="H11" s="23"/>
      <c r="I11" s="98" t="s">
        <v>34</v>
      </c>
      <c r="J11" s="280"/>
      <c r="K11" s="99"/>
      <c r="L11" s="51" t="s">
        <v>35</v>
      </c>
      <c r="M11" s="53"/>
      <c r="N11" s="51" t="s">
        <v>35</v>
      </c>
      <c r="O11" s="53"/>
      <c r="P11" s="115" t="s">
        <v>36</v>
      </c>
      <c r="Q11" s="155"/>
      <c r="R11" s="612">
        <v>1</v>
      </c>
      <c r="S11" s="157"/>
    </row>
    <row r="12" ht="74.45" customHeight="1" spans="1:19">
      <c r="A12" s="12"/>
      <c r="B12" s="24"/>
      <c r="C12" s="23"/>
      <c r="D12" s="23"/>
      <c r="E12" s="23" t="s">
        <v>37</v>
      </c>
      <c r="F12" s="23" t="s">
        <v>37</v>
      </c>
      <c r="G12" s="23"/>
      <c r="H12" s="23"/>
      <c r="I12" s="98" t="s">
        <v>38</v>
      </c>
      <c r="J12" s="280"/>
      <c r="K12" s="99"/>
      <c r="L12" s="159">
        <v>1</v>
      </c>
      <c r="M12" s="160"/>
      <c r="N12" s="159">
        <v>1</v>
      </c>
      <c r="O12" s="160"/>
      <c r="P12" s="116" t="s">
        <v>39</v>
      </c>
      <c r="Q12" s="118"/>
      <c r="R12" s="159">
        <v>0.91</v>
      </c>
      <c r="S12" s="160"/>
    </row>
    <row r="13" ht="28.5" customHeight="1" spans="1:21">
      <c r="A13" s="12"/>
      <c r="B13" s="24"/>
      <c r="C13" s="23" t="s">
        <v>40</v>
      </c>
      <c r="D13" s="23"/>
      <c r="E13" s="23" t="s">
        <v>41</v>
      </c>
      <c r="F13" s="23" t="s">
        <v>41</v>
      </c>
      <c r="G13" s="23"/>
      <c r="H13" s="23"/>
      <c r="I13" s="208" t="s">
        <v>15</v>
      </c>
      <c r="J13" s="209"/>
      <c r="K13" s="218"/>
      <c r="L13" s="208" t="s">
        <v>15</v>
      </c>
      <c r="M13" s="209"/>
      <c r="N13" s="208" t="s">
        <v>15</v>
      </c>
      <c r="O13" s="209"/>
      <c r="P13" s="25" t="s">
        <v>15</v>
      </c>
      <c r="Q13" s="21"/>
      <c r="R13" s="20" t="s">
        <v>15</v>
      </c>
      <c r="S13" s="154"/>
      <c r="U13" s="263"/>
    </row>
    <row r="14" ht="55.15" customHeight="1" spans="1:21">
      <c r="A14" s="12"/>
      <c r="B14" s="24"/>
      <c r="C14" s="23"/>
      <c r="D14" s="23"/>
      <c r="E14" s="23" t="s">
        <v>42</v>
      </c>
      <c r="F14" s="23" t="s">
        <v>42</v>
      </c>
      <c r="G14" s="23"/>
      <c r="H14" s="23"/>
      <c r="I14" s="54" t="s">
        <v>43</v>
      </c>
      <c r="J14" s="54"/>
      <c r="K14" s="54"/>
      <c r="L14" s="54" t="s">
        <v>44</v>
      </c>
      <c r="M14" s="54"/>
      <c r="N14" s="607" t="s">
        <v>45</v>
      </c>
      <c r="O14" s="607"/>
      <c r="P14" s="607" t="s">
        <v>45</v>
      </c>
      <c r="Q14" s="607"/>
      <c r="R14" s="159">
        <v>1</v>
      </c>
      <c r="S14" s="160"/>
      <c r="U14" s="263"/>
    </row>
    <row r="15" ht="28.5" customHeight="1" spans="1:21">
      <c r="A15" s="12"/>
      <c r="B15" s="24"/>
      <c r="C15" s="23"/>
      <c r="D15" s="23"/>
      <c r="E15" s="23" t="s">
        <v>46</v>
      </c>
      <c r="F15" s="23" t="s">
        <v>46</v>
      </c>
      <c r="G15" s="23"/>
      <c r="H15" s="23"/>
      <c r="I15" s="54" t="s">
        <v>47</v>
      </c>
      <c r="J15" s="54"/>
      <c r="K15" s="54"/>
      <c r="L15" s="54" t="s">
        <v>48</v>
      </c>
      <c r="M15" s="54"/>
      <c r="N15" s="54" t="s">
        <v>49</v>
      </c>
      <c r="O15" s="54"/>
      <c r="P15" s="54" t="s">
        <v>49</v>
      </c>
      <c r="Q15" s="54"/>
      <c r="R15" s="159">
        <v>1</v>
      </c>
      <c r="S15" s="160"/>
      <c r="U15" s="263"/>
    </row>
    <row r="16" ht="28.5" customHeight="1" spans="1:21">
      <c r="A16" s="12"/>
      <c r="B16" s="24"/>
      <c r="C16" s="23"/>
      <c r="D16" s="23"/>
      <c r="E16" s="23" t="s">
        <v>50</v>
      </c>
      <c r="F16" s="23" t="s">
        <v>50</v>
      </c>
      <c r="G16" s="23"/>
      <c r="H16" s="23"/>
      <c r="I16" s="208" t="s">
        <v>15</v>
      </c>
      <c r="J16" s="209"/>
      <c r="K16" s="218"/>
      <c r="L16" s="208" t="s">
        <v>15</v>
      </c>
      <c r="M16" s="209"/>
      <c r="N16" s="208" t="s">
        <v>15</v>
      </c>
      <c r="O16" s="209"/>
      <c r="P16" s="25" t="s">
        <v>15</v>
      </c>
      <c r="Q16" s="21"/>
      <c r="R16" s="20" t="s">
        <v>15</v>
      </c>
      <c r="S16" s="154"/>
      <c r="U16" s="263"/>
    </row>
    <row r="17" ht="36" customHeight="1" spans="1:21">
      <c r="A17" s="12"/>
      <c r="B17" s="26"/>
      <c r="C17" s="23"/>
      <c r="D17" s="23"/>
      <c r="E17" s="23" t="s">
        <v>51</v>
      </c>
      <c r="F17" s="23" t="s">
        <v>52</v>
      </c>
      <c r="G17" s="23"/>
      <c r="H17" s="23"/>
      <c r="I17" s="54" t="s">
        <v>53</v>
      </c>
      <c r="J17" s="54"/>
      <c r="K17" s="54"/>
      <c r="L17" s="54" t="s">
        <v>54</v>
      </c>
      <c r="M17" s="54"/>
      <c r="N17" s="54" t="s">
        <v>54</v>
      </c>
      <c r="O17" s="54"/>
      <c r="P17" s="222">
        <v>0.96</v>
      </c>
      <c r="Q17" s="99"/>
      <c r="R17" s="159">
        <v>1</v>
      </c>
      <c r="S17" s="160"/>
      <c r="U17" s="264"/>
    </row>
    <row r="18" ht="36" customHeight="1" spans="1:19">
      <c r="A18" s="12"/>
      <c r="B18" s="19" t="s">
        <v>55</v>
      </c>
      <c r="C18" s="20"/>
      <c r="D18" s="21"/>
      <c r="E18" s="289">
        <v>0.99</v>
      </c>
      <c r="F18" s="20"/>
      <c r="G18" s="20"/>
      <c r="H18" s="20"/>
      <c r="I18" s="25" t="s">
        <v>56</v>
      </c>
      <c r="J18" s="20"/>
      <c r="K18" s="21"/>
      <c r="L18" s="25" t="s">
        <v>57</v>
      </c>
      <c r="M18" s="20"/>
      <c r="N18" s="20"/>
      <c r="O18" s="20"/>
      <c r="P18" s="20"/>
      <c r="Q18" s="20"/>
      <c r="R18" s="20"/>
      <c r="S18" s="154"/>
    </row>
    <row r="19" ht="23.25" customHeight="1" spans="1:19">
      <c r="A19" s="12"/>
      <c r="B19" s="27" t="s">
        <v>58</v>
      </c>
      <c r="C19" s="28"/>
      <c r="D19" s="28"/>
      <c r="E19" s="28"/>
      <c r="F19" s="28"/>
      <c r="G19" s="28"/>
      <c r="H19" s="28"/>
      <c r="I19" s="50" t="s">
        <v>59</v>
      </c>
      <c r="J19" s="50"/>
      <c r="K19" s="50"/>
      <c r="L19" s="50"/>
      <c r="M19" s="50"/>
      <c r="N19" s="50"/>
      <c r="O19" s="50"/>
      <c r="P19" s="50"/>
      <c r="Q19" s="50"/>
      <c r="R19" s="50"/>
      <c r="S19" s="163"/>
    </row>
    <row r="20" ht="23.25" customHeight="1" spans="1:19">
      <c r="A20" s="29"/>
      <c r="B20" s="30"/>
      <c r="C20" s="31"/>
      <c r="D20" s="31"/>
      <c r="E20" s="31"/>
      <c r="F20" s="31"/>
      <c r="G20" s="31"/>
      <c r="H20" s="31"/>
      <c r="I20" s="85" t="s">
        <v>60</v>
      </c>
      <c r="J20" s="85"/>
      <c r="K20" s="85"/>
      <c r="L20" s="85"/>
      <c r="M20" s="85"/>
      <c r="N20" s="85"/>
      <c r="O20" s="85"/>
      <c r="P20" s="85"/>
      <c r="Q20" s="85"/>
      <c r="R20" s="85"/>
      <c r="S20" s="164"/>
    </row>
    <row r="21" spans="1:19">
      <c r="A21" s="32" t="s">
        <v>61</v>
      </c>
      <c r="B21" s="33"/>
      <c r="C21" s="33"/>
      <c r="D21" s="33"/>
      <c r="E21" s="34" t="s">
        <v>62</v>
      </c>
      <c r="F21" s="35"/>
      <c r="G21" s="35"/>
      <c r="H21" s="36"/>
      <c r="I21" s="128" t="s">
        <v>63</v>
      </c>
      <c r="J21" s="128"/>
      <c r="K21" s="128"/>
      <c r="L21" s="128"/>
      <c r="M21" s="128"/>
      <c r="N21" s="128"/>
      <c r="O21" s="128"/>
      <c r="P21" s="128"/>
      <c r="Q21" s="128"/>
      <c r="R21" s="128"/>
      <c r="S21" s="165"/>
    </row>
    <row r="22" ht="12.75" customHeight="1" spans="1:19">
      <c r="A22" s="37"/>
      <c r="B22" s="38"/>
      <c r="C22" s="38"/>
      <c r="D22" s="38"/>
      <c r="E22" s="39"/>
      <c r="F22" s="40"/>
      <c r="G22" s="40"/>
      <c r="H22" s="41"/>
      <c r="I22" s="55" t="s">
        <v>64</v>
      </c>
      <c r="J22" s="55"/>
      <c r="K22" s="54" t="s">
        <v>65</v>
      </c>
      <c r="L22" s="54"/>
      <c r="M22" s="54"/>
      <c r="N22" s="54"/>
      <c r="O22" s="54" t="s">
        <v>66</v>
      </c>
      <c r="P22" s="54"/>
      <c r="Q22" s="54"/>
      <c r="R22" s="54" t="s">
        <v>67</v>
      </c>
      <c r="S22" s="166"/>
    </row>
    <row r="23" s="206" customFormat="1" ht="36" customHeight="1" spans="1:21">
      <c r="A23" s="42"/>
      <c r="B23" s="38"/>
      <c r="C23" s="38"/>
      <c r="D23" s="38"/>
      <c r="E23" s="39"/>
      <c r="F23" s="40"/>
      <c r="G23" s="40"/>
      <c r="H23" s="41"/>
      <c r="I23" s="54" t="s">
        <v>68</v>
      </c>
      <c r="J23" s="54" t="s">
        <v>69</v>
      </c>
      <c r="K23" s="54" t="s">
        <v>70</v>
      </c>
      <c r="L23" s="54" t="s">
        <v>71</v>
      </c>
      <c r="M23" s="54" t="s">
        <v>72</v>
      </c>
      <c r="N23" s="54"/>
      <c r="O23" s="54" t="s">
        <v>73</v>
      </c>
      <c r="P23" s="54" t="s">
        <v>74</v>
      </c>
      <c r="Q23" s="129"/>
      <c r="R23" s="54"/>
      <c r="S23" s="166"/>
      <c r="T23" s="40"/>
      <c r="U23" s="40"/>
    </row>
    <row r="24" s="206" customFormat="1" ht="12" spans="1:21">
      <c r="A24" s="42"/>
      <c r="B24" s="38"/>
      <c r="C24" s="38"/>
      <c r="D24" s="38"/>
      <c r="E24" s="43"/>
      <c r="F24" s="44"/>
      <c r="G24" s="44"/>
      <c r="H24" s="45"/>
      <c r="I24" s="54"/>
      <c r="J24" s="54"/>
      <c r="K24" s="54"/>
      <c r="L24" s="54"/>
      <c r="M24" s="54"/>
      <c r="N24" s="54"/>
      <c r="O24" s="54"/>
      <c r="P24" s="129"/>
      <c r="Q24" s="129"/>
      <c r="R24" s="54"/>
      <c r="S24" s="166"/>
      <c r="T24" s="40"/>
      <c r="U24" s="40"/>
    </row>
    <row r="25" ht="24" customHeight="1" spans="1:19">
      <c r="A25" s="42"/>
      <c r="B25" s="46" t="s">
        <v>75</v>
      </c>
      <c r="C25" s="46"/>
      <c r="D25" s="46"/>
      <c r="E25" s="47">
        <v>3000</v>
      </c>
      <c r="F25" s="48"/>
      <c r="G25" s="48"/>
      <c r="H25" s="49"/>
      <c r="I25" s="130">
        <v>3000</v>
      </c>
      <c r="J25" s="608" t="s">
        <v>76</v>
      </c>
      <c r="K25" s="56">
        <v>3000</v>
      </c>
      <c r="L25" s="56">
        <v>100</v>
      </c>
      <c r="M25" s="54"/>
      <c r="N25" s="54"/>
      <c r="O25" s="38">
        <v>2760</v>
      </c>
      <c r="P25" s="54">
        <v>100</v>
      </c>
      <c r="Q25" s="54"/>
      <c r="R25" s="38">
        <v>240</v>
      </c>
      <c r="S25" s="167"/>
    </row>
    <row r="26" ht="24" customHeight="1" spans="1:19">
      <c r="A26" s="42"/>
      <c r="B26" s="50" t="s">
        <v>77</v>
      </c>
      <c r="C26" s="50"/>
      <c r="D26" s="50"/>
      <c r="E26" s="47">
        <v>3000</v>
      </c>
      <c r="F26" s="48"/>
      <c r="G26" s="48"/>
      <c r="H26" s="49"/>
      <c r="I26" s="130">
        <v>3000</v>
      </c>
      <c r="J26" s="608" t="s">
        <v>76</v>
      </c>
      <c r="K26" s="56">
        <v>3000</v>
      </c>
      <c r="L26" s="56">
        <v>100</v>
      </c>
      <c r="M26" s="54"/>
      <c r="N26" s="54"/>
      <c r="O26" s="38">
        <v>2760</v>
      </c>
      <c r="P26" s="54">
        <v>100</v>
      </c>
      <c r="Q26" s="54"/>
      <c r="R26" s="38">
        <v>240</v>
      </c>
      <c r="S26" s="167"/>
    </row>
    <row r="27" ht="16.15" customHeight="1" spans="1:19">
      <c r="A27" s="42"/>
      <c r="B27" s="50" t="s">
        <v>78</v>
      </c>
      <c r="C27" s="50"/>
      <c r="D27" s="50"/>
      <c r="E27" s="47">
        <v>0</v>
      </c>
      <c r="F27" s="48"/>
      <c r="G27" s="48"/>
      <c r="H27" s="49"/>
      <c r="I27" s="168">
        <v>0</v>
      </c>
      <c r="J27" s="130" t="s">
        <v>15</v>
      </c>
      <c r="K27" s="56">
        <v>0</v>
      </c>
      <c r="L27" s="56">
        <v>0</v>
      </c>
      <c r="M27" s="54" t="s">
        <v>15</v>
      </c>
      <c r="N27" s="54"/>
      <c r="O27" s="38">
        <v>0</v>
      </c>
      <c r="P27" s="54">
        <v>0</v>
      </c>
      <c r="Q27" s="54"/>
      <c r="R27" s="38">
        <v>0</v>
      </c>
      <c r="S27" s="167"/>
    </row>
    <row r="28" ht="13.9" customHeight="1" spans="1:19">
      <c r="A28" s="42"/>
      <c r="B28" s="50" t="s">
        <v>79</v>
      </c>
      <c r="C28" s="50"/>
      <c r="D28" s="50"/>
      <c r="E28" s="47">
        <v>0</v>
      </c>
      <c r="F28" s="48"/>
      <c r="G28" s="48"/>
      <c r="H28" s="49"/>
      <c r="I28" s="168">
        <v>0</v>
      </c>
      <c r="J28" s="130" t="s">
        <v>15</v>
      </c>
      <c r="K28" s="56">
        <v>0</v>
      </c>
      <c r="L28" s="56">
        <v>0</v>
      </c>
      <c r="M28" s="54" t="s">
        <v>15</v>
      </c>
      <c r="N28" s="54"/>
      <c r="O28" s="38">
        <v>0</v>
      </c>
      <c r="P28" s="54">
        <v>0</v>
      </c>
      <c r="Q28" s="54"/>
      <c r="R28" s="38">
        <v>0</v>
      </c>
      <c r="S28" s="167"/>
    </row>
    <row r="29" ht="98.45" customHeight="1" spans="1:19">
      <c r="A29" s="42"/>
      <c r="B29" s="50" t="s">
        <v>80</v>
      </c>
      <c r="C29" s="50"/>
      <c r="D29" s="50"/>
      <c r="E29" s="47">
        <v>3000</v>
      </c>
      <c r="F29" s="48"/>
      <c r="G29" s="48"/>
      <c r="H29" s="49"/>
      <c r="I29" s="130">
        <v>3000</v>
      </c>
      <c r="J29" s="608" t="s">
        <v>76</v>
      </c>
      <c r="K29" s="56">
        <v>3000</v>
      </c>
      <c r="L29" s="56">
        <v>100</v>
      </c>
      <c r="M29" s="609" t="s">
        <v>81</v>
      </c>
      <c r="N29" s="610"/>
      <c r="O29" s="38">
        <v>2760</v>
      </c>
      <c r="P29" s="54">
        <v>100</v>
      </c>
      <c r="Q29" s="54"/>
      <c r="R29" s="38">
        <v>240</v>
      </c>
      <c r="S29" s="167"/>
    </row>
    <row r="30" ht="16.15" customHeight="1" spans="1:19">
      <c r="A30" s="42"/>
      <c r="B30" s="50" t="s">
        <v>82</v>
      </c>
      <c r="C30" s="50"/>
      <c r="D30" s="50"/>
      <c r="E30" s="47">
        <v>0</v>
      </c>
      <c r="F30" s="48"/>
      <c r="G30" s="48"/>
      <c r="H30" s="49"/>
      <c r="I30" s="130">
        <v>0</v>
      </c>
      <c r="J30" s="130" t="s">
        <v>15</v>
      </c>
      <c r="K30" s="56">
        <v>0</v>
      </c>
      <c r="L30" s="56">
        <v>0</v>
      </c>
      <c r="M30" s="54" t="s">
        <v>15</v>
      </c>
      <c r="N30" s="54"/>
      <c r="O30" s="38">
        <v>0</v>
      </c>
      <c r="P30" s="54">
        <v>0</v>
      </c>
      <c r="Q30" s="54"/>
      <c r="R30" s="38">
        <v>0</v>
      </c>
      <c r="S30" s="167"/>
    </row>
    <row r="31" ht="24" customHeight="1" spans="1:19">
      <c r="A31" s="42"/>
      <c r="B31" s="54" t="s">
        <v>83</v>
      </c>
      <c r="C31" s="55"/>
      <c r="D31" s="56" t="s">
        <v>84</v>
      </c>
      <c r="E31" s="57" t="s">
        <v>85</v>
      </c>
      <c r="F31" s="57"/>
      <c r="G31" s="57"/>
      <c r="H31" s="57"/>
      <c r="I31" s="57"/>
      <c r="J31" s="57"/>
      <c r="K31" s="57"/>
      <c r="L31" s="57"/>
      <c r="M31" s="57"/>
      <c r="N31" s="57"/>
      <c r="O31" s="57"/>
      <c r="P31" s="57" t="s">
        <v>86</v>
      </c>
      <c r="Q31" s="57"/>
      <c r="R31" s="57"/>
      <c r="S31" s="170"/>
    </row>
    <row r="32" ht="24" customHeight="1" spans="1:19">
      <c r="A32" s="42"/>
      <c r="B32" s="55"/>
      <c r="C32" s="55"/>
      <c r="D32" s="54">
        <v>1</v>
      </c>
      <c r="E32" s="57" t="s">
        <v>87</v>
      </c>
      <c r="F32" s="57"/>
      <c r="G32" s="57"/>
      <c r="H32" s="57"/>
      <c r="I32" s="57"/>
      <c r="J32" s="57"/>
      <c r="K32" s="57"/>
      <c r="L32" s="57"/>
      <c r="M32" s="57"/>
      <c r="N32" s="57"/>
      <c r="O32" s="57"/>
      <c r="P32" s="57">
        <v>500</v>
      </c>
      <c r="Q32" s="57"/>
      <c r="R32" s="57"/>
      <c r="S32" s="170"/>
    </row>
    <row r="33" ht="24" customHeight="1" spans="1:19">
      <c r="A33" s="42"/>
      <c r="B33" s="55"/>
      <c r="C33" s="55"/>
      <c r="D33" s="54">
        <v>2</v>
      </c>
      <c r="E33" s="57" t="s">
        <v>88</v>
      </c>
      <c r="F33" s="57"/>
      <c r="G33" s="57"/>
      <c r="H33" s="57"/>
      <c r="I33" s="57"/>
      <c r="J33" s="57"/>
      <c r="K33" s="57"/>
      <c r="L33" s="57"/>
      <c r="M33" s="57"/>
      <c r="N33" s="57"/>
      <c r="O33" s="57"/>
      <c r="P33" s="57">
        <v>200</v>
      </c>
      <c r="Q33" s="57"/>
      <c r="R33" s="57"/>
      <c r="S33" s="170"/>
    </row>
    <row r="34" ht="24" customHeight="1" spans="1:19">
      <c r="A34" s="58"/>
      <c r="B34" s="59"/>
      <c r="C34" s="59"/>
      <c r="D34" s="54">
        <v>3</v>
      </c>
      <c r="E34" s="57" t="s">
        <v>89</v>
      </c>
      <c r="F34" s="57"/>
      <c r="G34" s="57"/>
      <c r="H34" s="57"/>
      <c r="I34" s="57"/>
      <c r="J34" s="57"/>
      <c r="K34" s="57"/>
      <c r="L34" s="57"/>
      <c r="M34" s="57"/>
      <c r="N34" s="57"/>
      <c r="O34" s="57"/>
      <c r="P34" s="57">
        <v>910</v>
      </c>
      <c r="Q34" s="57"/>
      <c r="R34" s="57"/>
      <c r="S34" s="170"/>
    </row>
    <row r="35" ht="24" customHeight="1" spans="1:19">
      <c r="A35" s="58"/>
      <c r="B35" s="59"/>
      <c r="C35" s="59"/>
      <c r="D35" s="54">
        <v>4</v>
      </c>
      <c r="E35" s="57" t="s">
        <v>90</v>
      </c>
      <c r="F35" s="57"/>
      <c r="G35" s="57"/>
      <c r="H35" s="57"/>
      <c r="I35" s="57"/>
      <c r="J35" s="57"/>
      <c r="K35" s="57"/>
      <c r="L35" s="57"/>
      <c r="M35" s="57"/>
      <c r="N35" s="57"/>
      <c r="O35" s="57"/>
      <c r="P35" s="57">
        <v>1150</v>
      </c>
      <c r="Q35" s="57"/>
      <c r="R35" s="57"/>
      <c r="S35" s="170"/>
    </row>
    <row r="36" ht="18" customHeight="1" spans="1:19">
      <c r="A36" s="60"/>
      <c r="B36" s="61"/>
      <c r="C36" s="61"/>
      <c r="D36" s="168" t="s">
        <v>91</v>
      </c>
      <c r="E36" s="57"/>
      <c r="F36" s="57"/>
      <c r="G36" s="57"/>
      <c r="H36" s="57"/>
      <c r="I36" s="57"/>
      <c r="J36" s="57"/>
      <c r="K36" s="57"/>
      <c r="L36" s="57"/>
      <c r="M36" s="57"/>
      <c r="N36" s="57"/>
      <c r="O36" s="57"/>
      <c r="P36" s="57">
        <f>SUM(P32:P35)</f>
        <v>2760</v>
      </c>
      <c r="Q36" s="57"/>
      <c r="R36" s="57"/>
      <c r="S36" s="170"/>
    </row>
    <row r="37" ht="41.45" customHeight="1" spans="1:20">
      <c r="A37" s="62" t="s">
        <v>92</v>
      </c>
      <c r="B37" s="210" t="s">
        <v>93</v>
      </c>
      <c r="C37" s="211"/>
      <c r="D37" s="211"/>
      <c r="E37" s="211" t="s">
        <v>94</v>
      </c>
      <c r="F37" s="211"/>
      <c r="G37" s="211"/>
      <c r="H37" s="211" t="s">
        <v>95</v>
      </c>
      <c r="I37" s="211"/>
      <c r="J37" s="211" t="s">
        <v>96</v>
      </c>
      <c r="K37" s="211"/>
      <c r="L37" s="211"/>
      <c r="M37" s="211"/>
      <c r="N37" s="211"/>
      <c r="O37" s="211"/>
      <c r="P37" s="228" t="s">
        <v>97</v>
      </c>
      <c r="Q37" s="265"/>
      <c r="R37" s="211" t="s">
        <v>98</v>
      </c>
      <c r="S37" s="266"/>
      <c r="T37" s="99"/>
    </row>
    <row r="38" ht="42.6" customHeight="1" spans="1:20">
      <c r="A38" s="63"/>
      <c r="B38" s="74" t="s">
        <v>99</v>
      </c>
      <c r="C38" s="75"/>
      <c r="D38" s="76"/>
      <c r="E38" s="77" t="s">
        <v>100</v>
      </c>
      <c r="F38" s="77"/>
      <c r="G38" s="77"/>
      <c r="H38" s="212" t="s">
        <v>101</v>
      </c>
      <c r="I38" s="76"/>
      <c r="J38" s="143" t="s">
        <v>102</v>
      </c>
      <c r="K38" s="143"/>
      <c r="L38" s="143"/>
      <c r="M38" s="143"/>
      <c r="N38" s="143"/>
      <c r="O38" s="143"/>
      <c r="P38" s="229">
        <v>0.1</v>
      </c>
      <c r="Q38" s="267"/>
      <c r="R38" s="10">
        <v>10</v>
      </c>
      <c r="S38" s="175"/>
      <c r="T38" s="99"/>
    </row>
    <row r="39" ht="46.5" customHeight="1" spans="1:20">
      <c r="A39" s="63"/>
      <c r="B39" s="68"/>
      <c r="C39" s="69"/>
      <c r="D39" s="70"/>
      <c r="E39" s="54" t="s">
        <v>103</v>
      </c>
      <c r="F39" s="54"/>
      <c r="G39" s="54"/>
      <c r="H39" s="51" t="s">
        <v>104</v>
      </c>
      <c r="I39" s="53"/>
      <c r="J39" s="230" t="s">
        <v>105</v>
      </c>
      <c r="K39" s="231"/>
      <c r="L39" s="231"/>
      <c r="M39" s="231"/>
      <c r="N39" s="231"/>
      <c r="O39" s="232"/>
      <c r="P39" s="233">
        <v>0.1</v>
      </c>
      <c r="Q39" s="172"/>
      <c r="R39" s="25">
        <v>10</v>
      </c>
      <c r="S39" s="154"/>
      <c r="T39" s="99"/>
    </row>
    <row r="40" ht="58.9" customHeight="1" spans="1:20">
      <c r="A40" s="63"/>
      <c r="B40" s="213"/>
      <c r="C40" s="82"/>
      <c r="D40" s="83"/>
      <c r="E40" s="84" t="s">
        <v>106</v>
      </c>
      <c r="F40" s="84"/>
      <c r="G40" s="84"/>
      <c r="H40" s="84" t="s">
        <v>107</v>
      </c>
      <c r="I40" s="84"/>
      <c r="J40" s="234" t="s">
        <v>108</v>
      </c>
      <c r="K40" s="234"/>
      <c r="L40" s="234"/>
      <c r="M40" s="234"/>
      <c r="N40" s="234"/>
      <c r="O40" s="234"/>
      <c r="P40" s="235">
        <v>0.1</v>
      </c>
      <c r="Q40" s="268"/>
      <c r="R40" s="177">
        <v>10</v>
      </c>
      <c r="S40" s="178"/>
      <c r="T40" s="99"/>
    </row>
    <row r="41" ht="48.6" customHeight="1" spans="1:19">
      <c r="A41" s="63"/>
      <c r="B41" s="74" t="s">
        <v>109</v>
      </c>
      <c r="C41" s="75"/>
      <c r="D41" s="76"/>
      <c r="E41" s="34" t="s">
        <v>110</v>
      </c>
      <c r="F41" s="35"/>
      <c r="G41" s="36"/>
      <c r="H41" s="78" t="s">
        <v>111</v>
      </c>
      <c r="I41" s="78"/>
      <c r="J41" s="236" t="s">
        <v>112</v>
      </c>
      <c r="K41" s="237"/>
      <c r="L41" s="237"/>
      <c r="M41" s="237"/>
      <c r="N41" s="237"/>
      <c r="O41" s="238"/>
      <c r="P41" s="174">
        <v>0.06</v>
      </c>
      <c r="Q41" s="174"/>
      <c r="R41" s="10">
        <v>6</v>
      </c>
      <c r="S41" s="175"/>
    </row>
    <row r="42" ht="41.45" customHeight="1" spans="1:19">
      <c r="A42" s="63"/>
      <c r="B42" s="68"/>
      <c r="C42" s="69"/>
      <c r="D42" s="70"/>
      <c r="E42" s="39"/>
      <c r="F42" s="40"/>
      <c r="G42" s="41"/>
      <c r="H42" s="214" t="s">
        <v>113</v>
      </c>
      <c r="I42" s="214"/>
      <c r="J42" s="239" t="s">
        <v>114</v>
      </c>
      <c r="K42" s="240"/>
      <c r="L42" s="240"/>
      <c r="M42" s="240"/>
      <c r="N42" s="240"/>
      <c r="O42" s="241"/>
      <c r="P42" s="144">
        <v>0.06</v>
      </c>
      <c r="Q42" s="144"/>
      <c r="R42" s="23">
        <v>6</v>
      </c>
      <c r="S42" s="173"/>
    </row>
    <row r="43" ht="54.6" customHeight="1" spans="1:19">
      <c r="A43" s="63"/>
      <c r="B43" s="68"/>
      <c r="C43" s="69"/>
      <c r="D43" s="70"/>
      <c r="E43" s="43"/>
      <c r="F43" s="44"/>
      <c r="G43" s="45"/>
      <c r="H43" s="214" t="s">
        <v>115</v>
      </c>
      <c r="I43" s="214"/>
      <c r="J43" s="239" t="s">
        <v>116</v>
      </c>
      <c r="K43" s="240"/>
      <c r="L43" s="240"/>
      <c r="M43" s="240"/>
      <c r="N43" s="240"/>
      <c r="O43" s="241"/>
      <c r="P43" s="233">
        <v>0.06</v>
      </c>
      <c r="Q43" s="172"/>
      <c r="R43" s="25">
        <v>4</v>
      </c>
      <c r="S43" s="154"/>
    </row>
    <row r="44" s="205" customFormat="1" ht="48.6" customHeight="1" spans="1:20">
      <c r="A44" s="63"/>
      <c r="B44" s="79"/>
      <c r="C44" s="69"/>
      <c r="D44" s="70"/>
      <c r="E44" s="54" t="s">
        <v>117</v>
      </c>
      <c r="F44" s="54"/>
      <c r="G44" s="54"/>
      <c r="H44" s="54" t="s">
        <v>118</v>
      </c>
      <c r="I44" s="54"/>
      <c r="J44" s="51" t="s">
        <v>119</v>
      </c>
      <c r="K44" s="52"/>
      <c r="L44" s="52"/>
      <c r="M44" s="52"/>
      <c r="N44" s="52"/>
      <c r="O44" s="53"/>
      <c r="P44" s="144">
        <v>0.06</v>
      </c>
      <c r="Q44" s="144"/>
      <c r="R44" s="23">
        <v>6</v>
      </c>
      <c r="S44" s="173"/>
      <c r="T44" s="40"/>
    </row>
    <row r="45" s="205" customFormat="1" ht="60" customHeight="1" spans="1:20">
      <c r="A45" s="63"/>
      <c r="B45" s="81"/>
      <c r="C45" s="82"/>
      <c r="D45" s="83"/>
      <c r="E45" s="84"/>
      <c r="F45" s="84"/>
      <c r="G45" s="84"/>
      <c r="H45" s="84" t="s">
        <v>120</v>
      </c>
      <c r="I45" s="84"/>
      <c r="J45" s="242" t="s">
        <v>121</v>
      </c>
      <c r="K45" s="243"/>
      <c r="L45" s="243"/>
      <c r="M45" s="243"/>
      <c r="N45" s="243"/>
      <c r="O45" s="244"/>
      <c r="P45" s="146">
        <v>0.06</v>
      </c>
      <c r="Q45" s="146"/>
      <c r="R45" s="177">
        <v>6</v>
      </c>
      <c r="S45" s="178"/>
      <c r="T45" s="40"/>
    </row>
    <row r="46" ht="30" customHeight="1" spans="1:19">
      <c r="A46" s="63"/>
      <c r="B46" s="74" t="s">
        <v>122</v>
      </c>
      <c r="C46" s="75"/>
      <c r="D46" s="76"/>
      <c r="E46" s="77" t="s">
        <v>123</v>
      </c>
      <c r="F46" s="77"/>
      <c r="G46" s="77"/>
      <c r="H46" s="77" t="s">
        <v>124</v>
      </c>
      <c r="I46" s="77"/>
      <c r="J46" s="246" t="s">
        <v>125</v>
      </c>
      <c r="K46" s="247"/>
      <c r="L46" s="247"/>
      <c r="M46" s="247"/>
      <c r="N46" s="247"/>
      <c r="O46" s="248"/>
      <c r="P46" s="174">
        <v>0.04</v>
      </c>
      <c r="Q46" s="174"/>
      <c r="R46" s="10">
        <v>4</v>
      </c>
      <c r="S46" s="175"/>
    </row>
    <row r="47" ht="39" customHeight="1" spans="1:19">
      <c r="A47" s="63"/>
      <c r="B47" s="68"/>
      <c r="C47" s="69"/>
      <c r="D47" s="70"/>
      <c r="E47" s="54"/>
      <c r="F47" s="54"/>
      <c r="G47" s="54"/>
      <c r="H47" s="54" t="s">
        <v>126</v>
      </c>
      <c r="I47" s="54"/>
      <c r="J47" s="51" t="s">
        <v>127</v>
      </c>
      <c r="K47" s="52"/>
      <c r="L47" s="52"/>
      <c r="M47" s="52"/>
      <c r="N47" s="52"/>
      <c r="O47" s="53"/>
      <c r="P47" s="233">
        <v>0.04</v>
      </c>
      <c r="Q47" s="172"/>
      <c r="R47" s="25">
        <v>3</v>
      </c>
      <c r="S47" s="154"/>
    </row>
    <row r="48" ht="49.9" customHeight="1" spans="1:19">
      <c r="A48" s="63"/>
      <c r="B48" s="79"/>
      <c r="C48" s="69"/>
      <c r="D48" s="70"/>
      <c r="E48" s="54" t="s">
        <v>128</v>
      </c>
      <c r="F48" s="54"/>
      <c r="G48" s="54"/>
      <c r="H48" s="54" t="s">
        <v>129</v>
      </c>
      <c r="I48" s="54"/>
      <c r="J48" s="51" t="s">
        <v>130</v>
      </c>
      <c r="K48" s="52"/>
      <c r="L48" s="52"/>
      <c r="M48" s="52"/>
      <c r="N48" s="52"/>
      <c r="O48" s="53"/>
      <c r="P48" s="144">
        <v>0.04</v>
      </c>
      <c r="Q48" s="144"/>
      <c r="R48" s="23">
        <v>3</v>
      </c>
      <c r="S48" s="173"/>
    </row>
    <row r="49" ht="57" customHeight="1" spans="1:19">
      <c r="A49" s="63"/>
      <c r="B49" s="79"/>
      <c r="C49" s="69"/>
      <c r="D49" s="70"/>
      <c r="E49" s="54"/>
      <c r="F49" s="54"/>
      <c r="G49" s="54"/>
      <c r="H49" s="54" t="s">
        <v>131</v>
      </c>
      <c r="I49" s="54"/>
      <c r="J49" s="50" t="s">
        <v>132</v>
      </c>
      <c r="K49" s="50"/>
      <c r="L49" s="50"/>
      <c r="M49" s="50"/>
      <c r="N49" s="50"/>
      <c r="O49" s="50"/>
      <c r="P49" s="144">
        <v>0.01</v>
      </c>
      <c r="Q49" s="144"/>
      <c r="R49" s="25">
        <v>1</v>
      </c>
      <c r="S49" s="154"/>
    </row>
    <row r="50" ht="23.25" customHeight="1" spans="1:19">
      <c r="A50" s="63"/>
      <c r="B50" s="79"/>
      <c r="C50" s="69"/>
      <c r="D50" s="70"/>
      <c r="E50" s="54"/>
      <c r="F50" s="54"/>
      <c r="G50" s="54"/>
      <c r="H50" s="54"/>
      <c r="I50" s="54"/>
      <c r="J50" s="50" t="s">
        <v>133</v>
      </c>
      <c r="K50" s="50"/>
      <c r="L50" s="50"/>
      <c r="M50" s="50"/>
      <c r="N50" s="50"/>
      <c r="O50" s="50"/>
      <c r="P50" s="144">
        <v>0.01</v>
      </c>
      <c r="Q50" s="144"/>
      <c r="R50" s="25">
        <v>1</v>
      </c>
      <c r="S50" s="154"/>
    </row>
    <row r="51" ht="23.25" customHeight="1" spans="1:19">
      <c r="A51" s="63"/>
      <c r="B51" s="79"/>
      <c r="C51" s="69"/>
      <c r="D51" s="70"/>
      <c r="E51" s="54"/>
      <c r="F51" s="54"/>
      <c r="G51" s="54"/>
      <c r="H51" s="54"/>
      <c r="I51" s="54"/>
      <c r="J51" s="50" t="s">
        <v>134</v>
      </c>
      <c r="K51" s="50"/>
      <c r="L51" s="50"/>
      <c r="M51" s="50"/>
      <c r="N51" s="50"/>
      <c r="O51" s="50"/>
      <c r="P51" s="144">
        <v>0.01</v>
      </c>
      <c r="Q51" s="144"/>
      <c r="R51" s="25">
        <v>1</v>
      </c>
      <c r="S51" s="154"/>
    </row>
    <row r="52" ht="48.6" customHeight="1" spans="1:19">
      <c r="A52" s="63"/>
      <c r="B52" s="79"/>
      <c r="C52" s="69"/>
      <c r="D52" s="70"/>
      <c r="E52" s="54"/>
      <c r="F52" s="54"/>
      <c r="G52" s="54"/>
      <c r="H52" s="54"/>
      <c r="I52" s="54"/>
      <c r="J52" s="50" t="s">
        <v>135</v>
      </c>
      <c r="K52" s="50"/>
      <c r="L52" s="50"/>
      <c r="M52" s="50"/>
      <c r="N52" s="50"/>
      <c r="O52" s="50"/>
      <c r="P52" s="144">
        <v>0.01</v>
      </c>
      <c r="Q52" s="144"/>
      <c r="R52" s="25">
        <v>1</v>
      </c>
      <c r="S52" s="154"/>
    </row>
    <row r="53" ht="52.9" customHeight="1" spans="1:19">
      <c r="A53" s="63"/>
      <c r="B53" s="79"/>
      <c r="C53" s="69"/>
      <c r="D53" s="70"/>
      <c r="E53" s="54"/>
      <c r="F53" s="54"/>
      <c r="G53" s="54"/>
      <c r="H53" s="214" t="s">
        <v>136</v>
      </c>
      <c r="I53" s="214"/>
      <c r="J53" s="293" t="s">
        <v>137</v>
      </c>
      <c r="K53" s="293"/>
      <c r="L53" s="293"/>
      <c r="M53" s="293"/>
      <c r="N53" s="293"/>
      <c r="O53" s="293"/>
      <c r="P53" s="144">
        <v>0.04</v>
      </c>
      <c r="Q53" s="144"/>
      <c r="R53" s="25">
        <v>4</v>
      </c>
      <c r="S53" s="154"/>
    </row>
    <row r="54" ht="25.5" customHeight="1" spans="1:19">
      <c r="A54" s="63"/>
      <c r="B54" s="79"/>
      <c r="C54" s="69"/>
      <c r="D54" s="70"/>
      <c r="E54" s="54" t="s">
        <v>138</v>
      </c>
      <c r="F54" s="54"/>
      <c r="G54" s="54"/>
      <c r="H54" s="216" t="s">
        <v>139</v>
      </c>
      <c r="I54" s="216"/>
      <c r="J54" s="294" t="s">
        <v>140</v>
      </c>
      <c r="K54" s="295"/>
      <c r="L54" s="295"/>
      <c r="M54" s="295"/>
      <c r="N54" s="295"/>
      <c r="O54" s="296"/>
      <c r="P54" s="252">
        <v>0.04</v>
      </c>
      <c r="Q54" s="252"/>
      <c r="R54" s="23">
        <v>3</v>
      </c>
      <c r="S54" s="173"/>
    </row>
    <row r="55" ht="45" customHeight="1" spans="1:19">
      <c r="A55" s="63"/>
      <c r="B55" s="79"/>
      <c r="C55" s="69"/>
      <c r="D55" s="70"/>
      <c r="E55" s="54" t="s">
        <v>141</v>
      </c>
      <c r="F55" s="54"/>
      <c r="G55" s="54"/>
      <c r="H55" s="54" t="s">
        <v>44</v>
      </c>
      <c r="I55" s="54"/>
      <c r="J55" s="98" t="s">
        <v>142</v>
      </c>
      <c r="K55" s="280"/>
      <c r="L55" s="280"/>
      <c r="M55" s="280"/>
      <c r="N55" s="280"/>
      <c r="O55" s="99"/>
      <c r="P55" s="144">
        <v>0.04</v>
      </c>
      <c r="Q55" s="144"/>
      <c r="R55" s="23">
        <v>4</v>
      </c>
      <c r="S55" s="173"/>
    </row>
    <row r="56" s="205" customFormat="1" ht="21" customHeight="1" spans="1:20">
      <c r="A56" s="63"/>
      <c r="B56" s="79"/>
      <c r="C56" s="69"/>
      <c r="D56" s="70"/>
      <c r="E56" s="54" t="s">
        <v>143</v>
      </c>
      <c r="F56" s="54"/>
      <c r="G56" s="54"/>
      <c r="H56" s="54" t="s">
        <v>144</v>
      </c>
      <c r="I56" s="54"/>
      <c r="J56" s="239" t="s">
        <v>145</v>
      </c>
      <c r="K56" s="240"/>
      <c r="L56" s="240"/>
      <c r="M56" s="240"/>
      <c r="N56" s="240"/>
      <c r="O56" s="241"/>
      <c r="P56" s="144">
        <v>0.04</v>
      </c>
      <c r="Q56" s="144"/>
      <c r="R56" s="23">
        <v>4</v>
      </c>
      <c r="S56" s="176"/>
      <c r="T56" s="40"/>
    </row>
    <row r="57" s="205" customFormat="1" ht="45.6" customHeight="1" spans="1:20">
      <c r="A57" s="63"/>
      <c r="B57" s="79"/>
      <c r="C57" s="69"/>
      <c r="D57" s="70"/>
      <c r="E57" s="54" t="s">
        <v>146</v>
      </c>
      <c r="F57" s="54"/>
      <c r="G57" s="54"/>
      <c r="H57" s="214" t="s">
        <v>147</v>
      </c>
      <c r="I57" s="214"/>
      <c r="J57" s="239" t="s">
        <v>148</v>
      </c>
      <c r="K57" s="240"/>
      <c r="L57" s="240"/>
      <c r="M57" s="240"/>
      <c r="N57" s="240"/>
      <c r="O57" s="241"/>
      <c r="P57" s="144">
        <v>0.04</v>
      </c>
      <c r="Q57" s="144"/>
      <c r="R57" s="23">
        <v>4</v>
      </c>
      <c r="S57" s="176"/>
      <c r="T57" s="40"/>
    </row>
    <row r="58" s="205" customFormat="1" ht="33" customHeight="1" spans="1:20">
      <c r="A58" s="63"/>
      <c r="B58" s="81"/>
      <c r="C58" s="82"/>
      <c r="D58" s="83"/>
      <c r="E58" s="84" t="s">
        <v>149</v>
      </c>
      <c r="F58" s="84"/>
      <c r="G58" s="84"/>
      <c r="H58" s="217" t="s">
        <v>150</v>
      </c>
      <c r="I58" s="217"/>
      <c r="J58" s="256" t="s">
        <v>151</v>
      </c>
      <c r="K58" s="257"/>
      <c r="L58" s="257"/>
      <c r="M58" s="257"/>
      <c r="N58" s="257"/>
      <c r="O58" s="258"/>
      <c r="P58" s="146">
        <v>0.04</v>
      </c>
      <c r="Q58" s="146"/>
      <c r="R58" s="177">
        <v>3</v>
      </c>
      <c r="S58" s="178"/>
      <c r="T58" s="40"/>
    </row>
    <row r="59" ht="30" customHeight="1" spans="1:19">
      <c r="A59" s="63"/>
      <c r="B59" s="16" t="s">
        <v>152</v>
      </c>
      <c r="C59" s="17"/>
      <c r="D59" s="17"/>
      <c r="E59" s="17"/>
      <c r="F59" s="17"/>
      <c r="G59" s="17"/>
      <c r="H59" s="17"/>
      <c r="I59" s="17"/>
      <c r="J59" s="17"/>
      <c r="K59" s="17"/>
      <c r="L59" s="17"/>
      <c r="M59" s="17"/>
      <c r="N59" s="17"/>
      <c r="O59" s="18"/>
      <c r="P59" s="259">
        <v>1</v>
      </c>
      <c r="Q59" s="259"/>
      <c r="R59" s="299">
        <v>94</v>
      </c>
      <c r="S59" s="300"/>
    </row>
    <row r="60" ht="36" customHeight="1" spans="1:19">
      <c r="A60" s="88"/>
      <c r="B60" s="89" t="s">
        <v>153</v>
      </c>
      <c r="C60" s="90" t="s">
        <v>154</v>
      </c>
      <c r="D60" s="91"/>
      <c r="E60" s="91"/>
      <c r="F60" s="91"/>
      <c r="G60" s="91"/>
      <c r="H60" s="91"/>
      <c r="I60" s="91"/>
      <c r="J60" s="91"/>
      <c r="K60" s="91"/>
      <c r="L60" s="91"/>
      <c r="M60" s="91"/>
      <c r="N60" s="91"/>
      <c r="O60" s="91"/>
      <c r="P60" s="91"/>
      <c r="Q60" s="91"/>
      <c r="R60" s="91"/>
      <c r="S60" s="181"/>
    </row>
    <row r="61" ht="22.5" customHeight="1" spans="1:19">
      <c r="A61" s="62" t="s">
        <v>155</v>
      </c>
      <c r="B61" s="92" t="s">
        <v>156</v>
      </c>
      <c r="C61" s="93" t="s">
        <v>157</v>
      </c>
      <c r="D61" s="94"/>
      <c r="E61" s="95" t="s">
        <v>158</v>
      </c>
      <c r="F61" s="93"/>
      <c r="G61" s="93"/>
      <c r="H61" s="93"/>
      <c r="I61" s="93"/>
      <c r="J61" s="93"/>
      <c r="K61" s="93"/>
      <c r="L61" s="93"/>
      <c r="M61" s="93"/>
      <c r="N61" s="94"/>
      <c r="O61" s="149" t="s">
        <v>159</v>
      </c>
      <c r="P61" s="95" t="s">
        <v>160</v>
      </c>
      <c r="Q61" s="94"/>
      <c r="R61" s="95" t="s">
        <v>161</v>
      </c>
      <c r="S61" s="182"/>
    </row>
    <row r="62" ht="21" customHeight="1" spans="1:19">
      <c r="A62" s="96"/>
      <c r="B62" s="97"/>
      <c r="C62" s="98"/>
      <c r="D62" s="99"/>
      <c r="E62" s="100"/>
      <c r="F62" s="101"/>
      <c r="G62" s="101"/>
      <c r="H62" s="101"/>
      <c r="I62" s="101"/>
      <c r="J62" s="101"/>
      <c r="K62" s="101"/>
      <c r="L62" s="101"/>
      <c r="M62" s="101"/>
      <c r="N62" s="150"/>
      <c r="O62" s="57"/>
      <c r="P62" s="98"/>
      <c r="Q62" s="99"/>
      <c r="R62" s="98"/>
      <c r="S62" s="160"/>
    </row>
    <row r="63" ht="21" customHeight="1" spans="1:19">
      <c r="A63" s="96"/>
      <c r="B63" s="97"/>
      <c r="C63" s="98"/>
      <c r="D63" s="99"/>
      <c r="E63" s="100"/>
      <c r="F63" s="101"/>
      <c r="G63" s="101"/>
      <c r="H63" s="101"/>
      <c r="I63" s="101"/>
      <c r="J63" s="101"/>
      <c r="K63" s="101"/>
      <c r="L63" s="101"/>
      <c r="M63" s="101"/>
      <c r="N63" s="150"/>
      <c r="O63" s="57"/>
      <c r="P63" s="98"/>
      <c r="Q63" s="99"/>
      <c r="R63" s="98"/>
      <c r="S63" s="160"/>
    </row>
    <row r="64" ht="21" customHeight="1" spans="1:19">
      <c r="A64" s="96"/>
      <c r="B64" s="97"/>
      <c r="C64" s="98"/>
      <c r="D64" s="99"/>
      <c r="E64" s="100"/>
      <c r="F64" s="101"/>
      <c r="G64" s="101"/>
      <c r="H64" s="101"/>
      <c r="I64" s="101"/>
      <c r="J64" s="101"/>
      <c r="K64" s="101"/>
      <c r="L64" s="101"/>
      <c r="M64" s="101"/>
      <c r="N64" s="150"/>
      <c r="O64" s="57"/>
      <c r="P64" s="98"/>
      <c r="Q64" s="99"/>
      <c r="R64" s="98"/>
      <c r="S64" s="160"/>
    </row>
    <row r="65" ht="21" customHeight="1" spans="1:19">
      <c r="A65" s="96"/>
      <c r="B65" s="97"/>
      <c r="C65" s="98"/>
      <c r="D65" s="99"/>
      <c r="E65" s="100"/>
      <c r="F65" s="101"/>
      <c r="G65" s="101"/>
      <c r="H65" s="101"/>
      <c r="I65" s="101"/>
      <c r="J65" s="101"/>
      <c r="K65" s="101"/>
      <c r="L65" s="101"/>
      <c r="M65" s="101"/>
      <c r="N65" s="150"/>
      <c r="O65" s="57"/>
      <c r="P65" s="98"/>
      <c r="Q65" s="99"/>
      <c r="R65" s="98"/>
      <c r="S65" s="160"/>
    </row>
    <row r="66" ht="21" customHeight="1" spans="1:19">
      <c r="A66" s="96"/>
      <c r="B66" s="97"/>
      <c r="C66" s="98"/>
      <c r="D66" s="99"/>
      <c r="E66" s="100"/>
      <c r="F66" s="101"/>
      <c r="G66" s="101"/>
      <c r="H66" s="101"/>
      <c r="I66" s="101"/>
      <c r="J66" s="101"/>
      <c r="K66" s="101"/>
      <c r="L66" s="101"/>
      <c r="M66" s="101"/>
      <c r="N66" s="150"/>
      <c r="O66" s="57"/>
      <c r="P66" s="98"/>
      <c r="Q66" s="99"/>
      <c r="R66" s="98"/>
      <c r="S66" s="160"/>
    </row>
    <row r="67" ht="105.75" customHeight="1" spans="1:19">
      <c r="A67" s="96"/>
      <c r="B67" s="97"/>
      <c r="C67" s="102" t="s">
        <v>162</v>
      </c>
      <c r="D67" s="103"/>
      <c r="E67" s="103"/>
      <c r="F67" s="103"/>
      <c r="G67" s="103"/>
      <c r="H67" s="103"/>
      <c r="I67" s="103"/>
      <c r="J67" s="103"/>
      <c r="K67" s="103"/>
      <c r="L67" s="103"/>
      <c r="M67" s="103"/>
      <c r="N67" s="103"/>
      <c r="O67" s="103"/>
      <c r="P67" s="103"/>
      <c r="Q67" s="103"/>
      <c r="R67" s="103"/>
      <c r="S67" s="183"/>
    </row>
    <row r="68" ht="27" customHeight="1" spans="1:19">
      <c r="A68" s="96"/>
      <c r="B68" s="104"/>
      <c r="C68" s="105" t="s">
        <v>163</v>
      </c>
      <c r="D68" s="106"/>
      <c r="E68" s="106"/>
      <c r="F68" s="106"/>
      <c r="G68" s="106"/>
      <c r="H68" s="106"/>
      <c r="I68" s="106"/>
      <c r="J68" s="106"/>
      <c r="K68" s="106"/>
      <c r="L68" s="106"/>
      <c r="M68" s="106"/>
      <c r="N68" s="106"/>
      <c r="O68" s="106"/>
      <c r="P68" s="106"/>
      <c r="Q68" s="106"/>
      <c r="R68" s="106"/>
      <c r="S68" s="184"/>
    </row>
    <row r="69" ht="48.75" customHeight="1" spans="1:19">
      <c r="A69" s="96"/>
      <c r="B69" s="92" t="s">
        <v>164</v>
      </c>
      <c r="C69" s="107" t="s">
        <v>165</v>
      </c>
      <c r="D69" s="108"/>
      <c r="E69" s="108"/>
      <c r="F69" s="108"/>
      <c r="G69" s="108"/>
      <c r="H69" s="108"/>
      <c r="I69" s="108"/>
      <c r="J69" s="108"/>
      <c r="K69" s="108"/>
      <c r="L69" s="108"/>
      <c r="M69" s="108"/>
      <c r="N69" s="108"/>
      <c r="O69" s="108"/>
      <c r="P69" s="108"/>
      <c r="Q69" s="108"/>
      <c r="R69" s="108"/>
      <c r="S69" s="185"/>
    </row>
    <row r="70" ht="55.5" customHeight="1" spans="1:19">
      <c r="A70" s="96"/>
      <c r="B70" s="186"/>
      <c r="C70" s="187" t="s">
        <v>166</v>
      </c>
      <c r="D70" s="188"/>
      <c r="E70" s="188"/>
      <c r="F70" s="188"/>
      <c r="G70" s="188"/>
      <c r="H70" s="188"/>
      <c r="I70" s="188"/>
      <c r="J70" s="188"/>
      <c r="K70" s="188"/>
      <c r="L70" s="188"/>
      <c r="M70" s="188"/>
      <c r="N70" s="188"/>
      <c r="O70" s="188"/>
      <c r="P70" s="188"/>
      <c r="Q70" s="188"/>
      <c r="R70" s="188"/>
      <c r="S70" s="201"/>
    </row>
    <row r="71" ht="104.25" customHeight="1" spans="1:19">
      <c r="A71" s="96"/>
      <c r="B71" s="186"/>
      <c r="C71" s="102" t="s">
        <v>167</v>
      </c>
      <c r="D71" s="103"/>
      <c r="E71" s="103"/>
      <c r="F71" s="103"/>
      <c r="G71" s="103"/>
      <c r="H71" s="103"/>
      <c r="I71" s="103"/>
      <c r="J71" s="103"/>
      <c r="K71" s="103"/>
      <c r="L71" s="103"/>
      <c r="M71" s="103"/>
      <c r="N71" s="103"/>
      <c r="O71" s="103"/>
      <c r="P71" s="103"/>
      <c r="Q71" s="103"/>
      <c r="R71" s="103"/>
      <c r="S71" s="183"/>
    </row>
    <row r="72" ht="28.5" customHeight="1" spans="1:19">
      <c r="A72" s="96"/>
      <c r="B72" s="189"/>
      <c r="C72" s="105" t="s">
        <v>168</v>
      </c>
      <c r="D72" s="106"/>
      <c r="E72" s="106"/>
      <c r="F72" s="106"/>
      <c r="G72" s="106"/>
      <c r="H72" s="106"/>
      <c r="I72" s="106"/>
      <c r="J72" s="106"/>
      <c r="K72" s="106"/>
      <c r="L72" s="106"/>
      <c r="M72" s="106"/>
      <c r="N72" s="106"/>
      <c r="O72" s="106"/>
      <c r="P72" s="106"/>
      <c r="Q72" s="106"/>
      <c r="R72" s="106"/>
      <c r="S72" s="184"/>
    </row>
    <row r="73" ht="12" customHeight="1" spans="1:19">
      <c r="A73" s="96"/>
      <c r="B73" s="186" t="s">
        <v>169</v>
      </c>
      <c r="C73" s="190"/>
      <c r="D73" s="191"/>
      <c r="E73" s="191"/>
      <c r="F73" s="191"/>
      <c r="G73" s="191"/>
      <c r="H73" s="191"/>
      <c r="I73" s="191"/>
      <c r="J73" s="191"/>
      <c r="K73" s="191"/>
      <c r="L73" s="191"/>
      <c r="M73" s="191"/>
      <c r="N73" s="191"/>
      <c r="O73" s="191"/>
      <c r="P73" s="191"/>
      <c r="Q73" s="191"/>
      <c r="R73" s="191"/>
      <c r="S73" s="202"/>
    </row>
    <row r="74" customHeight="1" spans="1:19">
      <c r="A74" s="96"/>
      <c r="B74" s="186"/>
      <c r="C74" s="191"/>
      <c r="D74" s="191"/>
      <c r="E74" s="191"/>
      <c r="F74" s="192"/>
      <c r="G74" s="191"/>
      <c r="H74" s="191"/>
      <c r="I74" s="191"/>
      <c r="J74" s="191"/>
      <c r="K74" s="191"/>
      <c r="L74" s="191"/>
      <c r="M74" s="191"/>
      <c r="N74" s="191"/>
      <c r="O74" s="191"/>
      <c r="P74" s="191"/>
      <c r="Q74" s="191"/>
      <c r="R74" s="191"/>
      <c r="S74" s="202"/>
    </row>
    <row r="75" ht="30.75" customHeight="1" spans="1:19">
      <c r="A75" s="96"/>
      <c r="B75" s="186"/>
      <c r="C75" s="193"/>
      <c r="D75" s="194"/>
      <c r="E75" s="194"/>
      <c r="F75" s="194"/>
      <c r="G75" s="194"/>
      <c r="H75" s="194"/>
      <c r="I75" s="194"/>
      <c r="J75" s="194"/>
      <c r="K75" s="194"/>
      <c r="L75" s="194"/>
      <c r="M75" s="194"/>
      <c r="N75" s="194"/>
      <c r="O75" s="194"/>
      <c r="P75" s="194"/>
      <c r="Q75" s="194"/>
      <c r="R75" s="194"/>
      <c r="S75" s="203"/>
    </row>
    <row r="76" ht="53.25" customHeight="1" spans="1:19">
      <c r="A76" s="195"/>
      <c r="B76" s="189"/>
      <c r="C76" s="196" t="s">
        <v>170</v>
      </c>
      <c r="D76" s="197"/>
      <c r="E76" s="197"/>
      <c r="F76" s="197"/>
      <c r="G76" s="197"/>
      <c r="H76" s="197"/>
      <c r="I76" s="197"/>
      <c r="J76" s="197"/>
      <c r="K76" s="197"/>
      <c r="L76" s="197"/>
      <c r="M76" s="197"/>
      <c r="N76" s="197"/>
      <c r="O76" s="197"/>
      <c r="P76" s="197"/>
      <c r="Q76" s="197"/>
      <c r="R76" s="197"/>
      <c r="S76" s="204"/>
    </row>
    <row r="77" ht="19.5" customHeight="1" spans="1:19">
      <c r="A77" s="198"/>
      <c r="B77" s="199" t="s">
        <v>171</v>
      </c>
      <c r="C77" s="199"/>
      <c r="D77" s="199"/>
      <c r="E77" s="199"/>
      <c r="F77" s="199"/>
      <c r="G77" s="199"/>
      <c r="H77" s="199" t="s">
        <v>172</v>
      </c>
      <c r="I77" s="199"/>
      <c r="J77" s="199"/>
      <c r="K77" s="199"/>
      <c r="L77" s="199"/>
      <c r="N77" s="200"/>
      <c r="O77" s="200" t="s">
        <v>173</v>
      </c>
      <c r="Q77" s="200"/>
      <c r="R77" s="200"/>
      <c r="S77" s="200"/>
    </row>
  </sheetData>
  <mergeCells count="298">
    <mergeCell ref="A1:S1"/>
    <mergeCell ref="B2:D2"/>
    <mergeCell ref="E2:S2"/>
    <mergeCell ref="K3:M3"/>
    <mergeCell ref="P3:S3"/>
    <mergeCell ref="K4:M4"/>
    <mergeCell ref="P4:S4"/>
    <mergeCell ref="B5:H5"/>
    <mergeCell ref="I5:S5"/>
    <mergeCell ref="C6:H6"/>
    <mergeCell ref="I6:K6"/>
    <mergeCell ref="L6:O6"/>
    <mergeCell ref="P6:S6"/>
    <mergeCell ref="C7:D7"/>
    <mergeCell ref="E7:H7"/>
    <mergeCell ref="I7:K7"/>
    <mergeCell ref="L7:M7"/>
    <mergeCell ref="N7:O7"/>
    <mergeCell ref="P7:Q7"/>
    <mergeCell ref="R7:S7"/>
    <mergeCell ref="E8:H8"/>
    <mergeCell ref="I8:K8"/>
    <mergeCell ref="L8:M8"/>
    <mergeCell ref="N8:O8"/>
    <mergeCell ref="P8:Q8"/>
    <mergeCell ref="R8:S8"/>
    <mergeCell ref="E9:H9"/>
    <mergeCell ref="I9:K9"/>
    <mergeCell ref="L9:M9"/>
    <mergeCell ref="N9:O9"/>
    <mergeCell ref="P9:Q9"/>
    <mergeCell ref="R9:S9"/>
    <mergeCell ref="E10:H10"/>
    <mergeCell ref="I10:K10"/>
    <mergeCell ref="L10:M10"/>
    <mergeCell ref="N10:O10"/>
    <mergeCell ref="P10:Q10"/>
    <mergeCell ref="R10:S10"/>
    <mergeCell ref="E11:H11"/>
    <mergeCell ref="I11:K11"/>
    <mergeCell ref="L11:M11"/>
    <mergeCell ref="N11:O11"/>
    <mergeCell ref="P11:Q11"/>
    <mergeCell ref="R11:S11"/>
    <mergeCell ref="E12:H12"/>
    <mergeCell ref="I12:K12"/>
    <mergeCell ref="L12:M12"/>
    <mergeCell ref="N12:O12"/>
    <mergeCell ref="P12:Q12"/>
    <mergeCell ref="R12:S12"/>
    <mergeCell ref="E13:H13"/>
    <mergeCell ref="I13:K13"/>
    <mergeCell ref="L13:M13"/>
    <mergeCell ref="N13:O13"/>
    <mergeCell ref="P13:Q13"/>
    <mergeCell ref="R13:S13"/>
    <mergeCell ref="E14:H14"/>
    <mergeCell ref="I14:K14"/>
    <mergeCell ref="L14:M14"/>
    <mergeCell ref="N14:O14"/>
    <mergeCell ref="P14:Q14"/>
    <mergeCell ref="R14:S14"/>
    <mergeCell ref="E15:H15"/>
    <mergeCell ref="I15:K15"/>
    <mergeCell ref="L15:M15"/>
    <mergeCell ref="N15:O15"/>
    <mergeCell ref="P15:Q15"/>
    <mergeCell ref="R15:S15"/>
    <mergeCell ref="E16:H16"/>
    <mergeCell ref="I16:K16"/>
    <mergeCell ref="L16:M16"/>
    <mergeCell ref="N16:O16"/>
    <mergeCell ref="P16:Q16"/>
    <mergeCell ref="R16:S16"/>
    <mergeCell ref="E17:H17"/>
    <mergeCell ref="I17:K17"/>
    <mergeCell ref="L17:M17"/>
    <mergeCell ref="N17:O17"/>
    <mergeCell ref="P17:Q17"/>
    <mergeCell ref="R17:S17"/>
    <mergeCell ref="B18:D18"/>
    <mergeCell ref="E18:H18"/>
    <mergeCell ref="I18:K18"/>
    <mergeCell ref="L18:S18"/>
    <mergeCell ref="I19:S19"/>
    <mergeCell ref="I20:S20"/>
    <mergeCell ref="I21:S21"/>
    <mergeCell ref="I22:J22"/>
    <mergeCell ref="K22:N22"/>
    <mergeCell ref="O22:Q22"/>
    <mergeCell ref="B25:D25"/>
    <mergeCell ref="E25:H25"/>
    <mergeCell ref="M25:N25"/>
    <mergeCell ref="P25:Q25"/>
    <mergeCell ref="R25:S25"/>
    <mergeCell ref="B26:D26"/>
    <mergeCell ref="E26:H26"/>
    <mergeCell ref="M26:N26"/>
    <mergeCell ref="P26:Q26"/>
    <mergeCell ref="R26:S26"/>
    <mergeCell ref="B27:D27"/>
    <mergeCell ref="E27:H27"/>
    <mergeCell ref="M27:N27"/>
    <mergeCell ref="P27:Q27"/>
    <mergeCell ref="R27:S27"/>
    <mergeCell ref="B28:D28"/>
    <mergeCell ref="E28:H28"/>
    <mergeCell ref="M28:N28"/>
    <mergeCell ref="P28:Q28"/>
    <mergeCell ref="R28:S28"/>
    <mergeCell ref="B29:D29"/>
    <mergeCell ref="E29:H29"/>
    <mergeCell ref="M29:N29"/>
    <mergeCell ref="P29:Q29"/>
    <mergeCell ref="R29:S29"/>
    <mergeCell ref="B30:D30"/>
    <mergeCell ref="E30:H30"/>
    <mergeCell ref="M30:N30"/>
    <mergeCell ref="P30:Q30"/>
    <mergeCell ref="R30:S30"/>
    <mergeCell ref="E31:O31"/>
    <mergeCell ref="P31:S31"/>
    <mergeCell ref="E32:O32"/>
    <mergeCell ref="P32:S32"/>
    <mergeCell ref="E33:O33"/>
    <mergeCell ref="P33:S33"/>
    <mergeCell ref="E34:O34"/>
    <mergeCell ref="P34:S34"/>
    <mergeCell ref="E35:O35"/>
    <mergeCell ref="P35:S35"/>
    <mergeCell ref="E36:O36"/>
    <mergeCell ref="P36:S36"/>
    <mergeCell ref="B37:D37"/>
    <mergeCell ref="E37:G37"/>
    <mergeCell ref="H37:I37"/>
    <mergeCell ref="J37:O37"/>
    <mergeCell ref="P37:Q37"/>
    <mergeCell ref="R37:S37"/>
    <mergeCell ref="E38:G38"/>
    <mergeCell ref="H38:I38"/>
    <mergeCell ref="J38:O38"/>
    <mergeCell ref="P38:Q38"/>
    <mergeCell ref="R38:S38"/>
    <mergeCell ref="E39:G39"/>
    <mergeCell ref="H39:I39"/>
    <mergeCell ref="J39:O39"/>
    <mergeCell ref="P39:Q39"/>
    <mergeCell ref="R39:S39"/>
    <mergeCell ref="E40:G40"/>
    <mergeCell ref="H40:I40"/>
    <mergeCell ref="J40:O40"/>
    <mergeCell ref="P40:Q40"/>
    <mergeCell ref="R40:S40"/>
    <mergeCell ref="H41:I41"/>
    <mergeCell ref="J41:O41"/>
    <mergeCell ref="P41:Q41"/>
    <mergeCell ref="R41:S41"/>
    <mergeCell ref="H42:I42"/>
    <mergeCell ref="J42:O42"/>
    <mergeCell ref="P42:Q42"/>
    <mergeCell ref="R42:S42"/>
    <mergeCell ref="H43:I43"/>
    <mergeCell ref="J43:O43"/>
    <mergeCell ref="P43:Q43"/>
    <mergeCell ref="R43:S43"/>
    <mergeCell ref="H44:I44"/>
    <mergeCell ref="J44:O44"/>
    <mergeCell ref="P44:Q44"/>
    <mergeCell ref="R44:S44"/>
    <mergeCell ref="H45:I45"/>
    <mergeCell ref="J45:O45"/>
    <mergeCell ref="P45:Q45"/>
    <mergeCell ref="R45:S45"/>
    <mergeCell ref="H46:I46"/>
    <mergeCell ref="J46:O46"/>
    <mergeCell ref="P46:Q46"/>
    <mergeCell ref="R46:S46"/>
    <mergeCell ref="H47:I47"/>
    <mergeCell ref="J47:O47"/>
    <mergeCell ref="P47:Q47"/>
    <mergeCell ref="R47:S47"/>
    <mergeCell ref="H48:I48"/>
    <mergeCell ref="J48:O48"/>
    <mergeCell ref="P48:Q48"/>
    <mergeCell ref="R48:S48"/>
    <mergeCell ref="J49:O49"/>
    <mergeCell ref="P49:Q49"/>
    <mergeCell ref="R49:S49"/>
    <mergeCell ref="J50:O50"/>
    <mergeCell ref="P50:Q50"/>
    <mergeCell ref="R50:S50"/>
    <mergeCell ref="J51:O51"/>
    <mergeCell ref="P51:Q51"/>
    <mergeCell ref="R51:S51"/>
    <mergeCell ref="J52:O52"/>
    <mergeCell ref="P52:Q52"/>
    <mergeCell ref="R52:S52"/>
    <mergeCell ref="H53:I53"/>
    <mergeCell ref="J53:O53"/>
    <mergeCell ref="P53:Q53"/>
    <mergeCell ref="R53:S53"/>
    <mergeCell ref="E54:G54"/>
    <mergeCell ref="H54:I54"/>
    <mergeCell ref="J54:O54"/>
    <mergeCell ref="P54:Q54"/>
    <mergeCell ref="R54:S54"/>
    <mergeCell ref="E55:G55"/>
    <mergeCell ref="H55:I55"/>
    <mergeCell ref="J55:O55"/>
    <mergeCell ref="P55:Q55"/>
    <mergeCell ref="R55:S55"/>
    <mergeCell ref="E56:G56"/>
    <mergeCell ref="H56:I56"/>
    <mergeCell ref="J56:O56"/>
    <mergeCell ref="P56:Q56"/>
    <mergeCell ref="R56:S56"/>
    <mergeCell ref="E57:G57"/>
    <mergeCell ref="H57:I57"/>
    <mergeCell ref="J57:O57"/>
    <mergeCell ref="P57:Q57"/>
    <mergeCell ref="R57:S57"/>
    <mergeCell ref="E58:G58"/>
    <mergeCell ref="H58:I58"/>
    <mergeCell ref="J58:O58"/>
    <mergeCell ref="P58:Q58"/>
    <mergeCell ref="R58:S58"/>
    <mergeCell ref="B59:O59"/>
    <mergeCell ref="P59:Q59"/>
    <mergeCell ref="R59:S59"/>
    <mergeCell ref="C60:S60"/>
    <mergeCell ref="C61:D61"/>
    <mergeCell ref="E61:N61"/>
    <mergeCell ref="P61:Q61"/>
    <mergeCell ref="R61:S61"/>
    <mergeCell ref="C62:D62"/>
    <mergeCell ref="E62:N62"/>
    <mergeCell ref="P62:Q62"/>
    <mergeCell ref="R62:S62"/>
    <mergeCell ref="C63:D63"/>
    <mergeCell ref="E63:N63"/>
    <mergeCell ref="P63:Q63"/>
    <mergeCell ref="R63:S63"/>
    <mergeCell ref="C64:D64"/>
    <mergeCell ref="E64:N64"/>
    <mergeCell ref="P64:Q64"/>
    <mergeCell ref="R64:S64"/>
    <mergeCell ref="C65:D65"/>
    <mergeCell ref="E65:N65"/>
    <mergeCell ref="P65:Q65"/>
    <mergeCell ref="R65:S65"/>
    <mergeCell ref="C66:D66"/>
    <mergeCell ref="E66:N66"/>
    <mergeCell ref="P66:Q66"/>
    <mergeCell ref="R66:S66"/>
    <mergeCell ref="C67:S67"/>
    <mergeCell ref="C68:S68"/>
    <mergeCell ref="C69:S69"/>
    <mergeCell ref="C70:S70"/>
    <mergeCell ref="C71:S71"/>
    <mergeCell ref="C72:S72"/>
    <mergeCell ref="C76:S76"/>
    <mergeCell ref="A2:A20"/>
    <mergeCell ref="A21:A36"/>
    <mergeCell ref="A37:A40"/>
    <mergeCell ref="A41:A60"/>
    <mergeCell ref="A61:A76"/>
    <mergeCell ref="B6:B17"/>
    <mergeCell ref="B61:B68"/>
    <mergeCell ref="B69:B72"/>
    <mergeCell ref="B73:B76"/>
    <mergeCell ref="I23:I24"/>
    <mergeCell ref="J23:J24"/>
    <mergeCell ref="K23:K24"/>
    <mergeCell ref="L23:L24"/>
    <mergeCell ref="O23:O24"/>
    <mergeCell ref="T37:T40"/>
    <mergeCell ref="U13:U16"/>
    <mergeCell ref="B3:H4"/>
    <mergeCell ref="I3:J4"/>
    <mergeCell ref="N3:O4"/>
    <mergeCell ref="C8:D10"/>
    <mergeCell ref="C11:D12"/>
    <mergeCell ref="C13:D17"/>
    <mergeCell ref="B19:H20"/>
    <mergeCell ref="B21:D24"/>
    <mergeCell ref="E21:H24"/>
    <mergeCell ref="R22:S24"/>
    <mergeCell ref="M23:N24"/>
    <mergeCell ref="P23:Q24"/>
    <mergeCell ref="B31:C36"/>
    <mergeCell ref="B38:D40"/>
    <mergeCell ref="B41:D45"/>
    <mergeCell ref="E41:G43"/>
    <mergeCell ref="E44:G45"/>
    <mergeCell ref="B46:D58"/>
    <mergeCell ref="E46:G47"/>
    <mergeCell ref="E48:G53"/>
    <mergeCell ref="H49:I52"/>
  </mergeCells>
  <pageMargins left="0.590277777777778" right="0.235416666666667" top="0.984027777777778" bottom="0.984027777777778" header="0.511805555555556" footer="0.511805555555556"/>
  <pageSetup paperSize="9" scale="74" orientation="portrait" horizontalDpi="600" verticalDpi="600"/>
  <headerFooter alignWithMargins="0"/>
  <rowBreaks count="3" manualBreakCount="3">
    <brk id="20" max="18" man="1"/>
    <brk id="36" max="18" man="1"/>
    <brk id="60" max="18"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72"/>
  <sheetViews>
    <sheetView topLeftCell="A13" workbookViewId="0">
      <selection activeCell="E32" sqref="E32:H32"/>
    </sheetView>
  </sheetViews>
  <sheetFormatPr defaultColWidth="9" defaultRowHeight="14.25"/>
  <cols>
    <col min="1" max="1" width="4.5" style="168" customWidth="1"/>
    <col min="2" max="2" width="6.875" style="168" customWidth="1"/>
    <col min="3" max="3" width="6.5" style="168" customWidth="1"/>
    <col min="4" max="4" width="4.75" style="168" customWidth="1"/>
    <col min="5" max="6" width="4.625" style="168" customWidth="1"/>
    <col min="7" max="7" width="4.375" style="168" customWidth="1"/>
    <col min="8" max="8" width="5.25" style="168" customWidth="1"/>
    <col min="9" max="9" width="8.625" style="168" customWidth="1"/>
    <col min="10" max="10" width="4.5" style="168" customWidth="1"/>
    <col min="11" max="11" width="4.375" style="168" customWidth="1"/>
    <col min="12" max="12" width="8.5" style="168" customWidth="1"/>
    <col min="13" max="13" width="4.75" style="168" customWidth="1"/>
    <col min="14" max="14" width="5.625" style="168" customWidth="1"/>
    <col min="15" max="15" width="7.625" style="168" customWidth="1"/>
    <col min="16" max="16" width="4.25" style="168" customWidth="1"/>
    <col min="17" max="17" width="4.625" style="168" customWidth="1"/>
    <col min="18" max="18" width="4.375" style="168" customWidth="1"/>
    <col min="19" max="19" width="4.125" style="168" customWidth="1"/>
    <col min="20" max="20" width="0.125" style="40" customWidth="1"/>
    <col min="21" max="256" width="9" style="168"/>
    <col min="257" max="16384" width="9" style="205"/>
  </cols>
  <sheetData>
    <row r="1" ht="26.25" customHeight="1" spans="1:19">
      <c r="A1" s="5"/>
      <c r="B1" s="5"/>
      <c r="C1" s="6"/>
      <c r="D1" s="6"/>
      <c r="E1" s="6"/>
      <c r="F1" s="6"/>
      <c r="G1" s="6"/>
      <c r="H1" s="6"/>
      <c r="I1" s="6"/>
      <c r="J1" s="6"/>
      <c r="K1" s="6"/>
      <c r="L1" s="6"/>
      <c r="M1" s="6"/>
      <c r="N1" s="6"/>
      <c r="O1" s="6"/>
      <c r="P1" s="6"/>
      <c r="Q1" s="6"/>
      <c r="R1" s="6"/>
      <c r="S1" s="6"/>
    </row>
    <row r="2" ht="43.15" customHeight="1" spans="1:19">
      <c r="A2" s="7" t="s">
        <v>174</v>
      </c>
      <c r="B2" s="7"/>
      <c r="C2" s="7"/>
      <c r="D2" s="7"/>
      <c r="E2" s="7"/>
      <c r="F2" s="7"/>
      <c r="G2" s="7"/>
      <c r="H2" s="7"/>
      <c r="I2" s="7"/>
      <c r="J2" s="7"/>
      <c r="K2" s="7"/>
      <c r="L2" s="7"/>
      <c r="M2" s="7"/>
      <c r="N2" s="7"/>
      <c r="O2" s="7"/>
      <c r="P2" s="7"/>
      <c r="Q2" s="7"/>
      <c r="R2" s="7"/>
      <c r="S2" s="7"/>
    </row>
    <row r="3" ht="24.75" customHeight="1" spans="1:19">
      <c r="A3" s="8" t="s">
        <v>1</v>
      </c>
      <c r="B3" s="9" t="s">
        <v>2</v>
      </c>
      <c r="C3" s="10"/>
      <c r="D3" s="10"/>
      <c r="E3" s="10" t="s">
        <v>175</v>
      </c>
      <c r="F3" s="10"/>
      <c r="G3" s="10"/>
      <c r="H3" s="10"/>
      <c r="I3" s="10"/>
      <c r="J3" s="10"/>
      <c r="K3" s="10"/>
      <c r="L3" s="10"/>
      <c r="M3" s="10"/>
      <c r="N3" s="10"/>
      <c r="O3" s="10"/>
      <c r="P3" s="10"/>
      <c r="Q3" s="10"/>
      <c r="R3" s="10"/>
      <c r="S3" s="175"/>
    </row>
    <row r="4" s="205" customFormat="1" ht="19.5" customHeight="1" spans="1:20">
      <c r="A4" s="12"/>
      <c r="B4" s="13" t="s">
        <v>4</v>
      </c>
      <c r="C4" s="14"/>
      <c r="D4" s="14"/>
      <c r="E4" s="14"/>
      <c r="F4" s="14"/>
      <c r="G4" s="14"/>
      <c r="H4" s="15"/>
      <c r="I4" s="109" t="s">
        <v>5</v>
      </c>
      <c r="J4" s="15"/>
      <c r="K4" s="110" t="s">
        <v>176</v>
      </c>
      <c r="L4" s="111"/>
      <c r="M4" s="112"/>
      <c r="N4" s="109" t="s">
        <v>7</v>
      </c>
      <c r="O4" s="15"/>
      <c r="P4" s="110" t="s">
        <v>176</v>
      </c>
      <c r="Q4" s="111"/>
      <c r="R4" s="111"/>
      <c r="S4" s="152"/>
      <c r="T4" s="261"/>
    </row>
    <row r="5" s="205" customFormat="1" ht="21" customHeight="1" spans="1:20">
      <c r="A5" s="12"/>
      <c r="B5" s="16"/>
      <c r="C5" s="17"/>
      <c r="D5" s="17"/>
      <c r="E5" s="17"/>
      <c r="F5" s="17"/>
      <c r="G5" s="17"/>
      <c r="H5" s="18"/>
      <c r="I5" s="113"/>
      <c r="J5" s="18"/>
      <c r="K5" s="110" t="s">
        <v>177</v>
      </c>
      <c r="L5" s="111"/>
      <c r="M5" s="112"/>
      <c r="N5" s="113"/>
      <c r="O5" s="18"/>
      <c r="P5" s="110" t="s">
        <v>178</v>
      </c>
      <c r="Q5" s="111"/>
      <c r="R5" s="111"/>
      <c r="S5" s="152"/>
      <c r="T5" s="261"/>
    </row>
    <row r="6" s="205" customFormat="1" ht="20.25" customHeight="1" spans="1:20">
      <c r="A6" s="12"/>
      <c r="B6" s="19" t="s">
        <v>11</v>
      </c>
      <c r="C6" s="20"/>
      <c r="D6" s="20"/>
      <c r="E6" s="20"/>
      <c r="F6" s="20"/>
      <c r="G6" s="20"/>
      <c r="H6" s="21"/>
      <c r="I6" s="25" t="s">
        <v>179</v>
      </c>
      <c r="J6" s="20"/>
      <c r="K6" s="20"/>
      <c r="L6" s="20"/>
      <c r="M6" s="20"/>
      <c r="N6" s="20"/>
      <c r="O6" s="20"/>
      <c r="P6" s="20"/>
      <c r="Q6" s="20"/>
      <c r="R6" s="20"/>
      <c r="S6" s="154"/>
      <c r="T6" s="261"/>
    </row>
    <row r="7" ht="33.6" customHeight="1" spans="1:19">
      <c r="A7" s="12"/>
      <c r="B7" s="22" t="s">
        <v>13</v>
      </c>
      <c r="C7" s="23" t="s">
        <v>14</v>
      </c>
      <c r="D7" s="23"/>
      <c r="E7" s="23"/>
      <c r="F7" s="23"/>
      <c r="G7" s="23"/>
      <c r="H7" s="23"/>
      <c r="I7" s="54"/>
      <c r="J7" s="54"/>
      <c r="K7" s="54"/>
      <c r="L7" s="23" t="s">
        <v>16</v>
      </c>
      <c r="M7" s="23"/>
      <c r="N7" s="23"/>
      <c r="O7" s="23"/>
      <c r="P7" s="20"/>
      <c r="Q7" s="20"/>
      <c r="R7" s="20"/>
      <c r="S7" s="154"/>
    </row>
    <row r="8" ht="45.75" customHeight="1" spans="1:19">
      <c r="A8" s="12"/>
      <c r="B8" s="24"/>
      <c r="C8" s="23" t="s">
        <v>17</v>
      </c>
      <c r="D8" s="23"/>
      <c r="E8" s="23" t="s">
        <v>18</v>
      </c>
      <c r="F8" s="23"/>
      <c r="G8" s="23"/>
      <c r="H8" s="23"/>
      <c r="I8" s="23" t="s">
        <v>19</v>
      </c>
      <c r="J8" s="23"/>
      <c r="K8" s="23"/>
      <c r="L8" s="23" t="s">
        <v>20</v>
      </c>
      <c r="M8" s="23"/>
      <c r="N8" s="23" t="s">
        <v>21</v>
      </c>
      <c r="O8" s="23"/>
      <c r="P8" s="25" t="s">
        <v>22</v>
      </c>
      <c r="Q8" s="21"/>
      <c r="R8" s="20" t="s">
        <v>23</v>
      </c>
      <c r="S8" s="154"/>
    </row>
    <row r="9" ht="28.5" customHeight="1" spans="1:19">
      <c r="A9" s="12"/>
      <c r="B9" s="24"/>
      <c r="C9" s="23" t="s">
        <v>24</v>
      </c>
      <c r="D9" s="23"/>
      <c r="E9" s="23" t="s">
        <v>25</v>
      </c>
      <c r="F9" s="23"/>
      <c r="G9" s="23"/>
      <c r="H9" s="23"/>
      <c r="I9" s="223" t="s">
        <v>180</v>
      </c>
      <c r="J9" s="223"/>
      <c r="K9" s="223"/>
      <c r="L9" s="23" t="s">
        <v>181</v>
      </c>
      <c r="M9" s="23"/>
      <c r="N9" s="23" t="s">
        <v>182</v>
      </c>
      <c r="O9" s="23"/>
      <c r="P9" s="530"/>
      <c r="Q9" s="530"/>
      <c r="R9" s="530"/>
      <c r="S9" s="530"/>
    </row>
    <row r="10" ht="28.5" customHeight="1" spans="1:19">
      <c r="A10" s="12"/>
      <c r="B10" s="24"/>
      <c r="C10" s="23"/>
      <c r="D10" s="23"/>
      <c r="E10" s="23" t="s">
        <v>28</v>
      </c>
      <c r="F10" s="23" t="s">
        <v>28</v>
      </c>
      <c r="G10" s="23"/>
      <c r="H10" s="23"/>
      <c r="I10" s="223" t="s">
        <v>183</v>
      </c>
      <c r="J10" s="223"/>
      <c r="K10" s="223"/>
      <c r="L10" s="23">
        <v>6614</v>
      </c>
      <c r="M10" s="23"/>
      <c r="N10" s="23" t="s">
        <v>184</v>
      </c>
      <c r="O10" s="23"/>
      <c r="P10" s="25">
        <v>5776</v>
      </c>
      <c r="Q10" s="21"/>
      <c r="R10" s="284">
        <v>0.8733</v>
      </c>
      <c r="S10" s="154"/>
    </row>
    <row r="11" ht="28.5" customHeight="1" spans="1:19">
      <c r="A11" s="12"/>
      <c r="B11" s="24"/>
      <c r="C11" s="23"/>
      <c r="D11" s="23"/>
      <c r="E11" s="23" t="s">
        <v>31</v>
      </c>
      <c r="F11" s="23" t="s">
        <v>31</v>
      </c>
      <c r="G11" s="23"/>
      <c r="H11" s="23"/>
      <c r="I11" s="223"/>
      <c r="J11" s="223"/>
      <c r="K11" s="223"/>
      <c r="L11" s="23"/>
      <c r="M11" s="23"/>
      <c r="N11" s="23"/>
      <c r="O11" s="23"/>
      <c r="P11" s="25"/>
      <c r="Q11" s="21"/>
      <c r="R11" s="20"/>
      <c r="S11" s="154"/>
    </row>
    <row r="12" ht="28.5" customHeight="1" spans="1:19">
      <c r="A12" s="12"/>
      <c r="B12" s="24"/>
      <c r="C12" s="23" t="s">
        <v>32</v>
      </c>
      <c r="D12" s="23"/>
      <c r="E12" s="23" t="s">
        <v>185</v>
      </c>
      <c r="F12" s="23" t="s">
        <v>33</v>
      </c>
      <c r="G12" s="23"/>
      <c r="H12" s="23"/>
      <c r="I12" s="223" t="s">
        <v>186</v>
      </c>
      <c r="J12" s="223"/>
      <c r="K12" s="223"/>
      <c r="L12" s="219" t="s">
        <v>187</v>
      </c>
      <c r="M12" s="219"/>
      <c r="N12" s="219" t="s">
        <v>188</v>
      </c>
      <c r="O12" s="219"/>
      <c r="P12" s="208">
        <v>1313.41</v>
      </c>
      <c r="Q12" s="218"/>
      <c r="R12" s="604">
        <v>0.6407</v>
      </c>
      <c r="S12" s="262"/>
    </row>
    <row r="13" ht="28.5" customHeight="1" spans="1:19">
      <c r="A13" s="12"/>
      <c r="B13" s="24"/>
      <c r="C13" s="23"/>
      <c r="D13" s="23"/>
      <c r="E13" s="25" t="s">
        <v>189</v>
      </c>
      <c r="F13" s="20"/>
      <c r="G13" s="20"/>
      <c r="H13" s="21"/>
      <c r="I13" s="600" t="s">
        <v>190</v>
      </c>
      <c r="J13" s="601"/>
      <c r="K13" s="602"/>
      <c r="L13" s="208" t="s">
        <v>191</v>
      </c>
      <c r="M13" s="218"/>
      <c r="N13" s="208" t="s">
        <v>192</v>
      </c>
      <c r="O13" s="218"/>
      <c r="P13" s="208">
        <v>4218.24</v>
      </c>
      <c r="Q13" s="218"/>
      <c r="R13" s="604">
        <v>0.9792</v>
      </c>
      <c r="S13" s="262"/>
    </row>
    <row r="14" ht="28.5" customHeight="1" spans="1:19">
      <c r="A14" s="12"/>
      <c r="B14" s="24"/>
      <c r="C14" s="23"/>
      <c r="D14" s="23"/>
      <c r="E14" s="25" t="s">
        <v>193</v>
      </c>
      <c r="F14" s="20"/>
      <c r="G14" s="20"/>
      <c r="H14" s="21"/>
      <c r="I14" s="600" t="s">
        <v>194</v>
      </c>
      <c r="J14" s="601"/>
      <c r="K14" s="602"/>
      <c r="L14" s="208" t="s">
        <v>195</v>
      </c>
      <c r="M14" s="218"/>
      <c r="N14" s="208" t="s">
        <v>196</v>
      </c>
      <c r="O14" s="218"/>
      <c r="P14" s="208">
        <v>243.96</v>
      </c>
      <c r="Q14" s="218"/>
      <c r="R14" s="604">
        <v>0.953</v>
      </c>
      <c r="S14" s="262"/>
    </row>
    <row r="15" ht="28.5" customHeight="1" spans="1:19">
      <c r="A15" s="12"/>
      <c r="B15" s="24"/>
      <c r="C15" s="23"/>
      <c r="D15" s="23"/>
      <c r="E15" s="23" t="s">
        <v>37</v>
      </c>
      <c r="F15" s="23" t="s">
        <v>37</v>
      </c>
      <c r="G15" s="23"/>
      <c r="H15" s="23"/>
      <c r="I15" s="223" t="s">
        <v>197</v>
      </c>
      <c r="J15" s="223"/>
      <c r="K15" s="223"/>
      <c r="L15" s="219" t="s">
        <v>198</v>
      </c>
      <c r="M15" s="219"/>
      <c r="N15" s="219" t="s">
        <v>199</v>
      </c>
      <c r="O15" s="219"/>
      <c r="P15" s="25"/>
      <c r="Q15" s="21"/>
      <c r="R15" s="20"/>
      <c r="S15" s="154"/>
    </row>
    <row r="16" ht="28.5" customHeight="1" spans="1:19">
      <c r="A16" s="12"/>
      <c r="B16" s="24"/>
      <c r="C16" s="23" t="s">
        <v>40</v>
      </c>
      <c r="D16" s="23"/>
      <c r="E16" s="23" t="s">
        <v>41</v>
      </c>
      <c r="F16" s="23" t="s">
        <v>41</v>
      </c>
      <c r="G16" s="23"/>
      <c r="H16" s="23"/>
      <c r="I16" s="223"/>
      <c r="J16" s="223"/>
      <c r="K16" s="223"/>
      <c r="L16" s="23"/>
      <c r="M16" s="23"/>
      <c r="N16" s="23"/>
      <c r="O16" s="23"/>
      <c r="P16" s="25"/>
      <c r="Q16" s="21"/>
      <c r="R16" s="20"/>
      <c r="S16" s="154"/>
    </row>
    <row r="17" ht="35.1" customHeight="1" spans="1:19">
      <c r="A17" s="12"/>
      <c r="B17" s="24"/>
      <c r="C17" s="23"/>
      <c r="D17" s="23"/>
      <c r="E17" s="23" t="s">
        <v>42</v>
      </c>
      <c r="F17" s="23" t="s">
        <v>42</v>
      </c>
      <c r="G17" s="23"/>
      <c r="H17" s="23"/>
      <c r="I17" s="603" t="s">
        <v>200</v>
      </c>
      <c r="J17" s="603"/>
      <c r="K17" s="603"/>
      <c r="L17" s="219" t="s">
        <v>201</v>
      </c>
      <c r="M17" s="219"/>
      <c r="N17" s="219" t="s">
        <v>202</v>
      </c>
      <c r="O17" s="219"/>
      <c r="P17" s="25"/>
      <c r="Q17" s="21"/>
      <c r="R17" s="20"/>
      <c r="S17" s="154"/>
    </row>
    <row r="18" ht="28.5" customHeight="1" spans="1:19">
      <c r="A18" s="12"/>
      <c r="B18" s="24"/>
      <c r="C18" s="23"/>
      <c r="D18" s="23"/>
      <c r="E18" s="23" t="s">
        <v>46</v>
      </c>
      <c r="F18" s="23" t="s">
        <v>46</v>
      </c>
      <c r="G18" s="23"/>
      <c r="H18" s="23"/>
      <c r="I18" s="223" t="s">
        <v>203</v>
      </c>
      <c r="J18" s="223"/>
      <c r="K18" s="223"/>
      <c r="L18" s="219" t="s">
        <v>204</v>
      </c>
      <c r="M18" s="219"/>
      <c r="N18" s="219" t="s">
        <v>205</v>
      </c>
      <c r="O18" s="219"/>
      <c r="P18" s="25"/>
      <c r="Q18" s="21"/>
      <c r="R18" s="20"/>
      <c r="S18" s="154"/>
    </row>
    <row r="19" ht="28.5" customHeight="1" spans="1:19">
      <c r="A19" s="12"/>
      <c r="B19" s="24"/>
      <c r="C19" s="23"/>
      <c r="D19" s="23"/>
      <c r="E19" s="23" t="s">
        <v>50</v>
      </c>
      <c r="F19" s="23" t="s">
        <v>50</v>
      </c>
      <c r="G19" s="23"/>
      <c r="H19" s="23"/>
      <c r="I19" s="223"/>
      <c r="J19" s="223"/>
      <c r="K19" s="223"/>
      <c r="L19" s="219"/>
      <c r="M19" s="219"/>
      <c r="N19" s="219"/>
      <c r="O19" s="219"/>
      <c r="P19" s="25"/>
      <c r="Q19" s="21"/>
      <c r="R19" s="20"/>
      <c r="S19" s="154"/>
    </row>
    <row r="20" ht="36" customHeight="1" spans="1:19">
      <c r="A20" s="12"/>
      <c r="B20" s="26"/>
      <c r="C20" s="23"/>
      <c r="D20" s="23"/>
      <c r="E20" s="23" t="s">
        <v>51</v>
      </c>
      <c r="F20" s="23" t="s">
        <v>52</v>
      </c>
      <c r="G20" s="23"/>
      <c r="H20" s="23"/>
      <c r="I20" s="223" t="s">
        <v>206</v>
      </c>
      <c r="J20" s="223"/>
      <c r="K20" s="223"/>
      <c r="L20" s="221">
        <v>0.9</v>
      </c>
      <c r="M20" s="219"/>
      <c r="N20" s="219" t="s">
        <v>207</v>
      </c>
      <c r="O20" s="219"/>
      <c r="P20" s="25"/>
      <c r="Q20" s="21"/>
      <c r="R20" s="20"/>
      <c r="S20" s="154"/>
    </row>
    <row r="21" ht="36" customHeight="1" spans="1:19">
      <c r="A21" s="12"/>
      <c r="B21" s="19" t="s">
        <v>55</v>
      </c>
      <c r="C21" s="20"/>
      <c r="D21" s="21"/>
      <c r="E21" s="25" t="s">
        <v>208</v>
      </c>
      <c r="F21" s="20"/>
      <c r="G21" s="20"/>
      <c r="H21" s="20"/>
      <c r="I21" s="25" t="s">
        <v>56</v>
      </c>
      <c r="J21" s="20"/>
      <c r="K21" s="21"/>
      <c r="L21" s="25"/>
      <c r="M21" s="20"/>
      <c r="N21" s="20"/>
      <c r="O21" s="20"/>
      <c r="P21" s="20"/>
      <c r="Q21" s="20"/>
      <c r="R21" s="20"/>
      <c r="S21" s="154"/>
    </row>
    <row r="22" ht="23.25" customHeight="1" spans="1:19">
      <c r="A22" s="12"/>
      <c r="B22" s="27" t="s">
        <v>58</v>
      </c>
      <c r="C22" s="28"/>
      <c r="D22" s="28"/>
      <c r="E22" s="28"/>
      <c r="F22" s="28"/>
      <c r="G22" s="28"/>
      <c r="H22" s="28"/>
      <c r="I22" s="50" t="s">
        <v>209</v>
      </c>
      <c r="J22" s="50"/>
      <c r="K22" s="50"/>
      <c r="L22" s="50"/>
      <c r="M22" s="50"/>
      <c r="N22" s="50"/>
      <c r="O22" s="50"/>
      <c r="P22" s="50"/>
      <c r="Q22" s="50"/>
      <c r="R22" s="50"/>
      <c r="S22" s="163"/>
    </row>
    <row r="23" ht="23.25" customHeight="1" spans="1:19">
      <c r="A23" s="29"/>
      <c r="B23" s="30"/>
      <c r="C23" s="31"/>
      <c r="D23" s="31"/>
      <c r="E23" s="31"/>
      <c r="F23" s="31"/>
      <c r="G23" s="31"/>
      <c r="H23" s="31"/>
      <c r="I23" s="85" t="s">
        <v>60</v>
      </c>
      <c r="J23" s="85"/>
      <c r="K23" s="85"/>
      <c r="L23" s="85"/>
      <c r="M23" s="85"/>
      <c r="N23" s="85"/>
      <c r="O23" s="85"/>
      <c r="P23" s="85"/>
      <c r="Q23" s="85"/>
      <c r="R23" s="85"/>
      <c r="S23" s="164"/>
    </row>
    <row r="24" spans="1:19">
      <c r="A24" s="32" t="s">
        <v>61</v>
      </c>
      <c r="B24" s="33"/>
      <c r="C24" s="33"/>
      <c r="D24" s="33"/>
      <c r="E24" s="34" t="s">
        <v>62</v>
      </c>
      <c r="F24" s="35"/>
      <c r="G24" s="35"/>
      <c r="H24" s="36"/>
      <c r="I24" s="128" t="s">
        <v>63</v>
      </c>
      <c r="J24" s="128"/>
      <c r="K24" s="128"/>
      <c r="L24" s="128"/>
      <c r="M24" s="128"/>
      <c r="N24" s="128"/>
      <c r="O24" s="128"/>
      <c r="P24" s="128"/>
      <c r="Q24" s="128"/>
      <c r="R24" s="128"/>
      <c r="S24" s="165"/>
    </row>
    <row r="25" ht="12.75" customHeight="1" spans="1:19">
      <c r="A25" s="37"/>
      <c r="B25" s="38"/>
      <c r="C25" s="38"/>
      <c r="D25" s="38"/>
      <c r="E25" s="39"/>
      <c r="F25" s="40"/>
      <c r="G25" s="40"/>
      <c r="H25" s="41"/>
      <c r="I25" s="55" t="s">
        <v>64</v>
      </c>
      <c r="J25" s="55"/>
      <c r="K25" s="54" t="s">
        <v>65</v>
      </c>
      <c r="L25" s="54"/>
      <c r="M25" s="54"/>
      <c r="N25" s="54"/>
      <c r="O25" s="54" t="s">
        <v>66</v>
      </c>
      <c r="P25" s="54"/>
      <c r="Q25" s="54"/>
      <c r="R25" s="54" t="s">
        <v>67</v>
      </c>
      <c r="S25" s="166"/>
    </row>
    <row r="26" s="206" customFormat="1" ht="36" customHeight="1" spans="1:21">
      <c r="A26" s="42"/>
      <c r="B26" s="38"/>
      <c r="C26" s="38"/>
      <c r="D26" s="38"/>
      <c r="E26" s="39"/>
      <c r="F26" s="40"/>
      <c r="G26" s="40"/>
      <c r="H26" s="41"/>
      <c r="I26" s="54" t="s">
        <v>68</v>
      </c>
      <c r="J26" s="54" t="s">
        <v>69</v>
      </c>
      <c r="K26" s="54" t="s">
        <v>70</v>
      </c>
      <c r="L26" s="54" t="s">
        <v>71</v>
      </c>
      <c r="M26" s="54" t="s">
        <v>72</v>
      </c>
      <c r="N26" s="54"/>
      <c r="O26" s="54" t="s">
        <v>73</v>
      </c>
      <c r="P26" s="54" t="s">
        <v>74</v>
      </c>
      <c r="Q26" s="129"/>
      <c r="R26" s="54"/>
      <c r="S26" s="166"/>
      <c r="T26" s="40"/>
      <c r="U26" s="40"/>
    </row>
    <row r="27" s="206" customFormat="1" ht="12" spans="1:21">
      <c r="A27" s="42"/>
      <c r="B27" s="38"/>
      <c r="C27" s="38"/>
      <c r="D27" s="38"/>
      <c r="E27" s="43"/>
      <c r="F27" s="44"/>
      <c r="G27" s="44"/>
      <c r="H27" s="45"/>
      <c r="I27" s="54"/>
      <c r="J27" s="54"/>
      <c r="K27" s="54"/>
      <c r="L27" s="54"/>
      <c r="M27" s="54"/>
      <c r="N27" s="54"/>
      <c r="O27" s="54"/>
      <c r="P27" s="129"/>
      <c r="Q27" s="129"/>
      <c r="R27" s="54"/>
      <c r="S27" s="166"/>
      <c r="T27" s="40"/>
      <c r="U27" s="40"/>
    </row>
    <row r="28" ht="24" customHeight="1" spans="1:19">
      <c r="A28" s="42"/>
      <c r="B28" s="46" t="s">
        <v>75</v>
      </c>
      <c r="C28" s="46"/>
      <c r="D28" s="46"/>
      <c r="E28" s="47">
        <v>6614</v>
      </c>
      <c r="F28" s="48"/>
      <c r="G28" s="48"/>
      <c r="H28" s="49"/>
      <c r="I28" s="130">
        <v>6614</v>
      </c>
      <c r="J28" s="130"/>
      <c r="K28" s="56">
        <v>6614</v>
      </c>
      <c r="L28" s="131">
        <v>1</v>
      </c>
      <c r="M28" s="54" t="s">
        <v>210</v>
      </c>
      <c r="N28" s="54"/>
      <c r="O28" s="38">
        <v>5776</v>
      </c>
      <c r="P28" s="132">
        <v>0.8733</v>
      </c>
      <c r="Q28" s="54"/>
      <c r="R28" s="38">
        <v>838</v>
      </c>
      <c r="S28" s="167"/>
    </row>
    <row r="29" ht="24" customHeight="1" spans="1:19">
      <c r="A29" s="42"/>
      <c r="B29" s="50" t="s">
        <v>77</v>
      </c>
      <c r="C29" s="50"/>
      <c r="D29" s="50"/>
      <c r="E29" s="47"/>
      <c r="F29" s="48"/>
      <c r="G29" s="48"/>
      <c r="H29" s="49"/>
      <c r="I29" s="130"/>
      <c r="J29" s="130"/>
      <c r="K29" s="56"/>
      <c r="L29" s="56"/>
      <c r="M29" s="54"/>
      <c r="N29" s="54"/>
      <c r="O29" s="38"/>
      <c r="P29" s="54"/>
      <c r="Q29" s="54"/>
      <c r="R29" s="38"/>
      <c r="S29" s="167"/>
    </row>
    <row r="30" ht="24" customHeight="1" spans="1:19">
      <c r="A30" s="42"/>
      <c r="B30" s="50" t="s">
        <v>78</v>
      </c>
      <c r="C30" s="50"/>
      <c r="D30" s="50"/>
      <c r="E30" s="47"/>
      <c r="F30" s="48"/>
      <c r="G30" s="48"/>
      <c r="H30" s="49"/>
      <c r="J30" s="130"/>
      <c r="K30" s="56"/>
      <c r="L30" s="56"/>
      <c r="M30" s="54"/>
      <c r="N30" s="54"/>
      <c r="O30" s="38"/>
      <c r="P30" s="54"/>
      <c r="Q30" s="54"/>
      <c r="R30" s="38"/>
      <c r="S30" s="167"/>
    </row>
    <row r="31" ht="24" customHeight="1" spans="1:19">
      <c r="A31" s="42"/>
      <c r="B31" s="50" t="s">
        <v>79</v>
      </c>
      <c r="C31" s="50"/>
      <c r="D31" s="50"/>
      <c r="E31" s="47"/>
      <c r="F31" s="48"/>
      <c r="G31" s="48"/>
      <c r="H31" s="49"/>
      <c r="I31" s="130"/>
      <c r="J31" s="130"/>
      <c r="K31" s="56"/>
      <c r="L31" s="130"/>
      <c r="M31" s="54"/>
      <c r="N31" s="54"/>
      <c r="O31" s="38"/>
      <c r="P31" s="54"/>
      <c r="Q31" s="54"/>
      <c r="R31" s="38"/>
      <c r="S31" s="167"/>
    </row>
    <row r="32" ht="24" customHeight="1" spans="1:19">
      <c r="A32" s="42"/>
      <c r="B32" s="50" t="s">
        <v>80</v>
      </c>
      <c r="C32" s="50"/>
      <c r="D32" s="50"/>
      <c r="E32" s="599">
        <v>6614</v>
      </c>
      <c r="F32" s="48"/>
      <c r="G32" s="48"/>
      <c r="H32" s="49"/>
      <c r="I32" s="130">
        <v>6614</v>
      </c>
      <c r="J32" s="130"/>
      <c r="K32" s="56">
        <v>6614</v>
      </c>
      <c r="L32" s="131">
        <v>1</v>
      </c>
      <c r="M32" s="54" t="s">
        <v>210</v>
      </c>
      <c r="N32" s="54"/>
      <c r="O32" s="38">
        <v>5776</v>
      </c>
      <c r="P32" s="132">
        <v>0.8733</v>
      </c>
      <c r="Q32" s="54"/>
      <c r="R32" s="38">
        <v>838</v>
      </c>
      <c r="S32" s="167"/>
    </row>
    <row r="33" ht="24" customHeight="1" spans="1:19">
      <c r="A33" s="42"/>
      <c r="B33" s="50" t="s">
        <v>82</v>
      </c>
      <c r="C33" s="50"/>
      <c r="D33" s="50"/>
      <c r="E33" s="47"/>
      <c r="F33" s="48"/>
      <c r="G33" s="48"/>
      <c r="H33" s="49"/>
      <c r="I33" s="130"/>
      <c r="J33" s="130"/>
      <c r="K33" s="56"/>
      <c r="L33" s="56"/>
      <c r="M33" s="54"/>
      <c r="N33" s="54"/>
      <c r="O33" s="38"/>
      <c r="P33" s="54"/>
      <c r="Q33" s="54"/>
      <c r="R33" s="38"/>
      <c r="S33" s="167"/>
    </row>
    <row r="34" ht="24" customHeight="1" spans="1:19">
      <c r="A34" s="42"/>
      <c r="B34" s="51" t="s">
        <v>211</v>
      </c>
      <c r="C34" s="52"/>
      <c r="D34" s="53"/>
      <c r="E34" s="47"/>
      <c r="F34" s="48"/>
      <c r="G34" s="48"/>
      <c r="H34" s="49"/>
      <c r="I34" s="130"/>
      <c r="J34" s="130"/>
      <c r="K34" s="56"/>
      <c r="L34" s="56"/>
      <c r="M34" s="98"/>
      <c r="N34" s="99"/>
      <c r="O34" s="38"/>
      <c r="P34" s="98"/>
      <c r="Q34" s="99"/>
      <c r="R34" s="47"/>
      <c r="S34" s="169"/>
    </row>
    <row r="35" ht="24" customHeight="1" spans="1:19">
      <c r="A35" s="42"/>
      <c r="B35" s="54" t="s">
        <v>83</v>
      </c>
      <c r="C35" s="55"/>
      <c r="D35" s="56" t="s">
        <v>84</v>
      </c>
      <c r="E35" s="57" t="s">
        <v>85</v>
      </c>
      <c r="F35" s="57"/>
      <c r="G35" s="57"/>
      <c r="H35" s="57"/>
      <c r="I35" s="57"/>
      <c r="J35" s="57"/>
      <c r="K35" s="57"/>
      <c r="L35" s="57"/>
      <c r="M35" s="57"/>
      <c r="N35" s="57"/>
      <c r="O35" s="57"/>
      <c r="P35" s="57" t="s">
        <v>86</v>
      </c>
      <c r="Q35" s="57"/>
      <c r="R35" s="57"/>
      <c r="S35" s="170"/>
    </row>
    <row r="36" ht="24" customHeight="1" spans="1:19">
      <c r="A36" s="42"/>
      <c r="B36" s="55"/>
      <c r="C36" s="55"/>
      <c r="D36" s="54">
        <v>1</v>
      </c>
      <c r="E36" s="57" t="s">
        <v>212</v>
      </c>
      <c r="F36" s="57"/>
      <c r="G36" s="57"/>
      <c r="H36" s="57"/>
      <c r="I36" s="57"/>
      <c r="J36" s="57"/>
      <c r="K36" s="57"/>
      <c r="L36" s="57"/>
      <c r="M36" s="57"/>
      <c r="N36" s="57"/>
      <c r="O36" s="57"/>
      <c r="P36" s="57">
        <v>1313.41</v>
      </c>
      <c r="Q36" s="57"/>
      <c r="R36" s="57"/>
      <c r="S36" s="170"/>
    </row>
    <row r="37" ht="24" customHeight="1" spans="1:19">
      <c r="A37" s="42"/>
      <c r="B37" s="55"/>
      <c r="C37" s="55"/>
      <c r="D37" s="54">
        <v>2</v>
      </c>
      <c r="E37" s="57" t="s">
        <v>190</v>
      </c>
      <c r="F37" s="57"/>
      <c r="G37" s="57"/>
      <c r="H37" s="57"/>
      <c r="I37" s="57"/>
      <c r="J37" s="57"/>
      <c r="K37" s="57"/>
      <c r="L37" s="57"/>
      <c r="M37" s="57"/>
      <c r="N37" s="57"/>
      <c r="O37" s="57"/>
      <c r="P37" s="57">
        <v>4218.24</v>
      </c>
      <c r="Q37" s="57"/>
      <c r="R37" s="57"/>
      <c r="S37" s="170"/>
    </row>
    <row r="38" ht="24" customHeight="1" spans="1:19">
      <c r="A38" s="58"/>
      <c r="B38" s="59"/>
      <c r="C38" s="59"/>
      <c r="D38" s="54">
        <v>3</v>
      </c>
      <c r="E38" s="57" t="s">
        <v>213</v>
      </c>
      <c r="F38" s="57"/>
      <c r="G38" s="57"/>
      <c r="H38" s="57"/>
      <c r="I38" s="57"/>
      <c r="J38" s="57"/>
      <c r="K38" s="57"/>
      <c r="L38" s="57"/>
      <c r="M38" s="57"/>
      <c r="N38" s="57"/>
      <c r="O38" s="57"/>
      <c r="P38" s="57">
        <v>243.96</v>
      </c>
      <c r="Q38" s="57"/>
      <c r="R38" s="57"/>
      <c r="S38" s="170"/>
    </row>
    <row r="39" ht="24" customHeight="1" spans="1:19">
      <c r="A39" s="58"/>
      <c r="B39" s="59"/>
      <c r="C39" s="59"/>
      <c r="D39" s="54">
        <v>4</v>
      </c>
      <c r="E39" s="57"/>
      <c r="F39" s="57"/>
      <c r="G39" s="57"/>
      <c r="H39" s="57"/>
      <c r="I39" s="57"/>
      <c r="J39" s="57"/>
      <c r="K39" s="57"/>
      <c r="L39" s="57"/>
      <c r="M39" s="57"/>
      <c r="N39" s="57"/>
      <c r="O39" s="57"/>
      <c r="P39" s="57"/>
      <c r="Q39" s="57"/>
      <c r="R39" s="57"/>
      <c r="S39" s="170"/>
    </row>
    <row r="40" ht="24" customHeight="1" spans="1:19">
      <c r="A40" s="60"/>
      <c r="B40" s="61"/>
      <c r="C40" s="61"/>
      <c r="D40" s="168" t="s">
        <v>91</v>
      </c>
      <c r="E40" s="57"/>
      <c r="F40" s="57"/>
      <c r="G40" s="57"/>
      <c r="H40" s="57"/>
      <c r="I40" s="57"/>
      <c r="J40" s="57"/>
      <c r="K40" s="57"/>
      <c r="L40" s="57"/>
      <c r="M40" s="57"/>
      <c r="N40" s="57"/>
      <c r="O40" s="57"/>
      <c r="P40" s="57"/>
      <c r="Q40" s="57"/>
      <c r="R40" s="57"/>
      <c r="S40" s="170"/>
    </row>
    <row r="41" ht="41.45" customHeight="1" spans="1:20">
      <c r="A41" s="62" t="s">
        <v>92</v>
      </c>
      <c r="B41" s="9" t="s">
        <v>93</v>
      </c>
      <c r="C41" s="10"/>
      <c r="D41" s="10"/>
      <c r="E41" s="10" t="s">
        <v>94</v>
      </c>
      <c r="F41" s="10"/>
      <c r="G41" s="10"/>
      <c r="H41" s="10" t="s">
        <v>95</v>
      </c>
      <c r="I41" s="10"/>
      <c r="J41" s="10" t="s">
        <v>96</v>
      </c>
      <c r="K41" s="10"/>
      <c r="L41" s="10"/>
      <c r="M41" s="10"/>
      <c r="N41" s="10"/>
      <c r="O41" s="10"/>
      <c r="P41" s="133" t="s">
        <v>97</v>
      </c>
      <c r="Q41" s="147"/>
      <c r="R41" s="10" t="s">
        <v>98</v>
      </c>
      <c r="S41" s="171"/>
      <c r="T41" s="99"/>
    </row>
    <row r="42" ht="42.6" customHeight="1" spans="1:20">
      <c r="A42" s="63"/>
      <c r="B42" s="64" t="s">
        <v>214</v>
      </c>
      <c r="C42" s="65"/>
      <c r="D42" s="66"/>
      <c r="E42" s="54" t="s">
        <v>100</v>
      </c>
      <c r="F42" s="54"/>
      <c r="G42" s="54"/>
      <c r="H42" s="67" t="s">
        <v>215</v>
      </c>
      <c r="I42" s="66"/>
      <c r="J42" s="134" t="s">
        <v>102</v>
      </c>
      <c r="K42" s="134"/>
      <c r="L42" s="134"/>
      <c r="M42" s="134"/>
      <c r="N42" s="134"/>
      <c r="O42" s="134"/>
      <c r="P42" s="233">
        <v>0.3</v>
      </c>
      <c r="Q42" s="172"/>
      <c r="R42" s="23">
        <v>9</v>
      </c>
      <c r="S42" s="173"/>
      <c r="T42" s="99"/>
    </row>
    <row r="43" ht="46.5" customHeight="1" spans="1:20">
      <c r="A43" s="63"/>
      <c r="B43" s="68"/>
      <c r="C43" s="69"/>
      <c r="D43" s="70"/>
      <c r="E43" s="71" t="s">
        <v>216</v>
      </c>
      <c r="F43" s="72"/>
      <c r="G43" s="73"/>
      <c r="H43" s="51" t="s">
        <v>104</v>
      </c>
      <c r="I43" s="53"/>
      <c r="J43" s="230" t="s">
        <v>217</v>
      </c>
      <c r="K43" s="231"/>
      <c r="L43" s="231"/>
      <c r="M43" s="231"/>
      <c r="N43" s="231"/>
      <c r="O43" s="232"/>
      <c r="P43" s="233">
        <v>0.3</v>
      </c>
      <c r="Q43" s="172"/>
      <c r="R43" s="25">
        <v>9</v>
      </c>
      <c r="S43" s="154"/>
      <c r="T43" s="99"/>
    </row>
    <row r="44" ht="58.9" customHeight="1" spans="1:20">
      <c r="A44" s="63"/>
      <c r="B44" s="68"/>
      <c r="C44" s="69"/>
      <c r="D44" s="70"/>
      <c r="E44" s="71" t="s">
        <v>106</v>
      </c>
      <c r="F44" s="72"/>
      <c r="G44" s="73"/>
      <c r="H44" s="67" t="s">
        <v>218</v>
      </c>
      <c r="I44" s="66"/>
      <c r="J44" s="134" t="s">
        <v>219</v>
      </c>
      <c r="K44" s="134"/>
      <c r="L44" s="134"/>
      <c r="M44" s="134"/>
      <c r="N44" s="134"/>
      <c r="O44" s="134"/>
      <c r="P44" s="233">
        <v>0.4</v>
      </c>
      <c r="Q44" s="172"/>
      <c r="R44" s="23">
        <v>12</v>
      </c>
      <c r="S44" s="173"/>
      <c r="T44" s="99"/>
    </row>
    <row r="45" ht="48.6" customHeight="1" spans="1:19">
      <c r="A45" s="63"/>
      <c r="B45" s="74" t="s">
        <v>220</v>
      </c>
      <c r="C45" s="75"/>
      <c r="D45" s="76"/>
      <c r="E45" s="77" t="s">
        <v>110</v>
      </c>
      <c r="F45" s="77"/>
      <c r="G45" s="77"/>
      <c r="H45" s="78" t="s">
        <v>221</v>
      </c>
      <c r="I45" s="78"/>
      <c r="J45" s="281" t="s">
        <v>222</v>
      </c>
      <c r="K45" s="281"/>
      <c r="L45" s="281"/>
      <c r="M45" s="281"/>
      <c r="N45" s="281"/>
      <c r="O45" s="281"/>
      <c r="P45" s="174">
        <v>0.5</v>
      </c>
      <c r="Q45" s="174"/>
      <c r="R45" s="10">
        <v>15</v>
      </c>
      <c r="S45" s="175"/>
    </row>
    <row r="46" s="205" customFormat="1" ht="79.5" customHeight="1" spans="1:20">
      <c r="A46" s="63"/>
      <c r="B46" s="79"/>
      <c r="C46" s="69"/>
      <c r="D46" s="70"/>
      <c r="E46" s="71" t="s">
        <v>117</v>
      </c>
      <c r="F46" s="72"/>
      <c r="G46" s="73"/>
      <c r="H46" s="80" t="s">
        <v>223</v>
      </c>
      <c r="I46" s="80"/>
      <c r="J46" s="119" t="s">
        <v>224</v>
      </c>
      <c r="K46" s="119"/>
      <c r="L46" s="119"/>
      <c r="M46" s="119"/>
      <c r="N46" s="119"/>
      <c r="O46" s="119"/>
      <c r="P46" s="144">
        <v>0.5</v>
      </c>
      <c r="Q46" s="144"/>
      <c r="R46" s="23">
        <v>15</v>
      </c>
      <c r="S46" s="173"/>
      <c r="T46" s="40"/>
    </row>
    <row r="47" ht="23.25" customHeight="1" spans="1:19">
      <c r="A47" s="63"/>
      <c r="B47" s="74" t="s">
        <v>225</v>
      </c>
      <c r="C47" s="75"/>
      <c r="D47" s="76"/>
      <c r="E47" s="77" t="s">
        <v>123</v>
      </c>
      <c r="F47" s="77"/>
      <c r="G47" s="77"/>
      <c r="H47" s="78" t="s">
        <v>226</v>
      </c>
      <c r="I47" s="78"/>
      <c r="J47" s="143" t="s">
        <v>227</v>
      </c>
      <c r="K47" s="143"/>
      <c r="L47" s="143"/>
      <c r="M47" s="143"/>
      <c r="N47" s="143"/>
      <c r="O47" s="143"/>
      <c r="P47" s="174">
        <v>0.05</v>
      </c>
      <c r="Q47" s="174"/>
      <c r="R47" s="10">
        <v>4.5</v>
      </c>
      <c r="S47" s="175"/>
    </row>
    <row r="48" ht="23.25" customHeight="1" spans="1:19">
      <c r="A48" s="63"/>
      <c r="B48" s="79"/>
      <c r="C48" s="69"/>
      <c r="D48" s="70"/>
      <c r="E48" s="54" t="s">
        <v>128</v>
      </c>
      <c r="F48" s="54"/>
      <c r="G48" s="54"/>
      <c r="H48" s="50" t="s">
        <v>228</v>
      </c>
      <c r="I48" s="50"/>
      <c r="J48" s="134" t="s">
        <v>229</v>
      </c>
      <c r="K48" s="134"/>
      <c r="L48" s="134"/>
      <c r="M48" s="134"/>
      <c r="N48" s="134"/>
      <c r="O48" s="134"/>
      <c r="P48" s="144">
        <v>0.07</v>
      </c>
      <c r="Q48" s="144"/>
      <c r="R48" s="23">
        <v>4.5</v>
      </c>
      <c r="S48" s="173"/>
    </row>
    <row r="49" ht="25.5" customHeight="1" spans="1:19">
      <c r="A49" s="63"/>
      <c r="B49" s="79"/>
      <c r="C49" s="69"/>
      <c r="D49" s="70"/>
      <c r="E49" s="54" t="s">
        <v>138</v>
      </c>
      <c r="F49" s="54"/>
      <c r="G49" s="54"/>
      <c r="H49" s="50" t="s">
        <v>230</v>
      </c>
      <c r="I49" s="50"/>
      <c r="J49" s="134" t="s">
        <v>231</v>
      </c>
      <c r="K49" s="134"/>
      <c r="L49" s="134"/>
      <c r="M49" s="134"/>
      <c r="N49" s="134"/>
      <c r="O49" s="134"/>
      <c r="P49" s="144">
        <v>0.07</v>
      </c>
      <c r="Q49" s="144"/>
      <c r="R49" s="23">
        <v>3.5</v>
      </c>
      <c r="S49" s="173"/>
    </row>
    <row r="50" ht="24.75" customHeight="1" spans="1:19">
      <c r="A50" s="63"/>
      <c r="B50" s="79"/>
      <c r="C50" s="69"/>
      <c r="D50" s="70"/>
      <c r="E50" s="54" t="s">
        <v>141</v>
      </c>
      <c r="F50" s="54"/>
      <c r="G50" s="54"/>
      <c r="H50" s="50" t="s">
        <v>232</v>
      </c>
      <c r="I50" s="50"/>
      <c r="J50" s="134" t="s">
        <v>233</v>
      </c>
      <c r="K50" s="134"/>
      <c r="L50" s="134"/>
      <c r="M50" s="134"/>
      <c r="N50" s="134"/>
      <c r="O50" s="134"/>
      <c r="P50" s="144">
        <v>0.06</v>
      </c>
      <c r="Q50" s="144"/>
      <c r="R50" s="23">
        <v>4.5</v>
      </c>
      <c r="S50" s="173"/>
    </row>
    <row r="51" s="205" customFormat="1" ht="21" customHeight="1" spans="1:21">
      <c r="A51" s="63"/>
      <c r="B51" s="79"/>
      <c r="C51" s="69"/>
      <c r="D51" s="70"/>
      <c r="E51" s="54" t="s">
        <v>143</v>
      </c>
      <c r="F51" s="54"/>
      <c r="G51" s="54"/>
      <c r="H51" s="50" t="s">
        <v>234</v>
      </c>
      <c r="I51" s="50"/>
      <c r="J51" s="134" t="s">
        <v>235</v>
      </c>
      <c r="K51" s="134"/>
      <c r="L51" s="134"/>
      <c r="M51" s="134"/>
      <c r="N51" s="134"/>
      <c r="O51" s="134"/>
      <c r="P51" s="144">
        <v>0.05</v>
      </c>
      <c r="Q51" s="144"/>
      <c r="R51" s="23">
        <v>3.5</v>
      </c>
      <c r="S51" s="176"/>
      <c r="T51" s="40"/>
      <c r="U51" s="168"/>
    </row>
    <row r="52" s="205" customFormat="1" ht="20.25" customHeight="1" spans="1:21">
      <c r="A52" s="63"/>
      <c r="B52" s="79"/>
      <c r="C52" s="69"/>
      <c r="D52" s="70"/>
      <c r="E52" s="54" t="s">
        <v>146</v>
      </c>
      <c r="F52" s="54"/>
      <c r="G52" s="54"/>
      <c r="H52" s="50" t="s">
        <v>236</v>
      </c>
      <c r="I52" s="50"/>
      <c r="J52" s="134" t="s">
        <v>237</v>
      </c>
      <c r="K52" s="134"/>
      <c r="L52" s="134"/>
      <c r="M52" s="134"/>
      <c r="N52" s="134"/>
      <c r="O52" s="134"/>
      <c r="P52" s="144">
        <v>0.05</v>
      </c>
      <c r="Q52" s="144"/>
      <c r="R52" s="23">
        <v>4.5</v>
      </c>
      <c r="S52" s="176"/>
      <c r="T52" s="40"/>
      <c r="U52" s="168"/>
    </row>
    <row r="53" s="205" customFormat="1" ht="27.75" customHeight="1" spans="1:21">
      <c r="A53" s="63"/>
      <c r="B53" s="81"/>
      <c r="C53" s="82"/>
      <c r="D53" s="83"/>
      <c r="E53" s="84" t="s">
        <v>149</v>
      </c>
      <c r="F53" s="84"/>
      <c r="G53" s="84"/>
      <c r="H53" s="85" t="s">
        <v>238</v>
      </c>
      <c r="I53" s="85"/>
      <c r="J53" s="145" t="s">
        <v>239</v>
      </c>
      <c r="K53" s="145"/>
      <c r="L53" s="145"/>
      <c r="M53" s="145"/>
      <c r="N53" s="145"/>
      <c r="O53" s="145"/>
      <c r="P53" s="146">
        <v>0.05</v>
      </c>
      <c r="Q53" s="146"/>
      <c r="R53" s="177">
        <v>5</v>
      </c>
      <c r="S53" s="178"/>
      <c r="T53" s="40"/>
      <c r="U53" s="168"/>
    </row>
    <row r="54" ht="30" customHeight="1" spans="1:19">
      <c r="A54" s="63"/>
      <c r="B54" s="86" t="s">
        <v>152</v>
      </c>
      <c r="C54" s="87"/>
      <c r="D54" s="87"/>
      <c r="E54" s="87"/>
      <c r="F54" s="87"/>
      <c r="G54" s="87"/>
      <c r="H54" s="87"/>
      <c r="I54" s="87"/>
      <c r="J54" s="87"/>
      <c r="K54" s="87"/>
      <c r="L54" s="87"/>
      <c r="M54" s="87"/>
      <c r="N54" s="87"/>
      <c r="O54" s="147"/>
      <c r="P54" s="148">
        <v>1</v>
      </c>
      <c r="Q54" s="148"/>
      <c r="R54" s="179">
        <f>SUM(R42:S53)</f>
        <v>90</v>
      </c>
      <c r="S54" s="180"/>
    </row>
    <row r="55" ht="36" customHeight="1" spans="1:19">
      <c r="A55" s="88"/>
      <c r="B55" s="89" t="s">
        <v>153</v>
      </c>
      <c r="C55" s="90" t="s">
        <v>240</v>
      </c>
      <c r="D55" s="91"/>
      <c r="E55" s="91"/>
      <c r="F55" s="91"/>
      <c r="G55" s="91"/>
      <c r="H55" s="91"/>
      <c r="I55" s="91"/>
      <c r="J55" s="91"/>
      <c r="K55" s="91"/>
      <c r="L55" s="91"/>
      <c r="M55" s="91"/>
      <c r="N55" s="91"/>
      <c r="O55" s="91"/>
      <c r="P55" s="91"/>
      <c r="Q55" s="91"/>
      <c r="R55" s="91"/>
      <c r="S55" s="181"/>
    </row>
    <row r="56" ht="22.5" customHeight="1" spans="1:19">
      <c r="A56" s="62" t="s">
        <v>155</v>
      </c>
      <c r="B56" s="92" t="s">
        <v>156</v>
      </c>
      <c r="C56" s="93" t="s">
        <v>157</v>
      </c>
      <c r="D56" s="94"/>
      <c r="E56" s="95" t="s">
        <v>158</v>
      </c>
      <c r="F56" s="93"/>
      <c r="G56" s="93"/>
      <c r="H56" s="93"/>
      <c r="I56" s="93"/>
      <c r="J56" s="93"/>
      <c r="K56" s="93"/>
      <c r="L56" s="93"/>
      <c r="M56" s="93"/>
      <c r="N56" s="94"/>
      <c r="O56" s="149" t="s">
        <v>159</v>
      </c>
      <c r="P56" s="95" t="s">
        <v>160</v>
      </c>
      <c r="Q56" s="94"/>
      <c r="R56" s="95" t="s">
        <v>161</v>
      </c>
      <c r="S56" s="182"/>
    </row>
    <row r="57" ht="21" customHeight="1" spans="1:19">
      <c r="A57" s="96"/>
      <c r="B57" s="97"/>
      <c r="C57" s="98"/>
      <c r="D57" s="99"/>
      <c r="E57" s="100"/>
      <c r="F57" s="101"/>
      <c r="G57" s="101"/>
      <c r="H57" s="101"/>
      <c r="I57" s="101"/>
      <c r="J57" s="101"/>
      <c r="K57" s="101"/>
      <c r="L57" s="101"/>
      <c r="M57" s="101"/>
      <c r="N57" s="150"/>
      <c r="O57" s="57"/>
      <c r="P57" s="98"/>
      <c r="Q57" s="99"/>
      <c r="R57" s="98"/>
      <c r="S57" s="160"/>
    </row>
    <row r="58" ht="21" customHeight="1" spans="1:19">
      <c r="A58" s="96"/>
      <c r="B58" s="97"/>
      <c r="C58" s="98"/>
      <c r="D58" s="99"/>
      <c r="E58" s="100"/>
      <c r="F58" s="101"/>
      <c r="G58" s="101"/>
      <c r="H58" s="101"/>
      <c r="I58" s="101"/>
      <c r="J58" s="101"/>
      <c r="K58" s="101"/>
      <c r="L58" s="101"/>
      <c r="M58" s="101"/>
      <c r="N58" s="150"/>
      <c r="O58" s="57"/>
      <c r="P58" s="98"/>
      <c r="Q58" s="99"/>
      <c r="R58" s="98"/>
      <c r="S58" s="160"/>
    </row>
    <row r="59" ht="21" customHeight="1" spans="1:19">
      <c r="A59" s="96"/>
      <c r="B59" s="97"/>
      <c r="C59" s="98"/>
      <c r="D59" s="99"/>
      <c r="E59" s="100"/>
      <c r="F59" s="101"/>
      <c r="G59" s="101"/>
      <c r="H59" s="101"/>
      <c r="I59" s="101"/>
      <c r="J59" s="101"/>
      <c r="K59" s="101"/>
      <c r="L59" s="101"/>
      <c r="M59" s="101"/>
      <c r="N59" s="150"/>
      <c r="O59" s="57"/>
      <c r="P59" s="98"/>
      <c r="Q59" s="99"/>
      <c r="R59" s="98"/>
      <c r="S59" s="160"/>
    </row>
    <row r="60" ht="21" customHeight="1" spans="1:19">
      <c r="A60" s="96"/>
      <c r="B60" s="97"/>
      <c r="C60" s="98"/>
      <c r="D60" s="99"/>
      <c r="E60" s="100"/>
      <c r="F60" s="101"/>
      <c r="G60" s="101"/>
      <c r="H60" s="101"/>
      <c r="I60" s="101"/>
      <c r="J60" s="101"/>
      <c r="K60" s="101"/>
      <c r="L60" s="101"/>
      <c r="M60" s="101"/>
      <c r="N60" s="150"/>
      <c r="O60" s="57"/>
      <c r="P60" s="98"/>
      <c r="Q60" s="99"/>
      <c r="R60" s="98"/>
      <c r="S60" s="160"/>
    </row>
    <row r="61" ht="21" customHeight="1" spans="1:19">
      <c r="A61" s="96"/>
      <c r="B61" s="97"/>
      <c r="C61" s="98"/>
      <c r="D61" s="99"/>
      <c r="E61" s="100"/>
      <c r="F61" s="101"/>
      <c r="G61" s="101"/>
      <c r="H61" s="101"/>
      <c r="I61" s="101"/>
      <c r="J61" s="101"/>
      <c r="K61" s="101"/>
      <c r="L61" s="101"/>
      <c r="M61" s="101"/>
      <c r="N61" s="150"/>
      <c r="O61" s="57"/>
      <c r="P61" s="98"/>
      <c r="Q61" s="99"/>
      <c r="R61" s="98"/>
      <c r="S61" s="160"/>
    </row>
    <row r="62" ht="105.75" customHeight="1" spans="1:19">
      <c r="A62" s="96"/>
      <c r="B62" s="97"/>
      <c r="C62" s="102" t="s">
        <v>162</v>
      </c>
      <c r="D62" s="103"/>
      <c r="E62" s="103"/>
      <c r="F62" s="103"/>
      <c r="G62" s="103"/>
      <c r="H62" s="103"/>
      <c r="I62" s="103"/>
      <c r="J62" s="103"/>
      <c r="K62" s="103"/>
      <c r="L62" s="103"/>
      <c r="M62" s="103"/>
      <c r="N62" s="103"/>
      <c r="O62" s="103"/>
      <c r="P62" s="103"/>
      <c r="Q62" s="103"/>
      <c r="R62" s="103"/>
      <c r="S62" s="183"/>
    </row>
    <row r="63" ht="27" customHeight="1" spans="1:19">
      <c r="A63" s="96"/>
      <c r="B63" s="104"/>
      <c r="C63" s="105" t="s">
        <v>163</v>
      </c>
      <c r="D63" s="106"/>
      <c r="E63" s="106"/>
      <c r="F63" s="106"/>
      <c r="G63" s="106"/>
      <c r="H63" s="106"/>
      <c r="I63" s="106"/>
      <c r="J63" s="106"/>
      <c r="K63" s="106"/>
      <c r="L63" s="106"/>
      <c r="M63" s="106"/>
      <c r="N63" s="106"/>
      <c r="O63" s="106"/>
      <c r="P63" s="106"/>
      <c r="Q63" s="106"/>
      <c r="R63" s="106"/>
      <c r="S63" s="184"/>
    </row>
    <row r="64" ht="48.75" customHeight="1" spans="1:19">
      <c r="A64" s="96"/>
      <c r="B64" s="92" t="s">
        <v>164</v>
      </c>
      <c r="C64" s="107" t="s">
        <v>165</v>
      </c>
      <c r="D64" s="108"/>
      <c r="E64" s="108"/>
      <c r="F64" s="108"/>
      <c r="G64" s="108"/>
      <c r="H64" s="108"/>
      <c r="I64" s="108"/>
      <c r="J64" s="108"/>
      <c r="K64" s="108"/>
      <c r="L64" s="108"/>
      <c r="M64" s="108"/>
      <c r="N64" s="108"/>
      <c r="O64" s="108"/>
      <c r="P64" s="108"/>
      <c r="Q64" s="108"/>
      <c r="R64" s="108"/>
      <c r="S64" s="185"/>
    </row>
    <row r="65" ht="55.5" customHeight="1" spans="1:19">
      <c r="A65" s="96"/>
      <c r="B65" s="186"/>
      <c r="C65" s="187" t="s">
        <v>166</v>
      </c>
      <c r="D65" s="188"/>
      <c r="E65" s="188"/>
      <c r="F65" s="188"/>
      <c r="G65" s="188"/>
      <c r="H65" s="188"/>
      <c r="I65" s="188"/>
      <c r="J65" s="188"/>
      <c r="K65" s="188"/>
      <c r="L65" s="188"/>
      <c r="M65" s="188"/>
      <c r="N65" s="188"/>
      <c r="O65" s="188"/>
      <c r="P65" s="188"/>
      <c r="Q65" s="188"/>
      <c r="R65" s="188"/>
      <c r="S65" s="201"/>
    </row>
    <row r="66" ht="104.25" customHeight="1" spans="1:19">
      <c r="A66" s="96"/>
      <c r="B66" s="186"/>
      <c r="C66" s="102" t="s">
        <v>167</v>
      </c>
      <c r="D66" s="103"/>
      <c r="E66" s="103"/>
      <c r="F66" s="103"/>
      <c r="G66" s="103"/>
      <c r="H66" s="103"/>
      <c r="I66" s="103"/>
      <c r="J66" s="103"/>
      <c r="K66" s="103"/>
      <c r="L66" s="103"/>
      <c r="M66" s="103"/>
      <c r="N66" s="103"/>
      <c r="O66" s="103"/>
      <c r="P66" s="103"/>
      <c r="Q66" s="103"/>
      <c r="R66" s="103"/>
      <c r="S66" s="183"/>
    </row>
    <row r="67" ht="28.5" customHeight="1" spans="1:19">
      <c r="A67" s="96"/>
      <c r="B67" s="189"/>
      <c r="C67" s="105" t="s">
        <v>168</v>
      </c>
      <c r="D67" s="106"/>
      <c r="E67" s="106"/>
      <c r="F67" s="106"/>
      <c r="G67" s="106"/>
      <c r="H67" s="106"/>
      <c r="I67" s="106"/>
      <c r="J67" s="106"/>
      <c r="K67" s="106"/>
      <c r="L67" s="106"/>
      <c r="M67" s="106"/>
      <c r="N67" s="106"/>
      <c r="O67" s="106"/>
      <c r="P67" s="106"/>
      <c r="Q67" s="106"/>
      <c r="R67" s="106"/>
      <c r="S67" s="184"/>
    </row>
    <row r="68" ht="12" customHeight="1" spans="1:19">
      <c r="A68" s="96"/>
      <c r="B68" s="186" t="s">
        <v>169</v>
      </c>
      <c r="C68" s="190"/>
      <c r="D68" s="191"/>
      <c r="E68" s="191"/>
      <c r="F68" s="191"/>
      <c r="G68" s="191"/>
      <c r="H68" s="191"/>
      <c r="I68" s="191"/>
      <c r="J68" s="191"/>
      <c r="K68" s="191"/>
      <c r="L68" s="191"/>
      <c r="M68" s="191"/>
      <c r="N68" s="191"/>
      <c r="O68" s="191"/>
      <c r="P68" s="191"/>
      <c r="Q68" s="191"/>
      <c r="R68" s="191"/>
      <c r="S68" s="202"/>
    </row>
    <row r="69" customHeight="1" spans="1:19">
      <c r="A69" s="96"/>
      <c r="B69" s="186"/>
      <c r="C69" s="191"/>
      <c r="D69" s="191"/>
      <c r="E69" s="191"/>
      <c r="F69" s="192"/>
      <c r="G69" s="191"/>
      <c r="H69" s="191"/>
      <c r="I69" s="191"/>
      <c r="J69" s="191"/>
      <c r="K69" s="191"/>
      <c r="L69" s="191"/>
      <c r="M69" s="191"/>
      <c r="N69" s="191"/>
      <c r="O69" s="191"/>
      <c r="P69" s="191"/>
      <c r="Q69" s="191"/>
      <c r="R69" s="191"/>
      <c r="S69" s="202"/>
    </row>
    <row r="70" ht="30.75" customHeight="1" spans="1:19">
      <c r="A70" s="96"/>
      <c r="B70" s="186"/>
      <c r="C70" s="193"/>
      <c r="D70" s="194"/>
      <c r="E70" s="194"/>
      <c r="F70" s="194"/>
      <c r="G70" s="194"/>
      <c r="H70" s="194"/>
      <c r="I70" s="194"/>
      <c r="J70" s="194"/>
      <c r="K70" s="194"/>
      <c r="L70" s="194"/>
      <c r="M70" s="194"/>
      <c r="N70" s="194"/>
      <c r="O70" s="194"/>
      <c r="P70" s="194"/>
      <c r="Q70" s="194"/>
      <c r="R70" s="194"/>
      <c r="S70" s="203"/>
    </row>
    <row r="71" ht="53.25" customHeight="1" spans="1:19">
      <c r="A71" s="195"/>
      <c r="B71" s="189"/>
      <c r="C71" s="196" t="s">
        <v>170</v>
      </c>
      <c r="D71" s="197"/>
      <c r="E71" s="197"/>
      <c r="F71" s="197"/>
      <c r="G71" s="197"/>
      <c r="H71" s="197"/>
      <c r="I71" s="197"/>
      <c r="J71" s="197"/>
      <c r="K71" s="197"/>
      <c r="L71" s="197"/>
      <c r="M71" s="197"/>
      <c r="N71" s="197"/>
      <c r="O71" s="197"/>
      <c r="P71" s="197"/>
      <c r="Q71" s="197"/>
      <c r="R71" s="197"/>
      <c r="S71" s="204"/>
    </row>
    <row r="72" ht="19.5" customHeight="1" spans="1:19">
      <c r="A72" s="198"/>
      <c r="B72" s="199" t="s">
        <v>171</v>
      </c>
      <c r="C72" s="199"/>
      <c r="D72" s="199"/>
      <c r="E72" s="199"/>
      <c r="F72" s="199"/>
      <c r="G72" s="199"/>
      <c r="H72" s="199" t="s">
        <v>172</v>
      </c>
      <c r="I72" s="199"/>
      <c r="J72" s="199"/>
      <c r="K72" s="199"/>
      <c r="L72" s="199"/>
      <c r="N72" s="200"/>
      <c r="O72" s="200" t="s">
        <v>173</v>
      </c>
      <c r="Q72" s="200"/>
      <c r="R72" s="200"/>
      <c r="S72" s="200"/>
    </row>
  </sheetData>
  <mergeCells count="282">
    <mergeCell ref="A1:B1"/>
    <mergeCell ref="A2:S2"/>
    <mergeCell ref="B3:D3"/>
    <mergeCell ref="E3:S3"/>
    <mergeCell ref="K4:M4"/>
    <mergeCell ref="P4:S4"/>
    <mergeCell ref="K5:M5"/>
    <mergeCell ref="P5:S5"/>
    <mergeCell ref="B6:H6"/>
    <mergeCell ref="I6:S6"/>
    <mergeCell ref="C7:H7"/>
    <mergeCell ref="I7:K7"/>
    <mergeCell ref="L7:O7"/>
    <mergeCell ref="P7:S7"/>
    <mergeCell ref="C8:D8"/>
    <mergeCell ref="E8:H8"/>
    <mergeCell ref="I8:K8"/>
    <mergeCell ref="L8:M8"/>
    <mergeCell ref="N8:O8"/>
    <mergeCell ref="P8:Q8"/>
    <mergeCell ref="R8:S8"/>
    <mergeCell ref="E9:H9"/>
    <mergeCell ref="I9:K9"/>
    <mergeCell ref="L9:M9"/>
    <mergeCell ref="N9:O9"/>
    <mergeCell ref="P9:Q9"/>
    <mergeCell ref="R9:S9"/>
    <mergeCell ref="E10:H10"/>
    <mergeCell ref="I10:K10"/>
    <mergeCell ref="L10:M10"/>
    <mergeCell ref="N10:O10"/>
    <mergeCell ref="P10:Q10"/>
    <mergeCell ref="R10:S10"/>
    <mergeCell ref="E11:H11"/>
    <mergeCell ref="I11:K11"/>
    <mergeCell ref="L11:M11"/>
    <mergeCell ref="N11:O11"/>
    <mergeCell ref="P11:Q11"/>
    <mergeCell ref="R11:S11"/>
    <mergeCell ref="E12:H12"/>
    <mergeCell ref="I12:K12"/>
    <mergeCell ref="L12:M12"/>
    <mergeCell ref="N12:O12"/>
    <mergeCell ref="P12:Q12"/>
    <mergeCell ref="R12:S12"/>
    <mergeCell ref="E13:H13"/>
    <mergeCell ref="I13:K13"/>
    <mergeCell ref="L13:M13"/>
    <mergeCell ref="N13:O13"/>
    <mergeCell ref="P13:Q13"/>
    <mergeCell ref="R13:S13"/>
    <mergeCell ref="E14:H14"/>
    <mergeCell ref="I14:K14"/>
    <mergeCell ref="L14:M14"/>
    <mergeCell ref="N14:O14"/>
    <mergeCell ref="P14:Q14"/>
    <mergeCell ref="R14:S14"/>
    <mergeCell ref="E15:H15"/>
    <mergeCell ref="I15:K15"/>
    <mergeCell ref="L15:M15"/>
    <mergeCell ref="N15:O15"/>
    <mergeCell ref="P15:Q15"/>
    <mergeCell ref="R15:S15"/>
    <mergeCell ref="E16:H16"/>
    <mergeCell ref="I16:K16"/>
    <mergeCell ref="L16:M16"/>
    <mergeCell ref="N16:O16"/>
    <mergeCell ref="P16:Q16"/>
    <mergeCell ref="R16:S16"/>
    <mergeCell ref="E17:H17"/>
    <mergeCell ref="I17:K17"/>
    <mergeCell ref="L17:M17"/>
    <mergeCell ref="N17:O17"/>
    <mergeCell ref="P17:Q17"/>
    <mergeCell ref="R17:S17"/>
    <mergeCell ref="E18:H18"/>
    <mergeCell ref="I18:K18"/>
    <mergeCell ref="L18:M18"/>
    <mergeCell ref="N18:O18"/>
    <mergeCell ref="P18:Q18"/>
    <mergeCell ref="R18:S18"/>
    <mergeCell ref="E19:H19"/>
    <mergeCell ref="I19:K19"/>
    <mergeCell ref="L19:M19"/>
    <mergeCell ref="N19:O19"/>
    <mergeCell ref="P19:Q19"/>
    <mergeCell ref="R19:S19"/>
    <mergeCell ref="E20:H20"/>
    <mergeCell ref="I20:K20"/>
    <mergeCell ref="L20:M20"/>
    <mergeCell ref="N20:O20"/>
    <mergeCell ref="P20:Q20"/>
    <mergeCell ref="R20:S20"/>
    <mergeCell ref="B21:D21"/>
    <mergeCell ref="E21:H21"/>
    <mergeCell ref="I21:K21"/>
    <mergeCell ref="L21:S21"/>
    <mergeCell ref="I22:S22"/>
    <mergeCell ref="I23:S23"/>
    <mergeCell ref="I24:S24"/>
    <mergeCell ref="I25:J25"/>
    <mergeCell ref="K25:N25"/>
    <mergeCell ref="O25:Q25"/>
    <mergeCell ref="B28:D28"/>
    <mergeCell ref="E28:H28"/>
    <mergeCell ref="M28:N28"/>
    <mergeCell ref="P28:Q28"/>
    <mergeCell ref="R28:S28"/>
    <mergeCell ref="B29:D29"/>
    <mergeCell ref="E29:H29"/>
    <mergeCell ref="M29:N29"/>
    <mergeCell ref="P29:Q29"/>
    <mergeCell ref="R29:S29"/>
    <mergeCell ref="B30:D30"/>
    <mergeCell ref="E30:H30"/>
    <mergeCell ref="M30:N30"/>
    <mergeCell ref="P30:Q30"/>
    <mergeCell ref="R30:S30"/>
    <mergeCell ref="B31:D31"/>
    <mergeCell ref="E31:H31"/>
    <mergeCell ref="M31:N31"/>
    <mergeCell ref="P31:Q31"/>
    <mergeCell ref="R31:S31"/>
    <mergeCell ref="B32:D32"/>
    <mergeCell ref="E32:H32"/>
    <mergeCell ref="M32:N32"/>
    <mergeCell ref="P32:Q32"/>
    <mergeCell ref="R32:S32"/>
    <mergeCell ref="B33:D33"/>
    <mergeCell ref="E33:H33"/>
    <mergeCell ref="M33:N33"/>
    <mergeCell ref="P33:Q33"/>
    <mergeCell ref="R33:S33"/>
    <mergeCell ref="B34:D34"/>
    <mergeCell ref="E34:H34"/>
    <mergeCell ref="M34:N34"/>
    <mergeCell ref="P34:Q34"/>
    <mergeCell ref="R34:S34"/>
    <mergeCell ref="E35:O35"/>
    <mergeCell ref="P35:S35"/>
    <mergeCell ref="E36:O36"/>
    <mergeCell ref="P36:S36"/>
    <mergeCell ref="E37:O37"/>
    <mergeCell ref="P37:S37"/>
    <mergeCell ref="E38:O38"/>
    <mergeCell ref="P38:S38"/>
    <mergeCell ref="E39:O39"/>
    <mergeCell ref="P39:S39"/>
    <mergeCell ref="E40:O40"/>
    <mergeCell ref="P40:S40"/>
    <mergeCell ref="B41:D41"/>
    <mergeCell ref="E41:G41"/>
    <mergeCell ref="H41:I41"/>
    <mergeCell ref="J41:O41"/>
    <mergeCell ref="P41:Q41"/>
    <mergeCell ref="R41:S41"/>
    <mergeCell ref="E42:G42"/>
    <mergeCell ref="H42:I42"/>
    <mergeCell ref="J42:O42"/>
    <mergeCell ref="P42:Q42"/>
    <mergeCell ref="R42:S42"/>
    <mergeCell ref="E43:G43"/>
    <mergeCell ref="H43:I43"/>
    <mergeCell ref="J43:O43"/>
    <mergeCell ref="P43:Q43"/>
    <mergeCell ref="R43:S43"/>
    <mergeCell ref="E44:G44"/>
    <mergeCell ref="H44:I44"/>
    <mergeCell ref="J44:O44"/>
    <mergeCell ref="P44:Q44"/>
    <mergeCell ref="R44:S44"/>
    <mergeCell ref="E45:G45"/>
    <mergeCell ref="H45:I45"/>
    <mergeCell ref="J45:O45"/>
    <mergeCell ref="P45:Q45"/>
    <mergeCell ref="R45:S45"/>
    <mergeCell ref="E46:G46"/>
    <mergeCell ref="H46:I46"/>
    <mergeCell ref="J46:O46"/>
    <mergeCell ref="P46:Q46"/>
    <mergeCell ref="R46:S46"/>
    <mergeCell ref="E47:G47"/>
    <mergeCell ref="H47:I47"/>
    <mergeCell ref="J47:O47"/>
    <mergeCell ref="P47:Q47"/>
    <mergeCell ref="R47:S47"/>
    <mergeCell ref="E48:G48"/>
    <mergeCell ref="H48:I48"/>
    <mergeCell ref="J48:O48"/>
    <mergeCell ref="P48:Q48"/>
    <mergeCell ref="R48:S48"/>
    <mergeCell ref="E49:G49"/>
    <mergeCell ref="H49:I49"/>
    <mergeCell ref="J49:O49"/>
    <mergeCell ref="P49:Q49"/>
    <mergeCell ref="R49:S49"/>
    <mergeCell ref="E50:G50"/>
    <mergeCell ref="H50:I50"/>
    <mergeCell ref="J50:O50"/>
    <mergeCell ref="P50:Q50"/>
    <mergeCell ref="R50:S50"/>
    <mergeCell ref="E51:G51"/>
    <mergeCell ref="H51:I51"/>
    <mergeCell ref="J51:O51"/>
    <mergeCell ref="P51:Q51"/>
    <mergeCell ref="R51:S51"/>
    <mergeCell ref="E52:G52"/>
    <mergeCell ref="H52:I52"/>
    <mergeCell ref="J52:O52"/>
    <mergeCell ref="P52:Q52"/>
    <mergeCell ref="R52:S52"/>
    <mergeCell ref="E53:G53"/>
    <mergeCell ref="H53:I53"/>
    <mergeCell ref="J53:O53"/>
    <mergeCell ref="P53:Q53"/>
    <mergeCell ref="R53:S53"/>
    <mergeCell ref="B54:O54"/>
    <mergeCell ref="P54:Q54"/>
    <mergeCell ref="R54:S54"/>
    <mergeCell ref="C55:S55"/>
    <mergeCell ref="C56:D56"/>
    <mergeCell ref="E56:N56"/>
    <mergeCell ref="P56:Q56"/>
    <mergeCell ref="R56:S56"/>
    <mergeCell ref="C57:D57"/>
    <mergeCell ref="E57:N57"/>
    <mergeCell ref="P57:Q57"/>
    <mergeCell ref="R57:S57"/>
    <mergeCell ref="C58:D58"/>
    <mergeCell ref="E58:N58"/>
    <mergeCell ref="P58:Q58"/>
    <mergeCell ref="R58:S58"/>
    <mergeCell ref="C59:D59"/>
    <mergeCell ref="E59:N59"/>
    <mergeCell ref="P59:Q59"/>
    <mergeCell ref="R59:S59"/>
    <mergeCell ref="C60:D60"/>
    <mergeCell ref="E60:N60"/>
    <mergeCell ref="P60:Q60"/>
    <mergeCell ref="R60:S60"/>
    <mergeCell ref="C61:D61"/>
    <mergeCell ref="E61:N61"/>
    <mergeCell ref="P61:Q61"/>
    <mergeCell ref="R61:S61"/>
    <mergeCell ref="C62:S62"/>
    <mergeCell ref="C63:S63"/>
    <mergeCell ref="C64:S64"/>
    <mergeCell ref="C65:S65"/>
    <mergeCell ref="C66:S66"/>
    <mergeCell ref="C67:S67"/>
    <mergeCell ref="C71:S71"/>
    <mergeCell ref="A3:A23"/>
    <mergeCell ref="A24:A40"/>
    <mergeCell ref="A41:A44"/>
    <mergeCell ref="A45:A55"/>
    <mergeCell ref="A56:A71"/>
    <mergeCell ref="B7:B20"/>
    <mergeCell ref="B56:B63"/>
    <mergeCell ref="B64:B67"/>
    <mergeCell ref="B68:B71"/>
    <mergeCell ref="I26:I27"/>
    <mergeCell ref="J26:J27"/>
    <mergeCell ref="K26:K27"/>
    <mergeCell ref="L26:L27"/>
    <mergeCell ref="O26:O27"/>
    <mergeCell ref="T41:T44"/>
    <mergeCell ref="B4:H5"/>
    <mergeCell ref="I4:J5"/>
    <mergeCell ref="N4:O5"/>
    <mergeCell ref="C9:D11"/>
    <mergeCell ref="C12:D15"/>
    <mergeCell ref="C16:D20"/>
    <mergeCell ref="B22:H23"/>
    <mergeCell ref="B24:D27"/>
    <mergeCell ref="E24:H27"/>
    <mergeCell ref="R25:S27"/>
    <mergeCell ref="M26:N27"/>
    <mergeCell ref="P26:Q27"/>
    <mergeCell ref="B35:C40"/>
    <mergeCell ref="B42:D44"/>
    <mergeCell ref="B45:D46"/>
    <mergeCell ref="B47:D53"/>
  </mergeCells>
  <pageMargins left="0.579166666666667" right="0.238888888888889" top="0.979166666666667" bottom="0.979166666666667" header="0.509027777777778" footer="0.509027777777778"/>
  <pageSetup paperSize="9" scale="80" orientation="portrait" horizontalDpi="600" verticalDpi="600"/>
  <headerFooter alignWithMargins="0"/>
  <rowBreaks count="2" manualBreakCount="2">
    <brk id="34" max="18" man="1"/>
    <brk id="58" max="18" man="1"/>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75"/>
  <sheetViews>
    <sheetView topLeftCell="A4" workbookViewId="0">
      <selection activeCell="I14" sqref="I14:K14"/>
    </sheetView>
  </sheetViews>
  <sheetFormatPr defaultColWidth="9" defaultRowHeight="14.25"/>
  <cols>
    <col min="1" max="1" width="4.5" style="168" customWidth="1"/>
    <col min="2" max="2" width="6.875" style="168" customWidth="1"/>
    <col min="3" max="3" width="6.5" style="168" customWidth="1"/>
    <col min="4" max="4" width="4.75" style="168" customWidth="1"/>
    <col min="5" max="6" width="4.625" style="168" customWidth="1"/>
    <col min="7" max="7" width="4.375" style="168" customWidth="1"/>
    <col min="8" max="8" width="4.625" style="168" customWidth="1"/>
    <col min="9" max="9" width="8.625" style="168" customWidth="1"/>
    <col min="10" max="10" width="4.5" style="168" customWidth="1"/>
    <col min="11" max="11" width="7.5" style="168" customWidth="1"/>
    <col min="12" max="12" width="6.5" style="168" customWidth="1"/>
    <col min="13" max="13" width="4.75" style="168" customWidth="1"/>
    <col min="14" max="14" width="5.625" style="168" customWidth="1"/>
    <col min="15" max="15" width="7" style="168" customWidth="1"/>
    <col min="16" max="16" width="4.25" style="168" customWidth="1"/>
    <col min="17" max="17" width="4.625" style="168" customWidth="1"/>
    <col min="18" max="18" width="4.375" style="168" customWidth="1"/>
    <col min="19" max="19" width="4.625" style="168" customWidth="1"/>
    <col min="20" max="20" width="9" style="40" hidden="1" customWidth="1"/>
    <col min="21" max="21" width="9" style="168" hidden="1" customWidth="1"/>
    <col min="22" max="256" width="9" style="168"/>
    <col min="257" max="16384" width="9" style="205"/>
  </cols>
  <sheetData>
    <row r="1" ht="26.25" customHeight="1" spans="1:19">
      <c r="A1" s="5"/>
      <c r="B1" s="5"/>
      <c r="C1" s="6"/>
      <c r="D1" s="6"/>
      <c r="E1" s="6"/>
      <c r="F1" s="6"/>
      <c r="G1" s="6"/>
      <c r="H1" s="6"/>
      <c r="I1" s="6"/>
      <c r="J1" s="6"/>
      <c r="K1" s="6"/>
      <c r="L1" s="6"/>
      <c r="M1" s="6"/>
      <c r="N1" s="6"/>
      <c r="O1" s="6"/>
      <c r="P1" s="6"/>
      <c r="Q1" s="6"/>
      <c r="R1" s="6"/>
      <c r="S1" s="6"/>
    </row>
    <row r="2" ht="43.15" customHeight="1" spans="1:19">
      <c r="A2" s="7" t="s">
        <v>241</v>
      </c>
      <c r="B2" s="7"/>
      <c r="C2" s="7"/>
      <c r="D2" s="7"/>
      <c r="E2" s="7"/>
      <c r="F2" s="7"/>
      <c r="G2" s="7"/>
      <c r="H2" s="7"/>
      <c r="I2" s="7"/>
      <c r="J2" s="7"/>
      <c r="K2" s="7"/>
      <c r="L2" s="7"/>
      <c r="M2" s="7"/>
      <c r="N2" s="7"/>
      <c r="O2" s="7"/>
      <c r="P2" s="7"/>
      <c r="Q2" s="7"/>
      <c r="R2" s="7"/>
      <c r="S2" s="7"/>
    </row>
    <row r="3" ht="24.75" customHeight="1" spans="1:19">
      <c r="A3" s="8" t="s">
        <v>1</v>
      </c>
      <c r="B3" s="9" t="s">
        <v>2</v>
      </c>
      <c r="C3" s="10"/>
      <c r="D3" s="10"/>
      <c r="E3" s="288" t="s">
        <v>242</v>
      </c>
      <c r="F3" s="288"/>
      <c r="G3" s="288"/>
      <c r="H3" s="288"/>
      <c r="I3" s="288"/>
      <c r="J3" s="288"/>
      <c r="K3" s="288"/>
      <c r="L3" s="288"/>
      <c r="M3" s="288"/>
      <c r="N3" s="288"/>
      <c r="O3" s="288"/>
      <c r="P3" s="288"/>
      <c r="Q3" s="288"/>
      <c r="R3" s="288"/>
      <c r="S3" s="297"/>
    </row>
    <row r="4" s="205" customFormat="1" ht="19.5" customHeight="1" spans="1:20">
      <c r="A4" s="12"/>
      <c r="B4" s="13" t="s">
        <v>4</v>
      </c>
      <c r="C4" s="14"/>
      <c r="D4" s="14"/>
      <c r="E4" s="14"/>
      <c r="F4" s="14"/>
      <c r="G4" s="14"/>
      <c r="H4" s="15"/>
      <c r="I4" s="109" t="s">
        <v>5</v>
      </c>
      <c r="J4" s="15"/>
      <c r="K4" s="110" t="s">
        <v>243</v>
      </c>
      <c r="L4" s="111"/>
      <c r="M4" s="112"/>
      <c r="N4" s="109" t="s">
        <v>7</v>
      </c>
      <c r="O4" s="15"/>
      <c r="P4" s="110" t="s">
        <v>244</v>
      </c>
      <c r="Q4" s="111"/>
      <c r="R4" s="111"/>
      <c r="S4" s="152"/>
      <c r="T4" s="261"/>
    </row>
    <row r="5" s="205" customFormat="1" ht="21" customHeight="1" spans="1:20">
      <c r="A5" s="12"/>
      <c r="B5" s="16"/>
      <c r="C5" s="17"/>
      <c r="D5" s="17"/>
      <c r="E5" s="17"/>
      <c r="F5" s="17"/>
      <c r="G5" s="17"/>
      <c r="H5" s="18"/>
      <c r="I5" s="113"/>
      <c r="J5" s="18"/>
      <c r="K5" s="110" t="s">
        <v>178</v>
      </c>
      <c r="L5" s="111"/>
      <c r="M5" s="112"/>
      <c r="N5" s="113"/>
      <c r="O5" s="18"/>
      <c r="P5" s="110" t="s">
        <v>178</v>
      </c>
      <c r="Q5" s="111"/>
      <c r="R5" s="111"/>
      <c r="S5" s="152"/>
      <c r="T5" s="261"/>
    </row>
    <row r="6" s="205" customFormat="1" ht="20.25" customHeight="1" spans="1:20">
      <c r="A6" s="12"/>
      <c r="B6" s="19" t="s">
        <v>11</v>
      </c>
      <c r="C6" s="20"/>
      <c r="D6" s="20"/>
      <c r="E6" s="20"/>
      <c r="F6" s="20"/>
      <c r="G6" s="20"/>
      <c r="H6" s="21"/>
      <c r="I6" s="25"/>
      <c r="J6" s="20"/>
      <c r="K6" s="20"/>
      <c r="L6" s="20"/>
      <c r="M6" s="20"/>
      <c r="N6" s="20"/>
      <c r="O6" s="20"/>
      <c r="P6" s="20"/>
      <c r="Q6" s="20"/>
      <c r="R6" s="20"/>
      <c r="S6" s="154"/>
      <c r="T6" s="261"/>
    </row>
    <row r="7" ht="33.6" customHeight="1" spans="1:19">
      <c r="A7" s="12"/>
      <c r="B7" s="22" t="s">
        <v>13</v>
      </c>
      <c r="C7" s="23" t="s">
        <v>14</v>
      </c>
      <c r="D7" s="23"/>
      <c r="E7" s="23"/>
      <c r="F7" s="23"/>
      <c r="G7" s="23"/>
      <c r="H7" s="23"/>
      <c r="I7" s="54"/>
      <c r="J7" s="54"/>
      <c r="K7" s="54"/>
      <c r="L7" s="23" t="s">
        <v>16</v>
      </c>
      <c r="M7" s="23"/>
      <c r="N7" s="23"/>
      <c r="O7" s="23"/>
      <c r="P7" s="20">
        <v>1</v>
      </c>
      <c r="Q7" s="20"/>
      <c r="R7" s="20"/>
      <c r="S7" s="154"/>
    </row>
    <row r="8" ht="45.75" customHeight="1" spans="1:19">
      <c r="A8" s="12"/>
      <c r="B8" s="24"/>
      <c r="C8" s="23" t="s">
        <v>17</v>
      </c>
      <c r="D8" s="23"/>
      <c r="E8" s="23" t="s">
        <v>18</v>
      </c>
      <c r="F8" s="23"/>
      <c r="G8" s="23"/>
      <c r="H8" s="23"/>
      <c r="I8" s="23" t="s">
        <v>19</v>
      </c>
      <c r="J8" s="23"/>
      <c r="K8" s="23"/>
      <c r="L8" s="23" t="s">
        <v>20</v>
      </c>
      <c r="M8" s="23"/>
      <c r="N8" s="23" t="s">
        <v>21</v>
      </c>
      <c r="O8" s="23"/>
      <c r="P8" s="25" t="s">
        <v>22</v>
      </c>
      <c r="Q8" s="21"/>
      <c r="R8" s="20" t="s">
        <v>23</v>
      </c>
      <c r="S8" s="154"/>
    </row>
    <row r="9" ht="28.5" customHeight="1" spans="1:19">
      <c r="A9" s="12"/>
      <c r="B9" s="24"/>
      <c r="C9" s="23" t="s">
        <v>24</v>
      </c>
      <c r="D9" s="23"/>
      <c r="E9" s="23" t="s">
        <v>25</v>
      </c>
      <c r="F9" s="23"/>
      <c r="G9" s="23"/>
      <c r="H9" s="23"/>
      <c r="I9" s="208" t="s">
        <v>26</v>
      </c>
      <c r="J9" s="209"/>
      <c r="K9" s="218"/>
      <c r="L9" s="219" t="s">
        <v>245</v>
      </c>
      <c r="M9" s="219"/>
      <c r="N9" s="219" t="s">
        <v>245</v>
      </c>
      <c r="O9" s="219"/>
      <c r="P9" s="25">
        <v>0</v>
      </c>
      <c r="Q9" s="21"/>
      <c r="R9" s="20">
        <v>0</v>
      </c>
      <c r="S9" s="154"/>
    </row>
    <row r="10" ht="68.25" customHeight="1" spans="1:19">
      <c r="A10" s="12"/>
      <c r="B10" s="24"/>
      <c r="C10" s="23"/>
      <c r="D10" s="23"/>
      <c r="E10" s="23" t="s">
        <v>28</v>
      </c>
      <c r="F10" s="23" t="s">
        <v>28</v>
      </c>
      <c r="G10" s="23"/>
      <c r="H10" s="23"/>
      <c r="I10" s="208" t="s">
        <v>29</v>
      </c>
      <c r="J10" s="209"/>
      <c r="K10" s="218"/>
      <c r="L10" s="219">
        <v>13600</v>
      </c>
      <c r="M10" s="219"/>
      <c r="N10" s="219">
        <v>13600</v>
      </c>
      <c r="O10" s="219"/>
      <c r="P10" s="25">
        <v>6336</v>
      </c>
      <c r="Q10" s="21"/>
      <c r="R10" s="580">
        <f t="shared" ref="R10:R13" si="0">P10/N10</f>
        <v>0.465882352941176</v>
      </c>
      <c r="S10" s="581"/>
    </row>
    <row r="11" ht="28.5" customHeight="1" spans="1:19">
      <c r="A11" s="12"/>
      <c r="B11" s="24"/>
      <c r="C11" s="23"/>
      <c r="D11" s="23"/>
      <c r="E11" s="23" t="s">
        <v>31</v>
      </c>
      <c r="F11" s="23" t="s">
        <v>31</v>
      </c>
      <c r="G11" s="23"/>
      <c r="H11" s="23"/>
      <c r="I11" s="208" t="s">
        <v>15</v>
      </c>
      <c r="J11" s="209"/>
      <c r="K11" s="218"/>
      <c r="L11" s="208" t="s">
        <v>15</v>
      </c>
      <c r="M11" s="209"/>
      <c r="N11" s="208" t="s">
        <v>15</v>
      </c>
      <c r="O11" s="209"/>
      <c r="P11" s="25" t="s">
        <v>15</v>
      </c>
      <c r="Q11" s="21"/>
      <c r="R11" s="20" t="s">
        <v>15</v>
      </c>
      <c r="S11" s="154"/>
    </row>
    <row r="12" ht="28.5" customHeight="1" spans="1:19">
      <c r="A12" s="12"/>
      <c r="B12" s="24"/>
      <c r="C12" s="23" t="s">
        <v>32</v>
      </c>
      <c r="D12" s="23"/>
      <c r="E12" s="23" t="s">
        <v>33</v>
      </c>
      <c r="F12" s="23" t="s">
        <v>33</v>
      </c>
      <c r="G12" s="23"/>
      <c r="H12" s="23"/>
      <c r="I12" s="208" t="s">
        <v>246</v>
      </c>
      <c r="J12" s="209"/>
      <c r="K12" s="218"/>
      <c r="L12" s="208">
        <v>265</v>
      </c>
      <c r="M12" s="209"/>
      <c r="N12" s="208">
        <v>270</v>
      </c>
      <c r="O12" s="209"/>
      <c r="P12" s="25">
        <v>255</v>
      </c>
      <c r="Q12" s="21"/>
      <c r="R12" s="580">
        <f t="shared" si="0"/>
        <v>0.944444444444444</v>
      </c>
      <c r="S12" s="581"/>
    </row>
    <row r="13" ht="28.5" customHeight="1" spans="1:19">
      <c r="A13" s="12"/>
      <c r="B13" s="24"/>
      <c r="C13" s="23"/>
      <c r="D13" s="23"/>
      <c r="E13" s="23" t="s">
        <v>37</v>
      </c>
      <c r="F13" s="23" t="s">
        <v>37</v>
      </c>
      <c r="G13" s="23"/>
      <c r="H13" s="23"/>
      <c r="I13" s="208" t="s">
        <v>247</v>
      </c>
      <c r="J13" s="209"/>
      <c r="K13" s="218"/>
      <c r="L13" s="208">
        <v>10</v>
      </c>
      <c r="M13" s="209"/>
      <c r="N13" s="208">
        <v>10</v>
      </c>
      <c r="O13" s="209"/>
      <c r="P13" s="25">
        <v>11.3</v>
      </c>
      <c r="Q13" s="21"/>
      <c r="R13" s="580">
        <f t="shared" si="0"/>
        <v>1.13</v>
      </c>
      <c r="S13" s="581"/>
    </row>
    <row r="14" ht="28.5" customHeight="1" spans="1:21">
      <c r="A14" s="12"/>
      <c r="B14" s="24"/>
      <c r="C14" s="23" t="s">
        <v>40</v>
      </c>
      <c r="D14" s="23"/>
      <c r="E14" s="23" t="s">
        <v>41</v>
      </c>
      <c r="F14" s="23" t="s">
        <v>41</v>
      </c>
      <c r="G14" s="23"/>
      <c r="H14" s="23"/>
      <c r="I14" s="223" t="s">
        <v>15</v>
      </c>
      <c r="J14" s="223"/>
      <c r="K14" s="223"/>
      <c r="L14" s="219" t="s">
        <v>15</v>
      </c>
      <c r="M14" s="219"/>
      <c r="N14" s="219" t="s">
        <v>15</v>
      </c>
      <c r="O14" s="219"/>
      <c r="P14" s="208" t="s">
        <v>15</v>
      </c>
      <c r="Q14" s="218"/>
      <c r="R14" s="582" t="s">
        <v>15</v>
      </c>
      <c r="S14" s="583"/>
      <c r="U14" s="520" t="s">
        <v>248</v>
      </c>
    </row>
    <row r="15" ht="28.5" customHeight="1" spans="1:21">
      <c r="A15" s="12"/>
      <c r="B15" s="24"/>
      <c r="C15" s="23"/>
      <c r="D15" s="23"/>
      <c r="E15" s="23" t="s">
        <v>42</v>
      </c>
      <c r="F15" s="23" t="s">
        <v>42</v>
      </c>
      <c r="G15" s="23"/>
      <c r="H15" s="23"/>
      <c r="I15" s="223" t="s">
        <v>141</v>
      </c>
      <c r="J15" s="223"/>
      <c r="K15" s="223"/>
      <c r="L15" s="219" t="s">
        <v>249</v>
      </c>
      <c r="M15" s="219"/>
      <c r="N15" s="219" t="s">
        <v>249</v>
      </c>
      <c r="O15" s="219"/>
      <c r="P15" s="208" t="s">
        <v>250</v>
      </c>
      <c r="Q15" s="218"/>
      <c r="R15" s="582">
        <v>1</v>
      </c>
      <c r="S15" s="583"/>
      <c r="U15" s="520"/>
    </row>
    <row r="16" ht="28.5" customHeight="1" spans="1:21">
      <c r="A16" s="12"/>
      <c r="B16" s="24"/>
      <c r="C16" s="23"/>
      <c r="D16" s="23"/>
      <c r="E16" s="23" t="s">
        <v>46</v>
      </c>
      <c r="F16" s="23" t="s">
        <v>46</v>
      </c>
      <c r="G16" s="23"/>
      <c r="H16" s="23"/>
      <c r="I16" s="223" t="s">
        <v>143</v>
      </c>
      <c r="J16" s="223"/>
      <c r="K16" s="223"/>
      <c r="L16" s="219" t="s">
        <v>251</v>
      </c>
      <c r="M16" s="219"/>
      <c r="N16" s="219" t="s">
        <v>251</v>
      </c>
      <c r="O16" s="219"/>
      <c r="P16" s="208" t="s">
        <v>252</v>
      </c>
      <c r="Q16" s="218"/>
      <c r="R16" s="582">
        <v>1</v>
      </c>
      <c r="S16" s="583"/>
      <c r="U16" s="520"/>
    </row>
    <row r="17" ht="28.5" customHeight="1" spans="1:21">
      <c r="A17" s="12"/>
      <c r="B17" s="24"/>
      <c r="C17" s="23"/>
      <c r="D17" s="23"/>
      <c r="E17" s="23" t="s">
        <v>50</v>
      </c>
      <c r="F17" s="23" t="s">
        <v>50</v>
      </c>
      <c r="G17" s="23"/>
      <c r="H17" s="23"/>
      <c r="I17" s="223" t="s">
        <v>253</v>
      </c>
      <c r="J17" s="223"/>
      <c r="K17" s="223"/>
      <c r="L17" s="219" t="s">
        <v>254</v>
      </c>
      <c r="M17" s="219"/>
      <c r="N17" s="219" t="s">
        <v>254</v>
      </c>
      <c r="O17" s="219"/>
      <c r="P17" s="208" t="s">
        <v>250</v>
      </c>
      <c r="Q17" s="218"/>
      <c r="R17" s="582">
        <v>1</v>
      </c>
      <c r="S17" s="583"/>
      <c r="U17" s="520"/>
    </row>
    <row r="18" ht="36" customHeight="1" spans="1:21">
      <c r="A18" s="12"/>
      <c r="B18" s="26"/>
      <c r="C18" s="23"/>
      <c r="D18" s="23"/>
      <c r="E18" s="23" t="s">
        <v>51</v>
      </c>
      <c r="F18" s="23" t="s">
        <v>52</v>
      </c>
      <c r="G18" s="23"/>
      <c r="H18" s="23"/>
      <c r="I18" s="219" t="s">
        <v>255</v>
      </c>
      <c r="J18" s="219"/>
      <c r="K18" s="219"/>
      <c r="L18" s="568">
        <v>0.95</v>
      </c>
      <c r="M18" s="568"/>
      <c r="N18" s="219" t="s">
        <v>256</v>
      </c>
      <c r="O18" s="219"/>
      <c r="P18" s="569">
        <v>1</v>
      </c>
      <c r="Q18" s="584"/>
      <c r="R18" s="582">
        <v>1</v>
      </c>
      <c r="S18" s="583"/>
      <c r="U18" s="521"/>
    </row>
    <row r="19" ht="36" customHeight="1" spans="1:19">
      <c r="A19" s="12"/>
      <c r="B19" s="19" t="s">
        <v>55</v>
      </c>
      <c r="C19" s="20"/>
      <c r="D19" s="21"/>
      <c r="E19" s="25"/>
      <c r="F19" s="20"/>
      <c r="G19" s="20"/>
      <c r="H19" s="20"/>
      <c r="I19" s="25" t="s">
        <v>56</v>
      </c>
      <c r="J19" s="20"/>
      <c r="K19" s="21"/>
      <c r="L19" s="25"/>
      <c r="M19" s="20"/>
      <c r="N19" s="20"/>
      <c r="O19" s="20"/>
      <c r="P19" s="20"/>
      <c r="Q19" s="20"/>
      <c r="R19" s="20"/>
      <c r="S19" s="154"/>
    </row>
    <row r="20" ht="23.25" customHeight="1" spans="1:19">
      <c r="A20" s="12"/>
      <c r="B20" s="27" t="s">
        <v>58</v>
      </c>
      <c r="C20" s="28"/>
      <c r="D20" s="28"/>
      <c r="E20" s="28"/>
      <c r="F20" s="28"/>
      <c r="G20" s="28"/>
      <c r="H20" s="28"/>
      <c r="I20" s="50" t="s">
        <v>257</v>
      </c>
      <c r="J20" s="50"/>
      <c r="K20" s="50"/>
      <c r="L20" s="50"/>
      <c r="M20" s="50"/>
      <c r="N20" s="50"/>
      <c r="O20" s="50"/>
      <c r="P20" s="50"/>
      <c r="Q20" s="50"/>
      <c r="R20" s="50"/>
      <c r="S20" s="163"/>
    </row>
    <row r="21" ht="23.25" customHeight="1" spans="1:19">
      <c r="A21" s="29"/>
      <c r="B21" s="30"/>
      <c r="C21" s="31"/>
      <c r="D21" s="31"/>
      <c r="E21" s="31"/>
      <c r="F21" s="31"/>
      <c r="G21" s="31"/>
      <c r="H21" s="31"/>
      <c r="I21" s="85" t="s">
        <v>60</v>
      </c>
      <c r="J21" s="85"/>
      <c r="K21" s="85"/>
      <c r="L21" s="85"/>
      <c r="M21" s="85"/>
      <c r="N21" s="85"/>
      <c r="O21" s="85"/>
      <c r="P21" s="85"/>
      <c r="Q21" s="85"/>
      <c r="R21" s="85"/>
      <c r="S21" s="164"/>
    </row>
    <row r="22" spans="1:19">
      <c r="A22" s="32" t="s">
        <v>61</v>
      </c>
      <c r="B22" s="33"/>
      <c r="C22" s="33"/>
      <c r="D22" s="33"/>
      <c r="E22" s="34" t="s">
        <v>62</v>
      </c>
      <c r="F22" s="35"/>
      <c r="G22" s="35"/>
      <c r="H22" s="36"/>
      <c r="I22" s="128" t="s">
        <v>63</v>
      </c>
      <c r="J22" s="128"/>
      <c r="K22" s="128"/>
      <c r="L22" s="128"/>
      <c r="M22" s="128"/>
      <c r="N22" s="128"/>
      <c r="O22" s="128"/>
      <c r="P22" s="128"/>
      <c r="Q22" s="128"/>
      <c r="R22" s="128"/>
      <c r="S22" s="165"/>
    </row>
    <row r="23" ht="12.75" customHeight="1" spans="1:19">
      <c r="A23" s="37"/>
      <c r="B23" s="38"/>
      <c r="C23" s="38"/>
      <c r="D23" s="38"/>
      <c r="E23" s="39"/>
      <c r="F23" s="40"/>
      <c r="G23" s="40"/>
      <c r="H23" s="41"/>
      <c r="I23" s="55" t="s">
        <v>64</v>
      </c>
      <c r="J23" s="55"/>
      <c r="K23" s="54" t="s">
        <v>65</v>
      </c>
      <c r="L23" s="54"/>
      <c r="M23" s="54"/>
      <c r="N23" s="54"/>
      <c r="O23" s="54" t="s">
        <v>66</v>
      </c>
      <c r="P23" s="54"/>
      <c r="Q23" s="54"/>
      <c r="R23" s="54" t="s">
        <v>67</v>
      </c>
      <c r="S23" s="166"/>
    </row>
    <row r="24" s="206" customFormat="1" ht="36" customHeight="1" spans="1:21">
      <c r="A24" s="42"/>
      <c r="B24" s="38"/>
      <c r="C24" s="38"/>
      <c r="D24" s="38"/>
      <c r="E24" s="39"/>
      <c r="F24" s="40"/>
      <c r="G24" s="40"/>
      <c r="H24" s="41"/>
      <c r="I24" s="54" t="s">
        <v>68</v>
      </c>
      <c r="J24" s="54" t="s">
        <v>69</v>
      </c>
      <c r="K24" s="54" t="s">
        <v>70</v>
      </c>
      <c r="L24" s="54" t="s">
        <v>71</v>
      </c>
      <c r="M24" s="54" t="s">
        <v>72</v>
      </c>
      <c r="N24" s="54"/>
      <c r="O24" s="54" t="s">
        <v>73</v>
      </c>
      <c r="P24" s="54" t="s">
        <v>74</v>
      </c>
      <c r="Q24" s="129"/>
      <c r="R24" s="54"/>
      <c r="S24" s="166"/>
      <c r="T24" s="40"/>
      <c r="U24" s="40"/>
    </row>
    <row r="25" s="206" customFormat="1" ht="12" spans="1:21">
      <c r="A25" s="42"/>
      <c r="B25" s="38"/>
      <c r="C25" s="38"/>
      <c r="D25" s="38"/>
      <c r="E25" s="43"/>
      <c r="F25" s="44"/>
      <c r="G25" s="44"/>
      <c r="H25" s="45"/>
      <c r="I25" s="54"/>
      <c r="J25" s="54"/>
      <c r="K25" s="54"/>
      <c r="L25" s="54"/>
      <c r="M25" s="54"/>
      <c r="N25" s="54"/>
      <c r="O25" s="54"/>
      <c r="P25" s="129"/>
      <c r="Q25" s="129"/>
      <c r="R25" s="54"/>
      <c r="S25" s="166"/>
      <c r="T25" s="40"/>
      <c r="U25" s="40"/>
    </row>
    <row r="26" ht="24" customHeight="1" spans="1:19">
      <c r="A26" s="42"/>
      <c r="B26" s="46" t="s">
        <v>75</v>
      </c>
      <c r="C26" s="46"/>
      <c r="D26" s="46"/>
      <c r="E26" s="47">
        <v>13600</v>
      </c>
      <c r="F26" s="48"/>
      <c r="G26" s="48"/>
      <c r="H26" s="49"/>
      <c r="I26" s="130">
        <v>13600</v>
      </c>
      <c r="J26" s="130"/>
      <c r="K26" s="56">
        <v>6336</v>
      </c>
      <c r="L26" s="570">
        <f>K26/I26</f>
        <v>0.465882352941176</v>
      </c>
      <c r="M26" s="54"/>
      <c r="N26" s="54"/>
      <c r="O26" s="56">
        <v>6336</v>
      </c>
      <c r="P26" s="571">
        <v>1</v>
      </c>
      <c r="Q26" s="571"/>
      <c r="R26" s="38">
        <v>0</v>
      </c>
      <c r="S26" s="167"/>
    </row>
    <row r="27" ht="24" customHeight="1" spans="1:19">
      <c r="A27" s="42"/>
      <c r="B27" s="50" t="s">
        <v>77</v>
      </c>
      <c r="C27" s="50"/>
      <c r="D27" s="50"/>
      <c r="E27" s="47"/>
      <c r="F27" s="48"/>
      <c r="G27" s="48"/>
      <c r="H27" s="49"/>
      <c r="I27" s="130"/>
      <c r="J27" s="130"/>
      <c r="K27" s="56"/>
      <c r="L27" s="56"/>
      <c r="M27" s="54"/>
      <c r="N27" s="54"/>
      <c r="O27" s="38"/>
      <c r="P27" s="54"/>
      <c r="Q27" s="54"/>
      <c r="R27" s="38"/>
      <c r="S27" s="167"/>
    </row>
    <row r="28" ht="24" customHeight="1" spans="1:19">
      <c r="A28" s="42"/>
      <c r="B28" s="50" t="s">
        <v>78</v>
      </c>
      <c r="C28" s="50"/>
      <c r="D28" s="50"/>
      <c r="E28" s="47"/>
      <c r="F28" s="48"/>
      <c r="G28" s="48"/>
      <c r="H28" s="49"/>
      <c r="J28" s="130"/>
      <c r="K28" s="56"/>
      <c r="L28" s="56"/>
      <c r="M28" s="54"/>
      <c r="N28" s="54"/>
      <c r="O28" s="38"/>
      <c r="P28" s="54"/>
      <c r="Q28" s="54"/>
      <c r="R28" s="38"/>
      <c r="S28" s="167"/>
    </row>
    <row r="29" ht="24" customHeight="1" spans="1:19">
      <c r="A29" s="42"/>
      <c r="B29" s="50" t="s">
        <v>79</v>
      </c>
      <c r="C29" s="50"/>
      <c r="D29" s="50"/>
      <c r="E29" s="47"/>
      <c r="F29" s="48"/>
      <c r="G29" s="48"/>
      <c r="H29" s="49"/>
      <c r="I29" s="130"/>
      <c r="J29" s="130"/>
      <c r="K29" s="56"/>
      <c r="L29" s="130"/>
      <c r="M29" s="54"/>
      <c r="N29" s="54"/>
      <c r="O29" s="38"/>
      <c r="P29" s="54"/>
      <c r="Q29" s="54"/>
      <c r="R29" s="38"/>
      <c r="S29" s="167"/>
    </row>
    <row r="30" ht="24" customHeight="1" spans="1:19">
      <c r="A30" s="42"/>
      <c r="B30" s="50" t="s">
        <v>80</v>
      </c>
      <c r="C30" s="50"/>
      <c r="D30" s="50"/>
      <c r="E30" s="47">
        <v>13600</v>
      </c>
      <c r="F30" s="48"/>
      <c r="G30" s="48"/>
      <c r="H30" s="49"/>
      <c r="I30" s="130">
        <v>13600</v>
      </c>
      <c r="J30" s="130"/>
      <c r="K30" s="56">
        <v>6336</v>
      </c>
      <c r="L30" s="570">
        <f>K30/I30</f>
        <v>0.465882352941176</v>
      </c>
      <c r="M30" s="54"/>
      <c r="N30" s="54"/>
      <c r="O30" s="56">
        <v>6336</v>
      </c>
      <c r="P30" s="571">
        <v>1</v>
      </c>
      <c r="Q30" s="571"/>
      <c r="R30" s="38">
        <v>0</v>
      </c>
      <c r="S30" s="167"/>
    </row>
    <row r="31" ht="24" customHeight="1" spans="1:19">
      <c r="A31" s="42"/>
      <c r="B31" s="50" t="s">
        <v>82</v>
      </c>
      <c r="C31" s="50"/>
      <c r="D31" s="50"/>
      <c r="E31" s="47"/>
      <c r="F31" s="48"/>
      <c r="G31" s="48"/>
      <c r="H31" s="49"/>
      <c r="I31" s="130"/>
      <c r="J31" s="130"/>
      <c r="K31" s="56"/>
      <c r="L31" s="56"/>
      <c r="M31" s="54"/>
      <c r="N31" s="54"/>
      <c r="O31" s="38"/>
      <c r="P31" s="54"/>
      <c r="Q31" s="54"/>
      <c r="R31" s="38"/>
      <c r="S31" s="167"/>
    </row>
    <row r="32" ht="24" customHeight="1" spans="1:19">
      <c r="A32" s="42"/>
      <c r="B32" s="51" t="s">
        <v>211</v>
      </c>
      <c r="C32" s="52"/>
      <c r="D32" s="53"/>
      <c r="E32" s="47"/>
      <c r="F32" s="48"/>
      <c r="G32" s="48"/>
      <c r="H32" s="49"/>
      <c r="I32" s="130"/>
      <c r="J32" s="130"/>
      <c r="K32" s="56"/>
      <c r="L32" s="56"/>
      <c r="M32" s="98"/>
      <c r="N32" s="99"/>
      <c r="O32" s="38"/>
      <c r="P32" s="98"/>
      <c r="Q32" s="99"/>
      <c r="R32" s="47"/>
      <c r="S32" s="169"/>
    </row>
    <row r="33" ht="24" customHeight="1" spans="1:19">
      <c r="A33" s="42"/>
      <c r="B33" s="54" t="s">
        <v>83</v>
      </c>
      <c r="C33" s="55"/>
      <c r="D33" s="56" t="s">
        <v>84</v>
      </c>
      <c r="E33" s="57" t="s">
        <v>85</v>
      </c>
      <c r="F33" s="57"/>
      <c r="G33" s="57"/>
      <c r="H33" s="57"/>
      <c r="I33" s="57"/>
      <c r="J33" s="57"/>
      <c r="K33" s="57"/>
      <c r="L33" s="57"/>
      <c r="M33" s="57"/>
      <c r="N33" s="57"/>
      <c r="O33" s="57"/>
      <c r="P33" s="57" t="s">
        <v>86</v>
      </c>
      <c r="Q33" s="57"/>
      <c r="R33" s="57"/>
      <c r="S33" s="170"/>
    </row>
    <row r="34" ht="24" customHeight="1" spans="1:19">
      <c r="A34" s="42"/>
      <c r="B34" s="55"/>
      <c r="C34" s="55"/>
      <c r="D34" s="54">
        <v>1</v>
      </c>
      <c r="E34" s="565" t="s">
        <v>258</v>
      </c>
      <c r="F34" s="566"/>
      <c r="G34" s="566"/>
      <c r="H34" s="566"/>
      <c r="I34" s="566"/>
      <c r="J34" s="566"/>
      <c r="K34" s="566"/>
      <c r="L34" s="566"/>
      <c r="M34" s="566"/>
      <c r="N34" s="566"/>
      <c r="O34" s="572"/>
      <c r="P34" s="57">
        <v>704</v>
      </c>
      <c r="Q34" s="57"/>
      <c r="R34" s="57"/>
      <c r="S34" s="170"/>
    </row>
    <row r="35" ht="24" customHeight="1" spans="1:19">
      <c r="A35" s="42"/>
      <c r="B35" s="55"/>
      <c r="C35" s="55"/>
      <c r="D35" s="54">
        <v>2</v>
      </c>
      <c r="E35" s="565" t="s">
        <v>259</v>
      </c>
      <c r="F35" s="566"/>
      <c r="G35" s="566"/>
      <c r="H35" s="566"/>
      <c r="I35" s="566"/>
      <c r="J35" s="566"/>
      <c r="K35" s="566"/>
      <c r="L35" s="566"/>
      <c r="M35" s="566"/>
      <c r="N35" s="566"/>
      <c r="O35" s="572"/>
      <c r="P35" s="57">
        <v>2112</v>
      </c>
      <c r="Q35" s="57"/>
      <c r="R35" s="57"/>
      <c r="S35" s="170"/>
    </row>
    <row r="36" ht="24" customHeight="1" spans="1:19">
      <c r="A36" s="58"/>
      <c r="B36" s="59"/>
      <c r="C36" s="59"/>
      <c r="D36" s="54">
        <v>3</v>
      </c>
      <c r="E36" s="565" t="s">
        <v>260</v>
      </c>
      <c r="F36" s="566"/>
      <c r="G36" s="566"/>
      <c r="H36" s="566"/>
      <c r="I36" s="566"/>
      <c r="J36" s="566"/>
      <c r="K36" s="566"/>
      <c r="L36" s="566"/>
      <c r="M36" s="566"/>
      <c r="N36" s="566"/>
      <c r="O36" s="572"/>
      <c r="P36" s="57">
        <v>3520</v>
      </c>
      <c r="Q36" s="57"/>
      <c r="R36" s="57"/>
      <c r="S36" s="170"/>
    </row>
    <row r="37" ht="24" customHeight="1" spans="1:19">
      <c r="A37" s="58"/>
      <c r="B37" s="59"/>
      <c r="C37" s="59"/>
      <c r="D37" s="54">
        <v>4</v>
      </c>
      <c r="E37" s="57"/>
      <c r="F37" s="57"/>
      <c r="G37" s="57"/>
      <c r="H37" s="57"/>
      <c r="I37" s="57"/>
      <c r="J37" s="57"/>
      <c r="K37" s="57"/>
      <c r="L37" s="57"/>
      <c r="M37" s="57"/>
      <c r="N37" s="57"/>
      <c r="O37" s="57"/>
      <c r="P37" s="57"/>
      <c r="Q37" s="57"/>
      <c r="R37" s="57"/>
      <c r="S37" s="170"/>
    </row>
    <row r="38" ht="24" customHeight="1" spans="1:19">
      <c r="A38" s="58"/>
      <c r="B38" s="59"/>
      <c r="C38" s="59"/>
      <c r="D38" s="54" t="s">
        <v>261</v>
      </c>
      <c r="E38" s="57"/>
      <c r="F38" s="57"/>
      <c r="G38" s="57"/>
      <c r="H38" s="57"/>
      <c r="I38" s="57"/>
      <c r="J38" s="57"/>
      <c r="K38" s="57"/>
      <c r="L38" s="57"/>
      <c r="M38" s="57"/>
      <c r="N38" s="57"/>
      <c r="O38" s="57"/>
      <c r="P38" s="57"/>
      <c r="Q38" s="57"/>
      <c r="R38" s="57"/>
      <c r="S38" s="170"/>
    </row>
    <row r="39" ht="24" customHeight="1" spans="1:19">
      <c r="A39" s="60"/>
      <c r="B39" s="61"/>
      <c r="C39" s="61"/>
      <c r="D39" s="168" t="s">
        <v>91</v>
      </c>
      <c r="E39" s="57"/>
      <c r="F39" s="57"/>
      <c r="G39" s="57"/>
      <c r="H39" s="57"/>
      <c r="I39" s="57"/>
      <c r="J39" s="57"/>
      <c r="K39" s="57"/>
      <c r="L39" s="57"/>
      <c r="M39" s="57"/>
      <c r="N39" s="57"/>
      <c r="O39" s="57"/>
      <c r="P39" s="57">
        <f>P34+P35+P36</f>
        <v>6336</v>
      </c>
      <c r="Q39" s="57"/>
      <c r="R39" s="57"/>
      <c r="S39" s="170"/>
    </row>
    <row r="40" ht="41.45" customHeight="1" spans="1:20">
      <c r="A40" s="62" t="s">
        <v>92</v>
      </c>
      <c r="B40" s="9" t="s">
        <v>93</v>
      </c>
      <c r="C40" s="10"/>
      <c r="D40" s="10"/>
      <c r="E40" s="10" t="s">
        <v>94</v>
      </c>
      <c r="F40" s="10"/>
      <c r="G40" s="10"/>
      <c r="H40" s="10" t="s">
        <v>95</v>
      </c>
      <c r="I40" s="10"/>
      <c r="J40" s="10" t="s">
        <v>96</v>
      </c>
      <c r="K40" s="10"/>
      <c r="L40" s="10"/>
      <c r="M40" s="10"/>
      <c r="N40" s="10"/>
      <c r="O40" s="10"/>
      <c r="P40" s="133" t="s">
        <v>97</v>
      </c>
      <c r="Q40" s="147"/>
      <c r="R40" s="10" t="s">
        <v>98</v>
      </c>
      <c r="S40" s="171"/>
      <c r="T40" s="99"/>
    </row>
    <row r="41" ht="54.75" customHeight="1" spans="1:20">
      <c r="A41" s="63"/>
      <c r="B41" s="64" t="s">
        <v>99</v>
      </c>
      <c r="C41" s="65"/>
      <c r="D41" s="66"/>
      <c r="E41" s="54" t="s">
        <v>100</v>
      </c>
      <c r="F41" s="54"/>
      <c r="G41" s="54"/>
      <c r="H41" s="67" t="s">
        <v>262</v>
      </c>
      <c r="I41" s="66"/>
      <c r="J41" s="134" t="s">
        <v>263</v>
      </c>
      <c r="K41" s="134"/>
      <c r="L41" s="134"/>
      <c r="M41" s="134"/>
      <c r="N41" s="134"/>
      <c r="O41" s="134"/>
      <c r="P41" s="573">
        <v>10</v>
      </c>
      <c r="Q41" s="585"/>
      <c r="R41" s="586">
        <v>0</v>
      </c>
      <c r="S41" s="587"/>
      <c r="T41" s="99"/>
    </row>
    <row r="42" ht="46.5" customHeight="1" spans="1:20">
      <c r="A42" s="63"/>
      <c r="B42" s="68"/>
      <c r="C42" s="69"/>
      <c r="D42" s="70"/>
      <c r="E42" s="71" t="s">
        <v>216</v>
      </c>
      <c r="F42" s="72"/>
      <c r="G42" s="73"/>
      <c r="H42" s="51" t="s">
        <v>104</v>
      </c>
      <c r="I42" s="53"/>
      <c r="J42" s="230" t="s">
        <v>264</v>
      </c>
      <c r="K42" s="231"/>
      <c r="L42" s="231"/>
      <c r="M42" s="231"/>
      <c r="N42" s="231"/>
      <c r="O42" s="232"/>
      <c r="P42" s="573">
        <v>10</v>
      </c>
      <c r="Q42" s="585"/>
      <c r="R42" s="588">
        <v>10</v>
      </c>
      <c r="S42" s="589"/>
      <c r="T42" s="99"/>
    </row>
    <row r="43" spans="1:20">
      <c r="A43" s="63"/>
      <c r="B43" s="68"/>
      <c r="C43" s="69"/>
      <c r="D43" s="70"/>
      <c r="E43" s="39"/>
      <c r="F43" s="40"/>
      <c r="G43" s="41"/>
      <c r="H43" s="51" t="s">
        <v>261</v>
      </c>
      <c r="I43" s="53"/>
      <c r="J43" s="230"/>
      <c r="K43" s="231"/>
      <c r="L43" s="231"/>
      <c r="M43" s="231"/>
      <c r="N43" s="231"/>
      <c r="O43" s="232"/>
      <c r="P43" s="573"/>
      <c r="Q43" s="585"/>
      <c r="R43" s="588"/>
      <c r="S43" s="589"/>
      <c r="T43" s="99"/>
    </row>
    <row r="44" ht="58.9" customHeight="1" spans="1:20">
      <c r="A44" s="63"/>
      <c r="B44" s="68"/>
      <c r="C44" s="69"/>
      <c r="D44" s="70"/>
      <c r="E44" s="71" t="s">
        <v>106</v>
      </c>
      <c r="F44" s="72"/>
      <c r="G44" s="73"/>
      <c r="H44" s="67" t="s">
        <v>218</v>
      </c>
      <c r="I44" s="66"/>
      <c r="J44" s="134" t="s">
        <v>265</v>
      </c>
      <c r="K44" s="134"/>
      <c r="L44" s="134"/>
      <c r="M44" s="134"/>
      <c r="N44" s="134"/>
      <c r="O44" s="134"/>
      <c r="P44" s="573">
        <v>10</v>
      </c>
      <c r="Q44" s="585"/>
      <c r="R44" s="586">
        <v>10</v>
      </c>
      <c r="S44" s="587"/>
      <c r="T44" s="99"/>
    </row>
    <row r="45" ht="15" spans="1:20">
      <c r="A45" s="63"/>
      <c r="B45" s="68"/>
      <c r="C45" s="69"/>
      <c r="D45" s="70"/>
      <c r="E45" s="39"/>
      <c r="F45" s="40"/>
      <c r="G45" s="41"/>
      <c r="H45" s="51" t="s">
        <v>261</v>
      </c>
      <c r="I45" s="53"/>
      <c r="J45" s="134"/>
      <c r="K45" s="134"/>
      <c r="L45" s="134"/>
      <c r="M45" s="134"/>
      <c r="N45" s="134"/>
      <c r="O45" s="134"/>
      <c r="P45" s="573"/>
      <c r="Q45" s="585"/>
      <c r="R45" s="586"/>
      <c r="S45" s="587"/>
      <c r="T45" s="99"/>
    </row>
    <row r="46" ht="48.6" customHeight="1" spans="1:19">
      <c r="A46" s="63"/>
      <c r="B46" s="74" t="s">
        <v>109</v>
      </c>
      <c r="C46" s="75"/>
      <c r="D46" s="76"/>
      <c r="E46" s="77" t="s">
        <v>110</v>
      </c>
      <c r="F46" s="77"/>
      <c r="G46" s="77"/>
      <c r="H46" s="78" t="s">
        <v>221</v>
      </c>
      <c r="I46" s="78"/>
      <c r="J46" s="281" t="s">
        <v>266</v>
      </c>
      <c r="K46" s="281"/>
      <c r="L46" s="281"/>
      <c r="M46" s="281"/>
      <c r="N46" s="281"/>
      <c r="O46" s="281"/>
      <c r="P46" s="574">
        <v>15</v>
      </c>
      <c r="Q46" s="574"/>
      <c r="R46" s="590">
        <v>15</v>
      </c>
      <c r="S46" s="591"/>
    </row>
    <row r="47" spans="1:19">
      <c r="A47" s="63"/>
      <c r="B47" s="68"/>
      <c r="C47" s="69"/>
      <c r="D47" s="70"/>
      <c r="E47" s="528"/>
      <c r="F47" s="528"/>
      <c r="G47" s="528"/>
      <c r="H47" s="50" t="s">
        <v>261</v>
      </c>
      <c r="I47" s="50"/>
      <c r="J47" s="119"/>
      <c r="K47" s="119"/>
      <c r="L47" s="119"/>
      <c r="M47" s="119"/>
      <c r="N47" s="119"/>
      <c r="O47" s="119"/>
      <c r="P47" s="575"/>
      <c r="Q47" s="575"/>
      <c r="R47" s="586"/>
      <c r="S47" s="587"/>
    </row>
    <row r="48" s="205" customFormat="1" ht="68.45" customHeight="1" spans="1:20">
      <c r="A48" s="63"/>
      <c r="B48" s="79"/>
      <c r="C48" s="69"/>
      <c r="D48" s="70"/>
      <c r="E48" s="71" t="s">
        <v>117</v>
      </c>
      <c r="F48" s="72"/>
      <c r="G48" s="73"/>
      <c r="H48" s="80" t="s">
        <v>223</v>
      </c>
      <c r="I48" s="80"/>
      <c r="J48" s="119" t="s">
        <v>267</v>
      </c>
      <c r="K48" s="119"/>
      <c r="L48" s="119"/>
      <c r="M48" s="119"/>
      <c r="N48" s="119"/>
      <c r="O48" s="119"/>
      <c r="P48" s="575">
        <v>15</v>
      </c>
      <c r="Q48" s="575"/>
      <c r="R48" s="586">
        <v>15</v>
      </c>
      <c r="S48" s="587"/>
      <c r="T48" s="40"/>
    </row>
    <row r="49" s="205" customFormat="1" ht="15" spans="1:20">
      <c r="A49" s="63"/>
      <c r="B49" s="79"/>
      <c r="C49" s="69"/>
      <c r="D49" s="70"/>
      <c r="E49" s="494"/>
      <c r="F49" s="495"/>
      <c r="G49" s="496"/>
      <c r="H49" s="567" t="s">
        <v>261</v>
      </c>
      <c r="I49" s="576"/>
      <c r="J49" s="514"/>
      <c r="K49" s="514"/>
      <c r="L49" s="514"/>
      <c r="M49" s="514"/>
      <c r="N49" s="514"/>
      <c r="O49" s="514"/>
      <c r="P49" s="577"/>
      <c r="Q49" s="577"/>
      <c r="R49" s="577"/>
      <c r="S49" s="592"/>
      <c r="T49" s="40"/>
    </row>
    <row r="50" ht="23.25" customHeight="1" spans="1:19">
      <c r="A50" s="63"/>
      <c r="B50" s="74" t="s">
        <v>122</v>
      </c>
      <c r="C50" s="75"/>
      <c r="D50" s="76"/>
      <c r="E50" s="77" t="s">
        <v>123</v>
      </c>
      <c r="F50" s="77"/>
      <c r="G50" s="77"/>
      <c r="H50" s="78" t="s">
        <v>268</v>
      </c>
      <c r="I50" s="78"/>
      <c r="J50" s="143" t="s">
        <v>269</v>
      </c>
      <c r="K50" s="143"/>
      <c r="L50" s="143"/>
      <c r="M50" s="143"/>
      <c r="N50" s="143"/>
      <c r="O50" s="143"/>
      <c r="P50" s="574">
        <v>6</v>
      </c>
      <c r="Q50" s="574"/>
      <c r="R50" s="574">
        <v>4</v>
      </c>
      <c r="S50" s="593"/>
    </row>
    <row r="51" ht="23.25" customHeight="1" spans="1:19">
      <c r="A51" s="63"/>
      <c r="B51" s="79"/>
      <c r="C51" s="69"/>
      <c r="D51" s="70"/>
      <c r="E51" s="54" t="s">
        <v>128</v>
      </c>
      <c r="F51" s="54"/>
      <c r="G51" s="54"/>
      <c r="H51" s="50" t="s">
        <v>270</v>
      </c>
      <c r="I51" s="50"/>
      <c r="J51" s="134" t="s">
        <v>269</v>
      </c>
      <c r="K51" s="134"/>
      <c r="L51" s="134"/>
      <c r="M51" s="134"/>
      <c r="N51" s="134"/>
      <c r="O51" s="134"/>
      <c r="P51" s="575">
        <v>6</v>
      </c>
      <c r="Q51" s="575"/>
      <c r="R51" s="575">
        <v>6</v>
      </c>
      <c r="S51" s="594"/>
    </row>
    <row r="52" ht="25.5" customHeight="1" spans="1:19">
      <c r="A52" s="63"/>
      <c r="B52" s="79"/>
      <c r="C52" s="69"/>
      <c r="D52" s="70"/>
      <c r="E52" s="54" t="s">
        <v>138</v>
      </c>
      <c r="F52" s="54"/>
      <c r="G52" s="54"/>
      <c r="H52" s="50" t="s">
        <v>271</v>
      </c>
      <c r="I52" s="50"/>
      <c r="J52" s="134" t="s">
        <v>272</v>
      </c>
      <c r="K52" s="134"/>
      <c r="L52" s="134"/>
      <c r="M52" s="134"/>
      <c r="N52" s="134"/>
      <c r="O52" s="134"/>
      <c r="P52" s="573">
        <v>6</v>
      </c>
      <c r="Q52" s="585"/>
      <c r="R52" s="575">
        <v>6</v>
      </c>
      <c r="S52" s="594"/>
    </row>
    <row r="53" ht="24.75" customHeight="1" spans="1:19">
      <c r="A53" s="63"/>
      <c r="B53" s="79"/>
      <c r="C53" s="69"/>
      <c r="D53" s="70"/>
      <c r="E53" s="54" t="s">
        <v>141</v>
      </c>
      <c r="F53" s="54"/>
      <c r="G53" s="54"/>
      <c r="H53" s="50" t="s">
        <v>249</v>
      </c>
      <c r="I53" s="50"/>
      <c r="J53" s="134" t="s">
        <v>273</v>
      </c>
      <c r="K53" s="134"/>
      <c r="L53" s="134"/>
      <c r="M53" s="134"/>
      <c r="N53" s="134"/>
      <c r="O53" s="134"/>
      <c r="P53" s="573">
        <v>6</v>
      </c>
      <c r="Q53" s="585"/>
      <c r="R53" s="575">
        <v>6</v>
      </c>
      <c r="S53" s="594"/>
    </row>
    <row r="54" s="205" customFormat="1" ht="21" customHeight="1" spans="1:20">
      <c r="A54" s="63"/>
      <c r="B54" s="79"/>
      <c r="C54" s="69"/>
      <c r="D54" s="70"/>
      <c r="E54" s="54" t="s">
        <v>143</v>
      </c>
      <c r="F54" s="54"/>
      <c r="G54" s="54"/>
      <c r="H54" s="50" t="s">
        <v>251</v>
      </c>
      <c r="I54" s="50"/>
      <c r="J54" s="134" t="s">
        <v>274</v>
      </c>
      <c r="K54" s="134"/>
      <c r="L54" s="134"/>
      <c r="M54" s="134"/>
      <c r="N54" s="134"/>
      <c r="O54" s="134"/>
      <c r="P54" s="573">
        <v>5</v>
      </c>
      <c r="Q54" s="585"/>
      <c r="R54" s="575">
        <v>5</v>
      </c>
      <c r="S54" s="595"/>
      <c r="T54" s="40"/>
    </row>
    <row r="55" s="205" customFormat="1" ht="20.25" customHeight="1" spans="1:20">
      <c r="A55" s="63"/>
      <c r="B55" s="79"/>
      <c r="C55" s="69"/>
      <c r="D55" s="70"/>
      <c r="E55" s="54" t="s">
        <v>146</v>
      </c>
      <c r="F55" s="54"/>
      <c r="G55" s="54"/>
      <c r="H55" s="50" t="s">
        <v>253</v>
      </c>
      <c r="I55" s="50"/>
      <c r="J55" s="134" t="s">
        <v>275</v>
      </c>
      <c r="K55" s="134"/>
      <c r="L55" s="134"/>
      <c r="M55" s="134"/>
      <c r="N55" s="134"/>
      <c r="O55" s="134"/>
      <c r="P55" s="573">
        <v>5</v>
      </c>
      <c r="Q55" s="585"/>
      <c r="R55" s="575">
        <v>5</v>
      </c>
      <c r="S55" s="595"/>
      <c r="T55" s="40"/>
    </row>
    <row r="56" s="205" customFormat="1" ht="21" customHeight="1" spans="1:20">
      <c r="A56" s="63"/>
      <c r="B56" s="81"/>
      <c r="C56" s="82"/>
      <c r="D56" s="83"/>
      <c r="E56" s="84" t="s">
        <v>149</v>
      </c>
      <c r="F56" s="84"/>
      <c r="G56" s="84"/>
      <c r="H56" s="85" t="s">
        <v>255</v>
      </c>
      <c r="I56" s="85"/>
      <c r="J56" s="145" t="s">
        <v>276</v>
      </c>
      <c r="K56" s="145"/>
      <c r="L56" s="145"/>
      <c r="M56" s="145"/>
      <c r="N56" s="145"/>
      <c r="O56" s="145"/>
      <c r="P56" s="578">
        <v>6</v>
      </c>
      <c r="Q56" s="596"/>
      <c r="R56" s="597">
        <v>6</v>
      </c>
      <c r="S56" s="598"/>
      <c r="T56" s="40"/>
    </row>
    <row r="57" ht="30" customHeight="1" spans="1:19">
      <c r="A57" s="63"/>
      <c r="B57" s="86" t="s">
        <v>152</v>
      </c>
      <c r="C57" s="87"/>
      <c r="D57" s="87"/>
      <c r="E57" s="87"/>
      <c r="F57" s="87"/>
      <c r="G57" s="87"/>
      <c r="H57" s="87"/>
      <c r="I57" s="87"/>
      <c r="J57" s="87"/>
      <c r="K57" s="87"/>
      <c r="L57" s="87"/>
      <c r="M57" s="87"/>
      <c r="N57" s="87"/>
      <c r="O57" s="147"/>
      <c r="P57" s="579">
        <f>SUM(P41:Q56)</f>
        <v>100</v>
      </c>
      <c r="Q57" s="148"/>
      <c r="R57" s="579">
        <f>SUM(R41:S56)</f>
        <v>88</v>
      </c>
      <c r="S57" s="148"/>
    </row>
    <row r="58" ht="36" customHeight="1" spans="1:19">
      <c r="A58" s="88"/>
      <c r="B58" s="89" t="s">
        <v>153</v>
      </c>
      <c r="C58" s="90" t="s">
        <v>277</v>
      </c>
      <c r="D58" s="91"/>
      <c r="E58" s="91"/>
      <c r="F58" s="91"/>
      <c r="G58" s="91"/>
      <c r="H58" s="91"/>
      <c r="I58" s="91"/>
      <c r="J58" s="91"/>
      <c r="K58" s="91"/>
      <c r="L58" s="91"/>
      <c r="M58" s="91"/>
      <c r="N58" s="91"/>
      <c r="O58" s="91"/>
      <c r="P58" s="91"/>
      <c r="Q58" s="91"/>
      <c r="R58" s="91"/>
      <c r="S58" s="181"/>
    </row>
    <row r="59" ht="22.5" customHeight="1" spans="1:19">
      <c r="A59" s="62" t="s">
        <v>155</v>
      </c>
      <c r="B59" s="92" t="s">
        <v>156</v>
      </c>
      <c r="C59" s="93" t="s">
        <v>157</v>
      </c>
      <c r="D59" s="94"/>
      <c r="E59" s="95" t="s">
        <v>158</v>
      </c>
      <c r="F59" s="93"/>
      <c r="G59" s="93"/>
      <c r="H59" s="93"/>
      <c r="I59" s="93"/>
      <c r="J59" s="93"/>
      <c r="K59" s="93"/>
      <c r="L59" s="93"/>
      <c r="M59" s="93"/>
      <c r="N59" s="94"/>
      <c r="O59" s="149" t="s">
        <v>159</v>
      </c>
      <c r="P59" s="95" t="s">
        <v>160</v>
      </c>
      <c r="Q59" s="94"/>
      <c r="R59" s="95" t="s">
        <v>161</v>
      </c>
      <c r="S59" s="182"/>
    </row>
    <row r="60" ht="21" customHeight="1" spans="1:19">
      <c r="A60" s="96"/>
      <c r="B60" s="97"/>
      <c r="C60" s="98"/>
      <c r="D60" s="99"/>
      <c r="E60" s="100"/>
      <c r="F60" s="101"/>
      <c r="G60" s="101"/>
      <c r="H60" s="101"/>
      <c r="I60" s="101"/>
      <c r="J60" s="101"/>
      <c r="K60" s="101"/>
      <c r="L60" s="101"/>
      <c r="M60" s="101"/>
      <c r="N60" s="150"/>
      <c r="O60" s="57"/>
      <c r="P60" s="98"/>
      <c r="Q60" s="99"/>
      <c r="R60" s="98"/>
      <c r="S60" s="160"/>
    </row>
    <row r="61" ht="21" customHeight="1" spans="1:19">
      <c r="A61" s="96"/>
      <c r="B61" s="97"/>
      <c r="C61" s="98"/>
      <c r="D61" s="99"/>
      <c r="E61" s="100"/>
      <c r="F61" s="101"/>
      <c r="G61" s="101"/>
      <c r="H61" s="101"/>
      <c r="I61" s="101"/>
      <c r="J61" s="101"/>
      <c r="K61" s="101"/>
      <c r="L61" s="101"/>
      <c r="M61" s="101"/>
      <c r="N61" s="150"/>
      <c r="O61" s="57"/>
      <c r="P61" s="98"/>
      <c r="Q61" s="99"/>
      <c r="R61" s="98"/>
      <c r="S61" s="160"/>
    </row>
    <row r="62" ht="21" customHeight="1" spans="1:19">
      <c r="A62" s="96"/>
      <c r="B62" s="97"/>
      <c r="C62" s="98"/>
      <c r="D62" s="99"/>
      <c r="E62" s="100"/>
      <c r="F62" s="101"/>
      <c r="G62" s="101"/>
      <c r="H62" s="101"/>
      <c r="I62" s="101"/>
      <c r="J62" s="101"/>
      <c r="K62" s="101"/>
      <c r="L62" s="101"/>
      <c r="M62" s="101"/>
      <c r="N62" s="150"/>
      <c r="O62" s="57"/>
      <c r="P62" s="98"/>
      <c r="Q62" s="99"/>
      <c r="R62" s="98"/>
      <c r="S62" s="160"/>
    </row>
    <row r="63" ht="21" customHeight="1" spans="1:19">
      <c r="A63" s="96"/>
      <c r="B63" s="97"/>
      <c r="C63" s="98"/>
      <c r="D63" s="99"/>
      <c r="E63" s="100"/>
      <c r="F63" s="101"/>
      <c r="G63" s="101"/>
      <c r="H63" s="101"/>
      <c r="I63" s="101"/>
      <c r="J63" s="101"/>
      <c r="K63" s="101"/>
      <c r="L63" s="101"/>
      <c r="M63" s="101"/>
      <c r="N63" s="150"/>
      <c r="O63" s="57"/>
      <c r="P63" s="98"/>
      <c r="Q63" s="99"/>
      <c r="R63" s="98"/>
      <c r="S63" s="160"/>
    </row>
    <row r="64" ht="21" customHeight="1" spans="1:19">
      <c r="A64" s="96"/>
      <c r="B64" s="97"/>
      <c r="C64" s="98"/>
      <c r="D64" s="99"/>
      <c r="E64" s="100"/>
      <c r="F64" s="101"/>
      <c r="G64" s="101"/>
      <c r="H64" s="101"/>
      <c r="I64" s="101"/>
      <c r="J64" s="101"/>
      <c r="K64" s="101"/>
      <c r="L64" s="101"/>
      <c r="M64" s="101"/>
      <c r="N64" s="150"/>
      <c r="O64" s="57"/>
      <c r="P64" s="98"/>
      <c r="Q64" s="99"/>
      <c r="R64" s="98"/>
      <c r="S64" s="160"/>
    </row>
    <row r="65" ht="105.75" customHeight="1" spans="1:19">
      <c r="A65" s="96"/>
      <c r="B65" s="97"/>
      <c r="C65" s="102" t="s">
        <v>162</v>
      </c>
      <c r="D65" s="103"/>
      <c r="E65" s="103"/>
      <c r="F65" s="103"/>
      <c r="G65" s="103"/>
      <c r="H65" s="103"/>
      <c r="I65" s="103"/>
      <c r="J65" s="103"/>
      <c r="K65" s="103"/>
      <c r="L65" s="103"/>
      <c r="M65" s="103"/>
      <c r="N65" s="103"/>
      <c r="O65" s="103"/>
      <c r="P65" s="103"/>
      <c r="Q65" s="103"/>
      <c r="R65" s="103"/>
      <c r="S65" s="183"/>
    </row>
    <row r="66" ht="27" customHeight="1" spans="1:19">
      <c r="A66" s="96"/>
      <c r="B66" s="104"/>
      <c r="C66" s="105" t="s">
        <v>163</v>
      </c>
      <c r="D66" s="106"/>
      <c r="E66" s="106"/>
      <c r="F66" s="106"/>
      <c r="G66" s="106"/>
      <c r="H66" s="106"/>
      <c r="I66" s="106"/>
      <c r="J66" s="106"/>
      <c r="K66" s="106"/>
      <c r="L66" s="106"/>
      <c r="M66" s="106"/>
      <c r="N66" s="106"/>
      <c r="O66" s="106"/>
      <c r="P66" s="106"/>
      <c r="Q66" s="106"/>
      <c r="R66" s="106"/>
      <c r="S66" s="184"/>
    </row>
    <row r="67" ht="48.75" customHeight="1" spans="1:19">
      <c r="A67" s="96"/>
      <c r="B67" s="92" t="s">
        <v>164</v>
      </c>
      <c r="C67" s="107" t="s">
        <v>165</v>
      </c>
      <c r="D67" s="108"/>
      <c r="E67" s="108"/>
      <c r="F67" s="108"/>
      <c r="G67" s="108"/>
      <c r="H67" s="108"/>
      <c r="I67" s="108"/>
      <c r="J67" s="108"/>
      <c r="K67" s="108"/>
      <c r="L67" s="108"/>
      <c r="M67" s="108"/>
      <c r="N67" s="108"/>
      <c r="O67" s="108"/>
      <c r="P67" s="108"/>
      <c r="Q67" s="108"/>
      <c r="R67" s="108"/>
      <c r="S67" s="185"/>
    </row>
    <row r="68" ht="55.5" customHeight="1" spans="1:19">
      <c r="A68" s="96"/>
      <c r="B68" s="186"/>
      <c r="C68" s="187" t="s">
        <v>166</v>
      </c>
      <c r="D68" s="188"/>
      <c r="E68" s="188"/>
      <c r="F68" s="188"/>
      <c r="G68" s="188"/>
      <c r="H68" s="188"/>
      <c r="I68" s="188"/>
      <c r="J68" s="188"/>
      <c r="K68" s="188"/>
      <c r="L68" s="188"/>
      <c r="M68" s="188"/>
      <c r="N68" s="188"/>
      <c r="O68" s="188"/>
      <c r="P68" s="188"/>
      <c r="Q68" s="188"/>
      <c r="R68" s="188"/>
      <c r="S68" s="201"/>
    </row>
    <row r="69" ht="104.25" customHeight="1" spans="1:19">
      <c r="A69" s="96"/>
      <c r="B69" s="186"/>
      <c r="C69" s="102" t="s">
        <v>167</v>
      </c>
      <c r="D69" s="103"/>
      <c r="E69" s="103"/>
      <c r="F69" s="103"/>
      <c r="G69" s="103"/>
      <c r="H69" s="103"/>
      <c r="I69" s="103"/>
      <c r="J69" s="103"/>
      <c r="K69" s="103"/>
      <c r="L69" s="103"/>
      <c r="M69" s="103"/>
      <c r="N69" s="103"/>
      <c r="O69" s="103"/>
      <c r="P69" s="103"/>
      <c r="Q69" s="103"/>
      <c r="R69" s="103"/>
      <c r="S69" s="183"/>
    </row>
    <row r="70" ht="28.5" customHeight="1" spans="1:19">
      <c r="A70" s="96"/>
      <c r="B70" s="189"/>
      <c r="C70" s="105" t="s">
        <v>168</v>
      </c>
      <c r="D70" s="106"/>
      <c r="E70" s="106"/>
      <c r="F70" s="106"/>
      <c r="G70" s="106"/>
      <c r="H70" s="106"/>
      <c r="I70" s="106"/>
      <c r="J70" s="106"/>
      <c r="K70" s="106"/>
      <c r="L70" s="106"/>
      <c r="M70" s="106"/>
      <c r="N70" s="106"/>
      <c r="O70" s="106"/>
      <c r="P70" s="106"/>
      <c r="Q70" s="106"/>
      <c r="R70" s="106"/>
      <c r="S70" s="184"/>
    </row>
    <row r="71" ht="12" customHeight="1" spans="1:19">
      <c r="A71" s="96"/>
      <c r="B71" s="186" t="s">
        <v>169</v>
      </c>
      <c r="C71" s="190"/>
      <c r="D71" s="191"/>
      <c r="E71" s="191"/>
      <c r="F71" s="191"/>
      <c r="G71" s="191"/>
      <c r="H71" s="191"/>
      <c r="I71" s="191"/>
      <c r="J71" s="191"/>
      <c r="K71" s="191"/>
      <c r="L71" s="191"/>
      <c r="M71" s="191"/>
      <c r="N71" s="191"/>
      <c r="O71" s="191"/>
      <c r="P71" s="191"/>
      <c r="Q71" s="191"/>
      <c r="R71" s="191"/>
      <c r="S71" s="202"/>
    </row>
    <row r="72" customHeight="1" spans="1:19">
      <c r="A72" s="96"/>
      <c r="B72" s="186"/>
      <c r="C72" s="191"/>
      <c r="D72" s="191"/>
      <c r="E72" s="191"/>
      <c r="F72" s="192"/>
      <c r="G72" s="191"/>
      <c r="H72" s="191"/>
      <c r="I72" s="191"/>
      <c r="J72" s="191"/>
      <c r="K72" s="191"/>
      <c r="L72" s="191"/>
      <c r="M72" s="191"/>
      <c r="N72" s="191"/>
      <c r="O72" s="191"/>
      <c r="P72" s="191"/>
      <c r="Q72" s="191"/>
      <c r="R72" s="191"/>
      <c r="S72" s="202"/>
    </row>
    <row r="73" ht="30.75" customHeight="1" spans="1:19">
      <c r="A73" s="96"/>
      <c r="B73" s="186"/>
      <c r="C73" s="193"/>
      <c r="D73" s="194"/>
      <c r="E73" s="194"/>
      <c r="F73" s="194"/>
      <c r="G73" s="194"/>
      <c r="H73" s="194"/>
      <c r="I73" s="194"/>
      <c r="J73" s="194"/>
      <c r="K73" s="194"/>
      <c r="L73" s="194"/>
      <c r="M73" s="194"/>
      <c r="N73" s="194"/>
      <c r="O73" s="194"/>
      <c r="P73" s="194"/>
      <c r="Q73" s="194"/>
      <c r="R73" s="194"/>
      <c r="S73" s="203"/>
    </row>
    <row r="74" ht="53.25" customHeight="1" spans="1:19">
      <c r="A74" s="195"/>
      <c r="B74" s="189"/>
      <c r="C74" s="196" t="s">
        <v>170</v>
      </c>
      <c r="D74" s="197"/>
      <c r="E74" s="197"/>
      <c r="F74" s="197"/>
      <c r="G74" s="197"/>
      <c r="H74" s="197"/>
      <c r="I74" s="197"/>
      <c r="J74" s="197"/>
      <c r="K74" s="197"/>
      <c r="L74" s="197"/>
      <c r="M74" s="197"/>
      <c r="N74" s="197"/>
      <c r="O74" s="197"/>
      <c r="P74" s="197"/>
      <c r="Q74" s="197"/>
      <c r="R74" s="197"/>
      <c r="S74" s="204"/>
    </row>
    <row r="75" ht="19.5" customHeight="1" spans="1:19">
      <c r="A75" s="198"/>
      <c r="B75" s="199" t="s">
        <v>171</v>
      </c>
      <c r="C75" s="199"/>
      <c r="D75" s="199"/>
      <c r="E75" s="199"/>
      <c r="F75" s="199"/>
      <c r="G75" s="199"/>
      <c r="H75" s="199" t="s">
        <v>172</v>
      </c>
      <c r="I75" s="199"/>
      <c r="J75" s="199"/>
      <c r="K75" s="199"/>
      <c r="L75" s="199"/>
      <c r="N75" s="200"/>
      <c r="O75" s="200" t="s">
        <v>173</v>
      </c>
      <c r="Q75" s="200"/>
      <c r="R75" s="200"/>
      <c r="S75" s="200"/>
    </row>
  </sheetData>
  <mergeCells count="289">
    <mergeCell ref="A1:B1"/>
    <mergeCell ref="A2:S2"/>
    <mergeCell ref="B3:D3"/>
    <mergeCell ref="E3:S3"/>
    <mergeCell ref="K4:M4"/>
    <mergeCell ref="P4:S4"/>
    <mergeCell ref="K5:M5"/>
    <mergeCell ref="P5:S5"/>
    <mergeCell ref="B6:H6"/>
    <mergeCell ref="I6:S6"/>
    <mergeCell ref="C7:H7"/>
    <mergeCell ref="I7:K7"/>
    <mergeCell ref="L7:O7"/>
    <mergeCell ref="P7:S7"/>
    <mergeCell ref="C8:D8"/>
    <mergeCell ref="E8:H8"/>
    <mergeCell ref="I8:K8"/>
    <mergeCell ref="L8:M8"/>
    <mergeCell ref="N8:O8"/>
    <mergeCell ref="P8:Q8"/>
    <mergeCell ref="R8:S8"/>
    <mergeCell ref="E9:H9"/>
    <mergeCell ref="I9:K9"/>
    <mergeCell ref="L9:M9"/>
    <mergeCell ref="N9:O9"/>
    <mergeCell ref="P9:Q9"/>
    <mergeCell ref="R9:S9"/>
    <mergeCell ref="E10:H10"/>
    <mergeCell ref="I10:K10"/>
    <mergeCell ref="L10:M10"/>
    <mergeCell ref="N10:O10"/>
    <mergeCell ref="P10:Q10"/>
    <mergeCell ref="R10:S10"/>
    <mergeCell ref="E11:H11"/>
    <mergeCell ref="I11:K11"/>
    <mergeCell ref="L11:M11"/>
    <mergeCell ref="N11:O11"/>
    <mergeCell ref="P11:Q11"/>
    <mergeCell ref="R11:S11"/>
    <mergeCell ref="E12:H12"/>
    <mergeCell ref="I12:K12"/>
    <mergeCell ref="L12:M12"/>
    <mergeCell ref="N12:O12"/>
    <mergeCell ref="P12:Q12"/>
    <mergeCell ref="R12:S12"/>
    <mergeCell ref="E13:H13"/>
    <mergeCell ref="I13:K13"/>
    <mergeCell ref="L13:M13"/>
    <mergeCell ref="N13:O13"/>
    <mergeCell ref="P13:Q13"/>
    <mergeCell ref="R13:S13"/>
    <mergeCell ref="E14:H14"/>
    <mergeCell ref="I14:K14"/>
    <mergeCell ref="L14:M14"/>
    <mergeCell ref="N14:O14"/>
    <mergeCell ref="P14:Q14"/>
    <mergeCell ref="R14:S14"/>
    <mergeCell ref="E15:H15"/>
    <mergeCell ref="I15:K15"/>
    <mergeCell ref="L15:M15"/>
    <mergeCell ref="N15:O15"/>
    <mergeCell ref="P15:Q15"/>
    <mergeCell ref="R15:S15"/>
    <mergeCell ref="E16:H16"/>
    <mergeCell ref="I16:K16"/>
    <mergeCell ref="L16:M16"/>
    <mergeCell ref="N16:O16"/>
    <mergeCell ref="P16:Q16"/>
    <mergeCell ref="R16:S16"/>
    <mergeCell ref="E17:H17"/>
    <mergeCell ref="I17:K17"/>
    <mergeCell ref="L17:M17"/>
    <mergeCell ref="N17:O17"/>
    <mergeCell ref="P17:Q17"/>
    <mergeCell ref="R17:S17"/>
    <mergeCell ref="E18:H18"/>
    <mergeCell ref="I18:K18"/>
    <mergeCell ref="L18:M18"/>
    <mergeCell ref="N18:O18"/>
    <mergeCell ref="P18:Q18"/>
    <mergeCell ref="R18:S18"/>
    <mergeCell ref="B19:D19"/>
    <mergeCell ref="E19:H19"/>
    <mergeCell ref="I19:K19"/>
    <mergeCell ref="L19:S19"/>
    <mergeCell ref="I20:S20"/>
    <mergeCell ref="I21:S21"/>
    <mergeCell ref="I22:S22"/>
    <mergeCell ref="I23:J23"/>
    <mergeCell ref="K23:N23"/>
    <mergeCell ref="O23:Q23"/>
    <mergeCell ref="B26:D26"/>
    <mergeCell ref="E26:H26"/>
    <mergeCell ref="M26:N26"/>
    <mergeCell ref="P26:Q26"/>
    <mergeCell ref="R26:S26"/>
    <mergeCell ref="B27:D27"/>
    <mergeCell ref="E27:H27"/>
    <mergeCell ref="M27:N27"/>
    <mergeCell ref="P27:Q27"/>
    <mergeCell ref="R27:S27"/>
    <mergeCell ref="B28:D28"/>
    <mergeCell ref="E28:H28"/>
    <mergeCell ref="M28:N28"/>
    <mergeCell ref="P28:Q28"/>
    <mergeCell ref="R28:S28"/>
    <mergeCell ref="B29:D29"/>
    <mergeCell ref="E29:H29"/>
    <mergeCell ref="M29:N29"/>
    <mergeCell ref="P29:Q29"/>
    <mergeCell ref="R29:S29"/>
    <mergeCell ref="B30:D30"/>
    <mergeCell ref="E30:H30"/>
    <mergeCell ref="M30:N30"/>
    <mergeCell ref="P30:Q30"/>
    <mergeCell ref="R30:S30"/>
    <mergeCell ref="B31:D31"/>
    <mergeCell ref="E31:H31"/>
    <mergeCell ref="M31:N31"/>
    <mergeCell ref="P31:Q31"/>
    <mergeCell ref="R31:S31"/>
    <mergeCell ref="B32:D32"/>
    <mergeCell ref="E32:H32"/>
    <mergeCell ref="M32:N32"/>
    <mergeCell ref="P32:Q32"/>
    <mergeCell ref="R32:S32"/>
    <mergeCell ref="E33:O33"/>
    <mergeCell ref="P33:S33"/>
    <mergeCell ref="E34:O34"/>
    <mergeCell ref="P34:S34"/>
    <mergeCell ref="E35:O35"/>
    <mergeCell ref="P35:S35"/>
    <mergeCell ref="E36:O36"/>
    <mergeCell ref="P36:S36"/>
    <mergeCell ref="E37:O37"/>
    <mergeCell ref="P37:S37"/>
    <mergeCell ref="E38:O38"/>
    <mergeCell ref="P38:S38"/>
    <mergeCell ref="E39:O39"/>
    <mergeCell ref="P39:S39"/>
    <mergeCell ref="B40:D40"/>
    <mergeCell ref="E40:G40"/>
    <mergeCell ref="H40:I40"/>
    <mergeCell ref="J40:O40"/>
    <mergeCell ref="P40:Q40"/>
    <mergeCell ref="R40:S40"/>
    <mergeCell ref="E41:G41"/>
    <mergeCell ref="H41:I41"/>
    <mergeCell ref="J41:O41"/>
    <mergeCell ref="P41:Q41"/>
    <mergeCell ref="R41:S41"/>
    <mergeCell ref="H42:I42"/>
    <mergeCell ref="J42:O42"/>
    <mergeCell ref="P42:Q42"/>
    <mergeCell ref="R42:S42"/>
    <mergeCell ref="H43:I43"/>
    <mergeCell ref="J43:O43"/>
    <mergeCell ref="P43:Q43"/>
    <mergeCell ref="R43:S43"/>
    <mergeCell ref="H44:I44"/>
    <mergeCell ref="J44:O44"/>
    <mergeCell ref="P44:Q44"/>
    <mergeCell ref="R44:S44"/>
    <mergeCell ref="H45:I45"/>
    <mergeCell ref="J45:O45"/>
    <mergeCell ref="P45:Q45"/>
    <mergeCell ref="R45:S45"/>
    <mergeCell ref="H46:I46"/>
    <mergeCell ref="J46:O46"/>
    <mergeCell ref="P46:Q46"/>
    <mergeCell ref="R46:S46"/>
    <mergeCell ref="H47:I47"/>
    <mergeCell ref="J47:O47"/>
    <mergeCell ref="P47:Q47"/>
    <mergeCell ref="R47:S47"/>
    <mergeCell ref="H48:I48"/>
    <mergeCell ref="J48:O48"/>
    <mergeCell ref="P48:Q48"/>
    <mergeCell ref="R48:S48"/>
    <mergeCell ref="H49:I49"/>
    <mergeCell ref="J49:O49"/>
    <mergeCell ref="P49:Q49"/>
    <mergeCell ref="R49:S49"/>
    <mergeCell ref="E50:G50"/>
    <mergeCell ref="H50:I50"/>
    <mergeCell ref="J50:O50"/>
    <mergeCell ref="P50:Q50"/>
    <mergeCell ref="R50:S50"/>
    <mergeCell ref="E51:G51"/>
    <mergeCell ref="H51:I51"/>
    <mergeCell ref="J51:O51"/>
    <mergeCell ref="P51:Q51"/>
    <mergeCell ref="R51:S51"/>
    <mergeCell ref="E52:G52"/>
    <mergeCell ref="H52:I52"/>
    <mergeCell ref="J52:O52"/>
    <mergeCell ref="P52:Q52"/>
    <mergeCell ref="R52:S52"/>
    <mergeCell ref="E53:G53"/>
    <mergeCell ref="H53:I53"/>
    <mergeCell ref="J53:O53"/>
    <mergeCell ref="P53:Q53"/>
    <mergeCell ref="R53:S53"/>
    <mergeCell ref="E54:G54"/>
    <mergeCell ref="H54:I54"/>
    <mergeCell ref="J54:O54"/>
    <mergeCell ref="P54:Q54"/>
    <mergeCell ref="R54:S54"/>
    <mergeCell ref="E55:G55"/>
    <mergeCell ref="H55:I55"/>
    <mergeCell ref="J55:O55"/>
    <mergeCell ref="P55:Q55"/>
    <mergeCell ref="R55:S55"/>
    <mergeCell ref="E56:G56"/>
    <mergeCell ref="H56:I56"/>
    <mergeCell ref="J56:O56"/>
    <mergeCell ref="P56:Q56"/>
    <mergeCell ref="R56:S56"/>
    <mergeCell ref="B57:O57"/>
    <mergeCell ref="P57:Q57"/>
    <mergeCell ref="R57:S57"/>
    <mergeCell ref="C58:S58"/>
    <mergeCell ref="C59:D59"/>
    <mergeCell ref="E59:N59"/>
    <mergeCell ref="P59:Q59"/>
    <mergeCell ref="R59:S59"/>
    <mergeCell ref="C60:D60"/>
    <mergeCell ref="E60:N60"/>
    <mergeCell ref="P60:Q60"/>
    <mergeCell ref="R60:S60"/>
    <mergeCell ref="C61:D61"/>
    <mergeCell ref="E61:N61"/>
    <mergeCell ref="P61:Q61"/>
    <mergeCell ref="R61:S61"/>
    <mergeCell ref="C62:D62"/>
    <mergeCell ref="E62:N62"/>
    <mergeCell ref="P62:Q62"/>
    <mergeCell ref="R62:S62"/>
    <mergeCell ref="C63:D63"/>
    <mergeCell ref="E63:N63"/>
    <mergeCell ref="P63:Q63"/>
    <mergeCell ref="R63:S63"/>
    <mergeCell ref="C64:D64"/>
    <mergeCell ref="E64:N64"/>
    <mergeCell ref="P64:Q64"/>
    <mergeCell ref="R64:S64"/>
    <mergeCell ref="C65:S65"/>
    <mergeCell ref="C66:S66"/>
    <mergeCell ref="C67:S67"/>
    <mergeCell ref="C68:S68"/>
    <mergeCell ref="C69:S69"/>
    <mergeCell ref="C70:S70"/>
    <mergeCell ref="C74:S74"/>
    <mergeCell ref="A3:A21"/>
    <mergeCell ref="A22:A39"/>
    <mergeCell ref="A40:A45"/>
    <mergeCell ref="A46:A58"/>
    <mergeCell ref="A59:A74"/>
    <mergeCell ref="B7:B18"/>
    <mergeCell ref="B59:B66"/>
    <mergeCell ref="B67:B70"/>
    <mergeCell ref="B71:B74"/>
    <mergeCell ref="I24:I25"/>
    <mergeCell ref="J24:J25"/>
    <mergeCell ref="K24:K25"/>
    <mergeCell ref="L24:L25"/>
    <mergeCell ref="O24:O25"/>
    <mergeCell ref="T40:T45"/>
    <mergeCell ref="U14:U17"/>
    <mergeCell ref="B4:H5"/>
    <mergeCell ref="I4:J5"/>
    <mergeCell ref="N4:O5"/>
    <mergeCell ref="C9:D11"/>
    <mergeCell ref="C12:D13"/>
    <mergeCell ref="C14:D18"/>
    <mergeCell ref="B20:H21"/>
    <mergeCell ref="B22:D25"/>
    <mergeCell ref="E22:H25"/>
    <mergeCell ref="R23:S25"/>
    <mergeCell ref="M24:N25"/>
    <mergeCell ref="P24:Q25"/>
    <mergeCell ref="B33:C39"/>
    <mergeCell ref="B41:D45"/>
    <mergeCell ref="E42:G43"/>
    <mergeCell ref="E44:G45"/>
    <mergeCell ref="B46:D49"/>
    <mergeCell ref="E46:G47"/>
    <mergeCell ref="E48:G49"/>
    <mergeCell ref="B50:D56"/>
  </mergeCells>
  <pageMargins left="0.579166666666667" right="0.238888888888889" top="0.979166666666667" bottom="0.979166666666667" header="0.509027777777778" footer="0.509027777777778"/>
  <pageSetup paperSize="9" scale="80" orientation="portrait" horizontalDpi="600" verticalDpi="600"/>
  <headerFooter alignWithMargins="0"/>
  <rowBreaks count="2" manualBreakCount="2">
    <brk id="32" max="18" man="1"/>
    <brk id="61" max="18"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72"/>
  <sheetViews>
    <sheetView topLeftCell="A10" workbookViewId="0">
      <selection activeCell="W21" sqref="W21"/>
    </sheetView>
  </sheetViews>
  <sheetFormatPr defaultColWidth="9" defaultRowHeight="12"/>
  <cols>
    <col min="1" max="1" width="4.5" style="458" customWidth="1"/>
    <col min="2" max="2" width="6.875" style="458" customWidth="1"/>
    <col min="3" max="3" width="6.5" style="458" customWidth="1"/>
    <col min="4" max="4" width="4.75" style="458" customWidth="1"/>
    <col min="5" max="6" width="4.625" style="458" customWidth="1"/>
    <col min="7" max="7" width="4.375" style="458" customWidth="1"/>
    <col min="8" max="8" width="5.25" style="458" customWidth="1"/>
    <col min="9" max="9" width="8.625" style="458" customWidth="1"/>
    <col min="10" max="10" width="4.5" style="458" customWidth="1"/>
    <col min="11" max="11" width="4.375" style="458" customWidth="1"/>
    <col min="12" max="12" width="8.5" style="458" customWidth="1"/>
    <col min="13" max="13" width="4.75" style="458" customWidth="1"/>
    <col min="14" max="14" width="5.625" style="458" customWidth="1"/>
    <col min="15" max="15" width="7.625" style="458" customWidth="1"/>
    <col min="16" max="16" width="4.25" style="458" customWidth="1"/>
    <col min="17" max="17" width="4.625" style="458" customWidth="1"/>
    <col min="18" max="18" width="4.375" style="458" customWidth="1"/>
    <col min="19" max="19" width="4.5" style="458" customWidth="1"/>
    <col min="20" max="20" width="1.375" style="340" customWidth="1"/>
    <col min="21" max="21" width="9" style="458" hidden="1" customWidth="1"/>
    <col min="22" max="16384" width="9" style="458"/>
  </cols>
  <sheetData>
    <row r="1" ht="26.25" customHeight="1" spans="1:19">
      <c r="A1" s="305"/>
      <c r="B1" s="305"/>
      <c r="C1" s="306"/>
      <c r="D1" s="306"/>
      <c r="E1" s="306"/>
      <c r="F1" s="306"/>
      <c r="G1" s="306"/>
      <c r="H1" s="306"/>
      <c r="I1" s="306"/>
      <c r="J1" s="306"/>
      <c r="K1" s="306"/>
      <c r="L1" s="306"/>
      <c r="M1" s="306"/>
      <c r="N1" s="306"/>
      <c r="O1" s="306"/>
      <c r="P1" s="306"/>
      <c r="Q1" s="306"/>
      <c r="R1" s="306"/>
      <c r="S1" s="306"/>
    </row>
    <row r="2" ht="43.15" customHeight="1" spans="1:19">
      <c r="A2" s="307" t="s">
        <v>278</v>
      </c>
      <c r="B2" s="307"/>
      <c r="C2" s="307"/>
      <c r="D2" s="307"/>
      <c r="E2" s="307"/>
      <c r="F2" s="307"/>
      <c r="G2" s="307"/>
      <c r="H2" s="307"/>
      <c r="I2" s="307"/>
      <c r="J2" s="307"/>
      <c r="K2" s="307"/>
      <c r="L2" s="307"/>
      <c r="M2" s="307"/>
      <c r="N2" s="307"/>
      <c r="O2" s="307"/>
      <c r="P2" s="307"/>
      <c r="Q2" s="307"/>
      <c r="R2" s="307"/>
      <c r="S2" s="307"/>
    </row>
    <row r="3" ht="24.75" customHeight="1" spans="1:19">
      <c r="A3" s="308" t="s">
        <v>1</v>
      </c>
      <c r="B3" s="309" t="s">
        <v>2</v>
      </c>
      <c r="C3" s="310"/>
      <c r="D3" s="310"/>
      <c r="E3" s="311" t="s">
        <v>279</v>
      </c>
      <c r="F3" s="311"/>
      <c r="G3" s="311"/>
      <c r="H3" s="311"/>
      <c r="I3" s="311"/>
      <c r="J3" s="311"/>
      <c r="K3" s="311"/>
      <c r="L3" s="311"/>
      <c r="M3" s="311"/>
      <c r="N3" s="311"/>
      <c r="O3" s="311"/>
      <c r="P3" s="311"/>
      <c r="Q3" s="311"/>
      <c r="R3" s="311"/>
      <c r="S3" s="447"/>
    </row>
    <row r="4" s="536" customFormat="1" ht="19.5" customHeight="1" spans="1:20">
      <c r="A4" s="312"/>
      <c r="B4" s="313" t="s">
        <v>4</v>
      </c>
      <c r="C4" s="314"/>
      <c r="D4" s="314"/>
      <c r="E4" s="314"/>
      <c r="F4" s="314"/>
      <c r="G4" s="314"/>
      <c r="H4" s="315"/>
      <c r="I4" s="412" t="s">
        <v>5</v>
      </c>
      <c r="J4" s="315"/>
      <c r="K4" s="413" t="s">
        <v>176</v>
      </c>
      <c r="L4" s="414"/>
      <c r="M4" s="415"/>
      <c r="N4" s="412" t="s">
        <v>7</v>
      </c>
      <c r="O4" s="315"/>
      <c r="P4" s="413" t="s">
        <v>280</v>
      </c>
      <c r="Q4" s="414"/>
      <c r="R4" s="414"/>
      <c r="S4" s="448"/>
      <c r="T4" s="554"/>
    </row>
    <row r="5" s="536" customFormat="1" ht="21" customHeight="1" spans="1:20">
      <c r="A5" s="312"/>
      <c r="B5" s="316"/>
      <c r="C5" s="317"/>
      <c r="D5" s="317"/>
      <c r="E5" s="317"/>
      <c r="F5" s="317"/>
      <c r="G5" s="317"/>
      <c r="H5" s="318"/>
      <c r="I5" s="416"/>
      <c r="J5" s="318"/>
      <c r="K5" s="413" t="s">
        <v>178</v>
      </c>
      <c r="L5" s="414"/>
      <c r="M5" s="415"/>
      <c r="N5" s="416"/>
      <c r="O5" s="318"/>
      <c r="P5" s="413" t="s">
        <v>281</v>
      </c>
      <c r="Q5" s="414"/>
      <c r="R5" s="414"/>
      <c r="S5" s="448"/>
      <c r="T5" s="554"/>
    </row>
    <row r="6" s="536" customFormat="1" ht="20.25" customHeight="1" spans="1:20">
      <c r="A6" s="312"/>
      <c r="B6" s="319" t="s">
        <v>11</v>
      </c>
      <c r="C6" s="320"/>
      <c r="D6" s="320"/>
      <c r="E6" s="320"/>
      <c r="F6" s="320"/>
      <c r="G6" s="320"/>
      <c r="H6" s="321"/>
      <c r="I6" s="543" t="s">
        <v>282</v>
      </c>
      <c r="J6" s="320"/>
      <c r="K6" s="320"/>
      <c r="L6" s="320"/>
      <c r="M6" s="320"/>
      <c r="N6" s="320"/>
      <c r="O6" s="320"/>
      <c r="P6" s="320"/>
      <c r="Q6" s="320"/>
      <c r="R6" s="320"/>
      <c r="S6" s="450"/>
      <c r="T6" s="554"/>
    </row>
    <row r="7" ht="33.6" customHeight="1" spans="1:19">
      <c r="A7" s="312"/>
      <c r="B7" s="322" t="s">
        <v>13</v>
      </c>
      <c r="C7" s="323" t="s">
        <v>14</v>
      </c>
      <c r="D7" s="323"/>
      <c r="E7" s="323"/>
      <c r="F7" s="323"/>
      <c r="G7" s="323"/>
      <c r="H7" s="323"/>
      <c r="I7" s="354"/>
      <c r="J7" s="354"/>
      <c r="K7" s="354"/>
      <c r="L7" s="323" t="s">
        <v>16</v>
      </c>
      <c r="M7" s="323"/>
      <c r="N7" s="323"/>
      <c r="O7" s="323"/>
      <c r="P7" s="320">
        <v>1</v>
      </c>
      <c r="Q7" s="320"/>
      <c r="R7" s="320"/>
      <c r="S7" s="450"/>
    </row>
    <row r="8" ht="45.75" customHeight="1" spans="1:19">
      <c r="A8" s="312"/>
      <c r="B8" s="324"/>
      <c r="C8" s="323" t="s">
        <v>17</v>
      </c>
      <c r="D8" s="323"/>
      <c r="E8" s="323" t="s">
        <v>18</v>
      </c>
      <c r="F8" s="323"/>
      <c r="G8" s="323"/>
      <c r="H8" s="323"/>
      <c r="I8" s="323" t="s">
        <v>19</v>
      </c>
      <c r="J8" s="323"/>
      <c r="K8" s="323"/>
      <c r="L8" s="323" t="s">
        <v>20</v>
      </c>
      <c r="M8" s="323"/>
      <c r="N8" s="323" t="s">
        <v>21</v>
      </c>
      <c r="O8" s="323"/>
      <c r="P8" s="326" t="s">
        <v>22</v>
      </c>
      <c r="Q8" s="321"/>
      <c r="R8" s="320" t="s">
        <v>23</v>
      </c>
      <c r="S8" s="450"/>
    </row>
    <row r="9" ht="28.5" customHeight="1" spans="1:19">
      <c r="A9" s="312"/>
      <c r="B9" s="324"/>
      <c r="C9" s="323" t="s">
        <v>24</v>
      </c>
      <c r="D9" s="323"/>
      <c r="E9" s="323" t="s">
        <v>25</v>
      </c>
      <c r="F9" s="323"/>
      <c r="G9" s="323"/>
      <c r="H9" s="323"/>
      <c r="I9" s="417" t="s">
        <v>26</v>
      </c>
      <c r="J9" s="418"/>
      <c r="K9" s="419"/>
      <c r="L9" s="420" t="s">
        <v>283</v>
      </c>
      <c r="M9" s="420"/>
      <c r="N9" s="420" t="s">
        <v>283</v>
      </c>
      <c r="O9" s="420"/>
      <c r="P9" s="326" t="s">
        <v>283</v>
      </c>
      <c r="Q9" s="321"/>
      <c r="R9" s="555">
        <v>1</v>
      </c>
      <c r="S9" s="450"/>
    </row>
    <row r="10" ht="68.25" customHeight="1" spans="1:19">
      <c r="A10" s="312"/>
      <c r="B10" s="324"/>
      <c r="C10" s="323"/>
      <c r="D10" s="323"/>
      <c r="E10" s="323" t="s">
        <v>28</v>
      </c>
      <c r="F10" s="323" t="s">
        <v>28</v>
      </c>
      <c r="G10" s="323"/>
      <c r="H10" s="323"/>
      <c r="I10" s="417" t="s">
        <v>29</v>
      </c>
      <c r="J10" s="418"/>
      <c r="K10" s="419"/>
      <c r="L10" s="420" t="s">
        <v>284</v>
      </c>
      <c r="M10" s="420"/>
      <c r="N10" s="420" t="s">
        <v>285</v>
      </c>
      <c r="O10" s="420"/>
      <c r="P10" s="326" t="s">
        <v>286</v>
      </c>
      <c r="Q10" s="321"/>
      <c r="R10" s="556">
        <f>1864/1800</f>
        <v>1.03555555555556</v>
      </c>
      <c r="S10" s="557"/>
    </row>
    <row r="11" ht="28.5" customHeight="1" spans="1:19">
      <c r="A11" s="312"/>
      <c r="B11" s="324"/>
      <c r="C11" s="323"/>
      <c r="D11" s="323"/>
      <c r="E11" s="323" t="s">
        <v>31</v>
      </c>
      <c r="F11" s="323" t="s">
        <v>31</v>
      </c>
      <c r="G11" s="323"/>
      <c r="H11" s="323"/>
      <c r="I11" s="544" t="s">
        <v>287</v>
      </c>
      <c r="J11" s="418"/>
      <c r="K11" s="419"/>
      <c r="L11" s="544" t="s">
        <v>287</v>
      </c>
      <c r="M11" s="418"/>
      <c r="N11" s="544" t="s">
        <v>287</v>
      </c>
      <c r="O11" s="418"/>
      <c r="P11" s="543" t="s">
        <v>287</v>
      </c>
      <c r="Q11" s="321"/>
      <c r="R11" s="558" t="s">
        <v>287</v>
      </c>
      <c r="S11" s="450"/>
    </row>
    <row r="12" ht="28.5" customHeight="1" spans="1:19">
      <c r="A12" s="312"/>
      <c r="B12" s="324"/>
      <c r="C12" s="323" t="s">
        <v>32</v>
      </c>
      <c r="D12" s="323"/>
      <c r="E12" s="323" t="s">
        <v>33</v>
      </c>
      <c r="F12" s="323" t="s">
        <v>33</v>
      </c>
      <c r="G12" s="323"/>
      <c r="H12" s="323"/>
      <c r="I12" s="417" t="s">
        <v>288</v>
      </c>
      <c r="J12" s="418"/>
      <c r="K12" s="419"/>
      <c r="L12" s="417">
        <v>710</v>
      </c>
      <c r="M12" s="418"/>
      <c r="N12" s="417">
        <v>710</v>
      </c>
      <c r="O12" s="418"/>
      <c r="P12" s="326">
        <v>711</v>
      </c>
      <c r="Q12" s="321"/>
      <c r="R12" s="556">
        <f>711/710</f>
        <v>1.00140845070423</v>
      </c>
      <c r="S12" s="557"/>
    </row>
    <row r="13" ht="28.5" customHeight="1" spans="1:19">
      <c r="A13" s="312"/>
      <c r="B13" s="324"/>
      <c r="C13" s="323"/>
      <c r="D13" s="323"/>
      <c r="E13" s="323" t="s">
        <v>37</v>
      </c>
      <c r="F13" s="323" t="s">
        <v>37</v>
      </c>
      <c r="G13" s="323"/>
      <c r="H13" s="323"/>
      <c r="I13" s="417" t="s">
        <v>289</v>
      </c>
      <c r="J13" s="418"/>
      <c r="K13" s="419"/>
      <c r="L13" s="417" t="s">
        <v>290</v>
      </c>
      <c r="M13" s="418"/>
      <c r="N13" s="417" t="s">
        <v>290</v>
      </c>
      <c r="O13" s="418"/>
      <c r="P13" s="326" t="s">
        <v>290</v>
      </c>
      <c r="Q13" s="321"/>
      <c r="R13" s="555">
        <v>1</v>
      </c>
      <c r="S13" s="450"/>
    </row>
    <row r="14" ht="28.5" customHeight="1" spans="1:21">
      <c r="A14" s="312"/>
      <c r="B14" s="324"/>
      <c r="C14" s="323" t="s">
        <v>40</v>
      </c>
      <c r="D14" s="323"/>
      <c r="E14" s="323" t="s">
        <v>41</v>
      </c>
      <c r="F14" s="323" t="s">
        <v>41</v>
      </c>
      <c r="G14" s="323"/>
      <c r="H14" s="323"/>
      <c r="I14" s="423" t="s">
        <v>15</v>
      </c>
      <c r="J14" s="423"/>
      <c r="K14" s="423"/>
      <c r="L14" s="323" t="s">
        <v>15</v>
      </c>
      <c r="M14" s="323"/>
      <c r="N14" s="323" t="s">
        <v>15</v>
      </c>
      <c r="O14" s="323"/>
      <c r="P14" s="326" t="s">
        <v>15</v>
      </c>
      <c r="Q14" s="321"/>
      <c r="R14" s="422" t="s">
        <v>15</v>
      </c>
      <c r="S14" s="321"/>
      <c r="U14" s="559" t="s">
        <v>248</v>
      </c>
    </row>
    <row r="15" ht="28.5" customHeight="1" spans="1:21">
      <c r="A15" s="312"/>
      <c r="B15" s="324"/>
      <c r="C15" s="323"/>
      <c r="D15" s="323"/>
      <c r="E15" s="323" t="s">
        <v>42</v>
      </c>
      <c r="F15" s="323" t="s">
        <v>42</v>
      </c>
      <c r="G15" s="323"/>
      <c r="H15" s="323"/>
      <c r="I15" s="423" t="s">
        <v>291</v>
      </c>
      <c r="J15" s="423"/>
      <c r="K15" s="423"/>
      <c r="L15" s="323" t="s">
        <v>292</v>
      </c>
      <c r="M15" s="323"/>
      <c r="N15" s="323" t="s">
        <v>293</v>
      </c>
      <c r="O15" s="323"/>
      <c r="P15" s="323" t="s">
        <v>293</v>
      </c>
      <c r="Q15" s="323"/>
      <c r="R15" s="560">
        <v>1</v>
      </c>
      <c r="S15" s="323"/>
      <c r="U15" s="559"/>
    </row>
    <row r="16" ht="28.5" customHeight="1" spans="1:21">
      <c r="A16" s="312"/>
      <c r="B16" s="324"/>
      <c r="C16" s="323"/>
      <c r="D16" s="323"/>
      <c r="E16" s="323" t="s">
        <v>46</v>
      </c>
      <c r="F16" s="323" t="s">
        <v>46</v>
      </c>
      <c r="G16" s="323"/>
      <c r="H16" s="323"/>
      <c r="I16" s="423" t="s">
        <v>294</v>
      </c>
      <c r="J16" s="423"/>
      <c r="K16" s="423"/>
      <c r="L16" s="323" t="s">
        <v>295</v>
      </c>
      <c r="M16" s="323"/>
      <c r="N16" s="323" t="s">
        <v>296</v>
      </c>
      <c r="O16" s="323"/>
      <c r="P16" s="326" t="s">
        <v>296</v>
      </c>
      <c r="Q16" s="321"/>
      <c r="R16" s="555">
        <v>1</v>
      </c>
      <c r="S16" s="450"/>
      <c r="U16" s="559"/>
    </row>
    <row r="17" ht="28.5" customHeight="1" spans="1:21">
      <c r="A17" s="312"/>
      <c r="B17" s="324"/>
      <c r="C17" s="323"/>
      <c r="D17" s="323"/>
      <c r="E17" s="323" t="s">
        <v>50</v>
      </c>
      <c r="F17" s="323" t="s">
        <v>50</v>
      </c>
      <c r="G17" s="323"/>
      <c r="H17" s="323"/>
      <c r="I17" s="544" t="s">
        <v>287</v>
      </c>
      <c r="J17" s="418"/>
      <c r="K17" s="419"/>
      <c r="L17" s="544" t="s">
        <v>287</v>
      </c>
      <c r="M17" s="418"/>
      <c r="N17" s="544" t="s">
        <v>287</v>
      </c>
      <c r="O17" s="418"/>
      <c r="P17" s="543" t="s">
        <v>287</v>
      </c>
      <c r="Q17" s="321"/>
      <c r="R17" s="558" t="s">
        <v>287</v>
      </c>
      <c r="S17" s="450"/>
      <c r="U17" s="559"/>
    </row>
    <row r="18" ht="36" customHeight="1" spans="1:19">
      <c r="A18" s="312"/>
      <c r="B18" s="325"/>
      <c r="C18" s="323"/>
      <c r="D18" s="323"/>
      <c r="E18" s="323" t="s">
        <v>51</v>
      </c>
      <c r="F18" s="323" t="s">
        <v>52</v>
      </c>
      <c r="G18" s="323"/>
      <c r="H18" s="323"/>
      <c r="I18" s="420" t="s">
        <v>255</v>
      </c>
      <c r="J18" s="420"/>
      <c r="K18" s="420"/>
      <c r="L18" s="420" t="s">
        <v>297</v>
      </c>
      <c r="M18" s="420"/>
      <c r="N18" s="420" t="s">
        <v>54</v>
      </c>
      <c r="O18" s="420"/>
      <c r="P18" s="420" t="s">
        <v>54</v>
      </c>
      <c r="Q18" s="420"/>
      <c r="R18" s="561">
        <v>1</v>
      </c>
      <c r="S18" s="452"/>
    </row>
    <row r="19" ht="36" customHeight="1" spans="1:19">
      <c r="A19" s="312"/>
      <c r="B19" s="319" t="s">
        <v>55</v>
      </c>
      <c r="C19" s="320"/>
      <c r="D19" s="321"/>
      <c r="E19" s="326" t="s">
        <v>298</v>
      </c>
      <c r="F19" s="320"/>
      <c r="G19" s="320"/>
      <c r="H19" s="320"/>
      <c r="I19" s="326" t="s">
        <v>56</v>
      </c>
      <c r="J19" s="320"/>
      <c r="K19" s="321"/>
      <c r="L19" s="543" t="s">
        <v>287</v>
      </c>
      <c r="M19" s="320"/>
      <c r="N19" s="320"/>
      <c r="O19" s="320"/>
      <c r="P19" s="320"/>
      <c r="Q19" s="320"/>
      <c r="R19" s="320"/>
      <c r="S19" s="450"/>
    </row>
    <row r="20" ht="23.25" customHeight="1" spans="1:19">
      <c r="A20" s="312"/>
      <c r="B20" s="327" t="s">
        <v>58</v>
      </c>
      <c r="C20" s="328"/>
      <c r="D20" s="328"/>
      <c r="E20" s="328"/>
      <c r="F20" s="328"/>
      <c r="G20" s="328"/>
      <c r="H20" s="328"/>
      <c r="I20" s="350" t="s">
        <v>299</v>
      </c>
      <c r="J20" s="350"/>
      <c r="K20" s="350"/>
      <c r="L20" s="350"/>
      <c r="M20" s="350"/>
      <c r="N20" s="350"/>
      <c r="O20" s="350"/>
      <c r="P20" s="350"/>
      <c r="Q20" s="350"/>
      <c r="R20" s="350"/>
      <c r="S20" s="453"/>
    </row>
    <row r="21" ht="23.25" customHeight="1" spans="1:19">
      <c r="A21" s="329"/>
      <c r="B21" s="330"/>
      <c r="C21" s="331"/>
      <c r="D21" s="331"/>
      <c r="E21" s="331"/>
      <c r="F21" s="331"/>
      <c r="G21" s="331"/>
      <c r="H21" s="331"/>
      <c r="I21" s="385" t="s">
        <v>300</v>
      </c>
      <c r="J21" s="385"/>
      <c r="K21" s="385"/>
      <c r="L21" s="385"/>
      <c r="M21" s="385"/>
      <c r="N21" s="385"/>
      <c r="O21" s="385"/>
      <c r="P21" s="385"/>
      <c r="Q21" s="385"/>
      <c r="R21" s="385"/>
      <c r="S21" s="454"/>
    </row>
    <row r="22" spans="1:19">
      <c r="A22" s="332" t="s">
        <v>61</v>
      </c>
      <c r="B22" s="333"/>
      <c r="C22" s="333"/>
      <c r="D22" s="333"/>
      <c r="E22" s="334" t="s">
        <v>62</v>
      </c>
      <c r="F22" s="335"/>
      <c r="G22" s="335"/>
      <c r="H22" s="336"/>
      <c r="I22" s="425" t="s">
        <v>63</v>
      </c>
      <c r="J22" s="425"/>
      <c r="K22" s="425"/>
      <c r="L22" s="425"/>
      <c r="M22" s="425"/>
      <c r="N22" s="425"/>
      <c r="O22" s="425"/>
      <c r="P22" s="425"/>
      <c r="Q22" s="425"/>
      <c r="R22" s="425"/>
      <c r="S22" s="455"/>
    </row>
    <row r="23" ht="12.75" customHeight="1" spans="1:19">
      <c r="A23" s="337"/>
      <c r="B23" s="338"/>
      <c r="C23" s="338"/>
      <c r="D23" s="338"/>
      <c r="E23" s="339"/>
      <c r="F23" s="340"/>
      <c r="G23" s="340"/>
      <c r="H23" s="341"/>
      <c r="I23" s="355" t="s">
        <v>64</v>
      </c>
      <c r="J23" s="355"/>
      <c r="K23" s="354" t="s">
        <v>65</v>
      </c>
      <c r="L23" s="354"/>
      <c r="M23" s="354"/>
      <c r="N23" s="354"/>
      <c r="O23" s="354" t="s">
        <v>66</v>
      </c>
      <c r="P23" s="354"/>
      <c r="Q23" s="354"/>
      <c r="R23" s="354" t="s">
        <v>67</v>
      </c>
      <c r="S23" s="456"/>
    </row>
    <row r="24" s="537" customFormat="1" ht="36" customHeight="1" spans="1:21">
      <c r="A24" s="342"/>
      <c r="B24" s="338"/>
      <c r="C24" s="338"/>
      <c r="D24" s="338"/>
      <c r="E24" s="339"/>
      <c r="F24" s="340"/>
      <c r="G24" s="340"/>
      <c r="H24" s="341"/>
      <c r="I24" s="354" t="s">
        <v>68</v>
      </c>
      <c r="J24" s="354" t="s">
        <v>69</v>
      </c>
      <c r="K24" s="354" t="s">
        <v>301</v>
      </c>
      <c r="L24" s="354" t="s">
        <v>71</v>
      </c>
      <c r="M24" s="354" t="s">
        <v>72</v>
      </c>
      <c r="N24" s="354"/>
      <c r="O24" s="354" t="s">
        <v>73</v>
      </c>
      <c r="P24" s="354" t="s">
        <v>74</v>
      </c>
      <c r="Q24" s="426"/>
      <c r="R24" s="354"/>
      <c r="S24" s="456"/>
      <c r="T24" s="340"/>
      <c r="U24" s="340"/>
    </row>
    <row r="25" s="537" customFormat="1" spans="1:21">
      <c r="A25" s="342"/>
      <c r="B25" s="338"/>
      <c r="C25" s="338"/>
      <c r="D25" s="338"/>
      <c r="E25" s="343"/>
      <c r="F25" s="344"/>
      <c r="G25" s="344"/>
      <c r="H25" s="345"/>
      <c r="I25" s="354"/>
      <c r="J25" s="354"/>
      <c r="K25" s="354"/>
      <c r="L25" s="354"/>
      <c r="M25" s="354"/>
      <c r="N25" s="354"/>
      <c r="O25" s="354"/>
      <c r="P25" s="426"/>
      <c r="Q25" s="426"/>
      <c r="R25" s="354"/>
      <c r="S25" s="456"/>
      <c r="T25" s="340"/>
      <c r="U25" s="340"/>
    </row>
    <row r="26" ht="24" customHeight="1" spans="1:19">
      <c r="A26" s="342"/>
      <c r="B26" s="346" t="s">
        <v>75</v>
      </c>
      <c r="C26" s="346"/>
      <c r="D26" s="346"/>
      <c r="E26" s="347">
        <v>1864</v>
      </c>
      <c r="F26" s="348"/>
      <c r="G26" s="348"/>
      <c r="H26" s="349"/>
      <c r="I26" s="427">
        <v>1800</v>
      </c>
      <c r="J26" s="427"/>
      <c r="K26" s="356">
        <v>1864</v>
      </c>
      <c r="L26" s="545">
        <v>1</v>
      </c>
      <c r="M26" s="546">
        <v>43070</v>
      </c>
      <c r="N26" s="354"/>
      <c r="O26" s="338" t="s">
        <v>286</v>
      </c>
      <c r="P26" s="547">
        <v>1</v>
      </c>
      <c r="Q26" s="354"/>
      <c r="R26" s="338">
        <v>0</v>
      </c>
      <c r="S26" s="457"/>
    </row>
    <row r="27" ht="24" customHeight="1" spans="1:19">
      <c r="A27" s="342"/>
      <c r="B27" s="350" t="s">
        <v>77</v>
      </c>
      <c r="C27" s="350"/>
      <c r="D27" s="350"/>
      <c r="E27" s="347">
        <v>1864</v>
      </c>
      <c r="F27" s="348"/>
      <c r="G27" s="348"/>
      <c r="H27" s="349"/>
      <c r="I27" s="427">
        <v>1800</v>
      </c>
      <c r="J27" s="427"/>
      <c r="K27" s="356">
        <v>1864</v>
      </c>
      <c r="L27" s="545">
        <v>1</v>
      </c>
      <c r="M27" s="546">
        <v>43070</v>
      </c>
      <c r="N27" s="354"/>
      <c r="O27" s="338" t="s">
        <v>286</v>
      </c>
      <c r="P27" s="547">
        <v>1</v>
      </c>
      <c r="Q27" s="354"/>
      <c r="R27" s="338">
        <v>0</v>
      </c>
      <c r="S27" s="457"/>
    </row>
    <row r="28" ht="24" customHeight="1" spans="1:19">
      <c r="A28" s="342"/>
      <c r="B28" s="350" t="s">
        <v>78</v>
      </c>
      <c r="C28" s="350"/>
      <c r="D28" s="350"/>
      <c r="E28" s="347"/>
      <c r="F28" s="348"/>
      <c r="G28" s="348"/>
      <c r="H28" s="349"/>
      <c r="J28" s="427"/>
      <c r="K28" s="356"/>
      <c r="L28" s="356"/>
      <c r="M28" s="354"/>
      <c r="N28" s="354"/>
      <c r="O28" s="338"/>
      <c r="P28" s="354"/>
      <c r="Q28" s="354"/>
      <c r="R28" s="338"/>
      <c r="S28" s="457"/>
    </row>
    <row r="29" ht="24" customHeight="1" spans="1:19">
      <c r="A29" s="342"/>
      <c r="B29" s="350" t="s">
        <v>79</v>
      </c>
      <c r="C29" s="350"/>
      <c r="D29" s="350"/>
      <c r="E29" s="347"/>
      <c r="F29" s="348"/>
      <c r="G29" s="348"/>
      <c r="H29" s="349"/>
      <c r="I29" s="427"/>
      <c r="J29" s="427"/>
      <c r="K29" s="356"/>
      <c r="L29" s="427"/>
      <c r="M29" s="354"/>
      <c r="N29" s="354"/>
      <c r="O29" s="338"/>
      <c r="P29" s="354"/>
      <c r="Q29" s="354"/>
      <c r="R29" s="338"/>
      <c r="S29" s="457"/>
    </row>
    <row r="30" ht="24" customHeight="1" spans="1:19">
      <c r="A30" s="342"/>
      <c r="B30" s="350" t="s">
        <v>80</v>
      </c>
      <c r="C30" s="350"/>
      <c r="D30" s="350"/>
      <c r="E30" s="347">
        <v>1864</v>
      </c>
      <c r="F30" s="348"/>
      <c r="G30" s="348"/>
      <c r="H30" s="349"/>
      <c r="I30" s="427">
        <v>1800</v>
      </c>
      <c r="J30" s="427"/>
      <c r="K30" s="356">
        <v>1864</v>
      </c>
      <c r="L30" s="545">
        <v>1</v>
      </c>
      <c r="M30" s="546">
        <v>43070</v>
      </c>
      <c r="N30" s="354"/>
      <c r="O30" s="338" t="s">
        <v>286</v>
      </c>
      <c r="P30" s="547">
        <v>1</v>
      </c>
      <c r="Q30" s="354"/>
      <c r="R30" s="338">
        <v>0</v>
      </c>
      <c r="S30" s="457"/>
    </row>
    <row r="31" ht="24" customHeight="1" spans="1:19">
      <c r="A31" s="342"/>
      <c r="B31" s="350" t="s">
        <v>82</v>
      </c>
      <c r="C31" s="350"/>
      <c r="D31" s="350"/>
      <c r="E31" s="347"/>
      <c r="F31" s="348"/>
      <c r="G31" s="348"/>
      <c r="H31" s="349"/>
      <c r="I31" s="427"/>
      <c r="J31" s="427"/>
      <c r="K31" s="356"/>
      <c r="L31" s="356"/>
      <c r="M31" s="354"/>
      <c r="N31" s="354"/>
      <c r="O31" s="338"/>
      <c r="P31" s="354"/>
      <c r="Q31" s="354"/>
      <c r="R31" s="338"/>
      <c r="S31" s="457"/>
    </row>
    <row r="32" ht="24" customHeight="1" spans="1:19">
      <c r="A32" s="342"/>
      <c r="B32" s="351" t="s">
        <v>302</v>
      </c>
      <c r="C32" s="352"/>
      <c r="D32" s="353"/>
      <c r="E32" s="347"/>
      <c r="F32" s="348"/>
      <c r="G32" s="348"/>
      <c r="H32" s="349"/>
      <c r="I32" s="427"/>
      <c r="J32" s="427"/>
      <c r="K32" s="356"/>
      <c r="L32" s="356"/>
      <c r="M32" s="398"/>
      <c r="N32" s="399"/>
      <c r="O32" s="338"/>
      <c r="P32" s="398"/>
      <c r="Q32" s="399"/>
      <c r="R32" s="347"/>
      <c r="S32" s="459"/>
    </row>
    <row r="33" ht="24" customHeight="1" spans="1:19">
      <c r="A33" s="342"/>
      <c r="B33" s="354" t="s">
        <v>83</v>
      </c>
      <c r="C33" s="355"/>
      <c r="D33" s="356" t="s">
        <v>84</v>
      </c>
      <c r="E33" s="357" t="s">
        <v>85</v>
      </c>
      <c r="F33" s="357"/>
      <c r="G33" s="357"/>
      <c r="H33" s="357"/>
      <c r="I33" s="357"/>
      <c r="J33" s="357"/>
      <c r="K33" s="357"/>
      <c r="L33" s="357"/>
      <c r="M33" s="357"/>
      <c r="N33" s="357"/>
      <c r="O33" s="357"/>
      <c r="P33" s="357" t="s">
        <v>86</v>
      </c>
      <c r="Q33" s="357"/>
      <c r="R33" s="357"/>
      <c r="S33" s="460"/>
    </row>
    <row r="34" ht="24" customHeight="1" spans="1:19">
      <c r="A34" s="342"/>
      <c r="B34" s="355"/>
      <c r="C34" s="355"/>
      <c r="D34" s="354">
        <v>1</v>
      </c>
      <c r="E34" s="357" t="s">
        <v>303</v>
      </c>
      <c r="F34" s="357"/>
      <c r="G34" s="357"/>
      <c r="H34" s="357"/>
      <c r="I34" s="357"/>
      <c r="J34" s="357"/>
      <c r="K34" s="357"/>
      <c r="L34" s="357"/>
      <c r="M34" s="357"/>
      <c r="N34" s="357"/>
      <c r="O34" s="357"/>
      <c r="P34" s="357">
        <v>643</v>
      </c>
      <c r="Q34" s="357"/>
      <c r="R34" s="357"/>
      <c r="S34" s="460"/>
    </row>
    <row r="35" ht="24" customHeight="1" spans="1:19">
      <c r="A35" s="342"/>
      <c r="B35" s="355"/>
      <c r="C35" s="355"/>
      <c r="D35" s="354">
        <v>2</v>
      </c>
      <c r="E35" s="357" t="s">
        <v>304</v>
      </c>
      <c r="F35" s="357"/>
      <c r="G35" s="357"/>
      <c r="H35" s="357"/>
      <c r="I35" s="357"/>
      <c r="J35" s="357"/>
      <c r="K35" s="357"/>
      <c r="L35" s="357"/>
      <c r="M35" s="357"/>
      <c r="N35" s="357"/>
      <c r="O35" s="357"/>
      <c r="P35" s="357">
        <v>971</v>
      </c>
      <c r="Q35" s="357"/>
      <c r="R35" s="357"/>
      <c r="S35" s="460"/>
    </row>
    <row r="36" ht="24" customHeight="1" spans="1:19">
      <c r="A36" s="358"/>
      <c r="B36" s="359"/>
      <c r="C36" s="359"/>
      <c r="D36" s="354">
        <v>3</v>
      </c>
      <c r="E36" s="357" t="s">
        <v>305</v>
      </c>
      <c r="F36" s="357"/>
      <c r="G36" s="357"/>
      <c r="H36" s="357"/>
      <c r="I36" s="357"/>
      <c r="J36" s="357"/>
      <c r="K36" s="357"/>
      <c r="L36" s="357"/>
      <c r="M36" s="357"/>
      <c r="N36" s="357"/>
      <c r="O36" s="357"/>
      <c r="P36" s="357">
        <v>250</v>
      </c>
      <c r="Q36" s="357"/>
      <c r="R36" s="357"/>
      <c r="S36" s="460"/>
    </row>
    <row r="37" ht="24" customHeight="1" spans="1:19">
      <c r="A37" s="358"/>
      <c r="B37" s="359"/>
      <c r="C37" s="359"/>
      <c r="D37" s="354">
        <v>4</v>
      </c>
      <c r="E37" s="357"/>
      <c r="F37" s="357"/>
      <c r="G37" s="357"/>
      <c r="H37" s="357"/>
      <c r="I37" s="357"/>
      <c r="J37" s="357"/>
      <c r="K37" s="357"/>
      <c r="L37" s="357"/>
      <c r="M37" s="357"/>
      <c r="N37" s="357"/>
      <c r="O37" s="357"/>
      <c r="P37" s="357"/>
      <c r="Q37" s="357"/>
      <c r="R37" s="357"/>
      <c r="S37" s="460"/>
    </row>
    <row r="38" ht="24" customHeight="1" spans="1:19">
      <c r="A38" s="358"/>
      <c r="B38" s="359"/>
      <c r="C38" s="359"/>
      <c r="D38" s="354" t="s">
        <v>261</v>
      </c>
      <c r="E38" s="357"/>
      <c r="F38" s="357"/>
      <c r="G38" s="357"/>
      <c r="H38" s="357"/>
      <c r="I38" s="357"/>
      <c r="J38" s="357"/>
      <c r="K38" s="357"/>
      <c r="L38" s="357"/>
      <c r="M38" s="357"/>
      <c r="N38" s="357"/>
      <c r="O38" s="357"/>
      <c r="P38" s="357"/>
      <c r="Q38" s="357"/>
      <c r="R38" s="357"/>
      <c r="S38" s="460"/>
    </row>
    <row r="39" ht="24" customHeight="1" spans="1:19">
      <c r="A39" s="360"/>
      <c r="B39" s="361"/>
      <c r="C39" s="361"/>
      <c r="D39" s="458" t="s">
        <v>91</v>
      </c>
      <c r="E39" s="357"/>
      <c r="F39" s="357"/>
      <c r="G39" s="357"/>
      <c r="H39" s="357"/>
      <c r="I39" s="357"/>
      <c r="J39" s="357"/>
      <c r="K39" s="357"/>
      <c r="L39" s="357"/>
      <c r="M39" s="357"/>
      <c r="N39" s="357"/>
      <c r="O39" s="357"/>
      <c r="P39" s="357">
        <v>1864</v>
      </c>
      <c r="Q39" s="357"/>
      <c r="R39" s="357"/>
      <c r="S39" s="460"/>
    </row>
    <row r="40" ht="41.45" customHeight="1" spans="1:20">
      <c r="A40" s="362" t="s">
        <v>92</v>
      </c>
      <c r="B40" s="309" t="s">
        <v>306</v>
      </c>
      <c r="C40" s="310"/>
      <c r="D40" s="310"/>
      <c r="E40" s="310" t="s">
        <v>307</v>
      </c>
      <c r="F40" s="310"/>
      <c r="G40" s="310"/>
      <c r="H40" s="310" t="s">
        <v>308</v>
      </c>
      <c r="I40" s="310"/>
      <c r="J40" s="310" t="s">
        <v>309</v>
      </c>
      <c r="K40" s="310"/>
      <c r="L40" s="310"/>
      <c r="M40" s="310"/>
      <c r="N40" s="310"/>
      <c r="O40" s="310"/>
      <c r="P40" s="429" t="s">
        <v>97</v>
      </c>
      <c r="Q40" s="443"/>
      <c r="R40" s="310" t="s">
        <v>98</v>
      </c>
      <c r="S40" s="461"/>
      <c r="T40" s="399"/>
    </row>
    <row r="41" ht="42.6" customHeight="1" spans="1:20">
      <c r="A41" s="363"/>
      <c r="B41" s="364" t="s">
        <v>310</v>
      </c>
      <c r="C41" s="365"/>
      <c r="D41" s="366"/>
      <c r="E41" s="354" t="s">
        <v>100</v>
      </c>
      <c r="F41" s="354"/>
      <c r="G41" s="354"/>
      <c r="H41" s="367" t="s">
        <v>215</v>
      </c>
      <c r="I41" s="366"/>
      <c r="J41" s="430" t="s">
        <v>102</v>
      </c>
      <c r="K41" s="430"/>
      <c r="L41" s="430"/>
      <c r="M41" s="430"/>
      <c r="N41" s="430"/>
      <c r="O41" s="430"/>
      <c r="P41" s="548">
        <v>0.1</v>
      </c>
      <c r="Q41" s="462"/>
      <c r="R41" s="323">
        <v>10</v>
      </c>
      <c r="S41" s="463"/>
      <c r="T41" s="399"/>
    </row>
    <row r="42" ht="46.5" customHeight="1" spans="1:20">
      <c r="A42" s="363"/>
      <c r="B42" s="368"/>
      <c r="C42" s="369"/>
      <c r="D42" s="370"/>
      <c r="E42" s="371" t="s">
        <v>216</v>
      </c>
      <c r="F42" s="372"/>
      <c r="G42" s="373"/>
      <c r="H42" s="351" t="s">
        <v>104</v>
      </c>
      <c r="I42" s="353"/>
      <c r="J42" s="432" t="s">
        <v>217</v>
      </c>
      <c r="K42" s="433"/>
      <c r="L42" s="433"/>
      <c r="M42" s="433"/>
      <c r="N42" s="433"/>
      <c r="O42" s="434"/>
      <c r="P42" s="548">
        <v>0.1</v>
      </c>
      <c r="Q42" s="462"/>
      <c r="R42" s="326">
        <v>10</v>
      </c>
      <c r="S42" s="450"/>
      <c r="T42" s="399"/>
    </row>
    <row r="43" ht="58.9" customHeight="1" spans="1:20">
      <c r="A43" s="363"/>
      <c r="B43" s="368"/>
      <c r="C43" s="369"/>
      <c r="D43" s="370"/>
      <c r="E43" s="371" t="s">
        <v>106</v>
      </c>
      <c r="F43" s="372"/>
      <c r="G43" s="373"/>
      <c r="H43" s="367" t="s">
        <v>218</v>
      </c>
      <c r="I43" s="366"/>
      <c r="J43" s="430" t="s">
        <v>219</v>
      </c>
      <c r="K43" s="430"/>
      <c r="L43" s="430"/>
      <c r="M43" s="430"/>
      <c r="N43" s="430"/>
      <c r="O43" s="430"/>
      <c r="P43" s="548">
        <v>0.1</v>
      </c>
      <c r="Q43" s="462"/>
      <c r="R43" s="323">
        <v>10</v>
      </c>
      <c r="S43" s="463"/>
      <c r="T43" s="399"/>
    </row>
    <row r="44" ht="48.6" customHeight="1" spans="1:19">
      <c r="A44" s="363"/>
      <c r="B44" s="374" t="s">
        <v>311</v>
      </c>
      <c r="C44" s="375"/>
      <c r="D44" s="376"/>
      <c r="E44" s="377" t="s">
        <v>110</v>
      </c>
      <c r="F44" s="377"/>
      <c r="G44" s="377"/>
      <c r="H44" s="378" t="s">
        <v>221</v>
      </c>
      <c r="I44" s="378"/>
      <c r="J44" s="435" t="s">
        <v>312</v>
      </c>
      <c r="K44" s="435"/>
      <c r="L44" s="435"/>
      <c r="M44" s="435"/>
      <c r="N44" s="435"/>
      <c r="O44" s="435"/>
      <c r="P44" s="549">
        <v>0.1</v>
      </c>
      <c r="Q44" s="436"/>
      <c r="R44" s="310">
        <v>8</v>
      </c>
      <c r="S44" s="464"/>
    </row>
    <row r="45" s="536" customFormat="1" ht="68.45" customHeight="1" spans="1:20">
      <c r="A45" s="363"/>
      <c r="B45" s="379"/>
      <c r="C45" s="369"/>
      <c r="D45" s="370"/>
      <c r="E45" s="371" t="s">
        <v>117</v>
      </c>
      <c r="F45" s="372"/>
      <c r="G45" s="373"/>
      <c r="H45" s="380" t="s">
        <v>223</v>
      </c>
      <c r="I45" s="380"/>
      <c r="J45" s="437" t="s">
        <v>224</v>
      </c>
      <c r="K45" s="437"/>
      <c r="L45" s="437"/>
      <c r="M45" s="437"/>
      <c r="N45" s="437"/>
      <c r="O45" s="437"/>
      <c r="P45" s="550">
        <v>0.1</v>
      </c>
      <c r="Q45" s="438"/>
      <c r="R45" s="323">
        <v>10</v>
      </c>
      <c r="S45" s="463"/>
      <c r="T45" s="340"/>
    </row>
    <row r="46" s="536" customFormat="1" ht="93" customHeight="1" spans="1:20">
      <c r="A46" s="363"/>
      <c r="B46" s="379"/>
      <c r="C46" s="369"/>
      <c r="D46" s="370"/>
      <c r="E46" s="538"/>
      <c r="F46" s="539"/>
      <c r="G46" s="540"/>
      <c r="H46" s="541" t="s">
        <v>313</v>
      </c>
      <c r="I46" s="551"/>
      <c r="J46" s="437" t="s">
        <v>314</v>
      </c>
      <c r="K46" s="437"/>
      <c r="L46" s="437"/>
      <c r="M46" s="437"/>
      <c r="N46" s="437"/>
      <c r="O46" s="437"/>
      <c r="P46" s="552">
        <v>0.1</v>
      </c>
      <c r="Q46" s="562"/>
      <c r="R46" s="563">
        <v>10</v>
      </c>
      <c r="S46" s="564"/>
      <c r="T46" s="340"/>
    </row>
    <row r="47" ht="23.25" customHeight="1" spans="1:19">
      <c r="A47" s="363"/>
      <c r="B47" s="374" t="s">
        <v>315</v>
      </c>
      <c r="C47" s="375"/>
      <c r="D47" s="376"/>
      <c r="E47" s="377" t="s">
        <v>123</v>
      </c>
      <c r="F47" s="377"/>
      <c r="G47" s="377"/>
      <c r="H47" s="378" t="s">
        <v>288</v>
      </c>
      <c r="I47" s="378"/>
      <c r="J47" s="439" t="s">
        <v>316</v>
      </c>
      <c r="K47" s="439"/>
      <c r="L47" s="439"/>
      <c r="M47" s="439"/>
      <c r="N47" s="439"/>
      <c r="O47" s="439"/>
      <c r="P47" s="549">
        <v>0.08</v>
      </c>
      <c r="Q47" s="436"/>
      <c r="R47" s="310">
        <v>8</v>
      </c>
      <c r="S47" s="464"/>
    </row>
    <row r="48" ht="23.25" customHeight="1" spans="1:19">
      <c r="A48" s="363"/>
      <c r="B48" s="379"/>
      <c r="C48" s="369"/>
      <c r="D48" s="370"/>
      <c r="E48" s="354" t="s">
        <v>128</v>
      </c>
      <c r="F48" s="354"/>
      <c r="G48" s="354"/>
      <c r="H48" s="350" t="s">
        <v>289</v>
      </c>
      <c r="I48" s="350"/>
      <c r="J48" s="439" t="s">
        <v>316</v>
      </c>
      <c r="K48" s="439"/>
      <c r="L48" s="439"/>
      <c r="M48" s="439"/>
      <c r="N48" s="439"/>
      <c r="O48" s="439"/>
      <c r="P48" s="550">
        <v>0.08</v>
      </c>
      <c r="Q48" s="438"/>
      <c r="R48" s="323">
        <v>6</v>
      </c>
      <c r="S48" s="463"/>
    </row>
    <row r="49" ht="25.5" customHeight="1" spans="1:19">
      <c r="A49" s="363"/>
      <c r="B49" s="379"/>
      <c r="C49" s="369"/>
      <c r="D49" s="370"/>
      <c r="E49" s="354" t="s">
        <v>138</v>
      </c>
      <c r="F49" s="354"/>
      <c r="G49" s="354"/>
      <c r="H49" s="350" t="s">
        <v>317</v>
      </c>
      <c r="I49" s="350"/>
      <c r="J49" s="439" t="s">
        <v>318</v>
      </c>
      <c r="K49" s="439"/>
      <c r="L49" s="439"/>
      <c r="M49" s="439"/>
      <c r="N49" s="439"/>
      <c r="O49" s="439"/>
      <c r="P49" s="550">
        <v>0.05</v>
      </c>
      <c r="Q49" s="438"/>
      <c r="R49" s="323">
        <v>5</v>
      </c>
      <c r="S49" s="463"/>
    </row>
    <row r="50" ht="24.75" customHeight="1" spans="1:19">
      <c r="A50" s="363"/>
      <c r="B50" s="379"/>
      <c r="C50" s="369"/>
      <c r="D50" s="370"/>
      <c r="E50" s="354" t="s">
        <v>141</v>
      </c>
      <c r="F50" s="354"/>
      <c r="G50" s="354"/>
      <c r="H50" s="350" t="s">
        <v>319</v>
      </c>
      <c r="I50" s="350"/>
      <c r="J50" s="439" t="s">
        <v>320</v>
      </c>
      <c r="K50" s="439"/>
      <c r="L50" s="439"/>
      <c r="M50" s="439"/>
      <c r="N50" s="439"/>
      <c r="O50" s="439"/>
      <c r="P50" s="550">
        <v>0.06</v>
      </c>
      <c r="Q50" s="438"/>
      <c r="R50" s="323">
        <v>4</v>
      </c>
      <c r="S50" s="463"/>
    </row>
    <row r="51" s="536" customFormat="1" ht="21" customHeight="1" spans="1:20">
      <c r="A51" s="363"/>
      <c r="B51" s="379"/>
      <c r="C51" s="369"/>
      <c r="D51" s="370"/>
      <c r="E51" s="354" t="s">
        <v>143</v>
      </c>
      <c r="F51" s="354"/>
      <c r="G51" s="354"/>
      <c r="H51" s="350" t="s">
        <v>294</v>
      </c>
      <c r="I51" s="350"/>
      <c r="J51" s="439" t="s">
        <v>318</v>
      </c>
      <c r="K51" s="439"/>
      <c r="L51" s="439"/>
      <c r="M51" s="439"/>
      <c r="N51" s="439"/>
      <c r="O51" s="439"/>
      <c r="P51" s="550">
        <v>0.05</v>
      </c>
      <c r="Q51" s="438"/>
      <c r="R51" s="323">
        <v>5</v>
      </c>
      <c r="S51" s="465"/>
      <c r="T51" s="340"/>
    </row>
    <row r="52" s="536" customFormat="1" ht="20.25" customHeight="1" spans="1:20">
      <c r="A52" s="363"/>
      <c r="B52" s="379"/>
      <c r="C52" s="369"/>
      <c r="D52" s="370"/>
      <c r="E52" s="354" t="s">
        <v>146</v>
      </c>
      <c r="F52" s="354"/>
      <c r="G52" s="354"/>
      <c r="H52" s="350"/>
      <c r="I52" s="350"/>
      <c r="J52" s="430"/>
      <c r="K52" s="430"/>
      <c r="L52" s="430"/>
      <c r="M52" s="430"/>
      <c r="N52" s="430"/>
      <c r="O52" s="430"/>
      <c r="P52" s="438"/>
      <c r="Q52" s="438"/>
      <c r="R52" s="323"/>
      <c r="S52" s="465"/>
      <c r="T52" s="340"/>
    </row>
    <row r="53" s="536" customFormat="1" ht="21" customHeight="1" spans="1:20">
      <c r="A53" s="363"/>
      <c r="B53" s="381"/>
      <c r="C53" s="382"/>
      <c r="D53" s="383"/>
      <c r="E53" s="384" t="s">
        <v>149</v>
      </c>
      <c r="F53" s="384"/>
      <c r="G53" s="384"/>
      <c r="H53" s="385" t="s">
        <v>255</v>
      </c>
      <c r="I53" s="385"/>
      <c r="J53" s="439" t="s">
        <v>316</v>
      </c>
      <c r="K53" s="439"/>
      <c r="L53" s="439"/>
      <c r="M53" s="439"/>
      <c r="N53" s="439"/>
      <c r="O53" s="439"/>
      <c r="P53" s="553">
        <v>0.08</v>
      </c>
      <c r="Q53" s="442"/>
      <c r="R53" s="467">
        <v>6</v>
      </c>
      <c r="S53" s="468"/>
      <c r="T53" s="340"/>
    </row>
    <row r="54" ht="30" customHeight="1" spans="1:19">
      <c r="A54" s="363"/>
      <c r="B54" s="386" t="s">
        <v>152</v>
      </c>
      <c r="C54" s="387"/>
      <c r="D54" s="387"/>
      <c r="E54" s="387"/>
      <c r="F54" s="387"/>
      <c r="G54" s="387"/>
      <c r="H54" s="387"/>
      <c r="I54" s="387"/>
      <c r="J54" s="387"/>
      <c r="K54" s="387"/>
      <c r="L54" s="387"/>
      <c r="M54" s="387"/>
      <c r="N54" s="387"/>
      <c r="O54" s="443"/>
      <c r="P54" s="444">
        <v>1</v>
      </c>
      <c r="Q54" s="444"/>
      <c r="R54" s="469">
        <v>92</v>
      </c>
      <c r="S54" s="470"/>
    </row>
    <row r="55" ht="36" customHeight="1" spans="1:19">
      <c r="A55" s="388"/>
      <c r="B55" s="389" t="s">
        <v>153</v>
      </c>
      <c r="C55" s="542" t="s">
        <v>321</v>
      </c>
      <c r="D55" s="391"/>
      <c r="E55" s="391"/>
      <c r="F55" s="391"/>
      <c r="G55" s="391"/>
      <c r="H55" s="391"/>
      <c r="I55" s="391"/>
      <c r="J55" s="391"/>
      <c r="K55" s="391"/>
      <c r="L55" s="391"/>
      <c r="M55" s="391"/>
      <c r="N55" s="391"/>
      <c r="O55" s="391"/>
      <c r="P55" s="391"/>
      <c r="Q55" s="391"/>
      <c r="R55" s="391"/>
      <c r="S55" s="471"/>
    </row>
    <row r="56" ht="22.5" customHeight="1" spans="1:19">
      <c r="A56" s="362" t="s">
        <v>155</v>
      </c>
      <c r="B56" s="392" t="s">
        <v>156</v>
      </c>
      <c r="C56" s="393" t="s">
        <v>157</v>
      </c>
      <c r="D56" s="394"/>
      <c r="E56" s="395" t="s">
        <v>158</v>
      </c>
      <c r="F56" s="393"/>
      <c r="G56" s="393"/>
      <c r="H56" s="393"/>
      <c r="I56" s="393"/>
      <c r="J56" s="393"/>
      <c r="K56" s="393"/>
      <c r="L56" s="393"/>
      <c r="M56" s="393"/>
      <c r="N56" s="394"/>
      <c r="O56" s="445" t="s">
        <v>159</v>
      </c>
      <c r="P56" s="395" t="s">
        <v>160</v>
      </c>
      <c r="Q56" s="394"/>
      <c r="R56" s="395" t="s">
        <v>161</v>
      </c>
      <c r="S56" s="472"/>
    </row>
    <row r="57" ht="21" customHeight="1" spans="1:19">
      <c r="A57" s="396"/>
      <c r="B57" s="397"/>
      <c r="C57" s="398"/>
      <c r="D57" s="399"/>
      <c r="E57" s="400"/>
      <c r="F57" s="401"/>
      <c r="G57" s="401"/>
      <c r="H57" s="401"/>
      <c r="I57" s="401"/>
      <c r="J57" s="401"/>
      <c r="K57" s="401"/>
      <c r="L57" s="401"/>
      <c r="M57" s="401"/>
      <c r="N57" s="446"/>
      <c r="O57" s="357"/>
      <c r="P57" s="398"/>
      <c r="Q57" s="399"/>
      <c r="R57" s="398"/>
      <c r="S57" s="473"/>
    </row>
    <row r="58" ht="21" customHeight="1" spans="1:19">
      <c r="A58" s="396"/>
      <c r="B58" s="397"/>
      <c r="C58" s="398"/>
      <c r="D58" s="399"/>
      <c r="E58" s="400"/>
      <c r="F58" s="401"/>
      <c r="G58" s="401"/>
      <c r="H58" s="401"/>
      <c r="I58" s="401"/>
      <c r="J58" s="401"/>
      <c r="K58" s="401"/>
      <c r="L58" s="401"/>
      <c r="M58" s="401"/>
      <c r="N58" s="446"/>
      <c r="O58" s="357"/>
      <c r="P58" s="398"/>
      <c r="Q58" s="399"/>
      <c r="R58" s="398"/>
      <c r="S58" s="473"/>
    </row>
    <row r="59" ht="21" customHeight="1" spans="1:19">
      <c r="A59" s="396"/>
      <c r="B59" s="397"/>
      <c r="C59" s="398"/>
      <c r="D59" s="399"/>
      <c r="E59" s="400"/>
      <c r="F59" s="401"/>
      <c r="G59" s="401"/>
      <c r="H59" s="401"/>
      <c r="I59" s="401"/>
      <c r="J59" s="401"/>
      <c r="K59" s="401"/>
      <c r="L59" s="401"/>
      <c r="M59" s="401"/>
      <c r="N59" s="446"/>
      <c r="O59" s="357"/>
      <c r="P59" s="398"/>
      <c r="Q59" s="399"/>
      <c r="R59" s="398"/>
      <c r="S59" s="473"/>
    </row>
    <row r="60" ht="21" customHeight="1" spans="1:19">
      <c r="A60" s="396"/>
      <c r="B60" s="397"/>
      <c r="C60" s="398"/>
      <c r="D60" s="399"/>
      <c r="E60" s="400"/>
      <c r="F60" s="401"/>
      <c r="G60" s="401"/>
      <c r="H60" s="401"/>
      <c r="I60" s="401"/>
      <c r="J60" s="401"/>
      <c r="K60" s="401"/>
      <c r="L60" s="401"/>
      <c r="M60" s="401"/>
      <c r="N60" s="446"/>
      <c r="O60" s="357"/>
      <c r="P60" s="398"/>
      <c r="Q60" s="399"/>
      <c r="R60" s="398"/>
      <c r="S60" s="473"/>
    </row>
    <row r="61" ht="21" customHeight="1" spans="1:19">
      <c r="A61" s="396"/>
      <c r="B61" s="397"/>
      <c r="C61" s="398"/>
      <c r="D61" s="399"/>
      <c r="E61" s="400"/>
      <c r="F61" s="401"/>
      <c r="G61" s="401"/>
      <c r="H61" s="401"/>
      <c r="I61" s="401"/>
      <c r="J61" s="401"/>
      <c r="K61" s="401"/>
      <c r="L61" s="401"/>
      <c r="M61" s="401"/>
      <c r="N61" s="446"/>
      <c r="O61" s="357"/>
      <c r="P61" s="398"/>
      <c r="Q61" s="399"/>
      <c r="R61" s="398"/>
      <c r="S61" s="473"/>
    </row>
    <row r="62" ht="105.75" customHeight="1" spans="1:19">
      <c r="A62" s="396"/>
      <c r="B62" s="397"/>
      <c r="C62" s="402" t="s">
        <v>162</v>
      </c>
      <c r="D62" s="403"/>
      <c r="E62" s="403"/>
      <c r="F62" s="403"/>
      <c r="G62" s="403"/>
      <c r="H62" s="403"/>
      <c r="I62" s="403"/>
      <c r="J62" s="403"/>
      <c r="K62" s="403"/>
      <c r="L62" s="403"/>
      <c r="M62" s="403"/>
      <c r="N62" s="403"/>
      <c r="O62" s="403"/>
      <c r="P62" s="403"/>
      <c r="Q62" s="403"/>
      <c r="R62" s="403"/>
      <c r="S62" s="474"/>
    </row>
    <row r="63" ht="27" customHeight="1" spans="1:19">
      <c r="A63" s="396"/>
      <c r="B63" s="404"/>
      <c r="C63" s="405" t="s">
        <v>163</v>
      </c>
      <c r="D63" s="406"/>
      <c r="E63" s="406"/>
      <c r="F63" s="406"/>
      <c r="G63" s="406"/>
      <c r="H63" s="406"/>
      <c r="I63" s="406"/>
      <c r="J63" s="406"/>
      <c r="K63" s="406"/>
      <c r="L63" s="406"/>
      <c r="M63" s="406"/>
      <c r="N63" s="406"/>
      <c r="O63" s="406"/>
      <c r="P63" s="406"/>
      <c r="Q63" s="406"/>
      <c r="R63" s="406"/>
      <c r="S63" s="475"/>
    </row>
    <row r="64" ht="48.75" customHeight="1" spans="1:19">
      <c r="A64" s="396"/>
      <c r="B64" s="392" t="s">
        <v>164</v>
      </c>
      <c r="C64" s="407" t="s">
        <v>165</v>
      </c>
      <c r="D64" s="408"/>
      <c r="E64" s="408"/>
      <c r="F64" s="408"/>
      <c r="G64" s="408"/>
      <c r="H64" s="408"/>
      <c r="I64" s="408"/>
      <c r="J64" s="408"/>
      <c r="K64" s="408"/>
      <c r="L64" s="408"/>
      <c r="M64" s="408"/>
      <c r="N64" s="408"/>
      <c r="O64" s="408"/>
      <c r="P64" s="408"/>
      <c r="Q64" s="408"/>
      <c r="R64" s="408"/>
      <c r="S64" s="476"/>
    </row>
    <row r="65" ht="55.5" customHeight="1" spans="1:19">
      <c r="A65" s="396"/>
      <c r="B65" s="409"/>
      <c r="C65" s="410" t="s">
        <v>166</v>
      </c>
      <c r="D65" s="411"/>
      <c r="E65" s="411"/>
      <c r="F65" s="411"/>
      <c r="G65" s="411"/>
      <c r="H65" s="411"/>
      <c r="I65" s="411"/>
      <c r="J65" s="411"/>
      <c r="K65" s="411"/>
      <c r="L65" s="411"/>
      <c r="M65" s="411"/>
      <c r="N65" s="411"/>
      <c r="O65" s="411"/>
      <c r="P65" s="411"/>
      <c r="Q65" s="411"/>
      <c r="R65" s="411"/>
      <c r="S65" s="477"/>
    </row>
    <row r="66" ht="104.25" customHeight="1" spans="1:19">
      <c r="A66" s="396"/>
      <c r="B66" s="409"/>
      <c r="C66" s="402" t="s">
        <v>167</v>
      </c>
      <c r="D66" s="403"/>
      <c r="E66" s="403"/>
      <c r="F66" s="403"/>
      <c r="G66" s="403"/>
      <c r="H66" s="403"/>
      <c r="I66" s="403"/>
      <c r="J66" s="403"/>
      <c r="K66" s="403"/>
      <c r="L66" s="403"/>
      <c r="M66" s="403"/>
      <c r="N66" s="403"/>
      <c r="O66" s="403"/>
      <c r="P66" s="403"/>
      <c r="Q66" s="403"/>
      <c r="R66" s="403"/>
      <c r="S66" s="474"/>
    </row>
    <row r="67" ht="28.5" customHeight="1" spans="1:19">
      <c r="A67" s="396"/>
      <c r="B67" s="478"/>
      <c r="C67" s="405" t="s">
        <v>168</v>
      </c>
      <c r="D67" s="406"/>
      <c r="E67" s="406"/>
      <c r="F67" s="406"/>
      <c r="G67" s="406"/>
      <c r="H67" s="406"/>
      <c r="I67" s="406"/>
      <c r="J67" s="406"/>
      <c r="K67" s="406"/>
      <c r="L67" s="406"/>
      <c r="M67" s="406"/>
      <c r="N67" s="406"/>
      <c r="O67" s="406"/>
      <c r="P67" s="406"/>
      <c r="Q67" s="406"/>
      <c r="R67" s="406"/>
      <c r="S67" s="475"/>
    </row>
    <row r="68" customHeight="1" spans="1:19">
      <c r="A68" s="396"/>
      <c r="B68" s="409" t="s">
        <v>169</v>
      </c>
      <c r="C68" s="479"/>
      <c r="D68" s="480"/>
      <c r="E68" s="480"/>
      <c r="F68" s="480"/>
      <c r="G68" s="480"/>
      <c r="H68" s="480"/>
      <c r="I68" s="480"/>
      <c r="J68" s="480"/>
      <c r="K68" s="480"/>
      <c r="L68" s="480"/>
      <c r="M68" s="480"/>
      <c r="N68" s="480"/>
      <c r="O68" s="480"/>
      <c r="P68" s="480"/>
      <c r="Q68" s="480"/>
      <c r="R68" s="480"/>
      <c r="S68" s="490"/>
    </row>
    <row r="69" ht="14.25" customHeight="1" spans="1:19">
      <c r="A69" s="396"/>
      <c r="B69" s="409"/>
      <c r="C69" s="480"/>
      <c r="D69" s="480"/>
      <c r="E69" s="480"/>
      <c r="F69" s="481"/>
      <c r="G69" s="480"/>
      <c r="H69" s="480"/>
      <c r="I69" s="480"/>
      <c r="J69" s="480"/>
      <c r="K69" s="480"/>
      <c r="L69" s="480"/>
      <c r="M69" s="480"/>
      <c r="N69" s="480"/>
      <c r="O69" s="480"/>
      <c r="P69" s="480"/>
      <c r="Q69" s="480"/>
      <c r="R69" s="480"/>
      <c r="S69" s="490"/>
    </row>
    <row r="70" ht="30.75" customHeight="1" spans="1:19">
      <c r="A70" s="396"/>
      <c r="B70" s="409"/>
      <c r="C70" s="482"/>
      <c r="D70" s="483"/>
      <c r="E70" s="483"/>
      <c r="F70" s="483"/>
      <c r="G70" s="483"/>
      <c r="H70" s="483"/>
      <c r="I70" s="483"/>
      <c r="J70" s="483"/>
      <c r="K70" s="483"/>
      <c r="L70" s="483"/>
      <c r="M70" s="483"/>
      <c r="N70" s="483"/>
      <c r="O70" s="483"/>
      <c r="P70" s="483"/>
      <c r="Q70" s="483"/>
      <c r="R70" s="483"/>
      <c r="S70" s="491"/>
    </row>
    <row r="71" ht="53.25" customHeight="1" spans="1:19">
      <c r="A71" s="484"/>
      <c r="B71" s="478"/>
      <c r="C71" s="485" t="s">
        <v>170</v>
      </c>
      <c r="D71" s="486"/>
      <c r="E71" s="486"/>
      <c r="F71" s="486"/>
      <c r="G71" s="486"/>
      <c r="H71" s="486"/>
      <c r="I71" s="486"/>
      <c r="J71" s="486"/>
      <c r="K71" s="486"/>
      <c r="L71" s="486"/>
      <c r="M71" s="486"/>
      <c r="N71" s="486"/>
      <c r="O71" s="486"/>
      <c r="P71" s="486"/>
      <c r="Q71" s="486"/>
      <c r="R71" s="486"/>
      <c r="S71" s="492"/>
    </row>
    <row r="72" ht="19.5" customHeight="1" spans="1:19">
      <c r="A72" s="487"/>
      <c r="B72" s="488" t="s">
        <v>171</v>
      </c>
      <c r="C72" s="488" t="s">
        <v>322</v>
      </c>
      <c r="D72" s="488"/>
      <c r="E72" s="488"/>
      <c r="F72" s="488"/>
      <c r="G72" s="488"/>
      <c r="H72" s="488" t="s">
        <v>172</v>
      </c>
      <c r="I72" s="488"/>
      <c r="J72" s="488" t="s">
        <v>323</v>
      </c>
      <c r="K72" s="488"/>
      <c r="L72" s="488"/>
      <c r="N72" s="489"/>
      <c r="O72" s="489" t="s">
        <v>173</v>
      </c>
      <c r="Q72" s="489" t="s">
        <v>324</v>
      </c>
      <c r="R72" s="489"/>
      <c r="S72" s="489"/>
    </row>
  </sheetData>
  <mergeCells count="277">
    <mergeCell ref="A1:B1"/>
    <mergeCell ref="A2:S2"/>
    <mergeCell ref="B3:D3"/>
    <mergeCell ref="E3:S3"/>
    <mergeCell ref="K4:M4"/>
    <mergeCell ref="P4:S4"/>
    <mergeCell ref="K5:M5"/>
    <mergeCell ref="P5:S5"/>
    <mergeCell ref="B6:H6"/>
    <mergeCell ref="I6:S6"/>
    <mergeCell ref="C7:H7"/>
    <mergeCell ref="I7:K7"/>
    <mergeCell ref="L7:O7"/>
    <mergeCell ref="P7:S7"/>
    <mergeCell ref="C8:D8"/>
    <mergeCell ref="E8:H8"/>
    <mergeCell ref="I8:K8"/>
    <mergeCell ref="L8:M8"/>
    <mergeCell ref="N8:O8"/>
    <mergeCell ref="P8:Q8"/>
    <mergeCell ref="R8:S8"/>
    <mergeCell ref="E9:H9"/>
    <mergeCell ref="I9:K9"/>
    <mergeCell ref="L9:M9"/>
    <mergeCell ref="N9:O9"/>
    <mergeCell ref="P9:Q9"/>
    <mergeCell ref="R9:S9"/>
    <mergeCell ref="E10:H10"/>
    <mergeCell ref="I10:K10"/>
    <mergeCell ref="L10:M10"/>
    <mergeCell ref="N10:O10"/>
    <mergeCell ref="P10:Q10"/>
    <mergeCell ref="R10:S10"/>
    <mergeCell ref="E11:H11"/>
    <mergeCell ref="I11:K11"/>
    <mergeCell ref="L11:M11"/>
    <mergeCell ref="N11:O11"/>
    <mergeCell ref="P11:Q11"/>
    <mergeCell ref="R11:S11"/>
    <mergeCell ref="E12:H12"/>
    <mergeCell ref="I12:K12"/>
    <mergeCell ref="L12:M12"/>
    <mergeCell ref="N12:O12"/>
    <mergeCell ref="P12:Q12"/>
    <mergeCell ref="R12:S12"/>
    <mergeCell ref="E13:H13"/>
    <mergeCell ref="I13:K13"/>
    <mergeCell ref="L13:M13"/>
    <mergeCell ref="N13:O13"/>
    <mergeCell ref="P13:Q13"/>
    <mergeCell ref="R13:S13"/>
    <mergeCell ref="E14:H14"/>
    <mergeCell ref="I14:K14"/>
    <mergeCell ref="L14:M14"/>
    <mergeCell ref="N14:O14"/>
    <mergeCell ref="P14:Q14"/>
    <mergeCell ref="R14:S14"/>
    <mergeCell ref="E15:H15"/>
    <mergeCell ref="I15:K15"/>
    <mergeCell ref="L15:M15"/>
    <mergeCell ref="N15:O15"/>
    <mergeCell ref="P15:Q15"/>
    <mergeCell ref="R15:S15"/>
    <mergeCell ref="E16:H16"/>
    <mergeCell ref="I16:K16"/>
    <mergeCell ref="L16:M16"/>
    <mergeCell ref="N16:O16"/>
    <mergeCell ref="P16:Q16"/>
    <mergeCell ref="R16:S16"/>
    <mergeCell ref="E17:H17"/>
    <mergeCell ref="I17:K17"/>
    <mergeCell ref="L17:M17"/>
    <mergeCell ref="N17:O17"/>
    <mergeCell ref="P17:Q17"/>
    <mergeCell ref="R17:S17"/>
    <mergeCell ref="E18:H18"/>
    <mergeCell ref="I18:K18"/>
    <mergeCell ref="L18:M18"/>
    <mergeCell ref="N18:O18"/>
    <mergeCell ref="P18:Q18"/>
    <mergeCell ref="R18:S18"/>
    <mergeCell ref="B19:D19"/>
    <mergeCell ref="E19:H19"/>
    <mergeCell ref="I19:K19"/>
    <mergeCell ref="L19:S19"/>
    <mergeCell ref="I20:S20"/>
    <mergeCell ref="I21:S21"/>
    <mergeCell ref="I22:S22"/>
    <mergeCell ref="I23:J23"/>
    <mergeCell ref="K23:N23"/>
    <mergeCell ref="O23:Q23"/>
    <mergeCell ref="B26:D26"/>
    <mergeCell ref="E26:H26"/>
    <mergeCell ref="M26:N26"/>
    <mergeCell ref="P26:Q26"/>
    <mergeCell ref="R26:S26"/>
    <mergeCell ref="B27:D27"/>
    <mergeCell ref="E27:H27"/>
    <mergeCell ref="M27:N27"/>
    <mergeCell ref="P27:Q27"/>
    <mergeCell ref="R27:S27"/>
    <mergeCell ref="B28:D28"/>
    <mergeCell ref="E28:H28"/>
    <mergeCell ref="M28:N28"/>
    <mergeCell ref="P28:Q28"/>
    <mergeCell ref="R28:S28"/>
    <mergeCell ref="B29:D29"/>
    <mergeCell ref="E29:H29"/>
    <mergeCell ref="M29:N29"/>
    <mergeCell ref="P29:Q29"/>
    <mergeCell ref="R29:S29"/>
    <mergeCell ref="B30:D30"/>
    <mergeCell ref="E30:H30"/>
    <mergeCell ref="M30:N30"/>
    <mergeCell ref="P30:Q30"/>
    <mergeCell ref="R30:S30"/>
    <mergeCell ref="B31:D31"/>
    <mergeCell ref="E31:H31"/>
    <mergeCell ref="M31:N31"/>
    <mergeCell ref="P31:Q31"/>
    <mergeCell ref="R31:S31"/>
    <mergeCell ref="B32:D32"/>
    <mergeCell ref="E32:H32"/>
    <mergeCell ref="M32:N32"/>
    <mergeCell ref="P32:Q32"/>
    <mergeCell ref="R32:S32"/>
    <mergeCell ref="E33:O33"/>
    <mergeCell ref="P33:S33"/>
    <mergeCell ref="E34:O34"/>
    <mergeCell ref="P34:S34"/>
    <mergeCell ref="E35:O35"/>
    <mergeCell ref="P35:S35"/>
    <mergeCell ref="E36:O36"/>
    <mergeCell ref="P36:S36"/>
    <mergeCell ref="E37:O37"/>
    <mergeCell ref="P37:S37"/>
    <mergeCell ref="E38:O38"/>
    <mergeCell ref="P38:S38"/>
    <mergeCell ref="E39:O39"/>
    <mergeCell ref="P39:S39"/>
    <mergeCell ref="B40:D40"/>
    <mergeCell ref="E40:G40"/>
    <mergeCell ref="H40:I40"/>
    <mergeCell ref="J40:O40"/>
    <mergeCell ref="P40:Q40"/>
    <mergeCell ref="R40:S40"/>
    <mergeCell ref="E41:G41"/>
    <mergeCell ref="H41:I41"/>
    <mergeCell ref="J41:O41"/>
    <mergeCell ref="P41:Q41"/>
    <mergeCell ref="R41:S41"/>
    <mergeCell ref="E42:G42"/>
    <mergeCell ref="H42:I42"/>
    <mergeCell ref="J42:O42"/>
    <mergeCell ref="P42:Q42"/>
    <mergeCell ref="R42:S42"/>
    <mergeCell ref="E43:G43"/>
    <mergeCell ref="H43:I43"/>
    <mergeCell ref="J43:O43"/>
    <mergeCell ref="P43:Q43"/>
    <mergeCell ref="R43:S43"/>
    <mergeCell ref="E44:G44"/>
    <mergeCell ref="H44:I44"/>
    <mergeCell ref="J44:O44"/>
    <mergeCell ref="P44:Q44"/>
    <mergeCell ref="R44:S44"/>
    <mergeCell ref="H45:I45"/>
    <mergeCell ref="J45:O45"/>
    <mergeCell ref="P45:Q45"/>
    <mergeCell ref="R45:S45"/>
    <mergeCell ref="H46:I46"/>
    <mergeCell ref="J46:O46"/>
    <mergeCell ref="P46:Q46"/>
    <mergeCell ref="R46:S46"/>
    <mergeCell ref="E47:G47"/>
    <mergeCell ref="H47:I47"/>
    <mergeCell ref="J47:O47"/>
    <mergeCell ref="P47:Q47"/>
    <mergeCell ref="R47:S47"/>
    <mergeCell ref="E48:G48"/>
    <mergeCell ref="H48:I48"/>
    <mergeCell ref="J48:O48"/>
    <mergeCell ref="P48:Q48"/>
    <mergeCell ref="R48:S48"/>
    <mergeCell ref="E49:G49"/>
    <mergeCell ref="H49:I49"/>
    <mergeCell ref="J49:O49"/>
    <mergeCell ref="P49:Q49"/>
    <mergeCell ref="R49:S49"/>
    <mergeCell ref="E50:G50"/>
    <mergeCell ref="H50:I50"/>
    <mergeCell ref="J50:O50"/>
    <mergeCell ref="P50:Q50"/>
    <mergeCell ref="R50:S50"/>
    <mergeCell ref="E51:G51"/>
    <mergeCell ref="H51:I51"/>
    <mergeCell ref="J51:O51"/>
    <mergeCell ref="P51:Q51"/>
    <mergeCell ref="R51:S51"/>
    <mergeCell ref="E52:G52"/>
    <mergeCell ref="H52:I52"/>
    <mergeCell ref="J52:O52"/>
    <mergeCell ref="P52:Q52"/>
    <mergeCell ref="R52:S52"/>
    <mergeCell ref="E53:G53"/>
    <mergeCell ref="H53:I53"/>
    <mergeCell ref="J53:O53"/>
    <mergeCell ref="P53:Q53"/>
    <mergeCell ref="R53:S53"/>
    <mergeCell ref="B54:O54"/>
    <mergeCell ref="P54:Q54"/>
    <mergeCell ref="R54:S54"/>
    <mergeCell ref="C55:S55"/>
    <mergeCell ref="C56:D56"/>
    <mergeCell ref="E56:N56"/>
    <mergeCell ref="P56:Q56"/>
    <mergeCell ref="R56:S56"/>
    <mergeCell ref="C57:D57"/>
    <mergeCell ref="E57:N57"/>
    <mergeCell ref="P57:Q57"/>
    <mergeCell ref="R57:S57"/>
    <mergeCell ref="C58:D58"/>
    <mergeCell ref="E58:N58"/>
    <mergeCell ref="P58:Q58"/>
    <mergeCell ref="R58:S58"/>
    <mergeCell ref="C59:D59"/>
    <mergeCell ref="E59:N59"/>
    <mergeCell ref="P59:Q59"/>
    <mergeCell ref="R59:S59"/>
    <mergeCell ref="C60:D60"/>
    <mergeCell ref="E60:N60"/>
    <mergeCell ref="P60:Q60"/>
    <mergeCell ref="R60:S60"/>
    <mergeCell ref="C61:D61"/>
    <mergeCell ref="E61:N61"/>
    <mergeCell ref="P61:Q61"/>
    <mergeCell ref="R61:S61"/>
    <mergeCell ref="C62:S62"/>
    <mergeCell ref="C63:S63"/>
    <mergeCell ref="C64:S64"/>
    <mergeCell ref="C65:S65"/>
    <mergeCell ref="C66:S66"/>
    <mergeCell ref="C67:S67"/>
    <mergeCell ref="C71:S71"/>
    <mergeCell ref="A3:A21"/>
    <mergeCell ref="A22:A39"/>
    <mergeCell ref="A40:A43"/>
    <mergeCell ref="A44:A55"/>
    <mergeCell ref="A56:A71"/>
    <mergeCell ref="B7:B18"/>
    <mergeCell ref="B56:B63"/>
    <mergeCell ref="B64:B67"/>
    <mergeCell ref="B68:B71"/>
    <mergeCell ref="I24:I25"/>
    <mergeCell ref="J24:J25"/>
    <mergeCell ref="K24:K25"/>
    <mergeCell ref="L24:L25"/>
    <mergeCell ref="O24:O25"/>
    <mergeCell ref="T40:T43"/>
    <mergeCell ref="U14:U17"/>
    <mergeCell ref="B4:H5"/>
    <mergeCell ref="I4:J5"/>
    <mergeCell ref="N4:O5"/>
    <mergeCell ref="C9:D11"/>
    <mergeCell ref="C12:D13"/>
    <mergeCell ref="C14:D18"/>
    <mergeCell ref="B20:H21"/>
    <mergeCell ref="B22:D25"/>
    <mergeCell ref="E22:H25"/>
    <mergeCell ref="R23:S25"/>
    <mergeCell ref="M24:N25"/>
    <mergeCell ref="P24:Q25"/>
    <mergeCell ref="B33:C39"/>
    <mergeCell ref="B41:D43"/>
    <mergeCell ref="B44:D46"/>
    <mergeCell ref="E45:G46"/>
    <mergeCell ref="B47:D53"/>
  </mergeCells>
  <pageMargins left="0.58" right="0.24" top="0.98" bottom="0.98" header="0.51" footer="0.51"/>
  <pageSetup paperSize="9" scale="80" orientation="portrait" horizontalDpi="600" verticalDpi="600"/>
  <headerFooter alignWithMargins="0"/>
  <rowBreaks count="2" manualBreakCount="2">
    <brk id="32" max="18" man="1"/>
    <brk id="58" max="18"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72"/>
  <sheetViews>
    <sheetView topLeftCell="A49" workbookViewId="0">
      <selection activeCell="R90" sqref="R90"/>
    </sheetView>
  </sheetViews>
  <sheetFormatPr defaultColWidth="9" defaultRowHeight="12"/>
  <cols>
    <col min="1" max="1" width="4.5" style="168" customWidth="1"/>
    <col min="2" max="2" width="6.875" style="168" customWidth="1"/>
    <col min="3" max="3" width="6.5" style="168" customWidth="1"/>
    <col min="4" max="4" width="4.75" style="168" customWidth="1"/>
    <col min="5" max="6" width="4.625" style="168" customWidth="1"/>
    <col min="7" max="7" width="4.375" style="168" customWidth="1"/>
    <col min="8" max="8" width="5.25" style="168" customWidth="1"/>
    <col min="9" max="9" width="8.625" style="168" customWidth="1"/>
    <col min="10" max="10" width="4.5" style="168" customWidth="1"/>
    <col min="11" max="11" width="4.375" style="168" customWidth="1"/>
    <col min="12" max="12" width="8.5" style="168" customWidth="1"/>
    <col min="13" max="13" width="4.75" style="168" customWidth="1"/>
    <col min="14" max="14" width="5.625" style="168" customWidth="1"/>
    <col min="15" max="15" width="7.625" style="168" customWidth="1"/>
    <col min="16" max="16" width="4.25" style="168" customWidth="1"/>
    <col min="17" max="17" width="4.625" style="168" customWidth="1"/>
    <col min="18" max="18" width="4.375" style="168" customWidth="1"/>
    <col min="19" max="19" width="2.75" style="168" customWidth="1"/>
    <col min="20" max="20" width="0.625" style="40" customWidth="1"/>
    <col min="21" max="16384" width="9" style="168"/>
  </cols>
  <sheetData>
    <row r="1" ht="43.15" customHeight="1" spans="1:19">
      <c r="A1" s="7" t="s">
        <v>325</v>
      </c>
      <c r="B1" s="7"/>
      <c r="C1" s="7"/>
      <c r="D1" s="7"/>
      <c r="E1" s="7"/>
      <c r="F1" s="7"/>
      <c r="G1" s="7"/>
      <c r="H1" s="7"/>
      <c r="I1" s="7"/>
      <c r="J1" s="7"/>
      <c r="K1" s="7"/>
      <c r="L1" s="7"/>
      <c r="M1" s="7"/>
      <c r="N1" s="7"/>
      <c r="O1" s="7"/>
      <c r="P1" s="7"/>
      <c r="Q1" s="7"/>
      <c r="R1" s="7"/>
      <c r="S1" s="7"/>
    </row>
    <row r="2" ht="24.75" customHeight="1" spans="1:19">
      <c r="A2" s="8" t="s">
        <v>1</v>
      </c>
      <c r="B2" s="9" t="s">
        <v>2</v>
      </c>
      <c r="C2" s="10"/>
      <c r="D2" s="10"/>
      <c r="E2" s="288" t="s">
        <v>326</v>
      </c>
      <c r="F2" s="288"/>
      <c r="G2" s="288"/>
      <c r="H2" s="288"/>
      <c r="I2" s="288"/>
      <c r="J2" s="288"/>
      <c r="K2" s="288"/>
      <c r="L2" s="288"/>
      <c r="M2" s="288"/>
      <c r="N2" s="288"/>
      <c r="O2" s="288"/>
      <c r="P2" s="288"/>
      <c r="Q2" s="288"/>
      <c r="R2" s="288"/>
      <c r="S2" s="297"/>
    </row>
    <row r="3" s="205" customFormat="1" ht="19.5" customHeight="1" spans="1:20">
      <c r="A3" s="12"/>
      <c r="B3" s="13" t="s">
        <v>4</v>
      </c>
      <c r="C3" s="14"/>
      <c r="D3" s="14"/>
      <c r="E3" s="14"/>
      <c r="F3" s="14"/>
      <c r="G3" s="14"/>
      <c r="H3" s="15"/>
      <c r="I3" s="109" t="s">
        <v>5</v>
      </c>
      <c r="J3" s="15"/>
      <c r="K3" s="110" t="s">
        <v>327</v>
      </c>
      <c r="L3" s="111"/>
      <c r="M3" s="112"/>
      <c r="N3" s="109" t="s">
        <v>7</v>
      </c>
      <c r="O3" s="15"/>
      <c r="P3" s="110" t="s">
        <v>244</v>
      </c>
      <c r="Q3" s="111"/>
      <c r="R3" s="111"/>
      <c r="S3" s="152"/>
      <c r="T3" s="261"/>
    </row>
    <row r="4" s="205" customFormat="1" ht="21" customHeight="1" spans="1:20">
      <c r="A4" s="12"/>
      <c r="B4" s="16"/>
      <c r="C4" s="17"/>
      <c r="D4" s="17"/>
      <c r="E4" s="17"/>
      <c r="F4" s="17"/>
      <c r="G4" s="17"/>
      <c r="H4" s="18"/>
      <c r="I4" s="113"/>
      <c r="J4" s="18"/>
      <c r="K4" s="110" t="s">
        <v>178</v>
      </c>
      <c r="L4" s="111"/>
      <c r="M4" s="112"/>
      <c r="N4" s="113"/>
      <c r="O4" s="18"/>
      <c r="P4" s="110" t="s">
        <v>328</v>
      </c>
      <c r="Q4" s="111"/>
      <c r="R4" s="111"/>
      <c r="S4" s="152"/>
      <c r="T4" s="261"/>
    </row>
    <row r="5" s="205" customFormat="1" ht="23" customHeight="1" spans="1:20">
      <c r="A5" s="12"/>
      <c r="B5" s="19" t="s">
        <v>11</v>
      </c>
      <c r="C5" s="20"/>
      <c r="D5" s="20"/>
      <c r="E5" s="20"/>
      <c r="F5" s="20"/>
      <c r="G5" s="20"/>
      <c r="H5" s="21"/>
      <c r="I5" s="25" t="s">
        <v>329</v>
      </c>
      <c r="J5" s="20"/>
      <c r="K5" s="20"/>
      <c r="L5" s="20"/>
      <c r="M5" s="20"/>
      <c r="N5" s="20"/>
      <c r="O5" s="20"/>
      <c r="P5" s="20"/>
      <c r="Q5" s="20"/>
      <c r="R5" s="20"/>
      <c r="S5" s="154"/>
      <c r="T5" s="261"/>
    </row>
    <row r="6" ht="30" customHeight="1" spans="1:19">
      <c r="A6" s="12"/>
      <c r="B6" s="22" t="s">
        <v>13</v>
      </c>
      <c r="C6" s="23" t="s">
        <v>14</v>
      </c>
      <c r="D6" s="23"/>
      <c r="E6" s="23"/>
      <c r="F6" s="23"/>
      <c r="G6" s="23"/>
      <c r="H6" s="23"/>
      <c r="I6" s="54"/>
      <c r="J6" s="54"/>
      <c r="K6" s="54"/>
      <c r="L6" s="23" t="s">
        <v>16</v>
      </c>
      <c r="M6" s="23"/>
      <c r="N6" s="23"/>
      <c r="O6" s="23"/>
      <c r="P6" s="20" t="s">
        <v>330</v>
      </c>
      <c r="Q6" s="20"/>
      <c r="R6" s="20"/>
      <c r="S6" s="154"/>
    </row>
    <row r="7" ht="45.75" customHeight="1" spans="1:19">
      <c r="A7" s="12"/>
      <c r="B7" s="24"/>
      <c r="C7" s="23" t="s">
        <v>17</v>
      </c>
      <c r="D7" s="23"/>
      <c r="E7" s="23" t="s">
        <v>18</v>
      </c>
      <c r="F7" s="23"/>
      <c r="G7" s="23"/>
      <c r="H7" s="23"/>
      <c r="I7" s="23" t="s">
        <v>19</v>
      </c>
      <c r="J7" s="23"/>
      <c r="K7" s="23"/>
      <c r="L7" s="23" t="s">
        <v>20</v>
      </c>
      <c r="M7" s="23"/>
      <c r="N7" s="23" t="s">
        <v>21</v>
      </c>
      <c r="O7" s="23"/>
      <c r="P7" s="25" t="s">
        <v>22</v>
      </c>
      <c r="Q7" s="21"/>
      <c r="R7" s="20" t="s">
        <v>23</v>
      </c>
      <c r="S7" s="154"/>
    </row>
    <row r="8" ht="28.5" customHeight="1" spans="1:19">
      <c r="A8" s="12"/>
      <c r="B8" s="24"/>
      <c r="C8" s="23" t="s">
        <v>24</v>
      </c>
      <c r="D8" s="23"/>
      <c r="E8" s="23" t="s">
        <v>25</v>
      </c>
      <c r="F8" s="23"/>
      <c r="G8" s="23"/>
      <c r="H8" s="23"/>
      <c r="I8" s="208" t="s">
        <v>26</v>
      </c>
      <c r="J8" s="209"/>
      <c r="K8" s="218"/>
      <c r="L8" s="219" t="s">
        <v>283</v>
      </c>
      <c r="M8" s="219"/>
      <c r="N8" s="219" t="s">
        <v>283</v>
      </c>
      <c r="O8" s="219"/>
      <c r="P8" s="25" t="s">
        <v>283</v>
      </c>
      <c r="Q8" s="21"/>
      <c r="R8" s="283">
        <v>1</v>
      </c>
      <c r="S8" s="154"/>
    </row>
    <row r="9" ht="41" customHeight="1" spans="1:19">
      <c r="A9" s="12"/>
      <c r="B9" s="24"/>
      <c r="C9" s="23"/>
      <c r="D9" s="23"/>
      <c r="E9" s="23" t="s">
        <v>28</v>
      </c>
      <c r="F9" s="23" t="s">
        <v>28</v>
      </c>
      <c r="G9" s="23"/>
      <c r="H9" s="23"/>
      <c r="I9" s="208" t="s">
        <v>29</v>
      </c>
      <c r="J9" s="209"/>
      <c r="K9" s="218"/>
      <c r="L9" s="219" t="s">
        <v>331</v>
      </c>
      <c r="M9" s="219"/>
      <c r="N9" s="219" t="s">
        <v>332</v>
      </c>
      <c r="O9" s="219"/>
      <c r="P9" s="25" t="s">
        <v>333</v>
      </c>
      <c r="Q9" s="21"/>
      <c r="R9" s="283">
        <v>0.91</v>
      </c>
      <c r="S9" s="533"/>
    </row>
    <row r="10" ht="28.5" customHeight="1" spans="1:19">
      <c r="A10" s="12"/>
      <c r="B10" s="24"/>
      <c r="C10" s="23"/>
      <c r="D10" s="23"/>
      <c r="E10" s="23" t="s">
        <v>31</v>
      </c>
      <c r="F10" s="23" t="s">
        <v>31</v>
      </c>
      <c r="G10" s="23"/>
      <c r="H10" s="23"/>
      <c r="I10" s="208" t="s">
        <v>15</v>
      </c>
      <c r="J10" s="209"/>
      <c r="K10" s="218"/>
      <c r="L10" s="208" t="s">
        <v>15</v>
      </c>
      <c r="M10" s="209"/>
      <c r="N10" s="208" t="s">
        <v>15</v>
      </c>
      <c r="O10" s="209"/>
      <c r="P10" s="25" t="s">
        <v>15</v>
      </c>
      <c r="Q10" s="21"/>
      <c r="R10" s="20" t="s">
        <v>15</v>
      </c>
      <c r="S10" s="154"/>
    </row>
    <row r="11" ht="49" customHeight="1" spans="1:19">
      <c r="A11" s="12"/>
      <c r="B11" s="24"/>
      <c r="C11" s="23" t="s">
        <v>32</v>
      </c>
      <c r="D11" s="23"/>
      <c r="E11" s="23" t="s">
        <v>33</v>
      </c>
      <c r="F11" s="23" t="s">
        <v>33</v>
      </c>
      <c r="G11" s="23"/>
      <c r="H11" s="23"/>
      <c r="I11" s="208" t="s">
        <v>334</v>
      </c>
      <c r="J11" s="209"/>
      <c r="K11" s="218"/>
      <c r="L11" s="208" t="s">
        <v>334</v>
      </c>
      <c r="M11" s="209"/>
      <c r="N11" s="208" t="s">
        <v>334</v>
      </c>
      <c r="O11" s="209"/>
      <c r="P11" s="25" t="s">
        <v>36</v>
      </c>
      <c r="Q11" s="21"/>
      <c r="R11" s="283">
        <v>1</v>
      </c>
      <c r="S11" s="154"/>
    </row>
    <row r="12" ht="28.5" customHeight="1" spans="1:19">
      <c r="A12" s="12"/>
      <c r="B12" s="24"/>
      <c r="C12" s="23"/>
      <c r="D12" s="23"/>
      <c r="E12" s="23" t="s">
        <v>37</v>
      </c>
      <c r="F12" s="23" t="s">
        <v>37</v>
      </c>
      <c r="G12" s="23"/>
      <c r="H12" s="23"/>
      <c r="I12" s="208" t="s">
        <v>335</v>
      </c>
      <c r="J12" s="209"/>
      <c r="K12" s="218"/>
      <c r="L12" s="220">
        <v>1</v>
      </c>
      <c r="M12" s="209"/>
      <c r="N12" s="220">
        <v>1</v>
      </c>
      <c r="O12" s="209"/>
      <c r="P12" s="25" t="s">
        <v>336</v>
      </c>
      <c r="Q12" s="21"/>
      <c r="R12" s="283">
        <v>1</v>
      </c>
      <c r="S12" s="154"/>
    </row>
    <row r="13" ht="22" customHeight="1" spans="1:21">
      <c r="A13" s="12"/>
      <c r="B13" s="24"/>
      <c r="C13" s="23" t="s">
        <v>40</v>
      </c>
      <c r="D13" s="23"/>
      <c r="E13" s="23" t="s">
        <v>41</v>
      </c>
      <c r="F13" s="23" t="s">
        <v>41</v>
      </c>
      <c r="G13" s="23"/>
      <c r="H13" s="23"/>
      <c r="I13" s="223" t="s">
        <v>15</v>
      </c>
      <c r="J13" s="223"/>
      <c r="K13" s="223"/>
      <c r="L13" s="23" t="s">
        <v>15</v>
      </c>
      <c r="M13" s="23"/>
      <c r="N13" s="23" t="s">
        <v>15</v>
      </c>
      <c r="O13" s="23"/>
      <c r="P13" s="25" t="s">
        <v>15</v>
      </c>
      <c r="Q13" s="21"/>
      <c r="R13" s="20" t="s">
        <v>15</v>
      </c>
      <c r="S13" s="154"/>
      <c r="U13" s="530"/>
    </row>
    <row r="14" ht="28.5" customHeight="1" spans="1:21">
      <c r="A14" s="12"/>
      <c r="B14" s="24"/>
      <c r="C14" s="23"/>
      <c r="D14" s="23"/>
      <c r="E14" s="23" t="s">
        <v>42</v>
      </c>
      <c r="F14" s="23" t="s">
        <v>42</v>
      </c>
      <c r="G14" s="23"/>
      <c r="H14" s="23"/>
      <c r="I14" s="223" t="s">
        <v>337</v>
      </c>
      <c r="J14" s="223"/>
      <c r="K14" s="223"/>
      <c r="L14" s="23" t="s">
        <v>338</v>
      </c>
      <c r="M14" s="23"/>
      <c r="N14" s="23" t="s">
        <v>338</v>
      </c>
      <c r="O14" s="23"/>
      <c r="P14" s="25" t="s">
        <v>338</v>
      </c>
      <c r="Q14" s="21"/>
      <c r="R14" s="283">
        <v>1</v>
      </c>
      <c r="S14" s="154"/>
      <c r="U14" s="530"/>
    </row>
    <row r="15" ht="23" customHeight="1" spans="1:21">
      <c r="A15" s="12"/>
      <c r="B15" s="24"/>
      <c r="C15" s="23"/>
      <c r="D15" s="23"/>
      <c r="E15" s="23" t="s">
        <v>46</v>
      </c>
      <c r="F15" s="23" t="s">
        <v>46</v>
      </c>
      <c r="G15" s="23"/>
      <c r="H15" s="23"/>
      <c r="I15" s="223" t="s">
        <v>15</v>
      </c>
      <c r="J15" s="223"/>
      <c r="K15" s="223"/>
      <c r="L15" s="23" t="s">
        <v>15</v>
      </c>
      <c r="M15" s="23"/>
      <c r="N15" s="23" t="s">
        <v>15</v>
      </c>
      <c r="O15" s="23"/>
      <c r="P15" s="25" t="s">
        <v>15</v>
      </c>
      <c r="Q15" s="21"/>
      <c r="R15" s="20" t="s">
        <v>15</v>
      </c>
      <c r="S15" s="154"/>
      <c r="U15" s="530"/>
    </row>
    <row r="16" ht="22" customHeight="1" spans="1:21">
      <c r="A16" s="12"/>
      <c r="B16" s="24"/>
      <c r="C16" s="23"/>
      <c r="D16" s="23"/>
      <c r="E16" s="23" t="s">
        <v>50</v>
      </c>
      <c r="F16" s="23" t="s">
        <v>50</v>
      </c>
      <c r="G16" s="23"/>
      <c r="H16" s="23"/>
      <c r="I16" s="223" t="s">
        <v>15</v>
      </c>
      <c r="J16" s="223"/>
      <c r="K16" s="223"/>
      <c r="L16" s="23" t="s">
        <v>15</v>
      </c>
      <c r="M16" s="23"/>
      <c r="N16" s="23" t="s">
        <v>15</v>
      </c>
      <c r="O16" s="23"/>
      <c r="P16" s="25" t="s">
        <v>15</v>
      </c>
      <c r="Q16" s="21"/>
      <c r="R16" s="20" t="s">
        <v>15</v>
      </c>
      <c r="S16" s="154"/>
      <c r="U16" s="530"/>
    </row>
    <row r="17" ht="36" customHeight="1" spans="1:19">
      <c r="A17" s="12"/>
      <c r="B17" s="26"/>
      <c r="C17" s="23"/>
      <c r="D17" s="23"/>
      <c r="E17" s="23" t="s">
        <v>51</v>
      </c>
      <c r="F17" s="23" t="s">
        <v>52</v>
      </c>
      <c r="G17" s="23"/>
      <c r="H17" s="23"/>
      <c r="I17" s="219" t="s">
        <v>339</v>
      </c>
      <c r="J17" s="219"/>
      <c r="K17" s="219"/>
      <c r="L17" s="219" t="s">
        <v>340</v>
      </c>
      <c r="M17" s="219"/>
      <c r="N17" s="219" t="s">
        <v>340</v>
      </c>
      <c r="O17" s="219"/>
      <c r="P17" s="208" t="s">
        <v>340</v>
      </c>
      <c r="Q17" s="218"/>
      <c r="R17" s="224">
        <v>1</v>
      </c>
      <c r="S17" s="262"/>
    </row>
    <row r="18" ht="33" customHeight="1" spans="1:19">
      <c r="A18" s="12"/>
      <c r="B18" s="19" t="s">
        <v>55</v>
      </c>
      <c r="C18" s="20"/>
      <c r="D18" s="21"/>
      <c r="E18" s="25" t="s">
        <v>341</v>
      </c>
      <c r="F18" s="20"/>
      <c r="G18" s="20"/>
      <c r="H18" s="20"/>
      <c r="I18" s="25" t="s">
        <v>56</v>
      </c>
      <c r="J18" s="20"/>
      <c r="K18" s="21"/>
      <c r="L18" s="25" t="s">
        <v>15</v>
      </c>
      <c r="M18" s="20"/>
      <c r="N18" s="20"/>
      <c r="O18" s="20"/>
      <c r="P18" s="20"/>
      <c r="Q18" s="20"/>
      <c r="R18" s="20"/>
      <c r="S18" s="154"/>
    </row>
    <row r="19" ht="23.25" customHeight="1" spans="1:19">
      <c r="A19" s="12"/>
      <c r="B19" s="27" t="s">
        <v>58</v>
      </c>
      <c r="C19" s="28"/>
      <c r="D19" s="28"/>
      <c r="E19" s="28"/>
      <c r="F19" s="28"/>
      <c r="G19" s="28"/>
      <c r="H19" s="28"/>
      <c r="I19" s="50" t="s">
        <v>342</v>
      </c>
      <c r="J19" s="50"/>
      <c r="K19" s="50"/>
      <c r="L19" s="50"/>
      <c r="M19" s="50"/>
      <c r="N19" s="50"/>
      <c r="O19" s="50"/>
      <c r="P19" s="50"/>
      <c r="Q19" s="50"/>
      <c r="R19" s="50"/>
      <c r="S19" s="163"/>
    </row>
    <row r="20" ht="23.25" customHeight="1" spans="1:19">
      <c r="A20" s="29"/>
      <c r="B20" s="30"/>
      <c r="C20" s="31"/>
      <c r="D20" s="31"/>
      <c r="E20" s="31"/>
      <c r="F20" s="31"/>
      <c r="G20" s="31"/>
      <c r="H20" s="31"/>
      <c r="I20" s="85" t="s">
        <v>60</v>
      </c>
      <c r="J20" s="85"/>
      <c r="K20" s="85"/>
      <c r="L20" s="85"/>
      <c r="M20" s="85"/>
      <c r="N20" s="85"/>
      <c r="O20" s="85"/>
      <c r="P20" s="85"/>
      <c r="Q20" s="85"/>
      <c r="R20" s="85"/>
      <c r="S20" s="164"/>
    </row>
    <row r="21" spans="1:19">
      <c r="A21" s="32" t="s">
        <v>61</v>
      </c>
      <c r="B21" s="33"/>
      <c r="C21" s="33"/>
      <c r="D21" s="33"/>
      <c r="E21" s="34" t="s">
        <v>62</v>
      </c>
      <c r="F21" s="35"/>
      <c r="G21" s="35"/>
      <c r="H21" s="36"/>
      <c r="I21" s="128" t="s">
        <v>63</v>
      </c>
      <c r="J21" s="128"/>
      <c r="K21" s="128"/>
      <c r="L21" s="128"/>
      <c r="M21" s="128"/>
      <c r="N21" s="128"/>
      <c r="O21" s="128"/>
      <c r="P21" s="128"/>
      <c r="Q21" s="128"/>
      <c r="R21" s="128"/>
      <c r="S21" s="165"/>
    </row>
    <row r="22" ht="12.75" customHeight="1" spans="1:19">
      <c r="A22" s="37"/>
      <c r="B22" s="38"/>
      <c r="C22" s="38"/>
      <c r="D22" s="38"/>
      <c r="E22" s="39"/>
      <c r="F22" s="40"/>
      <c r="G22" s="40"/>
      <c r="H22" s="41"/>
      <c r="I22" s="55" t="s">
        <v>64</v>
      </c>
      <c r="J22" s="55"/>
      <c r="K22" s="54" t="s">
        <v>65</v>
      </c>
      <c r="L22" s="54"/>
      <c r="M22" s="54"/>
      <c r="N22" s="54"/>
      <c r="O22" s="54" t="s">
        <v>66</v>
      </c>
      <c r="P22" s="54"/>
      <c r="Q22" s="54"/>
      <c r="R22" s="54" t="s">
        <v>67</v>
      </c>
      <c r="S22" s="166"/>
    </row>
    <row r="23" s="206" customFormat="1" ht="36" customHeight="1" spans="1:21">
      <c r="A23" s="42"/>
      <c r="B23" s="38"/>
      <c r="C23" s="38"/>
      <c r="D23" s="38"/>
      <c r="E23" s="39"/>
      <c r="F23" s="40"/>
      <c r="G23" s="40"/>
      <c r="H23" s="41"/>
      <c r="I23" s="54" t="s">
        <v>68</v>
      </c>
      <c r="J23" s="54" t="s">
        <v>69</v>
      </c>
      <c r="K23" s="54" t="s">
        <v>70</v>
      </c>
      <c r="L23" s="54" t="s">
        <v>71</v>
      </c>
      <c r="M23" s="54" t="s">
        <v>72</v>
      </c>
      <c r="N23" s="54"/>
      <c r="O23" s="54" t="s">
        <v>73</v>
      </c>
      <c r="P23" s="54" t="s">
        <v>74</v>
      </c>
      <c r="Q23" s="129"/>
      <c r="R23" s="54"/>
      <c r="S23" s="166"/>
      <c r="T23" s="40"/>
      <c r="U23" s="40"/>
    </row>
    <row r="24" s="206" customFormat="1" spans="1:21">
      <c r="A24" s="42"/>
      <c r="B24" s="38"/>
      <c r="C24" s="38"/>
      <c r="D24" s="38"/>
      <c r="E24" s="43"/>
      <c r="F24" s="44"/>
      <c r="G24" s="44"/>
      <c r="H24" s="45"/>
      <c r="I24" s="54"/>
      <c r="J24" s="54"/>
      <c r="K24" s="54"/>
      <c r="L24" s="54"/>
      <c r="M24" s="54"/>
      <c r="N24" s="54"/>
      <c r="O24" s="54"/>
      <c r="P24" s="129"/>
      <c r="Q24" s="129"/>
      <c r="R24" s="54"/>
      <c r="S24" s="166"/>
      <c r="T24" s="40"/>
      <c r="U24" s="40"/>
    </row>
    <row r="25" ht="24" customHeight="1" spans="1:19">
      <c r="A25" s="42"/>
      <c r="B25" s="46" t="s">
        <v>75</v>
      </c>
      <c r="C25" s="46"/>
      <c r="D25" s="46"/>
      <c r="E25" s="47">
        <v>1500</v>
      </c>
      <c r="F25" s="48"/>
      <c r="G25" s="48"/>
      <c r="H25" s="49"/>
      <c r="I25" s="55">
        <v>1500</v>
      </c>
      <c r="J25" s="55" t="s">
        <v>15</v>
      </c>
      <c r="K25" s="54">
        <v>1500</v>
      </c>
      <c r="L25" s="132">
        <v>1</v>
      </c>
      <c r="M25" s="54" t="s">
        <v>15</v>
      </c>
      <c r="N25" s="54"/>
      <c r="O25" s="38">
        <v>1365</v>
      </c>
      <c r="P25" s="225">
        <v>0.91</v>
      </c>
      <c r="Q25" s="54"/>
      <c r="R25" s="38">
        <v>135</v>
      </c>
      <c r="S25" s="167"/>
    </row>
    <row r="26" ht="24" customHeight="1" spans="1:19">
      <c r="A26" s="42"/>
      <c r="B26" s="50" t="s">
        <v>77</v>
      </c>
      <c r="C26" s="50"/>
      <c r="D26" s="50"/>
      <c r="E26" s="47">
        <v>1500</v>
      </c>
      <c r="F26" s="48"/>
      <c r="G26" s="48"/>
      <c r="H26" s="49"/>
      <c r="I26" s="55">
        <v>1500</v>
      </c>
      <c r="J26" s="55" t="s">
        <v>15</v>
      </c>
      <c r="K26" s="54">
        <v>1500</v>
      </c>
      <c r="L26" s="132">
        <v>1</v>
      </c>
      <c r="M26" s="54" t="s">
        <v>15</v>
      </c>
      <c r="N26" s="54"/>
      <c r="O26" s="38">
        <v>1365</v>
      </c>
      <c r="P26" s="225">
        <v>0.91</v>
      </c>
      <c r="Q26" s="54"/>
      <c r="R26" s="38">
        <v>135</v>
      </c>
      <c r="S26" s="167"/>
    </row>
    <row r="27" ht="20" customHeight="1" spans="1:19">
      <c r="A27" s="42"/>
      <c r="B27" s="50" t="s">
        <v>78</v>
      </c>
      <c r="C27" s="50"/>
      <c r="D27" s="50"/>
      <c r="E27" s="47">
        <v>0</v>
      </c>
      <c r="F27" s="48"/>
      <c r="G27" s="48"/>
      <c r="H27" s="49"/>
      <c r="I27" s="530">
        <v>0</v>
      </c>
      <c r="J27" s="55" t="s">
        <v>15</v>
      </c>
      <c r="K27" s="54">
        <v>0</v>
      </c>
      <c r="L27" s="54">
        <v>0</v>
      </c>
      <c r="M27" s="54" t="s">
        <v>15</v>
      </c>
      <c r="N27" s="54"/>
      <c r="O27" s="38">
        <v>0</v>
      </c>
      <c r="P27" s="54">
        <v>0</v>
      </c>
      <c r="Q27" s="54"/>
      <c r="R27" s="38">
        <v>0</v>
      </c>
      <c r="S27" s="167"/>
    </row>
    <row r="28" ht="20" customHeight="1" spans="1:19">
      <c r="A28" s="42"/>
      <c r="B28" s="50" t="s">
        <v>79</v>
      </c>
      <c r="C28" s="50"/>
      <c r="D28" s="50"/>
      <c r="E28" s="47">
        <v>0</v>
      </c>
      <c r="F28" s="48"/>
      <c r="G28" s="48"/>
      <c r="H28" s="49"/>
      <c r="I28" s="55">
        <v>0</v>
      </c>
      <c r="J28" s="55" t="s">
        <v>15</v>
      </c>
      <c r="K28" s="54">
        <v>0</v>
      </c>
      <c r="L28" s="55">
        <v>0</v>
      </c>
      <c r="M28" s="54" t="s">
        <v>15</v>
      </c>
      <c r="N28" s="54"/>
      <c r="O28" s="38">
        <v>0</v>
      </c>
      <c r="P28" s="54">
        <v>0</v>
      </c>
      <c r="Q28" s="54"/>
      <c r="R28" s="38">
        <v>0</v>
      </c>
      <c r="S28" s="167"/>
    </row>
    <row r="29" ht="24" customHeight="1" spans="1:19">
      <c r="A29" s="42"/>
      <c r="B29" s="50" t="s">
        <v>80</v>
      </c>
      <c r="C29" s="50"/>
      <c r="D29" s="50"/>
      <c r="E29" s="47">
        <v>1500</v>
      </c>
      <c r="F29" s="48"/>
      <c r="G29" s="48"/>
      <c r="H29" s="49"/>
      <c r="I29" s="55">
        <v>1500</v>
      </c>
      <c r="J29" s="55" t="s">
        <v>15</v>
      </c>
      <c r="K29" s="54">
        <v>1500</v>
      </c>
      <c r="L29" s="132">
        <v>1</v>
      </c>
      <c r="M29" s="54" t="s">
        <v>15</v>
      </c>
      <c r="N29" s="54"/>
      <c r="O29" s="38">
        <v>1365</v>
      </c>
      <c r="P29" s="225">
        <v>0.91</v>
      </c>
      <c r="Q29" s="54"/>
      <c r="R29" s="38">
        <v>135</v>
      </c>
      <c r="S29" s="167"/>
    </row>
    <row r="30" ht="17" customHeight="1" spans="1:19">
      <c r="A30" s="42"/>
      <c r="B30" s="50" t="s">
        <v>82</v>
      </c>
      <c r="C30" s="50"/>
      <c r="D30" s="50"/>
      <c r="E30" s="47">
        <v>0</v>
      </c>
      <c r="F30" s="48"/>
      <c r="G30" s="48"/>
      <c r="H30" s="49"/>
      <c r="I30" s="55">
        <v>0</v>
      </c>
      <c r="J30" s="55" t="s">
        <v>15</v>
      </c>
      <c r="K30" s="54">
        <v>0</v>
      </c>
      <c r="L30" s="54">
        <v>0</v>
      </c>
      <c r="M30" s="54" t="s">
        <v>15</v>
      </c>
      <c r="N30" s="54"/>
      <c r="O30" s="38">
        <v>0</v>
      </c>
      <c r="P30" s="54">
        <v>0</v>
      </c>
      <c r="Q30" s="54"/>
      <c r="R30" s="38">
        <v>0</v>
      </c>
      <c r="S30" s="167"/>
    </row>
    <row r="31" ht="24" customHeight="1" spans="1:19">
      <c r="A31" s="42"/>
      <c r="B31" s="54" t="s">
        <v>83</v>
      </c>
      <c r="C31" s="55"/>
      <c r="D31" s="56" t="s">
        <v>84</v>
      </c>
      <c r="E31" s="57" t="s">
        <v>85</v>
      </c>
      <c r="F31" s="57"/>
      <c r="G31" s="57"/>
      <c r="H31" s="57"/>
      <c r="I31" s="57"/>
      <c r="J31" s="57"/>
      <c r="K31" s="57"/>
      <c r="L31" s="57"/>
      <c r="M31" s="57"/>
      <c r="N31" s="57"/>
      <c r="O31" s="57"/>
      <c r="P31" s="57" t="s">
        <v>86</v>
      </c>
      <c r="Q31" s="57"/>
      <c r="R31" s="57"/>
      <c r="S31" s="170"/>
    </row>
    <row r="32" ht="24" customHeight="1" spans="1:19">
      <c r="A32" s="42"/>
      <c r="B32" s="55"/>
      <c r="C32" s="55"/>
      <c r="D32" s="54">
        <v>1</v>
      </c>
      <c r="E32" s="57" t="s">
        <v>343</v>
      </c>
      <c r="F32" s="57"/>
      <c r="G32" s="57"/>
      <c r="H32" s="57"/>
      <c r="I32" s="57"/>
      <c r="J32" s="57"/>
      <c r="K32" s="57"/>
      <c r="L32" s="57"/>
      <c r="M32" s="57"/>
      <c r="N32" s="57"/>
      <c r="O32" s="57"/>
      <c r="P32" s="57">
        <v>125.9453</v>
      </c>
      <c r="Q32" s="57"/>
      <c r="R32" s="57"/>
      <c r="S32" s="170"/>
    </row>
    <row r="33" ht="24" customHeight="1" spans="1:19">
      <c r="A33" s="42"/>
      <c r="B33" s="55"/>
      <c r="C33" s="55"/>
      <c r="D33" s="54">
        <v>2</v>
      </c>
      <c r="E33" s="57" t="s">
        <v>344</v>
      </c>
      <c r="F33" s="57"/>
      <c r="G33" s="57"/>
      <c r="H33" s="57"/>
      <c r="I33" s="57"/>
      <c r="J33" s="57"/>
      <c r="K33" s="57"/>
      <c r="L33" s="57"/>
      <c r="M33" s="57"/>
      <c r="N33" s="57"/>
      <c r="O33" s="57"/>
      <c r="P33" s="57">
        <v>787.5517</v>
      </c>
      <c r="Q33" s="57"/>
      <c r="R33" s="57"/>
      <c r="S33" s="170"/>
    </row>
    <row r="34" ht="24" customHeight="1" spans="1:19">
      <c r="A34" s="58"/>
      <c r="B34" s="59"/>
      <c r="C34" s="59"/>
      <c r="D34" s="54">
        <v>3</v>
      </c>
      <c r="E34" s="57" t="s">
        <v>345</v>
      </c>
      <c r="F34" s="57"/>
      <c r="G34" s="57"/>
      <c r="H34" s="57"/>
      <c r="I34" s="57"/>
      <c r="J34" s="57"/>
      <c r="K34" s="57"/>
      <c r="L34" s="57"/>
      <c r="M34" s="57"/>
      <c r="N34" s="57"/>
      <c r="O34" s="57"/>
      <c r="P34" s="57">
        <v>397.9127</v>
      </c>
      <c r="Q34" s="57"/>
      <c r="R34" s="57"/>
      <c r="S34" s="170"/>
    </row>
    <row r="35" ht="24" customHeight="1" spans="1:19">
      <c r="A35" s="58"/>
      <c r="B35" s="59"/>
      <c r="C35" s="59"/>
      <c r="D35" s="54">
        <v>4</v>
      </c>
      <c r="E35" s="57" t="s">
        <v>346</v>
      </c>
      <c r="F35" s="57"/>
      <c r="G35" s="57"/>
      <c r="H35" s="57"/>
      <c r="I35" s="57"/>
      <c r="J35" s="57"/>
      <c r="K35" s="57"/>
      <c r="L35" s="57"/>
      <c r="M35" s="57"/>
      <c r="N35" s="57"/>
      <c r="O35" s="57"/>
      <c r="P35" s="57">
        <v>54.0077</v>
      </c>
      <c r="Q35" s="57"/>
      <c r="R35" s="57"/>
      <c r="S35" s="170"/>
    </row>
    <row r="36" ht="20" customHeight="1" spans="1:19">
      <c r="A36" s="60"/>
      <c r="B36" s="61"/>
      <c r="C36" s="61"/>
      <c r="D36" s="168" t="s">
        <v>91</v>
      </c>
      <c r="E36" s="57" t="s">
        <v>15</v>
      </c>
      <c r="F36" s="57"/>
      <c r="G36" s="57"/>
      <c r="H36" s="57"/>
      <c r="I36" s="57"/>
      <c r="J36" s="57"/>
      <c r="K36" s="57"/>
      <c r="L36" s="57"/>
      <c r="M36" s="57"/>
      <c r="N36" s="57"/>
      <c r="O36" s="57"/>
      <c r="P36" s="57">
        <f>SUM(P32:S35)</f>
        <v>1365.4174</v>
      </c>
      <c r="Q36" s="57"/>
      <c r="R36" s="57"/>
      <c r="S36" s="170"/>
    </row>
    <row r="37" ht="39" customHeight="1" spans="1:20">
      <c r="A37" s="62" t="s">
        <v>92</v>
      </c>
      <c r="B37" s="9" t="s">
        <v>93</v>
      </c>
      <c r="C37" s="10"/>
      <c r="D37" s="10"/>
      <c r="E37" s="10" t="s">
        <v>94</v>
      </c>
      <c r="F37" s="10"/>
      <c r="G37" s="10"/>
      <c r="H37" s="10" t="s">
        <v>95</v>
      </c>
      <c r="I37" s="10"/>
      <c r="J37" s="10" t="s">
        <v>96</v>
      </c>
      <c r="K37" s="10"/>
      <c r="L37" s="10"/>
      <c r="M37" s="10"/>
      <c r="N37" s="10"/>
      <c r="O37" s="10"/>
      <c r="P37" s="133" t="s">
        <v>97</v>
      </c>
      <c r="Q37" s="147"/>
      <c r="R37" s="10" t="s">
        <v>98</v>
      </c>
      <c r="S37" s="171"/>
      <c r="T37" s="99"/>
    </row>
    <row r="38" ht="42" customHeight="1" spans="1:20">
      <c r="A38" s="63"/>
      <c r="B38" s="64" t="s">
        <v>99</v>
      </c>
      <c r="C38" s="65"/>
      <c r="D38" s="66"/>
      <c r="E38" s="54" t="s">
        <v>100</v>
      </c>
      <c r="F38" s="54"/>
      <c r="G38" s="54"/>
      <c r="H38" s="67" t="s">
        <v>215</v>
      </c>
      <c r="I38" s="66"/>
      <c r="J38" s="143" t="s">
        <v>102</v>
      </c>
      <c r="K38" s="143"/>
      <c r="L38" s="143"/>
      <c r="M38" s="143"/>
      <c r="N38" s="143"/>
      <c r="O38" s="143"/>
      <c r="P38" s="229">
        <v>0.1</v>
      </c>
      <c r="Q38" s="267"/>
      <c r="R38" s="23">
        <v>10</v>
      </c>
      <c r="S38" s="173"/>
      <c r="T38" s="99"/>
    </row>
    <row r="39" ht="44" customHeight="1" spans="1:20">
      <c r="A39" s="63"/>
      <c r="B39" s="68"/>
      <c r="C39" s="69"/>
      <c r="D39" s="70"/>
      <c r="E39" s="71" t="s">
        <v>216</v>
      </c>
      <c r="F39" s="72"/>
      <c r="G39" s="73"/>
      <c r="H39" s="51" t="s">
        <v>104</v>
      </c>
      <c r="I39" s="53"/>
      <c r="J39" s="230" t="s">
        <v>347</v>
      </c>
      <c r="K39" s="231"/>
      <c r="L39" s="231"/>
      <c r="M39" s="231"/>
      <c r="N39" s="231"/>
      <c r="O39" s="232"/>
      <c r="P39" s="233">
        <v>0.1</v>
      </c>
      <c r="Q39" s="172"/>
      <c r="R39" s="25">
        <v>10</v>
      </c>
      <c r="S39" s="154"/>
      <c r="T39" s="99"/>
    </row>
    <row r="40" ht="71" customHeight="1" spans="1:20">
      <c r="A40" s="63"/>
      <c r="B40" s="68"/>
      <c r="C40" s="69"/>
      <c r="D40" s="70"/>
      <c r="E40" s="71" t="s">
        <v>106</v>
      </c>
      <c r="F40" s="72"/>
      <c r="G40" s="73"/>
      <c r="H40" s="67" t="s">
        <v>107</v>
      </c>
      <c r="I40" s="66"/>
      <c r="J40" s="234" t="s">
        <v>108</v>
      </c>
      <c r="K40" s="234"/>
      <c r="L40" s="234"/>
      <c r="M40" s="234"/>
      <c r="N40" s="234"/>
      <c r="O40" s="234"/>
      <c r="P40" s="235">
        <v>0.1</v>
      </c>
      <c r="Q40" s="268"/>
      <c r="R40" s="23">
        <v>6</v>
      </c>
      <c r="S40" s="173"/>
      <c r="T40" s="99"/>
    </row>
    <row r="41" ht="48.6" customHeight="1" spans="1:19">
      <c r="A41" s="63"/>
      <c r="B41" s="74" t="s">
        <v>109</v>
      </c>
      <c r="C41" s="75"/>
      <c r="D41" s="76"/>
      <c r="E41" s="77" t="s">
        <v>110</v>
      </c>
      <c r="F41" s="77"/>
      <c r="G41" s="77"/>
      <c r="H41" s="78" t="s">
        <v>111</v>
      </c>
      <c r="I41" s="78"/>
      <c r="J41" s="236" t="s">
        <v>112</v>
      </c>
      <c r="K41" s="237"/>
      <c r="L41" s="237"/>
      <c r="M41" s="237"/>
      <c r="N41" s="237"/>
      <c r="O41" s="238"/>
      <c r="P41" s="174">
        <v>0.06</v>
      </c>
      <c r="Q41" s="174"/>
      <c r="R41" s="10">
        <v>6</v>
      </c>
      <c r="S41" s="175"/>
    </row>
    <row r="42" ht="39" customHeight="1" spans="1:19">
      <c r="A42" s="63"/>
      <c r="B42" s="68"/>
      <c r="C42" s="69"/>
      <c r="D42" s="70"/>
      <c r="E42" s="528"/>
      <c r="F42" s="528"/>
      <c r="G42" s="528"/>
      <c r="H42" s="214" t="s">
        <v>113</v>
      </c>
      <c r="I42" s="214"/>
      <c r="J42" s="239" t="s">
        <v>114</v>
      </c>
      <c r="K42" s="240"/>
      <c r="L42" s="240"/>
      <c r="M42" s="240"/>
      <c r="N42" s="240"/>
      <c r="O42" s="241"/>
      <c r="P42" s="144">
        <v>0.06</v>
      </c>
      <c r="Q42" s="144"/>
      <c r="R42" s="113">
        <v>6</v>
      </c>
      <c r="S42" s="534"/>
    </row>
    <row r="43" ht="60" customHeight="1" spans="1:19">
      <c r="A43" s="63"/>
      <c r="B43" s="68"/>
      <c r="C43" s="69"/>
      <c r="D43" s="70"/>
      <c r="E43" s="528"/>
      <c r="F43" s="528"/>
      <c r="G43" s="528"/>
      <c r="H43" s="214" t="s">
        <v>115</v>
      </c>
      <c r="I43" s="214"/>
      <c r="J43" s="239" t="s">
        <v>116</v>
      </c>
      <c r="K43" s="240"/>
      <c r="L43" s="240"/>
      <c r="M43" s="240"/>
      <c r="N43" s="240"/>
      <c r="O43" s="241"/>
      <c r="P43" s="233">
        <v>0.06</v>
      </c>
      <c r="Q43" s="172"/>
      <c r="R43" s="23">
        <v>4</v>
      </c>
      <c r="S43" s="173"/>
    </row>
    <row r="44" s="205" customFormat="1" ht="43" customHeight="1" spans="1:20">
      <c r="A44" s="63"/>
      <c r="B44" s="79"/>
      <c r="C44" s="69"/>
      <c r="D44" s="70"/>
      <c r="E44" s="71" t="s">
        <v>117</v>
      </c>
      <c r="F44" s="72"/>
      <c r="G44" s="73"/>
      <c r="H44" s="54" t="s">
        <v>118</v>
      </c>
      <c r="I44" s="54"/>
      <c r="J44" s="51" t="s">
        <v>119</v>
      </c>
      <c r="K44" s="52"/>
      <c r="L44" s="52"/>
      <c r="M44" s="52"/>
      <c r="N44" s="52"/>
      <c r="O44" s="53"/>
      <c r="P44" s="144">
        <v>0.06</v>
      </c>
      <c r="Q44" s="144"/>
      <c r="R44" s="23">
        <v>6</v>
      </c>
      <c r="S44" s="173"/>
      <c r="T44" s="40"/>
    </row>
    <row r="45" s="205" customFormat="1" ht="54" customHeight="1" spans="1:20">
      <c r="A45" s="63"/>
      <c r="B45" s="79"/>
      <c r="C45" s="69"/>
      <c r="D45" s="70"/>
      <c r="E45" s="39"/>
      <c r="F45" s="40"/>
      <c r="G45" s="41"/>
      <c r="H45" s="84" t="s">
        <v>120</v>
      </c>
      <c r="I45" s="84"/>
      <c r="J45" s="242" t="s">
        <v>121</v>
      </c>
      <c r="K45" s="243"/>
      <c r="L45" s="243"/>
      <c r="M45" s="243"/>
      <c r="N45" s="243"/>
      <c r="O45" s="244"/>
      <c r="P45" s="146">
        <v>0.06</v>
      </c>
      <c r="Q45" s="146"/>
      <c r="R45" s="109">
        <v>6</v>
      </c>
      <c r="S45" s="535"/>
      <c r="T45" s="40"/>
    </row>
    <row r="46" ht="37" customHeight="1" spans="1:32">
      <c r="A46" s="63"/>
      <c r="B46" s="74" t="s">
        <v>348</v>
      </c>
      <c r="C46" s="75"/>
      <c r="D46" s="76"/>
      <c r="E46" s="34" t="s">
        <v>123</v>
      </c>
      <c r="F46" s="35"/>
      <c r="G46" s="36"/>
      <c r="H46" s="77" t="s">
        <v>124</v>
      </c>
      <c r="I46" s="77"/>
      <c r="J46" s="246" t="s">
        <v>349</v>
      </c>
      <c r="K46" s="247"/>
      <c r="L46" s="247"/>
      <c r="M46" s="247"/>
      <c r="N46" s="247"/>
      <c r="O46" s="248"/>
      <c r="P46" s="140">
        <v>0.04</v>
      </c>
      <c r="Q46" s="174"/>
      <c r="R46" s="10">
        <v>4</v>
      </c>
      <c r="S46" s="175"/>
      <c r="X46" s="205"/>
      <c r="Y46" s="205"/>
      <c r="Z46" s="205"/>
      <c r="AA46" s="205"/>
      <c r="AB46" s="205"/>
      <c r="AC46" s="205"/>
      <c r="AD46" s="205"/>
      <c r="AE46" s="205"/>
      <c r="AF46" s="205"/>
    </row>
    <row r="47" ht="44" customHeight="1" spans="1:19">
      <c r="A47" s="63"/>
      <c r="B47" s="68"/>
      <c r="C47" s="69"/>
      <c r="D47" s="70"/>
      <c r="E47" s="43"/>
      <c r="F47" s="44"/>
      <c r="G47" s="45"/>
      <c r="H47" s="54" t="s">
        <v>126</v>
      </c>
      <c r="I47" s="54"/>
      <c r="J47" s="51" t="s">
        <v>350</v>
      </c>
      <c r="K47" s="52"/>
      <c r="L47" s="52"/>
      <c r="M47" s="52"/>
      <c r="N47" s="52"/>
      <c r="O47" s="53"/>
      <c r="P47" s="135">
        <v>0.06</v>
      </c>
      <c r="Q47" s="172"/>
      <c r="R47" s="25">
        <v>6</v>
      </c>
      <c r="S47" s="154"/>
    </row>
    <row r="48" ht="26" customHeight="1" spans="1:19">
      <c r="A48" s="63"/>
      <c r="B48" s="79"/>
      <c r="C48" s="69"/>
      <c r="D48" s="70"/>
      <c r="E48" s="54" t="s">
        <v>128</v>
      </c>
      <c r="F48" s="54"/>
      <c r="G48" s="54"/>
      <c r="H48" s="50" t="s">
        <v>136</v>
      </c>
      <c r="I48" s="50"/>
      <c r="J48" s="134" t="s">
        <v>351</v>
      </c>
      <c r="K48" s="134"/>
      <c r="L48" s="134"/>
      <c r="M48" s="134"/>
      <c r="N48" s="134"/>
      <c r="O48" s="134"/>
      <c r="P48" s="531">
        <v>0.1</v>
      </c>
      <c r="Q48" s="144"/>
      <c r="R48" s="23">
        <v>10</v>
      </c>
      <c r="S48" s="173"/>
    </row>
    <row r="49" ht="21" customHeight="1" spans="1:19">
      <c r="A49" s="63"/>
      <c r="B49" s="79"/>
      <c r="C49" s="69"/>
      <c r="D49" s="70"/>
      <c r="E49" s="54" t="s">
        <v>138</v>
      </c>
      <c r="F49" s="54"/>
      <c r="G49" s="54"/>
      <c r="H49" s="50" t="s">
        <v>15</v>
      </c>
      <c r="I49" s="50"/>
      <c r="J49" s="532" t="s">
        <v>15</v>
      </c>
      <c r="K49" s="532"/>
      <c r="L49" s="532"/>
      <c r="M49" s="532"/>
      <c r="N49" s="532"/>
      <c r="O49" s="532"/>
      <c r="P49" s="144" t="s">
        <v>15</v>
      </c>
      <c r="Q49" s="144"/>
      <c r="R49" s="23" t="s">
        <v>15</v>
      </c>
      <c r="S49" s="173"/>
    </row>
    <row r="50" ht="42" customHeight="1" spans="1:19">
      <c r="A50" s="63"/>
      <c r="B50" s="79"/>
      <c r="C50" s="69"/>
      <c r="D50" s="70"/>
      <c r="E50" s="54" t="s">
        <v>141</v>
      </c>
      <c r="F50" s="54"/>
      <c r="G50" s="54"/>
      <c r="H50" s="50" t="s">
        <v>337</v>
      </c>
      <c r="I50" s="50"/>
      <c r="J50" s="134" t="s">
        <v>352</v>
      </c>
      <c r="K50" s="134"/>
      <c r="L50" s="134"/>
      <c r="M50" s="134"/>
      <c r="N50" s="134"/>
      <c r="O50" s="134"/>
      <c r="P50" s="531">
        <v>0.1</v>
      </c>
      <c r="Q50" s="144"/>
      <c r="R50" s="23">
        <v>8</v>
      </c>
      <c r="S50" s="173"/>
    </row>
    <row r="51" s="205" customFormat="1" ht="15" customHeight="1" spans="1:32">
      <c r="A51" s="63"/>
      <c r="B51" s="79"/>
      <c r="C51" s="69"/>
      <c r="D51" s="70"/>
      <c r="E51" s="54" t="s">
        <v>143</v>
      </c>
      <c r="F51" s="54"/>
      <c r="G51" s="54"/>
      <c r="H51" s="50" t="s">
        <v>15</v>
      </c>
      <c r="I51" s="50"/>
      <c r="J51" s="532" t="s">
        <v>15</v>
      </c>
      <c r="K51" s="532"/>
      <c r="L51" s="532"/>
      <c r="M51" s="532"/>
      <c r="N51" s="532"/>
      <c r="O51" s="532"/>
      <c r="P51" s="144" t="s">
        <v>15</v>
      </c>
      <c r="Q51" s="144"/>
      <c r="R51" s="23" t="s">
        <v>15</v>
      </c>
      <c r="S51" s="176"/>
      <c r="T51" s="40"/>
      <c r="X51" s="168"/>
      <c r="Y51" s="168"/>
      <c r="Z51" s="168"/>
      <c r="AA51" s="168"/>
      <c r="AB51" s="168"/>
      <c r="AC51" s="168"/>
      <c r="AD51" s="168"/>
      <c r="AE51" s="168"/>
      <c r="AF51" s="168"/>
    </row>
    <row r="52" s="205" customFormat="1" ht="17" customHeight="1" spans="1:20">
      <c r="A52" s="63"/>
      <c r="B52" s="79"/>
      <c r="C52" s="69"/>
      <c r="D52" s="70"/>
      <c r="E52" s="54" t="s">
        <v>146</v>
      </c>
      <c r="F52" s="54"/>
      <c r="G52" s="54"/>
      <c r="H52" s="50" t="s">
        <v>15</v>
      </c>
      <c r="I52" s="50"/>
      <c r="J52" s="532" t="s">
        <v>15</v>
      </c>
      <c r="K52" s="532"/>
      <c r="L52" s="532"/>
      <c r="M52" s="532"/>
      <c r="N52" s="532"/>
      <c r="O52" s="532"/>
      <c r="P52" s="144" t="s">
        <v>15</v>
      </c>
      <c r="Q52" s="144"/>
      <c r="R52" s="23" t="s">
        <v>15</v>
      </c>
      <c r="S52" s="176"/>
      <c r="T52" s="40"/>
    </row>
    <row r="53" s="205" customFormat="1" ht="36" customHeight="1" spans="1:20">
      <c r="A53" s="63"/>
      <c r="B53" s="81"/>
      <c r="C53" s="82"/>
      <c r="D53" s="83"/>
      <c r="E53" s="84" t="s">
        <v>149</v>
      </c>
      <c r="F53" s="84"/>
      <c r="G53" s="84"/>
      <c r="H53" s="85" t="s">
        <v>353</v>
      </c>
      <c r="I53" s="85"/>
      <c r="J53" s="145" t="s">
        <v>354</v>
      </c>
      <c r="K53" s="145"/>
      <c r="L53" s="145"/>
      <c r="M53" s="145"/>
      <c r="N53" s="145"/>
      <c r="O53" s="145"/>
      <c r="P53" s="245">
        <v>0.1</v>
      </c>
      <c r="Q53" s="146"/>
      <c r="R53" s="177">
        <v>8</v>
      </c>
      <c r="S53" s="178"/>
      <c r="T53" s="40"/>
    </row>
    <row r="54" ht="30" customHeight="1" spans="1:32">
      <c r="A54" s="63"/>
      <c r="B54" s="86" t="s">
        <v>152</v>
      </c>
      <c r="C54" s="87"/>
      <c r="D54" s="87"/>
      <c r="E54" s="87"/>
      <c r="F54" s="87"/>
      <c r="G54" s="87"/>
      <c r="H54" s="87"/>
      <c r="I54" s="87"/>
      <c r="J54" s="87"/>
      <c r="K54" s="87"/>
      <c r="L54" s="87"/>
      <c r="M54" s="87"/>
      <c r="N54" s="87"/>
      <c r="O54" s="147"/>
      <c r="P54" s="148">
        <v>1</v>
      </c>
      <c r="Q54" s="148"/>
      <c r="R54" s="179">
        <f>SUM(R38:S53)</f>
        <v>90</v>
      </c>
      <c r="S54" s="180"/>
      <c r="X54" s="205"/>
      <c r="Y54" s="205"/>
      <c r="Z54" s="205"/>
      <c r="AA54" s="205"/>
      <c r="AB54" s="205"/>
      <c r="AC54" s="205"/>
      <c r="AD54" s="205"/>
      <c r="AE54" s="205"/>
      <c r="AF54" s="205"/>
    </row>
    <row r="55" ht="47" customHeight="1" spans="1:19">
      <c r="A55" s="88"/>
      <c r="B55" s="89" t="s">
        <v>153</v>
      </c>
      <c r="C55" s="529" t="s">
        <v>355</v>
      </c>
      <c r="D55" s="91"/>
      <c r="E55" s="91"/>
      <c r="F55" s="91"/>
      <c r="G55" s="91"/>
      <c r="H55" s="91"/>
      <c r="I55" s="91"/>
      <c r="J55" s="91"/>
      <c r="K55" s="91"/>
      <c r="L55" s="91"/>
      <c r="M55" s="91"/>
      <c r="N55" s="91"/>
      <c r="O55" s="91"/>
      <c r="P55" s="91"/>
      <c r="Q55" s="91"/>
      <c r="R55" s="91"/>
      <c r="S55" s="181"/>
    </row>
    <row r="56" ht="22.5" customHeight="1" spans="1:19">
      <c r="A56" s="62" t="s">
        <v>155</v>
      </c>
      <c r="B56" s="92" t="s">
        <v>156</v>
      </c>
      <c r="C56" s="93" t="s">
        <v>157</v>
      </c>
      <c r="D56" s="94"/>
      <c r="E56" s="95" t="s">
        <v>158</v>
      </c>
      <c r="F56" s="93"/>
      <c r="G56" s="93"/>
      <c r="H56" s="93"/>
      <c r="I56" s="93"/>
      <c r="J56" s="93"/>
      <c r="K56" s="93"/>
      <c r="L56" s="93"/>
      <c r="M56" s="93"/>
      <c r="N56" s="94"/>
      <c r="O56" s="149" t="s">
        <v>159</v>
      </c>
      <c r="P56" s="95" t="s">
        <v>160</v>
      </c>
      <c r="Q56" s="94"/>
      <c r="R56" s="95" t="s">
        <v>161</v>
      </c>
      <c r="S56" s="182"/>
    </row>
    <row r="57" ht="21" customHeight="1" spans="1:19">
      <c r="A57" s="96"/>
      <c r="B57" s="97"/>
      <c r="C57" s="98"/>
      <c r="D57" s="99"/>
      <c r="E57" s="100"/>
      <c r="F57" s="101"/>
      <c r="G57" s="101"/>
      <c r="H57" s="101"/>
      <c r="I57" s="101"/>
      <c r="J57" s="101"/>
      <c r="K57" s="101"/>
      <c r="L57" s="101"/>
      <c r="M57" s="101"/>
      <c r="N57" s="150"/>
      <c r="O57" s="57"/>
      <c r="P57" s="98"/>
      <c r="Q57" s="99"/>
      <c r="R57" s="98"/>
      <c r="S57" s="160"/>
    </row>
    <row r="58" ht="21" customHeight="1" spans="1:19">
      <c r="A58" s="96"/>
      <c r="B58" s="97"/>
      <c r="C58" s="98"/>
      <c r="D58" s="99"/>
      <c r="E58" s="100"/>
      <c r="F58" s="101"/>
      <c r="G58" s="101"/>
      <c r="H58" s="101"/>
      <c r="I58" s="101"/>
      <c r="J58" s="101"/>
      <c r="K58" s="101"/>
      <c r="L58" s="101"/>
      <c r="M58" s="101"/>
      <c r="N58" s="150"/>
      <c r="O58" s="57"/>
      <c r="P58" s="98"/>
      <c r="Q58" s="99"/>
      <c r="R58" s="98"/>
      <c r="S58" s="160"/>
    </row>
    <row r="59" ht="21" customHeight="1" spans="1:19">
      <c r="A59" s="96"/>
      <c r="B59" s="97"/>
      <c r="C59" s="98"/>
      <c r="D59" s="99"/>
      <c r="E59" s="100"/>
      <c r="F59" s="101"/>
      <c r="G59" s="101"/>
      <c r="H59" s="101"/>
      <c r="I59" s="101"/>
      <c r="J59" s="101"/>
      <c r="K59" s="101"/>
      <c r="L59" s="101"/>
      <c r="M59" s="101"/>
      <c r="N59" s="150"/>
      <c r="O59" s="57"/>
      <c r="P59" s="98"/>
      <c r="Q59" s="99"/>
      <c r="R59" s="98"/>
      <c r="S59" s="160"/>
    </row>
    <row r="60" ht="21" customHeight="1" spans="1:19">
      <c r="A60" s="96"/>
      <c r="B60" s="97"/>
      <c r="C60" s="98"/>
      <c r="D60" s="99"/>
      <c r="E60" s="100"/>
      <c r="F60" s="101"/>
      <c r="G60" s="101"/>
      <c r="H60" s="101"/>
      <c r="I60" s="101"/>
      <c r="J60" s="101"/>
      <c r="K60" s="101"/>
      <c r="L60" s="101"/>
      <c r="M60" s="101"/>
      <c r="N60" s="150"/>
      <c r="O60" s="57"/>
      <c r="P60" s="98"/>
      <c r="Q60" s="99"/>
      <c r="R60" s="98"/>
      <c r="S60" s="160"/>
    </row>
    <row r="61" ht="21" customHeight="1" spans="1:19">
      <c r="A61" s="96"/>
      <c r="B61" s="97"/>
      <c r="C61" s="98"/>
      <c r="D61" s="99"/>
      <c r="E61" s="100"/>
      <c r="F61" s="101"/>
      <c r="G61" s="101"/>
      <c r="H61" s="101"/>
      <c r="I61" s="101"/>
      <c r="J61" s="101"/>
      <c r="K61" s="101"/>
      <c r="L61" s="101"/>
      <c r="M61" s="101"/>
      <c r="N61" s="150"/>
      <c r="O61" s="57"/>
      <c r="P61" s="98"/>
      <c r="Q61" s="99"/>
      <c r="R61" s="98"/>
      <c r="S61" s="160"/>
    </row>
    <row r="62" ht="105.75" customHeight="1" spans="1:19">
      <c r="A62" s="96"/>
      <c r="B62" s="97"/>
      <c r="C62" s="102" t="s">
        <v>162</v>
      </c>
      <c r="D62" s="103"/>
      <c r="E62" s="103"/>
      <c r="F62" s="103"/>
      <c r="G62" s="103"/>
      <c r="H62" s="103"/>
      <c r="I62" s="103"/>
      <c r="J62" s="103"/>
      <c r="K62" s="103"/>
      <c r="L62" s="103"/>
      <c r="M62" s="103"/>
      <c r="N62" s="103"/>
      <c r="O62" s="103"/>
      <c r="P62" s="103"/>
      <c r="Q62" s="103"/>
      <c r="R62" s="103"/>
      <c r="S62" s="183"/>
    </row>
    <row r="63" ht="27" customHeight="1" spans="1:19">
      <c r="A63" s="96"/>
      <c r="B63" s="104"/>
      <c r="C63" s="105" t="s">
        <v>163</v>
      </c>
      <c r="D63" s="106"/>
      <c r="E63" s="106"/>
      <c r="F63" s="106"/>
      <c r="G63" s="106"/>
      <c r="H63" s="106"/>
      <c r="I63" s="106"/>
      <c r="J63" s="106"/>
      <c r="K63" s="106"/>
      <c r="L63" s="106"/>
      <c r="M63" s="106"/>
      <c r="N63" s="106"/>
      <c r="O63" s="106"/>
      <c r="P63" s="106"/>
      <c r="Q63" s="106"/>
      <c r="R63" s="106"/>
      <c r="S63" s="184"/>
    </row>
    <row r="64" ht="48.75" customHeight="1" spans="1:19">
      <c r="A64" s="96"/>
      <c r="B64" s="92" t="s">
        <v>164</v>
      </c>
      <c r="C64" s="107" t="s">
        <v>165</v>
      </c>
      <c r="D64" s="108"/>
      <c r="E64" s="108"/>
      <c r="F64" s="108"/>
      <c r="G64" s="108"/>
      <c r="H64" s="108"/>
      <c r="I64" s="108"/>
      <c r="J64" s="108"/>
      <c r="K64" s="108"/>
      <c r="L64" s="108"/>
      <c r="M64" s="108"/>
      <c r="N64" s="108"/>
      <c r="O64" s="108"/>
      <c r="P64" s="108"/>
      <c r="Q64" s="108"/>
      <c r="R64" s="108"/>
      <c r="S64" s="185"/>
    </row>
    <row r="65" ht="55.5" customHeight="1" spans="1:19">
      <c r="A65" s="96"/>
      <c r="B65" s="186"/>
      <c r="C65" s="187" t="s">
        <v>166</v>
      </c>
      <c r="D65" s="188"/>
      <c r="E65" s="188"/>
      <c r="F65" s="188"/>
      <c r="G65" s="188"/>
      <c r="H65" s="188"/>
      <c r="I65" s="188"/>
      <c r="J65" s="188"/>
      <c r="K65" s="188"/>
      <c r="L65" s="188"/>
      <c r="M65" s="188"/>
      <c r="N65" s="188"/>
      <c r="O65" s="188"/>
      <c r="P65" s="188"/>
      <c r="Q65" s="188"/>
      <c r="R65" s="188"/>
      <c r="S65" s="201"/>
    </row>
    <row r="66" ht="104.25" customHeight="1" spans="1:19">
      <c r="A66" s="96"/>
      <c r="B66" s="186"/>
      <c r="C66" s="102" t="s">
        <v>167</v>
      </c>
      <c r="D66" s="103"/>
      <c r="E66" s="103"/>
      <c r="F66" s="103"/>
      <c r="G66" s="103"/>
      <c r="H66" s="103"/>
      <c r="I66" s="103"/>
      <c r="J66" s="103"/>
      <c r="K66" s="103"/>
      <c r="L66" s="103"/>
      <c r="M66" s="103"/>
      <c r="N66" s="103"/>
      <c r="O66" s="103"/>
      <c r="P66" s="103"/>
      <c r="Q66" s="103"/>
      <c r="R66" s="103"/>
      <c r="S66" s="183"/>
    </row>
    <row r="67" ht="28.5" customHeight="1" spans="1:19">
      <c r="A67" s="96"/>
      <c r="B67" s="189"/>
      <c r="C67" s="105" t="s">
        <v>168</v>
      </c>
      <c r="D67" s="106"/>
      <c r="E67" s="106"/>
      <c r="F67" s="106"/>
      <c r="G67" s="106"/>
      <c r="H67" s="106"/>
      <c r="I67" s="106"/>
      <c r="J67" s="106"/>
      <c r="K67" s="106"/>
      <c r="L67" s="106"/>
      <c r="M67" s="106"/>
      <c r="N67" s="106"/>
      <c r="O67" s="106"/>
      <c r="P67" s="106"/>
      <c r="Q67" s="106"/>
      <c r="R67" s="106"/>
      <c r="S67" s="184"/>
    </row>
    <row r="68" customHeight="1" spans="1:19">
      <c r="A68" s="96"/>
      <c r="B68" s="186" t="s">
        <v>169</v>
      </c>
      <c r="C68" s="190"/>
      <c r="D68" s="191"/>
      <c r="E68" s="191"/>
      <c r="F68" s="191"/>
      <c r="G68" s="191"/>
      <c r="H68" s="191"/>
      <c r="I68" s="191"/>
      <c r="J68" s="191"/>
      <c r="K68" s="191"/>
      <c r="L68" s="191"/>
      <c r="M68" s="191"/>
      <c r="N68" s="191"/>
      <c r="O68" s="191"/>
      <c r="P68" s="191"/>
      <c r="Q68" s="191"/>
      <c r="R68" s="191"/>
      <c r="S68" s="202"/>
    </row>
    <row r="69" ht="14.25" customHeight="1" spans="1:19">
      <c r="A69" s="96"/>
      <c r="B69" s="186"/>
      <c r="C69" s="191"/>
      <c r="D69" s="191"/>
      <c r="E69" s="191"/>
      <c r="F69" s="192"/>
      <c r="G69" s="191"/>
      <c r="H69" s="191"/>
      <c r="I69" s="191"/>
      <c r="J69" s="191"/>
      <c r="K69" s="191"/>
      <c r="L69" s="191"/>
      <c r="M69" s="191"/>
      <c r="N69" s="191"/>
      <c r="O69" s="191"/>
      <c r="P69" s="191"/>
      <c r="Q69" s="191"/>
      <c r="R69" s="191"/>
      <c r="S69" s="202"/>
    </row>
    <row r="70" ht="30.75" customHeight="1" spans="1:19">
      <c r="A70" s="96"/>
      <c r="B70" s="186"/>
      <c r="C70" s="193"/>
      <c r="D70" s="194"/>
      <c r="E70" s="194"/>
      <c r="F70" s="194"/>
      <c r="G70" s="194"/>
      <c r="H70" s="194"/>
      <c r="I70" s="194"/>
      <c r="J70" s="194"/>
      <c r="K70" s="194"/>
      <c r="L70" s="194"/>
      <c r="M70" s="194"/>
      <c r="N70" s="194"/>
      <c r="O70" s="194"/>
      <c r="P70" s="194"/>
      <c r="Q70" s="194"/>
      <c r="R70" s="194"/>
      <c r="S70" s="203"/>
    </row>
    <row r="71" ht="53.25" customHeight="1" spans="1:19">
      <c r="A71" s="195"/>
      <c r="B71" s="189"/>
      <c r="C71" s="196" t="s">
        <v>170</v>
      </c>
      <c r="D71" s="197"/>
      <c r="E71" s="197"/>
      <c r="F71" s="197"/>
      <c r="G71" s="197"/>
      <c r="H71" s="197"/>
      <c r="I71" s="197"/>
      <c r="J71" s="197"/>
      <c r="K71" s="197"/>
      <c r="L71" s="197"/>
      <c r="M71" s="197"/>
      <c r="N71" s="197"/>
      <c r="O71" s="197"/>
      <c r="P71" s="197"/>
      <c r="Q71" s="197"/>
      <c r="R71" s="197"/>
      <c r="S71" s="204"/>
    </row>
    <row r="72" ht="19.5" customHeight="1" spans="1:19">
      <c r="A72" s="198"/>
      <c r="B72" s="199" t="s">
        <v>171</v>
      </c>
      <c r="C72" s="199"/>
      <c r="D72" s="199"/>
      <c r="E72" s="199"/>
      <c r="F72" s="199"/>
      <c r="G72" s="199"/>
      <c r="H72" s="199" t="s">
        <v>172</v>
      </c>
      <c r="I72" s="199"/>
      <c r="J72" s="199"/>
      <c r="K72" s="199"/>
      <c r="L72" s="199"/>
      <c r="N72" s="200"/>
      <c r="O72" s="200" t="s">
        <v>173</v>
      </c>
      <c r="Q72" s="200"/>
      <c r="R72" s="200"/>
      <c r="S72" s="200"/>
    </row>
  </sheetData>
  <mergeCells count="281">
    <mergeCell ref="A1:S1"/>
    <mergeCell ref="B2:D2"/>
    <mergeCell ref="E2:S2"/>
    <mergeCell ref="K3:M3"/>
    <mergeCell ref="P3:S3"/>
    <mergeCell ref="K4:M4"/>
    <mergeCell ref="P4:S4"/>
    <mergeCell ref="B5:H5"/>
    <mergeCell ref="I5:S5"/>
    <mergeCell ref="C6:H6"/>
    <mergeCell ref="I6:K6"/>
    <mergeCell ref="L6:O6"/>
    <mergeCell ref="P6:S6"/>
    <mergeCell ref="C7:D7"/>
    <mergeCell ref="E7:H7"/>
    <mergeCell ref="I7:K7"/>
    <mergeCell ref="L7:M7"/>
    <mergeCell ref="N7:O7"/>
    <mergeCell ref="P7:Q7"/>
    <mergeCell ref="R7:S7"/>
    <mergeCell ref="E8:H8"/>
    <mergeCell ref="I8:K8"/>
    <mergeCell ref="L8:M8"/>
    <mergeCell ref="N8:O8"/>
    <mergeCell ref="P8:Q8"/>
    <mergeCell ref="R8:S8"/>
    <mergeCell ref="E9:H9"/>
    <mergeCell ref="I9:K9"/>
    <mergeCell ref="L9:M9"/>
    <mergeCell ref="N9:O9"/>
    <mergeCell ref="P9:Q9"/>
    <mergeCell ref="R9:S9"/>
    <mergeCell ref="E10:H10"/>
    <mergeCell ref="I10:K10"/>
    <mergeCell ref="L10:M10"/>
    <mergeCell ref="N10:O10"/>
    <mergeCell ref="P10:Q10"/>
    <mergeCell ref="R10:S10"/>
    <mergeCell ref="E11:H11"/>
    <mergeCell ref="I11:K11"/>
    <mergeCell ref="L11:M11"/>
    <mergeCell ref="N11:O11"/>
    <mergeCell ref="P11:Q11"/>
    <mergeCell ref="R11:S11"/>
    <mergeCell ref="E12:H12"/>
    <mergeCell ref="I12:K12"/>
    <mergeCell ref="L12:M12"/>
    <mergeCell ref="N12:O12"/>
    <mergeCell ref="P12:Q12"/>
    <mergeCell ref="R12:S12"/>
    <mergeCell ref="E13:H13"/>
    <mergeCell ref="I13:K13"/>
    <mergeCell ref="L13:M13"/>
    <mergeCell ref="N13:O13"/>
    <mergeCell ref="P13:Q13"/>
    <mergeCell ref="R13:S13"/>
    <mergeCell ref="E14:H14"/>
    <mergeCell ref="I14:K14"/>
    <mergeCell ref="L14:M14"/>
    <mergeCell ref="N14:O14"/>
    <mergeCell ref="P14:Q14"/>
    <mergeCell ref="R14:S14"/>
    <mergeCell ref="E15:H15"/>
    <mergeCell ref="I15:K15"/>
    <mergeCell ref="L15:M15"/>
    <mergeCell ref="N15:O15"/>
    <mergeCell ref="P15:Q15"/>
    <mergeCell ref="R15:S15"/>
    <mergeCell ref="E16:H16"/>
    <mergeCell ref="I16:K16"/>
    <mergeCell ref="L16:M16"/>
    <mergeCell ref="N16:O16"/>
    <mergeCell ref="P16:Q16"/>
    <mergeCell ref="R16:S16"/>
    <mergeCell ref="E17:H17"/>
    <mergeCell ref="I17:K17"/>
    <mergeCell ref="L17:M17"/>
    <mergeCell ref="N17:O17"/>
    <mergeCell ref="P17:Q17"/>
    <mergeCell ref="R17:S17"/>
    <mergeCell ref="B18:D18"/>
    <mergeCell ref="E18:H18"/>
    <mergeCell ref="I18:K18"/>
    <mergeCell ref="L18:S18"/>
    <mergeCell ref="I19:S19"/>
    <mergeCell ref="I20:S20"/>
    <mergeCell ref="I21:S21"/>
    <mergeCell ref="I22:J22"/>
    <mergeCell ref="K22:N22"/>
    <mergeCell ref="O22:Q22"/>
    <mergeCell ref="B25:D25"/>
    <mergeCell ref="E25:H25"/>
    <mergeCell ref="M25:N25"/>
    <mergeCell ref="P25:Q25"/>
    <mergeCell ref="R25:S25"/>
    <mergeCell ref="B26:D26"/>
    <mergeCell ref="E26:H26"/>
    <mergeCell ref="M26:N26"/>
    <mergeCell ref="P26:Q26"/>
    <mergeCell ref="R26:S26"/>
    <mergeCell ref="B27:D27"/>
    <mergeCell ref="E27:H27"/>
    <mergeCell ref="M27:N27"/>
    <mergeCell ref="P27:Q27"/>
    <mergeCell ref="R27:S27"/>
    <mergeCell ref="B28:D28"/>
    <mergeCell ref="E28:H28"/>
    <mergeCell ref="M28:N28"/>
    <mergeCell ref="P28:Q28"/>
    <mergeCell ref="R28:S28"/>
    <mergeCell ref="B29:D29"/>
    <mergeCell ref="E29:H29"/>
    <mergeCell ref="M29:N29"/>
    <mergeCell ref="P29:Q29"/>
    <mergeCell ref="R29:S29"/>
    <mergeCell ref="B30:D30"/>
    <mergeCell ref="E30:H30"/>
    <mergeCell ref="M30:N30"/>
    <mergeCell ref="P30:Q30"/>
    <mergeCell ref="R30:S30"/>
    <mergeCell ref="E31:O31"/>
    <mergeCell ref="P31:S31"/>
    <mergeCell ref="E32:O32"/>
    <mergeCell ref="P32:S32"/>
    <mergeCell ref="E33:O33"/>
    <mergeCell ref="P33:S33"/>
    <mergeCell ref="E34:O34"/>
    <mergeCell ref="P34:S34"/>
    <mergeCell ref="E35:O35"/>
    <mergeCell ref="P35:S35"/>
    <mergeCell ref="E36:O36"/>
    <mergeCell ref="P36:S36"/>
    <mergeCell ref="B37:D37"/>
    <mergeCell ref="E37:G37"/>
    <mergeCell ref="H37:I37"/>
    <mergeCell ref="J37:O37"/>
    <mergeCell ref="P37:Q37"/>
    <mergeCell ref="R37:S37"/>
    <mergeCell ref="E38:G38"/>
    <mergeCell ref="H38:I38"/>
    <mergeCell ref="J38:O38"/>
    <mergeCell ref="P38:Q38"/>
    <mergeCell ref="R38:S38"/>
    <mergeCell ref="E39:G39"/>
    <mergeCell ref="H39:I39"/>
    <mergeCell ref="J39:O39"/>
    <mergeCell ref="P39:Q39"/>
    <mergeCell ref="R39:S39"/>
    <mergeCell ref="E40:G40"/>
    <mergeCell ref="H40:I40"/>
    <mergeCell ref="J40:O40"/>
    <mergeCell ref="P40:Q40"/>
    <mergeCell ref="R40:S40"/>
    <mergeCell ref="H41:I41"/>
    <mergeCell ref="J41:O41"/>
    <mergeCell ref="P41:Q41"/>
    <mergeCell ref="R41:S41"/>
    <mergeCell ref="H42:I42"/>
    <mergeCell ref="J42:O42"/>
    <mergeCell ref="P42:Q42"/>
    <mergeCell ref="R42:S42"/>
    <mergeCell ref="H43:I43"/>
    <mergeCell ref="J43:O43"/>
    <mergeCell ref="P43:Q43"/>
    <mergeCell ref="R43:S43"/>
    <mergeCell ref="H44:I44"/>
    <mergeCell ref="J44:O44"/>
    <mergeCell ref="P44:Q44"/>
    <mergeCell ref="R44:S44"/>
    <mergeCell ref="H45:I45"/>
    <mergeCell ref="J45:O45"/>
    <mergeCell ref="P45:Q45"/>
    <mergeCell ref="R45:S45"/>
    <mergeCell ref="H46:I46"/>
    <mergeCell ref="J46:O46"/>
    <mergeCell ref="P46:Q46"/>
    <mergeCell ref="R46:S46"/>
    <mergeCell ref="H47:I47"/>
    <mergeCell ref="J47:O47"/>
    <mergeCell ref="P47:Q47"/>
    <mergeCell ref="R47:S47"/>
    <mergeCell ref="E48:G48"/>
    <mergeCell ref="H48:I48"/>
    <mergeCell ref="J48:O48"/>
    <mergeCell ref="P48:Q48"/>
    <mergeCell ref="R48:S48"/>
    <mergeCell ref="E49:G49"/>
    <mergeCell ref="H49:I49"/>
    <mergeCell ref="J49:O49"/>
    <mergeCell ref="P49:Q49"/>
    <mergeCell ref="R49:S49"/>
    <mergeCell ref="E50:G50"/>
    <mergeCell ref="H50:I50"/>
    <mergeCell ref="J50:O50"/>
    <mergeCell ref="P50:Q50"/>
    <mergeCell ref="R50:S50"/>
    <mergeCell ref="E51:G51"/>
    <mergeCell ref="H51:I51"/>
    <mergeCell ref="J51:O51"/>
    <mergeCell ref="P51:Q51"/>
    <mergeCell ref="R51:S51"/>
    <mergeCell ref="E52:G52"/>
    <mergeCell ref="H52:I52"/>
    <mergeCell ref="J52:O52"/>
    <mergeCell ref="P52:Q52"/>
    <mergeCell ref="R52:S52"/>
    <mergeCell ref="E53:G53"/>
    <mergeCell ref="H53:I53"/>
    <mergeCell ref="J53:O53"/>
    <mergeCell ref="P53:Q53"/>
    <mergeCell ref="R53:S53"/>
    <mergeCell ref="B54:O54"/>
    <mergeCell ref="P54:Q54"/>
    <mergeCell ref="R54:S54"/>
    <mergeCell ref="C55:S55"/>
    <mergeCell ref="C56:D56"/>
    <mergeCell ref="E56:N56"/>
    <mergeCell ref="P56:Q56"/>
    <mergeCell ref="R56:S56"/>
    <mergeCell ref="C57:D57"/>
    <mergeCell ref="E57:N57"/>
    <mergeCell ref="P57:Q57"/>
    <mergeCell ref="R57:S57"/>
    <mergeCell ref="C58:D58"/>
    <mergeCell ref="E58:N58"/>
    <mergeCell ref="P58:Q58"/>
    <mergeCell ref="R58:S58"/>
    <mergeCell ref="C59:D59"/>
    <mergeCell ref="E59:N59"/>
    <mergeCell ref="P59:Q59"/>
    <mergeCell ref="R59:S59"/>
    <mergeCell ref="C60:D60"/>
    <mergeCell ref="E60:N60"/>
    <mergeCell ref="P60:Q60"/>
    <mergeCell ref="R60:S60"/>
    <mergeCell ref="C61:D61"/>
    <mergeCell ref="E61:N61"/>
    <mergeCell ref="P61:Q61"/>
    <mergeCell ref="R61:S61"/>
    <mergeCell ref="C62:S62"/>
    <mergeCell ref="C63:S63"/>
    <mergeCell ref="C64:S64"/>
    <mergeCell ref="C65:S65"/>
    <mergeCell ref="C66:S66"/>
    <mergeCell ref="C67:S67"/>
    <mergeCell ref="C71:S71"/>
    <mergeCell ref="A2:A20"/>
    <mergeCell ref="A21:A36"/>
    <mergeCell ref="A37:A40"/>
    <mergeCell ref="A41:A55"/>
    <mergeCell ref="A56:A71"/>
    <mergeCell ref="B6:B17"/>
    <mergeCell ref="B56:B63"/>
    <mergeCell ref="B64:B67"/>
    <mergeCell ref="B68:B71"/>
    <mergeCell ref="I23:I24"/>
    <mergeCell ref="J23:J24"/>
    <mergeCell ref="K23:K24"/>
    <mergeCell ref="L23:L24"/>
    <mergeCell ref="O23:O24"/>
    <mergeCell ref="T37:T40"/>
    <mergeCell ref="U13:U16"/>
    <mergeCell ref="B3:H4"/>
    <mergeCell ref="I3:J4"/>
    <mergeCell ref="N3:O4"/>
    <mergeCell ref="C8:D10"/>
    <mergeCell ref="C11:D12"/>
    <mergeCell ref="C13:D17"/>
    <mergeCell ref="B19:H20"/>
    <mergeCell ref="B21:D24"/>
    <mergeCell ref="E21:H24"/>
    <mergeCell ref="R22:S24"/>
    <mergeCell ref="M23:N24"/>
    <mergeCell ref="P23:Q24"/>
    <mergeCell ref="B31:C36"/>
    <mergeCell ref="B38:D40"/>
    <mergeCell ref="B41:D45"/>
    <mergeCell ref="E41:G43"/>
    <mergeCell ref="E44:G45"/>
    <mergeCell ref="B46:D53"/>
    <mergeCell ref="E46:G47"/>
  </mergeCells>
  <pageMargins left="0.58" right="0.24" top="0.98" bottom="0.98" header="0.51" footer="0.51"/>
  <pageSetup paperSize="9" scale="80" orientation="portrait" horizontalDpi="600" verticalDpi="600"/>
  <headerFooter alignWithMargins="0"/>
  <rowBreaks count="1" manualBreakCount="1">
    <brk id="58" max="18" man="1"/>
  </row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73"/>
  <sheetViews>
    <sheetView workbookViewId="0">
      <selection activeCell="P38" sqref="P38:Q38"/>
    </sheetView>
  </sheetViews>
  <sheetFormatPr defaultColWidth="9" defaultRowHeight="12"/>
  <cols>
    <col min="1" max="1" width="4.5" style="168" customWidth="1"/>
    <col min="2" max="2" width="6.875" style="168" customWidth="1"/>
    <col min="3" max="3" width="6.5" style="168" customWidth="1"/>
    <col min="4" max="4" width="4.75" style="168" customWidth="1"/>
    <col min="5" max="6" width="4.625" style="168" customWidth="1"/>
    <col min="7" max="7" width="7.625" style="168" customWidth="1"/>
    <col min="8" max="8" width="5.25" style="168" hidden="1" customWidth="1"/>
    <col min="9" max="9" width="7.75" style="168" customWidth="1"/>
    <col min="10" max="10" width="10.25" style="168" customWidth="1"/>
    <col min="11" max="11" width="4.375" style="168" customWidth="1"/>
    <col min="12" max="12" width="8.5" style="168" customWidth="1"/>
    <col min="13" max="13" width="5.75" style="168" customWidth="1"/>
    <col min="14" max="14" width="6.875" style="168" customWidth="1"/>
    <col min="15" max="15" width="7.625" style="168" customWidth="1"/>
    <col min="16" max="16" width="4.25" style="168" customWidth="1"/>
    <col min="17" max="17" width="7.25" style="168" customWidth="1"/>
    <col min="18" max="18" width="4.375" style="168" customWidth="1"/>
    <col min="19" max="19" width="4" style="168" customWidth="1"/>
    <col min="20" max="20" width="9" style="40" hidden="1" customWidth="1"/>
    <col min="21" max="16384" width="9" style="168"/>
  </cols>
  <sheetData>
    <row r="1" ht="43.15" customHeight="1" spans="1:19">
      <c r="A1" s="7" t="s">
        <v>356</v>
      </c>
      <c r="B1" s="7"/>
      <c r="C1" s="7"/>
      <c r="D1" s="7"/>
      <c r="E1" s="7"/>
      <c r="F1" s="7"/>
      <c r="G1" s="7"/>
      <c r="H1" s="7"/>
      <c r="I1" s="7"/>
      <c r="J1" s="7"/>
      <c r="K1" s="7"/>
      <c r="L1" s="7"/>
      <c r="M1" s="7"/>
      <c r="N1" s="7"/>
      <c r="O1" s="7"/>
      <c r="P1" s="7"/>
      <c r="Q1" s="7"/>
      <c r="R1" s="7"/>
      <c r="S1" s="7"/>
    </row>
    <row r="2" ht="24.75" customHeight="1" spans="1:19">
      <c r="A2" s="8" t="s">
        <v>1</v>
      </c>
      <c r="B2" s="9" t="s">
        <v>2</v>
      </c>
      <c r="C2" s="10"/>
      <c r="D2" s="10"/>
      <c r="E2" s="525" t="s">
        <v>357</v>
      </c>
      <c r="F2" s="526"/>
      <c r="G2" s="526"/>
      <c r="H2" s="526"/>
      <c r="I2" s="526"/>
      <c r="J2" s="526"/>
      <c r="K2" s="526"/>
      <c r="L2" s="526"/>
      <c r="M2" s="526"/>
      <c r="N2" s="526"/>
      <c r="O2" s="526"/>
      <c r="P2" s="526"/>
      <c r="Q2" s="526"/>
      <c r="R2" s="526"/>
      <c r="S2" s="527"/>
    </row>
    <row r="3" s="205" customFormat="1" ht="19.5" customHeight="1" spans="1:20">
      <c r="A3" s="12"/>
      <c r="B3" s="13" t="s">
        <v>4</v>
      </c>
      <c r="C3" s="14"/>
      <c r="D3" s="14"/>
      <c r="E3" s="14"/>
      <c r="F3" s="14"/>
      <c r="G3" s="14"/>
      <c r="H3" s="15"/>
      <c r="I3" s="109" t="s">
        <v>5</v>
      </c>
      <c r="J3" s="15"/>
      <c r="K3" s="110" t="s">
        <v>358</v>
      </c>
      <c r="L3" s="111"/>
      <c r="M3" s="112"/>
      <c r="N3" s="109" t="s">
        <v>7</v>
      </c>
      <c r="O3" s="15"/>
      <c r="P3" s="110" t="s">
        <v>244</v>
      </c>
      <c r="Q3" s="111"/>
      <c r="R3" s="111"/>
      <c r="S3" s="152"/>
      <c r="T3" s="261"/>
    </row>
    <row r="4" s="205" customFormat="1" ht="21" customHeight="1" spans="1:20">
      <c r="A4" s="12"/>
      <c r="B4" s="16"/>
      <c r="C4" s="17"/>
      <c r="D4" s="17"/>
      <c r="E4" s="17"/>
      <c r="F4" s="17"/>
      <c r="G4" s="17"/>
      <c r="H4" s="18"/>
      <c r="I4" s="113"/>
      <c r="J4" s="18"/>
      <c r="K4" s="110" t="s">
        <v>328</v>
      </c>
      <c r="L4" s="111"/>
      <c r="M4" s="112"/>
      <c r="N4" s="113"/>
      <c r="O4" s="18"/>
      <c r="P4" s="110" t="s">
        <v>178</v>
      </c>
      <c r="Q4" s="111"/>
      <c r="R4" s="111"/>
      <c r="S4" s="152"/>
      <c r="T4" s="261"/>
    </row>
    <row r="5" s="205" customFormat="1" ht="20.25" customHeight="1" spans="1:20">
      <c r="A5" s="12"/>
      <c r="B5" s="19" t="s">
        <v>11</v>
      </c>
      <c r="C5" s="20"/>
      <c r="D5" s="20"/>
      <c r="E5" s="20"/>
      <c r="F5" s="20"/>
      <c r="G5" s="20"/>
      <c r="H5" s="21"/>
      <c r="I5" s="25" t="s">
        <v>359</v>
      </c>
      <c r="J5" s="20"/>
      <c r="K5" s="20"/>
      <c r="L5" s="20"/>
      <c r="M5" s="20"/>
      <c r="N5" s="20"/>
      <c r="O5" s="20"/>
      <c r="P5" s="20"/>
      <c r="Q5" s="20"/>
      <c r="R5" s="20"/>
      <c r="S5" s="154"/>
      <c r="T5" s="261"/>
    </row>
    <row r="6" ht="33.6" customHeight="1" spans="1:19">
      <c r="A6" s="12"/>
      <c r="B6" s="22" t="s">
        <v>13</v>
      </c>
      <c r="C6" s="23" t="s">
        <v>14</v>
      </c>
      <c r="D6" s="23"/>
      <c r="E6" s="23"/>
      <c r="F6" s="23"/>
      <c r="G6" s="23"/>
      <c r="H6" s="23"/>
      <c r="I6" s="54"/>
      <c r="J6" s="54"/>
      <c r="K6" s="54"/>
      <c r="L6" s="23" t="s">
        <v>16</v>
      </c>
      <c r="M6" s="23"/>
      <c r="N6" s="23"/>
      <c r="O6" s="23"/>
      <c r="P6" s="20"/>
      <c r="Q6" s="20"/>
      <c r="R6" s="20"/>
      <c r="S6" s="154"/>
    </row>
    <row r="7" ht="45.75" customHeight="1" spans="1:19">
      <c r="A7" s="12"/>
      <c r="B7" s="24"/>
      <c r="C7" s="23" t="s">
        <v>17</v>
      </c>
      <c r="D7" s="23"/>
      <c r="E7" s="23" t="s">
        <v>18</v>
      </c>
      <c r="F7" s="23"/>
      <c r="G7" s="23"/>
      <c r="H7" s="23"/>
      <c r="I7" s="23" t="s">
        <v>19</v>
      </c>
      <c r="J7" s="23"/>
      <c r="K7" s="23"/>
      <c r="L7" s="23" t="s">
        <v>20</v>
      </c>
      <c r="M7" s="23"/>
      <c r="N7" s="23" t="s">
        <v>21</v>
      </c>
      <c r="O7" s="23"/>
      <c r="P7" s="25" t="s">
        <v>22</v>
      </c>
      <c r="Q7" s="21"/>
      <c r="R7" s="20" t="s">
        <v>23</v>
      </c>
      <c r="S7" s="154"/>
    </row>
    <row r="8" ht="28.5" customHeight="1" spans="1:19">
      <c r="A8" s="12"/>
      <c r="B8" s="24"/>
      <c r="C8" s="23" t="s">
        <v>24</v>
      </c>
      <c r="D8" s="23"/>
      <c r="E8" s="23" t="s">
        <v>25</v>
      </c>
      <c r="F8" s="23"/>
      <c r="G8" s="23"/>
      <c r="H8" s="23"/>
      <c r="I8" s="208" t="s">
        <v>26</v>
      </c>
      <c r="J8" s="209"/>
      <c r="K8" s="218"/>
      <c r="L8" s="219" t="s">
        <v>283</v>
      </c>
      <c r="M8" s="219"/>
      <c r="N8" s="219" t="s">
        <v>283</v>
      </c>
      <c r="O8" s="219"/>
      <c r="P8" s="220">
        <v>0.95</v>
      </c>
      <c r="Q8" s="218"/>
      <c r="R8" s="224">
        <v>1</v>
      </c>
      <c r="S8" s="262"/>
    </row>
    <row r="9" ht="68.25" customHeight="1" spans="1:19">
      <c r="A9" s="12"/>
      <c r="B9" s="24"/>
      <c r="C9" s="23"/>
      <c r="D9" s="23"/>
      <c r="E9" s="23" t="s">
        <v>28</v>
      </c>
      <c r="F9" s="23" t="s">
        <v>28</v>
      </c>
      <c r="G9" s="23"/>
      <c r="H9" s="23"/>
      <c r="I9" s="208" t="s">
        <v>29</v>
      </c>
      <c r="J9" s="209"/>
      <c r="K9" s="218"/>
      <c r="L9" s="219" t="s">
        <v>360</v>
      </c>
      <c r="M9" s="219"/>
      <c r="N9" s="219" t="s">
        <v>360</v>
      </c>
      <c r="O9" s="219"/>
      <c r="P9" s="208" t="s">
        <v>361</v>
      </c>
      <c r="Q9" s="218"/>
      <c r="R9" s="224">
        <v>1</v>
      </c>
      <c r="S9" s="262"/>
    </row>
    <row r="10" ht="28.5" customHeight="1" spans="1:19">
      <c r="A10" s="12"/>
      <c r="B10" s="24"/>
      <c r="C10" s="23"/>
      <c r="D10" s="23"/>
      <c r="E10" s="23" t="s">
        <v>31</v>
      </c>
      <c r="F10" s="23" t="s">
        <v>31</v>
      </c>
      <c r="G10" s="23"/>
      <c r="H10" s="23"/>
      <c r="I10" s="208" t="s">
        <v>15</v>
      </c>
      <c r="J10" s="209"/>
      <c r="K10" s="218"/>
      <c r="L10" s="208" t="s">
        <v>15</v>
      </c>
      <c r="M10" s="209"/>
      <c r="N10" s="208" t="s">
        <v>15</v>
      </c>
      <c r="O10" s="209"/>
      <c r="P10" s="25" t="s">
        <v>15</v>
      </c>
      <c r="Q10" s="21"/>
      <c r="R10" s="20" t="s">
        <v>15</v>
      </c>
      <c r="S10" s="154"/>
    </row>
    <row r="11" ht="72" customHeight="1" spans="1:19">
      <c r="A11" s="12"/>
      <c r="B11" s="24"/>
      <c r="C11" s="23" t="s">
        <v>32</v>
      </c>
      <c r="D11" s="23"/>
      <c r="E11" s="23" t="s">
        <v>33</v>
      </c>
      <c r="F11" s="23" t="s">
        <v>33</v>
      </c>
      <c r="G11" s="23"/>
      <c r="H11" s="23"/>
      <c r="I11" s="208" t="s">
        <v>362</v>
      </c>
      <c r="J11" s="209"/>
      <c r="K11" s="218"/>
      <c r="L11" s="208" t="s">
        <v>363</v>
      </c>
      <c r="M11" s="218"/>
      <c r="N11" s="208" t="s">
        <v>364</v>
      </c>
      <c r="O11" s="218"/>
      <c r="P11" s="220">
        <v>1</v>
      </c>
      <c r="Q11" s="218"/>
      <c r="R11" s="224">
        <v>1</v>
      </c>
      <c r="S11" s="262"/>
    </row>
    <row r="12" ht="74.45" customHeight="1" spans="1:19">
      <c r="A12" s="12"/>
      <c r="B12" s="24"/>
      <c r="C12" s="23"/>
      <c r="D12" s="23"/>
      <c r="E12" s="23" t="s">
        <v>37</v>
      </c>
      <c r="F12" s="23" t="s">
        <v>37</v>
      </c>
      <c r="G12" s="23"/>
      <c r="H12" s="23"/>
      <c r="I12" s="219" t="s">
        <v>365</v>
      </c>
      <c r="J12" s="219"/>
      <c r="K12" s="219"/>
      <c r="L12" s="219" t="s">
        <v>366</v>
      </c>
      <c r="M12" s="219"/>
      <c r="N12" s="219" t="s">
        <v>367</v>
      </c>
      <c r="O12" s="219"/>
      <c r="P12" s="208">
        <v>750</v>
      </c>
      <c r="Q12" s="218"/>
      <c r="R12" s="224">
        <v>1</v>
      </c>
      <c r="S12" s="262"/>
    </row>
    <row r="13" ht="28.5" customHeight="1" spans="1:21">
      <c r="A13" s="12"/>
      <c r="B13" s="24"/>
      <c r="C13" s="23" t="s">
        <v>40</v>
      </c>
      <c r="D13" s="23"/>
      <c r="E13" s="23" t="s">
        <v>41</v>
      </c>
      <c r="F13" s="23" t="s">
        <v>41</v>
      </c>
      <c r="G13" s="23"/>
      <c r="H13" s="23"/>
      <c r="I13" s="219" t="s">
        <v>368</v>
      </c>
      <c r="J13" s="219"/>
      <c r="K13" s="219"/>
      <c r="L13" s="219" t="s">
        <v>369</v>
      </c>
      <c r="M13" s="219"/>
      <c r="N13" s="219" t="s">
        <v>370</v>
      </c>
      <c r="O13" s="219"/>
      <c r="P13" s="221">
        <v>0.95</v>
      </c>
      <c r="Q13" s="219"/>
      <c r="R13" s="224">
        <v>1</v>
      </c>
      <c r="S13" s="262"/>
      <c r="U13" s="263"/>
    </row>
    <row r="14" ht="55.15" customHeight="1" spans="1:21">
      <c r="A14" s="12"/>
      <c r="B14" s="24"/>
      <c r="C14" s="23"/>
      <c r="D14" s="23"/>
      <c r="E14" s="23" t="s">
        <v>42</v>
      </c>
      <c r="F14" s="23" t="s">
        <v>42</v>
      </c>
      <c r="G14" s="23"/>
      <c r="H14" s="23"/>
      <c r="I14" s="219" t="s">
        <v>371</v>
      </c>
      <c r="J14" s="219"/>
      <c r="K14" s="219"/>
      <c r="L14" s="221">
        <v>0.9</v>
      </c>
      <c r="M14" s="219"/>
      <c r="N14" s="221">
        <v>0.95</v>
      </c>
      <c r="O14" s="219"/>
      <c r="P14" s="221">
        <v>0.95</v>
      </c>
      <c r="Q14" s="219"/>
      <c r="R14" s="224">
        <v>1</v>
      </c>
      <c r="S14" s="262"/>
      <c r="U14" s="263"/>
    </row>
    <row r="15" ht="28.5" customHeight="1" spans="1:21">
      <c r="A15" s="12"/>
      <c r="B15" s="24"/>
      <c r="C15" s="23"/>
      <c r="D15" s="23"/>
      <c r="E15" s="23" t="s">
        <v>46</v>
      </c>
      <c r="F15" s="23" t="s">
        <v>46</v>
      </c>
      <c r="G15" s="23"/>
      <c r="H15" s="23"/>
      <c r="I15" s="219" t="s">
        <v>372</v>
      </c>
      <c r="J15" s="219"/>
      <c r="K15" s="219"/>
      <c r="L15" s="221">
        <v>0.9</v>
      </c>
      <c r="M15" s="219"/>
      <c r="N15" s="221">
        <v>0.95</v>
      </c>
      <c r="O15" s="219"/>
      <c r="P15" s="221">
        <v>0.95</v>
      </c>
      <c r="Q15" s="219"/>
      <c r="R15" s="224">
        <v>1</v>
      </c>
      <c r="S15" s="262"/>
      <c r="U15" s="263"/>
    </row>
    <row r="16" ht="28.5" customHeight="1" spans="1:21">
      <c r="A16" s="12"/>
      <c r="B16" s="24"/>
      <c r="C16" s="23"/>
      <c r="D16" s="23"/>
      <c r="E16" s="23" t="s">
        <v>50</v>
      </c>
      <c r="F16" s="23" t="s">
        <v>50</v>
      </c>
      <c r="G16" s="23"/>
      <c r="H16" s="23"/>
      <c r="I16" s="219" t="s">
        <v>373</v>
      </c>
      <c r="J16" s="219"/>
      <c r="K16" s="219"/>
      <c r="L16" s="219" t="s">
        <v>369</v>
      </c>
      <c r="M16" s="219"/>
      <c r="N16" s="219" t="s">
        <v>370</v>
      </c>
      <c r="O16" s="219"/>
      <c r="P16" s="221">
        <v>0.95</v>
      </c>
      <c r="Q16" s="219"/>
      <c r="R16" s="224">
        <v>1</v>
      </c>
      <c r="S16" s="262"/>
      <c r="U16" s="263"/>
    </row>
    <row r="17" ht="36" customHeight="1" spans="1:21">
      <c r="A17" s="12"/>
      <c r="B17" s="26"/>
      <c r="C17" s="23"/>
      <c r="D17" s="23"/>
      <c r="E17" s="23" t="s">
        <v>51</v>
      </c>
      <c r="F17" s="23" t="s">
        <v>52</v>
      </c>
      <c r="G17" s="23"/>
      <c r="H17" s="23"/>
      <c r="I17" s="219" t="s">
        <v>374</v>
      </c>
      <c r="J17" s="219"/>
      <c r="K17" s="219"/>
      <c r="L17" s="221">
        <v>0.9</v>
      </c>
      <c r="M17" s="219"/>
      <c r="N17" s="221">
        <v>0.95</v>
      </c>
      <c r="O17" s="219"/>
      <c r="P17" s="221">
        <v>0.95</v>
      </c>
      <c r="Q17" s="219"/>
      <c r="R17" s="224">
        <v>1</v>
      </c>
      <c r="S17" s="262"/>
      <c r="U17" s="264"/>
    </row>
    <row r="18" ht="36" customHeight="1" spans="1:19">
      <c r="A18" s="12"/>
      <c r="B18" s="19" t="s">
        <v>55</v>
      </c>
      <c r="C18" s="20"/>
      <c r="D18" s="21"/>
      <c r="E18" s="289">
        <v>1</v>
      </c>
      <c r="F18" s="20"/>
      <c r="G18" s="20"/>
      <c r="H18" s="20"/>
      <c r="I18" s="25" t="s">
        <v>56</v>
      </c>
      <c r="J18" s="20"/>
      <c r="K18" s="21"/>
      <c r="L18" s="25"/>
      <c r="M18" s="20"/>
      <c r="N18" s="20"/>
      <c r="O18" s="20"/>
      <c r="P18" s="20"/>
      <c r="Q18" s="20"/>
      <c r="R18" s="20"/>
      <c r="S18" s="154"/>
    </row>
    <row r="19" ht="23.25" customHeight="1" spans="1:19">
      <c r="A19" s="12"/>
      <c r="B19" s="27" t="s">
        <v>58</v>
      </c>
      <c r="C19" s="28"/>
      <c r="D19" s="28"/>
      <c r="E19" s="28"/>
      <c r="F19" s="28"/>
      <c r="G19" s="28"/>
      <c r="H19" s="28"/>
      <c r="I19" s="50" t="s">
        <v>59</v>
      </c>
      <c r="J19" s="50"/>
      <c r="K19" s="50"/>
      <c r="L19" s="50"/>
      <c r="M19" s="50"/>
      <c r="N19" s="50"/>
      <c r="O19" s="50"/>
      <c r="P19" s="50"/>
      <c r="Q19" s="50"/>
      <c r="R19" s="50"/>
      <c r="S19" s="163"/>
    </row>
    <row r="20" ht="23.25" customHeight="1" spans="1:19">
      <c r="A20" s="29"/>
      <c r="B20" s="30"/>
      <c r="C20" s="31"/>
      <c r="D20" s="31"/>
      <c r="E20" s="31"/>
      <c r="F20" s="31"/>
      <c r="G20" s="31"/>
      <c r="H20" s="31"/>
      <c r="I20" s="85" t="s">
        <v>60</v>
      </c>
      <c r="J20" s="85"/>
      <c r="K20" s="85"/>
      <c r="L20" s="85"/>
      <c r="M20" s="85"/>
      <c r="N20" s="85"/>
      <c r="O20" s="85"/>
      <c r="P20" s="85"/>
      <c r="Q20" s="85"/>
      <c r="R20" s="85"/>
      <c r="S20" s="164"/>
    </row>
    <row r="21" spans="1:19">
      <c r="A21" s="32" t="s">
        <v>61</v>
      </c>
      <c r="B21" s="33"/>
      <c r="C21" s="33"/>
      <c r="D21" s="33"/>
      <c r="E21" s="34" t="s">
        <v>62</v>
      </c>
      <c r="F21" s="35"/>
      <c r="G21" s="35"/>
      <c r="H21" s="36"/>
      <c r="I21" s="128" t="s">
        <v>63</v>
      </c>
      <c r="J21" s="128"/>
      <c r="K21" s="128"/>
      <c r="L21" s="128"/>
      <c r="M21" s="128"/>
      <c r="N21" s="128"/>
      <c r="O21" s="128"/>
      <c r="P21" s="128"/>
      <c r="Q21" s="128"/>
      <c r="R21" s="128"/>
      <c r="S21" s="165"/>
    </row>
    <row r="22" ht="12.75" customHeight="1" spans="1:19">
      <c r="A22" s="37"/>
      <c r="B22" s="38"/>
      <c r="C22" s="38"/>
      <c r="D22" s="38"/>
      <c r="E22" s="39"/>
      <c r="F22" s="40"/>
      <c r="G22" s="40"/>
      <c r="H22" s="41"/>
      <c r="I22" s="55" t="s">
        <v>64</v>
      </c>
      <c r="J22" s="55"/>
      <c r="K22" s="54" t="s">
        <v>65</v>
      </c>
      <c r="L22" s="54"/>
      <c r="M22" s="54"/>
      <c r="N22" s="54"/>
      <c r="O22" s="54" t="s">
        <v>66</v>
      </c>
      <c r="P22" s="54"/>
      <c r="Q22" s="54"/>
      <c r="R22" s="54" t="s">
        <v>67</v>
      </c>
      <c r="S22" s="166"/>
    </row>
    <row r="23" s="206" customFormat="1" ht="36" customHeight="1" spans="1:21">
      <c r="A23" s="42"/>
      <c r="B23" s="38"/>
      <c r="C23" s="38"/>
      <c r="D23" s="38"/>
      <c r="E23" s="39"/>
      <c r="F23" s="40"/>
      <c r="G23" s="40"/>
      <c r="H23" s="41"/>
      <c r="I23" s="54" t="s">
        <v>68</v>
      </c>
      <c r="J23" s="54" t="s">
        <v>69</v>
      </c>
      <c r="K23" s="54" t="s">
        <v>375</v>
      </c>
      <c r="L23" s="54" t="s">
        <v>71</v>
      </c>
      <c r="M23" s="54" t="s">
        <v>72</v>
      </c>
      <c r="N23" s="54"/>
      <c r="O23" s="54" t="s">
        <v>73</v>
      </c>
      <c r="P23" s="54" t="s">
        <v>74</v>
      </c>
      <c r="Q23" s="129"/>
      <c r="R23" s="54"/>
      <c r="S23" s="166"/>
      <c r="T23" s="40"/>
      <c r="U23" s="40"/>
    </row>
    <row r="24" s="206" customFormat="1" spans="1:21">
      <c r="A24" s="42"/>
      <c r="B24" s="38"/>
      <c r="C24" s="38"/>
      <c r="D24" s="38"/>
      <c r="E24" s="43"/>
      <c r="F24" s="44"/>
      <c r="G24" s="44"/>
      <c r="H24" s="45"/>
      <c r="I24" s="54"/>
      <c r="J24" s="54"/>
      <c r="K24" s="54"/>
      <c r="L24" s="54"/>
      <c r="M24" s="54"/>
      <c r="N24" s="54"/>
      <c r="O24" s="54"/>
      <c r="P24" s="129"/>
      <c r="Q24" s="129"/>
      <c r="R24" s="54"/>
      <c r="S24" s="166"/>
      <c r="T24" s="40"/>
      <c r="U24" s="40"/>
    </row>
    <row r="25" ht="24" customHeight="1" spans="1:19">
      <c r="A25" s="42"/>
      <c r="B25" s="46" t="s">
        <v>75</v>
      </c>
      <c r="C25" s="46"/>
      <c r="D25" s="46"/>
      <c r="E25" s="47"/>
      <c r="F25" s="48"/>
      <c r="G25" s="48"/>
      <c r="H25" s="49"/>
      <c r="I25" s="130">
        <v>4186</v>
      </c>
      <c r="J25" s="56"/>
      <c r="K25" s="56">
        <v>4186</v>
      </c>
      <c r="L25" s="131">
        <v>1</v>
      </c>
      <c r="M25" s="54"/>
      <c r="N25" s="54"/>
      <c r="O25" s="54" t="s">
        <v>361</v>
      </c>
      <c r="P25" s="225">
        <v>0.25</v>
      </c>
      <c r="Q25" s="54"/>
      <c r="R25" s="54">
        <v>3155</v>
      </c>
      <c r="S25" s="166"/>
    </row>
    <row r="26" ht="24" customHeight="1" spans="1:19">
      <c r="A26" s="42"/>
      <c r="B26" s="50" t="s">
        <v>77</v>
      </c>
      <c r="C26" s="50"/>
      <c r="D26" s="50"/>
      <c r="E26" s="47"/>
      <c r="F26" s="48"/>
      <c r="G26" s="48"/>
      <c r="H26" s="49"/>
      <c r="I26" s="130">
        <v>4186</v>
      </c>
      <c r="J26" s="56"/>
      <c r="K26" s="56">
        <v>4186</v>
      </c>
      <c r="L26" s="131">
        <v>1</v>
      </c>
      <c r="M26" s="54"/>
      <c r="N26" s="54"/>
      <c r="O26" s="54" t="s">
        <v>361</v>
      </c>
      <c r="P26" s="225">
        <v>0.25</v>
      </c>
      <c r="Q26" s="54"/>
      <c r="R26" s="54">
        <v>3155</v>
      </c>
      <c r="S26" s="166"/>
    </row>
    <row r="27" ht="16.15" customHeight="1" spans="1:19">
      <c r="A27" s="42"/>
      <c r="B27" s="50" t="s">
        <v>78</v>
      </c>
      <c r="C27" s="50"/>
      <c r="D27" s="50"/>
      <c r="E27" s="47"/>
      <c r="F27" s="48"/>
      <c r="G27" s="48"/>
      <c r="H27" s="49"/>
      <c r="I27" s="130"/>
      <c r="J27" s="130"/>
      <c r="K27" s="56"/>
      <c r="L27" s="56"/>
      <c r="M27" s="54"/>
      <c r="N27" s="54"/>
      <c r="O27" s="54"/>
      <c r="P27" s="54"/>
      <c r="Q27" s="54"/>
      <c r="R27" s="54"/>
      <c r="S27" s="166"/>
    </row>
    <row r="28" ht="13.9" customHeight="1" spans="1:19">
      <c r="A28" s="42"/>
      <c r="B28" s="50" t="s">
        <v>79</v>
      </c>
      <c r="C28" s="50"/>
      <c r="D28" s="50"/>
      <c r="E28" s="47"/>
      <c r="F28" s="48"/>
      <c r="G28" s="48"/>
      <c r="H28" s="49"/>
      <c r="I28" s="130"/>
      <c r="J28" s="130"/>
      <c r="K28" s="56"/>
      <c r="L28" s="56"/>
      <c r="M28" s="54"/>
      <c r="N28" s="54"/>
      <c r="O28" s="54"/>
      <c r="P28" s="54"/>
      <c r="Q28" s="54"/>
      <c r="R28" s="54"/>
      <c r="S28" s="166"/>
    </row>
    <row r="29" ht="98.45" customHeight="1" spans="1:19">
      <c r="A29" s="42"/>
      <c r="B29" s="50" t="s">
        <v>80</v>
      </c>
      <c r="C29" s="50"/>
      <c r="D29" s="50"/>
      <c r="E29" s="47"/>
      <c r="F29" s="48"/>
      <c r="G29" s="48"/>
      <c r="H29" s="49"/>
      <c r="I29" s="130">
        <v>4186</v>
      </c>
      <c r="J29" s="56"/>
      <c r="K29" s="56">
        <v>4186</v>
      </c>
      <c r="L29" s="131">
        <v>1</v>
      </c>
      <c r="M29" s="54"/>
      <c r="N29" s="54"/>
      <c r="O29" s="54" t="s">
        <v>361</v>
      </c>
      <c r="P29" s="225">
        <v>0.25</v>
      </c>
      <c r="Q29" s="54"/>
      <c r="R29" s="54">
        <v>3155</v>
      </c>
      <c r="S29" s="166"/>
    </row>
    <row r="30" ht="16.15" customHeight="1" spans="1:19">
      <c r="A30" s="42"/>
      <c r="B30" s="50" t="s">
        <v>82</v>
      </c>
      <c r="C30" s="50"/>
      <c r="D30" s="50"/>
      <c r="E30" s="47">
        <v>0</v>
      </c>
      <c r="F30" s="48"/>
      <c r="G30" s="48"/>
      <c r="H30" s="49"/>
      <c r="I30" s="130">
        <v>0</v>
      </c>
      <c r="J30" s="130" t="s">
        <v>15</v>
      </c>
      <c r="K30" s="56">
        <v>0</v>
      </c>
      <c r="L30" s="56">
        <v>0</v>
      </c>
      <c r="M30" s="54" t="s">
        <v>15</v>
      </c>
      <c r="N30" s="54"/>
      <c r="O30" s="38">
        <v>0</v>
      </c>
      <c r="P30" s="54">
        <v>0</v>
      </c>
      <c r="Q30" s="54"/>
      <c r="R30" s="38">
        <v>0</v>
      </c>
      <c r="S30" s="167"/>
    </row>
    <row r="31" ht="24" customHeight="1" spans="1:19">
      <c r="A31" s="42"/>
      <c r="B31" s="54" t="s">
        <v>83</v>
      </c>
      <c r="C31" s="55"/>
      <c r="D31" s="56" t="s">
        <v>84</v>
      </c>
      <c r="E31" s="57" t="s">
        <v>85</v>
      </c>
      <c r="F31" s="57"/>
      <c r="G31" s="57"/>
      <c r="H31" s="57"/>
      <c r="I31" s="57"/>
      <c r="J31" s="57"/>
      <c r="K31" s="57"/>
      <c r="L31" s="57"/>
      <c r="M31" s="57"/>
      <c r="N31" s="57"/>
      <c r="O31" s="57"/>
      <c r="P31" s="57" t="s">
        <v>86</v>
      </c>
      <c r="Q31" s="57"/>
      <c r="R31" s="57"/>
      <c r="S31" s="170"/>
    </row>
    <row r="32" ht="24" customHeight="1" spans="1:19">
      <c r="A32" s="42"/>
      <c r="B32" s="55"/>
      <c r="C32" s="55"/>
      <c r="D32" s="54">
        <v>1</v>
      </c>
      <c r="E32" s="57" t="s">
        <v>376</v>
      </c>
      <c r="F32" s="57"/>
      <c r="G32" s="57"/>
      <c r="H32" s="57"/>
      <c r="I32" s="57"/>
      <c r="J32" s="57"/>
      <c r="K32" s="57"/>
      <c r="L32" s="57"/>
      <c r="M32" s="57"/>
      <c r="N32" s="57"/>
      <c r="O32" s="57"/>
      <c r="P32" s="57">
        <v>1031</v>
      </c>
      <c r="Q32" s="57"/>
      <c r="R32" s="57"/>
      <c r="S32" s="170"/>
    </row>
    <row r="33" ht="24" customHeight="1" spans="1:19">
      <c r="A33" s="42"/>
      <c r="B33" s="55"/>
      <c r="C33" s="55"/>
      <c r="D33" s="54">
        <v>2</v>
      </c>
      <c r="E33" s="57"/>
      <c r="F33" s="57"/>
      <c r="G33" s="57"/>
      <c r="H33" s="57"/>
      <c r="I33" s="57"/>
      <c r="J33" s="57"/>
      <c r="K33" s="57"/>
      <c r="L33" s="57"/>
      <c r="M33" s="57"/>
      <c r="N33" s="57"/>
      <c r="O33" s="57"/>
      <c r="P33" s="57"/>
      <c r="Q33" s="57"/>
      <c r="R33" s="57"/>
      <c r="S33" s="170"/>
    </row>
    <row r="34" ht="24" customHeight="1" spans="1:19">
      <c r="A34" s="58"/>
      <c r="B34" s="59"/>
      <c r="C34" s="59"/>
      <c r="D34" s="54">
        <v>3</v>
      </c>
      <c r="E34" s="57"/>
      <c r="F34" s="57"/>
      <c r="G34" s="57"/>
      <c r="H34" s="57"/>
      <c r="I34" s="57"/>
      <c r="J34" s="57"/>
      <c r="K34" s="57"/>
      <c r="L34" s="57"/>
      <c r="M34" s="57"/>
      <c r="N34" s="57"/>
      <c r="O34" s="57"/>
      <c r="P34" s="57"/>
      <c r="Q34" s="57"/>
      <c r="R34" s="57"/>
      <c r="S34" s="170"/>
    </row>
    <row r="35" ht="24" customHeight="1" spans="1:19">
      <c r="A35" s="58"/>
      <c r="B35" s="59"/>
      <c r="C35" s="59"/>
      <c r="D35" s="54">
        <v>4</v>
      </c>
      <c r="E35" s="57"/>
      <c r="F35" s="57"/>
      <c r="G35" s="57"/>
      <c r="H35" s="57"/>
      <c r="I35" s="57"/>
      <c r="J35" s="57"/>
      <c r="K35" s="57"/>
      <c r="L35" s="57"/>
      <c r="M35" s="57"/>
      <c r="N35" s="57"/>
      <c r="O35" s="57"/>
      <c r="P35" s="57"/>
      <c r="Q35" s="57"/>
      <c r="R35" s="57"/>
      <c r="S35" s="170"/>
    </row>
    <row r="36" ht="18" customHeight="1" spans="1:19">
      <c r="A36" s="60"/>
      <c r="B36" s="61"/>
      <c r="C36" s="61"/>
      <c r="D36" s="168" t="s">
        <v>91</v>
      </c>
      <c r="E36" s="57"/>
      <c r="F36" s="57"/>
      <c r="G36" s="57"/>
      <c r="H36" s="57"/>
      <c r="I36" s="57"/>
      <c r="J36" s="57"/>
      <c r="K36" s="57"/>
      <c r="L36" s="57"/>
      <c r="M36" s="57"/>
      <c r="N36" s="57"/>
      <c r="O36" s="57"/>
      <c r="P36" s="57">
        <f>SUM(P32:P35)</f>
        <v>1031</v>
      </c>
      <c r="Q36" s="57"/>
      <c r="R36" s="57"/>
      <c r="S36" s="170"/>
    </row>
    <row r="37" ht="41.45" customHeight="1" spans="1:20">
      <c r="A37" s="62" t="s">
        <v>92</v>
      </c>
      <c r="B37" s="210" t="s">
        <v>93</v>
      </c>
      <c r="C37" s="211"/>
      <c r="D37" s="211"/>
      <c r="E37" s="211" t="s">
        <v>94</v>
      </c>
      <c r="F37" s="211"/>
      <c r="G37" s="211"/>
      <c r="H37" s="211" t="s">
        <v>95</v>
      </c>
      <c r="I37" s="211"/>
      <c r="J37" s="211" t="s">
        <v>96</v>
      </c>
      <c r="K37" s="211"/>
      <c r="L37" s="211"/>
      <c r="M37" s="211"/>
      <c r="N37" s="211"/>
      <c r="O37" s="211"/>
      <c r="P37" s="228" t="s">
        <v>97</v>
      </c>
      <c r="Q37" s="265"/>
      <c r="R37" s="211" t="s">
        <v>98</v>
      </c>
      <c r="S37" s="266"/>
      <c r="T37" s="99"/>
    </row>
    <row r="38" ht="42.6" customHeight="1" spans="1:20">
      <c r="A38" s="63"/>
      <c r="B38" s="74" t="s">
        <v>99</v>
      </c>
      <c r="C38" s="75"/>
      <c r="D38" s="76"/>
      <c r="E38" s="77" t="s">
        <v>100</v>
      </c>
      <c r="F38" s="77"/>
      <c r="G38" s="77"/>
      <c r="H38" s="212" t="s">
        <v>101</v>
      </c>
      <c r="I38" s="76"/>
      <c r="J38" s="143" t="s">
        <v>102</v>
      </c>
      <c r="K38" s="143"/>
      <c r="L38" s="143"/>
      <c r="M38" s="143"/>
      <c r="N38" s="143"/>
      <c r="O38" s="143"/>
      <c r="P38" s="229">
        <v>0.1</v>
      </c>
      <c r="Q38" s="267"/>
      <c r="R38" s="10">
        <v>10</v>
      </c>
      <c r="S38" s="175"/>
      <c r="T38" s="99"/>
    </row>
    <row r="39" ht="46.5" customHeight="1" spans="1:20">
      <c r="A39" s="63"/>
      <c r="B39" s="68"/>
      <c r="C39" s="69"/>
      <c r="D39" s="70"/>
      <c r="E39" s="54" t="s">
        <v>103</v>
      </c>
      <c r="F39" s="54"/>
      <c r="G39" s="54"/>
      <c r="H39" s="51" t="s">
        <v>104</v>
      </c>
      <c r="I39" s="53"/>
      <c r="J39" s="230" t="s">
        <v>105</v>
      </c>
      <c r="K39" s="231"/>
      <c r="L39" s="231"/>
      <c r="M39" s="231"/>
      <c r="N39" s="231"/>
      <c r="O39" s="232"/>
      <c r="P39" s="233">
        <v>0.1</v>
      </c>
      <c r="Q39" s="172"/>
      <c r="R39" s="25">
        <v>10</v>
      </c>
      <c r="S39" s="154"/>
      <c r="T39" s="99"/>
    </row>
    <row r="40" ht="58.9" customHeight="1" spans="1:20">
      <c r="A40" s="63"/>
      <c r="B40" s="213"/>
      <c r="C40" s="82"/>
      <c r="D40" s="83"/>
      <c r="E40" s="84" t="s">
        <v>106</v>
      </c>
      <c r="F40" s="84"/>
      <c r="G40" s="84"/>
      <c r="H40" s="84" t="s">
        <v>107</v>
      </c>
      <c r="I40" s="84"/>
      <c r="J40" s="234" t="s">
        <v>108</v>
      </c>
      <c r="K40" s="234"/>
      <c r="L40" s="234"/>
      <c r="M40" s="234"/>
      <c r="N40" s="234"/>
      <c r="O40" s="234"/>
      <c r="P40" s="235">
        <v>0.1</v>
      </c>
      <c r="Q40" s="268"/>
      <c r="R40" s="177">
        <v>10</v>
      </c>
      <c r="S40" s="178"/>
      <c r="T40" s="99"/>
    </row>
    <row r="41" ht="48.6" customHeight="1" spans="1:19">
      <c r="A41" s="63"/>
      <c r="B41" s="74" t="s">
        <v>109</v>
      </c>
      <c r="C41" s="75"/>
      <c r="D41" s="76"/>
      <c r="E41" s="34" t="s">
        <v>110</v>
      </c>
      <c r="F41" s="35"/>
      <c r="G41" s="36"/>
      <c r="H41" s="78" t="s">
        <v>111</v>
      </c>
      <c r="I41" s="78"/>
      <c r="J41" s="236" t="s">
        <v>112</v>
      </c>
      <c r="K41" s="237"/>
      <c r="L41" s="237"/>
      <c r="M41" s="237"/>
      <c r="N41" s="237"/>
      <c r="O41" s="238"/>
      <c r="P41" s="174">
        <v>0.06</v>
      </c>
      <c r="Q41" s="174"/>
      <c r="R41" s="10">
        <v>6</v>
      </c>
      <c r="S41" s="175"/>
    </row>
    <row r="42" ht="41.45" customHeight="1" spans="1:19">
      <c r="A42" s="63"/>
      <c r="B42" s="68"/>
      <c r="C42" s="69"/>
      <c r="D42" s="70"/>
      <c r="E42" s="39"/>
      <c r="F42" s="40"/>
      <c r="G42" s="41"/>
      <c r="H42" s="214" t="s">
        <v>113</v>
      </c>
      <c r="I42" s="214"/>
      <c r="J42" s="239" t="s">
        <v>114</v>
      </c>
      <c r="K42" s="240"/>
      <c r="L42" s="240"/>
      <c r="M42" s="240"/>
      <c r="N42" s="240"/>
      <c r="O42" s="241"/>
      <c r="P42" s="144">
        <v>0.06</v>
      </c>
      <c r="Q42" s="144"/>
      <c r="R42" s="23">
        <v>6</v>
      </c>
      <c r="S42" s="173"/>
    </row>
    <row r="43" ht="54.6" customHeight="1" spans="1:19">
      <c r="A43" s="63"/>
      <c r="B43" s="68"/>
      <c r="C43" s="69"/>
      <c r="D43" s="70"/>
      <c r="E43" s="43"/>
      <c r="F43" s="44"/>
      <c r="G43" s="45"/>
      <c r="H43" s="214" t="s">
        <v>115</v>
      </c>
      <c r="I43" s="214"/>
      <c r="J43" s="239" t="s">
        <v>116</v>
      </c>
      <c r="K43" s="240"/>
      <c r="L43" s="240"/>
      <c r="M43" s="240"/>
      <c r="N43" s="240"/>
      <c r="O43" s="241"/>
      <c r="P43" s="233">
        <v>0.06</v>
      </c>
      <c r="Q43" s="172"/>
      <c r="R43" s="25">
        <v>4</v>
      </c>
      <c r="S43" s="154"/>
    </row>
    <row r="44" s="205" customFormat="1" ht="48.6" customHeight="1" spans="1:20">
      <c r="A44" s="63"/>
      <c r="B44" s="79"/>
      <c r="C44" s="69"/>
      <c r="D44" s="70"/>
      <c r="E44" s="54" t="s">
        <v>117</v>
      </c>
      <c r="F44" s="54"/>
      <c r="G44" s="54"/>
      <c r="H44" s="54" t="s">
        <v>118</v>
      </c>
      <c r="I44" s="54"/>
      <c r="J44" s="51" t="s">
        <v>119</v>
      </c>
      <c r="K44" s="52"/>
      <c r="L44" s="52"/>
      <c r="M44" s="52"/>
      <c r="N44" s="52"/>
      <c r="O44" s="53"/>
      <c r="P44" s="144">
        <v>0.06</v>
      </c>
      <c r="Q44" s="144"/>
      <c r="R44" s="23">
        <v>6</v>
      </c>
      <c r="S44" s="173"/>
      <c r="T44" s="40"/>
    </row>
    <row r="45" s="205" customFormat="1" ht="60" customHeight="1" spans="1:20">
      <c r="A45" s="63"/>
      <c r="B45" s="81"/>
      <c r="C45" s="82"/>
      <c r="D45" s="83"/>
      <c r="E45" s="84"/>
      <c r="F45" s="84"/>
      <c r="G45" s="84"/>
      <c r="H45" s="84" t="s">
        <v>120</v>
      </c>
      <c r="I45" s="84"/>
      <c r="J45" s="242" t="s">
        <v>121</v>
      </c>
      <c r="K45" s="243"/>
      <c r="L45" s="243"/>
      <c r="M45" s="243"/>
      <c r="N45" s="243"/>
      <c r="O45" s="244"/>
      <c r="P45" s="146">
        <v>0.06</v>
      </c>
      <c r="Q45" s="146"/>
      <c r="R45" s="177">
        <v>6</v>
      </c>
      <c r="S45" s="178"/>
      <c r="T45" s="40"/>
    </row>
    <row r="46" ht="30" customHeight="1" spans="1:19">
      <c r="A46" s="63"/>
      <c r="B46" s="74" t="s">
        <v>122</v>
      </c>
      <c r="C46" s="75"/>
      <c r="D46" s="76"/>
      <c r="E46" s="77" t="s">
        <v>123</v>
      </c>
      <c r="F46" s="77"/>
      <c r="G46" s="77"/>
      <c r="H46" s="77" t="s">
        <v>124</v>
      </c>
      <c r="I46" s="77"/>
      <c r="J46" s="246" t="s">
        <v>125</v>
      </c>
      <c r="K46" s="247"/>
      <c r="L46" s="247"/>
      <c r="M46" s="247"/>
      <c r="N46" s="247"/>
      <c r="O46" s="248"/>
      <c r="P46" s="174">
        <v>0.04</v>
      </c>
      <c r="Q46" s="174"/>
      <c r="R46" s="10">
        <v>4</v>
      </c>
      <c r="S46" s="175"/>
    </row>
    <row r="47" ht="39" customHeight="1" spans="1:19">
      <c r="A47" s="63"/>
      <c r="B47" s="68"/>
      <c r="C47" s="69"/>
      <c r="D47" s="70"/>
      <c r="E47" s="54"/>
      <c r="F47" s="54"/>
      <c r="G47" s="54"/>
      <c r="H47" s="54" t="s">
        <v>126</v>
      </c>
      <c r="I47" s="54"/>
      <c r="J47" s="51" t="s">
        <v>377</v>
      </c>
      <c r="K47" s="52"/>
      <c r="L47" s="52"/>
      <c r="M47" s="52"/>
      <c r="N47" s="52"/>
      <c r="O47" s="53"/>
      <c r="P47" s="135">
        <v>0.08</v>
      </c>
      <c r="Q47" s="172"/>
      <c r="R47" s="25">
        <v>6</v>
      </c>
      <c r="S47" s="154"/>
    </row>
    <row r="48" ht="40" customHeight="1" spans="1:19">
      <c r="A48" s="63"/>
      <c r="B48" s="79"/>
      <c r="C48" s="69"/>
      <c r="D48" s="70"/>
      <c r="E48" s="54" t="s">
        <v>128</v>
      </c>
      <c r="F48" s="54"/>
      <c r="G48" s="54"/>
      <c r="H48" s="54" t="s">
        <v>378</v>
      </c>
      <c r="I48" s="54"/>
      <c r="J48" s="50" t="s">
        <v>379</v>
      </c>
      <c r="K48" s="50"/>
      <c r="L48" s="50"/>
      <c r="M48" s="50"/>
      <c r="N48" s="50"/>
      <c r="O48" s="50"/>
      <c r="P48" s="142">
        <v>0.05</v>
      </c>
      <c r="Q48" s="144"/>
      <c r="R48" s="25">
        <v>3</v>
      </c>
      <c r="S48" s="154"/>
    </row>
    <row r="49" ht="52.9" customHeight="1" spans="1:19">
      <c r="A49" s="63"/>
      <c r="B49" s="79"/>
      <c r="C49" s="69"/>
      <c r="D49" s="70"/>
      <c r="E49" s="54"/>
      <c r="F49" s="54"/>
      <c r="G49" s="54"/>
      <c r="H49" s="214" t="s">
        <v>136</v>
      </c>
      <c r="I49" s="214"/>
      <c r="J49" s="293" t="s">
        <v>380</v>
      </c>
      <c r="K49" s="293"/>
      <c r="L49" s="293"/>
      <c r="M49" s="293"/>
      <c r="N49" s="293"/>
      <c r="O49" s="293"/>
      <c r="P49" s="144">
        <v>0.04</v>
      </c>
      <c r="Q49" s="144"/>
      <c r="R49" s="25">
        <v>4</v>
      </c>
      <c r="S49" s="154"/>
    </row>
    <row r="50" ht="25.5" customHeight="1" spans="1:19">
      <c r="A50" s="63"/>
      <c r="B50" s="79"/>
      <c r="C50" s="69"/>
      <c r="D50" s="70"/>
      <c r="E50" s="54" t="s">
        <v>138</v>
      </c>
      <c r="F50" s="54"/>
      <c r="G50" s="54"/>
      <c r="H50" s="216" t="s">
        <v>139</v>
      </c>
      <c r="I50" s="216"/>
      <c r="J50" s="294" t="s">
        <v>381</v>
      </c>
      <c r="K50" s="295"/>
      <c r="L50" s="295"/>
      <c r="M50" s="295"/>
      <c r="N50" s="295"/>
      <c r="O50" s="296"/>
      <c r="P50" s="252">
        <v>0.04</v>
      </c>
      <c r="Q50" s="252"/>
      <c r="R50" s="23">
        <v>3</v>
      </c>
      <c r="S50" s="173"/>
    </row>
    <row r="51" ht="45" customHeight="1" spans="1:19">
      <c r="A51" s="63"/>
      <c r="B51" s="79"/>
      <c r="C51" s="69"/>
      <c r="D51" s="70"/>
      <c r="E51" s="54" t="s">
        <v>141</v>
      </c>
      <c r="F51" s="54"/>
      <c r="G51" s="54"/>
      <c r="H51" s="54" t="s">
        <v>44</v>
      </c>
      <c r="I51" s="54"/>
      <c r="J51" s="51" t="s">
        <v>382</v>
      </c>
      <c r="K51" s="52"/>
      <c r="L51" s="52"/>
      <c r="M51" s="52"/>
      <c r="N51" s="52"/>
      <c r="O51" s="53"/>
      <c r="P51" s="144">
        <v>0.04</v>
      </c>
      <c r="Q51" s="144"/>
      <c r="R51" s="23">
        <v>4</v>
      </c>
      <c r="S51" s="173"/>
    </row>
    <row r="52" s="205" customFormat="1" ht="45" customHeight="1" spans="1:20">
      <c r="A52" s="63"/>
      <c r="B52" s="79"/>
      <c r="C52" s="69"/>
      <c r="D52" s="70"/>
      <c r="E52" s="54" t="s">
        <v>143</v>
      </c>
      <c r="F52" s="54"/>
      <c r="G52" s="54"/>
      <c r="H52" s="54" t="s">
        <v>383</v>
      </c>
      <c r="I52" s="54"/>
      <c r="J52" s="239" t="s">
        <v>384</v>
      </c>
      <c r="K52" s="240"/>
      <c r="L52" s="240"/>
      <c r="M52" s="240"/>
      <c r="N52" s="240"/>
      <c r="O52" s="241"/>
      <c r="P52" s="144">
        <v>0.04</v>
      </c>
      <c r="Q52" s="144"/>
      <c r="R52" s="23">
        <v>4</v>
      </c>
      <c r="S52" s="176"/>
      <c r="T52" s="40"/>
    </row>
    <row r="53" s="205" customFormat="1" ht="45.6" customHeight="1" spans="1:20">
      <c r="A53" s="63"/>
      <c r="B53" s="79"/>
      <c r="C53" s="69"/>
      <c r="D53" s="70"/>
      <c r="E53" s="54" t="s">
        <v>146</v>
      </c>
      <c r="F53" s="54"/>
      <c r="G53" s="54"/>
      <c r="H53" s="214" t="s">
        <v>147</v>
      </c>
      <c r="I53" s="214"/>
      <c r="J53" s="239" t="s">
        <v>385</v>
      </c>
      <c r="K53" s="240"/>
      <c r="L53" s="240"/>
      <c r="M53" s="240"/>
      <c r="N53" s="240"/>
      <c r="O53" s="241"/>
      <c r="P53" s="142">
        <v>0.03</v>
      </c>
      <c r="Q53" s="144"/>
      <c r="R53" s="23">
        <v>3</v>
      </c>
      <c r="S53" s="176"/>
      <c r="T53" s="40"/>
    </row>
    <row r="54" s="205" customFormat="1" ht="45" customHeight="1" spans="1:20">
      <c r="A54" s="63"/>
      <c r="B54" s="81"/>
      <c r="C54" s="82"/>
      <c r="D54" s="83"/>
      <c r="E54" s="84" t="s">
        <v>149</v>
      </c>
      <c r="F54" s="84"/>
      <c r="G54" s="84"/>
      <c r="H54" s="217" t="s">
        <v>386</v>
      </c>
      <c r="I54" s="217"/>
      <c r="J54" s="256" t="s">
        <v>151</v>
      </c>
      <c r="K54" s="257"/>
      <c r="L54" s="257"/>
      <c r="M54" s="257"/>
      <c r="N54" s="257"/>
      <c r="O54" s="258"/>
      <c r="P54" s="146">
        <v>0.04</v>
      </c>
      <c r="Q54" s="146"/>
      <c r="R54" s="177">
        <v>3</v>
      </c>
      <c r="S54" s="178"/>
      <c r="T54" s="40"/>
    </row>
    <row r="55" ht="30" customHeight="1" spans="1:19">
      <c r="A55" s="63"/>
      <c r="B55" s="16" t="s">
        <v>152</v>
      </c>
      <c r="C55" s="17"/>
      <c r="D55" s="17"/>
      <c r="E55" s="17"/>
      <c r="F55" s="17"/>
      <c r="G55" s="17"/>
      <c r="H55" s="17"/>
      <c r="I55" s="17"/>
      <c r="J55" s="17"/>
      <c r="K55" s="17"/>
      <c r="L55" s="17"/>
      <c r="M55" s="17"/>
      <c r="N55" s="17"/>
      <c r="O55" s="18"/>
      <c r="P55" s="259">
        <v>1</v>
      </c>
      <c r="Q55" s="259"/>
      <c r="R55" s="299">
        <f>SUM(R38:R54)</f>
        <v>92</v>
      </c>
      <c r="S55" s="300"/>
    </row>
    <row r="56" ht="36" customHeight="1" spans="1:19">
      <c r="A56" s="88"/>
      <c r="B56" s="89" t="s">
        <v>153</v>
      </c>
      <c r="C56" s="90" t="s">
        <v>154</v>
      </c>
      <c r="D56" s="91"/>
      <c r="E56" s="91"/>
      <c r="F56" s="91"/>
      <c r="G56" s="91"/>
      <c r="H56" s="91"/>
      <c r="I56" s="91"/>
      <c r="J56" s="91"/>
      <c r="K56" s="91"/>
      <c r="L56" s="91"/>
      <c r="M56" s="91"/>
      <c r="N56" s="91"/>
      <c r="O56" s="91"/>
      <c r="P56" s="91"/>
      <c r="Q56" s="91"/>
      <c r="R56" s="91"/>
      <c r="S56" s="181"/>
    </row>
    <row r="57" ht="22.5" customHeight="1" spans="1:19">
      <c r="A57" s="62" t="s">
        <v>155</v>
      </c>
      <c r="B57" s="92" t="s">
        <v>156</v>
      </c>
      <c r="C57" s="93" t="s">
        <v>157</v>
      </c>
      <c r="D57" s="94"/>
      <c r="E57" s="95" t="s">
        <v>158</v>
      </c>
      <c r="F57" s="93"/>
      <c r="G57" s="93"/>
      <c r="H57" s="93"/>
      <c r="I57" s="93"/>
      <c r="J57" s="93"/>
      <c r="K57" s="93"/>
      <c r="L57" s="93"/>
      <c r="M57" s="93"/>
      <c r="N57" s="94"/>
      <c r="O57" s="149" t="s">
        <v>159</v>
      </c>
      <c r="P57" s="95" t="s">
        <v>160</v>
      </c>
      <c r="Q57" s="94"/>
      <c r="R57" s="95" t="s">
        <v>161</v>
      </c>
      <c r="S57" s="182"/>
    </row>
    <row r="58" ht="21" customHeight="1" spans="1:19">
      <c r="A58" s="96"/>
      <c r="B58" s="97"/>
      <c r="C58" s="98"/>
      <c r="D58" s="99"/>
      <c r="E58" s="100"/>
      <c r="F58" s="101"/>
      <c r="G58" s="101"/>
      <c r="H58" s="101"/>
      <c r="I58" s="101"/>
      <c r="J58" s="101"/>
      <c r="K58" s="101"/>
      <c r="L58" s="101"/>
      <c r="M58" s="101"/>
      <c r="N58" s="150"/>
      <c r="O58" s="57"/>
      <c r="P58" s="98"/>
      <c r="Q58" s="99"/>
      <c r="R58" s="98"/>
      <c r="S58" s="160"/>
    </row>
    <row r="59" ht="21" customHeight="1" spans="1:19">
      <c r="A59" s="96"/>
      <c r="B59" s="97"/>
      <c r="C59" s="98"/>
      <c r="D59" s="99"/>
      <c r="E59" s="100"/>
      <c r="F59" s="101"/>
      <c r="G59" s="101"/>
      <c r="H59" s="101"/>
      <c r="I59" s="101"/>
      <c r="J59" s="101"/>
      <c r="K59" s="101"/>
      <c r="L59" s="101"/>
      <c r="M59" s="101"/>
      <c r="N59" s="150"/>
      <c r="O59" s="57"/>
      <c r="P59" s="98"/>
      <c r="Q59" s="99"/>
      <c r="R59" s="98"/>
      <c r="S59" s="160"/>
    </row>
    <row r="60" ht="21" customHeight="1" spans="1:19">
      <c r="A60" s="96"/>
      <c r="B60" s="97"/>
      <c r="C60" s="98"/>
      <c r="D60" s="99"/>
      <c r="E60" s="100"/>
      <c r="F60" s="101"/>
      <c r="G60" s="101"/>
      <c r="H60" s="101"/>
      <c r="I60" s="101"/>
      <c r="J60" s="101"/>
      <c r="K60" s="101"/>
      <c r="L60" s="101"/>
      <c r="M60" s="101"/>
      <c r="N60" s="150"/>
      <c r="O60" s="57"/>
      <c r="P60" s="98"/>
      <c r="Q60" s="99"/>
      <c r="R60" s="98"/>
      <c r="S60" s="160"/>
    </row>
    <row r="61" ht="21" customHeight="1" spans="1:19">
      <c r="A61" s="96"/>
      <c r="B61" s="97"/>
      <c r="C61" s="98"/>
      <c r="D61" s="99"/>
      <c r="E61" s="100"/>
      <c r="F61" s="101"/>
      <c r="G61" s="101"/>
      <c r="H61" s="101"/>
      <c r="I61" s="101"/>
      <c r="J61" s="101"/>
      <c r="K61" s="101"/>
      <c r="L61" s="101"/>
      <c r="M61" s="101"/>
      <c r="N61" s="150"/>
      <c r="O61" s="57"/>
      <c r="P61" s="98"/>
      <c r="Q61" s="99"/>
      <c r="R61" s="98"/>
      <c r="S61" s="160"/>
    </row>
    <row r="62" ht="21" customHeight="1" spans="1:19">
      <c r="A62" s="96"/>
      <c r="B62" s="97"/>
      <c r="C62" s="98"/>
      <c r="D62" s="99"/>
      <c r="E62" s="100"/>
      <c r="F62" s="101"/>
      <c r="G62" s="101"/>
      <c r="H62" s="101"/>
      <c r="I62" s="101"/>
      <c r="J62" s="101"/>
      <c r="K62" s="101"/>
      <c r="L62" s="101"/>
      <c r="M62" s="101"/>
      <c r="N62" s="150"/>
      <c r="O62" s="57"/>
      <c r="P62" s="98"/>
      <c r="Q62" s="99"/>
      <c r="R62" s="98"/>
      <c r="S62" s="160"/>
    </row>
    <row r="63" ht="105.75" customHeight="1" spans="1:19">
      <c r="A63" s="96"/>
      <c r="B63" s="97"/>
      <c r="C63" s="102" t="s">
        <v>162</v>
      </c>
      <c r="D63" s="103"/>
      <c r="E63" s="103"/>
      <c r="F63" s="103"/>
      <c r="G63" s="103"/>
      <c r="H63" s="103"/>
      <c r="I63" s="103"/>
      <c r="J63" s="103"/>
      <c r="K63" s="103"/>
      <c r="L63" s="103"/>
      <c r="M63" s="103"/>
      <c r="N63" s="103"/>
      <c r="O63" s="103"/>
      <c r="P63" s="103"/>
      <c r="Q63" s="103"/>
      <c r="R63" s="103"/>
      <c r="S63" s="183"/>
    </row>
    <row r="64" ht="27" customHeight="1" spans="1:19">
      <c r="A64" s="96"/>
      <c r="B64" s="104"/>
      <c r="C64" s="105" t="s">
        <v>163</v>
      </c>
      <c r="D64" s="106"/>
      <c r="E64" s="106"/>
      <c r="F64" s="106"/>
      <c r="G64" s="106"/>
      <c r="H64" s="106"/>
      <c r="I64" s="106"/>
      <c r="J64" s="106"/>
      <c r="K64" s="106"/>
      <c r="L64" s="106"/>
      <c r="M64" s="106"/>
      <c r="N64" s="106"/>
      <c r="O64" s="106"/>
      <c r="P64" s="106"/>
      <c r="Q64" s="106"/>
      <c r="R64" s="106"/>
      <c r="S64" s="184"/>
    </row>
    <row r="65" ht="48.75" customHeight="1" spans="1:19">
      <c r="A65" s="96"/>
      <c r="B65" s="92" t="s">
        <v>164</v>
      </c>
      <c r="C65" s="107" t="s">
        <v>165</v>
      </c>
      <c r="D65" s="108"/>
      <c r="E65" s="108"/>
      <c r="F65" s="108"/>
      <c r="G65" s="108"/>
      <c r="H65" s="108"/>
      <c r="I65" s="108"/>
      <c r="J65" s="108"/>
      <c r="K65" s="108"/>
      <c r="L65" s="108"/>
      <c r="M65" s="108"/>
      <c r="N65" s="108"/>
      <c r="O65" s="108"/>
      <c r="P65" s="108"/>
      <c r="Q65" s="108"/>
      <c r="R65" s="108"/>
      <c r="S65" s="185"/>
    </row>
    <row r="66" ht="55.5" customHeight="1" spans="1:19">
      <c r="A66" s="96"/>
      <c r="B66" s="186"/>
      <c r="C66" s="187" t="s">
        <v>166</v>
      </c>
      <c r="D66" s="188"/>
      <c r="E66" s="188"/>
      <c r="F66" s="188"/>
      <c r="G66" s="188"/>
      <c r="H66" s="188"/>
      <c r="I66" s="188"/>
      <c r="J66" s="188"/>
      <c r="K66" s="188"/>
      <c r="L66" s="188"/>
      <c r="M66" s="188"/>
      <c r="N66" s="188"/>
      <c r="O66" s="188"/>
      <c r="P66" s="188"/>
      <c r="Q66" s="188"/>
      <c r="R66" s="188"/>
      <c r="S66" s="201"/>
    </row>
    <row r="67" ht="104.25" customHeight="1" spans="1:19">
      <c r="A67" s="96"/>
      <c r="B67" s="186"/>
      <c r="C67" s="102" t="s">
        <v>167</v>
      </c>
      <c r="D67" s="103"/>
      <c r="E67" s="103"/>
      <c r="F67" s="103"/>
      <c r="G67" s="103"/>
      <c r="H67" s="103"/>
      <c r="I67" s="103"/>
      <c r="J67" s="103"/>
      <c r="K67" s="103"/>
      <c r="L67" s="103"/>
      <c r="M67" s="103"/>
      <c r="N67" s="103"/>
      <c r="O67" s="103"/>
      <c r="P67" s="103"/>
      <c r="Q67" s="103"/>
      <c r="R67" s="103"/>
      <c r="S67" s="183"/>
    </row>
    <row r="68" ht="28.5" customHeight="1" spans="1:19">
      <c r="A68" s="96"/>
      <c r="B68" s="189"/>
      <c r="C68" s="105" t="s">
        <v>168</v>
      </c>
      <c r="D68" s="106"/>
      <c r="E68" s="106"/>
      <c r="F68" s="106"/>
      <c r="G68" s="106"/>
      <c r="H68" s="106"/>
      <c r="I68" s="106"/>
      <c r="J68" s="106"/>
      <c r="K68" s="106"/>
      <c r="L68" s="106"/>
      <c r="M68" s="106"/>
      <c r="N68" s="106"/>
      <c r="O68" s="106"/>
      <c r="P68" s="106"/>
      <c r="Q68" s="106"/>
      <c r="R68" s="106"/>
      <c r="S68" s="184"/>
    </row>
    <row r="69" customHeight="1" spans="1:19">
      <c r="A69" s="96"/>
      <c r="B69" s="186" t="s">
        <v>169</v>
      </c>
      <c r="C69" s="190"/>
      <c r="D69" s="191"/>
      <c r="E69" s="191"/>
      <c r="F69" s="191"/>
      <c r="G69" s="191"/>
      <c r="H69" s="191"/>
      <c r="I69" s="191"/>
      <c r="J69" s="191"/>
      <c r="K69" s="191"/>
      <c r="L69" s="191"/>
      <c r="M69" s="191"/>
      <c r="N69" s="191"/>
      <c r="O69" s="191"/>
      <c r="P69" s="191"/>
      <c r="Q69" s="191"/>
      <c r="R69" s="191"/>
      <c r="S69" s="202"/>
    </row>
    <row r="70" ht="14.25" customHeight="1" spans="1:19">
      <c r="A70" s="96"/>
      <c r="B70" s="186"/>
      <c r="C70" s="191"/>
      <c r="D70" s="191"/>
      <c r="E70" s="191"/>
      <c r="F70" s="192"/>
      <c r="G70" s="191"/>
      <c r="H70" s="191"/>
      <c r="I70" s="191"/>
      <c r="J70" s="191"/>
      <c r="K70" s="191"/>
      <c r="L70" s="191"/>
      <c r="M70" s="191"/>
      <c r="N70" s="191"/>
      <c r="O70" s="191"/>
      <c r="P70" s="191"/>
      <c r="Q70" s="191"/>
      <c r="R70" s="191"/>
      <c r="S70" s="202"/>
    </row>
    <row r="71" ht="30.75" customHeight="1" spans="1:19">
      <c r="A71" s="96"/>
      <c r="B71" s="186"/>
      <c r="C71" s="193"/>
      <c r="D71" s="194"/>
      <c r="E71" s="194"/>
      <c r="F71" s="194"/>
      <c r="G71" s="194"/>
      <c r="H71" s="194"/>
      <c r="I71" s="194"/>
      <c r="J71" s="194"/>
      <c r="K71" s="194"/>
      <c r="L71" s="194"/>
      <c r="M71" s="194"/>
      <c r="N71" s="194"/>
      <c r="O71" s="194"/>
      <c r="P71" s="194"/>
      <c r="Q71" s="194"/>
      <c r="R71" s="194"/>
      <c r="S71" s="203"/>
    </row>
    <row r="72" ht="53.25" customHeight="1" spans="1:19">
      <c r="A72" s="195"/>
      <c r="B72" s="189"/>
      <c r="C72" s="196" t="s">
        <v>170</v>
      </c>
      <c r="D72" s="197"/>
      <c r="E72" s="197"/>
      <c r="F72" s="197"/>
      <c r="G72" s="197"/>
      <c r="H72" s="197"/>
      <c r="I72" s="197"/>
      <c r="J72" s="197"/>
      <c r="K72" s="197"/>
      <c r="L72" s="197"/>
      <c r="M72" s="197"/>
      <c r="N72" s="197"/>
      <c r="O72" s="197"/>
      <c r="P72" s="197"/>
      <c r="Q72" s="197"/>
      <c r="R72" s="197"/>
      <c r="S72" s="204"/>
    </row>
    <row r="73" ht="19.5" customHeight="1" spans="1:19">
      <c r="A73" s="198"/>
      <c r="B73" s="199" t="s">
        <v>171</v>
      </c>
      <c r="C73" s="199"/>
      <c r="D73" s="199"/>
      <c r="E73" s="199"/>
      <c r="F73" s="199"/>
      <c r="G73" s="199"/>
      <c r="H73" s="199" t="s">
        <v>172</v>
      </c>
      <c r="I73" s="199"/>
      <c r="J73" s="199"/>
      <c r="K73" s="199"/>
      <c r="L73" s="199"/>
      <c r="N73" s="200"/>
      <c r="O73" s="200" t="s">
        <v>173</v>
      </c>
      <c r="Q73" s="200"/>
      <c r="R73" s="200"/>
      <c r="S73" s="200"/>
    </row>
  </sheetData>
  <mergeCells count="285">
    <mergeCell ref="A1:S1"/>
    <mergeCell ref="B2:D2"/>
    <mergeCell ref="E2:S2"/>
    <mergeCell ref="K3:M3"/>
    <mergeCell ref="P3:S3"/>
    <mergeCell ref="K4:M4"/>
    <mergeCell ref="P4:S4"/>
    <mergeCell ref="B5:H5"/>
    <mergeCell ref="I5:S5"/>
    <mergeCell ref="C6:H6"/>
    <mergeCell ref="I6:K6"/>
    <mergeCell ref="L6:O6"/>
    <mergeCell ref="P6:S6"/>
    <mergeCell ref="C7:D7"/>
    <mergeCell ref="E7:H7"/>
    <mergeCell ref="I7:K7"/>
    <mergeCell ref="L7:M7"/>
    <mergeCell ref="N7:O7"/>
    <mergeCell ref="P7:Q7"/>
    <mergeCell ref="R7:S7"/>
    <mergeCell ref="E8:H8"/>
    <mergeCell ref="I8:K8"/>
    <mergeCell ref="L8:M8"/>
    <mergeCell ref="N8:O8"/>
    <mergeCell ref="P8:Q8"/>
    <mergeCell ref="R8:S8"/>
    <mergeCell ref="E9:H9"/>
    <mergeCell ref="I9:K9"/>
    <mergeCell ref="L9:M9"/>
    <mergeCell ref="N9:O9"/>
    <mergeCell ref="P9:Q9"/>
    <mergeCell ref="R9:S9"/>
    <mergeCell ref="E10:H10"/>
    <mergeCell ref="I10:K10"/>
    <mergeCell ref="L10:M10"/>
    <mergeCell ref="N10:O10"/>
    <mergeCell ref="P10:Q10"/>
    <mergeCell ref="R10:S10"/>
    <mergeCell ref="E11:H11"/>
    <mergeCell ref="I11:K11"/>
    <mergeCell ref="L11:M11"/>
    <mergeCell ref="N11:O11"/>
    <mergeCell ref="P11:Q11"/>
    <mergeCell ref="R11:S11"/>
    <mergeCell ref="E12:H12"/>
    <mergeCell ref="I12:K12"/>
    <mergeCell ref="L12:M12"/>
    <mergeCell ref="N12:O12"/>
    <mergeCell ref="P12:Q12"/>
    <mergeCell ref="R12:S12"/>
    <mergeCell ref="E13:H13"/>
    <mergeCell ref="I13:K13"/>
    <mergeCell ref="L13:M13"/>
    <mergeCell ref="N13:O13"/>
    <mergeCell ref="P13:Q13"/>
    <mergeCell ref="R13:S13"/>
    <mergeCell ref="E14:H14"/>
    <mergeCell ref="I14:K14"/>
    <mergeCell ref="L14:M14"/>
    <mergeCell ref="N14:O14"/>
    <mergeCell ref="P14:Q14"/>
    <mergeCell ref="R14:S14"/>
    <mergeCell ref="E15:H15"/>
    <mergeCell ref="I15:K15"/>
    <mergeCell ref="L15:M15"/>
    <mergeCell ref="N15:O15"/>
    <mergeCell ref="P15:Q15"/>
    <mergeCell ref="R15:S15"/>
    <mergeCell ref="E16:H16"/>
    <mergeCell ref="I16:K16"/>
    <mergeCell ref="L16:M16"/>
    <mergeCell ref="N16:O16"/>
    <mergeCell ref="P16:Q16"/>
    <mergeCell ref="R16:S16"/>
    <mergeCell ref="E17:H17"/>
    <mergeCell ref="I17:K17"/>
    <mergeCell ref="L17:M17"/>
    <mergeCell ref="N17:O17"/>
    <mergeCell ref="P17:Q17"/>
    <mergeCell ref="R17:S17"/>
    <mergeCell ref="B18:D18"/>
    <mergeCell ref="E18:H18"/>
    <mergeCell ref="I18:K18"/>
    <mergeCell ref="L18:S18"/>
    <mergeCell ref="I19:S19"/>
    <mergeCell ref="I20:S20"/>
    <mergeCell ref="I21:S21"/>
    <mergeCell ref="I22:J22"/>
    <mergeCell ref="K22:N22"/>
    <mergeCell ref="O22:Q22"/>
    <mergeCell ref="B25:D25"/>
    <mergeCell ref="E25:H25"/>
    <mergeCell ref="M25:N25"/>
    <mergeCell ref="P25:Q25"/>
    <mergeCell ref="R25:S25"/>
    <mergeCell ref="B26:D26"/>
    <mergeCell ref="E26:H26"/>
    <mergeCell ref="M26:N26"/>
    <mergeCell ref="P26:Q26"/>
    <mergeCell ref="R26:S26"/>
    <mergeCell ref="B27:D27"/>
    <mergeCell ref="E27:H27"/>
    <mergeCell ref="M27:N27"/>
    <mergeCell ref="P27:Q27"/>
    <mergeCell ref="R27:S27"/>
    <mergeCell ref="B28:D28"/>
    <mergeCell ref="E28:H28"/>
    <mergeCell ref="M28:N28"/>
    <mergeCell ref="P28:Q28"/>
    <mergeCell ref="R28:S28"/>
    <mergeCell ref="B29:D29"/>
    <mergeCell ref="E29:H29"/>
    <mergeCell ref="M29:N29"/>
    <mergeCell ref="P29:Q29"/>
    <mergeCell ref="R29:S29"/>
    <mergeCell ref="B30:D30"/>
    <mergeCell ref="E30:H30"/>
    <mergeCell ref="M30:N30"/>
    <mergeCell ref="P30:Q30"/>
    <mergeCell ref="R30:S30"/>
    <mergeCell ref="E31:O31"/>
    <mergeCell ref="P31:S31"/>
    <mergeCell ref="E32:O32"/>
    <mergeCell ref="P32:S32"/>
    <mergeCell ref="E33:O33"/>
    <mergeCell ref="P33:S33"/>
    <mergeCell ref="E34:O34"/>
    <mergeCell ref="P34:S34"/>
    <mergeCell ref="E35:O35"/>
    <mergeCell ref="P35:S35"/>
    <mergeCell ref="E36:O36"/>
    <mergeCell ref="P36:S36"/>
    <mergeCell ref="B37:D37"/>
    <mergeCell ref="E37:G37"/>
    <mergeCell ref="H37:I37"/>
    <mergeCell ref="J37:O37"/>
    <mergeCell ref="P37:Q37"/>
    <mergeCell ref="R37:S37"/>
    <mergeCell ref="E38:G38"/>
    <mergeCell ref="H38:I38"/>
    <mergeCell ref="J38:O38"/>
    <mergeCell ref="P38:Q38"/>
    <mergeCell ref="R38:S38"/>
    <mergeCell ref="E39:G39"/>
    <mergeCell ref="H39:I39"/>
    <mergeCell ref="J39:O39"/>
    <mergeCell ref="P39:Q39"/>
    <mergeCell ref="R39:S39"/>
    <mergeCell ref="E40:G40"/>
    <mergeCell ref="H40:I40"/>
    <mergeCell ref="J40:O40"/>
    <mergeCell ref="P40:Q40"/>
    <mergeCell ref="R40:S40"/>
    <mergeCell ref="H41:I41"/>
    <mergeCell ref="J41:O41"/>
    <mergeCell ref="P41:Q41"/>
    <mergeCell ref="R41:S41"/>
    <mergeCell ref="H42:I42"/>
    <mergeCell ref="J42:O42"/>
    <mergeCell ref="P42:Q42"/>
    <mergeCell ref="R42:S42"/>
    <mergeCell ref="H43:I43"/>
    <mergeCell ref="J43:O43"/>
    <mergeCell ref="P43:Q43"/>
    <mergeCell ref="R43:S43"/>
    <mergeCell ref="H44:I44"/>
    <mergeCell ref="J44:O44"/>
    <mergeCell ref="P44:Q44"/>
    <mergeCell ref="R44:S44"/>
    <mergeCell ref="H45:I45"/>
    <mergeCell ref="J45:O45"/>
    <mergeCell ref="P45:Q45"/>
    <mergeCell ref="R45:S45"/>
    <mergeCell ref="H46:I46"/>
    <mergeCell ref="J46:O46"/>
    <mergeCell ref="P46:Q46"/>
    <mergeCell ref="R46:S46"/>
    <mergeCell ref="H47:I47"/>
    <mergeCell ref="J47:O47"/>
    <mergeCell ref="P47:Q47"/>
    <mergeCell ref="R47:S47"/>
    <mergeCell ref="H48:I48"/>
    <mergeCell ref="J48:O48"/>
    <mergeCell ref="P48:Q48"/>
    <mergeCell ref="R48:S48"/>
    <mergeCell ref="H49:I49"/>
    <mergeCell ref="J49:O49"/>
    <mergeCell ref="P49:Q49"/>
    <mergeCell ref="R49:S49"/>
    <mergeCell ref="E50:G50"/>
    <mergeCell ref="H50:I50"/>
    <mergeCell ref="J50:O50"/>
    <mergeCell ref="P50:Q50"/>
    <mergeCell ref="R50:S50"/>
    <mergeCell ref="E51:G51"/>
    <mergeCell ref="H51:I51"/>
    <mergeCell ref="J51:O51"/>
    <mergeCell ref="P51:Q51"/>
    <mergeCell ref="R51:S51"/>
    <mergeCell ref="E52:G52"/>
    <mergeCell ref="H52:I52"/>
    <mergeCell ref="J52:O52"/>
    <mergeCell ref="P52:Q52"/>
    <mergeCell ref="R52:S52"/>
    <mergeCell ref="E53:G53"/>
    <mergeCell ref="H53:I53"/>
    <mergeCell ref="J53:O53"/>
    <mergeCell ref="P53:Q53"/>
    <mergeCell ref="R53:S53"/>
    <mergeCell ref="E54:G54"/>
    <mergeCell ref="H54:I54"/>
    <mergeCell ref="J54:O54"/>
    <mergeCell ref="P54:Q54"/>
    <mergeCell ref="R54:S54"/>
    <mergeCell ref="B55:O55"/>
    <mergeCell ref="P55:Q55"/>
    <mergeCell ref="R55:S55"/>
    <mergeCell ref="C56:S56"/>
    <mergeCell ref="C57:D57"/>
    <mergeCell ref="E57:N57"/>
    <mergeCell ref="P57:Q57"/>
    <mergeCell ref="R57:S57"/>
    <mergeCell ref="C58:D58"/>
    <mergeCell ref="E58:N58"/>
    <mergeCell ref="P58:Q58"/>
    <mergeCell ref="R58:S58"/>
    <mergeCell ref="C59:D59"/>
    <mergeCell ref="E59:N59"/>
    <mergeCell ref="P59:Q59"/>
    <mergeCell ref="R59:S59"/>
    <mergeCell ref="C60:D60"/>
    <mergeCell ref="E60:N60"/>
    <mergeCell ref="P60:Q60"/>
    <mergeCell ref="R60:S60"/>
    <mergeCell ref="C61:D61"/>
    <mergeCell ref="E61:N61"/>
    <mergeCell ref="P61:Q61"/>
    <mergeCell ref="R61:S61"/>
    <mergeCell ref="C62:D62"/>
    <mergeCell ref="E62:N62"/>
    <mergeCell ref="P62:Q62"/>
    <mergeCell ref="R62:S62"/>
    <mergeCell ref="C63:S63"/>
    <mergeCell ref="C64:S64"/>
    <mergeCell ref="C65:S65"/>
    <mergeCell ref="C66:S66"/>
    <mergeCell ref="C67:S67"/>
    <mergeCell ref="C68:S68"/>
    <mergeCell ref="C72:S72"/>
    <mergeCell ref="A2:A20"/>
    <mergeCell ref="A21:A36"/>
    <mergeCell ref="A37:A40"/>
    <mergeCell ref="A41:A56"/>
    <mergeCell ref="A57:A72"/>
    <mergeCell ref="B6:B17"/>
    <mergeCell ref="B57:B64"/>
    <mergeCell ref="B65:B68"/>
    <mergeCell ref="B69:B72"/>
    <mergeCell ref="I23:I24"/>
    <mergeCell ref="J23:J24"/>
    <mergeCell ref="K23:K24"/>
    <mergeCell ref="L23:L24"/>
    <mergeCell ref="O23:O24"/>
    <mergeCell ref="T37:T40"/>
    <mergeCell ref="U13:U16"/>
    <mergeCell ref="B3:H4"/>
    <mergeCell ref="I3:J4"/>
    <mergeCell ref="N3:O4"/>
    <mergeCell ref="C8:D10"/>
    <mergeCell ref="C11:D12"/>
    <mergeCell ref="C13:D17"/>
    <mergeCell ref="B19:H20"/>
    <mergeCell ref="B21:D24"/>
    <mergeCell ref="E21:H24"/>
    <mergeCell ref="R22:S24"/>
    <mergeCell ref="M23:N24"/>
    <mergeCell ref="P23:Q24"/>
    <mergeCell ref="B31:C36"/>
    <mergeCell ref="B38:D40"/>
    <mergeCell ref="B41:D45"/>
    <mergeCell ref="E41:G43"/>
    <mergeCell ref="E44:G45"/>
    <mergeCell ref="B46:D54"/>
    <mergeCell ref="E46:G47"/>
    <mergeCell ref="E48:G49"/>
  </mergeCells>
  <pageMargins left="0.59" right="0.24" top="0.98" bottom="0.98" header="0.51" footer="0.51"/>
  <pageSetup paperSize="9" scale="74" orientation="portrait" horizontalDpi="600" verticalDpi="600"/>
  <headerFooter alignWithMargins="0"/>
  <rowBreaks count="3" manualBreakCount="3">
    <brk id="20" max="18" man="1"/>
    <brk id="36" max="18" man="1"/>
    <brk id="56" max="18"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75"/>
  <sheetViews>
    <sheetView topLeftCell="A48" workbookViewId="0">
      <selection activeCell="R57" sqref="R57:S57"/>
    </sheetView>
  </sheetViews>
  <sheetFormatPr defaultColWidth="9" defaultRowHeight="12"/>
  <cols>
    <col min="1" max="1" width="4.5" style="168" customWidth="1"/>
    <col min="2" max="2" width="6.875" style="168" customWidth="1"/>
    <col min="3" max="3" width="6.5" style="168" customWidth="1"/>
    <col min="4" max="4" width="4.75" style="168" customWidth="1"/>
    <col min="5" max="6" width="4.625" style="168" customWidth="1"/>
    <col min="7" max="7" width="4.375" style="168" customWidth="1"/>
    <col min="8" max="8" width="5.25" style="168" customWidth="1"/>
    <col min="9" max="9" width="8.625" style="168" customWidth="1"/>
    <col min="10" max="10" width="4.5" style="168" customWidth="1"/>
    <col min="11" max="11" width="7.375" style="168" customWidth="1"/>
    <col min="12" max="12" width="8.5" style="168" customWidth="1"/>
    <col min="13" max="13" width="4.75" style="168" customWidth="1"/>
    <col min="14" max="14" width="5.625" style="168" customWidth="1"/>
    <col min="15" max="15" width="7.625" style="168" customWidth="1"/>
    <col min="16" max="16" width="4.25" style="168" customWidth="1"/>
    <col min="17" max="17" width="5.625" style="168" customWidth="1"/>
    <col min="18" max="18" width="4.375" style="168" customWidth="1"/>
    <col min="19" max="19" width="3.25" style="168" customWidth="1"/>
    <col min="20" max="20" width="3.875" style="40" customWidth="1"/>
    <col min="21" max="16384" width="9" style="168"/>
  </cols>
  <sheetData>
    <row r="1" ht="26.25" customHeight="1" spans="1:19">
      <c r="A1" s="5"/>
      <c r="B1" s="5"/>
      <c r="C1" s="6"/>
      <c r="D1" s="6"/>
      <c r="E1" s="6"/>
      <c r="F1" s="6"/>
      <c r="G1" s="6"/>
      <c r="H1" s="6"/>
      <c r="I1" s="6"/>
      <c r="J1" s="6"/>
      <c r="K1" s="6"/>
      <c r="L1" s="6"/>
      <c r="M1" s="6"/>
      <c r="N1" s="6"/>
      <c r="O1" s="6"/>
      <c r="P1" s="6"/>
      <c r="Q1" s="6"/>
      <c r="R1" s="6"/>
      <c r="S1" s="6"/>
    </row>
    <row r="2" ht="43.15" customHeight="1" spans="1:19">
      <c r="A2" s="7" t="s">
        <v>387</v>
      </c>
      <c r="B2" s="7"/>
      <c r="C2" s="7"/>
      <c r="D2" s="7"/>
      <c r="E2" s="7"/>
      <c r="F2" s="7"/>
      <c r="G2" s="7"/>
      <c r="H2" s="7"/>
      <c r="I2" s="7"/>
      <c r="J2" s="7"/>
      <c r="K2" s="7"/>
      <c r="L2" s="7"/>
      <c r="M2" s="7"/>
      <c r="N2" s="7"/>
      <c r="O2" s="7"/>
      <c r="P2" s="7"/>
      <c r="Q2" s="7"/>
      <c r="R2" s="7"/>
      <c r="S2" s="7"/>
    </row>
    <row r="3" ht="30" customHeight="1" spans="1:19">
      <c r="A3" s="8" t="s">
        <v>1</v>
      </c>
      <c r="B3" s="9" t="s">
        <v>2</v>
      </c>
      <c r="C3" s="10"/>
      <c r="D3" s="10"/>
      <c r="E3" s="493" t="s">
        <v>388</v>
      </c>
      <c r="F3" s="288"/>
      <c r="G3" s="288"/>
      <c r="H3" s="288"/>
      <c r="I3" s="288"/>
      <c r="J3" s="288"/>
      <c r="K3" s="288"/>
      <c r="L3" s="288"/>
      <c r="M3" s="288"/>
      <c r="N3" s="288"/>
      <c r="O3" s="288"/>
      <c r="P3" s="288"/>
      <c r="Q3" s="288"/>
      <c r="R3" s="288"/>
      <c r="S3" s="297"/>
    </row>
    <row r="4" s="205" customFormat="1" ht="19.5" customHeight="1" spans="1:20">
      <c r="A4" s="12"/>
      <c r="B4" s="13" t="s">
        <v>4</v>
      </c>
      <c r="C4" s="14"/>
      <c r="D4" s="14"/>
      <c r="E4" s="14"/>
      <c r="F4" s="14"/>
      <c r="G4" s="14"/>
      <c r="H4" s="15"/>
      <c r="I4" s="109" t="s">
        <v>5</v>
      </c>
      <c r="J4" s="15"/>
      <c r="K4" s="505" t="s">
        <v>389</v>
      </c>
      <c r="L4" s="506"/>
      <c r="M4" s="507"/>
      <c r="N4" s="109" t="s">
        <v>7</v>
      </c>
      <c r="O4" s="15"/>
      <c r="P4" s="505" t="s">
        <v>389</v>
      </c>
      <c r="Q4" s="506"/>
      <c r="R4" s="506"/>
      <c r="S4" s="516"/>
      <c r="T4" s="261"/>
    </row>
    <row r="5" s="205" customFormat="1" ht="21" customHeight="1" spans="1:20">
      <c r="A5" s="12"/>
      <c r="B5" s="16"/>
      <c r="C5" s="17"/>
      <c r="D5" s="17"/>
      <c r="E5" s="17"/>
      <c r="F5" s="17"/>
      <c r="G5" s="17"/>
      <c r="H5" s="18"/>
      <c r="I5" s="113"/>
      <c r="J5" s="18"/>
      <c r="K5" s="505" t="s">
        <v>390</v>
      </c>
      <c r="L5" s="506"/>
      <c r="M5" s="507"/>
      <c r="N5" s="113"/>
      <c r="O5" s="18"/>
      <c r="P5" s="505" t="s">
        <v>391</v>
      </c>
      <c r="Q5" s="506"/>
      <c r="R5" s="506"/>
      <c r="S5" s="516"/>
      <c r="T5" s="261"/>
    </row>
    <row r="6" s="205" customFormat="1" ht="20.25" customHeight="1" spans="1:20">
      <c r="A6" s="12"/>
      <c r="B6" s="19" t="s">
        <v>11</v>
      </c>
      <c r="C6" s="20"/>
      <c r="D6" s="20"/>
      <c r="E6" s="20"/>
      <c r="F6" s="20"/>
      <c r="G6" s="20"/>
      <c r="H6" s="21"/>
      <c r="I6" s="25"/>
      <c r="J6" s="20"/>
      <c r="K6" s="20"/>
      <c r="L6" s="20"/>
      <c r="M6" s="20"/>
      <c r="N6" s="20"/>
      <c r="O6" s="20"/>
      <c r="P6" s="20"/>
      <c r="Q6" s="20"/>
      <c r="R6" s="20"/>
      <c r="S6" s="154"/>
      <c r="T6" s="261"/>
    </row>
    <row r="7" ht="33.6" customHeight="1" spans="1:19">
      <c r="A7" s="12"/>
      <c r="B7" s="22" t="s">
        <v>13</v>
      </c>
      <c r="C7" s="23" t="s">
        <v>14</v>
      </c>
      <c r="D7" s="23"/>
      <c r="E7" s="23"/>
      <c r="F7" s="23"/>
      <c r="G7" s="23"/>
      <c r="H7" s="23"/>
      <c r="I7" s="54"/>
      <c r="J7" s="54"/>
      <c r="K7" s="54"/>
      <c r="L7" s="23" t="s">
        <v>16</v>
      </c>
      <c r="M7" s="23"/>
      <c r="N7" s="23"/>
      <c r="O7" s="23"/>
      <c r="P7" s="20"/>
      <c r="Q7" s="20"/>
      <c r="R7" s="20"/>
      <c r="S7" s="154"/>
    </row>
    <row r="8" ht="45.75" customHeight="1" spans="1:19">
      <c r="A8" s="12"/>
      <c r="B8" s="24"/>
      <c r="C8" s="23" t="s">
        <v>17</v>
      </c>
      <c r="D8" s="23"/>
      <c r="E8" s="23" t="s">
        <v>18</v>
      </c>
      <c r="F8" s="23"/>
      <c r="G8" s="23"/>
      <c r="H8" s="23"/>
      <c r="I8" s="23" t="s">
        <v>19</v>
      </c>
      <c r="J8" s="23"/>
      <c r="K8" s="23"/>
      <c r="L8" s="23" t="s">
        <v>20</v>
      </c>
      <c r="M8" s="23"/>
      <c r="N8" s="23" t="s">
        <v>21</v>
      </c>
      <c r="O8" s="23"/>
      <c r="P8" s="508" t="s">
        <v>22</v>
      </c>
      <c r="Q8" s="517"/>
      <c r="R8" s="518" t="s">
        <v>23</v>
      </c>
      <c r="S8" s="519"/>
    </row>
    <row r="9" ht="28.5" customHeight="1" spans="1:19">
      <c r="A9" s="12"/>
      <c r="B9" s="24"/>
      <c r="C9" s="23" t="s">
        <v>24</v>
      </c>
      <c r="D9" s="23"/>
      <c r="E9" s="23" t="s">
        <v>25</v>
      </c>
      <c r="F9" s="23"/>
      <c r="G9" s="23"/>
      <c r="H9" s="23"/>
      <c r="I9" s="208" t="s">
        <v>26</v>
      </c>
      <c r="J9" s="209"/>
      <c r="K9" s="218"/>
      <c r="L9" s="219">
        <v>2017</v>
      </c>
      <c r="M9" s="219"/>
      <c r="N9" s="219">
        <v>2017</v>
      </c>
      <c r="O9" s="219"/>
      <c r="P9" s="25">
        <v>2017</v>
      </c>
      <c r="Q9" s="21"/>
      <c r="R9" s="283">
        <v>1</v>
      </c>
      <c r="S9" s="154"/>
    </row>
    <row r="10" ht="68.25" customHeight="1" spans="1:19">
      <c r="A10" s="12"/>
      <c r="B10" s="24"/>
      <c r="C10" s="23"/>
      <c r="D10" s="23"/>
      <c r="E10" s="23" t="s">
        <v>28</v>
      </c>
      <c r="F10" s="23" t="s">
        <v>28</v>
      </c>
      <c r="G10" s="23"/>
      <c r="H10" s="23"/>
      <c r="I10" s="208" t="s">
        <v>29</v>
      </c>
      <c r="J10" s="209"/>
      <c r="K10" s="218"/>
      <c r="L10" s="208" t="s">
        <v>392</v>
      </c>
      <c r="M10" s="209"/>
      <c r="N10" s="208" t="s">
        <v>393</v>
      </c>
      <c r="O10" s="209"/>
      <c r="P10" s="25" t="s">
        <v>394</v>
      </c>
      <c r="Q10" s="21"/>
      <c r="R10" s="284">
        <v>0.6658</v>
      </c>
      <c r="S10" s="154"/>
    </row>
    <row r="11" ht="28.5" customHeight="1" spans="1:19">
      <c r="A11" s="12"/>
      <c r="B11" s="24"/>
      <c r="C11" s="23"/>
      <c r="D11" s="23"/>
      <c r="E11" s="23" t="s">
        <v>31</v>
      </c>
      <c r="F11" s="23" t="s">
        <v>31</v>
      </c>
      <c r="G11" s="23"/>
      <c r="H11" s="23"/>
      <c r="I11" s="208" t="s">
        <v>15</v>
      </c>
      <c r="J11" s="209"/>
      <c r="K11" s="218"/>
      <c r="L11" s="208" t="s">
        <v>15</v>
      </c>
      <c r="M11" s="209"/>
      <c r="N11" s="208" t="s">
        <v>15</v>
      </c>
      <c r="O11" s="209"/>
      <c r="P11" s="25" t="s">
        <v>15</v>
      </c>
      <c r="Q11" s="21"/>
      <c r="R11" s="20" t="s">
        <v>15</v>
      </c>
      <c r="S11" s="154"/>
    </row>
    <row r="12" ht="90" customHeight="1" spans="1:19">
      <c r="A12" s="12"/>
      <c r="B12" s="24"/>
      <c r="C12" s="23" t="s">
        <v>32</v>
      </c>
      <c r="D12" s="23"/>
      <c r="E12" s="23" t="s">
        <v>33</v>
      </c>
      <c r="F12" s="23" t="s">
        <v>33</v>
      </c>
      <c r="G12" s="23"/>
      <c r="H12" s="23"/>
      <c r="I12" s="509" t="s">
        <v>395</v>
      </c>
      <c r="J12" s="510"/>
      <c r="K12" s="511"/>
      <c r="L12" s="509" t="s">
        <v>396</v>
      </c>
      <c r="M12" s="510"/>
      <c r="N12" s="509" t="s">
        <v>397</v>
      </c>
      <c r="O12" s="510"/>
      <c r="P12" s="25" t="s">
        <v>398</v>
      </c>
      <c r="Q12" s="21"/>
      <c r="R12" s="283">
        <v>1</v>
      </c>
      <c r="S12" s="154"/>
    </row>
    <row r="13" ht="28.5" customHeight="1" spans="1:19">
      <c r="A13" s="12"/>
      <c r="B13" s="24"/>
      <c r="C13" s="23"/>
      <c r="D13" s="23"/>
      <c r="E13" s="23" t="s">
        <v>37</v>
      </c>
      <c r="F13" s="23" t="s">
        <v>37</v>
      </c>
      <c r="G13" s="23"/>
      <c r="H13" s="23"/>
      <c r="I13" s="509" t="s">
        <v>399</v>
      </c>
      <c r="J13" s="510"/>
      <c r="K13" s="511"/>
      <c r="L13" s="509" t="s">
        <v>400</v>
      </c>
      <c r="M13" s="510"/>
      <c r="N13" s="509" t="s">
        <v>400</v>
      </c>
      <c r="O13" s="510"/>
      <c r="P13" s="25" t="s">
        <v>400</v>
      </c>
      <c r="Q13" s="21"/>
      <c r="R13" s="20" t="s">
        <v>401</v>
      </c>
      <c r="S13" s="154"/>
    </row>
    <row r="14" ht="28.5" customHeight="1" spans="1:21">
      <c r="A14" s="12"/>
      <c r="B14" s="24"/>
      <c r="C14" s="23" t="s">
        <v>40</v>
      </c>
      <c r="D14" s="23"/>
      <c r="E14" s="23" t="s">
        <v>41</v>
      </c>
      <c r="F14" s="23" t="s">
        <v>41</v>
      </c>
      <c r="G14" s="23"/>
      <c r="H14" s="23"/>
      <c r="I14" s="223" t="s">
        <v>15</v>
      </c>
      <c r="J14" s="223"/>
      <c r="K14" s="223"/>
      <c r="L14" s="23" t="s">
        <v>15</v>
      </c>
      <c r="M14" s="23"/>
      <c r="N14" s="23" t="s">
        <v>15</v>
      </c>
      <c r="O14" s="23"/>
      <c r="P14" s="25" t="s">
        <v>15</v>
      </c>
      <c r="Q14" s="21"/>
      <c r="R14" s="20" t="s">
        <v>15</v>
      </c>
      <c r="S14" s="154"/>
      <c r="U14" s="520" t="s">
        <v>248</v>
      </c>
    </row>
    <row r="15" ht="94" customHeight="1" spans="1:21">
      <c r="A15" s="12"/>
      <c r="B15" s="24"/>
      <c r="C15" s="23"/>
      <c r="D15" s="23"/>
      <c r="E15" s="23" t="s">
        <v>42</v>
      </c>
      <c r="F15" s="23" t="s">
        <v>42</v>
      </c>
      <c r="G15" s="23"/>
      <c r="H15" s="23"/>
      <c r="I15" s="223" t="s">
        <v>402</v>
      </c>
      <c r="J15" s="223"/>
      <c r="K15" s="223"/>
      <c r="L15" s="223" t="s">
        <v>403</v>
      </c>
      <c r="M15" s="223"/>
      <c r="N15" s="223" t="s">
        <v>404</v>
      </c>
      <c r="O15" s="223"/>
      <c r="P15" s="223" t="s">
        <v>403</v>
      </c>
      <c r="Q15" s="223"/>
      <c r="R15" s="223" t="s">
        <v>403</v>
      </c>
      <c r="S15" s="223"/>
      <c r="U15" s="520"/>
    </row>
    <row r="16" ht="28.5" customHeight="1" spans="1:21">
      <c r="A16" s="12"/>
      <c r="B16" s="24"/>
      <c r="C16" s="23"/>
      <c r="D16" s="23"/>
      <c r="E16" s="23" t="s">
        <v>46</v>
      </c>
      <c r="F16" s="23" t="s">
        <v>46</v>
      </c>
      <c r="G16" s="23"/>
      <c r="H16" s="23"/>
      <c r="I16" s="223" t="s">
        <v>15</v>
      </c>
      <c r="J16" s="223"/>
      <c r="K16" s="223"/>
      <c r="L16" s="23" t="s">
        <v>15</v>
      </c>
      <c r="M16" s="23"/>
      <c r="N16" s="23" t="s">
        <v>15</v>
      </c>
      <c r="O16" s="23"/>
      <c r="P16" s="25" t="s">
        <v>15</v>
      </c>
      <c r="Q16" s="21"/>
      <c r="R16" s="20" t="s">
        <v>15</v>
      </c>
      <c r="S16" s="154"/>
      <c r="U16" s="520"/>
    </row>
    <row r="17" ht="28.5" customHeight="1" spans="1:21">
      <c r="A17" s="12"/>
      <c r="B17" s="24"/>
      <c r="C17" s="23"/>
      <c r="D17" s="23"/>
      <c r="E17" s="23" t="s">
        <v>50</v>
      </c>
      <c r="F17" s="23" t="s">
        <v>50</v>
      </c>
      <c r="G17" s="23"/>
      <c r="H17" s="23"/>
      <c r="I17" s="223" t="s">
        <v>15</v>
      </c>
      <c r="J17" s="223"/>
      <c r="K17" s="223"/>
      <c r="L17" s="23" t="s">
        <v>15</v>
      </c>
      <c r="M17" s="23"/>
      <c r="N17" s="23" t="s">
        <v>15</v>
      </c>
      <c r="O17" s="23"/>
      <c r="P17" s="25" t="s">
        <v>15</v>
      </c>
      <c r="Q17" s="21"/>
      <c r="R17" s="20" t="s">
        <v>15</v>
      </c>
      <c r="S17" s="154"/>
      <c r="U17" s="520"/>
    </row>
    <row r="18" ht="36" customHeight="1" spans="1:21">
      <c r="A18" s="12"/>
      <c r="B18" s="26"/>
      <c r="C18" s="23"/>
      <c r="D18" s="23"/>
      <c r="E18" s="23" t="s">
        <v>51</v>
      </c>
      <c r="F18" s="23" t="s">
        <v>52</v>
      </c>
      <c r="G18" s="23"/>
      <c r="H18" s="23"/>
      <c r="I18" s="219" t="s">
        <v>405</v>
      </c>
      <c r="J18" s="219"/>
      <c r="K18" s="219"/>
      <c r="L18" s="221">
        <v>0.95</v>
      </c>
      <c r="M18" s="219"/>
      <c r="N18" s="219" t="s">
        <v>54</v>
      </c>
      <c r="O18" s="219"/>
      <c r="P18" s="221">
        <v>0.95</v>
      </c>
      <c r="Q18" s="219"/>
      <c r="R18" s="221">
        <v>0.95</v>
      </c>
      <c r="S18" s="219"/>
      <c r="U18" s="521"/>
    </row>
    <row r="19" ht="36" customHeight="1" spans="1:19">
      <c r="A19" s="12"/>
      <c r="B19" s="19" t="s">
        <v>55</v>
      </c>
      <c r="C19" s="20"/>
      <c r="D19" s="21"/>
      <c r="E19" s="25"/>
      <c r="F19" s="20"/>
      <c r="G19" s="20"/>
      <c r="H19" s="20"/>
      <c r="I19" s="25" t="s">
        <v>56</v>
      </c>
      <c r="J19" s="20"/>
      <c r="K19" s="21"/>
      <c r="L19" s="25"/>
      <c r="M19" s="20"/>
      <c r="N19" s="20"/>
      <c r="O19" s="20"/>
      <c r="P19" s="20"/>
      <c r="Q19" s="20"/>
      <c r="R19" s="20"/>
      <c r="S19" s="154"/>
    </row>
    <row r="20" ht="23.25" customHeight="1" spans="1:19">
      <c r="A20" s="12"/>
      <c r="B20" s="27" t="s">
        <v>58</v>
      </c>
      <c r="C20" s="28"/>
      <c r="D20" s="28"/>
      <c r="E20" s="28"/>
      <c r="F20" s="28"/>
      <c r="G20" s="28"/>
      <c r="H20" s="28"/>
      <c r="I20" s="50" t="s">
        <v>406</v>
      </c>
      <c r="J20" s="50"/>
      <c r="K20" s="50"/>
      <c r="L20" s="50"/>
      <c r="M20" s="50"/>
      <c r="N20" s="50"/>
      <c r="O20" s="50"/>
      <c r="P20" s="50"/>
      <c r="Q20" s="50"/>
      <c r="R20" s="50"/>
      <c r="S20" s="163"/>
    </row>
    <row r="21" ht="23.25" customHeight="1" spans="1:19">
      <c r="A21" s="29"/>
      <c r="B21" s="30"/>
      <c r="C21" s="31"/>
      <c r="D21" s="31"/>
      <c r="E21" s="31"/>
      <c r="F21" s="31"/>
      <c r="G21" s="31"/>
      <c r="H21" s="31"/>
      <c r="I21" s="85" t="s">
        <v>60</v>
      </c>
      <c r="J21" s="85"/>
      <c r="K21" s="85"/>
      <c r="L21" s="85"/>
      <c r="M21" s="85"/>
      <c r="N21" s="85"/>
      <c r="O21" s="85"/>
      <c r="P21" s="85"/>
      <c r="Q21" s="85"/>
      <c r="R21" s="85"/>
      <c r="S21" s="164"/>
    </row>
    <row r="22" spans="1:19">
      <c r="A22" s="32" t="s">
        <v>61</v>
      </c>
      <c r="B22" s="33"/>
      <c r="C22" s="33"/>
      <c r="D22" s="33"/>
      <c r="E22" s="34" t="s">
        <v>62</v>
      </c>
      <c r="F22" s="35"/>
      <c r="G22" s="35"/>
      <c r="H22" s="36"/>
      <c r="I22" s="128" t="s">
        <v>63</v>
      </c>
      <c r="J22" s="128"/>
      <c r="K22" s="128"/>
      <c r="L22" s="128"/>
      <c r="M22" s="128"/>
      <c r="N22" s="128"/>
      <c r="O22" s="128"/>
      <c r="P22" s="128"/>
      <c r="Q22" s="128"/>
      <c r="R22" s="128"/>
      <c r="S22" s="165"/>
    </row>
    <row r="23" ht="12.75" customHeight="1" spans="1:19">
      <c r="A23" s="37"/>
      <c r="B23" s="38"/>
      <c r="C23" s="38"/>
      <c r="D23" s="38"/>
      <c r="E23" s="39"/>
      <c r="F23" s="40"/>
      <c r="G23" s="40"/>
      <c r="H23" s="41"/>
      <c r="I23" s="55" t="s">
        <v>64</v>
      </c>
      <c r="J23" s="55"/>
      <c r="K23" s="54" t="s">
        <v>65</v>
      </c>
      <c r="L23" s="54"/>
      <c r="M23" s="54"/>
      <c r="N23" s="54"/>
      <c r="O23" s="54" t="s">
        <v>66</v>
      </c>
      <c r="P23" s="54"/>
      <c r="Q23" s="54"/>
      <c r="R23" s="54" t="s">
        <v>67</v>
      </c>
      <c r="S23" s="166"/>
    </row>
    <row r="24" s="206" customFormat="1" ht="36" customHeight="1" spans="1:21">
      <c r="A24" s="42"/>
      <c r="B24" s="38"/>
      <c r="C24" s="38"/>
      <c r="D24" s="38"/>
      <c r="E24" s="39"/>
      <c r="F24" s="40"/>
      <c r="G24" s="40"/>
      <c r="H24" s="41"/>
      <c r="I24" s="54" t="s">
        <v>68</v>
      </c>
      <c r="J24" s="54" t="s">
        <v>69</v>
      </c>
      <c r="K24" s="54" t="s">
        <v>70</v>
      </c>
      <c r="L24" s="54" t="s">
        <v>71</v>
      </c>
      <c r="M24" s="54" t="s">
        <v>72</v>
      </c>
      <c r="N24" s="54"/>
      <c r="O24" s="54" t="s">
        <v>73</v>
      </c>
      <c r="P24" s="54" t="s">
        <v>74</v>
      </c>
      <c r="Q24" s="129"/>
      <c r="R24" s="54"/>
      <c r="S24" s="166"/>
      <c r="T24" s="40"/>
      <c r="U24" s="40"/>
    </row>
    <row r="25" s="206" customFormat="1" spans="1:21">
      <c r="A25" s="42"/>
      <c r="B25" s="38"/>
      <c r="C25" s="38"/>
      <c r="D25" s="38"/>
      <c r="E25" s="43"/>
      <c r="F25" s="44"/>
      <c r="G25" s="44"/>
      <c r="H25" s="45"/>
      <c r="I25" s="54"/>
      <c r="J25" s="54"/>
      <c r="K25" s="54"/>
      <c r="L25" s="54"/>
      <c r="M25" s="54"/>
      <c r="N25" s="54"/>
      <c r="O25" s="54"/>
      <c r="P25" s="129"/>
      <c r="Q25" s="129"/>
      <c r="R25" s="54"/>
      <c r="S25" s="166"/>
      <c r="T25" s="40"/>
      <c r="U25" s="40"/>
    </row>
    <row r="26" ht="24" customHeight="1" spans="1:19">
      <c r="A26" s="42"/>
      <c r="B26" s="46" t="s">
        <v>75</v>
      </c>
      <c r="C26" s="46"/>
      <c r="D26" s="46"/>
      <c r="E26" s="47"/>
      <c r="F26" s="48"/>
      <c r="G26" s="48"/>
      <c r="H26" s="49"/>
      <c r="I26" s="130"/>
      <c r="J26" s="130"/>
      <c r="K26" s="56"/>
      <c r="L26" s="56"/>
      <c r="M26" s="54"/>
      <c r="N26" s="54"/>
      <c r="O26" s="38"/>
      <c r="P26" s="54"/>
      <c r="Q26" s="54"/>
      <c r="R26" s="38"/>
      <c r="S26" s="167"/>
    </row>
    <row r="27" ht="24" customHeight="1" spans="1:19">
      <c r="A27" s="42"/>
      <c r="B27" s="50" t="s">
        <v>77</v>
      </c>
      <c r="C27" s="50"/>
      <c r="D27" s="50"/>
      <c r="E27" s="47"/>
      <c r="F27" s="48"/>
      <c r="G27" s="48"/>
      <c r="H27" s="49"/>
      <c r="I27" s="130"/>
      <c r="J27" s="130"/>
      <c r="K27" s="56"/>
      <c r="L27" s="56"/>
      <c r="M27" s="54"/>
      <c r="N27" s="54"/>
      <c r="O27" s="38"/>
      <c r="P27" s="54"/>
      <c r="Q27" s="54"/>
      <c r="R27" s="38"/>
      <c r="S27" s="167"/>
    </row>
    <row r="28" ht="24" customHeight="1" spans="1:19">
      <c r="A28" s="42"/>
      <c r="B28" s="50" t="s">
        <v>78</v>
      </c>
      <c r="C28" s="50"/>
      <c r="D28" s="50"/>
      <c r="E28" s="47"/>
      <c r="F28" s="48"/>
      <c r="G28" s="48"/>
      <c r="H28" s="49"/>
      <c r="J28" s="130"/>
      <c r="K28" s="56"/>
      <c r="L28" s="56"/>
      <c r="M28" s="54"/>
      <c r="N28" s="54"/>
      <c r="O28" s="38"/>
      <c r="P28" s="54"/>
      <c r="Q28" s="54"/>
      <c r="R28" s="38"/>
      <c r="S28" s="167"/>
    </row>
    <row r="29" ht="24" customHeight="1" spans="1:19">
      <c r="A29" s="42"/>
      <c r="B29" s="50" t="s">
        <v>79</v>
      </c>
      <c r="C29" s="50"/>
      <c r="D29" s="50"/>
      <c r="E29" s="47"/>
      <c r="F29" s="48"/>
      <c r="G29" s="48"/>
      <c r="H29" s="49"/>
      <c r="I29" s="130"/>
      <c r="J29" s="130"/>
      <c r="K29" s="56"/>
      <c r="L29" s="130"/>
      <c r="M29" s="54"/>
      <c r="N29" s="54"/>
      <c r="O29" s="38"/>
      <c r="P29" s="54"/>
      <c r="Q29" s="54"/>
      <c r="R29" s="38"/>
      <c r="S29" s="167"/>
    </row>
    <row r="30" ht="24" customHeight="1" spans="1:19">
      <c r="A30" s="42"/>
      <c r="B30" s="50" t="s">
        <v>80</v>
      </c>
      <c r="C30" s="50"/>
      <c r="D30" s="50"/>
      <c r="E30" s="47"/>
      <c r="F30" s="48"/>
      <c r="G30" s="48"/>
      <c r="H30" s="49"/>
      <c r="I30" s="130">
        <v>1000</v>
      </c>
      <c r="J30" s="130"/>
      <c r="K30" s="56">
        <v>665.798185</v>
      </c>
      <c r="L30" s="512">
        <v>0.6658</v>
      </c>
      <c r="M30" s="54"/>
      <c r="N30" s="54"/>
      <c r="O30" s="56">
        <v>665.798185</v>
      </c>
      <c r="P30" s="132">
        <v>0.6658</v>
      </c>
      <c r="Q30" s="54"/>
      <c r="R30" s="38">
        <v>0</v>
      </c>
      <c r="S30" s="167"/>
    </row>
    <row r="31" ht="24" customHeight="1" spans="1:19">
      <c r="A31" s="42"/>
      <c r="B31" s="50" t="s">
        <v>82</v>
      </c>
      <c r="C31" s="50"/>
      <c r="D31" s="50"/>
      <c r="E31" s="47"/>
      <c r="F31" s="48"/>
      <c r="G31" s="48"/>
      <c r="H31" s="49"/>
      <c r="I31" s="130"/>
      <c r="J31" s="130"/>
      <c r="K31" s="56"/>
      <c r="L31" s="56"/>
      <c r="M31" s="54"/>
      <c r="N31" s="54"/>
      <c r="O31" s="38"/>
      <c r="P31" s="54"/>
      <c r="Q31" s="54"/>
      <c r="R31" s="38"/>
      <c r="S31" s="167"/>
    </row>
    <row r="32" ht="24" customHeight="1" spans="1:19">
      <c r="A32" s="42"/>
      <c r="B32" s="51" t="s">
        <v>211</v>
      </c>
      <c r="C32" s="52"/>
      <c r="D32" s="53"/>
      <c r="E32" s="47"/>
      <c r="F32" s="48"/>
      <c r="G32" s="48"/>
      <c r="H32" s="49"/>
      <c r="I32" s="130"/>
      <c r="J32" s="130"/>
      <c r="K32" s="56"/>
      <c r="L32" s="56"/>
      <c r="M32" s="98"/>
      <c r="N32" s="99"/>
      <c r="O32" s="38"/>
      <c r="P32" s="98"/>
      <c r="Q32" s="99"/>
      <c r="R32" s="47"/>
      <c r="S32" s="169"/>
    </row>
    <row r="33" ht="24" customHeight="1" spans="1:19">
      <c r="A33" s="42"/>
      <c r="B33" s="54" t="s">
        <v>83</v>
      </c>
      <c r="C33" s="55"/>
      <c r="D33" s="56" t="s">
        <v>84</v>
      </c>
      <c r="E33" s="57" t="s">
        <v>85</v>
      </c>
      <c r="F33" s="57"/>
      <c r="G33" s="57"/>
      <c r="H33" s="57"/>
      <c r="I33" s="57"/>
      <c r="J33" s="57"/>
      <c r="K33" s="57"/>
      <c r="L33" s="57"/>
      <c r="M33" s="57"/>
      <c r="N33" s="57"/>
      <c r="O33" s="57"/>
      <c r="P33" s="57" t="s">
        <v>86</v>
      </c>
      <c r="Q33" s="57"/>
      <c r="R33" s="57"/>
      <c r="S33" s="170"/>
    </row>
    <row r="34" ht="24" customHeight="1" spans="1:19">
      <c r="A34" s="42"/>
      <c r="B34" s="55"/>
      <c r="C34" s="55"/>
      <c r="D34" s="54">
        <v>1</v>
      </c>
      <c r="E34" s="57" t="s">
        <v>407</v>
      </c>
      <c r="F34" s="57"/>
      <c r="G34" s="57"/>
      <c r="H34" s="57"/>
      <c r="I34" s="57"/>
      <c r="J34" s="57"/>
      <c r="K34" s="57"/>
      <c r="L34" s="57"/>
      <c r="M34" s="57"/>
      <c r="N34" s="57"/>
      <c r="O34" s="57"/>
      <c r="P34" s="57">
        <v>665.798185</v>
      </c>
      <c r="Q34" s="57"/>
      <c r="R34" s="57"/>
      <c r="S34" s="170"/>
    </row>
    <row r="35" ht="24" customHeight="1" spans="1:19">
      <c r="A35" s="42"/>
      <c r="B35" s="55"/>
      <c r="C35" s="55"/>
      <c r="D35" s="54">
        <v>2</v>
      </c>
      <c r="E35" s="57"/>
      <c r="F35" s="57"/>
      <c r="G35" s="57"/>
      <c r="H35" s="57"/>
      <c r="I35" s="57"/>
      <c r="J35" s="57"/>
      <c r="K35" s="57"/>
      <c r="L35" s="57"/>
      <c r="M35" s="57"/>
      <c r="N35" s="57"/>
      <c r="O35" s="57"/>
      <c r="P35" s="57"/>
      <c r="Q35" s="57"/>
      <c r="R35" s="57"/>
      <c r="S35" s="170"/>
    </row>
    <row r="36" ht="24" customHeight="1" spans="1:19">
      <c r="A36" s="58"/>
      <c r="B36" s="59"/>
      <c r="C36" s="59"/>
      <c r="D36" s="54">
        <v>3</v>
      </c>
      <c r="E36" s="57"/>
      <c r="F36" s="57"/>
      <c r="G36" s="57"/>
      <c r="H36" s="57"/>
      <c r="I36" s="57"/>
      <c r="J36" s="57"/>
      <c r="K36" s="57"/>
      <c r="L36" s="57"/>
      <c r="M36" s="57"/>
      <c r="N36" s="57"/>
      <c r="O36" s="57"/>
      <c r="P36" s="57"/>
      <c r="Q36" s="57"/>
      <c r="R36" s="57"/>
      <c r="S36" s="170"/>
    </row>
    <row r="37" ht="24" customHeight="1" spans="1:19">
      <c r="A37" s="58"/>
      <c r="B37" s="59"/>
      <c r="C37" s="59"/>
      <c r="D37" s="54">
        <v>4</v>
      </c>
      <c r="E37" s="57"/>
      <c r="F37" s="57"/>
      <c r="G37" s="57"/>
      <c r="H37" s="57"/>
      <c r="I37" s="57"/>
      <c r="J37" s="57"/>
      <c r="K37" s="57"/>
      <c r="L37" s="57"/>
      <c r="M37" s="57"/>
      <c r="N37" s="57"/>
      <c r="O37" s="57"/>
      <c r="P37" s="57"/>
      <c r="Q37" s="57"/>
      <c r="R37" s="57"/>
      <c r="S37" s="170"/>
    </row>
    <row r="38" ht="24" customHeight="1" spans="1:19">
      <c r="A38" s="58"/>
      <c r="B38" s="59"/>
      <c r="C38" s="59"/>
      <c r="D38" s="54" t="s">
        <v>261</v>
      </c>
      <c r="E38" s="57"/>
      <c r="F38" s="57"/>
      <c r="G38" s="57"/>
      <c r="H38" s="57"/>
      <c r="I38" s="57"/>
      <c r="J38" s="57"/>
      <c r="K38" s="57"/>
      <c r="L38" s="57"/>
      <c r="M38" s="57"/>
      <c r="N38" s="57"/>
      <c r="O38" s="57"/>
      <c r="P38" s="57"/>
      <c r="Q38" s="57"/>
      <c r="R38" s="57"/>
      <c r="S38" s="170"/>
    </row>
    <row r="39" ht="24" customHeight="1" spans="1:19">
      <c r="A39" s="60"/>
      <c r="B39" s="61"/>
      <c r="C39" s="61"/>
      <c r="D39" s="168" t="s">
        <v>91</v>
      </c>
      <c r="E39" s="57"/>
      <c r="F39" s="57"/>
      <c r="G39" s="57"/>
      <c r="H39" s="57"/>
      <c r="I39" s="57"/>
      <c r="J39" s="57"/>
      <c r="K39" s="57"/>
      <c r="L39" s="57"/>
      <c r="M39" s="57"/>
      <c r="N39" s="57"/>
      <c r="O39" s="57"/>
      <c r="P39" s="57"/>
      <c r="Q39" s="57"/>
      <c r="R39" s="57"/>
      <c r="S39" s="170"/>
    </row>
    <row r="40" ht="41.45" customHeight="1" spans="1:20">
      <c r="A40" s="62" t="s">
        <v>92</v>
      </c>
      <c r="B40" s="9" t="s">
        <v>93</v>
      </c>
      <c r="C40" s="10"/>
      <c r="D40" s="10"/>
      <c r="E40" s="10" t="s">
        <v>94</v>
      </c>
      <c r="F40" s="10"/>
      <c r="G40" s="10"/>
      <c r="H40" s="10" t="s">
        <v>95</v>
      </c>
      <c r="I40" s="10"/>
      <c r="J40" s="10" t="s">
        <v>96</v>
      </c>
      <c r="K40" s="10"/>
      <c r="L40" s="10"/>
      <c r="M40" s="10"/>
      <c r="N40" s="10"/>
      <c r="O40" s="10"/>
      <c r="P40" s="133" t="s">
        <v>97</v>
      </c>
      <c r="Q40" s="147"/>
      <c r="R40" s="10" t="s">
        <v>98</v>
      </c>
      <c r="S40" s="171"/>
      <c r="T40" s="99"/>
    </row>
    <row r="41" ht="42.6" customHeight="1" spans="1:20">
      <c r="A41" s="63"/>
      <c r="B41" s="64" t="s">
        <v>99</v>
      </c>
      <c r="C41" s="65"/>
      <c r="D41" s="66"/>
      <c r="E41" s="54" t="s">
        <v>100</v>
      </c>
      <c r="F41" s="54"/>
      <c r="G41" s="54"/>
      <c r="H41" s="67" t="s">
        <v>215</v>
      </c>
      <c r="I41" s="66"/>
      <c r="J41" s="134" t="s">
        <v>102</v>
      </c>
      <c r="K41" s="134"/>
      <c r="L41" s="134"/>
      <c r="M41" s="134"/>
      <c r="N41" s="134"/>
      <c r="O41" s="134"/>
      <c r="P41" s="135">
        <v>0.1</v>
      </c>
      <c r="Q41" s="172"/>
      <c r="R41" s="23">
        <v>10</v>
      </c>
      <c r="S41" s="173"/>
      <c r="T41" s="99"/>
    </row>
    <row r="42" ht="46.5" customHeight="1" spans="1:20">
      <c r="A42" s="63"/>
      <c r="B42" s="68"/>
      <c r="C42" s="69"/>
      <c r="D42" s="70"/>
      <c r="E42" s="71" t="s">
        <v>216</v>
      </c>
      <c r="F42" s="72"/>
      <c r="G42" s="73"/>
      <c r="H42" s="51" t="s">
        <v>104</v>
      </c>
      <c r="I42" s="53"/>
      <c r="J42" s="230" t="s">
        <v>264</v>
      </c>
      <c r="K42" s="231"/>
      <c r="L42" s="231"/>
      <c r="M42" s="231"/>
      <c r="N42" s="231"/>
      <c r="O42" s="232"/>
      <c r="P42" s="135">
        <v>0.1</v>
      </c>
      <c r="Q42" s="172"/>
      <c r="R42" s="23">
        <v>10</v>
      </c>
      <c r="S42" s="173"/>
      <c r="T42" s="99"/>
    </row>
    <row r="43" ht="58.9" customHeight="1" spans="1:20">
      <c r="A43" s="63"/>
      <c r="B43" s="68"/>
      <c r="C43" s="69"/>
      <c r="D43" s="70"/>
      <c r="E43" s="71" t="s">
        <v>106</v>
      </c>
      <c r="F43" s="72"/>
      <c r="G43" s="73"/>
      <c r="H43" s="67" t="s">
        <v>408</v>
      </c>
      <c r="I43" s="66"/>
      <c r="J43" s="134" t="s">
        <v>409</v>
      </c>
      <c r="K43" s="134"/>
      <c r="L43" s="134"/>
      <c r="M43" s="134"/>
      <c r="N43" s="134"/>
      <c r="O43" s="134"/>
      <c r="P43" s="135">
        <v>0.1</v>
      </c>
      <c r="Q43" s="172"/>
      <c r="R43" s="23">
        <v>10</v>
      </c>
      <c r="S43" s="173"/>
      <c r="T43" s="99"/>
    </row>
    <row r="44" ht="48.6" customHeight="1" spans="1:19">
      <c r="A44" s="63"/>
      <c r="B44" s="74" t="s">
        <v>109</v>
      </c>
      <c r="C44" s="75"/>
      <c r="D44" s="76"/>
      <c r="E44" s="34" t="s">
        <v>110</v>
      </c>
      <c r="F44" s="35"/>
      <c r="G44" s="36"/>
      <c r="H44" s="78" t="s">
        <v>111</v>
      </c>
      <c r="I44" s="78"/>
      <c r="J44" s="281" t="s">
        <v>112</v>
      </c>
      <c r="K44" s="281"/>
      <c r="L44" s="281"/>
      <c r="M44" s="281"/>
      <c r="N44" s="281"/>
      <c r="O44" s="281"/>
      <c r="P44" s="140">
        <v>0.06</v>
      </c>
      <c r="Q44" s="174"/>
      <c r="R44" s="10">
        <v>6</v>
      </c>
      <c r="S44" s="175"/>
    </row>
    <row r="45" ht="30" customHeight="1" spans="1:19">
      <c r="A45" s="63"/>
      <c r="B45" s="68"/>
      <c r="C45" s="69"/>
      <c r="D45" s="70"/>
      <c r="E45" s="39"/>
      <c r="F45" s="40"/>
      <c r="G45" s="41"/>
      <c r="H45" s="50" t="s">
        <v>113</v>
      </c>
      <c r="I45" s="50"/>
      <c r="J45" s="119" t="s">
        <v>114</v>
      </c>
      <c r="K45" s="119"/>
      <c r="L45" s="119"/>
      <c r="M45" s="119"/>
      <c r="N45" s="119"/>
      <c r="O45" s="119"/>
      <c r="P45" s="142">
        <v>0.06</v>
      </c>
      <c r="Q45" s="144"/>
      <c r="R45" s="23">
        <v>6</v>
      </c>
      <c r="S45" s="173"/>
    </row>
    <row r="46" s="205" customFormat="1" ht="53" customHeight="1" spans="1:20">
      <c r="A46" s="63"/>
      <c r="B46" s="68"/>
      <c r="C46" s="69"/>
      <c r="D46" s="70"/>
      <c r="E46" s="39"/>
      <c r="F46" s="40"/>
      <c r="G46" s="41"/>
      <c r="H46" s="98" t="s">
        <v>115</v>
      </c>
      <c r="I46" s="99"/>
      <c r="J46" s="116" t="s">
        <v>116</v>
      </c>
      <c r="K46" s="117"/>
      <c r="L46" s="117"/>
      <c r="M46" s="117"/>
      <c r="N46" s="117"/>
      <c r="O46" s="118"/>
      <c r="P46" s="142">
        <v>0.06</v>
      </c>
      <c r="Q46" s="144"/>
      <c r="R46" s="23">
        <v>6</v>
      </c>
      <c r="S46" s="173"/>
      <c r="T46" s="40"/>
    </row>
    <row r="47" s="205" customFormat="1" ht="68.45" customHeight="1" spans="1:20">
      <c r="A47" s="63"/>
      <c r="B47" s="79"/>
      <c r="C47" s="69"/>
      <c r="D47" s="70"/>
      <c r="E47" s="71" t="s">
        <v>117</v>
      </c>
      <c r="F47" s="72"/>
      <c r="G47" s="73"/>
      <c r="H47" s="80" t="s">
        <v>118</v>
      </c>
      <c r="I47" s="80"/>
      <c r="J47" s="119" t="s">
        <v>119</v>
      </c>
      <c r="K47" s="119"/>
      <c r="L47" s="119"/>
      <c r="M47" s="119"/>
      <c r="N47" s="119"/>
      <c r="O47" s="119"/>
      <c r="P47" s="142">
        <v>0.06</v>
      </c>
      <c r="Q47" s="144"/>
      <c r="R47" s="23">
        <v>6</v>
      </c>
      <c r="S47" s="173"/>
      <c r="T47" s="40"/>
    </row>
    <row r="48" s="205" customFormat="1" ht="42" customHeight="1" spans="1:20">
      <c r="A48" s="63"/>
      <c r="B48" s="79"/>
      <c r="C48" s="69"/>
      <c r="D48" s="70"/>
      <c r="E48" s="494"/>
      <c r="F48" s="495"/>
      <c r="G48" s="496"/>
      <c r="H48" s="497" t="s">
        <v>120</v>
      </c>
      <c r="I48" s="513"/>
      <c r="J48" s="514" t="s">
        <v>410</v>
      </c>
      <c r="K48" s="514"/>
      <c r="L48" s="514"/>
      <c r="M48" s="514"/>
      <c r="N48" s="514"/>
      <c r="O48" s="514"/>
      <c r="P48" s="515">
        <v>0.06</v>
      </c>
      <c r="Q48" s="522"/>
      <c r="R48" s="523">
        <v>6</v>
      </c>
      <c r="S48" s="524"/>
      <c r="T48" s="40"/>
    </row>
    <row r="49" s="205" customFormat="1" ht="42" customHeight="1" spans="1:20">
      <c r="A49" s="63"/>
      <c r="B49" s="498" t="s">
        <v>411</v>
      </c>
      <c r="C49" s="499"/>
      <c r="D49" s="500"/>
      <c r="E49" s="34" t="s">
        <v>123</v>
      </c>
      <c r="F49" s="35"/>
      <c r="G49" s="36"/>
      <c r="H49" s="501" t="s">
        <v>124</v>
      </c>
      <c r="I49" s="501"/>
      <c r="J49" s="114" t="s">
        <v>412</v>
      </c>
      <c r="K49" s="114"/>
      <c r="L49" s="114"/>
      <c r="M49" s="114"/>
      <c r="N49" s="114"/>
      <c r="O49" s="114"/>
      <c r="P49" s="142">
        <v>0.04</v>
      </c>
      <c r="Q49" s="142"/>
      <c r="R49" s="23">
        <v>4</v>
      </c>
      <c r="S49" s="23"/>
      <c r="T49" s="40"/>
    </row>
    <row r="50" ht="23.25" customHeight="1" spans="1:19">
      <c r="A50" s="63"/>
      <c r="B50" s="498"/>
      <c r="C50" s="499"/>
      <c r="D50" s="500"/>
      <c r="E50" s="43"/>
      <c r="F50" s="44"/>
      <c r="G50" s="45"/>
      <c r="H50" s="54" t="s">
        <v>126</v>
      </c>
      <c r="I50" s="54"/>
      <c r="J50" s="134" t="s">
        <v>413</v>
      </c>
      <c r="K50" s="134"/>
      <c r="L50" s="134"/>
      <c r="M50" s="134"/>
      <c r="N50" s="134"/>
      <c r="O50" s="134"/>
      <c r="P50" s="142">
        <v>0.04</v>
      </c>
      <c r="Q50" s="144"/>
      <c r="R50" s="23">
        <v>4</v>
      </c>
      <c r="S50" s="23"/>
    </row>
    <row r="51" ht="23.25" customHeight="1" spans="1:19">
      <c r="A51" s="63"/>
      <c r="B51" s="498"/>
      <c r="C51" s="499"/>
      <c r="D51" s="500"/>
      <c r="E51" s="71" t="s">
        <v>128</v>
      </c>
      <c r="F51" s="72"/>
      <c r="G51" s="73"/>
      <c r="H51" s="50" t="s">
        <v>129</v>
      </c>
      <c r="I51" s="50"/>
      <c r="J51" s="134" t="s">
        <v>414</v>
      </c>
      <c r="K51" s="134"/>
      <c r="L51" s="134"/>
      <c r="M51" s="134"/>
      <c r="N51" s="134"/>
      <c r="O51" s="134"/>
      <c r="P51" s="142">
        <v>0.06</v>
      </c>
      <c r="Q51" s="144"/>
      <c r="R51" s="23">
        <v>5</v>
      </c>
      <c r="S51" s="173"/>
    </row>
    <row r="52" ht="23.25" customHeight="1" spans="1:19">
      <c r="A52" s="63"/>
      <c r="B52" s="498"/>
      <c r="C52" s="499"/>
      <c r="D52" s="500"/>
      <c r="E52" s="39"/>
      <c r="F52" s="40"/>
      <c r="G52" s="41"/>
      <c r="H52" s="50" t="s">
        <v>136</v>
      </c>
      <c r="I52" s="50"/>
      <c r="J52" s="134" t="s">
        <v>415</v>
      </c>
      <c r="K52" s="134"/>
      <c r="L52" s="134"/>
      <c r="M52" s="134"/>
      <c r="N52" s="134"/>
      <c r="O52" s="134"/>
      <c r="P52" s="142">
        <v>0.06</v>
      </c>
      <c r="Q52" s="144"/>
      <c r="R52" s="23">
        <v>6</v>
      </c>
      <c r="S52" s="173"/>
    </row>
    <row r="53" ht="24.75" customHeight="1" spans="1:19">
      <c r="A53" s="63"/>
      <c r="B53" s="498"/>
      <c r="C53" s="499"/>
      <c r="D53" s="500"/>
      <c r="E53" s="54" t="s">
        <v>141</v>
      </c>
      <c r="F53" s="54"/>
      <c r="G53" s="54"/>
      <c r="H53" s="50" t="s">
        <v>416</v>
      </c>
      <c r="I53" s="50"/>
      <c r="J53" s="134" t="s">
        <v>417</v>
      </c>
      <c r="K53" s="134"/>
      <c r="L53" s="134"/>
      <c r="M53" s="134"/>
      <c r="N53" s="134"/>
      <c r="O53" s="134"/>
      <c r="P53" s="142">
        <v>0.05</v>
      </c>
      <c r="Q53" s="144"/>
      <c r="R53" s="23">
        <v>5</v>
      </c>
      <c r="S53" s="173"/>
    </row>
    <row r="54" s="205" customFormat="1" ht="21" customHeight="1" spans="1:20">
      <c r="A54" s="63"/>
      <c r="B54" s="498"/>
      <c r="C54" s="499"/>
      <c r="D54" s="500"/>
      <c r="E54" s="54" t="s">
        <v>143</v>
      </c>
      <c r="F54" s="54"/>
      <c r="G54" s="54"/>
      <c r="H54" s="50" t="s">
        <v>144</v>
      </c>
      <c r="I54" s="50"/>
      <c r="J54" s="134" t="s">
        <v>418</v>
      </c>
      <c r="K54" s="134"/>
      <c r="L54" s="134"/>
      <c r="M54" s="134"/>
      <c r="N54" s="134"/>
      <c r="O54" s="134"/>
      <c r="P54" s="142">
        <v>0.05</v>
      </c>
      <c r="Q54" s="144"/>
      <c r="R54" s="23">
        <v>5</v>
      </c>
      <c r="S54" s="176"/>
      <c r="T54" s="40"/>
    </row>
    <row r="55" s="205" customFormat="1" ht="20.25" customHeight="1" spans="1:20">
      <c r="A55" s="63"/>
      <c r="B55" s="498"/>
      <c r="C55" s="499"/>
      <c r="D55" s="500"/>
      <c r="E55" s="54" t="s">
        <v>146</v>
      </c>
      <c r="F55" s="54"/>
      <c r="G55" s="54"/>
      <c r="H55" s="50" t="s">
        <v>147</v>
      </c>
      <c r="I55" s="50"/>
      <c r="J55" s="134" t="s">
        <v>385</v>
      </c>
      <c r="K55" s="134"/>
      <c r="L55" s="134"/>
      <c r="M55" s="134"/>
      <c r="N55" s="134"/>
      <c r="O55" s="134"/>
      <c r="P55" s="142">
        <v>0.05</v>
      </c>
      <c r="Q55" s="144"/>
      <c r="R55" s="23">
        <v>4</v>
      </c>
      <c r="S55" s="176"/>
      <c r="T55" s="40"/>
    </row>
    <row r="56" s="205" customFormat="1" ht="21" customHeight="1" spans="1:20">
      <c r="A56" s="63"/>
      <c r="B56" s="502"/>
      <c r="C56" s="503"/>
      <c r="D56" s="504"/>
      <c r="E56" s="84" t="s">
        <v>149</v>
      </c>
      <c r="F56" s="84"/>
      <c r="G56" s="84"/>
      <c r="H56" s="85" t="s">
        <v>419</v>
      </c>
      <c r="I56" s="85"/>
      <c r="J56" s="145" t="s">
        <v>420</v>
      </c>
      <c r="K56" s="145"/>
      <c r="L56" s="145"/>
      <c r="M56" s="145"/>
      <c r="N56" s="145"/>
      <c r="O56" s="145"/>
      <c r="P56" s="245">
        <v>0.05</v>
      </c>
      <c r="Q56" s="146"/>
      <c r="R56" s="177">
        <v>5</v>
      </c>
      <c r="S56" s="178"/>
      <c r="T56" s="40"/>
    </row>
    <row r="57" ht="30" customHeight="1" spans="1:19">
      <c r="A57" s="63"/>
      <c r="B57" s="86" t="s">
        <v>152</v>
      </c>
      <c r="C57" s="87"/>
      <c r="D57" s="87"/>
      <c r="E57" s="87"/>
      <c r="F57" s="87"/>
      <c r="G57" s="87"/>
      <c r="H57" s="87"/>
      <c r="I57" s="87"/>
      <c r="J57" s="87"/>
      <c r="K57" s="87"/>
      <c r="L57" s="87"/>
      <c r="M57" s="87"/>
      <c r="N57" s="87"/>
      <c r="O57" s="147"/>
      <c r="P57" s="148">
        <v>1</v>
      </c>
      <c r="Q57" s="148"/>
      <c r="R57" s="179">
        <v>98</v>
      </c>
      <c r="S57" s="180"/>
    </row>
    <row r="58" ht="36" customHeight="1" spans="1:19">
      <c r="A58" s="88"/>
      <c r="B58" s="89" t="s">
        <v>153</v>
      </c>
      <c r="C58" s="90" t="s">
        <v>277</v>
      </c>
      <c r="D58" s="91"/>
      <c r="E58" s="91"/>
      <c r="F58" s="91"/>
      <c r="G58" s="91"/>
      <c r="H58" s="91"/>
      <c r="I58" s="91"/>
      <c r="J58" s="91"/>
      <c r="K58" s="91"/>
      <c r="L58" s="91"/>
      <c r="M58" s="91"/>
      <c r="N58" s="91"/>
      <c r="O58" s="91"/>
      <c r="P58" s="91"/>
      <c r="Q58" s="91"/>
      <c r="R58" s="91"/>
      <c r="S58" s="181"/>
    </row>
    <row r="59" ht="22.5" customHeight="1" spans="1:19">
      <c r="A59" s="62" t="s">
        <v>155</v>
      </c>
      <c r="B59" s="92" t="s">
        <v>156</v>
      </c>
      <c r="C59" s="93" t="s">
        <v>157</v>
      </c>
      <c r="D59" s="94"/>
      <c r="E59" s="95" t="s">
        <v>158</v>
      </c>
      <c r="F59" s="93"/>
      <c r="G59" s="93"/>
      <c r="H59" s="93"/>
      <c r="I59" s="93"/>
      <c r="J59" s="93"/>
      <c r="K59" s="93"/>
      <c r="L59" s="93"/>
      <c r="M59" s="93"/>
      <c r="N59" s="94"/>
      <c r="O59" s="149" t="s">
        <v>159</v>
      </c>
      <c r="P59" s="95" t="s">
        <v>160</v>
      </c>
      <c r="Q59" s="94"/>
      <c r="R59" s="95" t="s">
        <v>161</v>
      </c>
      <c r="S59" s="182"/>
    </row>
    <row r="60" ht="21" customHeight="1" spans="1:19">
      <c r="A60" s="96"/>
      <c r="B60" s="97"/>
      <c r="C60" s="98"/>
      <c r="D60" s="99"/>
      <c r="E60" s="100"/>
      <c r="F60" s="101"/>
      <c r="G60" s="101"/>
      <c r="H60" s="101"/>
      <c r="I60" s="101"/>
      <c r="J60" s="101"/>
      <c r="K60" s="101"/>
      <c r="L60" s="101"/>
      <c r="M60" s="101"/>
      <c r="N60" s="150"/>
      <c r="O60" s="57"/>
      <c r="P60" s="98"/>
      <c r="Q60" s="99"/>
      <c r="R60" s="98"/>
      <c r="S60" s="160"/>
    </row>
    <row r="61" ht="21" customHeight="1" spans="1:19">
      <c r="A61" s="96"/>
      <c r="B61" s="97"/>
      <c r="C61" s="98"/>
      <c r="D61" s="99"/>
      <c r="E61" s="100"/>
      <c r="F61" s="101"/>
      <c r="G61" s="101"/>
      <c r="H61" s="101"/>
      <c r="I61" s="101"/>
      <c r="J61" s="101"/>
      <c r="K61" s="101"/>
      <c r="L61" s="101"/>
      <c r="M61" s="101"/>
      <c r="N61" s="150"/>
      <c r="O61" s="57"/>
      <c r="P61" s="98"/>
      <c r="Q61" s="99"/>
      <c r="R61" s="98"/>
      <c r="S61" s="160"/>
    </row>
    <row r="62" ht="21" customHeight="1" spans="1:19">
      <c r="A62" s="96"/>
      <c r="B62" s="97"/>
      <c r="C62" s="98"/>
      <c r="D62" s="99"/>
      <c r="E62" s="100"/>
      <c r="F62" s="101"/>
      <c r="G62" s="101"/>
      <c r="H62" s="101"/>
      <c r="I62" s="101"/>
      <c r="J62" s="101"/>
      <c r="K62" s="101"/>
      <c r="L62" s="101"/>
      <c r="M62" s="101"/>
      <c r="N62" s="150"/>
      <c r="O62" s="57"/>
      <c r="P62" s="98"/>
      <c r="Q62" s="99"/>
      <c r="R62" s="98"/>
      <c r="S62" s="160"/>
    </row>
    <row r="63" ht="21" customHeight="1" spans="1:19">
      <c r="A63" s="96"/>
      <c r="B63" s="97"/>
      <c r="C63" s="98"/>
      <c r="D63" s="99"/>
      <c r="E63" s="100"/>
      <c r="F63" s="101"/>
      <c r="G63" s="101"/>
      <c r="H63" s="101"/>
      <c r="I63" s="101"/>
      <c r="J63" s="101"/>
      <c r="K63" s="101"/>
      <c r="L63" s="101"/>
      <c r="M63" s="101"/>
      <c r="N63" s="150"/>
      <c r="O63" s="57"/>
      <c r="P63" s="98"/>
      <c r="Q63" s="99"/>
      <c r="R63" s="98"/>
      <c r="S63" s="160"/>
    </row>
    <row r="64" ht="21" customHeight="1" spans="1:19">
      <c r="A64" s="96"/>
      <c r="B64" s="97"/>
      <c r="C64" s="98"/>
      <c r="D64" s="99"/>
      <c r="E64" s="100"/>
      <c r="F64" s="101"/>
      <c r="G64" s="101"/>
      <c r="H64" s="101"/>
      <c r="I64" s="101"/>
      <c r="J64" s="101"/>
      <c r="K64" s="101"/>
      <c r="L64" s="101"/>
      <c r="M64" s="101"/>
      <c r="N64" s="150"/>
      <c r="O64" s="57"/>
      <c r="P64" s="98"/>
      <c r="Q64" s="99"/>
      <c r="R64" s="98"/>
      <c r="S64" s="160"/>
    </row>
    <row r="65" ht="105.75" customHeight="1" spans="1:19">
      <c r="A65" s="96"/>
      <c r="B65" s="97"/>
      <c r="C65" s="102" t="s">
        <v>162</v>
      </c>
      <c r="D65" s="103"/>
      <c r="E65" s="103"/>
      <c r="F65" s="103"/>
      <c r="G65" s="103"/>
      <c r="H65" s="103"/>
      <c r="I65" s="103"/>
      <c r="J65" s="103"/>
      <c r="K65" s="103"/>
      <c r="L65" s="103"/>
      <c r="M65" s="103"/>
      <c r="N65" s="103"/>
      <c r="O65" s="103"/>
      <c r="P65" s="103"/>
      <c r="Q65" s="103"/>
      <c r="R65" s="103"/>
      <c r="S65" s="183"/>
    </row>
    <row r="66" ht="27" customHeight="1" spans="1:19">
      <c r="A66" s="96"/>
      <c r="B66" s="104"/>
      <c r="C66" s="105" t="s">
        <v>163</v>
      </c>
      <c r="D66" s="106"/>
      <c r="E66" s="106"/>
      <c r="F66" s="106"/>
      <c r="G66" s="106"/>
      <c r="H66" s="106"/>
      <c r="I66" s="106"/>
      <c r="J66" s="106"/>
      <c r="K66" s="106"/>
      <c r="L66" s="106"/>
      <c r="M66" s="106"/>
      <c r="N66" s="106"/>
      <c r="O66" s="106"/>
      <c r="P66" s="106"/>
      <c r="Q66" s="106"/>
      <c r="R66" s="106"/>
      <c r="S66" s="184"/>
    </row>
    <row r="67" ht="48.75" customHeight="1" spans="1:19">
      <c r="A67" s="96"/>
      <c r="B67" s="92" t="s">
        <v>164</v>
      </c>
      <c r="C67" s="107" t="s">
        <v>165</v>
      </c>
      <c r="D67" s="108"/>
      <c r="E67" s="108"/>
      <c r="F67" s="108"/>
      <c r="G67" s="108"/>
      <c r="H67" s="108"/>
      <c r="I67" s="108"/>
      <c r="J67" s="108"/>
      <c r="K67" s="108"/>
      <c r="L67" s="108"/>
      <c r="M67" s="108"/>
      <c r="N67" s="108"/>
      <c r="O67" s="108"/>
      <c r="P67" s="108"/>
      <c r="Q67" s="108"/>
      <c r="R67" s="108"/>
      <c r="S67" s="185"/>
    </row>
    <row r="68" ht="55.5" customHeight="1" spans="1:19">
      <c r="A68" s="96"/>
      <c r="B68" s="186"/>
      <c r="C68" s="187" t="s">
        <v>166</v>
      </c>
      <c r="D68" s="188"/>
      <c r="E68" s="188"/>
      <c r="F68" s="188"/>
      <c r="G68" s="188"/>
      <c r="H68" s="188"/>
      <c r="I68" s="188"/>
      <c r="J68" s="188"/>
      <c r="K68" s="188"/>
      <c r="L68" s="188"/>
      <c r="M68" s="188"/>
      <c r="N68" s="188"/>
      <c r="O68" s="188"/>
      <c r="P68" s="188"/>
      <c r="Q68" s="188"/>
      <c r="R68" s="188"/>
      <c r="S68" s="201"/>
    </row>
    <row r="69" ht="104.25" customHeight="1" spans="1:19">
      <c r="A69" s="96"/>
      <c r="B69" s="186"/>
      <c r="C69" s="102" t="s">
        <v>167</v>
      </c>
      <c r="D69" s="103"/>
      <c r="E69" s="103"/>
      <c r="F69" s="103"/>
      <c r="G69" s="103"/>
      <c r="H69" s="103"/>
      <c r="I69" s="103"/>
      <c r="J69" s="103"/>
      <c r="K69" s="103"/>
      <c r="L69" s="103"/>
      <c r="M69" s="103"/>
      <c r="N69" s="103"/>
      <c r="O69" s="103"/>
      <c r="P69" s="103"/>
      <c r="Q69" s="103"/>
      <c r="R69" s="103"/>
      <c r="S69" s="183"/>
    </row>
    <row r="70" ht="28.5" customHeight="1" spans="1:19">
      <c r="A70" s="96"/>
      <c r="B70" s="189"/>
      <c r="C70" s="105" t="s">
        <v>168</v>
      </c>
      <c r="D70" s="106"/>
      <c r="E70" s="106"/>
      <c r="F70" s="106"/>
      <c r="G70" s="106"/>
      <c r="H70" s="106"/>
      <c r="I70" s="106"/>
      <c r="J70" s="106"/>
      <c r="K70" s="106"/>
      <c r="L70" s="106"/>
      <c r="M70" s="106"/>
      <c r="N70" s="106"/>
      <c r="O70" s="106"/>
      <c r="P70" s="106"/>
      <c r="Q70" s="106"/>
      <c r="R70" s="106"/>
      <c r="S70" s="184"/>
    </row>
    <row r="71" customHeight="1" spans="1:19">
      <c r="A71" s="96"/>
      <c r="B71" s="186" t="s">
        <v>169</v>
      </c>
      <c r="C71" s="190"/>
      <c r="D71" s="191"/>
      <c r="E71" s="191"/>
      <c r="F71" s="191"/>
      <c r="G71" s="191"/>
      <c r="H71" s="191"/>
      <c r="I71" s="191"/>
      <c r="J71" s="191"/>
      <c r="K71" s="191"/>
      <c r="L71" s="191"/>
      <c r="M71" s="191"/>
      <c r="N71" s="191"/>
      <c r="O71" s="191"/>
      <c r="P71" s="191"/>
      <c r="Q71" s="191"/>
      <c r="R71" s="191"/>
      <c r="S71" s="202"/>
    </row>
    <row r="72" ht="14.25" customHeight="1" spans="1:19">
      <c r="A72" s="96"/>
      <c r="B72" s="186"/>
      <c r="C72" s="191"/>
      <c r="D72" s="191"/>
      <c r="E72" s="191"/>
      <c r="F72" s="192"/>
      <c r="G72" s="191"/>
      <c r="H72" s="191"/>
      <c r="I72" s="191"/>
      <c r="J72" s="191"/>
      <c r="K72" s="191"/>
      <c r="L72" s="191"/>
      <c r="M72" s="191"/>
      <c r="N72" s="191"/>
      <c r="O72" s="191"/>
      <c r="P72" s="191"/>
      <c r="Q72" s="191"/>
      <c r="R72" s="191"/>
      <c r="S72" s="202"/>
    </row>
    <row r="73" ht="30.75" customHeight="1" spans="1:19">
      <c r="A73" s="96"/>
      <c r="B73" s="186"/>
      <c r="C73" s="193"/>
      <c r="D73" s="194"/>
      <c r="E73" s="194"/>
      <c r="F73" s="194"/>
      <c r="G73" s="194"/>
      <c r="H73" s="194"/>
      <c r="I73" s="194"/>
      <c r="J73" s="194"/>
      <c r="K73" s="194"/>
      <c r="L73" s="194"/>
      <c r="M73" s="194"/>
      <c r="N73" s="194"/>
      <c r="O73" s="194"/>
      <c r="P73" s="194"/>
      <c r="Q73" s="194"/>
      <c r="R73" s="194"/>
      <c r="S73" s="203"/>
    </row>
    <row r="74" ht="53.25" customHeight="1" spans="1:19">
      <c r="A74" s="195"/>
      <c r="B74" s="189"/>
      <c r="C74" s="196" t="s">
        <v>170</v>
      </c>
      <c r="D74" s="197"/>
      <c r="E74" s="197"/>
      <c r="F74" s="197"/>
      <c r="G74" s="197"/>
      <c r="H74" s="197"/>
      <c r="I74" s="197"/>
      <c r="J74" s="197"/>
      <c r="K74" s="197"/>
      <c r="L74" s="197"/>
      <c r="M74" s="197"/>
      <c r="N74" s="197"/>
      <c r="O74" s="197"/>
      <c r="P74" s="197"/>
      <c r="Q74" s="197"/>
      <c r="R74" s="197"/>
      <c r="S74" s="204"/>
    </row>
    <row r="75" ht="19.5" customHeight="1" spans="1:19">
      <c r="A75" s="198"/>
      <c r="B75" s="199" t="s">
        <v>171</v>
      </c>
      <c r="C75" s="199"/>
      <c r="D75" s="199"/>
      <c r="E75" s="199"/>
      <c r="F75" s="199"/>
      <c r="G75" s="199"/>
      <c r="H75" s="199" t="s">
        <v>172</v>
      </c>
      <c r="I75" s="199"/>
      <c r="J75" s="199"/>
      <c r="K75" s="199"/>
      <c r="L75" s="199"/>
      <c r="N75" s="200"/>
      <c r="O75" s="200" t="s">
        <v>173</v>
      </c>
      <c r="Q75" s="200"/>
      <c r="R75" s="200"/>
      <c r="S75" s="200"/>
    </row>
  </sheetData>
  <mergeCells count="288">
    <mergeCell ref="A1:B1"/>
    <mergeCell ref="A2:S2"/>
    <mergeCell ref="B3:D3"/>
    <mergeCell ref="E3:S3"/>
    <mergeCell ref="K4:M4"/>
    <mergeCell ref="P4:S4"/>
    <mergeCell ref="K5:M5"/>
    <mergeCell ref="P5:S5"/>
    <mergeCell ref="B6:H6"/>
    <mergeCell ref="I6:S6"/>
    <mergeCell ref="C7:H7"/>
    <mergeCell ref="I7:K7"/>
    <mergeCell ref="L7:O7"/>
    <mergeCell ref="P7:S7"/>
    <mergeCell ref="C8:D8"/>
    <mergeCell ref="E8:H8"/>
    <mergeCell ref="I8:K8"/>
    <mergeCell ref="L8:M8"/>
    <mergeCell ref="N8:O8"/>
    <mergeCell ref="P8:Q8"/>
    <mergeCell ref="R8:S8"/>
    <mergeCell ref="E9:H9"/>
    <mergeCell ref="I9:K9"/>
    <mergeCell ref="L9:M9"/>
    <mergeCell ref="N9:O9"/>
    <mergeCell ref="P9:Q9"/>
    <mergeCell ref="R9:S9"/>
    <mergeCell ref="E10:H10"/>
    <mergeCell ref="I10:K10"/>
    <mergeCell ref="L10:M10"/>
    <mergeCell ref="N10:O10"/>
    <mergeCell ref="P10:Q10"/>
    <mergeCell ref="R10:S10"/>
    <mergeCell ref="E11:H11"/>
    <mergeCell ref="I11:K11"/>
    <mergeCell ref="L11:M11"/>
    <mergeCell ref="N11:O11"/>
    <mergeCell ref="P11:Q11"/>
    <mergeCell ref="R11:S11"/>
    <mergeCell ref="E12:H12"/>
    <mergeCell ref="I12:K12"/>
    <mergeCell ref="L12:M12"/>
    <mergeCell ref="N12:O12"/>
    <mergeCell ref="P12:Q12"/>
    <mergeCell ref="R12:S12"/>
    <mergeCell ref="E13:H13"/>
    <mergeCell ref="I13:K13"/>
    <mergeCell ref="L13:M13"/>
    <mergeCell ref="N13:O13"/>
    <mergeCell ref="P13:Q13"/>
    <mergeCell ref="R13:S13"/>
    <mergeCell ref="E14:H14"/>
    <mergeCell ref="I14:K14"/>
    <mergeCell ref="L14:M14"/>
    <mergeCell ref="N14:O14"/>
    <mergeCell ref="P14:Q14"/>
    <mergeCell ref="R14:S14"/>
    <mergeCell ref="E15:H15"/>
    <mergeCell ref="I15:K15"/>
    <mergeCell ref="L15:M15"/>
    <mergeCell ref="N15:O15"/>
    <mergeCell ref="P15:Q15"/>
    <mergeCell ref="R15:S15"/>
    <mergeCell ref="E16:H16"/>
    <mergeCell ref="I16:K16"/>
    <mergeCell ref="L16:M16"/>
    <mergeCell ref="N16:O16"/>
    <mergeCell ref="P16:Q16"/>
    <mergeCell ref="R16:S16"/>
    <mergeCell ref="E17:H17"/>
    <mergeCell ref="I17:K17"/>
    <mergeCell ref="L17:M17"/>
    <mergeCell ref="N17:O17"/>
    <mergeCell ref="P17:Q17"/>
    <mergeCell ref="R17:S17"/>
    <mergeCell ref="E18:H18"/>
    <mergeCell ref="I18:K18"/>
    <mergeCell ref="L18:M18"/>
    <mergeCell ref="N18:O18"/>
    <mergeCell ref="P18:Q18"/>
    <mergeCell ref="R18:S18"/>
    <mergeCell ref="B19:D19"/>
    <mergeCell ref="E19:H19"/>
    <mergeCell ref="I19:K19"/>
    <mergeCell ref="L19:S19"/>
    <mergeCell ref="I20:S20"/>
    <mergeCell ref="I21:S21"/>
    <mergeCell ref="I22:S22"/>
    <mergeCell ref="I23:J23"/>
    <mergeCell ref="K23:N23"/>
    <mergeCell ref="O23:Q23"/>
    <mergeCell ref="B26:D26"/>
    <mergeCell ref="E26:H26"/>
    <mergeCell ref="M26:N26"/>
    <mergeCell ref="P26:Q26"/>
    <mergeCell ref="R26:S26"/>
    <mergeCell ref="B27:D27"/>
    <mergeCell ref="E27:H27"/>
    <mergeCell ref="M27:N27"/>
    <mergeCell ref="P27:Q27"/>
    <mergeCell ref="R27:S27"/>
    <mergeCell ref="B28:D28"/>
    <mergeCell ref="E28:H28"/>
    <mergeCell ref="M28:N28"/>
    <mergeCell ref="P28:Q28"/>
    <mergeCell ref="R28:S28"/>
    <mergeCell ref="B29:D29"/>
    <mergeCell ref="E29:H29"/>
    <mergeCell ref="M29:N29"/>
    <mergeCell ref="P29:Q29"/>
    <mergeCell ref="R29:S29"/>
    <mergeCell ref="B30:D30"/>
    <mergeCell ref="E30:H30"/>
    <mergeCell ref="M30:N30"/>
    <mergeCell ref="P30:Q30"/>
    <mergeCell ref="R30:S30"/>
    <mergeCell ref="B31:D31"/>
    <mergeCell ref="E31:H31"/>
    <mergeCell ref="M31:N31"/>
    <mergeCell ref="P31:Q31"/>
    <mergeCell ref="R31:S31"/>
    <mergeCell ref="B32:D32"/>
    <mergeCell ref="E32:H32"/>
    <mergeCell ref="M32:N32"/>
    <mergeCell ref="P32:Q32"/>
    <mergeCell ref="R32:S32"/>
    <mergeCell ref="E33:O33"/>
    <mergeCell ref="P33:S33"/>
    <mergeCell ref="E34:O34"/>
    <mergeCell ref="P34:S34"/>
    <mergeCell ref="E35:O35"/>
    <mergeCell ref="P35:S35"/>
    <mergeCell ref="E36:O36"/>
    <mergeCell ref="P36:S36"/>
    <mergeCell ref="E37:O37"/>
    <mergeCell ref="P37:S37"/>
    <mergeCell ref="E38:O38"/>
    <mergeCell ref="P38:S38"/>
    <mergeCell ref="E39:O39"/>
    <mergeCell ref="P39:S39"/>
    <mergeCell ref="B40:D40"/>
    <mergeCell ref="E40:G40"/>
    <mergeCell ref="H40:I40"/>
    <mergeCell ref="J40:O40"/>
    <mergeCell ref="P40:Q40"/>
    <mergeCell ref="R40:S40"/>
    <mergeCell ref="E41:G41"/>
    <mergeCell ref="H41:I41"/>
    <mergeCell ref="J41:O41"/>
    <mergeCell ref="P41:Q41"/>
    <mergeCell ref="R41:S41"/>
    <mergeCell ref="E42:G42"/>
    <mergeCell ref="H42:I42"/>
    <mergeCell ref="J42:O42"/>
    <mergeCell ref="P42:Q42"/>
    <mergeCell ref="R42:S42"/>
    <mergeCell ref="E43:G43"/>
    <mergeCell ref="H43:I43"/>
    <mergeCell ref="J43:O43"/>
    <mergeCell ref="P43:Q43"/>
    <mergeCell ref="R43:S43"/>
    <mergeCell ref="H44:I44"/>
    <mergeCell ref="J44:O44"/>
    <mergeCell ref="P44:Q44"/>
    <mergeCell ref="R44:S44"/>
    <mergeCell ref="H45:I45"/>
    <mergeCell ref="J45:O45"/>
    <mergeCell ref="P45:Q45"/>
    <mergeCell ref="R45:S45"/>
    <mergeCell ref="H46:I46"/>
    <mergeCell ref="J46:O46"/>
    <mergeCell ref="P46:Q46"/>
    <mergeCell ref="R46:S46"/>
    <mergeCell ref="H47:I47"/>
    <mergeCell ref="J47:O47"/>
    <mergeCell ref="P47:Q47"/>
    <mergeCell ref="R47:S47"/>
    <mergeCell ref="H48:I48"/>
    <mergeCell ref="J48:O48"/>
    <mergeCell ref="P48:Q48"/>
    <mergeCell ref="R48:S48"/>
    <mergeCell ref="H49:I49"/>
    <mergeCell ref="J49:O49"/>
    <mergeCell ref="P49:Q49"/>
    <mergeCell ref="R49:S49"/>
    <mergeCell ref="H50:I50"/>
    <mergeCell ref="J50:O50"/>
    <mergeCell ref="P50:Q50"/>
    <mergeCell ref="R50:S50"/>
    <mergeCell ref="H51:I51"/>
    <mergeCell ref="J51:O51"/>
    <mergeCell ref="P51:Q51"/>
    <mergeCell ref="R51:S51"/>
    <mergeCell ref="H52:I52"/>
    <mergeCell ref="J52:O52"/>
    <mergeCell ref="P52:Q52"/>
    <mergeCell ref="R52:S52"/>
    <mergeCell ref="E53:G53"/>
    <mergeCell ref="H53:I53"/>
    <mergeCell ref="J53:O53"/>
    <mergeCell ref="P53:Q53"/>
    <mergeCell ref="R53:S53"/>
    <mergeCell ref="E54:G54"/>
    <mergeCell ref="H54:I54"/>
    <mergeCell ref="J54:O54"/>
    <mergeCell ref="P54:Q54"/>
    <mergeCell ref="R54:S54"/>
    <mergeCell ref="E55:G55"/>
    <mergeCell ref="H55:I55"/>
    <mergeCell ref="J55:O55"/>
    <mergeCell ref="P55:Q55"/>
    <mergeCell ref="R55:S55"/>
    <mergeCell ref="E56:G56"/>
    <mergeCell ref="H56:I56"/>
    <mergeCell ref="J56:O56"/>
    <mergeCell ref="P56:Q56"/>
    <mergeCell ref="R56:S56"/>
    <mergeCell ref="B57:O57"/>
    <mergeCell ref="P57:Q57"/>
    <mergeCell ref="R57:S57"/>
    <mergeCell ref="C58:S58"/>
    <mergeCell ref="C59:D59"/>
    <mergeCell ref="E59:N59"/>
    <mergeCell ref="P59:Q59"/>
    <mergeCell ref="R59:S59"/>
    <mergeCell ref="C60:D60"/>
    <mergeCell ref="E60:N60"/>
    <mergeCell ref="P60:Q60"/>
    <mergeCell ref="R60:S60"/>
    <mergeCell ref="C61:D61"/>
    <mergeCell ref="E61:N61"/>
    <mergeCell ref="P61:Q61"/>
    <mergeCell ref="R61:S61"/>
    <mergeCell ref="C62:D62"/>
    <mergeCell ref="E62:N62"/>
    <mergeCell ref="P62:Q62"/>
    <mergeCell ref="R62:S62"/>
    <mergeCell ref="C63:D63"/>
    <mergeCell ref="E63:N63"/>
    <mergeCell ref="P63:Q63"/>
    <mergeCell ref="R63:S63"/>
    <mergeCell ref="C64:D64"/>
    <mergeCell ref="E64:N64"/>
    <mergeCell ref="P64:Q64"/>
    <mergeCell ref="R64:S64"/>
    <mergeCell ref="C65:S65"/>
    <mergeCell ref="C66:S66"/>
    <mergeCell ref="C67:S67"/>
    <mergeCell ref="C68:S68"/>
    <mergeCell ref="C69:S69"/>
    <mergeCell ref="C70:S70"/>
    <mergeCell ref="C74:S74"/>
    <mergeCell ref="A3:A21"/>
    <mergeCell ref="A22:A39"/>
    <mergeCell ref="A40:A43"/>
    <mergeCell ref="A44:A58"/>
    <mergeCell ref="A59:A74"/>
    <mergeCell ref="B7:B18"/>
    <mergeCell ref="B59:B66"/>
    <mergeCell ref="B67:B70"/>
    <mergeCell ref="B71:B74"/>
    <mergeCell ref="I24:I25"/>
    <mergeCell ref="J24:J25"/>
    <mergeCell ref="K24:K25"/>
    <mergeCell ref="L24:L25"/>
    <mergeCell ref="O24:O25"/>
    <mergeCell ref="T40:T43"/>
    <mergeCell ref="U14:U17"/>
    <mergeCell ref="B4:H5"/>
    <mergeCell ref="I4:J5"/>
    <mergeCell ref="N4:O5"/>
    <mergeCell ref="C9:D11"/>
    <mergeCell ref="C12:D13"/>
    <mergeCell ref="C14:D18"/>
    <mergeCell ref="B20:H21"/>
    <mergeCell ref="B22:D25"/>
    <mergeCell ref="E22:H25"/>
    <mergeCell ref="R23:S25"/>
    <mergeCell ref="M24:N25"/>
    <mergeCell ref="P24:Q25"/>
    <mergeCell ref="B33:C39"/>
    <mergeCell ref="B41:D43"/>
    <mergeCell ref="B44:D48"/>
    <mergeCell ref="E44:G46"/>
    <mergeCell ref="E47:G48"/>
    <mergeCell ref="B49:D56"/>
    <mergeCell ref="E49:G50"/>
    <mergeCell ref="E51:G52"/>
  </mergeCells>
  <pageMargins left="0.58" right="0.24" top="0.98" bottom="0.98" header="0.51" footer="0.51"/>
  <pageSetup paperSize="9" scale="80" orientation="portrait" horizontalDpi="600" verticalDpi="600"/>
  <headerFooter alignWithMargins="0"/>
  <rowBreaks count="2" manualBreakCount="2">
    <brk id="32" max="18" man="1"/>
    <brk id="61" max="18"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71"/>
  <sheetViews>
    <sheetView topLeftCell="A25" workbookViewId="0">
      <selection activeCell="P38" sqref="P38:S38"/>
    </sheetView>
  </sheetViews>
  <sheetFormatPr defaultColWidth="9" defaultRowHeight="12"/>
  <cols>
    <col min="1" max="1" width="4.5" style="303" customWidth="1"/>
    <col min="2" max="2" width="6.875" style="303" customWidth="1"/>
    <col min="3" max="3" width="6.5" style="303" customWidth="1"/>
    <col min="4" max="4" width="4.75" style="303" customWidth="1"/>
    <col min="5" max="6" width="4.625" style="303" customWidth="1"/>
    <col min="7" max="7" width="4.375" style="303" customWidth="1"/>
    <col min="8" max="8" width="5.25" style="303" customWidth="1"/>
    <col min="9" max="10" width="8.625" style="303" customWidth="1"/>
    <col min="11" max="11" width="4.375" style="303" customWidth="1"/>
    <col min="12" max="12" width="8.5" style="303" customWidth="1"/>
    <col min="13" max="13" width="4.75" style="303" customWidth="1"/>
    <col min="14" max="14" width="5.625" style="303" customWidth="1"/>
    <col min="15" max="15" width="7.625" style="303" customWidth="1"/>
    <col min="16" max="16" width="4.25" style="303" customWidth="1"/>
    <col min="17" max="17" width="4.625" style="303" customWidth="1"/>
    <col min="18" max="18" width="4.375" style="303" customWidth="1"/>
    <col min="19" max="19" width="3.25" style="303" customWidth="1"/>
    <col min="20" max="20" width="9" style="304" hidden="1" customWidth="1"/>
    <col min="21" max="21" width="9" style="303" hidden="1" customWidth="1"/>
    <col min="22" max="16384" width="9" style="303"/>
  </cols>
  <sheetData>
    <row r="1" ht="26.25" customHeight="1" spans="1:19">
      <c r="A1" s="305"/>
      <c r="B1" s="305"/>
      <c r="C1" s="306"/>
      <c r="D1" s="306"/>
      <c r="E1" s="306"/>
      <c r="F1" s="306"/>
      <c r="G1" s="306"/>
      <c r="H1" s="306"/>
      <c r="I1" s="306"/>
      <c r="J1" s="306"/>
      <c r="K1" s="306"/>
      <c r="L1" s="306"/>
      <c r="M1" s="306"/>
      <c r="N1" s="306"/>
      <c r="O1" s="306"/>
      <c r="P1" s="306"/>
      <c r="Q1" s="306"/>
      <c r="R1" s="306"/>
      <c r="S1" s="306"/>
    </row>
    <row r="2" ht="43.15" customHeight="1" spans="1:19">
      <c r="A2" s="307" t="s">
        <v>421</v>
      </c>
      <c r="B2" s="307"/>
      <c r="C2" s="307"/>
      <c r="D2" s="307"/>
      <c r="E2" s="307"/>
      <c r="F2" s="307"/>
      <c r="G2" s="307"/>
      <c r="H2" s="307"/>
      <c r="I2" s="307"/>
      <c r="J2" s="307"/>
      <c r="K2" s="307"/>
      <c r="L2" s="307"/>
      <c r="M2" s="307"/>
      <c r="N2" s="307"/>
      <c r="O2" s="307"/>
      <c r="P2" s="307"/>
      <c r="Q2" s="307"/>
      <c r="R2" s="307"/>
      <c r="S2" s="307"/>
    </row>
    <row r="3" ht="24.75" customHeight="1" spans="1:19">
      <c r="A3" s="308" t="s">
        <v>1</v>
      </c>
      <c r="B3" s="309" t="s">
        <v>2</v>
      </c>
      <c r="C3" s="310"/>
      <c r="D3" s="310"/>
      <c r="E3" s="311" t="s">
        <v>422</v>
      </c>
      <c r="F3" s="311"/>
      <c r="G3" s="311"/>
      <c r="H3" s="311"/>
      <c r="I3" s="311"/>
      <c r="J3" s="311"/>
      <c r="K3" s="311"/>
      <c r="L3" s="311"/>
      <c r="M3" s="311"/>
      <c r="N3" s="311"/>
      <c r="O3" s="311"/>
      <c r="P3" s="311"/>
      <c r="Q3" s="311"/>
      <c r="R3" s="311"/>
      <c r="S3" s="447"/>
    </row>
    <row r="4" s="301" customFormat="1" ht="29.25" customHeight="1" spans="1:20">
      <c r="A4" s="312"/>
      <c r="B4" s="313" t="s">
        <v>4</v>
      </c>
      <c r="C4" s="314"/>
      <c r="D4" s="314"/>
      <c r="E4" s="314"/>
      <c r="F4" s="314"/>
      <c r="G4" s="314"/>
      <c r="H4" s="315"/>
      <c r="I4" s="412" t="s">
        <v>5</v>
      </c>
      <c r="J4" s="315"/>
      <c r="K4" s="413" t="s">
        <v>423</v>
      </c>
      <c r="L4" s="414"/>
      <c r="M4" s="415"/>
      <c r="N4" s="412" t="s">
        <v>7</v>
      </c>
      <c r="O4" s="315"/>
      <c r="P4" s="413" t="s">
        <v>244</v>
      </c>
      <c r="Q4" s="414"/>
      <c r="R4" s="414"/>
      <c r="S4" s="448"/>
      <c r="T4" s="449"/>
    </row>
    <row r="5" s="301" customFormat="1" ht="32.25" customHeight="1" spans="1:20">
      <c r="A5" s="312"/>
      <c r="B5" s="316"/>
      <c r="C5" s="317"/>
      <c r="D5" s="317"/>
      <c r="E5" s="317"/>
      <c r="F5" s="317"/>
      <c r="G5" s="317"/>
      <c r="H5" s="318"/>
      <c r="I5" s="416"/>
      <c r="J5" s="318"/>
      <c r="K5" s="413" t="s">
        <v>424</v>
      </c>
      <c r="L5" s="414"/>
      <c r="M5" s="415"/>
      <c r="N5" s="416"/>
      <c r="O5" s="318"/>
      <c r="P5" s="413" t="s">
        <v>178</v>
      </c>
      <c r="Q5" s="414"/>
      <c r="R5" s="414"/>
      <c r="S5" s="448"/>
      <c r="T5" s="449"/>
    </row>
    <row r="6" s="301" customFormat="1" ht="20.25" customHeight="1" spans="1:20">
      <c r="A6" s="312"/>
      <c r="B6" s="319" t="s">
        <v>11</v>
      </c>
      <c r="C6" s="320"/>
      <c r="D6" s="320"/>
      <c r="E6" s="320"/>
      <c r="F6" s="320"/>
      <c r="G6" s="320"/>
      <c r="H6" s="321"/>
      <c r="I6" s="326" t="s">
        <v>425</v>
      </c>
      <c r="J6" s="320"/>
      <c r="K6" s="320"/>
      <c r="L6" s="320"/>
      <c r="M6" s="320"/>
      <c r="N6" s="320"/>
      <c r="O6" s="320"/>
      <c r="P6" s="320"/>
      <c r="Q6" s="320"/>
      <c r="R6" s="320"/>
      <c r="S6" s="450"/>
      <c r="T6" s="449"/>
    </row>
    <row r="7" ht="33.6" customHeight="1" spans="1:19">
      <c r="A7" s="312"/>
      <c r="B7" s="322" t="s">
        <v>13</v>
      </c>
      <c r="C7" s="323" t="s">
        <v>14</v>
      </c>
      <c r="D7" s="323"/>
      <c r="E7" s="323"/>
      <c r="F7" s="323"/>
      <c r="G7" s="323"/>
      <c r="H7" s="323"/>
      <c r="I7" s="354"/>
      <c r="J7" s="354"/>
      <c r="K7" s="354"/>
      <c r="L7" s="323" t="s">
        <v>16</v>
      </c>
      <c r="M7" s="323"/>
      <c r="N7" s="323"/>
      <c r="O7" s="323"/>
      <c r="P7" s="320"/>
      <c r="Q7" s="320"/>
      <c r="R7" s="320"/>
      <c r="S7" s="450"/>
    </row>
    <row r="8" ht="45.75" customHeight="1" spans="1:19">
      <c r="A8" s="312"/>
      <c r="B8" s="324"/>
      <c r="C8" s="323" t="s">
        <v>17</v>
      </c>
      <c r="D8" s="323"/>
      <c r="E8" s="323" t="s">
        <v>18</v>
      </c>
      <c r="F8" s="323"/>
      <c r="G8" s="323"/>
      <c r="H8" s="323"/>
      <c r="I8" s="323" t="s">
        <v>19</v>
      </c>
      <c r="J8" s="323"/>
      <c r="K8" s="323"/>
      <c r="L8" s="323" t="s">
        <v>20</v>
      </c>
      <c r="M8" s="323"/>
      <c r="N8" s="323" t="s">
        <v>21</v>
      </c>
      <c r="O8" s="323"/>
      <c r="P8" s="326" t="s">
        <v>22</v>
      </c>
      <c r="Q8" s="321"/>
      <c r="R8" s="320" t="s">
        <v>23</v>
      </c>
      <c r="S8" s="450"/>
    </row>
    <row r="9" ht="28.5" customHeight="1" spans="1:19">
      <c r="A9" s="312"/>
      <c r="B9" s="324"/>
      <c r="C9" s="323" t="s">
        <v>24</v>
      </c>
      <c r="D9" s="323"/>
      <c r="E9" s="323" t="s">
        <v>25</v>
      </c>
      <c r="F9" s="323"/>
      <c r="G9" s="323"/>
      <c r="H9" s="323"/>
      <c r="I9" s="417" t="s">
        <v>426</v>
      </c>
      <c r="J9" s="418"/>
      <c r="K9" s="419"/>
      <c r="L9" s="420" t="s">
        <v>283</v>
      </c>
      <c r="M9" s="420"/>
      <c r="N9" s="420" t="s">
        <v>283</v>
      </c>
      <c r="O9" s="420"/>
      <c r="P9" s="326">
        <v>2017</v>
      </c>
      <c r="Q9" s="321"/>
      <c r="R9" s="320" t="s">
        <v>298</v>
      </c>
      <c r="S9" s="450"/>
    </row>
    <row r="10" ht="68.25" customHeight="1" spans="1:19">
      <c r="A10" s="312"/>
      <c r="B10" s="324"/>
      <c r="C10" s="323"/>
      <c r="D10" s="323"/>
      <c r="E10" s="323" t="s">
        <v>28</v>
      </c>
      <c r="F10" s="323" t="s">
        <v>28</v>
      </c>
      <c r="G10" s="323"/>
      <c r="H10" s="323"/>
      <c r="I10" s="417" t="s">
        <v>29</v>
      </c>
      <c r="J10" s="418"/>
      <c r="K10" s="419"/>
      <c r="L10" s="420" t="s">
        <v>427</v>
      </c>
      <c r="M10" s="420"/>
      <c r="N10" s="420" t="s">
        <v>428</v>
      </c>
      <c r="O10" s="420"/>
      <c r="P10" s="326" t="s">
        <v>429</v>
      </c>
      <c r="Q10" s="321"/>
      <c r="R10" s="320" t="s">
        <v>298</v>
      </c>
      <c r="S10" s="450"/>
    </row>
    <row r="11" ht="28.5" customHeight="1" spans="1:19">
      <c r="A11" s="312"/>
      <c r="B11" s="324"/>
      <c r="C11" s="323"/>
      <c r="D11" s="323"/>
      <c r="E11" s="323" t="s">
        <v>31</v>
      </c>
      <c r="F11" s="323" t="s">
        <v>31</v>
      </c>
      <c r="G11" s="323"/>
      <c r="H11" s="323"/>
      <c r="I11" s="417" t="s">
        <v>15</v>
      </c>
      <c r="J11" s="418"/>
      <c r="K11" s="419"/>
      <c r="L11" s="417" t="s">
        <v>15</v>
      </c>
      <c r="M11" s="418"/>
      <c r="N11" s="417" t="s">
        <v>15</v>
      </c>
      <c r="O11" s="418"/>
      <c r="P11" s="326" t="s">
        <v>15</v>
      </c>
      <c r="Q11" s="321"/>
      <c r="R11" s="320" t="s">
        <v>15</v>
      </c>
      <c r="S11" s="450"/>
    </row>
    <row r="12" ht="28.5" customHeight="1" spans="1:19">
      <c r="A12" s="312"/>
      <c r="B12" s="324"/>
      <c r="C12" s="323" t="s">
        <v>32</v>
      </c>
      <c r="D12" s="323"/>
      <c r="E12" s="323" t="s">
        <v>33</v>
      </c>
      <c r="F12" s="323" t="s">
        <v>33</v>
      </c>
      <c r="G12" s="323"/>
      <c r="H12" s="323"/>
      <c r="I12" s="417" t="s">
        <v>430</v>
      </c>
      <c r="J12" s="418"/>
      <c r="K12" s="419"/>
      <c r="L12" s="417" t="s">
        <v>431</v>
      </c>
      <c r="M12" s="418"/>
      <c r="N12" s="417" t="s">
        <v>432</v>
      </c>
      <c r="O12" s="418"/>
      <c r="P12" s="326" t="s">
        <v>432</v>
      </c>
      <c r="Q12" s="321"/>
      <c r="R12" s="320" t="s">
        <v>298</v>
      </c>
      <c r="S12" s="450"/>
    </row>
    <row r="13" ht="28.5" customHeight="1" spans="1:19">
      <c r="A13" s="312"/>
      <c r="B13" s="324"/>
      <c r="C13" s="323"/>
      <c r="D13" s="323"/>
      <c r="E13" s="323" t="s">
        <v>37</v>
      </c>
      <c r="F13" s="323" t="s">
        <v>37</v>
      </c>
      <c r="G13" s="323"/>
      <c r="H13" s="323"/>
      <c r="I13" s="417" t="s">
        <v>433</v>
      </c>
      <c r="J13" s="418"/>
      <c r="K13" s="419"/>
      <c r="L13" s="421">
        <v>0.95</v>
      </c>
      <c r="M13" s="418"/>
      <c r="N13" s="421">
        <v>0.98</v>
      </c>
      <c r="O13" s="418"/>
      <c r="P13" s="422">
        <v>0.98</v>
      </c>
      <c r="Q13" s="321"/>
      <c r="R13" s="320" t="s">
        <v>434</v>
      </c>
      <c r="S13" s="450"/>
    </row>
    <row r="14" ht="28.5" customHeight="1" spans="1:21">
      <c r="A14" s="312"/>
      <c r="B14" s="324"/>
      <c r="C14" s="323" t="s">
        <v>40</v>
      </c>
      <c r="D14" s="323"/>
      <c r="E14" s="323" t="s">
        <v>41</v>
      </c>
      <c r="F14" s="323" t="s">
        <v>41</v>
      </c>
      <c r="G14" s="323"/>
      <c r="H14" s="323"/>
      <c r="I14" s="423" t="s">
        <v>15</v>
      </c>
      <c r="J14" s="423"/>
      <c r="K14" s="423"/>
      <c r="L14" s="323" t="s">
        <v>15</v>
      </c>
      <c r="M14" s="323"/>
      <c r="N14" s="323" t="s">
        <v>15</v>
      </c>
      <c r="O14" s="323"/>
      <c r="P14" s="326" t="s">
        <v>15</v>
      </c>
      <c r="Q14" s="321"/>
      <c r="R14" s="320" t="s">
        <v>15</v>
      </c>
      <c r="S14" s="450"/>
      <c r="U14" s="451" t="s">
        <v>248</v>
      </c>
    </row>
    <row r="15" ht="56" customHeight="1" spans="1:21">
      <c r="A15" s="312"/>
      <c r="B15" s="324"/>
      <c r="C15" s="323"/>
      <c r="D15" s="323"/>
      <c r="E15" s="323" t="s">
        <v>42</v>
      </c>
      <c r="F15" s="323" t="s">
        <v>42</v>
      </c>
      <c r="G15" s="323"/>
      <c r="H15" s="323"/>
      <c r="I15" s="423" t="s">
        <v>435</v>
      </c>
      <c r="J15" s="423"/>
      <c r="K15" s="423"/>
      <c r="L15" s="323" t="s">
        <v>436</v>
      </c>
      <c r="M15" s="323"/>
      <c r="N15" s="323" t="s">
        <v>437</v>
      </c>
      <c r="O15" s="323"/>
      <c r="P15" s="326" t="s">
        <v>437</v>
      </c>
      <c r="Q15" s="321"/>
      <c r="R15" s="320" t="s">
        <v>298</v>
      </c>
      <c r="S15" s="450"/>
      <c r="U15" s="451"/>
    </row>
    <row r="16" ht="28.5" customHeight="1" spans="1:21">
      <c r="A16" s="312"/>
      <c r="B16" s="324"/>
      <c r="C16" s="323"/>
      <c r="D16" s="323"/>
      <c r="E16" s="323" t="s">
        <v>46</v>
      </c>
      <c r="F16" s="323" t="s">
        <v>46</v>
      </c>
      <c r="G16" s="323"/>
      <c r="H16" s="323"/>
      <c r="I16" s="423" t="s">
        <v>438</v>
      </c>
      <c r="J16" s="423"/>
      <c r="K16" s="423"/>
      <c r="L16" s="323" t="s">
        <v>439</v>
      </c>
      <c r="M16" s="323"/>
      <c r="N16" s="323" t="s">
        <v>440</v>
      </c>
      <c r="O16" s="323"/>
      <c r="P16" s="326" t="s">
        <v>440</v>
      </c>
      <c r="Q16" s="321"/>
      <c r="R16" s="320" t="s">
        <v>298</v>
      </c>
      <c r="S16" s="450"/>
      <c r="U16" s="451"/>
    </row>
    <row r="17" ht="28.5" customHeight="1" spans="1:21">
      <c r="A17" s="312"/>
      <c r="B17" s="324"/>
      <c r="C17" s="323"/>
      <c r="D17" s="323"/>
      <c r="E17" s="323" t="s">
        <v>50</v>
      </c>
      <c r="F17" s="323" t="s">
        <v>50</v>
      </c>
      <c r="G17" s="323"/>
      <c r="H17" s="323"/>
      <c r="I17" s="423" t="s">
        <v>15</v>
      </c>
      <c r="J17" s="423"/>
      <c r="K17" s="423"/>
      <c r="L17" s="323" t="s">
        <v>15</v>
      </c>
      <c r="M17" s="323"/>
      <c r="N17" s="323" t="s">
        <v>15</v>
      </c>
      <c r="O17" s="323"/>
      <c r="P17" s="326" t="s">
        <v>15</v>
      </c>
      <c r="Q17" s="321"/>
      <c r="R17" s="320" t="s">
        <v>15</v>
      </c>
      <c r="S17" s="450"/>
      <c r="U17" s="451"/>
    </row>
    <row r="18" ht="36" customHeight="1" spans="1:19">
      <c r="A18" s="312"/>
      <c r="B18" s="325"/>
      <c r="C18" s="323"/>
      <c r="D18" s="323"/>
      <c r="E18" s="323" t="s">
        <v>51</v>
      </c>
      <c r="F18" s="323" t="s">
        <v>52</v>
      </c>
      <c r="G18" s="323"/>
      <c r="H18" s="323"/>
      <c r="I18" s="420" t="s">
        <v>441</v>
      </c>
      <c r="J18" s="420"/>
      <c r="K18" s="420"/>
      <c r="L18" s="424">
        <v>0.95</v>
      </c>
      <c r="M18" s="420"/>
      <c r="N18" s="424">
        <v>0.95</v>
      </c>
      <c r="O18" s="420"/>
      <c r="P18" s="421">
        <v>0.95</v>
      </c>
      <c r="Q18" s="419"/>
      <c r="R18" s="418" t="s">
        <v>298</v>
      </c>
      <c r="S18" s="452"/>
    </row>
    <row r="19" ht="36" customHeight="1" spans="1:19">
      <c r="A19" s="312"/>
      <c r="B19" s="319" t="s">
        <v>55</v>
      </c>
      <c r="C19" s="320"/>
      <c r="D19" s="321"/>
      <c r="E19" s="326" t="s">
        <v>298</v>
      </c>
      <c r="F19" s="320"/>
      <c r="G19" s="320"/>
      <c r="H19" s="320"/>
      <c r="I19" s="326" t="s">
        <v>56</v>
      </c>
      <c r="J19" s="320"/>
      <c r="K19" s="321"/>
      <c r="L19" s="326" t="s">
        <v>15</v>
      </c>
      <c r="M19" s="320"/>
      <c r="N19" s="320"/>
      <c r="O19" s="320"/>
      <c r="P19" s="320"/>
      <c r="Q19" s="320"/>
      <c r="R19" s="320"/>
      <c r="S19" s="450"/>
    </row>
    <row r="20" ht="23.25" customHeight="1" spans="1:19">
      <c r="A20" s="312"/>
      <c r="B20" s="327" t="s">
        <v>58</v>
      </c>
      <c r="C20" s="328"/>
      <c r="D20" s="328"/>
      <c r="E20" s="328"/>
      <c r="F20" s="328"/>
      <c r="G20" s="328"/>
      <c r="H20" s="328"/>
      <c r="I20" s="350" t="s">
        <v>442</v>
      </c>
      <c r="J20" s="350"/>
      <c r="K20" s="350"/>
      <c r="L20" s="350"/>
      <c r="M20" s="350"/>
      <c r="N20" s="350"/>
      <c r="O20" s="350"/>
      <c r="P20" s="350"/>
      <c r="Q20" s="350"/>
      <c r="R20" s="350"/>
      <c r="S20" s="453"/>
    </row>
    <row r="21" ht="23.25" customHeight="1" spans="1:19">
      <c r="A21" s="329"/>
      <c r="B21" s="330"/>
      <c r="C21" s="331"/>
      <c r="D21" s="331"/>
      <c r="E21" s="331"/>
      <c r="F21" s="331"/>
      <c r="G21" s="331"/>
      <c r="H21" s="331"/>
      <c r="I21" s="385" t="s">
        <v>443</v>
      </c>
      <c r="J21" s="385"/>
      <c r="K21" s="385"/>
      <c r="L21" s="385"/>
      <c r="M21" s="385"/>
      <c r="N21" s="385"/>
      <c r="O21" s="385"/>
      <c r="P21" s="385"/>
      <c r="Q21" s="385"/>
      <c r="R21" s="385"/>
      <c r="S21" s="454"/>
    </row>
    <row r="22" spans="1:19">
      <c r="A22" s="332" t="s">
        <v>61</v>
      </c>
      <c r="B22" s="333"/>
      <c r="C22" s="333"/>
      <c r="D22" s="333"/>
      <c r="E22" s="334" t="s">
        <v>62</v>
      </c>
      <c r="F22" s="335"/>
      <c r="G22" s="335"/>
      <c r="H22" s="336"/>
      <c r="I22" s="425" t="s">
        <v>63</v>
      </c>
      <c r="J22" s="425"/>
      <c r="K22" s="425"/>
      <c r="L22" s="425"/>
      <c r="M22" s="425"/>
      <c r="N22" s="425"/>
      <c r="O22" s="425"/>
      <c r="P22" s="425"/>
      <c r="Q22" s="425"/>
      <c r="R22" s="425"/>
      <c r="S22" s="455"/>
    </row>
    <row r="23" ht="12.75" customHeight="1" spans="1:19">
      <c r="A23" s="337"/>
      <c r="B23" s="338"/>
      <c r="C23" s="338"/>
      <c r="D23" s="338"/>
      <c r="E23" s="339"/>
      <c r="F23" s="340"/>
      <c r="G23" s="340"/>
      <c r="H23" s="341"/>
      <c r="I23" s="355" t="s">
        <v>64</v>
      </c>
      <c r="J23" s="355"/>
      <c r="K23" s="354" t="s">
        <v>65</v>
      </c>
      <c r="L23" s="354"/>
      <c r="M23" s="354"/>
      <c r="N23" s="354"/>
      <c r="O23" s="354" t="s">
        <v>66</v>
      </c>
      <c r="P23" s="354"/>
      <c r="Q23" s="354"/>
      <c r="R23" s="354" t="s">
        <v>67</v>
      </c>
      <c r="S23" s="456"/>
    </row>
    <row r="24" s="302" customFormat="1" ht="36" customHeight="1" spans="1:21">
      <c r="A24" s="342"/>
      <c r="B24" s="338"/>
      <c r="C24" s="338"/>
      <c r="D24" s="338"/>
      <c r="E24" s="339"/>
      <c r="F24" s="340"/>
      <c r="G24" s="340"/>
      <c r="H24" s="341"/>
      <c r="I24" s="354" t="s">
        <v>68</v>
      </c>
      <c r="J24" s="354" t="s">
        <v>69</v>
      </c>
      <c r="K24" s="354" t="s">
        <v>444</v>
      </c>
      <c r="L24" s="354" t="s">
        <v>71</v>
      </c>
      <c r="M24" s="354" t="s">
        <v>72</v>
      </c>
      <c r="N24" s="354"/>
      <c r="O24" s="354" t="s">
        <v>73</v>
      </c>
      <c r="P24" s="354" t="s">
        <v>74</v>
      </c>
      <c r="Q24" s="426"/>
      <c r="R24" s="354"/>
      <c r="S24" s="456"/>
      <c r="T24" s="304"/>
      <c r="U24" s="340"/>
    </row>
    <row r="25" s="302" customFormat="1" spans="1:21">
      <c r="A25" s="342"/>
      <c r="B25" s="338"/>
      <c r="C25" s="338"/>
      <c r="D25" s="338"/>
      <c r="E25" s="343"/>
      <c r="F25" s="344"/>
      <c r="G25" s="344"/>
      <c r="H25" s="345"/>
      <c r="I25" s="354"/>
      <c r="J25" s="354"/>
      <c r="K25" s="354"/>
      <c r="L25" s="354"/>
      <c r="M25" s="354"/>
      <c r="N25" s="354"/>
      <c r="O25" s="354"/>
      <c r="P25" s="426"/>
      <c r="Q25" s="426"/>
      <c r="R25" s="354"/>
      <c r="S25" s="456"/>
      <c r="T25" s="304"/>
      <c r="U25" s="340"/>
    </row>
    <row r="26" ht="24" customHeight="1" spans="1:21">
      <c r="A26" s="342"/>
      <c r="B26" s="346" t="s">
        <v>75</v>
      </c>
      <c r="C26" s="346"/>
      <c r="D26" s="346"/>
      <c r="E26" s="347"/>
      <c r="F26" s="348"/>
      <c r="G26" s="348"/>
      <c r="H26" s="349"/>
      <c r="I26" s="427"/>
      <c r="J26" s="427"/>
      <c r="K26" s="356"/>
      <c r="L26" s="356"/>
      <c r="M26" s="354"/>
      <c r="N26" s="354"/>
      <c r="O26" s="338"/>
      <c r="P26" s="354"/>
      <c r="Q26" s="354"/>
      <c r="R26" s="338"/>
      <c r="S26" s="457"/>
      <c r="U26" s="458"/>
    </row>
    <row r="27" ht="24" customHeight="1" spans="1:21">
      <c r="A27" s="342"/>
      <c r="B27" s="350" t="s">
        <v>77</v>
      </c>
      <c r="C27" s="350"/>
      <c r="D27" s="350"/>
      <c r="E27" s="347"/>
      <c r="F27" s="348"/>
      <c r="G27" s="348"/>
      <c r="H27" s="349"/>
      <c r="I27" s="427"/>
      <c r="J27" s="427"/>
      <c r="K27" s="356"/>
      <c r="L27" s="356"/>
      <c r="M27" s="354"/>
      <c r="N27" s="354"/>
      <c r="O27" s="338"/>
      <c r="P27" s="354"/>
      <c r="Q27" s="354"/>
      <c r="R27" s="338"/>
      <c r="S27" s="457"/>
      <c r="U27" s="458"/>
    </row>
    <row r="28" ht="24" customHeight="1" spans="1:21">
      <c r="A28" s="342"/>
      <c r="B28" s="350" t="s">
        <v>78</v>
      </c>
      <c r="C28" s="350"/>
      <c r="D28" s="350"/>
      <c r="E28" s="347"/>
      <c r="F28" s="348"/>
      <c r="G28" s="348"/>
      <c r="H28" s="349"/>
      <c r="J28" s="427"/>
      <c r="K28" s="356"/>
      <c r="L28" s="356"/>
      <c r="M28" s="354"/>
      <c r="N28" s="354"/>
      <c r="O28" s="338"/>
      <c r="P28" s="354"/>
      <c r="Q28" s="354"/>
      <c r="R28" s="338"/>
      <c r="S28" s="457"/>
      <c r="U28" s="458"/>
    </row>
    <row r="29" ht="24" customHeight="1" spans="1:21">
      <c r="A29" s="342"/>
      <c r="B29" s="350" t="s">
        <v>79</v>
      </c>
      <c r="C29" s="350"/>
      <c r="D29" s="350"/>
      <c r="E29" s="347"/>
      <c r="F29" s="348"/>
      <c r="G29" s="348"/>
      <c r="H29" s="349"/>
      <c r="I29" s="427"/>
      <c r="J29" s="427"/>
      <c r="K29" s="356"/>
      <c r="L29" s="427"/>
      <c r="M29" s="354"/>
      <c r="N29" s="354"/>
      <c r="O29" s="338"/>
      <c r="P29" s="354"/>
      <c r="Q29" s="354"/>
      <c r="R29" s="338"/>
      <c r="S29" s="457"/>
      <c r="U29" s="458"/>
    </row>
    <row r="30" ht="81" customHeight="1" spans="1:21">
      <c r="A30" s="342"/>
      <c r="B30" s="350" t="s">
        <v>80</v>
      </c>
      <c r="C30" s="350"/>
      <c r="D30" s="350"/>
      <c r="E30" s="347" t="s">
        <v>445</v>
      </c>
      <c r="F30" s="348"/>
      <c r="G30" s="348"/>
      <c r="H30" s="349"/>
      <c r="I30" s="355">
        <v>3000</v>
      </c>
      <c r="J30" s="354" t="s">
        <v>446</v>
      </c>
      <c r="K30" s="354">
        <v>3000</v>
      </c>
      <c r="L30" s="354">
        <v>100</v>
      </c>
      <c r="M30" s="354">
        <v>2017.09</v>
      </c>
      <c r="N30" s="354"/>
      <c r="O30" s="338">
        <v>141.9167</v>
      </c>
      <c r="P30" s="428">
        <v>0.047</v>
      </c>
      <c r="Q30" s="354"/>
      <c r="R30" s="338">
        <v>2858.08</v>
      </c>
      <c r="S30" s="457"/>
      <c r="U30" s="458"/>
    </row>
    <row r="31" ht="24" customHeight="1" spans="1:19">
      <c r="A31" s="342"/>
      <c r="B31" s="350" t="s">
        <v>82</v>
      </c>
      <c r="C31" s="350"/>
      <c r="D31" s="350"/>
      <c r="E31" s="347"/>
      <c r="F31" s="348"/>
      <c r="G31" s="348"/>
      <c r="H31" s="349"/>
      <c r="I31" s="427"/>
      <c r="J31" s="427"/>
      <c r="K31" s="356"/>
      <c r="L31" s="356"/>
      <c r="M31" s="354"/>
      <c r="N31" s="354"/>
      <c r="O31" s="338"/>
      <c r="P31" s="354"/>
      <c r="Q31" s="354"/>
      <c r="R31" s="338"/>
      <c r="S31" s="457"/>
    </row>
    <row r="32" ht="24" customHeight="1" spans="1:19">
      <c r="A32" s="342"/>
      <c r="B32" s="351" t="s">
        <v>302</v>
      </c>
      <c r="C32" s="352"/>
      <c r="D32" s="353"/>
      <c r="E32" s="347"/>
      <c r="F32" s="348"/>
      <c r="G32" s="348"/>
      <c r="H32" s="349"/>
      <c r="I32" s="427"/>
      <c r="J32" s="427"/>
      <c r="K32" s="356"/>
      <c r="L32" s="356"/>
      <c r="M32" s="398"/>
      <c r="N32" s="399"/>
      <c r="O32" s="338"/>
      <c r="P32" s="398"/>
      <c r="Q32" s="399"/>
      <c r="R32" s="347"/>
      <c r="S32" s="459"/>
    </row>
    <row r="33" ht="24" customHeight="1" spans="1:19">
      <c r="A33" s="342"/>
      <c r="B33" s="354" t="s">
        <v>83</v>
      </c>
      <c r="C33" s="355"/>
      <c r="D33" s="356" t="s">
        <v>84</v>
      </c>
      <c r="E33" s="357" t="s">
        <v>85</v>
      </c>
      <c r="F33" s="357"/>
      <c r="G33" s="357"/>
      <c r="H33" s="357"/>
      <c r="I33" s="357"/>
      <c r="J33" s="357"/>
      <c r="K33" s="357"/>
      <c r="L33" s="357"/>
      <c r="M33" s="357"/>
      <c r="N33" s="357"/>
      <c r="O33" s="357"/>
      <c r="P33" s="357" t="s">
        <v>86</v>
      </c>
      <c r="Q33" s="357"/>
      <c r="R33" s="357"/>
      <c r="S33" s="460"/>
    </row>
    <row r="34" ht="24" customHeight="1" spans="1:19">
      <c r="A34" s="342"/>
      <c r="B34" s="355"/>
      <c r="C34" s="355"/>
      <c r="D34" s="354">
        <v>1</v>
      </c>
      <c r="E34" s="357" t="s">
        <v>447</v>
      </c>
      <c r="F34" s="357"/>
      <c r="G34" s="357"/>
      <c r="H34" s="357"/>
      <c r="I34" s="357"/>
      <c r="J34" s="357"/>
      <c r="K34" s="357"/>
      <c r="L34" s="357"/>
      <c r="M34" s="357"/>
      <c r="N34" s="357"/>
      <c r="O34" s="357"/>
      <c r="P34" s="357">
        <v>141.917</v>
      </c>
      <c r="Q34" s="357"/>
      <c r="R34" s="357"/>
      <c r="S34" s="460"/>
    </row>
    <row r="35" ht="24" customHeight="1" spans="1:19">
      <c r="A35" s="342"/>
      <c r="B35" s="355"/>
      <c r="C35" s="355"/>
      <c r="D35" s="354">
        <v>2</v>
      </c>
      <c r="E35" s="357"/>
      <c r="F35" s="357"/>
      <c r="G35" s="357"/>
      <c r="H35" s="357"/>
      <c r="I35" s="357"/>
      <c r="J35" s="357"/>
      <c r="K35" s="357"/>
      <c r="L35" s="357"/>
      <c r="M35" s="357"/>
      <c r="N35" s="357"/>
      <c r="O35" s="357"/>
      <c r="P35" s="357"/>
      <c r="Q35" s="357"/>
      <c r="R35" s="357"/>
      <c r="S35" s="460"/>
    </row>
    <row r="36" ht="24" customHeight="1" spans="1:19">
      <c r="A36" s="358"/>
      <c r="B36" s="359"/>
      <c r="C36" s="359"/>
      <c r="D36" s="354">
        <v>3</v>
      </c>
      <c r="E36" s="357"/>
      <c r="F36" s="357"/>
      <c r="G36" s="357"/>
      <c r="H36" s="357"/>
      <c r="I36" s="357"/>
      <c r="J36" s="357"/>
      <c r="K36" s="357"/>
      <c r="L36" s="357"/>
      <c r="M36" s="357"/>
      <c r="N36" s="357"/>
      <c r="O36" s="357"/>
      <c r="P36" s="357"/>
      <c r="Q36" s="357"/>
      <c r="R36" s="357"/>
      <c r="S36" s="460"/>
    </row>
    <row r="37" ht="24" customHeight="1" spans="1:19">
      <c r="A37" s="358"/>
      <c r="B37" s="359"/>
      <c r="C37" s="359"/>
      <c r="D37" s="354">
        <v>4</v>
      </c>
      <c r="E37" s="357"/>
      <c r="F37" s="357"/>
      <c r="G37" s="357"/>
      <c r="H37" s="357"/>
      <c r="I37" s="357"/>
      <c r="J37" s="357"/>
      <c r="K37" s="357"/>
      <c r="L37" s="357"/>
      <c r="M37" s="357"/>
      <c r="N37" s="357"/>
      <c r="O37" s="357"/>
      <c r="P37" s="357"/>
      <c r="Q37" s="357"/>
      <c r="R37" s="357"/>
      <c r="S37" s="460"/>
    </row>
    <row r="38" ht="24" customHeight="1" spans="1:19">
      <c r="A38" s="358"/>
      <c r="B38" s="359"/>
      <c r="C38" s="359"/>
      <c r="D38" s="354" t="s">
        <v>261</v>
      </c>
      <c r="E38" s="357"/>
      <c r="F38" s="357"/>
      <c r="G38" s="357"/>
      <c r="H38" s="357"/>
      <c r="I38" s="357"/>
      <c r="J38" s="357"/>
      <c r="K38" s="357"/>
      <c r="L38" s="357"/>
      <c r="M38" s="357"/>
      <c r="N38" s="357"/>
      <c r="O38" s="357"/>
      <c r="P38" s="357"/>
      <c r="Q38" s="357"/>
      <c r="R38" s="357"/>
      <c r="S38" s="460"/>
    </row>
    <row r="39" ht="24" customHeight="1" spans="1:19">
      <c r="A39" s="360"/>
      <c r="B39" s="361"/>
      <c r="C39" s="361"/>
      <c r="D39" s="303" t="s">
        <v>91</v>
      </c>
      <c r="E39" s="357"/>
      <c r="F39" s="357"/>
      <c r="G39" s="357"/>
      <c r="H39" s="357"/>
      <c r="I39" s="357"/>
      <c r="J39" s="357"/>
      <c r="K39" s="357"/>
      <c r="L39" s="357"/>
      <c r="M39" s="357"/>
      <c r="N39" s="357"/>
      <c r="O39" s="357"/>
      <c r="P39" s="357"/>
      <c r="Q39" s="357"/>
      <c r="R39" s="357"/>
      <c r="S39" s="460"/>
    </row>
    <row r="40" ht="41.45" customHeight="1" spans="1:20">
      <c r="A40" s="362" t="s">
        <v>92</v>
      </c>
      <c r="B40" s="309" t="s">
        <v>306</v>
      </c>
      <c r="C40" s="310"/>
      <c r="D40" s="310"/>
      <c r="E40" s="310" t="s">
        <v>307</v>
      </c>
      <c r="F40" s="310"/>
      <c r="G40" s="310"/>
      <c r="H40" s="310" t="s">
        <v>308</v>
      </c>
      <c r="I40" s="310"/>
      <c r="J40" s="310" t="s">
        <v>309</v>
      </c>
      <c r="K40" s="310"/>
      <c r="L40" s="310"/>
      <c r="M40" s="310"/>
      <c r="N40" s="310"/>
      <c r="O40" s="310"/>
      <c r="P40" s="429" t="s">
        <v>97</v>
      </c>
      <c r="Q40" s="443"/>
      <c r="R40" s="310" t="s">
        <v>98</v>
      </c>
      <c r="S40" s="461"/>
      <c r="T40" s="399"/>
    </row>
    <row r="41" ht="42.6" customHeight="1" spans="1:20">
      <c r="A41" s="363"/>
      <c r="B41" s="364" t="s">
        <v>310</v>
      </c>
      <c r="C41" s="365"/>
      <c r="D41" s="366"/>
      <c r="E41" s="354" t="s">
        <v>100</v>
      </c>
      <c r="F41" s="354"/>
      <c r="G41" s="354"/>
      <c r="H41" s="367" t="s">
        <v>448</v>
      </c>
      <c r="I41" s="366"/>
      <c r="J41" s="430" t="s">
        <v>102</v>
      </c>
      <c r="K41" s="430"/>
      <c r="L41" s="430"/>
      <c r="M41" s="430"/>
      <c r="N41" s="430"/>
      <c r="O41" s="430"/>
      <c r="P41" s="431">
        <v>0.1</v>
      </c>
      <c r="Q41" s="462"/>
      <c r="R41" s="323">
        <v>10</v>
      </c>
      <c r="S41" s="463"/>
      <c r="T41" s="399"/>
    </row>
    <row r="42" ht="46.5" customHeight="1" spans="1:20">
      <c r="A42" s="363"/>
      <c r="B42" s="368"/>
      <c r="C42" s="369"/>
      <c r="D42" s="370"/>
      <c r="E42" s="371" t="s">
        <v>216</v>
      </c>
      <c r="F42" s="372"/>
      <c r="G42" s="373"/>
      <c r="H42" s="351" t="s">
        <v>104</v>
      </c>
      <c r="I42" s="353"/>
      <c r="J42" s="432" t="s">
        <v>217</v>
      </c>
      <c r="K42" s="433"/>
      <c r="L42" s="433"/>
      <c r="M42" s="433"/>
      <c r="N42" s="433"/>
      <c r="O42" s="434"/>
      <c r="P42" s="431">
        <v>0.1</v>
      </c>
      <c r="Q42" s="462"/>
      <c r="R42" s="326">
        <v>10</v>
      </c>
      <c r="S42" s="450"/>
      <c r="T42" s="399"/>
    </row>
    <row r="43" ht="58.9" customHeight="1" spans="1:20">
      <c r="A43" s="363"/>
      <c r="B43" s="368"/>
      <c r="C43" s="369"/>
      <c r="D43" s="370"/>
      <c r="E43" s="371" t="s">
        <v>106</v>
      </c>
      <c r="F43" s="372"/>
      <c r="G43" s="373"/>
      <c r="H43" s="367" t="s">
        <v>218</v>
      </c>
      <c r="I43" s="366"/>
      <c r="J43" s="430" t="s">
        <v>449</v>
      </c>
      <c r="K43" s="430"/>
      <c r="L43" s="430"/>
      <c r="M43" s="430"/>
      <c r="N43" s="430"/>
      <c r="O43" s="430"/>
      <c r="P43" s="431">
        <v>0.1</v>
      </c>
      <c r="Q43" s="462"/>
      <c r="R43" s="323">
        <v>10</v>
      </c>
      <c r="S43" s="463"/>
      <c r="T43" s="399"/>
    </row>
    <row r="44" ht="48.6" customHeight="1" spans="1:20">
      <c r="A44" s="363"/>
      <c r="B44" s="374" t="s">
        <v>311</v>
      </c>
      <c r="C44" s="375"/>
      <c r="D44" s="376"/>
      <c r="E44" s="377" t="s">
        <v>110</v>
      </c>
      <c r="F44" s="377"/>
      <c r="G44" s="377"/>
      <c r="H44" s="378" t="s">
        <v>221</v>
      </c>
      <c r="I44" s="378"/>
      <c r="J44" s="435" t="s">
        <v>222</v>
      </c>
      <c r="K44" s="435"/>
      <c r="L44" s="435"/>
      <c r="M44" s="435"/>
      <c r="N44" s="435"/>
      <c r="O44" s="435"/>
      <c r="P44" s="436">
        <v>0.15</v>
      </c>
      <c r="Q44" s="436"/>
      <c r="R44" s="310">
        <v>14</v>
      </c>
      <c r="S44" s="464"/>
      <c r="T44" s="340"/>
    </row>
    <row r="45" s="301" customFormat="1" ht="90.75" customHeight="1" spans="1:20">
      <c r="A45" s="363"/>
      <c r="B45" s="379"/>
      <c r="C45" s="369"/>
      <c r="D45" s="370"/>
      <c r="E45" s="371" t="s">
        <v>117</v>
      </c>
      <c r="F45" s="372"/>
      <c r="G45" s="373"/>
      <c r="H45" s="380" t="s">
        <v>223</v>
      </c>
      <c r="I45" s="380"/>
      <c r="J45" s="437" t="s">
        <v>224</v>
      </c>
      <c r="K45" s="437"/>
      <c r="L45" s="437"/>
      <c r="M45" s="437"/>
      <c r="N45" s="437"/>
      <c r="O45" s="437"/>
      <c r="P45" s="438">
        <v>0.15</v>
      </c>
      <c r="Q45" s="438"/>
      <c r="R45" s="323">
        <v>15</v>
      </c>
      <c r="S45" s="463"/>
      <c r="T45" s="304"/>
    </row>
    <row r="46" ht="37.5" customHeight="1" spans="1:20">
      <c r="A46" s="363"/>
      <c r="B46" s="374" t="s">
        <v>315</v>
      </c>
      <c r="C46" s="375"/>
      <c r="D46" s="376"/>
      <c r="E46" s="377" t="s">
        <v>123</v>
      </c>
      <c r="F46" s="377"/>
      <c r="G46" s="377"/>
      <c r="H46" s="378" t="s">
        <v>450</v>
      </c>
      <c r="I46" s="378"/>
      <c r="J46" s="439" t="s">
        <v>451</v>
      </c>
      <c r="K46" s="439"/>
      <c r="L46" s="439"/>
      <c r="M46" s="439"/>
      <c r="N46" s="439"/>
      <c r="O46" s="439"/>
      <c r="P46" s="436">
        <v>0.08</v>
      </c>
      <c r="Q46" s="436"/>
      <c r="R46" s="310">
        <v>8</v>
      </c>
      <c r="S46" s="464"/>
      <c r="T46" s="340"/>
    </row>
    <row r="47" ht="41.25" customHeight="1" spans="1:19">
      <c r="A47" s="363"/>
      <c r="B47" s="379"/>
      <c r="C47" s="369"/>
      <c r="D47" s="370"/>
      <c r="E47" s="354" t="s">
        <v>128</v>
      </c>
      <c r="F47" s="354"/>
      <c r="G47" s="354"/>
      <c r="H47" s="350" t="s">
        <v>452</v>
      </c>
      <c r="I47" s="350"/>
      <c r="J47" s="430" t="s">
        <v>453</v>
      </c>
      <c r="K47" s="430"/>
      <c r="L47" s="430"/>
      <c r="M47" s="430"/>
      <c r="N47" s="430"/>
      <c r="O47" s="430"/>
      <c r="P47" s="438">
        <v>0.08</v>
      </c>
      <c r="Q47" s="438"/>
      <c r="R47" s="323">
        <v>6</v>
      </c>
      <c r="S47" s="463"/>
    </row>
    <row r="48" ht="28.5" customHeight="1" spans="1:19">
      <c r="A48" s="363"/>
      <c r="B48" s="379"/>
      <c r="C48" s="369"/>
      <c r="D48" s="370"/>
      <c r="E48" s="354" t="s">
        <v>138</v>
      </c>
      <c r="F48" s="354"/>
      <c r="G48" s="354"/>
      <c r="H48" s="354" t="s">
        <v>15</v>
      </c>
      <c r="I48" s="354"/>
      <c r="J48" s="440" t="s">
        <v>15</v>
      </c>
      <c r="K48" s="440"/>
      <c r="L48" s="440"/>
      <c r="M48" s="440"/>
      <c r="N48" s="440"/>
      <c r="O48" s="440"/>
      <c r="P48" s="438" t="s">
        <v>15</v>
      </c>
      <c r="Q48" s="438"/>
      <c r="R48" s="323" t="s">
        <v>15</v>
      </c>
      <c r="S48" s="463"/>
    </row>
    <row r="49" ht="33" customHeight="1" spans="1:19">
      <c r="A49" s="363"/>
      <c r="B49" s="379"/>
      <c r="C49" s="369"/>
      <c r="D49" s="370"/>
      <c r="E49" s="354" t="s">
        <v>141</v>
      </c>
      <c r="F49" s="354"/>
      <c r="G49" s="354"/>
      <c r="H49" s="350" t="s">
        <v>454</v>
      </c>
      <c r="I49" s="350"/>
      <c r="J49" s="430" t="s">
        <v>455</v>
      </c>
      <c r="K49" s="430"/>
      <c r="L49" s="430"/>
      <c r="M49" s="430"/>
      <c r="N49" s="430"/>
      <c r="O49" s="430"/>
      <c r="P49" s="438">
        <v>0.08</v>
      </c>
      <c r="Q49" s="438"/>
      <c r="R49" s="323">
        <v>8</v>
      </c>
      <c r="S49" s="463"/>
    </row>
    <row r="50" s="301" customFormat="1" ht="42.75" customHeight="1" spans="1:20">
      <c r="A50" s="363"/>
      <c r="B50" s="379"/>
      <c r="C50" s="369"/>
      <c r="D50" s="370"/>
      <c r="E50" s="354" t="s">
        <v>143</v>
      </c>
      <c r="F50" s="354"/>
      <c r="G50" s="354"/>
      <c r="H50" s="350" t="s">
        <v>456</v>
      </c>
      <c r="I50" s="350"/>
      <c r="J50" s="430" t="s">
        <v>457</v>
      </c>
      <c r="K50" s="430"/>
      <c r="L50" s="430"/>
      <c r="M50" s="430"/>
      <c r="N50" s="430"/>
      <c r="O50" s="430"/>
      <c r="P50" s="438">
        <v>0.08</v>
      </c>
      <c r="Q50" s="438"/>
      <c r="R50" s="323">
        <v>8</v>
      </c>
      <c r="S50" s="465"/>
      <c r="T50" s="304"/>
    </row>
    <row r="51" s="301" customFormat="1" ht="20.25" customHeight="1" spans="1:20">
      <c r="A51" s="363"/>
      <c r="B51" s="379"/>
      <c r="C51" s="369"/>
      <c r="D51" s="370"/>
      <c r="E51" s="354" t="s">
        <v>146</v>
      </c>
      <c r="F51" s="354"/>
      <c r="G51" s="354"/>
      <c r="H51" s="354" t="s">
        <v>15</v>
      </c>
      <c r="I51" s="354"/>
      <c r="J51" s="440" t="s">
        <v>15</v>
      </c>
      <c r="K51" s="440"/>
      <c r="L51" s="440"/>
      <c r="M51" s="440"/>
      <c r="N51" s="440"/>
      <c r="O51" s="440"/>
      <c r="P51" s="438" t="s">
        <v>15</v>
      </c>
      <c r="Q51" s="438"/>
      <c r="R51" s="323" t="s">
        <v>15</v>
      </c>
      <c r="S51" s="466"/>
      <c r="T51" s="304"/>
    </row>
    <row r="52" s="301" customFormat="1" ht="52.5" customHeight="1" spans="1:20">
      <c r="A52" s="363"/>
      <c r="B52" s="381"/>
      <c r="C52" s="382"/>
      <c r="D52" s="383"/>
      <c r="E52" s="384" t="s">
        <v>149</v>
      </c>
      <c r="F52" s="384"/>
      <c r="G52" s="384"/>
      <c r="H52" s="385" t="s">
        <v>458</v>
      </c>
      <c r="I52" s="385"/>
      <c r="J52" s="441" t="s">
        <v>459</v>
      </c>
      <c r="K52" s="441"/>
      <c r="L52" s="441"/>
      <c r="M52" s="441"/>
      <c r="N52" s="441"/>
      <c r="O52" s="441"/>
      <c r="P52" s="442">
        <v>0.08</v>
      </c>
      <c r="Q52" s="442"/>
      <c r="R52" s="467">
        <v>8</v>
      </c>
      <c r="S52" s="468"/>
      <c r="T52" s="304"/>
    </row>
    <row r="53" ht="30" customHeight="1" spans="1:19">
      <c r="A53" s="363"/>
      <c r="B53" s="386" t="s">
        <v>152</v>
      </c>
      <c r="C53" s="387"/>
      <c r="D53" s="387"/>
      <c r="E53" s="387"/>
      <c r="F53" s="387"/>
      <c r="G53" s="387"/>
      <c r="H53" s="387"/>
      <c r="I53" s="387"/>
      <c r="J53" s="387"/>
      <c r="K53" s="387"/>
      <c r="L53" s="387"/>
      <c r="M53" s="387"/>
      <c r="N53" s="387"/>
      <c r="O53" s="443"/>
      <c r="P53" s="444">
        <v>1</v>
      </c>
      <c r="Q53" s="444"/>
      <c r="R53" s="469">
        <v>97</v>
      </c>
      <c r="S53" s="470"/>
    </row>
    <row r="54" ht="36" customHeight="1" spans="1:19">
      <c r="A54" s="388"/>
      <c r="B54" s="389" t="s">
        <v>153</v>
      </c>
      <c r="C54" s="390" t="s">
        <v>460</v>
      </c>
      <c r="D54" s="391"/>
      <c r="E54" s="391"/>
      <c r="F54" s="391"/>
      <c r="G54" s="391"/>
      <c r="H54" s="391"/>
      <c r="I54" s="391"/>
      <c r="J54" s="391"/>
      <c r="K54" s="391"/>
      <c r="L54" s="391"/>
      <c r="M54" s="391"/>
      <c r="N54" s="391"/>
      <c r="O54" s="391"/>
      <c r="P54" s="391"/>
      <c r="Q54" s="391"/>
      <c r="R54" s="391"/>
      <c r="S54" s="471"/>
    </row>
    <row r="55" ht="22.5" customHeight="1" spans="1:19">
      <c r="A55" s="362" t="s">
        <v>155</v>
      </c>
      <c r="B55" s="392" t="s">
        <v>156</v>
      </c>
      <c r="C55" s="393" t="s">
        <v>157</v>
      </c>
      <c r="D55" s="394"/>
      <c r="E55" s="395" t="s">
        <v>158</v>
      </c>
      <c r="F55" s="393"/>
      <c r="G55" s="393"/>
      <c r="H55" s="393"/>
      <c r="I55" s="393"/>
      <c r="J55" s="393"/>
      <c r="K55" s="393"/>
      <c r="L55" s="393"/>
      <c r="M55" s="393"/>
      <c r="N55" s="394"/>
      <c r="O55" s="445" t="s">
        <v>159</v>
      </c>
      <c r="P55" s="395" t="s">
        <v>160</v>
      </c>
      <c r="Q55" s="394"/>
      <c r="R55" s="395" t="s">
        <v>161</v>
      </c>
      <c r="S55" s="472"/>
    </row>
    <row r="56" ht="21" customHeight="1" spans="1:19">
      <c r="A56" s="396"/>
      <c r="B56" s="397"/>
      <c r="C56" s="398"/>
      <c r="D56" s="399"/>
      <c r="E56" s="400"/>
      <c r="F56" s="401"/>
      <c r="G56" s="401"/>
      <c r="H56" s="401"/>
      <c r="I56" s="401"/>
      <c r="J56" s="401"/>
      <c r="K56" s="401"/>
      <c r="L56" s="401"/>
      <c r="M56" s="401"/>
      <c r="N56" s="446"/>
      <c r="O56" s="357"/>
      <c r="P56" s="398"/>
      <c r="Q56" s="399"/>
      <c r="R56" s="398"/>
      <c r="S56" s="473"/>
    </row>
    <row r="57" ht="21" customHeight="1" spans="1:19">
      <c r="A57" s="396"/>
      <c r="B57" s="397"/>
      <c r="C57" s="398"/>
      <c r="D57" s="399"/>
      <c r="E57" s="400"/>
      <c r="F57" s="401"/>
      <c r="G57" s="401"/>
      <c r="H57" s="401"/>
      <c r="I57" s="401"/>
      <c r="J57" s="401"/>
      <c r="K57" s="401"/>
      <c r="L57" s="401"/>
      <c r="M57" s="401"/>
      <c r="N57" s="446"/>
      <c r="O57" s="357"/>
      <c r="P57" s="398"/>
      <c r="Q57" s="399"/>
      <c r="R57" s="398"/>
      <c r="S57" s="473"/>
    </row>
    <row r="58" ht="21" customHeight="1" spans="1:19">
      <c r="A58" s="396"/>
      <c r="B58" s="397"/>
      <c r="C58" s="398"/>
      <c r="D58" s="399"/>
      <c r="E58" s="400"/>
      <c r="F58" s="401"/>
      <c r="G58" s="401"/>
      <c r="H58" s="401"/>
      <c r="I58" s="401"/>
      <c r="J58" s="401"/>
      <c r="K58" s="401"/>
      <c r="L58" s="401"/>
      <c r="M58" s="401"/>
      <c r="N58" s="446"/>
      <c r="O58" s="357"/>
      <c r="P58" s="398"/>
      <c r="Q58" s="399"/>
      <c r="R58" s="398"/>
      <c r="S58" s="473"/>
    </row>
    <row r="59" ht="21" customHeight="1" spans="1:19">
      <c r="A59" s="396"/>
      <c r="B59" s="397"/>
      <c r="C59" s="398"/>
      <c r="D59" s="399"/>
      <c r="E59" s="400"/>
      <c r="F59" s="401"/>
      <c r="G59" s="401"/>
      <c r="H59" s="401"/>
      <c r="I59" s="401"/>
      <c r="J59" s="401"/>
      <c r="K59" s="401"/>
      <c r="L59" s="401"/>
      <c r="M59" s="401"/>
      <c r="N59" s="446"/>
      <c r="O59" s="357"/>
      <c r="P59" s="398"/>
      <c r="Q59" s="399"/>
      <c r="R59" s="398"/>
      <c r="S59" s="473"/>
    </row>
    <row r="60" ht="21" customHeight="1" spans="1:19">
      <c r="A60" s="396"/>
      <c r="B60" s="397"/>
      <c r="C60" s="398"/>
      <c r="D60" s="399"/>
      <c r="E60" s="400"/>
      <c r="F60" s="401"/>
      <c r="G60" s="401"/>
      <c r="H60" s="401"/>
      <c r="I60" s="401"/>
      <c r="J60" s="401"/>
      <c r="K60" s="401"/>
      <c r="L60" s="401"/>
      <c r="M60" s="401"/>
      <c r="N60" s="446"/>
      <c r="O60" s="357"/>
      <c r="P60" s="398"/>
      <c r="Q60" s="399"/>
      <c r="R60" s="398"/>
      <c r="S60" s="473"/>
    </row>
    <row r="61" ht="105.75" customHeight="1" spans="1:19">
      <c r="A61" s="396"/>
      <c r="B61" s="397"/>
      <c r="C61" s="402" t="s">
        <v>162</v>
      </c>
      <c r="D61" s="403"/>
      <c r="E61" s="403"/>
      <c r="F61" s="403"/>
      <c r="G61" s="403"/>
      <c r="H61" s="403"/>
      <c r="I61" s="403"/>
      <c r="J61" s="403"/>
      <c r="K61" s="403"/>
      <c r="L61" s="403"/>
      <c r="M61" s="403"/>
      <c r="N61" s="403"/>
      <c r="O61" s="403"/>
      <c r="P61" s="403"/>
      <c r="Q61" s="403"/>
      <c r="R61" s="403"/>
      <c r="S61" s="474"/>
    </row>
    <row r="62" ht="27" customHeight="1" spans="1:19">
      <c r="A62" s="396"/>
      <c r="B62" s="404"/>
      <c r="C62" s="405" t="s">
        <v>163</v>
      </c>
      <c r="D62" s="406"/>
      <c r="E62" s="406"/>
      <c r="F62" s="406"/>
      <c r="G62" s="406"/>
      <c r="H62" s="406"/>
      <c r="I62" s="406"/>
      <c r="J62" s="406"/>
      <c r="K62" s="406"/>
      <c r="L62" s="406"/>
      <c r="M62" s="406"/>
      <c r="N62" s="406"/>
      <c r="O62" s="406"/>
      <c r="P62" s="406"/>
      <c r="Q62" s="406"/>
      <c r="R62" s="406"/>
      <c r="S62" s="475"/>
    </row>
    <row r="63" ht="48.75" customHeight="1" spans="1:19">
      <c r="A63" s="396"/>
      <c r="B63" s="392" t="s">
        <v>164</v>
      </c>
      <c r="C63" s="407" t="s">
        <v>165</v>
      </c>
      <c r="D63" s="408"/>
      <c r="E63" s="408"/>
      <c r="F63" s="408"/>
      <c r="G63" s="408"/>
      <c r="H63" s="408"/>
      <c r="I63" s="408"/>
      <c r="J63" s="408"/>
      <c r="K63" s="408"/>
      <c r="L63" s="408"/>
      <c r="M63" s="408"/>
      <c r="N63" s="408"/>
      <c r="O63" s="408"/>
      <c r="P63" s="408"/>
      <c r="Q63" s="408"/>
      <c r="R63" s="408"/>
      <c r="S63" s="476"/>
    </row>
    <row r="64" ht="55.5" customHeight="1" spans="1:19">
      <c r="A64" s="396"/>
      <c r="B64" s="409"/>
      <c r="C64" s="410" t="s">
        <v>166</v>
      </c>
      <c r="D64" s="411"/>
      <c r="E64" s="411"/>
      <c r="F64" s="411"/>
      <c r="G64" s="411"/>
      <c r="H64" s="411"/>
      <c r="I64" s="411"/>
      <c r="J64" s="411"/>
      <c r="K64" s="411"/>
      <c r="L64" s="411"/>
      <c r="M64" s="411"/>
      <c r="N64" s="411"/>
      <c r="O64" s="411"/>
      <c r="P64" s="411"/>
      <c r="Q64" s="411"/>
      <c r="R64" s="411"/>
      <c r="S64" s="477"/>
    </row>
    <row r="65" ht="104.25" customHeight="1" spans="1:19">
      <c r="A65" s="396"/>
      <c r="B65" s="409"/>
      <c r="C65" s="402" t="s">
        <v>167</v>
      </c>
      <c r="D65" s="403"/>
      <c r="E65" s="403"/>
      <c r="F65" s="403"/>
      <c r="G65" s="403"/>
      <c r="H65" s="403"/>
      <c r="I65" s="403"/>
      <c r="J65" s="403"/>
      <c r="K65" s="403"/>
      <c r="L65" s="403"/>
      <c r="M65" s="403"/>
      <c r="N65" s="403"/>
      <c r="O65" s="403"/>
      <c r="P65" s="403"/>
      <c r="Q65" s="403"/>
      <c r="R65" s="403"/>
      <c r="S65" s="474"/>
    </row>
    <row r="66" ht="28.5" customHeight="1" spans="1:19">
      <c r="A66" s="396"/>
      <c r="B66" s="478"/>
      <c r="C66" s="405" t="s">
        <v>168</v>
      </c>
      <c r="D66" s="406"/>
      <c r="E66" s="406"/>
      <c r="F66" s="406"/>
      <c r="G66" s="406"/>
      <c r="H66" s="406"/>
      <c r="I66" s="406"/>
      <c r="J66" s="406"/>
      <c r="K66" s="406"/>
      <c r="L66" s="406"/>
      <c r="M66" s="406"/>
      <c r="N66" s="406"/>
      <c r="O66" s="406"/>
      <c r="P66" s="406"/>
      <c r="Q66" s="406"/>
      <c r="R66" s="406"/>
      <c r="S66" s="475"/>
    </row>
    <row r="67" customHeight="1" spans="1:19">
      <c r="A67" s="396"/>
      <c r="B67" s="409" t="s">
        <v>169</v>
      </c>
      <c r="C67" s="479"/>
      <c r="D67" s="480"/>
      <c r="E67" s="480"/>
      <c r="F67" s="480"/>
      <c r="G67" s="480"/>
      <c r="H67" s="480"/>
      <c r="I67" s="480"/>
      <c r="J67" s="480"/>
      <c r="K67" s="480"/>
      <c r="L67" s="480"/>
      <c r="M67" s="480"/>
      <c r="N67" s="480"/>
      <c r="O67" s="480"/>
      <c r="P67" s="480"/>
      <c r="Q67" s="480"/>
      <c r="R67" s="480"/>
      <c r="S67" s="490"/>
    </row>
    <row r="68" ht="14.25" customHeight="1" spans="1:19">
      <c r="A68" s="396"/>
      <c r="B68" s="409"/>
      <c r="C68" s="480"/>
      <c r="D68" s="480"/>
      <c r="E68" s="480"/>
      <c r="F68" s="481"/>
      <c r="G68" s="480"/>
      <c r="H68" s="480"/>
      <c r="I68" s="480"/>
      <c r="J68" s="480"/>
      <c r="K68" s="480"/>
      <c r="L68" s="480"/>
      <c r="M68" s="480"/>
      <c r="N68" s="480"/>
      <c r="O68" s="480"/>
      <c r="P68" s="480"/>
      <c r="Q68" s="480"/>
      <c r="R68" s="480"/>
      <c r="S68" s="490"/>
    </row>
    <row r="69" ht="30.75" customHeight="1" spans="1:19">
      <c r="A69" s="396"/>
      <c r="B69" s="409"/>
      <c r="C69" s="482"/>
      <c r="D69" s="483"/>
      <c r="E69" s="483"/>
      <c r="F69" s="483"/>
      <c r="G69" s="483"/>
      <c r="H69" s="483"/>
      <c r="I69" s="483"/>
      <c r="J69" s="483"/>
      <c r="K69" s="483"/>
      <c r="L69" s="483"/>
      <c r="M69" s="483"/>
      <c r="N69" s="483"/>
      <c r="O69" s="483"/>
      <c r="P69" s="483"/>
      <c r="Q69" s="483"/>
      <c r="R69" s="483"/>
      <c r="S69" s="491"/>
    </row>
    <row r="70" ht="53.25" customHeight="1" spans="1:19">
      <c r="A70" s="484"/>
      <c r="B70" s="478"/>
      <c r="C70" s="485" t="s">
        <v>170</v>
      </c>
      <c r="D70" s="486"/>
      <c r="E70" s="486"/>
      <c r="F70" s="486"/>
      <c r="G70" s="486"/>
      <c r="H70" s="486"/>
      <c r="I70" s="486"/>
      <c r="J70" s="486"/>
      <c r="K70" s="486"/>
      <c r="L70" s="486"/>
      <c r="M70" s="486"/>
      <c r="N70" s="486"/>
      <c r="O70" s="486"/>
      <c r="P70" s="486"/>
      <c r="Q70" s="486"/>
      <c r="R70" s="486"/>
      <c r="S70" s="492"/>
    </row>
    <row r="71" ht="19.5" customHeight="1" spans="1:19">
      <c r="A71" s="487"/>
      <c r="B71" s="488" t="s">
        <v>171</v>
      </c>
      <c r="C71" s="488"/>
      <c r="D71" s="488"/>
      <c r="E71" s="488"/>
      <c r="F71" s="488"/>
      <c r="G71" s="488"/>
      <c r="H71" s="488" t="s">
        <v>172</v>
      </c>
      <c r="I71" s="488"/>
      <c r="J71" s="488"/>
      <c r="K71" s="488"/>
      <c r="L71" s="488"/>
      <c r="N71" s="489"/>
      <c r="O71" s="489" t="s">
        <v>173</v>
      </c>
      <c r="Q71" s="489"/>
      <c r="R71" s="489"/>
      <c r="S71" s="489"/>
    </row>
  </sheetData>
  <mergeCells count="273">
    <mergeCell ref="A1:B1"/>
    <mergeCell ref="A2:S2"/>
    <mergeCell ref="B3:D3"/>
    <mergeCell ref="E3:S3"/>
    <mergeCell ref="K4:M4"/>
    <mergeCell ref="P4:S4"/>
    <mergeCell ref="K5:M5"/>
    <mergeCell ref="P5:S5"/>
    <mergeCell ref="B6:H6"/>
    <mergeCell ref="I6:S6"/>
    <mergeCell ref="C7:H7"/>
    <mergeCell ref="I7:K7"/>
    <mergeCell ref="L7:O7"/>
    <mergeCell ref="P7:S7"/>
    <mergeCell ref="C8:D8"/>
    <mergeCell ref="E8:H8"/>
    <mergeCell ref="I8:K8"/>
    <mergeCell ref="L8:M8"/>
    <mergeCell ref="N8:O8"/>
    <mergeCell ref="P8:Q8"/>
    <mergeCell ref="R8:S8"/>
    <mergeCell ref="E9:H9"/>
    <mergeCell ref="I9:K9"/>
    <mergeCell ref="L9:M9"/>
    <mergeCell ref="N9:O9"/>
    <mergeCell ref="P9:Q9"/>
    <mergeCell ref="R9:S9"/>
    <mergeCell ref="E10:H10"/>
    <mergeCell ref="I10:K10"/>
    <mergeCell ref="L10:M10"/>
    <mergeCell ref="N10:O10"/>
    <mergeCell ref="P10:Q10"/>
    <mergeCell ref="R10:S10"/>
    <mergeCell ref="E11:H11"/>
    <mergeCell ref="I11:K11"/>
    <mergeCell ref="L11:M11"/>
    <mergeCell ref="N11:O11"/>
    <mergeCell ref="P11:Q11"/>
    <mergeCell ref="R11:S11"/>
    <mergeCell ref="E12:H12"/>
    <mergeCell ref="I12:K12"/>
    <mergeCell ref="L12:M12"/>
    <mergeCell ref="N12:O12"/>
    <mergeCell ref="P12:Q12"/>
    <mergeCell ref="R12:S12"/>
    <mergeCell ref="E13:H13"/>
    <mergeCell ref="I13:K13"/>
    <mergeCell ref="L13:M13"/>
    <mergeCell ref="N13:O13"/>
    <mergeCell ref="P13:Q13"/>
    <mergeCell ref="R13:S13"/>
    <mergeCell ref="E14:H14"/>
    <mergeCell ref="I14:K14"/>
    <mergeCell ref="L14:M14"/>
    <mergeCell ref="N14:O14"/>
    <mergeCell ref="P14:Q14"/>
    <mergeCell ref="R14:S14"/>
    <mergeCell ref="E15:H15"/>
    <mergeCell ref="I15:K15"/>
    <mergeCell ref="L15:M15"/>
    <mergeCell ref="N15:O15"/>
    <mergeCell ref="P15:Q15"/>
    <mergeCell ref="R15:S15"/>
    <mergeCell ref="E16:H16"/>
    <mergeCell ref="I16:K16"/>
    <mergeCell ref="L16:M16"/>
    <mergeCell ref="N16:O16"/>
    <mergeCell ref="P16:Q16"/>
    <mergeCell ref="R16:S16"/>
    <mergeCell ref="E17:H17"/>
    <mergeCell ref="I17:K17"/>
    <mergeCell ref="L17:M17"/>
    <mergeCell ref="N17:O17"/>
    <mergeCell ref="P17:Q17"/>
    <mergeCell ref="R17:S17"/>
    <mergeCell ref="E18:H18"/>
    <mergeCell ref="I18:K18"/>
    <mergeCell ref="L18:M18"/>
    <mergeCell ref="N18:O18"/>
    <mergeCell ref="P18:Q18"/>
    <mergeCell ref="R18:S18"/>
    <mergeCell ref="B19:D19"/>
    <mergeCell ref="E19:H19"/>
    <mergeCell ref="I19:K19"/>
    <mergeCell ref="L19:S19"/>
    <mergeCell ref="I20:S20"/>
    <mergeCell ref="I21:S21"/>
    <mergeCell ref="I22:S22"/>
    <mergeCell ref="I23:J23"/>
    <mergeCell ref="K23:N23"/>
    <mergeCell ref="O23:Q23"/>
    <mergeCell ref="B26:D26"/>
    <mergeCell ref="E26:H26"/>
    <mergeCell ref="M26:N26"/>
    <mergeCell ref="P26:Q26"/>
    <mergeCell ref="R26:S26"/>
    <mergeCell ref="B27:D27"/>
    <mergeCell ref="E27:H27"/>
    <mergeCell ref="M27:N27"/>
    <mergeCell ref="P27:Q27"/>
    <mergeCell ref="R27:S27"/>
    <mergeCell ref="B28:D28"/>
    <mergeCell ref="E28:H28"/>
    <mergeCell ref="M28:N28"/>
    <mergeCell ref="P28:Q28"/>
    <mergeCell ref="R28:S28"/>
    <mergeCell ref="B29:D29"/>
    <mergeCell ref="E29:H29"/>
    <mergeCell ref="M29:N29"/>
    <mergeCell ref="P29:Q29"/>
    <mergeCell ref="R29:S29"/>
    <mergeCell ref="B30:D30"/>
    <mergeCell ref="E30:H30"/>
    <mergeCell ref="M30:N30"/>
    <mergeCell ref="P30:Q30"/>
    <mergeCell ref="R30:S30"/>
    <mergeCell ref="B31:D31"/>
    <mergeCell ref="E31:H31"/>
    <mergeCell ref="M31:N31"/>
    <mergeCell ref="P31:Q31"/>
    <mergeCell ref="R31:S31"/>
    <mergeCell ref="B32:D32"/>
    <mergeCell ref="E32:H32"/>
    <mergeCell ref="M32:N32"/>
    <mergeCell ref="P32:Q32"/>
    <mergeCell ref="R32:S32"/>
    <mergeCell ref="E33:O33"/>
    <mergeCell ref="P33:S33"/>
    <mergeCell ref="E34:O34"/>
    <mergeCell ref="P34:S34"/>
    <mergeCell ref="E35:O35"/>
    <mergeCell ref="P35:S35"/>
    <mergeCell ref="E36:O36"/>
    <mergeCell ref="P36:S36"/>
    <mergeCell ref="E37:O37"/>
    <mergeCell ref="P37:S37"/>
    <mergeCell ref="E38:O38"/>
    <mergeCell ref="P38:S38"/>
    <mergeCell ref="E39:O39"/>
    <mergeCell ref="P39:S39"/>
    <mergeCell ref="B40:D40"/>
    <mergeCell ref="E40:G40"/>
    <mergeCell ref="H40:I40"/>
    <mergeCell ref="J40:O40"/>
    <mergeCell ref="P40:Q40"/>
    <mergeCell ref="R40:S40"/>
    <mergeCell ref="E41:G41"/>
    <mergeCell ref="H41:I41"/>
    <mergeCell ref="J41:O41"/>
    <mergeCell ref="P41:Q41"/>
    <mergeCell ref="R41:S41"/>
    <mergeCell ref="E42:G42"/>
    <mergeCell ref="H42:I42"/>
    <mergeCell ref="J42:O42"/>
    <mergeCell ref="P42:Q42"/>
    <mergeCell ref="R42:S42"/>
    <mergeCell ref="E43:G43"/>
    <mergeCell ref="H43:I43"/>
    <mergeCell ref="J43:O43"/>
    <mergeCell ref="P43:Q43"/>
    <mergeCell ref="R43:S43"/>
    <mergeCell ref="E44:G44"/>
    <mergeCell ref="H44:I44"/>
    <mergeCell ref="J44:O44"/>
    <mergeCell ref="P44:Q44"/>
    <mergeCell ref="R44:S44"/>
    <mergeCell ref="E45:G45"/>
    <mergeCell ref="H45:I45"/>
    <mergeCell ref="J45:O45"/>
    <mergeCell ref="P45:Q45"/>
    <mergeCell ref="R45:S45"/>
    <mergeCell ref="E46:G46"/>
    <mergeCell ref="H46:I46"/>
    <mergeCell ref="J46:O46"/>
    <mergeCell ref="P46:Q46"/>
    <mergeCell ref="R46:S46"/>
    <mergeCell ref="E47:G47"/>
    <mergeCell ref="H47:I47"/>
    <mergeCell ref="J47:O47"/>
    <mergeCell ref="P47:Q47"/>
    <mergeCell ref="R47:S47"/>
    <mergeCell ref="E48:G48"/>
    <mergeCell ref="H48:I48"/>
    <mergeCell ref="J48:O48"/>
    <mergeCell ref="P48:Q48"/>
    <mergeCell ref="R48:S48"/>
    <mergeCell ref="E49:G49"/>
    <mergeCell ref="H49:I49"/>
    <mergeCell ref="J49:O49"/>
    <mergeCell ref="P49:Q49"/>
    <mergeCell ref="R49:S49"/>
    <mergeCell ref="E50:G50"/>
    <mergeCell ref="H50:I50"/>
    <mergeCell ref="J50:O50"/>
    <mergeCell ref="P50:Q50"/>
    <mergeCell ref="R50:S50"/>
    <mergeCell ref="E51:G51"/>
    <mergeCell ref="H51:I51"/>
    <mergeCell ref="J51:O51"/>
    <mergeCell ref="P51:Q51"/>
    <mergeCell ref="R51:S51"/>
    <mergeCell ref="E52:G52"/>
    <mergeCell ref="H52:I52"/>
    <mergeCell ref="J52:O52"/>
    <mergeCell ref="P52:Q52"/>
    <mergeCell ref="R52:S52"/>
    <mergeCell ref="B53:O53"/>
    <mergeCell ref="P53:Q53"/>
    <mergeCell ref="R53:S53"/>
    <mergeCell ref="C54:S54"/>
    <mergeCell ref="C55:D55"/>
    <mergeCell ref="E55:N55"/>
    <mergeCell ref="P55:Q55"/>
    <mergeCell ref="R55:S55"/>
    <mergeCell ref="C56:D56"/>
    <mergeCell ref="E56:N56"/>
    <mergeCell ref="P56:Q56"/>
    <mergeCell ref="R56:S56"/>
    <mergeCell ref="C57:D57"/>
    <mergeCell ref="E57:N57"/>
    <mergeCell ref="P57:Q57"/>
    <mergeCell ref="R57:S57"/>
    <mergeCell ref="C58:D58"/>
    <mergeCell ref="E58:N58"/>
    <mergeCell ref="P58:Q58"/>
    <mergeCell ref="R58:S58"/>
    <mergeCell ref="C59:D59"/>
    <mergeCell ref="E59:N59"/>
    <mergeCell ref="P59:Q59"/>
    <mergeCell ref="R59:S59"/>
    <mergeCell ref="C60:D60"/>
    <mergeCell ref="E60:N60"/>
    <mergeCell ref="P60:Q60"/>
    <mergeCell ref="R60:S60"/>
    <mergeCell ref="C61:S61"/>
    <mergeCell ref="C62:S62"/>
    <mergeCell ref="C63:S63"/>
    <mergeCell ref="C64:S64"/>
    <mergeCell ref="C65:S65"/>
    <mergeCell ref="C66:S66"/>
    <mergeCell ref="C70:S70"/>
    <mergeCell ref="A3:A21"/>
    <mergeCell ref="A22:A39"/>
    <mergeCell ref="A40:A43"/>
    <mergeCell ref="A44:A54"/>
    <mergeCell ref="A55:A70"/>
    <mergeCell ref="B7:B18"/>
    <mergeCell ref="B55:B62"/>
    <mergeCell ref="B63:B66"/>
    <mergeCell ref="B67:B70"/>
    <mergeCell ref="I24:I25"/>
    <mergeCell ref="J24:J25"/>
    <mergeCell ref="K24:K25"/>
    <mergeCell ref="L24:L25"/>
    <mergeCell ref="O24:O25"/>
    <mergeCell ref="T40:T43"/>
    <mergeCell ref="U14:U17"/>
    <mergeCell ref="B4:H5"/>
    <mergeCell ref="I4:J5"/>
    <mergeCell ref="N4:O5"/>
    <mergeCell ref="C9:D11"/>
    <mergeCell ref="C12:D13"/>
    <mergeCell ref="C14:D18"/>
    <mergeCell ref="B20:H21"/>
    <mergeCell ref="B22:D25"/>
    <mergeCell ref="E22:H25"/>
    <mergeCell ref="R23:S25"/>
    <mergeCell ref="M24:N25"/>
    <mergeCell ref="P24:Q25"/>
    <mergeCell ref="B33:C39"/>
    <mergeCell ref="B41:D43"/>
    <mergeCell ref="B44:D45"/>
    <mergeCell ref="B46:D52"/>
  </mergeCells>
  <pageMargins left="0.579166666666667" right="0.235416666666667" top="0.984027777777778" bottom="0.984027777777778" header="0.511805555555556" footer="0.511805555555556"/>
  <pageSetup paperSize="9" scale="80" orientation="portrait"/>
  <headerFooter alignWithMargins="0"/>
  <rowBreaks count="2" manualBreakCount="2">
    <brk id="32" max="18" man="1"/>
    <brk id="57" max="18" man="1"/>
  </row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73"/>
  <sheetViews>
    <sheetView topLeftCell="A4" workbookViewId="0">
      <selection activeCell="R9" sqref="R9:S9"/>
    </sheetView>
  </sheetViews>
  <sheetFormatPr defaultColWidth="9" defaultRowHeight="12"/>
  <cols>
    <col min="1" max="1" width="4.5" style="168" customWidth="1"/>
    <col min="2" max="2" width="6.875" style="168" customWidth="1"/>
    <col min="3" max="3" width="6.5" style="168" customWidth="1"/>
    <col min="4" max="4" width="4.75" style="168" customWidth="1"/>
    <col min="5" max="6" width="4.625" style="168" customWidth="1"/>
    <col min="7" max="7" width="7.625" style="168" customWidth="1"/>
    <col min="8" max="8" width="5.25" style="168" hidden="1" customWidth="1"/>
    <col min="9" max="9" width="7.75" style="168" customWidth="1"/>
    <col min="10" max="10" width="10.25" style="168" customWidth="1"/>
    <col min="11" max="11" width="4.375" style="168" customWidth="1"/>
    <col min="12" max="12" width="8.5" style="168" customWidth="1"/>
    <col min="13" max="13" width="5.75" style="168" customWidth="1"/>
    <col min="14" max="14" width="6.875" style="168" customWidth="1"/>
    <col min="15" max="15" width="7.625" style="168" customWidth="1"/>
    <col min="16" max="16" width="4.25" style="168" customWidth="1"/>
    <col min="17" max="17" width="7.25" style="168" customWidth="1"/>
    <col min="18" max="18" width="4.375" style="168" customWidth="1"/>
    <col min="19" max="19" width="4" style="168" customWidth="1"/>
    <col min="20" max="20" width="9" style="40" hidden="1" customWidth="1"/>
    <col min="21" max="16384" width="9" style="168"/>
  </cols>
  <sheetData>
    <row r="1" ht="43.15" customHeight="1" spans="1:19">
      <c r="A1" s="7" t="s">
        <v>461</v>
      </c>
      <c r="B1" s="7"/>
      <c r="C1" s="7"/>
      <c r="D1" s="7"/>
      <c r="E1" s="7"/>
      <c r="F1" s="7"/>
      <c r="G1" s="7"/>
      <c r="H1" s="7"/>
      <c r="I1" s="7"/>
      <c r="J1" s="7"/>
      <c r="K1" s="7"/>
      <c r="L1" s="7"/>
      <c r="M1" s="7"/>
      <c r="N1" s="7"/>
      <c r="O1" s="7"/>
      <c r="P1" s="7"/>
      <c r="Q1" s="7"/>
      <c r="R1" s="7"/>
      <c r="S1" s="7"/>
    </row>
    <row r="2" ht="42" customHeight="1" spans="1:19">
      <c r="A2" s="8" t="s">
        <v>1</v>
      </c>
      <c r="B2" s="9" t="s">
        <v>2</v>
      </c>
      <c r="C2" s="10"/>
      <c r="D2" s="10"/>
      <c r="E2" s="288" t="s">
        <v>462</v>
      </c>
      <c r="F2" s="288"/>
      <c r="G2" s="288"/>
      <c r="H2" s="288"/>
      <c r="I2" s="288"/>
      <c r="J2" s="288"/>
      <c r="K2" s="288"/>
      <c r="L2" s="288"/>
      <c r="M2" s="288"/>
      <c r="N2" s="288"/>
      <c r="O2" s="288"/>
      <c r="P2" s="288"/>
      <c r="Q2" s="288"/>
      <c r="R2" s="288"/>
      <c r="S2" s="297"/>
    </row>
    <row r="3" s="205" customFormat="1" ht="19.5" customHeight="1" spans="1:20">
      <c r="A3" s="12"/>
      <c r="B3" s="13" t="s">
        <v>4</v>
      </c>
      <c r="C3" s="14"/>
      <c r="D3" s="14"/>
      <c r="E3" s="14"/>
      <c r="F3" s="14"/>
      <c r="G3" s="14"/>
      <c r="H3" s="15"/>
      <c r="I3" s="109" t="s">
        <v>5</v>
      </c>
      <c r="J3" s="15"/>
      <c r="K3" s="110" t="s">
        <v>244</v>
      </c>
      <c r="L3" s="111"/>
      <c r="M3" s="112"/>
      <c r="N3" s="109" t="s">
        <v>7</v>
      </c>
      <c r="O3" s="15"/>
      <c r="P3" s="110" t="s">
        <v>244</v>
      </c>
      <c r="Q3" s="111"/>
      <c r="R3" s="111"/>
      <c r="S3" s="152"/>
      <c r="T3" s="261"/>
    </row>
    <row r="4" s="205" customFormat="1" ht="21" customHeight="1" spans="1:20">
      <c r="A4" s="12"/>
      <c r="B4" s="16"/>
      <c r="C4" s="17"/>
      <c r="D4" s="17"/>
      <c r="E4" s="17"/>
      <c r="F4" s="17"/>
      <c r="G4" s="17"/>
      <c r="H4" s="18"/>
      <c r="I4" s="113"/>
      <c r="J4" s="18"/>
      <c r="K4" s="110" t="s">
        <v>178</v>
      </c>
      <c r="L4" s="111"/>
      <c r="M4" s="112"/>
      <c r="N4" s="113"/>
      <c r="O4" s="18"/>
      <c r="P4" s="110" t="s">
        <v>178</v>
      </c>
      <c r="Q4" s="111"/>
      <c r="R4" s="111"/>
      <c r="S4" s="152"/>
      <c r="T4" s="261"/>
    </row>
    <row r="5" s="205" customFormat="1" ht="20.25" customHeight="1" spans="1:20">
      <c r="A5" s="12"/>
      <c r="B5" s="19" t="s">
        <v>11</v>
      </c>
      <c r="C5" s="20"/>
      <c r="D5" s="20"/>
      <c r="E5" s="20"/>
      <c r="F5" s="20"/>
      <c r="G5" s="20"/>
      <c r="H5" s="21"/>
      <c r="I5" s="25"/>
      <c r="J5" s="20"/>
      <c r="K5" s="20"/>
      <c r="L5" s="20"/>
      <c r="M5" s="20"/>
      <c r="N5" s="20"/>
      <c r="O5" s="20"/>
      <c r="P5" s="20"/>
      <c r="Q5" s="20"/>
      <c r="R5" s="20"/>
      <c r="S5" s="154"/>
      <c r="T5" s="261"/>
    </row>
    <row r="6" ht="33.6" customHeight="1" spans="1:19">
      <c r="A6" s="12"/>
      <c r="B6" s="22" t="s">
        <v>13</v>
      </c>
      <c r="C6" s="23" t="s">
        <v>14</v>
      </c>
      <c r="D6" s="23"/>
      <c r="E6" s="23"/>
      <c r="F6" s="23"/>
      <c r="G6" s="23"/>
      <c r="H6" s="23"/>
      <c r="I6" s="54"/>
      <c r="J6" s="54"/>
      <c r="K6" s="54"/>
      <c r="L6" s="23" t="s">
        <v>16</v>
      </c>
      <c r="M6" s="23"/>
      <c r="N6" s="23"/>
      <c r="O6" s="23"/>
      <c r="P6" s="20"/>
      <c r="Q6" s="20"/>
      <c r="R6" s="20"/>
      <c r="S6" s="154"/>
    </row>
    <row r="7" ht="45.75" customHeight="1" spans="1:19">
      <c r="A7" s="12"/>
      <c r="B7" s="24"/>
      <c r="C7" s="23" t="s">
        <v>17</v>
      </c>
      <c r="D7" s="23"/>
      <c r="E7" s="23" t="s">
        <v>18</v>
      </c>
      <c r="F7" s="23"/>
      <c r="G7" s="23"/>
      <c r="H7" s="23"/>
      <c r="I7" s="23" t="s">
        <v>19</v>
      </c>
      <c r="J7" s="23"/>
      <c r="K7" s="23"/>
      <c r="L7" s="23" t="s">
        <v>20</v>
      </c>
      <c r="M7" s="23"/>
      <c r="N7" s="23" t="s">
        <v>21</v>
      </c>
      <c r="O7" s="23"/>
      <c r="P7" s="25" t="s">
        <v>22</v>
      </c>
      <c r="Q7" s="21"/>
      <c r="R7" s="20" t="s">
        <v>23</v>
      </c>
      <c r="S7" s="154"/>
    </row>
    <row r="8" ht="28.5" customHeight="1" spans="1:19">
      <c r="A8" s="12"/>
      <c r="B8" s="24"/>
      <c r="C8" s="23" t="s">
        <v>24</v>
      </c>
      <c r="D8" s="23"/>
      <c r="E8" s="23" t="s">
        <v>25</v>
      </c>
      <c r="F8" s="23"/>
      <c r="G8" s="23"/>
      <c r="H8" s="23"/>
      <c r="I8" s="208" t="s">
        <v>26</v>
      </c>
      <c r="J8" s="209"/>
      <c r="K8" s="218"/>
      <c r="L8" s="219" t="s">
        <v>283</v>
      </c>
      <c r="M8" s="219"/>
      <c r="N8" s="219" t="s">
        <v>283</v>
      </c>
      <c r="O8" s="219"/>
      <c r="P8" s="289">
        <v>1</v>
      </c>
      <c r="Q8" s="21"/>
      <c r="R8" s="283">
        <v>1</v>
      </c>
      <c r="S8" s="154"/>
    </row>
    <row r="9" ht="68.25" customHeight="1" spans="1:19">
      <c r="A9" s="12"/>
      <c r="B9" s="24"/>
      <c r="C9" s="23"/>
      <c r="D9" s="23"/>
      <c r="E9" s="23" t="s">
        <v>28</v>
      </c>
      <c r="F9" s="23"/>
      <c r="G9" s="23"/>
      <c r="H9" s="23"/>
      <c r="I9" s="208" t="s">
        <v>29</v>
      </c>
      <c r="J9" s="209"/>
      <c r="K9" s="218"/>
      <c r="L9" s="219" t="s">
        <v>463</v>
      </c>
      <c r="M9" s="219"/>
      <c r="N9" s="219" t="s">
        <v>463</v>
      </c>
      <c r="O9" s="219"/>
      <c r="P9" s="208" t="s">
        <v>464</v>
      </c>
      <c r="Q9" s="218"/>
      <c r="R9" s="283">
        <v>1</v>
      </c>
      <c r="S9" s="154"/>
    </row>
    <row r="10" ht="28.5" customHeight="1" spans="1:19">
      <c r="A10" s="12"/>
      <c r="B10" s="24"/>
      <c r="C10" s="23"/>
      <c r="D10" s="23"/>
      <c r="E10" s="23" t="s">
        <v>31</v>
      </c>
      <c r="F10" s="23"/>
      <c r="G10" s="23"/>
      <c r="H10" s="23"/>
      <c r="I10" s="208" t="s">
        <v>465</v>
      </c>
      <c r="J10" s="209"/>
      <c r="K10" s="218"/>
      <c r="L10" s="208" t="s">
        <v>465</v>
      </c>
      <c r="M10" s="209"/>
      <c r="N10" s="208" t="s">
        <v>465</v>
      </c>
      <c r="O10" s="209"/>
      <c r="P10" s="25" t="s">
        <v>15</v>
      </c>
      <c r="Q10" s="21"/>
      <c r="R10" s="20" t="s">
        <v>15</v>
      </c>
      <c r="S10" s="154"/>
    </row>
    <row r="11" ht="72" customHeight="1" spans="1:19">
      <c r="A11" s="12"/>
      <c r="B11" s="24"/>
      <c r="C11" s="23" t="s">
        <v>32</v>
      </c>
      <c r="D11" s="23"/>
      <c r="E11" s="23" t="s">
        <v>33</v>
      </c>
      <c r="F11" s="23"/>
      <c r="G11" s="23"/>
      <c r="H11" s="23"/>
      <c r="I11" s="208" t="s">
        <v>466</v>
      </c>
      <c r="J11" s="209"/>
      <c r="K11" s="218"/>
      <c r="L11" s="38" t="s">
        <v>467</v>
      </c>
      <c r="M11" s="38"/>
      <c r="N11" s="38" t="s">
        <v>468</v>
      </c>
      <c r="O11" s="38"/>
      <c r="P11" s="283">
        <v>1</v>
      </c>
      <c r="Q11" s="154"/>
      <c r="R11" s="283">
        <v>1</v>
      </c>
      <c r="S11" s="154"/>
    </row>
    <row r="12" ht="74.45" customHeight="1" spans="1:19">
      <c r="A12" s="12"/>
      <c r="B12" s="24"/>
      <c r="C12" s="23"/>
      <c r="D12" s="23"/>
      <c r="E12" s="23" t="s">
        <v>37</v>
      </c>
      <c r="F12" s="23"/>
      <c r="G12" s="23"/>
      <c r="H12" s="23"/>
      <c r="I12" s="219" t="s">
        <v>365</v>
      </c>
      <c r="J12" s="219"/>
      <c r="K12" s="219"/>
      <c r="L12" s="290" t="s">
        <v>401</v>
      </c>
      <c r="M12" s="118"/>
      <c r="N12" s="290" t="s">
        <v>208</v>
      </c>
      <c r="O12" s="118"/>
      <c r="P12" s="283" t="s">
        <v>401</v>
      </c>
      <c r="Q12" s="154"/>
      <c r="R12" s="283">
        <v>1</v>
      </c>
      <c r="S12" s="154"/>
    </row>
    <row r="13" ht="28.5" customHeight="1" spans="1:21">
      <c r="A13" s="12"/>
      <c r="B13" s="24"/>
      <c r="C13" s="23" t="s">
        <v>40</v>
      </c>
      <c r="D13" s="23"/>
      <c r="E13" s="23" t="s">
        <v>41</v>
      </c>
      <c r="F13" s="23"/>
      <c r="G13" s="23"/>
      <c r="H13" s="23"/>
      <c r="I13" s="223" t="s">
        <v>368</v>
      </c>
      <c r="J13" s="223"/>
      <c r="K13" s="223"/>
      <c r="L13" s="221">
        <v>0.9</v>
      </c>
      <c r="M13" s="219"/>
      <c r="N13" s="221">
        <v>0.95</v>
      </c>
      <c r="O13" s="219"/>
      <c r="P13" s="283">
        <v>0.95</v>
      </c>
      <c r="Q13" s="154"/>
      <c r="R13" s="283">
        <v>1</v>
      </c>
      <c r="S13" s="154"/>
      <c r="U13" s="263"/>
    </row>
    <row r="14" ht="55.15" customHeight="1" spans="1:21">
      <c r="A14" s="12"/>
      <c r="B14" s="24"/>
      <c r="C14" s="23"/>
      <c r="D14" s="23"/>
      <c r="E14" s="23" t="s">
        <v>42</v>
      </c>
      <c r="F14" s="23"/>
      <c r="G14" s="23"/>
      <c r="H14" s="23"/>
      <c r="I14" s="223" t="s">
        <v>469</v>
      </c>
      <c r="J14" s="223"/>
      <c r="K14" s="223"/>
      <c r="L14" s="221">
        <v>0.9</v>
      </c>
      <c r="M14" s="219"/>
      <c r="N14" s="221">
        <v>0.95</v>
      </c>
      <c r="O14" s="219"/>
      <c r="P14" s="283">
        <v>0.95</v>
      </c>
      <c r="Q14" s="154"/>
      <c r="R14" s="283">
        <v>1</v>
      </c>
      <c r="S14" s="154"/>
      <c r="U14" s="263"/>
    </row>
    <row r="15" ht="28.5" customHeight="1" spans="1:21">
      <c r="A15" s="12"/>
      <c r="B15" s="24"/>
      <c r="C15" s="23"/>
      <c r="D15" s="23"/>
      <c r="E15" s="23" t="s">
        <v>46</v>
      </c>
      <c r="F15" s="23"/>
      <c r="G15" s="23"/>
      <c r="H15" s="23"/>
      <c r="I15" s="223" t="s">
        <v>470</v>
      </c>
      <c r="J15" s="223"/>
      <c r="K15" s="223"/>
      <c r="L15" s="221">
        <v>0.9</v>
      </c>
      <c r="M15" s="219"/>
      <c r="N15" s="221">
        <v>0.95</v>
      </c>
      <c r="O15" s="219"/>
      <c r="P15" s="283">
        <v>0.95</v>
      </c>
      <c r="Q15" s="154"/>
      <c r="R15" s="283">
        <v>1</v>
      </c>
      <c r="S15" s="154"/>
      <c r="U15" s="263"/>
    </row>
    <row r="16" ht="28.5" customHeight="1" spans="1:21">
      <c r="A16" s="12"/>
      <c r="B16" s="24"/>
      <c r="C16" s="23"/>
      <c r="D16" s="23"/>
      <c r="E16" s="23" t="s">
        <v>50</v>
      </c>
      <c r="F16" s="23"/>
      <c r="G16" s="23"/>
      <c r="H16" s="23"/>
      <c r="I16" s="223" t="s">
        <v>471</v>
      </c>
      <c r="J16" s="223"/>
      <c r="K16" s="223"/>
      <c r="L16" s="221">
        <v>0.9</v>
      </c>
      <c r="M16" s="219"/>
      <c r="N16" s="221">
        <v>0.95</v>
      </c>
      <c r="O16" s="219"/>
      <c r="P16" s="283">
        <v>0.95</v>
      </c>
      <c r="Q16" s="154"/>
      <c r="R16" s="283">
        <v>1</v>
      </c>
      <c r="S16" s="154"/>
      <c r="U16" s="263"/>
    </row>
    <row r="17" ht="36" customHeight="1" spans="1:21">
      <c r="A17" s="12"/>
      <c r="B17" s="26"/>
      <c r="C17" s="23"/>
      <c r="D17" s="23"/>
      <c r="E17" s="23" t="s">
        <v>51</v>
      </c>
      <c r="F17" s="23"/>
      <c r="G17" s="23"/>
      <c r="H17" s="23"/>
      <c r="I17" s="219" t="s">
        <v>472</v>
      </c>
      <c r="J17" s="219"/>
      <c r="K17" s="219"/>
      <c r="L17" s="221">
        <v>0.9</v>
      </c>
      <c r="M17" s="219"/>
      <c r="N17" s="221">
        <v>0.95</v>
      </c>
      <c r="O17" s="219"/>
      <c r="P17" s="283">
        <v>0.95</v>
      </c>
      <c r="Q17" s="154"/>
      <c r="R17" s="283">
        <v>1</v>
      </c>
      <c r="S17" s="154"/>
      <c r="U17" s="264"/>
    </row>
    <row r="18" ht="36" customHeight="1" spans="1:19">
      <c r="A18" s="12"/>
      <c r="B18" s="19" t="s">
        <v>55</v>
      </c>
      <c r="C18" s="20"/>
      <c r="D18" s="21"/>
      <c r="E18" s="289">
        <v>1</v>
      </c>
      <c r="F18" s="20"/>
      <c r="G18" s="20"/>
      <c r="H18" s="20"/>
      <c r="I18" s="25" t="s">
        <v>56</v>
      </c>
      <c r="J18" s="20"/>
      <c r="K18" s="21"/>
      <c r="L18" s="291" t="s">
        <v>473</v>
      </c>
      <c r="M18" s="292"/>
      <c r="N18" s="292"/>
      <c r="O18" s="292"/>
      <c r="P18" s="292"/>
      <c r="Q18" s="292"/>
      <c r="R18" s="292"/>
      <c r="S18" s="298"/>
    </row>
    <row r="19" ht="23.25" customHeight="1" spans="1:19">
      <c r="A19" s="12"/>
      <c r="B19" s="27" t="s">
        <v>58</v>
      </c>
      <c r="C19" s="28"/>
      <c r="D19" s="28"/>
      <c r="E19" s="28"/>
      <c r="F19" s="28"/>
      <c r="G19" s="28"/>
      <c r="H19" s="28"/>
      <c r="I19" s="50" t="s">
        <v>474</v>
      </c>
      <c r="J19" s="50"/>
      <c r="K19" s="50"/>
      <c r="L19" s="50"/>
      <c r="M19" s="50"/>
      <c r="N19" s="50"/>
      <c r="O19" s="50"/>
      <c r="P19" s="50"/>
      <c r="Q19" s="50"/>
      <c r="R19" s="50"/>
      <c r="S19" s="163"/>
    </row>
    <row r="20" ht="23.25" customHeight="1" spans="1:19">
      <c r="A20" s="29"/>
      <c r="B20" s="30"/>
      <c r="C20" s="31"/>
      <c r="D20" s="31"/>
      <c r="E20" s="31"/>
      <c r="F20" s="31"/>
      <c r="G20" s="31"/>
      <c r="H20" s="31"/>
      <c r="I20" s="85" t="s">
        <v>60</v>
      </c>
      <c r="J20" s="85"/>
      <c r="K20" s="85"/>
      <c r="L20" s="85"/>
      <c r="M20" s="85"/>
      <c r="N20" s="85"/>
      <c r="O20" s="85"/>
      <c r="P20" s="85"/>
      <c r="Q20" s="85"/>
      <c r="R20" s="85"/>
      <c r="S20" s="164"/>
    </row>
    <row r="21" spans="1:19">
      <c r="A21" s="32" t="s">
        <v>61</v>
      </c>
      <c r="B21" s="33"/>
      <c r="C21" s="33"/>
      <c r="D21" s="33"/>
      <c r="E21" s="34" t="s">
        <v>62</v>
      </c>
      <c r="F21" s="35"/>
      <c r="G21" s="35"/>
      <c r="H21" s="36"/>
      <c r="I21" s="128" t="s">
        <v>63</v>
      </c>
      <c r="J21" s="128"/>
      <c r="K21" s="128"/>
      <c r="L21" s="128"/>
      <c r="M21" s="128"/>
      <c r="N21" s="128"/>
      <c r="O21" s="128"/>
      <c r="P21" s="128"/>
      <c r="Q21" s="128"/>
      <c r="R21" s="128"/>
      <c r="S21" s="165"/>
    </row>
    <row r="22" ht="12.75" customHeight="1" spans="1:19">
      <c r="A22" s="37"/>
      <c r="B22" s="38"/>
      <c r="C22" s="38"/>
      <c r="D22" s="38"/>
      <c r="E22" s="39"/>
      <c r="F22" s="40"/>
      <c r="G22" s="40"/>
      <c r="H22" s="41"/>
      <c r="I22" s="55" t="s">
        <v>64</v>
      </c>
      <c r="J22" s="55"/>
      <c r="K22" s="54" t="s">
        <v>65</v>
      </c>
      <c r="L22" s="54"/>
      <c r="M22" s="54"/>
      <c r="N22" s="54"/>
      <c r="O22" s="54" t="s">
        <v>66</v>
      </c>
      <c r="P22" s="54"/>
      <c r="Q22" s="54"/>
      <c r="R22" s="54" t="s">
        <v>67</v>
      </c>
      <c r="S22" s="166"/>
    </row>
    <row r="23" s="206" customFormat="1" ht="36" customHeight="1" spans="1:21">
      <c r="A23" s="42"/>
      <c r="B23" s="38"/>
      <c r="C23" s="38"/>
      <c r="D23" s="38"/>
      <c r="E23" s="39"/>
      <c r="F23" s="40"/>
      <c r="G23" s="40"/>
      <c r="H23" s="41"/>
      <c r="I23" s="54" t="s">
        <v>68</v>
      </c>
      <c r="J23" s="54" t="s">
        <v>69</v>
      </c>
      <c r="K23" s="54" t="s">
        <v>375</v>
      </c>
      <c r="L23" s="54" t="s">
        <v>71</v>
      </c>
      <c r="M23" s="54" t="s">
        <v>72</v>
      </c>
      <c r="N23" s="54"/>
      <c r="O23" s="54" t="s">
        <v>73</v>
      </c>
      <c r="P23" s="54" t="s">
        <v>74</v>
      </c>
      <c r="Q23" s="129"/>
      <c r="R23" s="54"/>
      <c r="S23" s="166"/>
      <c r="T23" s="40"/>
      <c r="U23" s="40"/>
    </row>
    <row r="24" s="206" customFormat="1" spans="1:21">
      <c r="A24" s="42"/>
      <c r="B24" s="38"/>
      <c r="C24" s="38"/>
      <c r="D24" s="38"/>
      <c r="E24" s="43"/>
      <c r="F24" s="44"/>
      <c r="G24" s="44"/>
      <c r="H24" s="45"/>
      <c r="I24" s="54"/>
      <c r="J24" s="54"/>
      <c r="K24" s="54"/>
      <c r="L24" s="54"/>
      <c r="M24" s="54"/>
      <c r="N24" s="54"/>
      <c r="O24" s="54"/>
      <c r="P24" s="129"/>
      <c r="Q24" s="129"/>
      <c r="R24" s="54"/>
      <c r="S24" s="166"/>
      <c r="T24" s="40"/>
      <c r="U24" s="40"/>
    </row>
    <row r="25" ht="24" customHeight="1" spans="1:19">
      <c r="A25" s="42"/>
      <c r="B25" s="46" t="s">
        <v>75</v>
      </c>
      <c r="C25" s="46"/>
      <c r="D25" s="46"/>
      <c r="E25" s="47"/>
      <c r="F25" s="48"/>
      <c r="G25" s="48"/>
      <c r="H25" s="49"/>
      <c r="I25" s="130">
        <v>5000</v>
      </c>
      <c r="J25" s="56"/>
      <c r="K25" s="56">
        <v>5000</v>
      </c>
      <c r="L25" s="131">
        <v>1</v>
      </c>
      <c r="M25" s="54"/>
      <c r="N25" s="54"/>
      <c r="O25" s="54">
        <v>1590.7</v>
      </c>
      <c r="P25" s="225">
        <v>0.32</v>
      </c>
      <c r="Q25" s="54"/>
      <c r="R25" s="54">
        <v>3409.3</v>
      </c>
      <c r="S25" s="166"/>
    </row>
    <row r="26" ht="24" customHeight="1" spans="1:19">
      <c r="A26" s="42"/>
      <c r="B26" s="50" t="s">
        <v>77</v>
      </c>
      <c r="C26" s="50"/>
      <c r="D26" s="50"/>
      <c r="E26" s="47"/>
      <c r="F26" s="48"/>
      <c r="G26" s="48"/>
      <c r="H26" s="49"/>
      <c r="I26" s="130">
        <v>5000</v>
      </c>
      <c r="J26" s="56"/>
      <c r="K26" s="56">
        <v>5000</v>
      </c>
      <c r="L26" s="131">
        <v>1</v>
      </c>
      <c r="M26" s="54"/>
      <c r="N26" s="54"/>
      <c r="O26" s="54">
        <v>1590.7</v>
      </c>
      <c r="P26" s="225">
        <v>0.32</v>
      </c>
      <c r="Q26" s="54"/>
      <c r="R26" s="54">
        <v>3409.3</v>
      </c>
      <c r="S26" s="166"/>
    </row>
    <row r="27" ht="16.15" customHeight="1" spans="1:19">
      <c r="A27" s="42"/>
      <c r="B27" s="50" t="s">
        <v>78</v>
      </c>
      <c r="C27" s="50"/>
      <c r="D27" s="50"/>
      <c r="E27" s="47"/>
      <c r="F27" s="48"/>
      <c r="G27" s="48"/>
      <c r="H27" s="49"/>
      <c r="I27" s="130"/>
      <c r="J27" s="130"/>
      <c r="K27" s="56"/>
      <c r="L27" s="56"/>
      <c r="M27" s="54"/>
      <c r="N27" s="54"/>
      <c r="O27" s="54"/>
      <c r="P27" s="54"/>
      <c r="Q27" s="54"/>
      <c r="R27" s="54"/>
      <c r="S27" s="166"/>
    </row>
    <row r="28" ht="13.9" customHeight="1" spans="1:19">
      <c r="A28" s="42"/>
      <c r="B28" s="50" t="s">
        <v>79</v>
      </c>
      <c r="C28" s="50"/>
      <c r="D28" s="50"/>
      <c r="E28" s="47"/>
      <c r="F28" s="48"/>
      <c r="G28" s="48"/>
      <c r="H28" s="49"/>
      <c r="I28" s="130"/>
      <c r="J28" s="130"/>
      <c r="K28" s="56"/>
      <c r="L28" s="56"/>
      <c r="M28" s="54"/>
      <c r="N28" s="54"/>
      <c r="O28" s="54"/>
      <c r="P28" s="54"/>
      <c r="Q28" s="54"/>
      <c r="R28" s="54"/>
      <c r="S28" s="166"/>
    </row>
    <row r="29" ht="36" customHeight="1" spans="1:19">
      <c r="A29" s="42"/>
      <c r="B29" s="50" t="s">
        <v>80</v>
      </c>
      <c r="C29" s="50"/>
      <c r="D29" s="50"/>
      <c r="E29" s="47"/>
      <c r="F29" s="48"/>
      <c r="G29" s="48"/>
      <c r="H29" s="49"/>
      <c r="I29" s="130">
        <v>5000</v>
      </c>
      <c r="J29" s="56"/>
      <c r="K29" s="56">
        <v>5000</v>
      </c>
      <c r="L29" s="131">
        <v>1</v>
      </c>
      <c r="M29" s="54"/>
      <c r="N29" s="54"/>
      <c r="O29" s="54">
        <v>1590.7</v>
      </c>
      <c r="P29" s="225">
        <v>0.32</v>
      </c>
      <c r="Q29" s="54"/>
      <c r="R29" s="54">
        <v>3409.3</v>
      </c>
      <c r="S29" s="166"/>
    </row>
    <row r="30" ht="16.15" customHeight="1" spans="1:19">
      <c r="A30" s="42"/>
      <c r="B30" s="50" t="s">
        <v>82</v>
      </c>
      <c r="C30" s="50"/>
      <c r="D30" s="50"/>
      <c r="E30" s="47">
        <v>0</v>
      </c>
      <c r="F30" s="48"/>
      <c r="G30" s="48"/>
      <c r="H30" s="49"/>
      <c r="I30" s="130">
        <v>0</v>
      </c>
      <c r="J30" s="130" t="s">
        <v>15</v>
      </c>
      <c r="K30" s="56">
        <v>0</v>
      </c>
      <c r="L30" s="56">
        <v>0</v>
      </c>
      <c r="M30" s="54" t="s">
        <v>15</v>
      </c>
      <c r="N30" s="54"/>
      <c r="O30" s="38">
        <v>0</v>
      </c>
      <c r="P30" s="54">
        <v>0</v>
      </c>
      <c r="Q30" s="54"/>
      <c r="R30" s="38">
        <v>0</v>
      </c>
      <c r="S30" s="167"/>
    </row>
    <row r="31" ht="24" customHeight="1" spans="1:19">
      <c r="A31" s="42"/>
      <c r="B31" s="54" t="s">
        <v>83</v>
      </c>
      <c r="C31" s="55"/>
      <c r="D31" s="56" t="s">
        <v>84</v>
      </c>
      <c r="E31" s="57" t="s">
        <v>85</v>
      </c>
      <c r="F31" s="57"/>
      <c r="G31" s="57"/>
      <c r="H31" s="57"/>
      <c r="I31" s="57"/>
      <c r="J31" s="57"/>
      <c r="K31" s="57"/>
      <c r="L31" s="57"/>
      <c r="M31" s="57"/>
      <c r="N31" s="57"/>
      <c r="O31" s="57"/>
      <c r="P31" s="57" t="s">
        <v>86</v>
      </c>
      <c r="Q31" s="57"/>
      <c r="R31" s="57"/>
      <c r="S31" s="170"/>
    </row>
    <row r="32" ht="24" customHeight="1" spans="1:19">
      <c r="A32" s="42"/>
      <c r="B32" s="55"/>
      <c r="C32" s="55"/>
      <c r="D32" s="54">
        <v>1</v>
      </c>
      <c r="E32" s="57" t="s">
        <v>475</v>
      </c>
      <c r="F32" s="57"/>
      <c r="G32" s="57"/>
      <c r="H32" s="57"/>
      <c r="I32" s="57"/>
      <c r="J32" s="57"/>
      <c r="K32" s="57"/>
      <c r="L32" s="57"/>
      <c r="M32" s="57"/>
      <c r="N32" s="57"/>
      <c r="O32" s="57"/>
      <c r="P32" s="57">
        <v>1085.78</v>
      </c>
      <c r="Q32" s="57"/>
      <c r="R32" s="57"/>
      <c r="S32" s="170"/>
    </row>
    <row r="33" ht="24" customHeight="1" spans="1:19">
      <c r="A33" s="42"/>
      <c r="B33" s="55"/>
      <c r="C33" s="55"/>
      <c r="D33" s="54">
        <v>2</v>
      </c>
      <c r="E33" s="57" t="s">
        <v>476</v>
      </c>
      <c r="F33" s="57"/>
      <c r="G33" s="57"/>
      <c r="H33" s="57"/>
      <c r="I33" s="57"/>
      <c r="J33" s="57"/>
      <c r="K33" s="57"/>
      <c r="L33" s="57"/>
      <c r="M33" s="57"/>
      <c r="N33" s="57"/>
      <c r="O33" s="57"/>
      <c r="P33" s="57">
        <v>448.51</v>
      </c>
      <c r="Q33" s="57"/>
      <c r="R33" s="57"/>
      <c r="S33" s="170"/>
    </row>
    <row r="34" ht="24" customHeight="1" spans="1:19">
      <c r="A34" s="58"/>
      <c r="B34" s="59"/>
      <c r="C34" s="59"/>
      <c r="D34" s="54">
        <v>3</v>
      </c>
      <c r="E34" s="57" t="s">
        <v>477</v>
      </c>
      <c r="F34" s="57"/>
      <c r="G34" s="57"/>
      <c r="H34" s="57"/>
      <c r="I34" s="57"/>
      <c r="J34" s="57"/>
      <c r="K34" s="57"/>
      <c r="L34" s="57"/>
      <c r="M34" s="57"/>
      <c r="N34" s="57"/>
      <c r="O34" s="57"/>
      <c r="P34" s="57">
        <v>634.18</v>
      </c>
      <c r="Q34" s="57"/>
      <c r="R34" s="57"/>
      <c r="S34" s="170"/>
    </row>
    <row r="35" ht="24" customHeight="1" spans="1:19">
      <c r="A35" s="58"/>
      <c r="B35" s="59"/>
      <c r="C35" s="59"/>
      <c r="D35" s="54">
        <v>4</v>
      </c>
      <c r="E35" s="57" t="s">
        <v>478</v>
      </c>
      <c r="F35" s="57"/>
      <c r="G35" s="57"/>
      <c r="H35" s="57"/>
      <c r="I35" s="57"/>
      <c r="J35" s="57"/>
      <c r="K35" s="57"/>
      <c r="L35" s="57"/>
      <c r="M35" s="57"/>
      <c r="N35" s="57"/>
      <c r="O35" s="57"/>
      <c r="P35" s="57">
        <v>16.99</v>
      </c>
      <c r="Q35" s="57"/>
      <c r="R35" s="57"/>
      <c r="S35" s="57"/>
    </row>
    <row r="36" ht="18" customHeight="1" spans="1:19">
      <c r="A36" s="60"/>
      <c r="B36" s="61"/>
      <c r="C36" s="61"/>
      <c r="D36" s="168" t="s">
        <v>91</v>
      </c>
      <c r="E36" s="57"/>
      <c r="F36" s="57"/>
      <c r="G36" s="57"/>
      <c r="H36" s="57"/>
      <c r="I36" s="57"/>
      <c r="J36" s="57"/>
      <c r="K36" s="57"/>
      <c r="L36" s="57"/>
      <c r="M36" s="57"/>
      <c r="N36" s="57"/>
      <c r="O36" s="57"/>
      <c r="P36" s="57">
        <f>SUM(P32:P35)</f>
        <v>2185.46</v>
      </c>
      <c r="Q36" s="57"/>
      <c r="R36" s="57"/>
      <c r="S36" s="170"/>
    </row>
    <row r="37" ht="41.45" customHeight="1" spans="1:20">
      <c r="A37" s="62" t="s">
        <v>92</v>
      </c>
      <c r="B37" s="210" t="s">
        <v>93</v>
      </c>
      <c r="C37" s="211"/>
      <c r="D37" s="211"/>
      <c r="E37" s="211" t="s">
        <v>94</v>
      </c>
      <c r="F37" s="211"/>
      <c r="G37" s="211"/>
      <c r="H37" s="211" t="s">
        <v>95</v>
      </c>
      <c r="I37" s="211"/>
      <c r="J37" s="211" t="s">
        <v>96</v>
      </c>
      <c r="K37" s="211"/>
      <c r="L37" s="211"/>
      <c r="M37" s="211"/>
      <c r="N37" s="211"/>
      <c r="O37" s="211"/>
      <c r="P37" s="228" t="s">
        <v>97</v>
      </c>
      <c r="Q37" s="265"/>
      <c r="R37" s="211" t="s">
        <v>98</v>
      </c>
      <c r="S37" s="266"/>
      <c r="T37" s="99"/>
    </row>
    <row r="38" ht="52" customHeight="1" spans="1:20">
      <c r="A38" s="63"/>
      <c r="B38" s="74" t="s">
        <v>99</v>
      </c>
      <c r="C38" s="75"/>
      <c r="D38" s="76"/>
      <c r="E38" s="77" t="s">
        <v>100</v>
      </c>
      <c r="F38" s="77"/>
      <c r="G38" s="77"/>
      <c r="H38" s="212" t="s">
        <v>101</v>
      </c>
      <c r="I38" s="76"/>
      <c r="J38" s="143" t="s">
        <v>102</v>
      </c>
      <c r="K38" s="143"/>
      <c r="L38" s="143"/>
      <c r="M38" s="143"/>
      <c r="N38" s="143"/>
      <c r="O38" s="143"/>
      <c r="P38" s="229">
        <v>0.1</v>
      </c>
      <c r="Q38" s="267"/>
      <c r="R38" s="10">
        <v>10</v>
      </c>
      <c r="S38" s="175"/>
      <c r="T38" s="99"/>
    </row>
    <row r="39" ht="46.5" customHeight="1" spans="1:20">
      <c r="A39" s="63"/>
      <c r="B39" s="68"/>
      <c r="C39" s="69"/>
      <c r="D39" s="70"/>
      <c r="E39" s="54" t="s">
        <v>103</v>
      </c>
      <c r="F39" s="54"/>
      <c r="G39" s="54"/>
      <c r="H39" s="51" t="s">
        <v>104</v>
      </c>
      <c r="I39" s="53"/>
      <c r="J39" s="230" t="s">
        <v>105</v>
      </c>
      <c r="K39" s="231"/>
      <c r="L39" s="231"/>
      <c r="M39" s="231"/>
      <c r="N39" s="231"/>
      <c r="O39" s="232"/>
      <c r="P39" s="233">
        <v>0.1</v>
      </c>
      <c r="Q39" s="172"/>
      <c r="R39" s="25">
        <v>10</v>
      </c>
      <c r="S39" s="154"/>
      <c r="T39" s="99"/>
    </row>
    <row r="40" ht="58.9" customHeight="1" spans="1:20">
      <c r="A40" s="63"/>
      <c r="B40" s="213"/>
      <c r="C40" s="82"/>
      <c r="D40" s="83"/>
      <c r="E40" s="84" t="s">
        <v>106</v>
      </c>
      <c r="F40" s="84"/>
      <c r="G40" s="84"/>
      <c r="H40" s="84" t="s">
        <v>107</v>
      </c>
      <c r="I40" s="84"/>
      <c r="J40" s="234" t="s">
        <v>108</v>
      </c>
      <c r="K40" s="234"/>
      <c r="L40" s="234"/>
      <c r="M40" s="234"/>
      <c r="N40" s="234"/>
      <c r="O40" s="234"/>
      <c r="P40" s="235">
        <v>0.1</v>
      </c>
      <c r="Q40" s="268"/>
      <c r="R40" s="177">
        <v>10</v>
      </c>
      <c r="S40" s="178"/>
      <c r="T40" s="99"/>
    </row>
    <row r="41" ht="48.6" customHeight="1" spans="1:19">
      <c r="A41" s="63"/>
      <c r="B41" s="74" t="s">
        <v>109</v>
      </c>
      <c r="C41" s="75"/>
      <c r="D41" s="76"/>
      <c r="E41" s="34" t="s">
        <v>110</v>
      </c>
      <c r="F41" s="35"/>
      <c r="G41" s="36"/>
      <c r="H41" s="78" t="s">
        <v>111</v>
      </c>
      <c r="I41" s="78"/>
      <c r="J41" s="236" t="s">
        <v>112</v>
      </c>
      <c r="K41" s="237"/>
      <c r="L41" s="237"/>
      <c r="M41" s="237"/>
      <c r="N41" s="237"/>
      <c r="O41" s="238"/>
      <c r="P41" s="174">
        <v>0.06</v>
      </c>
      <c r="Q41" s="174"/>
      <c r="R41" s="10">
        <v>5</v>
      </c>
      <c r="S41" s="175"/>
    </row>
    <row r="42" ht="41.45" customHeight="1" spans="1:19">
      <c r="A42" s="63"/>
      <c r="B42" s="68"/>
      <c r="C42" s="69"/>
      <c r="D42" s="70"/>
      <c r="E42" s="39"/>
      <c r="F42" s="40"/>
      <c r="G42" s="41"/>
      <c r="H42" s="214" t="s">
        <v>113</v>
      </c>
      <c r="I42" s="214"/>
      <c r="J42" s="239" t="s">
        <v>114</v>
      </c>
      <c r="K42" s="240"/>
      <c r="L42" s="240"/>
      <c r="M42" s="240"/>
      <c r="N42" s="240"/>
      <c r="O42" s="241"/>
      <c r="P42" s="144">
        <v>0.06</v>
      </c>
      <c r="Q42" s="144"/>
      <c r="R42" s="23">
        <v>6</v>
      </c>
      <c r="S42" s="173"/>
    </row>
    <row r="43" ht="54.6" customHeight="1" spans="1:19">
      <c r="A43" s="63"/>
      <c r="B43" s="68"/>
      <c r="C43" s="69"/>
      <c r="D43" s="70"/>
      <c r="E43" s="43"/>
      <c r="F43" s="44"/>
      <c r="G43" s="45"/>
      <c r="H43" s="214" t="s">
        <v>115</v>
      </c>
      <c r="I43" s="214"/>
      <c r="J43" s="239" t="s">
        <v>116</v>
      </c>
      <c r="K43" s="240"/>
      <c r="L43" s="240"/>
      <c r="M43" s="240"/>
      <c r="N43" s="240"/>
      <c r="O43" s="241"/>
      <c r="P43" s="233">
        <v>0.06</v>
      </c>
      <c r="Q43" s="172"/>
      <c r="R43" s="25">
        <v>4</v>
      </c>
      <c r="S43" s="154"/>
    </row>
    <row r="44" s="205" customFormat="1" ht="48.6" customHeight="1" spans="1:20">
      <c r="A44" s="63"/>
      <c r="B44" s="79"/>
      <c r="C44" s="69"/>
      <c r="D44" s="70"/>
      <c r="E44" s="54" t="s">
        <v>117</v>
      </c>
      <c r="F44" s="54"/>
      <c r="G44" s="54"/>
      <c r="H44" s="54" t="s">
        <v>118</v>
      </c>
      <c r="I44" s="54"/>
      <c r="J44" s="51" t="s">
        <v>119</v>
      </c>
      <c r="K44" s="52"/>
      <c r="L44" s="52"/>
      <c r="M44" s="52"/>
      <c r="N44" s="52"/>
      <c r="O44" s="53"/>
      <c r="P44" s="144">
        <v>0.06</v>
      </c>
      <c r="Q44" s="144"/>
      <c r="R44" s="23">
        <v>6</v>
      </c>
      <c r="S44" s="173"/>
      <c r="T44" s="40"/>
    </row>
    <row r="45" s="205" customFormat="1" ht="60" customHeight="1" spans="1:20">
      <c r="A45" s="63"/>
      <c r="B45" s="81"/>
      <c r="C45" s="82"/>
      <c r="D45" s="83"/>
      <c r="E45" s="84"/>
      <c r="F45" s="84"/>
      <c r="G45" s="84"/>
      <c r="H45" s="84" t="s">
        <v>120</v>
      </c>
      <c r="I45" s="84"/>
      <c r="J45" s="242" t="s">
        <v>121</v>
      </c>
      <c r="K45" s="243"/>
      <c r="L45" s="243"/>
      <c r="M45" s="243"/>
      <c r="N45" s="243"/>
      <c r="O45" s="244"/>
      <c r="P45" s="146">
        <v>0.06</v>
      </c>
      <c r="Q45" s="146"/>
      <c r="R45" s="177">
        <v>5</v>
      </c>
      <c r="S45" s="178"/>
      <c r="T45" s="40"/>
    </row>
    <row r="46" ht="30" customHeight="1" spans="1:19">
      <c r="A46" s="63"/>
      <c r="B46" s="74" t="s">
        <v>122</v>
      </c>
      <c r="C46" s="75"/>
      <c r="D46" s="76"/>
      <c r="E46" s="77" t="s">
        <v>123</v>
      </c>
      <c r="F46" s="77"/>
      <c r="G46" s="77"/>
      <c r="H46" s="77" t="s">
        <v>124</v>
      </c>
      <c r="I46" s="77"/>
      <c r="J46" s="246" t="s">
        <v>125</v>
      </c>
      <c r="K46" s="247"/>
      <c r="L46" s="247"/>
      <c r="M46" s="247"/>
      <c r="N46" s="247"/>
      <c r="O46" s="248"/>
      <c r="P46" s="174">
        <v>0.04</v>
      </c>
      <c r="Q46" s="174"/>
      <c r="R46" s="10">
        <v>4</v>
      </c>
      <c r="S46" s="175"/>
    </row>
    <row r="47" ht="39" customHeight="1" spans="1:19">
      <c r="A47" s="63"/>
      <c r="B47" s="68"/>
      <c r="C47" s="69"/>
      <c r="D47" s="70"/>
      <c r="E47" s="54"/>
      <c r="F47" s="54"/>
      <c r="G47" s="54"/>
      <c r="H47" s="54" t="s">
        <v>126</v>
      </c>
      <c r="I47" s="54"/>
      <c r="J47" s="51" t="s">
        <v>377</v>
      </c>
      <c r="K47" s="52"/>
      <c r="L47" s="52"/>
      <c r="M47" s="52"/>
      <c r="N47" s="52"/>
      <c r="O47" s="53"/>
      <c r="P47" s="135">
        <v>0.08</v>
      </c>
      <c r="Q47" s="172"/>
      <c r="R47" s="25">
        <v>6</v>
      </c>
      <c r="S47" s="154"/>
    </row>
    <row r="48" ht="40" customHeight="1" spans="1:19">
      <c r="A48" s="63"/>
      <c r="B48" s="79"/>
      <c r="C48" s="69"/>
      <c r="D48" s="70"/>
      <c r="E48" s="54" t="s">
        <v>128</v>
      </c>
      <c r="F48" s="54"/>
      <c r="G48" s="54"/>
      <c r="H48" s="54" t="s">
        <v>378</v>
      </c>
      <c r="I48" s="54"/>
      <c r="J48" s="50" t="s">
        <v>379</v>
      </c>
      <c r="K48" s="50"/>
      <c r="L48" s="50"/>
      <c r="M48" s="50"/>
      <c r="N48" s="50"/>
      <c r="O48" s="50"/>
      <c r="P48" s="142">
        <v>0.05</v>
      </c>
      <c r="Q48" s="144"/>
      <c r="R48" s="25">
        <v>4</v>
      </c>
      <c r="S48" s="154"/>
    </row>
    <row r="49" ht="52.9" customHeight="1" spans="1:19">
      <c r="A49" s="63"/>
      <c r="B49" s="79"/>
      <c r="C49" s="69"/>
      <c r="D49" s="70"/>
      <c r="E49" s="54"/>
      <c r="F49" s="54"/>
      <c r="G49" s="54"/>
      <c r="H49" s="214" t="s">
        <v>136</v>
      </c>
      <c r="I49" s="214"/>
      <c r="J49" s="293" t="s">
        <v>479</v>
      </c>
      <c r="K49" s="293"/>
      <c r="L49" s="293"/>
      <c r="M49" s="293"/>
      <c r="N49" s="293"/>
      <c r="O49" s="293"/>
      <c r="P49" s="144">
        <v>0.04</v>
      </c>
      <c r="Q49" s="144"/>
      <c r="R49" s="25">
        <v>4</v>
      </c>
      <c r="S49" s="154"/>
    </row>
    <row r="50" ht="25.5" customHeight="1" spans="1:19">
      <c r="A50" s="63"/>
      <c r="B50" s="79"/>
      <c r="C50" s="69"/>
      <c r="D50" s="70"/>
      <c r="E50" s="54" t="s">
        <v>138</v>
      </c>
      <c r="F50" s="54"/>
      <c r="G50" s="54"/>
      <c r="H50" s="216" t="s">
        <v>139</v>
      </c>
      <c r="I50" s="216"/>
      <c r="J50" s="294" t="s">
        <v>381</v>
      </c>
      <c r="K50" s="295"/>
      <c r="L50" s="295"/>
      <c r="M50" s="295"/>
      <c r="N50" s="295"/>
      <c r="O50" s="296"/>
      <c r="P50" s="252">
        <v>0.04</v>
      </c>
      <c r="Q50" s="252"/>
      <c r="R50" s="23">
        <v>3</v>
      </c>
      <c r="S50" s="173"/>
    </row>
    <row r="51" ht="45" customHeight="1" spans="1:19">
      <c r="A51" s="63"/>
      <c r="B51" s="79"/>
      <c r="C51" s="69"/>
      <c r="D51" s="70"/>
      <c r="E51" s="54" t="s">
        <v>141</v>
      </c>
      <c r="F51" s="54"/>
      <c r="G51" s="54"/>
      <c r="H51" s="54" t="s">
        <v>44</v>
      </c>
      <c r="I51" s="54"/>
      <c r="J51" s="51" t="s">
        <v>382</v>
      </c>
      <c r="K51" s="52"/>
      <c r="L51" s="52"/>
      <c r="M51" s="52"/>
      <c r="N51" s="52"/>
      <c r="O51" s="53"/>
      <c r="P51" s="144">
        <v>0.04</v>
      </c>
      <c r="Q51" s="144"/>
      <c r="R51" s="23">
        <v>3</v>
      </c>
      <c r="S51" s="173"/>
    </row>
    <row r="52" s="205" customFormat="1" ht="45" customHeight="1" spans="1:20">
      <c r="A52" s="63"/>
      <c r="B52" s="79"/>
      <c r="C52" s="69"/>
      <c r="D52" s="70"/>
      <c r="E52" s="54" t="s">
        <v>143</v>
      </c>
      <c r="F52" s="54"/>
      <c r="G52" s="54"/>
      <c r="H52" s="54" t="s">
        <v>383</v>
      </c>
      <c r="I52" s="54"/>
      <c r="J52" s="239" t="s">
        <v>384</v>
      </c>
      <c r="K52" s="240"/>
      <c r="L52" s="240"/>
      <c r="M52" s="240"/>
      <c r="N52" s="240"/>
      <c r="O52" s="241"/>
      <c r="P52" s="144">
        <v>0.04</v>
      </c>
      <c r="Q52" s="144"/>
      <c r="R52" s="23">
        <v>3</v>
      </c>
      <c r="S52" s="176"/>
      <c r="T52" s="40"/>
    </row>
    <row r="53" s="205" customFormat="1" ht="45.6" customHeight="1" spans="1:20">
      <c r="A53" s="63"/>
      <c r="B53" s="79"/>
      <c r="C53" s="69"/>
      <c r="D53" s="70"/>
      <c r="E53" s="54" t="s">
        <v>146</v>
      </c>
      <c r="F53" s="54"/>
      <c r="G53" s="54"/>
      <c r="H53" s="214" t="s">
        <v>147</v>
      </c>
      <c r="I53" s="214"/>
      <c r="J53" s="239" t="s">
        <v>385</v>
      </c>
      <c r="K53" s="240"/>
      <c r="L53" s="240"/>
      <c r="M53" s="240"/>
      <c r="N53" s="240"/>
      <c r="O53" s="241"/>
      <c r="P53" s="142">
        <v>0.03</v>
      </c>
      <c r="Q53" s="144"/>
      <c r="R53" s="23">
        <v>2</v>
      </c>
      <c r="S53" s="176"/>
      <c r="T53" s="40"/>
    </row>
    <row r="54" s="205" customFormat="1" ht="45" customHeight="1" spans="1:20">
      <c r="A54" s="63"/>
      <c r="B54" s="81"/>
      <c r="C54" s="82"/>
      <c r="D54" s="83"/>
      <c r="E54" s="84" t="s">
        <v>149</v>
      </c>
      <c r="F54" s="84"/>
      <c r="G54" s="84"/>
      <c r="H54" s="217" t="s">
        <v>386</v>
      </c>
      <c r="I54" s="217"/>
      <c r="J54" s="256" t="s">
        <v>151</v>
      </c>
      <c r="K54" s="257"/>
      <c r="L54" s="257"/>
      <c r="M54" s="257"/>
      <c r="N54" s="257"/>
      <c r="O54" s="258"/>
      <c r="P54" s="146">
        <v>0.04</v>
      </c>
      <c r="Q54" s="146"/>
      <c r="R54" s="177">
        <v>3</v>
      </c>
      <c r="S54" s="178"/>
      <c r="T54" s="40"/>
    </row>
    <row r="55" ht="30" customHeight="1" spans="1:19">
      <c r="A55" s="63"/>
      <c r="B55" s="16" t="s">
        <v>152</v>
      </c>
      <c r="C55" s="17"/>
      <c r="D55" s="17"/>
      <c r="E55" s="17"/>
      <c r="F55" s="17"/>
      <c r="G55" s="17"/>
      <c r="H55" s="17"/>
      <c r="I55" s="17"/>
      <c r="J55" s="17"/>
      <c r="K55" s="17"/>
      <c r="L55" s="17"/>
      <c r="M55" s="17"/>
      <c r="N55" s="17"/>
      <c r="O55" s="18"/>
      <c r="P55" s="259">
        <v>1</v>
      </c>
      <c r="Q55" s="259"/>
      <c r="R55" s="299">
        <f>SUM(R38:R54)</f>
        <v>88</v>
      </c>
      <c r="S55" s="300"/>
    </row>
    <row r="56" ht="36" customHeight="1" spans="1:19">
      <c r="A56" s="88"/>
      <c r="B56" s="89" t="s">
        <v>153</v>
      </c>
      <c r="C56" s="90" t="s">
        <v>154</v>
      </c>
      <c r="D56" s="91"/>
      <c r="E56" s="91"/>
      <c r="F56" s="91"/>
      <c r="G56" s="91"/>
      <c r="H56" s="91"/>
      <c r="I56" s="91"/>
      <c r="J56" s="91"/>
      <c r="K56" s="91"/>
      <c r="L56" s="91"/>
      <c r="M56" s="91"/>
      <c r="N56" s="91"/>
      <c r="O56" s="91"/>
      <c r="P56" s="91"/>
      <c r="Q56" s="91"/>
      <c r="R56" s="91"/>
      <c r="S56" s="181"/>
    </row>
    <row r="57" ht="22.5" customHeight="1" spans="1:19">
      <c r="A57" s="62" t="s">
        <v>155</v>
      </c>
      <c r="B57" s="92" t="s">
        <v>156</v>
      </c>
      <c r="C57" s="93" t="s">
        <v>157</v>
      </c>
      <c r="D57" s="94"/>
      <c r="E57" s="95" t="s">
        <v>158</v>
      </c>
      <c r="F57" s="93"/>
      <c r="G57" s="93"/>
      <c r="H57" s="93"/>
      <c r="I57" s="93"/>
      <c r="J57" s="93"/>
      <c r="K57" s="93"/>
      <c r="L57" s="93"/>
      <c r="M57" s="93"/>
      <c r="N57" s="94"/>
      <c r="O57" s="149" t="s">
        <v>159</v>
      </c>
      <c r="P57" s="95" t="s">
        <v>160</v>
      </c>
      <c r="Q57" s="94"/>
      <c r="R57" s="95" t="s">
        <v>161</v>
      </c>
      <c r="S57" s="182"/>
    </row>
    <row r="58" ht="21" customHeight="1" spans="1:19">
      <c r="A58" s="96"/>
      <c r="B58" s="97"/>
      <c r="C58" s="98"/>
      <c r="D58" s="99"/>
      <c r="E58" s="100"/>
      <c r="F58" s="101"/>
      <c r="G58" s="101"/>
      <c r="H58" s="101"/>
      <c r="I58" s="101"/>
      <c r="J58" s="101"/>
      <c r="K58" s="101"/>
      <c r="L58" s="101"/>
      <c r="M58" s="101"/>
      <c r="N58" s="150"/>
      <c r="O58" s="57"/>
      <c r="P58" s="98"/>
      <c r="Q58" s="99"/>
      <c r="R58" s="98"/>
      <c r="S58" s="160"/>
    </row>
    <row r="59" ht="21" customHeight="1" spans="1:19">
      <c r="A59" s="96"/>
      <c r="B59" s="97"/>
      <c r="C59" s="98"/>
      <c r="D59" s="99"/>
      <c r="E59" s="100"/>
      <c r="F59" s="101"/>
      <c r="G59" s="101"/>
      <c r="H59" s="101"/>
      <c r="I59" s="101"/>
      <c r="J59" s="101"/>
      <c r="K59" s="101"/>
      <c r="L59" s="101"/>
      <c r="M59" s="101"/>
      <c r="N59" s="150"/>
      <c r="O59" s="57"/>
      <c r="P59" s="98"/>
      <c r="Q59" s="99"/>
      <c r="R59" s="98"/>
      <c r="S59" s="160"/>
    </row>
    <row r="60" ht="21" customHeight="1" spans="1:19">
      <c r="A60" s="96"/>
      <c r="B60" s="97"/>
      <c r="C60" s="98"/>
      <c r="D60" s="99"/>
      <c r="E60" s="100"/>
      <c r="F60" s="101"/>
      <c r="G60" s="101"/>
      <c r="H60" s="101"/>
      <c r="I60" s="101"/>
      <c r="J60" s="101"/>
      <c r="K60" s="101"/>
      <c r="L60" s="101"/>
      <c r="M60" s="101"/>
      <c r="N60" s="150"/>
      <c r="O60" s="57"/>
      <c r="P60" s="98"/>
      <c r="Q60" s="99"/>
      <c r="R60" s="98"/>
      <c r="S60" s="160"/>
    </row>
    <row r="61" ht="21" customHeight="1" spans="1:19">
      <c r="A61" s="96"/>
      <c r="B61" s="97"/>
      <c r="C61" s="98"/>
      <c r="D61" s="99"/>
      <c r="E61" s="100"/>
      <c r="F61" s="101"/>
      <c r="G61" s="101"/>
      <c r="H61" s="101"/>
      <c r="I61" s="101"/>
      <c r="J61" s="101"/>
      <c r="K61" s="101"/>
      <c r="L61" s="101"/>
      <c r="M61" s="101"/>
      <c r="N61" s="150"/>
      <c r="O61" s="57"/>
      <c r="P61" s="98"/>
      <c r="Q61" s="99"/>
      <c r="R61" s="98"/>
      <c r="S61" s="160"/>
    </row>
    <row r="62" ht="21" customHeight="1" spans="1:19">
      <c r="A62" s="96"/>
      <c r="B62" s="97"/>
      <c r="C62" s="98"/>
      <c r="D62" s="99"/>
      <c r="E62" s="100"/>
      <c r="F62" s="101"/>
      <c r="G62" s="101"/>
      <c r="H62" s="101"/>
      <c r="I62" s="101"/>
      <c r="J62" s="101"/>
      <c r="K62" s="101"/>
      <c r="L62" s="101"/>
      <c r="M62" s="101"/>
      <c r="N62" s="150"/>
      <c r="O62" s="57"/>
      <c r="P62" s="98"/>
      <c r="Q62" s="99"/>
      <c r="R62" s="98"/>
      <c r="S62" s="160"/>
    </row>
    <row r="63" ht="105.75" customHeight="1" spans="1:19">
      <c r="A63" s="96"/>
      <c r="B63" s="97"/>
      <c r="C63" s="102" t="s">
        <v>162</v>
      </c>
      <c r="D63" s="103"/>
      <c r="E63" s="103"/>
      <c r="F63" s="103"/>
      <c r="G63" s="103"/>
      <c r="H63" s="103"/>
      <c r="I63" s="103"/>
      <c r="J63" s="103"/>
      <c r="K63" s="103"/>
      <c r="L63" s="103"/>
      <c r="M63" s="103"/>
      <c r="N63" s="103"/>
      <c r="O63" s="103"/>
      <c r="P63" s="103"/>
      <c r="Q63" s="103"/>
      <c r="R63" s="103"/>
      <c r="S63" s="183"/>
    </row>
    <row r="64" ht="27" customHeight="1" spans="1:19">
      <c r="A64" s="96"/>
      <c r="B64" s="104"/>
      <c r="C64" s="105" t="s">
        <v>163</v>
      </c>
      <c r="D64" s="106"/>
      <c r="E64" s="106"/>
      <c r="F64" s="106"/>
      <c r="G64" s="106"/>
      <c r="H64" s="106"/>
      <c r="I64" s="106"/>
      <c r="J64" s="106"/>
      <c r="K64" s="106"/>
      <c r="L64" s="106"/>
      <c r="M64" s="106"/>
      <c r="N64" s="106"/>
      <c r="O64" s="106"/>
      <c r="P64" s="106"/>
      <c r="Q64" s="106"/>
      <c r="R64" s="106"/>
      <c r="S64" s="184"/>
    </row>
    <row r="65" ht="48.75" customHeight="1" spans="1:19">
      <c r="A65" s="96"/>
      <c r="B65" s="92" t="s">
        <v>164</v>
      </c>
      <c r="C65" s="107" t="s">
        <v>165</v>
      </c>
      <c r="D65" s="108"/>
      <c r="E65" s="108"/>
      <c r="F65" s="108"/>
      <c r="G65" s="108"/>
      <c r="H65" s="108"/>
      <c r="I65" s="108"/>
      <c r="J65" s="108"/>
      <c r="K65" s="108"/>
      <c r="L65" s="108"/>
      <c r="M65" s="108"/>
      <c r="N65" s="108"/>
      <c r="O65" s="108"/>
      <c r="P65" s="108"/>
      <c r="Q65" s="108"/>
      <c r="R65" s="108"/>
      <c r="S65" s="185"/>
    </row>
    <row r="66" ht="55.5" customHeight="1" spans="1:19">
      <c r="A66" s="96"/>
      <c r="B66" s="186"/>
      <c r="C66" s="187" t="s">
        <v>166</v>
      </c>
      <c r="D66" s="188"/>
      <c r="E66" s="188"/>
      <c r="F66" s="188"/>
      <c r="G66" s="188"/>
      <c r="H66" s="188"/>
      <c r="I66" s="188"/>
      <c r="J66" s="188"/>
      <c r="K66" s="188"/>
      <c r="L66" s="188"/>
      <c r="M66" s="188"/>
      <c r="N66" s="188"/>
      <c r="O66" s="188"/>
      <c r="P66" s="188"/>
      <c r="Q66" s="188"/>
      <c r="R66" s="188"/>
      <c r="S66" s="201"/>
    </row>
    <row r="67" ht="104.25" customHeight="1" spans="1:19">
      <c r="A67" s="96"/>
      <c r="B67" s="186"/>
      <c r="C67" s="102" t="s">
        <v>167</v>
      </c>
      <c r="D67" s="103"/>
      <c r="E67" s="103"/>
      <c r="F67" s="103"/>
      <c r="G67" s="103"/>
      <c r="H67" s="103"/>
      <c r="I67" s="103"/>
      <c r="J67" s="103"/>
      <c r="K67" s="103"/>
      <c r="L67" s="103"/>
      <c r="M67" s="103"/>
      <c r="N67" s="103"/>
      <c r="O67" s="103"/>
      <c r="P67" s="103"/>
      <c r="Q67" s="103"/>
      <c r="R67" s="103"/>
      <c r="S67" s="183"/>
    </row>
    <row r="68" ht="28.5" customHeight="1" spans="1:19">
      <c r="A68" s="96"/>
      <c r="B68" s="189"/>
      <c r="C68" s="105" t="s">
        <v>168</v>
      </c>
      <c r="D68" s="106"/>
      <c r="E68" s="106"/>
      <c r="F68" s="106"/>
      <c r="G68" s="106"/>
      <c r="H68" s="106"/>
      <c r="I68" s="106"/>
      <c r="J68" s="106"/>
      <c r="K68" s="106"/>
      <c r="L68" s="106"/>
      <c r="M68" s="106"/>
      <c r="N68" s="106"/>
      <c r="O68" s="106"/>
      <c r="P68" s="106"/>
      <c r="Q68" s="106"/>
      <c r="R68" s="106"/>
      <c r="S68" s="184"/>
    </row>
    <row r="69" customHeight="1" spans="1:19">
      <c r="A69" s="96"/>
      <c r="B69" s="186" t="s">
        <v>169</v>
      </c>
      <c r="C69" s="190"/>
      <c r="D69" s="191"/>
      <c r="E69" s="191"/>
      <c r="F69" s="191"/>
      <c r="G69" s="191"/>
      <c r="H69" s="191"/>
      <c r="I69" s="191"/>
      <c r="J69" s="191"/>
      <c r="K69" s="191"/>
      <c r="L69" s="191"/>
      <c r="M69" s="191"/>
      <c r="N69" s="191"/>
      <c r="O69" s="191"/>
      <c r="P69" s="191"/>
      <c r="Q69" s="191"/>
      <c r="R69" s="191"/>
      <c r="S69" s="202"/>
    </row>
    <row r="70" ht="14.25" customHeight="1" spans="1:19">
      <c r="A70" s="96"/>
      <c r="B70" s="186"/>
      <c r="C70" s="191"/>
      <c r="D70" s="191"/>
      <c r="E70" s="191"/>
      <c r="F70" s="192"/>
      <c r="G70" s="191"/>
      <c r="H70" s="191"/>
      <c r="I70" s="191"/>
      <c r="J70" s="191"/>
      <c r="K70" s="191"/>
      <c r="L70" s="191"/>
      <c r="M70" s="191"/>
      <c r="N70" s="191"/>
      <c r="O70" s="191"/>
      <c r="P70" s="191"/>
      <c r="Q70" s="191"/>
      <c r="R70" s="191"/>
      <c r="S70" s="202"/>
    </row>
    <row r="71" ht="30.75" customHeight="1" spans="1:19">
      <c r="A71" s="96"/>
      <c r="B71" s="186"/>
      <c r="C71" s="193"/>
      <c r="D71" s="194"/>
      <c r="E71" s="194"/>
      <c r="F71" s="194"/>
      <c r="G71" s="194"/>
      <c r="H71" s="194"/>
      <c r="I71" s="194"/>
      <c r="J71" s="194"/>
      <c r="K71" s="194"/>
      <c r="L71" s="194"/>
      <c r="M71" s="194"/>
      <c r="N71" s="194"/>
      <c r="O71" s="194"/>
      <c r="P71" s="194"/>
      <c r="Q71" s="194"/>
      <c r="R71" s="194"/>
      <c r="S71" s="203"/>
    </row>
    <row r="72" ht="53.25" customHeight="1" spans="1:19">
      <c r="A72" s="195"/>
      <c r="B72" s="189"/>
      <c r="C72" s="196" t="s">
        <v>170</v>
      </c>
      <c r="D72" s="197"/>
      <c r="E72" s="197"/>
      <c r="F72" s="197"/>
      <c r="G72" s="197"/>
      <c r="H72" s="197"/>
      <c r="I72" s="197"/>
      <c r="J72" s="197"/>
      <c r="K72" s="197"/>
      <c r="L72" s="197"/>
      <c r="M72" s="197"/>
      <c r="N72" s="197"/>
      <c r="O72" s="197"/>
      <c r="P72" s="197"/>
      <c r="Q72" s="197"/>
      <c r="R72" s="197"/>
      <c r="S72" s="204"/>
    </row>
    <row r="73" ht="19.5" customHeight="1" spans="1:19">
      <c r="A73" s="198"/>
      <c r="B73" s="199" t="s">
        <v>171</v>
      </c>
      <c r="C73" s="199"/>
      <c r="D73" s="199"/>
      <c r="E73" s="199"/>
      <c r="F73" s="199"/>
      <c r="G73" s="199"/>
      <c r="H73" s="199" t="s">
        <v>172</v>
      </c>
      <c r="I73" s="199"/>
      <c r="J73" s="199"/>
      <c r="K73" s="199"/>
      <c r="L73" s="199"/>
      <c r="N73" s="200"/>
      <c r="O73" s="200" t="s">
        <v>173</v>
      </c>
      <c r="Q73" s="200"/>
      <c r="R73" s="200"/>
      <c r="S73" s="200"/>
    </row>
  </sheetData>
  <mergeCells count="285">
    <mergeCell ref="A1:S1"/>
    <mergeCell ref="B2:D2"/>
    <mergeCell ref="E2:S2"/>
    <mergeCell ref="K3:M3"/>
    <mergeCell ref="P3:S3"/>
    <mergeCell ref="K4:M4"/>
    <mergeCell ref="P4:S4"/>
    <mergeCell ref="B5:H5"/>
    <mergeCell ref="I5:S5"/>
    <mergeCell ref="C6:H6"/>
    <mergeCell ref="I6:K6"/>
    <mergeCell ref="L6:O6"/>
    <mergeCell ref="P6:S6"/>
    <mergeCell ref="C7:D7"/>
    <mergeCell ref="E7:H7"/>
    <mergeCell ref="I7:K7"/>
    <mergeCell ref="L7:M7"/>
    <mergeCell ref="N7:O7"/>
    <mergeCell ref="P7:Q7"/>
    <mergeCell ref="R7:S7"/>
    <mergeCell ref="E8:H8"/>
    <mergeCell ref="I8:K8"/>
    <mergeCell ref="L8:M8"/>
    <mergeCell ref="N8:O8"/>
    <mergeCell ref="P8:Q8"/>
    <mergeCell ref="R8:S8"/>
    <mergeCell ref="E9:H9"/>
    <mergeCell ref="I9:K9"/>
    <mergeCell ref="L9:M9"/>
    <mergeCell ref="N9:O9"/>
    <mergeCell ref="P9:Q9"/>
    <mergeCell ref="R9:S9"/>
    <mergeCell ref="E10:H10"/>
    <mergeCell ref="I10:K10"/>
    <mergeCell ref="L10:M10"/>
    <mergeCell ref="N10:O10"/>
    <mergeCell ref="P10:Q10"/>
    <mergeCell ref="R10:S10"/>
    <mergeCell ref="E11:H11"/>
    <mergeCell ref="I11:K11"/>
    <mergeCell ref="L11:M11"/>
    <mergeCell ref="N11:O11"/>
    <mergeCell ref="P11:Q11"/>
    <mergeCell ref="R11:S11"/>
    <mergeCell ref="E12:H12"/>
    <mergeCell ref="I12:K12"/>
    <mergeCell ref="L12:M12"/>
    <mergeCell ref="N12:O12"/>
    <mergeCell ref="P12:Q12"/>
    <mergeCell ref="R12:S12"/>
    <mergeCell ref="E13:H13"/>
    <mergeCell ref="I13:K13"/>
    <mergeCell ref="L13:M13"/>
    <mergeCell ref="N13:O13"/>
    <mergeCell ref="P13:Q13"/>
    <mergeCell ref="R13:S13"/>
    <mergeCell ref="E14:H14"/>
    <mergeCell ref="I14:K14"/>
    <mergeCell ref="L14:M14"/>
    <mergeCell ref="N14:O14"/>
    <mergeCell ref="P14:Q14"/>
    <mergeCell ref="R14:S14"/>
    <mergeCell ref="E15:H15"/>
    <mergeCell ref="I15:K15"/>
    <mergeCell ref="L15:M15"/>
    <mergeCell ref="N15:O15"/>
    <mergeCell ref="P15:Q15"/>
    <mergeCell ref="R15:S15"/>
    <mergeCell ref="E16:H16"/>
    <mergeCell ref="I16:K16"/>
    <mergeCell ref="L16:M16"/>
    <mergeCell ref="N16:O16"/>
    <mergeCell ref="P16:Q16"/>
    <mergeCell ref="R16:S16"/>
    <mergeCell ref="E17:H17"/>
    <mergeCell ref="I17:K17"/>
    <mergeCell ref="L17:M17"/>
    <mergeCell ref="N17:O17"/>
    <mergeCell ref="P17:Q17"/>
    <mergeCell ref="R17:S17"/>
    <mergeCell ref="B18:D18"/>
    <mergeCell ref="E18:H18"/>
    <mergeCell ref="I18:K18"/>
    <mergeCell ref="L18:S18"/>
    <mergeCell ref="I19:S19"/>
    <mergeCell ref="I20:S20"/>
    <mergeCell ref="I21:S21"/>
    <mergeCell ref="I22:J22"/>
    <mergeCell ref="K22:N22"/>
    <mergeCell ref="O22:Q22"/>
    <mergeCell ref="B25:D25"/>
    <mergeCell ref="E25:H25"/>
    <mergeCell ref="M25:N25"/>
    <mergeCell ref="P25:Q25"/>
    <mergeCell ref="R25:S25"/>
    <mergeCell ref="B26:D26"/>
    <mergeCell ref="E26:H26"/>
    <mergeCell ref="M26:N26"/>
    <mergeCell ref="P26:Q26"/>
    <mergeCell ref="R26:S26"/>
    <mergeCell ref="B27:D27"/>
    <mergeCell ref="E27:H27"/>
    <mergeCell ref="M27:N27"/>
    <mergeCell ref="P27:Q27"/>
    <mergeCell ref="R27:S27"/>
    <mergeCell ref="B28:D28"/>
    <mergeCell ref="E28:H28"/>
    <mergeCell ref="M28:N28"/>
    <mergeCell ref="P28:Q28"/>
    <mergeCell ref="R28:S28"/>
    <mergeCell ref="B29:D29"/>
    <mergeCell ref="E29:H29"/>
    <mergeCell ref="M29:N29"/>
    <mergeCell ref="P29:Q29"/>
    <mergeCell ref="R29:S29"/>
    <mergeCell ref="B30:D30"/>
    <mergeCell ref="E30:H30"/>
    <mergeCell ref="M30:N30"/>
    <mergeCell ref="P30:Q30"/>
    <mergeCell ref="R30:S30"/>
    <mergeCell ref="E31:O31"/>
    <mergeCell ref="P31:S31"/>
    <mergeCell ref="E32:O32"/>
    <mergeCell ref="P32:S32"/>
    <mergeCell ref="E33:O33"/>
    <mergeCell ref="P33:S33"/>
    <mergeCell ref="E34:O34"/>
    <mergeCell ref="P34:S34"/>
    <mergeCell ref="E35:O35"/>
    <mergeCell ref="P35:S35"/>
    <mergeCell ref="E36:O36"/>
    <mergeCell ref="P36:S36"/>
    <mergeCell ref="B37:D37"/>
    <mergeCell ref="E37:G37"/>
    <mergeCell ref="H37:I37"/>
    <mergeCell ref="J37:O37"/>
    <mergeCell ref="P37:Q37"/>
    <mergeCell ref="R37:S37"/>
    <mergeCell ref="E38:G38"/>
    <mergeCell ref="H38:I38"/>
    <mergeCell ref="J38:O38"/>
    <mergeCell ref="P38:Q38"/>
    <mergeCell ref="R38:S38"/>
    <mergeCell ref="E39:G39"/>
    <mergeCell ref="H39:I39"/>
    <mergeCell ref="J39:O39"/>
    <mergeCell ref="P39:Q39"/>
    <mergeCell ref="R39:S39"/>
    <mergeCell ref="E40:G40"/>
    <mergeCell ref="H40:I40"/>
    <mergeCell ref="J40:O40"/>
    <mergeCell ref="P40:Q40"/>
    <mergeCell ref="R40:S40"/>
    <mergeCell ref="H41:I41"/>
    <mergeCell ref="J41:O41"/>
    <mergeCell ref="P41:Q41"/>
    <mergeCell ref="R41:S41"/>
    <mergeCell ref="H42:I42"/>
    <mergeCell ref="J42:O42"/>
    <mergeCell ref="P42:Q42"/>
    <mergeCell ref="R42:S42"/>
    <mergeCell ref="H43:I43"/>
    <mergeCell ref="J43:O43"/>
    <mergeCell ref="P43:Q43"/>
    <mergeCell ref="R43:S43"/>
    <mergeCell ref="H44:I44"/>
    <mergeCell ref="J44:O44"/>
    <mergeCell ref="P44:Q44"/>
    <mergeCell ref="R44:S44"/>
    <mergeCell ref="H45:I45"/>
    <mergeCell ref="J45:O45"/>
    <mergeCell ref="P45:Q45"/>
    <mergeCell ref="R45:S45"/>
    <mergeCell ref="H46:I46"/>
    <mergeCell ref="J46:O46"/>
    <mergeCell ref="P46:Q46"/>
    <mergeCell ref="R46:S46"/>
    <mergeCell ref="H47:I47"/>
    <mergeCell ref="J47:O47"/>
    <mergeCell ref="P47:Q47"/>
    <mergeCell ref="R47:S47"/>
    <mergeCell ref="H48:I48"/>
    <mergeCell ref="J48:O48"/>
    <mergeCell ref="P48:Q48"/>
    <mergeCell ref="R48:S48"/>
    <mergeCell ref="H49:I49"/>
    <mergeCell ref="J49:O49"/>
    <mergeCell ref="P49:Q49"/>
    <mergeCell ref="R49:S49"/>
    <mergeCell ref="E50:G50"/>
    <mergeCell ref="H50:I50"/>
    <mergeCell ref="J50:O50"/>
    <mergeCell ref="P50:Q50"/>
    <mergeCell ref="R50:S50"/>
    <mergeCell ref="E51:G51"/>
    <mergeCell ref="H51:I51"/>
    <mergeCell ref="J51:O51"/>
    <mergeCell ref="P51:Q51"/>
    <mergeCell ref="R51:S51"/>
    <mergeCell ref="E52:G52"/>
    <mergeCell ref="H52:I52"/>
    <mergeCell ref="J52:O52"/>
    <mergeCell ref="P52:Q52"/>
    <mergeCell ref="R52:S52"/>
    <mergeCell ref="E53:G53"/>
    <mergeCell ref="H53:I53"/>
    <mergeCell ref="J53:O53"/>
    <mergeCell ref="P53:Q53"/>
    <mergeCell ref="R53:S53"/>
    <mergeCell ref="E54:G54"/>
    <mergeCell ref="H54:I54"/>
    <mergeCell ref="J54:O54"/>
    <mergeCell ref="P54:Q54"/>
    <mergeCell ref="R54:S54"/>
    <mergeCell ref="B55:O55"/>
    <mergeCell ref="P55:Q55"/>
    <mergeCell ref="R55:S55"/>
    <mergeCell ref="C56:S56"/>
    <mergeCell ref="C57:D57"/>
    <mergeCell ref="E57:N57"/>
    <mergeCell ref="P57:Q57"/>
    <mergeCell ref="R57:S57"/>
    <mergeCell ref="C58:D58"/>
    <mergeCell ref="E58:N58"/>
    <mergeCell ref="P58:Q58"/>
    <mergeCell ref="R58:S58"/>
    <mergeCell ref="C59:D59"/>
    <mergeCell ref="E59:N59"/>
    <mergeCell ref="P59:Q59"/>
    <mergeCell ref="R59:S59"/>
    <mergeCell ref="C60:D60"/>
    <mergeCell ref="E60:N60"/>
    <mergeCell ref="P60:Q60"/>
    <mergeCell ref="R60:S60"/>
    <mergeCell ref="C61:D61"/>
    <mergeCell ref="E61:N61"/>
    <mergeCell ref="P61:Q61"/>
    <mergeCell ref="R61:S61"/>
    <mergeCell ref="C62:D62"/>
    <mergeCell ref="E62:N62"/>
    <mergeCell ref="P62:Q62"/>
    <mergeCell ref="R62:S62"/>
    <mergeCell ref="C63:S63"/>
    <mergeCell ref="C64:S64"/>
    <mergeCell ref="C65:S65"/>
    <mergeCell ref="C66:S66"/>
    <mergeCell ref="C67:S67"/>
    <mergeCell ref="C68:S68"/>
    <mergeCell ref="C72:S72"/>
    <mergeCell ref="A2:A20"/>
    <mergeCell ref="A21:A36"/>
    <mergeCell ref="A37:A40"/>
    <mergeCell ref="A41:A56"/>
    <mergeCell ref="A57:A72"/>
    <mergeCell ref="B6:B17"/>
    <mergeCell ref="B57:B64"/>
    <mergeCell ref="B65:B68"/>
    <mergeCell ref="B69:B72"/>
    <mergeCell ref="I23:I24"/>
    <mergeCell ref="J23:J24"/>
    <mergeCell ref="K23:K24"/>
    <mergeCell ref="L23:L24"/>
    <mergeCell ref="O23:O24"/>
    <mergeCell ref="T37:T40"/>
    <mergeCell ref="U13:U16"/>
    <mergeCell ref="B3:H4"/>
    <mergeCell ref="I3:J4"/>
    <mergeCell ref="N3:O4"/>
    <mergeCell ref="C8:D10"/>
    <mergeCell ref="C11:D12"/>
    <mergeCell ref="C13:D17"/>
    <mergeCell ref="B19:H20"/>
    <mergeCell ref="B21:D24"/>
    <mergeCell ref="E21:H24"/>
    <mergeCell ref="R22:S24"/>
    <mergeCell ref="M23:N24"/>
    <mergeCell ref="P23:Q24"/>
    <mergeCell ref="B31:C36"/>
    <mergeCell ref="B38:D40"/>
    <mergeCell ref="B41:D45"/>
    <mergeCell ref="E41:G43"/>
    <mergeCell ref="E44:G45"/>
    <mergeCell ref="B46:D54"/>
    <mergeCell ref="E46:G47"/>
    <mergeCell ref="E48:G49"/>
  </mergeCells>
  <pageMargins left="0.59" right="0.24" top="0.98" bottom="0.98" header="0.51" footer="0.51"/>
  <pageSetup paperSize="9" scale="74" orientation="portrait" horizontalDpi="600" verticalDpi="600"/>
  <headerFooter alignWithMargins="0"/>
  <rowBreaks count="3" manualBreakCount="3">
    <brk id="20" max="18" man="1"/>
    <brk id="36" max="18" man="1"/>
    <brk id="56" max="18" man="1"/>
  </rowBreak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69"/>
  <sheetViews>
    <sheetView workbookViewId="0">
      <selection activeCell="P8" sqref="P8:S8"/>
    </sheetView>
  </sheetViews>
  <sheetFormatPr defaultColWidth="9" defaultRowHeight="12"/>
  <cols>
    <col min="1" max="1" width="4.5" style="3" customWidth="1"/>
    <col min="2" max="2" width="6.875" style="3" customWidth="1"/>
    <col min="3" max="3" width="6.5" style="3" customWidth="1"/>
    <col min="4" max="4" width="4.75" style="3" customWidth="1"/>
    <col min="5" max="6" width="4.625" style="3" customWidth="1"/>
    <col min="7" max="7" width="4.375" style="3" customWidth="1"/>
    <col min="8" max="8" width="5.25" style="3" customWidth="1"/>
    <col min="9" max="9" width="11" style="3" customWidth="1"/>
    <col min="10" max="10" width="4.5" style="3" customWidth="1"/>
    <col min="11" max="11" width="4.375" style="3" customWidth="1"/>
    <col min="12" max="12" width="8.5" style="3" customWidth="1"/>
    <col min="13" max="13" width="4.75" style="3" customWidth="1"/>
    <col min="14" max="14" width="5.625" style="3" customWidth="1"/>
    <col min="15" max="15" width="7.625" style="3" customWidth="1"/>
    <col min="16" max="16" width="4.25" style="3" customWidth="1"/>
    <col min="17" max="17" width="4.625" style="3" customWidth="1"/>
    <col min="18" max="18" width="4.375" style="3" customWidth="1"/>
    <col min="19" max="19" width="3.25" style="3" customWidth="1"/>
    <col min="20" max="20" width="9" style="4" hidden="1" customWidth="1"/>
    <col min="21" max="16384" width="9" style="3"/>
  </cols>
  <sheetData>
    <row r="1" ht="26.25" customHeight="1" spans="1:19">
      <c r="A1" s="5"/>
      <c r="B1" s="5"/>
      <c r="C1" s="6"/>
      <c r="D1" s="6"/>
      <c r="E1" s="6"/>
      <c r="F1" s="6"/>
      <c r="G1" s="6"/>
      <c r="H1" s="6"/>
      <c r="I1" s="6"/>
      <c r="J1" s="6"/>
      <c r="K1" s="6"/>
      <c r="L1" s="6"/>
      <c r="M1" s="6"/>
      <c r="N1" s="6"/>
      <c r="O1" s="6"/>
      <c r="P1" s="6"/>
      <c r="Q1" s="6"/>
      <c r="R1" s="6"/>
      <c r="S1" s="6"/>
    </row>
    <row r="2" ht="43.15" customHeight="1" spans="1:19">
      <c r="A2" s="7" t="s">
        <v>480</v>
      </c>
      <c r="B2" s="7"/>
      <c r="C2" s="7"/>
      <c r="D2" s="7"/>
      <c r="E2" s="7"/>
      <c r="F2" s="7"/>
      <c r="G2" s="7"/>
      <c r="H2" s="7"/>
      <c r="I2" s="7"/>
      <c r="J2" s="7"/>
      <c r="K2" s="7"/>
      <c r="L2" s="7"/>
      <c r="M2" s="7"/>
      <c r="N2" s="7"/>
      <c r="O2" s="7"/>
      <c r="P2" s="7"/>
      <c r="Q2" s="7"/>
      <c r="R2" s="7"/>
      <c r="S2" s="7"/>
    </row>
    <row r="3" ht="24.75" customHeight="1" spans="1:19">
      <c r="A3" s="8" t="s">
        <v>1</v>
      </c>
      <c r="B3" s="9" t="s">
        <v>2</v>
      </c>
      <c r="C3" s="10"/>
      <c r="D3" s="10"/>
      <c r="E3" s="269" t="s">
        <v>481</v>
      </c>
      <c r="F3" s="269"/>
      <c r="G3" s="269"/>
      <c r="H3" s="269"/>
      <c r="I3" s="269"/>
      <c r="J3" s="269"/>
      <c r="K3" s="269"/>
      <c r="L3" s="269"/>
      <c r="M3" s="269"/>
      <c r="N3" s="269"/>
      <c r="O3" s="269"/>
      <c r="P3" s="269"/>
      <c r="Q3" s="269"/>
      <c r="R3" s="269"/>
      <c r="S3" s="282"/>
    </row>
    <row r="4" s="1" customFormat="1" ht="19.5" customHeight="1" spans="1:20">
      <c r="A4" s="12"/>
      <c r="B4" s="13" t="s">
        <v>4</v>
      </c>
      <c r="C4" s="14"/>
      <c r="D4" s="14"/>
      <c r="E4" s="14"/>
      <c r="F4" s="14"/>
      <c r="G4" s="14"/>
      <c r="H4" s="15"/>
      <c r="I4" s="109" t="s">
        <v>5</v>
      </c>
      <c r="J4" s="15"/>
      <c r="K4" s="110" t="s">
        <v>482</v>
      </c>
      <c r="L4" s="111"/>
      <c r="M4" s="112"/>
      <c r="N4" s="109" t="s">
        <v>7</v>
      </c>
      <c r="O4" s="15"/>
      <c r="P4" s="110" t="s">
        <v>483</v>
      </c>
      <c r="Q4" s="111"/>
      <c r="R4" s="111"/>
      <c r="S4" s="152"/>
      <c r="T4" s="153"/>
    </row>
    <row r="5" s="1" customFormat="1" ht="21" customHeight="1" spans="1:20">
      <c r="A5" s="12"/>
      <c r="B5" s="16"/>
      <c r="C5" s="17"/>
      <c r="D5" s="17"/>
      <c r="E5" s="17"/>
      <c r="F5" s="17"/>
      <c r="G5" s="17"/>
      <c r="H5" s="18"/>
      <c r="I5" s="113"/>
      <c r="J5" s="18"/>
      <c r="K5" s="110" t="s">
        <v>177</v>
      </c>
      <c r="L5" s="111"/>
      <c r="M5" s="112"/>
      <c r="N5" s="113"/>
      <c r="O5" s="18"/>
      <c r="P5" s="110" t="s">
        <v>484</v>
      </c>
      <c r="Q5" s="111"/>
      <c r="R5" s="111"/>
      <c r="S5" s="152"/>
      <c r="T5" s="153"/>
    </row>
    <row r="6" s="1" customFormat="1" ht="20.25" customHeight="1" spans="1:20">
      <c r="A6" s="12"/>
      <c r="B6" s="19" t="s">
        <v>11</v>
      </c>
      <c r="C6" s="20"/>
      <c r="D6" s="20"/>
      <c r="E6" s="20"/>
      <c r="F6" s="20"/>
      <c r="G6" s="20"/>
      <c r="H6" s="21"/>
      <c r="I6" s="115" t="s">
        <v>329</v>
      </c>
      <c r="J6" s="20"/>
      <c r="K6" s="20"/>
      <c r="L6" s="20"/>
      <c r="M6" s="20"/>
      <c r="N6" s="20"/>
      <c r="O6" s="20"/>
      <c r="P6" s="20"/>
      <c r="Q6" s="20"/>
      <c r="R6" s="20"/>
      <c r="S6" s="154"/>
      <c r="T6" s="153"/>
    </row>
    <row r="7" ht="33.6" customHeight="1" spans="1:19">
      <c r="A7" s="12"/>
      <c r="B7" s="22" t="s">
        <v>13</v>
      </c>
      <c r="C7" s="23" t="s">
        <v>14</v>
      </c>
      <c r="D7" s="23"/>
      <c r="E7" s="23"/>
      <c r="F7" s="23"/>
      <c r="G7" s="23"/>
      <c r="H7" s="23"/>
      <c r="I7" s="54"/>
      <c r="J7" s="54"/>
      <c r="K7" s="54"/>
      <c r="L7" s="23" t="s">
        <v>16</v>
      </c>
      <c r="M7" s="23"/>
      <c r="N7" s="23"/>
      <c r="O7" s="23"/>
      <c r="P7" s="20"/>
      <c r="Q7" s="20"/>
      <c r="R7" s="20"/>
      <c r="S7" s="154"/>
    </row>
    <row r="8" ht="45.75" customHeight="1" spans="1:19">
      <c r="A8" s="12"/>
      <c r="B8" s="24"/>
      <c r="C8" s="23" t="s">
        <v>17</v>
      </c>
      <c r="D8" s="23"/>
      <c r="E8" s="23" t="s">
        <v>18</v>
      </c>
      <c r="F8" s="23"/>
      <c r="G8" s="23"/>
      <c r="H8" s="23"/>
      <c r="I8" s="23" t="s">
        <v>19</v>
      </c>
      <c r="J8" s="23"/>
      <c r="K8" s="23"/>
      <c r="L8" s="23" t="s">
        <v>20</v>
      </c>
      <c r="M8" s="23"/>
      <c r="N8" s="23" t="s">
        <v>21</v>
      </c>
      <c r="O8" s="23"/>
      <c r="P8" s="25" t="s">
        <v>22</v>
      </c>
      <c r="Q8" s="21"/>
      <c r="R8" s="20" t="s">
        <v>23</v>
      </c>
      <c r="S8" s="154"/>
    </row>
    <row r="9" ht="28.5" customHeight="1" spans="1:19">
      <c r="A9" s="12"/>
      <c r="B9" s="24"/>
      <c r="C9" s="23" t="s">
        <v>24</v>
      </c>
      <c r="D9" s="23"/>
      <c r="E9" s="23" t="s">
        <v>25</v>
      </c>
      <c r="F9" s="23"/>
      <c r="G9" s="23"/>
      <c r="H9" s="23"/>
      <c r="I9" s="98" t="s">
        <v>485</v>
      </c>
      <c r="J9" s="280"/>
      <c r="K9" s="99"/>
      <c r="L9" s="54" t="s">
        <v>283</v>
      </c>
      <c r="M9" s="54"/>
      <c r="N9" s="54" t="s">
        <v>283</v>
      </c>
      <c r="O9" s="54"/>
      <c r="P9" s="25" t="s">
        <v>283</v>
      </c>
      <c r="Q9" s="21"/>
      <c r="R9" s="283">
        <v>1</v>
      </c>
      <c r="S9" s="154"/>
    </row>
    <row r="10" ht="68.25" customHeight="1" spans="1:19">
      <c r="A10" s="12"/>
      <c r="B10" s="24"/>
      <c r="C10" s="23"/>
      <c r="D10" s="23"/>
      <c r="E10" s="23" t="s">
        <v>28</v>
      </c>
      <c r="F10" s="23" t="s">
        <v>28</v>
      </c>
      <c r="G10" s="23"/>
      <c r="H10" s="23"/>
      <c r="I10" s="98" t="s">
        <v>486</v>
      </c>
      <c r="J10" s="280"/>
      <c r="K10" s="99"/>
      <c r="L10" s="54" t="s">
        <v>487</v>
      </c>
      <c r="M10" s="54"/>
      <c r="N10" s="54" t="s">
        <v>488</v>
      </c>
      <c r="O10" s="54"/>
      <c r="P10" s="25">
        <v>500</v>
      </c>
      <c r="Q10" s="21"/>
      <c r="R10" s="283">
        <v>1</v>
      </c>
      <c r="S10" s="154"/>
    </row>
    <row r="11" ht="28.5" customHeight="1" spans="1:19">
      <c r="A11" s="12"/>
      <c r="B11" s="24"/>
      <c r="C11" s="23"/>
      <c r="D11" s="23"/>
      <c r="E11" s="23" t="s">
        <v>31</v>
      </c>
      <c r="F11" s="23" t="s">
        <v>31</v>
      </c>
      <c r="G11" s="23"/>
      <c r="H11" s="23"/>
      <c r="I11" s="208" t="s">
        <v>15</v>
      </c>
      <c r="J11" s="209"/>
      <c r="K11" s="218"/>
      <c r="L11" s="208" t="s">
        <v>15</v>
      </c>
      <c r="M11" s="209"/>
      <c r="N11" s="208" t="s">
        <v>15</v>
      </c>
      <c r="O11" s="209"/>
      <c r="P11" s="25" t="s">
        <v>15</v>
      </c>
      <c r="Q11" s="21"/>
      <c r="R11" s="20" t="s">
        <v>15</v>
      </c>
      <c r="S11" s="154"/>
    </row>
    <row r="12" ht="28.5" customHeight="1" spans="1:19">
      <c r="A12" s="12"/>
      <c r="B12" s="24"/>
      <c r="C12" s="23" t="s">
        <v>32</v>
      </c>
      <c r="D12" s="23"/>
      <c r="E12" s="23" t="s">
        <v>33</v>
      </c>
      <c r="F12" s="23" t="s">
        <v>33</v>
      </c>
      <c r="G12" s="23"/>
      <c r="H12" s="23"/>
      <c r="I12" s="98" t="s">
        <v>489</v>
      </c>
      <c r="J12" s="280"/>
      <c r="K12" s="99"/>
      <c r="L12" s="98">
        <v>500</v>
      </c>
      <c r="M12" s="280"/>
      <c r="N12" s="98" t="s">
        <v>488</v>
      </c>
      <c r="O12" s="280"/>
      <c r="P12" s="25">
        <v>319</v>
      </c>
      <c r="Q12" s="21"/>
      <c r="R12" s="284">
        <v>0.638</v>
      </c>
      <c r="S12" s="154"/>
    </row>
    <row r="13" ht="28.5" customHeight="1" spans="1:19">
      <c r="A13" s="12"/>
      <c r="B13" s="24"/>
      <c r="C13" s="23"/>
      <c r="D13" s="23"/>
      <c r="E13" s="23" t="s">
        <v>37</v>
      </c>
      <c r="F13" s="23" t="s">
        <v>37</v>
      </c>
      <c r="G13" s="23"/>
      <c r="H13" s="23"/>
      <c r="I13" s="98" t="s">
        <v>490</v>
      </c>
      <c r="J13" s="280"/>
      <c r="K13" s="99"/>
      <c r="L13" s="98" t="s">
        <v>400</v>
      </c>
      <c r="M13" s="280"/>
      <c r="N13" s="98" t="s">
        <v>399</v>
      </c>
      <c r="O13" s="280"/>
      <c r="P13" s="98" t="s">
        <v>399</v>
      </c>
      <c r="Q13" s="280"/>
      <c r="R13" s="283">
        <v>1</v>
      </c>
      <c r="S13" s="154"/>
    </row>
    <row r="14" ht="42" customHeight="1" spans="1:21">
      <c r="A14" s="12"/>
      <c r="B14" s="24"/>
      <c r="C14" s="23"/>
      <c r="D14" s="23"/>
      <c r="E14" s="23" t="s">
        <v>42</v>
      </c>
      <c r="F14" s="23" t="s">
        <v>42</v>
      </c>
      <c r="G14" s="23"/>
      <c r="H14" s="23"/>
      <c r="I14" s="226" t="s">
        <v>491</v>
      </c>
      <c r="J14" s="226"/>
      <c r="K14" s="226"/>
      <c r="L14" s="226" t="s">
        <v>492</v>
      </c>
      <c r="M14" s="226"/>
      <c r="N14" s="226" t="s">
        <v>493</v>
      </c>
      <c r="O14" s="226"/>
      <c r="P14" s="226" t="s">
        <v>493</v>
      </c>
      <c r="Q14" s="226"/>
      <c r="R14" s="283">
        <v>1</v>
      </c>
      <c r="S14" s="154"/>
      <c r="U14" s="285"/>
    </row>
    <row r="15" ht="28.5" customHeight="1" spans="1:21">
      <c r="A15" s="12"/>
      <c r="B15" s="24"/>
      <c r="C15" s="23"/>
      <c r="D15" s="23"/>
      <c r="E15" s="23" t="s">
        <v>46</v>
      </c>
      <c r="F15" s="23" t="s">
        <v>46</v>
      </c>
      <c r="G15" s="23"/>
      <c r="H15" s="23"/>
      <c r="I15" s="226" t="s">
        <v>494</v>
      </c>
      <c r="J15" s="226"/>
      <c r="K15" s="226"/>
      <c r="L15" s="226" t="s">
        <v>495</v>
      </c>
      <c r="M15" s="226"/>
      <c r="N15" s="226" t="s">
        <v>496</v>
      </c>
      <c r="O15" s="226"/>
      <c r="P15" s="226" t="s">
        <v>496</v>
      </c>
      <c r="Q15" s="226"/>
      <c r="R15" s="286">
        <v>1</v>
      </c>
      <c r="S15" s="226"/>
      <c r="U15" s="285"/>
    </row>
    <row r="16" ht="36" customHeight="1" spans="1:21">
      <c r="A16" s="12"/>
      <c r="B16" s="26"/>
      <c r="C16" s="23"/>
      <c r="D16" s="23"/>
      <c r="E16" s="23" t="s">
        <v>51</v>
      </c>
      <c r="F16" s="23" t="s">
        <v>52</v>
      </c>
      <c r="G16" s="23"/>
      <c r="H16" s="23"/>
      <c r="I16" s="54" t="s">
        <v>497</v>
      </c>
      <c r="J16" s="54"/>
      <c r="K16" s="54"/>
      <c r="L16" s="225">
        <v>0.9</v>
      </c>
      <c r="M16" s="54"/>
      <c r="N16" s="225">
        <v>0.95</v>
      </c>
      <c r="O16" s="54"/>
      <c r="P16" s="225">
        <v>0.95</v>
      </c>
      <c r="Q16" s="54"/>
      <c r="R16" s="225">
        <v>0.95</v>
      </c>
      <c r="S16" s="54"/>
      <c r="U16" s="287"/>
    </row>
    <row r="17" ht="36" customHeight="1" spans="1:19">
      <c r="A17" s="12"/>
      <c r="B17" s="19" t="s">
        <v>55</v>
      </c>
      <c r="C17" s="20"/>
      <c r="D17" s="21"/>
      <c r="E17" s="25"/>
      <c r="F17" s="20"/>
      <c r="G17" s="20"/>
      <c r="H17" s="20"/>
      <c r="I17" s="25" t="s">
        <v>56</v>
      </c>
      <c r="J17" s="20"/>
      <c r="K17" s="21"/>
      <c r="L17" s="25"/>
      <c r="M17" s="20"/>
      <c r="N17" s="20"/>
      <c r="O17" s="20"/>
      <c r="P17" s="20"/>
      <c r="Q17" s="20"/>
      <c r="R17" s="20"/>
      <c r="S17" s="154"/>
    </row>
    <row r="18" ht="23.25" customHeight="1" spans="1:19">
      <c r="A18" s="12"/>
      <c r="B18" s="27" t="s">
        <v>58</v>
      </c>
      <c r="C18" s="28"/>
      <c r="D18" s="28"/>
      <c r="E18" s="28"/>
      <c r="F18" s="28"/>
      <c r="G18" s="28"/>
      <c r="H18" s="28"/>
      <c r="I18" s="50" t="s">
        <v>406</v>
      </c>
      <c r="J18" s="50"/>
      <c r="K18" s="50"/>
      <c r="L18" s="50"/>
      <c r="M18" s="50"/>
      <c r="N18" s="50"/>
      <c r="O18" s="50"/>
      <c r="P18" s="50"/>
      <c r="Q18" s="50"/>
      <c r="R18" s="50"/>
      <c r="S18" s="163"/>
    </row>
    <row r="19" ht="23.25" customHeight="1" spans="1:19">
      <c r="A19" s="29"/>
      <c r="B19" s="30"/>
      <c r="C19" s="31"/>
      <c r="D19" s="31"/>
      <c r="E19" s="31"/>
      <c r="F19" s="31"/>
      <c r="G19" s="31"/>
      <c r="H19" s="31"/>
      <c r="I19" s="85" t="s">
        <v>60</v>
      </c>
      <c r="J19" s="85"/>
      <c r="K19" s="85"/>
      <c r="L19" s="85"/>
      <c r="M19" s="85"/>
      <c r="N19" s="85"/>
      <c r="O19" s="85"/>
      <c r="P19" s="85"/>
      <c r="Q19" s="85"/>
      <c r="R19" s="85"/>
      <c r="S19" s="164"/>
    </row>
    <row r="20" spans="1:19">
      <c r="A20" s="270" t="s">
        <v>61</v>
      </c>
      <c r="B20" s="33"/>
      <c r="C20" s="33"/>
      <c r="D20" s="33"/>
      <c r="E20" s="34" t="s">
        <v>62</v>
      </c>
      <c r="F20" s="35"/>
      <c r="G20" s="35"/>
      <c r="H20" s="36"/>
      <c r="I20" s="128" t="s">
        <v>63</v>
      </c>
      <c r="J20" s="128"/>
      <c r="K20" s="128"/>
      <c r="L20" s="128"/>
      <c r="M20" s="128"/>
      <c r="N20" s="128"/>
      <c r="O20" s="128"/>
      <c r="P20" s="128"/>
      <c r="Q20" s="128"/>
      <c r="R20" s="128"/>
      <c r="S20" s="165"/>
    </row>
    <row r="21" ht="12.75" customHeight="1" spans="1:19">
      <c r="A21" s="271"/>
      <c r="B21" s="38"/>
      <c r="C21" s="38"/>
      <c r="D21" s="38"/>
      <c r="E21" s="39"/>
      <c r="F21" s="40"/>
      <c r="G21" s="40"/>
      <c r="H21" s="41"/>
      <c r="I21" s="55" t="s">
        <v>64</v>
      </c>
      <c r="J21" s="55"/>
      <c r="K21" s="54" t="s">
        <v>65</v>
      </c>
      <c r="L21" s="54"/>
      <c r="M21" s="54"/>
      <c r="N21" s="54"/>
      <c r="O21" s="54" t="s">
        <v>66</v>
      </c>
      <c r="P21" s="54"/>
      <c r="Q21" s="54"/>
      <c r="R21" s="54" t="s">
        <v>67</v>
      </c>
      <c r="S21" s="166"/>
    </row>
    <row r="22" s="2" customFormat="1" ht="36" customHeight="1" spans="1:21">
      <c r="A22" s="272"/>
      <c r="B22" s="38"/>
      <c r="C22" s="38"/>
      <c r="D22" s="38"/>
      <c r="E22" s="39"/>
      <c r="F22" s="40"/>
      <c r="G22" s="40"/>
      <c r="H22" s="41"/>
      <c r="I22" s="54" t="s">
        <v>68</v>
      </c>
      <c r="J22" s="54" t="s">
        <v>69</v>
      </c>
      <c r="K22" s="54" t="s">
        <v>70</v>
      </c>
      <c r="L22" s="54" t="s">
        <v>71</v>
      </c>
      <c r="M22" s="54" t="s">
        <v>72</v>
      </c>
      <c r="N22" s="54"/>
      <c r="O22" s="54" t="s">
        <v>73</v>
      </c>
      <c r="P22" s="54" t="s">
        <v>74</v>
      </c>
      <c r="Q22" s="129"/>
      <c r="R22" s="54"/>
      <c r="S22" s="166"/>
      <c r="T22" s="4"/>
      <c r="U22" s="40"/>
    </row>
    <row r="23" s="2" customFormat="1" spans="1:21">
      <c r="A23" s="272"/>
      <c r="B23" s="38"/>
      <c r="C23" s="38"/>
      <c r="D23" s="38"/>
      <c r="E23" s="43"/>
      <c r="F23" s="44"/>
      <c r="G23" s="44"/>
      <c r="H23" s="45"/>
      <c r="I23" s="54"/>
      <c r="J23" s="54"/>
      <c r="K23" s="54"/>
      <c r="L23" s="54"/>
      <c r="M23" s="54"/>
      <c r="N23" s="54"/>
      <c r="O23" s="54"/>
      <c r="P23" s="129"/>
      <c r="Q23" s="129"/>
      <c r="R23" s="54"/>
      <c r="S23" s="166"/>
      <c r="T23" s="4"/>
      <c r="U23" s="40"/>
    </row>
    <row r="24" ht="24" customHeight="1" spans="1:21">
      <c r="A24" s="272"/>
      <c r="B24" s="46" t="s">
        <v>75</v>
      </c>
      <c r="C24" s="46"/>
      <c r="D24" s="46"/>
      <c r="E24" s="47">
        <v>5000</v>
      </c>
      <c r="F24" s="48"/>
      <c r="G24" s="48"/>
      <c r="H24" s="49"/>
      <c r="I24" s="130">
        <v>500</v>
      </c>
      <c r="J24" s="130"/>
      <c r="K24" s="56">
        <v>500</v>
      </c>
      <c r="L24" s="131">
        <v>1</v>
      </c>
      <c r="M24" s="54"/>
      <c r="N24" s="54"/>
      <c r="O24" s="38">
        <v>319</v>
      </c>
      <c r="P24" s="132">
        <v>0.638</v>
      </c>
      <c r="Q24" s="54"/>
      <c r="R24" s="38">
        <f>K24-O24</f>
        <v>181</v>
      </c>
      <c r="S24" s="167"/>
      <c r="U24" s="168"/>
    </row>
    <row r="25" ht="24" customHeight="1" spans="1:21">
      <c r="A25" s="272"/>
      <c r="B25" s="50" t="s">
        <v>77</v>
      </c>
      <c r="C25" s="50"/>
      <c r="D25" s="50"/>
      <c r="E25" s="47">
        <v>5000</v>
      </c>
      <c r="F25" s="48"/>
      <c r="G25" s="48"/>
      <c r="H25" s="49"/>
      <c r="I25" s="130">
        <v>500</v>
      </c>
      <c r="J25" s="130"/>
      <c r="K25" s="56">
        <v>500</v>
      </c>
      <c r="L25" s="131">
        <v>1</v>
      </c>
      <c r="M25" s="54"/>
      <c r="N25" s="54"/>
      <c r="O25" s="38">
        <v>319</v>
      </c>
      <c r="P25" s="132">
        <v>0.638</v>
      </c>
      <c r="Q25" s="54"/>
      <c r="R25" s="38">
        <f>K25-O25</f>
        <v>181</v>
      </c>
      <c r="S25" s="167"/>
      <c r="U25" s="168"/>
    </row>
    <row r="26" ht="24" customHeight="1" spans="1:21">
      <c r="A26" s="272"/>
      <c r="B26" s="50" t="s">
        <v>78</v>
      </c>
      <c r="C26" s="50"/>
      <c r="D26" s="50"/>
      <c r="E26" s="47"/>
      <c r="F26" s="48"/>
      <c r="G26" s="48"/>
      <c r="H26" s="49"/>
      <c r="J26" s="130"/>
      <c r="K26" s="56"/>
      <c r="L26" s="56"/>
      <c r="M26" s="54"/>
      <c r="N26" s="54"/>
      <c r="O26" s="38"/>
      <c r="P26" s="54"/>
      <c r="Q26" s="54"/>
      <c r="R26" s="38"/>
      <c r="S26" s="167"/>
      <c r="U26" s="168"/>
    </row>
    <row r="27" ht="24" customHeight="1" spans="1:21">
      <c r="A27" s="272"/>
      <c r="B27" s="50" t="s">
        <v>79</v>
      </c>
      <c r="C27" s="50"/>
      <c r="D27" s="50"/>
      <c r="E27" s="47"/>
      <c r="F27" s="48"/>
      <c r="G27" s="48"/>
      <c r="H27" s="49"/>
      <c r="I27" s="130"/>
      <c r="J27" s="130"/>
      <c r="K27" s="56"/>
      <c r="L27" s="130"/>
      <c r="M27" s="54"/>
      <c r="N27" s="54"/>
      <c r="O27" s="38"/>
      <c r="P27" s="54"/>
      <c r="Q27" s="54"/>
      <c r="R27" s="38"/>
      <c r="S27" s="167"/>
      <c r="U27" s="168"/>
    </row>
    <row r="28" ht="24" customHeight="1" spans="1:21">
      <c r="A28" s="272"/>
      <c r="B28" s="50" t="s">
        <v>80</v>
      </c>
      <c r="C28" s="50"/>
      <c r="D28" s="50"/>
      <c r="E28" s="47">
        <v>5000</v>
      </c>
      <c r="F28" s="48"/>
      <c r="G28" s="48"/>
      <c r="H28" s="49"/>
      <c r="I28" s="130">
        <v>500</v>
      </c>
      <c r="J28" s="130"/>
      <c r="K28" s="56">
        <v>500</v>
      </c>
      <c r="L28" s="131">
        <v>1</v>
      </c>
      <c r="M28" s="54">
        <v>2017.12</v>
      </c>
      <c r="N28" s="54"/>
      <c r="O28" s="38">
        <v>319</v>
      </c>
      <c r="P28" s="132">
        <v>0.638</v>
      </c>
      <c r="Q28" s="54"/>
      <c r="R28" s="38">
        <v>181</v>
      </c>
      <c r="S28" s="167"/>
      <c r="U28" s="168"/>
    </row>
    <row r="29" ht="24" customHeight="1" spans="1:19">
      <c r="A29" s="272"/>
      <c r="B29" s="50" t="s">
        <v>82</v>
      </c>
      <c r="C29" s="50"/>
      <c r="D29" s="50"/>
      <c r="E29" s="47"/>
      <c r="F29" s="48"/>
      <c r="G29" s="48"/>
      <c r="H29" s="49"/>
      <c r="I29" s="130"/>
      <c r="J29" s="130"/>
      <c r="K29" s="56"/>
      <c r="L29" s="56"/>
      <c r="M29" s="54"/>
      <c r="N29" s="54"/>
      <c r="O29" s="38"/>
      <c r="P29" s="54"/>
      <c r="Q29" s="54"/>
      <c r="R29" s="38"/>
      <c r="S29" s="167"/>
    </row>
    <row r="30" ht="24" customHeight="1" spans="1:19">
      <c r="A30" s="272"/>
      <c r="B30" s="51" t="s">
        <v>211</v>
      </c>
      <c r="C30" s="52"/>
      <c r="D30" s="53"/>
      <c r="E30" s="47"/>
      <c r="F30" s="48"/>
      <c r="G30" s="48"/>
      <c r="H30" s="49"/>
      <c r="I30" s="130"/>
      <c r="J30" s="130"/>
      <c r="K30" s="56"/>
      <c r="L30" s="56"/>
      <c r="M30" s="98"/>
      <c r="N30" s="99"/>
      <c r="O30" s="38"/>
      <c r="P30" s="98"/>
      <c r="Q30" s="99"/>
      <c r="R30" s="47"/>
      <c r="S30" s="169"/>
    </row>
    <row r="31" ht="24" customHeight="1" spans="1:19">
      <c r="A31" s="272"/>
      <c r="B31" s="54" t="s">
        <v>83</v>
      </c>
      <c r="C31" s="55"/>
      <c r="D31" s="56" t="s">
        <v>84</v>
      </c>
      <c r="E31" s="57" t="s">
        <v>85</v>
      </c>
      <c r="F31" s="57"/>
      <c r="G31" s="57"/>
      <c r="H31" s="57"/>
      <c r="I31" s="57"/>
      <c r="J31" s="57"/>
      <c r="K31" s="57"/>
      <c r="L31" s="57"/>
      <c r="M31" s="57"/>
      <c r="N31" s="57"/>
      <c r="O31" s="57"/>
      <c r="P31" s="57" t="s">
        <v>86</v>
      </c>
      <c r="Q31" s="57"/>
      <c r="R31" s="57"/>
      <c r="S31" s="170"/>
    </row>
    <row r="32" ht="24" customHeight="1" spans="1:19">
      <c r="A32" s="272"/>
      <c r="B32" s="55"/>
      <c r="C32" s="55"/>
      <c r="D32" s="54">
        <v>1</v>
      </c>
      <c r="E32" s="57" t="s">
        <v>498</v>
      </c>
      <c r="F32" s="57"/>
      <c r="G32" s="57"/>
      <c r="H32" s="57"/>
      <c r="I32" s="57"/>
      <c r="J32" s="57"/>
      <c r="K32" s="57"/>
      <c r="L32" s="57"/>
      <c r="M32" s="57"/>
      <c r="N32" s="57"/>
      <c r="O32" s="57"/>
      <c r="P32" s="57">
        <v>30</v>
      </c>
      <c r="Q32" s="57"/>
      <c r="R32" s="57"/>
      <c r="S32" s="170"/>
    </row>
    <row r="33" ht="24" customHeight="1" spans="1:19">
      <c r="A33" s="272"/>
      <c r="B33" s="55"/>
      <c r="C33" s="55"/>
      <c r="D33" s="54">
        <v>2</v>
      </c>
      <c r="E33" s="57" t="s">
        <v>499</v>
      </c>
      <c r="F33" s="57"/>
      <c r="G33" s="57"/>
      <c r="H33" s="57"/>
      <c r="I33" s="57"/>
      <c r="J33" s="57"/>
      <c r="K33" s="57"/>
      <c r="L33" s="57"/>
      <c r="M33" s="57"/>
      <c r="N33" s="57"/>
      <c r="O33" s="57"/>
      <c r="P33" s="57">
        <v>10</v>
      </c>
      <c r="Q33" s="57"/>
      <c r="R33" s="57"/>
      <c r="S33" s="170"/>
    </row>
    <row r="34" ht="24" customHeight="1" spans="1:19">
      <c r="A34" s="273"/>
      <c r="B34" s="59"/>
      <c r="C34" s="59"/>
      <c r="D34" s="54">
        <v>3</v>
      </c>
      <c r="E34" s="57" t="s">
        <v>500</v>
      </c>
      <c r="F34" s="57"/>
      <c r="G34" s="57"/>
      <c r="H34" s="57"/>
      <c r="I34" s="57"/>
      <c r="J34" s="57"/>
      <c r="K34" s="57"/>
      <c r="L34" s="57"/>
      <c r="M34" s="57"/>
      <c r="N34" s="57"/>
      <c r="O34" s="57"/>
      <c r="P34" s="57">
        <v>59</v>
      </c>
      <c r="Q34" s="57"/>
      <c r="R34" s="57"/>
      <c r="S34" s="170"/>
    </row>
    <row r="35" ht="24" customHeight="1" spans="1:19">
      <c r="A35" s="273"/>
      <c r="B35" s="59"/>
      <c r="C35" s="59"/>
      <c r="D35" s="54">
        <v>4</v>
      </c>
      <c r="E35" s="57" t="s">
        <v>501</v>
      </c>
      <c r="F35" s="57"/>
      <c r="G35" s="57"/>
      <c r="H35" s="57"/>
      <c r="I35" s="57"/>
      <c r="J35" s="57"/>
      <c r="K35" s="57"/>
      <c r="L35" s="57"/>
      <c r="M35" s="57"/>
      <c r="N35" s="57"/>
      <c r="O35" s="57"/>
      <c r="P35" s="57">
        <v>20</v>
      </c>
      <c r="Q35" s="57"/>
      <c r="R35" s="57"/>
      <c r="S35" s="170"/>
    </row>
    <row r="36" ht="24" customHeight="1" spans="1:19">
      <c r="A36" s="273"/>
      <c r="B36" s="59"/>
      <c r="C36" s="59"/>
      <c r="D36" s="54">
        <v>5</v>
      </c>
      <c r="E36" s="57" t="s">
        <v>502</v>
      </c>
      <c r="F36" s="57"/>
      <c r="G36" s="57"/>
      <c r="H36" s="57"/>
      <c r="I36" s="57"/>
      <c r="J36" s="57"/>
      <c r="K36" s="57"/>
      <c r="L36" s="57"/>
      <c r="M36" s="57"/>
      <c r="N36" s="57"/>
      <c r="O36" s="57"/>
      <c r="P36" s="57">
        <v>200</v>
      </c>
      <c r="Q36" s="57"/>
      <c r="R36" s="57"/>
      <c r="S36" s="170"/>
    </row>
    <row r="37" ht="24" customHeight="1" spans="1:19">
      <c r="A37" s="274"/>
      <c r="B37" s="61"/>
      <c r="C37" s="61"/>
      <c r="D37" s="3" t="s">
        <v>91</v>
      </c>
      <c r="E37" s="57"/>
      <c r="F37" s="57"/>
      <c r="G37" s="57"/>
      <c r="H37" s="57"/>
      <c r="I37" s="57"/>
      <c r="J37" s="57"/>
      <c r="K37" s="57"/>
      <c r="L37" s="57"/>
      <c r="M37" s="57"/>
      <c r="N37" s="57"/>
      <c r="O37" s="57"/>
      <c r="P37" s="57">
        <f>SUM(P32:S36)</f>
        <v>319</v>
      </c>
      <c r="Q37" s="57"/>
      <c r="R37" s="57"/>
      <c r="S37" s="170"/>
    </row>
    <row r="38" ht="33" customHeight="1" spans="1:20">
      <c r="A38" s="62" t="s">
        <v>92</v>
      </c>
      <c r="B38" s="9" t="s">
        <v>93</v>
      </c>
      <c r="C38" s="10"/>
      <c r="D38" s="10"/>
      <c r="E38" s="10" t="s">
        <v>94</v>
      </c>
      <c r="F38" s="10"/>
      <c r="G38" s="10"/>
      <c r="H38" s="10" t="s">
        <v>95</v>
      </c>
      <c r="I38" s="10"/>
      <c r="J38" s="10" t="s">
        <v>96</v>
      </c>
      <c r="K38" s="10"/>
      <c r="L38" s="10"/>
      <c r="M38" s="10"/>
      <c r="N38" s="10"/>
      <c r="O38" s="10"/>
      <c r="P38" s="133" t="s">
        <v>97</v>
      </c>
      <c r="Q38" s="147"/>
      <c r="R38" s="10" t="s">
        <v>98</v>
      </c>
      <c r="S38" s="171"/>
      <c r="T38" s="99"/>
    </row>
    <row r="39" ht="42.6" customHeight="1" spans="1:20">
      <c r="A39" s="63"/>
      <c r="B39" s="64" t="s">
        <v>99</v>
      </c>
      <c r="C39" s="65"/>
      <c r="D39" s="66"/>
      <c r="E39" s="54" t="s">
        <v>100</v>
      </c>
      <c r="F39" s="54"/>
      <c r="G39" s="54"/>
      <c r="H39" s="67" t="s">
        <v>503</v>
      </c>
      <c r="I39" s="66"/>
      <c r="J39" s="134" t="s">
        <v>504</v>
      </c>
      <c r="K39" s="134"/>
      <c r="L39" s="134"/>
      <c r="M39" s="134"/>
      <c r="N39" s="134"/>
      <c r="O39" s="134"/>
      <c r="P39" s="135">
        <v>0.05</v>
      </c>
      <c r="Q39" s="172"/>
      <c r="R39" s="23">
        <v>0</v>
      </c>
      <c r="S39" s="173"/>
      <c r="T39" s="99"/>
    </row>
    <row r="40" ht="46.5" customHeight="1" spans="1:20">
      <c r="A40" s="63"/>
      <c r="B40" s="68"/>
      <c r="C40" s="69"/>
      <c r="D40" s="70"/>
      <c r="E40" s="71" t="s">
        <v>216</v>
      </c>
      <c r="F40" s="72"/>
      <c r="G40" s="73"/>
      <c r="H40" s="51" t="s">
        <v>505</v>
      </c>
      <c r="I40" s="53"/>
      <c r="J40" s="230" t="s">
        <v>506</v>
      </c>
      <c r="K40" s="231"/>
      <c r="L40" s="231"/>
      <c r="M40" s="231"/>
      <c r="N40" s="231"/>
      <c r="O40" s="232"/>
      <c r="P40" s="135">
        <v>0.05</v>
      </c>
      <c r="Q40" s="172"/>
      <c r="R40" s="25">
        <v>5</v>
      </c>
      <c r="S40" s="154"/>
      <c r="T40" s="99"/>
    </row>
    <row r="41" ht="58.9" customHeight="1" spans="1:20">
      <c r="A41" s="63"/>
      <c r="B41" s="68"/>
      <c r="C41" s="69"/>
      <c r="D41" s="70"/>
      <c r="E41" s="71" t="s">
        <v>106</v>
      </c>
      <c r="F41" s="72"/>
      <c r="G41" s="73"/>
      <c r="H41" s="67" t="s">
        <v>507</v>
      </c>
      <c r="I41" s="66"/>
      <c r="J41" s="134" t="s">
        <v>219</v>
      </c>
      <c r="K41" s="134"/>
      <c r="L41" s="134"/>
      <c r="M41" s="134"/>
      <c r="N41" s="134"/>
      <c r="O41" s="134"/>
      <c r="P41" s="135">
        <v>0.2</v>
      </c>
      <c r="Q41" s="172"/>
      <c r="R41" s="23">
        <v>20</v>
      </c>
      <c r="S41" s="173"/>
      <c r="T41" s="99"/>
    </row>
    <row r="42" ht="48.6" customHeight="1" spans="1:20">
      <c r="A42" s="63"/>
      <c r="B42" s="74" t="s">
        <v>109</v>
      </c>
      <c r="C42" s="75"/>
      <c r="D42" s="76"/>
      <c r="E42" s="77" t="s">
        <v>110</v>
      </c>
      <c r="F42" s="77"/>
      <c r="G42" s="77"/>
      <c r="H42" s="78" t="s">
        <v>508</v>
      </c>
      <c r="I42" s="78"/>
      <c r="J42" s="281" t="s">
        <v>312</v>
      </c>
      <c r="K42" s="281"/>
      <c r="L42" s="281"/>
      <c r="M42" s="281"/>
      <c r="N42" s="281"/>
      <c r="O42" s="281"/>
      <c r="P42" s="140">
        <v>0.1</v>
      </c>
      <c r="Q42" s="174"/>
      <c r="R42" s="10">
        <v>9</v>
      </c>
      <c r="S42" s="175"/>
      <c r="T42" s="40"/>
    </row>
    <row r="43" s="1" customFormat="1" ht="89" customHeight="1" spans="1:20">
      <c r="A43" s="63"/>
      <c r="B43" s="79"/>
      <c r="C43" s="69"/>
      <c r="D43" s="70"/>
      <c r="E43" s="71" t="s">
        <v>117</v>
      </c>
      <c r="F43" s="72"/>
      <c r="G43" s="73"/>
      <c r="H43" s="80" t="s">
        <v>509</v>
      </c>
      <c r="I43" s="80"/>
      <c r="J43" s="119" t="s">
        <v>510</v>
      </c>
      <c r="K43" s="119"/>
      <c r="L43" s="119"/>
      <c r="M43" s="119"/>
      <c r="N43" s="119"/>
      <c r="O43" s="119"/>
      <c r="P43" s="142">
        <v>0.2</v>
      </c>
      <c r="Q43" s="144"/>
      <c r="R43" s="23">
        <v>20</v>
      </c>
      <c r="S43" s="173"/>
      <c r="T43" s="4"/>
    </row>
    <row r="44" ht="91" customHeight="1" spans="1:20">
      <c r="A44" s="63"/>
      <c r="B44" s="74" t="s">
        <v>122</v>
      </c>
      <c r="C44" s="75"/>
      <c r="D44" s="76"/>
      <c r="E44" s="77" t="s">
        <v>123</v>
      </c>
      <c r="F44" s="77"/>
      <c r="G44" s="77"/>
      <c r="H44" s="275" t="s">
        <v>511</v>
      </c>
      <c r="I44" s="275"/>
      <c r="J44" s="143" t="s">
        <v>512</v>
      </c>
      <c r="K44" s="143"/>
      <c r="L44" s="143"/>
      <c r="M44" s="143"/>
      <c r="N44" s="143"/>
      <c r="O44" s="143"/>
      <c r="P44" s="140">
        <v>0.1</v>
      </c>
      <c r="Q44" s="174"/>
      <c r="R44" s="10">
        <v>10</v>
      </c>
      <c r="S44" s="175"/>
      <c r="T44" s="40"/>
    </row>
    <row r="45" ht="36" customHeight="1" spans="1:19">
      <c r="A45" s="63"/>
      <c r="B45" s="79"/>
      <c r="C45" s="69"/>
      <c r="D45" s="70"/>
      <c r="E45" s="54" t="s">
        <v>128</v>
      </c>
      <c r="F45" s="54"/>
      <c r="G45" s="54"/>
      <c r="H45" s="119" t="s">
        <v>490</v>
      </c>
      <c r="I45" s="119"/>
      <c r="J45" s="134" t="s">
        <v>513</v>
      </c>
      <c r="K45" s="134"/>
      <c r="L45" s="134"/>
      <c r="M45" s="134"/>
      <c r="N45" s="134"/>
      <c r="O45" s="134"/>
      <c r="P45" s="142">
        <v>0.05</v>
      </c>
      <c r="Q45" s="144"/>
      <c r="R45" s="23">
        <v>4</v>
      </c>
      <c r="S45" s="173"/>
    </row>
    <row r="46" ht="36" customHeight="1" spans="1:19">
      <c r="A46" s="63"/>
      <c r="B46" s="79"/>
      <c r="C46" s="69"/>
      <c r="D46" s="70"/>
      <c r="E46" s="54" t="s">
        <v>138</v>
      </c>
      <c r="F46" s="54"/>
      <c r="G46" s="54"/>
      <c r="H46" s="276" t="s">
        <v>514</v>
      </c>
      <c r="I46" s="276"/>
      <c r="J46" s="134" t="s">
        <v>515</v>
      </c>
      <c r="K46" s="134"/>
      <c r="L46" s="134"/>
      <c r="M46" s="134"/>
      <c r="N46" s="134"/>
      <c r="O46" s="134"/>
      <c r="P46" s="142">
        <v>0.05</v>
      </c>
      <c r="Q46" s="144"/>
      <c r="R46" s="23">
        <v>5</v>
      </c>
      <c r="S46" s="173"/>
    </row>
    <row r="47" ht="36" customHeight="1" spans="1:19">
      <c r="A47" s="63"/>
      <c r="B47" s="79"/>
      <c r="C47" s="69"/>
      <c r="D47" s="70"/>
      <c r="E47" s="54" t="s">
        <v>141</v>
      </c>
      <c r="F47" s="54"/>
      <c r="G47" s="54"/>
      <c r="H47" s="277" t="s">
        <v>516</v>
      </c>
      <c r="I47" s="277"/>
      <c r="J47" s="134" t="s">
        <v>517</v>
      </c>
      <c r="K47" s="134"/>
      <c r="L47" s="134"/>
      <c r="M47" s="134"/>
      <c r="N47" s="134"/>
      <c r="O47" s="134"/>
      <c r="P47" s="142">
        <v>0.05</v>
      </c>
      <c r="Q47" s="144"/>
      <c r="R47" s="23">
        <v>5</v>
      </c>
      <c r="S47" s="173"/>
    </row>
    <row r="48" s="1" customFormat="1" ht="36" customHeight="1" spans="1:20">
      <c r="A48" s="63"/>
      <c r="B48" s="79"/>
      <c r="C48" s="69"/>
      <c r="D48" s="70"/>
      <c r="E48" s="54" t="s">
        <v>143</v>
      </c>
      <c r="F48" s="54"/>
      <c r="G48" s="54"/>
      <c r="H48" s="276" t="s">
        <v>494</v>
      </c>
      <c r="I48" s="276"/>
      <c r="J48" s="134" t="s">
        <v>518</v>
      </c>
      <c r="K48" s="134"/>
      <c r="L48" s="134"/>
      <c r="M48" s="134"/>
      <c r="N48" s="134"/>
      <c r="O48" s="134"/>
      <c r="P48" s="142">
        <v>0.05</v>
      </c>
      <c r="Q48" s="144"/>
      <c r="R48" s="23">
        <v>4</v>
      </c>
      <c r="S48" s="176"/>
      <c r="T48" s="4"/>
    </row>
    <row r="49" s="1" customFormat="1" ht="36" customHeight="1" spans="1:20">
      <c r="A49" s="63"/>
      <c r="B49" s="79"/>
      <c r="C49" s="69"/>
      <c r="D49" s="70"/>
      <c r="E49" s="54" t="s">
        <v>146</v>
      </c>
      <c r="F49" s="54"/>
      <c r="G49" s="54"/>
      <c r="H49" s="277" t="s">
        <v>519</v>
      </c>
      <c r="I49" s="277"/>
      <c r="J49" s="134" t="s">
        <v>520</v>
      </c>
      <c r="K49" s="134"/>
      <c r="L49" s="134"/>
      <c r="M49" s="134"/>
      <c r="N49" s="134"/>
      <c r="O49" s="134"/>
      <c r="P49" s="142">
        <v>0.05</v>
      </c>
      <c r="Q49" s="144"/>
      <c r="R49" s="23">
        <v>5</v>
      </c>
      <c r="S49" s="176"/>
      <c r="T49" s="4"/>
    </row>
    <row r="50" s="1" customFormat="1" ht="36" customHeight="1" spans="1:20">
      <c r="A50" s="63"/>
      <c r="B50" s="81"/>
      <c r="C50" s="82"/>
      <c r="D50" s="83"/>
      <c r="E50" s="84" t="s">
        <v>149</v>
      </c>
      <c r="F50" s="84"/>
      <c r="G50" s="84"/>
      <c r="H50" s="278" t="s">
        <v>521</v>
      </c>
      <c r="I50" s="278"/>
      <c r="J50" s="145" t="s">
        <v>522</v>
      </c>
      <c r="K50" s="145"/>
      <c r="L50" s="145"/>
      <c r="M50" s="145"/>
      <c r="N50" s="145"/>
      <c r="O50" s="145"/>
      <c r="P50" s="245">
        <v>0.05</v>
      </c>
      <c r="Q50" s="146"/>
      <c r="R50" s="177">
        <v>4</v>
      </c>
      <c r="S50" s="178"/>
      <c r="T50" s="4"/>
    </row>
    <row r="51" ht="24" customHeight="1" spans="1:19">
      <c r="A51" s="63"/>
      <c r="B51" s="86" t="s">
        <v>152</v>
      </c>
      <c r="C51" s="87"/>
      <c r="D51" s="87"/>
      <c r="E51" s="87"/>
      <c r="F51" s="87"/>
      <c r="G51" s="87"/>
      <c r="H51" s="87"/>
      <c r="I51" s="87"/>
      <c r="J51" s="87"/>
      <c r="K51" s="87"/>
      <c r="L51" s="87"/>
      <c r="M51" s="87"/>
      <c r="N51" s="87"/>
      <c r="O51" s="147"/>
      <c r="P51" s="148">
        <v>1</v>
      </c>
      <c r="Q51" s="148"/>
      <c r="R51" s="179">
        <v>91</v>
      </c>
      <c r="S51" s="180"/>
    </row>
    <row r="52" ht="23" customHeight="1" spans="1:19">
      <c r="A52" s="88"/>
      <c r="B52" s="279" t="s">
        <v>523</v>
      </c>
      <c r="C52" s="90" t="s">
        <v>277</v>
      </c>
      <c r="D52" s="91"/>
      <c r="E52" s="91"/>
      <c r="F52" s="91"/>
      <c r="G52" s="91"/>
      <c r="H52" s="91"/>
      <c r="I52" s="91"/>
      <c r="J52" s="91"/>
      <c r="K52" s="91"/>
      <c r="L52" s="91"/>
      <c r="M52" s="91"/>
      <c r="N52" s="91"/>
      <c r="O52" s="91"/>
      <c r="P52" s="91"/>
      <c r="Q52" s="91"/>
      <c r="R52" s="91"/>
      <c r="S52" s="181"/>
    </row>
    <row r="53" ht="22.5" customHeight="1" spans="1:19">
      <c r="A53" s="62" t="s">
        <v>155</v>
      </c>
      <c r="B53" s="92" t="s">
        <v>156</v>
      </c>
      <c r="C53" s="93" t="s">
        <v>157</v>
      </c>
      <c r="D53" s="94"/>
      <c r="E53" s="95" t="s">
        <v>158</v>
      </c>
      <c r="F53" s="93"/>
      <c r="G53" s="93"/>
      <c r="H53" s="93"/>
      <c r="I53" s="93"/>
      <c r="J53" s="93"/>
      <c r="K53" s="93"/>
      <c r="L53" s="93"/>
      <c r="M53" s="93"/>
      <c r="N53" s="94"/>
      <c r="O53" s="149" t="s">
        <v>159</v>
      </c>
      <c r="P53" s="95" t="s">
        <v>160</v>
      </c>
      <c r="Q53" s="94"/>
      <c r="R53" s="95" t="s">
        <v>161</v>
      </c>
      <c r="S53" s="182"/>
    </row>
    <row r="54" ht="21" customHeight="1" spans="1:19">
      <c r="A54" s="96"/>
      <c r="B54" s="97"/>
      <c r="C54" s="98"/>
      <c r="D54" s="99"/>
      <c r="E54" s="100"/>
      <c r="F54" s="101"/>
      <c r="G54" s="101"/>
      <c r="H54" s="101"/>
      <c r="I54" s="101"/>
      <c r="J54" s="101"/>
      <c r="K54" s="101"/>
      <c r="L54" s="101"/>
      <c r="M54" s="101"/>
      <c r="N54" s="150"/>
      <c r="O54" s="57"/>
      <c r="P54" s="98"/>
      <c r="Q54" s="99"/>
      <c r="R54" s="98"/>
      <c r="S54" s="160"/>
    </row>
    <row r="55" ht="21" customHeight="1" spans="1:19">
      <c r="A55" s="96"/>
      <c r="B55" s="97"/>
      <c r="C55" s="98"/>
      <c r="D55" s="99"/>
      <c r="E55" s="100"/>
      <c r="F55" s="101"/>
      <c r="G55" s="101"/>
      <c r="H55" s="101"/>
      <c r="I55" s="101"/>
      <c r="J55" s="101"/>
      <c r="K55" s="101"/>
      <c r="L55" s="101"/>
      <c r="M55" s="101"/>
      <c r="N55" s="150"/>
      <c r="O55" s="57"/>
      <c r="P55" s="98"/>
      <c r="Q55" s="99"/>
      <c r="R55" s="98"/>
      <c r="S55" s="160"/>
    </row>
    <row r="56" ht="21" customHeight="1" spans="1:19">
      <c r="A56" s="96"/>
      <c r="B56" s="97"/>
      <c r="C56" s="98"/>
      <c r="D56" s="99"/>
      <c r="E56" s="100"/>
      <c r="F56" s="101"/>
      <c r="G56" s="101"/>
      <c r="H56" s="101"/>
      <c r="I56" s="101"/>
      <c r="J56" s="101"/>
      <c r="K56" s="101"/>
      <c r="L56" s="101"/>
      <c r="M56" s="101"/>
      <c r="N56" s="150"/>
      <c r="O56" s="57"/>
      <c r="P56" s="98"/>
      <c r="Q56" s="99"/>
      <c r="R56" s="98"/>
      <c r="S56" s="160"/>
    </row>
    <row r="57" ht="21" customHeight="1" spans="1:19">
      <c r="A57" s="96"/>
      <c r="B57" s="97"/>
      <c r="C57" s="98"/>
      <c r="D57" s="99"/>
      <c r="E57" s="100"/>
      <c r="F57" s="101"/>
      <c r="G57" s="101"/>
      <c r="H57" s="101"/>
      <c r="I57" s="101"/>
      <c r="J57" s="101"/>
      <c r="K57" s="101"/>
      <c r="L57" s="101"/>
      <c r="M57" s="101"/>
      <c r="N57" s="150"/>
      <c r="O57" s="57"/>
      <c r="P57" s="98"/>
      <c r="Q57" s="99"/>
      <c r="R57" s="98"/>
      <c r="S57" s="160"/>
    </row>
    <row r="58" ht="21" customHeight="1" spans="1:19">
      <c r="A58" s="96"/>
      <c r="B58" s="97"/>
      <c r="C58" s="98"/>
      <c r="D58" s="99"/>
      <c r="E58" s="100"/>
      <c r="F58" s="101"/>
      <c r="G58" s="101"/>
      <c r="H58" s="101"/>
      <c r="I58" s="101"/>
      <c r="J58" s="101"/>
      <c r="K58" s="101"/>
      <c r="L58" s="101"/>
      <c r="M58" s="101"/>
      <c r="N58" s="150"/>
      <c r="O58" s="57"/>
      <c r="P58" s="98"/>
      <c r="Q58" s="99"/>
      <c r="R58" s="98"/>
      <c r="S58" s="160"/>
    </row>
    <row r="59" ht="105.75" customHeight="1" spans="1:19">
      <c r="A59" s="96"/>
      <c r="B59" s="97"/>
      <c r="C59" s="102" t="s">
        <v>162</v>
      </c>
      <c r="D59" s="103"/>
      <c r="E59" s="103"/>
      <c r="F59" s="103"/>
      <c r="G59" s="103"/>
      <c r="H59" s="103"/>
      <c r="I59" s="103"/>
      <c r="J59" s="103"/>
      <c r="K59" s="103"/>
      <c r="L59" s="103"/>
      <c r="M59" s="103"/>
      <c r="N59" s="103"/>
      <c r="O59" s="103"/>
      <c r="P59" s="103"/>
      <c r="Q59" s="103"/>
      <c r="R59" s="103"/>
      <c r="S59" s="183"/>
    </row>
    <row r="60" ht="27" customHeight="1" spans="1:19">
      <c r="A60" s="96"/>
      <c r="B60" s="104"/>
      <c r="C60" s="105" t="s">
        <v>163</v>
      </c>
      <c r="D60" s="106"/>
      <c r="E60" s="106"/>
      <c r="F60" s="106"/>
      <c r="G60" s="106"/>
      <c r="H60" s="106"/>
      <c r="I60" s="106"/>
      <c r="J60" s="106"/>
      <c r="K60" s="106"/>
      <c r="L60" s="106"/>
      <c r="M60" s="106"/>
      <c r="N60" s="106"/>
      <c r="O60" s="106"/>
      <c r="P60" s="106"/>
      <c r="Q60" s="106"/>
      <c r="R60" s="106"/>
      <c r="S60" s="184"/>
    </row>
    <row r="61" ht="48.75" customHeight="1" spans="1:19">
      <c r="A61" s="96"/>
      <c r="B61" s="92" t="s">
        <v>164</v>
      </c>
      <c r="C61" s="107" t="s">
        <v>165</v>
      </c>
      <c r="D61" s="108"/>
      <c r="E61" s="108"/>
      <c r="F61" s="108"/>
      <c r="G61" s="108"/>
      <c r="H61" s="108"/>
      <c r="I61" s="108"/>
      <c r="J61" s="108"/>
      <c r="K61" s="108"/>
      <c r="L61" s="108"/>
      <c r="M61" s="108"/>
      <c r="N61" s="108"/>
      <c r="O61" s="108"/>
      <c r="P61" s="108"/>
      <c r="Q61" s="108"/>
      <c r="R61" s="108"/>
      <c r="S61" s="185"/>
    </row>
    <row r="62" ht="55.5" customHeight="1" spans="1:19">
      <c r="A62" s="96"/>
      <c r="B62" s="186"/>
      <c r="C62" s="187" t="s">
        <v>166</v>
      </c>
      <c r="D62" s="188"/>
      <c r="E62" s="188"/>
      <c r="F62" s="188"/>
      <c r="G62" s="188"/>
      <c r="H62" s="188"/>
      <c r="I62" s="188"/>
      <c r="J62" s="188"/>
      <c r="K62" s="188"/>
      <c r="L62" s="188"/>
      <c r="M62" s="188"/>
      <c r="N62" s="188"/>
      <c r="O62" s="188"/>
      <c r="P62" s="188"/>
      <c r="Q62" s="188"/>
      <c r="R62" s="188"/>
      <c r="S62" s="201"/>
    </row>
    <row r="63" ht="104.25" customHeight="1" spans="1:19">
      <c r="A63" s="96"/>
      <c r="B63" s="186"/>
      <c r="C63" s="102" t="s">
        <v>167</v>
      </c>
      <c r="D63" s="103"/>
      <c r="E63" s="103"/>
      <c r="F63" s="103"/>
      <c r="G63" s="103"/>
      <c r="H63" s="103"/>
      <c r="I63" s="103"/>
      <c r="J63" s="103"/>
      <c r="K63" s="103"/>
      <c r="L63" s="103"/>
      <c r="M63" s="103"/>
      <c r="N63" s="103"/>
      <c r="O63" s="103"/>
      <c r="P63" s="103"/>
      <c r="Q63" s="103"/>
      <c r="R63" s="103"/>
      <c r="S63" s="183"/>
    </row>
    <row r="64" ht="28.5" customHeight="1" spans="1:19">
      <c r="A64" s="96"/>
      <c r="B64" s="189"/>
      <c r="C64" s="105" t="s">
        <v>168</v>
      </c>
      <c r="D64" s="106"/>
      <c r="E64" s="106"/>
      <c r="F64" s="106"/>
      <c r="G64" s="106"/>
      <c r="H64" s="106"/>
      <c r="I64" s="106"/>
      <c r="J64" s="106"/>
      <c r="K64" s="106"/>
      <c r="L64" s="106"/>
      <c r="M64" s="106"/>
      <c r="N64" s="106"/>
      <c r="O64" s="106"/>
      <c r="P64" s="106"/>
      <c r="Q64" s="106"/>
      <c r="R64" s="106"/>
      <c r="S64" s="184"/>
    </row>
    <row r="65" customHeight="1" spans="1:19">
      <c r="A65" s="96"/>
      <c r="B65" s="186" t="s">
        <v>169</v>
      </c>
      <c r="C65" s="190"/>
      <c r="D65" s="191"/>
      <c r="E65" s="191"/>
      <c r="F65" s="191"/>
      <c r="G65" s="191"/>
      <c r="H65" s="191"/>
      <c r="I65" s="191"/>
      <c r="J65" s="191"/>
      <c r="K65" s="191"/>
      <c r="L65" s="191"/>
      <c r="M65" s="191"/>
      <c r="N65" s="191"/>
      <c r="O65" s="191"/>
      <c r="P65" s="191"/>
      <c r="Q65" s="191"/>
      <c r="R65" s="191"/>
      <c r="S65" s="202"/>
    </row>
    <row r="66" ht="14.25" customHeight="1" spans="1:19">
      <c r="A66" s="96"/>
      <c r="B66" s="186"/>
      <c r="C66" s="191"/>
      <c r="D66" s="191"/>
      <c r="E66" s="191"/>
      <c r="F66" s="192"/>
      <c r="G66" s="191"/>
      <c r="H66" s="191"/>
      <c r="I66" s="191"/>
      <c r="J66" s="191"/>
      <c r="K66" s="191"/>
      <c r="L66" s="191"/>
      <c r="M66" s="191"/>
      <c r="N66" s="191"/>
      <c r="O66" s="191"/>
      <c r="P66" s="191"/>
      <c r="Q66" s="191"/>
      <c r="R66" s="191"/>
      <c r="S66" s="202"/>
    </row>
    <row r="67" ht="30.75" customHeight="1" spans="1:19">
      <c r="A67" s="96"/>
      <c r="B67" s="186"/>
      <c r="C67" s="193"/>
      <c r="D67" s="194"/>
      <c r="E67" s="194"/>
      <c r="F67" s="194"/>
      <c r="G67" s="194"/>
      <c r="H67" s="194"/>
      <c r="I67" s="194"/>
      <c r="J67" s="194"/>
      <c r="K67" s="194"/>
      <c r="L67" s="194"/>
      <c r="M67" s="194"/>
      <c r="N67" s="194"/>
      <c r="O67" s="194"/>
      <c r="P67" s="194"/>
      <c r="Q67" s="194"/>
      <c r="R67" s="194"/>
      <c r="S67" s="203"/>
    </row>
    <row r="68" ht="53.25" customHeight="1" spans="1:19">
      <c r="A68" s="195"/>
      <c r="B68" s="189"/>
      <c r="C68" s="196" t="s">
        <v>170</v>
      </c>
      <c r="D68" s="197"/>
      <c r="E68" s="197"/>
      <c r="F68" s="197"/>
      <c r="G68" s="197"/>
      <c r="H68" s="197"/>
      <c r="I68" s="197"/>
      <c r="J68" s="197"/>
      <c r="K68" s="197"/>
      <c r="L68" s="197"/>
      <c r="M68" s="197"/>
      <c r="N68" s="197"/>
      <c r="O68" s="197"/>
      <c r="P68" s="197"/>
      <c r="Q68" s="197"/>
      <c r="R68" s="197"/>
      <c r="S68" s="204"/>
    </row>
    <row r="69" ht="19.5" customHeight="1" spans="1:19">
      <c r="A69" s="198"/>
      <c r="B69" s="199" t="s">
        <v>171</v>
      </c>
      <c r="C69" s="199"/>
      <c r="D69" s="199"/>
      <c r="E69" s="199"/>
      <c r="F69" s="199"/>
      <c r="G69" s="199"/>
      <c r="H69" s="199" t="s">
        <v>172</v>
      </c>
      <c r="I69" s="199"/>
      <c r="J69" s="199"/>
      <c r="K69" s="199"/>
      <c r="L69" s="199"/>
      <c r="N69" s="200"/>
      <c r="O69" s="200" t="s">
        <v>173</v>
      </c>
      <c r="Q69" s="200"/>
      <c r="R69" s="200"/>
      <c r="S69" s="200"/>
    </row>
  </sheetData>
  <mergeCells count="261">
    <mergeCell ref="A1:B1"/>
    <mergeCell ref="A2:S2"/>
    <mergeCell ref="B3:D3"/>
    <mergeCell ref="E3:S3"/>
    <mergeCell ref="K4:M4"/>
    <mergeCell ref="P4:S4"/>
    <mergeCell ref="K5:M5"/>
    <mergeCell ref="P5:S5"/>
    <mergeCell ref="B6:H6"/>
    <mergeCell ref="I6:S6"/>
    <mergeCell ref="C7:H7"/>
    <mergeCell ref="I7:K7"/>
    <mergeCell ref="L7:O7"/>
    <mergeCell ref="P7:S7"/>
    <mergeCell ref="C8:D8"/>
    <mergeCell ref="E8:H8"/>
    <mergeCell ref="I8:K8"/>
    <mergeCell ref="L8:M8"/>
    <mergeCell ref="N8:O8"/>
    <mergeCell ref="P8:Q8"/>
    <mergeCell ref="R8:S8"/>
    <mergeCell ref="E9:H9"/>
    <mergeCell ref="I9:K9"/>
    <mergeCell ref="L9:M9"/>
    <mergeCell ref="N9:O9"/>
    <mergeCell ref="P9:Q9"/>
    <mergeCell ref="R9:S9"/>
    <mergeCell ref="E10:H10"/>
    <mergeCell ref="I10:K10"/>
    <mergeCell ref="L10:M10"/>
    <mergeCell ref="N10:O10"/>
    <mergeCell ref="P10:Q10"/>
    <mergeCell ref="R10:S10"/>
    <mergeCell ref="E11:H11"/>
    <mergeCell ref="I11:K11"/>
    <mergeCell ref="L11:M11"/>
    <mergeCell ref="N11:O11"/>
    <mergeCell ref="P11:Q11"/>
    <mergeCell ref="R11:S11"/>
    <mergeCell ref="E12:H12"/>
    <mergeCell ref="I12:K12"/>
    <mergeCell ref="L12:M12"/>
    <mergeCell ref="N12:O12"/>
    <mergeCell ref="P12:Q12"/>
    <mergeCell ref="R12:S12"/>
    <mergeCell ref="E13:H13"/>
    <mergeCell ref="I13:K13"/>
    <mergeCell ref="L13:M13"/>
    <mergeCell ref="N13:O13"/>
    <mergeCell ref="P13:Q13"/>
    <mergeCell ref="R13:S13"/>
    <mergeCell ref="E14:H14"/>
    <mergeCell ref="I14:K14"/>
    <mergeCell ref="L14:M14"/>
    <mergeCell ref="N14:O14"/>
    <mergeCell ref="P14:Q14"/>
    <mergeCell ref="R14:S14"/>
    <mergeCell ref="E15:H15"/>
    <mergeCell ref="I15:K15"/>
    <mergeCell ref="L15:M15"/>
    <mergeCell ref="N15:O15"/>
    <mergeCell ref="P15:Q15"/>
    <mergeCell ref="R15:S15"/>
    <mergeCell ref="E16:H16"/>
    <mergeCell ref="I16:K16"/>
    <mergeCell ref="L16:M16"/>
    <mergeCell ref="N16:O16"/>
    <mergeCell ref="P16:Q16"/>
    <mergeCell ref="R16:S16"/>
    <mergeCell ref="B17:D17"/>
    <mergeCell ref="E17:H17"/>
    <mergeCell ref="I17:K17"/>
    <mergeCell ref="L17:S17"/>
    <mergeCell ref="I18:S18"/>
    <mergeCell ref="I19:S19"/>
    <mergeCell ref="I20:S20"/>
    <mergeCell ref="I21:J21"/>
    <mergeCell ref="K21:N21"/>
    <mergeCell ref="O21:Q21"/>
    <mergeCell ref="B24:D24"/>
    <mergeCell ref="E24:H24"/>
    <mergeCell ref="M24:N24"/>
    <mergeCell ref="P24:Q24"/>
    <mergeCell ref="R24:S24"/>
    <mergeCell ref="B25:D25"/>
    <mergeCell ref="E25:H25"/>
    <mergeCell ref="M25:N25"/>
    <mergeCell ref="P25:Q25"/>
    <mergeCell ref="R25:S25"/>
    <mergeCell ref="B26:D26"/>
    <mergeCell ref="E26:H26"/>
    <mergeCell ref="M26:N26"/>
    <mergeCell ref="P26:Q26"/>
    <mergeCell ref="R26:S26"/>
    <mergeCell ref="B27:D27"/>
    <mergeCell ref="E27:H27"/>
    <mergeCell ref="M27:N27"/>
    <mergeCell ref="P27:Q27"/>
    <mergeCell ref="R27:S27"/>
    <mergeCell ref="B28:D28"/>
    <mergeCell ref="E28:H28"/>
    <mergeCell ref="M28:N28"/>
    <mergeCell ref="P28:Q28"/>
    <mergeCell ref="R28:S28"/>
    <mergeCell ref="B29:D29"/>
    <mergeCell ref="E29:H29"/>
    <mergeCell ref="M29:N29"/>
    <mergeCell ref="P29:Q29"/>
    <mergeCell ref="R29:S29"/>
    <mergeCell ref="B30:D30"/>
    <mergeCell ref="E30:H30"/>
    <mergeCell ref="M30:N30"/>
    <mergeCell ref="P30:Q30"/>
    <mergeCell ref="R30:S30"/>
    <mergeCell ref="E31:O31"/>
    <mergeCell ref="P31:S31"/>
    <mergeCell ref="E32:O32"/>
    <mergeCell ref="P32:S32"/>
    <mergeCell ref="E33:O33"/>
    <mergeCell ref="P33:S33"/>
    <mergeCell ref="E34:O34"/>
    <mergeCell ref="P34:S34"/>
    <mergeCell ref="E35:O35"/>
    <mergeCell ref="P35:S35"/>
    <mergeCell ref="E36:O36"/>
    <mergeCell ref="P36:S36"/>
    <mergeCell ref="E37:O37"/>
    <mergeCell ref="P37:S37"/>
    <mergeCell ref="B38:D38"/>
    <mergeCell ref="E38:G38"/>
    <mergeCell ref="H38:I38"/>
    <mergeCell ref="J38:O38"/>
    <mergeCell ref="P38:Q38"/>
    <mergeCell ref="R38:S38"/>
    <mergeCell ref="E39:G39"/>
    <mergeCell ref="H39:I39"/>
    <mergeCell ref="J39:O39"/>
    <mergeCell ref="P39:Q39"/>
    <mergeCell ref="R39:S39"/>
    <mergeCell ref="E40:G40"/>
    <mergeCell ref="H40:I40"/>
    <mergeCell ref="J40:O40"/>
    <mergeCell ref="P40:Q40"/>
    <mergeCell ref="R40:S40"/>
    <mergeCell ref="E41:G41"/>
    <mergeCell ref="H41:I41"/>
    <mergeCell ref="J41:O41"/>
    <mergeCell ref="P41:Q41"/>
    <mergeCell ref="R41:S41"/>
    <mergeCell ref="E42:G42"/>
    <mergeCell ref="H42:I42"/>
    <mergeCell ref="J42:O42"/>
    <mergeCell ref="P42:Q42"/>
    <mergeCell ref="R42:S42"/>
    <mergeCell ref="E43:G43"/>
    <mergeCell ref="H43:I43"/>
    <mergeCell ref="J43:O43"/>
    <mergeCell ref="P43:Q43"/>
    <mergeCell ref="R43:S43"/>
    <mergeCell ref="E44:G44"/>
    <mergeCell ref="H44:I44"/>
    <mergeCell ref="J44:O44"/>
    <mergeCell ref="P44:Q44"/>
    <mergeCell ref="R44:S44"/>
    <mergeCell ref="E45:G45"/>
    <mergeCell ref="H45:I45"/>
    <mergeCell ref="J45:O45"/>
    <mergeCell ref="P45:Q45"/>
    <mergeCell ref="R45:S45"/>
    <mergeCell ref="E46:G46"/>
    <mergeCell ref="H46:I46"/>
    <mergeCell ref="J46:O46"/>
    <mergeCell ref="P46:Q46"/>
    <mergeCell ref="R46:S46"/>
    <mergeCell ref="E47:G47"/>
    <mergeCell ref="H47:I47"/>
    <mergeCell ref="J47:O47"/>
    <mergeCell ref="P47:Q47"/>
    <mergeCell ref="R47:S47"/>
    <mergeCell ref="E48:G48"/>
    <mergeCell ref="H48:I48"/>
    <mergeCell ref="J48:O48"/>
    <mergeCell ref="P48:Q48"/>
    <mergeCell ref="R48:S48"/>
    <mergeCell ref="E49:G49"/>
    <mergeCell ref="H49:I49"/>
    <mergeCell ref="J49:O49"/>
    <mergeCell ref="P49:Q49"/>
    <mergeCell ref="R49:S49"/>
    <mergeCell ref="E50:G50"/>
    <mergeCell ref="H50:I50"/>
    <mergeCell ref="J50:O50"/>
    <mergeCell ref="P50:Q50"/>
    <mergeCell ref="R50:S50"/>
    <mergeCell ref="B51:O51"/>
    <mergeCell ref="P51:Q51"/>
    <mergeCell ref="R51:S51"/>
    <mergeCell ref="C52:S52"/>
    <mergeCell ref="C53:D53"/>
    <mergeCell ref="E53:N53"/>
    <mergeCell ref="P53:Q53"/>
    <mergeCell ref="R53:S53"/>
    <mergeCell ref="C54:D54"/>
    <mergeCell ref="E54:N54"/>
    <mergeCell ref="P54:Q54"/>
    <mergeCell ref="R54:S54"/>
    <mergeCell ref="C55:D55"/>
    <mergeCell ref="E55:N55"/>
    <mergeCell ref="P55:Q55"/>
    <mergeCell ref="R55:S55"/>
    <mergeCell ref="C56:D56"/>
    <mergeCell ref="E56:N56"/>
    <mergeCell ref="P56:Q56"/>
    <mergeCell ref="R56:S56"/>
    <mergeCell ref="C57:D57"/>
    <mergeCell ref="E57:N57"/>
    <mergeCell ref="P57:Q57"/>
    <mergeCell ref="R57:S57"/>
    <mergeCell ref="C58:D58"/>
    <mergeCell ref="E58:N58"/>
    <mergeCell ref="P58:Q58"/>
    <mergeCell ref="R58:S58"/>
    <mergeCell ref="C59:S59"/>
    <mergeCell ref="C60:S60"/>
    <mergeCell ref="C61:S61"/>
    <mergeCell ref="C62:S62"/>
    <mergeCell ref="C63:S63"/>
    <mergeCell ref="C64:S64"/>
    <mergeCell ref="C68:S68"/>
    <mergeCell ref="A3:A19"/>
    <mergeCell ref="A20:A37"/>
    <mergeCell ref="A38:A41"/>
    <mergeCell ref="A42:A52"/>
    <mergeCell ref="A53:A68"/>
    <mergeCell ref="B7:B16"/>
    <mergeCell ref="B53:B60"/>
    <mergeCell ref="B61:B64"/>
    <mergeCell ref="B65:B68"/>
    <mergeCell ref="I22:I23"/>
    <mergeCell ref="J22:J23"/>
    <mergeCell ref="K22:K23"/>
    <mergeCell ref="L22:L23"/>
    <mergeCell ref="O22:O23"/>
    <mergeCell ref="T38:T41"/>
    <mergeCell ref="U14:U15"/>
    <mergeCell ref="B4:H5"/>
    <mergeCell ref="I4:J5"/>
    <mergeCell ref="N4:O5"/>
    <mergeCell ref="C9:D11"/>
    <mergeCell ref="C12:D13"/>
    <mergeCell ref="C14:D16"/>
    <mergeCell ref="B18:H19"/>
    <mergeCell ref="B20:D23"/>
    <mergeCell ref="E20:H23"/>
    <mergeCell ref="R21:S23"/>
    <mergeCell ref="M22:N23"/>
    <mergeCell ref="P22:Q23"/>
    <mergeCell ref="B31:C37"/>
    <mergeCell ref="B39:D41"/>
    <mergeCell ref="B42:D43"/>
    <mergeCell ref="B44:D50"/>
  </mergeCells>
  <pageMargins left="0.579166666666667" right="0.235416666666667" top="0.984027777777778" bottom="0.984027777777778" header="0.511805555555556" footer="0.511805555555556"/>
  <pageSetup paperSize="9" scale="80" orientation="portrait" horizontalDpi="600" verticalDpi="600"/>
  <headerFooter alignWithMargins="0"/>
  <rowBreaks count="1" manualBreakCount="1">
    <brk id="30" max="18"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68"/>
  <sheetViews>
    <sheetView workbookViewId="0">
      <selection activeCell="A1" sqref="A1:S1"/>
    </sheetView>
  </sheetViews>
  <sheetFormatPr defaultColWidth="9" defaultRowHeight="12"/>
  <cols>
    <col min="1" max="1" width="4.5" style="168" customWidth="1"/>
    <col min="2" max="2" width="6.875" style="168" customWidth="1"/>
    <col min="3" max="3" width="6.5" style="168" customWidth="1"/>
    <col min="4" max="4" width="4.75" style="168" customWidth="1"/>
    <col min="5" max="6" width="4.625" style="168" customWidth="1"/>
    <col min="7" max="7" width="7.625" style="168" customWidth="1"/>
    <col min="8" max="8" width="5.25" style="168" hidden="1" customWidth="1"/>
    <col min="9" max="9" width="7.75" style="168" customWidth="1"/>
    <col min="10" max="10" width="13.5" style="168" customWidth="1"/>
    <col min="11" max="11" width="4.375" style="168" customWidth="1"/>
    <col min="12" max="12" width="8.5" style="168" customWidth="1"/>
    <col min="13" max="13" width="5.75" style="168" customWidth="1"/>
    <col min="14" max="14" width="7.25" style="168" customWidth="1"/>
    <col min="15" max="15" width="10.375" style="168" customWidth="1"/>
    <col min="16" max="16" width="4.25" style="168" customWidth="1"/>
    <col min="17" max="17" width="7.25" style="168" customWidth="1"/>
    <col min="18" max="18" width="4.375" style="168" customWidth="1"/>
    <col min="19" max="19" width="4" style="168" customWidth="1"/>
    <col min="20" max="20" width="9" style="40" hidden="1" customWidth="1"/>
    <col min="21" max="16384" width="9" style="168"/>
  </cols>
  <sheetData>
    <row r="1" ht="43.15" customHeight="1" spans="1:19">
      <c r="A1" s="7" t="s">
        <v>524</v>
      </c>
      <c r="B1" s="7"/>
      <c r="C1" s="7"/>
      <c r="D1" s="7"/>
      <c r="E1" s="7"/>
      <c r="F1" s="7"/>
      <c r="G1" s="7"/>
      <c r="H1" s="7"/>
      <c r="I1" s="7"/>
      <c r="J1" s="7"/>
      <c r="K1" s="7"/>
      <c r="L1" s="7"/>
      <c r="M1" s="7"/>
      <c r="N1" s="7"/>
      <c r="O1" s="7"/>
      <c r="P1" s="7"/>
      <c r="Q1" s="7"/>
      <c r="R1" s="7"/>
      <c r="S1" s="7"/>
    </row>
    <row r="2" ht="42" customHeight="1" spans="1:19">
      <c r="A2" s="8" t="s">
        <v>1</v>
      </c>
      <c r="B2" s="9" t="s">
        <v>2</v>
      </c>
      <c r="C2" s="10"/>
      <c r="D2" s="10"/>
      <c r="E2" s="207" t="s">
        <v>525</v>
      </c>
      <c r="F2" s="207"/>
      <c r="G2" s="207"/>
      <c r="H2" s="207"/>
      <c r="I2" s="207"/>
      <c r="J2" s="207"/>
      <c r="K2" s="207"/>
      <c r="L2" s="207"/>
      <c r="M2" s="207"/>
      <c r="N2" s="207"/>
      <c r="O2" s="207"/>
      <c r="P2" s="207"/>
      <c r="Q2" s="207"/>
      <c r="R2" s="207"/>
      <c r="S2" s="260"/>
    </row>
    <row r="3" s="205" customFormat="1" ht="19.5" customHeight="1" spans="1:20">
      <c r="A3" s="12"/>
      <c r="B3" s="13" t="s">
        <v>4</v>
      </c>
      <c r="C3" s="14"/>
      <c r="D3" s="14"/>
      <c r="E3" s="14"/>
      <c r="F3" s="14"/>
      <c r="G3" s="14"/>
      <c r="H3" s="15"/>
      <c r="I3" s="109" t="s">
        <v>5</v>
      </c>
      <c r="J3" s="15"/>
      <c r="K3" s="110" t="s">
        <v>244</v>
      </c>
      <c r="L3" s="111"/>
      <c r="M3" s="112"/>
      <c r="N3" s="109" t="s">
        <v>7</v>
      </c>
      <c r="O3" s="15"/>
      <c r="P3" s="110" t="s">
        <v>244</v>
      </c>
      <c r="Q3" s="111"/>
      <c r="R3" s="111"/>
      <c r="S3" s="152"/>
      <c r="T3" s="261"/>
    </row>
    <row r="4" s="205" customFormat="1" ht="21" customHeight="1" spans="1:20">
      <c r="A4" s="12"/>
      <c r="B4" s="16"/>
      <c r="C4" s="17"/>
      <c r="D4" s="17"/>
      <c r="E4" s="17"/>
      <c r="F4" s="17"/>
      <c r="G4" s="17"/>
      <c r="H4" s="18"/>
      <c r="I4" s="113"/>
      <c r="J4" s="18"/>
      <c r="K4" s="110" t="s">
        <v>526</v>
      </c>
      <c r="L4" s="111"/>
      <c r="M4" s="112"/>
      <c r="N4" s="113"/>
      <c r="O4" s="18"/>
      <c r="P4" s="110" t="s">
        <v>526</v>
      </c>
      <c r="Q4" s="111"/>
      <c r="R4" s="111"/>
      <c r="S4" s="152"/>
      <c r="T4" s="261"/>
    </row>
    <row r="5" s="205" customFormat="1" ht="20.25" customHeight="1" spans="1:20">
      <c r="A5" s="12"/>
      <c r="B5" s="19" t="s">
        <v>11</v>
      </c>
      <c r="C5" s="20"/>
      <c r="D5" s="20"/>
      <c r="E5" s="20"/>
      <c r="F5" s="20"/>
      <c r="G5" s="20"/>
      <c r="H5" s="21"/>
      <c r="I5" s="25" t="s">
        <v>359</v>
      </c>
      <c r="J5" s="20"/>
      <c r="K5" s="20"/>
      <c r="L5" s="20"/>
      <c r="M5" s="20"/>
      <c r="N5" s="20"/>
      <c r="O5" s="20"/>
      <c r="P5" s="20"/>
      <c r="Q5" s="20"/>
      <c r="R5" s="20"/>
      <c r="S5" s="154"/>
      <c r="T5" s="261"/>
    </row>
    <row r="6" ht="33.6" customHeight="1" spans="1:19">
      <c r="A6" s="12"/>
      <c r="B6" s="22" t="s">
        <v>13</v>
      </c>
      <c r="C6" s="23" t="s">
        <v>14</v>
      </c>
      <c r="D6" s="23"/>
      <c r="E6" s="23"/>
      <c r="F6" s="23"/>
      <c r="G6" s="23"/>
      <c r="H6" s="23"/>
      <c r="I6" s="54" t="s">
        <v>527</v>
      </c>
      <c r="J6" s="54"/>
      <c r="K6" s="54"/>
      <c r="L6" s="23" t="s">
        <v>16</v>
      </c>
      <c r="M6" s="23"/>
      <c r="N6" s="23"/>
      <c r="O6" s="23"/>
      <c r="P6" s="20">
        <v>7</v>
      </c>
      <c r="Q6" s="20"/>
      <c r="R6" s="20"/>
      <c r="S6" s="154"/>
    </row>
    <row r="7" ht="45.75" customHeight="1" spans="1:19">
      <c r="A7" s="12"/>
      <c r="B7" s="24"/>
      <c r="C7" s="23" t="s">
        <v>17</v>
      </c>
      <c r="D7" s="23"/>
      <c r="E7" s="23" t="s">
        <v>18</v>
      </c>
      <c r="F7" s="23"/>
      <c r="G7" s="23"/>
      <c r="H7" s="23"/>
      <c r="I7" s="23" t="s">
        <v>19</v>
      </c>
      <c r="J7" s="23"/>
      <c r="K7" s="23"/>
      <c r="L7" s="23" t="s">
        <v>20</v>
      </c>
      <c r="M7" s="23"/>
      <c r="N7" s="23" t="s">
        <v>21</v>
      </c>
      <c r="O7" s="23"/>
      <c r="P7" s="25" t="s">
        <v>22</v>
      </c>
      <c r="Q7" s="21"/>
      <c r="R7" s="20" t="s">
        <v>23</v>
      </c>
      <c r="S7" s="154"/>
    </row>
    <row r="8" ht="28.5" customHeight="1" spans="1:19">
      <c r="A8" s="12"/>
      <c r="B8" s="24"/>
      <c r="C8" s="23" t="s">
        <v>24</v>
      </c>
      <c r="D8" s="23"/>
      <c r="E8" s="23" t="s">
        <v>25</v>
      </c>
      <c r="F8" s="23"/>
      <c r="G8" s="23"/>
      <c r="H8" s="23"/>
      <c r="I8" s="208" t="s">
        <v>26</v>
      </c>
      <c r="J8" s="209"/>
      <c r="K8" s="218"/>
      <c r="L8" s="219" t="s">
        <v>283</v>
      </c>
      <c r="M8" s="219"/>
      <c r="N8" s="219" t="s">
        <v>283</v>
      </c>
      <c r="O8" s="219"/>
      <c r="P8" s="220">
        <v>0.2</v>
      </c>
      <c r="Q8" s="218"/>
      <c r="R8" s="159">
        <v>0.2</v>
      </c>
      <c r="S8" s="160"/>
    </row>
    <row r="9" ht="68.25" customHeight="1" spans="1:19">
      <c r="A9" s="12"/>
      <c r="B9" s="24"/>
      <c r="C9" s="23"/>
      <c r="D9" s="23"/>
      <c r="E9" s="23" t="s">
        <v>28</v>
      </c>
      <c r="F9" s="23"/>
      <c r="G9" s="23"/>
      <c r="H9" s="23"/>
      <c r="I9" s="208" t="s">
        <v>29</v>
      </c>
      <c r="J9" s="209"/>
      <c r="K9" s="218"/>
      <c r="L9" s="219" t="s">
        <v>392</v>
      </c>
      <c r="M9" s="219"/>
      <c r="N9" s="219" t="s">
        <v>528</v>
      </c>
      <c r="O9" s="219"/>
      <c r="P9" s="221">
        <v>0.14</v>
      </c>
      <c r="Q9" s="219"/>
      <c r="R9" s="159">
        <v>0.14</v>
      </c>
      <c r="S9" s="160"/>
    </row>
    <row r="10" ht="28.5" customHeight="1" spans="1:19">
      <c r="A10" s="12"/>
      <c r="B10" s="24"/>
      <c r="C10" s="23"/>
      <c r="D10" s="23"/>
      <c r="E10" s="23" t="s">
        <v>31</v>
      </c>
      <c r="F10" s="23"/>
      <c r="G10" s="23"/>
      <c r="H10" s="23"/>
      <c r="I10" s="208" t="s">
        <v>15</v>
      </c>
      <c r="J10" s="209"/>
      <c r="K10" s="218"/>
      <c r="L10" s="208" t="s">
        <v>15</v>
      </c>
      <c r="M10" s="218"/>
      <c r="N10" s="208" t="s">
        <v>15</v>
      </c>
      <c r="O10" s="218"/>
      <c r="P10" s="208" t="s">
        <v>15</v>
      </c>
      <c r="Q10" s="218"/>
      <c r="R10" s="209" t="s">
        <v>15</v>
      </c>
      <c r="S10" s="262"/>
    </row>
    <row r="11" ht="72" customHeight="1" spans="1:19">
      <c r="A11" s="12"/>
      <c r="B11" s="24"/>
      <c r="C11" s="23" t="s">
        <v>32</v>
      </c>
      <c r="D11" s="23"/>
      <c r="E11" s="23" t="s">
        <v>33</v>
      </c>
      <c r="F11" s="23"/>
      <c r="G11" s="23"/>
      <c r="H11" s="23"/>
      <c r="I11" s="208" t="s">
        <v>529</v>
      </c>
      <c r="J11" s="209"/>
      <c r="K11" s="218"/>
      <c r="L11" s="54" t="s">
        <v>530</v>
      </c>
      <c r="M11" s="54"/>
      <c r="N11" s="54" t="s">
        <v>530</v>
      </c>
      <c r="O11" s="54"/>
      <c r="P11" s="54" t="s">
        <v>529</v>
      </c>
      <c r="Q11" s="54"/>
      <c r="R11" s="159">
        <v>1</v>
      </c>
      <c r="S11" s="160"/>
    </row>
    <row r="12" ht="74.45" customHeight="1" spans="1:19">
      <c r="A12" s="12"/>
      <c r="B12" s="24"/>
      <c r="C12" s="23"/>
      <c r="D12" s="23"/>
      <c r="E12" s="23" t="s">
        <v>37</v>
      </c>
      <c r="F12" s="23"/>
      <c r="G12" s="23"/>
      <c r="H12" s="23"/>
      <c r="I12" s="208" t="s">
        <v>136</v>
      </c>
      <c r="J12" s="209"/>
      <c r="K12" s="218"/>
      <c r="L12" s="222" t="s">
        <v>531</v>
      </c>
      <c r="M12" s="99"/>
      <c r="N12" s="222" t="s">
        <v>532</v>
      </c>
      <c r="O12" s="99"/>
      <c r="P12" s="222" t="s">
        <v>533</v>
      </c>
      <c r="Q12" s="99"/>
      <c r="R12" s="159">
        <v>0.2</v>
      </c>
      <c r="S12" s="160"/>
    </row>
    <row r="13" ht="28.5" customHeight="1" spans="1:21">
      <c r="A13" s="12"/>
      <c r="B13" s="24"/>
      <c r="C13" s="23" t="s">
        <v>40</v>
      </c>
      <c r="D13" s="23"/>
      <c r="E13" s="23" t="s">
        <v>41</v>
      </c>
      <c r="F13" s="23"/>
      <c r="G13" s="23"/>
      <c r="H13" s="23"/>
      <c r="I13" s="223" t="s">
        <v>15</v>
      </c>
      <c r="J13" s="223"/>
      <c r="K13" s="223"/>
      <c r="L13" s="208" t="s">
        <v>15</v>
      </c>
      <c r="M13" s="218"/>
      <c r="N13" s="208" t="s">
        <v>15</v>
      </c>
      <c r="O13" s="218"/>
      <c r="P13" s="224" t="s">
        <v>15</v>
      </c>
      <c r="Q13" s="262"/>
      <c r="R13" s="224" t="s">
        <v>15</v>
      </c>
      <c r="S13" s="262"/>
      <c r="U13" s="263"/>
    </row>
    <row r="14" ht="55.15" customHeight="1" spans="1:21">
      <c r="A14" s="12"/>
      <c r="B14" s="24"/>
      <c r="C14" s="23"/>
      <c r="D14" s="23"/>
      <c r="E14" s="23" t="s">
        <v>42</v>
      </c>
      <c r="F14" s="23"/>
      <c r="G14" s="23"/>
      <c r="H14" s="23"/>
      <c r="I14" s="223" t="s">
        <v>534</v>
      </c>
      <c r="J14" s="223"/>
      <c r="K14" s="223"/>
      <c r="L14" s="98" t="s">
        <v>534</v>
      </c>
      <c r="M14" s="99"/>
      <c r="N14" s="98" t="s">
        <v>534</v>
      </c>
      <c r="O14" s="99"/>
      <c r="P14" s="159" t="s">
        <v>535</v>
      </c>
      <c r="Q14" s="160"/>
      <c r="R14" s="159">
        <v>0</v>
      </c>
      <c r="S14" s="160"/>
      <c r="U14" s="263"/>
    </row>
    <row r="15" ht="28.5" customHeight="1" spans="1:21">
      <c r="A15" s="12"/>
      <c r="B15" s="24"/>
      <c r="C15" s="23"/>
      <c r="D15" s="23"/>
      <c r="E15" s="23" t="s">
        <v>46</v>
      </c>
      <c r="F15" s="23"/>
      <c r="G15" s="23"/>
      <c r="H15" s="23"/>
      <c r="I15" s="223" t="s">
        <v>536</v>
      </c>
      <c r="J15" s="223"/>
      <c r="K15" s="223"/>
      <c r="L15" s="98" t="s">
        <v>537</v>
      </c>
      <c r="M15" s="99"/>
      <c r="N15" s="98" t="s">
        <v>538</v>
      </c>
      <c r="O15" s="99"/>
      <c r="P15" s="159" t="s">
        <v>535</v>
      </c>
      <c r="Q15" s="160"/>
      <c r="R15" s="159">
        <v>0</v>
      </c>
      <c r="S15" s="160"/>
      <c r="U15" s="263"/>
    </row>
    <row r="16" ht="28.5" customHeight="1" spans="1:21">
      <c r="A16" s="12"/>
      <c r="B16" s="24"/>
      <c r="C16" s="23"/>
      <c r="D16" s="23"/>
      <c r="E16" s="23" t="s">
        <v>50</v>
      </c>
      <c r="F16" s="23"/>
      <c r="G16" s="23"/>
      <c r="H16" s="23"/>
      <c r="I16" s="223" t="s">
        <v>15</v>
      </c>
      <c r="J16" s="223"/>
      <c r="K16" s="223"/>
      <c r="L16" s="208" t="s">
        <v>15</v>
      </c>
      <c r="M16" s="218"/>
      <c r="N16" s="208" t="s">
        <v>15</v>
      </c>
      <c r="O16" s="218"/>
      <c r="P16" s="224" t="s">
        <v>15</v>
      </c>
      <c r="Q16" s="262"/>
      <c r="R16" s="224" t="s">
        <v>15</v>
      </c>
      <c r="S16" s="262"/>
      <c r="U16" s="263"/>
    </row>
    <row r="17" ht="36" customHeight="1" spans="1:21">
      <c r="A17" s="12"/>
      <c r="B17" s="26"/>
      <c r="C17" s="23"/>
      <c r="D17" s="23"/>
      <c r="E17" s="23" t="s">
        <v>51</v>
      </c>
      <c r="F17" s="23"/>
      <c r="G17" s="23"/>
      <c r="H17" s="23"/>
      <c r="I17" s="219" t="s">
        <v>539</v>
      </c>
      <c r="J17" s="219"/>
      <c r="K17" s="219"/>
      <c r="L17" s="221">
        <v>0.9</v>
      </c>
      <c r="M17" s="219"/>
      <c r="N17" s="221">
        <v>0.95</v>
      </c>
      <c r="O17" s="219"/>
      <c r="P17" s="159">
        <v>1</v>
      </c>
      <c r="Q17" s="160"/>
      <c r="R17" s="159">
        <v>1</v>
      </c>
      <c r="S17" s="160"/>
      <c r="U17" s="264"/>
    </row>
    <row r="18" ht="63" customHeight="1" spans="1:19">
      <c r="A18" s="12"/>
      <c r="B18" s="19" t="s">
        <v>55</v>
      </c>
      <c r="C18" s="20"/>
      <c r="D18" s="21"/>
      <c r="E18" s="208" t="s">
        <v>298</v>
      </c>
      <c r="F18" s="209"/>
      <c r="G18" s="209"/>
      <c r="H18" s="209"/>
      <c r="I18" s="25" t="s">
        <v>56</v>
      </c>
      <c r="J18" s="20"/>
      <c r="K18" s="21"/>
      <c r="L18" s="115" t="s">
        <v>15</v>
      </c>
      <c r="M18" s="158"/>
      <c r="N18" s="158"/>
      <c r="O18" s="158"/>
      <c r="P18" s="158"/>
      <c r="Q18" s="158"/>
      <c r="R18" s="158"/>
      <c r="S18" s="157"/>
    </row>
    <row r="19" ht="23.25" customHeight="1" spans="1:19">
      <c r="A19" s="12"/>
      <c r="B19" s="27" t="s">
        <v>58</v>
      </c>
      <c r="C19" s="28"/>
      <c r="D19" s="28"/>
      <c r="E19" s="28"/>
      <c r="F19" s="28"/>
      <c r="G19" s="28"/>
      <c r="H19" s="28"/>
      <c r="I19" s="50" t="s">
        <v>59</v>
      </c>
      <c r="J19" s="50"/>
      <c r="K19" s="50"/>
      <c r="L19" s="50"/>
      <c r="M19" s="50"/>
      <c r="N19" s="50"/>
      <c r="O19" s="50"/>
      <c r="P19" s="50"/>
      <c r="Q19" s="50"/>
      <c r="R19" s="50"/>
      <c r="S19" s="163"/>
    </row>
    <row r="20" ht="23.25" customHeight="1" spans="1:19">
      <c r="A20" s="29"/>
      <c r="B20" s="30"/>
      <c r="C20" s="31"/>
      <c r="D20" s="31"/>
      <c r="E20" s="31"/>
      <c r="F20" s="31"/>
      <c r="G20" s="31"/>
      <c r="H20" s="31"/>
      <c r="I20" s="85" t="s">
        <v>60</v>
      </c>
      <c r="J20" s="85"/>
      <c r="K20" s="85"/>
      <c r="L20" s="85"/>
      <c r="M20" s="85"/>
      <c r="N20" s="85"/>
      <c r="O20" s="85"/>
      <c r="P20" s="85"/>
      <c r="Q20" s="85"/>
      <c r="R20" s="85"/>
      <c r="S20" s="164"/>
    </row>
    <row r="21" spans="1:19">
      <c r="A21" s="32" t="s">
        <v>61</v>
      </c>
      <c r="B21" s="33"/>
      <c r="C21" s="33"/>
      <c r="D21" s="33"/>
      <c r="E21" s="34" t="s">
        <v>62</v>
      </c>
      <c r="F21" s="35"/>
      <c r="G21" s="35"/>
      <c r="H21" s="36"/>
      <c r="I21" s="128" t="s">
        <v>63</v>
      </c>
      <c r="J21" s="128"/>
      <c r="K21" s="128"/>
      <c r="L21" s="128"/>
      <c r="M21" s="128"/>
      <c r="N21" s="128"/>
      <c r="O21" s="128"/>
      <c r="P21" s="128"/>
      <c r="Q21" s="128"/>
      <c r="R21" s="128"/>
      <c r="S21" s="165"/>
    </row>
    <row r="22" ht="12.75" customHeight="1" spans="1:19">
      <c r="A22" s="37"/>
      <c r="B22" s="38"/>
      <c r="C22" s="38"/>
      <c r="D22" s="38"/>
      <c r="E22" s="39"/>
      <c r="F22" s="40"/>
      <c r="G22" s="40"/>
      <c r="H22" s="41"/>
      <c r="I22" s="55" t="s">
        <v>64</v>
      </c>
      <c r="J22" s="55"/>
      <c r="K22" s="54" t="s">
        <v>65</v>
      </c>
      <c r="L22" s="54"/>
      <c r="M22" s="54"/>
      <c r="N22" s="54"/>
      <c r="O22" s="54" t="s">
        <v>66</v>
      </c>
      <c r="P22" s="54"/>
      <c r="Q22" s="54"/>
      <c r="R22" s="54" t="s">
        <v>67</v>
      </c>
      <c r="S22" s="166"/>
    </row>
    <row r="23" s="206" customFormat="1" ht="36" customHeight="1" spans="1:21">
      <c r="A23" s="42"/>
      <c r="B23" s="38"/>
      <c r="C23" s="38"/>
      <c r="D23" s="38"/>
      <c r="E23" s="39"/>
      <c r="F23" s="40"/>
      <c r="G23" s="40"/>
      <c r="H23" s="41"/>
      <c r="I23" s="54" t="s">
        <v>68</v>
      </c>
      <c r="J23" s="54" t="s">
        <v>69</v>
      </c>
      <c r="K23" s="54" t="s">
        <v>375</v>
      </c>
      <c r="L23" s="54" t="s">
        <v>71</v>
      </c>
      <c r="M23" s="54" t="s">
        <v>72</v>
      </c>
      <c r="N23" s="54"/>
      <c r="O23" s="54" t="s">
        <v>73</v>
      </c>
      <c r="P23" s="54" t="s">
        <v>74</v>
      </c>
      <c r="Q23" s="129"/>
      <c r="R23" s="54"/>
      <c r="S23" s="166"/>
      <c r="T23" s="40"/>
      <c r="U23" s="40"/>
    </row>
    <row r="24" s="206" customFormat="1" spans="1:21">
      <c r="A24" s="42"/>
      <c r="B24" s="38"/>
      <c r="C24" s="38"/>
      <c r="D24" s="38"/>
      <c r="E24" s="43"/>
      <c r="F24" s="44"/>
      <c r="G24" s="44"/>
      <c r="H24" s="45"/>
      <c r="I24" s="54"/>
      <c r="J24" s="54"/>
      <c r="K24" s="54"/>
      <c r="L24" s="54"/>
      <c r="M24" s="54"/>
      <c r="N24" s="54"/>
      <c r="O24" s="54"/>
      <c r="P24" s="129"/>
      <c r="Q24" s="129"/>
      <c r="R24" s="54"/>
      <c r="S24" s="166"/>
      <c r="T24" s="40"/>
      <c r="U24" s="40"/>
    </row>
    <row r="25" ht="24" customHeight="1" spans="1:19">
      <c r="A25" s="42"/>
      <c r="B25" s="46" t="s">
        <v>75</v>
      </c>
      <c r="C25" s="46"/>
      <c r="D25" s="46"/>
      <c r="E25" s="47">
        <v>1000</v>
      </c>
      <c r="F25" s="48"/>
      <c r="G25" s="48"/>
      <c r="H25" s="49"/>
      <c r="I25" s="55"/>
      <c r="J25" s="54"/>
      <c r="K25" s="54"/>
      <c r="L25" s="225"/>
      <c r="M25" s="54"/>
      <c r="N25" s="54"/>
      <c r="O25" s="54"/>
      <c r="P25" s="225"/>
      <c r="Q25" s="54"/>
      <c r="R25" s="54"/>
      <c r="S25" s="54"/>
    </row>
    <row r="26" ht="24" customHeight="1" spans="1:19">
      <c r="A26" s="42"/>
      <c r="B26" s="50" t="s">
        <v>77</v>
      </c>
      <c r="C26" s="50"/>
      <c r="D26" s="50"/>
      <c r="E26" s="47">
        <v>1000</v>
      </c>
      <c r="F26" s="48"/>
      <c r="G26" s="48"/>
      <c r="H26" s="49"/>
      <c r="I26" s="55">
        <v>1000</v>
      </c>
      <c r="J26" s="226" t="s">
        <v>540</v>
      </c>
      <c r="K26" s="54">
        <v>500</v>
      </c>
      <c r="L26" s="225">
        <v>0.5</v>
      </c>
      <c r="M26" s="54" t="s">
        <v>15</v>
      </c>
      <c r="N26" s="54"/>
      <c r="O26" s="54">
        <v>11.69</v>
      </c>
      <c r="P26" s="225">
        <v>0.02</v>
      </c>
      <c r="Q26" s="54"/>
      <c r="R26" s="54">
        <v>488.31</v>
      </c>
      <c r="S26" s="54"/>
    </row>
    <row r="27" ht="16.15" customHeight="1" spans="1:19">
      <c r="A27" s="42"/>
      <c r="B27" s="50" t="s">
        <v>78</v>
      </c>
      <c r="C27" s="50"/>
      <c r="D27" s="50"/>
      <c r="E27" s="47" t="s">
        <v>15</v>
      </c>
      <c r="F27" s="48"/>
      <c r="G27" s="48"/>
      <c r="H27" s="49"/>
      <c r="I27" s="55" t="s">
        <v>15</v>
      </c>
      <c r="J27" s="227" t="s">
        <v>15</v>
      </c>
      <c r="K27" s="54" t="s">
        <v>15</v>
      </c>
      <c r="L27" s="54" t="s">
        <v>15</v>
      </c>
      <c r="M27" s="54" t="s">
        <v>15</v>
      </c>
      <c r="N27" s="54"/>
      <c r="O27" s="54" t="s">
        <v>15</v>
      </c>
      <c r="P27" s="54" t="s">
        <v>15</v>
      </c>
      <c r="Q27" s="54"/>
      <c r="R27" s="54" t="s">
        <v>15</v>
      </c>
      <c r="S27" s="54"/>
    </row>
    <row r="28" ht="13.9" customHeight="1" spans="1:19">
      <c r="A28" s="42"/>
      <c r="B28" s="50" t="s">
        <v>79</v>
      </c>
      <c r="C28" s="50"/>
      <c r="D28" s="50"/>
      <c r="E28" s="47" t="s">
        <v>15</v>
      </c>
      <c r="F28" s="48"/>
      <c r="G28" s="48"/>
      <c r="H28" s="49"/>
      <c r="I28" s="55" t="s">
        <v>15</v>
      </c>
      <c r="J28" s="227" t="s">
        <v>15</v>
      </c>
      <c r="K28" s="54" t="s">
        <v>15</v>
      </c>
      <c r="L28" s="54" t="s">
        <v>15</v>
      </c>
      <c r="M28" s="54" t="s">
        <v>15</v>
      </c>
      <c r="N28" s="54"/>
      <c r="O28" s="54" t="s">
        <v>15</v>
      </c>
      <c r="P28" s="54" t="s">
        <v>15</v>
      </c>
      <c r="Q28" s="54"/>
      <c r="R28" s="54" t="s">
        <v>15</v>
      </c>
      <c r="S28" s="54"/>
    </row>
    <row r="29" ht="23.1" customHeight="1" spans="1:19">
      <c r="A29" s="42"/>
      <c r="B29" s="50" t="s">
        <v>80</v>
      </c>
      <c r="C29" s="50"/>
      <c r="D29" s="50"/>
      <c r="E29" s="47">
        <v>1000</v>
      </c>
      <c r="F29" s="48"/>
      <c r="G29" s="48"/>
      <c r="H29" s="49"/>
      <c r="I29" s="55">
        <v>1000</v>
      </c>
      <c r="J29" s="226" t="s">
        <v>540</v>
      </c>
      <c r="K29" s="54">
        <v>500</v>
      </c>
      <c r="L29" s="225">
        <v>0.5</v>
      </c>
      <c r="M29" s="54" t="s">
        <v>15</v>
      </c>
      <c r="N29" s="54"/>
      <c r="O29" s="54">
        <v>11.69</v>
      </c>
      <c r="P29" s="225">
        <v>0.02</v>
      </c>
      <c r="Q29" s="54"/>
      <c r="R29" s="54">
        <v>488.31</v>
      </c>
      <c r="S29" s="54"/>
    </row>
    <row r="30" ht="29" customHeight="1" spans="1:19">
      <c r="A30" s="42"/>
      <c r="B30" s="50" t="s">
        <v>82</v>
      </c>
      <c r="C30" s="50"/>
      <c r="D30" s="50"/>
      <c r="E30" s="47">
        <v>880</v>
      </c>
      <c r="F30" s="48"/>
      <c r="G30" s="48"/>
      <c r="H30" s="49"/>
      <c r="I30" s="55">
        <v>880</v>
      </c>
      <c r="J30" s="226" t="s">
        <v>541</v>
      </c>
      <c r="K30" s="54">
        <v>880</v>
      </c>
      <c r="L30" s="225">
        <v>1</v>
      </c>
      <c r="M30" s="226" t="s">
        <v>541</v>
      </c>
      <c r="N30" s="226"/>
      <c r="O30" s="54">
        <v>108.37</v>
      </c>
      <c r="P30" s="225">
        <v>0.12</v>
      </c>
      <c r="Q30" s="54"/>
      <c r="R30" s="54">
        <v>691.63</v>
      </c>
      <c r="S30" s="54"/>
    </row>
    <row r="31" ht="24" customHeight="1" spans="1:19">
      <c r="A31" s="42"/>
      <c r="B31" s="54" t="s">
        <v>83</v>
      </c>
      <c r="C31" s="55"/>
      <c r="D31" s="56" t="s">
        <v>84</v>
      </c>
      <c r="E31" s="57" t="s">
        <v>85</v>
      </c>
      <c r="F31" s="57"/>
      <c r="G31" s="57"/>
      <c r="H31" s="57"/>
      <c r="I31" s="57"/>
      <c r="J31" s="57"/>
      <c r="K31" s="57"/>
      <c r="L31" s="57"/>
      <c r="M31" s="57"/>
      <c r="N31" s="57"/>
      <c r="O31" s="57"/>
      <c r="P31" s="57" t="s">
        <v>86</v>
      </c>
      <c r="Q31" s="57"/>
      <c r="R31" s="57"/>
      <c r="S31" s="170"/>
    </row>
    <row r="32" ht="24" customHeight="1" spans="1:19">
      <c r="A32" s="42"/>
      <c r="B32" s="55"/>
      <c r="C32" s="55"/>
      <c r="D32" s="54">
        <v>1</v>
      </c>
      <c r="E32" s="57" t="s">
        <v>542</v>
      </c>
      <c r="F32" s="57"/>
      <c r="G32" s="57"/>
      <c r="H32" s="57"/>
      <c r="I32" s="57"/>
      <c r="J32" s="57"/>
      <c r="K32" s="57"/>
      <c r="L32" s="57"/>
      <c r="M32" s="57"/>
      <c r="N32" s="57"/>
      <c r="O32" s="57"/>
      <c r="P32" s="57">
        <v>120.06</v>
      </c>
      <c r="Q32" s="57"/>
      <c r="R32" s="57"/>
      <c r="S32" s="170"/>
    </row>
    <row r="33" ht="18" customHeight="1" spans="1:19">
      <c r="A33" s="60"/>
      <c r="B33" s="61"/>
      <c r="C33" s="61"/>
      <c r="D33" s="168" t="s">
        <v>91</v>
      </c>
      <c r="E33" s="57" t="s">
        <v>15</v>
      </c>
      <c r="F33" s="57"/>
      <c r="G33" s="57"/>
      <c r="H33" s="57"/>
      <c r="I33" s="57"/>
      <c r="J33" s="57"/>
      <c r="K33" s="57"/>
      <c r="L33" s="57"/>
      <c r="M33" s="57"/>
      <c r="N33" s="57"/>
      <c r="O33" s="57"/>
      <c r="P33" s="57">
        <v>120.06</v>
      </c>
      <c r="Q33" s="57"/>
      <c r="R33" s="57"/>
      <c r="S33" s="170"/>
    </row>
    <row r="34" ht="77.25" customHeight="1" spans="1:20">
      <c r="A34" s="62" t="s">
        <v>92</v>
      </c>
      <c r="B34" s="210" t="s">
        <v>93</v>
      </c>
      <c r="C34" s="211"/>
      <c r="D34" s="211"/>
      <c r="E34" s="211" t="s">
        <v>94</v>
      </c>
      <c r="F34" s="211"/>
      <c r="G34" s="211"/>
      <c r="H34" s="211" t="s">
        <v>95</v>
      </c>
      <c r="I34" s="211"/>
      <c r="J34" s="211" t="s">
        <v>96</v>
      </c>
      <c r="K34" s="211"/>
      <c r="L34" s="211"/>
      <c r="M34" s="211"/>
      <c r="N34" s="211"/>
      <c r="O34" s="211"/>
      <c r="P34" s="228" t="s">
        <v>97</v>
      </c>
      <c r="Q34" s="265"/>
      <c r="R34" s="211" t="s">
        <v>98</v>
      </c>
      <c r="S34" s="266"/>
      <c r="T34" s="99"/>
    </row>
    <row r="35" ht="48" customHeight="1" spans="1:20">
      <c r="A35" s="63"/>
      <c r="B35" s="74" t="s">
        <v>99</v>
      </c>
      <c r="C35" s="75"/>
      <c r="D35" s="76"/>
      <c r="E35" s="77" t="s">
        <v>100</v>
      </c>
      <c r="F35" s="77"/>
      <c r="G35" s="77"/>
      <c r="H35" s="212" t="s">
        <v>101</v>
      </c>
      <c r="I35" s="76"/>
      <c r="J35" s="143" t="s">
        <v>102</v>
      </c>
      <c r="K35" s="143"/>
      <c r="L35" s="143"/>
      <c r="M35" s="143"/>
      <c r="N35" s="143"/>
      <c r="O35" s="143"/>
      <c r="P35" s="229">
        <v>0.1</v>
      </c>
      <c r="Q35" s="267"/>
      <c r="R35" s="10">
        <v>5</v>
      </c>
      <c r="S35" s="175"/>
      <c r="T35" s="99"/>
    </row>
    <row r="36" ht="46.5" customHeight="1" spans="1:20">
      <c r="A36" s="63"/>
      <c r="B36" s="68"/>
      <c r="C36" s="69"/>
      <c r="D36" s="70"/>
      <c r="E36" s="54" t="s">
        <v>103</v>
      </c>
      <c r="F36" s="54"/>
      <c r="G36" s="54"/>
      <c r="H36" s="51" t="s">
        <v>104</v>
      </c>
      <c r="I36" s="53"/>
      <c r="J36" s="230" t="s">
        <v>543</v>
      </c>
      <c r="K36" s="231"/>
      <c r="L36" s="231"/>
      <c r="M36" s="231"/>
      <c r="N36" s="231"/>
      <c r="O36" s="232"/>
      <c r="P36" s="233">
        <v>0.1</v>
      </c>
      <c r="Q36" s="172"/>
      <c r="R36" s="25">
        <v>5</v>
      </c>
      <c r="S36" s="154"/>
      <c r="T36" s="99"/>
    </row>
    <row r="37" ht="58.9" customHeight="1" spans="1:20">
      <c r="A37" s="63"/>
      <c r="B37" s="213"/>
      <c r="C37" s="82"/>
      <c r="D37" s="83"/>
      <c r="E37" s="84" t="s">
        <v>106</v>
      </c>
      <c r="F37" s="84"/>
      <c r="G37" s="84"/>
      <c r="H37" s="84" t="s">
        <v>107</v>
      </c>
      <c r="I37" s="84"/>
      <c r="J37" s="234" t="s">
        <v>108</v>
      </c>
      <c r="K37" s="234"/>
      <c r="L37" s="234"/>
      <c r="M37" s="234"/>
      <c r="N37" s="234"/>
      <c r="O37" s="234"/>
      <c r="P37" s="235">
        <v>0.1</v>
      </c>
      <c r="Q37" s="268"/>
      <c r="R37" s="177">
        <v>5</v>
      </c>
      <c r="S37" s="178"/>
      <c r="T37" s="99"/>
    </row>
    <row r="38" ht="48.6" customHeight="1" spans="1:19">
      <c r="A38" s="63"/>
      <c r="B38" s="74" t="s">
        <v>109</v>
      </c>
      <c r="C38" s="75"/>
      <c r="D38" s="76"/>
      <c r="E38" s="34" t="s">
        <v>110</v>
      </c>
      <c r="F38" s="35"/>
      <c r="G38" s="36"/>
      <c r="H38" s="78" t="s">
        <v>111</v>
      </c>
      <c r="I38" s="78"/>
      <c r="J38" s="236" t="s">
        <v>544</v>
      </c>
      <c r="K38" s="237"/>
      <c r="L38" s="237"/>
      <c r="M38" s="237"/>
      <c r="N38" s="237"/>
      <c r="O38" s="238"/>
      <c r="P38" s="140">
        <v>0.08</v>
      </c>
      <c r="Q38" s="174"/>
      <c r="R38" s="10">
        <v>8</v>
      </c>
      <c r="S38" s="175"/>
    </row>
    <row r="39" ht="41.45" customHeight="1" spans="1:19">
      <c r="A39" s="63"/>
      <c r="B39" s="68"/>
      <c r="C39" s="69"/>
      <c r="D39" s="70"/>
      <c r="E39" s="39"/>
      <c r="F39" s="40"/>
      <c r="G39" s="41"/>
      <c r="H39" s="214" t="s">
        <v>113</v>
      </c>
      <c r="I39" s="214"/>
      <c r="J39" s="239" t="s">
        <v>114</v>
      </c>
      <c r="K39" s="240"/>
      <c r="L39" s="240"/>
      <c r="M39" s="240"/>
      <c r="N39" s="240"/>
      <c r="O39" s="241"/>
      <c r="P39" s="144">
        <v>0.06</v>
      </c>
      <c r="Q39" s="144"/>
      <c r="R39" s="23">
        <v>6</v>
      </c>
      <c r="S39" s="173"/>
    </row>
    <row r="40" ht="54.6" customHeight="1" spans="1:19">
      <c r="A40" s="63"/>
      <c r="B40" s="68"/>
      <c r="C40" s="69"/>
      <c r="D40" s="70"/>
      <c r="E40" s="43"/>
      <c r="F40" s="44"/>
      <c r="G40" s="45"/>
      <c r="H40" s="214" t="s">
        <v>115</v>
      </c>
      <c r="I40" s="214"/>
      <c r="J40" s="239" t="s">
        <v>116</v>
      </c>
      <c r="K40" s="240"/>
      <c r="L40" s="240"/>
      <c r="M40" s="240"/>
      <c r="N40" s="240"/>
      <c r="O40" s="241"/>
      <c r="P40" s="233">
        <v>0.06</v>
      </c>
      <c r="Q40" s="172"/>
      <c r="R40" s="25">
        <v>3</v>
      </c>
      <c r="S40" s="154"/>
    </row>
    <row r="41" s="205" customFormat="1" ht="48.6" customHeight="1" spans="1:20">
      <c r="A41" s="63"/>
      <c r="B41" s="79"/>
      <c r="C41" s="69"/>
      <c r="D41" s="70"/>
      <c r="E41" s="54" t="s">
        <v>117</v>
      </c>
      <c r="F41" s="54"/>
      <c r="G41" s="54"/>
      <c r="H41" s="54" t="s">
        <v>118</v>
      </c>
      <c r="I41" s="54"/>
      <c r="J41" s="51" t="s">
        <v>119</v>
      </c>
      <c r="K41" s="52"/>
      <c r="L41" s="52"/>
      <c r="M41" s="52"/>
      <c r="N41" s="52"/>
      <c r="O41" s="53"/>
      <c r="P41" s="142">
        <v>0.06</v>
      </c>
      <c r="Q41" s="144"/>
      <c r="R41" s="23">
        <v>6</v>
      </c>
      <c r="S41" s="173"/>
      <c r="T41" s="40"/>
    </row>
    <row r="42" s="205" customFormat="1" ht="60" customHeight="1" spans="1:20">
      <c r="A42" s="63"/>
      <c r="B42" s="81"/>
      <c r="C42" s="82"/>
      <c r="D42" s="83"/>
      <c r="E42" s="215"/>
      <c r="F42" s="215"/>
      <c r="G42" s="215"/>
      <c r="H42" s="84" t="s">
        <v>120</v>
      </c>
      <c r="I42" s="84"/>
      <c r="J42" s="242" t="s">
        <v>545</v>
      </c>
      <c r="K42" s="243"/>
      <c r="L42" s="243"/>
      <c r="M42" s="243"/>
      <c r="N42" s="243"/>
      <c r="O42" s="244"/>
      <c r="P42" s="245">
        <v>0.08</v>
      </c>
      <c r="Q42" s="146"/>
      <c r="R42" s="177">
        <v>0</v>
      </c>
      <c r="S42" s="178"/>
      <c r="T42" s="40"/>
    </row>
    <row r="43" ht="30" customHeight="1" spans="1:19">
      <c r="A43" s="63"/>
      <c r="B43" s="74" t="s">
        <v>122</v>
      </c>
      <c r="C43" s="75"/>
      <c r="D43" s="76"/>
      <c r="E43" s="54" t="s">
        <v>123</v>
      </c>
      <c r="F43" s="54"/>
      <c r="G43" s="54"/>
      <c r="H43" s="77" t="s">
        <v>546</v>
      </c>
      <c r="I43" s="77"/>
      <c r="J43" s="246" t="s">
        <v>547</v>
      </c>
      <c r="K43" s="247"/>
      <c r="L43" s="247"/>
      <c r="M43" s="247"/>
      <c r="N43" s="247"/>
      <c r="O43" s="248"/>
      <c r="P43" s="140">
        <v>0.06</v>
      </c>
      <c r="Q43" s="174"/>
      <c r="R43" s="10">
        <v>3</v>
      </c>
      <c r="S43" s="175"/>
    </row>
    <row r="44" ht="39" customHeight="1" spans="1:19">
      <c r="A44" s="63"/>
      <c r="B44" s="68"/>
      <c r="C44" s="69"/>
      <c r="D44" s="70"/>
      <c r="E44" s="54" t="s">
        <v>128</v>
      </c>
      <c r="F44" s="54"/>
      <c r="G44" s="54"/>
      <c r="H44" s="54" t="s">
        <v>126</v>
      </c>
      <c r="I44" s="54"/>
      <c r="J44" s="51" t="s">
        <v>548</v>
      </c>
      <c r="K44" s="52"/>
      <c r="L44" s="52"/>
      <c r="M44" s="52"/>
      <c r="N44" s="52"/>
      <c r="O44" s="53"/>
      <c r="P44" s="135">
        <v>0.08</v>
      </c>
      <c r="Q44" s="172"/>
      <c r="R44" s="25">
        <v>0</v>
      </c>
      <c r="S44" s="154"/>
    </row>
    <row r="45" ht="25.5" customHeight="1" spans="1:19">
      <c r="A45" s="63"/>
      <c r="B45" s="79"/>
      <c r="C45" s="69"/>
      <c r="D45" s="70"/>
      <c r="E45" s="54" t="s">
        <v>138</v>
      </c>
      <c r="F45" s="54"/>
      <c r="G45" s="54"/>
      <c r="H45" s="216" t="s">
        <v>15</v>
      </c>
      <c r="I45" s="216"/>
      <c r="J45" s="249" t="s">
        <v>15</v>
      </c>
      <c r="K45" s="250"/>
      <c r="L45" s="250"/>
      <c r="M45" s="250"/>
      <c r="N45" s="250"/>
      <c r="O45" s="251"/>
      <c r="P45" s="252" t="s">
        <v>15</v>
      </c>
      <c r="Q45" s="252"/>
      <c r="R45" s="252" t="s">
        <v>15</v>
      </c>
      <c r="S45" s="252"/>
    </row>
    <row r="46" ht="45" customHeight="1" spans="1:29">
      <c r="A46" s="63"/>
      <c r="B46" s="79"/>
      <c r="C46" s="69"/>
      <c r="D46" s="70"/>
      <c r="E46" s="54" t="s">
        <v>141</v>
      </c>
      <c r="F46" s="54"/>
      <c r="G46" s="54"/>
      <c r="H46" s="54" t="s">
        <v>549</v>
      </c>
      <c r="I46" s="54"/>
      <c r="J46" s="239" t="s">
        <v>550</v>
      </c>
      <c r="K46" s="240"/>
      <c r="L46" s="240"/>
      <c r="M46" s="240"/>
      <c r="N46" s="240"/>
      <c r="O46" s="241"/>
      <c r="P46" s="142">
        <v>0.08</v>
      </c>
      <c r="Q46" s="144"/>
      <c r="R46" s="23">
        <v>4</v>
      </c>
      <c r="S46" s="173"/>
      <c r="V46" s="40"/>
      <c r="W46" s="40"/>
      <c r="X46" s="69"/>
      <c r="Y46" s="69"/>
      <c r="Z46" s="69"/>
      <c r="AA46" s="69"/>
      <c r="AB46" s="69"/>
      <c r="AC46" s="69"/>
    </row>
    <row r="47" s="205" customFormat="1" ht="45" customHeight="1" spans="1:20">
      <c r="A47" s="63"/>
      <c r="B47" s="79"/>
      <c r="C47" s="69"/>
      <c r="D47" s="70"/>
      <c r="E47" s="54" t="s">
        <v>143</v>
      </c>
      <c r="F47" s="54"/>
      <c r="G47" s="54"/>
      <c r="H47" s="54" t="s">
        <v>383</v>
      </c>
      <c r="I47" s="54"/>
      <c r="J47" s="51" t="s">
        <v>551</v>
      </c>
      <c r="K47" s="52"/>
      <c r="L47" s="52"/>
      <c r="M47" s="52"/>
      <c r="N47" s="52"/>
      <c r="O47" s="53"/>
      <c r="P47" s="142">
        <v>0.08</v>
      </c>
      <c r="Q47" s="144"/>
      <c r="R47" s="23">
        <v>4</v>
      </c>
      <c r="S47" s="173"/>
      <c r="T47" s="40"/>
    </row>
    <row r="48" s="205" customFormat="1" ht="45.6" customHeight="1" spans="1:20">
      <c r="A48" s="63"/>
      <c r="B48" s="79"/>
      <c r="C48" s="69"/>
      <c r="D48" s="70"/>
      <c r="E48" s="54" t="s">
        <v>146</v>
      </c>
      <c r="F48" s="54"/>
      <c r="G48" s="54"/>
      <c r="H48" s="214" t="s">
        <v>15</v>
      </c>
      <c r="I48" s="214"/>
      <c r="J48" s="253" t="s">
        <v>15</v>
      </c>
      <c r="K48" s="254"/>
      <c r="L48" s="254"/>
      <c r="M48" s="254"/>
      <c r="N48" s="254"/>
      <c r="O48" s="255"/>
      <c r="P48" s="142" t="s">
        <v>15</v>
      </c>
      <c r="Q48" s="144"/>
      <c r="R48" s="142" t="s">
        <v>15</v>
      </c>
      <c r="S48" s="144"/>
      <c r="T48" s="40"/>
    </row>
    <row r="49" s="205" customFormat="1" ht="45" customHeight="1" spans="1:20">
      <c r="A49" s="63"/>
      <c r="B49" s="81"/>
      <c r="C49" s="82"/>
      <c r="D49" s="83"/>
      <c r="E49" s="84" t="s">
        <v>149</v>
      </c>
      <c r="F49" s="84"/>
      <c r="G49" s="84"/>
      <c r="H49" s="217" t="s">
        <v>386</v>
      </c>
      <c r="I49" s="217"/>
      <c r="J49" s="256" t="s">
        <v>552</v>
      </c>
      <c r="K49" s="257"/>
      <c r="L49" s="257"/>
      <c r="M49" s="257"/>
      <c r="N49" s="257"/>
      <c r="O49" s="258"/>
      <c r="P49" s="146">
        <v>0.06</v>
      </c>
      <c r="Q49" s="146"/>
      <c r="R49" s="23">
        <v>2</v>
      </c>
      <c r="S49" s="176"/>
      <c r="T49" s="40"/>
    </row>
    <row r="50" ht="30" customHeight="1" spans="1:19">
      <c r="A50" s="63"/>
      <c r="B50" s="16" t="s">
        <v>152</v>
      </c>
      <c r="C50" s="17"/>
      <c r="D50" s="17"/>
      <c r="E50" s="17"/>
      <c r="F50" s="17"/>
      <c r="G50" s="17"/>
      <c r="H50" s="17"/>
      <c r="I50" s="17"/>
      <c r="J50" s="17"/>
      <c r="K50" s="17"/>
      <c r="L50" s="17"/>
      <c r="M50" s="17"/>
      <c r="N50" s="17"/>
      <c r="O50" s="18"/>
      <c r="P50" s="259">
        <f>SUM(P35:P49)</f>
        <v>1</v>
      </c>
      <c r="Q50" s="259"/>
      <c r="R50" s="177">
        <f>SUM(R35:R49)</f>
        <v>51</v>
      </c>
      <c r="S50" s="178"/>
    </row>
    <row r="51" ht="36" customHeight="1" spans="1:19">
      <c r="A51" s="88"/>
      <c r="B51" s="89" t="s">
        <v>153</v>
      </c>
      <c r="C51" s="90" t="s">
        <v>553</v>
      </c>
      <c r="D51" s="91"/>
      <c r="E51" s="91"/>
      <c r="F51" s="91"/>
      <c r="G51" s="91"/>
      <c r="H51" s="91"/>
      <c r="I51" s="91"/>
      <c r="J51" s="91"/>
      <c r="K51" s="91"/>
      <c r="L51" s="91"/>
      <c r="M51" s="91"/>
      <c r="N51" s="91"/>
      <c r="O51" s="91"/>
      <c r="P51" s="91"/>
      <c r="Q51" s="91"/>
      <c r="R51" s="91"/>
      <c r="S51" s="181"/>
    </row>
    <row r="52" ht="22.5" customHeight="1" spans="1:19">
      <c r="A52" s="62" t="s">
        <v>155</v>
      </c>
      <c r="B52" s="92" t="s">
        <v>156</v>
      </c>
      <c r="C52" s="93" t="s">
        <v>157</v>
      </c>
      <c r="D52" s="94"/>
      <c r="E52" s="95" t="s">
        <v>158</v>
      </c>
      <c r="F52" s="93"/>
      <c r="G52" s="93"/>
      <c r="H52" s="93"/>
      <c r="I52" s="93"/>
      <c r="J52" s="93"/>
      <c r="K52" s="93"/>
      <c r="L52" s="93"/>
      <c r="M52" s="93"/>
      <c r="N52" s="94"/>
      <c r="O52" s="149" t="s">
        <v>159</v>
      </c>
      <c r="P52" s="95" t="s">
        <v>160</v>
      </c>
      <c r="Q52" s="94"/>
      <c r="R52" s="95" t="s">
        <v>161</v>
      </c>
      <c r="S52" s="182"/>
    </row>
    <row r="53" ht="21" customHeight="1" spans="1:19">
      <c r="A53" s="96"/>
      <c r="B53" s="97"/>
      <c r="C53" s="98"/>
      <c r="D53" s="99"/>
      <c r="E53" s="100"/>
      <c r="F53" s="101"/>
      <c r="G53" s="101"/>
      <c r="H53" s="101"/>
      <c r="I53" s="101"/>
      <c r="J53" s="101"/>
      <c r="K53" s="101"/>
      <c r="L53" s="101"/>
      <c r="M53" s="101"/>
      <c r="N53" s="150"/>
      <c r="O53" s="57"/>
      <c r="P53" s="98"/>
      <c r="Q53" s="99"/>
      <c r="R53" s="98"/>
      <c r="S53" s="160"/>
    </row>
    <row r="54" ht="21" customHeight="1" spans="1:19">
      <c r="A54" s="96"/>
      <c r="B54" s="97"/>
      <c r="C54" s="98"/>
      <c r="D54" s="99"/>
      <c r="E54" s="100"/>
      <c r="F54" s="101"/>
      <c r="G54" s="101"/>
      <c r="H54" s="101"/>
      <c r="I54" s="101"/>
      <c r="J54" s="101"/>
      <c r="K54" s="101"/>
      <c r="L54" s="101"/>
      <c r="M54" s="101"/>
      <c r="N54" s="150"/>
      <c r="O54" s="57"/>
      <c r="P54" s="98"/>
      <c r="Q54" s="99"/>
      <c r="R54" s="98"/>
      <c r="S54" s="160"/>
    </row>
    <row r="55" ht="21" customHeight="1" spans="1:19">
      <c r="A55" s="96"/>
      <c r="B55" s="97"/>
      <c r="C55" s="98"/>
      <c r="D55" s="99"/>
      <c r="E55" s="100"/>
      <c r="F55" s="101"/>
      <c r="G55" s="101"/>
      <c r="H55" s="101"/>
      <c r="I55" s="101"/>
      <c r="J55" s="101"/>
      <c r="K55" s="101"/>
      <c r="L55" s="101"/>
      <c r="M55" s="101"/>
      <c r="N55" s="150"/>
      <c r="O55" s="57"/>
      <c r="P55" s="98"/>
      <c r="Q55" s="99"/>
      <c r="R55" s="98"/>
      <c r="S55" s="160"/>
    </row>
    <row r="56" ht="21" customHeight="1" spans="1:19">
      <c r="A56" s="96"/>
      <c r="B56" s="97"/>
      <c r="C56" s="98"/>
      <c r="D56" s="99"/>
      <c r="E56" s="100"/>
      <c r="F56" s="101"/>
      <c r="G56" s="101"/>
      <c r="H56" s="101"/>
      <c r="I56" s="101"/>
      <c r="J56" s="101"/>
      <c r="K56" s="101"/>
      <c r="L56" s="101"/>
      <c r="M56" s="101"/>
      <c r="N56" s="150"/>
      <c r="O56" s="57"/>
      <c r="P56" s="98"/>
      <c r="Q56" s="99"/>
      <c r="R56" s="98"/>
      <c r="S56" s="160"/>
    </row>
    <row r="57" ht="21" customHeight="1" spans="1:19">
      <c r="A57" s="96"/>
      <c r="B57" s="97"/>
      <c r="C57" s="98"/>
      <c r="D57" s="99"/>
      <c r="E57" s="100"/>
      <c r="F57" s="101"/>
      <c r="G57" s="101"/>
      <c r="H57" s="101"/>
      <c r="I57" s="101"/>
      <c r="J57" s="101"/>
      <c r="K57" s="101"/>
      <c r="L57" s="101"/>
      <c r="M57" s="101"/>
      <c r="N57" s="150"/>
      <c r="O57" s="57"/>
      <c r="P57" s="98"/>
      <c r="Q57" s="99"/>
      <c r="R57" s="98"/>
      <c r="S57" s="160"/>
    </row>
    <row r="58" ht="105.75" customHeight="1" spans="1:19">
      <c r="A58" s="96"/>
      <c r="B58" s="97"/>
      <c r="C58" s="102" t="s">
        <v>162</v>
      </c>
      <c r="D58" s="103"/>
      <c r="E58" s="103"/>
      <c r="F58" s="103"/>
      <c r="G58" s="103"/>
      <c r="H58" s="103"/>
      <c r="I58" s="103"/>
      <c r="J58" s="103"/>
      <c r="K58" s="103"/>
      <c r="L58" s="103"/>
      <c r="M58" s="103"/>
      <c r="N58" s="103"/>
      <c r="O58" s="103"/>
      <c r="P58" s="103"/>
      <c r="Q58" s="103"/>
      <c r="R58" s="103"/>
      <c r="S58" s="183"/>
    </row>
    <row r="59" ht="27" customHeight="1" spans="1:19">
      <c r="A59" s="96"/>
      <c r="B59" s="104"/>
      <c r="C59" s="105" t="s">
        <v>163</v>
      </c>
      <c r="D59" s="106"/>
      <c r="E59" s="106"/>
      <c r="F59" s="106"/>
      <c r="G59" s="106"/>
      <c r="H59" s="106"/>
      <c r="I59" s="106"/>
      <c r="J59" s="106"/>
      <c r="K59" s="106"/>
      <c r="L59" s="106"/>
      <c r="M59" s="106"/>
      <c r="N59" s="106"/>
      <c r="O59" s="106"/>
      <c r="P59" s="106"/>
      <c r="Q59" s="106"/>
      <c r="R59" s="106"/>
      <c r="S59" s="184"/>
    </row>
    <row r="60" ht="48.75" customHeight="1" spans="1:19">
      <c r="A60" s="96"/>
      <c r="B60" s="92" t="s">
        <v>164</v>
      </c>
      <c r="C60" s="107" t="s">
        <v>165</v>
      </c>
      <c r="D60" s="108"/>
      <c r="E60" s="108"/>
      <c r="F60" s="108"/>
      <c r="G60" s="108"/>
      <c r="H60" s="108"/>
      <c r="I60" s="108"/>
      <c r="J60" s="108"/>
      <c r="K60" s="108"/>
      <c r="L60" s="108"/>
      <c r="M60" s="108"/>
      <c r="N60" s="108"/>
      <c r="O60" s="108"/>
      <c r="P60" s="108"/>
      <c r="Q60" s="108"/>
      <c r="R60" s="108"/>
      <c r="S60" s="185"/>
    </row>
    <row r="61" ht="55.5" customHeight="1" spans="1:19">
      <c r="A61" s="96"/>
      <c r="B61" s="186"/>
      <c r="C61" s="187" t="s">
        <v>166</v>
      </c>
      <c r="D61" s="188"/>
      <c r="E61" s="188"/>
      <c r="F61" s="188"/>
      <c r="G61" s="188"/>
      <c r="H61" s="188"/>
      <c r="I61" s="188"/>
      <c r="J61" s="188"/>
      <c r="K61" s="188"/>
      <c r="L61" s="188"/>
      <c r="M61" s="188"/>
      <c r="N61" s="188"/>
      <c r="O61" s="188"/>
      <c r="P61" s="188"/>
      <c r="Q61" s="188"/>
      <c r="R61" s="188"/>
      <c r="S61" s="201"/>
    </row>
    <row r="62" ht="104.25" customHeight="1" spans="1:19">
      <c r="A62" s="96"/>
      <c r="B62" s="186"/>
      <c r="C62" s="102" t="s">
        <v>167</v>
      </c>
      <c r="D62" s="103"/>
      <c r="E62" s="103"/>
      <c r="F62" s="103"/>
      <c r="G62" s="103"/>
      <c r="H62" s="103"/>
      <c r="I62" s="103"/>
      <c r="J62" s="103"/>
      <c r="K62" s="103"/>
      <c r="L62" s="103"/>
      <c r="M62" s="103"/>
      <c r="N62" s="103"/>
      <c r="O62" s="103"/>
      <c r="P62" s="103"/>
      <c r="Q62" s="103"/>
      <c r="R62" s="103"/>
      <c r="S62" s="183"/>
    </row>
    <row r="63" ht="28.5" customHeight="1" spans="1:19">
      <c r="A63" s="96"/>
      <c r="B63" s="189"/>
      <c r="C63" s="105" t="s">
        <v>168</v>
      </c>
      <c r="D63" s="106"/>
      <c r="E63" s="106"/>
      <c r="F63" s="106"/>
      <c r="G63" s="106"/>
      <c r="H63" s="106"/>
      <c r="I63" s="106"/>
      <c r="J63" s="106"/>
      <c r="K63" s="106"/>
      <c r="L63" s="106"/>
      <c r="M63" s="106"/>
      <c r="N63" s="106"/>
      <c r="O63" s="106"/>
      <c r="P63" s="106"/>
      <c r="Q63" s="106"/>
      <c r="R63" s="106"/>
      <c r="S63" s="184"/>
    </row>
    <row r="64" customHeight="1" spans="1:19">
      <c r="A64" s="96"/>
      <c r="B64" s="186" t="s">
        <v>169</v>
      </c>
      <c r="C64" s="190"/>
      <c r="D64" s="191"/>
      <c r="E64" s="191"/>
      <c r="F64" s="191"/>
      <c r="G64" s="191"/>
      <c r="H64" s="191"/>
      <c r="I64" s="191"/>
      <c r="J64" s="191"/>
      <c r="K64" s="191"/>
      <c r="L64" s="191"/>
      <c r="M64" s="191"/>
      <c r="N64" s="191"/>
      <c r="O64" s="191"/>
      <c r="P64" s="191"/>
      <c r="Q64" s="191"/>
      <c r="R64" s="191"/>
      <c r="S64" s="202"/>
    </row>
    <row r="65" ht="14.25" customHeight="1" spans="1:19">
      <c r="A65" s="96"/>
      <c r="B65" s="186"/>
      <c r="C65" s="191"/>
      <c r="D65" s="191"/>
      <c r="E65" s="191"/>
      <c r="F65" s="192"/>
      <c r="G65" s="191"/>
      <c r="H65" s="191"/>
      <c r="I65" s="191"/>
      <c r="J65" s="191"/>
      <c r="K65" s="191"/>
      <c r="L65" s="191"/>
      <c r="M65" s="191"/>
      <c r="N65" s="191"/>
      <c r="O65" s="191"/>
      <c r="P65" s="191"/>
      <c r="Q65" s="191"/>
      <c r="R65" s="191"/>
      <c r="S65" s="202"/>
    </row>
    <row r="66" ht="30.75" customHeight="1" spans="1:19">
      <c r="A66" s="96"/>
      <c r="B66" s="186"/>
      <c r="C66" s="193"/>
      <c r="D66" s="194"/>
      <c r="E66" s="194"/>
      <c r="F66" s="194"/>
      <c r="G66" s="194"/>
      <c r="H66" s="194"/>
      <c r="I66" s="194"/>
      <c r="J66" s="194"/>
      <c r="K66" s="194"/>
      <c r="L66" s="194"/>
      <c r="M66" s="194"/>
      <c r="N66" s="194"/>
      <c r="O66" s="194"/>
      <c r="P66" s="194"/>
      <c r="Q66" s="194"/>
      <c r="R66" s="194"/>
      <c r="S66" s="203"/>
    </row>
    <row r="67" ht="53.25" customHeight="1" spans="1:19">
      <c r="A67" s="195"/>
      <c r="B67" s="189"/>
      <c r="C67" s="196" t="s">
        <v>170</v>
      </c>
      <c r="D67" s="197"/>
      <c r="E67" s="197"/>
      <c r="F67" s="197"/>
      <c r="G67" s="197"/>
      <c r="H67" s="197"/>
      <c r="I67" s="197"/>
      <c r="J67" s="197"/>
      <c r="K67" s="197"/>
      <c r="L67" s="197"/>
      <c r="M67" s="197"/>
      <c r="N67" s="197"/>
      <c r="O67" s="197"/>
      <c r="P67" s="197"/>
      <c r="Q67" s="197"/>
      <c r="R67" s="197"/>
      <c r="S67" s="204"/>
    </row>
    <row r="68" ht="19.5" customHeight="1" spans="1:19">
      <c r="A68" s="198"/>
      <c r="B68" s="199" t="s">
        <v>171</v>
      </c>
      <c r="C68" s="199"/>
      <c r="D68" s="199"/>
      <c r="E68" s="199"/>
      <c r="F68" s="199"/>
      <c r="G68" s="199"/>
      <c r="H68" s="199" t="s">
        <v>172</v>
      </c>
      <c r="I68" s="199"/>
      <c r="J68" s="199"/>
      <c r="K68" s="199"/>
      <c r="L68" s="199"/>
      <c r="N68" s="200"/>
      <c r="O68" s="200" t="s">
        <v>173</v>
      </c>
      <c r="Q68" s="200"/>
      <c r="R68" s="200"/>
      <c r="S68" s="200"/>
    </row>
  </sheetData>
  <mergeCells count="273">
    <mergeCell ref="A1:S1"/>
    <mergeCell ref="B2:D2"/>
    <mergeCell ref="E2:S2"/>
    <mergeCell ref="K3:M3"/>
    <mergeCell ref="P3:S3"/>
    <mergeCell ref="K4:M4"/>
    <mergeCell ref="P4:S4"/>
    <mergeCell ref="B5:H5"/>
    <mergeCell ref="I5:S5"/>
    <mergeCell ref="C6:H6"/>
    <mergeCell ref="I6:K6"/>
    <mergeCell ref="L6:O6"/>
    <mergeCell ref="P6:S6"/>
    <mergeCell ref="C7:D7"/>
    <mergeCell ref="E7:H7"/>
    <mergeCell ref="I7:K7"/>
    <mergeCell ref="L7:M7"/>
    <mergeCell ref="N7:O7"/>
    <mergeCell ref="P7:Q7"/>
    <mergeCell ref="R7:S7"/>
    <mergeCell ref="E8:H8"/>
    <mergeCell ref="I8:K8"/>
    <mergeCell ref="L8:M8"/>
    <mergeCell ref="N8:O8"/>
    <mergeCell ref="P8:Q8"/>
    <mergeCell ref="R8:S8"/>
    <mergeCell ref="E9:H9"/>
    <mergeCell ref="I9:K9"/>
    <mergeCell ref="L9:M9"/>
    <mergeCell ref="N9:O9"/>
    <mergeCell ref="P9:Q9"/>
    <mergeCell ref="R9:S9"/>
    <mergeCell ref="E10:H10"/>
    <mergeCell ref="I10:K10"/>
    <mergeCell ref="L10:M10"/>
    <mergeCell ref="N10:O10"/>
    <mergeCell ref="P10:Q10"/>
    <mergeCell ref="R10:S10"/>
    <mergeCell ref="E11:H11"/>
    <mergeCell ref="I11:K11"/>
    <mergeCell ref="L11:M11"/>
    <mergeCell ref="N11:O11"/>
    <mergeCell ref="P11:Q11"/>
    <mergeCell ref="R11:S11"/>
    <mergeCell ref="E12:H12"/>
    <mergeCell ref="I12:K12"/>
    <mergeCell ref="L12:M12"/>
    <mergeCell ref="N12:O12"/>
    <mergeCell ref="P12:Q12"/>
    <mergeCell ref="R12:S12"/>
    <mergeCell ref="E13:H13"/>
    <mergeCell ref="I13:K13"/>
    <mergeCell ref="L13:M13"/>
    <mergeCell ref="N13:O13"/>
    <mergeCell ref="P13:Q13"/>
    <mergeCell ref="R13:S13"/>
    <mergeCell ref="E14:H14"/>
    <mergeCell ref="I14:K14"/>
    <mergeCell ref="L14:M14"/>
    <mergeCell ref="N14:O14"/>
    <mergeCell ref="P14:Q14"/>
    <mergeCell ref="R14:S14"/>
    <mergeCell ref="E15:H15"/>
    <mergeCell ref="I15:K15"/>
    <mergeCell ref="L15:M15"/>
    <mergeCell ref="N15:O15"/>
    <mergeCell ref="P15:Q15"/>
    <mergeCell ref="R15:S15"/>
    <mergeCell ref="E16:H16"/>
    <mergeCell ref="I16:K16"/>
    <mergeCell ref="L16:M16"/>
    <mergeCell ref="N16:O16"/>
    <mergeCell ref="P16:Q16"/>
    <mergeCell ref="R16:S16"/>
    <mergeCell ref="E17:H17"/>
    <mergeCell ref="I17:K17"/>
    <mergeCell ref="L17:M17"/>
    <mergeCell ref="N17:O17"/>
    <mergeCell ref="P17:Q17"/>
    <mergeCell ref="R17:S17"/>
    <mergeCell ref="B18:D18"/>
    <mergeCell ref="E18:H18"/>
    <mergeCell ref="I18:K18"/>
    <mergeCell ref="L18:S18"/>
    <mergeCell ref="I19:S19"/>
    <mergeCell ref="I20:S20"/>
    <mergeCell ref="I21:S21"/>
    <mergeCell ref="I22:J22"/>
    <mergeCell ref="K22:N22"/>
    <mergeCell ref="O22:Q22"/>
    <mergeCell ref="B25:D25"/>
    <mergeCell ref="E25:H25"/>
    <mergeCell ref="M25:N25"/>
    <mergeCell ref="P25:Q25"/>
    <mergeCell ref="R25:S25"/>
    <mergeCell ref="B26:D26"/>
    <mergeCell ref="E26:H26"/>
    <mergeCell ref="M26:N26"/>
    <mergeCell ref="P26:Q26"/>
    <mergeCell ref="R26:S26"/>
    <mergeCell ref="B27:D27"/>
    <mergeCell ref="E27:H27"/>
    <mergeCell ref="M27:N27"/>
    <mergeCell ref="P27:Q27"/>
    <mergeCell ref="R27:S27"/>
    <mergeCell ref="B28:D28"/>
    <mergeCell ref="E28:H28"/>
    <mergeCell ref="M28:N28"/>
    <mergeCell ref="P28:Q28"/>
    <mergeCell ref="R28:S28"/>
    <mergeCell ref="B29:D29"/>
    <mergeCell ref="E29:H29"/>
    <mergeCell ref="M29:N29"/>
    <mergeCell ref="P29:Q29"/>
    <mergeCell ref="R29:S29"/>
    <mergeCell ref="B30:D30"/>
    <mergeCell ref="E30:H30"/>
    <mergeCell ref="M30:N30"/>
    <mergeCell ref="P30:Q30"/>
    <mergeCell ref="R30:S30"/>
    <mergeCell ref="E31:O31"/>
    <mergeCell ref="P31:S31"/>
    <mergeCell ref="E32:O32"/>
    <mergeCell ref="P32:S32"/>
    <mergeCell ref="E33:O33"/>
    <mergeCell ref="P33:S33"/>
    <mergeCell ref="B34:D34"/>
    <mergeCell ref="E34:G34"/>
    <mergeCell ref="H34:I34"/>
    <mergeCell ref="J34:O34"/>
    <mergeCell ref="P34:Q34"/>
    <mergeCell ref="R34:S34"/>
    <mergeCell ref="E35:G35"/>
    <mergeCell ref="H35:I35"/>
    <mergeCell ref="J35:O35"/>
    <mergeCell ref="P35:Q35"/>
    <mergeCell ref="R35:S35"/>
    <mergeCell ref="E36:G36"/>
    <mergeCell ref="H36:I36"/>
    <mergeCell ref="J36:O36"/>
    <mergeCell ref="P36:Q36"/>
    <mergeCell ref="R36:S36"/>
    <mergeCell ref="E37:G37"/>
    <mergeCell ref="H37:I37"/>
    <mergeCell ref="J37:O37"/>
    <mergeCell ref="P37:Q37"/>
    <mergeCell ref="R37:S37"/>
    <mergeCell ref="H38:I38"/>
    <mergeCell ref="J38:O38"/>
    <mergeCell ref="P38:Q38"/>
    <mergeCell ref="R38:S38"/>
    <mergeCell ref="H39:I39"/>
    <mergeCell ref="J39:O39"/>
    <mergeCell ref="P39:Q39"/>
    <mergeCell ref="R39:S39"/>
    <mergeCell ref="H40:I40"/>
    <mergeCell ref="J40:O40"/>
    <mergeCell ref="P40:Q40"/>
    <mergeCell ref="R40:S40"/>
    <mergeCell ref="H41:I41"/>
    <mergeCell ref="J41:O41"/>
    <mergeCell ref="P41:Q41"/>
    <mergeCell ref="R41:S41"/>
    <mergeCell ref="H42:I42"/>
    <mergeCell ref="J42:O42"/>
    <mergeCell ref="P42:Q42"/>
    <mergeCell ref="R42:S42"/>
    <mergeCell ref="E43:G43"/>
    <mergeCell ref="H43:I43"/>
    <mergeCell ref="J43:O43"/>
    <mergeCell ref="P43:Q43"/>
    <mergeCell ref="R43:S43"/>
    <mergeCell ref="E44:G44"/>
    <mergeCell ref="H44:I44"/>
    <mergeCell ref="J44:O44"/>
    <mergeCell ref="P44:Q44"/>
    <mergeCell ref="R44:S44"/>
    <mergeCell ref="E45:G45"/>
    <mergeCell ref="H45:I45"/>
    <mergeCell ref="J45:O45"/>
    <mergeCell ref="P45:Q45"/>
    <mergeCell ref="R45:S45"/>
    <mergeCell ref="E46:G46"/>
    <mergeCell ref="H46:I46"/>
    <mergeCell ref="J46:O46"/>
    <mergeCell ref="P46:Q46"/>
    <mergeCell ref="R46:S46"/>
    <mergeCell ref="V46:W46"/>
    <mergeCell ref="X46:AC46"/>
    <mergeCell ref="E47:G47"/>
    <mergeCell ref="H47:I47"/>
    <mergeCell ref="J47:O47"/>
    <mergeCell ref="P47:Q47"/>
    <mergeCell ref="R47:S47"/>
    <mergeCell ref="E48:G48"/>
    <mergeCell ref="H48:I48"/>
    <mergeCell ref="J48:O48"/>
    <mergeCell ref="P48:Q48"/>
    <mergeCell ref="R48:S48"/>
    <mergeCell ref="E49:G49"/>
    <mergeCell ref="H49:I49"/>
    <mergeCell ref="J49:O49"/>
    <mergeCell ref="P49:Q49"/>
    <mergeCell ref="R49:S49"/>
    <mergeCell ref="B50:O50"/>
    <mergeCell ref="P50:Q50"/>
    <mergeCell ref="R50:S50"/>
    <mergeCell ref="C51:S51"/>
    <mergeCell ref="C52:D52"/>
    <mergeCell ref="E52:N52"/>
    <mergeCell ref="P52:Q52"/>
    <mergeCell ref="R52:S52"/>
    <mergeCell ref="C53:D53"/>
    <mergeCell ref="E53:N53"/>
    <mergeCell ref="P53:Q53"/>
    <mergeCell ref="R53:S53"/>
    <mergeCell ref="C54:D54"/>
    <mergeCell ref="E54:N54"/>
    <mergeCell ref="P54:Q54"/>
    <mergeCell ref="R54:S54"/>
    <mergeCell ref="C55:D55"/>
    <mergeCell ref="E55:N55"/>
    <mergeCell ref="P55:Q55"/>
    <mergeCell ref="R55:S55"/>
    <mergeCell ref="C56:D56"/>
    <mergeCell ref="E56:N56"/>
    <mergeCell ref="P56:Q56"/>
    <mergeCell ref="R56:S56"/>
    <mergeCell ref="C57:D57"/>
    <mergeCell ref="E57:N57"/>
    <mergeCell ref="P57:Q57"/>
    <mergeCell ref="R57:S57"/>
    <mergeCell ref="C58:S58"/>
    <mergeCell ref="C59:S59"/>
    <mergeCell ref="C60:S60"/>
    <mergeCell ref="C61:S61"/>
    <mergeCell ref="C62:S62"/>
    <mergeCell ref="C63:S63"/>
    <mergeCell ref="C67:S67"/>
    <mergeCell ref="A2:A20"/>
    <mergeCell ref="A21:A33"/>
    <mergeCell ref="A34:A37"/>
    <mergeCell ref="A38:A51"/>
    <mergeCell ref="A52:A67"/>
    <mergeCell ref="B6:B17"/>
    <mergeCell ref="B52:B59"/>
    <mergeCell ref="B60:B63"/>
    <mergeCell ref="B64:B67"/>
    <mergeCell ref="I23:I24"/>
    <mergeCell ref="J23:J24"/>
    <mergeCell ref="K23:K24"/>
    <mergeCell ref="L23:L24"/>
    <mergeCell ref="O23:O24"/>
    <mergeCell ref="T34:T37"/>
    <mergeCell ref="U13:U16"/>
    <mergeCell ref="B3:H4"/>
    <mergeCell ref="I3:J4"/>
    <mergeCell ref="N3:O4"/>
    <mergeCell ref="C8:D10"/>
    <mergeCell ref="C11:D12"/>
    <mergeCell ref="C13:D17"/>
    <mergeCell ref="B19:H20"/>
    <mergeCell ref="B21:D24"/>
    <mergeCell ref="E21:H24"/>
    <mergeCell ref="R22:S24"/>
    <mergeCell ref="M23:N24"/>
    <mergeCell ref="P23:Q24"/>
    <mergeCell ref="B31:C33"/>
    <mergeCell ref="B35:D37"/>
    <mergeCell ref="B38:D42"/>
    <mergeCell ref="E38:G40"/>
    <mergeCell ref="E41:G42"/>
    <mergeCell ref="B43:D49"/>
  </mergeCells>
  <pageMargins left="0.59" right="0.24" top="0.98" bottom="0.98" header="0.51" footer="0.51"/>
  <pageSetup paperSize="9" scale="74" orientation="portrait" horizontalDpi="600" verticalDpi="600"/>
  <headerFooter alignWithMargins="0"/>
  <rowBreaks count="3" manualBreakCount="3">
    <brk id="20" max="18" man="1"/>
    <brk id="33" max="18" man="1"/>
    <brk id="51" max="18" man="1"/>
  </rowBreak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72"/>
  <sheetViews>
    <sheetView topLeftCell="A70" workbookViewId="0">
      <selection activeCell="V18" sqref="V18"/>
    </sheetView>
  </sheetViews>
  <sheetFormatPr defaultColWidth="9" defaultRowHeight="12"/>
  <cols>
    <col min="1" max="1" width="4.5" style="3" customWidth="1"/>
    <col min="2" max="2" width="6.875" style="3" customWidth="1"/>
    <col min="3" max="3" width="6.5" style="3" customWidth="1"/>
    <col min="4" max="4" width="4.75" style="3" customWidth="1"/>
    <col min="5" max="6" width="4.625" style="3" customWidth="1"/>
    <col min="7" max="7" width="4.375" style="3" customWidth="1"/>
    <col min="8" max="8" width="5.25" style="3" customWidth="1"/>
    <col min="9" max="9" width="8.625" style="3" customWidth="1"/>
    <col min="10" max="10" width="4.5" style="3" customWidth="1"/>
    <col min="11" max="11" width="4.375" style="3" customWidth="1"/>
    <col min="12" max="12" width="8.5" style="3" customWidth="1"/>
    <col min="13" max="13" width="4.75" style="3" customWidth="1"/>
    <col min="14" max="14" width="5.625" style="3" customWidth="1"/>
    <col min="15" max="15" width="7.625" style="3" customWidth="1"/>
    <col min="16" max="16" width="4.25" style="3" customWidth="1"/>
    <col min="17" max="17" width="6.25" style="3" customWidth="1"/>
    <col min="18" max="18" width="4.375" style="3" customWidth="1"/>
    <col min="19" max="19" width="4.125" style="3" customWidth="1"/>
    <col min="20" max="20" width="0.125" style="4" customWidth="1"/>
    <col min="21" max="16384" width="9" style="3"/>
  </cols>
  <sheetData>
    <row r="1" ht="26.25" customHeight="1" spans="1:19">
      <c r="A1" s="5"/>
      <c r="B1" s="5"/>
      <c r="C1" s="6"/>
      <c r="D1" s="6"/>
      <c r="E1" s="6"/>
      <c r="F1" s="6"/>
      <c r="G1" s="6"/>
      <c r="H1" s="6"/>
      <c r="I1" s="6"/>
      <c r="J1" s="6"/>
      <c r="K1" s="6"/>
      <c r="L1" s="6"/>
      <c r="M1" s="6"/>
      <c r="N1" s="6"/>
      <c r="O1" s="6"/>
      <c r="P1" s="6"/>
      <c r="Q1" s="6"/>
      <c r="R1" s="6"/>
      <c r="S1" s="6"/>
    </row>
    <row r="2" ht="53" customHeight="1" spans="1:19">
      <c r="A2" s="7" t="s">
        <v>554</v>
      </c>
      <c r="B2" s="7"/>
      <c r="C2" s="7"/>
      <c r="D2" s="7"/>
      <c r="E2" s="7"/>
      <c r="F2" s="7"/>
      <c r="G2" s="7"/>
      <c r="H2" s="7"/>
      <c r="I2" s="7"/>
      <c r="J2" s="7"/>
      <c r="K2" s="7"/>
      <c r="L2" s="7"/>
      <c r="M2" s="7"/>
      <c r="N2" s="7"/>
      <c r="O2" s="7"/>
      <c r="P2" s="7"/>
      <c r="Q2" s="7"/>
      <c r="R2" s="7"/>
      <c r="S2" s="7"/>
    </row>
    <row r="3" ht="90" customHeight="1" spans="1:19">
      <c r="A3" s="8" t="s">
        <v>1</v>
      </c>
      <c r="B3" s="9" t="s">
        <v>2</v>
      </c>
      <c r="C3" s="10"/>
      <c r="D3" s="10"/>
      <c r="E3" s="11" t="s">
        <v>555</v>
      </c>
      <c r="F3" s="11"/>
      <c r="G3" s="11"/>
      <c r="H3" s="11"/>
      <c r="I3" s="11"/>
      <c r="J3" s="11"/>
      <c r="K3" s="11"/>
      <c r="L3" s="11"/>
      <c r="M3" s="11"/>
      <c r="N3" s="11"/>
      <c r="O3" s="11"/>
      <c r="P3" s="11"/>
      <c r="Q3" s="11"/>
      <c r="R3" s="11"/>
      <c r="S3" s="151"/>
    </row>
    <row r="4" s="1" customFormat="1" ht="19.5" customHeight="1" spans="1:20">
      <c r="A4" s="12"/>
      <c r="B4" s="13" t="s">
        <v>4</v>
      </c>
      <c r="C4" s="14"/>
      <c r="D4" s="14"/>
      <c r="E4" s="14"/>
      <c r="F4" s="14"/>
      <c r="G4" s="14"/>
      <c r="H4" s="15"/>
      <c r="I4" s="109" t="s">
        <v>5</v>
      </c>
      <c r="J4" s="15"/>
      <c r="K4" s="110" t="s">
        <v>176</v>
      </c>
      <c r="L4" s="111"/>
      <c r="M4" s="112"/>
      <c r="N4" s="109" t="s">
        <v>7</v>
      </c>
      <c r="O4" s="15"/>
      <c r="P4" s="110" t="s">
        <v>176</v>
      </c>
      <c r="Q4" s="111"/>
      <c r="R4" s="111"/>
      <c r="S4" s="152"/>
      <c r="T4" s="153"/>
    </row>
    <row r="5" s="1" customFormat="1" ht="21" customHeight="1" spans="1:20">
      <c r="A5" s="12"/>
      <c r="B5" s="16"/>
      <c r="C5" s="17"/>
      <c r="D5" s="17"/>
      <c r="E5" s="17"/>
      <c r="F5" s="17"/>
      <c r="G5" s="17"/>
      <c r="H5" s="18"/>
      <c r="I5" s="113"/>
      <c r="J5" s="18"/>
      <c r="K5" s="110" t="s">
        <v>177</v>
      </c>
      <c r="L5" s="111"/>
      <c r="M5" s="112"/>
      <c r="N5" s="113"/>
      <c r="O5" s="18"/>
      <c r="P5" s="110" t="s">
        <v>178</v>
      </c>
      <c r="Q5" s="111"/>
      <c r="R5" s="111"/>
      <c r="S5" s="152"/>
      <c r="T5" s="153"/>
    </row>
    <row r="6" s="1" customFormat="1" ht="20.25" customHeight="1" spans="1:20">
      <c r="A6" s="12"/>
      <c r="B6" s="19" t="s">
        <v>11</v>
      </c>
      <c r="C6" s="20"/>
      <c r="D6" s="20"/>
      <c r="E6" s="20"/>
      <c r="F6" s="20"/>
      <c r="G6" s="20"/>
      <c r="H6" s="21"/>
      <c r="I6" s="25" t="s">
        <v>556</v>
      </c>
      <c r="J6" s="20"/>
      <c r="K6" s="20"/>
      <c r="L6" s="20"/>
      <c r="M6" s="20"/>
      <c r="N6" s="20"/>
      <c r="O6" s="20"/>
      <c r="P6" s="20"/>
      <c r="Q6" s="20"/>
      <c r="R6" s="20"/>
      <c r="S6" s="154"/>
      <c r="T6" s="153"/>
    </row>
    <row r="7" ht="33.6" customHeight="1" spans="1:19">
      <c r="A7" s="12"/>
      <c r="B7" s="22" t="s">
        <v>13</v>
      </c>
      <c r="C7" s="23" t="s">
        <v>14</v>
      </c>
      <c r="D7" s="23"/>
      <c r="E7" s="23"/>
      <c r="F7" s="23"/>
      <c r="G7" s="23"/>
      <c r="H7" s="23"/>
      <c r="I7" s="54"/>
      <c r="J7" s="54"/>
      <c r="K7" s="54"/>
      <c r="L7" s="23" t="s">
        <v>16</v>
      </c>
      <c r="M7" s="23"/>
      <c r="N7" s="23"/>
      <c r="O7" s="23"/>
      <c r="P7" s="20"/>
      <c r="Q7" s="20"/>
      <c r="R7" s="20"/>
      <c r="S7" s="154"/>
    </row>
    <row r="8" ht="45.75" customHeight="1" spans="1:19">
      <c r="A8" s="12"/>
      <c r="B8" s="24"/>
      <c r="C8" s="23" t="s">
        <v>17</v>
      </c>
      <c r="D8" s="23"/>
      <c r="E8" s="23" t="s">
        <v>18</v>
      </c>
      <c r="F8" s="23"/>
      <c r="G8" s="23"/>
      <c r="H8" s="23"/>
      <c r="I8" s="23" t="s">
        <v>19</v>
      </c>
      <c r="J8" s="23"/>
      <c r="K8" s="23"/>
      <c r="L8" s="23" t="s">
        <v>20</v>
      </c>
      <c r="M8" s="23"/>
      <c r="N8" s="23" t="s">
        <v>21</v>
      </c>
      <c r="O8" s="23"/>
      <c r="P8" s="25" t="s">
        <v>22</v>
      </c>
      <c r="Q8" s="21"/>
      <c r="R8" s="20" t="s">
        <v>23</v>
      </c>
      <c r="S8" s="154"/>
    </row>
    <row r="9" ht="28.5" customHeight="1" spans="1:19">
      <c r="A9" s="12"/>
      <c r="B9" s="24"/>
      <c r="C9" s="23" t="s">
        <v>24</v>
      </c>
      <c r="D9" s="23"/>
      <c r="E9" s="23" t="s">
        <v>25</v>
      </c>
      <c r="F9" s="23"/>
      <c r="G9" s="23"/>
      <c r="H9" s="23"/>
      <c r="I9" s="114" t="s">
        <v>180</v>
      </c>
      <c r="J9" s="114"/>
      <c r="K9" s="114"/>
      <c r="L9" s="46" t="s">
        <v>181</v>
      </c>
      <c r="M9" s="46"/>
      <c r="N9" s="46" t="s">
        <v>182</v>
      </c>
      <c r="O9" s="46"/>
      <c r="P9" s="115" t="s">
        <v>182</v>
      </c>
      <c r="Q9" s="155"/>
      <c r="R9" s="156">
        <v>1</v>
      </c>
      <c r="S9" s="157"/>
    </row>
    <row r="10" ht="28.5" customHeight="1" spans="1:19">
      <c r="A10" s="12"/>
      <c r="B10" s="24"/>
      <c r="C10" s="23"/>
      <c r="D10" s="23"/>
      <c r="E10" s="23" t="s">
        <v>28</v>
      </c>
      <c r="F10" s="23" t="s">
        <v>28</v>
      </c>
      <c r="G10" s="23"/>
      <c r="H10" s="23"/>
      <c r="I10" s="114" t="s">
        <v>183</v>
      </c>
      <c r="J10" s="114"/>
      <c r="K10" s="114"/>
      <c r="L10" s="46">
        <v>1000</v>
      </c>
      <c r="M10" s="46"/>
      <c r="N10" s="46">
        <v>1000</v>
      </c>
      <c r="O10" s="46"/>
      <c r="P10" s="115">
        <v>838.65</v>
      </c>
      <c r="Q10" s="155"/>
      <c r="R10" s="156">
        <v>0.8387</v>
      </c>
      <c r="S10" s="157"/>
    </row>
    <row r="11" ht="21" customHeight="1" spans="1:19">
      <c r="A11" s="12"/>
      <c r="B11" s="24"/>
      <c r="C11" s="23"/>
      <c r="D11" s="23"/>
      <c r="E11" s="23" t="s">
        <v>31</v>
      </c>
      <c r="F11" s="23" t="s">
        <v>31</v>
      </c>
      <c r="G11" s="23"/>
      <c r="H11" s="23"/>
      <c r="I11" s="114"/>
      <c r="J11" s="114"/>
      <c r="K11" s="114"/>
      <c r="L11" s="46"/>
      <c r="M11" s="46"/>
      <c r="N11" s="46"/>
      <c r="O11" s="46"/>
      <c r="P11" s="115"/>
      <c r="Q11" s="155"/>
      <c r="R11" s="158"/>
      <c r="S11" s="157"/>
    </row>
    <row r="12" ht="32" customHeight="1" spans="1:19">
      <c r="A12" s="12"/>
      <c r="B12" s="24"/>
      <c r="C12" s="23" t="s">
        <v>32</v>
      </c>
      <c r="D12" s="23"/>
      <c r="E12" s="23" t="s">
        <v>185</v>
      </c>
      <c r="F12" s="23" t="s">
        <v>33</v>
      </c>
      <c r="G12" s="23"/>
      <c r="H12" s="23"/>
      <c r="I12" s="114" t="s">
        <v>557</v>
      </c>
      <c r="J12" s="114"/>
      <c r="K12" s="114"/>
      <c r="L12" s="54">
        <v>305</v>
      </c>
      <c r="M12" s="54"/>
      <c r="N12" s="54">
        <v>305</v>
      </c>
      <c r="O12" s="54"/>
      <c r="P12" s="98">
        <v>320.48</v>
      </c>
      <c r="Q12" s="99"/>
      <c r="R12" s="159">
        <v>1.0508</v>
      </c>
      <c r="S12" s="160"/>
    </row>
    <row r="13" ht="36" customHeight="1" spans="1:19">
      <c r="A13" s="12"/>
      <c r="B13" s="24"/>
      <c r="C13" s="23"/>
      <c r="D13" s="23"/>
      <c r="E13" s="25" t="s">
        <v>189</v>
      </c>
      <c r="F13" s="20"/>
      <c r="G13" s="20"/>
      <c r="H13" s="21"/>
      <c r="I13" s="116" t="s">
        <v>558</v>
      </c>
      <c r="J13" s="117"/>
      <c r="K13" s="118"/>
      <c r="L13" s="98">
        <v>650</v>
      </c>
      <c r="M13" s="99"/>
      <c r="N13" s="98">
        <v>650</v>
      </c>
      <c r="O13" s="99"/>
      <c r="P13" s="98">
        <v>473.17</v>
      </c>
      <c r="Q13" s="99"/>
      <c r="R13" s="161">
        <v>0.8158</v>
      </c>
      <c r="S13" s="162"/>
    </row>
    <row r="14" ht="27" customHeight="1" spans="1:19">
      <c r="A14" s="12"/>
      <c r="B14" s="24"/>
      <c r="C14" s="23"/>
      <c r="D14" s="23"/>
      <c r="E14" s="25" t="s">
        <v>193</v>
      </c>
      <c r="F14" s="20"/>
      <c r="G14" s="20"/>
      <c r="H14" s="21"/>
      <c r="I14" s="116" t="s">
        <v>559</v>
      </c>
      <c r="J14" s="117"/>
      <c r="K14" s="118"/>
      <c r="L14" s="98">
        <v>45</v>
      </c>
      <c r="M14" s="99"/>
      <c r="N14" s="98">
        <v>45</v>
      </c>
      <c r="O14" s="99"/>
      <c r="P14" s="98">
        <v>45</v>
      </c>
      <c r="Q14" s="99"/>
      <c r="R14" s="161">
        <v>1</v>
      </c>
      <c r="S14" s="162"/>
    </row>
    <row r="15" ht="28.5" customHeight="1" spans="1:19">
      <c r="A15" s="12"/>
      <c r="B15" s="24"/>
      <c r="C15" s="23"/>
      <c r="D15" s="23"/>
      <c r="E15" s="23" t="s">
        <v>37</v>
      </c>
      <c r="F15" s="23" t="s">
        <v>37</v>
      </c>
      <c r="G15" s="23"/>
      <c r="H15" s="23"/>
      <c r="I15" s="114" t="s">
        <v>197</v>
      </c>
      <c r="J15" s="114"/>
      <c r="K15" s="114"/>
      <c r="L15" s="54" t="s">
        <v>198</v>
      </c>
      <c r="M15" s="54"/>
      <c r="N15" s="54" t="s">
        <v>198</v>
      </c>
      <c r="O15" s="54"/>
      <c r="P15" s="98" t="s">
        <v>198</v>
      </c>
      <c r="Q15" s="99"/>
      <c r="R15" s="161">
        <v>1</v>
      </c>
      <c r="S15" s="162"/>
    </row>
    <row r="16" ht="19" customHeight="1" spans="1:19">
      <c r="A16" s="12"/>
      <c r="B16" s="24"/>
      <c r="C16" s="23" t="s">
        <v>40</v>
      </c>
      <c r="D16" s="23"/>
      <c r="E16" s="23" t="s">
        <v>41</v>
      </c>
      <c r="F16" s="23" t="s">
        <v>41</v>
      </c>
      <c r="G16" s="23"/>
      <c r="H16" s="23"/>
      <c r="I16" s="114" t="s">
        <v>15</v>
      </c>
      <c r="J16" s="114"/>
      <c r="K16" s="114"/>
      <c r="L16" s="46" t="s">
        <v>15</v>
      </c>
      <c r="M16" s="46"/>
      <c r="N16" s="46" t="s">
        <v>15</v>
      </c>
      <c r="O16" s="46"/>
      <c r="P16" s="115" t="s">
        <v>15</v>
      </c>
      <c r="Q16" s="155"/>
      <c r="R16" s="158" t="s">
        <v>15</v>
      </c>
      <c r="S16" s="157"/>
    </row>
    <row r="17" ht="43" customHeight="1" spans="1:19">
      <c r="A17" s="12"/>
      <c r="B17" s="24"/>
      <c r="C17" s="23"/>
      <c r="D17" s="23"/>
      <c r="E17" s="23" t="s">
        <v>42</v>
      </c>
      <c r="F17" s="23" t="s">
        <v>42</v>
      </c>
      <c r="G17" s="23"/>
      <c r="H17" s="23"/>
      <c r="I17" s="119" t="s">
        <v>560</v>
      </c>
      <c r="J17" s="119"/>
      <c r="K17" s="119"/>
      <c r="L17" s="120" t="s">
        <v>561</v>
      </c>
      <c r="M17" s="121"/>
      <c r="N17" s="121" t="s">
        <v>562</v>
      </c>
      <c r="O17" s="121"/>
      <c r="P17" s="121" t="s">
        <v>562</v>
      </c>
      <c r="Q17" s="121"/>
      <c r="R17" s="161">
        <v>1</v>
      </c>
      <c r="S17" s="162"/>
    </row>
    <row r="18" ht="36" customHeight="1" spans="1:19">
      <c r="A18" s="12"/>
      <c r="B18" s="24"/>
      <c r="C18" s="23"/>
      <c r="D18" s="23"/>
      <c r="E18" s="23" t="s">
        <v>46</v>
      </c>
      <c r="F18" s="23" t="s">
        <v>46</v>
      </c>
      <c r="G18" s="23"/>
      <c r="H18" s="23"/>
      <c r="I18" s="114" t="s">
        <v>563</v>
      </c>
      <c r="J18" s="114"/>
      <c r="K18" s="114"/>
      <c r="L18" s="120" t="s">
        <v>564</v>
      </c>
      <c r="M18" s="121"/>
      <c r="N18" s="122" t="s">
        <v>565</v>
      </c>
      <c r="O18" s="123"/>
      <c r="P18" s="122" t="s">
        <v>565</v>
      </c>
      <c r="Q18" s="123"/>
      <c r="R18" s="161">
        <v>1</v>
      </c>
      <c r="S18" s="162"/>
    </row>
    <row r="19" ht="28.5" customHeight="1" spans="1:19">
      <c r="A19" s="12"/>
      <c r="B19" s="24"/>
      <c r="C19" s="23"/>
      <c r="D19" s="23"/>
      <c r="E19" s="23" t="s">
        <v>50</v>
      </c>
      <c r="F19" s="23" t="s">
        <v>50</v>
      </c>
      <c r="G19" s="23"/>
      <c r="H19" s="23"/>
      <c r="I19" s="114" t="s">
        <v>566</v>
      </c>
      <c r="J19" s="114"/>
      <c r="K19" s="114"/>
      <c r="L19" s="124">
        <v>1</v>
      </c>
      <c r="M19" s="125"/>
      <c r="N19" s="124">
        <v>0.95</v>
      </c>
      <c r="O19" s="125"/>
      <c r="P19" s="126">
        <v>0.95</v>
      </c>
      <c r="Q19" s="155"/>
      <c r="R19" s="161">
        <v>1</v>
      </c>
      <c r="S19" s="162"/>
    </row>
    <row r="20" ht="36" customHeight="1" spans="1:19">
      <c r="A20" s="12"/>
      <c r="B20" s="26"/>
      <c r="C20" s="23"/>
      <c r="D20" s="23"/>
      <c r="E20" s="23" t="s">
        <v>51</v>
      </c>
      <c r="F20" s="23" t="s">
        <v>52</v>
      </c>
      <c r="G20" s="23"/>
      <c r="H20" s="23"/>
      <c r="I20" s="114" t="s">
        <v>567</v>
      </c>
      <c r="J20" s="114"/>
      <c r="K20" s="114"/>
      <c r="L20" s="127">
        <v>0.9</v>
      </c>
      <c r="M20" s="46"/>
      <c r="N20" s="127" t="s">
        <v>207</v>
      </c>
      <c r="O20" s="46"/>
      <c r="P20" s="126" t="s">
        <v>207</v>
      </c>
      <c r="Q20" s="155"/>
      <c r="R20" s="161">
        <v>1</v>
      </c>
      <c r="S20" s="162"/>
    </row>
    <row r="21" ht="36" customHeight="1" spans="1:19">
      <c r="A21" s="12"/>
      <c r="B21" s="19" t="s">
        <v>55</v>
      </c>
      <c r="C21" s="20"/>
      <c r="D21" s="21"/>
      <c r="E21" s="25" t="s">
        <v>208</v>
      </c>
      <c r="F21" s="20"/>
      <c r="G21" s="20"/>
      <c r="H21" s="20"/>
      <c r="I21" s="25" t="s">
        <v>56</v>
      </c>
      <c r="J21" s="20"/>
      <c r="K21" s="21"/>
      <c r="L21" s="25"/>
      <c r="M21" s="20"/>
      <c r="N21" s="20"/>
      <c r="O21" s="20"/>
      <c r="P21" s="20"/>
      <c r="Q21" s="20"/>
      <c r="R21" s="20"/>
      <c r="S21" s="154"/>
    </row>
    <row r="22" ht="23.25" customHeight="1" spans="1:19">
      <c r="A22" s="12"/>
      <c r="B22" s="27" t="s">
        <v>58</v>
      </c>
      <c r="C22" s="28"/>
      <c r="D22" s="28"/>
      <c r="E22" s="28"/>
      <c r="F22" s="28"/>
      <c r="G22" s="28"/>
      <c r="H22" s="28"/>
      <c r="I22" s="50" t="s">
        <v>209</v>
      </c>
      <c r="J22" s="50"/>
      <c r="K22" s="50"/>
      <c r="L22" s="50"/>
      <c r="M22" s="50"/>
      <c r="N22" s="50"/>
      <c r="O22" s="50"/>
      <c r="P22" s="50"/>
      <c r="Q22" s="50"/>
      <c r="R22" s="50"/>
      <c r="S22" s="163"/>
    </row>
    <row r="23" ht="23.25" customHeight="1" spans="1:19">
      <c r="A23" s="29"/>
      <c r="B23" s="30"/>
      <c r="C23" s="31"/>
      <c r="D23" s="31"/>
      <c r="E23" s="31"/>
      <c r="F23" s="31"/>
      <c r="G23" s="31"/>
      <c r="H23" s="31"/>
      <c r="I23" s="85" t="s">
        <v>60</v>
      </c>
      <c r="J23" s="85"/>
      <c r="K23" s="85"/>
      <c r="L23" s="85"/>
      <c r="M23" s="85"/>
      <c r="N23" s="85"/>
      <c r="O23" s="85"/>
      <c r="P23" s="85"/>
      <c r="Q23" s="85"/>
      <c r="R23" s="85"/>
      <c r="S23" s="164"/>
    </row>
    <row r="24" spans="1:19">
      <c r="A24" s="32" t="s">
        <v>61</v>
      </c>
      <c r="B24" s="33"/>
      <c r="C24" s="33"/>
      <c r="D24" s="33"/>
      <c r="E24" s="34" t="s">
        <v>62</v>
      </c>
      <c r="F24" s="35"/>
      <c r="G24" s="35"/>
      <c r="H24" s="36"/>
      <c r="I24" s="128" t="s">
        <v>63</v>
      </c>
      <c r="J24" s="128"/>
      <c r="K24" s="128"/>
      <c r="L24" s="128"/>
      <c r="M24" s="128"/>
      <c r="N24" s="128"/>
      <c r="O24" s="128"/>
      <c r="P24" s="128"/>
      <c r="Q24" s="128"/>
      <c r="R24" s="128"/>
      <c r="S24" s="165"/>
    </row>
    <row r="25" ht="12.75" customHeight="1" spans="1:19">
      <c r="A25" s="37"/>
      <c r="B25" s="38"/>
      <c r="C25" s="38"/>
      <c r="D25" s="38"/>
      <c r="E25" s="39"/>
      <c r="F25" s="40"/>
      <c r="G25" s="40"/>
      <c r="H25" s="41"/>
      <c r="I25" s="55" t="s">
        <v>64</v>
      </c>
      <c r="J25" s="55"/>
      <c r="K25" s="54" t="s">
        <v>65</v>
      </c>
      <c r="L25" s="54"/>
      <c r="M25" s="54"/>
      <c r="N25" s="54"/>
      <c r="O25" s="54" t="s">
        <v>66</v>
      </c>
      <c r="P25" s="54"/>
      <c r="Q25" s="54"/>
      <c r="R25" s="54" t="s">
        <v>67</v>
      </c>
      <c r="S25" s="166"/>
    </row>
    <row r="26" s="2" customFormat="1" ht="36" customHeight="1" spans="1:21">
      <c r="A26" s="42"/>
      <c r="B26" s="38"/>
      <c r="C26" s="38"/>
      <c r="D26" s="38"/>
      <c r="E26" s="39"/>
      <c r="F26" s="40"/>
      <c r="G26" s="40"/>
      <c r="H26" s="41"/>
      <c r="I26" s="54" t="s">
        <v>68</v>
      </c>
      <c r="J26" s="54" t="s">
        <v>69</v>
      </c>
      <c r="K26" s="54" t="s">
        <v>70</v>
      </c>
      <c r="L26" s="54" t="s">
        <v>71</v>
      </c>
      <c r="M26" s="54" t="s">
        <v>72</v>
      </c>
      <c r="N26" s="54"/>
      <c r="O26" s="54" t="s">
        <v>73</v>
      </c>
      <c r="P26" s="54" t="s">
        <v>74</v>
      </c>
      <c r="Q26" s="129"/>
      <c r="R26" s="54"/>
      <c r="S26" s="166"/>
      <c r="T26" s="4"/>
      <c r="U26" s="40"/>
    </row>
    <row r="27" s="2" customFormat="1" spans="1:21">
      <c r="A27" s="42"/>
      <c r="B27" s="38"/>
      <c r="C27" s="38"/>
      <c r="D27" s="38"/>
      <c r="E27" s="43"/>
      <c r="F27" s="44"/>
      <c r="G27" s="44"/>
      <c r="H27" s="45"/>
      <c r="I27" s="54"/>
      <c r="J27" s="54"/>
      <c r="K27" s="54"/>
      <c r="L27" s="54"/>
      <c r="M27" s="54"/>
      <c r="N27" s="54"/>
      <c r="O27" s="54"/>
      <c r="P27" s="129"/>
      <c r="Q27" s="129"/>
      <c r="R27" s="54"/>
      <c r="S27" s="166"/>
      <c r="T27" s="4"/>
      <c r="U27" s="40"/>
    </row>
    <row r="28" ht="24" customHeight="1" spans="1:21">
      <c r="A28" s="42"/>
      <c r="B28" s="46" t="s">
        <v>75</v>
      </c>
      <c r="C28" s="46"/>
      <c r="D28" s="46"/>
      <c r="E28" s="47">
        <v>1000</v>
      </c>
      <c r="F28" s="48"/>
      <c r="G28" s="48"/>
      <c r="H28" s="49"/>
      <c r="I28" s="130">
        <v>1000</v>
      </c>
      <c r="J28" s="130"/>
      <c r="K28" s="56">
        <v>1000</v>
      </c>
      <c r="L28" s="131">
        <v>1</v>
      </c>
      <c r="M28" s="54" t="s">
        <v>210</v>
      </c>
      <c r="N28" s="54"/>
      <c r="O28" s="38">
        <v>838.65</v>
      </c>
      <c r="P28" s="132">
        <v>0.8387</v>
      </c>
      <c r="Q28" s="54"/>
      <c r="R28" s="38">
        <v>161.35</v>
      </c>
      <c r="S28" s="167"/>
      <c r="U28" s="168"/>
    </row>
    <row r="29" ht="24" customHeight="1" spans="1:21">
      <c r="A29" s="42"/>
      <c r="B29" s="50" t="s">
        <v>77</v>
      </c>
      <c r="C29" s="50"/>
      <c r="D29" s="50"/>
      <c r="E29" s="47"/>
      <c r="F29" s="48"/>
      <c r="G29" s="48"/>
      <c r="H29" s="49"/>
      <c r="I29" s="130"/>
      <c r="J29" s="130"/>
      <c r="K29" s="56"/>
      <c r="L29" s="56"/>
      <c r="M29" s="54"/>
      <c r="N29" s="54"/>
      <c r="O29" s="38"/>
      <c r="P29" s="54"/>
      <c r="Q29" s="54"/>
      <c r="R29" s="38"/>
      <c r="S29" s="167"/>
      <c r="U29" s="168"/>
    </row>
    <row r="30" ht="24" customHeight="1" spans="1:21">
      <c r="A30" s="42"/>
      <c r="B30" s="50" t="s">
        <v>78</v>
      </c>
      <c r="C30" s="50"/>
      <c r="D30" s="50"/>
      <c r="E30" s="47"/>
      <c r="F30" s="48"/>
      <c r="G30" s="48"/>
      <c r="H30" s="49"/>
      <c r="J30" s="130"/>
      <c r="K30" s="56"/>
      <c r="L30" s="56"/>
      <c r="M30" s="54"/>
      <c r="N30" s="54"/>
      <c r="O30" s="38"/>
      <c r="P30" s="54"/>
      <c r="Q30" s="54"/>
      <c r="R30" s="38"/>
      <c r="S30" s="167"/>
      <c r="U30" s="168"/>
    </row>
    <row r="31" ht="24" customHeight="1" spans="1:21">
      <c r="A31" s="42"/>
      <c r="B31" s="50" t="s">
        <v>79</v>
      </c>
      <c r="C31" s="50"/>
      <c r="D31" s="50"/>
      <c r="E31" s="47"/>
      <c r="F31" s="48"/>
      <c r="G31" s="48"/>
      <c r="H31" s="49"/>
      <c r="I31" s="130"/>
      <c r="J31" s="130"/>
      <c r="K31" s="56"/>
      <c r="L31" s="130"/>
      <c r="M31" s="54"/>
      <c r="N31" s="54"/>
      <c r="O31" s="38"/>
      <c r="P31" s="54"/>
      <c r="Q31" s="54"/>
      <c r="R31" s="38"/>
      <c r="S31" s="167"/>
      <c r="U31" s="168"/>
    </row>
    <row r="32" ht="24" customHeight="1" spans="1:21">
      <c r="A32" s="42"/>
      <c r="B32" s="50" t="s">
        <v>80</v>
      </c>
      <c r="C32" s="50"/>
      <c r="D32" s="50"/>
      <c r="E32" s="47">
        <v>1000</v>
      </c>
      <c r="F32" s="48"/>
      <c r="G32" s="48"/>
      <c r="H32" s="49"/>
      <c r="I32" s="130">
        <v>1000</v>
      </c>
      <c r="J32" s="130"/>
      <c r="K32" s="56">
        <v>1000</v>
      </c>
      <c r="L32" s="131">
        <v>1</v>
      </c>
      <c r="M32" s="54" t="s">
        <v>210</v>
      </c>
      <c r="N32" s="54"/>
      <c r="O32" s="38">
        <v>838.65</v>
      </c>
      <c r="P32" s="132">
        <v>0.8387</v>
      </c>
      <c r="Q32" s="54"/>
      <c r="R32" s="38">
        <v>161.35</v>
      </c>
      <c r="S32" s="167"/>
      <c r="U32" s="168"/>
    </row>
    <row r="33" ht="24" customHeight="1" spans="1:19">
      <c r="A33" s="42"/>
      <c r="B33" s="50" t="s">
        <v>82</v>
      </c>
      <c r="C33" s="50"/>
      <c r="D33" s="50"/>
      <c r="E33" s="47"/>
      <c r="F33" s="48"/>
      <c r="G33" s="48"/>
      <c r="H33" s="49"/>
      <c r="I33" s="130"/>
      <c r="J33" s="130"/>
      <c r="K33" s="56"/>
      <c r="L33" s="56"/>
      <c r="M33" s="54"/>
      <c r="N33" s="54"/>
      <c r="O33" s="38"/>
      <c r="P33" s="54"/>
      <c r="Q33" s="54"/>
      <c r="R33" s="38"/>
      <c r="S33" s="167"/>
    </row>
    <row r="34" ht="24" customHeight="1" spans="1:19">
      <c r="A34" s="42"/>
      <c r="B34" s="51" t="s">
        <v>211</v>
      </c>
      <c r="C34" s="52"/>
      <c r="D34" s="53"/>
      <c r="E34" s="47"/>
      <c r="F34" s="48"/>
      <c r="G34" s="48"/>
      <c r="H34" s="49"/>
      <c r="I34" s="130"/>
      <c r="J34" s="130"/>
      <c r="K34" s="56"/>
      <c r="L34" s="56"/>
      <c r="M34" s="98"/>
      <c r="N34" s="99"/>
      <c r="O34" s="38"/>
      <c r="P34" s="98"/>
      <c r="Q34" s="99"/>
      <c r="R34" s="47"/>
      <c r="S34" s="169"/>
    </row>
    <row r="35" ht="24" customHeight="1" spans="1:19">
      <c r="A35" s="42"/>
      <c r="B35" s="54" t="s">
        <v>83</v>
      </c>
      <c r="C35" s="55"/>
      <c r="D35" s="56" t="s">
        <v>84</v>
      </c>
      <c r="E35" s="57" t="s">
        <v>85</v>
      </c>
      <c r="F35" s="57"/>
      <c r="G35" s="57"/>
      <c r="H35" s="57"/>
      <c r="I35" s="57"/>
      <c r="J35" s="57"/>
      <c r="K35" s="57"/>
      <c r="L35" s="57"/>
      <c r="M35" s="57"/>
      <c r="N35" s="57"/>
      <c r="O35" s="57"/>
      <c r="P35" s="57" t="s">
        <v>86</v>
      </c>
      <c r="Q35" s="57"/>
      <c r="R35" s="57"/>
      <c r="S35" s="170"/>
    </row>
    <row r="36" ht="24" customHeight="1" spans="1:19">
      <c r="A36" s="42"/>
      <c r="B36" s="55"/>
      <c r="C36" s="55"/>
      <c r="D36" s="54">
        <v>1</v>
      </c>
      <c r="E36" s="57" t="s">
        <v>568</v>
      </c>
      <c r="F36" s="57"/>
      <c r="G36" s="57"/>
      <c r="H36" s="57"/>
      <c r="I36" s="57"/>
      <c r="J36" s="57"/>
      <c r="K36" s="57"/>
      <c r="L36" s="57"/>
      <c r="M36" s="57"/>
      <c r="N36" s="57"/>
      <c r="O36" s="57"/>
      <c r="P36" s="57">
        <v>320.48</v>
      </c>
      <c r="Q36" s="57"/>
      <c r="R36" s="57"/>
      <c r="S36" s="170"/>
    </row>
    <row r="37" ht="24" customHeight="1" spans="1:19">
      <c r="A37" s="42"/>
      <c r="B37" s="55"/>
      <c r="C37" s="55"/>
      <c r="D37" s="54">
        <v>2</v>
      </c>
      <c r="E37" s="57" t="s">
        <v>558</v>
      </c>
      <c r="F37" s="57"/>
      <c r="G37" s="57"/>
      <c r="H37" s="57"/>
      <c r="I37" s="57"/>
      <c r="J37" s="57"/>
      <c r="K37" s="57"/>
      <c r="L37" s="57"/>
      <c r="M37" s="57"/>
      <c r="N37" s="57"/>
      <c r="O37" s="57"/>
      <c r="P37" s="57">
        <v>473.17</v>
      </c>
      <c r="Q37" s="57"/>
      <c r="R37" s="57"/>
      <c r="S37" s="170"/>
    </row>
    <row r="38" ht="24" customHeight="1" spans="1:19">
      <c r="A38" s="58"/>
      <c r="B38" s="59"/>
      <c r="C38" s="59"/>
      <c r="D38" s="54">
        <v>3</v>
      </c>
      <c r="E38" s="57" t="s">
        <v>559</v>
      </c>
      <c r="F38" s="57"/>
      <c r="G38" s="57"/>
      <c r="H38" s="57"/>
      <c r="I38" s="57"/>
      <c r="J38" s="57"/>
      <c r="K38" s="57"/>
      <c r="L38" s="57"/>
      <c r="M38" s="57"/>
      <c r="N38" s="57"/>
      <c r="O38" s="57"/>
      <c r="P38" s="57">
        <v>45</v>
      </c>
      <c r="Q38" s="57"/>
      <c r="R38" s="57"/>
      <c r="S38" s="170"/>
    </row>
    <row r="39" ht="24" customHeight="1" spans="1:19">
      <c r="A39" s="58"/>
      <c r="B39" s="59"/>
      <c r="C39" s="59"/>
      <c r="D39" s="54">
        <v>4</v>
      </c>
      <c r="E39" s="57"/>
      <c r="F39" s="57"/>
      <c r="G39" s="57"/>
      <c r="H39" s="57"/>
      <c r="I39" s="57"/>
      <c r="J39" s="57"/>
      <c r="K39" s="57"/>
      <c r="L39" s="57"/>
      <c r="M39" s="57"/>
      <c r="N39" s="57"/>
      <c r="O39" s="57"/>
      <c r="P39" s="57"/>
      <c r="Q39" s="57"/>
      <c r="R39" s="57"/>
      <c r="S39" s="170"/>
    </row>
    <row r="40" ht="24" customHeight="1" spans="1:19">
      <c r="A40" s="60"/>
      <c r="B40" s="61"/>
      <c r="C40" s="61"/>
      <c r="D40" s="3" t="s">
        <v>91</v>
      </c>
      <c r="E40" s="57"/>
      <c r="F40" s="57"/>
      <c r="G40" s="57"/>
      <c r="H40" s="57"/>
      <c r="I40" s="57"/>
      <c r="J40" s="57"/>
      <c r="K40" s="57"/>
      <c r="L40" s="57"/>
      <c r="M40" s="57"/>
      <c r="N40" s="57"/>
      <c r="O40" s="57"/>
      <c r="P40" s="57">
        <v>838.65</v>
      </c>
      <c r="Q40" s="57"/>
      <c r="R40" s="57"/>
      <c r="S40" s="170"/>
    </row>
    <row r="41" ht="41.45" customHeight="1" spans="1:20">
      <c r="A41" s="62" t="s">
        <v>92</v>
      </c>
      <c r="B41" s="9" t="s">
        <v>93</v>
      </c>
      <c r="C41" s="10"/>
      <c r="D41" s="10"/>
      <c r="E41" s="10" t="s">
        <v>94</v>
      </c>
      <c r="F41" s="10"/>
      <c r="G41" s="10"/>
      <c r="H41" s="10" t="s">
        <v>95</v>
      </c>
      <c r="I41" s="10"/>
      <c r="J41" s="10" t="s">
        <v>96</v>
      </c>
      <c r="K41" s="10"/>
      <c r="L41" s="10"/>
      <c r="M41" s="10"/>
      <c r="N41" s="10"/>
      <c r="O41" s="10"/>
      <c r="P41" s="133" t="s">
        <v>97</v>
      </c>
      <c r="Q41" s="147"/>
      <c r="R41" s="10" t="s">
        <v>98</v>
      </c>
      <c r="S41" s="171"/>
      <c r="T41" s="99"/>
    </row>
    <row r="42" ht="42.6" customHeight="1" spans="1:20">
      <c r="A42" s="63"/>
      <c r="B42" s="64" t="s">
        <v>214</v>
      </c>
      <c r="C42" s="65"/>
      <c r="D42" s="66"/>
      <c r="E42" s="54" t="s">
        <v>100</v>
      </c>
      <c r="F42" s="54"/>
      <c r="G42" s="54"/>
      <c r="H42" s="67" t="s">
        <v>215</v>
      </c>
      <c r="I42" s="66"/>
      <c r="J42" s="134" t="s">
        <v>102</v>
      </c>
      <c r="K42" s="134"/>
      <c r="L42" s="134"/>
      <c r="M42" s="134"/>
      <c r="N42" s="134"/>
      <c r="O42" s="134"/>
      <c r="P42" s="135">
        <v>0.09</v>
      </c>
      <c r="Q42" s="172"/>
      <c r="R42" s="23">
        <v>9</v>
      </c>
      <c r="S42" s="173"/>
      <c r="T42" s="99"/>
    </row>
    <row r="43" ht="47" customHeight="1" spans="1:20">
      <c r="A43" s="63"/>
      <c r="B43" s="68"/>
      <c r="C43" s="69"/>
      <c r="D43" s="70"/>
      <c r="E43" s="71" t="s">
        <v>216</v>
      </c>
      <c r="F43" s="72"/>
      <c r="G43" s="73"/>
      <c r="H43" s="51" t="s">
        <v>104</v>
      </c>
      <c r="I43" s="53"/>
      <c r="J43" s="136" t="s">
        <v>217</v>
      </c>
      <c r="K43" s="137"/>
      <c r="L43" s="137"/>
      <c r="M43" s="137"/>
      <c r="N43" s="137"/>
      <c r="O43" s="138"/>
      <c r="P43" s="135">
        <v>0.09</v>
      </c>
      <c r="Q43" s="172"/>
      <c r="R43" s="25">
        <v>9</v>
      </c>
      <c r="S43" s="154"/>
      <c r="T43" s="99"/>
    </row>
    <row r="44" ht="58.9" customHeight="1" spans="1:20">
      <c r="A44" s="63"/>
      <c r="B44" s="68"/>
      <c r="C44" s="69"/>
      <c r="D44" s="70"/>
      <c r="E44" s="71" t="s">
        <v>106</v>
      </c>
      <c r="F44" s="72"/>
      <c r="G44" s="73"/>
      <c r="H44" s="67" t="s">
        <v>218</v>
      </c>
      <c r="I44" s="66"/>
      <c r="J44" s="134" t="s">
        <v>219</v>
      </c>
      <c r="K44" s="134"/>
      <c r="L44" s="134"/>
      <c r="M44" s="134"/>
      <c r="N44" s="134"/>
      <c r="O44" s="134"/>
      <c r="P44" s="135">
        <v>0.12</v>
      </c>
      <c r="Q44" s="172"/>
      <c r="R44" s="23">
        <v>12</v>
      </c>
      <c r="S44" s="173"/>
      <c r="T44" s="99"/>
    </row>
    <row r="45" ht="49" customHeight="1" spans="1:20">
      <c r="A45" s="63"/>
      <c r="B45" s="74" t="s">
        <v>220</v>
      </c>
      <c r="C45" s="75"/>
      <c r="D45" s="76"/>
      <c r="E45" s="77" t="s">
        <v>110</v>
      </c>
      <c r="F45" s="77"/>
      <c r="G45" s="77"/>
      <c r="H45" s="78" t="s">
        <v>221</v>
      </c>
      <c r="I45" s="78"/>
      <c r="J45" s="139" t="s">
        <v>222</v>
      </c>
      <c r="K45" s="139"/>
      <c r="L45" s="139"/>
      <c r="M45" s="139"/>
      <c r="N45" s="139"/>
      <c r="O45" s="139"/>
      <c r="P45" s="140">
        <v>0.15</v>
      </c>
      <c r="Q45" s="174"/>
      <c r="R45" s="10">
        <v>14</v>
      </c>
      <c r="S45" s="175"/>
      <c r="T45" s="40"/>
    </row>
    <row r="46" s="1" customFormat="1" ht="69" customHeight="1" spans="1:20">
      <c r="A46" s="63"/>
      <c r="B46" s="79"/>
      <c r="C46" s="69"/>
      <c r="D46" s="70"/>
      <c r="E46" s="71" t="s">
        <v>117</v>
      </c>
      <c r="F46" s="72"/>
      <c r="G46" s="73"/>
      <c r="H46" s="80" t="s">
        <v>223</v>
      </c>
      <c r="I46" s="80"/>
      <c r="J46" s="141" t="s">
        <v>224</v>
      </c>
      <c r="K46" s="141"/>
      <c r="L46" s="141"/>
      <c r="M46" s="141"/>
      <c r="N46" s="141"/>
      <c r="O46" s="141"/>
      <c r="P46" s="142">
        <v>0.15</v>
      </c>
      <c r="Q46" s="144"/>
      <c r="R46" s="23">
        <v>15</v>
      </c>
      <c r="S46" s="173"/>
      <c r="T46" s="4"/>
    </row>
    <row r="47" ht="23.25" customHeight="1" spans="1:20">
      <c r="A47" s="63"/>
      <c r="B47" s="74" t="s">
        <v>225</v>
      </c>
      <c r="C47" s="75"/>
      <c r="D47" s="76"/>
      <c r="E47" s="77" t="s">
        <v>123</v>
      </c>
      <c r="F47" s="77"/>
      <c r="G47" s="77"/>
      <c r="H47" s="78" t="s">
        <v>569</v>
      </c>
      <c r="I47" s="78"/>
      <c r="J47" s="143" t="s">
        <v>570</v>
      </c>
      <c r="K47" s="143"/>
      <c r="L47" s="143"/>
      <c r="M47" s="143"/>
      <c r="N47" s="143"/>
      <c r="O47" s="143"/>
      <c r="P47" s="140">
        <v>0.07</v>
      </c>
      <c r="Q47" s="174"/>
      <c r="R47" s="10">
        <v>6</v>
      </c>
      <c r="S47" s="175"/>
      <c r="T47" s="40"/>
    </row>
    <row r="48" ht="23.25" customHeight="1" spans="1:19">
      <c r="A48" s="63"/>
      <c r="B48" s="79"/>
      <c r="C48" s="69"/>
      <c r="D48" s="70"/>
      <c r="E48" s="54" t="s">
        <v>128</v>
      </c>
      <c r="F48" s="54"/>
      <c r="G48" s="54"/>
      <c r="H48" s="50" t="s">
        <v>228</v>
      </c>
      <c r="I48" s="50"/>
      <c r="J48" s="134" t="s">
        <v>571</v>
      </c>
      <c r="K48" s="134"/>
      <c r="L48" s="134"/>
      <c r="M48" s="134"/>
      <c r="N48" s="134"/>
      <c r="O48" s="134"/>
      <c r="P48" s="142">
        <v>0.06</v>
      </c>
      <c r="Q48" s="144"/>
      <c r="R48" s="23">
        <v>5</v>
      </c>
      <c r="S48" s="173"/>
    </row>
    <row r="49" ht="25.5" customHeight="1" spans="1:19">
      <c r="A49" s="63"/>
      <c r="B49" s="79"/>
      <c r="C49" s="69"/>
      <c r="D49" s="70"/>
      <c r="E49" s="54" t="s">
        <v>138</v>
      </c>
      <c r="F49" s="54"/>
      <c r="G49" s="54"/>
      <c r="H49" s="50" t="s">
        <v>230</v>
      </c>
      <c r="I49" s="50"/>
      <c r="J49" s="134" t="s">
        <v>572</v>
      </c>
      <c r="K49" s="134"/>
      <c r="L49" s="134"/>
      <c r="M49" s="134"/>
      <c r="N49" s="134"/>
      <c r="O49" s="134"/>
      <c r="P49" s="142">
        <v>0.06</v>
      </c>
      <c r="Q49" s="144"/>
      <c r="R49" s="23">
        <v>3</v>
      </c>
      <c r="S49" s="173"/>
    </row>
    <row r="50" ht="24.75" customHeight="1" spans="1:19">
      <c r="A50" s="63"/>
      <c r="B50" s="79"/>
      <c r="C50" s="69"/>
      <c r="D50" s="70"/>
      <c r="E50" s="54" t="s">
        <v>141</v>
      </c>
      <c r="F50" s="54"/>
      <c r="G50" s="54"/>
      <c r="H50" s="50" t="s">
        <v>232</v>
      </c>
      <c r="I50" s="50"/>
      <c r="J50" s="134" t="s">
        <v>573</v>
      </c>
      <c r="K50" s="134"/>
      <c r="L50" s="134"/>
      <c r="M50" s="134"/>
      <c r="N50" s="134"/>
      <c r="O50" s="134"/>
      <c r="P50" s="144">
        <v>0.06</v>
      </c>
      <c r="Q50" s="144"/>
      <c r="R50" s="23">
        <v>5</v>
      </c>
      <c r="S50" s="173"/>
    </row>
    <row r="51" s="1" customFormat="1" ht="21" customHeight="1" spans="1:21">
      <c r="A51" s="63"/>
      <c r="B51" s="79"/>
      <c r="C51" s="69"/>
      <c r="D51" s="70"/>
      <c r="E51" s="54" t="s">
        <v>143</v>
      </c>
      <c r="F51" s="54"/>
      <c r="G51" s="54"/>
      <c r="H51" s="50" t="s">
        <v>234</v>
      </c>
      <c r="I51" s="50"/>
      <c r="J51" s="134" t="s">
        <v>574</v>
      </c>
      <c r="K51" s="134"/>
      <c r="L51" s="134"/>
      <c r="M51" s="134"/>
      <c r="N51" s="134"/>
      <c r="O51" s="134"/>
      <c r="P51" s="144">
        <v>0.05</v>
      </c>
      <c r="Q51" s="144"/>
      <c r="R51" s="23">
        <v>5</v>
      </c>
      <c r="S51" s="176"/>
      <c r="T51" s="4"/>
      <c r="U51" s="3"/>
    </row>
    <row r="52" s="1" customFormat="1" ht="20.25" customHeight="1" spans="1:21">
      <c r="A52" s="63"/>
      <c r="B52" s="79"/>
      <c r="C52" s="69"/>
      <c r="D52" s="70"/>
      <c r="E52" s="54" t="s">
        <v>146</v>
      </c>
      <c r="F52" s="54"/>
      <c r="G52" s="54"/>
      <c r="H52" s="50" t="s">
        <v>236</v>
      </c>
      <c r="I52" s="50"/>
      <c r="J52" s="134" t="s">
        <v>237</v>
      </c>
      <c r="K52" s="134"/>
      <c r="L52" s="134"/>
      <c r="M52" s="134"/>
      <c r="N52" s="134"/>
      <c r="O52" s="134"/>
      <c r="P52" s="144">
        <v>0.05</v>
      </c>
      <c r="Q52" s="144"/>
      <c r="R52" s="23">
        <v>4</v>
      </c>
      <c r="S52" s="176"/>
      <c r="T52" s="4"/>
      <c r="U52" s="3"/>
    </row>
    <row r="53" s="1" customFormat="1" ht="27.75" customHeight="1" spans="1:21">
      <c r="A53" s="63"/>
      <c r="B53" s="81"/>
      <c r="C53" s="82"/>
      <c r="D53" s="83"/>
      <c r="E53" s="84" t="s">
        <v>149</v>
      </c>
      <c r="F53" s="84"/>
      <c r="G53" s="84"/>
      <c r="H53" s="85" t="s">
        <v>238</v>
      </c>
      <c r="I53" s="85"/>
      <c r="J53" s="145" t="s">
        <v>239</v>
      </c>
      <c r="K53" s="145"/>
      <c r="L53" s="145"/>
      <c r="M53" s="145"/>
      <c r="N53" s="145"/>
      <c r="O53" s="145"/>
      <c r="P53" s="146">
        <v>0.05</v>
      </c>
      <c r="Q53" s="146"/>
      <c r="R53" s="177">
        <v>5</v>
      </c>
      <c r="S53" s="178"/>
      <c r="T53" s="4"/>
      <c r="U53" s="3"/>
    </row>
    <row r="54" ht="30" customHeight="1" spans="1:19">
      <c r="A54" s="63"/>
      <c r="B54" s="86" t="s">
        <v>152</v>
      </c>
      <c r="C54" s="87"/>
      <c r="D54" s="87"/>
      <c r="E54" s="87"/>
      <c r="F54" s="87"/>
      <c r="G54" s="87"/>
      <c r="H54" s="87"/>
      <c r="I54" s="87"/>
      <c r="J54" s="87"/>
      <c r="K54" s="87"/>
      <c r="L54" s="87"/>
      <c r="M54" s="87"/>
      <c r="N54" s="87"/>
      <c r="O54" s="147"/>
      <c r="P54" s="148">
        <v>1</v>
      </c>
      <c r="Q54" s="148"/>
      <c r="R54" s="179">
        <f>SUM(R42:S53)</f>
        <v>92</v>
      </c>
      <c r="S54" s="180"/>
    </row>
    <row r="55" ht="36" customHeight="1" spans="1:19">
      <c r="A55" s="88"/>
      <c r="B55" s="89" t="s">
        <v>153</v>
      </c>
      <c r="C55" s="90" t="s">
        <v>575</v>
      </c>
      <c r="D55" s="91"/>
      <c r="E55" s="91"/>
      <c r="F55" s="91"/>
      <c r="G55" s="91"/>
      <c r="H55" s="91"/>
      <c r="I55" s="91"/>
      <c r="J55" s="91"/>
      <c r="K55" s="91"/>
      <c r="L55" s="91"/>
      <c r="M55" s="91"/>
      <c r="N55" s="91"/>
      <c r="O55" s="91"/>
      <c r="P55" s="91"/>
      <c r="Q55" s="91"/>
      <c r="R55" s="91"/>
      <c r="S55" s="181"/>
    </row>
    <row r="56" ht="22.5" customHeight="1" spans="1:19">
      <c r="A56" s="62" t="s">
        <v>155</v>
      </c>
      <c r="B56" s="92" t="s">
        <v>156</v>
      </c>
      <c r="C56" s="93" t="s">
        <v>157</v>
      </c>
      <c r="D56" s="94"/>
      <c r="E56" s="95" t="s">
        <v>158</v>
      </c>
      <c r="F56" s="93"/>
      <c r="G56" s="93"/>
      <c r="H56" s="93"/>
      <c r="I56" s="93"/>
      <c r="J56" s="93"/>
      <c r="K56" s="93"/>
      <c r="L56" s="93"/>
      <c r="M56" s="93"/>
      <c r="N56" s="94"/>
      <c r="O56" s="149" t="s">
        <v>159</v>
      </c>
      <c r="P56" s="95" t="s">
        <v>160</v>
      </c>
      <c r="Q56" s="94"/>
      <c r="R56" s="95" t="s">
        <v>161</v>
      </c>
      <c r="S56" s="182"/>
    </row>
    <row r="57" ht="21" customHeight="1" spans="1:19">
      <c r="A57" s="96"/>
      <c r="B57" s="97"/>
      <c r="C57" s="98"/>
      <c r="D57" s="99"/>
      <c r="E57" s="100"/>
      <c r="F57" s="101"/>
      <c r="G57" s="101"/>
      <c r="H57" s="101"/>
      <c r="I57" s="101"/>
      <c r="J57" s="101"/>
      <c r="K57" s="101"/>
      <c r="L57" s="101"/>
      <c r="M57" s="101"/>
      <c r="N57" s="150"/>
      <c r="O57" s="57"/>
      <c r="P57" s="98"/>
      <c r="Q57" s="99"/>
      <c r="R57" s="98"/>
      <c r="S57" s="160"/>
    </row>
    <row r="58" ht="21" customHeight="1" spans="1:19">
      <c r="A58" s="96"/>
      <c r="B58" s="97"/>
      <c r="C58" s="98"/>
      <c r="D58" s="99"/>
      <c r="E58" s="100"/>
      <c r="F58" s="101"/>
      <c r="G58" s="101"/>
      <c r="H58" s="101"/>
      <c r="I58" s="101"/>
      <c r="J58" s="101"/>
      <c r="K58" s="101"/>
      <c r="L58" s="101"/>
      <c r="M58" s="101"/>
      <c r="N58" s="150"/>
      <c r="O58" s="57"/>
      <c r="P58" s="98"/>
      <c r="Q58" s="99"/>
      <c r="R58" s="98"/>
      <c r="S58" s="160"/>
    </row>
    <row r="59" ht="21" customHeight="1" spans="1:19">
      <c r="A59" s="96"/>
      <c r="B59" s="97"/>
      <c r="C59" s="98"/>
      <c r="D59" s="99"/>
      <c r="E59" s="100"/>
      <c r="F59" s="101"/>
      <c r="G59" s="101"/>
      <c r="H59" s="101"/>
      <c r="I59" s="101"/>
      <c r="J59" s="101"/>
      <c r="K59" s="101"/>
      <c r="L59" s="101"/>
      <c r="M59" s="101"/>
      <c r="N59" s="150"/>
      <c r="O59" s="57"/>
      <c r="P59" s="98"/>
      <c r="Q59" s="99"/>
      <c r="R59" s="98"/>
      <c r="S59" s="160"/>
    </row>
    <row r="60" ht="21" customHeight="1" spans="1:19">
      <c r="A60" s="96"/>
      <c r="B60" s="97"/>
      <c r="C60" s="98"/>
      <c r="D60" s="99"/>
      <c r="E60" s="100"/>
      <c r="F60" s="101"/>
      <c r="G60" s="101"/>
      <c r="H60" s="101"/>
      <c r="I60" s="101"/>
      <c r="J60" s="101"/>
      <c r="K60" s="101"/>
      <c r="L60" s="101"/>
      <c r="M60" s="101"/>
      <c r="N60" s="150"/>
      <c r="O60" s="57"/>
      <c r="P60" s="98"/>
      <c r="Q60" s="99"/>
      <c r="R60" s="98"/>
      <c r="S60" s="160"/>
    </row>
    <row r="61" ht="21" customHeight="1" spans="1:19">
      <c r="A61" s="96"/>
      <c r="B61" s="97"/>
      <c r="C61" s="98"/>
      <c r="D61" s="99"/>
      <c r="E61" s="100"/>
      <c r="F61" s="101"/>
      <c r="G61" s="101"/>
      <c r="H61" s="101"/>
      <c r="I61" s="101"/>
      <c r="J61" s="101"/>
      <c r="K61" s="101"/>
      <c r="L61" s="101"/>
      <c r="M61" s="101"/>
      <c r="N61" s="150"/>
      <c r="O61" s="57"/>
      <c r="P61" s="98"/>
      <c r="Q61" s="99"/>
      <c r="R61" s="98"/>
      <c r="S61" s="160"/>
    </row>
    <row r="62" ht="105.75" customHeight="1" spans="1:19">
      <c r="A62" s="96"/>
      <c r="B62" s="97"/>
      <c r="C62" s="102" t="s">
        <v>162</v>
      </c>
      <c r="D62" s="103"/>
      <c r="E62" s="103"/>
      <c r="F62" s="103"/>
      <c r="G62" s="103"/>
      <c r="H62" s="103"/>
      <c r="I62" s="103"/>
      <c r="J62" s="103"/>
      <c r="K62" s="103"/>
      <c r="L62" s="103"/>
      <c r="M62" s="103"/>
      <c r="N62" s="103"/>
      <c r="O62" s="103"/>
      <c r="P62" s="103"/>
      <c r="Q62" s="103"/>
      <c r="R62" s="103"/>
      <c r="S62" s="183"/>
    </row>
    <row r="63" ht="27" customHeight="1" spans="1:19">
      <c r="A63" s="96"/>
      <c r="B63" s="104"/>
      <c r="C63" s="105" t="s">
        <v>163</v>
      </c>
      <c r="D63" s="106"/>
      <c r="E63" s="106"/>
      <c r="F63" s="106"/>
      <c r="G63" s="106"/>
      <c r="H63" s="106"/>
      <c r="I63" s="106"/>
      <c r="J63" s="106"/>
      <c r="K63" s="106"/>
      <c r="L63" s="106"/>
      <c r="M63" s="106"/>
      <c r="N63" s="106"/>
      <c r="O63" s="106"/>
      <c r="P63" s="106"/>
      <c r="Q63" s="106"/>
      <c r="R63" s="106"/>
      <c r="S63" s="184"/>
    </row>
    <row r="64" ht="48.75" customHeight="1" spans="1:19">
      <c r="A64" s="96"/>
      <c r="B64" s="92" t="s">
        <v>164</v>
      </c>
      <c r="C64" s="107" t="s">
        <v>165</v>
      </c>
      <c r="D64" s="108"/>
      <c r="E64" s="108"/>
      <c r="F64" s="108"/>
      <c r="G64" s="108"/>
      <c r="H64" s="108"/>
      <c r="I64" s="108"/>
      <c r="J64" s="108"/>
      <c r="K64" s="108"/>
      <c r="L64" s="108"/>
      <c r="M64" s="108"/>
      <c r="N64" s="108"/>
      <c r="O64" s="108"/>
      <c r="P64" s="108"/>
      <c r="Q64" s="108"/>
      <c r="R64" s="108"/>
      <c r="S64" s="185"/>
    </row>
    <row r="65" ht="55.5" customHeight="1" spans="1:19">
      <c r="A65" s="96"/>
      <c r="B65" s="186"/>
      <c r="C65" s="187" t="s">
        <v>166</v>
      </c>
      <c r="D65" s="188"/>
      <c r="E65" s="188"/>
      <c r="F65" s="188"/>
      <c r="G65" s="188"/>
      <c r="H65" s="188"/>
      <c r="I65" s="188"/>
      <c r="J65" s="188"/>
      <c r="K65" s="188"/>
      <c r="L65" s="188"/>
      <c r="M65" s="188"/>
      <c r="N65" s="188"/>
      <c r="O65" s="188"/>
      <c r="P65" s="188"/>
      <c r="Q65" s="188"/>
      <c r="R65" s="188"/>
      <c r="S65" s="201"/>
    </row>
    <row r="66" ht="104.25" customHeight="1" spans="1:19">
      <c r="A66" s="96"/>
      <c r="B66" s="186"/>
      <c r="C66" s="102" t="s">
        <v>167</v>
      </c>
      <c r="D66" s="103"/>
      <c r="E66" s="103"/>
      <c r="F66" s="103"/>
      <c r="G66" s="103"/>
      <c r="H66" s="103"/>
      <c r="I66" s="103"/>
      <c r="J66" s="103"/>
      <c r="K66" s="103"/>
      <c r="L66" s="103"/>
      <c r="M66" s="103"/>
      <c r="N66" s="103"/>
      <c r="O66" s="103"/>
      <c r="P66" s="103"/>
      <c r="Q66" s="103"/>
      <c r="R66" s="103"/>
      <c r="S66" s="183"/>
    </row>
    <row r="67" ht="28.5" customHeight="1" spans="1:19">
      <c r="A67" s="96"/>
      <c r="B67" s="189"/>
      <c r="C67" s="105" t="s">
        <v>168</v>
      </c>
      <c r="D67" s="106"/>
      <c r="E67" s="106"/>
      <c r="F67" s="106"/>
      <c r="G67" s="106"/>
      <c r="H67" s="106"/>
      <c r="I67" s="106"/>
      <c r="J67" s="106"/>
      <c r="K67" s="106"/>
      <c r="L67" s="106"/>
      <c r="M67" s="106"/>
      <c r="N67" s="106"/>
      <c r="O67" s="106"/>
      <c r="P67" s="106"/>
      <c r="Q67" s="106"/>
      <c r="R67" s="106"/>
      <c r="S67" s="184"/>
    </row>
    <row r="68" customHeight="1" spans="1:19">
      <c r="A68" s="96"/>
      <c r="B68" s="186" t="s">
        <v>169</v>
      </c>
      <c r="C68" s="190"/>
      <c r="D68" s="191"/>
      <c r="E68" s="191"/>
      <c r="F68" s="191"/>
      <c r="G68" s="191"/>
      <c r="H68" s="191"/>
      <c r="I68" s="191"/>
      <c r="J68" s="191"/>
      <c r="K68" s="191"/>
      <c r="L68" s="191"/>
      <c r="M68" s="191"/>
      <c r="N68" s="191"/>
      <c r="O68" s="191"/>
      <c r="P68" s="191"/>
      <c r="Q68" s="191"/>
      <c r="R68" s="191"/>
      <c r="S68" s="202"/>
    </row>
    <row r="69" ht="14.25" customHeight="1" spans="1:19">
      <c r="A69" s="96"/>
      <c r="B69" s="186"/>
      <c r="C69" s="191"/>
      <c r="D69" s="191"/>
      <c r="E69" s="191"/>
      <c r="F69" s="192"/>
      <c r="G69" s="191"/>
      <c r="H69" s="191"/>
      <c r="I69" s="191"/>
      <c r="J69" s="191"/>
      <c r="K69" s="191"/>
      <c r="L69" s="191"/>
      <c r="M69" s="191"/>
      <c r="N69" s="191"/>
      <c r="O69" s="191"/>
      <c r="P69" s="191"/>
      <c r="Q69" s="191"/>
      <c r="R69" s="191"/>
      <c r="S69" s="202"/>
    </row>
    <row r="70" ht="30.75" customHeight="1" spans="1:19">
      <c r="A70" s="96"/>
      <c r="B70" s="186"/>
      <c r="C70" s="193"/>
      <c r="D70" s="194"/>
      <c r="E70" s="194"/>
      <c r="F70" s="194"/>
      <c r="G70" s="194"/>
      <c r="H70" s="194"/>
      <c r="I70" s="194"/>
      <c r="J70" s="194"/>
      <c r="K70" s="194"/>
      <c r="L70" s="194"/>
      <c r="M70" s="194"/>
      <c r="N70" s="194"/>
      <c r="O70" s="194"/>
      <c r="P70" s="194"/>
      <c r="Q70" s="194"/>
      <c r="R70" s="194"/>
      <c r="S70" s="203"/>
    </row>
    <row r="71" ht="53.25" customHeight="1" spans="1:19">
      <c r="A71" s="195"/>
      <c r="B71" s="189"/>
      <c r="C71" s="196" t="s">
        <v>170</v>
      </c>
      <c r="D71" s="197"/>
      <c r="E71" s="197"/>
      <c r="F71" s="197"/>
      <c r="G71" s="197"/>
      <c r="H71" s="197"/>
      <c r="I71" s="197"/>
      <c r="J71" s="197"/>
      <c r="K71" s="197"/>
      <c r="L71" s="197"/>
      <c r="M71" s="197"/>
      <c r="N71" s="197"/>
      <c r="O71" s="197"/>
      <c r="P71" s="197"/>
      <c r="Q71" s="197"/>
      <c r="R71" s="197"/>
      <c r="S71" s="204"/>
    </row>
    <row r="72" ht="19.5" customHeight="1" spans="1:19">
      <c r="A72" s="198"/>
      <c r="B72" s="199" t="s">
        <v>171</v>
      </c>
      <c r="C72" s="199"/>
      <c r="D72" s="199"/>
      <c r="E72" s="199"/>
      <c r="F72" s="199"/>
      <c r="G72" s="199"/>
      <c r="H72" s="199" t="s">
        <v>172</v>
      </c>
      <c r="I72" s="199"/>
      <c r="J72" s="199"/>
      <c r="K72" s="199"/>
      <c r="L72" s="199"/>
      <c r="N72" s="200"/>
      <c r="O72" s="200" t="s">
        <v>173</v>
      </c>
      <c r="Q72" s="200"/>
      <c r="R72" s="200"/>
      <c r="S72" s="200"/>
    </row>
  </sheetData>
  <mergeCells count="282">
    <mergeCell ref="A1:B1"/>
    <mergeCell ref="A2:S2"/>
    <mergeCell ref="B3:D3"/>
    <mergeCell ref="E3:S3"/>
    <mergeCell ref="K4:M4"/>
    <mergeCell ref="P4:S4"/>
    <mergeCell ref="K5:M5"/>
    <mergeCell ref="P5:S5"/>
    <mergeCell ref="B6:H6"/>
    <mergeCell ref="I6:S6"/>
    <mergeCell ref="C7:H7"/>
    <mergeCell ref="I7:K7"/>
    <mergeCell ref="L7:O7"/>
    <mergeCell ref="P7:S7"/>
    <mergeCell ref="C8:D8"/>
    <mergeCell ref="E8:H8"/>
    <mergeCell ref="I8:K8"/>
    <mergeCell ref="L8:M8"/>
    <mergeCell ref="N8:O8"/>
    <mergeCell ref="P8:Q8"/>
    <mergeCell ref="R8:S8"/>
    <mergeCell ref="E9:H9"/>
    <mergeCell ref="I9:K9"/>
    <mergeCell ref="L9:M9"/>
    <mergeCell ref="N9:O9"/>
    <mergeCell ref="P9:Q9"/>
    <mergeCell ref="R9:S9"/>
    <mergeCell ref="E10:H10"/>
    <mergeCell ref="I10:K10"/>
    <mergeCell ref="L10:M10"/>
    <mergeCell ref="N10:O10"/>
    <mergeCell ref="P10:Q10"/>
    <mergeCell ref="R10:S10"/>
    <mergeCell ref="E11:H11"/>
    <mergeCell ref="I11:K11"/>
    <mergeCell ref="L11:M11"/>
    <mergeCell ref="N11:O11"/>
    <mergeCell ref="P11:Q11"/>
    <mergeCell ref="R11:S11"/>
    <mergeCell ref="E12:H12"/>
    <mergeCell ref="I12:K12"/>
    <mergeCell ref="L12:M12"/>
    <mergeCell ref="N12:O12"/>
    <mergeCell ref="P12:Q12"/>
    <mergeCell ref="R12:S12"/>
    <mergeCell ref="E13:H13"/>
    <mergeCell ref="I13:K13"/>
    <mergeCell ref="L13:M13"/>
    <mergeCell ref="N13:O13"/>
    <mergeCell ref="P13:Q13"/>
    <mergeCell ref="R13:S13"/>
    <mergeCell ref="E14:H14"/>
    <mergeCell ref="I14:K14"/>
    <mergeCell ref="L14:M14"/>
    <mergeCell ref="N14:O14"/>
    <mergeCell ref="P14:Q14"/>
    <mergeCell ref="R14:S14"/>
    <mergeCell ref="E15:H15"/>
    <mergeCell ref="I15:K15"/>
    <mergeCell ref="L15:M15"/>
    <mergeCell ref="N15:O15"/>
    <mergeCell ref="P15:Q15"/>
    <mergeCell ref="R15:S15"/>
    <mergeCell ref="E16:H16"/>
    <mergeCell ref="I16:K16"/>
    <mergeCell ref="L16:M16"/>
    <mergeCell ref="N16:O16"/>
    <mergeCell ref="P16:Q16"/>
    <mergeCell ref="R16:S16"/>
    <mergeCell ref="E17:H17"/>
    <mergeCell ref="I17:K17"/>
    <mergeCell ref="L17:M17"/>
    <mergeCell ref="N17:O17"/>
    <mergeCell ref="P17:Q17"/>
    <mergeCell ref="R17:S17"/>
    <mergeCell ref="E18:H18"/>
    <mergeCell ref="I18:K18"/>
    <mergeCell ref="L18:M18"/>
    <mergeCell ref="N18:O18"/>
    <mergeCell ref="P18:Q18"/>
    <mergeCell ref="R18:S18"/>
    <mergeCell ref="E19:H19"/>
    <mergeCell ref="I19:K19"/>
    <mergeCell ref="L19:M19"/>
    <mergeCell ref="N19:O19"/>
    <mergeCell ref="P19:Q19"/>
    <mergeCell ref="R19:S19"/>
    <mergeCell ref="E20:H20"/>
    <mergeCell ref="I20:K20"/>
    <mergeCell ref="L20:M20"/>
    <mergeCell ref="N20:O20"/>
    <mergeCell ref="P20:Q20"/>
    <mergeCell ref="R20:S20"/>
    <mergeCell ref="B21:D21"/>
    <mergeCell ref="E21:H21"/>
    <mergeCell ref="I21:K21"/>
    <mergeCell ref="L21:S21"/>
    <mergeCell ref="I22:S22"/>
    <mergeCell ref="I23:S23"/>
    <mergeCell ref="I24:S24"/>
    <mergeCell ref="I25:J25"/>
    <mergeCell ref="K25:N25"/>
    <mergeCell ref="O25:Q25"/>
    <mergeCell ref="B28:D28"/>
    <mergeCell ref="E28:H28"/>
    <mergeCell ref="M28:N28"/>
    <mergeCell ref="P28:Q28"/>
    <mergeCell ref="R28:S28"/>
    <mergeCell ref="B29:D29"/>
    <mergeCell ref="E29:H29"/>
    <mergeCell ref="M29:N29"/>
    <mergeCell ref="P29:Q29"/>
    <mergeCell ref="R29:S29"/>
    <mergeCell ref="B30:D30"/>
    <mergeCell ref="E30:H30"/>
    <mergeCell ref="M30:N30"/>
    <mergeCell ref="P30:Q30"/>
    <mergeCell ref="R30:S30"/>
    <mergeCell ref="B31:D31"/>
    <mergeCell ref="E31:H31"/>
    <mergeCell ref="M31:N31"/>
    <mergeCell ref="P31:Q31"/>
    <mergeCell ref="R31:S31"/>
    <mergeCell ref="B32:D32"/>
    <mergeCell ref="E32:H32"/>
    <mergeCell ref="M32:N32"/>
    <mergeCell ref="P32:Q32"/>
    <mergeCell ref="R32:S32"/>
    <mergeCell ref="B33:D33"/>
    <mergeCell ref="E33:H33"/>
    <mergeCell ref="M33:N33"/>
    <mergeCell ref="P33:Q33"/>
    <mergeCell ref="R33:S33"/>
    <mergeCell ref="B34:D34"/>
    <mergeCell ref="E34:H34"/>
    <mergeCell ref="M34:N34"/>
    <mergeCell ref="P34:Q34"/>
    <mergeCell ref="R34:S34"/>
    <mergeCell ref="E35:O35"/>
    <mergeCell ref="P35:S35"/>
    <mergeCell ref="E36:O36"/>
    <mergeCell ref="P36:S36"/>
    <mergeCell ref="E37:O37"/>
    <mergeCell ref="P37:S37"/>
    <mergeCell ref="E38:O38"/>
    <mergeCell ref="P38:S38"/>
    <mergeCell ref="E39:O39"/>
    <mergeCell ref="P39:S39"/>
    <mergeCell ref="E40:O40"/>
    <mergeCell ref="P40:S40"/>
    <mergeCell ref="B41:D41"/>
    <mergeCell ref="E41:G41"/>
    <mergeCell ref="H41:I41"/>
    <mergeCell ref="J41:O41"/>
    <mergeCell ref="P41:Q41"/>
    <mergeCell ref="R41:S41"/>
    <mergeCell ref="E42:G42"/>
    <mergeCell ref="H42:I42"/>
    <mergeCell ref="J42:O42"/>
    <mergeCell ref="P42:Q42"/>
    <mergeCell ref="R42:S42"/>
    <mergeCell ref="E43:G43"/>
    <mergeCell ref="H43:I43"/>
    <mergeCell ref="J43:O43"/>
    <mergeCell ref="P43:Q43"/>
    <mergeCell ref="R43:S43"/>
    <mergeCell ref="E44:G44"/>
    <mergeCell ref="H44:I44"/>
    <mergeCell ref="J44:O44"/>
    <mergeCell ref="P44:Q44"/>
    <mergeCell ref="R44:S44"/>
    <mergeCell ref="E45:G45"/>
    <mergeCell ref="H45:I45"/>
    <mergeCell ref="J45:O45"/>
    <mergeCell ref="P45:Q45"/>
    <mergeCell ref="R45:S45"/>
    <mergeCell ref="E46:G46"/>
    <mergeCell ref="H46:I46"/>
    <mergeCell ref="J46:O46"/>
    <mergeCell ref="P46:Q46"/>
    <mergeCell ref="R46:S46"/>
    <mergeCell ref="E47:G47"/>
    <mergeCell ref="H47:I47"/>
    <mergeCell ref="J47:O47"/>
    <mergeCell ref="P47:Q47"/>
    <mergeCell ref="R47:S47"/>
    <mergeCell ref="E48:G48"/>
    <mergeCell ref="H48:I48"/>
    <mergeCell ref="J48:O48"/>
    <mergeCell ref="P48:Q48"/>
    <mergeCell ref="R48:S48"/>
    <mergeCell ref="E49:G49"/>
    <mergeCell ref="H49:I49"/>
    <mergeCell ref="J49:O49"/>
    <mergeCell ref="P49:Q49"/>
    <mergeCell ref="R49:S49"/>
    <mergeCell ref="E50:G50"/>
    <mergeCell ref="H50:I50"/>
    <mergeCell ref="J50:O50"/>
    <mergeCell ref="P50:Q50"/>
    <mergeCell ref="R50:S50"/>
    <mergeCell ref="E51:G51"/>
    <mergeCell ref="H51:I51"/>
    <mergeCell ref="J51:O51"/>
    <mergeCell ref="P51:Q51"/>
    <mergeCell ref="R51:S51"/>
    <mergeCell ref="E52:G52"/>
    <mergeCell ref="H52:I52"/>
    <mergeCell ref="J52:O52"/>
    <mergeCell ref="P52:Q52"/>
    <mergeCell ref="R52:S52"/>
    <mergeCell ref="E53:G53"/>
    <mergeCell ref="H53:I53"/>
    <mergeCell ref="J53:O53"/>
    <mergeCell ref="P53:Q53"/>
    <mergeCell ref="R53:S53"/>
    <mergeCell ref="B54:O54"/>
    <mergeCell ref="P54:Q54"/>
    <mergeCell ref="R54:S54"/>
    <mergeCell ref="C55:S55"/>
    <mergeCell ref="C56:D56"/>
    <mergeCell ref="E56:N56"/>
    <mergeCell ref="P56:Q56"/>
    <mergeCell ref="R56:S56"/>
    <mergeCell ref="C57:D57"/>
    <mergeCell ref="E57:N57"/>
    <mergeCell ref="P57:Q57"/>
    <mergeCell ref="R57:S57"/>
    <mergeCell ref="C58:D58"/>
    <mergeCell ref="E58:N58"/>
    <mergeCell ref="P58:Q58"/>
    <mergeCell ref="R58:S58"/>
    <mergeCell ref="C59:D59"/>
    <mergeCell ref="E59:N59"/>
    <mergeCell ref="P59:Q59"/>
    <mergeCell ref="R59:S59"/>
    <mergeCell ref="C60:D60"/>
    <mergeCell ref="E60:N60"/>
    <mergeCell ref="P60:Q60"/>
    <mergeCell ref="R60:S60"/>
    <mergeCell ref="C61:D61"/>
    <mergeCell ref="E61:N61"/>
    <mergeCell ref="P61:Q61"/>
    <mergeCell ref="R61:S61"/>
    <mergeCell ref="C62:S62"/>
    <mergeCell ref="C63:S63"/>
    <mergeCell ref="C64:S64"/>
    <mergeCell ref="C65:S65"/>
    <mergeCell ref="C66:S66"/>
    <mergeCell ref="C67:S67"/>
    <mergeCell ref="C71:S71"/>
    <mergeCell ref="A3:A23"/>
    <mergeCell ref="A24:A40"/>
    <mergeCell ref="A41:A44"/>
    <mergeCell ref="A45:A55"/>
    <mergeCell ref="A56:A71"/>
    <mergeCell ref="B7:B20"/>
    <mergeCell ref="B56:B63"/>
    <mergeCell ref="B64:B67"/>
    <mergeCell ref="B68:B71"/>
    <mergeCell ref="I26:I27"/>
    <mergeCell ref="J26:J27"/>
    <mergeCell ref="K26:K27"/>
    <mergeCell ref="L26:L27"/>
    <mergeCell ref="O26:O27"/>
    <mergeCell ref="T41:T44"/>
    <mergeCell ref="B4:H5"/>
    <mergeCell ref="I4:J5"/>
    <mergeCell ref="N4:O5"/>
    <mergeCell ref="C9:D11"/>
    <mergeCell ref="C12:D15"/>
    <mergeCell ref="C16:D20"/>
    <mergeCell ref="B22:H23"/>
    <mergeCell ref="B24:D27"/>
    <mergeCell ref="E24:H27"/>
    <mergeCell ref="R25:S27"/>
    <mergeCell ref="M26:N27"/>
    <mergeCell ref="P26:Q27"/>
    <mergeCell ref="B35:C40"/>
    <mergeCell ref="B42:D44"/>
    <mergeCell ref="B45:D46"/>
    <mergeCell ref="B47:D53"/>
  </mergeCells>
  <pageMargins left="0.579166666666667" right="0.238888888888889" top="0.313888888888889" bottom="0.432638888888889" header="0.509027777777778" footer="0.509027777777778"/>
  <pageSetup paperSize="9" scale="80" orientation="portrait" horizontalDpi="600" verticalDpi="600"/>
  <headerFooter alignWithMargins="0"/>
  <rowBreaks count="2" manualBreakCount="2">
    <brk id="34" max="18" man="1"/>
    <brk id="58" max="18" man="1"/>
  </rowBreak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12</vt:i4>
      </vt:variant>
    </vt:vector>
  </HeadingPairs>
  <TitlesOfParts>
    <vt:vector size="12" baseType="lpstr">
      <vt:lpstr>美丽乡村项目</vt:lpstr>
      <vt:lpstr>全区卫生保洁项目</vt:lpstr>
      <vt:lpstr>“海峡号、丽娜轮”航次补贴项目</vt:lpstr>
      <vt:lpstr>公交运营补助、公交购置补贴</vt:lpstr>
      <vt:lpstr>市政管廊配电工程</vt:lpstr>
      <vt:lpstr>全区市政道路、公路养护</vt:lpstr>
      <vt:lpstr>东庠南江澳沿岸水毁道路修复工程</vt:lpstr>
      <vt:lpstr>全区路灯养护</vt:lpstr>
      <vt:lpstr>全区道路绿化养护</vt:lpstr>
      <vt:lpstr>海岛交通便民工程</vt:lpstr>
      <vt:lpstr>中湖公路站建设工程</vt:lpstr>
      <vt:lpstr>生活垃圾焚烧站进场路及排水工程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kingsoft</dc:creator>
  <cp:lastModifiedBy>潘梦清</cp:lastModifiedBy>
  <dcterms:created xsi:type="dcterms:W3CDTF">2018-02-27T11:14:00Z</dcterms:created>
  <dcterms:modified xsi:type="dcterms:W3CDTF">2019-05-10T02:38:48Z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2052-11.1.0.8612</vt:lpwstr>
  </property>
</Properties>
</file>