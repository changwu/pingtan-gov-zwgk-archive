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/>
  <bookViews>
    <workbookView xWindow="0" yWindow="105" windowWidth="20730" windowHeight="11760" tabRatio="100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5725" fullPrecision="0"/>
</workbook>
</file>

<file path=xl/calcChain.xml><?xml version="1.0" encoding="utf-8"?>
<calcChain xmlns="http://schemas.openxmlformats.org/spreadsheetml/2006/main">
  <c r="E25" i="78"/>
  <c r="E26"/>
  <c r="E27"/>
  <c r="E24"/>
  <c r="E8" s="1"/>
  <c r="J13"/>
  <c r="J12"/>
  <c r="K13"/>
  <c r="K12"/>
  <c r="K8" s="1"/>
  <c r="J8" s="1"/>
  <c r="K25"/>
  <c r="K26"/>
  <c r="K27"/>
  <c r="K24"/>
  <c r="J25"/>
  <c r="J26"/>
  <c r="J27"/>
  <c r="J24"/>
  <c r="F24"/>
  <c r="F8" s="1"/>
  <c r="F25"/>
  <c r="G8"/>
  <c r="H8"/>
  <c r="I8"/>
  <c r="K22"/>
  <c r="K23"/>
  <c r="J22"/>
  <c r="J23"/>
  <c r="K21"/>
  <c r="J21"/>
  <c r="E22"/>
  <c r="E23"/>
  <c r="E21"/>
  <c r="I22"/>
  <c r="I23"/>
  <c r="H22"/>
  <c r="H23"/>
  <c r="F22"/>
  <c r="F23"/>
  <c r="F16"/>
  <c r="F15"/>
  <c r="H15"/>
  <c r="H16" s="1"/>
  <c r="I15"/>
  <c r="I16" s="1"/>
  <c r="I12"/>
  <c r="I13" s="1"/>
  <c r="H12"/>
  <c r="H13" s="1"/>
  <c r="F12"/>
  <c r="F13" s="1"/>
  <c r="E13"/>
  <c r="E12" s="1"/>
  <c r="H9"/>
  <c r="E9" s="1"/>
  <c r="H10"/>
  <c r="E17"/>
  <c r="E15" s="1"/>
  <c r="E16" s="1"/>
  <c r="J10"/>
  <c r="J11"/>
  <c r="K10"/>
  <c r="K11"/>
  <c r="E14"/>
  <c r="K14" s="1"/>
  <c r="G13"/>
  <c r="C8" i="80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7"/>
  <c r="D23"/>
  <c r="D7" s="1"/>
  <c r="D24"/>
  <c r="D8"/>
  <c r="D9"/>
  <c r="D11"/>
  <c r="D12"/>
  <c r="D14"/>
  <c r="D15"/>
  <c r="D17"/>
  <c r="D18"/>
  <c r="D20"/>
  <c r="D21"/>
  <c r="E20"/>
  <c r="E21"/>
  <c r="E12"/>
  <c r="C10" i="77"/>
  <c r="C13"/>
  <c r="C14"/>
  <c r="C15"/>
  <c r="C18"/>
  <c r="C19"/>
  <c r="C22"/>
  <c r="C26"/>
  <c r="C27"/>
  <c r="D16"/>
  <c r="C16" s="1"/>
  <c r="D20"/>
  <c r="C20" s="1"/>
  <c r="D23"/>
  <c r="D21" s="1"/>
  <c r="C21" s="1"/>
  <c r="D17"/>
  <c r="C17" s="1"/>
  <c r="D18"/>
  <c r="D14"/>
  <c r="D12"/>
  <c r="D11" s="1"/>
  <c r="C11" s="1"/>
  <c r="D9"/>
  <c r="D8" s="1"/>
  <c r="D7" s="1"/>
  <c r="C7" s="1"/>
  <c r="D25"/>
  <c r="D24" s="1"/>
  <c r="C24" s="1"/>
  <c r="C5" i="99"/>
  <c r="C48" i="82"/>
  <c r="B13" i="79"/>
  <c r="D6"/>
  <c r="D13" s="1"/>
  <c r="D12" i="76"/>
  <c r="D7"/>
  <c r="B12"/>
  <c r="C23" i="77" l="1"/>
  <c r="C12"/>
  <c r="C8"/>
  <c r="C25"/>
  <c r="C9"/>
  <c r="K17" i="78"/>
  <c r="K15" s="1"/>
  <c r="K16" s="1"/>
  <c r="G12"/>
  <c r="J17"/>
  <c r="J15" s="1"/>
  <c r="J16" s="1"/>
  <c r="I18"/>
  <c r="I19" s="1"/>
  <c r="J14"/>
  <c r="K9"/>
  <c r="J9"/>
  <c r="E11" i="80"/>
  <c r="E7" s="1"/>
  <c r="H18" i="78" l="1"/>
  <c r="H19" s="1"/>
  <c r="E20" l="1"/>
  <c r="F18"/>
  <c r="F19" s="1"/>
  <c r="E18" l="1"/>
  <c r="J20"/>
  <c r="K20"/>
  <c r="E19" l="1"/>
  <c r="K18"/>
  <c r="J18"/>
  <c r="K19" l="1"/>
  <c r="J19"/>
</calcChain>
</file>

<file path=xl/sharedStrings.xml><?xml version="1.0" encoding="utf-8"?>
<sst xmlns="http://schemas.openxmlformats.org/spreadsheetml/2006/main" count="536" uniqueCount="350">
  <si>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</si>
  <si>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</si>
  <si>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</si>
  <si>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</si>
  <si>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</si>
  <si>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</si>
  <si>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</si>
  <si>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</si>
  <si>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</si>
  <si>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</si>
  <si>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</si>
  <si>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</si>
  <si>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</si>
  <si>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</si>
  <si>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</si>
  <si>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</si>
  <si>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</si>
  <si>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</si>
  <si>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附表3-1</t>
    <phoneticPr fontId="35" type="noConversion"/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</si>
  <si>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</si>
  <si>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</si>
  <si>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</si>
  <si>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</si>
  <si>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</si>
  <si>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</si>
  <si>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</si>
  <si>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附表3-2</t>
    <phoneticPr fontId="35" type="noConversion"/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</si>
  <si>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</si>
  <si>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</si>
  <si>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</si>
  <si>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</si>
  <si>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</si>
  <si>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</si>
  <si>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</si>
  <si>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</si>
  <si>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</si>
  <si>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附表3-3</t>
    <phoneticPr fontId="35" type="noConversion"/>
  </si>
  <si>
    <t>附表3-4</t>
    <phoneticPr fontId="35" type="noConversion"/>
  </si>
  <si>
    <t>附表3-5</t>
    <phoneticPr fontId="35" type="noConversion"/>
  </si>
  <si>
    <t>合计</t>
    <phoneticPr fontId="35" type="noConversion"/>
  </si>
  <si>
    <t>其中：</t>
    <phoneticPr fontId="35" type="noConversion"/>
  </si>
  <si>
    <t>基本支出</t>
  </si>
  <si>
    <t>附表3-6</t>
    <phoneticPr fontId="35" type="noConversion"/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</si>
  <si>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</si>
  <si>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</si>
  <si>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</si>
  <si>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</si>
  <si>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</si>
  <si>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</si>
  <si>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</si>
  <si>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</si>
  <si>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</si>
  <si>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</si>
  <si>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</si>
  <si>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</si>
  <si>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</si>
  <si>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</si>
  <si>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</si>
  <si>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</si>
  <si>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</si>
  <si>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</si>
  <si>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</si>
  <si>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</si>
  <si>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</si>
  <si>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</si>
  <si>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</si>
  <si>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</si>
  <si>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</si>
  <si>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</si>
  <si>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</si>
  <si>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</si>
  <si>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</si>
  <si>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</si>
  <si>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</si>
  <si>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</si>
  <si>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</si>
  <si>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</si>
  <si>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</si>
  <si>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</si>
  <si>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</si>
  <si>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</si>
  <si>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</si>
  <si>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</si>
  <si>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</si>
  <si>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</si>
  <si>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</si>
  <si>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</si>
  <si>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</si>
  <si>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</si>
  <si>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</si>
  <si>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</si>
  <si>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</si>
  <si>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</si>
  <si>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</si>
  <si>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</si>
  <si>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</si>
  <si>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</si>
  <si>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</si>
  <si>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</si>
  <si>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</si>
  <si>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</si>
  <si>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</si>
  <si>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</si>
  <si>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</si>
  <si>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</si>
  <si>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</si>
  <si>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</si>
  <si>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</si>
  <si>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</si>
  <si>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</si>
  <si>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</si>
  <si>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</si>
  <si>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</si>
  <si>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</si>
  <si>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</si>
  <si>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5" type="noConversion"/>
  </si>
  <si>
    <t>单位：万元</t>
    <phoneticPr fontId="74" type="noConversion"/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</si>
  <si>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</si>
  <si>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</si>
  <si>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</si>
  <si>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</si>
  <si>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</si>
  <si>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</si>
  <si>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</si>
  <si>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</si>
  <si>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</si>
  <si>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</si>
  <si>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</si>
  <si>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</si>
  <si>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</si>
  <si>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</si>
  <si>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3、公务用车购置及运行费</t>
    <phoneticPr fontId="74" type="noConversion"/>
  </si>
  <si>
    <t>其中：（1）公务用车运行费</t>
    <phoneticPr fontId="35" type="noConversion"/>
  </si>
  <si>
    <t>附表3-7</t>
    <phoneticPr fontId="74" type="noConversion"/>
  </si>
  <si>
    <t>附表3-9</t>
    <phoneticPr fontId="35" type="noConversion"/>
  </si>
  <si>
    <t>附表3-8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</si>
  <si>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</si>
  <si>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</si>
  <si>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</si>
  <si>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</si>
  <si>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</si>
  <si>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</si>
  <si>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</si>
  <si>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</si>
  <si>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</si>
  <si>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</si>
  <si>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</si>
  <si>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</si>
  <si>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</si>
  <si>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</si>
  <si>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</si>
  <si>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</si>
  <si>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</si>
  <si>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</si>
  <si>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</si>
  <si>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</si>
  <si>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</si>
  <si>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</si>
  <si>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</si>
  <si>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</si>
  <si>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</si>
  <si>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</si>
  <si>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</si>
  <si>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</si>
  <si>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</si>
  <si>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</si>
  <si>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</si>
  <si>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</si>
  <si>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</si>
  <si>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</si>
  <si>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</si>
  <si>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</si>
  <si>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</si>
  <si>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</si>
  <si>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</si>
  <si>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</si>
  <si>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</si>
  <si>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</si>
  <si>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</si>
  <si>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</si>
  <si>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</si>
  <si>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</si>
  <si>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</si>
  <si>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</si>
  <si>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</si>
  <si>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</si>
  <si>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</si>
  <si>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</si>
  <si>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</si>
  <si>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</si>
  <si>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</si>
  <si>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</si>
  <si>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</si>
  <si>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</si>
  <si>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</si>
  <si>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</si>
  <si>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</si>
  <si>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</si>
  <si>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</si>
  <si>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</si>
  <si>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</si>
  <si>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</si>
  <si>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</si>
  <si>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</si>
  <si>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</si>
  <si>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</si>
  <si>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</si>
  <si>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</si>
  <si>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</si>
  <si>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</si>
  <si>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</si>
  <si>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</si>
  <si>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</si>
  <si>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</si>
  <si>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</si>
  <si>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</si>
  <si>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</si>
  <si>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</si>
  <si>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</si>
  <si>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</si>
  <si>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</si>
  <si>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</si>
  <si>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</si>
  <si>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</si>
  <si>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</si>
  <si>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</si>
  <si>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</si>
  <si>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</si>
  <si>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</si>
  <si>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</si>
  <si>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</si>
  <si>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</si>
  <si>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</si>
  <si>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</si>
  <si>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</si>
  <si>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</si>
  <si>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</si>
  <si>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</si>
  <si>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</si>
  <si>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</si>
  <si>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</si>
  <si>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</si>
  <si>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</si>
  <si>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</si>
  <si>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</si>
  <si>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</si>
  <si>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</si>
  <si>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</si>
  <si>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</si>
  <si>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</si>
  <si>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</si>
  <si>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</si>
  <si>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</si>
  <si>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</si>
  <si>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</si>
  <si>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</si>
  <si>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</si>
  <si>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</si>
  <si>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</si>
  <si>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  <phoneticPr fontId="35" type="noConversion"/>
  </si>
  <si>
    <t>（简要填写预算安排、主要工作任务等情况）</t>
    <phoneticPr fontId="35" type="noConversion"/>
  </si>
  <si>
    <t xml:space="preserve">绩效目标  </t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</si>
  <si>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</si>
  <si>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</si>
  <si>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</si>
  <si>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 xml:space="preserve">投入 </t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</si>
  <si>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</si>
  <si>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</si>
  <si>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</si>
  <si>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</si>
  <si>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</si>
  <si>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</si>
  <si>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63" type="noConversion"/>
  </si>
  <si>
    <t>立项项目名称</t>
    <phoneticPr fontId="35" type="noConversion"/>
  </si>
  <si>
    <t>概况</t>
    <phoneticPr fontId="35" type="noConversion"/>
  </si>
  <si>
    <t>（简要填写执行年限、预算安排、主要工作任务等情况）</t>
    <phoneticPr fontId="35" type="noConversion"/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</si>
  <si>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</si>
  <si>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</si>
  <si>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</si>
  <si>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</si>
  <si>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</si>
  <si>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</si>
  <si>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备注：按部门预算批复的绩效目标表填写本表中的相应内容（按规定不宜公开部分除外）。</t>
    <phoneticPr fontId="63" type="noConversion"/>
  </si>
  <si>
    <t>附表3-10</t>
    <phoneticPr fontId="35" type="noConversion"/>
  </si>
  <si>
    <t>附表3-11</t>
    <phoneticPr fontId="35" type="noConversion"/>
  </si>
  <si>
    <t>附表3-12</t>
    <phoneticPr fontId="35" type="noConversion"/>
  </si>
  <si>
    <t>预算数</t>
    <phoneticPr fontId="74" type="noConversion"/>
  </si>
  <si>
    <t>预算数</t>
    <phoneticPr fontId="74" type="noConversion"/>
  </si>
  <si>
    <t>三、财政专户拨款</t>
    <phoneticPr fontId="74" type="noConversion"/>
  </si>
  <si>
    <t>30204</t>
    <phoneticPr fontId="74" type="noConversion"/>
  </si>
  <si>
    <t>手续费</t>
    <phoneticPr fontId="74" type="noConversion"/>
  </si>
  <si>
    <t>收入合计</t>
    <phoneticPr fontId="74" type="noConversion"/>
  </si>
  <si>
    <t>支出合计</t>
    <phoneticPr fontId="74" type="noConversion"/>
  </si>
  <si>
    <t xml:space="preserve">     人员支出</t>
    <phoneticPr fontId="74" type="noConversion"/>
  </si>
  <si>
    <t xml:space="preserve">     对个人和家庭补助支出</t>
    <phoneticPr fontId="74" type="noConversion"/>
  </si>
  <si>
    <t xml:space="preserve">     公用支出</t>
    <phoneticPr fontId="74" type="noConversion"/>
  </si>
  <si>
    <t>单位：万元</t>
    <phoneticPr fontId="74" type="noConversion"/>
  </si>
  <si>
    <t>单位其它收入</t>
    <phoneticPr fontId="74" type="noConversion"/>
  </si>
  <si>
    <t>合计</t>
    <phoneticPr fontId="74" type="noConversion"/>
  </si>
  <si>
    <t>预算数</t>
    <phoneticPr fontId="74" type="noConversion"/>
  </si>
  <si>
    <t>收入合计</t>
    <phoneticPr fontId="74" type="noConversion"/>
  </si>
  <si>
    <t>支出合计</t>
    <phoneticPr fontId="74" type="noConversion"/>
  </si>
  <si>
    <t>备注：1.本表公开到政府支出功能分类项级科目。</t>
    <phoneticPr fontId="74" type="noConversion"/>
  </si>
  <si>
    <t xml:space="preserve">      2.没有数据的单位应当列出空表并说明。</t>
    <phoneticPr fontId="74" type="noConversion"/>
  </si>
  <si>
    <t>预算数</t>
    <phoneticPr fontId="35" type="noConversion"/>
  </si>
  <si>
    <t>科目编码</t>
    <phoneticPr fontId="35" type="noConversion"/>
  </si>
  <si>
    <t>科目_x000D_编码</t>
    <phoneticPr fontId="74" type="noConversion"/>
  </si>
  <si>
    <t>预算数</t>
    <phoneticPr fontId="74" type="noConversion"/>
  </si>
  <si>
    <t>预算数</t>
    <phoneticPr fontId="74" type="noConversion"/>
  </si>
  <si>
    <t>备注：本表不能留空，没有金额必须标零或写无，并备注说明“本单位无一般公共预算安排的三公经费支出”。</t>
    <phoneticPr fontId="74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</si>
  <si>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</si>
  <si>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备注：本表公开到政府支出功能分类项级科目。</t>
    <phoneticPr fontId="74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</si>
  <si>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74" type="noConversion"/>
  </si>
  <si>
    <t xml:space="preserve">
拆迁补偿
</t>
    <phoneticPr fontId="74" type="noConversion"/>
  </si>
  <si>
    <t>土地补偿</t>
    <phoneticPr fontId="74" type="noConversion"/>
  </si>
  <si>
    <t>2018年度收支预算总表</t>
    <phoneticPr fontId="35" type="noConversion"/>
  </si>
  <si>
    <t>2018年度收入预算总表</t>
    <phoneticPr fontId="35" type="noConversion"/>
  </si>
  <si>
    <t>2018年度支出预算总表</t>
    <phoneticPr fontId="35" type="noConversion"/>
  </si>
  <si>
    <t>2018年度财政拨款收支预算总表</t>
    <phoneticPr fontId="35" type="noConversion"/>
  </si>
  <si>
    <t>2018年度一般公共预算拨款支出预算表</t>
    <phoneticPr fontId="35" type="noConversion"/>
  </si>
  <si>
    <t>2018年度政府性基金拨款支出预算表</t>
    <phoneticPr fontId="35" type="noConversion"/>
  </si>
  <si>
    <t>2018年度一般公共预算支出经济分类情况表</t>
    <phoneticPr fontId="74" type="noConversion"/>
  </si>
  <si>
    <t>2018年度一般公共预算基本支出经济分类情况表</t>
    <phoneticPr fontId="35" type="noConversion"/>
  </si>
  <si>
    <t>2018年度一般公共预算“三公”经费支出预算表</t>
    <phoneticPr fontId="35" type="noConversion"/>
  </si>
  <si>
    <t>2018年度部门专项资金管理清单目录</t>
    <phoneticPr fontId="35" type="noConversion"/>
  </si>
  <si>
    <t>2018年度部门业务费绩效目标表</t>
    <phoneticPr fontId="35" type="noConversion"/>
  </si>
  <si>
    <t>2018年度专项资金绩效目标表</t>
    <phoneticPr fontId="35" type="noConversion"/>
  </si>
  <si>
    <t>合计</t>
    <phoneticPr fontId="35" type="noConversion"/>
  </si>
  <si>
    <t>文化体育与传媒支出</t>
  </si>
  <si>
    <t xml:space="preserve">  文化</t>
  </si>
  <si>
    <t xml:space="preserve">    机关服务</t>
  </si>
  <si>
    <t>城乡社区支出</t>
  </si>
  <si>
    <t xml:space="preserve">  城乡社区管理事务</t>
  </si>
  <si>
    <t xml:space="preserve">    城管执法</t>
  </si>
  <si>
    <t>农林水支出</t>
  </si>
  <si>
    <t xml:space="preserve">  农业</t>
  </si>
  <si>
    <t>交通运输支出</t>
  </si>
  <si>
    <t xml:space="preserve">  公路水路运输</t>
  </si>
  <si>
    <t>资源勘探信息等支出</t>
  </si>
  <si>
    <t xml:space="preserve">  安全生产监管</t>
  </si>
  <si>
    <t xml:space="preserve">    行政运行</t>
  </si>
  <si>
    <t xml:space="preserve">    一般行政管理事务</t>
  </si>
  <si>
    <t>住房保障支出</t>
  </si>
  <si>
    <t xml:space="preserve">  住房改革支出</t>
  </si>
  <si>
    <t xml:space="preserve">    住房公积金</t>
  </si>
  <si>
    <t xml:space="preserve">    提租补贴</t>
  </si>
  <si>
    <t>文化体育与传媒支出</t>
    <phoneticPr fontId="35" type="noConversion"/>
  </si>
  <si>
    <t>城乡社区支出</t>
    <phoneticPr fontId="35" type="noConversion"/>
  </si>
  <si>
    <t>合计</t>
    <phoneticPr fontId="35" type="noConversion"/>
  </si>
  <si>
    <t>平潭综合实验区综合执法局</t>
    <phoneticPr fontId="74" type="noConversion"/>
  </si>
</sst>
</file>

<file path=xl/styles.xml><?xml version="1.0" encoding="utf-8"?>
<styleSheet xmlns="http://schemas.openxmlformats.org/spreadsheetml/2006/main">
  <numFmts count="21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  <numFmt numFmtId="193" formatCode="#,##0.00_);[Red]\(#,##0.00\)"/>
  </numFmts>
  <fonts count="94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黑体"/>
      <family val="3"/>
      <charset val="134"/>
    </font>
    <font>
      <sz val="16"/>
      <color indexed="8"/>
      <name val="方正小标宋_GBK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99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</cellStyleXfs>
  <cellXfs count="167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0" fontId="6" fillId="0" borderId="0" xfId="4974" applyFont="1"/>
    <xf numFmtId="0" fontId="2" fillId="0" borderId="0" xfId="4974" applyFont="1"/>
    <xf numFmtId="0" fontId="58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58" fillId="0" borderId="0" xfId="0" applyFont="1">
      <alignment vertical="center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0" fontId="2" fillId="0" borderId="0" xfId="2616" applyFont="1"/>
    <xf numFmtId="0" fontId="77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79" fillId="0" borderId="1" xfId="0" applyFont="1" applyBorder="1" applyAlignment="1"/>
    <xf numFmtId="0" fontId="80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4" fillId="0" borderId="1" xfId="4972" applyFont="1" applyBorder="1" applyAlignment="1">
      <alignment horizontal="centerContinuous" vertical="center"/>
    </xf>
    <xf numFmtId="0" fontId="64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4" fillId="0" borderId="1" xfId="4977" applyFont="1" applyBorder="1" applyAlignment="1">
      <alignment horizontal="centerContinuous" vertical="center"/>
    </xf>
    <xf numFmtId="0" fontId="64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4" fillId="0" borderId="1" xfId="4978" quotePrefix="1" applyFont="1" applyBorder="1" applyAlignment="1">
      <alignment horizontal="center" vertical="center"/>
    </xf>
    <xf numFmtId="0" fontId="64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2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4" fillId="50" borderId="0" xfId="0" applyFont="1" applyFill="1" applyBorder="1" applyAlignment="1">
      <alignment horizontal="left" vertical="center"/>
    </xf>
    <xf numFmtId="0" fontId="84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1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5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64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6" fillId="0" borderId="27" xfId="499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8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78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49" fontId="85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 wrapText="1"/>
    </xf>
    <xf numFmtId="0" fontId="7" fillId="0" borderId="0" xfId="4978" applyFont="1" applyBorder="1" applyAlignment="1">
      <alignment horizontal="right" vertical="center"/>
    </xf>
    <xf numFmtId="0" fontId="54" fillId="0" borderId="0" xfId="2842" applyFont="1" applyAlignment="1">
      <alignment horizontal="right" vertical="center"/>
    </xf>
    <xf numFmtId="0" fontId="78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89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left" vertical="center" wrapText="1"/>
    </xf>
    <xf numFmtId="0" fontId="91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2" fillId="0" borderId="1" xfId="0" applyNumberFormat="1" applyFont="1" applyFill="1" applyBorder="1" applyAlignment="1">
      <alignment horizontal="left" vertical="center"/>
    </xf>
    <xf numFmtId="193" fontId="9" fillId="0" borderId="1" xfId="0" applyNumberFormat="1" applyFont="1" applyFill="1" applyBorder="1" applyAlignment="1">
      <alignment horizontal="left" vertical="center"/>
    </xf>
    <xf numFmtId="0" fontId="92" fillId="0" borderId="1" xfId="0" applyNumberFormat="1" applyFont="1" applyFill="1" applyBorder="1" applyAlignment="1">
      <alignment horizontal="left" vertical="center" wrapText="1"/>
    </xf>
    <xf numFmtId="193" fontId="9" fillId="0" borderId="1" xfId="0" applyNumberFormat="1" applyFont="1" applyFill="1" applyBorder="1" applyAlignment="1">
      <alignment horizontal="left" vertical="center" wrapText="1"/>
    </xf>
    <xf numFmtId="193" fontId="0" fillId="0" borderId="1" xfId="0" applyNumberFormat="1" applyBorder="1">
      <alignment vertical="center"/>
    </xf>
    <xf numFmtId="0" fontId="9" fillId="0" borderId="1" xfId="2555" applyFont="1" applyFill="1" applyBorder="1" applyAlignment="1">
      <alignment horizontal="center" vertical="center" shrinkToFit="1"/>
    </xf>
    <xf numFmtId="0" fontId="5" fillId="0" borderId="1" xfId="2555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54" fillId="0" borderId="1" xfId="2842" applyFont="1" applyBorder="1" applyAlignment="1">
      <alignment horizontal="center" vertical="center"/>
    </xf>
    <xf numFmtId="0" fontId="53" fillId="0" borderId="27" xfId="0" applyFont="1" applyFill="1" applyBorder="1" applyAlignment="1">
      <alignment horizontal="center" vertical="center"/>
    </xf>
    <xf numFmtId="0" fontId="79" fillId="0" borderId="27" xfId="0" applyFont="1" applyBorder="1" applyAlignment="1">
      <alignment horizontal="center" vertical="center"/>
    </xf>
    <xf numFmtId="190" fontId="7" fillId="0" borderId="1" xfId="4977" applyNumberFormat="1" applyFont="1" applyFill="1" applyBorder="1" applyAlignment="1">
      <alignment horizontal="center" vertical="center" wrapText="1"/>
    </xf>
    <xf numFmtId="4" fontId="7" fillId="0" borderId="1" xfId="4977" applyNumberFormat="1" applyFont="1" applyFill="1" applyBorder="1" applyAlignment="1">
      <alignment horizontal="center" vertical="center" wrapText="1"/>
    </xf>
    <xf numFmtId="190" fontId="7" fillId="0" borderId="1" xfId="4977" applyNumberFormat="1" applyFont="1" applyFill="1" applyBorder="1" applyAlignment="1">
      <alignment horizontal="center" vertical="center"/>
    </xf>
    <xf numFmtId="193" fontId="0" fillId="0" borderId="1" xfId="0" applyNumberFormat="1" applyFill="1" applyBorder="1" applyAlignment="1">
      <alignment horizontal="center" vertical="center"/>
    </xf>
    <xf numFmtId="193" fontId="2" fillId="0" borderId="1" xfId="4980" applyNumberFormat="1" applyFont="1" applyBorder="1" applyAlignment="1">
      <alignment horizontal="center"/>
    </xf>
    <xf numFmtId="190" fontId="7" fillId="0" borderId="1" xfId="4972" applyNumberFormat="1" applyFont="1" applyFill="1" applyBorder="1" applyAlignment="1">
      <alignment horizontal="center" vertical="center" wrapText="1"/>
    </xf>
    <xf numFmtId="4" fontId="7" fillId="0" borderId="1" xfId="4972" applyNumberFormat="1" applyFont="1" applyFill="1" applyBorder="1" applyAlignment="1">
      <alignment horizontal="center" vertical="center" wrapText="1"/>
    </xf>
    <xf numFmtId="190" fontId="7" fillId="0" borderId="1" xfId="4972" applyNumberFormat="1" applyFont="1" applyFill="1" applyBorder="1" applyAlignment="1">
      <alignment horizontal="center" vertical="center"/>
    </xf>
    <xf numFmtId="193" fontId="5" fillId="0" borderId="1" xfId="0" applyNumberFormat="1" applyFont="1" applyFill="1" applyBorder="1" applyAlignment="1">
      <alignment horizontal="center" vertical="center" wrapText="1"/>
    </xf>
    <xf numFmtId="193" fontId="0" fillId="0" borderId="1" xfId="0" applyNumberFormat="1" applyBorder="1" applyAlignment="1">
      <alignment horizontal="center" vertical="center"/>
    </xf>
    <xf numFmtId="0" fontId="82" fillId="0" borderId="0" xfId="4972" applyFont="1" applyAlignment="1">
      <alignment horizontal="center" vertical="center"/>
    </xf>
    <xf numFmtId="0" fontId="83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2" fillId="0" borderId="17" xfId="0" applyNumberFormat="1" applyFont="1" applyFill="1" applyBorder="1" applyAlignment="1">
      <alignment horizontal="center" vertical="center" wrapText="1"/>
    </xf>
    <xf numFmtId="0" fontId="0" fillId="0" borderId="20" xfId="0" applyNumberFormat="1" applyBorder="1" applyAlignment="1">
      <alignment horizontal="center" vertical="center" wrapText="1"/>
    </xf>
    <xf numFmtId="49" fontId="82" fillId="0" borderId="0" xfId="4974" applyNumberFormat="1" applyFont="1" applyFill="1" applyAlignment="1" applyProtection="1">
      <alignment horizontal="center" vertical="center" wrapText="1"/>
    </xf>
    <xf numFmtId="49" fontId="83" fillId="0" borderId="0" xfId="4974" applyNumberFormat="1" applyFont="1" applyFill="1" applyAlignment="1" applyProtection="1">
      <alignment horizontal="center" vertical="center" wrapText="1"/>
    </xf>
    <xf numFmtId="0" fontId="64" fillId="0" borderId="1" xfId="4974" applyNumberFormat="1" applyFont="1" applyFill="1" applyBorder="1" applyAlignment="1" applyProtection="1">
      <alignment horizontal="center" vertical="center" wrapText="1"/>
    </xf>
    <xf numFmtId="0" fontId="7" fillId="0" borderId="23" xfId="4974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3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64" fillId="0" borderId="21" xfId="4976" applyNumberFormat="1" applyFont="1" applyFill="1" applyBorder="1" applyAlignment="1" applyProtection="1">
      <alignment horizontal="center" vertical="center" wrapText="1"/>
    </xf>
    <xf numFmtId="0" fontId="64" fillId="0" borderId="22" xfId="4976" applyNumberFormat="1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82" fillId="0" borderId="0" xfId="4977" applyFont="1" applyAlignment="1">
      <alignment horizontal="center" vertical="center"/>
    </xf>
    <xf numFmtId="0" fontId="83" fillId="0" borderId="0" xfId="4977" applyFont="1" applyAlignment="1">
      <alignment horizontal="center" vertical="center"/>
    </xf>
    <xf numFmtId="192" fontId="88" fillId="0" borderId="0" xfId="4981" applyNumberFormat="1" applyFont="1" applyFill="1" applyBorder="1" applyAlignment="1">
      <alignment horizontal="left"/>
    </xf>
    <xf numFmtId="0" fontId="3" fillId="0" borderId="17" xfId="4979" applyFont="1" applyBorder="1" applyAlignment="1">
      <alignment horizontal="center" vertical="center" wrapText="1"/>
    </xf>
    <xf numFmtId="0" fontId="64" fillId="0" borderId="1" xfId="4978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192" fontId="57" fillId="0" borderId="0" xfId="4981" applyNumberFormat="1" applyFont="1" applyFill="1" applyBorder="1" applyAlignment="1">
      <alignment horizontal="left"/>
    </xf>
    <xf numFmtId="0" fontId="57" fillId="0" borderId="0" xfId="4981" applyNumberFormat="1" applyFont="1" applyFill="1" applyBorder="1" applyAlignment="1" applyProtection="1">
      <alignment horizontal="left" wrapText="1"/>
    </xf>
    <xf numFmtId="0" fontId="82" fillId="50" borderId="0" xfId="0" applyFont="1" applyFill="1" applyBorder="1" applyAlignment="1">
      <alignment horizontal="center" vertical="center"/>
    </xf>
    <xf numFmtId="0" fontId="83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0" fontId="81" fillId="0" borderId="0" xfId="1527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  <xf numFmtId="0" fontId="82" fillId="0" borderId="0" xfId="2842" applyFont="1" applyAlignment="1">
      <alignment horizontal="center" vertical="center"/>
    </xf>
    <xf numFmtId="0" fontId="88" fillId="0" borderId="25" xfId="0" applyFont="1" applyBorder="1" applyAlignment="1">
      <alignment horizontal="left" vertical="center" wrapText="1"/>
    </xf>
    <xf numFmtId="0" fontId="88" fillId="0" borderId="25" xfId="0" applyFont="1" applyBorder="1" applyAlignment="1">
      <alignment horizontal="left" vertical="top" wrapText="1"/>
    </xf>
    <xf numFmtId="0" fontId="88" fillId="0" borderId="25" xfId="0" applyFont="1" applyBorder="1" applyAlignment="1">
      <alignment horizontal="left" vertical="top"/>
    </xf>
    <xf numFmtId="0" fontId="82" fillId="0" borderId="0" xfId="0" applyFont="1" applyAlignment="1">
      <alignment horizontal="center" vertical="center"/>
    </xf>
    <xf numFmtId="0" fontId="80" fillId="0" borderId="21" xfId="0" applyFont="1" applyBorder="1" applyAlignment="1">
      <alignment horizontal="center" vertical="center" wrapText="1"/>
    </xf>
    <xf numFmtId="0" fontId="80" fillId="0" borderId="22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center" vertical="center" wrapText="1"/>
    </xf>
    <xf numFmtId="0" fontId="82" fillId="0" borderId="23" xfId="0" applyFont="1" applyBorder="1" applyAlignment="1">
      <alignment horizontal="center" vertical="center"/>
    </xf>
    <xf numFmtId="0" fontId="91" fillId="0" borderId="1" xfId="0" applyFont="1" applyBorder="1" applyAlignment="1">
      <alignment horizontal="justify" vertical="center" wrapText="1"/>
    </xf>
    <xf numFmtId="0" fontId="89" fillId="0" borderId="1" xfId="0" applyFont="1" applyBorder="1" applyAlignment="1">
      <alignment horizontal="center" vertical="center" wrapText="1"/>
    </xf>
    <xf numFmtId="0" fontId="91" fillId="0" borderId="21" xfId="0" applyFont="1" applyBorder="1" applyAlignment="1">
      <alignment horizontal="center" vertical="center" wrapText="1"/>
    </xf>
    <xf numFmtId="0" fontId="91" fillId="0" borderId="24" xfId="0" applyFont="1" applyBorder="1" applyAlignment="1">
      <alignment horizontal="center" vertical="center" wrapText="1"/>
    </xf>
    <xf numFmtId="0" fontId="91" fillId="0" borderId="22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 wrapText="1"/>
    </xf>
    <xf numFmtId="0" fontId="90" fillId="0" borderId="1" xfId="0" applyFont="1" applyBorder="1" applyAlignment="1">
      <alignment horizontal="center" vertical="top" wrapText="1"/>
    </xf>
  </cellXfs>
  <cellStyles count="4992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zoomScaleNormal="100" workbookViewId="0">
      <selection activeCell="D7" sqref="D7:D12"/>
    </sheetView>
  </sheetViews>
  <sheetFormatPr defaultRowHeight="14.25"/>
  <cols>
    <col min="1" max="1" width="32.125" customWidth="1"/>
    <col min="2" max="2" width="29.375" customWidth="1"/>
    <col min="3" max="3" width="31.875" customWidth="1"/>
    <col min="4" max="4" width="30.875" customWidth="1"/>
  </cols>
  <sheetData>
    <row r="1" spans="1:4">
      <c r="A1" s="118"/>
      <c r="B1" s="118"/>
      <c r="C1" s="118"/>
      <c r="D1" s="118"/>
    </row>
    <row r="2" spans="1:4">
      <c r="A2" s="4" t="s">
        <v>18</v>
      </c>
      <c r="B2" s="2"/>
      <c r="C2" s="2"/>
      <c r="D2" s="2"/>
    </row>
    <row r="3" spans="1:4" ht="20.25">
      <c r="A3" s="116" t="s">
        <v>315</v>
      </c>
      <c r="B3" s="117"/>
      <c r="C3" s="117"/>
      <c r="D3" s="117"/>
    </row>
    <row r="4" spans="1:4" ht="21.75" customHeight="1">
      <c r="A4" s="6"/>
      <c r="B4" s="6"/>
      <c r="C4" s="6"/>
      <c r="D4" s="7" t="s">
        <v>0</v>
      </c>
    </row>
    <row r="5" spans="1:4" ht="20.100000000000001" customHeight="1">
      <c r="A5" s="29" t="s">
        <v>5</v>
      </c>
      <c r="B5" s="29"/>
      <c r="C5" s="29" t="s">
        <v>6</v>
      </c>
      <c r="D5" s="29"/>
    </row>
    <row r="6" spans="1:4" ht="20.100000000000001" customHeight="1">
      <c r="A6" s="30" t="s">
        <v>7</v>
      </c>
      <c r="B6" s="30" t="s">
        <v>299</v>
      </c>
      <c r="C6" s="30" t="s">
        <v>8</v>
      </c>
      <c r="D6" s="30" t="s">
        <v>299</v>
      </c>
    </row>
    <row r="7" spans="1:4" ht="20.100000000000001" customHeight="1">
      <c r="A7" s="31" t="s">
        <v>9</v>
      </c>
      <c r="B7" s="111">
        <v>4757.21</v>
      </c>
      <c r="C7" s="31" t="s">
        <v>10</v>
      </c>
      <c r="D7" s="113">
        <f>SUM(D8+D9+D10)</f>
        <v>4375.21</v>
      </c>
    </row>
    <row r="8" spans="1:4" ht="20.100000000000001" customHeight="1">
      <c r="A8" s="31" t="s">
        <v>14</v>
      </c>
      <c r="B8" s="111"/>
      <c r="C8" s="31" t="s">
        <v>293</v>
      </c>
      <c r="D8" s="111">
        <v>3978.64</v>
      </c>
    </row>
    <row r="9" spans="1:4" ht="20.100000000000001" customHeight="1">
      <c r="A9" s="32" t="s">
        <v>288</v>
      </c>
      <c r="B9" s="111"/>
      <c r="C9" s="31" t="s">
        <v>294</v>
      </c>
      <c r="D9" s="111">
        <v>0.24</v>
      </c>
    </row>
    <row r="10" spans="1:4" ht="20.100000000000001" customHeight="1">
      <c r="A10" s="32" t="s">
        <v>16</v>
      </c>
      <c r="B10" s="111"/>
      <c r="C10" s="31" t="s">
        <v>295</v>
      </c>
      <c r="D10" s="111">
        <v>396.33</v>
      </c>
    </row>
    <row r="11" spans="1:4" ht="20.100000000000001" customHeight="1">
      <c r="A11" s="32" t="s">
        <v>17</v>
      </c>
      <c r="B11" s="111"/>
      <c r="C11" s="31" t="s">
        <v>15</v>
      </c>
      <c r="D11" s="111">
        <v>382</v>
      </c>
    </row>
    <row r="12" spans="1:4" ht="20.100000000000001" customHeight="1">
      <c r="A12" s="33" t="s">
        <v>291</v>
      </c>
      <c r="B12" s="112">
        <f>SUM(B7:B11)</f>
        <v>4757.21</v>
      </c>
      <c r="C12" s="33" t="s">
        <v>292</v>
      </c>
      <c r="D12" s="111">
        <f>SUM(D7+D11)</f>
        <v>4757.21</v>
      </c>
    </row>
  </sheetData>
  <mergeCells count="2">
    <mergeCell ref="A3:D3"/>
    <mergeCell ref="A1:D1"/>
  </mergeCells>
  <phoneticPr fontId="74" type="noConversion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7"/>
  <sheetViews>
    <sheetView topLeftCell="A10" zoomScaleNormal="100" workbookViewId="0">
      <selection activeCell="D23" sqref="D23"/>
    </sheetView>
  </sheetViews>
  <sheetFormatPr defaultRowHeight="14.25"/>
  <cols>
    <col min="1" max="1" width="10.25" customWidth="1"/>
    <col min="2" max="2" width="31" customWidth="1"/>
    <col min="3" max="3" width="11.5" style="58" customWidth="1"/>
    <col min="4" max="4" width="17.75" style="58" customWidth="1"/>
    <col min="5" max="6" width="13.375" style="58" customWidth="1"/>
    <col min="7" max="7" width="17.75" style="58" customWidth="1"/>
    <col min="8" max="8" width="13.375" style="58" customWidth="1"/>
  </cols>
  <sheetData>
    <row r="1" spans="1:8">
      <c r="A1" s="9" t="s">
        <v>26</v>
      </c>
      <c r="B1" s="8"/>
      <c r="C1" s="63"/>
      <c r="D1" s="64"/>
      <c r="E1" s="64"/>
      <c r="F1" s="65"/>
      <c r="G1" s="66"/>
      <c r="H1" s="66"/>
    </row>
    <row r="2" spans="1:8" ht="19.5" customHeight="1">
      <c r="A2" s="121" t="s">
        <v>316</v>
      </c>
      <c r="B2" s="122"/>
      <c r="C2" s="122"/>
      <c r="D2" s="122"/>
      <c r="E2" s="122"/>
      <c r="F2" s="122"/>
      <c r="G2" s="122"/>
      <c r="H2" s="122"/>
    </row>
    <row r="3" spans="1:8" ht="13.5" customHeight="1">
      <c r="A3" s="9"/>
      <c r="B3" s="9"/>
      <c r="C3" s="67"/>
      <c r="D3" s="68"/>
      <c r="E3" s="68"/>
      <c r="F3" s="69"/>
      <c r="G3" s="124" t="s">
        <v>296</v>
      </c>
      <c r="H3" s="124"/>
    </row>
    <row r="4" spans="1:8" ht="23.25" customHeight="1">
      <c r="A4" s="123" t="s">
        <v>19</v>
      </c>
      <c r="B4" s="123" t="s">
        <v>20</v>
      </c>
      <c r="C4" s="125" t="s">
        <v>33</v>
      </c>
      <c r="D4" s="126"/>
      <c r="E4" s="126"/>
      <c r="F4" s="126"/>
      <c r="G4" s="126"/>
      <c r="H4" s="127"/>
    </row>
    <row r="5" spans="1:8" ht="29.25" customHeight="1">
      <c r="A5" s="123"/>
      <c r="B5" s="123"/>
      <c r="C5" s="36" t="s">
        <v>21</v>
      </c>
      <c r="D5" s="36" t="s">
        <v>22</v>
      </c>
      <c r="E5" s="36" t="s">
        <v>34</v>
      </c>
      <c r="F5" s="36" t="s">
        <v>23</v>
      </c>
      <c r="G5" s="70" t="s">
        <v>24</v>
      </c>
      <c r="H5" s="36" t="s">
        <v>297</v>
      </c>
    </row>
    <row r="6" spans="1:8" ht="18" customHeight="1">
      <c r="A6" s="34" t="s">
        <v>25</v>
      </c>
      <c r="B6" s="34" t="s">
        <v>25</v>
      </c>
      <c r="C6" s="77">
        <v>1</v>
      </c>
      <c r="D6" s="34">
        <v>2</v>
      </c>
      <c r="E6" s="77">
        <v>3</v>
      </c>
      <c r="F6" s="77">
        <v>4</v>
      </c>
      <c r="G6" s="34">
        <v>5</v>
      </c>
      <c r="H6" s="77">
        <v>6</v>
      </c>
    </row>
    <row r="7" spans="1:8" ht="18" customHeight="1">
      <c r="A7" s="119" t="s">
        <v>327</v>
      </c>
      <c r="B7" s="120"/>
      <c r="C7" s="71">
        <f>SUM(D7)</f>
        <v>4757.21</v>
      </c>
      <c r="D7" s="71">
        <f>SUM(D8+D11+D14+D17+D20+D24)</f>
        <v>4757.21</v>
      </c>
      <c r="E7" s="71"/>
      <c r="F7" s="71"/>
      <c r="G7" s="71"/>
      <c r="H7" s="71"/>
    </row>
    <row r="8" spans="1:8" ht="18" customHeight="1">
      <c r="A8" s="95">
        <v>207</v>
      </c>
      <c r="B8" s="96" t="s">
        <v>328</v>
      </c>
      <c r="C8" s="71">
        <f t="shared" ref="C8:C27" si="0">SUM(D8)</f>
        <v>140.91</v>
      </c>
      <c r="D8" s="71">
        <f>SUM(D9)</f>
        <v>140.91</v>
      </c>
      <c r="E8" s="71"/>
      <c r="F8" s="71"/>
      <c r="G8" s="71"/>
      <c r="H8" s="71"/>
    </row>
    <row r="9" spans="1:8" ht="18" customHeight="1">
      <c r="A9" s="95">
        <v>20701</v>
      </c>
      <c r="B9" s="96" t="s">
        <v>329</v>
      </c>
      <c r="C9" s="71">
        <f t="shared" si="0"/>
        <v>140.91</v>
      </c>
      <c r="D9" s="72">
        <f>SUM(D10)</f>
        <v>140.91</v>
      </c>
      <c r="E9" s="72"/>
      <c r="F9" s="72"/>
      <c r="G9" s="72"/>
      <c r="H9" s="72"/>
    </row>
    <row r="10" spans="1:8" ht="18" customHeight="1">
      <c r="A10" s="95">
        <v>2070103</v>
      </c>
      <c r="B10" s="96" t="s">
        <v>330</v>
      </c>
      <c r="C10" s="71">
        <f t="shared" si="0"/>
        <v>140.91</v>
      </c>
      <c r="D10" s="72">
        <v>140.91</v>
      </c>
      <c r="E10" s="72"/>
      <c r="F10" s="72"/>
      <c r="G10" s="72"/>
      <c r="H10" s="72"/>
    </row>
    <row r="11" spans="1:8" ht="18" customHeight="1">
      <c r="A11" s="95">
        <v>212</v>
      </c>
      <c r="B11" s="96" t="s">
        <v>331</v>
      </c>
      <c r="C11" s="71">
        <f t="shared" si="0"/>
        <v>3472.28</v>
      </c>
      <c r="D11" s="72">
        <f>SUM(D12)</f>
        <v>3472.28</v>
      </c>
      <c r="E11" s="72"/>
      <c r="F11" s="72"/>
      <c r="G11" s="72"/>
      <c r="H11" s="72"/>
    </row>
    <row r="12" spans="1:8" ht="18" customHeight="1">
      <c r="A12" s="95">
        <v>21201</v>
      </c>
      <c r="B12" s="96" t="s">
        <v>332</v>
      </c>
      <c r="C12" s="71">
        <f t="shared" si="0"/>
        <v>3472.28</v>
      </c>
      <c r="D12" s="72">
        <f>SUM(D13)</f>
        <v>3472.28</v>
      </c>
      <c r="E12" s="72"/>
      <c r="F12" s="72"/>
      <c r="G12" s="72"/>
      <c r="H12" s="72"/>
    </row>
    <row r="13" spans="1:8" ht="18" customHeight="1">
      <c r="A13" s="95">
        <v>2120104</v>
      </c>
      <c r="B13" s="96" t="s">
        <v>333</v>
      </c>
      <c r="C13" s="71">
        <f t="shared" si="0"/>
        <v>3472.28</v>
      </c>
      <c r="D13" s="72">
        <v>3472.28</v>
      </c>
      <c r="E13" s="72"/>
      <c r="F13" s="72"/>
      <c r="G13" s="72"/>
      <c r="H13" s="72"/>
    </row>
    <row r="14" spans="1:8" ht="18" customHeight="1">
      <c r="A14" s="95">
        <v>213</v>
      </c>
      <c r="B14" s="96" t="s">
        <v>334</v>
      </c>
      <c r="C14" s="71">
        <f t="shared" si="0"/>
        <v>183.38</v>
      </c>
      <c r="D14" s="72">
        <f>SUM(D15)</f>
        <v>183.38</v>
      </c>
      <c r="E14" s="72"/>
      <c r="F14" s="72"/>
      <c r="G14" s="72"/>
      <c r="H14" s="72"/>
    </row>
    <row r="15" spans="1:8" ht="18" customHeight="1">
      <c r="A15" s="95">
        <v>21301</v>
      </c>
      <c r="B15" s="96" t="s">
        <v>335</v>
      </c>
      <c r="C15" s="71">
        <f t="shared" si="0"/>
        <v>183.38</v>
      </c>
      <c r="D15" s="72">
        <v>183.38</v>
      </c>
      <c r="E15" s="72"/>
      <c r="F15" s="72"/>
      <c r="G15" s="72"/>
      <c r="H15" s="72"/>
    </row>
    <row r="16" spans="1:8" ht="18" customHeight="1">
      <c r="A16" s="95">
        <v>2130103</v>
      </c>
      <c r="B16" s="96" t="s">
        <v>330</v>
      </c>
      <c r="C16" s="71">
        <f t="shared" si="0"/>
        <v>183.38</v>
      </c>
      <c r="D16" s="72">
        <f>SUM(D14)</f>
        <v>183.38</v>
      </c>
      <c r="E16" s="72"/>
      <c r="F16" s="72"/>
      <c r="G16" s="72"/>
      <c r="H16" s="72"/>
    </row>
    <row r="17" spans="1:8" ht="18" customHeight="1">
      <c r="A17" s="95">
        <v>214</v>
      </c>
      <c r="B17" s="96" t="s">
        <v>336</v>
      </c>
      <c r="C17" s="71">
        <f t="shared" si="0"/>
        <v>245.59</v>
      </c>
      <c r="D17" s="72">
        <f>SUM(D18)</f>
        <v>245.59</v>
      </c>
      <c r="E17" s="72"/>
      <c r="F17" s="72"/>
      <c r="G17" s="72"/>
      <c r="H17" s="72"/>
    </row>
    <row r="18" spans="1:8" ht="18" customHeight="1">
      <c r="A18" s="95">
        <v>21401</v>
      </c>
      <c r="B18" s="96" t="s">
        <v>337</v>
      </c>
      <c r="C18" s="71">
        <f t="shared" si="0"/>
        <v>245.59</v>
      </c>
      <c r="D18" s="72">
        <f>SUM(D19)</f>
        <v>245.59</v>
      </c>
      <c r="E18" s="72"/>
      <c r="F18" s="72"/>
      <c r="G18" s="72"/>
      <c r="H18" s="72"/>
    </row>
    <row r="19" spans="1:8" ht="18" customHeight="1">
      <c r="A19" s="95">
        <v>2140103</v>
      </c>
      <c r="B19" s="96" t="s">
        <v>330</v>
      </c>
      <c r="C19" s="71">
        <f t="shared" si="0"/>
        <v>245.59</v>
      </c>
      <c r="D19" s="72">
        <v>245.59</v>
      </c>
      <c r="E19" s="72"/>
      <c r="F19" s="72"/>
      <c r="G19" s="72"/>
      <c r="H19" s="72"/>
    </row>
    <row r="20" spans="1:8" ht="18" customHeight="1">
      <c r="A20" s="95">
        <v>215</v>
      </c>
      <c r="B20" s="96" t="s">
        <v>338</v>
      </c>
      <c r="C20" s="71">
        <f t="shared" si="0"/>
        <v>408.05</v>
      </c>
      <c r="D20" s="72">
        <f>SUM(D22)</f>
        <v>408.05</v>
      </c>
      <c r="E20" s="72"/>
      <c r="F20" s="72"/>
      <c r="G20" s="72"/>
      <c r="H20" s="72"/>
    </row>
    <row r="21" spans="1:8" ht="18" customHeight="1">
      <c r="A21" s="95">
        <v>21506</v>
      </c>
      <c r="B21" s="96" t="s">
        <v>339</v>
      </c>
      <c r="C21" s="71">
        <f t="shared" si="0"/>
        <v>408.05</v>
      </c>
      <c r="D21" s="72">
        <f>SUM(D23)</f>
        <v>408.05</v>
      </c>
      <c r="E21" s="72"/>
      <c r="F21" s="72"/>
      <c r="G21" s="72"/>
      <c r="H21" s="72"/>
    </row>
    <row r="22" spans="1:8" ht="18" customHeight="1">
      <c r="A22" s="95">
        <v>2150601</v>
      </c>
      <c r="B22" s="96" t="s">
        <v>340</v>
      </c>
      <c r="C22" s="71">
        <f t="shared" si="0"/>
        <v>408.05</v>
      </c>
      <c r="D22" s="72">
        <v>408.05</v>
      </c>
      <c r="E22" s="72"/>
      <c r="F22" s="72"/>
      <c r="G22" s="72"/>
      <c r="H22" s="72"/>
    </row>
    <row r="23" spans="1:8" ht="18" customHeight="1">
      <c r="A23" s="95">
        <v>2150602</v>
      </c>
      <c r="B23" s="96" t="s">
        <v>341</v>
      </c>
      <c r="C23" s="71">
        <f t="shared" si="0"/>
        <v>408.05</v>
      </c>
      <c r="D23" s="72">
        <f>SUM(D22)</f>
        <v>408.05</v>
      </c>
      <c r="E23" s="72"/>
      <c r="F23" s="72"/>
      <c r="G23" s="72"/>
      <c r="H23" s="72"/>
    </row>
    <row r="24" spans="1:8" ht="18" customHeight="1">
      <c r="A24" s="95">
        <v>221</v>
      </c>
      <c r="B24" s="96" t="s">
        <v>342</v>
      </c>
      <c r="C24" s="71">
        <f t="shared" si="0"/>
        <v>307</v>
      </c>
      <c r="D24" s="72">
        <f>SUM(D25)</f>
        <v>307</v>
      </c>
      <c r="E24" s="72"/>
      <c r="F24" s="72"/>
      <c r="G24" s="72"/>
      <c r="H24" s="72"/>
    </row>
    <row r="25" spans="1:8" ht="18" customHeight="1">
      <c r="A25" s="95">
        <v>22102</v>
      </c>
      <c r="B25" s="96" t="s">
        <v>343</v>
      </c>
      <c r="C25" s="71">
        <f t="shared" si="0"/>
        <v>307</v>
      </c>
      <c r="D25" s="72">
        <f>SUM(D26+D27)</f>
        <v>307</v>
      </c>
      <c r="E25" s="72"/>
      <c r="F25" s="72"/>
      <c r="G25" s="72"/>
      <c r="H25" s="72"/>
    </row>
    <row r="26" spans="1:8" ht="18" customHeight="1">
      <c r="A26" s="95">
        <v>2210201</v>
      </c>
      <c r="B26" s="96" t="s">
        <v>344</v>
      </c>
      <c r="C26" s="71">
        <f t="shared" si="0"/>
        <v>236.25</v>
      </c>
      <c r="D26" s="72">
        <v>236.25</v>
      </c>
      <c r="E26" s="72"/>
      <c r="F26" s="72"/>
      <c r="G26" s="72"/>
      <c r="H26" s="72"/>
    </row>
    <row r="27" spans="1:8" ht="18" customHeight="1">
      <c r="A27" s="95">
        <v>2210202</v>
      </c>
      <c r="B27" s="96" t="s">
        <v>345</v>
      </c>
      <c r="C27" s="71">
        <f t="shared" si="0"/>
        <v>70.75</v>
      </c>
      <c r="D27" s="72">
        <v>70.75</v>
      </c>
      <c r="E27" s="72"/>
      <c r="F27" s="72"/>
      <c r="G27" s="72"/>
      <c r="H27" s="72"/>
    </row>
  </sheetData>
  <mergeCells count="6">
    <mergeCell ref="A7:B7"/>
    <mergeCell ref="A2:H2"/>
    <mergeCell ref="A4:A5"/>
    <mergeCell ref="B4:B5"/>
    <mergeCell ref="G3:H3"/>
    <mergeCell ref="C4:H4"/>
  </mergeCells>
  <phoneticPr fontId="74" type="noConversion"/>
  <pageMargins left="0.70866141732283472" right="0.70866141732283472" top="0.55118110236220474" bottom="0.35433070866141736" header="0.31496062992125984" footer="0.31496062992125984"/>
  <pageSetup paperSize="9" scale="9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8"/>
  <sheetViews>
    <sheetView zoomScaleNormal="100" workbookViewId="0">
      <selection activeCell="D8" sqref="D8"/>
    </sheetView>
  </sheetViews>
  <sheetFormatPr defaultRowHeight="14.25"/>
  <cols>
    <col min="1" max="1" width="9" customWidth="1"/>
    <col min="2" max="2" width="15.25" customWidth="1"/>
    <col min="3" max="3" width="10.25" customWidth="1"/>
    <col min="4" max="4" width="18.625" customWidth="1"/>
    <col min="5" max="5" width="12" customWidth="1"/>
    <col min="6" max="6" width="10" customWidth="1"/>
    <col min="7" max="7" width="7.875" customWidth="1"/>
    <col min="8" max="8" width="9.125" customWidth="1"/>
    <col min="9" max="9" width="8.375" customWidth="1"/>
    <col min="10" max="10" width="10.5" customWidth="1"/>
    <col min="11" max="11" width="11.625" customWidth="1"/>
    <col min="12" max="12" width="6.25" customWidth="1"/>
    <col min="13" max="13" width="5.625" customWidth="1"/>
    <col min="14" max="14" width="6.5" customWidth="1"/>
    <col min="15" max="15" width="5.375" customWidth="1"/>
  </cols>
  <sheetData>
    <row r="1" spans="1:15" ht="25.5">
      <c r="A1" s="10" t="s">
        <v>36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2"/>
      <c r="N1" s="2"/>
      <c r="O1" s="2"/>
    </row>
    <row r="2" spans="1:15" ht="18.75" customHeight="1">
      <c r="A2" s="128" t="s">
        <v>317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</row>
    <row r="3" spans="1:15" hidden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5" t="s">
        <v>0</v>
      </c>
      <c r="O3" s="135"/>
    </row>
    <row r="4" spans="1:15" s="28" customFormat="1" ht="13.5">
      <c r="A4" s="129" t="s">
        <v>19</v>
      </c>
      <c r="B4" s="129" t="s">
        <v>20</v>
      </c>
      <c r="C4" s="129" t="s">
        <v>27</v>
      </c>
      <c r="D4" s="129" t="s">
        <v>28</v>
      </c>
      <c r="E4" s="129" t="s">
        <v>298</v>
      </c>
      <c r="F4" s="129" t="s">
        <v>29</v>
      </c>
      <c r="G4" s="129" t="s">
        <v>30</v>
      </c>
      <c r="H4" s="129" t="s">
        <v>31</v>
      </c>
      <c r="I4" s="129" t="s">
        <v>32</v>
      </c>
      <c r="J4" s="35" t="s">
        <v>33</v>
      </c>
      <c r="K4" s="35"/>
      <c r="L4" s="35"/>
      <c r="M4" s="35"/>
      <c r="N4" s="35"/>
      <c r="O4" s="35"/>
    </row>
    <row r="5" spans="1:15" s="28" customFormat="1" ht="43.15" customHeight="1">
      <c r="A5" s="130"/>
      <c r="B5" s="130"/>
      <c r="C5" s="130"/>
      <c r="D5" s="130"/>
      <c r="E5" s="130"/>
      <c r="F5" s="130"/>
      <c r="G5" s="130"/>
      <c r="H5" s="130"/>
      <c r="I5" s="130"/>
      <c r="J5" s="129" t="s">
        <v>298</v>
      </c>
      <c r="K5" s="129" t="s">
        <v>22</v>
      </c>
      <c r="L5" s="129" t="s">
        <v>34</v>
      </c>
      <c r="M5" s="129" t="s">
        <v>23</v>
      </c>
      <c r="N5" s="133" t="s">
        <v>24</v>
      </c>
      <c r="O5" s="129" t="s">
        <v>35</v>
      </c>
    </row>
    <row r="6" spans="1:15" s="28" customFormat="1" ht="13.5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4"/>
      <c r="O6" s="131"/>
    </row>
    <row r="7" spans="1:15" s="28" customFormat="1" ht="20.100000000000001" customHeight="1">
      <c r="A7" s="37" t="s">
        <v>25</v>
      </c>
      <c r="B7" s="37" t="s">
        <v>25</v>
      </c>
      <c r="C7" s="95"/>
      <c r="D7" s="96"/>
      <c r="E7" s="37">
        <v>1</v>
      </c>
      <c r="F7" s="37">
        <v>2</v>
      </c>
      <c r="G7" s="37">
        <v>3</v>
      </c>
      <c r="H7" s="37">
        <v>4</v>
      </c>
      <c r="I7" s="37">
        <v>5</v>
      </c>
      <c r="J7" s="37">
        <v>6</v>
      </c>
      <c r="K7" s="37">
        <v>7</v>
      </c>
      <c r="L7" s="37">
        <v>8</v>
      </c>
      <c r="M7" s="37">
        <v>9</v>
      </c>
      <c r="N7" s="37">
        <v>10</v>
      </c>
      <c r="O7" s="37">
        <v>11</v>
      </c>
    </row>
    <row r="8" spans="1:15" s="28" customFormat="1" ht="28.5" customHeight="1">
      <c r="A8" s="97">
        <v>108001</v>
      </c>
      <c r="B8" s="98" t="s">
        <v>349</v>
      </c>
      <c r="C8" s="95"/>
      <c r="D8" s="96"/>
      <c r="E8" s="114">
        <f>SUM(E9+E12+E15+E18+E21+E24)</f>
        <v>4757.21</v>
      </c>
      <c r="F8" s="114">
        <f t="shared" ref="F8:I8" si="0">SUM(F9+F12+F15+F18+F21+F24)</f>
        <v>3978.64</v>
      </c>
      <c r="G8" s="114">
        <f t="shared" si="0"/>
        <v>0.24</v>
      </c>
      <c r="H8" s="114">
        <f t="shared" si="0"/>
        <v>396.33</v>
      </c>
      <c r="I8" s="114">
        <f t="shared" si="0"/>
        <v>382</v>
      </c>
      <c r="J8" s="114">
        <f>SUM(K8)</f>
        <v>4757.21</v>
      </c>
      <c r="K8" s="114">
        <f t="shared" ref="K8" si="1">SUM(K9+K12+K15+K18+K21+K24)</f>
        <v>4757.21</v>
      </c>
      <c r="L8" s="13"/>
      <c r="M8" s="13"/>
      <c r="N8" s="13"/>
      <c r="O8" s="13"/>
    </row>
    <row r="9" spans="1:15" s="28" customFormat="1" ht="20.100000000000001" customHeight="1">
      <c r="A9" s="95"/>
      <c r="B9" s="96"/>
      <c r="C9" s="95">
        <v>207</v>
      </c>
      <c r="D9" s="96" t="s">
        <v>346</v>
      </c>
      <c r="E9" s="114">
        <f>SUM(F9+G9+H9+I9)</f>
        <v>140.91</v>
      </c>
      <c r="F9" s="109">
        <v>123.31</v>
      </c>
      <c r="G9" s="109"/>
      <c r="H9" s="109">
        <f>SUM(H11)</f>
        <v>7.6</v>
      </c>
      <c r="I9" s="109">
        <v>10</v>
      </c>
      <c r="J9" s="109">
        <f>SUM(E9)</f>
        <v>140.91</v>
      </c>
      <c r="K9" s="109">
        <f>SUM(E9)</f>
        <v>140.91</v>
      </c>
      <c r="L9" s="13"/>
      <c r="M9" s="13"/>
      <c r="N9" s="13"/>
      <c r="O9" s="13"/>
    </row>
    <row r="10" spans="1:15" ht="20.100000000000001" customHeight="1">
      <c r="A10" s="95"/>
      <c r="B10" s="96"/>
      <c r="C10" s="95">
        <v>20701</v>
      </c>
      <c r="D10" s="96" t="s">
        <v>329</v>
      </c>
      <c r="E10" s="114">
        <v>141.81</v>
      </c>
      <c r="F10" s="109">
        <v>123.31</v>
      </c>
      <c r="G10" s="109"/>
      <c r="H10" s="109">
        <f>SUM(H11)</f>
        <v>7.6</v>
      </c>
      <c r="I10" s="109">
        <v>10</v>
      </c>
      <c r="J10" s="109">
        <f t="shared" ref="J10:J20" si="2">SUM(E10)</f>
        <v>141.81</v>
      </c>
      <c r="K10" s="109">
        <f t="shared" ref="K10:K20" si="3">SUM(E10)</f>
        <v>141.81</v>
      </c>
      <c r="L10" s="3"/>
      <c r="M10" s="3"/>
      <c r="N10" s="3"/>
      <c r="O10" s="3"/>
    </row>
    <row r="11" spans="1:15" ht="20.100000000000001" customHeight="1">
      <c r="A11" s="95"/>
      <c r="B11" s="96"/>
      <c r="C11" s="95">
        <v>2070103</v>
      </c>
      <c r="D11" s="96" t="s">
        <v>330</v>
      </c>
      <c r="E11" s="114">
        <v>141.81</v>
      </c>
      <c r="F11" s="109">
        <v>123.31</v>
      </c>
      <c r="G11" s="109"/>
      <c r="H11" s="109">
        <v>7.6</v>
      </c>
      <c r="I11" s="109">
        <v>10</v>
      </c>
      <c r="J11" s="109">
        <f t="shared" si="2"/>
        <v>141.81</v>
      </c>
      <c r="K11" s="109">
        <f t="shared" si="3"/>
        <v>141.81</v>
      </c>
      <c r="L11" s="3"/>
      <c r="M11" s="3"/>
      <c r="N11" s="3"/>
      <c r="O11" s="3"/>
    </row>
    <row r="12" spans="1:15" ht="20.100000000000001" customHeight="1">
      <c r="A12" s="95"/>
      <c r="B12" s="96"/>
      <c r="C12" s="95">
        <v>212</v>
      </c>
      <c r="D12" s="96" t="s">
        <v>347</v>
      </c>
      <c r="E12" s="115">
        <f>SUM(E13)</f>
        <v>3472.28</v>
      </c>
      <c r="F12" s="109">
        <f>SUM(F14)</f>
        <v>2898.5</v>
      </c>
      <c r="G12" s="109">
        <f>SUM(G13)</f>
        <v>0.24</v>
      </c>
      <c r="H12" s="109">
        <f>SUM(H14)</f>
        <v>318.54000000000002</v>
      </c>
      <c r="I12" s="109">
        <f>SUM(I14)</f>
        <v>255</v>
      </c>
      <c r="J12" s="109">
        <f>SUM(E12)</f>
        <v>3472.28</v>
      </c>
      <c r="K12" s="109">
        <f>SUM(E12)</f>
        <v>3472.28</v>
      </c>
      <c r="L12" s="3"/>
      <c r="M12" s="3"/>
      <c r="N12" s="3"/>
      <c r="O12" s="3"/>
    </row>
    <row r="13" spans="1:15" ht="20.100000000000001" customHeight="1">
      <c r="A13" s="95"/>
      <c r="B13" s="96"/>
      <c r="C13" s="95">
        <v>21201</v>
      </c>
      <c r="D13" s="96" t="s">
        <v>332</v>
      </c>
      <c r="E13" s="115">
        <f>SUM(E14)</f>
        <v>3472.28</v>
      </c>
      <c r="F13" s="109">
        <f>SUM(F12)</f>
        <v>2898.5</v>
      </c>
      <c r="G13" s="109">
        <f>SUM(G14)</f>
        <v>0.24</v>
      </c>
      <c r="H13" s="109">
        <f>SUM(H12)</f>
        <v>318.54000000000002</v>
      </c>
      <c r="I13" s="109">
        <f>SUM(I12)</f>
        <v>255</v>
      </c>
      <c r="J13" s="109">
        <f>SUM(E13)</f>
        <v>3472.28</v>
      </c>
      <c r="K13" s="109">
        <f>SUM(E13)</f>
        <v>3472.28</v>
      </c>
      <c r="L13" s="3"/>
      <c r="M13" s="3"/>
      <c r="N13" s="3"/>
      <c r="O13" s="3"/>
    </row>
    <row r="14" spans="1:15" ht="20.100000000000001" customHeight="1">
      <c r="A14" s="95"/>
      <c r="B14" s="96"/>
      <c r="C14" s="95">
        <v>2120104</v>
      </c>
      <c r="D14" s="96" t="s">
        <v>333</v>
      </c>
      <c r="E14" s="115">
        <f>SUM(G14+H14+I14+F14)</f>
        <v>3472.28</v>
      </c>
      <c r="F14" s="109">
        <v>2898.5</v>
      </c>
      <c r="G14" s="109">
        <v>0.24</v>
      </c>
      <c r="H14" s="109">
        <v>318.54000000000002</v>
      </c>
      <c r="I14" s="109">
        <v>255</v>
      </c>
      <c r="J14" s="109">
        <f t="shared" si="2"/>
        <v>3472.28</v>
      </c>
      <c r="K14" s="109">
        <f t="shared" si="3"/>
        <v>3472.28</v>
      </c>
      <c r="L14" s="3"/>
      <c r="M14" s="3"/>
      <c r="N14" s="3"/>
      <c r="O14" s="3"/>
    </row>
    <row r="15" spans="1:15" ht="20.100000000000001" customHeight="1">
      <c r="A15" s="95"/>
      <c r="B15" s="96"/>
      <c r="C15" s="95">
        <v>213</v>
      </c>
      <c r="D15" s="96" t="s">
        <v>334</v>
      </c>
      <c r="E15" s="115">
        <f>SUM(E17)</f>
        <v>183.38</v>
      </c>
      <c r="F15" s="115">
        <f t="shared" ref="F15:K15" si="4">SUM(F17)</f>
        <v>155.19</v>
      </c>
      <c r="G15" s="115"/>
      <c r="H15" s="115">
        <f t="shared" si="4"/>
        <v>18.190000000000001</v>
      </c>
      <c r="I15" s="115">
        <f t="shared" si="4"/>
        <v>10</v>
      </c>
      <c r="J15" s="115">
        <f t="shared" si="4"/>
        <v>183.38</v>
      </c>
      <c r="K15" s="115">
        <f t="shared" si="4"/>
        <v>183.38</v>
      </c>
      <c r="L15" s="3"/>
      <c r="M15" s="3"/>
      <c r="N15" s="3"/>
      <c r="O15" s="3"/>
    </row>
    <row r="16" spans="1:15" ht="20.100000000000001" customHeight="1">
      <c r="A16" s="95"/>
      <c r="B16" s="96"/>
      <c r="C16" s="95">
        <v>21301</v>
      </c>
      <c r="D16" s="96" t="s">
        <v>335</v>
      </c>
      <c r="E16" s="115">
        <f>SUM(E15)</f>
        <v>183.38</v>
      </c>
      <c r="F16" s="115">
        <f t="shared" ref="F16:K16" si="5">SUM(F15)</f>
        <v>155.19</v>
      </c>
      <c r="G16" s="115"/>
      <c r="H16" s="115">
        <f t="shared" si="5"/>
        <v>18.190000000000001</v>
      </c>
      <c r="I16" s="115">
        <f t="shared" si="5"/>
        <v>10</v>
      </c>
      <c r="J16" s="115">
        <f t="shared" si="5"/>
        <v>183.38</v>
      </c>
      <c r="K16" s="115">
        <f t="shared" si="5"/>
        <v>183.38</v>
      </c>
      <c r="L16" s="3"/>
      <c r="M16" s="3"/>
      <c r="N16" s="3"/>
      <c r="O16" s="3"/>
    </row>
    <row r="17" spans="1:15" ht="20.25" customHeight="1">
      <c r="A17" s="95"/>
      <c r="B17" s="96"/>
      <c r="C17" s="95">
        <v>2130103</v>
      </c>
      <c r="D17" s="96" t="s">
        <v>330</v>
      </c>
      <c r="E17" s="115">
        <f>SUM(F17+H17+I17)</f>
        <v>183.38</v>
      </c>
      <c r="F17" s="109">
        <v>155.19</v>
      </c>
      <c r="G17" s="109"/>
      <c r="H17" s="109">
        <v>18.190000000000001</v>
      </c>
      <c r="I17" s="109">
        <v>10</v>
      </c>
      <c r="J17" s="109">
        <f t="shared" si="2"/>
        <v>183.38</v>
      </c>
      <c r="K17" s="109">
        <f t="shared" si="3"/>
        <v>183.38</v>
      </c>
      <c r="L17" s="3"/>
      <c r="M17" s="3"/>
      <c r="N17" s="3"/>
      <c r="O17" s="3"/>
    </row>
    <row r="18" spans="1:15" ht="20.25" customHeight="1">
      <c r="A18" s="95"/>
      <c r="B18" s="96"/>
      <c r="C18" s="95">
        <v>214</v>
      </c>
      <c r="D18" s="96" t="s">
        <v>336</v>
      </c>
      <c r="E18" s="115">
        <f>SUM(E20)</f>
        <v>245.59</v>
      </c>
      <c r="F18" s="115">
        <f t="shared" ref="F18:I18" si="6">SUM(F20)</f>
        <v>216.05</v>
      </c>
      <c r="G18" s="115"/>
      <c r="H18" s="115">
        <f t="shared" si="6"/>
        <v>19.54</v>
      </c>
      <c r="I18" s="115">
        <f t="shared" si="6"/>
        <v>10</v>
      </c>
      <c r="J18" s="109">
        <f t="shared" si="2"/>
        <v>245.59</v>
      </c>
      <c r="K18" s="109">
        <f t="shared" si="3"/>
        <v>245.59</v>
      </c>
      <c r="L18" s="3"/>
      <c r="M18" s="3"/>
      <c r="N18" s="3"/>
      <c r="O18" s="3"/>
    </row>
    <row r="19" spans="1:15" ht="20.25" customHeight="1">
      <c r="A19" s="95"/>
      <c r="B19" s="96"/>
      <c r="C19" s="95">
        <v>21401</v>
      </c>
      <c r="D19" s="96" t="s">
        <v>337</v>
      </c>
      <c r="E19" s="115">
        <f>SUM(E18)</f>
        <v>245.59</v>
      </c>
      <c r="F19" s="115">
        <f t="shared" ref="F19:I19" si="7">SUM(F18)</f>
        <v>216.05</v>
      </c>
      <c r="G19" s="115"/>
      <c r="H19" s="115">
        <f t="shared" si="7"/>
        <v>19.54</v>
      </c>
      <c r="I19" s="115">
        <f t="shared" si="7"/>
        <v>10</v>
      </c>
      <c r="J19" s="109">
        <f t="shared" si="2"/>
        <v>245.59</v>
      </c>
      <c r="K19" s="109">
        <f t="shared" si="3"/>
        <v>245.59</v>
      </c>
      <c r="L19" s="3"/>
      <c r="M19" s="3"/>
      <c r="N19" s="3"/>
      <c r="O19" s="3"/>
    </row>
    <row r="20" spans="1:15" ht="20.25" customHeight="1">
      <c r="A20" s="95"/>
      <c r="B20" s="96"/>
      <c r="C20" s="95">
        <v>2140103</v>
      </c>
      <c r="D20" s="96" t="s">
        <v>330</v>
      </c>
      <c r="E20" s="115">
        <f>SUM(F20+H20+I20)</f>
        <v>245.59</v>
      </c>
      <c r="F20" s="109">
        <v>216.05</v>
      </c>
      <c r="G20" s="109"/>
      <c r="H20" s="109">
        <v>19.54</v>
      </c>
      <c r="I20" s="109">
        <v>10</v>
      </c>
      <c r="J20" s="109">
        <f t="shared" si="2"/>
        <v>245.59</v>
      </c>
      <c r="K20" s="109">
        <f t="shared" si="3"/>
        <v>245.59</v>
      </c>
      <c r="L20" s="3"/>
      <c r="M20" s="3"/>
      <c r="N20" s="3"/>
      <c r="O20" s="3"/>
    </row>
    <row r="21" spans="1:15" ht="20.25" customHeight="1">
      <c r="A21" s="95"/>
      <c r="B21" s="96"/>
      <c r="C21" s="95">
        <v>215</v>
      </c>
      <c r="D21" s="96" t="s">
        <v>338</v>
      </c>
      <c r="E21" s="115">
        <f>SUM(F21+H21+I21)</f>
        <v>408.05</v>
      </c>
      <c r="F21" s="109">
        <v>278.58999999999997</v>
      </c>
      <c r="G21" s="109"/>
      <c r="H21" s="109">
        <v>32.46</v>
      </c>
      <c r="I21" s="109">
        <v>97</v>
      </c>
      <c r="J21" s="109">
        <f>SUM(E21)</f>
        <v>408.05</v>
      </c>
      <c r="K21" s="109">
        <f>SUM(E21)</f>
        <v>408.05</v>
      </c>
      <c r="L21" s="3"/>
      <c r="M21" s="3"/>
      <c r="N21" s="3"/>
      <c r="O21" s="3"/>
    </row>
    <row r="22" spans="1:15" ht="20.25" customHeight="1">
      <c r="A22" s="95"/>
      <c r="B22" s="96"/>
      <c r="C22" s="95">
        <v>21506</v>
      </c>
      <c r="D22" s="96" t="s">
        <v>339</v>
      </c>
      <c r="E22" s="115">
        <f t="shared" ref="E22:E23" si="8">SUM(F22+H22+I22)</f>
        <v>408.05</v>
      </c>
      <c r="F22" s="109">
        <f>SUM(F21)</f>
        <v>278.58999999999997</v>
      </c>
      <c r="G22" s="109"/>
      <c r="H22" s="109">
        <f>SUM(H21)</f>
        <v>32.46</v>
      </c>
      <c r="I22" s="109">
        <f>SUM(I21)</f>
        <v>97</v>
      </c>
      <c r="J22" s="109">
        <f t="shared" ref="J22:J23" si="9">SUM(E22)</f>
        <v>408.05</v>
      </c>
      <c r="K22" s="109">
        <f t="shared" ref="K22:K23" si="10">SUM(E22)</f>
        <v>408.05</v>
      </c>
      <c r="L22" s="3"/>
      <c r="M22" s="3"/>
      <c r="N22" s="3"/>
      <c r="O22" s="3"/>
    </row>
    <row r="23" spans="1:15" ht="20.25" customHeight="1">
      <c r="A23" s="95"/>
      <c r="B23" s="96"/>
      <c r="C23" s="95">
        <v>2150601</v>
      </c>
      <c r="D23" s="96" t="s">
        <v>340</v>
      </c>
      <c r="E23" s="115">
        <f t="shared" si="8"/>
        <v>408.05</v>
      </c>
      <c r="F23" s="109">
        <f>SUM(F21)</f>
        <v>278.58999999999997</v>
      </c>
      <c r="G23" s="109"/>
      <c r="H23" s="109">
        <f>SUM(H21)</f>
        <v>32.46</v>
      </c>
      <c r="I23" s="109">
        <f>SUM(I21)</f>
        <v>97</v>
      </c>
      <c r="J23" s="109">
        <f t="shared" si="9"/>
        <v>408.05</v>
      </c>
      <c r="K23" s="109">
        <f t="shared" si="10"/>
        <v>408.05</v>
      </c>
      <c r="L23" s="3"/>
      <c r="M23" s="3"/>
      <c r="N23" s="3"/>
      <c r="O23" s="3"/>
    </row>
    <row r="24" spans="1:15" ht="20.25" customHeight="1">
      <c r="A24" s="95"/>
      <c r="B24" s="96"/>
      <c r="C24" s="95">
        <v>221</v>
      </c>
      <c r="D24" s="96" t="s">
        <v>342</v>
      </c>
      <c r="E24" s="109">
        <f>SUM(F24)</f>
        <v>307</v>
      </c>
      <c r="F24" s="115">
        <f>SUM(F25)</f>
        <v>307</v>
      </c>
      <c r="G24" s="115"/>
      <c r="H24" s="115"/>
      <c r="I24" s="115"/>
      <c r="J24" s="115">
        <f>SUM(F24)</f>
        <v>307</v>
      </c>
      <c r="K24" s="115">
        <f>SUM(F24)</f>
        <v>307</v>
      </c>
      <c r="L24" s="3"/>
      <c r="M24" s="3"/>
      <c r="N24" s="3"/>
      <c r="O24" s="3"/>
    </row>
    <row r="25" spans="1:15" ht="20.25" customHeight="1">
      <c r="A25" s="95"/>
      <c r="B25" s="96"/>
      <c r="C25" s="95">
        <v>22102</v>
      </c>
      <c r="D25" s="96" t="s">
        <v>343</v>
      </c>
      <c r="E25" s="109">
        <f t="shared" ref="E25:E27" si="11">SUM(F25)</f>
        <v>307</v>
      </c>
      <c r="F25" s="115">
        <f>SUM(F27+F26)</f>
        <v>307</v>
      </c>
      <c r="G25" s="115"/>
      <c r="H25" s="109"/>
      <c r="I25" s="109"/>
      <c r="J25" s="115">
        <f t="shared" ref="J25:J27" si="12">SUM(F25)</f>
        <v>307</v>
      </c>
      <c r="K25" s="115">
        <f t="shared" ref="K25:K27" si="13">SUM(F25)</f>
        <v>307</v>
      </c>
      <c r="L25" s="3"/>
      <c r="M25" s="3"/>
      <c r="N25" s="3"/>
      <c r="O25" s="3"/>
    </row>
    <row r="26" spans="1:15" ht="20.25" customHeight="1">
      <c r="A26" s="95"/>
      <c r="B26" s="96"/>
      <c r="C26" s="95">
        <v>2210201</v>
      </c>
      <c r="D26" s="96" t="s">
        <v>344</v>
      </c>
      <c r="E26" s="109">
        <f t="shared" si="11"/>
        <v>236.25</v>
      </c>
      <c r="F26" s="115">
        <v>236.25</v>
      </c>
      <c r="G26" s="115"/>
      <c r="H26" s="109"/>
      <c r="I26" s="109"/>
      <c r="J26" s="115">
        <f t="shared" si="12"/>
        <v>236.25</v>
      </c>
      <c r="K26" s="115">
        <f t="shared" si="13"/>
        <v>236.25</v>
      </c>
      <c r="L26" s="3"/>
      <c r="M26" s="3"/>
      <c r="N26" s="3"/>
      <c r="O26" s="3"/>
    </row>
    <row r="27" spans="1:15" ht="20.25" customHeight="1">
      <c r="A27" s="95"/>
      <c r="B27" s="96"/>
      <c r="C27" s="95">
        <v>2210202</v>
      </c>
      <c r="D27" s="96" t="s">
        <v>345</v>
      </c>
      <c r="E27" s="109">
        <f t="shared" si="11"/>
        <v>70.75</v>
      </c>
      <c r="F27" s="115">
        <v>70.75</v>
      </c>
      <c r="G27" s="115"/>
      <c r="H27" s="109"/>
      <c r="I27" s="109"/>
      <c r="J27" s="115">
        <f t="shared" si="12"/>
        <v>70.75</v>
      </c>
      <c r="K27" s="115">
        <f t="shared" si="13"/>
        <v>70.75</v>
      </c>
      <c r="L27" s="3"/>
      <c r="M27" s="3"/>
      <c r="N27" s="3"/>
      <c r="O27" s="3"/>
    </row>
    <row r="28" spans="1:15" ht="64.900000000000006" customHeight="1">
      <c r="A28" s="132" t="s">
        <v>312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</row>
  </sheetData>
  <mergeCells count="18">
    <mergeCell ref="A28:O28"/>
    <mergeCell ref="L5:L6"/>
    <mergeCell ref="N5:N6"/>
    <mergeCell ref="O5:O6"/>
    <mergeCell ref="N3:O3"/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</mergeCells>
  <phoneticPr fontId="74" type="noConversion"/>
  <pageMargins left="0.70866141732283472" right="0.70866141732283472" top="0.74803149606299213" bottom="0.74803149606299213" header="0.31496062992125984" footer="0.31496062992125984"/>
  <pageSetup paperSize="9" scale="84" fitToHeight="0" orientation="landscape" r:id="rId1"/>
  <ignoredErrors>
    <ignoredError sqref="F12:F13 G12:G13 J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zoomScaleNormal="100" workbookViewId="0">
      <selection activeCell="C8" sqref="C8"/>
    </sheetView>
  </sheetViews>
  <sheetFormatPr defaultRowHeight="14.25"/>
  <cols>
    <col min="1" max="1" width="32" customWidth="1"/>
    <col min="2" max="2" width="29.25" customWidth="1"/>
    <col min="3" max="3" width="33.125" customWidth="1"/>
    <col min="4" max="4" width="29.5" customWidth="1"/>
  </cols>
  <sheetData>
    <row r="1" spans="1:4">
      <c r="A1" s="2" t="s">
        <v>37</v>
      </c>
      <c r="B1" s="2"/>
      <c r="C1" s="2"/>
      <c r="D1" s="2"/>
    </row>
    <row r="2" spans="1:4" ht="20.25">
      <c r="A2" s="136" t="s">
        <v>318</v>
      </c>
      <c r="B2" s="137"/>
      <c r="C2" s="137"/>
      <c r="D2" s="137"/>
    </row>
    <row r="3" spans="1:4" ht="25.5" customHeight="1">
      <c r="A3" s="14"/>
      <c r="B3" s="14"/>
      <c r="C3" s="14"/>
      <c r="D3" s="42" t="s">
        <v>0</v>
      </c>
    </row>
    <row r="4" spans="1:4" s="28" customFormat="1" ht="20.100000000000001" customHeight="1">
      <c r="A4" s="38" t="s">
        <v>5</v>
      </c>
      <c r="B4" s="38"/>
      <c r="C4" s="38" t="s">
        <v>6</v>
      </c>
      <c r="D4" s="38"/>
    </row>
    <row r="5" spans="1:4" s="28" customFormat="1" ht="20.100000000000001" customHeight="1">
      <c r="A5" s="39" t="s">
        <v>7</v>
      </c>
      <c r="B5" s="39" t="s">
        <v>286</v>
      </c>
      <c r="C5" s="39" t="s">
        <v>8</v>
      </c>
      <c r="D5" s="39" t="s">
        <v>287</v>
      </c>
    </row>
    <row r="6" spans="1:4" s="28" customFormat="1" ht="20.100000000000001" customHeight="1">
      <c r="A6" s="40" t="s">
        <v>9</v>
      </c>
      <c r="B6" s="106">
        <v>4757.21</v>
      </c>
      <c r="C6" s="40" t="s">
        <v>10</v>
      </c>
      <c r="D6" s="108">
        <f>SUM(D7+D8+D9)</f>
        <v>4375.21</v>
      </c>
    </row>
    <row r="7" spans="1:4" s="28" customFormat="1" ht="20.100000000000001" customHeight="1">
      <c r="A7" s="40" t="s">
        <v>14</v>
      </c>
      <c r="B7" s="106"/>
      <c r="C7" s="40" t="s">
        <v>11</v>
      </c>
      <c r="D7" s="106">
        <v>3978.64</v>
      </c>
    </row>
    <row r="8" spans="1:4" s="28" customFormat="1" ht="20.100000000000001" customHeight="1">
      <c r="A8" s="40"/>
      <c r="B8" s="106"/>
      <c r="C8" s="40" t="s">
        <v>12</v>
      </c>
      <c r="D8" s="106">
        <v>0.24</v>
      </c>
    </row>
    <row r="9" spans="1:4" s="28" customFormat="1" ht="20.100000000000001" customHeight="1">
      <c r="A9" s="40"/>
      <c r="B9" s="106"/>
      <c r="C9" s="40" t="s">
        <v>13</v>
      </c>
      <c r="D9" s="106">
        <v>396.33</v>
      </c>
    </row>
    <row r="10" spans="1:4" s="28" customFormat="1" ht="20.100000000000001" customHeight="1">
      <c r="A10" s="40"/>
      <c r="B10" s="106"/>
      <c r="C10" s="40" t="s">
        <v>15</v>
      </c>
      <c r="D10" s="107">
        <v>382</v>
      </c>
    </row>
    <row r="11" spans="1:4" s="28" customFormat="1" ht="20.100000000000001" customHeight="1">
      <c r="A11" s="40"/>
      <c r="B11" s="106"/>
      <c r="C11" s="40"/>
      <c r="D11" s="106"/>
    </row>
    <row r="12" spans="1:4" s="28" customFormat="1" ht="20.100000000000001" customHeight="1">
      <c r="A12" s="40"/>
      <c r="B12" s="106"/>
      <c r="C12" s="40"/>
      <c r="D12" s="106"/>
    </row>
    <row r="13" spans="1:4" s="28" customFormat="1" ht="20.100000000000001" customHeight="1">
      <c r="A13" s="41" t="s">
        <v>300</v>
      </c>
      <c r="B13" s="107">
        <f>SUM(B6:B12)</f>
        <v>4757.21</v>
      </c>
      <c r="C13" s="41" t="s">
        <v>301</v>
      </c>
      <c r="D13" s="106">
        <f>SUM(D6+D10)</f>
        <v>4757.21</v>
      </c>
    </row>
  </sheetData>
  <mergeCells count="1">
    <mergeCell ref="A2:D2"/>
  </mergeCells>
  <phoneticPr fontId="74" type="noConversion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zoomScaleNormal="100" workbookViewId="0">
      <selection activeCell="C20" sqref="C20"/>
    </sheetView>
  </sheetViews>
  <sheetFormatPr defaultRowHeight="14.25"/>
  <cols>
    <col min="1" max="1" width="11.5" customWidth="1"/>
    <col min="2" max="2" width="21.5" customWidth="1"/>
    <col min="3" max="3" width="16.5" customWidth="1"/>
    <col min="4" max="4" width="15.75" customWidth="1"/>
    <col min="5" max="5" width="16.125" customWidth="1"/>
  </cols>
  <sheetData>
    <row r="1" spans="1:5">
      <c r="A1" s="15" t="s">
        <v>38</v>
      </c>
      <c r="B1" s="15"/>
      <c r="C1" s="15"/>
      <c r="D1" s="16"/>
      <c r="E1" s="16"/>
    </row>
    <row r="2" spans="1:5" ht="20.25">
      <c r="A2" s="116" t="s">
        <v>319</v>
      </c>
      <c r="B2" s="116"/>
      <c r="C2" s="116"/>
      <c r="D2" s="116"/>
      <c r="E2" s="116"/>
    </row>
    <row r="3" spans="1:5" ht="23.25" customHeight="1">
      <c r="A3" s="17"/>
      <c r="B3" s="17"/>
      <c r="C3" s="17"/>
      <c r="D3" s="18"/>
      <c r="E3" s="85" t="s">
        <v>0</v>
      </c>
    </row>
    <row r="4" spans="1:5" s="28" customFormat="1" ht="20.100000000000001" customHeight="1">
      <c r="A4" s="140" t="s">
        <v>27</v>
      </c>
      <c r="B4" s="140" t="s">
        <v>28</v>
      </c>
      <c r="C4" s="140" t="s">
        <v>39</v>
      </c>
      <c r="D4" s="141" t="s">
        <v>40</v>
      </c>
      <c r="E4" s="141"/>
    </row>
    <row r="5" spans="1:5" s="28" customFormat="1" ht="20.100000000000001" customHeight="1">
      <c r="A5" s="140"/>
      <c r="B5" s="140"/>
      <c r="C5" s="140"/>
      <c r="D5" s="43" t="s">
        <v>41</v>
      </c>
      <c r="E5" s="44" t="s">
        <v>32</v>
      </c>
    </row>
    <row r="6" spans="1:5" s="28" customFormat="1" ht="20.100000000000001" customHeight="1">
      <c r="A6" s="45" t="s">
        <v>25</v>
      </c>
      <c r="B6" s="45" t="s">
        <v>25</v>
      </c>
      <c r="C6" s="45">
        <v>1</v>
      </c>
      <c r="D6" s="46">
        <v>2</v>
      </c>
      <c r="E6" s="46">
        <v>3</v>
      </c>
    </row>
    <row r="7" spans="1:5" s="28" customFormat="1" ht="20.100000000000001" customHeight="1">
      <c r="A7" s="139" t="s">
        <v>348</v>
      </c>
      <c r="B7" s="127"/>
      <c r="C7" s="109">
        <f>SUM(D7+E7)</f>
        <v>4757.21</v>
      </c>
      <c r="D7" s="110">
        <f>SUM(D8+D11+D14+D17+D20+D23)</f>
        <v>4375.21</v>
      </c>
      <c r="E7" s="109">
        <f>SUM(E8+E11+E14+E17+E20)</f>
        <v>382</v>
      </c>
    </row>
    <row r="8" spans="1:5" s="28" customFormat="1" ht="20.100000000000001" customHeight="1">
      <c r="A8" s="95">
        <v>207</v>
      </c>
      <c r="B8" s="96" t="s">
        <v>328</v>
      </c>
      <c r="C8" s="109">
        <f t="shared" ref="C8:C26" si="0">SUM(D8+E8)</f>
        <v>140.91</v>
      </c>
      <c r="D8" s="110">
        <f>SUM(D9)</f>
        <v>130.91</v>
      </c>
      <c r="E8" s="109">
        <v>10</v>
      </c>
    </row>
    <row r="9" spans="1:5" s="28" customFormat="1" ht="20.100000000000001" customHeight="1">
      <c r="A9" s="95">
        <v>20701</v>
      </c>
      <c r="B9" s="96" t="s">
        <v>329</v>
      </c>
      <c r="C9" s="109">
        <f t="shared" si="0"/>
        <v>140.91</v>
      </c>
      <c r="D9" s="110">
        <f>SUM(D10)</f>
        <v>130.91</v>
      </c>
      <c r="E9" s="109">
        <v>10</v>
      </c>
    </row>
    <row r="10" spans="1:5" s="28" customFormat="1" ht="20.100000000000001" customHeight="1">
      <c r="A10" s="95">
        <v>2070103</v>
      </c>
      <c r="B10" s="96" t="s">
        <v>330</v>
      </c>
      <c r="C10" s="109">
        <f t="shared" si="0"/>
        <v>140.91</v>
      </c>
      <c r="D10" s="110">
        <v>130.91</v>
      </c>
      <c r="E10" s="109">
        <v>10</v>
      </c>
    </row>
    <row r="11" spans="1:5" s="28" customFormat="1" ht="20.100000000000001" customHeight="1">
      <c r="A11" s="95">
        <v>212</v>
      </c>
      <c r="B11" s="96" t="s">
        <v>331</v>
      </c>
      <c r="C11" s="109">
        <f t="shared" si="0"/>
        <v>3472.28</v>
      </c>
      <c r="D11" s="110">
        <f>SUM(D12)</f>
        <v>3217.28</v>
      </c>
      <c r="E11" s="109">
        <f>SUM(E12)</f>
        <v>255</v>
      </c>
    </row>
    <row r="12" spans="1:5" s="28" customFormat="1" ht="20.100000000000001" customHeight="1">
      <c r="A12" s="95">
        <v>21201</v>
      </c>
      <c r="B12" s="96" t="s">
        <v>332</v>
      </c>
      <c r="C12" s="109">
        <f t="shared" si="0"/>
        <v>3472.28</v>
      </c>
      <c r="D12" s="110">
        <f>SUM(D13)</f>
        <v>3217.28</v>
      </c>
      <c r="E12" s="109">
        <f>SUM(E13)</f>
        <v>255</v>
      </c>
    </row>
    <row r="13" spans="1:5" s="28" customFormat="1" ht="20.100000000000001" customHeight="1">
      <c r="A13" s="95">
        <v>2120104</v>
      </c>
      <c r="B13" s="96" t="s">
        <v>333</v>
      </c>
      <c r="C13" s="109">
        <f t="shared" si="0"/>
        <v>3472.28</v>
      </c>
      <c r="D13" s="110">
        <v>3217.28</v>
      </c>
      <c r="E13" s="109">
        <v>255</v>
      </c>
    </row>
    <row r="14" spans="1:5" s="28" customFormat="1" ht="20.100000000000001" customHeight="1">
      <c r="A14" s="95">
        <v>213</v>
      </c>
      <c r="B14" s="96" t="s">
        <v>334</v>
      </c>
      <c r="C14" s="109">
        <f t="shared" si="0"/>
        <v>183.38</v>
      </c>
      <c r="D14" s="110">
        <f>SUM(D15)</f>
        <v>173.38</v>
      </c>
      <c r="E14" s="109">
        <v>10</v>
      </c>
    </row>
    <row r="15" spans="1:5" s="28" customFormat="1" ht="20.100000000000001" customHeight="1">
      <c r="A15" s="95">
        <v>21301</v>
      </c>
      <c r="B15" s="96" t="s">
        <v>335</v>
      </c>
      <c r="C15" s="109">
        <f t="shared" si="0"/>
        <v>183.38</v>
      </c>
      <c r="D15" s="110">
        <f>SUM(D16)</f>
        <v>173.38</v>
      </c>
      <c r="E15" s="109">
        <v>10</v>
      </c>
    </row>
    <row r="16" spans="1:5" s="28" customFormat="1" ht="20.100000000000001" customHeight="1">
      <c r="A16" s="95">
        <v>2130103</v>
      </c>
      <c r="B16" s="96" t="s">
        <v>330</v>
      </c>
      <c r="C16" s="109">
        <f t="shared" si="0"/>
        <v>183.38</v>
      </c>
      <c r="D16" s="110">
        <v>173.38</v>
      </c>
      <c r="E16" s="109">
        <v>10</v>
      </c>
    </row>
    <row r="17" spans="1:5" s="28" customFormat="1" ht="20.100000000000001" customHeight="1">
      <c r="A17" s="95">
        <v>214</v>
      </c>
      <c r="B17" s="96" t="s">
        <v>336</v>
      </c>
      <c r="C17" s="109">
        <f t="shared" si="0"/>
        <v>245.59</v>
      </c>
      <c r="D17" s="110">
        <f>SUM(D18)</f>
        <v>235.59</v>
      </c>
      <c r="E17" s="109">
        <v>10</v>
      </c>
    </row>
    <row r="18" spans="1:5" s="28" customFormat="1" ht="20.100000000000001" customHeight="1">
      <c r="A18" s="95">
        <v>21401</v>
      </c>
      <c r="B18" s="96" t="s">
        <v>337</v>
      </c>
      <c r="C18" s="109">
        <f t="shared" si="0"/>
        <v>245.59</v>
      </c>
      <c r="D18" s="110">
        <f>SUM(D19)</f>
        <v>235.59</v>
      </c>
      <c r="E18" s="109">
        <v>10</v>
      </c>
    </row>
    <row r="19" spans="1:5" s="28" customFormat="1" ht="20.100000000000001" customHeight="1">
      <c r="A19" s="95">
        <v>2140103</v>
      </c>
      <c r="B19" s="96" t="s">
        <v>330</v>
      </c>
      <c r="C19" s="109">
        <f t="shared" si="0"/>
        <v>245.59</v>
      </c>
      <c r="D19" s="110">
        <v>235.59</v>
      </c>
      <c r="E19" s="109">
        <v>10</v>
      </c>
    </row>
    <row r="20" spans="1:5" s="28" customFormat="1" ht="20.100000000000001" customHeight="1">
      <c r="A20" s="95">
        <v>215</v>
      </c>
      <c r="B20" s="96" t="s">
        <v>338</v>
      </c>
      <c r="C20" s="109">
        <f t="shared" si="0"/>
        <v>408.05</v>
      </c>
      <c r="D20" s="110">
        <f>SUM(D21)</f>
        <v>311.05</v>
      </c>
      <c r="E20" s="109">
        <f>SUM(E22)</f>
        <v>97</v>
      </c>
    </row>
    <row r="21" spans="1:5" s="28" customFormat="1" ht="20.100000000000001" customHeight="1">
      <c r="A21" s="95">
        <v>21506</v>
      </c>
      <c r="B21" s="96" t="s">
        <v>339</v>
      </c>
      <c r="C21" s="109">
        <f t="shared" si="0"/>
        <v>408.05</v>
      </c>
      <c r="D21" s="110">
        <f>SUM(D22)</f>
        <v>311.05</v>
      </c>
      <c r="E21" s="109">
        <f>SUM(E22)</f>
        <v>97</v>
      </c>
    </row>
    <row r="22" spans="1:5" ht="20.25" customHeight="1">
      <c r="A22" s="95">
        <v>2150601</v>
      </c>
      <c r="B22" s="96" t="s">
        <v>340</v>
      </c>
      <c r="C22" s="109">
        <f t="shared" si="0"/>
        <v>408.05</v>
      </c>
      <c r="D22" s="110">
        <v>311.05</v>
      </c>
      <c r="E22" s="109">
        <v>97</v>
      </c>
    </row>
    <row r="23" spans="1:5" ht="18.75" customHeight="1">
      <c r="A23" s="95">
        <v>221</v>
      </c>
      <c r="B23" s="96" t="s">
        <v>342</v>
      </c>
      <c r="C23" s="109">
        <f t="shared" si="0"/>
        <v>307</v>
      </c>
      <c r="D23" s="110">
        <f>SUM(D24)</f>
        <v>307</v>
      </c>
      <c r="E23" s="99"/>
    </row>
    <row r="24" spans="1:5" ht="18.75" customHeight="1">
      <c r="A24" s="95">
        <v>22102</v>
      </c>
      <c r="B24" s="96" t="s">
        <v>343</v>
      </c>
      <c r="C24" s="109">
        <f t="shared" si="0"/>
        <v>307</v>
      </c>
      <c r="D24" s="110">
        <f>SUM(D25+D26)</f>
        <v>307</v>
      </c>
      <c r="E24" s="99"/>
    </row>
    <row r="25" spans="1:5" ht="18.75" customHeight="1">
      <c r="A25" s="95">
        <v>2210201</v>
      </c>
      <c r="B25" s="96" t="s">
        <v>344</v>
      </c>
      <c r="C25" s="109">
        <f t="shared" si="0"/>
        <v>236.25</v>
      </c>
      <c r="D25" s="110">
        <v>236.25</v>
      </c>
      <c r="E25" s="99"/>
    </row>
    <row r="26" spans="1:5" ht="18.75" customHeight="1">
      <c r="A26" s="95">
        <v>2210202</v>
      </c>
      <c r="B26" s="96" t="s">
        <v>345</v>
      </c>
      <c r="C26" s="109">
        <f t="shared" si="0"/>
        <v>70.75</v>
      </c>
      <c r="D26" s="110">
        <v>70.75</v>
      </c>
      <c r="E26" s="99"/>
    </row>
    <row r="27" spans="1:5" ht="16.5">
      <c r="A27" s="138" t="s">
        <v>311</v>
      </c>
      <c r="B27" s="138"/>
      <c r="C27" s="138"/>
      <c r="D27" s="138"/>
      <c r="E27" s="138"/>
    </row>
  </sheetData>
  <mergeCells count="7">
    <mergeCell ref="A27:E27"/>
    <mergeCell ref="A7:B7"/>
    <mergeCell ref="A2:E2"/>
    <mergeCell ref="A4:A5"/>
    <mergeCell ref="B4:B5"/>
    <mergeCell ref="C4:C5"/>
    <mergeCell ref="D4:E4"/>
  </mergeCells>
  <phoneticPr fontId="7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zoomScaleNormal="100" workbookViewId="0">
      <selection activeCell="B8" sqref="B8"/>
    </sheetView>
  </sheetViews>
  <sheetFormatPr defaultRowHeight="14.25"/>
  <cols>
    <col min="1" max="1" width="15.75" customWidth="1"/>
    <col min="2" max="2" width="17.75" customWidth="1"/>
    <col min="3" max="5" width="15.25" customWidth="1"/>
  </cols>
  <sheetData>
    <row r="1" spans="1:5" ht="24.6" customHeight="1">
      <c r="A1" s="15" t="s">
        <v>42</v>
      </c>
      <c r="B1" s="15"/>
      <c r="C1" s="15"/>
      <c r="D1" s="16"/>
      <c r="E1" s="16"/>
    </row>
    <row r="2" spans="1:5" ht="26.45" customHeight="1">
      <c r="A2" s="116" t="s">
        <v>320</v>
      </c>
      <c r="B2" s="116"/>
      <c r="C2" s="116"/>
      <c r="D2" s="116"/>
      <c r="E2" s="116"/>
    </row>
    <row r="3" spans="1:5">
      <c r="A3" s="17"/>
      <c r="B3" s="17"/>
      <c r="C3" s="17"/>
      <c r="D3" s="18"/>
      <c r="E3" s="78" t="s">
        <v>0</v>
      </c>
    </row>
    <row r="4" spans="1:5" s="28" customFormat="1" ht="20.100000000000001" customHeight="1">
      <c r="A4" s="140" t="s">
        <v>27</v>
      </c>
      <c r="B4" s="140" t="s">
        <v>28</v>
      </c>
      <c r="C4" s="140" t="s">
        <v>39</v>
      </c>
      <c r="D4" s="141" t="s">
        <v>40</v>
      </c>
      <c r="E4" s="141"/>
    </row>
    <row r="5" spans="1:5" s="28" customFormat="1" ht="20.100000000000001" customHeight="1">
      <c r="A5" s="140"/>
      <c r="B5" s="140"/>
      <c r="C5" s="140"/>
      <c r="D5" s="43" t="s">
        <v>41</v>
      </c>
      <c r="E5" s="44" t="s">
        <v>32</v>
      </c>
    </row>
    <row r="6" spans="1:5" s="28" customFormat="1" ht="20.100000000000001" customHeight="1">
      <c r="A6" s="45" t="s">
        <v>25</v>
      </c>
      <c r="B6" s="45" t="s">
        <v>25</v>
      </c>
      <c r="C6" s="45">
        <v>1</v>
      </c>
      <c r="D6" s="46">
        <v>2</v>
      </c>
      <c r="E6" s="46">
        <v>3</v>
      </c>
    </row>
    <row r="7" spans="1:5" s="28" customFormat="1" ht="20.100000000000001" customHeight="1">
      <c r="A7" s="47"/>
      <c r="B7" s="48"/>
      <c r="C7" s="48"/>
      <c r="D7" s="49"/>
      <c r="E7" s="49"/>
    </row>
    <row r="8" spans="1:5" s="28" customFormat="1" ht="20.100000000000001" customHeight="1">
      <c r="A8" s="50"/>
      <c r="B8" s="51"/>
      <c r="C8" s="51"/>
      <c r="D8" s="49"/>
      <c r="E8" s="49"/>
    </row>
    <row r="9" spans="1:5" s="28" customFormat="1" ht="20.100000000000001" customHeight="1">
      <c r="A9" s="52"/>
      <c r="B9" s="52"/>
      <c r="C9" s="52"/>
      <c r="D9" s="49"/>
      <c r="E9" s="49"/>
    </row>
    <row r="10" spans="1:5" s="28" customFormat="1" ht="20.100000000000001" customHeight="1">
      <c r="A10" s="52"/>
      <c r="B10" s="52"/>
      <c r="C10" s="52"/>
      <c r="D10" s="49"/>
      <c r="E10" s="49"/>
    </row>
    <row r="11" spans="1:5" s="28" customFormat="1" ht="20.100000000000001" customHeight="1">
      <c r="A11" s="52"/>
      <c r="B11" s="52"/>
      <c r="C11" s="52"/>
      <c r="D11" s="49"/>
      <c r="E11" s="49"/>
    </row>
    <row r="12" spans="1:5" s="28" customFormat="1" ht="20.100000000000001" customHeight="1">
      <c r="A12" s="52"/>
      <c r="B12" s="52"/>
      <c r="C12" s="52"/>
      <c r="D12" s="49"/>
      <c r="E12" s="49"/>
    </row>
    <row r="13" spans="1:5" s="28" customFormat="1" ht="20.100000000000001" customHeight="1">
      <c r="A13" s="52"/>
      <c r="B13" s="52"/>
      <c r="C13" s="52"/>
      <c r="D13" s="49"/>
      <c r="E13" s="49"/>
    </row>
    <row r="14" spans="1:5" s="28" customFormat="1" ht="20.100000000000001" customHeight="1">
      <c r="A14" s="49"/>
      <c r="B14" s="49"/>
      <c r="C14" s="49"/>
      <c r="D14" s="49"/>
      <c r="E14" s="49"/>
    </row>
    <row r="15" spans="1:5" s="28" customFormat="1" ht="20.100000000000001" customHeight="1">
      <c r="A15" s="49"/>
      <c r="B15" s="49"/>
      <c r="C15" s="49"/>
      <c r="D15" s="49"/>
      <c r="E15" s="49"/>
    </row>
    <row r="16" spans="1:5" s="28" customFormat="1" ht="20.100000000000001" customHeight="1">
      <c r="A16" s="49"/>
      <c r="B16" s="49"/>
      <c r="C16" s="49"/>
      <c r="D16" s="49"/>
      <c r="E16" s="49"/>
    </row>
    <row r="17" spans="1:5" s="28" customFormat="1" ht="20.100000000000001" customHeight="1">
      <c r="A17" s="49"/>
      <c r="B17" s="49"/>
      <c r="C17" s="49"/>
      <c r="D17" s="49"/>
      <c r="E17" s="49"/>
    </row>
    <row r="18" spans="1:5" s="28" customFormat="1" ht="20.100000000000001" customHeight="1">
      <c r="A18" s="49"/>
      <c r="B18" s="49"/>
      <c r="C18" s="49"/>
      <c r="D18" s="49"/>
      <c r="E18" s="49"/>
    </row>
    <row r="19" spans="1:5" s="28" customFormat="1" ht="20.100000000000001" customHeight="1">
      <c r="A19" s="49"/>
      <c r="B19" s="49"/>
      <c r="C19" s="49"/>
      <c r="D19" s="49"/>
      <c r="E19" s="49"/>
    </row>
    <row r="20" spans="1:5" s="28" customFormat="1" ht="20.100000000000001" customHeight="1">
      <c r="A20" s="49"/>
      <c r="B20" s="49"/>
      <c r="C20" s="49"/>
      <c r="D20" s="49"/>
      <c r="E20" s="49"/>
    </row>
    <row r="21" spans="1:5" s="28" customFormat="1" ht="20.100000000000001" customHeight="1">
      <c r="A21" s="49"/>
      <c r="B21" s="49"/>
      <c r="C21" s="49"/>
      <c r="D21" s="49"/>
      <c r="E21" s="49"/>
    </row>
    <row r="22" spans="1:5" s="28" customFormat="1" ht="18.600000000000001" customHeight="1">
      <c r="A22" s="143" t="s">
        <v>302</v>
      </c>
      <c r="B22" s="143"/>
      <c r="C22" s="143"/>
      <c r="D22" s="143"/>
      <c r="E22" s="53"/>
    </row>
    <row r="23" spans="1:5" s="28" customFormat="1" ht="18.600000000000001" customHeight="1">
      <c r="A23" s="144" t="s">
        <v>303</v>
      </c>
      <c r="B23" s="144"/>
      <c r="C23" s="144"/>
      <c r="D23" s="144"/>
      <c r="E23" s="53"/>
    </row>
    <row r="24" spans="1:5" s="28" customFormat="1" ht="18.600000000000001" customHeight="1">
      <c r="A24" s="142"/>
      <c r="B24" s="142"/>
      <c r="C24" s="142"/>
      <c r="D24" s="142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7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C10" sqref="C10"/>
    </sheetView>
  </sheetViews>
  <sheetFormatPr defaultRowHeight="14.25"/>
  <cols>
    <col min="1" max="1" width="17.125" customWidth="1"/>
    <col min="2" max="2" width="34.125" customWidth="1"/>
    <col min="3" max="3" width="29.375" customWidth="1"/>
  </cols>
  <sheetData>
    <row r="1" spans="1:3" ht="23.45" customHeight="1">
      <c r="A1" s="25" t="s">
        <v>133</v>
      </c>
      <c r="B1" s="24"/>
      <c r="C1" s="24"/>
    </row>
    <row r="2" spans="1:3" ht="37.15" customHeight="1">
      <c r="A2" s="145" t="s">
        <v>321</v>
      </c>
      <c r="B2" s="146"/>
      <c r="C2" s="146"/>
    </row>
    <row r="3" spans="1:3" s="55" customFormat="1" ht="18" customHeight="1">
      <c r="A3" s="59"/>
      <c r="B3" s="54"/>
      <c r="C3" s="60" t="s">
        <v>116</v>
      </c>
    </row>
    <row r="4" spans="1:3" ht="31.5" customHeight="1">
      <c r="A4" s="61" t="s">
        <v>305</v>
      </c>
      <c r="B4" s="62" t="s">
        <v>28</v>
      </c>
      <c r="C4" s="79" t="s">
        <v>304</v>
      </c>
    </row>
    <row r="5" spans="1:3" ht="20.100000000000001" customHeight="1">
      <c r="A5" s="147" t="s">
        <v>44</v>
      </c>
      <c r="B5" s="147" t="s">
        <v>43</v>
      </c>
      <c r="C5" s="94">
        <f>SUM(C6+C7+C15+C8)</f>
        <v>4757.21</v>
      </c>
    </row>
    <row r="6" spans="1:3" ht="20.100000000000001" customHeight="1">
      <c r="A6" s="73" t="s">
        <v>45</v>
      </c>
      <c r="B6" s="73" t="s">
        <v>46</v>
      </c>
      <c r="C6" s="104">
        <v>3978.64</v>
      </c>
    </row>
    <row r="7" spans="1:3" ht="20.100000000000001" customHeight="1">
      <c r="A7" s="73" t="s">
        <v>53</v>
      </c>
      <c r="B7" s="73" t="s">
        <v>54</v>
      </c>
      <c r="C7" s="104">
        <v>396.33</v>
      </c>
    </row>
    <row r="8" spans="1:3" ht="20.100000000000001" customHeight="1">
      <c r="A8" s="73" t="s">
        <v>81</v>
      </c>
      <c r="B8" s="73" t="s">
        <v>82</v>
      </c>
      <c r="C8" s="104">
        <v>0.24</v>
      </c>
    </row>
    <row r="9" spans="1:3" ht="20.100000000000001" customHeight="1">
      <c r="A9" s="73" t="s">
        <v>110</v>
      </c>
      <c r="B9" s="73" t="s">
        <v>136</v>
      </c>
      <c r="C9" s="104" t="s">
        <v>43</v>
      </c>
    </row>
    <row r="10" spans="1:3" ht="20.100000000000001" customHeight="1">
      <c r="A10" s="73" t="s">
        <v>117</v>
      </c>
      <c r="B10" s="73" t="s">
        <v>137</v>
      </c>
      <c r="C10" s="104" t="s">
        <v>43</v>
      </c>
    </row>
    <row r="11" spans="1:3" ht="20.100000000000001" customHeight="1">
      <c r="A11" s="73" t="s">
        <v>94</v>
      </c>
      <c r="B11" s="73" t="s">
        <v>138</v>
      </c>
      <c r="C11" s="104" t="s">
        <v>43</v>
      </c>
    </row>
    <row r="12" spans="1:3" ht="20.100000000000001" customHeight="1">
      <c r="A12" s="73" t="s">
        <v>242</v>
      </c>
      <c r="B12" s="73" t="s">
        <v>139</v>
      </c>
      <c r="C12" s="104" t="s">
        <v>43</v>
      </c>
    </row>
    <row r="13" spans="1:3" ht="20.100000000000001" customHeight="1">
      <c r="A13" s="73" t="s">
        <v>246</v>
      </c>
      <c r="B13" s="73" t="s">
        <v>140</v>
      </c>
      <c r="C13" s="104" t="s">
        <v>43</v>
      </c>
    </row>
    <row r="14" spans="1:3" ht="20.100000000000001" customHeight="1">
      <c r="A14" s="73" t="s">
        <v>253</v>
      </c>
      <c r="B14" s="73" t="s">
        <v>141</v>
      </c>
      <c r="C14" s="105"/>
    </row>
    <row r="15" spans="1:3" ht="20.100000000000001" customHeight="1">
      <c r="A15" s="73" t="s">
        <v>112</v>
      </c>
      <c r="B15" s="73" t="s">
        <v>113</v>
      </c>
      <c r="C15" s="105">
        <v>382</v>
      </c>
    </row>
  </sheetData>
  <mergeCells count="2">
    <mergeCell ref="A2:C2"/>
    <mergeCell ref="A5:B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zoomScaleNormal="100" workbookViewId="0">
      <selection activeCell="C13" sqref="C13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19" t="s">
        <v>135</v>
      </c>
      <c r="B1" s="20"/>
      <c r="C1" s="2"/>
    </row>
    <row r="2" spans="1:3" ht="33.75" customHeight="1">
      <c r="A2" s="149" t="s">
        <v>322</v>
      </c>
      <c r="B2" s="149"/>
      <c r="C2" s="149"/>
    </row>
    <row r="3" spans="1:3" ht="21" customHeight="1">
      <c r="A3" s="21"/>
      <c r="B3" s="150" t="s">
        <v>0</v>
      </c>
      <c r="C3" s="150"/>
    </row>
    <row r="4" spans="1:3" ht="20.100000000000001" customHeight="1">
      <c r="A4" s="80" t="s">
        <v>306</v>
      </c>
      <c r="B4" s="81" t="s">
        <v>28</v>
      </c>
      <c r="C4" s="81" t="s">
        <v>307</v>
      </c>
    </row>
    <row r="5" spans="1:3" ht="20.100000000000001" customHeight="1">
      <c r="A5" s="148" t="s">
        <v>44</v>
      </c>
      <c r="B5" s="148" t="s">
        <v>43</v>
      </c>
      <c r="C5" s="100">
        <v>4375.21</v>
      </c>
    </row>
    <row r="6" spans="1:3" s="5" customFormat="1" ht="20.100000000000001" customHeight="1">
      <c r="A6" s="82" t="s">
        <v>45</v>
      </c>
      <c r="B6" s="82" t="s">
        <v>46</v>
      </c>
      <c r="C6" s="100">
        <v>3978.64</v>
      </c>
    </row>
    <row r="7" spans="1:3" ht="20.100000000000001" customHeight="1">
      <c r="A7" s="83" t="s">
        <v>47</v>
      </c>
      <c r="B7" s="83" t="s">
        <v>169</v>
      </c>
      <c r="C7" s="101">
        <v>594.09</v>
      </c>
    </row>
    <row r="8" spans="1:3" ht="20.100000000000001" customHeight="1">
      <c r="A8" s="83" t="s">
        <v>48</v>
      </c>
      <c r="B8" s="83" t="s">
        <v>170</v>
      </c>
      <c r="C8" s="101">
        <v>721.07</v>
      </c>
    </row>
    <row r="9" spans="1:3" ht="20.100000000000001" customHeight="1">
      <c r="A9" s="83" t="s">
        <v>49</v>
      </c>
      <c r="B9" s="83" t="s">
        <v>171</v>
      </c>
      <c r="C9" s="101">
        <v>1017.46</v>
      </c>
    </row>
    <row r="10" spans="1:3" ht="20.100000000000001" customHeight="1">
      <c r="A10" s="83" t="s">
        <v>50</v>
      </c>
      <c r="B10" s="83" t="s">
        <v>172</v>
      </c>
      <c r="C10" s="101" t="s">
        <v>43</v>
      </c>
    </row>
    <row r="11" spans="1:3" ht="20.100000000000001" customHeight="1">
      <c r="A11" s="83" t="s">
        <v>51</v>
      </c>
      <c r="B11" s="83" t="s">
        <v>173</v>
      </c>
      <c r="C11" s="101">
        <v>101.73</v>
      </c>
    </row>
    <row r="12" spans="1:3" ht="20.100000000000001" customHeight="1">
      <c r="A12" s="83" t="s">
        <v>174</v>
      </c>
      <c r="B12" s="83" t="s">
        <v>175</v>
      </c>
      <c r="C12" s="101">
        <v>280.75</v>
      </c>
    </row>
    <row r="13" spans="1:3" ht="20.100000000000001" customHeight="1">
      <c r="A13" s="83" t="s">
        <v>176</v>
      </c>
      <c r="B13" s="83" t="s">
        <v>177</v>
      </c>
      <c r="C13" s="101" t="s">
        <v>43</v>
      </c>
    </row>
    <row r="14" spans="1:3" ht="20.100000000000001" customHeight="1">
      <c r="A14" s="83" t="s">
        <v>178</v>
      </c>
      <c r="B14" s="83" t="s">
        <v>179</v>
      </c>
      <c r="C14" s="101">
        <v>124.23</v>
      </c>
    </row>
    <row r="15" spans="1:3" ht="20.100000000000001" customHeight="1">
      <c r="A15" s="83" t="s">
        <v>180</v>
      </c>
      <c r="B15" s="83" t="s">
        <v>181</v>
      </c>
      <c r="C15" s="101" t="s">
        <v>43</v>
      </c>
    </row>
    <row r="16" spans="1:3" ht="20.100000000000001" customHeight="1">
      <c r="A16" s="83" t="s">
        <v>182</v>
      </c>
      <c r="B16" s="83" t="s">
        <v>183</v>
      </c>
      <c r="C16" s="101" t="s">
        <v>43</v>
      </c>
    </row>
    <row r="17" spans="1:3" ht="20.100000000000001" customHeight="1">
      <c r="A17" s="83" t="s">
        <v>184</v>
      </c>
      <c r="B17" s="83" t="s">
        <v>142</v>
      </c>
      <c r="C17" s="101">
        <v>236.25</v>
      </c>
    </row>
    <row r="18" spans="1:3" ht="20.100000000000001" customHeight="1">
      <c r="A18" s="83" t="s">
        <v>185</v>
      </c>
      <c r="B18" s="83" t="s">
        <v>186</v>
      </c>
      <c r="C18" s="101" t="s">
        <v>43</v>
      </c>
    </row>
    <row r="19" spans="1:3" ht="20.100000000000001" customHeight="1">
      <c r="A19" s="83" t="s">
        <v>52</v>
      </c>
      <c r="B19" s="83" t="s">
        <v>143</v>
      </c>
      <c r="C19" s="101">
        <v>903.06</v>
      </c>
    </row>
    <row r="20" spans="1:3" s="5" customFormat="1" ht="20.100000000000001" customHeight="1">
      <c r="A20" s="82" t="s">
        <v>53</v>
      </c>
      <c r="B20" s="82" t="s">
        <v>54</v>
      </c>
      <c r="C20" s="100">
        <v>396.33</v>
      </c>
    </row>
    <row r="21" spans="1:3" ht="20.100000000000001" customHeight="1">
      <c r="A21" s="83" t="s">
        <v>55</v>
      </c>
      <c r="B21" s="83" t="s">
        <v>187</v>
      </c>
      <c r="C21" s="101">
        <v>15</v>
      </c>
    </row>
    <row r="22" spans="1:3" ht="20.100000000000001" customHeight="1">
      <c r="A22" s="83" t="s">
        <v>56</v>
      </c>
      <c r="B22" s="83" t="s">
        <v>188</v>
      </c>
      <c r="C22" s="101">
        <v>10</v>
      </c>
    </row>
    <row r="23" spans="1:3" ht="20.100000000000001" customHeight="1">
      <c r="A23" s="83" t="s">
        <v>57</v>
      </c>
      <c r="B23" s="83" t="s">
        <v>189</v>
      </c>
      <c r="C23" s="101" t="s">
        <v>43</v>
      </c>
    </row>
    <row r="24" spans="1:3" ht="20.100000000000001" customHeight="1">
      <c r="A24" s="83" t="s">
        <v>289</v>
      </c>
      <c r="B24" s="84" t="s">
        <v>290</v>
      </c>
      <c r="C24" s="101" t="s">
        <v>43</v>
      </c>
    </row>
    <row r="25" spans="1:3" ht="20.100000000000001" customHeight="1">
      <c r="A25" s="83" t="s">
        <v>58</v>
      </c>
      <c r="B25" s="83" t="s">
        <v>190</v>
      </c>
      <c r="C25" s="101">
        <v>5</v>
      </c>
    </row>
    <row r="26" spans="1:3" ht="20.100000000000001" customHeight="1">
      <c r="A26" s="83" t="s">
        <v>59</v>
      </c>
      <c r="B26" s="83" t="s">
        <v>191</v>
      </c>
      <c r="C26" s="101">
        <v>10</v>
      </c>
    </row>
    <row r="27" spans="1:3" ht="20.100000000000001" customHeight="1">
      <c r="A27" s="83" t="s">
        <v>60</v>
      </c>
      <c r="B27" s="83" t="s">
        <v>192</v>
      </c>
      <c r="C27" s="101">
        <v>10</v>
      </c>
    </row>
    <row r="28" spans="1:3" ht="20.100000000000001" customHeight="1">
      <c r="A28" s="83" t="s">
        <v>61</v>
      </c>
      <c r="B28" s="83" t="s">
        <v>193</v>
      </c>
      <c r="C28" s="101" t="s">
        <v>43</v>
      </c>
    </row>
    <row r="29" spans="1:3" ht="20.100000000000001" customHeight="1">
      <c r="A29" s="83" t="s">
        <v>62</v>
      </c>
      <c r="B29" s="83" t="s">
        <v>194</v>
      </c>
      <c r="C29" s="101" t="s">
        <v>43</v>
      </c>
    </row>
    <row r="30" spans="1:3" ht="20.100000000000001" customHeight="1">
      <c r="A30" s="83" t="s">
        <v>63</v>
      </c>
      <c r="B30" s="83" t="s">
        <v>195</v>
      </c>
      <c r="C30" s="101">
        <v>5</v>
      </c>
    </row>
    <row r="31" spans="1:3" ht="20.100000000000001" customHeight="1">
      <c r="A31" s="83" t="s">
        <v>64</v>
      </c>
      <c r="B31" s="83" t="s">
        <v>148</v>
      </c>
      <c r="C31" s="101" t="s">
        <v>43</v>
      </c>
    </row>
    <row r="32" spans="1:3" ht="20.100000000000001" customHeight="1">
      <c r="A32" s="83" t="s">
        <v>65</v>
      </c>
      <c r="B32" s="83" t="s">
        <v>196</v>
      </c>
      <c r="C32" s="101">
        <v>20</v>
      </c>
    </row>
    <row r="33" spans="1:3" ht="20.100000000000001" customHeight="1">
      <c r="A33" s="83" t="s">
        <v>66</v>
      </c>
      <c r="B33" s="83" t="s">
        <v>197</v>
      </c>
      <c r="C33" s="101" t="s">
        <v>43</v>
      </c>
    </row>
    <row r="34" spans="1:3" ht="20.100000000000001" customHeight="1">
      <c r="A34" s="83" t="s">
        <v>67</v>
      </c>
      <c r="B34" s="83" t="s">
        <v>144</v>
      </c>
      <c r="C34" s="101" t="s">
        <v>43</v>
      </c>
    </row>
    <row r="35" spans="1:3" ht="20.100000000000001" customHeight="1">
      <c r="A35" s="83" t="s">
        <v>68</v>
      </c>
      <c r="B35" s="83" t="s">
        <v>145</v>
      </c>
      <c r="C35" s="101">
        <v>5</v>
      </c>
    </row>
    <row r="36" spans="1:3" ht="20.100000000000001" customHeight="1">
      <c r="A36" s="83" t="s">
        <v>69</v>
      </c>
      <c r="B36" s="83" t="s">
        <v>147</v>
      </c>
      <c r="C36" s="101">
        <v>10</v>
      </c>
    </row>
    <row r="37" spans="1:3" ht="20.100000000000001" customHeight="1">
      <c r="A37" s="83" t="s">
        <v>70</v>
      </c>
      <c r="B37" s="83" t="s">
        <v>198</v>
      </c>
      <c r="C37" s="101" t="s">
        <v>43</v>
      </c>
    </row>
    <row r="38" spans="1:3" ht="20.100000000000001" customHeight="1">
      <c r="A38" s="83" t="s">
        <v>71</v>
      </c>
      <c r="B38" s="83" t="s">
        <v>199</v>
      </c>
      <c r="C38" s="101" t="s">
        <v>43</v>
      </c>
    </row>
    <row r="39" spans="1:3" ht="20.100000000000001" customHeight="1">
      <c r="A39" s="83" t="s">
        <v>72</v>
      </c>
      <c r="B39" s="83" t="s">
        <v>200</v>
      </c>
      <c r="C39" s="101" t="s">
        <v>43</v>
      </c>
    </row>
    <row r="40" spans="1:3" ht="20.100000000000001" customHeight="1">
      <c r="A40" s="83" t="s">
        <v>73</v>
      </c>
      <c r="B40" s="83" t="s">
        <v>201</v>
      </c>
      <c r="C40" s="101" t="s">
        <v>43</v>
      </c>
    </row>
    <row r="41" spans="1:3" ht="20.100000000000001" customHeight="1">
      <c r="A41" s="83" t="s">
        <v>74</v>
      </c>
      <c r="B41" s="83" t="s">
        <v>146</v>
      </c>
      <c r="C41" s="101">
        <v>38</v>
      </c>
    </row>
    <row r="42" spans="1:3" ht="20.100000000000001" customHeight="1">
      <c r="A42" s="83" t="s">
        <v>75</v>
      </c>
      <c r="B42" s="83" t="s">
        <v>202</v>
      </c>
      <c r="C42" s="101" t="s">
        <v>43</v>
      </c>
    </row>
    <row r="43" spans="1:3" ht="20.100000000000001" customHeight="1">
      <c r="A43" s="83" t="s">
        <v>76</v>
      </c>
      <c r="B43" s="83" t="s">
        <v>203</v>
      </c>
      <c r="C43" s="101" t="s">
        <v>43</v>
      </c>
    </row>
    <row r="44" spans="1:3" ht="20.100000000000001" customHeight="1">
      <c r="A44" s="83" t="s">
        <v>77</v>
      </c>
      <c r="B44" s="83" t="s">
        <v>149</v>
      </c>
      <c r="C44" s="101">
        <v>139.30000000000001</v>
      </c>
    </row>
    <row r="45" spans="1:3" ht="20.100000000000001" customHeight="1">
      <c r="A45" s="83" t="s">
        <v>78</v>
      </c>
      <c r="B45" s="83" t="s">
        <v>204</v>
      </c>
      <c r="C45" s="101">
        <v>36.03</v>
      </c>
    </row>
    <row r="46" spans="1:3" ht="20.100000000000001" customHeight="1">
      <c r="A46" s="83" t="s">
        <v>79</v>
      </c>
      <c r="B46" s="83" t="s">
        <v>205</v>
      </c>
      <c r="C46" s="101" t="s">
        <v>43</v>
      </c>
    </row>
    <row r="47" spans="1:3" ht="20.100000000000001" customHeight="1">
      <c r="A47" s="83" t="s">
        <v>80</v>
      </c>
      <c r="B47" s="83" t="s">
        <v>150</v>
      </c>
      <c r="C47" s="101">
        <v>93</v>
      </c>
    </row>
    <row r="48" spans="1:3" s="5" customFormat="1" ht="20.100000000000001" customHeight="1">
      <c r="A48" s="82" t="s">
        <v>81</v>
      </c>
      <c r="B48" s="82" t="s">
        <v>82</v>
      </c>
      <c r="C48" s="100">
        <f>SUM(C52)</f>
        <v>0.24</v>
      </c>
    </row>
    <row r="49" spans="1:3" ht="20.100000000000001" customHeight="1">
      <c r="A49" s="83" t="s">
        <v>83</v>
      </c>
      <c r="B49" s="83" t="s">
        <v>206</v>
      </c>
      <c r="C49" s="101" t="s">
        <v>43</v>
      </c>
    </row>
    <row r="50" spans="1:3" ht="20.100000000000001" customHeight="1">
      <c r="A50" s="83" t="s">
        <v>84</v>
      </c>
      <c r="B50" s="83" t="s">
        <v>207</v>
      </c>
      <c r="C50" s="101" t="s">
        <v>43</v>
      </c>
    </row>
    <row r="51" spans="1:3" ht="20.100000000000001" customHeight="1">
      <c r="A51" s="83" t="s">
        <v>85</v>
      </c>
      <c r="B51" s="83" t="s">
        <v>208</v>
      </c>
      <c r="C51" s="101" t="s">
        <v>43</v>
      </c>
    </row>
    <row r="52" spans="1:3" ht="20.100000000000001" customHeight="1">
      <c r="A52" s="83" t="s">
        <v>86</v>
      </c>
      <c r="B52" s="83" t="s">
        <v>209</v>
      </c>
      <c r="C52" s="101">
        <v>0.24</v>
      </c>
    </row>
    <row r="53" spans="1:3" ht="20.100000000000001" customHeight="1">
      <c r="A53" s="83" t="s">
        <v>87</v>
      </c>
      <c r="B53" s="83" t="s">
        <v>210</v>
      </c>
      <c r="C53" s="101" t="s">
        <v>43</v>
      </c>
    </row>
    <row r="54" spans="1:3" ht="20.100000000000001" customHeight="1">
      <c r="A54" s="83" t="s">
        <v>88</v>
      </c>
      <c r="B54" s="83" t="s">
        <v>211</v>
      </c>
      <c r="C54" s="101" t="s">
        <v>43</v>
      </c>
    </row>
    <row r="55" spans="1:3" ht="20.100000000000001" customHeight="1">
      <c r="A55" s="83" t="s">
        <v>89</v>
      </c>
      <c r="B55" s="83" t="s">
        <v>212</v>
      </c>
      <c r="C55" s="101" t="s">
        <v>43</v>
      </c>
    </row>
    <row r="56" spans="1:3" ht="20.100000000000001" customHeight="1">
      <c r="A56" s="83" t="s">
        <v>90</v>
      </c>
      <c r="B56" s="83" t="s">
        <v>158</v>
      </c>
      <c r="C56" s="101" t="s">
        <v>43</v>
      </c>
    </row>
    <row r="57" spans="1:3" ht="20.100000000000001" customHeight="1">
      <c r="A57" s="83" t="s">
        <v>91</v>
      </c>
      <c r="B57" s="83" t="s">
        <v>213</v>
      </c>
      <c r="C57" s="101" t="s">
        <v>43</v>
      </c>
    </row>
    <row r="58" spans="1:3" ht="20.100000000000001" customHeight="1">
      <c r="A58" s="83" t="s">
        <v>92</v>
      </c>
      <c r="B58" s="83" t="s">
        <v>159</v>
      </c>
      <c r="C58" s="101" t="s">
        <v>43</v>
      </c>
    </row>
    <row r="59" spans="1:3" ht="20.100000000000001" customHeight="1">
      <c r="A59" s="83" t="s">
        <v>93</v>
      </c>
      <c r="B59" s="83" t="s">
        <v>214</v>
      </c>
      <c r="C59" s="101" t="s">
        <v>43</v>
      </c>
    </row>
    <row r="60" spans="1:3" s="5" customFormat="1" ht="20.100000000000001" customHeight="1">
      <c r="A60" s="82" t="s">
        <v>110</v>
      </c>
      <c r="B60" s="82" t="s">
        <v>136</v>
      </c>
      <c r="C60" s="100" t="s">
        <v>43</v>
      </c>
    </row>
    <row r="61" spans="1:3" ht="20.100000000000001" customHeight="1">
      <c r="A61" s="83" t="s">
        <v>111</v>
      </c>
      <c r="B61" s="83" t="s">
        <v>162</v>
      </c>
      <c r="C61" s="101" t="s">
        <v>43</v>
      </c>
    </row>
    <row r="62" spans="1:3" ht="20.100000000000001" customHeight="1">
      <c r="A62" s="83" t="s">
        <v>215</v>
      </c>
      <c r="B62" s="83" t="s">
        <v>163</v>
      </c>
      <c r="C62" s="101" t="s">
        <v>43</v>
      </c>
    </row>
    <row r="63" spans="1:3" ht="20.100000000000001" customHeight="1">
      <c r="A63" s="83" t="s">
        <v>216</v>
      </c>
      <c r="B63" s="83" t="s">
        <v>164</v>
      </c>
      <c r="C63" s="101" t="s">
        <v>43</v>
      </c>
    </row>
    <row r="64" spans="1:3" ht="20.100000000000001" customHeight="1">
      <c r="A64" s="83" t="s">
        <v>217</v>
      </c>
      <c r="B64" s="83" t="s">
        <v>165</v>
      </c>
      <c r="C64" s="101" t="s">
        <v>43</v>
      </c>
    </row>
    <row r="65" spans="1:3" s="5" customFormat="1" ht="20.100000000000001" customHeight="1">
      <c r="A65" s="82" t="s">
        <v>117</v>
      </c>
      <c r="B65" s="82" t="s">
        <v>137</v>
      </c>
      <c r="C65" s="100" t="s">
        <v>43</v>
      </c>
    </row>
    <row r="66" spans="1:3" ht="20.100000000000001" customHeight="1">
      <c r="A66" s="83" t="s">
        <v>218</v>
      </c>
      <c r="B66" s="83" t="s">
        <v>151</v>
      </c>
      <c r="C66" s="101" t="s">
        <v>43</v>
      </c>
    </row>
    <row r="67" spans="1:3" ht="20.100000000000001" customHeight="1">
      <c r="A67" s="83" t="s">
        <v>219</v>
      </c>
      <c r="B67" s="83" t="s">
        <v>220</v>
      </c>
      <c r="C67" s="101" t="s">
        <v>43</v>
      </c>
    </row>
    <row r="68" spans="1:3" ht="20.100000000000001" customHeight="1">
      <c r="A68" s="83" t="s">
        <v>221</v>
      </c>
      <c r="B68" s="83" t="s">
        <v>222</v>
      </c>
      <c r="C68" s="101" t="s">
        <v>43</v>
      </c>
    </row>
    <row r="69" spans="1:3" ht="20.100000000000001" customHeight="1">
      <c r="A69" s="83" t="s">
        <v>223</v>
      </c>
      <c r="B69" s="83" t="s">
        <v>152</v>
      </c>
      <c r="C69" s="101" t="s">
        <v>43</v>
      </c>
    </row>
    <row r="70" spans="1:3" ht="20.100000000000001" customHeight="1">
      <c r="A70" s="83" t="s">
        <v>224</v>
      </c>
      <c r="B70" s="83" t="s">
        <v>154</v>
      </c>
      <c r="C70" s="101" t="s">
        <v>43</v>
      </c>
    </row>
    <row r="71" spans="1:3" ht="20.100000000000001" customHeight="1">
      <c r="A71" s="83" t="s">
        <v>225</v>
      </c>
      <c r="B71" s="83" t="s">
        <v>226</v>
      </c>
      <c r="C71" s="101" t="s">
        <v>43</v>
      </c>
    </row>
    <row r="72" spans="1:3" ht="20.100000000000001" customHeight="1">
      <c r="A72" s="83" t="s">
        <v>227</v>
      </c>
      <c r="B72" s="83" t="s">
        <v>228</v>
      </c>
      <c r="C72" s="101" t="s">
        <v>43</v>
      </c>
    </row>
    <row r="73" spans="1:3" ht="20.100000000000001" customHeight="1">
      <c r="A73" s="83" t="s">
        <v>229</v>
      </c>
      <c r="B73" s="83" t="s">
        <v>153</v>
      </c>
      <c r="C73" s="101" t="s">
        <v>43</v>
      </c>
    </row>
    <row r="74" spans="1:3" ht="20.100000000000001" customHeight="1">
      <c r="A74" s="83" t="s">
        <v>230</v>
      </c>
      <c r="B74" s="83" t="s">
        <v>231</v>
      </c>
      <c r="C74" s="101" t="s">
        <v>43</v>
      </c>
    </row>
    <row r="75" spans="1:3" ht="20.100000000000001" customHeight="1">
      <c r="A75" s="83" t="s">
        <v>232</v>
      </c>
      <c r="B75" s="83" t="s">
        <v>233</v>
      </c>
      <c r="C75" s="101" t="s">
        <v>43</v>
      </c>
    </row>
    <row r="76" spans="1:3" ht="20.100000000000001" customHeight="1">
      <c r="A76" s="83" t="s">
        <v>234</v>
      </c>
      <c r="B76" s="83" t="s">
        <v>235</v>
      </c>
      <c r="C76" s="101" t="s">
        <v>43</v>
      </c>
    </row>
    <row r="77" spans="1:3" ht="20.100000000000001" customHeight="1">
      <c r="A77" s="83" t="s">
        <v>236</v>
      </c>
      <c r="B77" s="83" t="s">
        <v>237</v>
      </c>
      <c r="C77" s="101" t="s">
        <v>43</v>
      </c>
    </row>
    <row r="78" spans="1:3" s="5" customFormat="1" ht="20.100000000000001" customHeight="1">
      <c r="A78" s="82" t="s">
        <v>94</v>
      </c>
      <c r="B78" s="82" t="s">
        <v>138</v>
      </c>
      <c r="C78" s="100" t="s">
        <v>43</v>
      </c>
    </row>
    <row r="79" spans="1:3" ht="20.100000000000001" customHeight="1">
      <c r="A79" s="83" t="s">
        <v>96</v>
      </c>
      <c r="B79" s="83" t="s">
        <v>151</v>
      </c>
      <c r="C79" s="101" t="s">
        <v>43</v>
      </c>
    </row>
    <row r="80" spans="1:3" ht="20.100000000000001" customHeight="1">
      <c r="A80" s="83" t="s">
        <v>97</v>
      </c>
      <c r="B80" s="83" t="s">
        <v>220</v>
      </c>
      <c r="C80" s="101" t="s">
        <v>43</v>
      </c>
    </row>
    <row r="81" spans="1:3" ht="20.100000000000001" customHeight="1">
      <c r="A81" s="83" t="s">
        <v>98</v>
      </c>
      <c r="B81" s="83" t="s">
        <v>222</v>
      </c>
      <c r="C81" s="101" t="s">
        <v>43</v>
      </c>
    </row>
    <row r="82" spans="1:3" ht="20.100000000000001" customHeight="1">
      <c r="A82" s="83" t="s">
        <v>99</v>
      </c>
      <c r="B82" s="83" t="s">
        <v>152</v>
      </c>
      <c r="C82" s="102"/>
    </row>
    <row r="83" spans="1:3" ht="20.100000000000001" customHeight="1">
      <c r="A83" s="83" t="s">
        <v>100</v>
      </c>
      <c r="B83" s="83" t="s">
        <v>154</v>
      </c>
      <c r="C83" s="102"/>
    </row>
    <row r="84" spans="1:3" ht="20.100000000000001" customHeight="1">
      <c r="A84" s="83" t="s">
        <v>101</v>
      </c>
      <c r="B84" s="83" t="s">
        <v>226</v>
      </c>
      <c r="C84" s="102"/>
    </row>
    <row r="85" spans="1:3" ht="20.100000000000001" customHeight="1">
      <c r="A85" s="83" t="s">
        <v>102</v>
      </c>
      <c r="B85" s="83" t="s">
        <v>228</v>
      </c>
      <c r="C85" s="102"/>
    </row>
    <row r="86" spans="1:3" ht="20.100000000000001" customHeight="1">
      <c r="A86" s="83" t="s">
        <v>103</v>
      </c>
      <c r="B86" s="83" t="s">
        <v>314</v>
      </c>
      <c r="C86" s="102"/>
    </row>
    <row r="87" spans="1:3" ht="20.100000000000001" customHeight="1">
      <c r="A87" s="83" t="s">
        <v>104</v>
      </c>
      <c r="B87" s="83" t="s">
        <v>238</v>
      </c>
      <c r="C87" s="102"/>
    </row>
    <row r="88" spans="1:3" ht="20.100000000000001" customHeight="1">
      <c r="A88" s="83" t="s">
        <v>105</v>
      </c>
      <c r="B88" s="83" t="s">
        <v>239</v>
      </c>
      <c r="C88" s="102"/>
    </row>
    <row r="89" spans="1:3" ht="20.100000000000001" customHeight="1">
      <c r="A89" s="83" t="s">
        <v>106</v>
      </c>
      <c r="B89" s="84" t="s">
        <v>313</v>
      </c>
      <c r="C89" s="102"/>
    </row>
    <row r="90" spans="1:3" ht="20.100000000000001" customHeight="1">
      <c r="A90" s="83" t="s">
        <v>107</v>
      </c>
      <c r="B90" s="83" t="s">
        <v>153</v>
      </c>
      <c r="C90" s="102"/>
    </row>
    <row r="91" spans="1:3" ht="20.100000000000001" customHeight="1">
      <c r="A91" s="83" t="s">
        <v>108</v>
      </c>
      <c r="B91" s="83" t="s">
        <v>231</v>
      </c>
      <c r="C91" s="102"/>
    </row>
    <row r="92" spans="1:3" ht="20.100000000000001" customHeight="1">
      <c r="A92" s="83" t="s">
        <v>240</v>
      </c>
      <c r="B92" s="83" t="s">
        <v>233</v>
      </c>
      <c r="C92" s="102"/>
    </row>
    <row r="93" spans="1:3" ht="20.100000000000001" customHeight="1">
      <c r="A93" s="83" t="s">
        <v>241</v>
      </c>
      <c r="B93" s="83" t="s">
        <v>235</v>
      </c>
      <c r="C93" s="102"/>
    </row>
    <row r="94" spans="1:3" ht="20.100000000000001" customHeight="1">
      <c r="A94" s="83" t="s">
        <v>109</v>
      </c>
      <c r="B94" s="83" t="s">
        <v>95</v>
      </c>
      <c r="C94" s="102"/>
    </row>
    <row r="95" spans="1:3" s="5" customFormat="1" ht="20.100000000000001" customHeight="1">
      <c r="A95" s="82" t="s">
        <v>242</v>
      </c>
      <c r="B95" s="82" t="s">
        <v>139</v>
      </c>
      <c r="C95" s="93"/>
    </row>
    <row r="96" spans="1:3" ht="20.100000000000001" customHeight="1">
      <c r="A96" s="83" t="s">
        <v>243</v>
      </c>
      <c r="B96" s="83" t="s">
        <v>244</v>
      </c>
      <c r="C96" s="102"/>
    </row>
    <row r="97" spans="1:3" ht="20.100000000000001" customHeight="1">
      <c r="A97" s="83" t="s">
        <v>245</v>
      </c>
      <c r="B97" s="83" t="s">
        <v>157</v>
      </c>
      <c r="C97" s="102"/>
    </row>
    <row r="98" spans="1:3" s="5" customFormat="1" ht="20.100000000000001" customHeight="1">
      <c r="A98" s="82" t="s">
        <v>246</v>
      </c>
      <c r="B98" s="82" t="s">
        <v>140</v>
      </c>
      <c r="C98" s="93"/>
    </row>
    <row r="99" spans="1:3" ht="20.100000000000001" customHeight="1">
      <c r="A99" s="83" t="s">
        <v>247</v>
      </c>
      <c r="B99" s="83" t="s">
        <v>244</v>
      </c>
      <c r="C99" s="102"/>
    </row>
    <row r="100" spans="1:3" ht="20.100000000000001" customHeight="1">
      <c r="A100" s="83" t="s">
        <v>248</v>
      </c>
      <c r="B100" s="83" t="s">
        <v>249</v>
      </c>
      <c r="C100" s="102"/>
    </row>
    <row r="101" spans="1:3" ht="20.100000000000001" customHeight="1">
      <c r="A101" s="83" t="s">
        <v>250</v>
      </c>
      <c r="B101" s="83" t="s">
        <v>155</v>
      </c>
      <c r="C101" s="102"/>
    </row>
    <row r="102" spans="1:3" ht="20.100000000000001" customHeight="1">
      <c r="A102" s="83" t="s">
        <v>251</v>
      </c>
      <c r="B102" s="83" t="s">
        <v>156</v>
      </c>
      <c r="C102" s="102"/>
    </row>
    <row r="103" spans="1:3" ht="20.100000000000001" customHeight="1">
      <c r="A103" s="83" t="s">
        <v>252</v>
      </c>
      <c r="B103" s="83" t="s">
        <v>157</v>
      </c>
      <c r="C103" s="102"/>
    </row>
    <row r="104" spans="1:3" s="5" customFormat="1" ht="20.100000000000001" customHeight="1">
      <c r="A104" s="82" t="s">
        <v>253</v>
      </c>
      <c r="B104" s="82" t="s">
        <v>141</v>
      </c>
      <c r="C104" s="93"/>
    </row>
    <row r="105" spans="1:3" ht="20.100000000000001" customHeight="1">
      <c r="A105" s="83" t="s">
        <v>254</v>
      </c>
      <c r="B105" s="83" t="s">
        <v>160</v>
      </c>
      <c r="C105" s="102"/>
    </row>
    <row r="106" spans="1:3" ht="20.100000000000001" customHeight="1">
      <c r="A106" s="83" t="s">
        <v>255</v>
      </c>
      <c r="B106" s="83" t="s">
        <v>161</v>
      </c>
      <c r="C106" s="102"/>
    </row>
    <row r="107" spans="1:3" s="5" customFormat="1" ht="20.100000000000001" customHeight="1">
      <c r="A107" s="82" t="s">
        <v>112</v>
      </c>
      <c r="B107" s="82" t="s">
        <v>113</v>
      </c>
      <c r="C107" s="93"/>
    </row>
    <row r="108" spans="1:3" ht="20.100000000000001" customHeight="1">
      <c r="A108" s="83" t="s">
        <v>114</v>
      </c>
      <c r="B108" s="83" t="s">
        <v>166</v>
      </c>
      <c r="C108" s="102"/>
    </row>
    <row r="109" spans="1:3" ht="20.100000000000001" customHeight="1">
      <c r="A109" s="83" t="s">
        <v>256</v>
      </c>
      <c r="B109" s="83" t="s">
        <v>167</v>
      </c>
      <c r="C109" s="102"/>
    </row>
    <row r="110" spans="1:3" ht="20.100000000000001" customHeight="1">
      <c r="A110" s="83" t="s">
        <v>257</v>
      </c>
      <c r="B110" s="83" t="s">
        <v>168</v>
      </c>
      <c r="C110" s="102"/>
    </row>
    <row r="111" spans="1:3" ht="20.100000000000001" customHeight="1">
      <c r="A111" s="83" t="s">
        <v>258</v>
      </c>
      <c r="B111" s="83" t="s">
        <v>113</v>
      </c>
      <c r="C111" s="102"/>
    </row>
  </sheetData>
  <mergeCells count="3">
    <mergeCell ref="A5:B5"/>
    <mergeCell ref="A2:C2"/>
    <mergeCell ref="B3:C3"/>
  </mergeCells>
  <phoneticPr fontId="7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zoomScaleNormal="100" workbookViewId="0">
      <selection activeCell="A4" sqref="A4"/>
    </sheetView>
  </sheetViews>
  <sheetFormatPr defaultRowHeight="14.25"/>
  <cols>
    <col min="1" max="1" width="50.75" customWidth="1"/>
    <col min="2" max="2" width="30.875" customWidth="1"/>
  </cols>
  <sheetData>
    <row r="1" spans="1:2">
      <c r="A1" s="22" t="s">
        <v>134</v>
      </c>
      <c r="B1" s="23"/>
    </row>
    <row r="2" spans="1:2" ht="28.5" customHeight="1">
      <c r="A2" s="151" t="s">
        <v>323</v>
      </c>
      <c r="B2" s="151"/>
    </row>
    <row r="3" spans="1:2" ht="18" customHeight="1">
      <c r="A3" s="87"/>
      <c r="B3" s="86" t="s">
        <v>0</v>
      </c>
    </row>
    <row r="4" spans="1:2" ht="20.100000000000001" customHeight="1">
      <c r="A4" s="56" t="s">
        <v>1</v>
      </c>
      <c r="B4" s="56" t="s">
        <v>308</v>
      </c>
    </row>
    <row r="5" spans="1:2" ht="20.100000000000001" customHeight="1">
      <c r="A5" s="56" t="s">
        <v>2</v>
      </c>
      <c r="B5" s="103">
        <v>160.80000000000001</v>
      </c>
    </row>
    <row r="6" spans="1:2" ht="20.100000000000001" customHeight="1">
      <c r="A6" s="57" t="s">
        <v>3</v>
      </c>
      <c r="B6" s="103">
        <v>0</v>
      </c>
    </row>
    <row r="7" spans="1:2" ht="20.100000000000001" customHeight="1">
      <c r="A7" s="57" t="s">
        <v>4</v>
      </c>
      <c r="B7" s="103">
        <v>21.5</v>
      </c>
    </row>
    <row r="8" spans="1:2" ht="20.100000000000001" customHeight="1">
      <c r="A8" s="57" t="s">
        <v>131</v>
      </c>
      <c r="B8" s="103">
        <v>139.30000000000001</v>
      </c>
    </row>
    <row r="9" spans="1:2" ht="20.100000000000001" customHeight="1">
      <c r="A9" s="88" t="s">
        <v>132</v>
      </c>
      <c r="B9" s="103">
        <v>139.30000000000001</v>
      </c>
    </row>
    <row r="10" spans="1:2" ht="20.100000000000001" customHeight="1">
      <c r="A10" s="88" t="s">
        <v>115</v>
      </c>
      <c r="B10" s="103">
        <v>0</v>
      </c>
    </row>
    <row r="11" spans="1:2" ht="46.5" customHeight="1">
      <c r="A11" s="152" t="s">
        <v>309</v>
      </c>
      <c r="B11" s="152"/>
    </row>
  </sheetData>
  <mergeCells count="2">
    <mergeCell ref="A2:B2"/>
    <mergeCell ref="A11:B11"/>
  </mergeCells>
  <phoneticPr fontId="7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zoomScaleNormal="100" workbookViewId="0">
      <selection activeCell="A2" sqref="A2:K2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283</v>
      </c>
    </row>
    <row r="2" spans="1:11" ht="26.25" customHeight="1">
      <c r="A2" s="155" t="s">
        <v>324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</row>
    <row r="3" spans="1:11" ht="23.2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89" t="s">
        <v>118</v>
      </c>
    </row>
    <row r="4" spans="1:11" ht="20.100000000000001" customHeight="1">
      <c r="A4" s="156" t="s">
        <v>119</v>
      </c>
      <c r="B4" s="156" t="s">
        <v>120</v>
      </c>
      <c r="C4" s="156" t="s">
        <v>121</v>
      </c>
      <c r="D4" s="156" t="s">
        <v>122</v>
      </c>
      <c r="E4" s="156" t="s">
        <v>123</v>
      </c>
      <c r="F4" s="156" t="s">
        <v>124</v>
      </c>
      <c r="G4" s="156" t="s">
        <v>125</v>
      </c>
      <c r="H4" s="158" t="s">
        <v>126</v>
      </c>
      <c r="I4" s="158"/>
      <c r="J4" s="158"/>
      <c r="K4" s="156" t="s">
        <v>127</v>
      </c>
    </row>
    <row r="5" spans="1:11" ht="36.75" customHeight="1">
      <c r="A5" s="157"/>
      <c r="B5" s="157"/>
      <c r="C5" s="157"/>
      <c r="D5" s="157"/>
      <c r="E5" s="157"/>
      <c r="F5" s="157"/>
      <c r="G5" s="157"/>
      <c r="H5" s="27" t="s">
        <v>128</v>
      </c>
      <c r="I5" s="27" t="s">
        <v>129</v>
      </c>
      <c r="J5" s="27" t="s">
        <v>130</v>
      </c>
      <c r="K5" s="157"/>
    </row>
    <row r="6" spans="1:11" ht="20.100000000000001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ht="20.100000000000001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1" ht="20.100000000000001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ht="20.100000000000001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1:11" ht="20.100000000000001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1" ht="20.100000000000001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11" ht="20.100000000000001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11" ht="20.100000000000001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spans="1:11" ht="184.15" customHeight="1">
      <c r="A14" s="153" t="s">
        <v>310</v>
      </c>
      <c r="B14" s="154"/>
      <c r="C14" s="154"/>
      <c r="D14" s="154"/>
      <c r="E14" s="154"/>
      <c r="F14" s="154"/>
      <c r="G14" s="154"/>
      <c r="H14" s="154"/>
      <c r="I14" s="154"/>
      <c r="J14" s="154"/>
      <c r="K14" s="154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zoomScaleNormal="100" workbookViewId="0">
      <selection activeCell="A2" sqref="A2:D2"/>
    </sheetView>
  </sheetViews>
  <sheetFormatPr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5.15" customHeight="1">
      <c r="A1" s="75" t="s">
        <v>284</v>
      </c>
      <c r="B1" s="76"/>
      <c r="C1" s="76"/>
      <c r="D1" s="76"/>
    </row>
    <row r="2" spans="1:4" ht="34.9" customHeight="1">
      <c r="A2" s="159" t="s">
        <v>325</v>
      </c>
      <c r="B2" s="159"/>
      <c r="C2" s="159"/>
      <c r="D2" s="159"/>
    </row>
    <row r="3" spans="1:4" ht="86.25" customHeight="1">
      <c r="A3" s="90" t="s">
        <v>259</v>
      </c>
      <c r="B3" s="160" t="s">
        <v>260</v>
      </c>
      <c r="C3" s="160"/>
      <c r="D3" s="160"/>
    </row>
    <row r="4" spans="1:4" ht="20.100000000000001" customHeight="1">
      <c r="A4" s="161" t="s">
        <v>261</v>
      </c>
      <c r="B4" s="90" t="s">
        <v>262</v>
      </c>
      <c r="C4" s="90" t="s">
        <v>263</v>
      </c>
      <c r="D4" s="90" t="s">
        <v>264</v>
      </c>
    </row>
    <row r="5" spans="1:4" ht="20.100000000000001" customHeight="1">
      <c r="A5" s="161"/>
      <c r="B5" s="162" t="s">
        <v>265</v>
      </c>
      <c r="C5" s="91" t="s">
        <v>266</v>
      </c>
      <c r="D5" s="92"/>
    </row>
    <row r="6" spans="1:4" ht="20.100000000000001" customHeight="1">
      <c r="A6" s="161"/>
      <c r="B6" s="163"/>
      <c r="C6" s="91" t="s">
        <v>267</v>
      </c>
      <c r="D6" s="92"/>
    </row>
    <row r="7" spans="1:4" ht="20.100000000000001" customHeight="1">
      <c r="A7" s="161"/>
      <c r="B7" s="164"/>
      <c r="C7" s="91" t="s">
        <v>268</v>
      </c>
      <c r="D7" s="92"/>
    </row>
    <row r="8" spans="1:4" ht="20.100000000000001" customHeight="1">
      <c r="A8" s="161"/>
      <c r="B8" s="162" t="s">
        <v>269</v>
      </c>
      <c r="C8" s="91" t="s">
        <v>266</v>
      </c>
      <c r="D8" s="92"/>
    </row>
    <row r="9" spans="1:4" ht="20.100000000000001" customHeight="1">
      <c r="A9" s="161"/>
      <c r="B9" s="163"/>
      <c r="C9" s="91" t="s">
        <v>267</v>
      </c>
      <c r="D9" s="92"/>
    </row>
    <row r="10" spans="1:4" ht="20.100000000000001" customHeight="1">
      <c r="A10" s="161"/>
      <c r="B10" s="164"/>
      <c r="C10" s="91" t="s">
        <v>270</v>
      </c>
      <c r="D10" s="92"/>
    </row>
    <row r="11" spans="1:4" ht="20.100000000000001" customHeight="1">
      <c r="A11" s="161"/>
      <c r="B11" s="165" t="s">
        <v>271</v>
      </c>
      <c r="C11" s="91" t="s">
        <v>266</v>
      </c>
      <c r="D11" s="92"/>
    </row>
    <row r="12" spans="1:4" ht="20.100000000000001" customHeight="1">
      <c r="A12" s="161"/>
      <c r="B12" s="165"/>
      <c r="C12" s="91" t="s">
        <v>267</v>
      </c>
      <c r="D12" s="92"/>
    </row>
    <row r="13" spans="1:4" ht="20.100000000000001" customHeight="1">
      <c r="A13" s="161"/>
      <c r="B13" s="165"/>
      <c r="C13" s="91" t="s">
        <v>270</v>
      </c>
      <c r="D13" s="92"/>
    </row>
    <row r="14" spans="1:4" ht="26.25" customHeight="1">
      <c r="A14" s="152" t="s">
        <v>272</v>
      </c>
      <c r="B14" s="152"/>
      <c r="C14" s="152"/>
      <c r="D14" s="152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tabSelected="1" zoomScaleNormal="100" workbookViewId="0">
      <selection activeCell="C7" sqref="C7"/>
    </sheetView>
  </sheetViews>
  <sheetFormatPr defaultColWidth="8.125" defaultRowHeight="31.5" customHeight="1"/>
  <cols>
    <col min="1" max="1" width="14.375" style="76" customWidth="1"/>
    <col min="2" max="2" width="14.25" style="76" customWidth="1"/>
    <col min="3" max="3" width="29.875" style="76" customWidth="1"/>
    <col min="4" max="4" width="26.5" style="76" customWidth="1"/>
    <col min="5" max="16384" width="8.125" style="76"/>
  </cols>
  <sheetData>
    <row r="1" spans="1:6" ht="27.6" customHeight="1">
      <c r="A1" s="75" t="s">
        <v>285</v>
      </c>
    </row>
    <row r="2" spans="1:6" ht="40.15" customHeight="1">
      <c r="A2" s="159" t="s">
        <v>326</v>
      </c>
      <c r="B2" s="159"/>
      <c r="C2" s="159"/>
      <c r="D2" s="159"/>
    </row>
    <row r="3" spans="1:6" ht="20.25" customHeight="1">
      <c r="A3" s="90" t="s">
        <v>273</v>
      </c>
      <c r="B3" s="166"/>
      <c r="C3" s="166"/>
      <c r="D3" s="166"/>
    </row>
    <row r="4" spans="1:6" ht="87.75" customHeight="1">
      <c r="A4" s="90" t="s">
        <v>274</v>
      </c>
      <c r="B4" s="160" t="s">
        <v>275</v>
      </c>
      <c r="C4" s="160"/>
      <c r="D4" s="160"/>
    </row>
    <row r="5" spans="1:6" ht="23.45" customHeight="1">
      <c r="A5" s="161" t="s">
        <v>261</v>
      </c>
      <c r="B5" s="90" t="s">
        <v>276</v>
      </c>
      <c r="C5" s="90" t="s">
        <v>277</v>
      </c>
      <c r="D5" s="90" t="s">
        <v>278</v>
      </c>
    </row>
    <row r="6" spans="1:6" ht="23.45" customHeight="1">
      <c r="A6" s="161"/>
      <c r="B6" s="162" t="s">
        <v>265</v>
      </c>
      <c r="C6" s="91" t="s">
        <v>279</v>
      </c>
      <c r="D6" s="92"/>
    </row>
    <row r="7" spans="1:6" ht="23.45" customHeight="1">
      <c r="A7" s="161"/>
      <c r="B7" s="163"/>
      <c r="C7" s="91" t="s">
        <v>280</v>
      </c>
      <c r="D7" s="92"/>
    </row>
    <row r="8" spans="1:6" ht="23.45" customHeight="1">
      <c r="A8" s="161"/>
      <c r="B8" s="164"/>
      <c r="C8" s="91" t="s">
        <v>281</v>
      </c>
      <c r="D8" s="92"/>
      <c r="F8" s="74"/>
    </row>
    <row r="9" spans="1:6" ht="23.45" customHeight="1">
      <c r="A9" s="161"/>
      <c r="B9" s="162" t="s">
        <v>269</v>
      </c>
      <c r="C9" s="91" t="s">
        <v>279</v>
      </c>
      <c r="D9" s="92"/>
    </row>
    <row r="10" spans="1:6" ht="23.45" customHeight="1">
      <c r="A10" s="161"/>
      <c r="B10" s="163"/>
      <c r="C10" s="91" t="s">
        <v>280</v>
      </c>
      <c r="D10" s="92"/>
    </row>
    <row r="11" spans="1:6" ht="23.45" customHeight="1">
      <c r="A11" s="161"/>
      <c r="B11" s="164"/>
      <c r="C11" s="91" t="s">
        <v>270</v>
      </c>
      <c r="D11" s="92"/>
    </row>
    <row r="12" spans="1:6" ht="23.45" customHeight="1">
      <c r="A12" s="161"/>
      <c r="B12" s="165" t="s">
        <v>271</v>
      </c>
      <c r="C12" s="91" t="s">
        <v>279</v>
      </c>
      <c r="D12" s="92"/>
    </row>
    <row r="13" spans="1:6" ht="23.45" customHeight="1">
      <c r="A13" s="161"/>
      <c r="B13" s="165"/>
      <c r="C13" s="91" t="s">
        <v>280</v>
      </c>
      <c r="D13" s="92"/>
    </row>
    <row r="14" spans="1:6" ht="23.45" customHeight="1">
      <c r="A14" s="161"/>
      <c r="B14" s="165"/>
      <c r="C14" s="91" t="s">
        <v>270</v>
      </c>
      <c r="D14" s="92"/>
    </row>
    <row r="15" spans="1:6" ht="22.15" customHeight="1">
      <c r="A15" s="152" t="s">
        <v>282</v>
      </c>
      <c r="B15" s="152"/>
      <c r="C15" s="152"/>
      <c r="D15" s="152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asus</cp:lastModifiedBy>
  <cp:lastPrinted>2018-01-25T02:32:36Z</cp:lastPrinted>
  <dcterms:created xsi:type="dcterms:W3CDTF">2008-01-10T09:59:00Z</dcterms:created>
  <dcterms:modified xsi:type="dcterms:W3CDTF">2018-01-25T02:33:13Z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